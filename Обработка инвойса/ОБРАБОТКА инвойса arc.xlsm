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ЭтаКнига" defaultThemeVersion="124226"/>
  <bookViews>
    <workbookView xWindow="240" yWindow="405" windowWidth="14805" windowHeight="7710" activeTab="3"/>
  </bookViews>
  <sheets>
    <sheet name="Инвойс" sheetId="1" r:id="rId1"/>
    <sheet name="Пакинг" sheetId="2" r:id="rId2"/>
    <sheet name="Обработка" sheetId="3" r:id="rId3"/>
    <sheet name="ИТОГ" sheetId="5" r:id="rId4"/>
    <sheet name="Test_invoice" sheetId="7" r:id="rId5"/>
  </sheets>
  <functionGroups builtInGroupCount="17"/>
  <externalReferences>
    <externalReference r:id="rId6"/>
  </externalReferences>
  <definedNames>
    <definedName name="_xlnm._FilterDatabase" localSheetId="0" hidden="1">Инвойс!$A$2:$J$5000</definedName>
    <definedName name="_xlnm._FilterDatabase" localSheetId="3" hidden="1">ИТОГ!$A$1:$S$1</definedName>
    <definedName name="_xlnm._FilterDatabase" localSheetId="1" hidden="1">Пакинг!$A$1:$C$5000</definedName>
  </definedNames>
  <calcPr calcId="145621"/>
</workbook>
</file>

<file path=xl/calcChain.xml><?xml version="1.0" encoding="utf-8"?>
<calcChain xmlns="http://schemas.openxmlformats.org/spreadsheetml/2006/main">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1" i="1"/>
  <c r="E2" i="1"/>
  <c r="E1" i="1"/>
  <c r="J1" i="1"/>
  <c r="O2" i="3" l="1"/>
  <c r="O4" i="3"/>
  <c r="K30" i="7"/>
  <c r="A30" i="7" s="1"/>
  <c r="K31" i="7"/>
  <c r="B31" i="7" s="1"/>
  <c r="K32" i="7"/>
  <c r="A32" i="7" s="1"/>
  <c r="K33" i="7"/>
  <c r="B33" i="7" s="1"/>
  <c r="K34" i="7"/>
  <c r="A34" i="7" s="1"/>
  <c r="K35" i="7"/>
  <c r="B35" i="7" s="1"/>
  <c r="K36" i="7"/>
  <c r="A36" i="7" s="1"/>
  <c r="K37" i="7"/>
  <c r="C37" i="7" s="1"/>
  <c r="K38" i="7"/>
  <c r="A38" i="7" s="1"/>
  <c r="K39" i="7"/>
  <c r="C39" i="7" s="1"/>
  <c r="K40" i="7"/>
  <c r="A40" i="7" s="1"/>
  <c r="K41" i="7"/>
  <c r="C41" i="7" s="1"/>
  <c r="K42" i="7"/>
  <c r="A42" i="7" s="1"/>
  <c r="K43" i="7"/>
  <c r="C43" i="7" s="1"/>
  <c r="K44" i="7"/>
  <c r="A44" i="7" s="1"/>
  <c r="K45" i="7"/>
  <c r="C45" i="7" s="1"/>
  <c r="K46" i="7"/>
  <c r="A46" i="7" s="1"/>
  <c r="K47" i="7"/>
  <c r="A47" i="7" s="1"/>
  <c r="K48" i="7"/>
  <c r="A48" i="7" s="1"/>
  <c r="K49" i="7"/>
  <c r="A49" i="7" s="1"/>
  <c r="K50" i="7"/>
  <c r="A50" i="7" s="1"/>
  <c r="K51" i="7"/>
  <c r="C51" i="7" s="1"/>
  <c r="K52" i="7"/>
  <c r="A52" i="7" s="1"/>
  <c r="K53" i="7"/>
  <c r="C53" i="7" s="1"/>
  <c r="K54" i="7"/>
  <c r="A54" i="7" s="1"/>
  <c r="K55" i="7"/>
  <c r="C55" i="7" s="1"/>
  <c r="K56" i="7"/>
  <c r="A56" i="7" s="1"/>
  <c r="K57" i="7"/>
  <c r="C57" i="7" s="1"/>
  <c r="K58" i="7"/>
  <c r="A58" i="7" s="1"/>
  <c r="K59" i="7"/>
  <c r="A59" i="7" s="1"/>
  <c r="K60" i="7"/>
  <c r="A60" i="7" s="1"/>
  <c r="K61" i="7"/>
  <c r="A61" i="7" s="1"/>
  <c r="K62" i="7"/>
  <c r="A62" i="7" s="1"/>
  <c r="K63" i="7"/>
  <c r="A63" i="7" s="1"/>
  <c r="K64" i="7"/>
  <c r="A64" i="7" s="1"/>
  <c r="K65" i="7"/>
  <c r="A65" i="7" s="1"/>
  <c r="K66" i="7"/>
  <c r="A66" i="7" s="1"/>
  <c r="K67" i="7"/>
  <c r="A67" i="7" s="1"/>
  <c r="K68" i="7"/>
  <c r="A68" i="7" s="1"/>
  <c r="K69" i="7"/>
  <c r="A69" i="7" s="1"/>
  <c r="B70" i="7"/>
  <c r="D70" i="7"/>
  <c r="F70" i="7"/>
  <c r="H70" i="7"/>
  <c r="K70" i="7"/>
  <c r="A70" i="7" s="1"/>
  <c r="L70" i="7"/>
  <c r="M70" i="7"/>
  <c r="N70" i="7"/>
  <c r="O70" i="7"/>
  <c r="Q70" i="7"/>
  <c r="R70" i="7"/>
  <c r="K71" i="7"/>
  <c r="A71" i="7" s="1"/>
  <c r="M71" i="7"/>
  <c r="O71" i="7"/>
  <c r="R71" i="7"/>
  <c r="B72" i="7"/>
  <c r="D72" i="7"/>
  <c r="F72" i="7"/>
  <c r="H72" i="7"/>
  <c r="K72" i="7"/>
  <c r="A72" i="7" s="1"/>
  <c r="L72" i="7"/>
  <c r="M72" i="7"/>
  <c r="N72" i="7"/>
  <c r="O72" i="7"/>
  <c r="Q72" i="7"/>
  <c r="R72" i="7"/>
  <c r="K73" i="7"/>
  <c r="A73" i="7" s="1"/>
  <c r="M73" i="7"/>
  <c r="O73" i="7"/>
  <c r="R73" i="7"/>
  <c r="B74" i="7"/>
  <c r="D74" i="7"/>
  <c r="F74" i="7"/>
  <c r="H74" i="7"/>
  <c r="K74" i="7"/>
  <c r="A74" i="7" s="1"/>
  <c r="L74" i="7"/>
  <c r="M74" i="7"/>
  <c r="N74" i="7"/>
  <c r="O74" i="7"/>
  <c r="Q74" i="7"/>
  <c r="R74" i="7"/>
  <c r="C75" i="7"/>
  <c r="G75" i="7"/>
  <c r="K75" i="7"/>
  <c r="M75" i="7"/>
  <c r="O75" i="7"/>
  <c r="R75" i="7"/>
  <c r="B76" i="7"/>
  <c r="D76" i="7"/>
  <c r="F76" i="7"/>
  <c r="H76" i="7"/>
  <c r="K76" i="7"/>
  <c r="A76" i="7" s="1"/>
  <c r="L76" i="7"/>
  <c r="M76" i="7"/>
  <c r="N76" i="7"/>
  <c r="O76" i="7"/>
  <c r="Q76" i="7"/>
  <c r="R76" i="7"/>
  <c r="K77" i="7"/>
  <c r="C77" i="7" s="1"/>
  <c r="O77" i="7"/>
  <c r="B78" i="7"/>
  <c r="D78" i="7"/>
  <c r="F78" i="7"/>
  <c r="H78" i="7"/>
  <c r="K78" i="7"/>
  <c r="A78" i="7" s="1"/>
  <c r="L78" i="7"/>
  <c r="M78" i="7"/>
  <c r="N78" i="7"/>
  <c r="O78" i="7"/>
  <c r="Q78" i="7"/>
  <c r="R78" i="7"/>
  <c r="C79" i="7"/>
  <c r="G79" i="7"/>
  <c r="K79" i="7"/>
  <c r="M79" i="7"/>
  <c r="O79" i="7"/>
  <c r="R79" i="7"/>
  <c r="B80" i="7"/>
  <c r="D80" i="7"/>
  <c r="F80" i="7"/>
  <c r="H80" i="7"/>
  <c r="K80" i="7"/>
  <c r="A80" i="7" s="1"/>
  <c r="L80" i="7"/>
  <c r="M80" i="7"/>
  <c r="N80" i="7"/>
  <c r="O80" i="7"/>
  <c r="Q80" i="7"/>
  <c r="R80" i="7"/>
  <c r="K81" i="7"/>
  <c r="C81" i="7" s="1"/>
  <c r="O81" i="7"/>
  <c r="B82" i="7"/>
  <c r="D82" i="7"/>
  <c r="F82" i="7"/>
  <c r="H82" i="7"/>
  <c r="K82" i="7"/>
  <c r="A82" i="7" s="1"/>
  <c r="L82" i="7"/>
  <c r="M82" i="7"/>
  <c r="N82" i="7"/>
  <c r="O82" i="7"/>
  <c r="Q82" i="7"/>
  <c r="R82" i="7"/>
  <c r="C83" i="7"/>
  <c r="G83" i="7"/>
  <c r="K83" i="7"/>
  <c r="M83" i="7"/>
  <c r="O83" i="7"/>
  <c r="R83" i="7"/>
  <c r="B84" i="7"/>
  <c r="D84" i="7"/>
  <c r="F84" i="7"/>
  <c r="H84" i="7"/>
  <c r="K84" i="7"/>
  <c r="A84" i="7" s="1"/>
  <c r="L84" i="7"/>
  <c r="M84" i="7"/>
  <c r="N84" i="7"/>
  <c r="O84" i="7"/>
  <c r="Q84" i="7"/>
  <c r="R84" i="7"/>
  <c r="K85" i="7"/>
  <c r="C85" i="7" s="1"/>
  <c r="O85" i="7"/>
  <c r="B86" i="7"/>
  <c r="D86" i="7"/>
  <c r="F86" i="7"/>
  <c r="H86" i="7"/>
  <c r="K86" i="7"/>
  <c r="A86" i="7" s="1"/>
  <c r="L86" i="7"/>
  <c r="M86" i="7"/>
  <c r="N86" i="7"/>
  <c r="O86" i="7"/>
  <c r="Q86" i="7"/>
  <c r="R86" i="7"/>
  <c r="K87" i="7"/>
  <c r="B87" i="7" s="1"/>
  <c r="M87" i="7"/>
  <c r="O87" i="7"/>
  <c r="R87" i="7"/>
  <c r="B88" i="7"/>
  <c r="D88" i="7"/>
  <c r="F88" i="7"/>
  <c r="H88" i="7"/>
  <c r="K88" i="7"/>
  <c r="A88" i="7" s="1"/>
  <c r="L88" i="7"/>
  <c r="M88" i="7"/>
  <c r="N88" i="7"/>
  <c r="O88" i="7"/>
  <c r="Q88" i="7"/>
  <c r="R88" i="7"/>
  <c r="K89" i="7"/>
  <c r="A89" i="7" s="1"/>
  <c r="M89" i="7"/>
  <c r="O89" i="7"/>
  <c r="R89" i="7"/>
  <c r="B90" i="7"/>
  <c r="D90" i="7"/>
  <c r="F90" i="7"/>
  <c r="H90" i="7"/>
  <c r="K90" i="7"/>
  <c r="A90" i="7" s="1"/>
  <c r="L90" i="7"/>
  <c r="M90" i="7"/>
  <c r="N90" i="7"/>
  <c r="O90" i="7"/>
  <c r="Q90" i="7"/>
  <c r="R90" i="7"/>
  <c r="K91" i="7"/>
  <c r="A91" i="7" s="1"/>
  <c r="M91" i="7"/>
  <c r="O91" i="7"/>
  <c r="R91" i="7"/>
  <c r="B92" i="7"/>
  <c r="D92" i="7"/>
  <c r="F92" i="7"/>
  <c r="H92" i="7"/>
  <c r="K92" i="7"/>
  <c r="A92" i="7" s="1"/>
  <c r="L92" i="7"/>
  <c r="M92" i="7"/>
  <c r="N92" i="7"/>
  <c r="O92" i="7"/>
  <c r="Q92" i="7"/>
  <c r="R92" i="7"/>
  <c r="K93" i="7"/>
  <c r="A93" i="7" s="1"/>
  <c r="M93" i="7"/>
  <c r="O93" i="7"/>
  <c r="R93" i="7"/>
  <c r="B94" i="7"/>
  <c r="D94" i="7"/>
  <c r="F94" i="7"/>
  <c r="H94" i="7"/>
  <c r="K94" i="7"/>
  <c r="A94" i="7" s="1"/>
  <c r="L94" i="7"/>
  <c r="M94" i="7"/>
  <c r="N94" i="7"/>
  <c r="O94" i="7"/>
  <c r="Q94" i="7"/>
  <c r="R94" i="7"/>
  <c r="K95" i="7"/>
  <c r="A95" i="7" s="1"/>
  <c r="M95" i="7"/>
  <c r="O95" i="7"/>
  <c r="R95" i="7"/>
  <c r="B96" i="7"/>
  <c r="D96" i="7"/>
  <c r="F96" i="7"/>
  <c r="H96" i="7"/>
  <c r="K96" i="7"/>
  <c r="A96" i="7" s="1"/>
  <c r="L96" i="7"/>
  <c r="M96" i="7"/>
  <c r="N96" i="7"/>
  <c r="O96" i="7"/>
  <c r="Q96" i="7"/>
  <c r="R96" i="7"/>
  <c r="K97" i="7"/>
  <c r="A97" i="7" s="1"/>
  <c r="M97" i="7"/>
  <c r="O97" i="7"/>
  <c r="R97" i="7"/>
  <c r="B98" i="7"/>
  <c r="D98" i="7"/>
  <c r="F98" i="7"/>
  <c r="H98" i="7"/>
  <c r="K98" i="7"/>
  <c r="A98" i="7" s="1"/>
  <c r="L98" i="7"/>
  <c r="M98" i="7"/>
  <c r="N98" i="7"/>
  <c r="O98" i="7"/>
  <c r="Q98" i="7"/>
  <c r="R98" i="7"/>
  <c r="K99" i="7"/>
  <c r="A99" i="7" s="1"/>
  <c r="M99" i="7"/>
  <c r="O99" i="7"/>
  <c r="R99" i="7"/>
  <c r="B100" i="7"/>
  <c r="D100" i="7"/>
  <c r="F100" i="7"/>
  <c r="H100" i="7"/>
  <c r="K100" i="7"/>
  <c r="A100" i="7" s="1"/>
  <c r="L100" i="7"/>
  <c r="M100" i="7"/>
  <c r="N100" i="7"/>
  <c r="O100" i="7"/>
  <c r="Q100" i="7"/>
  <c r="R100" i="7"/>
  <c r="K101" i="7"/>
  <c r="A101" i="7" s="1"/>
  <c r="M101" i="7"/>
  <c r="O101" i="7"/>
  <c r="R101" i="7"/>
  <c r="B102" i="7"/>
  <c r="D102" i="7"/>
  <c r="F102" i="7"/>
  <c r="H102" i="7"/>
  <c r="K102" i="7"/>
  <c r="A102" i="7" s="1"/>
  <c r="L102" i="7"/>
  <c r="M102" i="7"/>
  <c r="N102" i="7"/>
  <c r="O102" i="7"/>
  <c r="Q102" i="7"/>
  <c r="R102" i="7"/>
  <c r="K103" i="7"/>
  <c r="A103" i="7" s="1"/>
  <c r="M103" i="7"/>
  <c r="O103" i="7"/>
  <c r="R103" i="7"/>
  <c r="B104" i="7"/>
  <c r="D104" i="7"/>
  <c r="F104" i="7"/>
  <c r="H104" i="7"/>
  <c r="K104" i="7"/>
  <c r="A104" i="7" s="1"/>
  <c r="L104" i="7"/>
  <c r="M104" i="7"/>
  <c r="N104" i="7"/>
  <c r="O104" i="7"/>
  <c r="Q104" i="7"/>
  <c r="R104" i="7"/>
  <c r="K105" i="7"/>
  <c r="A105" i="7" s="1"/>
  <c r="M105" i="7"/>
  <c r="O105" i="7"/>
  <c r="R105" i="7"/>
  <c r="B106" i="7"/>
  <c r="D106" i="7"/>
  <c r="F106" i="7"/>
  <c r="H106" i="7"/>
  <c r="K106" i="7"/>
  <c r="A106" i="7" s="1"/>
  <c r="L106" i="7"/>
  <c r="M106" i="7"/>
  <c r="N106" i="7"/>
  <c r="O106" i="7"/>
  <c r="Q106" i="7"/>
  <c r="R106" i="7"/>
  <c r="K107" i="7"/>
  <c r="A107" i="7" s="1"/>
  <c r="M107" i="7"/>
  <c r="O107" i="7"/>
  <c r="R107" i="7"/>
  <c r="B108" i="7"/>
  <c r="D108" i="7"/>
  <c r="F108" i="7"/>
  <c r="H108" i="7"/>
  <c r="K108" i="7"/>
  <c r="A108" i="7" s="1"/>
  <c r="L108" i="7"/>
  <c r="M108" i="7"/>
  <c r="N108" i="7"/>
  <c r="O108" i="7"/>
  <c r="Q108" i="7"/>
  <c r="R108" i="7"/>
  <c r="K109" i="7"/>
  <c r="A109" i="7" s="1"/>
  <c r="M109" i="7"/>
  <c r="O109" i="7"/>
  <c r="R109" i="7"/>
  <c r="B110" i="7"/>
  <c r="D110" i="7"/>
  <c r="F110" i="7"/>
  <c r="H110" i="7"/>
  <c r="K110" i="7"/>
  <c r="A110" i="7" s="1"/>
  <c r="L110" i="7"/>
  <c r="M110" i="7"/>
  <c r="N110" i="7"/>
  <c r="O110" i="7"/>
  <c r="Q110" i="7"/>
  <c r="R110" i="7"/>
  <c r="K111" i="7"/>
  <c r="A111" i="7" s="1"/>
  <c r="M111" i="7"/>
  <c r="O111" i="7"/>
  <c r="R111" i="7"/>
  <c r="B112" i="7"/>
  <c r="D112" i="7"/>
  <c r="F112" i="7"/>
  <c r="H112" i="7"/>
  <c r="K112" i="7"/>
  <c r="A112" i="7" s="1"/>
  <c r="L112" i="7"/>
  <c r="M112" i="7"/>
  <c r="N112" i="7"/>
  <c r="O112" i="7"/>
  <c r="Q112" i="7"/>
  <c r="R112" i="7"/>
  <c r="K113" i="7"/>
  <c r="A113" i="7" s="1"/>
  <c r="M113" i="7"/>
  <c r="O113" i="7"/>
  <c r="R113" i="7"/>
  <c r="B114" i="7"/>
  <c r="D114" i="7"/>
  <c r="F114" i="7"/>
  <c r="H114" i="7"/>
  <c r="K114" i="7"/>
  <c r="A114" i="7" s="1"/>
  <c r="L114" i="7"/>
  <c r="M114" i="7"/>
  <c r="N114" i="7"/>
  <c r="O114" i="7"/>
  <c r="Q114" i="7"/>
  <c r="R114" i="7"/>
  <c r="K115" i="7"/>
  <c r="A115" i="7" s="1"/>
  <c r="M115" i="7"/>
  <c r="O115" i="7"/>
  <c r="R115" i="7"/>
  <c r="B116" i="7"/>
  <c r="D116" i="7"/>
  <c r="F116" i="7"/>
  <c r="H116" i="7"/>
  <c r="K116" i="7"/>
  <c r="A116" i="7" s="1"/>
  <c r="L116" i="7"/>
  <c r="M116" i="7"/>
  <c r="N116" i="7"/>
  <c r="O116" i="7"/>
  <c r="Q116" i="7"/>
  <c r="R116" i="7"/>
  <c r="K117" i="7"/>
  <c r="A117" i="7" s="1"/>
  <c r="M117" i="7"/>
  <c r="O117" i="7"/>
  <c r="R117" i="7"/>
  <c r="B118" i="7"/>
  <c r="D118" i="7"/>
  <c r="F118" i="7"/>
  <c r="H118" i="7"/>
  <c r="K118" i="7"/>
  <c r="A118" i="7" s="1"/>
  <c r="L118" i="7"/>
  <c r="M118" i="7"/>
  <c r="N118" i="7"/>
  <c r="O118" i="7"/>
  <c r="Q118" i="7"/>
  <c r="R118" i="7"/>
  <c r="K119" i="7"/>
  <c r="A119" i="7" s="1"/>
  <c r="M119" i="7"/>
  <c r="O119" i="7"/>
  <c r="R119" i="7"/>
  <c r="B120" i="7"/>
  <c r="D120" i="7"/>
  <c r="F120" i="7"/>
  <c r="H120" i="7"/>
  <c r="K120" i="7"/>
  <c r="A120" i="7" s="1"/>
  <c r="L120" i="7"/>
  <c r="M120" i="7"/>
  <c r="N120" i="7"/>
  <c r="O120" i="7"/>
  <c r="Q120" i="7"/>
  <c r="R120" i="7"/>
  <c r="K121" i="7"/>
  <c r="M121" i="7" s="1"/>
  <c r="O121" i="7"/>
  <c r="B122" i="7"/>
  <c r="D122" i="7"/>
  <c r="F122" i="7"/>
  <c r="H122" i="7"/>
  <c r="K122" i="7"/>
  <c r="A122" i="7" s="1"/>
  <c r="L122" i="7"/>
  <c r="M122" i="7"/>
  <c r="N122" i="7"/>
  <c r="O122" i="7"/>
  <c r="Q122" i="7"/>
  <c r="R122" i="7"/>
  <c r="C123" i="7"/>
  <c r="G123" i="7"/>
  <c r="K123" i="7"/>
  <c r="M123" i="7"/>
  <c r="O123" i="7"/>
  <c r="R123" i="7"/>
  <c r="B124" i="7"/>
  <c r="D124" i="7"/>
  <c r="F124" i="7"/>
  <c r="H124" i="7"/>
  <c r="K124" i="7"/>
  <c r="A124" i="7" s="1"/>
  <c r="L124" i="7"/>
  <c r="M124" i="7"/>
  <c r="N124" i="7"/>
  <c r="O124" i="7"/>
  <c r="Q124" i="7"/>
  <c r="R124" i="7"/>
  <c r="K125" i="7"/>
  <c r="C125" i="7" s="1"/>
  <c r="O125" i="7"/>
  <c r="B126" i="7"/>
  <c r="D126" i="7"/>
  <c r="F126" i="7"/>
  <c r="H126" i="7"/>
  <c r="K126" i="7"/>
  <c r="A126" i="7" s="1"/>
  <c r="L126" i="7"/>
  <c r="M126" i="7"/>
  <c r="N126" i="7"/>
  <c r="O126" i="7"/>
  <c r="Q126" i="7"/>
  <c r="R126" i="7"/>
  <c r="C127" i="7"/>
  <c r="G127" i="7"/>
  <c r="K127" i="7"/>
  <c r="M127" i="7"/>
  <c r="O127" i="7"/>
  <c r="R127" i="7"/>
  <c r="B128" i="7"/>
  <c r="D128" i="7"/>
  <c r="F128" i="7"/>
  <c r="H128" i="7"/>
  <c r="K128" i="7"/>
  <c r="A128" i="7" s="1"/>
  <c r="L128" i="7"/>
  <c r="M128" i="7"/>
  <c r="N128" i="7"/>
  <c r="O128" i="7"/>
  <c r="Q128" i="7"/>
  <c r="R128" i="7"/>
  <c r="K129" i="7"/>
  <c r="C129" i="7" s="1"/>
  <c r="O129" i="7"/>
  <c r="B130" i="7"/>
  <c r="D130" i="7"/>
  <c r="F130" i="7"/>
  <c r="H130" i="7"/>
  <c r="K130" i="7"/>
  <c r="A130" i="7" s="1"/>
  <c r="L130" i="7"/>
  <c r="M130" i="7"/>
  <c r="N130" i="7"/>
  <c r="O130" i="7"/>
  <c r="Q130" i="7"/>
  <c r="R130" i="7"/>
  <c r="C131" i="7"/>
  <c r="G131" i="7"/>
  <c r="K131" i="7"/>
  <c r="M131" i="7"/>
  <c r="O131" i="7"/>
  <c r="R131" i="7"/>
  <c r="B132" i="7"/>
  <c r="D132" i="7"/>
  <c r="F132" i="7"/>
  <c r="H132" i="7"/>
  <c r="K132" i="7"/>
  <c r="A132" i="7" s="1"/>
  <c r="L132" i="7"/>
  <c r="M132" i="7"/>
  <c r="N132" i="7"/>
  <c r="O132" i="7"/>
  <c r="Q132" i="7"/>
  <c r="R132" i="7"/>
  <c r="K133" i="7"/>
  <c r="C133" i="7" s="1"/>
  <c r="O133" i="7"/>
  <c r="B134" i="7"/>
  <c r="D134" i="7"/>
  <c r="F134" i="7"/>
  <c r="H134" i="7"/>
  <c r="K134" i="7"/>
  <c r="A134" i="7" s="1"/>
  <c r="L134" i="7"/>
  <c r="M134" i="7"/>
  <c r="N134" i="7"/>
  <c r="O134" i="7"/>
  <c r="Q134" i="7"/>
  <c r="R134" i="7"/>
  <c r="C135" i="7"/>
  <c r="G135" i="7"/>
  <c r="K135" i="7"/>
  <c r="M135" i="7"/>
  <c r="O135" i="7"/>
  <c r="R135" i="7"/>
  <c r="B136" i="7"/>
  <c r="D136" i="7"/>
  <c r="F136" i="7"/>
  <c r="H136" i="7"/>
  <c r="K136" i="7"/>
  <c r="A136" i="7" s="1"/>
  <c r="L136" i="7"/>
  <c r="M136" i="7"/>
  <c r="N136" i="7"/>
  <c r="O136" i="7"/>
  <c r="Q136" i="7"/>
  <c r="R136" i="7"/>
  <c r="K137" i="7"/>
  <c r="C137" i="7" s="1"/>
  <c r="O137" i="7"/>
  <c r="B138" i="7"/>
  <c r="D138" i="7"/>
  <c r="F138" i="7"/>
  <c r="H138" i="7"/>
  <c r="K138" i="7"/>
  <c r="A138" i="7" s="1"/>
  <c r="L138" i="7"/>
  <c r="M138" i="7"/>
  <c r="N138" i="7"/>
  <c r="O138" i="7"/>
  <c r="Q138" i="7"/>
  <c r="R138" i="7"/>
  <c r="C139" i="7"/>
  <c r="G139" i="7"/>
  <c r="K139" i="7"/>
  <c r="M139" i="7"/>
  <c r="O139" i="7"/>
  <c r="R139" i="7"/>
  <c r="B140" i="7"/>
  <c r="D140" i="7"/>
  <c r="F140" i="7"/>
  <c r="H140" i="7"/>
  <c r="K140" i="7"/>
  <c r="A140" i="7" s="1"/>
  <c r="L140" i="7"/>
  <c r="M140" i="7"/>
  <c r="N140" i="7"/>
  <c r="O140" i="7"/>
  <c r="Q140" i="7"/>
  <c r="R140" i="7"/>
  <c r="K141" i="7"/>
  <c r="C141" i="7" s="1"/>
  <c r="O141" i="7"/>
  <c r="B142" i="7"/>
  <c r="D142" i="7"/>
  <c r="F142" i="7"/>
  <c r="H142" i="7"/>
  <c r="K142" i="7"/>
  <c r="A142" i="7" s="1"/>
  <c r="L142" i="7"/>
  <c r="M142" i="7"/>
  <c r="N142" i="7"/>
  <c r="O142" i="7"/>
  <c r="Q142" i="7"/>
  <c r="R142" i="7"/>
  <c r="C143" i="7"/>
  <c r="G143" i="7"/>
  <c r="K143" i="7"/>
  <c r="M143" i="7"/>
  <c r="O143" i="7"/>
  <c r="R143" i="7"/>
  <c r="B144" i="7"/>
  <c r="D144" i="7"/>
  <c r="F144" i="7"/>
  <c r="H144" i="7"/>
  <c r="K144" i="7"/>
  <c r="A144" i="7" s="1"/>
  <c r="L144" i="7"/>
  <c r="M144" i="7"/>
  <c r="N144" i="7"/>
  <c r="O144" i="7"/>
  <c r="Q144" i="7"/>
  <c r="R144" i="7"/>
  <c r="A145" i="7"/>
  <c r="E145" i="7"/>
  <c r="H145" i="7"/>
  <c r="K145" i="7"/>
  <c r="L145" i="7"/>
  <c r="M145" i="7"/>
  <c r="N145" i="7"/>
  <c r="O145" i="7"/>
  <c r="Q145" i="7"/>
  <c r="R145" i="7"/>
  <c r="K146" i="7"/>
  <c r="A146" i="7" s="1"/>
  <c r="M146" i="7"/>
  <c r="O146" i="7"/>
  <c r="R146" i="7"/>
  <c r="B147" i="7"/>
  <c r="D147" i="7"/>
  <c r="F147" i="7"/>
  <c r="H147" i="7"/>
  <c r="K147" i="7"/>
  <c r="A147" i="7" s="1"/>
  <c r="L147" i="7"/>
  <c r="M147" i="7"/>
  <c r="N147" i="7"/>
  <c r="O147" i="7"/>
  <c r="Q147" i="7"/>
  <c r="R147" i="7"/>
  <c r="K148" i="7"/>
  <c r="A148" i="7" s="1"/>
  <c r="M148" i="7"/>
  <c r="O148" i="7"/>
  <c r="R148" i="7"/>
  <c r="B149" i="7"/>
  <c r="D149" i="7"/>
  <c r="F149" i="7"/>
  <c r="H149" i="7"/>
  <c r="K149" i="7"/>
  <c r="A149" i="7" s="1"/>
  <c r="L149" i="7"/>
  <c r="M149" i="7"/>
  <c r="N149" i="7"/>
  <c r="O149" i="7"/>
  <c r="Q149" i="7"/>
  <c r="R149" i="7"/>
  <c r="K150" i="7"/>
  <c r="A150" i="7" s="1"/>
  <c r="M150" i="7"/>
  <c r="O150" i="7"/>
  <c r="R150" i="7"/>
  <c r="B151" i="7"/>
  <c r="D151" i="7"/>
  <c r="F151" i="7"/>
  <c r="H151" i="7"/>
  <c r="K151" i="7"/>
  <c r="A151" i="7" s="1"/>
  <c r="L151" i="7"/>
  <c r="M151" i="7"/>
  <c r="N151" i="7"/>
  <c r="O151" i="7"/>
  <c r="Q151" i="7"/>
  <c r="R151" i="7"/>
  <c r="K152" i="7"/>
  <c r="A152" i="7" s="1"/>
  <c r="M152" i="7"/>
  <c r="O152" i="7"/>
  <c r="R152" i="7"/>
  <c r="B153" i="7"/>
  <c r="D153" i="7"/>
  <c r="F153" i="7"/>
  <c r="H153" i="7"/>
  <c r="K153" i="7"/>
  <c r="A153" i="7" s="1"/>
  <c r="L153" i="7"/>
  <c r="M153" i="7"/>
  <c r="N153" i="7"/>
  <c r="O153" i="7"/>
  <c r="Q153" i="7"/>
  <c r="R153" i="7"/>
  <c r="K154" i="7"/>
  <c r="A154" i="7" s="1"/>
  <c r="M154" i="7"/>
  <c r="O154" i="7"/>
  <c r="R154" i="7"/>
  <c r="B155" i="7"/>
  <c r="D155" i="7"/>
  <c r="F155" i="7"/>
  <c r="H155" i="7"/>
  <c r="K155" i="7"/>
  <c r="A155" i="7" s="1"/>
  <c r="L155" i="7"/>
  <c r="M155" i="7"/>
  <c r="N155" i="7"/>
  <c r="O155" i="7"/>
  <c r="Q155" i="7"/>
  <c r="R155" i="7"/>
  <c r="K156" i="7"/>
  <c r="A156" i="7" s="1"/>
  <c r="M156" i="7"/>
  <c r="O156" i="7"/>
  <c r="R156" i="7"/>
  <c r="B157" i="7"/>
  <c r="D157" i="7"/>
  <c r="F157" i="7"/>
  <c r="H157" i="7"/>
  <c r="K157" i="7"/>
  <c r="A157" i="7" s="1"/>
  <c r="L157" i="7"/>
  <c r="M157" i="7"/>
  <c r="N157" i="7"/>
  <c r="O157" i="7"/>
  <c r="Q157" i="7"/>
  <c r="R157" i="7"/>
  <c r="K158" i="7"/>
  <c r="A158" i="7" s="1"/>
  <c r="M158" i="7"/>
  <c r="O158" i="7"/>
  <c r="R158" i="7"/>
  <c r="B159" i="7"/>
  <c r="D159" i="7"/>
  <c r="F159" i="7"/>
  <c r="H159" i="7"/>
  <c r="K159" i="7"/>
  <c r="A159" i="7" s="1"/>
  <c r="L159" i="7"/>
  <c r="M159" i="7"/>
  <c r="N159" i="7"/>
  <c r="O159" i="7"/>
  <c r="Q159" i="7"/>
  <c r="R159" i="7"/>
  <c r="K160" i="7"/>
  <c r="A160" i="7" s="1"/>
  <c r="M160" i="7"/>
  <c r="O160" i="7"/>
  <c r="R160" i="7"/>
  <c r="B161" i="7"/>
  <c r="D161" i="7"/>
  <c r="F161" i="7"/>
  <c r="H161" i="7"/>
  <c r="K161" i="7"/>
  <c r="A161" i="7" s="1"/>
  <c r="L161" i="7"/>
  <c r="M161" i="7"/>
  <c r="N161" i="7"/>
  <c r="O161" i="7"/>
  <c r="Q161" i="7"/>
  <c r="R161" i="7"/>
  <c r="K162" i="7"/>
  <c r="A162" i="7" s="1"/>
  <c r="M162" i="7"/>
  <c r="O162" i="7"/>
  <c r="R162" i="7"/>
  <c r="B163" i="7"/>
  <c r="D163" i="7"/>
  <c r="F163" i="7"/>
  <c r="H163" i="7"/>
  <c r="K163" i="7"/>
  <c r="A163" i="7" s="1"/>
  <c r="L163" i="7"/>
  <c r="M163" i="7"/>
  <c r="N163" i="7"/>
  <c r="O163" i="7"/>
  <c r="Q163" i="7"/>
  <c r="R163" i="7"/>
  <c r="K164" i="7"/>
  <c r="A164" i="7" s="1"/>
  <c r="M164" i="7"/>
  <c r="O164" i="7"/>
  <c r="R164" i="7"/>
  <c r="B165" i="7"/>
  <c r="D165" i="7"/>
  <c r="F165" i="7"/>
  <c r="H165" i="7"/>
  <c r="K165" i="7"/>
  <c r="A165" i="7" s="1"/>
  <c r="L165" i="7"/>
  <c r="M165" i="7"/>
  <c r="N165" i="7"/>
  <c r="O165" i="7"/>
  <c r="Q165" i="7"/>
  <c r="R165" i="7"/>
  <c r="K166" i="7"/>
  <c r="A166" i="7" s="1"/>
  <c r="M166" i="7"/>
  <c r="O166" i="7"/>
  <c r="R166" i="7"/>
  <c r="B167" i="7"/>
  <c r="D167" i="7"/>
  <c r="F167" i="7"/>
  <c r="H167" i="7"/>
  <c r="K167" i="7"/>
  <c r="A167" i="7" s="1"/>
  <c r="L167" i="7"/>
  <c r="M167" i="7"/>
  <c r="N167" i="7"/>
  <c r="O167" i="7"/>
  <c r="Q167" i="7"/>
  <c r="R167" i="7"/>
  <c r="K168" i="7"/>
  <c r="A168" i="7" s="1"/>
  <c r="M168" i="7"/>
  <c r="O168" i="7"/>
  <c r="R168" i="7"/>
  <c r="B169" i="7"/>
  <c r="D169" i="7"/>
  <c r="F169" i="7"/>
  <c r="H169" i="7"/>
  <c r="K169" i="7"/>
  <c r="A169" i="7" s="1"/>
  <c r="L169" i="7"/>
  <c r="M169" i="7"/>
  <c r="N169" i="7"/>
  <c r="O169" i="7"/>
  <c r="Q169" i="7"/>
  <c r="R169" i="7"/>
  <c r="K170" i="7"/>
  <c r="A170" i="7" s="1"/>
  <c r="M170" i="7"/>
  <c r="O170" i="7"/>
  <c r="R170" i="7"/>
  <c r="B171" i="7"/>
  <c r="D171" i="7"/>
  <c r="F171" i="7"/>
  <c r="H171" i="7"/>
  <c r="K171" i="7"/>
  <c r="A171" i="7" s="1"/>
  <c r="L171" i="7"/>
  <c r="M171" i="7"/>
  <c r="N171" i="7"/>
  <c r="O171" i="7"/>
  <c r="Q171" i="7"/>
  <c r="R171" i="7"/>
  <c r="K172" i="7"/>
  <c r="A172" i="7" s="1"/>
  <c r="M172" i="7"/>
  <c r="O172" i="7"/>
  <c r="R172" i="7"/>
  <c r="B173" i="7"/>
  <c r="D173" i="7"/>
  <c r="F173" i="7"/>
  <c r="H173" i="7"/>
  <c r="K173" i="7"/>
  <c r="A173" i="7" s="1"/>
  <c r="L173" i="7"/>
  <c r="M173" i="7"/>
  <c r="N173" i="7"/>
  <c r="O173" i="7"/>
  <c r="Q173" i="7"/>
  <c r="R173" i="7"/>
  <c r="K174" i="7"/>
  <c r="A174" i="7" s="1"/>
  <c r="M174" i="7"/>
  <c r="O174" i="7"/>
  <c r="R174" i="7"/>
  <c r="B175" i="7"/>
  <c r="D175" i="7"/>
  <c r="F175" i="7"/>
  <c r="H175" i="7"/>
  <c r="K175" i="7"/>
  <c r="A175" i="7" s="1"/>
  <c r="L175" i="7"/>
  <c r="M175" i="7"/>
  <c r="N175" i="7"/>
  <c r="O175" i="7"/>
  <c r="Q175" i="7"/>
  <c r="R175" i="7"/>
  <c r="K176" i="7"/>
  <c r="A176" i="7" s="1"/>
  <c r="M176" i="7"/>
  <c r="O176" i="7"/>
  <c r="R176" i="7"/>
  <c r="B177" i="7"/>
  <c r="D177" i="7"/>
  <c r="F177" i="7"/>
  <c r="H177" i="7"/>
  <c r="K177" i="7"/>
  <c r="A177" i="7" s="1"/>
  <c r="L177" i="7"/>
  <c r="M177" i="7"/>
  <c r="N177" i="7"/>
  <c r="O177" i="7"/>
  <c r="Q177" i="7"/>
  <c r="R177" i="7"/>
  <c r="K178" i="7"/>
  <c r="A178" i="7" s="1"/>
  <c r="M178" i="7"/>
  <c r="O178" i="7"/>
  <c r="R178" i="7"/>
  <c r="B179" i="7"/>
  <c r="D179" i="7"/>
  <c r="F179" i="7"/>
  <c r="H179" i="7"/>
  <c r="K179" i="7"/>
  <c r="A179" i="7" s="1"/>
  <c r="L179" i="7"/>
  <c r="M179" i="7"/>
  <c r="N179" i="7"/>
  <c r="O179" i="7"/>
  <c r="Q179" i="7"/>
  <c r="R179" i="7"/>
  <c r="K180" i="7"/>
  <c r="A180" i="7" s="1"/>
  <c r="M180" i="7"/>
  <c r="O180" i="7"/>
  <c r="R180" i="7"/>
  <c r="B181" i="7"/>
  <c r="D181" i="7"/>
  <c r="F181" i="7"/>
  <c r="H181" i="7"/>
  <c r="K181" i="7"/>
  <c r="A181" i="7" s="1"/>
  <c r="L181" i="7"/>
  <c r="M181" i="7"/>
  <c r="N181" i="7"/>
  <c r="O181" i="7"/>
  <c r="Q181" i="7"/>
  <c r="R181" i="7"/>
  <c r="K182" i="7"/>
  <c r="A182" i="7" s="1"/>
  <c r="M182" i="7"/>
  <c r="O182" i="7"/>
  <c r="R182" i="7"/>
  <c r="B183" i="7"/>
  <c r="D183" i="7"/>
  <c r="F183" i="7"/>
  <c r="H183" i="7"/>
  <c r="K183" i="7"/>
  <c r="A183" i="7" s="1"/>
  <c r="L183" i="7"/>
  <c r="M183" i="7"/>
  <c r="N183" i="7"/>
  <c r="O183" i="7"/>
  <c r="Q183" i="7"/>
  <c r="R183" i="7"/>
  <c r="K184" i="7"/>
  <c r="A184" i="7" s="1"/>
  <c r="M184" i="7"/>
  <c r="O184" i="7"/>
  <c r="R184" i="7"/>
  <c r="B185" i="7"/>
  <c r="D185" i="7"/>
  <c r="F185" i="7"/>
  <c r="H185" i="7"/>
  <c r="K185" i="7"/>
  <c r="A185" i="7" s="1"/>
  <c r="L185" i="7"/>
  <c r="M185" i="7"/>
  <c r="N185" i="7"/>
  <c r="O185" i="7"/>
  <c r="Q185" i="7"/>
  <c r="R185" i="7"/>
  <c r="K186" i="7"/>
  <c r="A186" i="7" s="1"/>
  <c r="M186" i="7"/>
  <c r="O186" i="7"/>
  <c r="R186" i="7"/>
  <c r="B187" i="7"/>
  <c r="D187" i="7"/>
  <c r="F187" i="7"/>
  <c r="H187" i="7"/>
  <c r="K187" i="7"/>
  <c r="A187" i="7" s="1"/>
  <c r="L187" i="7"/>
  <c r="M187" i="7"/>
  <c r="N187" i="7"/>
  <c r="O187" i="7"/>
  <c r="Q187" i="7"/>
  <c r="R187" i="7"/>
  <c r="K188" i="7"/>
  <c r="A188" i="7" s="1"/>
  <c r="M188" i="7"/>
  <c r="O188" i="7"/>
  <c r="R188" i="7"/>
  <c r="B189" i="7"/>
  <c r="D189" i="7"/>
  <c r="F189" i="7"/>
  <c r="H189" i="7"/>
  <c r="K189" i="7"/>
  <c r="A189" i="7" s="1"/>
  <c r="L189" i="7"/>
  <c r="M189" i="7"/>
  <c r="N189" i="7"/>
  <c r="O189" i="7"/>
  <c r="Q189" i="7"/>
  <c r="R189" i="7"/>
  <c r="K190" i="7"/>
  <c r="A190" i="7" s="1"/>
  <c r="M190" i="7"/>
  <c r="O190" i="7"/>
  <c r="R190" i="7"/>
  <c r="B191" i="7"/>
  <c r="D191" i="7"/>
  <c r="F191" i="7"/>
  <c r="H191" i="7"/>
  <c r="K191" i="7"/>
  <c r="A191" i="7" s="1"/>
  <c r="L191" i="7"/>
  <c r="M191" i="7"/>
  <c r="N191" i="7"/>
  <c r="O191" i="7"/>
  <c r="Q191" i="7"/>
  <c r="R191" i="7"/>
  <c r="K192" i="7"/>
  <c r="A192" i="7" s="1"/>
  <c r="M192" i="7"/>
  <c r="O192" i="7"/>
  <c r="R192" i="7"/>
  <c r="B193" i="7"/>
  <c r="D193" i="7"/>
  <c r="F193" i="7"/>
  <c r="H193" i="7"/>
  <c r="K193" i="7"/>
  <c r="A193" i="7" s="1"/>
  <c r="L193" i="7"/>
  <c r="M193" i="7"/>
  <c r="N193" i="7"/>
  <c r="O193" i="7"/>
  <c r="Q193" i="7"/>
  <c r="R193" i="7"/>
  <c r="K194" i="7"/>
  <c r="A194" i="7" s="1"/>
  <c r="M194" i="7"/>
  <c r="O194" i="7"/>
  <c r="R194" i="7"/>
  <c r="B195" i="7"/>
  <c r="D195" i="7"/>
  <c r="F195" i="7"/>
  <c r="H195" i="7"/>
  <c r="K195" i="7"/>
  <c r="A195" i="7" s="1"/>
  <c r="L195" i="7"/>
  <c r="M195" i="7"/>
  <c r="N195" i="7"/>
  <c r="O195" i="7"/>
  <c r="Q195" i="7"/>
  <c r="R195" i="7"/>
  <c r="K196" i="7"/>
  <c r="A196" i="7" s="1"/>
  <c r="M196" i="7"/>
  <c r="O196" i="7"/>
  <c r="R196" i="7"/>
  <c r="B197" i="7"/>
  <c r="D197" i="7"/>
  <c r="F197" i="7"/>
  <c r="H197" i="7"/>
  <c r="K197" i="7"/>
  <c r="A197" i="7" s="1"/>
  <c r="L197" i="7"/>
  <c r="M197" i="7"/>
  <c r="N197" i="7"/>
  <c r="O197" i="7"/>
  <c r="Q197" i="7"/>
  <c r="R197" i="7"/>
  <c r="K198" i="7"/>
  <c r="A198" i="7" s="1"/>
  <c r="M198" i="7"/>
  <c r="O198" i="7"/>
  <c r="R198" i="7"/>
  <c r="B199" i="7"/>
  <c r="D199" i="7"/>
  <c r="F199" i="7"/>
  <c r="H199" i="7"/>
  <c r="K199" i="7"/>
  <c r="A199" i="7" s="1"/>
  <c r="L199" i="7"/>
  <c r="M199" i="7"/>
  <c r="N199" i="7"/>
  <c r="O199" i="7"/>
  <c r="Q199" i="7"/>
  <c r="R199" i="7"/>
  <c r="K200" i="7"/>
  <c r="A200" i="7" s="1"/>
  <c r="M200" i="7"/>
  <c r="O200" i="7"/>
  <c r="R200" i="7"/>
  <c r="B201" i="7"/>
  <c r="D201" i="7"/>
  <c r="F201" i="7"/>
  <c r="H201" i="7"/>
  <c r="K201" i="7"/>
  <c r="A201" i="7" s="1"/>
  <c r="L201" i="7"/>
  <c r="M201" i="7"/>
  <c r="N201" i="7"/>
  <c r="O201" i="7"/>
  <c r="Q201" i="7"/>
  <c r="R201" i="7"/>
  <c r="K202" i="7"/>
  <c r="A202" i="7" s="1"/>
  <c r="M202" i="7"/>
  <c r="O202" i="7"/>
  <c r="R202" i="7"/>
  <c r="B203" i="7"/>
  <c r="D203" i="7"/>
  <c r="F203" i="7"/>
  <c r="H203" i="7"/>
  <c r="K203" i="7"/>
  <c r="A203" i="7" s="1"/>
  <c r="L203" i="7"/>
  <c r="M203" i="7"/>
  <c r="N203" i="7"/>
  <c r="O203" i="7"/>
  <c r="Q203" i="7"/>
  <c r="R203" i="7"/>
  <c r="K204" i="7"/>
  <c r="A204" i="7" s="1"/>
  <c r="M204" i="7"/>
  <c r="O204" i="7"/>
  <c r="R204" i="7"/>
  <c r="B205" i="7"/>
  <c r="D205" i="7"/>
  <c r="F205" i="7"/>
  <c r="H205" i="7"/>
  <c r="K205" i="7"/>
  <c r="A205" i="7" s="1"/>
  <c r="L205" i="7"/>
  <c r="M205" i="7"/>
  <c r="N205" i="7"/>
  <c r="O205" i="7"/>
  <c r="Q205" i="7"/>
  <c r="R205" i="7"/>
  <c r="K206" i="7"/>
  <c r="A206" i="7" s="1"/>
  <c r="M206" i="7"/>
  <c r="O206" i="7"/>
  <c r="R206" i="7"/>
  <c r="B207" i="7"/>
  <c r="D207" i="7"/>
  <c r="F207" i="7"/>
  <c r="H207" i="7"/>
  <c r="K207" i="7"/>
  <c r="A207" i="7" s="1"/>
  <c r="L207" i="7"/>
  <c r="M207" i="7"/>
  <c r="N207" i="7"/>
  <c r="O207" i="7"/>
  <c r="Q207" i="7"/>
  <c r="R207" i="7"/>
  <c r="K208" i="7"/>
  <c r="A208" i="7" s="1"/>
  <c r="M208" i="7"/>
  <c r="O208" i="7"/>
  <c r="R208" i="7"/>
  <c r="B209" i="7"/>
  <c r="D209" i="7"/>
  <c r="F209" i="7"/>
  <c r="H209" i="7"/>
  <c r="K209" i="7"/>
  <c r="A209" i="7" s="1"/>
  <c r="L209" i="7"/>
  <c r="M209" i="7"/>
  <c r="N209" i="7"/>
  <c r="O209" i="7"/>
  <c r="Q209" i="7"/>
  <c r="R209" i="7"/>
  <c r="K210" i="7"/>
  <c r="A210" i="7" s="1"/>
  <c r="M210" i="7"/>
  <c r="O210" i="7"/>
  <c r="R210" i="7"/>
  <c r="B211" i="7"/>
  <c r="D211" i="7"/>
  <c r="F211" i="7"/>
  <c r="H211" i="7"/>
  <c r="K211" i="7"/>
  <c r="A211" i="7" s="1"/>
  <c r="L211" i="7"/>
  <c r="M211" i="7"/>
  <c r="N211" i="7"/>
  <c r="O211" i="7"/>
  <c r="Q211" i="7"/>
  <c r="R211" i="7"/>
  <c r="K212" i="7"/>
  <c r="A212" i="7" s="1"/>
  <c r="M212" i="7"/>
  <c r="O212" i="7"/>
  <c r="R212" i="7"/>
  <c r="B213" i="7"/>
  <c r="D213" i="7"/>
  <c r="F213" i="7"/>
  <c r="H213" i="7"/>
  <c r="K213" i="7"/>
  <c r="A213" i="7" s="1"/>
  <c r="L213" i="7"/>
  <c r="M213" i="7"/>
  <c r="N213" i="7"/>
  <c r="O213" i="7"/>
  <c r="Q213" i="7"/>
  <c r="R213" i="7"/>
  <c r="K214" i="7"/>
  <c r="A214" i="7" s="1"/>
  <c r="M214" i="7"/>
  <c r="O214" i="7"/>
  <c r="R214" i="7"/>
  <c r="B215" i="7"/>
  <c r="D215" i="7"/>
  <c r="F215" i="7"/>
  <c r="H215" i="7"/>
  <c r="K215" i="7"/>
  <c r="A215" i="7" s="1"/>
  <c r="L215" i="7"/>
  <c r="M215" i="7"/>
  <c r="N215" i="7"/>
  <c r="O215" i="7"/>
  <c r="Q215" i="7"/>
  <c r="R215" i="7"/>
  <c r="K216" i="7"/>
  <c r="A216" i="7" s="1"/>
  <c r="M216" i="7"/>
  <c r="O216" i="7"/>
  <c r="R216" i="7"/>
  <c r="B217" i="7"/>
  <c r="D217" i="7"/>
  <c r="F217" i="7"/>
  <c r="H217" i="7"/>
  <c r="K217" i="7"/>
  <c r="A217" i="7" s="1"/>
  <c r="L217" i="7"/>
  <c r="M217" i="7"/>
  <c r="N217" i="7"/>
  <c r="O217" i="7"/>
  <c r="Q217" i="7"/>
  <c r="R217" i="7"/>
  <c r="K218" i="7"/>
  <c r="C218" i="7" s="1"/>
  <c r="O218" i="7"/>
  <c r="B219" i="7"/>
  <c r="D219" i="7"/>
  <c r="F219" i="7"/>
  <c r="H219" i="7"/>
  <c r="K219" i="7"/>
  <c r="A219" i="7" s="1"/>
  <c r="L219" i="7"/>
  <c r="M219" i="7"/>
  <c r="N219" i="7"/>
  <c r="O219" i="7"/>
  <c r="Q219" i="7"/>
  <c r="R219" i="7"/>
  <c r="C220" i="7"/>
  <c r="G220" i="7"/>
  <c r="K220" i="7"/>
  <c r="M220" i="7"/>
  <c r="O220" i="7"/>
  <c r="R220" i="7"/>
  <c r="B221" i="7"/>
  <c r="D221" i="7"/>
  <c r="F221" i="7"/>
  <c r="H221" i="7"/>
  <c r="K221" i="7"/>
  <c r="A221" i="7" s="1"/>
  <c r="L221" i="7"/>
  <c r="M221" i="7"/>
  <c r="N221" i="7"/>
  <c r="O221" i="7"/>
  <c r="Q221" i="7"/>
  <c r="R221" i="7"/>
  <c r="K222" i="7"/>
  <c r="C222" i="7" s="1"/>
  <c r="O222" i="7"/>
  <c r="B223" i="7"/>
  <c r="D223" i="7"/>
  <c r="F223" i="7"/>
  <c r="H223" i="7"/>
  <c r="K223" i="7"/>
  <c r="A223" i="7" s="1"/>
  <c r="L223" i="7"/>
  <c r="M223" i="7"/>
  <c r="N223" i="7"/>
  <c r="O223" i="7"/>
  <c r="Q223" i="7"/>
  <c r="R223" i="7"/>
  <c r="C224" i="7"/>
  <c r="G224" i="7"/>
  <c r="K224" i="7"/>
  <c r="M224" i="7"/>
  <c r="O224" i="7"/>
  <c r="R224" i="7"/>
  <c r="B225" i="7"/>
  <c r="D225" i="7"/>
  <c r="F225" i="7"/>
  <c r="H225" i="7"/>
  <c r="K225" i="7"/>
  <c r="A225" i="7" s="1"/>
  <c r="L225" i="7"/>
  <c r="M225" i="7"/>
  <c r="N225" i="7"/>
  <c r="O225" i="7"/>
  <c r="Q225" i="7"/>
  <c r="R225" i="7"/>
  <c r="K226" i="7"/>
  <c r="C226" i="7" s="1"/>
  <c r="O226" i="7"/>
  <c r="B227" i="7"/>
  <c r="D227" i="7"/>
  <c r="F227" i="7"/>
  <c r="H227" i="7"/>
  <c r="K227" i="7"/>
  <c r="A227" i="7" s="1"/>
  <c r="L227" i="7"/>
  <c r="M227" i="7"/>
  <c r="N227" i="7"/>
  <c r="O227" i="7"/>
  <c r="Q227" i="7"/>
  <c r="R227" i="7"/>
  <c r="C228" i="7"/>
  <c r="G228" i="7"/>
  <c r="K228" i="7"/>
  <c r="M228" i="7"/>
  <c r="O228" i="7"/>
  <c r="R228" i="7"/>
  <c r="B229" i="7"/>
  <c r="D229" i="7"/>
  <c r="F229" i="7"/>
  <c r="H229" i="7"/>
  <c r="K229" i="7"/>
  <c r="A229" i="7" s="1"/>
  <c r="L229" i="7"/>
  <c r="M229" i="7"/>
  <c r="N229" i="7"/>
  <c r="O229" i="7"/>
  <c r="Q229" i="7"/>
  <c r="R229" i="7"/>
  <c r="K230" i="7"/>
  <c r="C230" i="7" s="1"/>
  <c r="O230" i="7"/>
  <c r="B231" i="7"/>
  <c r="D231" i="7"/>
  <c r="F231" i="7"/>
  <c r="H231" i="7"/>
  <c r="K231" i="7"/>
  <c r="A231" i="7" s="1"/>
  <c r="L231" i="7"/>
  <c r="M231" i="7"/>
  <c r="N231" i="7"/>
  <c r="O231" i="7"/>
  <c r="Q231" i="7"/>
  <c r="R231" i="7"/>
  <c r="C232" i="7"/>
  <c r="G232" i="7"/>
  <c r="K232" i="7"/>
  <c r="M232" i="7"/>
  <c r="O232" i="7"/>
  <c r="R232" i="7"/>
  <c r="B233" i="7"/>
  <c r="D233" i="7"/>
  <c r="F233" i="7"/>
  <c r="H233" i="7"/>
  <c r="K233" i="7"/>
  <c r="A233" i="7" s="1"/>
  <c r="L233" i="7"/>
  <c r="M233" i="7"/>
  <c r="N233" i="7"/>
  <c r="O233" i="7"/>
  <c r="Q233" i="7"/>
  <c r="R233" i="7"/>
  <c r="K234" i="7"/>
  <c r="C234" i="7" s="1"/>
  <c r="O234" i="7"/>
  <c r="B235" i="7"/>
  <c r="D235" i="7"/>
  <c r="F235" i="7"/>
  <c r="H235" i="7"/>
  <c r="K235" i="7"/>
  <c r="A235" i="7" s="1"/>
  <c r="L235" i="7"/>
  <c r="M235" i="7"/>
  <c r="N235" i="7"/>
  <c r="O235" i="7"/>
  <c r="Q235" i="7"/>
  <c r="R235" i="7"/>
  <c r="C236" i="7"/>
  <c r="G236" i="7"/>
  <c r="K236" i="7"/>
  <c r="M236" i="7"/>
  <c r="O236" i="7"/>
  <c r="R236" i="7"/>
  <c r="B237" i="7"/>
  <c r="D237" i="7"/>
  <c r="F237" i="7"/>
  <c r="H237" i="7"/>
  <c r="K237" i="7"/>
  <c r="A237" i="7" s="1"/>
  <c r="L237" i="7"/>
  <c r="M237" i="7"/>
  <c r="N237" i="7"/>
  <c r="O237" i="7"/>
  <c r="Q237" i="7"/>
  <c r="R237" i="7"/>
  <c r="K238" i="7"/>
  <c r="C238" i="7" s="1"/>
  <c r="O238" i="7"/>
  <c r="B239" i="7"/>
  <c r="D239" i="7"/>
  <c r="F239" i="7"/>
  <c r="H239" i="7"/>
  <c r="K239" i="7"/>
  <c r="A239" i="7" s="1"/>
  <c r="L239" i="7"/>
  <c r="M239" i="7"/>
  <c r="N239" i="7"/>
  <c r="O239" i="7"/>
  <c r="Q239" i="7"/>
  <c r="R239" i="7"/>
  <c r="C240" i="7"/>
  <c r="G240" i="7"/>
  <c r="K240" i="7"/>
  <c r="M240" i="7"/>
  <c r="O240" i="7"/>
  <c r="R240" i="7"/>
  <c r="B241" i="7"/>
  <c r="D241" i="7"/>
  <c r="F241" i="7"/>
  <c r="H241" i="7"/>
  <c r="K241" i="7"/>
  <c r="A241" i="7" s="1"/>
  <c r="L241" i="7"/>
  <c r="M241" i="7"/>
  <c r="N241" i="7"/>
  <c r="O241" i="7"/>
  <c r="Q241" i="7"/>
  <c r="R241" i="7"/>
  <c r="K242" i="7"/>
  <c r="C242" i="7" s="1"/>
  <c r="O242" i="7"/>
  <c r="B243" i="7"/>
  <c r="D243" i="7"/>
  <c r="F243" i="7"/>
  <c r="H243" i="7"/>
  <c r="K243" i="7"/>
  <c r="A243" i="7" s="1"/>
  <c r="L243" i="7"/>
  <c r="M243" i="7"/>
  <c r="N243" i="7"/>
  <c r="O243" i="7"/>
  <c r="Q243" i="7"/>
  <c r="R243" i="7"/>
  <c r="C244" i="7"/>
  <c r="G244" i="7"/>
  <c r="K244" i="7"/>
  <c r="M244" i="7"/>
  <c r="O244" i="7"/>
  <c r="R244" i="7"/>
  <c r="B245" i="7"/>
  <c r="D245" i="7"/>
  <c r="F245" i="7"/>
  <c r="H245" i="7"/>
  <c r="K245" i="7"/>
  <c r="A245" i="7" s="1"/>
  <c r="L245" i="7"/>
  <c r="M245" i="7"/>
  <c r="N245" i="7"/>
  <c r="O245" i="7"/>
  <c r="Q245" i="7"/>
  <c r="R245" i="7"/>
  <c r="K246" i="7"/>
  <c r="C246" i="7" s="1"/>
  <c r="O246" i="7"/>
  <c r="B247" i="7"/>
  <c r="D247" i="7"/>
  <c r="F247" i="7"/>
  <c r="H247" i="7"/>
  <c r="K247" i="7"/>
  <c r="A247" i="7" s="1"/>
  <c r="L247" i="7"/>
  <c r="M247" i="7"/>
  <c r="N247" i="7"/>
  <c r="O247" i="7"/>
  <c r="Q247" i="7"/>
  <c r="R247" i="7"/>
  <c r="C248" i="7"/>
  <c r="G248" i="7"/>
  <c r="K248" i="7"/>
  <c r="M248" i="7"/>
  <c r="O248" i="7"/>
  <c r="R248" i="7"/>
  <c r="B249" i="7"/>
  <c r="D249" i="7"/>
  <c r="F249" i="7"/>
  <c r="H249" i="7"/>
  <c r="K249" i="7"/>
  <c r="A249" i="7" s="1"/>
  <c r="L249" i="7"/>
  <c r="M249" i="7"/>
  <c r="N249" i="7"/>
  <c r="O249" i="7"/>
  <c r="Q249" i="7"/>
  <c r="R249" i="7"/>
  <c r="K250" i="7"/>
  <c r="C250" i="7" s="1"/>
  <c r="O250" i="7"/>
  <c r="B251" i="7"/>
  <c r="D251" i="7"/>
  <c r="F251" i="7"/>
  <c r="H251" i="7"/>
  <c r="K251" i="7"/>
  <c r="A251" i="7" s="1"/>
  <c r="L251" i="7"/>
  <c r="M251" i="7"/>
  <c r="N251" i="7"/>
  <c r="O251" i="7"/>
  <c r="Q251" i="7"/>
  <c r="R251" i="7"/>
  <c r="C252" i="7"/>
  <c r="G252" i="7"/>
  <c r="K252" i="7"/>
  <c r="M252" i="7"/>
  <c r="O252" i="7"/>
  <c r="R252" i="7"/>
  <c r="B253" i="7"/>
  <c r="D253" i="7"/>
  <c r="F253" i="7"/>
  <c r="H253" i="7"/>
  <c r="K253" i="7"/>
  <c r="A253" i="7" s="1"/>
  <c r="L253" i="7"/>
  <c r="M253" i="7"/>
  <c r="N253" i="7"/>
  <c r="O253" i="7"/>
  <c r="Q253" i="7"/>
  <c r="R253" i="7"/>
  <c r="K254" i="7"/>
  <c r="C254" i="7" s="1"/>
  <c r="O254" i="7"/>
  <c r="B255" i="7"/>
  <c r="D255" i="7"/>
  <c r="F255" i="7"/>
  <c r="H255" i="7"/>
  <c r="K255" i="7"/>
  <c r="A255" i="7" s="1"/>
  <c r="L255" i="7"/>
  <c r="M255" i="7"/>
  <c r="N255" i="7"/>
  <c r="O255" i="7"/>
  <c r="Q255" i="7"/>
  <c r="R255" i="7"/>
  <c r="C256" i="7"/>
  <c r="G256" i="7"/>
  <c r="K256" i="7"/>
  <c r="M256" i="7"/>
  <c r="O256" i="7"/>
  <c r="R256" i="7"/>
  <c r="B257" i="7"/>
  <c r="D257" i="7"/>
  <c r="F257" i="7"/>
  <c r="H257" i="7"/>
  <c r="K257" i="7"/>
  <c r="A257" i="7" s="1"/>
  <c r="L257" i="7"/>
  <c r="M257" i="7"/>
  <c r="N257" i="7"/>
  <c r="O257" i="7"/>
  <c r="Q257" i="7"/>
  <c r="R257" i="7"/>
  <c r="K258" i="7"/>
  <c r="C258" i="7" s="1"/>
  <c r="O258" i="7"/>
  <c r="B259" i="7"/>
  <c r="D259" i="7"/>
  <c r="F259" i="7"/>
  <c r="H259" i="7"/>
  <c r="K259" i="7"/>
  <c r="A259" i="7" s="1"/>
  <c r="L259" i="7"/>
  <c r="M259" i="7"/>
  <c r="N259" i="7"/>
  <c r="O259" i="7"/>
  <c r="Q259" i="7"/>
  <c r="R259" i="7"/>
  <c r="C260" i="7"/>
  <c r="G260" i="7"/>
  <c r="K260" i="7"/>
  <c r="M260" i="7"/>
  <c r="O260" i="7"/>
  <c r="R260" i="7"/>
  <c r="B261" i="7"/>
  <c r="D261" i="7"/>
  <c r="F261" i="7"/>
  <c r="H261" i="7"/>
  <c r="K261" i="7"/>
  <c r="A261" i="7" s="1"/>
  <c r="L261" i="7"/>
  <c r="M261" i="7"/>
  <c r="N261" i="7"/>
  <c r="O261" i="7"/>
  <c r="Q261" i="7"/>
  <c r="R261" i="7"/>
  <c r="K262" i="7"/>
  <c r="C262" i="7" s="1"/>
  <c r="O262" i="7"/>
  <c r="R262" i="7"/>
  <c r="B263" i="7"/>
  <c r="D263" i="7"/>
  <c r="F263" i="7"/>
  <c r="H263" i="7"/>
  <c r="K263" i="7"/>
  <c r="A263" i="7" s="1"/>
  <c r="L263" i="7"/>
  <c r="M263" i="7"/>
  <c r="N263" i="7"/>
  <c r="O263" i="7"/>
  <c r="Q263" i="7"/>
  <c r="R263" i="7"/>
  <c r="K264" i="7"/>
  <c r="A264" i="7" s="1"/>
  <c r="M264" i="7"/>
  <c r="O264" i="7"/>
  <c r="R264" i="7"/>
  <c r="B265" i="7"/>
  <c r="D265" i="7"/>
  <c r="F265" i="7"/>
  <c r="H265" i="7"/>
  <c r="K265" i="7"/>
  <c r="A265" i="7" s="1"/>
  <c r="L265" i="7"/>
  <c r="M265" i="7"/>
  <c r="N265" i="7"/>
  <c r="O265" i="7"/>
  <c r="Q265" i="7"/>
  <c r="R265" i="7"/>
  <c r="K266" i="7"/>
  <c r="A266" i="7" s="1"/>
  <c r="M266" i="7"/>
  <c r="O266" i="7"/>
  <c r="R266" i="7"/>
  <c r="B267" i="7"/>
  <c r="D267" i="7"/>
  <c r="F267" i="7"/>
  <c r="H267" i="7"/>
  <c r="K267" i="7"/>
  <c r="A267" i="7" s="1"/>
  <c r="L267" i="7"/>
  <c r="M267" i="7"/>
  <c r="N267" i="7"/>
  <c r="O267" i="7"/>
  <c r="Q267" i="7"/>
  <c r="R267" i="7"/>
  <c r="K268" i="7"/>
  <c r="A268" i="7" s="1"/>
  <c r="M268" i="7"/>
  <c r="O268" i="7"/>
  <c r="R268" i="7"/>
  <c r="B269" i="7"/>
  <c r="D269" i="7"/>
  <c r="F269" i="7"/>
  <c r="H269" i="7"/>
  <c r="K269" i="7"/>
  <c r="A269" i="7" s="1"/>
  <c r="L269" i="7"/>
  <c r="M269" i="7"/>
  <c r="N269" i="7"/>
  <c r="O269" i="7"/>
  <c r="Q269" i="7"/>
  <c r="R269" i="7"/>
  <c r="K270" i="7"/>
  <c r="A270" i="7" s="1"/>
  <c r="M270" i="7"/>
  <c r="O270" i="7"/>
  <c r="R270" i="7"/>
  <c r="B271" i="7"/>
  <c r="D271" i="7"/>
  <c r="F271" i="7"/>
  <c r="H271" i="7"/>
  <c r="K271" i="7"/>
  <c r="A271" i="7" s="1"/>
  <c r="L271" i="7"/>
  <c r="M271" i="7"/>
  <c r="N271" i="7"/>
  <c r="O271" i="7"/>
  <c r="Q271" i="7"/>
  <c r="R271" i="7"/>
  <c r="K272" i="7"/>
  <c r="A272" i="7" s="1"/>
  <c r="M272" i="7"/>
  <c r="O272" i="7"/>
  <c r="R272" i="7"/>
  <c r="B273" i="7"/>
  <c r="D273" i="7"/>
  <c r="F273" i="7"/>
  <c r="H273" i="7"/>
  <c r="K273" i="7"/>
  <c r="A273" i="7" s="1"/>
  <c r="L273" i="7"/>
  <c r="M273" i="7"/>
  <c r="N273" i="7"/>
  <c r="O273" i="7"/>
  <c r="Q273" i="7"/>
  <c r="R273" i="7"/>
  <c r="K274" i="7"/>
  <c r="A274" i="7" s="1"/>
  <c r="M274" i="7"/>
  <c r="O274" i="7"/>
  <c r="R274" i="7"/>
  <c r="B275" i="7"/>
  <c r="D275" i="7"/>
  <c r="F275" i="7"/>
  <c r="H275" i="7"/>
  <c r="K275" i="7"/>
  <c r="A275" i="7" s="1"/>
  <c r="L275" i="7"/>
  <c r="M275" i="7"/>
  <c r="N275" i="7"/>
  <c r="O275" i="7"/>
  <c r="Q275" i="7"/>
  <c r="R275" i="7"/>
  <c r="K276" i="7"/>
  <c r="A276" i="7" s="1"/>
  <c r="M276" i="7"/>
  <c r="O276" i="7"/>
  <c r="R276" i="7"/>
  <c r="B277" i="7"/>
  <c r="D277" i="7"/>
  <c r="F277" i="7"/>
  <c r="H277" i="7"/>
  <c r="K277" i="7"/>
  <c r="A277" i="7" s="1"/>
  <c r="L277" i="7"/>
  <c r="M277" i="7"/>
  <c r="N277" i="7"/>
  <c r="O277" i="7"/>
  <c r="Q277" i="7"/>
  <c r="R277" i="7"/>
  <c r="K278" i="7"/>
  <c r="A278" i="7" s="1"/>
  <c r="M278" i="7"/>
  <c r="O278" i="7"/>
  <c r="R278" i="7"/>
  <c r="B279" i="7"/>
  <c r="D279" i="7"/>
  <c r="F279" i="7"/>
  <c r="H279" i="7"/>
  <c r="K279" i="7"/>
  <c r="A279" i="7" s="1"/>
  <c r="L279" i="7"/>
  <c r="M279" i="7"/>
  <c r="N279" i="7"/>
  <c r="O279" i="7"/>
  <c r="Q279" i="7"/>
  <c r="R279" i="7"/>
  <c r="K280" i="7"/>
  <c r="A280" i="7" s="1"/>
  <c r="M280" i="7"/>
  <c r="O280" i="7"/>
  <c r="R280" i="7"/>
  <c r="B281" i="7"/>
  <c r="D281" i="7"/>
  <c r="F281" i="7"/>
  <c r="H281" i="7"/>
  <c r="K281" i="7"/>
  <c r="A281" i="7" s="1"/>
  <c r="L281" i="7"/>
  <c r="M281" i="7"/>
  <c r="N281" i="7"/>
  <c r="O281" i="7"/>
  <c r="Q281" i="7"/>
  <c r="R281" i="7"/>
  <c r="K282" i="7"/>
  <c r="A282" i="7" s="1"/>
  <c r="M282" i="7"/>
  <c r="O282" i="7"/>
  <c r="R282" i="7"/>
  <c r="B283" i="7"/>
  <c r="D283" i="7"/>
  <c r="F283" i="7"/>
  <c r="H283" i="7"/>
  <c r="K283" i="7"/>
  <c r="A283" i="7" s="1"/>
  <c r="L283" i="7"/>
  <c r="M283" i="7"/>
  <c r="N283" i="7"/>
  <c r="O283" i="7"/>
  <c r="Q283" i="7"/>
  <c r="R283" i="7"/>
  <c r="K284" i="7"/>
  <c r="A284" i="7" s="1"/>
  <c r="M284" i="7"/>
  <c r="O284" i="7"/>
  <c r="R284" i="7"/>
  <c r="B285" i="7"/>
  <c r="D285" i="7"/>
  <c r="F285" i="7"/>
  <c r="H285" i="7"/>
  <c r="K285" i="7"/>
  <c r="A285" i="7" s="1"/>
  <c r="L285" i="7"/>
  <c r="M285" i="7"/>
  <c r="N285" i="7"/>
  <c r="O285" i="7"/>
  <c r="Q285" i="7"/>
  <c r="R285" i="7"/>
  <c r="K286" i="7"/>
  <c r="A286" i="7" s="1"/>
  <c r="M286" i="7"/>
  <c r="O286" i="7"/>
  <c r="R286" i="7"/>
  <c r="B287" i="7"/>
  <c r="D287" i="7"/>
  <c r="F287" i="7"/>
  <c r="H287" i="7"/>
  <c r="K287" i="7"/>
  <c r="A287" i="7" s="1"/>
  <c r="L287" i="7"/>
  <c r="M287" i="7"/>
  <c r="N287" i="7"/>
  <c r="O287" i="7"/>
  <c r="Q287" i="7"/>
  <c r="R287" i="7"/>
  <c r="K288" i="7"/>
  <c r="A288" i="7" s="1"/>
  <c r="M288" i="7"/>
  <c r="O288" i="7"/>
  <c r="R288" i="7"/>
  <c r="B289" i="7"/>
  <c r="D289" i="7"/>
  <c r="F289" i="7"/>
  <c r="H289" i="7"/>
  <c r="K289" i="7"/>
  <c r="A289" i="7" s="1"/>
  <c r="L289" i="7"/>
  <c r="M289" i="7"/>
  <c r="N289" i="7"/>
  <c r="O289" i="7"/>
  <c r="Q289" i="7"/>
  <c r="R289" i="7"/>
  <c r="K290" i="7"/>
  <c r="A290" i="7" s="1"/>
  <c r="M290" i="7"/>
  <c r="O290" i="7"/>
  <c r="R290" i="7"/>
  <c r="B291" i="7"/>
  <c r="D291" i="7"/>
  <c r="F291" i="7"/>
  <c r="H291" i="7"/>
  <c r="K291" i="7"/>
  <c r="A291" i="7" s="1"/>
  <c r="L291" i="7"/>
  <c r="M291" i="7"/>
  <c r="N291" i="7"/>
  <c r="O291" i="7"/>
  <c r="Q291" i="7"/>
  <c r="R291" i="7"/>
  <c r="K292" i="7"/>
  <c r="A292" i="7" s="1"/>
  <c r="M292" i="7"/>
  <c r="O292" i="7"/>
  <c r="R292" i="7"/>
  <c r="B293" i="7"/>
  <c r="D293" i="7"/>
  <c r="F293" i="7"/>
  <c r="H293" i="7"/>
  <c r="K293" i="7"/>
  <c r="A293" i="7" s="1"/>
  <c r="L293" i="7"/>
  <c r="M293" i="7"/>
  <c r="N293" i="7"/>
  <c r="O293" i="7"/>
  <c r="Q293" i="7"/>
  <c r="R293" i="7"/>
  <c r="K294" i="7"/>
  <c r="A294" i="7" s="1"/>
  <c r="M294" i="7"/>
  <c r="O294" i="7"/>
  <c r="R294" i="7"/>
  <c r="B295" i="7"/>
  <c r="D295" i="7"/>
  <c r="F295" i="7"/>
  <c r="H295" i="7"/>
  <c r="K295" i="7"/>
  <c r="A295" i="7" s="1"/>
  <c r="L295" i="7"/>
  <c r="M295" i="7"/>
  <c r="N295" i="7"/>
  <c r="O295" i="7"/>
  <c r="Q295" i="7"/>
  <c r="R295" i="7"/>
  <c r="K296" i="7"/>
  <c r="A296" i="7" s="1"/>
  <c r="M296" i="7"/>
  <c r="O296" i="7"/>
  <c r="R296" i="7"/>
  <c r="B297" i="7"/>
  <c r="D297" i="7"/>
  <c r="F297" i="7"/>
  <c r="H297" i="7"/>
  <c r="K297" i="7"/>
  <c r="A297" i="7" s="1"/>
  <c r="L297" i="7"/>
  <c r="M297" i="7"/>
  <c r="N297" i="7"/>
  <c r="O297" i="7"/>
  <c r="Q297" i="7"/>
  <c r="R297" i="7"/>
  <c r="K298" i="7"/>
  <c r="A298" i="7" s="1"/>
  <c r="M298" i="7"/>
  <c r="O298" i="7"/>
  <c r="R298" i="7"/>
  <c r="B299" i="7"/>
  <c r="D299" i="7"/>
  <c r="F299" i="7"/>
  <c r="H299" i="7"/>
  <c r="K299" i="7"/>
  <c r="A299" i="7" s="1"/>
  <c r="L299" i="7"/>
  <c r="M299" i="7"/>
  <c r="N299" i="7"/>
  <c r="O299" i="7"/>
  <c r="Q299" i="7"/>
  <c r="R299" i="7"/>
  <c r="K300" i="7"/>
  <c r="A300" i="7" s="1"/>
  <c r="M300" i="7"/>
  <c r="O300" i="7"/>
  <c r="R300" i="7"/>
  <c r="B301" i="7"/>
  <c r="D301" i="7"/>
  <c r="F301" i="7"/>
  <c r="H301" i="7"/>
  <c r="K301" i="7"/>
  <c r="A301" i="7" s="1"/>
  <c r="L301" i="7"/>
  <c r="M301" i="7"/>
  <c r="N301" i="7"/>
  <c r="O301" i="7"/>
  <c r="Q301" i="7"/>
  <c r="R301" i="7"/>
  <c r="K302" i="7"/>
  <c r="A302" i="7" s="1"/>
  <c r="M302" i="7"/>
  <c r="O302" i="7"/>
  <c r="R302" i="7"/>
  <c r="B303" i="7"/>
  <c r="D303" i="7"/>
  <c r="F303" i="7"/>
  <c r="H303" i="7"/>
  <c r="K303" i="7"/>
  <c r="A303" i="7" s="1"/>
  <c r="L303" i="7"/>
  <c r="M303" i="7"/>
  <c r="N303" i="7"/>
  <c r="O303" i="7"/>
  <c r="Q303" i="7"/>
  <c r="R303" i="7"/>
  <c r="K304" i="7"/>
  <c r="A304" i="7" s="1"/>
  <c r="M304" i="7"/>
  <c r="O304" i="7"/>
  <c r="R304" i="7"/>
  <c r="B305" i="7"/>
  <c r="D305" i="7"/>
  <c r="F305" i="7"/>
  <c r="H305" i="7"/>
  <c r="K305" i="7"/>
  <c r="A305" i="7" s="1"/>
  <c r="L305" i="7"/>
  <c r="M305" i="7"/>
  <c r="N305" i="7"/>
  <c r="O305" i="7"/>
  <c r="Q305" i="7"/>
  <c r="R305" i="7"/>
  <c r="K306" i="7"/>
  <c r="A306" i="7" s="1"/>
  <c r="M306" i="7"/>
  <c r="O306" i="7"/>
  <c r="R306" i="7"/>
  <c r="B307" i="7"/>
  <c r="D307" i="7"/>
  <c r="F307" i="7"/>
  <c r="H307" i="7"/>
  <c r="K307" i="7"/>
  <c r="A307" i="7" s="1"/>
  <c r="L307" i="7"/>
  <c r="M307" i="7"/>
  <c r="N307" i="7"/>
  <c r="O307" i="7"/>
  <c r="Q307" i="7"/>
  <c r="R307" i="7"/>
  <c r="K308" i="7"/>
  <c r="A308" i="7" s="1"/>
  <c r="M308" i="7"/>
  <c r="O308" i="7"/>
  <c r="R308" i="7"/>
  <c r="B309" i="7"/>
  <c r="D309" i="7"/>
  <c r="F309" i="7"/>
  <c r="H309" i="7"/>
  <c r="K309" i="7"/>
  <c r="A309" i="7" s="1"/>
  <c r="L309" i="7"/>
  <c r="M309" i="7"/>
  <c r="N309" i="7"/>
  <c r="O309" i="7"/>
  <c r="Q309" i="7"/>
  <c r="R309" i="7"/>
  <c r="K310" i="7"/>
  <c r="A310" i="7" s="1"/>
  <c r="M310" i="7"/>
  <c r="O310" i="7"/>
  <c r="R310" i="7"/>
  <c r="B311" i="7"/>
  <c r="D311" i="7"/>
  <c r="F311" i="7"/>
  <c r="H311" i="7"/>
  <c r="K311" i="7"/>
  <c r="A311" i="7" s="1"/>
  <c r="L311" i="7"/>
  <c r="M311" i="7"/>
  <c r="N311" i="7"/>
  <c r="O311" i="7"/>
  <c r="Q311" i="7"/>
  <c r="R311" i="7"/>
  <c r="K312" i="7"/>
  <c r="A312" i="7" s="1"/>
  <c r="M312" i="7"/>
  <c r="O312" i="7"/>
  <c r="R312" i="7"/>
  <c r="B313" i="7"/>
  <c r="D313" i="7"/>
  <c r="F313" i="7"/>
  <c r="H313" i="7"/>
  <c r="K313" i="7"/>
  <c r="A313" i="7" s="1"/>
  <c r="L313" i="7"/>
  <c r="M313" i="7"/>
  <c r="N313" i="7"/>
  <c r="O313" i="7"/>
  <c r="Q313" i="7"/>
  <c r="R313" i="7"/>
  <c r="K314" i="7"/>
  <c r="A314" i="7" s="1"/>
  <c r="M314" i="7"/>
  <c r="O314" i="7"/>
  <c r="R314" i="7"/>
  <c r="B315" i="7"/>
  <c r="D315" i="7"/>
  <c r="F315" i="7"/>
  <c r="H315" i="7"/>
  <c r="K315" i="7"/>
  <c r="A315" i="7" s="1"/>
  <c r="L315" i="7"/>
  <c r="M315" i="7"/>
  <c r="N315" i="7"/>
  <c r="O315" i="7"/>
  <c r="Q315" i="7"/>
  <c r="R315" i="7"/>
  <c r="K316" i="7"/>
  <c r="A316" i="7" s="1"/>
  <c r="M316" i="7"/>
  <c r="O316" i="7"/>
  <c r="R316" i="7"/>
  <c r="B317" i="7"/>
  <c r="D317" i="7"/>
  <c r="F317" i="7"/>
  <c r="H317" i="7"/>
  <c r="K317" i="7"/>
  <c r="A317" i="7" s="1"/>
  <c r="L317" i="7"/>
  <c r="M317" i="7"/>
  <c r="N317" i="7"/>
  <c r="O317" i="7"/>
  <c r="Q317" i="7"/>
  <c r="R317" i="7"/>
  <c r="K318" i="7"/>
  <c r="A318" i="7" s="1"/>
  <c r="M318" i="7"/>
  <c r="O318" i="7"/>
  <c r="R318" i="7"/>
  <c r="B319" i="7"/>
  <c r="D319" i="7"/>
  <c r="F319" i="7"/>
  <c r="H319" i="7"/>
  <c r="K319" i="7"/>
  <c r="A319" i="7" s="1"/>
  <c r="L319" i="7"/>
  <c r="M319" i="7"/>
  <c r="N319" i="7"/>
  <c r="O319" i="7"/>
  <c r="Q319" i="7"/>
  <c r="R319" i="7"/>
  <c r="K320" i="7"/>
  <c r="A320" i="7" s="1"/>
  <c r="M320" i="7"/>
  <c r="O320" i="7"/>
  <c r="R320" i="7"/>
  <c r="B321" i="7"/>
  <c r="D321" i="7"/>
  <c r="F321" i="7"/>
  <c r="H321" i="7"/>
  <c r="K321" i="7"/>
  <c r="A321" i="7" s="1"/>
  <c r="L321" i="7"/>
  <c r="M321" i="7"/>
  <c r="N321" i="7"/>
  <c r="O321" i="7"/>
  <c r="Q321" i="7"/>
  <c r="R321" i="7"/>
  <c r="K322" i="7"/>
  <c r="A322" i="7" s="1"/>
  <c r="M322" i="7"/>
  <c r="O322" i="7"/>
  <c r="R322" i="7"/>
  <c r="B323" i="7"/>
  <c r="D323" i="7"/>
  <c r="F323" i="7"/>
  <c r="H323" i="7"/>
  <c r="K323" i="7"/>
  <c r="A323" i="7" s="1"/>
  <c r="L323" i="7"/>
  <c r="M323" i="7"/>
  <c r="N323" i="7"/>
  <c r="O323" i="7"/>
  <c r="Q323" i="7"/>
  <c r="R323" i="7"/>
  <c r="K324" i="7"/>
  <c r="A324" i="7" s="1"/>
  <c r="M324" i="7"/>
  <c r="O324" i="7"/>
  <c r="R324" i="7"/>
  <c r="B325" i="7"/>
  <c r="D325" i="7"/>
  <c r="F325" i="7"/>
  <c r="H325" i="7"/>
  <c r="K325" i="7"/>
  <c r="A325" i="7" s="1"/>
  <c r="L325" i="7"/>
  <c r="M325" i="7"/>
  <c r="N325" i="7"/>
  <c r="O325" i="7"/>
  <c r="Q325" i="7"/>
  <c r="R325" i="7"/>
  <c r="K326" i="7"/>
  <c r="A326" i="7" s="1"/>
  <c r="M326" i="7"/>
  <c r="O326" i="7"/>
  <c r="R326" i="7"/>
  <c r="B327" i="7"/>
  <c r="D327" i="7"/>
  <c r="F327" i="7"/>
  <c r="H327" i="7"/>
  <c r="K327" i="7"/>
  <c r="A327" i="7" s="1"/>
  <c r="L327" i="7"/>
  <c r="M327" i="7"/>
  <c r="N327" i="7"/>
  <c r="O327" i="7"/>
  <c r="Q327" i="7"/>
  <c r="R327" i="7"/>
  <c r="K328" i="7"/>
  <c r="A328" i="7" s="1"/>
  <c r="M328" i="7"/>
  <c r="O328" i="7"/>
  <c r="R328" i="7"/>
  <c r="B329" i="7"/>
  <c r="D329" i="7"/>
  <c r="F329" i="7"/>
  <c r="H329" i="7"/>
  <c r="K329" i="7"/>
  <c r="A329" i="7" s="1"/>
  <c r="L329" i="7"/>
  <c r="M329" i="7"/>
  <c r="N329" i="7"/>
  <c r="O329" i="7"/>
  <c r="Q329" i="7"/>
  <c r="R329" i="7"/>
  <c r="K330" i="7"/>
  <c r="A330" i="7" s="1"/>
  <c r="M330" i="7"/>
  <c r="O330" i="7"/>
  <c r="R330" i="7"/>
  <c r="B331" i="7"/>
  <c r="D331" i="7"/>
  <c r="F331" i="7"/>
  <c r="H331" i="7"/>
  <c r="K331" i="7"/>
  <c r="A331" i="7" s="1"/>
  <c r="L331" i="7"/>
  <c r="M331" i="7"/>
  <c r="N331" i="7"/>
  <c r="O331" i="7"/>
  <c r="Q331" i="7"/>
  <c r="R331" i="7"/>
  <c r="K332" i="7"/>
  <c r="A332" i="7" s="1"/>
  <c r="M332" i="7"/>
  <c r="O332" i="7"/>
  <c r="R332" i="7"/>
  <c r="B333" i="7"/>
  <c r="D333" i="7"/>
  <c r="F333" i="7"/>
  <c r="H333" i="7"/>
  <c r="K333" i="7"/>
  <c r="A333" i="7" s="1"/>
  <c r="L333" i="7"/>
  <c r="M333" i="7"/>
  <c r="N333" i="7"/>
  <c r="O333" i="7"/>
  <c r="Q333" i="7"/>
  <c r="R333" i="7"/>
  <c r="G334" i="7"/>
  <c r="K334" i="7"/>
  <c r="M334" i="7"/>
  <c r="O334" i="7"/>
  <c r="R334" i="7"/>
  <c r="B335" i="7"/>
  <c r="D335" i="7"/>
  <c r="F335" i="7"/>
  <c r="H335" i="7"/>
  <c r="K335" i="7"/>
  <c r="A335" i="7" s="1"/>
  <c r="L335" i="7"/>
  <c r="M335" i="7"/>
  <c r="N335" i="7"/>
  <c r="O335" i="7"/>
  <c r="Q335" i="7"/>
  <c r="R335" i="7"/>
  <c r="K336" i="7"/>
  <c r="C336" i="7" s="1"/>
  <c r="O336" i="7"/>
  <c r="B337" i="7"/>
  <c r="D337" i="7"/>
  <c r="F337" i="7"/>
  <c r="H337" i="7"/>
  <c r="K337" i="7"/>
  <c r="A337" i="7" s="1"/>
  <c r="L337" i="7"/>
  <c r="M337" i="7"/>
  <c r="N337" i="7"/>
  <c r="O337" i="7"/>
  <c r="Q337" i="7"/>
  <c r="R337" i="7"/>
  <c r="C338" i="7"/>
  <c r="G338" i="7"/>
  <c r="K338" i="7"/>
  <c r="M338" i="7"/>
  <c r="O338" i="7"/>
  <c r="R338" i="7"/>
  <c r="B339" i="7"/>
  <c r="D339" i="7"/>
  <c r="F339" i="7"/>
  <c r="H339" i="7"/>
  <c r="K339" i="7"/>
  <c r="A339" i="7" s="1"/>
  <c r="L339" i="7"/>
  <c r="M339" i="7"/>
  <c r="N339" i="7"/>
  <c r="O339" i="7"/>
  <c r="Q339" i="7"/>
  <c r="R339" i="7"/>
  <c r="K340" i="7"/>
  <c r="C340" i="7" s="1"/>
  <c r="O340" i="7"/>
  <c r="R340" i="7"/>
  <c r="B341" i="7"/>
  <c r="D341" i="7"/>
  <c r="F341" i="7"/>
  <c r="H341" i="7"/>
  <c r="K341" i="7"/>
  <c r="A341" i="7" s="1"/>
  <c r="L341" i="7"/>
  <c r="M341" i="7"/>
  <c r="N341" i="7"/>
  <c r="O341" i="7"/>
  <c r="Q341" i="7"/>
  <c r="R341" i="7"/>
  <c r="K342" i="7"/>
  <c r="O342" i="7"/>
  <c r="B343" i="7"/>
  <c r="D343" i="7"/>
  <c r="F343" i="7"/>
  <c r="H343" i="7"/>
  <c r="K343" i="7"/>
  <c r="A343" i="7" s="1"/>
  <c r="L343" i="7"/>
  <c r="M343" i="7"/>
  <c r="N343" i="7"/>
  <c r="O343" i="7"/>
  <c r="Q343" i="7"/>
  <c r="R343" i="7"/>
  <c r="C344" i="7"/>
  <c r="G344" i="7"/>
  <c r="K344" i="7"/>
  <c r="M344" i="7"/>
  <c r="O344" i="7"/>
  <c r="R344" i="7"/>
  <c r="B345" i="7"/>
  <c r="D345" i="7"/>
  <c r="F345" i="7"/>
  <c r="H345" i="7"/>
  <c r="K345" i="7"/>
  <c r="A345" i="7" s="1"/>
  <c r="L345" i="7"/>
  <c r="M345" i="7"/>
  <c r="N345" i="7"/>
  <c r="O345" i="7"/>
  <c r="Q345" i="7"/>
  <c r="R345" i="7"/>
  <c r="K346" i="7"/>
  <c r="O346" i="7"/>
  <c r="B347" i="7"/>
  <c r="D347" i="7"/>
  <c r="F347" i="7"/>
  <c r="H347" i="7"/>
  <c r="K347" i="7"/>
  <c r="A347" i="7" s="1"/>
  <c r="L347" i="7"/>
  <c r="M347" i="7"/>
  <c r="N347" i="7"/>
  <c r="O347" i="7"/>
  <c r="Q347" i="7"/>
  <c r="R347" i="7"/>
  <c r="C348" i="7"/>
  <c r="G348" i="7"/>
  <c r="K348" i="7"/>
  <c r="M348" i="7"/>
  <c r="O348" i="7"/>
  <c r="R348" i="7"/>
  <c r="B349" i="7"/>
  <c r="D349" i="7"/>
  <c r="F349" i="7"/>
  <c r="H349" i="7"/>
  <c r="K349" i="7"/>
  <c r="A349" i="7" s="1"/>
  <c r="L349" i="7"/>
  <c r="M349" i="7"/>
  <c r="N349" i="7"/>
  <c r="O349" i="7"/>
  <c r="Q349" i="7"/>
  <c r="R349" i="7"/>
  <c r="K350" i="7"/>
  <c r="O350" i="7"/>
  <c r="B351" i="7"/>
  <c r="D351" i="7"/>
  <c r="F351" i="7"/>
  <c r="H351" i="7"/>
  <c r="K351" i="7"/>
  <c r="A351" i="7" s="1"/>
  <c r="L351" i="7"/>
  <c r="M351" i="7"/>
  <c r="N351" i="7"/>
  <c r="O351" i="7"/>
  <c r="Q351" i="7"/>
  <c r="R351" i="7"/>
  <c r="C352" i="7"/>
  <c r="G352" i="7"/>
  <c r="K352" i="7"/>
  <c r="M352" i="7"/>
  <c r="O352" i="7"/>
  <c r="R352" i="7"/>
  <c r="B353" i="7"/>
  <c r="D353" i="7"/>
  <c r="F353" i="7"/>
  <c r="H353" i="7"/>
  <c r="K353" i="7"/>
  <c r="A353" i="7" s="1"/>
  <c r="L353" i="7"/>
  <c r="M353" i="7"/>
  <c r="N353" i="7"/>
  <c r="O353" i="7"/>
  <c r="Q353" i="7"/>
  <c r="R353" i="7"/>
  <c r="K354" i="7"/>
  <c r="O354" i="7"/>
  <c r="B355" i="7"/>
  <c r="D355" i="7"/>
  <c r="F355" i="7"/>
  <c r="H355" i="7"/>
  <c r="K355" i="7"/>
  <c r="A355" i="7" s="1"/>
  <c r="L355" i="7"/>
  <c r="M355" i="7"/>
  <c r="N355" i="7"/>
  <c r="O355" i="7"/>
  <c r="Q355" i="7"/>
  <c r="R355" i="7"/>
  <c r="C356" i="7"/>
  <c r="G356" i="7"/>
  <c r="K356" i="7"/>
  <c r="M356" i="7"/>
  <c r="O356" i="7"/>
  <c r="R356" i="7"/>
  <c r="B357" i="7"/>
  <c r="D357" i="7"/>
  <c r="F357" i="7"/>
  <c r="H357" i="7"/>
  <c r="K357" i="7"/>
  <c r="A357" i="7" s="1"/>
  <c r="L357" i="7"/>
  <c r="M357" i="7"/>
  <c r="N357" i="7"/>
  <c r="O357" i="7"/>
  <c r="Q357" i="7"/>
  <c r="R357" i="7"/>
  <c r="K358" i="7"/>
  <c r="O358" i="7"/>
  <c r="B359" i="7"/>
  <c r="D359" i="7"/>
  <c r="F359" i="7"/>
  <c r="H359" i="7"/>
  <c r="K359" i="7"/>
  <c r="A359" i="7" s="1"/>
  <c r="L359" i="7"/>
  <c r="M359" i="7"/>
  <c r="N359" i="7"/>
  <c r="O359" i="7"/>
  <c r="Q359" i="7"/>
  <c r="R359" i="7"/>
  <c r="C360" i="7"/>
  <c r="G360" i="7"/>
  <c r="K360" i="7"/>
  <c r="M360" i="7"/>
  <c r="O360" i="7"/>
  <c r="R360" i="7"/>
  <c r="B361" i="7"/>
  <c r="D361" i="7"/>
  <c r="F361" i="7"/>
  <c r="H361" i="7"/>
  <c r="K361" i="7"/>
  <c r="A361" i="7" s="1"/>
  <c r="L361" i="7"/>
  <c r="M361" i="7"/>
  <c r="N361" i="7"/>
  <c r="O361" i="7"/>
  <c r="Q361" i="7"/>
  <c r="R361" i="7"/>
  <c r="K362" i="7"/>
  <c r="O362" i="7"/>
  <c r="B363" i="7"/>
  <c r="D363" i="7"/>
  <c r="F363" i="7"/>
  <c r="H363" i="7"/>
  <c r="K363" i="7"/>
  <c r="A363" i="7" s="1"/>
  <c r="L363" i="7"/>
  <c r="M363" i="7"/>
  <c r="N363" i="7"/>
  <c r="O363" i="7"/>
  <c r="Q363" i="7"/>
  <c r="R363" i="7"/>
  <c r="C364" i="7"/>
  <c r="G364" i="7"/>
  <c r="K364" i="7"/>
  <c r="M364" i="7"/>
  <c r="O364" i="7"/>
  <c r="R364" i="7"/>
  <c r="B365" i="7"/>
  <c r="D365" i="7"/>
  <c r="F365" i="7"/>
  <c r="H365" i="7"/>
  <c r="K365" i="7"/>
  <c r="A365" i="7" s="1"/>
  <c r="L365" i="7"/>
  <c r="M365" i="7"/>
  <c r="N365" i="7"/>
  <c r="O365" i="7"/>
  <c r="Q365" i="7"/>
  <c r="R365" i="7"/>
  <c r="K366" i="7"/>
  <c r="O366" i="7"/>
  <c r="B367" i="7"/>
  <c r="D367" i="7"/>
  <c r="F367" i="7"/>
  <c r="H367" i="7"/>
  <c r="K367" i="7"/>
  <c r="A367" i="7" s="1"/>
  <c r="L367" i="7"/>
  <c r="M367" i="7"/>
  <c r="N367" i="7"/>
  <c r="O367" i="7"/>
  <c r="Q367" i="7"/>
  <c r="R367" i="7"/>
  <c r="C368" i="7"/>
  <c r="G368" i="7"/>
  <c r="K368" i="7"/>
  <c r="M368" i="7"/>
  <c r="O368" i="7"/>
  <c r="R368" i="7"/>
  <c r="B369" i="7"/>
  <c r="D369" i="7"/>
  <c r="F369" i="7"/>
  <c r="H369" i="7"/>
  <c r="K369" i="7"/>
  <c r="A369" i="7" s="1"/>
  <c r="L369" i="7"/>
  <c r="M369" i="7"/>
  <c r="N369" i="7"/>
  <c r="O369" i="7"/>
  <c r="Q369" i="7"/>
  <c r="R369" i="7"/>
  <c r="K370" i="7"/>
  <c r="O370" i="7"/>
  <c r="B371" i="7"/>
  <c r="D371" i="7"/>
  <c r="F371" i="7"/>
  <c r="H371" i="7"/>
  <c r="K371" i="7"/>
  <c r="A371" i="7" s="1"/>
  <c r="L371" i="7"/>
  <c r="M371" i="7"/>
  <c r="N371" i="7"/>
  <c r="O371" i="7"/>
  <c r="Q371" i="7"/>
  <c r="R371" i="7"/>
  <c r="C372" i="7"/>
  <c r="G372" i="7"/>
  <c r="K372" i="7"/>
  <c r="M372" i="7"/>
  <c r="O372" i="7"/>
  <c r="R372" i="7"/>
  <c r="B373" i="7"/>
  <c r="D373" i="7"/>
  <c r="F373" i="7"/>
  <c r="H373" i="7"/>
  <c r="K373" i="7"/>
  <c r="A373" i="7" s="1"/>
  <c r="L373" i="7"/>
  <c r="M373" i="7"/>
  <c r="N373" i="7"/>
  <c r="O373" i="7"/>
  <c r="Q373" i="7"/>
  <c r="R373" i="7"/>
  <c r="K374" i="7"/>
  <c r="O374" i="7"/>
  <c r="B375" i="7"/>
  <c r="D375" i="7"/>
  <c r="F375" i="7"/>
  <c r="H375" i="7"/>
  <c r="K375" i="7"/>
  <c r="A375" i="7" s="1"/>
  <c r="L375" i="7"/>
  <c r="M375" i="7"/>
  <c r="N375" i="7"/>
  <c r="O375" i="7"/>
  <c r="Q375" i="7"/>
  <c r="R375" i="7"/>
  <c r="C376" i="7"/>
  <c r="G376" i="7"/>
  <c r="K376" i="7"/>
  <c r="M376" i="7"/>
  <c r="O376" i="7"/>
  <c r="R376" i="7"/>
  <c r="B377" i="7"/>
  <c r="D377" i="7"/>
  <c r="F377" i="7"/>
  <c r="H377" i="7"/>
  <c r="K377" i="7"/>
  <c r="A377" i="7" s="1"/>
  <c r="L377" i="7"/>
  <c r="M377" i="7"/>
  <c r="N377" i="7"/>
  <c r="O377" i="7"/>
  <c r="Q377" i="7"/>
  <c r="R377" i="7"/>
  <c r="K378" i="7"/>
  <c r="O378" i="7"/>
  <c r="B379" i="7"/>
  <c r="D379" i="7"/>
  <c r="F379" i="7"/>
  <c r="H379" i="7"/>
  <c r="K379" i="7"/>
  <c r="A379" i="7" s="1"/>
  <c r="L379" i="7"/>
  <c r="M379" i="7"/>
  <c r="N379" i="7"/>
  <c r="O379" i="7"/>
  <c r="Q379" i="7"/>
  <c r="R379" i="7"/>
  <c r="C380" i="7"/>
  <c r="G380" i="7"/>
  <c r="K380" i="7"/>
  <c r="M380" i="7"/>
  <c r="O380" i="7"/>
  <c r="R380" i="7"/>
  <c r="B381" i="7"/>
  <c r="D381" i="7"/>
  <c r="F381" i="7"/>
  <c r="H381" i="7"/>
  <c r="K381" i="7"/>
  <c r="A381" i="7" s="1"/>
  <c r="L381" i="7"/>
  <c r="M381" i="7"/>
  <c r="N381" i="7"/>
  <c r="O381" i="7"/>
  <c r="Q381" i="7"/>
  <c r="R381" i="7"/>
  <c r="K382" i="7"/>
  <c r="B382" i="7" s="1"/>
  <c r="M382" i="7"/>
  <c r="O382" i="7"/>
  <c r="R382" i="7"/>
  <c r="B383" i="7"/>
  <c r="D383" i="7"/>
  <c r="F383" i="7"/>
  <c r="H383" i="7"/>
  <c r="K383" i="7"/>
  <c r="A383" i="7" s="1"/>
  <c r="L383" i="7"/>
  <c r="M383" i="7"/>
  <c r="N383" i="7"/>
  <c r="O383" i="7"/>
  <c r="Q383" i="7"/>
  <c r="R383" i="7"/>
  <c r="K384" i="7"/>
  <c r="B384" i="7" s="1"/>
  <c r="M384" i="7"/>
  <c r="O384" i="7"/>
  <c r="R384" i="7"/>
  <c r="B385" i="7"/>
  <c r="D385" i="7"/>
  <c r="F385" i="7"/>
  <c r="H385" i="7"/>
  <c r="K385" i="7"/>
  <c r="A385" i="7" s="1"/>
  <c r="L385" i="7"/>
  <c r="M385" i="7"/>
  <c r="N385" i="7"/>
  <c r="O385" i="7"/>
  <c r="Q385" i="7"/>
  <c r="R385" i="7"/>
  <c r="K386" i="7"/>
  <c r="B386" i="7" s="1"/>
  <c r="M386" i="7"/>
  <c r="O386" i="7"/>
  <c r="R386" i="7"/>
  <c r="B387" i="7"/>
  <c r="D387" i="7"/>
  <c r="F387" i="7"/>
  <c r="H387" i="7"/>
  <c r="K387" i="7"/>
  <c r="A387" i="7" s="1"/>
  <c r="L387" i="7"/>
  <c r="M387" i="7"/>
  <c r="N387" i="7"/>
  <c r="O387" i="7"/>
  <c r="Q387" i="7"/>
  <c r="R387" i="7"/>
  <c r="K388" i="7"/>
  <c r="C388" i="7" s="1"/>
  <c r="O388" i="7"/>
  <c r="B389" i="7"/>
  <c r="D389" i="7"/>
  <c r="F389" i="7"/>
  <c r="H389" i="7"/>
  <c r="K389" i="7"/>
  <c r="A389" i="7" s="1"/>
  <c r="L389" i="7"/>
  <c r="M389" i="7"/>
  <c r="N389" i="7"/>
  <c r="O389" i="7"/>
  <c r="Q389" i="7"/>
  <c r="R389" i="7"/>
  <c r="C390" i="7"/>
  <c r="G390" i="7"/>
  <c r="K390" i="7"/>
  <c r="M390" i="7"/>
  <c r="O390" i="7"/>
  <c r="R390" i="7"/>
  <c r="B391" i="7"/>
  <c r="D391" i="7"/>
  <c r="F391" i="7"/>
  <c r="H391" i="7"/>
  <c r="K391" i="7"/>
  <c r="A391" i="7" s="1"/>
  <c r="L391" i="7"/>
  <c r="M391" i="7"/>
  <c r="N391" i="7"/>
  <c r="O391" i="7"/>
  <c r="Q391" i="7"/>
  <c r="R391" i="7"/>
  <c r="K392" i="7"/>
  <c r="C392" i="7" s="1"/>
  <c r="O392" i="7"/>
  <c r="B393" i="7"/>
  <c r="D393" i="7"/>
  <c r="F393" i="7"/>
  <c r="H393" i="7"/>
  <c r="K393" i="7"/>
  <c r="A393" i="7" s="1"/>
  <c r="L393" i="7"/>
  <c r="M393" i="7"/>
  <c r="N393" i="7"/>
  <c r="O393" i="7"/>
  <c r="Q393" i="7"/>
  <c r="R393" i="7"/>
  <c r="C394" i="7"/>
  <c r="G394" i="7"/>
  <c r="K394" i="7"/>
  <c r="M394" i="7"/>
  <c r="O394" i="7"/>
  <c r="R394" i="7"/>
  <c r="B395" i="7"/>
  <c r="D395" i="7"/>
  <c r="F395" i="7"/>
  <c r="H395" i="7"/>
  <c r="K395" i="7"/>
  <c r="A395" i="7" s="1"/>
  <c r="L395" i="7"/>
  <c r="M395" i="7"/>
  <c r="N395" i="7"/>
  <c r="O395" i="7"/>
  <c r="Q395" i="7"/>
  <c r="R395" i="7"/>
  <c r="K396" i="7"/>
  <c r="C396" i="7" s="1"/>
  <c r="O396" i="7"/>
  <c r="B397" i="7"/>
  <c r="D397" i="7"/>
  <c r="F397" i="7"/>
  <c r="H397" i="7"/>
  <c r="K397" i="7"/>
  <c r="A397" i="7" s="1"/>
  <c r="L397" i="7"/>
  <c r="M397" i="7"/>
  <c r="N397" i="7"/>
  <c r="O397" i="7"/>
  <c r="Q397" i="7"/>
  <c r="R397" i="7"/>
  <c r="C398" i="7"/>
  <c r="G398" i="7"/>
  <c r="K398" i="7"/>
  <c r="M398" i="7"/>
  <c r="O398" i="7"/>
  <c r="R398" i="7"/>
  <c r="B399" i="7"/>
  <c r="D399" i="7"/>
  <c r="F399" i="7"/>
  <c r="H399" i="7"/>
  <c r="K399" i="7"/>
  <c r="A399" i="7" s="1"/>
  <c r="L399" i="7"/>
  <c r="M399" i="7"/>
  <c r="N399" i="7"/>
  <c r="O399" i="7"/>
  <c r="Q399" i="7"/>
  <c r="R399" i="7"/>
  <c r="K400" i="7"/>
  <c r="C400" i="7" s="1"/>
  <c r="O400" i="7"/>
  <c r="B401" i="7"/>
  <c r="D401" i="7"/>
  <c r="F401" i="7"/>
  <c r="H401" i="7"/>
  <c r="K401" i="7"/>
  <c r="A401" i="7" s="1"/>
  <c r="L401" i="7"/>
  <c r="M401" i="7"/>
  <c r="N401" i="7"/>
  <c r="O401" i="7"/>
  <c r="Q401" i="7"/>
  <c r="R401" i="7"/>
  <c r="C402" i="7"/>
  <c r="G402" i="7"/>
  <c r="K402" i="7"/>
  <c r="M402" i="7"/>
  <c r="O402" i="7"/>
  <c r="R402" i="7"/>
  <c r="B403" i="7"/>
  <c r="D403" i="7"/>
  <c r="F403" i="7"/>
  <c r="H403" i="7"/>
  <c r="K403" i="7"/>
  <c r="A403" i="7" s="1"/>
  <c r="L403" i="7"/>
  <c r="M403" i="7"/>
  <c r="N403" i="7"/>
  <c r="O403" i="7"/>
  <c r="Q403" i="7"/>
  <c r="R403" i="7"/>
  <c r="K404" i="7"/>
  <c r="C404" i="7" s="1"/>
  <c r="O404" i="7"/>
  <c r="B405" i="7"/>
  <c r="D405" i="7"/>
  <c r="F405" i="7"/>
  <c r="H405" i="7"/>
  <c r="K405" i="7"/>
  <c r="A405" i="7" s="1"/>
  <c r="L405" i="7"/>
  <c r="M405" i="7"/>
  <c r="N405" i="7"/>
  <c r="O405" i="7"/>
  <c r="Q405" i="7"/>
  <c r="R405" i="7"/>
  <c r="C406" i="7"/>
  <c r="G406" i="7"/>
  <c r="K406" i="7"/>
  <c r="M406" i="7"/>
  <c r="O406" i="7"/>
  <c r="R406" i="7"/>
  <c r="B407" i="7"/>
  <c r="D407" i="7"/>
  <c r="F407" i="7"/>
  <c r="H407" i="7"/>
  <c r="K407" i="7"/>
  <c r="A407" i="7" s="1"/>
  <c r="L407" i="7"/>
  <c r="M407" i="7"/>
  <c r="N407" i="7"/>
  <c r="O407" i="7"/>
  <c r="Q407" i="7"/>
  <c r="R407" i="7"/>
  <c r="K408" i="7"/>
  <c r="C408" i="7" s="1"/>
  <c r="O408" i="7"/>
  <c r="B409" i="7"/>
  <c r="D409" i="7"/>
  <c r="F409" i="7"/>
  <c r="H409" i="7"/>
  <c r="K409" i="7"/>
  <c r="A409" i="7" s="1"/>
  <c r="L409" i="7"/>
  <c r="M409" i="7"/>
  <c r="N409" i="7"/>
  <c r="O409" i="7"/>
  <c r="Q409" i="7"/>
  <c r="R409" i="7"/>
  <c r="C410" i="7"/>
  <c r="G410" i="7"/>
  <c r="K410" i="7"/>
  <c r="M410" i="7"/>
  <c r="O410" i="7"/>
  <c r="R410" i="7"/>
  <c r="B411" i="7"/>
  <c r="D411" i="7"/>
  <c r="F411" i="7"/>
  <c r="H411" i="7"/>
  <c r="K411" i="7"/>
  <c r="A411" i="7" s="1"/>
  <c r="L411" i="7"/>
  <c r="M411" i="7"/>
  <c r="N411" i="7"/>
  <c r="O411" i="7"/>
  <c r="Q411" i="7"/>
  <c r="R411" i="7"/>
  <c r="K412" i="7"/>
  <c r="C412" i="7" s="1"/>
  <c r="O412" i="7"/>
  <c r="B413" i="7"/>
  <c r="D413" i="7"/>
  <c r="F413" i="7"/>
  <c r="H413" i="7"/>
  <c r="K413" i="7"/>
  <c r="A413" i="7" s="1"/>
  <c r="L413" i="7"/>
  <c r="M413" i="7"/>
  <c r="N413" i="7"/>
  <c r="O413" i="7"/>
  <c r="Q413" i="7"/>
  <c r="R413" i="7"/>
  <c r="C414" i="7"/>
  <c r="G414" i="7"/>
  <c r="K414" i="7"/>
  <c r="M414" i="7"/>
  <c r="O414" i="7"/>
  <c r="R414" i="7"/>
  <c r="B415" i="7"/>
  <c r="D415" i="7"/>
  <c r="F415" i="7"/>
  <c r="H415" i="7"/>
  <c r="K415" i="7"/>
  <c r="A415" i="7" s="1"/>
  <c r="L415" i="7"/>
  <c r="M415" i="7"/>
  <c r="N415" i="7"/>
  <c r="O415" i="7"/>
  <c r="Q415" i="7"/>
  <c r="R415" i="7"/>
  <c r="K416" i="7"/>
  <c r="C416" i="7" s="1"/>
  <c r="O416" i="7"/>
  <c r="B417" i="7"/>
  <c r="D417" i="7"/>
  <c r="F417" i="7"/>
  <c r="H417" i="7"/>
  <c r="K417" i="7"/>
  <c r="A417" i="7" s="1"/>
  <c r="L417" i="7"/>
  <c r="M417" i="7"/>
  <c r="N417" i="7"/>
  <c r="O417" i="7"/>
  <c r="Q417" i="7"/>
  <c r="R417" i="7"/>
  <c r="C418" i="7"/>
  <c r="G418" i="7"/>
  <c r="K418" i="7"/>
  <c r="M418" i="7"/>
  <c r="O418" i="7"/>
  <c r="R418" i="7"/>
  <c r="B419" i="7"/>
  <c r="D419" i="7"/>
  <c r="F419" i="7"/>
  <c r="H419" i="7"/>
  <c r="K419" i="7"/>
  <c r="A419" i="7" s="1"/>
  <c r="L419" i="7"/>
  <c r="M419" i="7"/>
  <c r="N419" i="7"/>
  <c r="O419" i="7"/>
  <c r="Q419" i="7"/>
  <c r="R419" i="7"/>
  <c r="K420" i="7"/>
  <c r="C420" i="7" s="1"/>
  <c r="O420" i="7"/>
  <c r="B421" i="7"/>
  <c r="D421" i="7"/>
  <c r="F421" i="7"/>
  <c r="H421" i="7"/>
  <c r="K421" i="7"/>
  <c r="A421" i="7" s="1"/>
  <c r="L421" i="7"/>
  <c r="M421" i="7"/>
  <c r="N421" i="7"/>
  <c r="O421" i="7"/>
  <c r="Q421" i="7"/>
  <c r="R421" i="7"/>
  <c r="K422" i="7"/>
  <c r="O422" i="7"/>
  <c r="B423" i="7"/>
  <c r="D423" i="7"/>
  <c r="F423" i="7"/>
  <c r="H423" i="7"/>
  <c r="K423" i="7"/>
  <c r="A423" i="7" s="1"/>
  <c r="L423" i="7"/>
  <c r="M423" i="7"/>
  <c r="N423" i="7"/>
  <c r="O423" i="7"/>
  <c r="Q423" i="7"/>
  <c r="R423" i="7"/>
  <c r="C424" i="7"/>
  <c r="G424" i="7"/>
  <c r="K424" i="7"/>
  <c r="M424" i="7"/>
  <c r="O424" i="7"/>
  <c r="R424" i="7"/>
  <c r="B425" i="7"/>
  <c r="D425" i="7"/>
  <c r="F425" i="7"/>
  <c r="H425" i="7"/>
  <c r="K425" i="7"/>
  <c r="A425" i="7" s="1"/>
  <c r="L425" i="7"/>
  <c r="M425" i="7"/>
  <c r="N425" i="7"/>
  <c r="O425" i="7"/>
  <c r="Q425" i="7"/>
  <c r="R425" i="7"/>
  <c r="K426" i="7"/>
  <c r="O426" i="7"/>
  <c r="B427" i="7"/>
  <c r="D427" i="7"/>
  <c r="F427" i="7"/>
  <c r="H427" i="7"/>
  <c r="K427" i="7"/>
  <c r="A427" i="7" s="1"/>
  <c r="L427" i="7"/>
  <c r="M427" i="7"/>
  <c r="N427" i="7"/>
  <c r="O427" i="7"/>
  <c r="Q427" i="7"/>
  <c r="R427" i="7"/>
  <c r="C428" i="7"/>
  <c r="G428" i="7"/>
  <c r="K428" i="7"/>
  <c r="M428" i="7"/>
  <c r="O428" i="7"/>
  <c r="R428" i="7"/>
  <c r="B429" i="7"/>
  <c r="D429" i="7"/>
  <c r="F429" i="7"/>
  <c r="H429" i="7"/>
  <c r="K429" i="7"/>
  <c r="A429" i="7" s="1"/>
  <c r="L429" i="7"/>
  <c r="M429" i="7"/>
  <c r="N429" i="7"/>
  <c r="O429" i="7"/>
  <c r="Q429" i="7"/>
  <c r="R429" i="7"/>
  <c r="K430" i="7"/>
  <c r="O430" i="7"/>
  <c r="K431" i="7"/>
  <c r="M431" i="7"/>
  <c r="O431" i="7"/>
  <c r="R431" i="7"/>
  <c r="B432" i="7"/>
  <c r="D432" i="7"/>
  <c r="F432" i="7"/>
  <c r="H432" i="7"/>
  <c r="K432" i="7"/>
  <c r="A432" i="7" s="1"/>
  <c r="L432" i="7"/>
  <c r="M432" i="7"/>
  <c r="N432" i="7"/>
  <c r="O432" i="7"/>
  <c r="Q432" i="7"/>
  <c r="R432" i="7"/>
  <c r="K433" i="7"/>
  <c r="B433" i="7" s="1"/>
  <c r="M433" i="7"/>
  <c r="O433" i="7"/>
  <c r="R433" i="7"/>
  <c r="B434" i="7"/>
  <c r="D434" i="7"/>
  <c r="F434" i="7"/>
  <c r="H434" i="7"/>
  <c r="K434" i="7"/>
  <c r="A434" i="7" s="1"/>
  <c r="L434" i="7"/>
  <c r="M434" i="7"/>
  <c r="N434" i="7"/>
  <c r="O434" i="7"/>
  <c r="Q434" i="7"/>
  <c r="R434" i="7"/>
  <c r="K435" i="7"/>
  <c r="B435" i="7" s="1"/>
  <c r="M435" i="7"/>
  <c r="O435" i="7"/>
  <c r="R435" i="7"/>
  <c r="B436" i="7"/>
  <c r="D436" i="7"/>
  <c r="F436" i="7"/>
  <c r="H436" i="7"/>
  <c r="K436" i="7"/>
  <c r="A436" i="7" s="1"/>
  <c r="L436" i="7"/>
  <c r="M436" i="7"/>
  <c r="N436" i="7"/>
  <c r="O436" i="7"/>
  <c r="Q436" i="7"/>
  <c r="R436" i="7"/>
  <c r="K437" i="7"/>
  <c r="B437" i="7" s="1"/>
  <c r="M437" i="7"/>
  <c r="O437" i="7"/>
  <c r="R437" i="7"/>
  <c r="B438" i="7"/>
  <c r="D438" i="7"/>
  <c r="F438" i="7"/>
  <c r="H438" i="7"/>
  <c r="K438" i="7"/>
  <c r="A438" i="7" s="1"/>
  <c r="L438" i="7"/>
  <c r="M438" i="7"/>
  <c r="N438" i="7"/>
  <c r="O438" i="7"/>
  <c r="Q438" i="7"/>
  <c r="R438" i="7"/>
  <c r="K439" i="7"/>
  <c r="B439" i="7" s="1"/>
  <c r="M439" i="7"/>
  <c r="O439" i="7"/>
  <c r="R439" i="7"/>
  <c r="B440" i="7"/>
  <c r="D440" i="7"/>
  <c r="F440" i="7"/>
  <c r="H440" i="7"/>
  <c r="K440" i="7"/>
  <c r="A440" i="7" s="1"/>
  <c r="L440" i="7"/>
  <c r="M440" i="7"/>
  <c r="N440" i="7"/>
  <c r="O440" i="7"/>
  <c r="Q440" i="7"/>
  <c r="R440" i="7"/>
  <c r="K441" i="7"/>
  <c r="B441" i="7" s="1"/>
  <c r="M441" i="7"/>
  <c r="O441" i="7"/>
  <c r="R441" i="7"/>
  <c r="B442" i="7"/>
  <c r="D442" i="7"/>
  <c r="F442" i="7"/>
  <c r="H442" i="7"/>
  <c r="K442" i="7"/>
  <c r="A442" i="7" s="1"/>
  <c r="L442" i="7"/>
  <c r="M442" i="7"/>
  <c r="N442" i="7"/>
  <c r="O442" i="7"/>
  <c r="Q442" i="7"/>
  <c r="R442" i="7"/>
  <c r="K443" i="7"/>
  <c r="B443" i="7" s="1"/>
  <c r="M443" i="7"/>
  <c r="O443" i="7"/>
  <c r="R443" i="7"/>
  <c r="B444" i="7"/>
  <c r="D444" i="7"/>
  <c r="F444" i="7"/>
  <c r="H444" i="7"/>
  <c r="K444" i="7"/>
  <c r="A444" i="7" s="1"/>
  <c r="L444" i="7"/>
  <c r="M444" i="7"/>
  <c r="N444" i="7"/>
  <c r="O444" i="7"/>
  <c r="Q444" i="7"/>
  <c r="R444" i="7"/>
  <c r="K445" i="7"/>
  <c r="B445" i="7" s="1"/>
  <c r="M445" i="7"/>
  <c r="O445" i="7"/>
  <c r="R445" i="7"/>
  <c r="B446" i="7"/>
  <c r="D446" i="7"/>
  <c r="F446" i="7"/>
  <c r="H446" i="7"/>
  <c r="K446" i="7"/>
  <c r="A446" i="7" s="1"/>
  <c r="L446" i="7"/>
  <c r="M446" i="7"/>
  <c r="N446" i="7"/>
  <c r="O446" i="7"/>
  <c r="Q446" i="7"/>
  <c r="R446" i="7"/>
  <c r="K447" i="7"/>
  <c r="B447" i="7" s="1"/>
  <c r="M447" i="7"/>
  <c r="O447" i="7"/>
  <c r="R447" i="7"/>
  <c r="B448" i="7"/>
  <c r="D448" i="7"/>
  <c r="F448" i="7"/>
  <c r="H448" i="7"/>
  <c r="K448" i="7"/>
  <c r="A448" i="7" s="1"/>
  <c r="L448" i="7"/>
  <c r="M448" i="7"/>
  <c r="N448" i="7"/>
  <c r="O448" i="7"/>
  <c r="Q448" i="7"/>
  <c r="R448" i="7"/>
  <c r="K449" i="7"/>
  <c r="B449" i="7" s="1"/>
  <c r="M449" i="7"/>
  <c r="O449" i="7"/>
  <c r="R449" i="7"/>
  <c r="B450" i="7"/>
  <c r="D450" i="7"/>
  <c r="F450" i="7"/>
  <c r="H450" i="7"/>
  <c r="K450" i="7"/>
  <c r="A450" i="7" s="1"/>
  <c r="L450" i="7"/>
  <c r="M450" i="7"/>
  <c r="N450" i="7"/>
  <c r="O450" i="7"/>
  <c r="Q450" i="7"/>
  <c r="R450" i="7"/>
  <c r="K451" i="7"/>
  <c r="B451" i="7" s="1"/>
  <c r="M451" i="7"/>
  <c r="O451" i="7"/>
  <c r="R451" i="7"/>
  <c r="B452" i="7"/>
  <c r="D452" i="7"/>
  <c r="F452" i="7"/>
  <c r="H452" i="7"/>
  <c r="K452" i="7"/>
  <c r="A452" i="7" s="1"/>
  <c r="L452" i="7"/>
  <c r="M452" i="7"/>
  <c r="N452" i="7"/>
  <c r="O452" i="7"/>
  <c r="Q452" i="7"/>
  <c r="R452" i="7"/>
  <c r="K453" i="7"/>
  <c r="B453" i="7" s="1"/>
  <c r="M453" i="7"/>
  <c r="O453" i="7"/>
  <c r="R453" i="7"/>
  <c r="B454" i="7"/>
  <c r="D454" i="7"/>
  <c r="F454" i="7"/>
  <c r="H454" i="7"/>
  <c r="K454" i="7"/>
  <c r="A454" i="7" s="1"/>
  <c r="L454" i="7"/>
  <c r="M454" i="7"/>
  <c r="N454" i="7"/>
  <c r="O454" i="7"/>
  <c r="Q454" i="7"/>
  <c r="R454" i="7"/>
  <c r="K455" i="7"/>
  <c r="B455" i="7" s="1"/>
  <c r="M455" i="7"/>
  <c r="O455" i="7"/>
  <c r="R455" i="7"/>
  <c r="B456" i="7"/>
  <c r="D456" i="7"/>
  <c r="F456" i="7"/>
  <c r="H456" i="7"/>
  <c r="K456" i="7"/>
  <c r="A456" i="7" s="1"/>
  <c r="L456" i="7"/>
  <c r="M456" i="7"/>
  <c r="N456" i="7"/>
  <c r="O456" i="7"/>
  <c r="Q456" i="7"/>
  <c r="R456" i="7"/>
  <c r="K457" i="7"/>
  <c r="B457" i="7" s="1"/>
  <c r="M457" i="7"/>
  <c r="O457" i="7"/>
  <c r="R457" i="7"/>
  <c r="B458" i="7"/>
  <c r="D458" i="7"/>
  <c r="F458" i="7"/>
  <c r="H458" i="7"/>
  <c r="K458" i="7"/>
  <c r="A458" i="7" s="1"/>
  <c r="L458" i="7"/>
  <c r="M458" i="7"/>
  <c r="N458" i="7"/>
  <c r="O458" i="7"/>
  <c r="Q458" i="7"/>
  <c r="R458" i="7"/>
  <c r="K459" i="7"/>
  <c r="B459" i="7" s="1"/>
  <c r="M459" i="7"/>
  <c r="O459" i="7"/>
  <c r="R459" i="7"/>
  <c r="B460" i="7"/>
  <c r="D460" i="7"/>
  <c r="F460" i="7"/>
  <c r="H460" i="7"/>
  <c r="K460" i="7"/>
  <c r="A460" i="7" s="1"/>
  <c r="L460" i="7"/>
  <c r="M460" i="7"/>
  <c r="N460" i="7"/>
  <c r="O460" i="7"/>
  <c r="Q460" i="7"/>
  <c r="R460" i="7"/>
  <c r="K461" i="7"/>
  <c r="B461" i="7" s="1"/>
  <c r="M461" i="7"/>
  <c r="O461" i="7"/>
  <c r="R461" i="7"/>
  <c r="B462" i="7"/>
  <c r="D462" i="7"/>
  <c r="F462" i="7"/>
  <c r="H462" i="7"/>
  <c r="K462" i="7"/>
  <c r="A462" i="7" s="1"/>
  <c r="L462" i="7"/>
  <c r="M462" i="7"/>
  <c r="N462" i="7"/>
  <c r="O462" i="7"/>
  <c r="Q462" i="7"/>
  <c r="R462" i="7"/>
  <c r="K463" i="7"/>
  <c r="B463" i="7" s="1"/>
  <c r="M463" i="7"/>
  <c r="O463" i="7"/>
  <c r="R463" i="7"/>
  <c r="B464" i="7"/>
  <c r="D464" i="7"/>
  <c r="F464" i="7"/>
  <c r="H464" i="7"/>
  <c r="K464" i="7"/>
  <c r="A464" i="7" s="1"/>
  <c r="L464" i="7"/>
  <c r="M464" i="7"/>
  <c r="N464" i="7"/>
  <c r="O464" i="7"/>
  <c r="Q464" i="7"/>
  <c r="R464" i="7"/>
  <c r="K465" i="7"/>
  <c r="B465" i="7" s="1"/>
  <c r="M465" i="7"/>
  <c r="O465" i="7"/>
  <c r="R465" i="7"/>
  <c r="B466" i="7"/>
  <c r="D466" i="7"/>
  <c r="F466" i="7"/>
  <c r="H466" i="7"/>
  <c r="K466" i="7"/>
  <c r="A466" i="7" s="1"/>
  <c r="L466" i="7"/>
  <c r="M466" i="7"/>
  <c r="N466" i="7"/>
  <c r="O466" i="7"/>
  <c r="Q466" i="7"/>
  <c r="R466" i="7"/>
  <c r="K467" i="7"/>
  <c r="B467" i="7" s="1"/>
  <c r="M467" i="7"/>
  <c r="O467" i="7"/>
  <c r="R467" i="7"/>
  <c r="B468" i="7"/>
  <c r="D468" i="7"/>
  <c r="F468" i="7"/>
  <c r="H468" i="7"/>
  <c r="K468" i="7"/>
  <c r="A468" i="7" s="1"/>
  <c r="L468" i="7"/>
  <c r="M468" i="7"/>
  <c r="N468" i="7"/>
  <c r="O468" i="7"/>
  <c r="Q468" i="7"/>
  <c r="R468" i="7"/>
  <c r="K469" i="7"/>
  <c r="B469" i="7" s="1"/>
  <c r="M469" i="7"/>
  <c r="O469" i="7"/>
  <c r="R469" i="7"/>
  <c r="B470" i="7"/>
  <c r="D470" i="7"/>
  <c r="F470" i="7"/>
  <c r="H470" i="7"/>
  <c r="K470" i="7"/>
  <c r="A470" i="7" s="1"/>
  <c r="L470" i="7"/>
  <c r="M470" i="7"/>
  <c r="N470" i="7"/>
  <c r="O470" i="7"/>
  <c r="Q470" i="7"/>
  <c r="R470" i="7"/>
  <c r="K471" i="7"/>
  <c r="B471" i="7" s="1"/>
  <c r="M471" i="7"/>
  <c r="O471" i="7"/>
  <c r="R471" i="7"/>
  <c r="B472" i="7"/>
  <c r="D472" i="7"/>
  <c r="F472" i="7"/>
  <c r="H472" i="7"/>
  <c r="K472" i="7"/>
  <c r="A472" i="7" s="1"/>
  <c r="L472" i="7"/>
  <c r="M472" i="7"/>
  <c r="N472" i="7"/>
  <c r="O472" i="7"/>
  <c r="Q472" i="7"/>
  <c r="R472" i="7"/>
  <c r="K473" i="7"/>
  <c r="B473" i="7" s="1"/>
  <c r="M473" i="7"/>
  <c r="O473" i="7"/>
  <c r="R473" i="7"/>
  <c r="B474" i="7"/>
  <c r="D474" i="7"/>
  <c r="F474" i="7"/>
  <c r="H474" i="7"/>
  <c r="K474" i="7"/>
  <c r="A474" i="7" s="1"/>
  <c r="L474" i="7"/>
  <c r="M474" i="7"/>
  <c r="N474" i="7"/>
  <c r="O474" i="7"/>
  <c r="Q474" i="7"/>
  <c r="R474" i="7"/>
  <c r="K475" i="7"/>
  <c r="B475" i="7" s="1"/>
  <c r="M475" i="7"/>
  <c r="O475" i="7"/>
  <c r="R475" i="7"/>
  <c r="B476" i="7"/>
  <c r="D476" i="7"/>
  <c r="F476" i="7"/>
  <c r="H476" i="7"/>
  <c r="K476" i="7"/>
  <c r="A476" i="7" s="1"/>
  <c r="L476" i="7"/>
  <c r="M476" i="7"/>
  <c r="N476" i="7"/>
  <c r="O476" i="7"/>
  <c r="Q476" i="7"/>
  <c r="R476" i="7"/>
  <c r="K477" i="7"/>
  <c r="B477" i="7" s="1"/>
  <c r="M477" i="7"/>
  <c r="O477" i="7"/>
  <c r="R477" i="7"/>
  <c r="B478" i="7"/>
  <c r="D478" i="7"/>
  <c r="F478" i="7"/>
  <c r="H478" i="7"/>
  <c r="K478" i="7"/>
  <c r="A478" i="7" s="1"/>
  <c r="L478" i="7"/>
  <c r="M478" i="7"/>
  <c r="N478" i="7"/>
  <c r="O478" i="7"/>
  <c r="Q478" i="7"/>
  <c r="R478" i="7"/>
  <c r="K479" i="7"/>
  <c r="B479" i="7" s="1"/>
  <c r="M479" i="7"/>
  <c r="O479" i="7"/>
  <c r="R479" i="7"/>
  <c r="B480" i="7"/>
  <c r="D480" i="7"/>
  <c r="F480" i="7"/>
  <c r="H480" i="7"/>
  <c r="K480" i="7"/>
  <c r="A480" i="7" s="1"/>
  <c r="L480" i="7"/>
  <c r="M480" i="7"/>
  <c r="N480" i="7"/>
  <c r="O480" i="7"/>
  <c r="Q480" i="7"/>
  <c r="R480" i="7"/>
  <c r="K481" i="7"/>
  <c r="B481" i="7" s="1"/>
  <c r="M481" i="7"/>
  <c r="O481" i="7"/>
  <c r="R481" i="7"/>
  <c r="B482" i="7"/>
  <c r="D482" i="7"/>
  <c r="F482" i="7"/>
  <c r="H482" i="7"/>
  <c r="K482" i="7"/>
  <c r="A482" i="7" s="1"/>
  <c r="L482" i="7"/>
  <c r="M482" i="7"/>
  <c r="N482" i="7"/>
  <c r="O482" i="7"/>
  <c r="Q482" i="7"/>
  <c r="R482" i="7"/>
  <c r="K483" i="7"/>
  <c r="B483" i="7" s="1"/>
  <c r="M483" i="7"/>
  <c r="O483" i="7"/>
  <c r="R483" i="7"/>
  <c r="B484" i="7"/>
  <c r="D484" i="7"/>
  <c r="F484" i="7"/>
  <c r="H484" i="7"/>
  <c r="K484" i="7"/>
  <c r="A484" i="7" s="1"/>
  <c r="L484" i="7"/>
  <c r="M484" i="7"/>
  <c r="N484" i="7"/>
  <c r="O484" i="7"/>
  <c r="Q484" i="7"/>
  <c r="R484" i="7"/>
  <c r="K485" i="7"/>
  <c r="B485" i="7" s="1"/>
  <c r="M485" i="7"/>
  <c r="O485" i="7"/>
  <c r="R485" i="7"/>
  <c r="B486" i="7"/>
  <c r="D486" i="7"/>
  <c r="F486" i="7"/>
  <c r="H486" i="7"/>
  <c r="K486" i="7"/>
  <c r="A486" i="7" s="1"/>
  <c r="L486" i="7"/>
  <c r="M486" i="7"/>
  <c r="N486" i="7"/>
  <c r="O486" i="7"/>
  <c r="Q486" i="7"/>
  <c r="R486" i="7"/>
  <c r="K487" i="7"/>
  <c r="B487" i="7" s="1"/>
  <c r="M487" i="7"/>
  <c r="O487" i="7"/>
  <c r="R487" i="7"/>
  <c r="B488" i="7"/>
  <c r="D488" i="7"/>
  <c r="F488" i="7"/>
  <c r="H488" i="7"/>
  <c r="K488" i="7"/>
  <c r="A488" i="7" s="1"/>
  <c r="L488" i="7"/>
  <c r="M488" i="7"/>
  <c r="N488" i="7"/>
  <c r="O488" i="7"/>
  <c r="Q488" i="7"/>
  <c r="R488" i="7"/>
  <c r="K489" i="7"/>
  <c r="B489" i="7" s="1"/>
  <c r="M489" i="7"/>
  <c r="O489" i="7"/>
  <c r="R489" i="7"/>
  <c r="B490" i="7"/>
  <c r="D490" i="7"/>
  <c r="F490" i="7"/>
  <c r="H490" i="7"/>
  <c r="K490" i="7"/>
  <c r="A490" i="7" s="1"/>
  <c r="L490" i="7"/>
  <c r="M490" i="7"/>
  <c r="N490" i="7"/>
  <c r="O490" i="7"/>
  <c r="Q490" i="7"/>
  <c r="R490" i="7"/>
  <c r="K491" i="7"/>
  <c r="B491" i="7" s="1"/>
  <c r="M491" i="7"/>
  <c r="O491" i="7"/>
  <c r="R491" i="7"/>
  <c r="B492" i="7"/>
  <c r="D492" i="7"/>
  <c r="F492" i="7"/>
  <c r="H492" i="7"/>
  <c r="K492" i="7"/>
  <c r="A492" i="7" s="1"/>
  <c r="L492" i="7"/>
  <c r="M492" i="7"/>
  <c r="N492" i="7"/>
  <c r="O492" i="7"/>
  <c r="Q492" i="7"/>
  <c r="R492" i="7"/>
  <c r="K493" i="7"/>
  <c r="B493" i="7" s="1"/>
  <c r="M493" i="7"/>
  <c r="O493" i="7"/>
  <c r="R493" i="7"/>
  <c r="B494" i="7"/>
  <c r="D494" i="7"/>
  <c r="F494" i="7"/>
  <c r="H494" i="7"/>
  <c r="K494" i="7"/>
  <c r="A494" i="7" s="1"/>
  <c r="L494" i="7"/>
  <c r="M494" i="7"/>
  <c r="N494" i="7"/>
  <c r="O494" i="7"/>
  <c r="Q494" i="7"/>
  <c r="R494" i="7"/>
  <c r="K495" i="7"/>
  <c r="B495" i="7" s="1"/>
  <c r="M495" i="7"/>
  <c r="O495" i="7"/>
  <c r="R495" i="7"/>
  <c r="B496" i="7"/>
  <c r="D496" i="7"/>
  <c r="F496" i="7"/>
  <c r="H496" i="7"/>
  <c r="K496" i="7"/>
  <c r="A496" i="7" s="1"/>
  <c r="L496" i="7"/>
  <c r="M496" i="7"/>
  <c r="N496" i="7"/>
  <c r="O496" i="7"/>
  <c r="Q496" i="7"/>
  <c r="R496" i="7"/>
  <c r="K497" i="7"/>
  <c r="B497" i="7" s="1"/>
  <c r="M497" i="7"/>
  <c r="O497" i="7"/>
  <c r="R497" i="7"/>
  <c r="B498" i="7"/>
  <c r="D498" i="7"/>
  <c r="F498" i="7"/>
  <c r="H498" i="7"/>
  <c r="K498" i="7"/>
  <c r="A498" i="7" s="1"/>
  <c r="L498" i="7"/>
  <c r="M498" i="7"/>
  <c r="N498" i="7"/>
  <c r="O498" i="7"/>
  <c r="Q498" i="7"/>
  <c r="R498" i="7"/>
  <c r="K499" i="7"/>
  <c r="B499" i="7" s="1"/>
  <c r="M499" i="7"/>
  <c r="O499" i="7"/>
  <c r="R499" i="7"/>
  <c r="B500" i="7"/>
  <c r="D500" i="7"/>
  <c r="F500" i="7"/>
  <c r="H500" i="7"/>
  <c r="K500" i="7"/>
  <c r="A500" i="7" s="1"/>
  <c r="L500" i="7"/>
  <c r="M500" i="7"/>
  <c r="N500" i="7"/>
  <c r="O500" i="7"/>
  <c r="Q500" i="7"/>
  <c r="R500" i="7"/>
  <c r="C501" i="7"/>
  <c r="G501" i="7"/>
  <c r="K501" i="7"/>
  <c r="M501" i="7"/>
  <c r="O501" i="7"/>
  <c r="R501" i="7"/>
  <c r="B502" i="7"/>
  <c r="D502" i="7"/>
  <c r="F502" i="7"/>
  <c r="H502" i="7"/>
  <c r="K502" i="7"/>
  <c r="A502" i="7" s="1"/>
  <c r="L502" i="7"/>
  <c r="M502" i="7"/>
  <c r="N502" i="7"/>
  <c r="O502" i="7"/>
  <c r="Q502" i="7"/>
  <c r="R502" i="7"/>
  <c r="K503" i="7"/>
  <c r="O503" i="7"/>
  <c r="B504" i="7"/>
  <c r="D504" i="7"/>
  <c r="F504" i="7"/>
  <c r="H504" i="7"/>
  <c r="K504" i="7"/>
  <c r="A504" i="7" s="1"/>
  <c r="L504" i="7"/>
  <c r="M504" i="7"/>
  <c r="N504" i="7"/>
  <c r="O504" i="7"/>
  <c r="Q504" i="7"/>
  <c r="R504" i="7"/>
  <c r="C505" i="7"/>
  <c r="G505" i="7"/>
  <c r="K505" i="7"/>
  <c r="M505" i="7"/>
  <c r="O505" i="7"/>
  <c r="R505" i="7"/>
  <c r="B506" i="7"/>
  <c r="D506" i="7"/>
  <c r="F506" i="7"/>
  <c r="H506" i="7"/>
  <c r="K506" i="7"/>
  <c r="A506" i="7" s="1"/>
  <c r="L506" i="7"/>
  <c r="M506" i="7"/>
  <c r="N506" i="7"/>
  <c r="O506" i="7"/>
  <c r="Q506" i="7"/>
  <c r="R506" i="7"/>
  <c r="K507" i="7"/>
  <c r="O507" i="7"/>
  <c r="B508" i="7"/>
  <c r="D508" i="7"/>
  <c r="F508" i="7"/>
  <c r="H508" i="7"/>
  <c r="K508" i="7"/>
  <c r="A508" i="7" s="1"/>
  <c r="L508" i="7"/>
  <c r="M508" i="7"/>
  <c r="N508" i="7"/>
  <c r="O508" i="7"/>
  <c r="Q508" i="7"/>
  <c r="R508" i="7"/>
  <c r="C509" i="7"/>
  <c r="G509" i="7"/>
  <c r="K509" i="7"/>
  <c r="M509" i="7"/>
  <c r="O509" i="7"/>
  <c r="R509" i="7"/>
  <c r="B510" i="7"/>
  <c r="D510" i="7"/>
  <c r="F510" i="7"/>
  <c r="H510" i="7"/>
  <c r="K510" i="7"/>
  <c r="A510" i="7" s="1"/>
  <c r="L510" i="7"/>
  <c r="M510" i="7"/>
  <c r="N510" i="7"/>
  <c r="O510" i="7"/>
  <c r="Q510" i="7"/>
  <c r="R510" i="7"/>
  <c r="K511" i="7"/>
  <c r="O511" i="7"/>
  <c r="B512" i="7"/>
  <c r="D512" i="7"/>
  <c r="F512" i="7"/>
  <c r="H512" i="7"/>
  <c r="K512" i="7"/>
  <c r="A512" i="7" s="1"/>
  <c r="L512" i="7"/>
  <c r="M512" i="7"/>
  <c r="N512" i="7"/>
  <c r="O512" i="7"/>
  <c r="Q512" i="7"/>
  <c r="R512" i="7"/>
  <c r="C513" i="7"/>
  <c r="G513" i="7"/>
  <c r="K513" i="7"/>
  <c r="M513" i="7"/>
  <c r="O513" i="7"/>
  <c r="R513" i="7"/>
  <c r="B514" i="7"/>
  <c r="D514" i="7"/>
  <c r="F514" i="7"/>
  <c r="H514" i="7"/>
  <c r="K514" i="7"/>
  <c r="A514" i="7" s="1"/>
  <c r="L514" i="7"/>
  <c r="M514" i="7"/>
  <c r="N514" i="7"/>
  <c r="O514" i="7"/>
  <c r="Q514" i="7"/>
  <c r="R514" i="7"/>
  <c r="K515" i="7"/>
  <c r="O515" i="7"/>
  <c r="B516" i="7"/>
  <c r="D516" i="7"/>
  <c r="F516" i="7"/>
  <c r="H516" i="7"/>
  <c r="K516" i="7"/>
  <c r="A516" i="7" s="1"/>
  <c r="L516" i="7"/>
  <c r="M516" i="7"/>
  <c r="N516" i="7"/>
  <c r="O516" i="7"/>
  <c r="Q516" i="7"/>
  <c r="R516" i="7"/>
  <c r="C517" i="7"/>
  <c r="G517" i="7"/>
  <c r="K517" i="7"/>
  <c r="M517" i="7"/>
  <c r="O517" i="7"/>
  <c r="R517" i="7"/>
  <c r="B518" i="7"/>
  <c r="D518" i="7"/>
  <c r="F518" i="7"/>
  <c r="H518" i="7"/>
  <c r="K518" i="7"/>
  <c r="A518" i="7" s="1"/>
  <c r="L518" i="7"/>
  <c r="M518" i="7"/>
  <c r="N518" i="7"/>
  <c r="O518" i="7"/>
  <c r="Q518" i="7"/>
  <c r="R518" i="7"/>
  <c r="K519" i="7"/>
  <c r="O519" i="7"/>
  <c r="B520" i="7"/>
  <c r="D520" i="7"/>
  <c r="F520" i="7"/>
  <c r="H520" i="7"/>
  <c r="K520" i="7"/>
  <c r="A520" i="7" s="1"/>
  <c r="L520" i="7"/>
  <c r="M520" i="7"/>
  <c r="N520" i="7"/>
  <c r="O520" i="7"/>
  <c r="Q520" i="7"/>
  <c r="R520" i="7"/>
  <c r="C521" i="7"/>
  <c r="G521" i="7"/>
  <c r="K521" i="7"/>
  <c r="M521" i="7"/>
  <c r="O521" i="7"/>
  <c r="R521" i="7"/>
  <c r="B522" i="7"/>
  <c r="D522" i="7"/>
  <c r="F522" i="7"/>
  <c r="H522" i="7"/>
  <c r="K522" i="7"/>
  <c r="A522" i="7" s="1"/>
  <c r="L522" i="7"/>
  <c r="M522" i="7"/>
  <c r="N522" i="7"/>
  <c r="O522" i="7"/>
  <c r="Q522" i="7"/>
  <c r="R522" i="7"/>
  <c r="K523" i="7"/>
  <c r="O523" i="7"/>
  <c r="B524" i="7"/>
  <c r="D524" i="7"/>
  <c r="F524" i="7"/>
  <c r="H524" i="7"/>
  <c r="K524" i="7"/>
  <c r="A524" i="7" s="1"/>
  <c r="L524" i="7"/>
  <c r="M524" i="7"/>
  <c r="N524" i="7"/>
  <c r="O524" i="7"/>
  <c r="Q524" i="7"/>
  <c r="R524" i="7"/>
  <c r="C525" i="7"/>
  <c r="G525" i="7"/>
  <c r="K525" i="7"/>
  <c r="M525" i="7"/>
  <c r="O525" i="7"/>
  <c r="R525" i="7"/>
  <c r="B526" i="7"/>
  <c r="D526" i="7"/>
  <c r="F526" i="7"/>
  <c r="H526" i="7"/>
  <c r="K526" i="7"/>
  <c r="A526" i="7" s="1"/>
  <c r="L526" i="7"/>
  <c r="M526" i="7"/>
  <c r="N526" i="7"/>
  <c r="O526" i="7"/>
  <c r="Q526" i="7"/>
  <c r="R526" i="7"/>
  <c r="K527" i="7"/>
  <c r="O527" i="7"/>
  <c r="B528" i="7"/>
  <c r="D528" i="7"/>
  <c r="F528" i="7"/>
  <c r="H528" i="7"/>
  <c r="K528" i="7"/>
  <c r="A528" i="7" s="1"/>
  <c r="L528" i="7"/>
  <c r="M528" i="7"/>
  <c r="N528" i="7"/>
  <c r="O528" i="7"/>
  <c r="Q528" i="7"/>
  <c r="R528" i="7"/>
  <c r="C529" i="7"/>
  <c r="G529" i="7"/>
  <c r="K529" i="7"/>
  <c r="M529" i="7"/>
  <c r="O529" i="7"/>
  <c r="R529" i="7"/>
  <c r="B530" i="7"/>
  <c r="D530" i="7"/>
  <c r="F530" i="7"/>
  <c r="H530" i="7"/>
  <c r="K530" i="7"/>
  <c r="A530" i="7" s="1"/>
  <c r="L530" i="7"/>
  <c r="M530" i="7"/>
  <c r="N530" i="7"/>
  <c r="O530" i="7"/>
  <c r="Q530" i="7"/>
  <c r="R530" i="7"/>
  <c r="K531" i="7"/>
  <c r="O531" i="7"/>
  <c r="B532" i="7"/>
  <c r="D532" i="7"/>
  <c r="F532" i="7"/>
  <c r="H532" i="7"/>
  <c r="K532" i="7"/>
  <c r="A532" i="7" s="1"/>
  <c r="L532" i="7"/>
  <c r="M532" i="7"/>
  <c r="N532" i="7"/>
  <c r="O532" i="7"/>
  <c r="Q532" i="7"/>
  <c r="R532" i="7"/>
  <c r="C533" i="7"/>
  <c r="G533" i="7"/>
  <c r="K533" i="7"/>
  <c r="M533" i="7"/>
  <c r="O533" i="7"/>
  <c r="R533" i="7"/>
  <c r="B534" i="7"/>
  <c r="D534" i="7"/>
  <c r="F534" i="7"/>
  <c r="H534" i="7"/>
  <c r="K534" i="7"/>
  <c r="A534" i="7" s="1"/>
  <c r="L534" i="7"/>
  <c r="M534" i="7"/>
  <c r="N534" i="7"/>
  <c r="O534" i="7"/>
  <c r="Q534" i="7"/>
  <c r="R534" i="7"/>
  <c r="K535" i="7"/>
  <c r="O535" i="7"/>
  <c r="B536" i="7"/>
  <c r="D536" i="7"/>
  <c r="F536" i="7"/>
  <c r="H536" i="7"/>
  <c r="K536" i="7"/>
  <c r="A536" i="7" s="1"/>
  <c r="L536" i="7"/>
  <c r="M536" i="7"/>
  <c r="N536" i="7"/>
  <c r="O536" i="7"/>
  <c r="Q536" i="7"/>
  <c r="R536" i="7"/>
  <c r="C537" i="7"/>
  <c r="G537" i="7"/>
  <c r="K537" i="7"/>
  <c r="M537" i="7"/>
  <c r="O537" i="7"/>
  <c r="R537" i="7"/>
  <c r="B538" i="7"/>
  <c r="D538" i="7"/>
  <c r="F538" i="7"/>
  <c r="H538" i="7"/>
  <c r="K538" i="7"/>
  <c r="A538" i="7" s="1"/>
  <c r="L538" i="7"/>
  <c r="M538" i="7"/>
  <c r="N538" i="7"/>
  <c r="O538" i="7"/>
  <c r="Q538" i="7"/>
  <c r="R538" i="7"/>
  <c r="K539" i="7"/>
  <c r="O539" i="7"/>
  <c r="B540" i="7"/>
  <c r="D540" i="7"/>
  <c r="F540" i="7"/>
  <c r="H540" i="7"/>
  <c r="K540" i="7"/>
  <c r="A540" i="7" s="1"/>
  <c r="L540" i="7"/>
  <c r="M540" i="7"/>
  <c r="N540" i="7"/>
  <c r="O540" i="7"/>
  <c r="Q540" i="7"/>
  <c r="R540" i="7"/>
  <c r="C541" i="7"/>
  <c r="G541" i="7"/>
  <c r="K541" i="7"/>
  <c r="M541" i="7"/>
  <c r="O541" i="7"/>
  <c r="R541" i="7"/>
  <c r="B542" i="7"/>
  <c r="D542" i="7"/>
  <c r="F542" i="7"/>
  <c r="H542" i="7"/>
  <c r="K542" i="7"/>
  <c r="A542" i="7" s="1"/>
  <c r="L542" i="7"/>
  <c r="M542" i="7"/>
  <c r="N542" i="7"/>
  <c r="O542" i="7"/>
  <c r="Q542" i="7"/>
  <c r="R542" i="7"/>
  <c r="K543" i="7"/>
  <c r="O543" i="7"/>
  <c r="B544" i="7"/>
  <c r="D544" i="7"/>
  <c r="F544" i="7"/>
  <c r="H544" i="7"/>
  <c r="K544" i="7"/>
  <c r="A544" i="7" s="1"/>
  <c r="L544" i="7"/>
  <c r="M544" i="7"/>
  <c r="N544" i="7"/>
  <c r="O544" i="7"/>
  <c r="Q544" i="7"/>
  <c r="R544" i="7"/>
  <c r="C545" i="7"/>
  <c r="G545" i="7"/>
  <c r="K545" i="7"/>
  <c r="M545" i="7"/>
  <c r="O545" i="7"/>
  <c r="R545" i="7"/>
  <c r="B546" i="7"/>
  <c r="D546" i="7"/>
  <c r="F546" i="7"/>
  <c r="H546" i="7"/>
  <c r="K546" i="7"/>
  <c r="A546" i="7" s="1"/>
  <c r="L546" i="7"/>
  <c r="M546" i="7"/>
  <c r="N546" i="7"/>
  <c r="O546" i="7"/>
  <c r="Q546" i="7"/>
  <c r="R546" i="7"/>
  <c r="K547" i="7"/>
  <c r="O547" i="7"/>
  <c r="B548" i="7"/>
  <c r="D548" i="7"/>
  <c r="F548" i="7"/>
  <c r="H548" i="7"/>
  <c r="K548" i="7"/>
  <c r="A548" i="7" s="1"/>
  <c r="L548" i="7"/>
  <c r="M548" i="7"/>
  <c r="N548" i="7"/>
  <c r="O548" i="7"/>
  <c r="Q548" i="7"/>
  <c r="R548" i="7"/>
  <c r="K549" i="7"/>
  <c r="B549" i="7" s="1"/>
  <c r="M549" i="7"/>
  <c r="O549" i="7"/>
  <c r="R549" i="7"/>
  <c r="B550" i="7"/>
  <c r="D550" i="7"/>
  <c r="F550" i="7"/>
  <c r="H550" i="7"/>
  <c r="K550" i="7"/>
  <c r="A550" i="7" s="1"/>
  <c r="L550" i="7"/>
  <c r="M550" i="7"/>
  <c r="N550" i="7"/>
  <c r="O550" i="7"/>
  <c r="Q550" i="7"/>
  <c r="R550" i="7"/>
  <c r="K551" i="7"/>
  <c r="B551" i="7" s="1"/>
  <c r="M551" i="7"/>
  <c r="O551" i="7"/>
  <c r="R551" i="7"/>
  <c r="B552" i="7"/>
  <c r="D552" i="7"/>
  <c r="F552" i="7"/>
  <c r="H552" i="7"/>
  <c r="K552" i="7"/>
  <c r="A552" i="7" s="1"/>
  <c r="L552" i="7"/>
  <c r="M552" i="7"/>
  <c r="N552" i="7"/>
  <c r="O552" i="7"/>
  <c r="Q552" i="7"/>
  <c r="R552" i="7"/>
  <c r="K553" i="7"/>
  <c r="B553" i="7" s="1"/>
  <c r="M553" i="7"/>
  <c r="O553" i="7"/>
  <c r="R553" i="7"/>
  <c r="B554" i="7"/>
  <c r="D554" i="7"/>
  <c r="F554" i="7"/>
  <c r="H554" i="7"/>
  <c r="K554" i="7"/>
  <c r="A554" i="7" s="1"/>
  <c r="L554" i="7"/>
  <c r="M554" i="7"/>
  <c r="N554" i="7"/>
  <c r="O554" i="7"/>
  <c r="Q554" i="7"/>
  <c r="R554" i="7"/>
  <c r="K555" i="7"/>
  <c r="B555" i="7" s="1"/>
  <c r="M555" i="7"/>
  <c r="O555" i="7"/>
  <c r="R555" i="7"/>
  <c r="B556" i="7"/>
  <c r="D556" i="7"/>
  <c r="F556" i="7"/>
  <c r="H556" i="7"/>
  <c r="K556" i="7"/>
  <c r="A556" i="7" s="1"/>
  <c r="L556" i="7"/>
  <c r="M556" i="7"/>
  <c r="N556" i="7"/>
  <c r="O556" i="7"/>
  <c r="Q556" i="7"/>
  <c r="R556" i="7"/>
  <c r="K557" i="7"/>
  <c r="B557" i="7" s="1"/>
  <c r="M557" i="7"/>
  <c r="O557" i="7"/>
  <c r="R557" i="7"/>
  <c r="B558" i="7"/>
  <c r="D558" i="7"/>
  <c r="F558" i="7"/>
  <c r="H558" i="7"/>
  <c r="K558" i="7"/>
  <c r="A558" i="7" s="1"/>
  <c r="L558" i="7"/>
  <c r="M558" i="7"/>
  <c r="N558" i="7"/>
  <c r="O558" i="7"/>
  <c r="Q558" i="7"/>
  <c r="R558" i="7"/>
  <c r="K559" i="7"/>
  <c r="B559" i="7" s="1"/>
  <c r="M559" i="7"/>
  <c r="O559" i="7"/>
  <c r="R559" i="7"/>
  <c r="B560" i="7"/>
  <c r="D560" i="7"/>
  <c r="F560" i="7"/>
  <c r="H560" i="7"/>
  <c r="K560" i="7"/>
  <c r="A560" i="7" s="1"/>
  <c r="L560" i="7"/>
  <c r="M560" i="7"/>
  <c r="N560" i="7"/>
  <c r="O560" i="7"/>
  <c r="Q560" i="7"/>
  <c r="R560" i="7"/>
  <c r="K561" i="7"/>
  <c r="B561" i="7" s="1"/>
  <c r="M561" i="7"/>
  <c r="O561" i="7"/>
  <c r="R561" i="7"/>
  <c r="B562" i="7"/>
  <c r="D562" i="7"/>
  <c r="F562" i="7"/>
  <c r="H562" i="7"/>
  <c r="K562" i="7"/>
  <c r="A562" i="7" s="1"/>
  <c r="L562" i="7"/>
  <c r="M562" i="7"/>
  <c r="N562" i="7"/>
  <c r="O562" i="7"/>
  <c r="Q562" i="7"/>
  <c r="R562" i="7"/>
  <c r="K563" i="7"/>
  <c r="B563" i="7" s="1"/>
  <c r="M563" i="7"/>
  <c r="O563" i="7"/>
  <c r="R563" i="7"/>
  <c r="B564" i="7"/>
  <c r="D564" i="7"/>
  <c r="F564" i="7"/>
  <c r="H564" i="7"/>
  <c r="K564" i="7"/>
  <c r="A564" i="7" s="1"/>
  <c r="L564" i="7"/>
  <c r="M564" i="7"/>
  <c r="N564" i="7"/>
  <c r="O564" i="7"/>
  <c r="Q564" i="7"/>
  <c r="R564" i="7"/>
  <c r="K565" i="7"/>
  <c r="B565" i="7" s="1"/>
  <c r="M565" i="7"/>
  <c r="O565" i="7"/>
  <c r="R565" i="7"/>
  <c r="B566" i="7"/>
  <c r="D566" i="7"/>
  <c r="F566" i="7"/>
  <c r="H566" i="7"/>
  <c r="K566" i="7"/>
  <c r="A566" i="7" s="1"/>
  <c r="L566" i="7"/>
  <c r="M566" i="7"/>
  <c r="N566" i="7"/>
  <c r="O566" i="7"/>
  <c r="Q566" i="7"/>
  <c r="R566" i="7"/>
  <c r="K567" i="7"/>
  <c r="B567" i="7" s="1"/>
  <c r="M567" i="7"/>
  <c r="O567" i="7"/>
  <c r="R567" i="7"/>
  <c r="B568" i="7"/>
  <c r="D568" i="7"/>
  <c r="F568" i="7"/>
  <c r="H568" i="7"/>
  <c r="K568" i="7"/>
  <c r="A568" i="7" s="1"/>
  <c r="L568" i="7"/>
  <c r="M568" i="7"/>
  <c r="N568" i="7"/>
  <c r="O568" i="7"/>
  <c r="Q568" i="7"/>
  <c r="R568" i="7"/>
  <c r="K569" i="7"/>
  <c r="B569" i="7" s="1"/>
  <c r="M569" i="7"/>
  <c r="O569" i="7"/>
  <c r="R569" i="7"/>
  <c r="B570" i="7"/>
  <c r="D570" i="7"/>
  <c r="F570" i="7"/>
  <c r="H570" i="7"/>
  <c r="K570" i="7"/>
  <c r="A570" i="7" s="1"/>
  <c r="L570" i="7"/>
  <c r="M570" i="7"/>
  <c r="N570" i="7"/>
  <c r="O570" i="7"/>
  <c r="Q570" i="7"/>
  <c r="R570" i="7"/>
  <c r="K571" i="7"/>
  <c r="B571" i="7" s="1"/>
  <c r="M571" i="7"/>
  <c r="O571" i="7"/>
  <c r="R571" i="7"/>
  <c r="B572" i="7"/>
  <c r="D572" i="7"/>
  <c r="F572" i="7"/>
  <c r="H572" i="7"/>
  <c r="K572" i="7"/>
  <c r="A572" i="7" s="1"/>
  <c r="L572" i="7"/>
  <c r="M572" i="7"/>
  <c r="N572" i="7"/>
  <c r="O572" i="7"/>
  <c r="Q572" i="7"/>
  <c r="R572" i="7"/>
  <c r="K573" i="7"/>
  <c r="B573" i="7" s="1"/>
  <c r="M573" i="7"/>
  <c r="O573" i="7"/>
  <c r="R573" i="7"/>
  <c r="B574" i="7"/>
  <c r="D574" i="7"/>
  <c r="F574" i="7"/>
  <c r="H574" i="7"/>
  <c r="K574" i="7"/>
  <c r="A574" i="7" s="1"/>
  <c r="L574" i="7"/>
  <c r="M574" i="7"/>
  <c r="N574" i="7"/>
  <c r="O574" i="7"/>
  <c r="Q574" i="7"/>
  <c r="R574" i="7"/>
  <c r="K575" i="7"/>
  <c r="B575" i="7" s="1"/>
  <c r="M575" i="7"/>
  <c r="O575" i="7"/>
  <c r="R575" i="7"/>
  <c r="B576" i="7"/>
  <c r="D576" i="7"/>
  <c r="F576" i="7"/>
  <c r="H576" i="7"/>
  <c r="K576" i="7"/>
  <c r="A576" i="7" s="1"/>
  <c r="L576" i="7"/>
  <c r="M576" i="7"/>
  <c r="N576" i="7"/>
  <c r="O576" i="7"/>
  <c r="Q576" i="7"/>
  <c r="R576" i="7"/>
  <c r="K577" i="7"/>
  <c r="B577" i="7" s="1"/>
  <c r="M577" i="7"/>
  <c r="O577" i="7"/>
  <c r="R577" i="7"/>
  <c r="B578" i="7"/>
  <c r="D578" i="7"/>
  <c r="F578" i="7"/>
  <c r="H578" i="7"/>
  <c r="K578" i="7"/>
  <c r="A578" i="7" s="1"/>
  <c r="L578" i="7"/>
  <c r="M578" i="7"/>
  <c r="N578" i="7"/>
  <c r="O578" i="7"/>
  <c r="Q578" i="7"/>
  <c r="R578" i="7"/>
  <c r="K579" i="7"/>
  <c r="B579" i="7" s="1"/>
  <c r="M579" i="7"/>
  <c r="O579" i="7"/>
  <c r="R579" i="7"/>
  <c r="B580" i="7"/>
  <c r="D580" i="7"/>
  <c r="F580" i="7"/>
  <c r="H580" i="7"/>
  <c r="K580" i="7"/>
  <c r="A580" i="7" s="1"/>
  <c r="L580" i="7"/>
  <c r="M580" i="7"/>
  <c r="N580" i="7"/>
  <c r="O580" i="7"/>
  <c r="Q580" i="7"/>
  <c r="R580" i="7"/>
  <c r="K581" i="7"/>
  <c r="B581" i="7" s="1"/>
  <c r="M581" i="7"/>
  <c r="O581" i="7"/>
  <c r="R581" i="7"/>
  <c r="B582" i="7"/>
  <c r="D582" i="7"/>
  <c r="F582" i="7"/>
  <c r="H582" i="7"/>
  <c r="K582" i="7"/>
  <c r="A582" i="7" s="1"/>
  <c r="L582" i="7"/>
  <c r="M582" i="7"/>
  <c r="N582" i="7"/>
  <c r="O582" i="7"/>
  <c r="Q582" i="7"/>
  <c r="R582" i="7"/>
  <c r="K583" i="7"/>
  <c r="B583" i="7" s="1"/>
  <c r="M583" i="7"/>
  <c r="O583" i="7"/>
  <c r="R583" i="7"/>
  <c r="B584" i="7"/>
  <c r="D584" i="7"/>
  <c r="F584" i="7"/>
  <c r="H584" i="7"/>
  <c r="K584" i="7"/>
  <c r="A584" i="7" s="1"/>
  <c r="L584" i="7"/>
  <c r="M584" i="7"/>
  <c r="N584" i="7"/>
  <c r="O584" i="7"/>
  <c r="Q584" i="7"/>
  <c r="R584" i="7"/>
  <c r="K585" i="7"/>
  <c r="B585" i="7" s="1"/>
  <c r="M585" i="7"/>
  <c r="O585" i="7"/>
  <c r="R585" i="7"/>
  <c r="B586" i="7"/>
  <c r="D586" i="7"/>
  <c r="F586" i="7"/>
  <c r="H586" i="7"/>
  <c r="K586" i="7"/>
  <c r="A586" i="7" s="1"/>
  <c r="L586" i="7"/>
  <c r="M586" i="7"/>
  <c r="N586" i="7"/>
  <c r="O586" i="7"/>
  <c r="Q586" i="7"/>
  <c r="R586" i="7"/>
  <c r="K587" i="7"/>
  <c r="B587" i="7" s="1"/>
  <c r="M587" i="7"/>
  <c r="O587" i="7"/>
  <c r="R587" i="7"/>
  <c r="B588" i="7"/>
  <c r="D588" i="7"/>
  <c r="F588" i="7"/>
  <c r="H588" i="7"/>
  <c r="K588" i="7"/>
  <c r="A588" i="7" s="1"/>
  <c r="L588" i="7"/>
  <c r="M588" i="7"/>
  <c r="N588" i="7"/>
  <c r="O588" i="7"/>
  <c r="Q588" i="7"/>
  <c r="R588" i="7"/>
  <c r="K589" i="7"/>
  <c r="B589" i="7" s="1"/>
  <c r="M589" i="7"/>
  <c r="O589" i="7"/>
  <c r="R589" i="7"/>
  <c r="B590" i="7"/>
  <c r="D590" i="7"/>
  <c r="F590" i="7"/>
  <c r="H590" i="7"/>
  <c r="K590" i="7"/>
  <c r="A590" i="7" s="1"/>
  <c r="L590" i="7"/>
  <c r="M590" i="7"/>
  <c r="N590" i="7"/>
  <c r="O590" i="7"/>
  <c r="Q590" i="7"/>
  <c r="R590" i="7"/>
  <c r="K591" i="7"/>
  <c r="B591" i="7" s="1"/>
  <c r="M591" i="7"/>
  <c r="O591" i="7"/>
  <c r="R591" i="7"/>
  <c r="B592" i="7"/>
  <c r="D592" i="7"/>
  <c r="F592" i="7"/>
  <c r="H592" i="7"/>
  <c r="K592" i="7"/>
  <c r="A592" i="7" s="1"/>
  <c r="L592" i="7"/>
  <c r="M592" i="7"/>
  <c r="N592" i="7"/>
  <c r="O592" i="7"/>
  <c r="Q592" i="7"/>
  <c r="R592" i="7"/>
  <c r="K593" i="7"/>
  <c r="B593" i="7" s="1"/>
  <c r="M593" i="7"/>
  <c r="O593" i="7"/>
  <c r="R593" i="7"/>
  <c r="B594" i="7"/>
  <c r="D594" i="7"/>
  <c r="F594" i="7"/>
  <c r="H594" i="7"/>
  <c r="K594" i="7"/>
  <c r="A594" i="7" s="1"/>
  <c r="L594" i="7"/>
  <c r="M594" i="7"/>
  <c r="N594" i="7"/>
  <c r="O594" i="7"/>
  <c r="Q594" i="7"/>
  <c r="R594" i="7"/>
  <c r="K595" i="7"/>
  <c r="B595" i="7" s="1"/>
  <c r="M595" i="7"/>
  <c r="O595" i="7"/>
  <c r="R595" i="7"/>
  <c r="B596" i="7"/>
  <c r="D596" i="7"/>
  <c r="F596" i="7"/>
  <c r="H596" i="7"/>
  <c r="K596" i="7"/>
  <c r="A596" i="7" s="1"/>
  <c r="L596" i="7"/>
  <c r="M596" i="7"/>
  <c r="N596" i="7"/>
  <c r="O596" i="7"/>
  <c r="Q596" i="7"/>
  <c r="R596" i="7"/>
  <c r="K597" i="7"/>
  <c r="B597" i="7" s="1"/>
  <c r="M597" i="7"/>
  <c r="O597" i="7"/>
  <c r="R597" i="7"/>
  <c r="B598" i="7"/>
  <c r="D598" i="7"/>
  <c r="F598" i="7"/>
  <c r="H598" i="7"/>
  <c r="K598" i="7"/>
  <c r="A598" i="7" s="1"/>
  <c r="L598" i="7"/>
  <c r="M598" i="7"/>
  <c r="N598" i="7"/>
  <c r="O598" i="7"/>
  <c r="Q598" i="7"/>
  <c r="R598" i="7"/>
  <c r="K599" i="7"/>
  <c r="B599" i="7" s="1"/>
  <c r="M599" i="7"/>
  <c r="O599" i="7"/>
  <c r="R599" i="7"/>
  <c r="B600" i="7"/>
  <c r="D600" i="7"/>
  <c r="F600" i="7"/>
  <c r="H600" i="7"/>
  <c r="K600" i="7"/>
  <c r="A600" i="7" s="1"/>
  <c r="L600" i="7"/>
  <c r="M600" i="7"/>
  <c r="N600" i="7"/>
  <c r="O600" i="7"/>
  <c r="Q600" i="7"/>
  <c r="R600" i="7"/>
  <c r="K601" i="7"/>
  <c r="B601" i="7" s="1"/>
  <c r="M601" i="7"/>
  <c r="O601" i="7"/>
  <c r="R601" i="7"/>
  <c r="B602" i="7"/>
  <c r="D602" i="7"/>
  <c r="F602" i="7"/>
  <c r="H602" i="7"/>
  <c r="K602" i="7"/>
  <c r="A602" i="7" s="1"/>
  <c r="L602" i="7"/>
  <c r="M602" i="7"/>
  <c r="N602" i="7"/>
  <c r="O602" i="7"/>
  <c r="Q602" i="7"/>
  <c r="R602" i="7"/>
  <c r="K603" i="7"/>
  <c r="B603" i="7" s="1"/>
  <c r="M603" i="7"/>
  <c r="O603" i="7"/>
  <c r="R603" i="7"/>
  <c r="B604" i="7"/>
  <c r="D604" i="7"/>
  <c r="F604" i="7"/>
  <c r="H604" i="7"/>
  <c r="K604" i="7"/>
  <c r="A604" i="7" s="1"/>
  <c r="L604" i="7"/>
  <c r="M604" i="7"/>
  <c r="N604" i="7"/>
  <c r="O604" i="7"/>
  <c r="Q604" i="7"/>
  <c r="R604" i="7"/>
  <c r="K605" i="7"/>
  <c r="B605" i="7" s="1"/>
  <c r="M605" i="7"/>
  <c r="O605" i="7"/>
  <c r="R605" i="7"/>
  <c r="B606" i="7"/>
  <c r="D606" i="7"/>
  <c r="F606" i="7"/>
  <c r="H606" i="7"/>
  <c r="K606" i="7"/>
  <c r="A606" i="7" s="1"/>
  <c r="L606" i="7"/>
  <c r="M606" i="7"/>
  <c r="N606" i="7"/>
  <c r="O606" i="7"/>
  <c r="Q606" i="7"/>
  <c r="R606" i="7"/>
  <c r="K607" i="7"/>
  <c r="B607" i="7" s="1"/>
  <c r="M607" i="7"/>
  <c r="O607" i="7"/>
  <c r="R607" i="7"/>
  <c r="B608" i="7"/>
  <c r="D608" i="7"/>
  <c r="F608" i="7"/>
  <c r="H608" i="7"/>
  <c r="K608" i="7"/>
  <c r="A608" i="7" s="1"/>
  <c r="L608" i="7"/>
  <c r="M608" i="7"/>
  <c r="N608" i="7"/>
  <c r="O608" i="7"/>
  <c r="Q608" i="7"/>
  <c r="R608" i="7"/>
  <c r="K609" i="7"/>
  <c r="B609" i="7" s="1"/>
  <c r="M609" i="7"/>
  <c r="O609" i="7"/>
  <c r="R609" i="7"/>
  <c r="B610" i="7"/>
  <c r="D610" i="7"/>
  <c r="F610" i="7"/>
  <c r="H610" i="7"/>
  <c r="K610" i="7"/>
  <c r="A610" i="7" s="1"/>
  <c r="L610" i="7"/>
  <c r="M610" i="7"/>
  <c r="N610" i="7"/>
  <c r="O610" i="7"/>
  <c r="Q610" i="7"/>
  <c r="R610" i="7"/>
  <c r="K611" i="7"/>
  <c r="B611" i="7" s="1"/>
  <c r="M611" i="7"/>
  <c r="O611" i="7"/>
  <c r="R611" i="7"/>
  <c r="B612" i="7"/>
  <c r="D612" i="7"/>
  <c r="F612" i="7"/>
  <c r="H612" i="7"/>
  <c r="K612" i="7"/>
  <c r="A612" i="7" s="1"/>
  <c r="L612" i="7"/>
  <c r="M612" i="7"/>
  <c r="N612" i="7"/>
  <c r="O612" i="7"/>
  <c r="Q612" i="7"/>
  <c r="R612" i="7"/>
  <c r="K613" i="7"/>
  <c r="B613" i="7" s="1"/>
  <c r="M613" i="7"/>
  <c r="O613" i="7"/>
  <c r="R613" i="7"/>
  <c r="B614" i="7"/>
  <c r="D614" i="7"/>
  <c r="F614" i="7"/>
  <c r="H614" i="7"/>
  <c r="K614" i="7"/>
  <c r="A614" i="7" s="1"/>
  <c r="L614" i="7"/>
  <c r="M614" i="7"/>
  <c r="N614" i="7"/>
  <c r="O614" i="7"/>
  <c r="Q614" i="7"/>
  <c r="R614" i="7"/>
  <c r="K615" i="7"/>
  <c r="B615" i="7" s="1"/>
  <c r="M615" i="7"/>
  <c r="O615" i="7"/>
  <c r="R615" i="7"/>
  <c r="B616" i="7"/>
  <c r="D616" i="7"/>
  <c r="F616" i="7"/>
  <c r="H616" i="7"/>
  <c r="K616" i="7"/>
  <c r="A616" i="7" s="1"/>
  <c r="L616" i="7"/>
  <c r="M616" i="7"/>
  <c r="N616" i="7"/>
  <c r="O616" i="7"/>
  <c r="Q616" i="7"/>
  <c r="R616" i="7"/>
  <c r="K617" i="7"/>
  <c r="B617" i="7" s="1"/>
  <c r="M617" i="7"/>
  <c r="O617" i="7"/>
  <c r="R617" i="7"/>
  <c r="B618" i="7"/>
  <c r="D618" i="7"/>
  <c r="F618" i="7"/>
  <c r="H618" i="7"/>
  <c r="K618" i="7"/>
  <c r="A618" i="7" s="1"/>
  <c r="L618" i="7"/>
  <c r="M618" i="7"/>
  <c r="N618" i="7"/>
  <c r="O618" i="7"/>
  <c r="Q618" i="7"/>
  <c r="R618" i="7"/>
  <c r="K619" i="7"/>
  <c r="B619" i="7" s="1"/>
  <c r="M619" i="7"/>
  <c r="O619" i="7"/>
  <c r="R619" i="7"/>
  <c r="B620" i="7"/>
  <c r="D620" i="7"/>
  <c r="F620" i="7"/>
  <c r="H620" i="7"/>
  <c r="K620" i="7"/>
  <c r="A620" i="7" s="1"/>
  <c r="L620" i="7"/>
  <c r="M620" i="7"/>
  <c r="N620" i="7"/>
  <c r="O620" i="7"/>
  <c r="Q620" i="7"/>
  <c r="R620" i="7"/>
  <c r="K621" i="7"/>
  <c r="B621" i="7" s="1"/>
  <c r="M621" i="7"/>
  <c r="O621" i="7"/>
  <c r="R621" i="7"/>
  <c r="B622" i="7"/>
  <c r="D622" i="7"/>
  <c r="F622" i="7"/>
  <c r="H622" i="7"/>
  <c r="K622" i="7"/>
  <c r="A622" i="7" s="1"/>
  <c r="L622" i="7"/>
  <c r="M622" i="7"/>
  <c r="N622" i="7"/>
  <c r="O622" i="7"/>
  <c r="Q622" i="7"/>
  <c r="R622" i="7"/>
  <c r="K623" i="7"/>
  <c r="B623" i="7" s="1"/>
  <c r="M623" i="7"/>
  <c r="O623" i="7"/>
  <c r="R623" i="7"/>
  <c r="B624" i="7"/>
  <c r="D624" i="7"/>
  <c r="F624" i="7"/>
  <c r="H624" i="7"/>
  <c r="K624" i="7"/>
  <c r="A624" i="7" s="1"/>
  <c r="L624" i="7"/>
  <c r="M624" i="7"/>
  <c r="N624" i="7"/>
  <c r="O624" i="7"/>
  <c r="Q624" i="7"/>
  <c r="R624" i="7"/>
  <c r="K625" i="7"/>
  <c r="B625" i="7" s="1"/>
  <c r="M625" i="7"/>
  <c r="O625" i="7"/>
  <c r="R625" i="7"/>
  <c r="B626" i="7"/>
  <c r="D626" i="7"/>
  <c r="F626" i="7"/>
  <c r="H626" i="7"/>
  <c r="K626" i="7"/>
  <c r="A626" i="7" s="1"/>
  <c r="L626" i="7"/>
  <c r="M626" i="7"/>
  <c r="N626" i="7"/>
  <c r="O626" i="7"/>
  <c r="Q626" i="7"/>
  <c r="R626" i="7"/>
  <c r="K627" i="7"/>
  <c r="B627" i="7" s="1"/>
  <c r="M627" i="7"/>
  <c r="O627" i="7"/>
  <c r="R627" i="7"/>
  <c r="B628" i="7"/>
  <c r="D628" i="7"/>
  <c r="F628" i="7"/>
  <c r="H628" i="7"/>
  <c r="K628" i="7"/>
  <c r="A628" i="7" s="1"/>
  <c r="L628" i="7"/>
  <c r="M628" i="7"/>
  <c r="N628" i="7"/>
  <c r="O628" i="7"/>
  <c r="Q628" i="7"/>
  <c r="R628" i="7"/>
  <c r="K629" i="7"/>
  <c r="B629" i="7" s="1"/>
  <c r="M629" i="7"/>
  <c r="O629" i="7"/>
  <c r="R629" i="7"/>
  <c r="B630" i="7"/>
  <c r="D630" i="7"/>
  <c r="F630" i="7"/>
  <c r="H630" i="7"/>
  <c r="K630" i="7"/>
  <c r="A630" i="7" s="1"/>
  <c r="L630" i="7"/>
  <c r="M630" i="7"/>
  <c r="N630" i="7"/>
  <c r="O630" i="7"/>
  <c r="Q630" i="7"/>
  <c r="R630" i="7"/>
  <c r="K631" i="7"/>
  <c r="B631" i="7" s="1"/>
  <c r="M631" i="7"/>
  <c r="O631" i="7"/>
  <c r="R631" i="7"/>
  <c r="B632" i="7"/>
  <c r="D632" i="7"/>
  <c r="F632" i="7"/>
  <c r="H632" i="7"/>
  <c r="K632" i="7"/>
  <c r="A632" i="7" s="1"/>
  <c r="L632" i="7"/>
  <c r="M632" i="7"/>
  <c r="N632" i="7"/>
  <c r="O632" i="7"/>
  <c r="Q632" i="7"/>
  <c r="R632" i="7"/>
  <c r="K633" i="7"/>
  <c r="B633" i="7" s="1"/>
  <c r="M633" i="7"/>
  <c r="O633" i="7"/>
  <c r="R633" i="7"/>
  <c r="B634" i="7"/>
  <c r="D634" i="7"/>
  <c r="F634" i="7"/>
  <c r="H634" i="7"/>
  <c r="K634" i="7"/>
  <c r="A634" i="7" s="1"/>
  <c r="L634" i="7"/>
  <c r="M634" i="7"/>
  <c r="N634" i="7"/>
  <c r="O634" i="7"/>
  <c r="Q634" i="7"/>
  <c r="R634" i="7"/>
  <c r="K635" i="7"/>
  <c r="B635" i="7" s="1"/>
  <c r="M635" i="7"/>
  <c r="O635" i="7"/>
  <c r="R635" i="7"/>
  <c r="B636" i="7"/>
  <c r="D636" i="7"/>
  <c r="F636" i="7"/>
  <c r="H636" i="7"/>
  <c r="K636" i="7"/>
  <c r="A636" i="7" s="1"/>
  <c r="L636" i="7"/>
  <c r="M636" i="7"/>
  <c r="N636" i="7"/>
  <c r="O636" i="7"/>
  <c r="Q636" i="7"/>
  <c r="R636" i="7"/>
  <c r="K637" i="7"/>
  <c r="B637" i="7" s="1"/>
  <c r="M637" i="7"/>
  <c r="O637" i="7"/>
  <c r="R637" i="7"/>
  <c r="B638" i="7"/>
  <c r="D638" i="7"/>
  <c r="F638" i="7"/>
  <c r="H638" i="7"/>
  <c r="K638" i="7"/>
  <c r="A638" i="7" s="1"/>
  <c r="L638" i="7"/>
  <c r="M638" i="7"/>
  <c r="N638" i="7"/>
  <c r="O638" i="7"/>
  <c r="Q638" i="7"/>
  <c r="R638" i="7"/>
  <c r="K639" i="7"/>
  <c r="B639" i="7" s="1"/>
  <c r="M639" i="7"/>
  <c r="O639" i="7"/>
  <c r="R639" i="7"/>
  <c r="B640" i="7"/>
  <c r="D640" i="7"/>
  <c r="F640" i="7"/>
  <c r="H640" i="7"/>
  <c r="K640" i="7"/>
  <c r="A640" i="7" s="1"/>
  <c r="L640" i="7"/>
  <c r="M640" i="7"/>
  <c r="N640" i="7"/>
  <c r="O640" i="7"/>
  <c r="Q640" i="7"/>
  <c r="R640" i="7"/>
  <c r="K641" i="7"/>
  <c r="B641" i="7" s="1"/>
  <c r="M641" i="7"/>
  <c r="O641" i="7"/>
  <c r="R641" i="7"/>
  <c r="B642" i="7"/>
  <c r="D642" i="7"/>
  <c r="F642" i="7"/>
  <c r="H642" i="7"/>
  <c r="K642" i="7"/>
  <c r="A642" i="7" s="1"/>
  <c r="L642" i="7"/>
  <c r="M642" i="7"/>
  <c r="N642" i="7"/>
  <c r="O642" i="7"/>
  <c r="Q642" i="7"/>
  <c r="R642" i="7"/>
  <c r="K643" i="7"/>
  <c r="B643" i="7" s="1"/>
  <c r="M643" i="7"/>
  <c r="O643" i="7"/>
  <c r="R643" i="7"/>
  <c r="B644" i="7"/>
  <c r="D644" i="7"/>
  <c r="F644" i="7"/>
  <c r="H644" i="7"/>
  <c r="K644" i="7"/>
  <c r="A644" i="7" s="1"/>
  <c r="L644" i="7"/>
  <c r="M644" i="7"/>
  <c r="N644" i="7"/>
  <c r="O644" i="7"/>
  <c r="Q644" i="7"/>
  <c r="R644" i="7"/>
  <c r="K645" i="7"/>
  <c r="B645" i="7" s="1"/>
  <c r="M645" i="7"/>
  <c r="O645" i="7"/>
  <c r="R645" i="7"/>
  <c r="B646" i="7"/>
  <c r="D646" i="7"/>
  <c r="F646" i="7"/>
  <c r="H646" i="7"/>
  <c r="K646" i="7"/>
  <c r="A646" i="7" s="1"/>
  <c r="L646" i="7"/>
  <c r="M646" i="7"/>
  <c r="N646" i="7"/>
  <c r="O646" i="7"/>
  <c r="Q646" i="7"/>
  <c r="R646" i="7"/>
  <c r="K647" i="7"/>
  <c r="B647" i="7" s="1"/>
  <c r="M647" i="7"/>
  <c r="O647" i="7"/>
  <c r="R647" i="7"/>
  <c r="B648" i="7"/>
  <c r="D648" i="7"/>
  <c r="F648" i="7"/>
  <c r="H648" i="7"/>
  <c r="K648" i="7"/>
  <c r="A648" i="7" s="1"/>
  <c r="L648" i="7"/>
  <c r="M648" i="7"/>
  <c r="N648" i="7"/>
  <c r="O648" i="7"/>
  <c r="Q648" i="7"/>
  <c r="R648" i="7"/>
  <c r="K649" i="7"/>
  <c r="B649" i="7" s="1"/>
  <c r="M649" i="7"/>
  <c r="O649" i="7"/>
  <c r="R649" i="7"/>
  <c r="B650" i="7"/>
  <c r="D650" i="7"/>
  <c r="F650" i="7"/>
  <c r="H650" i="7"/>
  <c r="K650" i="7"/>
  <c r="A650" i="7" s="1"/>
  <c r="L650" i="7"/>
  <c r="M650" i="7"/>
  <c r="N650" i="7"/>
  <c r="O650" i="7"/>
  <c r="Q650" i="7"/>
  <c r="R650" i="7"/>
  <c r="K651" i="7"/>
  <c r="B651" i="7" s="1"/>
  <c r="M651" i="7"/>
  <c r="O651" i="7"/>
  <c r="R651" i="7"/>
  <c r="B652" i="7"/>
  <c r="D652" i="7"/>
  <c r="F652" i="7"/>
  <c r="H652" i="7"/>
  <c r="K652" i="7"/>
  <c r="A652" i="7" s="1"/>
  <c r="L652" i="7"/>
  <c r="M652" i="7"/>
  <c r="N652" i="7"/>
  <c r="O652" i="7"/>
  <c r="Q652" i="7"/>
  <c r="R652" i="7"/>
  <c r="K653" i="7"/>
  <c r="B653" i="7" s="1"/>
  <c r="M653" i="7"/>
  <c r="O653" i="7"/>
  <c r="R653" i="7"/>
  <c r="B654" i="7"/>
  <c r="D654" i="7"/>
  <c r="F654" i="7"/>
  <c r="H654" i="7"/>
  <c r="K654" i="7"/>
  <c r="A654" i="7" s="1"/>
  <c r="L654" i="7"/>
  <c r="M654" i="7"/>
  <c r="N654" i="7"/>
  <c r="O654" i="7"/>
  <c r="Q654" i="7"/>
  <c r="R654" i="7"/>
  <c r="K655" i="7"/>
  <c r="B655" i="7" s="1"/>
  <c r="M655" i="7"/>
  <c r="O655" i="7"/>
  <c r="R655" i="7"/>
  <c r="B656" i="7"/>
  <c r="D656" i="7"/>
  <c r="F656" i="7"/>
  <c r="H656" i="7"/>
  <c r="K656" i="7"/>
  <c r="A656" i="7" s="1"/>
  <c r="L656" i="7"/>
  <c r="M656" i="7"/>
  <c r="N656" i="7"/>
  <c r="O656" i="7"/>
  <c r="Q656" i="7"/>
  <c r="R656" i="7"/>
  <c r="K657" i="7"/>
  <c r="B657" i="7" s="1"/>
  <c r="M657" i="7"/>
  <c r="O657" i="7"/>
  <c r="R657" i="7"/>
  <c r="B658" i="7"/>
  <c r="D658" i="7"/>
  <c r="F658" i="7"/>
  <c r="H658" i="7"/>
  <c r="K658" i="7"/>
  <c r="A658" i="7" s="1"/>
  <c r="L658" i="7"/>
  <c r="M658" i="7"/>
  <c r="N658" i="7"/>
  <c r="O658" i="7"/>
  <c r="Q658" i="7"/>
  <c r="R658" i="7"/>
  <c r="K659" i="7"/>
  <c r="B659" i="7" s="1"/>
  <c r="M659" i="7"/>
  <c r="O659" i="7"/>
  <c r="R659" i="7"/>
  <c r="B660" i="7"/>
  <c r="D660" i="7"/>
  <c r="F660" i="7"/>
  <c r="H660" i="7"/>
  <c r="K660" i="7"/>
  <c r="A660" i="7" s="1"/>
  <c r="L660" i="7"/>
  <c r="M660" i="7"/>
  <c r="N660" i="7"/>
  <c r="O660" i="7"/>
  <c r="Q660" i="7"/>
  <c r="R660" i="7"/>
  <c r="K661" i="7"/>
  <c r="B661" i="7" s="1"/>
  <c r="M661" i="7"/>
  <c r="O661" i="7"/>
  <c r="R661" i="7"/>
  <c r="B662" i="7"/>
  <c r="D662" i="7"/>
  <c r="F662" i="7"/>
  <c r="H662" i="7"/>
  <c r="K662" i="7"/>
  <c r="A662" i="7" s="1"/>
  <c r="L662" i="7"/>
  <c r="M662" i="7"/>
  <c r="N662" i="7"/>
  <c r="O662" i="7"/>
  <c r="Q662" i="7"/>
  <c r="R662" i="7"/>
  <c r="K663" i="7"/>
  <c r="B663" i="7" s="1"/>
  <c r="M663" i="7"/>
  <c r="O663" i="7"/>
  <c r="R663" i="7"/>
  <c r="B664" i="7"/>
  <c r="D664" i="7"/>
  <c r="F664" i="7"/>
  <c r="H664" i="7"/>
  <c r="K664" i="7"/>
  <c r="A664" i="7" s="1"/>
  <c r="L664" i="7"/>
  <c r="M664" i="7"/>
  <c r="N664" i="7"/>
  <c r="O664" i="7"/>
  <c r="Q664" i="7"/>
  <c r="R664" i="7"/>
  <c r="K665" i="7"/>
  <c r="B665" i="7" s="1"/>
  <c r="M665" i="7"/>
  <c r="O665" i="7"/>
  <c r="R665" i="7"/>
  <c r="B666" i="7"/>
  <c r="D666" i="7"/>
  <c r="F666" i="7"/>
  <c r="H666" i="7"/>
  <c r="K666" i="7"/>
  <c r="A666" i="7" s="1"/>
  <c r="L666" i="7"/>
  <c r="M666" i="7"/>
  <c r="N666" i="7"/>
  <c r="O666" i="7"/>
  <c r="Q666" i="7"/>
  <c r="R666" i="7"/>
  <c r="K667" i="7"/>
  <c r="B667" i="7" s="1"/>
  <c r="M667" i="7"/>
  <c r="O667" i="7"/>
  <c r="R667" i="7"/>
  <c r="B668" i="7"/>
  <c r="D668" i="7"/>
  <c r="F668" i="7"/>
  <c r="H668" i="7"/>
  <c r="K668" i="7"/>
  <c r="A668" i="7" s="1"/>
  <c r="L668" i="7"/>
  <c r="M668" i="7"/>
  <c r="N668" i="7"/>
  <c r="O668" i="7"/>
  <c r="Q668" i="7"/>
  <c r="R668" i="7"/>
  <c r="K669" i="7"/>
  <c r="B669" i="7" s="1"/>
  <c r="M669" i="7"/>
  <c r="O669" i="7"/>
  <c r="R669" i="7"/>
  <c r="B670" i="7"/>
  <c r="D670" i="7"/>
  <c r="F670" i="7"/>
  <c r="H670" i="7"/>
  <c r="K670" i="7"/>
  <c r="A670" i="7" s="1"/>
  <c r="L670" i="7"/>
  <c r="M670" i="7"/>
  <c r="N670" i="7"/>
  <c r="O670" i="7"/>
  <c r="Q670" i="7"/>
  <c r="R670" i="7"/>
  <c r="K671" i="7"/>
  <c r="B671" i="7" s="1"/>
  <c r="M671" i="7"/>
  <c r="O671" i="7"/>
  <c r="R671" i="7"/>
  <c r="B672" i="7"/>
  <c r="D672" i="7"/>
  <c r="F672" i="7"/>
  <c r="H672" i="7"/>
  <c r="K672" i="7"/>
  <c r="A672" i="7" s="1"/>
  <c r="L672" i="7"/>
  <c r="M672" i="7"/>
  <c r="N672" i="7"/>
  <c r="O672" i="7"/>
  <c r="Q672" i="7"/>
  <c r="R672" i="7"/>
  <c r="K673" i="7"/>
  <c r="B673" i="7" s="1"/>
  <c r="M673" i="7"/>
  <c r="O673" i="7"/>
  <c r="R673" i="7"/>
  <c r="B674" i="7"/>
  <c r="D674" i="7"/>
  <c r="F674" i="7"/>
  <c r="H674" i="7"/>
  <c r="K674" i="7"/>
  <c r="A674" i="7" s="1"/>
  <c r="L674" i="7"/>
  <c r="M674" i="7"/>
  <c r="N674" i="7"/>
  <c r="O674" i="7"/>
  <c r="Q674" i="7"/>
  <c r="R674" i="7"/>
  <c r="K675" i="7"/>
  <c r="B675" i="7" s="1"/>
  <c r="M675" i="7"/>
  <c r="O675" i="7"/>
  <c r="R675" i="7"/>
  <c r="B676" i="7"/>
  <c r="D676" i="7"/>
  <c r="F676" i="7"/>
  <c r="H676" i="7"/>
  <c r="K676" i="7"/>
  <c r="A676" i="7" s="1"/>
  <c r="L676" i="7"/>
  <c r="M676" i="7"/>
  <c r="N676" i="7"/>
  <c r="O676" i="7"/>
  <c r="Q676" i="7"/>
  <c r="R676" i="7"/>
  <c r="K677" i="7"/>
  <c r="B677" i="7" s="1"/>
  <c r="M677" i="7"/>
  <c r="O677" i="7"/>
  <c r="R677" i="7"/>
  <c r="B678" i="7"/>
  <c r="D678" i="7"/>
  <c r="F678" i="7"/>
  <c r="H678" i="7"/>
  <c r="K678" i="7"/>
  <c r="A678" i="7" s="1"/>
  <c r="L678" i="7"/>
  <c r="M678" i="7"/>
  <c r="N678" i="7"/>
  <c r="O678" i="7"/>
  <c r="Q678" i="7"/>
  <c r="R678" i="7"/>
  <c r="K679" i="7"/>
  <c r="B679" i="7" s="1"/>
  <c r="M679" i="7"/>
  <c r="O679" i="7"/>
  <c r="R679" i="7"/>
  <c r="B680" i="7"/>
  <c r="D680" i="7"/>
  <c r="F680" i="7"/>
  <c r="H680" i="7"/>
  <c r="K680" i="7"/>
  <c r="A680" i="7" s="1"/>
  <c r="L680" i="7"/>
  <c r="M680" i="7"/>
  <c r="N680" i="7"/>
  <c r="O680" i="7"/>
  <c r="Q680" i="7"/>
  <c r="R680" i="7"/>
  <c r="K681" i="7"/>
  <c r="B681" i="7" s="1"/>
  <c r="M681" i="7"/>
  <c r="O681" i="7"/>
  <c r="R681" i="7"/>
  <c r="B682" i="7"/>
  <c r="D682" i="7"/>
  <c r="F682" i="7"/>
  <c r="H682" i="7"/>
  <c r="K682" i="7"/>
  <c r="A682" i="7" s="1"/>
  <c r="L682" i="7"/>
  <c r="M682" i="7"/>
  <c r="N682" i="7"/>
  <c r="O682" i="7"/>
  <c r="Q682" i="7"/>
  <c r="R682" i="7"/>
  <c r="K683" i="7"/>
  <c r="B683" i="7" s="1"/>
  <c r="M683" i="7"/>
  <c r="O683" i="7"/>
  <c r="R683" i="7"/>
  <c r="B684" i="7"/>
  <c r="D684" i="7"/>
  <c r="F684" i="7"/>
  <c r="H684" i="7"/>
  <c r="K684" i="7"/>
  <c r="A684" i="7" s="1"/>
  <c r="L684" i="7"/>
  <c r="M684" i="7"/>
  <c r="N684" i="7"/>
  <c r="O684" i="7"/>
  <c r="Q684" i="7"/>
  <c r="R684" i="7"/>
  <c r="K685" i="7"/>
  <c r="B685" i="7" s="1"/>
  <c r="M685" i="7"/>
  <c r="O685" i="7"/>
  <c r="R685" i="7"/>
  <c r="B686" i="7"/>
  <c r="D686" i="7"/>
  <c r="F686" i="7"/>
  <c r="H686" i="7"/>
  <c r="K686" i="7"/>
  <c r="A686" i="7" s="1"/>
  <c r="L686" i="7"/>
  <c r="M686" i="7"/>
  <c r="N686" i="7"/>
  <c r="O686" i="7"/>
  <c r="Q686" i="7"/>
  <c r="R686" i="7"/>
  <c r="K687" i="7"/>
  <c r="B687" i="7" s="1"/>
  <c r="M687" i="7"/>
  <c r="O687" i="7"/>
  <c r="R687" i="7"/>
  <c r="B688" i="7"/>
  <c r="D688" i="7"/>
  <c r="F688" i="7"/>
  <c r="H688" i="7"/>
  <c r="K688" i="7"/>
  <c r="A688" i="7" s="1"/>
  <c r="L688" i="7"/>
  <c r="M688" i="7"/>
  <c r="N688" i="7"/>
  <c r="O688" i="7"/>
  <c r="Q688" i="7"/>
  <c r="R688" i="7"/>
  <c r="K689" i="7"/>
  <c r="C689" i="7" s="1"/>
  <c r="O689" i="7"/>
  <c r="B690" i="7"/>
  <c r="D690" i="7"/>
  <c r="F690" i="7"/>
  <c r="H690" i="7"/>
  <c r="K690" i="7"/>
  <c r="A690" i="7" s="1"/>
  <c r="L690" i="7"/>
  <c r="M690" i="7"/>
  <c r="N690" i="7"/>
  <c r="O690" i="7"/>
  <c r="Q690" i="7"/>
  <c r="R690" i="7"/>
  <c r="C691" i="7"/>
  <c r="G691" i="7"/>
  <c r="K691" i="7"/>
  <c r="M691" i="7"/>
  <c r="O691" i="7"/>
  <c r="R691" i="7"/>
  <c r="B692" i="7"/>
  <c r="D692" i="7"/>
  <c r="F692" i="7"/>
  <c r="H692" i="7"/>
  <c r="K692" i="7"/>
  <c r="A692" i="7" s="1"/>
  <c r="L692" i="7"/>
  <c r="M692" i="7"/>
  <c r="N692" i="7"/>
  <c r="O692" i="7"/>
  <c r="Q692" i="7"/>
  <c r="R692" i="7"/>
  <c r="K693" i="7"/>
  <c r="C693" i="7" s="1"/>
  <c r="O693" i="7"/>
  <c r="B694" i="7"/>
  <c r="D694" i="7"/>
  <c r="F694" i="7"/>
  <c r="H694" i="7"/>
  <c r="K694" i="7"/>
  <c r="A694" i="7" s="1"/>
  <c r="L694" i="7"/>
  <c r="M694" i="7"/>
  <c r="N694" i="7"/>
  <c r="O694" i="7"/>
  <c r="Q694" i="7"/>
  <c r="R694" i="7"/>
  <c r="C695" i="7"/>
  <c r="G695" i="7"/>
  <c r="K695" i="7"/>
  <c r="M695" i="7"/>
  <c r="O695" i="7"/>
  <c r="R695" i="7"/>
  <c r="B696" i="7"/>
  <c r="D696" i="7"/>
  <c r="F696" i="7"/>
  <c r="H696" i="7"/>
  <c r="K696" i="7"/>
  <c r="A696" i="7" s="1"/>
  <c r="L696" i="7"/>
  <c r="M696" i="7"/>
  <c r="N696" i="7"/>
  <c r="O696" i="7"/>
  <c r="Q696" i="7"/>
  <c r="R696" i="7"/>
  <c r="K697" i="7"/>
  <c r="C697" i="7" s="1"/>
  <c r="O697" i="7"/>
  <c r="B698" i="7"/>
  <c r="D698" i="7"/>
  <c r="F698" i="7"/>
  <c r="H698" i="7"/>
  <c r="K698" i="7"/>
  <c r="A698" i="7" s="1"/>
  <c r="L698" i="7"/>
  <c r="M698" i="7"/>
  <c r="N698" i="7"/>
  <c r="O698" i="7"/>
  <c r="Q698" i="7"/>
  <c r="R698" i="7"/>
  <c r="C699" i="7"/>
  <c r="G699" i="7"/>
  <c r="K699" i="7"/>
  <c r="M699" i="7"/>
  <c r="O699" i="7"/>
  <c r="R699" i="7"/>
  <c r="B700" i="7"/>
  <c r="D700" i="7"/>
  <c r="F700" i="7"/>
  <c r="H700" i="7"/>
  <c r="K700" i="7"/>
  <c r="A700" i="7" s="1"/>
  <c r="L700" i="7"/>
  <c r="M700" i="7"/>
  <c r="N700" i="7"/>
  <c r="O700" i="7"/>
  <c r="Q700" i="7"/>
  <c r="R700" i="7"/>
  <c r="K701" i="7"/>
  <c r="C701" i="7" s="1"/>
  <c r="O701" i="7"/>
  <c r="B702" i="7"/>
  <c r="D702" i="7"/>
  <c r="F702" i="7"/>
  <c r="H702" i="7"/>
  <c r="K702" i="7"/>
  <c r="A702" i="7" s="1"/>
  <c r="L702" i="7"/>
  <c r="M702" i="7"/>
  <c r="N702" i="7"/>
  <c r="O702" i="7"/>
  <c r="Q702" i="7"/>
  <c r="R702" i="7"/>
  <c r="C703" i="7"/>
  <c r="G703" i="7"/>
  <c r="K703" i="7"/>
  <c r="M703" i="7"/>
  <c r="O703" i="7"/>
  <c r="R703" i="7"/>
  <c r="B704" i="7"/>
  <c r="D704" i="7"/>
  <c r="F704" i="7"/>
  <c r="H704" i="7"/>
  <c r="K704" i="7"/>
  <c r="A704" i="7" s="1"/>
  <c r="L704" i="7"/>
  <c r="M704" i="7"/>
  <c r="N704" i="7"/>
  <c r="O704" i="7"/>
  <c r="Q704" i="7"/>
  <c r="R704" i="7"/>
  <c r="K705" i="7"/>
  <c r="C705" i="7" s="1"/>
  <c r="O705" i="7"/>
  <c r="B706" i="7"/>
  <c r="D706" i="7"/>
  <c r="F706" i="7"/>
  <c r="H706" i="7"/>
  <c r="K706" i="7"/>
  <c r="A706" i="7" s="1"/>
  <c r="L706" i="7"/>
  <c r="M706" i="7"/>
  <c r="N706" i="7"/>
  <c r="O706" i="7"/>
  <c r="Q706" i="7"/>
  <c r="R706" i="7"/>
  <c r="C707" i="7"/>
  <c r="G707" i="7"/>
  <c r="K707" i="7"/>
  <c r="M707" i="7"/>
  <c r="O707" i="7"/>
  <c r="R707" i="7"/>
  <c r="B708" i="7"/>
  <c r="D708" i="7"/>
  <c r="F708" i="7"/>
  <c r="H708" i="7"/>
  <c r="K708" i="7"/>
  <c r="A708" i="7" s="1"/>
  <c r="L708" i="7"/>
  <c r="M708" i="7"/>
  <c r="N708" i="7"/>
  <c r="O708" i="7"/>
  <c r="Q708" i="7"/>
  <c r="R708" i="7"/>
  <c r="K709" i="7"/>
  <c r="C709" i="7" s="1"/>
  <c r="O709" i="7"/>
  <c r="B710" i="7"/>
  <c r="D710" i="7"/>
  <c r="F710" i="7"/>
  <c r="H710" i="7"/>
  <c r="K710" i="7"/>
  <c r="A710" i="7" s="1"/>
  <c r="L710" i="7"/>
  <c r="M710" i="7"/>
  <c r="N710" i="7"/>
  <c r="O710" i="7"/>
  <c r="Q710" i="7"/>
  <c r="R710" i="7"/>
  <c r="C711" i="7"/>
  <c r="G711" i="7"/>
  <c r="K711" i="7"/>
  <c r="M711" i="7"/>
  <c r="O711" i="7"/>
  <c r="R711" i="7"/>
  <c r="B712" i="7"/>
  <c r="D712" i="7"/>
  <c r="F712" i="7"/>
  <c r="H712" i="7"/>
  <c r="K712" i="7"/>
  <c r="A712" i="7" s="1"/>
  <c r="L712" i="7"/>
  <c r="M712" i="7"/>
  <c r="N712" i="7"/>
  <c r="O712" i="7"/>
  <c r="Q712" i="7"/>
  <c r="R712" i="7"/>
  <c r="K713" i="7"/>
  <c r="C713" i="7" s="1"/>
  <c r="O713" i="7"/>
  <c r="B714" i="7"/>
  <c r="D714" i="7"/>
  <c r="F714" i="7"/>
  <c r="H714" i="7"/>
  <c r="K714" i="7"/>
  <c r="A714" i="7" s="1"/>
  <c r="L714" i="7"/>
  <c r="M714" i="7"/>
  <c r="N714" i="7"/>
  <c r="O714" i="7"/>
  <c r="Q714" i="7"/>
  <c r="R714" i="7"/>
  <c r="C715" i="7"/>
  <c r="G715" i="7"/>
  <c r="K715" i="7"/>
  <c r="M715" i="7"/>
  <c r="O715" i="7"/>
  <c r="R715" i="7"/>
  <c r="B716" i="7"/>
  <c r="D716" i="7"/>
  <c r="F716" i="7"/>
  <c r="H716" i="7"/>
  <c r="K716" i="7"/>
  <c r="A716" i="7" s="1"/>
  <c r="L716" i="7"/>
  <c r="M716" i="7"/>
  <c r="N716" i="7"/>
  <c r="O716" i="7"/>
  <c r="Q716" i="7"/>
  <c r="R716" i="7"/>
  <c r="K717" i="7"/>
  <c r="C717" i="7" s="1"/>
  <c r="O717" i="7"/>
  <c r="B718" i="7"/>
  <c r="D718" i="7"/>
  <c r="F718" i="7"/>
  <c r="H718" i="7"/>
  <c r="K718" i="7"/>
  <c r="A718" i="7" s="1"/>
  <c r="L718" i="7"/>
  <c r="M718" i="7"/>
  <c r="N718" i="7"/>
  <c r="O718" i="7"/>
  <c r="Q718" i="7"/>
  <c r="R718" i="7"/>
  <c r="C719" i="7"/>
  <c r="G719" i="7"/>
  <c r="K719" i="7"/>
  <c r="M719" i="7"/>
  <c r="O719" i="7"/>
  <c r="R719" i="7"/>
  <c r="B720" i="7"/>
  <c r="D720" i="7"/>
  <c r="F720" i="7"/>
  <c r="H720" i="7"/>
  <c r="K720" i="7"/>
  <c r="A720" i="7" s="1"/>
  <c r="L720" i="7"/>
  <c r="M720" i="7"/>
  <c r="N720" i="7"/>
  <c r="O720" i="7"/>
  <c r="Q720" i="7"/>
  <c r="R720" i="7"/>
  <c r="K721" i="7"/>
  <c r="C721" i="7" s="1"/>
  <c r="O721" i="7"/>
  <c r="B722" i="7"/>
  <c r="D722" i="7"/>
  <c r="F722" i="7"/>
  <c r="H722" i="7"/>
  <c r="K722" i="7"/>
  <c r="A722" i="7" s="1"/>
  <c r="L722" i="7"/>
  <c r="M722" i="7"/>
  <c r="N722" i="7"/>
  <c r="O722" i="7"/>
  <c r="Q722" i="7"/>
  <c r="R722" i="7"/>
  <c r="C723" i="7"/>
  <c r="G723" i="7"/>
  <c r="K723" i="7"/>
  <c r="M723" i="7"/>
  <c r="O723" i="7"/>
  <c r="R723" i="7"/>
  <c r="B724" i="7"/>
  <c r="D724" i="7"/>
  <c r="F724" i="7"/>
  <c r="H724" i="7"/>
  <c r="K724" i="7"/>
  <c r="A724" i="7" s="1"/>
  <c r="L724" i="7"/>
  <c r="M724" i="7"/>
  <c r="N724" i="7"/>
  <c r="O724" i="7"/>
  <c r="Q724" i="7"/>
  <c r="R724" i="7"/>
  <c r="K725" i="7"/>
  <c r="C725" i="7" s="1"/>
  <c r="O725" i="7"/>
  <c r="B726" i="7"/>
  <c r="D726" i="7"/>
  <c r="F726" i="7"/>
  <c r="H726" i="7"/>
  <c r="K726" i="7"/>
  <c r="A726" i="7" s="1"/>
  <c r="L726" i="7"/>
  <c r="M726" i="7"/>
  <c r="N726" i="7"/>
  <c r="O726" i="7"/>
  <c r="Q726" i="7"/>
  <c r="R726" i="7"/>
  <c r="C727" i="7"/>
  <c r="G727" i="7"/>
  <c r="K727" i="7"/>
  <c r="M727" i="7"/>
  <c r="O727" i="7"/>
  <c r="R727" i="7"/>
  <c r="B728" i="7"/>
  <c r="D728" i="7"/>
  <c r="F728" i="7"/>
  <c r="H728" i="7"/>
  <c r="K728" i="7"/>
  <c r="A728" i="7" s="1"/>
  <c r="L728" i="7"/>
  <c r="M728" i="7"/>
  <c r="N728" i="7"/>
  <c r="O728" i="7"/>
  <c r="Q728" i="7"/>
  <c r="R728" i="7"/>
  <c r="K729" i="7"/>
  <c r="C729" i="7" s="1"/>
  <c r="O729" i="7"/>
  <c r="B730" i="7"/>
  <c r="D730" i="7"/>
  <c r="F730" i="7"/>
  <c r="H730" i="7"/>
  <c r="K730" i="7"/>
  <c r="A730" i="7" s="1"/>
  <c r="L730" i="7"/>
  <c r="M730" i="7"/>
  <c r="N730" i="7"/>
  <c r="O730" i="7"/>
  <c r="Q730" i="7"/>
  <c r="R730" i="7"/>
  <c r="C731" i="7"/>
  <c r="G731" i="7"/>
  <c r="K731" i="7"/>
  <c r="M731" i="7"/>
  <c r="O731" i="7"/>
  <c r="R731" i="7"/>
  <c r="B732" i="7"/>
  <c r="D732" i="7"/>
  <c r="F732" i="7"/>
  <c r="H732" i="7"/>
  <c r="K732" i="7"/>
  <c r="A732" i="7" s="1"/>
  <c r="L732" i="7"/>
  <c r="M732" i="7"/>
  <c r="N732" i="7"/>
  <c r="O732" i="7"/>
  <c r="Q732" i="7"/>
  <c r="R732" i="7"/>
  <c r="K733" i="7"/>
  <c r="C733" i="7" s="1"/>
  <c r="O733" i="7"/>
  <c r="B734" i="7"/>
  <c r="D734" i="7"/>
  <c r="F734" i="7"/>
  <c r="H734" i="7"/>
  <c r="K734" i="7"/>
  <c r="A734" i="7" s="1"/>
  <c r="L734" i="7"/>
  <c r="M734" i="7"/>
  <c r="N734" i="7"/>
  <c r="O734" i="7"/>
  <c r="Q734" i="7"/>
  <c r="R734" i="7"/>
  <c r="C735" i="7"/>
  <c r="G735" i="7"/>
  <c r="K735" i="7"/>
  <c r="M735" i="7"/>
  <c r="O735" i="7"/>
  <c r="R735" i="7"/>
  <c r="B736" i="7"/>
  <c r="D736" i="7"/>
  <c r="F736" i="7"/>
  <c r="H736" i="7"/>
  <c r="K736" i="7"/>
  <c r="A736" i="7" s="1"/>
  <c r="L736" i="7"/>
  <c r="M736" i="7"/>
  <c r="N736" i="7"/>
  <c r="O736" i="7"/>
  <c r="Q736" i="7"/>
  <c r="R736" i="7"/>
  <c r="K737" i="7"/>
  <c r="C737" i="7" s="1"/>
  <c r="O737" i="7"/>
  <c r="B738" i="7"/>
  <c r="D738" i="7"/>
  <c r="F738" i="7"/>
  <c r="H738" i="7"/>
  <c r="K738" i="7"/>
  <c r="A738" i="7" s="1"/>
  <c r="L738" i="7"/>
  <c r="M738" i="7"/>
  <c r="N738" i="7"/>
  <c r="O738" i="7"/>
  <c r="Q738" i="7"/>
  <c r="R738" i="7"/>
  <c r="C739" i="7"/>
  <c r="G739" i="7"/>
  <c r="K739" i="7"/>
  <c r="M739" i="7"/>
  <c r="O739" i="7"/>
  <c r="R739" i="7"/>
  <c r="B740" i="7"/>
  <c r="D740" i="7"/>
  <c r="F740" i="7"/>
  <c r="H740" i="7"/>
  <c r="K740" i="7"/>
  <c r="A740" i="7" s="1"/>
  <c r="L740" i="7"/>
  <c r="M740" i="7"/>
  <c r="N740" i="7"/>
  <c r="O740" i="7"/>
  <c r="Q740" i="7"/>
  <c r="R740" i="7"/>
  <c r="K741" i="7"/>
  <c r="C741" i="7" s="1"/>
  <c r="O741" i="7"/>
  <c r="B742" i="7"/>
  <c r="D742" i="7"/>
  <c r="F742" i="7"/>
  <c r="H742" i="7"/>
  <c r="K742" i="7"/>
  <c r="A742" i="7" s="1"/>
  <c r="L742" i="7"/>
  <c r="M742" i="7"/>
  <c r="N742" i="7"/>
  <c r="O742" i="7"/>
  <c r="Q742" i="7"/>
  <c r="R742" i="7"/>
  <c r="C743" i="7"/>
  <c r="G743" i="7"/>
  <c r="K743" i="7"/>
  <c r="M743" i="7"/>
  <c r="O743" i="7"/>
  <c r="R743" i="7"/>
  <c r="B744" i="7"/>
  <c r="D744" i="7"/>
  <c r="F744" i="7"/>
  <c r="H744" i="7"/>
  <c r="K744" i="7"/>
  <c r="A744" i="7" s="1"/>
  <c r="L744" i="7"/>
  <c r="M744" i="7"/>
  <c r="N744" i="7"/>
  <c r="O744" i="7"/>
  <c r="Q744" i="7"/>
  <c r="R744" i="7"/>
  <c r="K745" i="7"/>
  <c r="C745" i="7" s="1"/>
  <c r="O745" i="7"/>
  <c r="B746" i="7"/>
  <c r="D746" i="7"/>
  <c r="F746" i="7"/>
  <c r="H746" i="7"/>
  <c r="K746" i="7"/>
  <c r="A746" i="7" s="1"/>
  <c r="L746" i="7"/>
  <c r="M746" i="7"/>
  <c r="N746" i="7"/>
  <c r="O746" i="7"/>
  <c r="Q746" i="7"/>
  <c r="R746" i="7"/>
  <c r="C747" i="7"/>
  <c r="G747" i="7"/>
  <c r="K747" i="7"/>
  <c r="M747" i="7"/>
  <c r="O747" i="7"/>
  <c r="R747" i="7"/>
  <c r="B748" i="7"/>
  <c r="D748" i="7"/>
  <c r="F748" i="7"/>
  <c r="H748" i="7"/>
  <c r="K748" i="7"/>
  <c r="A748" i="7" s="1"/>
  <c r="L748" i="7"/>
  <c r="M748" i="7"/>
  <c r="N748" i="7"/>
  <c r="O748" i="7"/>
  <c r="Q748" i="7"/>
  <c r="R748" i="7"/>
  <c r="K749" i="7"/>
  <c r="C749" i="7" s="1"/>
  <c r="O749" i="7"/>
  <c r="B750" i="7"/>
  <c r="D750" i="7"/>
  <c r="F750" i="7"/>
  <c r="H750" i="7"/>
  <c r="K750" i="7"/>
  <c r="A750" i="7" s="1"/>
  <c r="L750" i="7"/>
  <c r="M750" i="7"/>
  <c r="N750" i="7"/>
  <c r="O750" i="7"/>
  <c r="Q750" i="7"/>
  <c r="R750" i="7"/>
  <c r="C751" i="7"/>
  <c r="G751" i="7"/>
  <c r="K751" i="7"/>
  <c r="M751" i="7"/>
  <c r="O751" i="7"/>
  <c r="R751" i="7"/>
  <c r="B752" i="7"/>
  <c r="D752" i="7"/>
  <c r="F752" i="7"/>
  <c r="H752" i="7"/>
  <c r="K752" i="7"/>
  <c r="A752" i="7" s="1"/>
  <c r="L752" i="7"/>
  <c r="M752" i="7"/>
  <c r="N752" i="7"/>
  <c r="O752" i="7"/>
  <c r="Q752" i="7"/>
  <c r="R752" i="7"/>
  <c r="K753" i="7"/>
  <c r="C753" i="7" s="1"/>
  <c r="O753" i="7"/>
  <c r="B754" i="7"/>
  <c r="D754" i="7"/>
  <c r="F754" i="7"/>
  <c r="H754" i="7"/>
  <c r="K754" i="7"/>
  <c r="A754" i="7" s="1"/>
  <c r="L754" i="7"/>
  <c r="M754" i="7"/>
  <c r="N754" i="7"/>
  <c r="O754" i="7"/>
  <c r="Q754" i="7"/>
  <c r="R754" i="7"/>
  <c r="C755" i="7"/>
  <c r="G755" i="7"/>
  <c r="K755" i="7"/>
  <c r="M755" i="7"/>
  <c r="O755" i="7"/>
  <c r="R755" i="7"/>
  <c r="B756" i="7"/>
  <c r="D756" i="7"/>
  <c r="F756" i="7"/>
  <c r="H756" i="7"/>
  <c r="K756" i="7"/>
  <c r="A756" i="7" s="1"/>
  <c r="L756" i="7"/>
  <c r="M756" i="7"/>
  <c r="N756" i="7"/>
  <c r="O756" i="7"/>
  <c r="Q756" i="7"/>
  <c r="R756" i="7"/>
  <c r="K757" i="7"/>
  <c r="C757" i="7" s="1"/>
  <c r="O757" i="7"/>
  <c r="B758" i="7"/>
  <c r="D758" i="7"/>
  <c r="F758" i="7"/>
  <c r="H758" i="7"/>
  <c r="K758" i="7"/>
  <c r="A758" i="7" s="1"/>
  <c r="L758" i="7"/>
  <c r="M758" i="7"/>
  <c r="N758" i="7"/>
  <c r="O758" i="7"/>
  <c r="Q758" i="7"/>
  <c r="R758" i="7"/>
  <c r="C759" i="7"/>
  <c r="G759" i="7"/>
  <c r="K759" i="7"/>
  <c r="M759" i="7"/>
  <c r="O759" i="7"/>
  <c r="R759" i="7"/>
  <c r="B760" i="7"/>
  <c r="D760" i="7"/>
  <c r="F760" i="7"/>
  <c r="H760" i="7"/>
  <c r="K760" i="7"/>
  <c r="A760" i="7" s="1"/>
  <c r="L760" i="7"/>
  <c r="M760" i="7"/>
  <c r="N760" i="7"/>
  <c r="O760" i="7"/>
  <c r="Q760" i="7"/>
  <c r="R760" i="7"/>
  <c r="K761" i="7"/>
  <c r="C761" i="7" s="1"/>
  <c r="O761" i="7"/>
  <c r="B762" i="7"/>
  <c r="D762" i="7"/>
  <c r="F762" i="7"/>
  <c r="H762" i="7"/>
  <c r="K762" i="7"/>
  <c r="A762" i="7" s="1"/>
  <c r="L762" i="7"/>
  <c r="M762" i="7"/>
  <c r="N762" i="7"/>
  <c r="O762" i="7"/>
  <c r="Q762" i="7"/>
  <c r="R762" i="7"/>
  <c r="C763" i="7"/>
  <c r="G763" i="7"/>
  <c r="K763" i="7"/>
  <c r="M763" i="7"/>
  <c r="O763" i="7"/>
  <c r="R763" i="7"/>
  <c r="B764" i="7"/>
  <c r="D764" i="7"/>
  <c r="F764" i="7"/>
  <c r="H764" i="7"/>
  <c r="K764" i="7"/>
  <c r="A764" i="7" s="1"/>
  <c r="L764" i="7"/>
  <c r="M764" i="7"/>
  <c r="N764" i="7"/>
  <c r="O764" i="7"/>
  <c r="Q764" i="7"/>
  <c r="R764" i="7"/>
  <c r="K765" i="7"/>
  <c r="C765" i="7" s="1"/>
  <c r="O765" i="7"/>
  <c r="B766" i="7"/>
  <c r="D766" i="7"/>
  <c r="F766" i="7"/>
  <c r="H766" i="7"/>
  <c r="K766" i="7"/>
  <c r="A766" i="7" s="1"/>
  <c r="L766" i="7"/>
  <c r="M766" i="7"/>
  <c r="N766" i="7"/>
  <c r="O766" i="7"/>
  <c r="Q766" i="7"/>
  <c r="R766" i="7"/>
  <c r="C767" i="7"/>
  <c r="G767" i="7"/>
  <c r="K767" i="7"/>
  <c r="M767" i="7"/>
  <c r="O767" i="7"/>
  <c r="R767" i="7"/>
  <c r="B768" i="7"/>
  <c r="D768" i="7"/>
  <c r="F768" i="7"/>
  <c r="H768" i="7"/>
  <c r="K768" i="7"/>
  <c r="A768" i="7" s="1"/>
  <c r="L768" i="7"/>
  <c r="M768" i="7"/>
  <c r="N768" i="7"/>
  <c r="O768" i="7"/>
  <c r="Q768" i="7"/>
  <c r="R768" i="7"/>
  <c r="K769" i="7"/>
  <c r="C769" i="7" s="1"/>
  <c r="O769" i="7"/>
  <c r="B770" i="7"/>
  <c r="D770" i="7"/>
  <c r="F770" i="7"/>
  <c r="H770" i="7"/>
  <c r="K770" i="7"/>
  <c r="A770" i="7" s="1"/>
  <c r="L770" i="7"/>
  <c r="M770" i="7"/>
  <c r="N770" i="7"/>
  <c r="O770" i="7"/>
  <c r="Q770" i="7"/>
  <c r="R770" i="7"/>
  <c r="C771" i="7"/>
  <c r="G771" i="7"/>
  <c r="K771" i="7"/>
  <c r="M771" i="7"/>
  <c r="O771" i="7"/>
  <c r="R771" i="7"/>
  <c r="B772" i="7"/>
  <c r="D772" i="7"/>
  <c r="F772" i="7"/>
  <c r="H772" i="7"/>
  <c r="K772" i="7"/>
  <c r="A772" i="7" s="1"/>
  <c r="L772" i="7"/>
  <c r="M772" i="7"/>
  <c r="N772" i="7"/>
  <c r="O772" i="7"/>
  <c r="Q772" i="7"/>
  <c r="R772" i="7"/>
  <c r="K773" i="7"/>
  <c r="C773" i="7" s="1"/>
  <c r="O773" i="7"/>
  <c r="B774" i="7"/>
  <c r="D774" i="7"/>
  <c r="F774" i="7"/>
  <c r="H774" i="7"/>
  <c r="K774" i="7"/>
  <c r="A774" i="7" s="1"/>
  <c r="L774" i="7"/>
  <c r="M774" i="7"/>
  <c r="N774" i="7"/>
  <c r="O774" i="7"/>
  <c r="Q774" i="7"/>
  <c r="R774" i="7"/>
  <c r="C775" i="7"/>
  <c r="G775" i="7"/>
  <c r="K775" i="7"/>
  <c r="M775" i="7"/>
  <c r="O775" i="7"/>
  <c r="R775" i="7"/>
  <c r="B776" i="7"/>
  <c r="D776" i="7"/>
  <c r="F776" i="7"/>
  <c r="H776" i="7"/>
  <c r="K776" i="7"/>
  <c r="A776" i="7" s="1"/>
  <c r="L776" i="7"/>
  <c r="M776" i="7"/>
  <c r="N776" i="7"/>
  <c r="O776" i="7"/>
  <c r="Q776" i="7"/>
  <c r="R776" i="7"/>
  <c r="K777" i="7"/>
  <c r="C777" i="7" s="1"/>
  <c r="O777" i="7"/>
  <c r="B778" i="7"/>
  <c r="D778" i="7"/>
  <c r="F778" i="7"/>
  <c r="H778" i="7"/>
  <c r="K778" i="7"/>
  <c r="A778" i="7" s="1"/>
  <c r="L778" i="7"/>
  <c r="M778" i="7"/>
  <c r="N778" i="7"/>
  <c r="O778" i="7"/>
  <c r="Q778" i="7"/>
  <c r="R778" i="7"/>
  <c r="C779" i="7"/>
  <c r="G779" i="7"/>
  <c r="K779" i="7"/>
  <c r="M779" i="7"/>
  <c r="O779" i="7"/>
  <c r="R779" i="7"/>
  <c r="B780" i="7"/>
  <c r="D780" i="7"/>
  <c r="F780" i="7"/>
  <c r="H780" i="7"/>
  <c r="K780" i="7"/>
  <c r="A780" i="7" s="1"/>
  <c r="L780" i="7"/>
  <c r="M780" i="7"/>
  <c r="N780" i="7"/>
  <c r="O780" i="7"/>
  <c r="Q780" i="7"/>
  <c r="R780" i="7"/>
  <c r="K781" i="7"/>
  <c r="C781" i="7" s="1"/>
  <c r="O781" i="7"/>
  <c r="B782" i="7"/>
  <c r="F782" i="7"/>
  <c r="H782" i="7"/>
  <c r="K782" i="7"/>
  <c r="L782" i="7"/>
  <c r="M782" i="7"/>
  <c r="N782" i="7"/>
  <c r="O782" i="7"/>
  <c r="Q782" i="7"/>
  <c r="R782" i="7"/>
  <c r="K783" i="7"/>
  <c r="A783" i="7" s="1"/>
  <c r="M783" i="7"/>
  <c r="O783" i="7"/>
  <c r="R783" i="7"/>
  <c r="B784" i="7"/>
  <c r="D784" i="7"/>
  <c r="F784" i="7"/>
  <c r="H784" i="7"/>
  <c r="K784" i="7"/>
  <c r="A784" i="7" s="1"/>
  <c r="L784" i="7"/>
  <c r="M784" i="7"/>
  <c r="N784" i="7"/>
  <c r="O784" i="7"/>
  <c r="Q784" i="7"/>
  <c r="R784" i="7"/>
  <c r="K785" i="7"/>
  <c r="A785" i="7" s="1"/>
  <c r="M785" i="7"/>
  <c r="O785" i="7"/>
  <c r="R785" i="7"/>
  <c r="B786" i="7"/>
  <c r="D786" i="7"/>
  <c r="F786" i="7"/>
  <c r="H786" i="7"/>
  <c r="K786" i="7"/>
  <c r="A786" i="7" s="1"/>
  <c r="L786" i="7"/>
  <c r="M786" i="7"/>
  <c r="N786" i="7"/>
  <c r="O786" i="7"/>
  <c r="Q786" i="7"/>
  <c r="R786" i="7"/>
  <c r="K787" i="7"/>
  <c r="A787" i="7" s="1"/>
  <c r="M787" i="7"/>
  <c r="O787" i="7"/>
  <c r="R787" i="7"/>
  <c r="B788" i="7"/>
  <c r="D788" i="7"/>
  <c r="F788" i="7"/>
  <c r="H788" i="7"/>
  <c r="K788" i="7"/>
  <c r="A788" i="7" s="1"/>
  <c r="L788" i="7"/>
  <c r="M788" i="7"/>
  <c r="N788" i="7"/>
  <c r="O788" i="7"/>
  <c r="Q788" i="7"/>
  <c r="R788" i="7"/>
  <c r="K789" i="7"/>
  <c r="A789" i="7" s="1"/>
  <c r="M789" i="7"/>
  <c r="O789" i="7"/>
  <c r="R789" i="7"/>
  <c r="B790" i="7"/>
  <c r="D790" i="7"/>
  <c r="F790" i="7"/>
  <c r="H790" i="7"/>
  <c r="K790" i="7"/>
  <c r="A790" i="7" s="1"/>
  <c r="L790" i="7"/>
  <c r="M790" i="7"/>
  <c r="N790" i="7"/>
  <c r="O790" i="7"/>
  <c r="Q790" i="7"/>
  <c r="R790" i="7"/>
  <c r="K791" i="7"/>
  <c r="A791" i="7" s="1"/>
  <c r="M791" i="7"/>
  <c r="O791" i="7"/>
  <c r="R791" i="7"/>
  <c r="B792" i="7"/>
  <c r="D792" i="7"/>
  <c r="F792" i="7"/>
  <c r="H792" i="7"/>
  <c r="K792" i="7"/>
  <c r="A792" i="7" s="1"/>
  <c r="L792" i="7"/>
  <c r="M792" i="7"/>
  <c r="N792" i="7"/>
  <c r="O792" i="7"/>
  <c r="Q792" i="7"/>
  <c r="R792" i="7"/>
  <c r="K793" i="7"/>
  <c r="A793" i="7" s="1"/>
  <c r="M793" i="7"/>
  <c r="O793" i="7"/>
  <c r="R793" i="7"/>
  <c r="B794" i="7"/>
  <c r="D794" i="7"/>
  <c r="F794" i="7"/>
  <c r="H794" i="7"/>
  <c r="K794" i="7"/>
  <c r="A794" i="7" s="1"/>
  <c r="L794" i="7"/>
  <c r="M794" i="7"/>
  <c r="N794" i="7"/>
  <c r="O794" i="7"/>
  <c r="Q794" i="7"/>
  <c r="R794" i="7"/>
  <c r="K795" i="7"/>
  <c r="A795" i="7" s="1"/>
  <c r="M795" i="7"/>
  <c r="O795" i="7"/>
  <c r="R795" i="7"/>
  <c r="B796" i="7"/>
  <c r="D796" i="7"/>
  <c r="F796" i="7"/>
  <c r="H796" i="7"/>
  <c r="K796" i="7"/>
  <c r="A796" i="7" s="1"/>
  <c r="L796" i="7"/>
  <c r="M796" i="7"/>
  <c r="N796" i="7"/>
  <c r="O796" i="7"/>
  <c r="Q796" i="7"/>
  <c r="R796" i="7"/>
  <c r="K797" i="7"/>
  <c r="A797" i="7" s="1"/>
  <c r="M797" i="7"/>
  <c r="O797" i="7"/>
  <c r="R797" i="7"/>
  <c r="B798" i="7"/>
  <c r="D798" i="7"/>
  <c r="F798" i="7"/>
  <c r="H798" i="7"/>
  <c r="K798" i="7"/>
  <c r="A798" i="7" s="1"/>
  <c r="L798" i="7"/>
  <c r="M798" i="7"/>
  <c r="N798" i="7"/>
  <c r="O798" i="7"/>
  <c r="Q798" i="7"/>
  <c r="R798" i="7"/>
  <c r="K799" i="7"/>
  <c r="A799" i="7" s="1"/>
  <c r="M799" i="7"/>
  <c r="O799" i="7"/>
  <c r="R799" i="7"/>
  <c r="B800" i="7"/>
  <c r="D800" i="7"/>
  <c r="F800" i="7"/>
  <c r="H800" i="7"/>
  <c r="K800" i="7"/>
  <c r="A800" i="7" s="1"/>
  <c r="L800" i="7"/>
  <c r="M800" i="7"/>
  <c r="N800" i="7"/>
  <c r="O800" i="7"/>
  <c r="Q800" i="7"/>
  <c r="R800" i="7"/>
  <c r="K801" i="7"/>
  <c r="A801" i="7" s="1"/>
  <c r="M801" i="7"/>
  <c r="O801" i="7"/>
  <c r="R801" i="7"/>
  <c r="B802" i="7"/>
  <c r="D802" i="7"/>
  <c r="F802" i="7"/>
  <c r="H802" i="7"/>
  <c r="K802" i="7"/>
  <c r="A802" i="7" s="1"/>
  <c r="L802" i="7"/>
  <c r="M802" i="7"/>
  <c r="N802" i="7"/>
  <c r="O802" i="7"/>
  <c r="Q802" i="7"/>
  <c r="R802" i="7"/>
  <c r="K803" i="7"/>
  <c r="A803" i="7" s="1"/>
  <c r="M803" i="7"/>
  <c r="O803" i="7"/>
  <c r="R803" i="7"/>
  <c r="B804" i="7"/>
  <c r="D804" i="7"/>
  <c r="F804" i="7"/>
  <c r="H804" i="7"/>
  <c r="K804" i="7"/>
  <c r="A804" i="7" s="1"/>
  <c r="L804" i="7"/>
  <c r="M804" i="7"/>
  <c r="N804" i="7"/>
  <c r="O804" i="7"/>
  <c r="Q804" i="7"/>
  <c r="R804" i="7"/>
  <c r="K805" i="7"/>
  <c r="A805" i="7" s="1"/>
  <c r="M805" i="7"/>
  <c r="O805" i="7"/>
  <c r="R805" i="7"/>
  <c r="B806" i="7"/>
  <c r="D806" i="7"/>
  <c r="F806" i="7"/>
  <c r="H806" i="7"/>
  <c r="K806" i="7"/>
  <c r="A806" i="7" s="1"/>
  <c r="L806" i="7"/>
  <c r="M806" i="7"/>
  <c r="N806" i="7"/>
  <c r="O806" i="7"/>
  <c r="Q806" i="7"/>
  <c r="R806" i="7"/>
  <c r="K807" i="7"/>
  <c r="A807" i="7" s="1"/>
  <c r="M807" i="7"/>
  <c r="O807" i="7"/>
  <c r="R807" i="7"/>
  <c r="B808" i="7"/>
  <c r="D808" i="7"/>
  <c r="F808" i="7"/>
  <c r="H808" i="7"/>
  <c r="K808" i="7"/>
  <c r="A808" i="7" s="1"/>
  <c r="L808" i="7"/>
  <c r="M808" i="7"/>
  <c r="N808" i="7"/>
  <c r="O808" i="7"/>
  <c r="Q808" i="7"/>
  <c r="R808" i="7"/>
  <c r="K809" i="7"/>
  <c r="A809" i="7" s="1"/>
  <c r="M809" i="7"/>
  <c r="O809" i="7"/>
  <c r="R809" i="7"/>
  <c r="B810" i="7"/>
  <c r="D810" i="7"/>
  <c r="F810" i="7"/>
  <c r="H810" i="7"/>
  <c r="K810" i="7"/>
  <c r="A810" i="7" s="1"/>
  <c r="L810" i="7"/>
  <c r="M810" i="7"/>
  <c r="N810" i="7"/>
  <c r="O810" i="7"/>
  <c r="Q810" i="7"/>
  <c r="R810" i="7"/>
  <c r="K811" i="7"/>
  <c r="A811" i="7" s="1"/>
  <c r="M811" i="7"/>
  <c r="O811" i="7"/>
  <c r="R811" i="7"/>
  <c r="B812" i="7"/>
  <c r="D812" i="7"/>
  <c r="F812" i="7"/>
  <c r="H812" i="7"/>
  <c r="K812" i="7"/>
  <c r="A812" i="7" s="1"/>
  <c r="L812" i="7"/>
  <c r="M812" i="7"/>
  <c r="N812" i="7"/>
  <c r="O812" i="7"/>
  <c r="Q812" i="7"/>
  <c r="R812" i="7"/>
  <c r="K813" i="7"/>
  <c r="A813" i="7" s="1"/>
  <c r="M813" i="7"/>
  <c r="O813" i="7"/>
  <c r="R813" i="7"/>
  <c r="B814" i="7"/>
  <c r="D814" i="7"/>
  <c r="F814" i="7"/>
  <c r="H814" i="7"/>
  <c r="K814" i="7"/>
  <c r="A814" i="7" s="1"/>
  <c r="L814" i="7"/>
  <c r="M814" i="7"/>
  <c r="N814" i="7"/>
  <c r="O814" i="7"/>
  <c r="Q814" i="7"/>
  <c r="R814" i="7"/>
  <c r="K815" i="7"/>
  <c r="A815" i="7" s="1"/>
  <c r="M815" i="7"/>
  <c r="O815" i="7"/>
  <c r="R815" i="7"/>
  <c r="B816" i="7"/>
  <c r="D816" i="7"/>
  <c r="F816" i="7"/>
  <c r="H816" i="7"/>
  <c r="K816" i="7"/>
  <c r="A816" i="7" s="1"/>
  <c r="L816" i="7"/>
  <c r="M816" i="7"/>
  <c r="N816" i="7"/>
  <c r="O816" i="7"/>
  <c r="Q816" i="7"/>
  <c r="R816" i="7"/>
  <c r="K817" i="7"/>
  <c r="A817" i="7" s="1"/>
  <c r="M817" i="7"/>
  <c r="O817" i="7"/>
  <c r="R817" i="7"/>
  <c r="B818" i="7"/>
  <c r="D818" i="7"/>
  <c r="F818" i="7"/>
  <c r="H818" i="7"/>
  <c r="K818" i="7"/>
  <c r="A818" i="7" s="1"/>
  <c r="L818" i="7"/>
  <c r="M818" i="7"/>
  <c r="N818" i="7"/>
  <c r="O818" i="7"/>
  <c r="Q818" i="7"/>
  <c r="R818" i="7"/>
  <c r="K819" i="7"/>
  <c r="A819" i="7" s="1"/>
  <c r="M819" i="7"/>
  <c r="O819" i="7"/>
  <c r="R819" i="7"/>
  <c r="B820" i="7"/>
  <c r="D820" i="7"/>
  <c r="F820" i="7"/>
  <c r="H820" i="7"/>
  <c r="K820" i="7"/>
  <c r="A820" i="7" s="1"/>
  <c r="L820" i="7"/>
  <c r="M820" i="7"/>
  <c r="N820" i="7"/>
  <c r="O820" i="7"/>
  <c r="Q820" i="7"/>
  <c r="R820" i="7"/>
  <c r="K821" i="7"/>
  <c r="A821" i="7" s="1"/>
  <c r="M821" i="7"/>
  <c r="O821" i="7"/>
  <c r="R821" i="7"/>
  <c r="B822" i="7"/>
  <c r="D822" i="7"/>
  <c r="F822" i="7"/>
  <c r="H822" i="7"/>
  <c r="K822" i="7"/>
  <c r="A822" i="7" s="1"/>
  <c r="L822" i="7"/>
  <c r="M822" i="7"/>
  <c r="N822" i="7"/>
  <c r="O822" i="7"/>
  <c r="Q822" i="7"/>
  <c r="R822" i="7"/>
  <c r="K823" i="7"/>
  <c r="A823" i="7" s="1"/>
  <c r="M823" i="7"/>
  <c r="O823" i="7"/>
  <c r="R823" i="7"/>
  <c r="B824" i="7"/>
  <c r="D824" i="7"/>
  <c r="F824" i="7"/>
  <c r="H824" i="7"/>
  <c r="K824" i="7"/>
  <c r="A824" i="7" s="1"/>
  <c r="L824" i="7"/>
  <c r="M824" i="7"/>
  <c r="N824" i="7"/>
  <c r="O824" i="7"/>
  <c r="Q824" i="7"/>
  <c r="R824" i="7"/>
  <c r="K825" i="7"/>
  <c r="A825" i="7" s="1"/>
  <c r="M825" i="7"/>
  <c r="O825" i="7"/>
  <c r="R825" i="7"/>
  <c r="B826" i="7"/>
  <c r="D826" i="7"/>
  <c r="F826" i="7"/>
  <c r="H826" i="7"/>
  <c r="K826" i="7"/>
  <c r="A826" i="7" s="1"/>
  <c r="L826" i="7"/>
  <c r="M826" i="7"/>
  <c r="N826" i="7"/>
  <c r="O826" i="7"/>
  <c r="Q826" i="7"/>
  <c r="R826" i="7"/>
  <c r="K827" i="7"/>
  <c r="A827" i="7" s="1"/>
  <c r="M827" i="7"/>
  <c r="O827" i="7"/>
  <c r="R827" i="7"/>
  <c r="B828" i="7"/>
  <c r="D828" i="7"/>
  <c r="F828" i="7"/>
  <c r="H828" i="7"/>
  <c r="K828" i="7"/>
  <c r="A828" i="7" s="1"/>
  <c r="L828" i="7"/>
  <c r="M828" i="7"/>
  <c r="N828" i="7"/>
  <c r="O828" i="7"/>
  <c r="Q828" i="7"/>
  <c r="R828" i="7"/>
  <c r="K829" i="7"/>
  <c r="A829" i="7" s="1"/>
  <c r="M829" i="7"/>
  <c r="O829" i="7"/>
  <c r="R829" i="7"/>
  <c r="B830" i="7"/>
  <c r="D830" i="7"/>
  <c r="F830" i="7"/>
  <c r="H830" i="7"/>
  <c r="K830" i="7"/>
  <c r="A830" i="7" s="1"/>
  <c r="L830" i="7"/>
  <c r="M830" i="7"/>
  <c r="N830" i="7"/>
  <c r="O830" i="7"/>
  <c r="Q830" i="7"/>
  <c r="R830" i="7"/>
  <c r="K831" i="7"/>
  <c r="A831" i="7" s="1"/>
  <c r="M831" i="7"/>
  <c r="O831" i="7"/>
  <c r="R831" i="7"/>
  <c r="B832" i="7"/>
  <c r="D832" i="7"/>
  <c r="F832" i="7"/>
  <c r="H832" i="7"/>
  <c r="K832" i="7"/>
  <c r="A832" i="7" s="1"/>
  <c r="L832" i="7"/>
  <c r="M832" i="7"/>
  <c r="N832" i="7"/>
  <c r="O832" i="7"/>
  <c r="Q832" i="7"/>
  <c r="R832" i="7"/>
  <c r="K833" i="7"/>
  <c r="A833" i="7" s="1"/>
  <c r="M833" i="7"/>
  <c r="O833" i="7"/>
  <c r="R833" i="7"/>
  <c r="B834" i="7"/>
  <c r="D834" i="7"/>
  <c r="F834" i="7"/>
  <c r="H834" i="7"/>
  <c r="K834" i="7"/>
  <c r="A834" i="7" s="1"/>
  <c r="L834" i="7"/>
  <c r="M834" i="7"/>
  <c r="N834" i="7"/>
  <c r="O834" i="7"/>
  <c r="Q834" i="7"/>
  <c r="R834" i="7"/>
  <c r="K835" i="7"/>
  <c r="A835" i="7" s="1"/>
  <c r="M835" i="7"/>
  <c r="O835" i="7"/>
  <c r="R835" i="7"/>
  <c r="B836" i="7"/>
  <c r="D836" i="7"/>
  <c r="F836" i="7"/>
  <c r="H836" i="7"/>
  <c r="K836" i="7"/>
  <c r="A836" i="7" s="1"/>
  <c r="L836" i="7"/>
  <c r="M836" i="7"/>
  <c r="N836" i="7"/>
  <c r="O836" i="7"/>
  <c r="Q836" i="7"/>
  <c r="R836" i="7"/>
  <c r="K837" i="7"/>
  <c r="A837" i="7" s="1"/>
  <c r="M837" i="7"/>
  <c r="O837" i="7"/>
  <c r="R837" i="7"/>
  <c r="B838" i="7"/>
  <c r="D838" i="7"/>
  <c r="F838" i="7"/>
  <c r="H838" i="7"/>
  <c r="K838" i="7"/>
  <c r="A838" i="7" s="1"/>
  <c r="L838" i="7"/>
  <c r="M838" i="7"/>
  <c r="N838" i="7"/>
  <c r="O838" i="7"/>
  <c r="Q838" i="7"/>
  <c r="R838" i="7"/>
  <c r="K839" i="7"/>
  <c r="A839" i="7" s="1"/>
  <c r="M839" i="7"/>
  <c r="O839" i="7"/>
  <c r="R839" i="7"/>
  <c r="B840" i="7"/>
  <c r="D840" i="7"/>
  <c r="F840" i="7"/>
  <c r="H840" i="7"/>
  <c r="K840" i="7"/>
  <c r="A840" i="7" s="1"/>
  <c r="L840" i="7"/>
  <c r="M840" i="7"/>
  <c r="N840" i="7"/>
  <c r="O840" i="7"/>
  <c r="Q840" i="7"/>
  <c r="R840" i="7"/>
  <c r="K841" i="7"/>
  <c r="A841" i="7" s="1"/>
  <c r="M841" i="7"/>
  <c r="O841" i="7"/>
  <c r="R841" i="7"/>
  <c r="B842" i="7"/>
  <c r="D842" i="7"/>
  <c r="F842" i="7"/>
  <c r="H842" i="7"/>
  <c r="K842" i="7"/>
  <c r="A842" i="7" s="1"/>
  <c r="L842" i="7"/>
  <c r="M842" i="7"/>
  <c r="N842" i="7"/>
  <c r="O842" i="7"/>
  <c r="Q842" i="7"/>
  <c r="R842" i="7"/>
  <c r="K843" i="7"/>
  <c r="A843" i="7" s="1"/>
  <c r="M843" i="7"/>
  <c r="O843" i="7"/>
  <c r="R843" i="7"/>
  <c r="B844" i="7"/>
  <c r="D844" i="7"/>
  <c r="F844" i="7"/>
  <c r="H844" i="7"/>
  <c r="K844" i="7"/>
  <c r="A844" i="7" s="1"/>
  <c r="L844" i="7"/>
  <c r="M844" i="7"/>
  <c r="N844" i="7"/>
  <c r="O844" i="7"/>
  <c r="Q844" i="7"/>
  <c r="R844" i="7"/>
  <c r="K845" i="7"/>
  <c r="A845" i="7" s="1"/>
  <c r="M845" i="7"/>
  <c r="O845" i="7"/>
  <c r="R845" i="7"/>
  <c r="B846" i="7"/>
  <c r="D846" i="7"/>
  <c r="F846" i="7"/>
  <c r="H846" i="7"/>
  <c r="K846" i="7"/>
  <c r="A846" i="7" s="1"/>
  <c r="L846" i="7"/>
  <c r="M846" i="7"/>
  <c r="N846" i="7"/>
  <c r="O846" i="7"/>
  <c r="Q846" i="7"/>
  <c r="R846" i="7"/>
  <c r="K847" i="7"/>
  <c r="A847" i="7" s="1"/>
  <c r="M847" i="7"/>
  <c r="O847" i="7"/>
  <c r="R847" i="7"/>
  <c r="B848" i="7"/>
  <c r="D848" i="7"/>
  <c r="F848" i="7"/>
  <c r="H848" i="7"/>
  <c r="K848" i="7"/>
  <c r="A848" i="7" s="1"/>
  <c r="L848" i="7"/>
  <c r="M848" i="7"/>
  <c r="N848" i="7"/>
  <c r="O848" i="7"/>
  <c r="Q848" i="7"/>
  <c r="R848" i="7"/>
  <c r="K849" i="7"/>
  <c r="A849" i="7" s="1"/>
  <c r="M849" i="7"/>
  <c r="O849" i="7"/>
  <c r="R849" i="7"/>
  <c r="B850" i="7"/>
  <c r="D850" i="7"/>
  <c r="F850" i="7"/>
  <c r="H850" i="7"/>
  <c r="K850" i="7"/>
  <c r="A850" i="7" s="1"/>
  <c r="L850" i="7"/>
  <c r="M850" i="7"/>
  <c r="N850" i="7"/>
  <c r="O850" i="7"/>
  <c r="Q850" i="7"/>
  <c r="R850" i="7"/>
  <c r="K851" i="7"/>
  <c r="A851" i="7" s="1"/>
  <c r="M851" i="7"/>
  <c r="O851" i="7"/>
  <c r="R851" i="7"/>
  <c r="B852" i="7"/>
  <c r="D852" i="7"/>
  <c r="F852" i="7"/>
  <c r="H852" i="7"/>
  <c r="K852" i="7"/>
  <c r="A852" i="7" s="1"/>
  <c r="L852" i="7"/>
  <c r="M852" i="7"/>
  <c r="N852" i="7"/>
  <c r="O852" i="7"/>
  <c r="Q852" i="7"/>
  <c r="R852" i="7"/>
  <c r="K853" i="7"/>
  <c r="A853" i="7" s="1"/>
  <c r="M853" i="7"/>
  <c r="O853" i="7"/>
  <c r="R853" i="7"/>
  <c r="B854" i="7"/>
  <c r="D854" i="7"/>
  <c r="F854" i="7"/>
  <c r="H854" i="7"/>
  <c r="K854" i="7"/>
  <c r="A854" i="7" s="1"/>
  <c r="L854" i="7"/>
  <c r="M854" i="7"/>
  <c r="N854" i="7"/>
  <c r="O854" i="7"/>
  <c r="Q854" i="7"/>
  <c r="R854" i="7"/>
  <c r="K855" i="7"/>
  <c r="A855" i="7" s="1"/>
  <c r="M855" i="7"/>
  <c r="O855" i="7"/>
  <c r="R855" i="7"/>
  <c r="B856" i="7"/>
  <c r="D856" i="7"/>
  <c r="F856" i="7"/>
  <c r="H856" i="7"/>
  <c r="K856" i="7"/>
  <c r="A856" i="7" s="1"/>
  <c r="L856" i="7"/>
  <c r="M856" i="7"/>
  <c r="N856" i="7"/>
  <c r="O856" i="7"/>
  <c r="Q856" i="7"/>
  <c r="R856" i="7"/>
  <c r="K857" i="7"/>
  <c r="A857" i="7" s="1"/>
  <c r="M857" i="7"/>
  <c r="O857" i="7"/>
  <c r="R857" i="7"/>
  <c r="B858" i="7"/>
  <c r="D858" i="7"/>
  <c r="F858" i="7"/>
  <c r="H858" i="7"/>
  <c r="K858" i="7"/>
  <c r="A858" i="7" s="1"/>
  <c r="L858" i="7"/>
  <c r="M858" i="7"/>
  <c r="N858" i="7"/>
  <c r="O858" i="7"/>
  <c r="Q858" i="7"/>
  <c r="R858" i="7"/>
  <c r="K859" i="7"/>
  <c r="A859" i="7" s="1"/>
  <c r="M859" i="7"/>
  <c r="O859" i="7"/>
  <c r="R859" i="7"/>
  <c r="B860" i="7"/>
  <c r="D860" i="7"/>
  <c r="F860" i="7"/>
  <c r="H860" i="7"/>
  <c r="K860" i="7"/>
  <c r="A860" i="7" s="1"/>
  <c r="L860" i="7"/>
  <c r="M860" i="7"/>
  <c r="N860" i="7"/>
  <c r="O860" i="7"/>
  <c r="Q860" i="7"/>
  <c r="R860" i="7"/>
  <c r="K861" i="7"/>
  <c r="A861" i="7" s="1"/>
  <c r="M861" i="7"/>
  <c r="O861" i="7"/>
  <c r="R861" i="7"/>
  <c r="B862" i="7"/>
  <c r="D862" i="7"/>
  <c r="F862" i="7"/>
  <c r="H862" i="7"/>
  <c r="K862" i="7"/>
  <c r="A862" i="7" s="1"/>
  <c r="L862" i="7"/>
  <c r="M862" i="7"/>
  <c r="N862" i="7"/>
  <c r="O862" i="7"/>
  <c r="Q862" i="7"/>
  <c r="R862" i="7"/>
  <c r="K863" i="7"/>
  <c r="A863" i="7" s="1"/>
  <c r="M863" i="7"/>
  <c r="O863" i="7"/>
  <c r="R863" i="7"/>
  <c r="B864" i="7"/>
  <c r="D864" i="7"/>
  <c r="F864" i="7"/>
  <c r="H864" i="7"/>
  <c r="K864" i="7"/>
  <c r="A864" i="7" s="1"/>
  <c r="L864" i="7"/>
  <c r="M864" i="7"/>
  <c r="N864" i="7"/>
  <c r="O864" i="7"/>
  <c r="Q864" i="7"/>
  <c r="R864" i="7"/>
  <c r="K865" i="7"/>
  <c r="A865" i="7" s="1"/>
  <c r="M865" i="7"/>
  <c r="O865" i="7"/>
  <c r="R865" i="7"/>
  <c r="B866" i="7"/>
  <c r="D866" i="7"/>
  <c r="F866" i="7"/>
  <c r="H866" i="7"/>
  <c r="K866" i="7"/>
  <c r="A866" i="7" s="1"/>
  <c r="L866" i="7"/>
  <c r="M866" i="7"/>
  <c r="N866" i="7"/>
  <c r="O866" i="7"/>
  <c r="Q866" i="7"/>
  <c r="R866" i="7"/>
  <c r="K867" i="7"/>
  <c r="A867" i="7" s="1"/>
  <c r="M867" i="7"/>
  <c r="O867" i="7"/>
  <c r="R867" i="7"/>
  <c r="B868" i="7"/>
  <c r="D868" i="7"/>
  <c r="F868" i="7"/>
  <c r="H868" i="7"/>
  <c r="K868" i="7"/>
  <c r="A868" i="7" s="1"/>
  <c r="L868" i="7"/>
  <c r="M868" i="7"/>
  <c r="N868" i="7"/>
  <c r="O868" i="7"/>
  <c r="Q868" i="7"/>
  <c r="R868" i="7"/>
  <c r="K869" i="7"/>
  <c r="A869" i="7" s="1"/>
  <c r="M869" i="7"/>
  <c r="O869" i="7"/>
  <c r="R869" i="7"/>
  <c r="B870" i="7"/>
  <c r="D870" i="7"/>
  <c r="F870" i="7"/>
  <c r="H870" i="7"/>
  <c r="K870" i="7"/>
  <c r="A870" i="7" s="1"/>
  <c r="L870" i="7"/>
  <c r="M870" i="7"/>
  <c r="N870" i="7"/>
  <c r="O870" i="7"/>
  <c r="Q870" i="7"/>
  <c r="R870" i="7"/>
  <c r="K871" i="7"/>
  <c r="A871" i="7" s="1"/>
  <c r="M871" i="7"/>
  <c r="O871" i="7"/>
  <c r="R871" i="7"/>
  <c r="B872" i="7"/>
  <c r="D872" i="7"/>
  <c r="F872" i="7"/>
  <c r="H872" i="7"/>
  <c r="K872" i="7"/>
  <c r="A872" i="7" s="1"/>
  <c r="L872" i="7"/>
  <c r="M872" i="7"/>
  <c r="N872" i="7"/>
  <c r="O872" i="7"/>
  <c r="Q872" i="7"/>
  <c r="R872" i="7"/>
  <c r="K873" i="7"/>
  <c r="A873" i="7" s="1"/>
  <c r="M873" i="7"/>
  <c r="O873" i="7"/>
  <c r="R873" i="7"/>
  <c r="B874" i="7"/>
  <c r="D874" i="7"/>
  <c r="F874" i="7"/>
  <c r="H874" i="7"/>
  <c r="K874" i="7"/>
  <c r="A874" i="7" s="1"/>
  <c r="L874" i="7"/>
  <c r="M874" i="7"/>
  <c r="N874" i="7"/>
  <c r="O874" i="7"/>
  <c r="Q874" i="7"/>
  <c r="R874" i="7"/>
  <c r="K875" i="7"/>
  <c r="A875" i="7" s="1"/>
  <c r="M875" i="7"/>
  <c r="O875" i="7"/>
  <c r="R875" i="7"/>
  <c r="B876" i="7"/>
  <c r="D876" i="7"/>
  <c r="F876" i="7"/>
  <c r="H876" i="7"/>
  <c r="K876" i="7"/>
  <c r="A876" i="7" s="1"/>
  <c r="L876" i="7"/>
  <c r="M876" i="7"/>
  <c r="N876" i="7"/>
  <c r="O876" i="7"/>
  <c r="Q876" i="7"/>
  <c r="R876" i="7"/>
  <c r="K877" i="7"/>
  <c r="A877" i="7" s="1"/>
  <c r="M877" i="7"/>
  <c r="O877" i="7"/>
  <c r="R877" i="7"/>
  <c r="B878" i="7"/>
  <c r="D878" i="7"/>
  <c r="F878" i="7"/>
  <c r="H878" i="7"/>
  <c r="K878" i="7"/>
  <c r="A878" i="7" s="1"/>
  <c r="L878" i="7"/>
  <c r="M878" i="7"/>
  <c r="N878" i="7"/>
  <c r="O878" i="7"/>
  <c r="Q878" i="7"/>
  <c r="R878" i="7"/>
  <c r="K879" i="7"/>
  <c r="A879" i="7" s="1"/>
  <c r="M879" i="7"/>
  <c r="O879" i="7"/>
  <c r="R879" i="7"/>
  <c r="B880" i="7"/>
  <c r="D880" i="7"/>
  <c r="F880" i="7"/>
  <c r="H880" i="7"/>
  <c r="K880" i="7"/>
  <c r="A880" i="7" s="1"/>
  <c r="L880" i="7"/>
  <c r="M880" i="7"/>
  <c r="N880" i="7"/>
  <c r="O880" i="7"/>
  <c r="Q880" i="7"/>
  <c r="R880" i="7"/>
  <c r="K881" i="7"/>
  <c r="A881" i="7" s="1"/>
  <c r="M881" i="7"/>
  <c r="O881" i="7"/>
  <c r="R881" i="7"/>
  <c r="B882" i="7"/>
  <c r="D882" i="7"/>
  <c r="F882" i="7"/>
  <c r="H882" i="7"/>
  <c r="K882" i="7"/>
  <c r="A882" i="7" s="1"/>
  <c r="L882" i="7"/>
  <c r="M882" i="7"/>
  <c r="N882" i="7"/>
  <c r="O882" i="7"/>
  <c r="Q882" i="7"/>
  <c r="R882" i="7"/>
  <c r="K883" i="7"/>
  <c r="A883" i="7" s="1"/>
  <c r="M883" i="7"/>
  <c r="O883" i="7"/>
  <c r="R883" i="7"/>
  <c r="B884" i="7"/>
  <c r="D884" i="7"/>
  <c r="F884" i="7"/>
  <c r="H884" i="7"/>
  <c r="K884" i="7"/>
  <c r="A884" i="7" s="1"/>
  <c r="L884" i="7"/>
  <c r="M884" i="7"/>
  <c r="N884" i="7"/>
  <c r="O884" i="7"/>
  <c r="Q884" i="7"/>
  <c r="R884" i="7"/>
  <c r="K885" i="7"/>
  <c r="A885" i="7" s="1"/>
  <c r="M885" i="7"/>
  <c r="O885" i="7"/>
  <c r="R885" i="7"/>
  <c r="B886" i="7"/>
  <c r="D886" i="7"/>
  <c r="F886" i="7"/>
  <c r="H886" i="7"/>
  <c r="K886" i="7"/>
  <c r="A886" i="7" s="1"/>
  <c r="L886" i="7"/>
  <c r="M886" i="7"/>
  <c r="N886" i="7"/>
  <c r="O886" i="7"/>
  <c r="Q886" i="7"/>
  <c r="R886" i="7"/>
  <c r="K887" i="7"/>
  <c r="A887" i="7" s="1"/>
  <c r="M887" i="7"/>
  <c r="O887" i="7"/>
  <c r="R887" i="7"/>
  <c r="B888" i="7"/>
  <c r="D888" i="7"/>
  <c r="F888" i="7"/>
  <c r="H888" i="7"/>
  <c r="K888" i="7"/>
  <c r="A888" i="7" s="1"/>
  <c r="L888" i="7"/>
  <c r="M888" i="7"/>
  <c r="N888" i="7"/>
  <c r="O888" i="7"/>
  <c r="Q888" i="7"/>
  <c r="R888" i="7"/>
  <c r="K889" i="7"/>
  <c r="A889" i="7" s="1"/>
  <c r="M889" i="7"/>
  <c r="O889" i="7"/>
  <c r="R889" i="7"/>
  <c r="B890" i="7"/>
  <c r="D890" i="7"/>
  <c r="F890" i="7"/>
  <c r="H890" i="7"/>
  <c r="K890" i="7"/>
  <c r="A890" i="7" s="1"/>
  <c r="L890" i="7"/>
  <c r="M890" i="7"/>
  <c r="N890" i="7"/>
  <c r="O890" i="7"/>
  <c r="Q890" i="7"/>
  <c r="R890" i="7"/>
  <c r="K891" i="7"/>
  <c r="A891" i="7" s="1"/>
  <c r="M891" i="7"/>
  <c r="O891" i="7"/>
  <c r="R891" i="7"/>
  <c r="B892" i="7"/>
  <c r="D892" i="7"/>
  <c r="F892" i="7"/>
  <c r="H892" i="7"/>
  <c r="K892" i="7"/>
  <c r="A892" i="7" s="1"/>
  <c r="L892" i="7"/>
  <c r="M892" i="7"/>
  <c r="N892" i="7"/>
  <c r="O892" i="7"/>
  <c r="Q892" i="7"/>
  <c r="R892" i="7"/>
  <c r="K893" i="7"/>
  <c r="A893" i="7" s="1"/>
  <c r="M893" i="7"/>
  <c r="O893" i="7"/>
  <c r="R893" i="7"/>
  <c r="B894" i="7"/>
  <c r="D894" i="7"/>
  <c r="F894" i="7"/>
  <c r="H894" i="7"/>
  <c r="K894" i="7"/>
  <c r="A894" i="7" s="1"/>
  <c r="L894" i="7"/>
  <c r="M894" i="7"/>
  <c r="N894" i="7"/>
  <c r="O894" i="7"/>
  <c r="Q894" i="7"/>
  <c r="R894" i="7"/>
  <c r="K895" i="7"/>
  <c r="A895" i="7" s="1"/>
  <c r="M895" i="7"/>
  <c r="O895" i="7"/>
  <c r="R895" i="7"/>
  <c r="B896" i="7"/>
  <c r="D896" i="7"/>
  <c r="F896" i="7"/>
  <c r="H896" i="7"/>
  <c r="K896" i="7"/>
  <c r="A896" i="7" s="1"/>
  <c r="L896" i="7"/>
  <c r="M896" i="7"/>
  <c r="N896" i="7"/>
  <c r="O896" i="7"/>
  <c r="Q896" i="7"/>
  <c r="R896" i="7"/>
  <c r="K897" i="7"/>
  <c r="A897" i="7" s="1"/>
  <c r="M897" i="7"/>
  <c r="O897" i="7"/>
  <c r="R897" i="7"/>
  <c r="B898" i="7"/>
  <c r="D898" i="7"/>
  <c r="F898" i="7"/>
  <c r="H898" i="7"/>
  <c r="K898" i="7"/>
  <c r="A898" i="7" s="1"/>
  <c r="L898" i="7"/>
  <c r="M898" i="7"/>
  <c r="N898" i="7"/>
  <c r="O898" i="7"/>
  <c r="Q898" i="7"/>
  <c r="R898" i="7"/>
  <c r="K899" i="7"/>
  <c r="A899" i="7" s="1"/>
  <c r="M899" i="7"/>
  <c r="O899" i="7"/>
  <c r="R899" i="7"/>
  <c r="B900" i="7"/>
  <c r="D900" i="7"/>
  <c r="F900" i="7"/>
  <c r="H900" i="7"/>
  <c r="K900" i="7"/>
  <c r="A900" i="7" s="1"/>
  <c r="L900" i="7"/>
  <c r="M900" i="7"/>
  <c r="N900" i="7"/>
  <c r="O900" i="7"/>
  <c r="Q900" i="7"/>
  <c r="R900" i="7"/>
  <c r="K901" i="7"/>
  <c r="A901" i="7" s="1"/>
  <c r="M901" i="7"/>
  <c r="O901" i="7"/>
  <c r="R901" i="7"/>
  <c r="B902" i="7"/>
  <c r="D902" i="7"/>
  <c r="F902" i="7"/>
  <c r="H902" i="7"/>
  <c r="K902" i="7"/>
  <c r="A902" i="7" s="1"/>
  <c r="L902" i="7"/>
  <c r="M902" i="7"/>
  <c r="N902" i="7"/>
  <c r="O902" i="7"/>
  <c r="Q902" i="7"/>
  <c r="R902" i="7"/>
  <c r="K903" i="7"/>
  <c r="A903" i="7" s="1"/>
  <c r="M903" i="7"/>
  <c r="O903" i="7"/>
  <c r="R903" i="7"/>
  <c r="B904" i="7"/>
  <c r="D904" i="7"/>
  <c r="F904" i="7"/>
  <c r="H904" i="7"/>
  <c r="K904" i="7"/>
  <c r="A904" i="7" s="1"/>
  <c r="L904" i="7"/>
  <c r="M904" i="7"/>
  <c r="N904" i="7"/>
  <c r="O904" i="7"/>
  <c r="Q904" i="7"/>
  <c r="R904" i="7"/>
  <c r="K905" i="7"/>
  <c r="A905" i="7" s="1"/>
  <c r="M905" i="7"/>
  <c r="O905" i="7"/>
  <c r="R905" i="7"/>
  <c r="B906" i="7"/>
  <c r="D906" i="7"/>
  <c r="F906" i="7"/>
  <c r="H906" i="7"/>
  <c r="K906" i="7"/>
  <c r="A906" i="7" s="1"/>
  <c r="L906" i="7"/>
  <c r="M906" i="7"/>
  <c r="N906" i="7"/>
  <c r="O906" i="7"/>
  <c r="Q906" i="7"/>
  <c r="R906" i="7"/>
  <c r="K907" i="7"/>
  <c r="A907" i="7" s="1"/>
  <c r="M907" i="7"/>
  <c r="O907" i="7"/>
  <c r="R907" i="7"/>
  <c r="B908" i="7"/>
  <c r="D908" i="7"/>
  <c r="F908" i="7"/>
  <c r="H908" i="7"/>
  <c r="K908" i="7"/>
  <c r="A908" i="7" s="1"/>
  <c r="L908" i="7"/>
  <c r="M908" i="7"/>
  <c r="N908" i="7"/>
  <c r="O908" i="7"/>
  <c r="Q908" i="7"/>
  <c r="R908" i="7"/>
  <c r="K909" i="7"/>
  <c r="A909" i="7" s="1"/>
  <c r="M909" i="7"/>
  <c r="O909" i="7"/>
  <c r="R909" i="7"/>
  <c r="B910" i="7"/>
  <c r="D910" i="7"/>
  <c r="F910" i="7"/>
  <c r="H910" i="7"/>
  <c r="K910" i="7"/>
  <c r="A910" i="7" s="1"/>
  <c r="L910" i="7"/>
  <c r="M910" i="7"/>
  <c r="N910" i="7"/>
  <c r="O910" i="7"/>
  <c r="Q910" i="7"/>
  <c r="R910" i="7"/>
  <c r="K911" i="7"/>
  <c r="A911" i="7" s="1"/>
  <c r="M911" i="7"/>
  <c r="O911" i="7"/>
  <c r="R911" i="7"/>
  <c r="B912" i="7"/>
  <c r="D912" i="7"/>
  <c r="F912" i="7"/>
  <c r="H912" i="7"/>
  <c r="K912" i="7"/>
  <c r="A912" i="7" s="1"/>
  <c r="L912" i="7"/>
  <c r="M912" i="7"/>
  <c r="N912" i="7"/>
  <c r="O912" i="7"/>
  <c r="Q912" i="7"/>
  <c r="R912" i="7"/>
  <c r="K913" i="7"/>
  <c r="A913" i="7" s="1"/>
  <c r="M913" i="7"/>
  <c r="O913" i="7"/>
  <c r="R913" i="7"/>
  <c r="B914" i="7"/>
  <c r="D914" i="7"/>
  <c r="F914" i="7"/>
  <c r="H914" i="7"/>
  <c r="K914" i="7"/>
  <c r="A914" i="7" s="1"/>
  <c r="L914" i="7"/>
  <c r="M914" i="7"/>
  <c r="N914" i="7"/>
  <c r="O914" i="7"/>
  <c r="Q914" i="7"/>
  <c r="R914" i="7"/>
  <c r="K915" i="7"/>
  <c r="A915" i="7" s="1"/>
  <c r="M915" i="7"/>
  <c r="O915" i="7"/>
  <c r="R915" i="7"/>
  <c r="B916" i="7"/>
  <c r="D916" i="7"/>
  <c r="F916" i="7"/>
  <c r="H916" i="7"/>
  <c r="K916" i="7"/>
  <c r="A916" i="7" s="1"/>
  <c r="L916" i="7"/>
  <c r="M916" i="7"/>
  <c r="N916" i="7"/>
  <c r="O916" i="7"/>
  <c r="Q916" i="7"/>
  <c r="R916" i="7"/>
  <c r="K917" i="7"/>
  <c r="A917" i="7" s="1"/>
  <c r="M917" i="7"/>
  <c r="O917" i="7"/>
  <c r="R917" i="7"/>
  <c r="B918" i="7"/>
  <c r="D918" i="7"/>
  <c r="F918" i="7"/>
  <c r="H918" i="7"/>
  <c r="K918" i="7"/>
  <c r="A918" i="7" s="1"/>
  <c r="L918" i="7"/>
  <c r="M918" i="7"/>
  <c r="N918" i="7"/>
  <c r="O918" i="7"/>
  <c r="Q918" i="7"/>
  <c r="R918" i="7"/>
  <c r="K919" i="7"/>
  <c r="A919" i="7" s="1"/>
  <c r="M919" i="7"/>
  <c r="O919" i="7"/>
  <c r="R919" i="7"/>
  <c r="B920" i="7"/>
  <c r="D920" i="7"/>
  <c r="F920" i="7"/>
  <c r="H920" i="7"/>
  <c r="K920" i="7"/>
  <c r="A920" i="7" s="1"/>
  <c r="L920" i="7"/>
  <c r="M920" i="7"/>
  <c r="N920" i="7"/>
  <c r="O920" i="7"/>
  <c r="Q920" i="7"/>
  <c r="R920" i="7"/>
  <c r="K921" i="7"/>
  <c r="A921" i="7" s="1"/>
  <c r="M921" i="7"/>
  <c r="O921" i="7"/>
  <c r="R921" i="7"/>
  <c r="B922" i="7"/>
  <c r="D922" i="7"/>
  <c r="F922" i="7"/>
  <c r="H922" i="7"/>
  <c r="K922" i="7"/>
  <c r="A922" i="7" s="1"/>
  <c r="L922" i="7"/>
  <c r="M922" i="7"/>
  <c r="N922" i="7"/>
  <c r="O922" i="7"/>
  <c r="Q922" i="7"/>
  <c r="R922" i="7"/>
  <c r="K923" i="7"/>
  <c r="A923" i="7" s="1"/>
  <c r="M923" i="7"/>
  <c r="O923" i="7"/>
  <c r="R923" i="7"/>
  <c r="B924" i="7"/>
  <c r="D924" i="7"/>
  <c r="F924" i="7"/>
  <c r="H924" i="7"/>
  <c r="K924" i="7"/>
  <c r="A924" i="7" s="1"/>
  <c r="L924" i="7"/>
  <c r="M924" i="7"/>
  <c r="N924" i="7"/>
  <c r="O924" i="7"/>
  <c r="Q924" i="7"/>
  <c r="R924" i="7"/>
  <c r="K925" i="7"/>
  <c r="A925" i="7" s="1"/>
  <c r="M925" i="7"/>
  <c r="O925" i="7"/>
  <c r="R925" i="7"/>
  <c r="B926" i="7"/>
  <c r="D926" i="7"/>
  <c r="F926" i="7"/>
  <c r="H926" i="7"/>
  <c r="K926" i="7"/>
  <c r="A926" i="7" s="1"/>
  <c r="L926" i="7"/>
  <c r="M926" i="7"/>
  <c r="N926" i="7"/>
  <c r="O926" i="7"/>
  <c r="Q926" i="7"/>
  <c r="R926" i="7"/>
  <c r="K927" i="7"/>
  <c r="A927" i="7" s="1"/>
  <c r="M927" i="7"/>
  <c r="O927" i="7"/>
  <c r="R927" i="7"/>
  <c r="B928" i="7"/>
  <c r="D928" i="7"/>
  <c r="F928" i="7"/>
  <c r="H928" i="7"/>
  <c r="K928" i="7"/>
  <c r="A928" i="7" s="1"/>
  <c r="L928" i="7"/>
  <c r="M928" i="7"/>
  <c r="N928" i="7"/>
  <c r="O928" i="7"/>
  <c r="Q928" i="7"/>
  <c r="R928" i="7"/>
  <c r="K929" i="7"/>
  <c r="A929" i="7" s="1"/>
  <c r="M929" i="7"/>
  <c r="O929" i="7"/>
  <c r="R929" i="7"/>
  <c r="B930" i="7"/>
  <c r="D930" i="7"/>
  <c r="F930" i="7"/>
  <c r="H930" i="7"/>
  <c r="K930" i="7"/>
  <c r="A930" i="7" s="1"/>
  <c r="L930" i="7"/>
  <c r="M930" i="7"/>
  <c r="N930" i="7"/>
  <c r="O930" i="7"/>
  <c r="Q930" i="7"/>
  <c r="R930" i="7"/>
  <c r="K931" i="7"/>
  <c r="A931" i="7" s="1"/>
  <c r="M931" i="7"/>
  <c r="O931" i="7"/>
  <c r="R931" i="7"/>
  <c r="B932" i="7"/>
  <c r="D932" i="7"/>
  <c r="F932" i="7"/>
  <c r="H932" i="7"/>
  <c r="K932" i="7"/>
  <c r="A932" i="7" s="1"/>
  <c r="L932" i="7"/>
  <c r="M932" i="7"/>
  <c r="N932" i="7"/>
  <c r="O932" i="7"/>
  <c r="Q932" i="7"/>
  <c r="R932" i="7"/>
  <c r="K933" i="7"/>
  <c r="A933" i="7" s="1"/>
  <c r="M933" i="7"/>
  <c r="O933" i="7"/>
  <c r="R933" i="7"/>
  <c r="B934" i="7"/>
  <c r="D934" i="7"/>
  <c r="F934" i="7"/>
  <c r="H934" i="7"/>
  <c r="K934" i="7"/>
  <c r="A934" i="7" s="1"/>
  <c r="L934" i="7"/>
  <c r="M934" i="7"/>
  <c r="N934" i="7"/>
  <c r="O934" i="7"/>
  <c r="Q934" i="7"/>
  <c r="R934" i="7"/>
  <c r="K935" i="7"/>
  <c r="A935" i="7" s="1"/>
  <c r="M935" i="7"/>
  <c r="O935" i="7"/>
  <c r="R935" i="7"/>
  <c r="B936" i="7"/>
  <c r="D936" i="7"/>
  <c r="F936" i="7"/>
  <c r="H936" i="7"/>
  <c r="K936" i="7"/>
  <c r="A936" i="7" s="1"/>
  <c r="L936" i="7"/>
  <c r="M936" i="7"/>
  <c r="N936" i="7"/>
  <c r="O936" i="7"/>
  <c r="Q936" i="7"/>
  <c r="R936" i="7"/>
  <c r="K937" i="7"/>
  <c r="A937" i="7" s="1"/>
  <c r="M937" i="7"/>
  <c r="O937" i="7"/>
  <c r="R937" i="7"/>
  <c r="B938" i="7"/>
  <c r="D938" i="7"/>
  <c r="F938" i="7"/>
  <c r="H938" i="7"/>
  <c r="K938" i="7"/>
  <c r="A938" i="7" s="1"/>
  <c r="L938" i="7"/>
  <c r="M938" i="7"/>
  <c r="N938" i="7"/>
  <c r="O938" i="7"/>
  <c r="Q938" i="7"/>
  <c r="R938" i="7"/>
  <c r="K939" i="7"/>
  <c r="A939" i="7" s="1"/>
  <c r="M939" i="7"/>
  <c r="O939" i="7"/>
  <c r="R939" i="7"/>
  <c r="B940" i="7"/>
  <c r="D940" i="7"/>
  <c r="F940" i="7"/>
  <c r="H940" i="7"/>
  <c r="K940" i="7"/>
  <c r="A940" i="7" s="1"/>
  <c r="L940" i="7"/>
  <c r="M940" i="7"/>
  <c r="N940" i="7"/>
  <c r="O940" i="7"/>
  <c r="Q940" i="7"/>
  <c r="R940" i="7"/>
  <c r="K941" i="7"/>
  <c r="A941" i="7" s="1"/>
  <c r="M941" i="7"/>
  <c r="O941" i="7"/>
  <c r="R941" i="7"/>
  <c r="B942" i="7"/>
  <c r="D942" i="7"/>
  <c r="F942" i="7"/>
  <c r="H942" i="7"/>
  <c r="K942" i="7"/>
  <c r="A942" i="7" s="1"/>
  <c r="L942" i="7"/>
  <c r="M942" i="7"/>
  <c r="N942" i="7"/>
  <c r="O942" i="7"/>
  <c r="Q942" i="7"/>
  <c r="R942" i="7"/>
  <c r="K943" i="7"/>
  <c r="A943" i="7" s="1"/>
  <c r="M943" i="7"/>
  <c r="O943" i="7"/>
  <c r="R943" i="7"/>
  <c r="B944" i="7"/>
  <c r="D944" i="7"/>
  <c r="F944" i="7"/>
  <c r="H944" i="7"/>
  <c r="K944" i="7"/>
  <c r="A944" i="7" s="1"/>
  <c r="L944" i="7"/>
  <c r="M944" i="7"/>
  <c r="N944" i="7"/>
  <c r="O944" i="7"/>
  <c r="Q944" i="7"/>
  <c r="R944" i="7"/>
  <c r="K945" i="7"/>
  <c r="A945" i="7" s="1"/>
  <c r="M945" i="7"/>
  <c r="O945" i="7"/>
  <c r="R945" i="7"/>
  <c r="B946" i="7"/>
  <c r="D946" i="7"/>
  <c r="F946" i="7"/>
  <c r="H946" i="7"/>
  <c r="K946" i="7"/>
  <c r="A946" i="7" s="1"/>
  <c r="L946" i="7"/>
  <c r="M946" i="7"/>
  <c r="N946" i="7"/>
  <c r="O946" i="7"/>
  <c r="Q946" i="7"/>
  <c r="R946" i="7"/>
  <c r="K947" i="7"/>
  <c r="A947" i="7" s="1"/>
  <c r="M947" i="7"/>
  <c r="O947" i="7"/>
  <c r="R947" i="7"/>
  <c r="B948" i="7"/>
  <c r="D948" i="7"/>
  <c r="F948" i="7"/>
  <c r="H948" i="7"/>
  <c r="K948" i="7"/>
  <c r="A948" i="7" s="1"/>
  <c r="L948" i="7"/>
  <c r="M948" i="7"/>
  <c r="N948" i="7"/>
  <c r="O948" i="7"/>
  <c r="Q948" i="7"/>
  <c r="R948" i="7"/>
  <c r="K949" i="7"/>
  <c r="A949" i="7" s="1"/>
  <c r="M949" i="7"/>
  <c r="O949" i="7"/>
  <c r="R949" i="7"/>
  <c r="B950" i="7"/>
  <c r="D950" i="7"/>
  <c r="F950" i="7"/>
  <c r="H950" i="7"/>
  <c r="K950" i="7"/>
  <c r="A950" i="7" s="1"/>
  <c r="L950" i="7"/>
  <c r="M950" i="7"/>
  <c r="N950" i="7"/>
  <c r="O950" i="7"/>
  <c r="Q950" i="7"/>
  <c r="R950" i="7"/>
  <c r="K951" i="7"/>
  <c r="A951" i="7" s="1"/>
  <c r="M951" i="7"/>
  <c r="O951" i="7"/>
  <c r="R951" i="7"/>
  <c r="B952" i="7"/>
  <c r="D952" i="7"/>
  <c r="F952" i="7"/>
  <c r="H952" i="7"/>
  <c r="K952" i="7"/>
  <c r="A952" i="7" s="1"/>
  <c r="L952" i="7"/>
  <c r="M952" i="7"/>
  <c r="N952" i="7"/>
  <c r="O952" i="7"/>
  <c r="Q952" i="7"/>
  <c r="R952" i="7"/>
  <c r="K953" i="7"/>
  <c r="A953" i="7" s="1"/>
  <c r="M953" i="7"/>
  <c r="O953" i="7"/>
  <c r="R953" i="7"/>
  <c r="B954" i="7"/>
  <c r="D954" i="7"/>
  <c r="F954" i="7"/>
  <c r="H954" i="7"/>
  <c r="K954" i="7"/>
  <c r="A954" i="7" s="1"/>
  <c r="L954" i="7"/>
  <c r="M954" i="7"/>
  <c r="N954" i="7"/>
  <c r="O954" i="7"/>
  <c r="Q954" i="7"/>
  <c r="R954" i="7"/>
  <c r="K955" i="7"/>
  <c r="A955" i="7" s="1"/>
  <c r="M955" i="7"/>
  <c r="O955" i="7"/>
  <c r="R955" i="7"/>
  <c r="B956" i="7"/>
  <c r="D956" i="7"/>
  <c r="F956" i="7"/>
  <c r="H956" i="7"/>
  <c r="K956" i="7"/>
  <c r="A956" i="7" s="1"/>
  <c r="L956" i="7"/>
  <c r="M956" i="7"/>
  <c r="N956" i="7"/>
  <c r="O956" i="7"/>
  <c r="Q956" i="7"/>
  <c r="R956" i="7"/>
  <c r="K957" i="7"/>
  <c r="A957" i="7" s="1"/>
  <c r="M957" i="7"/>
  <c r="O957" i="7"/>
  <c r="R957" i="7"/>
  <c r="B958" i="7"/>
  <c r="D958" i="7"/>
  <c r="F958" i="7"/>
  <c r="H958" i="7"/>
  <c r="K958" i="7"/>
  <c r="A958" i="7" s="1"/>
  <c r="L958" i="7"/>
  <c r="M958" i="7"/>
  <c r="N958" i="7"/>
  <c r="O958" i="7"/>
  <c r="Q958" i="7"/>
  <c r="R958" i="7"/>
  <c r="K959" i="7"/>
  <c r="A959" i="7" s="1"/>
  <c r="M959" i="7"/>
  <c r="O959" i="7"/>
  <c r="R959" i="7"/>
  <c r="B960" i="7"/>
  <c r="D960" i="7"/>
  <c r="F960" i="7"/>
  <c r="H960" i="7"/>
  <c r="K960" i="7"/>
  <c r="A960" i="7" s="1"/>
  <c r="L960" i="7"/>
  <c r="M960" i="7"/>
  <c r="N960" i="7"/>
  <c r="O960" i="7"/>
  <c r="Q960" i="7"/>
  <c r="R960" i="7"/>
  <c r="K961" i="7"/>
  <c r="A961" i="7" s="1"/>
  <c r="M961" i="7"/>
  <c r="O961" i="7"/>
  <c r="R961" i="7"/>
  <c r="B962" i="7"/>
  <c r="D962" i="7"/>
  <c r="F962" i="7"/>
  <c r="H962" i="7"/>
  <c r="K962" i="7"/>
  <c r="A962" i="7" s="1"/>
  <c r="L962" i="7"/>
  <c r="M962" i="7"/>
  <c r="N962" i="7"/>
  <c r="O962" i="7"/>
  <c r="Q962" i="7"/>
  <c r="R962" i="7"/>
  <c r="K963" i="7"/>
  <c r="A963" i="7" s="1"/>
  <c r="M963" i="7"/>
  <c r="O963" i="7"/>
  <c r="R963" i="7"/>
  <c r="B964" i="7"/>
  <c r="D964" i="7"/>
  <c r="F964" i="7"/>
  <c r="H964" i="7"/>
  <c r="K964" i="7"/>
  <c r="A964" i="7" s="1"/>
  <c r="L964" i="7"/>
  <c r="M964" i="7"/>
  <c r="N964" i="7"/>
  <c r="O964" i="7"/>
  <c r="Q964" i="7"/>
  <c r="R964" i="7"/>
  <c r="K965" i="7"/>
  <c r="A965" i="7" s="1"/>
  <c r="M965" i="7"/>
  <c r="O965" i="7"/>
  <c r="R965" i="7"/>
  <c r="B966" i="7"/>
  <c r="D966" i="7"/>
  <c r="F966" i="7"/>
  <c r="H966" i="7"/>
  <c r="K966" i="7"/>
  <c r="A966" i="7" s="1"/>
  <c r="L966" i="7"/>
  <c r="M966" i="7"/>
  <c r="N966" i="7"/>
  <c r="O966" i="7"/>
  <c r="Q966" i="7"/>
  <c r="R966" i="7"/>
  <c r="K967" i="7"/>
  <c r="A967" i="7" s="1"/>
  <c r="M967" i="7"/>
  <c r="O967" i="7"/>
  <c r="R967" i="7"/>
  <c r="B968" i="7"/>
  <c r="D968" i="7"/>
  <c r="F968" i="7"/>
  <c r="H968" i="7"/>
  <c r="K968" i="7"/>
  <c r="A968" i="7" s="1"/>
  <c r="L968" i="7"/>
  <c r="M968" i="7"/>
  <c r="N968" i="7"/>
  <c r="O968" i="7"/>
  <c r="Q968" i="7"/>
  <c r="R968" i="7"/>
  <c r="K969" i="7"/>
  <c r="A969" i="7" s="1"/>
  <c r="M969" i="7"/>
  <c r="O969" i="7"/>
  <c r="R969" i="7"/>
  <c r="B970" i="7"/>
  <c r="D970" i="7"/>
  <c r="F970" i="7"/>
  <c r="H970" i="7"/>
  <c r="K970" i="7"/>
  <c r="A970" i="7" s="1"/>
  <c r="L970" i="7"/>
  <c r="M970" i="7"/>
  <c r="N970" i="7"/>
  <c r="O970" i="7"/>
  <c r="Q970" i="7"/>
  <c r="R970" i="7"/>
  <c r="K971" i="7"/>
  <c r="A971" i="7" s="1"/>
  <c r="M971" i="7"/>
  <c r="O971" i="7"/>
  <c r="R971" i="7"/>
  <c r="B972" i="7"/>
  <c r="D972" i="7"/>
  <c r="F972" i="7"/>
  <c r="H972" i="7"/>
  <c r="K972" i="7"/>
  <c r="A972" i="7" s="1"/>
  <c r="L972" i="7"/>
  <c r="M972" i="7"/>
  <c r="N972" i="7"/>
  <c r="O972" i="7"/>
  <c r="Q972" i="7"/>
  <c r="R972" i="7"/>
  <c r="K973" i="7"/>
  <c r="A973" i="7" s="1"/>
  <c r="M973" i="7"/>
  <c r="O973" i="7"/>
  <c r="R973" i="7"/>
  <c r="B974" i="7"/>
  <c r="D974" i="7"/>
  <c r="F974" i="7"/>
  <c r="H974" i="7"/>
  <c r="K974" i="7"/>
  <c r="A974" i="7" s="1"/>
  <c r="L974" i="7"/>
  <c r="M974" i="7"/>
  <c r="N974" i="7"/>
  <c r="O974" i="7"/>
  <c r="Q974" i="7"/>
  <c r="R974" i="7"/>
  <c r="K975" i="7"/>
  <c r="A975" i="7" s="1"/>
  <c r="M975" i="7"/>
  <c r="O975" i="7"/>
  <c r="R975" i="7"/>
  <c r="B976" i="7"/>
  <c r="D976" i="7"/>
  <c r="F976" i="7"/>
  <c r="H976" i="7"/>
  <c r="K976" i="7"/>
  <c r="A976" i="7" s="1"/>
  <c r="L976" i="7"/>
  <c r="M976" i="7"/>
  <c r="N976" i="7"/>
  <c r="O976" i="7"/>
  <c r="Q976" i="7"/>
  <c r="R976" i="7"/>
  <c r="K977" i="7"/>
  <c r="A977" i="7" s="1"/>
  <c r="M977" i="7"/>
  <c r="O977" i="7"/>
  <c r="R977" i="7"/>
  <c r="B978" i="7"/>
  <c r="D978" i="7"/>
  <c r="F978" i="7"/>
  <c r="H978" i="7"/>
  <c r="K978" i="7"/>
  <c r="A978" i="7" s="1"/>
  <c r="L978" i="7"/>
  <c r="M978" i="7"/>
  <c r="N978" i="7"/>
  <c r="O978" i="7"/>
  <c r="Q978" i="7"/>
  <c r="R978" i="7"/>
  <c r="K979" i="7"/>
  <c r="A979" i="7" s="1"/>
  <c r="M979" i="7"/>
  <c r="O979" i="7"/>
  <c r="R979" i="7"/>
  <c r="B980" i="7"/>
  <c r="D980" i="7"/>
  <c r="F980" i="7"/>
  <c r="H980" i="7"/>
  <c r="K980" i="7"/>
  <c r="A980" i="7" s="1"/>
  <c r="L980" i="7"/>
  <c r="M980" i="7"/>
  <c r="N980" i="7"/>
  <c r="O980" i="7"/>
  <c r="Q980" i="7"/>
  <c r="R980" i="7"/>
  <c r="K981" i="7"/>
  <c r="A981" i="7" s="1"/>
  <c r="M981" i="7"/>
  <c r="O981" i="7"/>
  <c r="R981" i="7"/>
  <c r="B982" i="7"/>
  <c r="D982" i="7"/>
  <c r="F982" i="7"/>
  <c r="H982" i="7"/>
  <c r="K982" i="7"/>
  <c r="A982" i="7" s="1"/>
  <c r="L982" i="7"/>
  <c r="M982" i="7"/>
  <c r="N982" i="7"/>
  <c r="O982" i="7"/>
  <c r="Q982" i="7"/>
  <c r="R982" i="7"/>
  <c r="K983" i="7"/>
  <c r="A983" i="7" s="1"/>
  <c r="M983" i="7"/>
  <c r="O983" i="7"/>
  <c r="R983" i="7"/>
  <c r="B984" i="7"/>
  <c r="D984" i="7"/>
  <c r="F984" i="7"/>
  <c r="H984" i="7"/>
  <c r="K984" i="7"/>
  <c r="A984" i="7" s="1"/>
  <c r="L984" i="7"/>
  <c r="M984" i="7"/>
  <c r="N984" i="7"/>
  <c r="O984" i="7"/>
  <c r="Q984" i="7"/>
  <c r="R984" i="7"/>
  <c r="K985" i="7"/>
  <c r="A985" i="7" s="1"/>
  <c r="M985" i="7"/>
  <c r="O985" i="7"/>
  <c r="R985" i="7"/>
  <c r="B986" i="7"/>
  <c r="D986" i="7"/>
  <c r="F986" i="7"/>
  <c r="H986" i="7"/>
  <c r="K986" i="7"/>
  <c r="A986" i="7" s="1"/>
  <c r="L986" i="7"/>
  <c r="M986" i="7"/>
  <c r="N986" i="7"/>
  <c r="O986" i="7"/>
  <c r="Q986" i="7"/>
  <c r="R986" i="7"/>
  <c r="K987" i="7"/>
  <c r="A987" i="7" s="1"/>
  <c r="M987" i="7"/>
  <c r="O987" i="7"/>
  <c r="R987" i="7"/>
  <c r="B988" i="7"/>
  <c r="D988" i="7"/>
  <c r="F988" i="7"/>
  <c r="H988" i="7"/>
  <c r="K988" i="7"/>
  <c r="A988" i="7" s="1"/>
  <c r="L988" i="7"/>
  <c r="M988" i="7"/>
  <c r="N988" i="7"/>
  <c r="O988" i="7"/>
  <c r="Q988" i="7"/>
  <c r="R988" i="7"/>
  <c r="K989" i="7"/>
  <c r="A989" i="7" s="1"/>
  <c r="M989" i="7"/>
  <c r="O989" i="7"/>
  <c r="R989" i="7"/>
  <c r="B990" i="7"/>
  <c r="D990" i="7"/>
  <c r="F990" i="7"/>
  <c r="H990" i="7"/>
  <c r="K990" i="7"/>
  <c r="A990" i="7" s="1"/>
  <c r="L990" i="7"/>
  <c r="M990" i="7"/>
  <c r="N990" i="7"/>
  <c r="O990" i="7"/>
  <c r="Q990" i="7"/>
  <c r="R990" i="7"/>
  <c r="K991" i="7"/>
  <c r="A991" i="7" s="1"/>
  <c r="M991" i="7"/>
  <c r="O991" i="7"/>
  <c r="R991" i="7"/>
  <c r="B992" i="7"/>
  <c r="D992" i="7"/>
  <c r="F992" i="7"/>
  <c r="H992" i="7"/>
  <c r="K992" i="7"/>
  <c r="A992" i="7" s="1"/>
  <c r="L992" i="7"/>
  <c r="M992" i="7"/>
  <c r="N992" i="7"/>
  <c r="O992" i="7"/>
  <c r="Q992" i="7"/>
  <c r="R992" i="7"/>
  <c r="K993" i="7"/>
  <c r="A993" i="7" s="1"/>
  <c r="M993" i="7"/>
  <c r="O993" i="7"/>
  <c r="R993" i="7"/>
  <c r="B994" i="7"/>
  <c r="D994" i="7"/>
  <c r="F994" i="7"/>
  <c r="H994" i="7"/>
  <c r="K994" i="7"/>
  <c r="A994" i="7" s="1"/>
  <c r="L994" i="7"/>
  <c r="M994" i="7"/>
  <c r="N994" i="7"/>
  <c r="O994" i="7"/>
  <c r="Q994" i="7"/>
  <c r="R994" i="7"/>
  <c r="K995" i="7"/>
  <c r="A995" i="7" s="1"/>
  <c r="M995" i="7"/>
  <c r="O995" i="7"/>
  <c r="R995" i="7"/>
  <c r="B996" i="7"/>
  <c r="D996" i="7"/>
  <c r="F996" i="7"/>
  <c r="H996" i="7"/>
  <c r="K996" i="7"/>
  <c r="A996" i="7" s="1"/>
  <c r="L996" i="7"/>
  <c r="M996" i="7"/>
  <c r="N996" i="7"/>
  <c r="O996" i="7"/>
  <c r="Q996" i="7"/>
  <c r="R996" i="7"/>
  <c r="K997" i="7"/>
  <c r="A997" i="7" s="1"/>
  <c r="M997" i="7"/>
  <c r="O997" i="7"/>
  <c r="R997" i="7"/>
  <c r="B998" i="7"/>
  <c r="D998" i="7"/>
  <c r="F998" i="7"/>
  <c r="H998" i="7"/>
  <c r="K998" i="7"/>
  <c r="A998" i="7" s="1"/>
  <c r="L998" i="7"/>
  <c r="M998" i="7"/>
  <c r="N998" i="7"/>
  <c r="O998" i="7"/>
  <c r="Q998" i="7"/>
  <c r="R998" i="7"/>
  <c r="K999" i="7"/>
  <c r="A999" i="7" s="1"/>
  <c r="M999" i="7"/>
  <c r="O999" i="7"/>
  <c r="R999" i="7"/>
  <c r="B1000" i="7"/>
  <c r="D1000" i="7"/>
  <c r="F1000" i="7"/>
  <c r="H1000" i="7"/>
  <c r="K1000" i="7"/>
  <c r="A1000" i="7" s="1"/>
  <c r="L1000" i="7"/>
  <c r="M1000" i="7"/>
  <c r="N1000" i="7"/>
  <c r="O1000" i="7"/>
  <c r="Q1000" i="7"/>
  <c r="R1000" i="7"/>
  <c r="K2" i="7"/>
  <c r="A2" i="7" s="1"/>
  <c r="K3" i="7"/>
  <c r="A3" i="7" s="1"/>
  <c r="K4" i="7"/>
  <c r="A4" i="7" s="1"/>
  <c r="K5" i="7"/>
  <c r="A5" i="7" s="1"/>
  <c r="K6" i="7"/>
  <c r="A6" i="7" s="1"/>
  <c r="K7" i="7"/>
  <c r="A7" i="7" s="1"/>
  <c r="K8" i="7"/>
  <c r="A8" i="7" s="1"/>
  <c r="K9" i="7"/>
  <c r="A9" i="7" s="1"/>
  <c r="K10" i="7"/>
  <c r="A10" i="7" s="1"/>
  <c r="K11" i="7"/>
  <c r="A11" i="7" s="1"/>
  <c r="K12" i="7"/>
  <c r="K13" i="7"/>
  <c r="A13" i="7" s="1"/>
  <c r="K14" i="7"/>
  <c r="C14" i="7" s="1"/>
  <c r="K15" i="7"/>
  <c r="A15" i="7" s="1"/>
  <c r="K16" i="7"/>
  <c r="O16" i="7" s="1"/>
  <c r="K17" i="7"/>
  <c r="A17" i="7" s="1"/>
  <c r="K18" i="7"/>
  <c r="B18" i="7" s="1"/>
  <c r="K19" i="7"/>
  <c r="A19" i="7" s="1"/>
  <c r="K20" i="7"/>
  <c r="B20" i="7" s="1"/>
  <c r="K21" i="7"/>
  <c r="A21" i="7" s="1"/>
  <c r="K22" i="7"/>
  <c r="B22" i="7" s="1"/>
  <c r="K23" i="7"/>
  <c r="A23" i="7" s="1"/>
  <c r="K24" i="7"/>
  <c r="B24" i="7" s="1"/>
  <c r="K25" i="7"/>
  <c r="A25" i="7" s="1"/>
  <c r="K26" i="7"/>
  <c r="B26" i="7" s="1"/>
  <c r="K27" i="7"/>
  <c r="A27" i="7" s="1"/>
  <c r="K28" i="7"/>
  <c r="B28" i="7" s="1"/>
  <c r="K29" i="7"/>
  <c r="A29" i="7" s="1"/>
  <c r="Q60" i="7" l="1"/>
  <c r="Q44" i="7"/>
  <c r="O69" i="7"/>
  <c r="O68" i="7"/>
  <c r="Q56" i="7"/>
  <c r="R69" i="7"/>
  <c r="M69" i="7"/>
  <c r="R68" i="7"/>
  <c r="M68" i="7"/>
  <c r="O67" i="7"/>
  <c r="Q68" i="7"/>
  <c r="N68" i="7"/>
  <c r="H68" i="7"/>
  <c r="D68" i="7"/>
  <c r="R67" i="7"/>
  <c r="M67" i="7"/>
  <c r="F68" i="7"/>
  <c r="B68" i="7"/>
  <c r="N56" i="7"/>
  <c r="Q48" i="7"/>
  <c r="Q64" i="7"/>
  <c r="R56" i="7"/>
  <c r="O56" i="7"/>
  <c r="M56" i="7"/>
  <c r="H56" i="7"/>
  <c r="Q52" i="7"/>
  <c r="N48" i="7"/>
  <c r="Q40" i="7"/>
  <c r="O35" i="7"/>
  <c r="R48" i="7"/>
  <c r="O48" i="7"/>
  <c r="M48" i="7"/>
  <c r="H48" i="7"/>
  <c r="O46" i="7"/>
  <c r="N44" i="7"/>
  <c r="O43" i="7"/>
  <c r="R42" i="7"/>
  <c r="Q36" i="7"/>
  <c r="Q17" i="7"/>
  <c r="O55" i="7"/>
  <c r="O54" i="7"/>
  <c r="O50" i="7"/>
  <c r="O47" i="7"/>
  <c r="R46" i="7"/>
  <c r="M46" i="7"/>
  <c r="O45" i="7"/>
  <c r="R44" i="7"/>
  <c r="O44" i="7"/>
  <c r="M44" i="7"/>
  <c r="H44" i="7"/>
  <c r="O42" i="7"/>
  <c r="N40" i="7"/>
  <c r="O39" i="7"/>
  <c r="O38" i="7"/>
  <c r="N36" i="7"/>
  <c r="R35" i="7"/>
  <c r="M35" i="7"/>
  <c r="R47" i="7"/>
  <c r="M47" i="7"/>
  <c r="R36" i="7"/>
  <c r="O36" i="7"/>
  <c r="M36" i="7"/>
  <c r="H36" i="7"/>
  <c r="Q21" i="7"/>
  <c r="O66" i="7"/>
  <c r="N64" i="7"/>
  <c r="O63" i="7"/>
  <c r="O62" i="7"/>
  <c r="N60" i="7"/>
  <c r="O59" i="7"/>
  <c r="O58" i="7"/>
  <c r="R55" i="7"/>
  <c r="M55" i="7"/>
  <c r="R54" i="7"/>
  <c r="M54" i="7"/>
  <c r="N52" i="7"/>
  <c r="O51" i="7"/>
  <c r="R50" i="7"/>
  <c r="M50" i="7"/>
  <c r="O49" i="7"/>
  <c r="R43" i="7"/>
  <c r="M43" i="7"/>
  <c r="M42" i="7"/>
  <c r="D64" i="7"/>
  <c r="D60" i="7"/>
  <c r="D52" i="7"/>
  <c r="D48" i="7"/>
  <c r="D44" i="7"/>
  <c r="R40" i="7"/>
  <c r="O40" i="7"/>
  <c r="M40" i="7"/>
  <c r="H40" i="7"/>
  <c r="R39" i="7"/>
  <c r="M39" i="7"/>
  <c r="R38" i="7"/>
  <c r="M38" i="7"/>
  <c r="D36" i="7"/>
  <c r="Q19" i="7"/>
  <c r="R66" i="7"/>
  <c r="M66" i="7"/>
  <c r="O65" i="7"/>
  <c r="R64" i="7"/>
  <c r="O64" i="7"/>
  <c r="M64" i="7"/>
  <c r="H64" i="7"/>
  <c r="R63" i="7"/>
  <c r="M63" i="7"/>
  <c r="R62" i="7"/>
  <c r="M62" i="7"/>
  <c r="O61" i="7"/>
  <c r="R60" i="7"/>
  <c r="O60" i="7"/>
  <c r="M60" i="7"/>
  <c r="H60" i="7"/>
  <c r="R59" i="7"/>
  <c r="M59" i="7"/>
  <c r="R58" i="7"/>
  <c r="M58" i="7"/>
  <c r="D56" i="7"/>
  <c r="R52" i="7"/>
  <c r="O52" i="7"/>
  <c r="M52" i="7"/>
  <c r="H52" i="7"/>
  <c r="R51" i="7"/>
  <c r="M51" i="7"/>
  <c r="D40" i="7"/>
  <c r="N21" i="7"/>
  <c r="N19" i="7"/>
  <c r="O18" i="7"/>
  <c r="Q66" i="7"/>
  <c r="N66" i="7"/>
  <c r="H66" i="7"/>
  <c r="D66" i="7"/>
  <c r="R65" i="7"/>
  <c r="M65" i="7"/>
  <c r="F64" i="7"/>
  <c r="B64" i="7"/>
  <c r="Q62" i="7"/>
  <c r="N62" i="7"/>
  <c r="H62" i="7"/>
  <c r="D62" i="7"/>
  <c r="R61" i="7"/>
  <c r="M61" i="7"/>
  <c r="F60" i="7"/>
  <c r="B60" i="7"/>
  <c r="Q58" i="7"/>
  <c r="N58" i="7"/>
  <c r="H58" i="7"/>
  <c r="D58" i="7"/>
  <c r="O57" i="7"/>
  <c r="F56" i="7"/>
  <c r="B56" i="7"/>
  <c r="Q54" i="7"/>
  <c r="N54" i="7"/>
  <c r="H54" i="7"/>
  <c r="D54" i="7"/>
  <c r="O53" i="7"/>
  <c r="F52" i="7"/>
  <c r="B52" i="7"/>
  <c r="Q50" i="7"/>
  <c r="N50" i="7"/>
  <c r="H50" i="7"/>
  <c r="D50" i="7"/>
  <c r="R49" i="7"/>
  <c r="M49" i="7"/>
  <c r="F48" i="7"/>
  <c r="B48" i="7"/>
  <c r="Q46" i="7"/>
  <c r="N46" i="7"/>
  <c r="H46" i="7"/>
  <c r="D46" i="7"/>
  <c r="R45" i="7"/>
  <c r="M45" i="7"/>
  <c r="F44" i="7"/>
  <c r="B44" i="7"/>
  <c r="Q42" i="7"/>
  <c r="N42" i="7"/>
  <c r="H42" i="7"/>
  <c r="D42" i="7"/>
  <c r="O41" i="7"/>
  <c r="F40" i="7"/>
  <c r="B40" i="7"/>
  <c r="Q38" i="7"/>
  <c r="N38" i="7"/>
  <c r="H38" i="7"/>
  <c r="D38" i="7"/>
  <c r="O37" i="7"/>
  <c r="F36" i="7"/>
  <c r="B36" i="7"/>
  <c r="F66" i="7"/>
  <c r="B66" i="7"/>
  <c r="F62" i="7"/>
  <c r="B62" i="7"/>
  <c r="F58" i="7"/>
  <c r="B58" i="7"/>
  <c r="F54" i="7"/>
  <c r="B54" i="7"/>
  <c r="F50" i="7"/>
  <c r="B50" i="7"/>
  <c r="F46" i="7"/>
  <c r="B46" i="7"/>
  <c r="F42" i="7"/>
  <c r="B42" i="7"/>
  <c r="F38" i="7"/>
  <c r="B38" i="7"/>
  <c r="Q9" i="7"/>
  <c r="O6" i="7"/>
  <c r="Q5" i="7"/>
  <c r="Q32" i="7"/>
  <c r="Q11" i="7"/>
  <c r="N9" i="7"/>
  <c r="O8" i="7"/>
  <c r="Q7" i="7"/>
  <c r="Q3" i="7"/>
  <c r="O4" i="7"/>
  <c r="Q15" i="7"/>
  <c r="O34" i="7"/>
  <c r="N32" i="7"/>
  <c r="O31" i="7"/>
  <c r="O30" i="7"/>
  <c r="R34" i="7"/>
  <c r="M34" i="7"/>
  <c r="O33" i="7"/>
  <c r="Q34" i="7"/>
  <c r="N34" i="7"/>
  <c r="H34" i="7"/>
  <c r="D34" i="7"/>
  <c r="R33" i="7"/>
  <c r="M33" i="7"/>
  <c r="F34" i="7"/>
  <c r="B34" i="7"/>
  <c r="R32" i="7"/>
  <c r="O32" i="7"/>
  <c r="M32" i="7"/>
  <c r="H32" i="7"/>
  <c r="R31" i="7"/>
  <c r="M31" i="7"/>
  <c r="R30" i="7"/>
  <c r="M30" i="7"/>
  <c r="N17" i="7"/>
  <c r="N15" i="7"/>
  <c r="O14" i="7"/>
  <c r="Q13" i="7"/>
  <c r="D32" i="7"/>
  <c r="Q29" i="7"/>
  <c r="N29" i="7"/>
  <c r="Q27" i="7"/>
  <c r="N27" i="7"/>
  <c r="Q25" i="7"/>
  <c r="N25" i="7"/>
  <c r="Q23" i="7"/>
  <c r="N23" i="7"/>
  <c r="R29" i="7"/>
  <c r="O29" i="7"/>
  <c r="M29" i="7"/>
  <c r="H29" i="7"/>
  <c r="R28" i="7"/>
  <c r="M28" i="7"/>
  <c r="R27" i="7"/>
  <c r="O27" i="7"/>
  <c r="M27" i="7"/>
  <c r="H27" i="7"/>
  <c r="R26" i="7"/>
  <c r="M26" i="7"/>
  <c r="R25" i="7"/>
  <c r="O25" i="7"/>
  <c r="M25" i="7"/>
  <c r="H25" i="7"/>
  <c r="R24" i="7"/>
  <c r="M24" i="7"/>
  <c r="R23" i="7"/>
  <c r="O23" i="7"/>
  <c r="M23" i="7"/>
  <c r="H23" i="7"/>
  <c r="R22" i="7"/>
  <c r="M22" i="7"/>
  <c r="R21" i="7"/>
  <c r="O21" i="7"/>
  <c r="M21" i="7"/>
  <c r="H21" i="7"/>
  <c r="R20" i="7"/>
  <c r="M20" i="7"/>
  <c r="R19" i="7"/>
  <c r="O19" i="7"/>
  <c r="M19" i="7"/>
  <c r="H19" i="7"/>
  <c r="R18" i="7"/>
  <c r="M18" i="7"/>
  <c r="R17" i="7"/>
  <c r="O17" i="7"/>
  <c r="M17" i="7"/>
  <c r="H17" i="7"/>
  <c r="R15" i="7"/>
  <c r="O15" i="7"/>
  <c r="M15" i="7"/>
  <c r="H15" i="7"/>
  <c r="R14" i="7"/>
  <c r="M14" i="7"/>
  <c r="N13" i="7"/>
  <c r="N11" i="7"/>
  <c r="O10" i="7"/>
  <c r="N7" i="7"/>
  <c r="N3" i="7"/>
  <c r="F32" i="7"/>
  <c r="B32" i="7"/>
  <c r="Q30" i="7"/>
  <c r="N30" i="7"/>
  <c r="H30" i="7"/>
  <c r="D30" i="7"/>
  <c r="D29" i="7"/>
  <c r="O28" i="7"/>
  <c r="D27" i="7"/>
  <c r="O26" i="7"/>
  <c r="D25" i="7"/>
  <c r="O24" i="7"/>
  <c r="D23" i="7"/>
  <c r="O22" i="7"/>
  <c r="D21" i="7"/>
  <c r="O20" i="7"/>
  <c r="D19" i="7"/>
  <c r="D17" i="7"/>
  <c r="D15" i="7"/>
  <c r="N5" i="7"/>
  <c r="F30" i="7"/>
  <c r="B30" i="7"/>
  <c r="O2" i="7"/>
  <c r="F29" i="7"/>
  <c r="B29" i="7"/>
  <c r="F27" i="7"/>
  <c r="B27" i="7"/>
  <c r="F25" i="7"/>
  <c r="B25" i="7"/>
  <c r="F23" i="7"/>
  <c r="B23" i="7"/>
  <c r="F21" i="7"/>
  <c r="B21" i="7"/>
  <c r="F19" i="7"/>
  <c r="B19" i="7"/>
  <c r="F17" i="7"/>
  <c r="B17" i="7"/>
  <c r="F15" i="7"/>
  <c r="B15" i="7"/>
  <c r="R13" i="7"/>
  <c r="O13" i="7"/>
  <c r="M13" i="7"/>
  <c r="H13" i="7"/>
  <c r="D13" i="7"/>
  <c r="O12" i="7"/>
  <c r="R11" i="7"/>
  <c r="O11" i="7"/>
  <c r="M11" i="7"/>
  <c r="H11" i="7"/>
  <c r="D11" i="7"/>
  <c r="R10" i="7"/>
  <c r="M10" i="7"/>
  <c r="R9" i="7"/>
  <c r="O9" i="7"/>
  <c r="M9" i="7"/>
  <c r="H9" i="7"/>
  <c r="D9" i="7"/>
  <c r="R8" i="7"/>
  <c r="M8" i="7"/>
  <c r="R7" i="7"/>
  <c r="O7" i="7"/>
  <c r="M7" i="7"/>
  <c r="H7" i="7"/>
  <c r="D7" i="7"/>
  <c r="R6" i="7"/>
  <c r="M6" i="7"/>
  <c r="R5" i="7"/>
  <c r="O5" i="7"/>
  <c r="M5" i="7"/>
  <c r="H5" i="7"/>
  <c r="D5" i="7"/>
  <c r="R4" i="7"/>
  <c r="M4" i="7"/>
  <c r="R3" i="7"/>
  <c r="O3" i="7"/>
  <c r="M3" i="7"/>
  <c r="H3" i="7"/>
  <c r="D3" i="7"/>
  <c r="R2" i="7"/>
  <c r="M2" i="7"/>
  <c r="F13" i="7"/>
  <c r="B13" i="7"/>
  <c r="F11" i="7"/>
  <c r="B11" i="7"/>
  <c r="F9" i="7"/>
  <c r="B9" i="7"/>
  <c r="F7" i="7"/>
  <c r="B7" i="7"/>
  <c r="F5" i="7"/>
  <c r="B5" i="7"/>
  <c r="F3" i="7"/>
  <c r="B3" i="7"/>
  <c r="L2" i="7"/>
  <c r="G1000" i="7"/>
  <c r="E1000" i="7"/>
  <c r="C1000" i="7"/>
  <c r="Q999" i="7"/>
  <c r="N999" i="7"/>
  <c r="L999" i="7"/>
  <c r="H999" i="7"/>
  <c r="F999" i="7"/>
  <c r="D999" i="7"/>
  <c r="B999" i="7"/>
  <c r="G998" i="7"/>
  <c r="E998" i="7"/>
  <c r="C998" i="7"/>
  <c r="Q997" i="7"/>
  <c r="N997" i="7"/>
  <c r="L997" i="7"/>
  <c r="H997" i="7"/>
  <c r="F997" i="7"/>
  <c r="D997" i="7"/>
  <c r="B997" i="7"/>
  <c r="G996" i="7"/>
  <c r="E996" i="7"/>
  <c r="C996" i="7"/>
  <c r="Q995" i="7"/>
  <c r="N995" i="7"/>
  <c r="L995" i="7"/>
  <c r="H995" i="7"/>
  <c r="F995" i="7"/>
  <c r="D995" i="7"/>
  <c r="B995" i="7"/>
  <c r="G994" i="7"/>
  <c r="E994" i="7"/>
  <c r="C994" i="7"/>
  <c r="Q993" i="7"/>
  <c r="N993" i="7"/>
  <c r="L993" i="7"/>
  <c r="H993" i="7"/>
  <c r="F993" i="7"/>
  <c r="D993" i="7"/>
  <c r="B993" i="7"/>
  <c r="G992" i="7"/>
  <c r="E992" i="7"/>
  <c r="C992" i="7"/>
  <c r="Q991" i="7"/>
  <c r="N991" i="7"/>
  <c r="L991" i="7"/>
  <c r="H991" i="7"/>
  <c r="F991" i="7"/>
  <c r="D991" i="7"/>
  <c r="B991" i="7"/>
  <c r="G990" i="7"/>
  <c r="E990" i="7"/>
  <c r="C990" i="7"/>
  <c r="Q989" i="7"/>
  <c r="N989" i="7"/>
  <c r="L989" i="7"/>
  <c r="H989" i="7"/>
  <c r="F989" i="7"/>
  <c r="D989" i="7"/>
  <c r="B989" i="7"/>
  <c r="G988" i="7"/>
  <c r="E988" i="7"/>
  <c r="C988" i="7"/>
  <c r="Q987" i="7"/>
  <c r="N987" i="7"/>
  <c r="L987" i="7"/>
  <c r="H987" i="7"/>
  <c r="F987" i="7"/>
  <c r="D987" i="7"/>
  <c r="B987" i="7"/>
  <c r="G986" i="7"/>
  <c r="E986" i="7"/>
  <c r="C986" i="7"/>
  <c r="Q985" i="7"/>
  <c r="N985" i="7"/>
  <c r="L985" i="7"/>
  <c r="H985" i="7"/>
  <c r="F985" i="7"/>
  <c r="D985" i="7"/>
  <c r="B985" i="7"/>
  <c r="G984" i="7"/>
  <c r="E984" i="7"/>
  <c r="C984" i="7"/>
  <c r="Q983" i="7"/>
  <c r="N983" i="7"/>
  <c r="L983" i="7"/>
  <c r="H983" i="7"/>
  <c r="F983" i="7"/>
  <c r="D983" i="7"/>
  <c r="B983" i="7"/>
  <c r="G982" i="7"/>
  <c r="E982" i="7"/>
  <c r="C982" i="7"/>
  <c r="Q981" i="7"/>
  <c r="N981" i="7"/>
  <c r="L981" i="7"/>
  <c r="H981" i="7"/>
  <c r="F981" i="7"/>
  <c r="D981" i="7"/>
  <c r="B981" i="7"/>
  <c r="G980" i="7"/>
  <c r="E980" i="7"/>
  <c r="C980" i="7"/>
  <c r="Q979" i="7"/>
  <c r="N979" i="7"/>
  <c r="L979" i="7"/>
  <c r="H979" i="7"/>
  <c r="F979" i="7"/>
  <c r="D979" i="7"/>
  <c r="B979" i="7"/>
  <c r="G978" i="7"/>
  <c r="E978" i="7"/>
  <c r="C978" i="7"/>
  <c r="Q977" i="7"/>
  <c r="N977" i="7"/>
  <c r="L977" i="7"/>
  <c r="H977" i="7"/>
  <c r="F977" i="7"/>
  <c r="D977" i="7"/>
  <c r="B977" i="7"/>
  <c r="G976" i="7"/>
  <c r="E976" i="7"/>
  <c r="C976" i="7"/>
  <c r="Q975" i="7"/>
  <c r="N975" i="7"/>
  <c r="L975" i="7"/>
  <c r="H975" i="7"/>
  <c r="F975" i="7"/>
  <c r="D975" i="7"/>
  <c r="B975" i="7"/>
  <c r="G974" i="7"/>
  <c r="E974" i="7"/>
  <c r="C974" i="7"/>
  <c r="Q973" i="7"/>
  <c r="N973" i="7"/>
  <c r="L973" i="7"/>
  <c r="H973" i="7"/>
  <c r="F973" i="7"/>
  <c r="D973" i="7"/>
  <c r="B973" i="7"/>
  <c r="G972" i="7"/>
  <c r="E972" i="7"/>
  <c r="C972" i="7"/>
  <c r="Q971" i="7"/>
  <c r="N971" i="7"/>
  <c r="L971" i="7"/>
  <c r="H971" i="7"/>
  <c r="F971" i="7"/>
  <c r="D971" i="7"/>
  <c r="B971" i="7"/>
  <c r="G970" i="7"/>
  <c r="E970" i="7"/>
  <c r="C970" i="7"/>
  <c r="Q969" i="7"/>
  <c r="N969" i="7"/>
  <c r="L969" i="7"/>
  <c r="H969" i="7"/>
  <c r="F969" i="7"/>
  <c r="D969" i="7"/>
  <c r="B969" i="7"/>
  <c r="G968" i="7"/>
  <c r="E968" i="7"/>
  <c r="C968" i="7"/>
  <c r="Q967" i="7"/>
  <c r="N967" i="7"/>
  <c r="L967" i="7"/>
  <c r="H967" i="7"/>
  <c r="F967" i="7"/>
  <c r="D967" i="7"/>
  <c r="B967" i="7"/>
  <c r="G966" i="7"/>
  <c r="E966" i="7"/>
  <c r="C966" i="7"/>
  <c r="Q965" i="7"/>
  <c r="N965" i="7"/>
  <c r="L965" i="7"/>
  <c r="H965" i="7"/>
  <c r="F965" i="7"/>
  <c r="D965" i="7"/>
  <c r="B965" i="7"/>
  <c r="G964" i="7"/>
  <c r="E964" i="7"/>
  <c r="C964" i="7"/>
  <c r="Q963" i="7"/>
  <c r="N963" i="7"/>
  <c r="L963" i="7"/>
  <c r="H963" i="7"/>
  <c r="F963" i="7"/>
  <c r="D963" i="7"/>
  <c r="B963" i="7"/>
  <c r="G962" i="7"/>
  <c r="E962" i="7"/>
  <c r="C962" i="7"/>
  <c r="Q961" i="7"/>
  <c r="N961" i="7"/>
  <c r="L961" i="7"/>
  <c r="H961" i="7"/>
  <c r="F961" i="7"/>
  <c r="D961" i="7"/>
  <c r="B961" i="7"/>
  <c r="G960" i="7"/>
  <c r="E960" i="7"/>
  <c r="C960" i="7"/>
  <c r="Q959" i="7"/>
  <c r="N959" i="7"/>
  <c r="L959" i="7"/>
  <c r="H959" i="7"/>
  <c r="F959" i="7"/>
  <c r="D959" i="7"/>
  <c r="B959" i="7"/>
  <c r="G958" i="7"/>
  <c r="E958" i="7"/>
  <c r="C958" i="7"/>
  <c r="Q957" i="7"/>
  <c r="N957" i="7"/>
  <c r="L957" i="7"/>
  <c r="H957" i="7"/>
  <c r="F957" i="7"/>
  <c r="D957" i="7"/>
  <c r="B957" i="7"/>
  <c r="G956" i="7"/>
  <c r="E956" i="7"/>
  <c r="C956" i="7"/>
  <c r="Q955" i="7"/>
  <c r="N955" i="7"/>
  <c r="L955" i="7"/>
  <c r="H955" i="7"/>
  <c r="F955" i="7"/>
  <c r="D955" i="7"/>
  <c r="B955" i="7"/>
  <c r="G954" i="7"/>
  <c r="E954" i="7"/>
  <c r="C954" i="7"/>
  <c r="Q953" i="7"/>
  <c r="N953" i="7"/>
  <c r="L953" i="7"/>
  <c r="H953" i="7"/>
  <c r="F953" i="7"/>
  <c r="D953" i="7"/>
  <c r="B953" i="7"/>
  <c r="G952" i="7"/>
  <c r="E952" i="7"/>
  <c r="C952" i="7"/>
  <c r="Q951" i="7"/>
  <c r="N951" i="7"/>
  <c r="L951" i="7"/>
  <c r="H951" i="7"/>
  <c r="F951" i="7"/>
  <c r="D951" i="7"/>
  <c r="B951" i="7"/>
  <c r="G950" i="7"/>
  <c r="E950" i="7"/>
  <c r="C950" i="7"/>
  <c r="Q949" i="7"/>
  <c r="N949" i="7"/>
  <c r="L949" i="7"/>
  <c r="H949" i="7"/>
  <c r="F949" i="7"/>
  <c r="D949" i="7"/>
  <c r="B949" i="7"/>
  <c r="G948" i="7"/>
  <c r="E948" i="7"/>
  <c r="C948" i="7"/>
  <c r="Q947" i="7"/>
  <c r="N947" i="7"/>
  <c r="L947" i="7"/>
  <c r="H947" i="7"/>
  <c r="F947" i="7"/>
  <c r="D947" i="7"/>
  <c r="B947" i="7"/>
  <c r="G946" i="7"/>
  <c r="E946" i="7"/>
  <c r="C946" i="7"/>
  <c r="Q945" i="7"/>
  <c r="N945" i="7"/>
  <c r="L945" i="7"/>
  <c r="H945" i="7"/>
  <c r="F945" i="7"/>
  <c r="D945" i="7"/>
  <c r="B945" i="7"/>
  <c r="G944" i="7"/>
  <c r="E944" i="7"/>
  <c r="C944" i="7"/>
  <c r="Q943" i="7"/>
  <c r="N943" i="7"/>
  <c r="L943" i="7"/>
  <c r="H943" i="7"/>
  <c r="F943" i="7"/>
  <c r="D943" i="7"/>
  <c r="B943" i="7"/>
  <c r="G942" i="7"/>
  <c r="E942" i="7"/>
  <c r="C942" i="7"/>
  <c r="Q941" i="7"/>
  <c r="N941" i="7"/>
  <c r="L941" i="7"/>
  <c r="H941" i="7"/>
  <c r="F941" i="7"/>
  <c r="D941" i="7"/>
  <c r="B941" i="7"/>
  <c r="G940" i="7"/>
  <c r="E940" i="7"/>
  <c r="C940" i="7"/>
  <c r="Q939" i="7"/>
  <c r="N939" i="7"/>
  <c r="L939" i="7"/>
  <c r="H939" i="7"/>
  <c r="F939" i="7"/>
  <c r="D939" i="7"/>
  <c r="B939" i="7"/>
  <c r="G938" i="7"/>
  <c r="E938" i="7"/>
  <c r="C938" i="7"/>
  <c r="Q937" i="7"/>
  <c r="N937" i="7"/>
  <c r="L937" i="7"/>
  <c r="H937" i="7"/>
  <c r="F937" i="7"/>
  <c r="D937" i="7"/>
  <c r="B937" i="7"/>
  <c r="G936" i="7"/>
  <c r="E936" i="7"/>
  <c r="C936" i="7"/>
  <c r="Q935" i="7"/>
  <c r="N935" i="7"/>
  <c r="L935" i="7"/>
  <c r="H935" i="7"/>
  <c r="F935" i="7"/>
  <c r="D935" i="7"/>
  <c r="B935" i="7"/>
  <c r="G934" i="7"/>
  <c r="E934" i="7"/>
  <c r="C934" i="7"/>
  <c r="Q933" i="7"/>
  <c r="N933" i="7"/>
  <c r="L933" i="7"/>
  <c r="H933" i="7"/>
  <c r="F933" i="7"/>
  <c r="D933" i="7"/>
  <c r="B933" i="7"/>
  <c r="G932" i="7"/>
  <c r="E932" i="7"/>
  <c r="C932" i="7"/>
  <c r="Q931" i="7"/>
  <c r="N931" i="7"/>
  <c r="L931" i="7"/>
  <c r="H931" i="7"/>
  <c r="F931" i="7"/>
  <c r="D931" i="7"/>
  <c r="B931" i="7"/>
  <c r="G930" i="7"/>
  <c r="E930" i="7"/>
  <c r="C930" i="7"/>
  <c r="Q929" i="7"/>
  <c r="N929" i="7"/>
  <c r="L929" i="7"/>
  <c r="H929" i="7"/>
  <c r="F929" i="7"/>
  <c r="D929" i="7"/>
  <c r="B929" i="7"/>
  <c r="G928" i="7"/>
  <c r="E928" i="7"/>
  <c r="C928" i="7"/>
  <c r="Q927" i="7"/>
  <c r="N927" i="7"/>
  <c r="L927" i="7"/>
  <c r="H927" i="7"/>
  <c r="F927" i="7"/>
  <c r="D927" i="7"/>
  <c r="B927" i="7"/>
  <c r="G926" i="7"/>
  <c r="E926" i="7"/>
  <c r="C926" i="7"/>
  <c r="Q925" i="7"/>
  <c r="N925" i="7"/>
  <c r="L925" i="7"/>
  <c r="H925" i="7"/>
  <c r="F925" i="7"/>
  <c r="D925" i="7"/>
  <c r="B925" i="7"/>
  <c r="G924" i="7"/>
  <c r="E924" i="7"/>
  <c r="C924" i="7"/>
  <c r="Q923" i="7"/>
  <c r="N923" i="7"/>
  <c r="L923" i="7"/>
  <c r="H923" i="7"/>
  <c r="F923" i="7"/>
  <c r="D923" i="7"/>
  <c r="B923" i="7"/>
  <c r="G922" i="7"/>
  <c r="E922" i="7"/>
  <c r="C922" i="7"/>
  <c r="Q921" i="7"/>
  <c r="N921" i="7"/>
  <c r="L921" i="7"/>
  <c r="H921" i="7"/>
  <c r="F921" i="7"/>
  <c r="D921" i="7"/>
  <c r="B921" i="7"/>
  <c r="G920" i="7"/>
  <c r="E920" i="7"/>
  <c r="C920" i="7"/>
  <c r="Q919" i="7"/>
  <c r="N919" i="7"/>
  <c r="L919" i="7"/>
  <c r="H919" i="7"/>
  <c r="F919" i="7"/>
  <c r="D919" i="7"/>
  <c r="B919" i="7"/>
  <c r="G918" i="7"/>
  <c r="E918" i="7"/>
  <c r="C918" i="7"/>
  <c r="Q917" i="7"/>
  <c r="N917" i="7"/>
  <c r="L917" i="7"/>
  <c r="H917" i="7"/>
  <c r="F917" i="7"/>
  <c r="D917" i="7"/>
  <c r="B917" i="7"/>
  <c r="G916" i="7"/>
  <c r="E916" i="7"/>
  <c r="C916" i="7"/>
  <c r="Q915" i="7"/>
  <c r="N915" i="7"/>
  <c r="L915" i="7"/>
  <c r="H915" i="7"/>
  <c r="F915" i="7"/>
  <c r="D915" i="7"/>
  <c r="B915" i="7"/>
  <c r="G914" i="7"/>
  <c r="E914" i="7"/>
  <c r="C914" i="7"/>
  <c r="Q913" i="7"/>
  <c r="N913" i="7"/>
  <c r="L913" i="7"/>
  <c r="H913" i="7"/>
  <c r="F913" i="7"/>
  <c r="D913" i="7"/>
  <c r="B913" i="7"/>
  <c r="G912" i="7"/>
  <c r="E912" i="7"/>
  <c r="C912" i="7"/>
  <c r="Q911" i="7"/>
  <c r="N911" i="7"/>
  <c r="L911" i="7"/>
  <c r="H911" i="7"/>
  <c r="F911" i="7"/>
  <c r="D911" i="7"/>
  <c r="B911" i="7"/>
  <c r="G910" i="7"/>
  <c r="E910" i="7"/>
  <c r="C910" i="7"/>
  <c r="Q909" i="7"/>
  <c r="N909" i="7"/>
  <c r="L909" i="7"/>
  <c r="H909" i="7"/>
  <c r="F909" i="7"/>
  <c r="D909" i="7"/>
  <c r="B909" i="7"/>
  <c r="G908" i="7"/>
  <c r="E908" i="7"/>
  <c r="C908" i="7"/>
  <c r="Q907" i="7"/>
  <c r="N907" i="7"/>
  <c r="L907" i="7"/>
  <c r="H907" i="7"/>
  <c r="F907" i="7"/>
  <c r="D907" i="7"/>
  <c r="B907" i="7"/>
  <c r="G906" i="7"/>
  <c r="E906" i="7"/>
  <c r="C906" i="7"/>
  <c r="Q905" i="7"/>
  <c r="N905" i="7"/>
  <c r="L905" i="7"/>
  <c r="H905" i="7"/>
  <c r="F905" i="7"/>
  <c r="D905" i="7"/>
  <c r="B905" i="7"/>
  <c r="G904" i="7"/>
  <c r="E904" i="7"/>
  <c r="C904" i="7"/>
  <c r="Q903" i="7"/>
  <c r="N903" i="7"/>
  <c r="L903" i="7"/>
  <c r="H903" i="7"/>
  <c r="F903" i="7"/>
  <c r="D903" i="7"/>
  <c r="B903" i="7"/>
  <c r="G902" i="7"/>
  <c r="E902" i="7"/>
  <c r="C902" i="7"/>
  <c r="Q901" i="7"/>
  <c r="N901" i="7"/>
  <c r="L901" i="7"/>
  <c r="H901" i="7"/>
  <c r="F901" i="7"/>
  <c r="D901" i="7"/>
  <c r="B901" i="7"/>
  <c r="G900" i="7"/>
  <c r="E900" i="7"/>
  <c r="C900" i="7"/>
  <c r="Q899" i="7"/>
  <c r="N899" i="7"/>
  <c r="L899" i="7"/>
  <c r="H899" i="7"/>
  <c r="F899" i="7"/>
  <c r="D899" i="7"/>
  <c r="B899" i="7"/>
  <c r="G898" i="7"/>
  <c r="E898" i="7"/>
  <c r="C898" i="7"/>
  <c r="Q897" i="7"/>
  <c r="N897" i="7"/>
  <c r="L897" i="7"/>
  <c r="H897" i="7"/>
  <c r="F897" i="7"/>
  <c r="D897" i="7"/>
  <c r="B897" i="7"/>
  <c r="G896" i="7"/>
  <c r="E896" i="7"/>
  <c r="C896" i="7"/>
  <c r="Q895" i="7"/>
  <c r="N895" i="7"/>
  <c r="L895" i="7"/>
  <c r="H895" i="7"/>
  <c r="F895" i="7"/>
  <c r="D895" i="7"/>
  <c r="B895" i="7"/>
  <c r="G894" i="7"/>
  <c r="E894" i="7"/>
  <c r="C894" i="7"/>
  <c r="Q893" i="7"/>
  <c r="N893" i="7"/>
  <c r="L893" i="7"/>
  <c r="H893" i="7"/>
  <c r="F893" i="7"/>
  <c r="D893" i="7"/>
  <c r="B893" i="7"/>
  <c r="G892" i="7"/>
  <c r="E892" i="7"/>
  <c r="C892" i="7"/>
  <c r="Q891" i="7"/>
  <c r="N891" i="7"/>
  <c r="L891" i="7"/>
  <c r="H891" i="7"/>
  <c r="F891" i="7"/>
  <c r="D891" i="7"/>
  <c r="B891" i="7"/>
  <c r="G890" i="7"/>
  <c r="E890" i="7"/>
  <c r="C890" i="7"/>
  <c r="Q889" i="7"/>
  <c r="N889" i="7"/>
  <c r="L889" i="7"/>
  <c r="H889" i="7"/>
  <c r="F889" i="7"/>
  <c r="D889" i="7"/>
  <c r="B889" i="7"/>
  <c r="G888" i="7"/>
  <c r="E888" i="7"/>
  <c r="C888" i="7"/>
  <c r="Q887" i="7"/>
  <c r="N887" i="7"/>
  <c r="L887" i="7"/>
  <c r="H887" i="7"/>
  <c r="F887" i="7"/>
  <c r="D887" i="7"/>
  <c r="B887" i="7"/>
  <c r="G886" i="7"/>
  <c r="E886" i="7"/>
  <c r="C886" i="7"/>
  <c r="Q885" i="7"/>
  <c r="N885" i="7"/>
  <c r="L885" i="7"/>
  <c r="H885" i="7"/>
  <c r="F885" i="7"/>
  <c r="D885" i="7"/>
  <c r="B885" i="7"/>
  <c r="G884" i="7"/>
  <c r="E884" i="7"/>
  <c r="C884" i="7"/>
  <c r="Q883" i="7"/>
  <c r="N883" i="7"/>
  <c r="L883" i="7"/>
  <c r="H883" i="7"/>
  <c r="F883" i="7"/>
  <c r="D883" i="7"/>
  <c r="B883" i="7"/>
  <c r="G882" i="7"/>
  <c r="E882" i="7"/>
  <c r="C882" i="7"/>
  <c r="Q881" i="7"/>
  <c r="N881" i="7"/>
  <c r="L881" i="7"/>
  <c r="H881" i="7"/>
  <c r="F881" i="7"/>
  <c r="D881" i="7"/>
  <c r="B881" i="7"/>
  <c r="G880" i="7"/>
  <c r="E880" i="7"/>
  <c r="C880" i="7"/>
  <c r="Q879" i="7"/>
  <c r="N879" i="7"/>
  <c r="L879" i="7"/>
  <c r="H879" i="7"/>
  <c r="F879" i="7"/>
  <c r="D879" i="7"/>
  <c r="B879" i="7"/>
  <c r="G878" i="7"/>
  <c r="E878" i="7"/>
  <c r="C878" i="7"/>
  <c r="Q877" i="7"/>
  <c r="N877" i="7"/>
  <c r="L877" i="7"/>
  <c r="H877" i="7"/>
  <c r="F877" i="7"/>
  <c r="D877" i="7"/>
  <c r="B877" i="7"/>
  <c r="G876" i="7"/>
  <c r="E876" i="7"/>
  <c r="C876" i="7"/>
  <c r="Q875" i="7"/>
  <c r="N875" i="7"/>
  <c r="L875" i="7"/>
  <c r="H875" i="7"/>
  <c r="F875" i="7"/>
  <c r="D875" i="7"/>
  <c r="B875" i="7"/>
  <c r="G874" i="7"/>
  <c r="E874" i="7"/>
  <c r="C874" i="7"/>
  <c r="Q873" i="7"/>
  <c r="N873" i="7"/>
  <c r="L873" i="7"/>
  <c r="H873" i="7"/>
  <c r="F873" i="7"/>
  <c r="D873" i="7"/>
  <c r="B873" i="7"/>
  <c r="G872" i="7"/>
  <c r="E872" i="7"/>
  <c r="C872" i="7"/>
  <c r="Q871" i="7"/>
  <c r="N871" i="7"/>
  <c r="L871" i="7"/>
  <c r="H871" i="7"/>
  <c r="F871" i="7"/>
  <c r="D871" i="7"/>
  <c r="B871" i="7"/>
  <c r="G870" i="7"/>
  <c r="E870" i="7"/>
  <c r="C870" i="7"/>
  <c r="Q869" i="7"/>
  <c r="N869" i="7"/>
  <c r="L869" i="7"/>
  <c r="H869" i="7"/>
  <c r="F869" i="7"/>
  <c r="D869" i="7"/>
  <c r="B869" i="7"/>
  <c r="G868" i="7"/>
  <c r="E868" i="7"/>
  <c r="C868" i="7"/>
  <c r="Q867" i="7"/>
  <c r="N867" i="7"/>
  <c r="L867" i="7"/>
  <c r="H867" i="7"/>
  <c r="F867" i="7"/>
  <c r="D867" i="7"/>
  <c r="B867" i="7"/>
  <c r="G866" i="7"/>
  <c r="E866" i="7"/>
  <c r="C866" i="7"/>
  <c r="Q865" i="7"/>
  <c r="N865" i="7"/>
  <c r="L865" i="7"/>
  <c r="H865" i="7"/>
  <c r="F865" i="7"/>
  <c r="D865" i="7"/>
  <c r="B865" i="7"/>
  <c r="G864" i="7"/>
  <c r="E864" i="7"/>
  <c r="C864" i="7"/>
  <c r="Q863" i="7"/>
  <c r="N863" i="7"/>
  <c r="L863" i="7"/>
  <c r="H863" i="7"/>
  <c r="F863" i="7"/>
  <c r="D863" i="7"/>
  <c r="B863" i="7"/>
  <c r="G862" i="7"/>
  <c r="E862" i="7"/>
  <c r="C862" i="7"/>
  <c r="Q861" i="7"/>
  <c r="N861" i="7"/>
  <c r="L861" i="7"/>
  <c r="H861" i="7"/>
  <c r="F861" i="7"/>
  <c r="D861" i="7"/>
  <c r="B861" i="7"/>
  <c r="G860" i="7"/>
  <c r="E860" i="7"/>
  <c r="C860" i="7"/>
  <c r="Q859" i="7"/>
  <c r="N859" i="7"/>
  <c r="L859" i="7"/>
  <c r="H859" i="7"/>
  <c r="F859" i="7"/>
  <c r="D859" i="7"/>
  <c r="B859" i="7"/>
  <c r="G858" i="7"/>
  <c r="E858" i="7"/>
  <c r="C858" i="7"/>
  <c r="Q857" i="7"/>
  <c r="N857" i="7"/>
  <c r="L857" i="7"/>
  <c r="H857" i="7"/>
  <c r="F857" i="7"/>
  <c r="D857" i="7"/>
  <c r="B857" i="7"/>
  <c r="G856" i="7"/>
  <c r="E856" i="7"/>
  <c r="C856" i="7"/>
  <c r="Q855" i="7"/>
  <c r="N855" i="7"/>
  <c r="L855" i="7"/>
  <c r="H855" i="7"/>
  <c r="F855" i="7"/>
  <c r="D855" i="7"/>
  <c r="B855" i="7"/>
  <c r="G854" i="7"/>
  <c r="E854" i="7"/>
  <c r="C854" i="7"/>
  <c r="Q853" i="7"/>
  <c r="N853" i="7"/>
  <c r="L853" i="7"/>
  <c r="H853" i="7"/>
  <c r="F853" i="7"/>
  <c r="D853" i="7"/>
  <c r="B853" i="7"/>
  <c r="G852" i="7"/>
  <c r="E852" i="7"/>
  <c r="C852" i="7"/>
  <c r="Q851" i="7"/>
  <c r="N851" i="7"/>
  <c r="L851" i="7"/>
  <c r="H851" i="7"/>
  <c r="F851" i="7"/>
  <c r="D851" i="7"/>
  <c r="B851" i="7"/>
  <c r="G850" i="7"/>
  <c r="E850" i="7"/>
  <c r="C850" i="7"/>
  <c r="Q849" i="7"/>
  <c r="N849" i="7"/>
  <c r="L849" i="7"/>
  <c r="H849" i="7"/>
  <c r="F849" i="7"/>
  <c r="D849" i="7"/>
  <c r="B849" i="7"/>
  <c r="G848" i="7"/>
  <c r="E848" i="7"/>
  <c r="C848" i="7"/>
  <c r="Q847" i="7"/>
  <c r="N847" i="7"/>
  <c r="L847" i="7"/>
  <c r="H847" i="7"/>
  <c r="F847" i="7"/>
  <c r="D847" i="7"/>
  <c r="B847" i="7"/>
  <c r="G846" i="7"/>
  <c r="E846" i="7"/>
  <c r="C846" i="7"/>
  <c r="Q845" i="7"/>
  <c r="N845" i="7"/>
  <c r="L845" i="7"/>
  <c r="H845" i="7"/>
  <c r="F845" i="7"/>
  <c r="D845" i="7"/>
  <c r="B845" i="7"/>
  <c r="G844" i="7"/>
  <c r="E844" i="7"/>
  <c r="C844" i="7"/>
  <c r="Q843" i="7"/>
  <c r="N843" i="7"/>
  <c r="L843" i="7"/>
  <c r="H843" i="7"/>
  <c r="F843" i="7"/>
  <c r="D843" i="7"/>
  <c r="B843" i="7"/>
  <c r="G842" i="7"/>
  <c r="E842" i="7"/>
  <c r="C842" i="7"/>
  <c r="Q841" i="7"/>
  <c r="N841" i="7"/>
  <c r="L841" i="7"/>
  <c r="H841" i="7"/>
  <c r="F841" i="7"/>
  <c r="D841" i="7"/>
  <c r="B841" i="7"/>
  <c r="G840" i="7"/>
  <c r="E840" i="7"/>
  <c r="C840" i="7"/>
  <c r="Q839" i="7"/>
  <c r="N839" i="7"/>
  <c r="L839" i="7"/>
  <c r="H839" i="7"/>
  <c r="F839" i="7"/>
  <c r="D839" i="7"/>
  <c r="B839" i="7"/>
  <c r="G838" i="7"/>
  <c r="E838" i="7"/>
  <c r="C838" i="7"/>
  <c r="Q837" i="7"/>
  <c r="N837" i="7"/>
  <c r="L837" i="7"/>
  <c r="H837" i="7"/>
  <c r="F837" i="7"/>
  <c r="D837" i="7"/>
  <c r="B837" i="7"/>
  <c r="G836" i="7"/>
  <c r="E836" i="7"/>
  <c r="C836" i="7"/>
  <c r="Q835" i="7"/>
  <c r="N835" i="7"/>
  <c r="L835" i="7"/>
  <c r="H835" i="7"/>
  <c r="F835" i="7"/>
  <c r="D835" i="7"/>
  <c r="B835" i="7"/>
  <c r="G834" i="7"/>
  <c r="E834" i="7"/>
  <c r="C834" i="7"/>
  <c r="Q833" i="7"/>
  <c r="N833" i="7"/>
  <c r="L833" i="7"/>
  <c r="H833" i="7"/>
  <c r="F833" i="7"/>
  <c r="D833" i="7"/>
  <c r="B833" i="7"/>
  <c r="G832" i="7"/>
  <c r="E832" i="7"/>
  <c r="C832" i="7"/>
  <c r="Q831" i="7"/>
  <c r="N831" i="7"/>
  <c r="L831" i="7"/>
  <c r="H831" i="7"/>
  <c r="F831" i="7"/>
  <c r="D831" i="7"/>
  <c r="B831" i="7"/>
  <c r="G830" i="7"/>
  <c r="E830" i="7"/>
  <c r="C830" i="7"/>
  <c r="Q829" i="7"/>
  <c r="N829" i="7"/>
  <c r="L829" i="7"/>
  <c r="H829" i="7"/>
  <c r="F829" i="7"/>
  <c r="D829" i="7"/>
  <c r="B829" i="7"/>
  <c r="G828" i="7"/>
  <c r="E828" i="7"/>
  <c r="C828" i="7"/>
  <c r="Q827" i="7"/>
  <c r="N827" i="7"/>
  <c r="L827" i="7"/>
  <c r="H827" i="7"/>
  <c r="F827" i="7"/>
  <c r="D827" i="7"/>
  <c r="B827" i="7"/>
  <c r="G826" i="7"/>
  <c r="E826" i="7"/>
  <c r="C826" i="7"/>
  <c r="Q825" i="7"/>
  <c r="N825" i="7"/>
  <c r="L825" i="7"/>
  <c r="H825" i="7"/>
  <c r="F825" i="7"/>
  <c r="D825" i="7"/>
  <c r="B825" i="7"/>
  <c r="G824" i="7"/>
  <c r="E824" i="7"/>
  <c r="C824" i="7"/>
  <c r="Q823" i="7"/>
  <c r="N823" i="7"/>
  <c r="L823" i="7"/>
  <c r="H823" i="7"/>
  <c r="F823" i="7"/>
  <c r="D823" i="7"/>
  <c r="B823" i="7"/>
  <c r="G822" i="7"/>
  <c r="E822" i="7"/>
  <c r="C822" i="7"/>
  <c r="Q821" i="7"/>
  <c r="N821" i="7"/>
  <c r="L821" i="7"/>
  <c r="H821" i="7"/>
  <c r="F821" i="7"/>
  <c r="D821" i="7"/>
  <c r="B821" i="7"/>
  <c r="G820" i="7"/>
  <c r="E820" i="7"/>
  <c r="C820" i="7"/>
  <c r="Q819" i="7"/>
  <c r="N819" i="7"/>
  <c r="L819" i="7"/>
  <c r="H819" i="7"/>
  <c r="F819" i="7"/>
  <c r="D819" i="7"/>
  <c r="B819" i="7"/>
  <c r="G818" i="7"/>
  <c r="E818" i="7"/>
  <c r="C818" i="7"/>
  <c r="Q817" i="7"/>
  <c r="N817" i="7"/>
  <c r="L817" i="7"/>
  <c r="H817" i="7"/>
  <c r="F817" i="7"/>
  <c r="D817" i="7"/>
  <c r="B817" i="7"/>
  <c r="G816" i="7"/>
  <c r="E816" i="7"/>
  <c r="C816" i="7"/>
  <c r="Q815" i="7"/>
  <c r="N815" i="7"/>
  <c r="L815" i="7"/>
  <c r="H815" i="7"/>
  <c r="F815" i="7"/>
  <c r="D815" i="7"/>
  <c r="B815" i="7"/>
  <c r="G814" i="7"/>
  <c r="E814" i="7"/>
  <c r="C814" i="7"/>
  <c r="Q813" i="7"/>
  <c r="N813" i="7"/>
  <c r="L813" i="7"/>
  <c r="H813" i="7"/>
  <c r="F813" i="7"/>
  <c r="D813" i="7"/>
  <c r="B813" i="7"/>
  <c r="G812" i="7"/>
  <c r="E812" i="7"/>
  <c r="C812" i="7"/>
  <c r="Q811" i="7"/>
  <c r="N811" i="7"/>
  <c r="L811" i="7"/>
  <c r="H811" i="7"/>
  <c r="F811" i="7"/>
  <c r="D811" i="7"/>
  <c r="B811" i="7"/>
  <c r="G810" i="7"/>
  <c r="E810" i="7"/>
  <c r="C810" i="7"/>
  <c r="Q809" i="7"/>
  <c r="N809" i="7"/>
  <c r="L809" i="7"/>
  <c r="H809" i="7"/>
  <c r="F809" i="7"/>
  <c r="D809" i="7"/>
  <c r="B809" i="7"/>
  <c r="G808" i="7"/>
  <c r="E808" i="7"/>
  <c r="C808" i="7"/>
  <c r="Q807" i="7"/>
  <c r="N807" i="7"/>
  <c r="L807" i="7"/>
  <c r="H807" i="7"/>
  <c r="F807" i="7"/>
  <c r="D807" i="7"/>
  <c r="B807" i="7"/>
  <c r="G806" i="7"/>
  <c r="E806" i="7"/>
  <c r="C806" i="7"/>
  <c r="Q805" i="7"/>
  <c r="N805" i="7"/>
  <c r="L805" i="7"/>
  <c r="H805" i="7"/>
  <c r="F805" i="7"/>
  <c r="D805" i="7"/>
  <c r="B805" i="7"/>
  <c r="G804" i="7"/>
  <c r="E804" i="7"/>
  <c r="C804" i="7"/>
  <c r="Q803" i="7"/>
  <c r="N803" i="7"/>
  <c r="L803" i="7"/>
  <c r="H803" i="7"/>
  <c r="F803" i="7"/>
  <c r="D803" i="7"/>
  <c r="B803" i="7"/>
  <c r="G802" i="7"/>
  <c r="E802" i="7"/>
  <c r="C802" i="7"/>
  <c r="Q801" i="7"/>
  <c r="N801" i="7"/>
  <c r="L801" i="7"/>
  <c r="H801" i="7"/>
  <c r="F801" i="7"/>
  <c r="D801" i="7"/>
  <c r="B801" i="7"/>
  <c r="G800" i="7"/>
  <c r="E800" i="7"/>
  <c r="C800" i="7"/>
  <c r="Q799" i="7"/>
  <c r="N799" i="7"/>
  <c r="L799" i="7"/>
  <c r="H799" i="7"/>
  <c r="F799" i="7"/>
  <c r="D799" i="7"/>
  <c r="B799" i="7"/>
  <c r="G798" i="7"/>
  <c r="E798" i="7"/>
  <c r="C798" i="7"/>
  <c r="Q797" i="7"/>
  <c r="N797" i="7"/>
  <c r="L797" i="7"/>
  <c r="H797" i="7"/>
  <c r="F797" i="7"/>
  <c r="D797" i="7"/>
  <c r="B797" i="7"/>
  <c r="G796" i="7"/>
  <c r="E796" i="7"/>
  <c r="C796" i="7"/>
  <c r="Q795" i="7"/>
  <c r="N795" i="7"/>
  <c r="L795" i="7"/>
  <c r="H795" i="7"/>
  <c r="F795" i="7"/>
  <c r="D795" i="7"/>
  <c r="B795" i="7"/>
  <c r="G794" i="7"/>
  <c r="E794" i="7"/>
  <c r="C794" i="7"/>
  <c r="Q793" i="7"/>
  <c r="N793" i="7"/>
  <c r="L793" i="7"/>
  <c r="H793" i="7"/>
  <c r="F793" i="7"/>
  <c r="D793" i="7"/>
  <c r="B793" i="7"/>
  <c r="G792" i="7"/>
  <c r="E792" i="7"/>
  <c r="C792" i="7"/>
  <c r="Q791" i="7"/>
  <c r="N791" i="7"/>
  <c r="L791" i="7"/>
  <c r="H791" i="7"/>
  <c r="F791" i="7"/>
  <c r="D791" i="7"/>
  <c r="B791" i="7"/>
  <c r="G790" i="7"/>
  <c r="E790" i="7"/>
  <c r="C790" i="7"/>
  <c r="Q789" i="7"/>
  <c r="N789" i="7"/>
  <c r="L789" i="7"/>
  <c r="H789" i="7"/>
  <c r="F789" i="7"/>
  <c r="D789" i="7"/>
  <c r="B789" i="7"/>
  <c r="G788" i="7"/>
  <c r="E788" i="7"/>
  <c r="C788" i="7"/>
  <c r="Q787" i="7"/>
  <c r="N787" i="7"/>
  <c r="L787" i="7"/>
  <c r="H787" i="7"/>
  <c r="F787" i="7"/>
  <c r="D787" i="7"/>
  <c r="B787" i="7"/>
  <c r="G786" i="7"/>
  <c r="E786" i="7"/>
  <c r="C786" i="7"/>
  <c r="Q785" i="7"/>
  <c r="N785" i="7"/>
  <c r="L785" i="7"/>
  <c r="H785" i="7"/>
  <c r="F785" i="7"/>
  <c r="D785" i="7"/>
  <c r="B785" i="7"/>
  <c r="G784" i="7"/>
  <c r="E784" i="7"/>
  <c r="C784" i="7"/>
  <c r="Q783" i="7"/>
  <c r="N783" i="7"/>
  <c r="L783" i="7"/>
  <c r="H783" i="7"/>
  <c r="F783" i="7"/>
  <c r="D783" i="7"/>
  <c r="B783" i="7"/>
  <c r="A782" i="7"/>
  <c r="C782" i="7"/>
  <c r="E782" i="7"/>
  <c r="G782" i="7"/>
  <c r="D782" i="7"/>
  <c r="R781" i="7"/>
  <c r="M781" i="7"/>
  <c r="G781" i="7"/>
  <c r="B779" i="7"/>
  <c r="D779" i="7"/>
  <c r="F779" i="7"/>
  <c r="H779" i="7"/>
  <c r="L779" i="7"/>
  <c r="N779" i="7"/>
  <c r="Q779" i="7"/>
  <c r="E779" i="7"/>
  <c r="A779" i="7"/>
  <c r="R777" i="7"/>
  <c r="M777" i="7"/>
  <c r="G777" i="7"/>
  <c r="B775" i="7"/>
  <c r="D775" i="7"/>
  <c r="F775" i="7"/>
  <c r="H775" i="7"/>
  <c r="L775" i="7"/>
  <c r="N775" i="7"/>
  <c r="Q775" i="7"/>
  <c r="E775" i="7"/>
  <c r="A775" i="7"/>
  <c r="R773" i="7"/>
  <c r="M773" i="7"/>
  <c r="G773" i="7"/>
  <c r="B771" i="7"/>
  <c r="D771" i="7"/>
  <c r="F771" i="7"/>
  <c r="H771" i="7"/>
  <c r="L771" i="7"/>
  <c r="N771" i="7"/>
  <c r="Q771" i="7"/>
  <c r="E771" i="7"/>
  <c r="A771" i="7"/>
  <c r="R769" i="7"/>
  <c r="M769" i="7"/>
  <c r="G769" i="7"/>
  <c r="B767" i="7"/>
  <c r="D767" i="7"/>
  <c r="F767" i="7"/>
  <c r="H767" i="7"/>
  <c r="L767" i="7"/>
  <c r="N767" i="7"/>
  <c r="Q767" i="7"/>
  <c r="E767" i="7"/>
  <c r="A767" i="7"/>
  <c r="R765" i="7"/>
  <c r="M765" i="7"/>
  <c r="G765" i="7"/>
  <c r="B763" i="7"/>
  <c r="D763" i="7"/>
  <c r="F763" i="7"/>
  <c r="H763" i="7"/>
  <c r="L763" i="7"/>
  <c r="N763" i="7"/>
  <c r="Q763" i="7"/>
  <c r="E763" i="7"/>
  <c r="A763" i="7"/>
  <c r="R761" i="7"/>
  <c r="M761" i="7"/>
  <c r="G761" i="7"/>
  <c r="B759" i="7"/>
  <c r="D759" i="7"/>
  <c r="F759" i="7"/>
  <c r="H759" i="7"/>
  <c r="L759" i="7"/>
  <c r="N759" i="7"/>
  <c r="Q759" i="7"/>
  <c r="E759" i="7"/>
  <c r="A759" i="7"/>
  <c r="R757" i="7"/>
  <c r="M757" i="7"/>
  <c r="G757" i="7"/>
  <c r="B755" i="7"/>
  <c r="D755" i="7"/>
  <c r="F755" i="7"/>
  <c r="H755" i="7"/>
  <c r="L755" i="7"/>
  <c r="N755" i="7"/>
  <c r="Q755" i="7"/>
  <c r="E755" i="7"/>
  <c r="A755" i="7"/>
  <c r="R753" i="7"/>
  <c r="M753" i="7"/>
  <c r="G753" i="7"/>
  <c r="B751" i="7"/>
  <c r="D751" i="7"/>
  <c r="F751" i="7"/>
  <c r="H751" i="7"/>
  <c r="L751" i="7"/>
  <c r="N751" i="7"/>
  <c r="Q751" i="7"/>
  <c r="E751" i="7"/>
  <c r="A751" i="7"/>
  <c r="R749" i="7"/>
  <c r="M749" i="7"/>
  <c r="G749" i="7"/>
  <c r="B747" i="7"/>
  <c r="D747" i="7"/>
  <c r="F747" i="7"/>
  <c r="H747" i="7"/>
  <c r="L747" i="7"/>
  <c r="N747" i="7"/>
  <c r="Q747" i="7"/>
  <c r="E747" i="7"/>
  <c r="A747" i="7"/>
  <c r="R745" i="7"/>
  <c r="M745" i="7"/>
  <c r="G745" i="7"/>
  <c r="B743" i="7"/>
  <c r="D743" i="7"/>
  <c r="F743" i="7"/>
  <c r="H743" i="7"/>
  <c r="L743" i="7"/>
  <c r="N743" i="7"/>
  <c r="Q743" i="7"/>
  <c r="E743" i="7"/>
  <c r="A743" i="7"/>
  <c r="R741" i="7"/>
  <c r="M741" i="7"/>
  <c r="G741" i="7"/>
  <c r="B739" i="7"/>
  <c r="D739" i="7"/>
  <c r="F739" i="7"/>
  <c r="H739" i="7"/>
  <c r="L739" i="7"/>
  <c r="N739" i="7"/>
  <c r="Q739" i="7"/>
  <c r="E739" i="7"/>
  <c r="A739" i="7"/>
  <c r="R737" i="7"/>
  <c r="M737" i="7"/>
  <c r="G737" i="7"/>
  <c r="B735" i="7"/>
  <c r="D735" i="7"/>
  <c r="F735" i="7"/>
  <c r="H735" i="7"/>
  <c r="L735" i="7"/>
  <c r="N735" i="7"/>
  <c r="Q735" i="7"/>
  <c r="E735" i="7"/>
  <c r="A735" i="7"/>
  <c r="R733" i="7"/>
  <c r="M733" i="7"/>
  <c r="G733" i="7"/>
  <c r="B731" i="7"/>
  <c r="D731" i="7"/>
  <c r="F731" i="7"/>
  <c r="H731" i="7"/>
  <c r="L731" i="7"/>
  <c r="N731" i="7"/>
  <c r="Q731" i="7"/>
  <c r="E731" i="7"/>
  <c r="A731" i="7"/>
  <c r="R729" i="7"/>
  <c r="M729" i="7"/>
  <c r="G729" i="7"/>
  <c r="B727" i="7"/>
  <c r="D727" i="7"/>
  <c r="F727" i="7"/>
  <c r="H727" i="7"/>
  <c r="L727" i="7"/>
  <c r="N727" i="7"/>
  <c r="Q727" i="7"/>
  <c r="E727" i="7"/>
  <c r="A727" i="7"/>
  <c r="R725" i="7"/>
  <c r="M725" i="7"/>
  <c r="G725" i="7"/>
  <c r="B723" i="7"/>
  <c r="D723" i="7"/>
  <c r="F723" i="7"/>
  <c r="H723" i="7"/>
  <c r="L723" i="7"/>
  <c r="N723" i="7"/>
  <c r="Q723" i="7"/>
  <c r="E723" i="7"/>
  <c r="A723" i="7"/>
  <c r="R721" i="7"/>
  <c r="M721" i="7"/>
  <c r="G721" i="7"/>
  <c r="B719" i="7"/>
  <c r="D719" i="7"/>
  <c r="F719" i="7"/>
  <c r="H719" i="7"/>
  <c r="L719" i="7"/>
  <c r="N719" i="7"/>
  <c r="Q719" i="7"/>
  <c r="E719" i="7"/>
  <c r="A719" i="7"/>
  <c r="R717" i="7"/>
  <c r="M717" i="7"/>
  <c r="G717" i="7"/>
  <c r="B715" i="7"/>
  <c r="D715" i="7"/>
  <c r="F715" i="7"/>
  <c r="H715" i="7"/>
  <c r="L715" i="7"/>
  <c r="N715" i="7"/>
  <c r="Q715" i="7"/>
  <c r="E715" i="7"/>
  <c r="A715" i="7"/>
  <c r="R713" i="7"/>
  <c r="M713" i="7"/>
  <c r="G713" i="7"/>
  <c r="B711" i="7"/>
  <c r="D711" i="7"/>
  <c r="F711" i="7"/>
  <c r="H711" i="7"/>
  <c r="L711" i="7"/>
  <c r="N711" i="7"/>
  <c r="Q711" i="7"/>
  <c r="E711" i="7"/>
  <c r="A711" i="7"/>
  <c r="R709" i="7"/>
  <c r="M709" i="7"/>
  <c r="G709" i="7"/>
  <c r="B707" i="7"/>
  <c r="D707" i="7"/>
  <c r="F707" i="7"/>
  <c r="H707" i="7"/>
  <c r="L707" i="7"/>
  <c r="N707" i="7"/>
  <c r="Q707" i="7"/>
  <c r="E707" i="7"/>
  <c r="A707" i="7"/>
  <c r="R705" i="7"/>
  <c r="M705" i="7"/>
  <c r="G705" i="7"/>
  <c r="B703" i="7"/>
  <c r="D703" i="7"/>
  <c r="F703" i="7"/>
  <c r="H703" i="7"/>
  <c r="L703" i="7"/>
  <c r="N703" i="7"/>
  <c r="Q703" i="7"/>
  <c r="E703" i="7"/>
  <c r="A703" i="7"/>
  <c r="R701" i="7"/>
  <c r="M701" i="7"/>
  <c r="G701" i="7"/>
  <c r="B699" i="7"/>
  <c r="D699" i="7"/>
  <c r="F699" i="7"/>
  <c r="H699" i="7"/>
  <c r="L699" i="7"/>
  <c r="N699" i="7"/>
  <c r="Q699" i="7"/>
  <c r="E699" i="7"/>
  <c r="A699" i="7"/>
  <c r="R697" i="7"/>
  <c r="M697" i="7"/>
  <c r="G697" i="7"/>
  <c r="B695" i="7"/>
  <c r="D695" i="7"/>
  <c r="F695" i="7"/>
  <c r="H695" i="7"/>
  <c r="L695" i="7"/>
  <c r="N695" i="7"/>
  <c r="Q695" i="7"/>
  <c r="E695" i="7"/>
  <c r="A695" i="7"/>
  <c r="R693" i="7"/>
  <c r="M693" i="7"/>
  <c r="G693" i="7"/>
  <c r="B691" i="7"/>
  <c r="D691" i="7"/>
  <c r="F691" i="7"/>
  <c r="H691" i="7"/>
  <c r="L691" i="7"/>
  <c r="N691" i="7"/>
  <c r="Q691" i="7"/>
  <c r="E691" i="7"/>
  <c r="A691" i="7"/>
  <c r="R689" i="7"/>
  <c r="M689" i="7"/>
  <c r="G689" i="7"/>
  <c r="G999" i="7"/>
  <c r="E999" i="7"/>
  <c r="C999" i="7"/>
  <c r="G997" i="7"/>
  <c r="E997" i="7"/>
  <c r="C997" i="7"/>
  <c r="G995" i="7"/>
  <c r="E995" i="7"/>
  <c r="C995" i="7"/>
  <c r="G993" i="7"/>
  <c r="E993" i="7"/>
  <c r="C993" i="7"/>
  <c r="G991" i="7"/>
  <c r="E991" i="7"/>
  <c r="C991" i="7"/>
  <c r="G989" i="7"/>
  <c r="E989" i="7"/>
  <c r="C989" i="7"/>
  <c r="G987" i="7"/>
  <c r="E987" i="7"/>
  <c r="C987" i="7"/>
  <c r="G985" i="7"/>
  <c r="E985" i="7"/>
  <c r="C985" i="7"/>
  <c r="G983" i="7"/>
  <c r="E983" i="7"/>
  <c r="C983" i="7"/>
  <c r="G981" i="7"/>
  <c r="E981" i="7"/>
  <c r="C981" i="7"/>
  <c r="G979" i="7"/>
  <c r="E979" i="7"/>
  <c r="C979" i="7"/>
  <c r="G977" i="7"/>
  <c r="E977" i="7"/>
  <c r="C977" i="7"/>
  <c r="G975" i="7"/>
  <c r="E975" i="7"/>
  <c r="C975" i="7"/>
  <c r="G973" i="7"/>
  <c r="E973" i="7"/>
  <c r="C973" i="7"/>
  <c r="G971" i="7"/>
  <c r="E971" i="7"/>
  <c r="C971" i="7"/>
  <c r="G969" i="7"/>
  <c r="E969" i="7"/>
  <c r="C969" i="7"/>
  <c r="G967" i="7"/>
  <c r="E967" i="7"/>
  <c r="C967" i="7"/>
  <c r="G965" i="7"/>
  <c r="E965" i="7"/>
  <c r="C965" i="7"/>
  <c r="G963" i="7"/>
  <c r="E963" i="7"/>
  <c r="C963" i="7"/>
  <c r="G961" i="7"/>
  <c r="E961" i="7"/>
  <c r="C961" i="7"/>
  <c r="G959" i="7"/>
  <c r="E959" i="7"/>
  <c r="C959" i="7"/>
  <c r="G957" i="7"/>
  <c r="E957" i="7"/>
  <c r="C957" i="7"/>
  <c r="G955" i="7"/>
  <c r="E955" i="7"/>
  <c r="C955" i="7"/>
  <c r="G953" i="7"/>
  <c r="E953" i="7"/>
  <c r="C953" i="7"/>
  <c r="G951" i="7"/>
  <c r="E951" i="7"/>
  <c r="C951" i="7"/>
  <c r="G949" i="7"/>
  <c r="E949" i="7"/>
  <c r="C949" i="7"/>
  <c r="G947" i="7"/>
  <c r="E947" i="7"/>
  <c r="C947" i="7"/>
  <c r="G945" i="7"/>
  <c r="E945" i="7"/>
  <c r="C945" i="7"/>
  <c r="G943" i="7"/>
  <c r="E943" i="7"/>
  <c r="C943" i="7"/>
  <c r="G941" i="7"/>
  <c r="E941" i="7"/>
  <c r="C941" i="7"/>
  <c r="G939" i="7"/>
  <c r="E939" i="7"/>
  <c r="C939" i="7"/>
  <c r="G937" i="7"/>
  <c r="E937" i="7"/>
  <c r="C937" i="7"/>
  <c r="G935" i="7"/>
  <c r="E935" i="7"/>
  <c r="C935" i="7"/>
  <c r="G933" i="7"/>
  <c r="E933" i="7"/>
  <c r="C933" i="7"/>
  <c r="G931" i="7"/>
  <c r="E931" i="7"/>
  <c r="C931" i="7"/>
  <c r="G929" i="7"/>
  <c r="E929" i="7"/>
  <c r="C929" i="7"/>
  <c r="G927" i="7"/>
  <c r="E927" i="7"/>
  <c r="C927" i="7"/>
  <c r="G925" i="7"/>
  <c r="E925" i="7"/>
  <c r="C925" i="7"/>
  <c r="G923" i="7"/>
  <c r="E923" i="7"/>
  <c r="C923" i="7"/>
  <c r="G921" i="7"/>
  <c r="E921" i="7"/>
  <c r="C921" i="7"/>
  <c r="G919" i="7"/>
  <c r="E919" i="7"/>
  <c r="C919" i="7"/>
  <c r="G917" i="7"/>
  <c r="E917" i="7"/>
  <c r="C917" i="7"/>
  <c r="G915" i="7"/>
  <c r="E915" i="7"/>
  <c r="C915" i="7"/>
  <c r="G913" i="7"/>
  <c r="E913" i="7"/>
  <c r="C913" i="7"/>
  <c r="G911" i="7"/>
  <c r="E911" i="7"/>
  <c r="C911" i="7"/>
  <c r="G909" i="7"/>
  <c r="E909" i="7"/>
  <c r="C909" i="7"/>
  <c r="G907" i="7"/>
  <c r="E907" i="7"/>
  <c r="C907" i="7"/>
  <c r="G905" i="7"/>
  <c r="E905" i="7"/>
  <c r="C905" i="7"/>
  <c r="G903" i="7"/>
  <c r="E903" i="7"/>
  <c r="C903" i="7"/>
  <c r="G901" i="7"/>
  <c r="E901" i="7"/>
  <c r="C901" i="7"/>
  <c r="G899" i="7"/>
  <c r="E899" i="7"/>
  <c r="C899" i="7"/>
  <c r="G897" i="7"/>
  <c r="E897" i="7"/>
  <c r="C897" i="7"/>
  <c r="G895" i="7"/>
  <c r="E895" i="7"/>
  <c r="C895" i="7"/>
  <c r="G893" i="7"/>
  <c r="E893" i="7"/>
  <c r="C893" i="7"/>
  <c r="G891" i="7"/>
  <c r="E891" i="7"/>
  <c r="C891" i="7"/>
  <c r="G889" i="7"/>
  <c r="E889" i="7"/>
  <c r="C889" i="7"/>
  <c r="G887" i="7"/>
  <c r="E887" i="7"/>
  <c r="C887" i="7"/>
  <c r="G885" i="7"/>
  <c r="E885" i="7"/>
  <c r="C885" i="7"/>
  <c r="G883" i="7"/>
  <c r="E883" i="7"/>
  <c r="C883" i="7"/>
  <c r="G881" i="7"/>
  <c r="E881" i="7"/>
  <c r="C881" i="7"/>
  <c r="G879" i="7"/>
  <c r="E879" i="7"/>
  <c r="C879" i="7"/>
  <c r="G877" i="7"/>
  <c r="E877" i="7"/>
  <c r="C877" i="7"/>
  <c r="G875" i="7"/>
  <c r="E875" i="7"/>
  <c r="C875" i="7"/>
  <c r="G873" i="7"/>
  <c r="E873" i="7"/>
  <c r="C873" i="7"/>
  <c r="G871" i="7"/>
  <c r="E871" i="7"/>
  <c r="C871" i="7"/>
  <c r="G869" i="7"/>
  <c r="E869" i="7"/>
  <c r="C869" i="7"/>
  <c r="G867" i="7"/>
  <c r="E867" i="7"/>
  <c r="C867" i="7"/>
  <c r="G865" i="7"/>
  <c r="E865" i="7"/>
  <c r="C865" i="7"/>
  <c r="G863" i="7"/>
  <c r="E863" i="7"/>
  <c r="C863" i="7"/>
  <c r="G861" i="7"/>
  <c r="E861" i="7"/>
  <c r="C861" i="7"/>
  <c r="G859" i="7"/>
  <c r="E859" i="7"/>
  <c r="C859" i="7"/>
  <c r="G857" i="7"/>
  <c r="E857" i="7"/>
  <c r="C857" i="7"/>
  <c r="G855" i="7"/>
  <c r="E855" i="7"/>
  <c r="C855" i="7"/>
  <c r="G853" i="7"/>
  <c r="E853" i="7"/>
  <c r="C853" i="7"/>
  <c r="G851" i="7"/>
  <c r="E851" i="7"/>
  <c r="C851" i="7"/>
  <c r="G849" i="7"/>
  <c r="E849" i="7"/>
  <c r="C849" i="7"/>
  <c r="G847" i="7"/>
  <c r="E847" i="7"/>
  <c r="C847" i="7"/>
  <c r="G845" i="7"/>
  <c r="E845" i="7"/>
  <c r="C845" i="7"/>
  <c r="G843" i="7"/>
  <c r="E843" i="7"/>
  <c r="C843" i="7"/>
  <c r="G841" i="7"/>
  <c r="E841" i="7"/>
  <c r="C841" i="7"/>
  <c r="G839" i="7"/>
  <c r="E839" i="7"/>
  <c r="C839" i="7"/>
  <c r="G837" i="7"/>
  <c r="E837" i="7"/>
  <c r="C837" i="7"/>
  <c r="G835" i="7"/>
  <c r="E835" i="7"/>
  <c r="C835" i="7"/>
  <c r="G833" i="7"/>
  <c r="E833" i="7"/>
  <c r="C833" i="7"/>
  <c r="G831" i="7"/>
  <c r="E831" i="7"/>
  <c r="C831" i="7"/>
  <c r="G829" i="7"/>
  <c r="E829" i="7"/>
  <c r="C829" i="7"/>
  <c r="G827" i="7"/>
  <c r="E827" i="7"/>
  <c r="C827" i="7"/>
  <c r="G825" i="7"/>
  <c r="E825" i="7"/>
  <c r="C825" i="7"/>
  <c r="G823" i="7"/>
  <c r="E823" i="7"/>
  <c r="C823" i="7"/>
  <c r="G821" i="7"/>
  <c r="E821" i="7"/>
  <c r="C821" i="7"/>
  <c r="G819" i="7"/>
  <c r="E819" i="7"/>
  <c r="C819" i="7"/>
  <c r="G817" i="7"/>
  <c r="E817" i="7"/>
  <c r="C817" i="7"/>
  <c r="G815" i="7"/>
  <c r="E815" i="7"/>
  <c r="C815" i="7"/>
  <c r="G813" i="7"/>
  <c r="E813" i="7"/>
  <c r="C813" i="7"/>
  <c r="G811" i="7"/>
  <c r="E811" i="7"/>
  <c r="C811" i="7"/>
  <c r="G809" i="7"/>
  <c r="E809" i="7"/>
  <c r="C809" i="7"/>
  <c r="G807" i="7"/>
  <c r="E807" i="7"/>
  <c r="C807" i="7"/>
  <c r="G805" i="7"/>
  <c r="E805" i="7"/>
  <c r="C805" i="7"/>
  <c r="G803" i="7"/>
  <c r="E803" i="7"/>
  <c r="C803" i="7"/>
  <c r="G801" i="7"/>
  <c r="E801" i="7"/>
  <c r="C801" i="7"/>
  <c r="G799" i="7"/>
  <c r="E799" i="7"/>
  <c r="C799" i="7"/>
  <c r="G797" i="7"/>
  <c r="E797" i="7"/>
  <c r="C797" i="7"/>
  <c r="G795" i="7"/>
  <c r="E795" i="7"/>
  <c r="C795" i="7"/>
  <c r="G793" i="7"/>
  <c r="E793" i="7"/>
  <c r="C793" i="7"/>
  <c r="G791" i="7"/>
  <c r="E791" i="7"/>
  <c r="C791" i="7"/>
  <c r="G789" i="7"/>
  <c r="E789" i="7"/>
  <c r="C789" i="7"/>
  <c r="G787" i="7"/>
  <c r="E787" i="7"/>
  <c r="C787" i="7"/>
  <c r="G785" i="7"/>
  <c r="E785" i="7"/>
  <c r="C785" i="7"/>
  <c r="G783" i="7"/>
  <c r="E783" i="7"/>
  <c r="C783" i="7"/>
  <c r="B781" i="7"/>
  <c r="D781" i="7"/>
  <c r="F781" i="7"/>
  <c r="H781" i="7"/>
  <c r="L781" i="7"/>
  <c r="N781" i="7"/>
  <c r="Q781" i="7"/>
  <c r="E781" i="7"/>
  <c r="A781" i="7"/>
  <c r="B777" i="7"/>
  <c r="D777" i="7"/>
  <c r="F777" i="7"/>
  <c r="H777" i="7"/>
  <c r="L777" i="7"/>
  <c r="N777" i="7"/>
  <c r="Q777" i="7"/>
  <c r="E777" i="7"/>
  <c r="A777" i="7"/>
  <c r="B773" i="7"/>
  <c r="D773" i="7"/>
  <c r="F773" i="7"/>
  <c r="H773" i="7"/>
  <c r="L773" i="7"/>
  <c r="N773" i="7"/>
  <c r="Q773" i="7"/>
  <c r="E773" i="7"/>
  <c r="A773" i="7"/>
  <c r="B769" i="7"/>
  <c r="D769" i="7"/>
  <c r="F769" i="7"/>
  <c r="H769" i="7"/>
  <c r="L769" i="7"/>
  <c r="N769" i="7"/>
  <c r="Q769" i="7"/>
  <c r="E769" i="7"/>
  <c r="A769" i="7"/>
  <c r="B765" i="7"/>
  <c r="D765" i="7"/>
  <c r="F765" i="7"/>
  <c r="H765" i="7"/>
  <c r="L765" i="7"/>
  <c r="N765" i="7"/>
  <c r="Q765" i="7"/>
  <c r="E765" i="7"/>
  <c r="A765" i="7"/>
  <c r="B761" i="7"/>
  <c r="D761" i="7"/>
  <c r="F761" i="7"/>
  <c r="H761" i="7"/>
  <c r="L761" i="7"/>
  <c r="N761" i="7"/>
  <c r="Q761" i="7"/>
  <c r="E761" i="7"/>
  <c r="A761" i="7"/>
  <c r="B757" i="7"/>
  <c r="D757" i="7"/>
  <c r="F757" i="7"/>
  <c r="H757" i="7"/>
  <c r="L757" i="7"/>
  <c r="N757" i="7"/>
  <c r="Q757" i="7"/>
  <c r="E757" i="7"/>
  <c r="A757" i="7"/>
  <c r="B753" i="7"/>
  <c r="D753" i="7"/>
  <c r="F753" i="7"/>
  <c r="H753" i="7"/>
  <c r="L753" i="7"/>
  <c r="N753" i="7"/>
  <c r="Q753" i="7"/>
  <c r="E753" i="7"/>
  <c r="A753" i="7"/>
  <c r="B749" i="7"/>
  <c r="D749" i="7"/>
  <c r="F749" i="7"/>
  <c r="H749" i="7"/>
  <c r="L749" i="7"/>
  <c r="N749" i="7"/>
  <c r="Q749" i="7"/>
  <c r="E749" i="7"/>
  <c r="A749" i="7"/>
  <c r="B745" i="7"/>
  <c r="D745" i="7"/>
  <c r="F745" i="7"/>
  <c r="H745" i="7"/>
  <c r="L745" i="7"/>
  <c r="N745" i="7"/>
  <c r="Q745" i="7"/>
  <c r="E745" i="7"/>
  <c r="A745" i="7"/>
  <c r="B741" i="7"/>
  <c r="D741" i="7"/>
  <c r="F741" i="7"/>
  <c r="H741" i="7"/>
  <c r="L741" i="7"/>
  <c r="N741" i="7"/>
  <c r="Q741" i="7"/>
  <c r="E741" i="7"/>
  <c r="A741" i="7"/>
  <c r="B737" i="7"/>
  <c r="D737" i="7"/>
  <c r="F737" i="7"/>
  <c r="H737" i="7"/>
  <c r="L737" i="7"/>
  <c r="N737" i="7"/>
  <c r="Q737" i="7"/>
  <c r="E737" i="7"/>
  <c r="A737" i="7"/>
  <c r="B733" i="7"/>
  <c r="D733" i="7"/>
  <c r="F733" i="7"/>
  <c r="H733" i="7"/>
  <c r="L733" i="7"/>
  <c r="N733" i="7"/>
  <c r="Q733" i="7"/>
  <c r="E733" i="7"/>
  <c r="A733" i="7"/>
  <c r="B729" i="7"/>
  <c r="D729" i="7"/>
  <c r="F729" i="7"/>
  <c r="H729" i="7"/>
  <c r="L729" i="7"/>
  <c r="N729" i="7"/>
  <c r="Q729" i="7"/>
  <c r="E729" i="7"/>
  <c r="A729" i="7"/>
  <c r="B725" i="7"/>
  <c r="D725" i="7"/>
  <c r="F725" i="7"/>
  <c r="H725" i="7"/>
  <c r="L725" i="7"/>
  <c r="N725" i="7"/>
  <c r="Q725" i="7"/>
  <c r="E725" i="7"/>
  <c r="A725" i="7"/>
  <c r="B721" i="7"/>
  <c r="D721" i="7"/>
  <c r="F721" i="7"/>
  <c r="H721" i="7"/>
  <c r="L721" i="7"/>
  <c r="N721" i="7"/>
  <c r="Q721" i="7"/>
  <c r="E721" i="7"/>
  <c r="A721" i="7"/>
  <c r="B717" i="7"/>
  <c r="D717" i="7"/>
  <c r="F717" i="7"/>
  <c r="H717" i="7"/>
  <c r="L717" i="7"/>
  <c r="N717" i="7"/>
  <c r="Q717" i="7"/>
  <c r="E717" i="7"/>
  <c r="A717" i="7"/>
  <c r="B713" i="7"/>
  <c r="D713" i="7"/>
  <c r="F713" i="7"/>
  <c r="H713" i="7"/>
  <c r="L713" i="7"/>
  <c r="N713" i="7"/>
  <c r="Q713" i="7"/>
  <c r="E713" i="7"/>
  <c r="A713" i="7"/>
  <c r="B709" i="7"/>
  <c r="D709" i="7"/>
  <c r="F709" i="7"/>
  <c r="H709" i="7"/>
  <c r="L709" i="7"/>
  <c r="N709" i="7"/>
  <c r="Q709" i="7"/>
  <c r="E709" i="7"/>
  <c r="A709" i="7"/>
  <c r="B705" i="7"/>
  <c r="D705" i="7"/>
  <c r="F705" i="7"/>
  <c r="H705" i="7"/>
  <c r="L705" i="7"/>
  <c r="N705" i="7"/>
  <c r="Q705" i="7"/>
  <c r="E705" i="7"/>
  <c r="A705" i="7"/>
  <c r="B701" i="7"/>
  <c r="D701" i="7"/>
  <c r="F701" i="7"/>
  <c r="H701" i="7"/>
  <c r="L701" i="7"/>
  <c r="N701" i="7"/>
  <c r="Q701" i="7"/>
  <c r="E701" i="7"/>
  <c r="A701" i="7"/>
  <c r="B697" i="7"/>
  <c r="D697" i="7"/>
  <c r="F697" i="7"/>
  <c r="H697" i="7"/>
  <c r="L697" i="7"/>
  <c r="N697" i="7"/>
  <c r="Q697" i="7"/>
  <c r="E697" i="7"/>
  <c r="A697" i="7"/>
  <c r="B693" i="7"/>
  <c r="D693" i="7"/>
  <c r="F693" i="7"/>
  <c r="H693" i="7"/>
  <c r="L693" i="7"/>
  <c r="N693" i="7"/>
  <c r="Q693" i="7"/>
  <c r="E693" i="7"/>
  <c r="A693" i="7"/>
  <c r="B689" i="7"/>
  <c r="D689" i="7"/>
  <c r="F689" i="7"/>
  <c r="H689" i="7"/>
  <c r="L689" i="7"/>
  <c r="N689" i="7"/>
  <c r="Q689" i="7"/>
  <c r="E689" i="7"/>
  <c r="A689" i="7"/>
  <c r="G687" i="7"/>
  <c r="E687" i="7"/>
  <c r="C687" i="7"/>
  <c r="A687" i="7"/>
  <c r="G685" i="7"/>
  <c r="E685" i="7"/>
  <c r="C685" i="7"/>
  <c r="A685" i="7"/>
  <c r="G683" i="7"/>
  <c r="E683" i="7"/>
  <c r="C683" i="7"/>
  <c r="A683" i="7"/>
  <c r="G681" i="7"/>
  <c r="E681" i="7"/>
  <c r="C681" i="7"/>
  <c r="A681" i="7"/>
  <c r="G679" i="7"/>
  <c r="E679" i="7"/>
  <c r="C679" i="7"/>
  <c r="A679" i="7"/>
  <c r="G677" i="7"/>
  <c r="E677" i="7"/>
  <c r="C677" i="7"/>
  <c r="A677" i="7"/>
  <c r="G675" i="7"/>
  <c r="E675" i="7"/>
  <c r="C675" i="7"/>
  <c r="A675" i="7"/>
  <c r="G673" i="7"/>
  <c r="E673" i="7"/>
  <c r="C673" i="7"/>
  <c r="A673" i="7"/>
  <c r="G671" i="7"/>
  <c r="E671" i="7"/>
  <c r="C671" i="7"/>
  <c r="A671" i="7"/>
  <c r="G669" i="7"/>
  <c r="E669" i="7"/>
  <c r="C669" i="7"/>
  <c r="A669" i="7"/>
  <c r="G667" i="7"/>
  <c r="E667" i="7"/>
  <c r="C667" i="7"/>
  <c r="A667" i="7"/>
  <c r="G665" i="7"/>
  <c r="E665" i="7"/>
  <c r="C665" i="7"/>
  <c r="A665" i="7"/>
  <c r="G663" i="7"/>
  <c r="E663" i="7"/>
  <c r="C663" i="7"/>
  <c r="A663" i="7"/>
  <c r="G661" i="7"/>
  <c r="E661" i="7"/>
  <c r="C661" i="7"/>
  <c r="A661" i="7"/>
  <c r="G659" i="7"/>
  <c r="E659" i="7"/>
  <c r="C659" i="7"/>
  <c r="A659" i="7"/>
  <c r="G657" i="7"/>
  <c r="E657" i="7"/>
  <c r="C657" i="7"/>
  <c r="A657" i="7"/>
  <c r="G655" i="7"/>
  <c r="E655" i="7"/>
  <c r="C655" i="7"/>
  <c r="A655" i="7"/>
  <c r="G653" i="7"/>
  <c r="E653" i="7"/>
  <c r="C653" i="7"/>
  <c r="A653" i="7"/>
  <c r="G651" i="7"/>
  <c r="E651" i="7"/>
  <c r="C651" i="7"/>
  <c r="A651" i="7"/>
  <c r="G649" i="7"/>
  <c r="E649" i="7"/>
  <c r="C649" i="7"/>
  <c r="A649" i="7"/>
  <c r="G647" i="7"/>
  <c r="E647" i="7"/>
  <c r="C647" i="7"/>
  <c r="A647" i="7"/>
  <c r="G645" i="7"/>
  <c r="E645" i="7"/>
  <c r="C645" i="7"/>
  <c r="A645" i="7"/>
  <c r="G643" i="7"/>
  <c r="E643" i="7"/>
  <c r="C643" i="7"/>
  <c r="A643" i="7"/>
  <c r="G641" i="7"/>
  <c r="E641" i="7"/>
  <c r="C641" i="7"/>
  <c r="A641" i="7"/>
  <c r="G639" i="7"/>
  <c r="E639" i="7"/>
  <c r="C639" i="7"/>
  <c r="A639" i="7"/>
  <c r="G637" i="7"/>
  <c r="E637" i="7"/>
  <c r="C637" i="7"/>
  <c r="A637" i="7"/>
  <c r="G635" i="7"/>
  <c r="E635" i="7"/>
  <c r="C635" i="7"/>
  <c r="A635" i="7"/>
  <c r="G633" i="7"/>
  <c r="E633" i="7"/>
  <c r="C633" i="7"/>
  <c r="A633" i="7"/>
  <c r="G631" i="7"/>
  <c r="E631" i="7"/>
  <c r="C631" i="7"/>
  <c r="A631" i="7"/>
  <c r="G629" i="7"/>
  <c r="E629" i="7"/>
  <c r="C629" i="7"/>
  <c r="A629" i="7"/>
  <c r="G627" i="7"/>
  <c r="E627" i="7"/>
  <c r="C627" i="7"/>
  <c r="A627" i="7"/>
  <c r="G625" i="7"/>
  <c r="E625" i="7"/>
  <c r="C625" i="7"/>
  <c r="A625" i="7"/>
  <c r="G623" i="7"/>
  <c r="E623" i="7"/>
  <c r="C623" i="7"/>
  <c r="A623" i="7"/>
  <c r="G621" i="7"/>
  <c r="E621" i="7"/>
  <c r="C621" i="7"/>
  <c r="A621" i="7"/>
  <c r="G619" i="7"/>
  <c r="E619" i="7"/>
  <c r="C619" i="7"/>
  <c r="A619" i="7"/>
  <c r="G617" i="7"/>
  <c r="E617" i="7"/>
  <c r="C617" i="7"/>
  <c r="A617" i="7"/>
  <c r="G615" i="7"/>
  <c r="E615" i="7"/>
  <c r="C615" i="7"/>
  <c r="A615" i="7"/>
  <c r="G613" i="7"/>
  <c r="E613" i="7"/>
  <c r="C613" i="7"/>
  <c r="A613" i="7"/>
  <c r="G611" i="7"/>
  <c r="E611" i="7"/>
  <c r="C611" i="7"/>
  <c r="A611" i="7"/>
  <c r="G609" i="7"/>
  <c r="E609" i="7"/>
  <c r="C609" i="7"/>
  <c r="A609" i="7"/>
  <c r="G607" i="7"/>
  <c r="E607" i="7"/>
  <c r="C607" i="7"/>
  <c r="A607" i="7"/>
  <c r="G605" i="7"/>
  <c r="E605" i="7"/>
  <c r="C605" i="7"/>
  <c r="A605" i="7"/>
  <c r="G603" i="7"/>
  <c r="E603" i="7"/>
  <c r="C603" i="7"/>
  <c r="A603" i="7"/>
  <c r="G601" i="7"/>
  <c r="E601" i="7"/>
  <c r="C601" i="7"/>
  <c r="A601" i="7"/>
  <c r="G599" i="7"/>
  <c r="E599" i="7"/>
  <c r="C599" i="7"/>
  <c r="A599" i="7"/>
  <c r="G597" i="7"/>
  <c r="E597" i="7"/>
  <c r="C597" i="7"/>
  <c r="A597" i="7"/>
  <c r="G595" i="7"/>
  <c r="E595" i="7"/>
  <c r="C595" i="7"/>
  <c r="A595" i="7"/>
  <c r="G593" i="7"/>
  <c r="E593" i="7"/>
  <c r="C593" i="7"/>
  <c r="A593" i="7"/>
  <c r="G591" i="7"/>
  <c r="E591" i="7"/>
  <c r="C591" i="7"/>
  <c r="A591" i="7"/>
  <c r="G589" i="7"/>
  <c r="E589" i="7"/>
  <c r="C589" i="7"/>
  <c r="A589" i="7"/>
  <c r="G587" i="7"/>
  <c r="E587" i="7"/>
  <c r="C587" i="7"/>
  <c r="A587" i="7"/>
  <c r="G585" i="7"/>
  <c r="E585" i="7"/>
  <c r="C585" i="7"/>
  <c r="A585" i="7"/>
  <c r="G583" i="7"/>
  <c r="E583" i="7"/>
  <c r="C583" i="7"/>
  <c r="A583" i="7"/>
  <c r="G581" i="7"/>
  <c r="E581" i="7"/>
  <c r="C581" i="7"/>
  <c r="A581" i="7"/>
  <c r="G579" i="7"/>
  <c r="E579" i="7"/>
  <c r="C579" i="7"/>
  <c r="A579" i="7"/>
  <c r="G577" i="7"/>
  <c r="E577" i="7"/>
  <c r="C577" i="7"/>
  <c r="A577" i="7"/>
  <c r="G575" i="7"/>
  <c r="E575" i="7"/>
  <c r="C575" i="7"/>
  <c r="A575" i="7"/>
  <c r="G573" i="7"/>
  <c r="E573" i="7"/>
  <c r="C573" i="7"/>
  <c r="A573" i="7"/>
  <c r="G571" i="7"/>
  <c r="E571" i="7"/>
  <c r="C571" i="7"/>
  <c r="A571" i="7"/>
  <c r="G569" i="7"/>
  <c r="E569" i="7"/>
  <c r="C569" i="7"/>
  <c r="A569" i="7"/>
  <c r="G567" i="7"/>
  <c r="E567" i="7"/>
  <c r="C567" i="7"/>
  <c r="A567" i="7"/>
  <c r="G565" i="7"/>
  <c r="E565" i="7"/>
  <c r="C565" i="7"/>
  <c r="A565" i="7"/>
  <c r="G563" i="7"/>
  <c r="E563" i="7"/>
  <c r="C563" i="7"/>
  <c r="A563" i="7"/>
  <c r="G561" i="7"/>
  <c r="E561" i="7"/>
  <c r="C561" i="7"/>
  <c r="A561" i="7"/>
  <c r="G559" i="7"/>
  <c r="E559" i="7"/>
  <c r="C559" i="7"/>
  <c r="A559" i="7"/>
  <c r="G557" i="7"/>
  <c r="E557" i="7"/>
  <c r="C557" i="7"/>
  <c r="A557" i="7"/>
  <c r="G555" i="7"/>
  <c r="E555" i="7"/>
  <c r="C555" i="7"/>
  <c r="A555" i="7"/>
  <c r="G553" i="7"/>
  <c r="E553" i="7"/>
  <c r="C553" i="7"/>
  <c r="A553" i="7"/>
  <c r="G551" i="7"/>
  <c r="E551" i="7"/>
  <c r="C551" i="7"/>
  <c r="A551" i="7"/>
  <c r="G549" i="7"/>
  <c r="E549" i="7"/>
  <c r="C549" i="7"/>
  <c r="A549" i="7"/>
  <c r="B547" i="7"/>
  <c r="D547" i="7"/>
  <c r="F547" i="7"/>
  <c r="H547" i="7"/>
  <c r="L547" i="7"/>
  <c r="N547" i="7"/>
  <c r="Q547" i="7"/>
  <c r="E547" i="7"/>
  <c r="A547" i="7"/>
  <c r="B543" i="7"/>
  <c r="D543" i="7"/>
  <c r="F543" i="7"/>
  <c r="H543" i="7"/>
  <c r="L543" i="7"/>
  <c r="N543" i="7"/>
  <c r="Q543" i="7"/>
  <c r="E543" i="7"/>
  <c r="A543" i="7"/>
  <c r="B539" i="7"/>
  <c r="D539" i="7"/>
  <c r="F539" i="7"/>
  <c r="H539" i="7"/>
  <c r="L539" i="7"/>
  <c r="N539" i="7"/>
  <c r="Q539" i="7"/>
  <c r="E539" i="7"/>
  <c r="A539" i="7"/>
  <c r="B535" i="7"/>
  <c r="D535" i="7"/>
  <c r="F535" i="7"/>
  <c r="H535" i="7"/>
  <c r="L535" i="7"/>
  <c r="N535" i="7"/>
  <c r="Q535" i="7"/>
  <c r="E535" i="7"/>
  <c r="A535" i="7"/>
  <c r="B531" i="7"/>
  <c r="D531" i="7"/>
  <c r="F531" i="7"/>
  <c r="H531" i="7"/>
  <c r="L531" i="7"/>
  <c r="N531" i="7"/>
  <c r="Q531" i="7"/>
  <c r="E531" i="7"/>
  <c r="A531" i="7"/>
  <c r="B527" i="7"/>
  <c r="D527" i="7"/>
  <c r="F527" i="7"/>
  <c r="H527" i="7"/>
  <c r="L527" i="7"/>
  <c r="N527" i="7"/>
  <c r="Q527" i="7"/>
  <c r="E527" i="7"/>
  <c r="A527" i="7"/>
  <c r="B523" i="7"/>
  <c r="D523" i="7"/>
  <c r="F523" i="7"/>
  <c r="H523" i="7"/>
  <c r="L523" i="7"/>
  <c r="N523" i="7"/>
  <c r="Q523" i="7"/>
  <c r="E523" i="7"/>
  <c r="A523" i="7"/>
  <c r="B519" i="7"/>
  <c r="D519" i="7"/>
  <c r="F519" i="7"/>
  <c r="H519" i="7"/>
  <c r="L519" i="7"/>
  <c r="N519" i="7"/>
  <c r="Q519" i="7"/>
  <c r="E519" i="7"/>
  <c r="A519" i="7"/>
  <c r="B515" i="7"/>
  <c r="D515" i="7"/>
  <c r="F515" i="7"/>
  <c r="H515" i="7"/>
  <c r="L515" i="7"/>
  <c r="N515" i="7"/>
  <c r="Q515" i="7"/>
  <c r="E515" i="7"/>
  <c r="A515" i="7"/>
  <c r="B511" i="7"/>
  <c r="D511" i="7"/>
  <c r="F511" i="7"/>
  <c r="H511" i="7"/>
  <c r="L511" i="7"/>
  <c r="N511" i="7"/>
  <c r="Q511" i="7"/>
  <c r="E511" i="7"/>
  <c r="A511" i="7"/>
  <c r="B507" i="7"/>
  <c r="D507" i="7"/>
  <c r="F507" i="7"/>
  <c r="H507" i="7"/>
  <c r="L507" i="7"/>
  <c r="N507" i="7"/>
  <c r="Q507" i="7"/>
  <c r="E507" i="7"/>
  <c r="A507" i="7"/>
  <c r="B503" i="7"/>
  <c r="D503" i="7"/>
  <c r="F503" i="7"/>
  <c r="H503" i="7"/>
  <c r="L503" i="7"/>
  <c r="N503" i="7"/>
  <c r="Q503" i="7"/>
  <c r="E503" i="7"/>
  <c r="A503" i="7"/>
  <c r="G780" i="7"/>
  <c r="E780" i="7"/>
  <c r="C780" i="7"/>
  <c r="G778" i="7"/>
  <c r="E778" i="7"/>
  <c r="C778" i="7"/>
  <c r="G776" i="7"/>
  <c r="E776" i="7"/>
  <c r="C776" i="7"/>
  <c r="G774" i="7"/>
  <c r="E774" i="7"/>
  <c r="C774" i="7"/>
  <c r="G772" i="7"/>
  <c r="E772" i="7"/>
  <c r="C772" i="7"/>
  <c r="G770" i="7"/>
  <c r="E770" i="7"/>
  <c r="C770" i="7"/>
  <c r="G768" i="7"/>
  <c r="E768" i="7"/>
  <c r="C768" i="7"/>
  <c r="G766" i="7"/>
  <c r="E766" i="7"/>
  <c r="C766" i="7"/>
  <c r="G764" i="7"/>
  <c r="E764" i="7"/>
  <c r="C764" i="7"/>
  <c r="G762" i="7"/>
  <c r="E762" i="7"/>
  <c r="C762" i="7"/>
  <c r="G760" i="7"/>
  <c r="E760" i="7"/>
  <c r="C760" i="7"/>
  <c r="G758" i="7"/>
  <c r="E758" i="7"/>
  <c r="C758" i="7"/>
  <c r="G756" i="7"/>
  <c r="E756" i="7"/>
  <c r="C756" i="7"/>
  <c r="G754" i="7"/>
  <c r="E754" i="7"/>
  <c r="C754" i="7"/>
  <c r="G752" i="7"/>
  <c r="E752" i="7"/>
  <c r="C752" i="7"/>
  <c r="G750" i="7"/>
  <c r="E750" i="7"/>
  <c r="C750" i="7"/>
  <c r="G748" i="7"/>
  <c r="E748" i="7"/>
  <c r="C748" i="7"/>
  <c r="G746" i="7"/>
  <c r="E746" i="7"/>
  <c r="C746" i="7"/>
  <c r="G744" i="7"/>
  <c r="E744" i="7"/>
  <c r="C744" i="7"/>
  <c r="G742" i="7"/>
  <c r="E742" i="7"/>
  <c r="C742" i="7"/>
  <c r="G740" i="7"/>
  <c r="E740" i="7"/>
  <c r="C740" i="7"/>
  <c r="G738" i="7"/>
  <c r="E738" i="7"/>
  <c r="C738" i="7"/>
  <c r="G736" i="7"/>
  <c r="E736" i="7"/>
  <c r="C736" i="7"/>
  <c r="G734" i="7"/>
  <c r="E734" i="7"/>
  <c r="C734" i="7"/>
  <c r="G732" i="7"/>
  <c r="E732" i="7"/>
  <c r="C732" i="7"/>
  <c r="G730" i="7"/>
  <c r="E730" i="7"/>
  <c r="C730" i="7"/>
  <c r="G728" i="7"/>
  <c r="E728" i="7"/>
  <c r="C728" i="7"/>
  <c r="G726" i="7"/>
  <c r="E726" i="7"/>
  <c r="C726" i="7"/>
  <c r="G724" i="7"/>
  <c r="E724" i="7"/>
  <c r="C724" i="7"/>
  <c r="G722" i="7"/>
  <c r="E722" i="7"/>
  <c r="C722" i="7"/>
  <c r="G720" i="7"/>
  <c r="E720" i="7"/>
  <c r="C720" i="7"/>
  <c r="G718" i="7"/>
  <c r="E718" i="7"/>
  <c r="C718" i="7"/>
  <c r="G716" i="7"/>
  <c r="E716" i="7"/>
  <c r="C716" i="7"/>
  <c r="G714" i="7"/>
  <c r="E714" i="7"/>
  <c r="C714" i="7"/>
  <c r="G712" i="7"/>
  <c r="E712" i="7"/>
  <c r="C712" i="7"/>
  <c r="G710" i="7"/>
  <c r="E710" i="7"/>
  <c r="C710" i="7"/>
  <c r="G708" i="7"/>
  <c r="E708" i="7"/>
  <c r="C708" i="7"/>
  <c r="G706" i="7"/>
  <c r="E706" i="7"/>
  <c r="C706" i="7"/>
  <c r="G704" i="7"/>
  <c r="E704" i="7"/>
  <c r="C704" i="7"/>
  <c r="G702" i="7"/>
  <c r="E702" i="7"/>
  <c r="C702" i="7"/>
  <c r="G700" i="7"/>
  <c r="E700" i="7"/>
  <c r="C700" i="7"/>
  <c r="G698" i="7"/>
  <c r="E698" i="7"/>
  <c r="C698" i="7"/>
  <c r="G696" i="7"/>
  <c r="E696" i="7"/>
  <c r="C696" i="7"/>
  <c r="G694" i="7"/>
  <c r="E694" i="7"/>
  <c r="C694" i="7"/>
  <c r="G692" i="7"/>
  <c r="E692" i="7"/>
  <c r="C692" i="7"/>
  <c r="G690" i="7"/>
  <c r="E690" i="7"/>
  <c r="C690" i="7"/>
  <c r="G688" i="7"/>
  <c r="E688" i="7"/>
  <c r="C688" i="7"/>
  <c r="Q687" i="7"/>
  <c r="N687" i="7"/>
  <c r="L687" i="7"/>
  <c r="H687" i="7"/>
  <c r="F687" i="7"/>
  <c r="D687" i="7"/>
  <c r="G686" i="7"/>
  <c r="E686" i="7"/>
  <c r="C686" i="7"/>
  <c r="Q685" i="7"/>
  <c r="N685" i="7"/>
  <c r="L685" i="7"/>
  <c r="H685" i="7"/>
  <c r="F685" i="7"/>
  <c r="D685" i="7"/>
  <c r="G684" i="7"/>
  <c r="E684" i="7"/>
  <c r="C684" i="7"/>
  <c r="Q683" i="7"/>
  <c r="N683" i="7"/>
  <c r="L683" i="7"/>
  <c r="H683" i="7"/>
  <c r="F683" i="7"/>
  <c r="D683" i="7"/>
  <c r="G682" i="7"/>
  <c r="E682" i="7"/>
  <c r="C682" i="7"/>
  <c r="Q681" i="7"/>
  <c r="N681" i="7"/>
  <c r="L681" i="7"/>
  <c r="H681" i="7"/>
  <c r="F681" i="7"/>
  <c r="D681" i="7"/>
  <c r="G680" i="7"/>
  <c r="E680" i="7"/>
  <c r="C680" i="7"/>
  <c r="Q679" i="7"/>
  <c r="N679" i="7"/>
  <c r="L679" i="7"/>
  <c r="H679" i="7"/>
  <c r="F679" i="7"/>
  <c r="D679" i="7"/>
  <c r="G678" i="7"/>
  <c r="E678" i="7"/>
  <c r="C678" i="7"/>
  <c r="Q677" i="7"/>
  <c r="N677" i="7"/>
  <c r="L677" i="7"/>
  <c r="H677" i="7"/>
  <c r="F677" i="7"/>
  <c r="D677" i="7"/>
  <c r="G676" i="7"/>
  <c r="E676" i="7"/>
  <c r="C676" i="7"/>
  <c r="Q675" i="7"/>
  <c r="N675" i="7"/>
  <c r="L675" i="7"/>
  <c r="H675" i="7"/>
  <c r="F675" i="7"/>
  <c r="D675" i="7"/>
  <c r="G674" i="7"/>
  <c r="E674" i="7"/>
  <c r="C674" i="7"/>
  <c r="Q673" i="7"/>
  <c r="N673" i="7"/>
  <c r="L673" i="7"/>
  <c r="H673" i="7"/>
  <c r="F673" i="7"/>
  <c r="D673" i="7"/>
  <c r="G672" i="7"/>
  <c r="E672" i="7"/>
  <c r="C672" i="7"/>
  <c r="Q671" i="7"/>
  <c r="N671" i="7"/>
  <c r="L671" i="7"/>
  <c r="H671" i="7"/>
  <c r="F671" i="7"/>
  <c r="D671" i="7"/>
  <c r="G670" i="7"/>
  <c r="E670" i="7"/>
  <c r="C670" i="7"/>
  <c r="Q669" i="7"/>
  <c r="N669" i="7"/>
  <c r="L669" i="7"/>
  <c r="H669" i="7"/>
  <c r="F669" i="7"/>
  <c r="D669" i="7"/>
  <c r="G668" i="7"/>
  <c r="E668" i="7"/>
  <c r="C668" i="7"/>
  <c r="Q667" i="7"/>
  <c r="N667" i="7"/>
  <c r="L667" i="7"/>
  <c r="H667" i="7"/>
  <c r="F667" i="7"/>
  <c r="D667" i="7"/>
  <c r="G666" i="7"/>
  <c r="E666" i="7"/>
  <c r="C666" i="7"/>
  <c r="Q665" i="7"/>
  <c r="N665" i="7"/>
  <c r="L665" i="7"/>
  <c r="H665" i="7"/>
  <c r="F665" i="7"/>
  <c r="D665" i="7"/>
  <c r="G664" i="7"/>
  <c r="E664" i="7"/>
  <c r="C664" i="7"/>
  <c r="Q663" i="7"/>
  <c r="N663" i="7"/>
  <c r="L663" i="7"/>
  <c r="H663" i="7"/>
  <c r="F663" i="7"/>
  <c r="D663" i="7"/>
  <c r="G662" i="7"/>
  <c r="E662" i="7"/>
  <c r="C662" i="7"/>
  <c r="Q661" i="7"/>
  <c r="N661" i="7"/>
  <c r="L661" i="7"/>
  <c r="H661" i="7"/>
  <c r="F661" i="7"/>
  <c r="D661" i="7"/>
  <c r="G660" i="7"/>
  <c r="E660" i="7"/>
  <c r="C660" i="7"/>
  <c r="Q659" i="7"/>
  <c r="N659" i="7"/>
  <c r="L659" i="7"/>
  <c r="H659" i="7"/>
  <c r="F659" i="7"/>
  <c r="D659" i="7"/>
  <c r="G658" i="7"/>
  <c r="E658" i="7"/>
  <c r="C658" i="7"/>
  <c r="Q657" i="7"/>
  <c r="N657" i="7"/>
  <c r="L657" i="7"/>
  <c r="H657" i="7"/>
  <c r="F657" i="7"/>
  <c r="D657" i="7"/>
  <c r="G656" i="7"/>
  <c r="E656" i="7"/>
  <c r="C656" i="7"/>
  <c r="Q655" i="7"/>
  <c r="N655" i="7"/>
  <c r="L655" i="7"/>
  <c r="H655" i="7"/>
  <c r="F655" i="7"/>
  <c r="D655" i="7"/>
  <c r="G654" i="7"/>
  <c r="E654" i="7"/>
  <c r="C654" i="7"/>
  <c r="Q653" i="7"/>
  <c r="N653" i="7"/>
  <c r="L653" i="7"/>
  <c r="H653" i="7"/>
  <c r="F653" i="7"/>
  <c r="D653" i="7"/>
  <c r="G652" i="7"/>
  <c r="E652" i="7"/>
  <c r="C652" i="7"/>
  <c r="Q651" i="7"/>
  <c r="N651" i="7"/>
  <c r="L651" i="7"/>
  <c r="H651" i="7"/>
  <c r="F651" i="7"/>
  <c r="D651" i="7"/>
  <c r="G650" i="7"/>
  <c r="E650" i="7"/>
  <c r="C650" i="7"/>
  <c r="Q649" i="7"/>
  <c r="N649" i="7"/>
  <c r="L649" i="7"/>
  <c r="H649" i="7"/>
  <c r="F649" i="7"/>
  <c r="D649" i="7"/>
  <c r="G648" i="7"/>
  <c r="E648" i="7"/>
  <c r="C648" i="7"/>
  <c r="Q647" i="7"/>
  <c r="N647" i="7"/>
  <c r="L647" i="7"/>
  <c r="H647" i="7"/>
  <c r="F647" i="7"/>
  <c r="D647" i="7"/>
  <c r="G646" i="7"/>
  <c r="E646" i="7"/>
  <c r="C646" i="7"/>
  <c r="Q645" i="7"/>
  <c r="N645" i="7"/>
  <c r="L645" i="7"/>
  <c r="H645" i="7"/>
  <c r="F645" i="7"/>
  <c r="D645" i="7"/>
  <c r="G644" i="7"/>
  <c r="E644" i="7"/>
  <c r="C644" i="7"/>
  <c r="Q643" i="7"/>
  <c r="N643" i="7"/>
  <c r="L643" i="7"/>
  <c r="H643" i="7"/>
  <c r="F643" i="7"/>
  <c r="D643" i="7"/>
  <c r="G642" i="7"/>
  <c r="E642" i="7"/>
  <c r="C642" i="7"/>
  <c r="Q641" i="7"/>
  <c r="N641" i="7"/>
  <c r="L641" i="7"/>
  <c r="H641" i="7"/>
  <c r="F641" i="7"/>
  <c r="D641" i="7"/>
  <c r="G640" i="7"/>
  <c r="E640" i="7"/>
  <c r="C640" i="7"/>
  <c r="Q639" i="7"/>
  <c r="N639" i="7"/>
  <c r="L639" i="7"/>
  <c r="H639" i="7"/>
  <c r="F639" i="7"/>
  <c r="D639" i="7"/>
  <c r="G638" i="7"/>
  <c r="E638" i="7"/>
  <c r="C638" i="7"/>
  <c r="Q637" i="7"/>
  <c r="N637" i="7"/>
  <c r="L637" i="7"/>
  <c r="H637" i="7"/>
  <c r="F637" i="7"/>
  <c r="D637" i="7"/>
  <c r="G636" i="7"/>
  <c r="E636" i="7"/>
  <c r="C636" i="7"/>
  <c r="Q635" i="7"/>
  <c r="N635" i="7"/>
  <c r="L635" i="7"/>
  <c r="H635" i="7"/>
  <c r="F635" i="7"/>
  <c r="D635" i="7"/>
  <c r="G634" i="7"/>
  <c r="E634" i="7"/>
  <c r="C634" i="7"/>
  <c r="Q633" i="7"/>
  <c r="N633" i="7"/>
  <c r="L633" i="7"/>
  <c r="H633" i="7"/>
  <c r="F633" i="7"/>
  <c r="D633" i="7"/>
  <c r="G632" i="7"/>
  <c r="E632" i="7"/>
  <c r="C632" i="7"/>
  <c r="Q631" i="7"/>
  <c r="N631" i="7"/>
  <c r="L631" i="7"/>
  <c r="H631" i="7"/>
  <c r="F631" i="7"/>
  <c r="D631" i="7"/>
  <c r="G630" i="7"/>
  <c r="E630" i="7"/>
  <c r="C630" i="7"/>
  <c r="Q629" i="7"/>
  <c r="N629" i="7"/>
  <c r="L629" i="7"/>
  <c r="H629" i="7"/>
  <c r="F629" i="7"/>
  <c r="D629" i="7"/>
  <c r="G628" i="7"/>
  <c r="E628" i="7"/>
  <c r="C628" i="7"/>
  <c r="Q627" i="7"/>
  <c r="N627" i="7"/>
  <c r="L627" i="7"/>
  <c r="H627" i="7"/>
  <c r="F627" i="7"/>
  <c r="D627" i="7"/>
  <c r="G626" i="7"/>
  <c r="E626" i="7"/>
  <c r="C626" i="7"/>
  <c r="Q625" i="7"/>
  <c r="N625" i="7"/>
  <c r="L625" i="7"/>
  <c r="H625" i="7"/>
  <c r="F625" i="7"/>
  <c r="D625" i="7"/>
  <c r="G624" i="7"/>
  <c r="E624" i="7"/>
  <c r="C624" i="7"/>
  <c r="Q623" i="7"/>
  <c r="N623" i="7"/>
  <c r="L623" i="7"/>
  <c r="H623" i="7"/>
  <c r="F623" i="7"/>
  <c r="D623" i="7"/>
  <c r="G622" i="7"/>
  <c r="E622" i="7"/>
  <c r="C622" i="7"/>
  <c r="Q621" i="7"/>
  <c r="N621" i="7"/>
  <c r="L621" i="7"/>
  <c r="H621" i="7"/>
  <c r="F621" i="7"/>
  <c r="D621" i="7"/>
  <c r="G620" i="7"/>
  <c r="E620" i="7"/>
  <c r="C620" i="7"/>
  <c r="Q619" i="7"/>
  <c r="N619" i="7"/>
  <c r="L619" i="7"/>
  <c r="H619" i="7"/>
  <c r="F619" i="7"/>
  <c r="D619" i="7"/>
  <c r="G618" i="7"/>
  <c r="E618" i="7"/>
  <c r="C618" i="7"/>
  <c r="Q617" i="7"/>
  <c r="N617" i="7"/>
  <c r="L617" i="7"/>
  <c r="H617" i="7"/>
  <c r="F617" i="7"/>
  <c r="D617" i="7"/>
  <c r="G616" i="7"/>
  <c r="E616" i="7"/>
  <c r="C616" i="7"/>
  <c r="Q615" i="7"/>
  <c r="N615" i="7"/>
  <c r="L615" i="7"/>
  <c r="H615" i="7"/>
  <c r="F615" i="7"/>
  <c r="D615" i="7"/>
  <c r="G614" i="7"/>
  <c r="E614" i="7"/>
  <c r="C614" i="7"/>
  <c r="Q613" i="7"/>
  <c r="N613" i="7"/>
  <c r="L613" i="7"/>
  <c r="H613" i="7"/>
  <c r="F613" i="7"/>
  <c r="D613" i="7"/>
  <c r="G612" i="7"/>
  <c r="E612" i="7"/>
  <c r="C612" i="7"/>
  <c r="Q611" i="7"/>
  <c r="N611" i="7"/>
  <c r="L611" i="7"/>
  <c r="H611" i="7"/>
  <c r="F611" i="7"/>
  <c r="D611" i="7"/>
  <c r="G610" i="7"/>
  <c r="E610" i="7"/>
  <c r="C610" i="7"/>
  <c r="Q609" i="7"/>
  <c r="N609" i="7"/>
  <c r="L609" i="7"/>
  <c r="H609" i="7"/>
  <c r="F609" i="7"/>
  <c r="D609" i="7"/>
  <c r="G608" i="7"/>
  <c r="E608" i="7"/>
  <c r="C608" i="7"/>
  <c r="Q607" i="7"/>
  <c r="N607" i="7"/>
  <c r="L607" i="7"/>
  <c r="H607" i="7"/>
  <c r="F607" i="7"/>
  <c r="D607" i="7"/>
  <c r="G606" i="7"/>
  <c r="E606" i="7"/>
  <c r="C606" i="7"/>
  <c r="Q605" i="7"/>
  <c r="N605" i="7"/>
  <c r="L605" i="7"/>
  <c r="H605" i="7"/>
  <c r="F605" i="7"/>
  <c r="D605" i="7"/>
  <c r="G604" i="7"/>
  <c r="E604" i="7"/>
  <c r="C604" i="7"/>
  <c r="Q603" i="7"/>
  <c r="N603" i="7"/>
  <c r="L603" i="7"/>
  <c r="H603" i="7"/>
  <c r="F603" i="7"/>
  <c r="D603" i="7"/>
  <c r="G602" i="7"/>
  <c r="E602" i="7"/>
  <c r="C602" i="7"/>
  <c r="Q601" i="7"/>
  <c r="N601" i="7"/>
  <c r="L601" i="7"/>
  <c r="H601" i="7"/>
  <c r="F601" i="7"/>
  <c r="D601" i="7"/>
  <c r="G600" i="7"/>
  <c r="E600" i="7"/>
  <c r="C600" i="7"/>
  <c r="Q599" i="7"/>
  <c r="N599" i="7"/>
  <c r="L599" i="7"/>
  <c r="H599" i="7"/>
  <c r="F599" i="7"/>
  <c r="D599" i="7"/>
  <c r="G598" i="7"/>
  <c r="E598" i="7"/>
  <c r="C598" i="7"/>
  <c r="Q597" i="7"/>
  <c r="N597" i="7"/>
  <c r="L597" i="7"/>
  <c r="H597" i="7"/>
  <c r="F597" i="7"/>
  <c r="D597" i="7"/>
  <c r="G596" i="7"/>
  <c r="E596" i="7"/>
  <c r="C596" i="7"/>
  <c r="Q595" i="7"/>
  <c r="N595" i="7"/>
  <c r="L595" i="7"/>
  <c r="H595" i="7"/>
  <c r="F595" i="7"/>
  <c r="D595" i="7"/>
  <c r="G594" i="7"/>
  <c r="E594" i="7"/>
  <c r="C594" i="7"/>
  <c r="Q593" i="7"/>
  <c r="N593" i="7"/>
  <c r="L593" i="7"/>
  <c r="H593" i="7"/>
  <c r="F593" i="7"/>
  <c r="D593" i="7"/>
  <c r="G592" i="7"/>
  <c r="E592" i="7"/>
  <c r="C592" i="7"/>
  <c r="Q591" i="7"/>
  <c r="N591" i="7"/>
  <c r="L591" i="7"/>
  <c r="H591" i="7"/>
  <c r="F591" i="7"/>
  <c r="D591" i="7"/>
  <c r="G590" i="7"/>
  <c r="E590" i="7"/>
  <c r="C590" i="7"/>
  <c r="Q589" i="7"/>
  <c r="N589" i="7"/>
  <c r="L589" i="7"/>
  <c r="H589" i="7"/>
  <c r="F589" i="7"/>
  <c r="D589" i="7"/>
  <c r="G588" i="7"/>
  <c r="E588" i="7"/>
  <c r="C588" i="7"/>
  <c r="Q587" i="7"/>
  <c r="N587" i="7"/>
  <c r="L587" i="7"/>
  <c r="H587" i="7"/>
  <c r="F587" i="7"/>
  <c r="D587" i="7"/>
  <c r="G586" i="7"/>
  <c r="E586" i="7"/>
  <c r="C586" i="7"/>
  <c r="Q585" i="7"/>
  <c r="N585" i="7"/>
  <c r="L585" i="7"/>
  <c r="H585" i="7"/>
  <c r="F585" i="7"/>
  <c r="D585" i="7"/>
  <c r="G584" i="7"/>
  <c r="E584" i="7"/>
  <c r="C584" i="7"/>
  <c r="Q583" i="7"/>
  <c r="N583" i="7"/>
  <c r="L583" i="7"/>
  <c r="H583" i="7"/>
  <c r="F583" i="7"/>
  <c r="D583" i="7"/>
  <c r="G582" i="7"/>
  <c r="E582" i="7"/>
  <c r="C582" i="7"/>
  <c r="Q581" i="7"/>
  <c r="N581" i="7"/>
  <c r="L581" i="7"/>
  <c r="H581" i="7"/>
  <c r="F581" i="7"/>
  <c r="D581" i="7"/>
  <c r="G580" i="7"/>
  <c r="E580" i="7"/>
  <c r="C580" i="7"/>
  <c r="Q579" i="7"/>
  <c r="N579" i="7"/>
  <c r="L579" i="7"/>
  <c r="H579" i="7"/>
  <c r="F579" i="7"/>
  <c r="D579" i="7"/>
  <c r="G578" i="7"/>
  <c r="E578" i="7"/>
  <c r="C578" i="7"/>
  <c r="Q577" i="7"/>
  <c r="N577" i="7"/>
  <c r="L577" i="7"/>
  <c r="H577" i="7"/>
  <c r="F577" i="7"/>
  <c r="D577" i="7"/>
  <c r="G576" i="7"/>
  <c r="E576" i="7"/>
  <c r="C576" i="7"/>
  <c r="Q575" i="7"/>
  <c r="N575" i="7"/>
  <c r="L575" i="7"/>
  <c r="H575" i="7"/>
  <c r="F575" i="7"/>
  <c r="D575" i="7"/>
  <c r="G574" i="7"/>
  <c r="E574" i="7"/>
  <c r="C574" i="7"/>
  <c r="Q573" i="7"/>
  <c r="N573" i="7"/>
  <c r="L573" i="7"/>
  <c r="H573" i="7"/>
  <c r="F573" i="7"/>
  <c r="D573" i="7"/>
  <c r="G572" i="7"/>
  <c r="E572" i="7"/>
  <c r="C572" i="7"/>
  <c r="Q571" i="7"/>
  <c r="N571" i="7"/>
  <c r="L571" i="7"/>
  <c r="H571" i="7"/>
  <c r="F571" i="7"/>
  <c r="D571" i="7"/>
  <c r="G570" i="7"/>
  <c r="E570" i="7"/>
  <c r="C570" i="7"/>
  <c r="Q569" i="7"/>
  <c r="N569" i="7"/>
  <c r="L569" i="7"/>
  <c r="H569" i="7"/>
  <c r="F569" i="7"/>
  <c r="D569" i="7"/>
  <c r="G568" i="7"/>
  <c r="E568" i="7"/>
  <c r="C568" i="7"/>
  <c r="Q567" i="7"/>
  <c r="N567" i="7"/>
  <c r="L567" i="7"/>
  <c r="H567" i="7"/>
  <c r="F567" i="7"/>
  <c r="D567" i="7"/>
  <c r="G566" i="7"/>
  <c r="E566" i="7"/>
  <c r="C566" i="7"/>
  <c r="Q565" i="7"/>
  <c r="N565" i="7"/>
  <c r="L565" i="7"/>
  <c r="H565" i="7"/>
  <c r="F565" i="7"/>
  <c r="D565" i="7"/>
  <c r="G564" i="7"/>
  <c r="E564" i="7"/>
  <c r="C564" i="7"/>
  <c r="Q563" i="7"/>
  <c r="N563" i="7"/>
  <c r="L563" i="7"/>
  <c r="H563" i="7"/>
  <c r="F563" i="7"/>
  <c r="D563" i="7"/>
  <c r="G562" i="7"/>
  <c r="E562" i="7"/>
  <c r="C562" i="7"/>
  <c r="Q561" i="7"/>
  <c r="N561" i="7"/>
  <c r="L561" i="7"/>
  <c r="H561" i="7"/>
  <c r="F561" i="7"/>
  <c r="D561" i="7"/>
  <c r="G560" i="7"/>
  <c r="E560" i="7"/>
  <c r="C560" i="7"/>
  <c r="Q559" i="7"/>
  <c r="N559" i="7"/>
  <c r="L559" i="7"/>
  <c r="H559" i="7"/>
  <c r="F559" i="7"/>
  <c r="D559" i="7"/>
  <c r="G558" i="7"/>
  <c r="E558" i="7"/>
  <c r="C558" i="7"/>
  <c r="Q557" i="7"/>
  <c r="N557" i="7"/>
  <c r="L557" i="7"/>
  <c r="H557" i="7"/>
  <c r="F557" i="7"/>
  <c r="D557" i="7"/>
  <c r="G556" i="7"/>
  <c r="E556" i="7"/>
  <c r="C556" i="7"/>
  <c r="Q555" i="7"/>
  <c r="N555" i="7"/>
  <c r="L555" i="7"/>
  <c r="H555" i="7"/>
  <c r="F555" i="7"/>
  <c r="D555" i="7"/>
  <c r="G554" i="7"/>
  <c r="E554" i="7"/>
  <c r="C554" i="7"/>
  <c r="Q553" i="7"/>
  <c r="N553" i="7"/>
  <c r="L553" i="7"/>
  <c r="H553" i="7"/>
  <c r="F553" i="7"/>
  <c r="D553" i="7"/>
  <c r="G552" i="7"/>
  <c r="E552" i="7"/>
  <c r="C552" i="7"/>
  <c r="Q551" i="7"/>
  <c r="N551" i="7"/>
  <c r="L551" i="7"/>
  <c r="H551" i="7"/>
  <c r="F551" i="7"/>
  <c r="D551" i="7"/>
  <c r="G550" i="7"/>
  <c r="E550" i="7"/>
  <c r="C550" i="7"/>
  <c r="Q549" i="7"/>
  <c r="N549" i="7"/>
  <c r="L549" i="7"/>
  <c r="H549" i="7"/>
  <c r="F549" i="7"/>
  <c r="D549" i="7"/>
  <c r="G548" i="7"/>
  <c r="E548" i="7"/>
  <c r="C548" i="7"/>
  <c r="R547" i="7"/>
  <c r="M547" i="7"/>
  <c r="G547" i="7"/>
  <c r="C547" i="7"/>
  <c r="B545" i="7"/>
  <c r="D545" i="7"/>
  <c r="F545" i="7"/>
  <c r="H545" i="7"/>
  <c r="L545" i="7"/>
  <c r="N545" i="7"/>
  <c r="Q545" i="7"/>
  <c r="E545" i="7"/>
  <c r="A545" i="7"/>
  <c r="R543" i="7"/>
  <c r="M543" i="7"/>
  <c r="G543" i="7"/>
  <c r="C543" i="7"/>
  <c r="B541" i="7"/>
  <c r="D541" i="7"/>
  <c r="F541" i="7"/>
  <c r="H541" i="7"/>
  <c r="L541" i="7"/>
  <c r="N541" i="7"/>
  <c r="Q541" i="7"/>
  <c r="E541" i="7"/>
  <c r="A541" i="7"/>
  <c r="R539" i="7"/>
  <c r="M539" i="7"/>
  <c r="G539" i="7"/>
  <c r="C539" i="7"/>
  <c r="B537" i="7"/>
  <c r="D537" i="7"/>
  <c r="F537" i="7"/>
  <c r="H537" i="7"/>
  <c r="L537" i="7"/>
  <c r="N537" i="7"/>
  <c r="Q537" i="7"/>
  <c r="E537" i="7"/>
  <c r="A537" i="7"/>
  <c r="R535" i="7"/>
  <c r="M535" i="7"/>
  <c r="G535" i="7"/>
  <c r="C535" i="7"/>
  <c r="B533" i="7"/>
  <c r="D533" i="7"/>
  <c r="F533" i="7"/>
  <c r="H533" i="7"/>
  <c r="L533" i="7"/>
  <c r="N533" i="7"/>
  <c r="Q533" i="7"/>
  <c r="E533" i="7"/>
  <c r="A533" i="7"/>
  <c r="R531" i="7"/>
  <c r="M531" i="7"/>
  <c r="G531" i="7"/>
  <c r="C531" i="7"/>
  <c r="B529" i="7"/>
  <c r="D529" i="7"/>
  <c r="F529" i="7"/>
  <c r="H529" i="7"/>
  <c r="L529" i="7"/>
  <c r="N529" i="7"/>
  <c r="Q529" i="7"/>
  <c r="E529" i="7"/>
  <c r="A529" i="7"/>
  <c r="R527" i="7"/>
  <c r="M527" i="7"/>
  <c r="G527" i="7"/>
  <c r="C527" i="7"/>
  <c r="B525" i="7"/>
  <c r="D525" i="7"/>
  <c r="F525" i="7"/>
  <c r="H525" i="7"/>
  <c r="L525" i="7"/>
  <c r="N525" i="7"/>
  <c r="Q525" i="7"/>
  <c r="E525" i="7"/>
  <c r="A525" i="7"/>
  <c r="R523" i="7"/>
  <c r="M523" i="7"/>
  <c r="G523" i="7"/>
  <c r="C523" i="7"/>
  <c r="B521" i="7"/>
  <c r="D521" i="7"/>
  <c r="F521" i="7"/>
  <c r="H521" i="7"/>
  <c r="L521" i="7"/>
  <c r="N521" i="7"/>
  <c r="Q521" i="7"/>
  <c r="E521" i="7"/>
  <c r="A521" i="7"/>
  <c r="R519" i="7"/>
  <c r="M519" i="7"/>
  <c r="G519" i="7"/>
  <c r="C519" i="7"/>
  <c r="B517" i="7"/>
  <c r="D517" i="7"/>
  <c r="F517" i="7"/>
  <c r="H517" i="7"/>
  <c r="L517" i="7"/>
  <c r="N517" i="7"/>
  <c r="Q517" i="7"/>
  <c r="E517" i="7"/>
  <c r="A517" i="7"/>
  <c r="R515" i="7"/>
  <c r="M515" i="7"/>
  <c r="G515" i="7"/>
  <c r="C515" i="7"/>
  <c r="B513" i="7"/>
  <c r="D513" i="7"/>
  <c r="F513" i="7"/>
  <c r="H513" i="7"/>
  <c r="L513" i="7"/>
  <c r="N513" i="7"/>
  <c r="Q513" i="7"/>
  <c r="E513" i="7"/>
  <c r="A513" i="7"/>
  <c r="R511" i="7"/>
  <c r="M511" i="7"/>
  <c r="G511" i="7"/>
  <c r="C511" i="7"/>
  <c r="B509" i="7"/>
  <c r="D509" i="7"/>
  <c r="F509" i="7"/>
  <c r="H509" i="7"/>
  <c r="L509" i="7"/>
  <c r="N509" i="7"/>
  <c r="Q509" i="7"/>
  <c r="E509" i="7"/>
  <c r="A509" i="7"/>
  <c r="R507" i="7"/>
  <c r="M507" i="7"/>
  <c r="G507" i="7"/>
  <c r="C507" i="7"/>
  <c r="B505" i="7"/>
  <c r="D505" i="7"/>
  <c r="F505" i="7"/>
  <c r="H505" i="7"/>
  <c r="L505" i="7"/>
  <c r="N505" i="7"/>
  <c r="Q505" i="7"/>
  <c r="E505" i="7"/>
  <c r="A505" i="7"/>
  <c r="R503" i="7"/>
  <c r="M503" i="7"/>
  <c r="G503" i="7"/>
  <c r="C503" i="7"/>
  <c r="B501" i="7"/>
  <c r="D501" i="7"/>
  <c r="F501" i="7"/>
  <c r="H501" i="7"/>
  <c r="L501" i="7"/>
  <c r="N501" i="7"/>
  <c r="Q501" i="7"/>
  <c r="E501" i="7"/>
  <c r="A501" i="7"/>
  <c r="G499" i="7"/>
  <c r="E499" i="7"/>
  <c r="C499" i="7"/>
  <c r="A499" i="7"/>
  <c r="G497" i="7"/>
  <c r="E497" i="7"/>
  <c r="C497" i="7"/>
  <c r="A497" i="7"/>
  <c r="G495" i="7"/>
  <c r="E495" i="7"/>
  <c r="C495" i="7"/>
  <c r="A495" i="7"/>
  <c r="G493" i="7"/>
  <c r="E493" i="7"/>
  <c r="C493" i="7"/>
  <c r="A493" i="7"/>
  <c r="G491" i="7"/>
  <c r="E491" i="7"/>
  <c r="C491" i="7"/>
  <c r="A491" i="7"/>
  <c r="G489" i="7"/>
  <c r="E489" i="7"/>
  <c r="C489" i="7"/>
  <c r="A489" i="7"/>
  <c r="G487" i="7"/>
  <c r="E487" i="7"/>
  <c r="C487" i="7"/>
  <c r="A487" i="7"/>
  <c r="G485" i="7"/>
  <c r="E485" i="7"/>
  <c r="C485" i="7"/>
  <c r="A485" i="7"/>
  <c r="G483" i="7"/>
  <c r="E483" i="7"/>
  <c r="C483" i="7"/>
  <c r="A483" i="7"/>
  <c r="G481" i="7"/>
  <c r="E481" i="7"/>
  <c r="C481" i="7"/>
  <c r="A481" i="7"/>
  <c r="G479" i="7"/>
  <c r="E479" i="7"/>
  <c r="C479" i="7"/>
  <c r="A479" i="7"/>
  <c r="G477" i="7"/>
  <c r="E477" i="7"/>
  <c r="C477" i="7"/>
  <c r="A477" i="7"/>
  <c r="G475" i="7"/>
  <c r="E475" i="7"/>
  <c r="C475" i="7"/>
  <c r="A475" i="7"/>
  <c r="G473" i="7"/>
  <c r="E473" i="7"/>
  <c r="C473" i="7"/>
  <c r="A473" i="7"/>
  <c r="G471" i="7"/>
  <c r="E471" i="7"/>
  <c r="C471" i="7"/>
  <c r="A471" i="7"/>
  <c r="G469" i="7"/>
  <c r="E469" i="7"/>
  <c r="C469" i="7"/>
  <c r="A469" i="7"/>
  <c r="G467" i="7"/>
  <c r="E467" i="7"/>
  <c r="C467" i="7"/>
  <c r="A467" i="7"/>
  <c r="G465" i="7"/>
  <c r="E465" i="7"/>
  <c r="C465" i="7"/>
  <c r="A465" i="7"/>
  <c r="G463" i="7"/>
  <c r="E463" i="7"/>
  <c r="C463" i="7"/>
  <c r="A463" i="7"/>
  <c r="G461" i="7"/>
  <c r="E461" i="7"/>
  <c r="C461" i="7"/>
  <c r="A461" i="7"/>
  <c r="G459" i="7"/>
  <c r="E459" i="7"/>
  <c r="C459" i="7"/>
  <c r="A459" i="7"/>
  <c r="G457" i="7"/>
  <c r="E457" i="7"/>
  <c r="C457" i="7"/>
  <c r="A457" i="7"/>
  <c r="G455" i="7"/>
  <c r="E455" i="7"/>
  <c r="C455" i="7"/>
  <c r="A455" i="7"/>
  <c r="G453" i="7"/>
  <c r="E453" i="7"/>
  <c r="C453" i="7"/>
  <c r="A453" i="7"/>
  <c r="G451" i="7"/>
  <c r="E451" i="7"/>
  <c r="C451" i="7"/>
  <c r="A451" i="7"/>
  <c r="G449" i="7"/>
  <c r="E449" i="7"/>
  <c r="C449" i="7"/>
  <c r="A449" i="7"/>
  <c r="G447" i="7"/>
  <c r="E447" i="7"/>
  <c r="C447" i="7"/>
  <c r="A447" i="7"/>
  <c r="G445" i="7"/>
  <c r="E445" i="7"/>
  <c r="C445" i="7"/>
  <c r="A445" i="7"/>
  <c r="G443" i="7"/>
  <c r="E443" i="7"/>
  <c r="C443" i="7"/>
  <c r="A443" i="7"/>
  <c r="G441" i="7"/>
  <c r="E441" i="7"/>
  <c r="C441" i="7"/>
  <c r="A441" i="7"/>
  <c r="G439" i="7"/>
  <c r="E439" i="7"/>
  <c r="C439" i="7"/>
  <c r="A439" i="7"/>
  <c r="G437" i="7"/>
  <c r="E437" i="7"/>
  <c r="C437" i="7"/>
  <c r="A437" i="7"/>
  <c r="G435" i="7"/>
  <c r="E435" i="7"/>
  <c r="C435" i="7"/>
  <c r="A435" i="7"/>
  <c r="G433" i="7"/>
  <c r="E433" i="7"/>
  <c r="C433" i="7"/>
  <c r="A433" i="7"/>
  <c r="A431" i="7"/>
  <c r="C431" i="7"/>
  <c r="G431" i="7"/>
  <c r="E431" i="7"/>
  <c r="B431" i="7"/>
  <c r="B430" i="7"/>
  <c r="D430" i="7"/>
  <c r="F430" i="7"/>
  <c r="H430" i="7"/>
  <c r="L430" i="7"/>
  <c r="N430" i="7"/>
  <c r="Q430" i="7"/>
  <c r="E430" i="7"/>
  <c r="A430" i="7"/>
  <c r="B426" i="7"/>
  <c r="D426" i="7"/>
  <c r="F426" i="7"/>
  <c r="H426" i="7"/>
  <c r="L426" i="7"/>
  <c r="N426" i="7"/>
  <c r="Q426" i="7"/>
  <c r="E426" i="7"/>
  <c r="A426" i="7"/>
  <c r="B422" i="7"/>
  <c r="D422" i="7"/>
  <c r="F422" i="7"/>
  <c r="H422" i="7"/>
  <c r="L422" i="7"/>
  <c r="N422" i="7"/>
  <c r="Q422" i="7"/>
  <c r="E422" i="7"/>
  <c r="A422" i="7"/>
  <c r="R420" i="7"/>
  <c r="M420" i="7"/>
  <c r="G420" i="7"/>
  <c r="B418" i="7"/>
  <c r="D418" i="7"/>
  <c r="F418" i="7"/>
  <c r="H418" i="7"/>
  <c r="L418" i="7"/>
  <c r="N418" i="7"/>
  <c r="Q418" i="7"/>
  <c r="E418" i="7"/>
  <c r="A418" i="7"/>
  <c r="R416" i="7"/>
  <c r="M416" i="7"/>
  <c r="G416" i="7"/>
  <c r="B414" i="7"/>
  <c r="D414" i="7"/>
  <c r="F414" i="7"/>
  <c r="H414" i="7"/>
  <c r="L414" i="7"/>
  <c r="N414" i="7"/>
  <c r="Q414" i="7"/>
  <c r="E414" i="7"/>
  <c r="A414" i="7"/>
  <c r="R412" i="7"/>
  <c r="M412" i="7"/>
  <c r="G412" i="7"/>
  <c r="B410" i="7"/>
  <c r="D410" i="7"/>
  <c r="F410" i="7"/>
  <c r="H410" i="7"/>
  <c r="L410" i="7"/>
  <c r="N410" i="7"/>
  <c r="Q410" i="7"/>
  <c r="E410" i="7"/>
  <c r="A410" i="7"/>
  <c r="R408" i="7"/>
  <c r="M408" i="7"/>
  <c r="G408" i="7"/>
  <c r="B406" i="7"/>
  <c r="D406" i="7"/>
  <c r="F406" i="7"/>
  <c r="H406" i="7"/>
  <c r="L406" i="7"/>
  <c r="N406" i="7"/>
  <c r="Q406" i="7"/>
  <c r="E406" i="7"/>
  <c r="A406" i="7"/>
  <c r="R404" i="7"/>
  <c r="M404" i="7"/>
  <c r="G404" i="7"/>
  <c r="B402" i="7"/>
  <c r="D402" i="7"/>
  <c r="F402" i="7"/>
  <c r="H402" i="7"/>
  <c r="L402" i="7"/>
  <c r="N402" i="7"/>
  <c r="Q402" i="7"/>
  <c r="E402" i="7"/>
  <c r="A402" i="7"/>
  <c r="R400" i="7"/>
  <c r="M400" i="7"/>
  <c r="G400" i="7"/>
  <c r="B398" i="7"/>
  <c r="D398" i="7"/>
  <c r="F398" i="7"/>
  <c r="H398" i="7"/>
  <c r="L398" i="7"/>
  <c r="N398" i="7"/>
  <c r="Q398" i="7"/>
  <c r="E398" i="7"/>
  <c r="A398" i="7"/>
  <c r="R396" i="7"/>
  <c r="M396" i="7"/>
  <c r="G396" i="7"/>
  <c r="B394" i="7"/>
  <c r="D394" i="7"/>
  <c r="F394" i="7"/>
  <c r="H394" i="7"/>
  <c r="L394" i="7"/>
  <c r="N394" i="7"/>
  <c r="Q394" i="7"/>
  <c r="E394" i="7"/>
  <c r="A394" i="7"/>
  <c r="R392" i="7"/>
  <c r="M392" i="7"/>
  <c r="G392" i="7"/>
  <c r="B390" i="7"/>
  <c r="D390" i="7"/>
  <c r="F390" i="7"/>
  <c r="H390" i="7"/>
  <c r="L390" i="7"/>
  <c r="N390" i="7"/>
  <c r="Q390" i="7"/>
  <c r="E390" i="7"/>
  <c r="A390" i="7"/>
  <c r="R388" i="7"/>
  <c r="M388" i="7"/>
  <c r="G388" i="7"/>
  <c r="G546" i="7"/>
  <c r="E546" i="7"/>
  <c r="C546" i="7"/>
  <c r="G544" i="7"/>
  <c r="E544" i="7"/>
  <c r="C544" i="7"/>
  <c r="G542" i="7"/>
  <c r="E542" i="7"/>
  <c r="C542" i="7"/>
  <c r="G540" i="7"/>
  <c r="E540" i="7"/>
  <c r="C540" i="7"/>
  <c r="G538" i="7"/>
  <c r="E538" i="7"/>
  <c r="C538" i="7"/>
  <c r="G536" i="7"/>
  <c r="E536" i="7"/>
  <c r="C536" i="7"/>
  <c r="G534" i="7"/>
  <c r="E534" i="7"/>
  <c r="C534" i="7"/>
  <c r="G532" i="7"/>
  <c r="E532" i="7"/>
  <c r="C532" i="7"/>
  <c r="G530" i="7"/>
  <c r="E530" i="7"/>
  <c r="C530" i="7"/>
  <c r="G528" i="7"/>
  <c r="E528" i="7"/>
  <c r="C528" i="7"/>
  <c r="G526" i="7"/>
  <c r="E526" i="7"/>
  <c r="C526" i="7"/>
  <c r="G524" i="7"/>
  <c r="E524" i="7"/>
  <c r="C524" i="7"/>
  <c r="G522" i="7"/>
  <c r="E522" i="7"/>
  <c r="C522" i="7"/>
  <c r="G520" i="7"/>
  <c r="E520" i="7"/>
  <c r="C520" i="7"/>
  <c r="G518" i="7"/>
  <c r="E518" i="7"/>
  <c r="C518" i="7"/>
  <c r="G516" i="7"/>
  <c r="E516" i="7"/>
  <c r="C516" i="7"/>
  <c r="G514" i="7"/>
  <c r="E514" i="7"/>
  <c r="C514" i="7"/>
  <c r="G512" i="7"/>
  <c r="E512" i="7"/>
  <c r="C512" i="7"/>
  <c r="G510" i="7"/>
  <c r="E510" i="7"/>
  <c r="C510" i="7"/>
  <c r="G508" i="7"/>
  <c r="E508" i="7"/>
  <c r="C508" i="7"/>
  <c r="G506" i="7"/>
  <c r="E506" i="7"/>
  <c r="C506" i="7"/>
  <c r="G504" i="7"/>
  <c r="E504" i="7"/>
  <c r="C504" i="7"/>
  <c r="G502" i="7"/>
  <c r="E502" i="7"/>
  <c r="C502" i="7"/>
  <c r="G500" i="7"/>
  <c r="E500" i="7"/>
  <c r="C500" i="7"/>
  <c r="Q499" i="7"/>
  <c r="N499" i="7"/>
  <c r="L499" i="7"/>
  <c r="H499" i="7"/>
  <c r="F499" i="7"/>
  <c r="D499" i="7"/>
  <c r="G498" i="7"/>
  <c r="E498" i="7"/>
  <c r="C498" i="7"/>
  <c r="Q497" i="7"/>
  <c r="N497" i="7"/>
  <c r="L497" i="7"/>
  <c r="H497" i="7"/>
  <c r="F497" i="7"/>
  <c r="D497" i="7"/>
  <c r="G496" i="7"/>
  <c r="E496" i="7"/>
  <c r="C496" i="7"/>
  <c r="Q495" i="7"/>
  <c r="N495" i="7"/>
  <c r="L495" i="7"/>
  <c r="H495" i="7"/>
  <c r="F495" i="7"/>
  <c r="D495" i="7"/>
  <c r="G494" i="7"/>
  <c r="E494" i="7"/>
  <c r="C494" i="7"/>
  <c r="Q493" i="7"/>
  <c r="N493" i="7"/>
  <c r="L493" i="7"/>
  <c r="H493" i="7"/>
  <c r="F493" i="7"/>
  <c r="D493" i="7"/>
  <c r="G492" i="7"/>
  <c r="E492" i="7"/>
  <c r="C492" i="7"/>
  <c r="Q491" i="7"/>
  <c r="N491" i="7"/>
  <c r="L491" i="7"/>
  <c r="H491" i="7"/>
  <c r="F491" i="7"/>
  <c r="D491" i="7"/>
  <c r="G490" i="7"/>
  <c r="E490" i="7"/>
  <c r="C490" i="7"/>
  <c r="Q489" i="7"/>
  <c r="N489" i="7"/>
  <c r="L489" i="7"/>
  <c r="H489" i="7"/>
  <c r="F489" i="7"/>
  <c r="D489" i="7"/>
  <c r="G488" i="7"/>
  <c r="E488" i="7"/>
  <c r="C488" i="7"/>
  <c r="Q487" i="7"/>
  <c r="N487" i="7"/>
  <c r="L487" i="7"/>
  <c r="H487" i="7"/>
  <c r="F487" i="7"/>
  <c r="D487" i="7"/>
  <c r="G486" i="7"/>
  <c r="E486" i="7"/>
  <c r="C486" i="7"/>
  <c r="Q485" i="7"/>
  <c r="N485" i="7"/>
  <c r="L485" i="7"/>
  <c r="H485" i="7"/>
  <c r="F485" i="7"/>
  <c r="D485" i="7"/>
  <c r="G484" i="7"/>
  <c r="E484" i="7"/>
  <c r="C484" i="7"/>
  <c r="Q483" i="7"/>
  <c r="N483" i="7"/>
  <c r="L483" i="7"/>
  <c r="H483" i="7"/>
  <c r="F483" i="7"/>
  <c r="D483" i="7"/>
  <c r="G482" i="7"/>
  <c r="E482" i="7"/>
  <c r="C482" i="7"/>
  <c r="Q481" i="7"/>
  <c r="N481" i="7"/>
  <c r="L481" i="7"/>
  <c r="H481" i="7"/>
  <c r="F481" i="7"/>
  <c r="D481" i="7"/>
  <c r="G480" i="7"/>
  <c r="E480" i="7"/>
  <c r="C480" i="7"/>
  <c r="Q479" i="7"/>
  <c r="N479" i="7"/>
  <c r="L479" i="7"/>
  <c r="H479" i="7"/>
  <c r="F479" i="7"/>
  <c r="D479" i="7"/>
  <c r="G478" i="7"/>
  <c r="E478" i="7"/>
  <c r="C478" i="7"/>
  <c r="Q477" i="7"/>
  <c r="N477" i="7"/>
  <c r="L477" i="7"/>
  <c r="H477" i="7"/>
  <c r="F477" i="7"/>
  <c r="D477" i="7"/>
  <c r="G476" i="7"/>
  <c r="E476" i="7"/>
  <c r="C476" i="7"/>
  <c r="Q475" i="7"/>
  <c r="N475" i="7"/>
  <c r="L475" i="7"/>
  <c r="H475" i="7"/>
  <c r="F475" i="7"/>
  <c r="D475" i="7"/>
  <c r="G474" i="7"/>
  <c r="E474" i="7"/>
  <c r="C474" i="7"/>
  <c r="Q473" i="7"/>
  <c r="N473" i="7"/>
  <c r="L473" i="7"/>
  <c r="H473" i="7"/>
  <c r="F473" i="7"/>
  <c r="D473" i="7"/>
  <c r="G472" i="7"/>
  <c r="E472" i="7"/>
  <c r="C472" i="7"/>
  <c r="Q471" i="7"/>
  <c r="N471" i="7"/>
  <c r="L471" i="7"/>
  <c r="H471" i="7"/>
  <c r="F471" i="7"/>
  <c r="D471" i="7"/>
  <c r="G470" i="7"/>
  <c r="E470" i="7"/>
  <c r="C470" i="7"/>
  <c r="Q469" i="7"/>
  <c r="N469" i="7"/>
  <c r="L469" i="7"/>
  <c r="H469" i="7"/>
  <c r="F469" i="7"/>
  <c r="D469" i="7"/>
  <c r="G468" i="7"/>
  <c r="E468" i="7"/>
  <c r="C468" i="7"/>
  <c r="Q467" i="7"/>
  <c r="N467" i="7"/>
  <c r="L467" i="7"/>
  <c r="H467" i="7"/>
  <c r="F467" i="7"/>
  <c r="D467" i="7"/>
  <c r="G466" i="7"/>
  <c r="E466" i="7"/>
  <c r="C466" i="7"/>
  <c r="Q465" i="7"/>
  <c r="N465" i="7"/>
  <c r="L465" i="7"/>
  <c r="H465" i="7"/>
  <c r="F465" i="7"/>
  <c r="D465" i="7"/>
  <c r="G464" i="7"/>
  <c r="E464" i="7"/>
  <c r="C464" i="7"/>
  <c r="Q463" i="7"/>
  <c r="N463" i="7"/>
  <c r="L463" i="7"/>
  <c r="H463" i="7"/>
  <c r="F463" i="7"/>
  <c r="D463" i="7"/>
  <c r="G462" i="7"/>
  <c r="E462" i="7"/>
  <c r="C462" i="7"/>
  <c r="Q461" i="7"/>
  <c r="N461" i="7"/>
  <c r="L461" i="7"/>
  <c r="H461" i="7"/>
  <c r="F461" i="7"/>
  <c r="D461" i="7"/>
  <c r="G460" i="7"/>
  <c r="E460" i="7"/>
  <c r="C460" i="7"/>
  <c r="Q459" i="7"/>
  <c r="N459" i="7"/>
  <c r="L459" i="7"/>
  <c r="H459" i="7"/>
  <c r="F459" i="7"/>
  <c r="D459" i="7"/>
  <c r="G458" i="7"/>
  <c r="E458" i="7"/>
  <c r="C458" i="7"/>
  <c r="Q457" i="7"/>
  <c r="N457" i="7"/>
  <c r="L457" i="7"/>
  <c r="H457" i="7"/>
  <c r="F457" i="7"/>
  <c r="D457" i="7"/>
  <c r="G456" i="7"/>
  <c r="E456" i="7"/>
  <c r="C456" i="7"/>
  <c r="Q455" i="7"/>
  <c r="N455" i="7"/>
  <c r="L455" i="7"/>
  <c r="H455" i="7"/>
  <c r="F455" i="7"/>
  <c r="D455" i="7"/>
  <c r="G454" i="7"/>
  <c r="E454" i="7"/>
  <c r="C454" i="7"/>
  <c r="Q453" i="7"/>
  <c r="N453" i="7"/>
  <c r="L453" i="7"/>
  <c r="H453" i="7"/>
  <c r="F453" i="7"/>
  <c r="D453" i="7"/>
  <c r="G452" i="7"/>
  <c r="E452" i="7"/>
  <c r="C452" i="7"/>
  <c r="Q451" i="7"/>
  <c r="N451" i="7"/>
  <c r="L451" i="7"/>
  <c r="H451" i="7"/>
  <c r="F451" i="7"/>
  <c r="D451" i="7"/>
  <c r="G450" i="7"/>
  <c r="E450" i="7"/>
  <c r="C450" i="7"/>
  <c r="Q449" i="7"/>
  <c r="N449" i="7"/>
  <c r="L449" i="7"/>
  <c r="H449" i="7"/>
  <c r="F449" i="7"/>
  <c r="D449" i="7"/>
  <c r="G448" i="7"/>
  <c r="E448" i="7"/>
  <c r="C448" i="7"/>
  <c r="Q447" i="7"/>
  <c r="N447" i="7"/>
  <c r="L447" i="7"/>
  <c r="H447" i="7"/>
  <c r="F447" i="7"/>
  <c r="D447" i="7"/>
  <c r="G446" i="7"/>
  <c r="E446" i="7"/>
  <c r="C446" i="7"/>
  <c r="Q445" i="7"/>
  <c r="N445" i="7"/>
  <c r="L445" i="7"/>
  <c r="H445" i="7"/>
  <c r="F445" i="7"/>
  <c r="D445" i="7"/>
  <c r="G444" i="7"/>
  <c r="E444" i="7"/>
  <c r="C444" i="7"/>
  <c r="Q443" i="7"/>
  <c r="N443" i="7"/>
  <c r="L443" i="7"/>
  <c r="H443" i="7"/>
  <c r="F443" i="7"/>
  <c r="D443" i="7"/>
  <c r="G442" i="7"/>
  <c r="E442" i="7"/>
  <c r="C442" i="7"/>
  <c r="Q441" i="7"/>
  <c r="N441" i="7"/>
  <c r="L441" i="7"/>
  <c r="H441" i="7"/>
  <c r="F441" i="7"/>
  <c r="D441" i="7"/>
  <c r="G440" i="7"/>
  <c r="E440" i="7"/>
  <c r="C440" i="7"/>
  <c r="Q439" i="7"/>
  <c r="N439" i="7"/>
  <c r="L439" i="7"/>
  <c r="H439" i="7"/>
  <c r="F439" i="7"/>
  <c r="D439" i="7"/>
  <c r="G438" i="7"/>
  <c r="E438" i="7"/>
  <c r="C438" i="7"/>
  <c r="Q437" i="7"/>
  <c r="N437" i="7"/>
  <c r="L437" i="7"/>
  <c r="H437" i="7"/>
  <c r="F437" i="7"/>
  <c r="D437" i="7"/>
  <c r="G436" i="7"/>
  <c r="E436" i="7"/>
  <c r="C436" i="7"/>
  <c r="Q435" i="7"/>
  <c r="N435" i="7"/>
  <c r="L435" i="7"/>
  <c r="H435" i="7"/>
  <c r="F435" i="7"/>
  <c r="D435" i="7"/>
  <c r="G434" i="7"/>
  <c r="E434" i="7"/>
  <c r="C434" i="7"/>
  <c r="Q433" i="7"/>
  <c r="N433" i="7"/>
  <c r="L433" i="7"/>
  <c r="H433" i="7"/>
  <c r="F433" i="7"/>
  <c r="D433" i="7"/>
  <c r="G432" i="7"/>
  <c r="E432" i="7"/>
  <c r="C432" i="7"/>
  <c r="Q431" i="7"/>
  <c r="N431" i="7"/>
  <c r="L431" i="7"/>
  <c r="H431" i="7"/>
  <c r="F431" i="7"/>
  <c r="D431" i="7"/>
  <c r="R430" i="7"/>
  <c r="M430" i="7"/>
  <c r="G430" i="7"/>
  <c r="C430" i="7"/>
  <c r="B428" i="7"/>
  <c r="D428" i="7"/>
  <c r="F428" i="7"/>
  <c r="H428" i="7"/>
  <c r="L428" i="7"/>
  <c r="N428" i="7"/>
  <c r="Q428" i="7"/>
  <c r="E428" i="7"/>
  <c r="A428" i="7"/>
  <c r="R426" i="7"/>
  <c r="M426" i="7"/>
  <c r="G426" i="7"/>
  <c r="C426" i="7"/>
  <c r="B424" i="7"/>
  <c r="D424" i="7"/>
  <c r="F424" i="7"/>
  <c r="H424" i="7"/>
  <c r="L424" i="7"/>
  <c r="N424" i="7"/>
  <c r="Q424" i="7"/>
  <c r="E424" i="7"/>
  <c r="A424" i="7"/>
  <c r="R422" i="7"/>
  <c r="M422" i="7"/>
  <c r="G422" i="7"/>
  <c r="C422" i="7"/>
  <c r="B420" i="7"/>
  <c r="D420" i="7"/>
  <c r="F420" i="7"/>
  <c r="H420" i="7"/>
  <c r="L420" i="7"/>
  <c r="N420" i="7"/>
  <c r="Q420" i="7"/>
  <c r="E420" i="7"/>
  <c r="A420" i="7"/>
  <c r="B416" i="7"/>
  <c r="D416" i="7"/>
  <c r="F416" i="7"/>
  <c r="H416" i="7"/>
  <c r="L416" i="7"/>
  <c r="N416" i="7"/>
  <c r="Q416" i="7"/>
  <c r="E416" i="7"/>
  <c r="A416" i="7"/>
  <c r="B412" i="7"/>
  <c r="D412" i="7"/>
  <c r="F412" i="7"/>
  <c r="H412" i="7"/>
  <c r="L412" i="7"/>
  <c r="N412" i="7"/>
  <c r="Q412" i="7"/>
  <c r="E412" i="7"/>
  <c r="A412" i="7"/>
  <c r="B408" i="7"/>
  <c r="D408" i="7"/>
  <c r="F408" i="7"/>
  <c r="H408" i="7"/>
  <c r="L408" i="7"/>
  <c r="N408" i="7"/>
  <c r="Q408" i="7"/>
  <c r="E408" i="7"/>
  <c r="A408" i="7"/>
  <c r="B404" i="7"/>
  <c r="D404" i="7"/>
  <c r="F404" i="7"/>
  <c r="H404" i="7"/>
  <c r="L404" i="7"/>
  <c r="N404" i="7"/>
  <c r="Q404" i="7"/>
  <c r="E404" i="7"/>
  <c r="A404" i="7"/>
  <c r="B400" i="7"/>
  <c r="D400" i="7"/>
  <c r="F400" i="7"/>
  <c r="H400" i="7"/>
  <c r="L400" i="7"/>
  <c r="N400" i="7"/>
  <c r="Q400" i="7"/>
  <c r="E400" i="7"/>
  <c r="A400" i="7"/>
  <c r="B396" i="7"/>
  <c r="D396" i="7"/>
  <c r="F396" i="7"/>
  <c r="H396" i="7"/>
  <c r="L396" i="7"/>
  <c r="N396" i="7"/>
  <c r="Q396" i="7"/>
  <c r="E396" i="7"/>
  <c r="A396" i="7"/>
  <c r="B392" i="7"/>
  <c r="D392" i="7"/>
  <c r="F392" i="7"/>
  <c r="H392" i="7"/>
  <c r="L392" i="7"/>
  <c r="N392" i="7"/>
  <c r="Q392" i="7"/>
  <c r="E392" i="7"/>
  <c r="A392" i="7"/>
  <c r="B388" i="7"/>
  <c r="D388" i="7"/>
  <c r="F388" i="7"/>
  <c r="H388" i="7"/>
  <c r="L388" i="7"/>
  <c r="N388" i="7"/>
  <c r="Q388" i="7"/>
  <c r="E388" i="7"/>
  <c r="A388" i="7"/>
  <c r="G386" i="7"/>
  <c r="E386" i="7"/>
  <c r="C386" i="7"/>
  <c r="A386" i="7"/>
  <c r="G384" i="7"/>
  <c r="E384" i="7"/>
  <c r="C384" i="7"/>
  <c r="A384" i="7"/>
  <c r="G382" i="7"/>
  <c r="E382" i="7"/>
  <c r="C382" i="7"/>
  <c r="A382" i="7"/>
  <c r="B378" i="7"/>
  <c r="D378" i="7"/>
  <c r="F378" i="7"/>
  <c r="H378" i="7"/>
  <c r="L378" i="7"/>
  <c r="N378" i="7"/>
  <c r="Q378" i="7"/>
  <c r="E378" i="7"/>
  <c r="A378" i="7"/>
  <c r="B374" i="7"/>
  <c r="D374" i="7"/>
  <c r="F374" i="7"/>
  <c r="H374" i="7"/>
  <c r="L374" i="7"/>
  <c r="N374" i="7"/>
  <c r="Q374" i="7"/>
  <c r="E374" i="7"/>
  <c r="A374" i="7"/>
  <c r="B370" i="7"/>
  <c r="D370" i="7"/>
  <c r="F370" i="7"/>
  <c r="H370" i="7"/>
  <c r="L370" i="7"/>
  <c r="N370" i="7"/>
  <c r="Q370" i="7"/>
  <c r="E370" i="7"/>
  <c r="A370" i="7"/>
  <c r="B366" i="7"/>
  <c r="D366" i="7"/>
  <c r="F366" i="7"/>
  <c r="H366" i="7"/>
  <c r="L366" i="7"/>
  <c r="N366" i="7"/>
  <c r="Q366" i="7"/>
  <c r="E366" i="7"/>
  <c r="A366" i="7"/>
  <c r="B362" i="7"/>
  <c r="D362" i="7"/>
  <c r="F362" i="7"/>
  <c r="H362" i="7"/>
  <c r="L362" i="7"/>
  <c r="N362" i="7"/>
  <c r="Q362" i="7"/>
  <c r="E362" i="7"/>
  <c r="A362" i="7"/>
  <c r="B358" i="7"/>
  <c r="D358" i="7"/>
  <c r="F358" i="7"/>
  <c r="H358" i="7"/>
  <c r="L358" i="7"/>
  <c r="N358" i="7"/>
  <c r="Q358" i="7"/>
  <c r="E358" i="7"/>
  <c r="A358" i="7"/>
  <c r="B354" i="7"/>
  <c r="D354" i="7"/>
  <c r="F354" i="7"/>
  <c r="H354" i="7"/>
  <c r="L354" i="7"/>
  <c r="N354" i="7"/>
  <c r="Q354" i="7"/>
  <c r="E354" i="7"/>
  <c r="A354" i="7"/>
  <c r="B350" i="7"/>
  <c r="D350" i="7"/>
  <c r="F350" i="7"/>
  <c r="H350" i="7"/>
  <c r="L350" i="7"/>
  <c r="N350" i="7"/>
  <c r="Q350" i="7"/>
  <c r="E350" i="7"/>
  <c r="A350" i="7"/>
  <c r="B346" i="7"/>
  <c r="D346" i="7"/>
  <c r="F346" i="7"/>
  <c r="H346" i="7"/>
  <c r="L346" i="7"/>
  <c r="N346" i="7"/>
  <c r="Q346" i="7"/>
  <c r="E346" i="7"/>
  <c r="A346" i="7"/>
  <c r="B342" i="7"/>
  <c r="D342" i="7"/>
  <c r="F342" i="7"/>
  <c r="H342" i="7"/>
  <c r="L342" i="7"/>
  <c r="N342" i="7"/>
  <c r="Q342" i="7"/>
  <c r="E342" i="7"/>
  <c r="A342" i="7"/>
  <c r="M340" i="7"/>
  <c r="G340" i="7"/>
  <c r="B338" i="7"/>
  <c r="D338" i="7"/>
  <c r="F338" i="7"/>
  <c r="H338" i="7"/>
  <c r="L338" i="7"/>
  <c r="N338" i="7"/>
  <c r="Q338" i="7"/>
  <c r="E338" i="7"/>
  <c r="A338" i="7"/>
  <c r="R336" i="7"/>
  <c r="M336" i="7"/>
  <c r="G336" i="7"/>
  <c r="A334" i="7"/>
  <c r="C334" i="7"/>
  <c r="B334" i="7"/>
  <c r="D334" i="7"/>
  <c r="F334" i="7"/>
  <c r="H334" i="7"/>
  <c r="L334" i="7"/>
  <c r="N334" i="7"/>
  <c r="Q334" i="7"/>
  <c r="E334" i="7"/>
  <c r="G429" i="7"/>
  <c r="E429" i="7"/>
  <c r="C429" i="7"/>
  <c r="G427" i="7"/>
  <c r="E427" i="7"/>
  <c r="C427" i="7"/>
  <c r="G425" i="7"/>
  <c r="E425" i="7"/>
  <c r="C425" i="7"/>
  <c r="G423" i="7"/>
  <c r="E423" i="7"/>
  <c r="C423" i="7"/>
  <c r="G421" i="7"/>
  <c r="E421" i="7"/>
  <c r="C421" i="7"/>
  <c r="G419" i="7"/>
  <c r="E419" i="7"/>
  <c r="C419" i="7"/>
  <c r="G417" i="7"/>
  <c r="E417" i="7"/>
  <c r="C417" i="7"/>
  <c r="G415" i="7"/>
  <c r="E415" i="7"/>
  <c r="C415" i="7"/>
  <c r="G413" i="7"/>
  <c r="E413" i="7"/>
  <c r="C413" i="7"/>
  <c r="G411" i="7"/>
  <c r="E411" i="7"/>
  <c r="C411" i="7"/>
  <c r="G409" i="7"/>
  <c r="E409" i="7"/>
  <c r="C409" i="7"/>
  <c r="G407" i="7"/>
  <c r="E407" i="7"/>
  <c r="C407" i="7"/>
  <c r="G405" i="7"/>
  <c r="E405" i="7"/>
  <c r="C405" i="7"/>
  <c r="G403" i="7"/>
  <c r="E403" i="7"/>
  <c r="C403" i="7"/>
  <c r="G401" i="7"/>
  <c r="E401" i="7"/>
  <c r="C401" i="7"/>
  <c r="G399" i="7"/>
  <c r="E399" i="7"/>
  <c r="C399" i="7"/>
  <c r="G397" i="7"/>
  <c r="E397" i="7"/>
  <c r="C397" i="7"/>
  <c r="G395" i="7"/>
  <c r="E395" i="7"/>
  <c r="C395" i="7"/>
  <c r="G393" i="7"/>
  <c r="E393" i="7"/>
  <c r="C393" i="7"/>
  <c r="G391" i="7"/>
  <c r="E391" i="7"/>
  <c r="C391" i="7"/>
  <c r="G389" i="7"/>
  <c r="E389" i="7"/>
  <c r="C389" i="7"/>
  <c r="G387" i="7"/>
  <c r="E387" i="7"/>
  <c r="C387" i="7"/>
  <c r="Q386" i="7"/>
  <c r="N386" i="7"/>
  <c r="L386" i="7"/>
  <c r="H386" i="7"/>
  <c r="F386" i="7"/>
  <c r="D386" i="7"/>
  <c r="G385" i="7"/>
  <c r="E385" i="7"/>
  <c r="C385" i="7"/>
  <c r="Q384" i="7"/>
  <c r="N384" i="7"/>
  <c r="L384" i="7"/>
  <c r="H384" i="7"/>
  <c r="F384" i="7"/>
  <c r="D384" i="7"/>
  <c r="G383" i="7"/>
  <c r="E383" i="7"/>
  <c r="C383" i="7"/>
  <c r="Q382" i="7"/>
  <c r="N382" i="7"/>
  <c r="L382" i="7"/>
  <c r="H382" i="7"/>
  <c r="F382" i="7"/>
  <c r="D382" i="7"/>
  <c r="B380" i="7"/>
  <c r="D380" i="7"/>
  <c r="F380" i="7"/>
  <c r="H380" i="7"/>
  <c r="L380" i="7"/>
  <c r="N380" i="7"/>
  <c r="Q380" i="7"/>
  <c r="E380" i="7"/>
  <c r="A380" i="7"/>
  <c r="R378" i="7"/>
  <c r="M378" i="7"/>
  <c r="G378" i="7"/>
  <c r="C378" i="7"/>
  <c r="B376" i="7"/>
  <c r="D376" i="7"/>
  <c r="F376" i="7"/>
  <c r="H376" i="7"/>
  <c r="L376" i="7"/>
  <c r="N376" i="7"/>
  <c r="Q376" i="7"/>
  <c r="E376" i="7"/>
  <c r="A376" i="7"/>
  <c r="R374" i="7"/>
  <c r="M374" i="7"/>
  <c r="G374" i="7"/>
  <c r="C374" i="7"/>
  <c r="B372" i="7"/>
  <c r="D372" i="7"/>
  <c r="F372" i="7"/>
  <c r="H372" i="7"/>
  <c r="L372" i="7"/>
  <c r="N372" i="7"/>
  <c r="Q372" i="7"/>
  <c r="E372" i="7"/>
  <c r="A372" i="7"/>
  <c r="R370" i="7"/>
  <c r="M370" i="7"/>
  <c r="G370" i="7"/>
  <c r="C370" i="7"/>
  <c r="B368" i="7"/>
  <c r="D368" i="7"/>
  <c r="F368" i="7"/>
  <c r="H368" i="7"/>
  <c r="L368" i="7"/>
  <c r="N368" i="7"/>
  <c r="Q368" i="7"/>
  <c r="E368" i="7"/>
  <c r="A368" i="7"/>
  <c r="R366" i="7"/>
  <c r="M366" i="7"/>
  <c r="G366" i="7"/>
  <c r="C366" i="7"/>
  <c r="B364" i="7"/>
  <c r="D364" i="7"/>
  <c r="F364" i="7"/>
  <c r="H364" i="7"/>
  <c r="L364" i="7"/>
  <c r="N364" i="7"/>
  <c r="Q364" i="7"/>
  <c r="E364" i="7"/>
  <c r="A364" i="7"/>
  <c r="R362" i="7"/>
  <c r="M362" i="7"/>
  <c r="G362" i="7"/>
  <c r="C362" i="7"/>
  <c r="B360" i="7"/>
  <c r="D360" i="7"/>
  <c r="F360" i="7"/>
  <c r="H360" i="7"/>
  <c r="L360" i="7"/>
  <c r="N360" i="7"/>
  <c r="Q360" i="7"/>
  <c r="E360" i="7"/>
  <c r="A360" i="7"/>
  <c r="R358" i="7"/>
  <c r="M358" i="7"/>
  <c r="G358" i="7"/>
  <c r="C358" i="7"/>
  <c r="B356" i="7"/>
  <c r="D356" i="7"/>
  <c r="F356" i="7"/>
  <c r="H356" i="7"/>
  <c r="L356" i="7"/>
  <c r="N356" i="7"/>
  <c r="Q356" i="7"/>
  <c r="E356" i="7"/>
  <c r="A356" i="7"/>
  <c r="R354" i="7"/>
  <c r="M354" i="7"/>
  <c r="G354" i="7"/>
  <c r="C354" i="7"/>
  <c r="B352" i="7"/>
  <c r="D352" i="7"/>
  <c r="F352" i="7"/>
  <c r="H352" i="7"/>
  <c r="L352" i="7"/>
  <c r="N352" i="7"/>
  <c r="Q352" i="7"/>
  <c r="E352" i="7"/>
  <c r="A352" i="7"/>
  <c r="R350" i="7"/>
  <c r="M350" i="7"/>
  <c r="G350" i="7"/>
  <c r="C350" i="7"/>
  <c r="B348" i="7"/>
  <c r="D348" i="7"/>
  <c r="F348" i="7"/>
  <c r="H348" i="7"/>
  <c r="L348" i="7"/>
  <c r="N348" i="7"/>
  <c r="Q348" i="7"/>
  <c r="E348" i="7"/>
  <c r="A348" i="7"/>
  <c r="R346" i="7"/>
  <c r="M346" i="7"/>
  <c r="G346" i="7"/>
  <c r="C346" i="7"/>
  <c r="B344" i="7"/>
  <c r="D344" i="7"/>
  <c r="F344" i="7"/>
  <c r="H344" i="7"/>
  <c r="L344" i="7"/>
  <c r="N344" i="7"/>
  <c r="Q344" i="7"/>
  <c r="E344" i="7"/>
  <c r="A344" i="7"/>
  <c r="R342" i="7"/>
  <c r="M342" i="7"/>
  <c r="G342" i="7"/>
  <c r="C342" i="7"/>
  <c r="B340" i="7"/>
  <c r="D340" i="7"/>
  <c r="F340" i="7"/>
  <c r="H340" i="7"/>
  <c r="L340" i="7"/>
  <c r="N340" i="7"/>
  <c r="Q340" i="7"/>
  <c r="E340" i="7"/>
  <c r="A340" i="7"/>
  <c r="B336" i="7"/>
  <c r="D336" i="7"/>
  <c r="F336" i="7"/>
  <c r="H336" i="7"/>
  <c r="L336" i="7"/>
  <c r="N336" i="7"/>
  <c r="Q336" i="7"/>
  <c r="E336" i="7"/>
  <c r="A336" i="7"/>
  <c r="G381" i="7"/>
  <c r="E381" i="7"/>
  <c r="C381" i="7"/>
  <c r="G379" i="7"/>
  <c r="E379" i="7"/>
  <c r="C379" i="7"/>
  <c r="G377" i="7"/>
  <c r="E377" i="7"/>
  <c r="C377" i="7"/>
  <c r="G375" i="7"/>
  <c r="E375" i="7"/>
  <c r="C375" i="7"/>
  <c r="G373" i="7"/>
  <c r="E373" i="7"/>
  <c r="C373" i="7"/>
  <c r="G371" i="7"/>
  <c r="E371" i="7"/>
  <c r="C371" i="7"/>
  <c r="G369" i="7"/>
  <c r="E369" i="7"/>
  <c r="C369" i="7"/>
  <c r="G367" i="7"/>
  <c r="E367" i="7"/>
  <c r="C367" i="7"/>
  <c r="G365" i="7"/>
  <c r="E365" i="7"/>
  <c r="C365" i="7"/>
  <c r="G363" i="7"/>
  <c r="E363" i="7"/>
  <c r="C363" i="7"/>
  <c r="G361" i="7"/>
  <c r="E361" i="7"/>
  <c r="C361" i="7"/>
  <c r="G359" i="7"/>
  <c r="E359" i="7"/>
  <c r="C359" i="7"/>
  <c r="G357" i="7"/>
  <c r="E357" i="7"/>
  <c r="C357" i="7"/>
  <c r="G355" i="7"/>
  <c r="E355" i="7"/>
  <c r="C355" i="7"/>
  <c r="G353" i="7"/>
  <c r="E353" i="7"/>
  <c r="C353" i="7"/>
  <c r="G351" i="7"/>
  <c r="E351" i="7"/>
  <c r="C351" i="7"/>
  <c r="G349" i="7"/>
  <c r="E349" i="7"/>
  <c r="C349" i="7"/>
  <c r="G347" i="7"/>
  <c r="E347" i="7"/>
  <c r="C347" i="7"/>
  <c r="G345" i="7"/>
  <c r="E345" i="7"/>
  <c r="C345" i="7"/>
  <c r="G343" i="7"/>
  <c r="E343" i="7"/>
  <c r="C343" i="7"/>
  <c r="G341" i="7"/>
  <c r="E341" i="7"/>
  <c r="C341" i="7"/>
  <c r="G339" i="7"/>
  <c r="E339" i="7"/>
  <c r="C339" i="7"/>
  <c r="G337" i="7"/>
  <c r="E337" i="7"/>
  <c r="C337" i="7"/>
  <c r="G335" i="7"/>
  <c r="E335" i="7"/>
  <c r="C335" i="7"/>
  <c r="G333" i="7"/>
  <c r="E333" i="7"/>
  <c r="C333" i="7"/>
  <c r="Q332" i="7"/>
  <c r="N332" i="7"/>
  <c r="L332" i="7"/>
  <c r="H332" i="7"/>
  <c r="F332" i="7"/>
  <c r="D332" i="7"/>
  <c r="B332" i="7"/>
  <c r="G331" i="7"/>
  <c r="E331" i="7"/>
  <c r="C331" i="7"/>
  <c r="Q330" i="7"/>
  <c r="N330" i="7"/>
  <c r="L330" i="7"/>
  <c r="H330" i="7"/>
  <c r="F330" i="7"/>
  <c r="D330" i="7"/>
  <c r="B330" i="7"/>
  <c r="G329" i="7"/>
  <c r="E329" i="7"/>
  <c r="C329" i="7"/>
  <c r="Q328" i="7"/>
  <c r="N328" i="7"/>
  <c r="L328" i="7"/>
  <c r="H328" i="7"/>
  <c r="F328" i="7"/>
  <c r="D328" i="7"/>
  <c r="B328" i="7"/>
  <c r="G327" i="7"/>
  <c r="E327" i="7"/>
  <c r="C327" i="7"/>
  <c r="Q326" i="7"/>
  <c r="N326" i="7"/>
  <c r="L326" i="7"/>
  <c r="H326" i="7"/>
  <c r="F326" i="7"/>
  <c r="D326" i="7"/>
  <c r="B326" i="7"/>
  <c r="G325" i="7"/>
  <c r="E325" i="7"/>
  <c r="C325" i="7"/>
  <c r="Q324" i="7"/>
  <c r="N324" i="7"/>
  <c r="L324" i="7"/>
  <c r="H324" i="7"/>
  <c r="F324" i="7"/>
  <c r="D324" i="7"/>
  <c r="B324" i="7"/>
  <c r="G323" i="7"/>
  <c r="E323" i="7"/>
  <c r="C323" i="7"/>
  <c r="Q322" i="7"/>
  <c r="N322" i="7"/>
  <c r="L322" i="7"/>
  <c r="H322" i="7"/>
  <c r="F322" i="7"/>
  <c r="D322" i="7"/>
  <c r="B322" i="7"/>
  <c r="G321" i="7"/>
  <c r="E321" i="7"/>
  <c r="C321" i="7"/>
  <c r="Q320" i="7"/>
  <c r="N320" i="7"/>
  <c r="L320" i="7"/>
  <c r="H320" i="7"/>
  <c r="F320" i="7"/>
  <c r="D320" i="7"/>
  <c r="B320" i="7"/>
  <c r="G319" i="7"/>
  <c r="E319" i="7"/>
  <c r="C319" i="7"/>
  <c r="Q318" i="7"/>
  <c r="N318" i="7"/>
  <c r="L318" i="7"/>
  <c r="H318" i="7"/>
  <c r="F318" i="7"/>
  <c r="D318" i="7"/>
  <c r="B318" i="7"/>
  <c r="G317" i="7"/>
  <c r="E317" i="7"/>
  <c r="C317" i="7"/>
  <c r="Q316" i="7"/>
  <c r="N316" i="7"/>
  <c r="L316" i="7"/>
  <c r="H316" i="7"/>
  <c r="F316" i="7"/>
  <c r="D316" i="7"/>
  <c r="B316" i="7"/>
  <c r="G315" i="7"/>
  <c r="E315" i="7"/>
  <c r="C315" i="7"/>
  <c r="Q314" i="7"/>
  <c r="N314" i="7"/>
  <c r="L314" i="7"/>
  <c r="H314" i="7"/>
  <c r="F314" i="7"/>
  <c r="D314" i="7"/>
  <c r="B314" i="7"/>
  <c r="G313" i="7"/>
  <c r="E313" i="7"/>
  <c r="C313" i="7"/>
  <c r="Q312" i="7"/>
  <c r="N312" i="7"/>
  <c r="L312" i="7"/>
  <c r="H312" i="7"/>
  <c r="F312" i="7"/>
  <c r="D312" i="7"/>
  <c r="B312" i="7"/>
  <c r="G311" i="7"/>
  <c r="E311" i="7"/>
  <c r="C311" i="7"/>
  <c r="Q310" i="7"/>
  <c r="N310" i="7"/>
  <c r="L310" i="7"/>
  <c r="H310" i="7"/>
  <c r="F310" i="7"/>
  <c r="D310" i="7"/>
  <c r="B310" i="7"/>
  <c r="G309" i="7"/>
  <c r="E309" i="7"/>
  <c r="C309" i="7"/>
  <c r="Q308" i="7"/>
  <c r="N308" i="7"/>
  <c r="L308" i="7"/>
  <c r="H308" i="7"/>
  <c r="F308" i="7"/>
  <c r="D308" i="7"/>
  <c r="B308" i="7"/>
  <c r="G307" i="7"/>
  <c r="E307" i="7"/>
  <c r="C307" i="7"/>
  <c r="Q306" i="7"/>
  <c r="N306" i="7"/>
  <c r="L306" i="7"/>
  <c r="H306" i="7"/>
  <c r="F306" i="7"/>
  <c r="D306" i="7"/>
  <c r="B306" i="7"/>
  <c r="G305" i="7"/>
  <c r="E305" i="7"/>
  <c r="C305" i="7"/>
  <c r="Q304" i="7"/>
  <c r="N304" i="7"/>
  <c r="L304" i="7"/>
  <c r="H304" i="7"/>
  <c r="F304" i="7"/>
  <c r="D304" i="7"/>
  <c r="B304" i="7"/>
  <c r="G303" i="7"/>
  <c r="E303" i="7"/>
  <c r="C303" i="7"/>
  <c r="Q302" i="7"/>
  <c r="N302" i="7"/>
  <c r="L302" i="7"/>
  <c r="H302" i="7"/>
  <c r="F302" i="7"/>
  <c r="D302" i="7"/>
  <c r="B302" i="7"/>
  <c r="G301" i="7"/>
  <c r="E301" i="7"/>
  <c r="C301" i="7"/>
  <c r="Q300" i="7"/>
  <c r="N300" i="7"/>
  <c r="L300" i="7"/>
  <c r="H300" i="7"/>
  <c r="F300" i="7"/>
  <c r="D300" i="7"/>
  <c r="B300" i="7"/>
  <c r="G299" i="7"/>
  <c r="E299" i="7"/>
  <c r="C299" i="7"/>
  <c r="Q298" i="7"/>
  <c r="N298" i="7"/>
  <c r="L298" i="7"/>
  <c r="H298" i="7"/>
  <c r="F298" i="7"/>
  <c r="D298" i="7"/>
  <c r="B298" i="7"/>
  <c r="G297" i="7"/>
  <c r="E297" i="7"/>
  <c r="C297" i="7"/>
  <c r="Q296" i="7"/>
  <c r="N296" i="7"/>
  <c r="L296" i="7"/>
  <c r="H296" i="7"/>
  <c r="F296" i="7"/>
  <c r="D296" i="7"/>
  <c r="B296" i="7"/>
  <c r="G295" i="7"/>
  <c r="E295" i="7"/>
  <c r="C295" i="7"/>
  <c r="Q294" i="7"/>
  <c r="N294" i="7"/>
  <c r="L294" i="7"/>
  <c r="H294" i="7"/>
  <c r="F294" i="7"/>
  <c r="D294" i="7"/>
  <c r="B294" i="7"/>
  <c r="G293" i="7"/>
  <c r="E293" i="7"/>
  <c r="C293" i="7"/>
  <c r="Q292" i="7"/>
  <c r="N292" i="7"/>
  <c r="L292" i="7"/>
  <c r="H292" i="7"/>
  <c r="F292" i="7"/>
  <c r="D292" i="7"/>
  <c r="B292" i="7"/>
  <c r="G291" i="7"/>
  <c r="E291" i="7"/>
  <c r="C291" i="7"/>
  <c r="Q290" i="7"/>
  <c r="N290" i="7"/>
  <c r="L290" i="7"/>
  <c r="H290" i="7"/>
  <c r="F290" i="7"/>
  <c r="D290" i="7"/>
  <c r="B290" i="7"/>
  <c r="G289" i="7"/>
  <c r="E289" i="7"/>
  <c r="C289" i="7"/>
  <c r="Q288" i="7"/>
  <c r="N288" i="7"/>
  <c r="L288" i="7"/>
  <c r="H288" i="7"/>
  <c r="F288" i="7"/>
  <c r="D288" i="7"/>
  <c r="B288" i="7"/>
  <c r="G287" i="7"/>
  <c r="E287" i="7"/>
  <c r="C287" i="7"/>
  <c r="Q286" i="7"/>
  <c r="N286" i="7"/>
  <c r="L286" i="7"/>
  <c r="H286" i="7"/>
  <c r="F286" i="7"/>
  <c r="D286" i="7"/>
  <c r="B286" i="7"/>
  <c r="G285" i="7"/>
  <c r="E285" i="7"/>
  <c r="C285" i="7"/>
  <c r="Q284" i="7"/>
  <c r="N284" i="7"/>
  <c r="L284" i="7"/>
  <c r="H284" i="7"/>
  <c r="F284" i="7"/>
  <c r="D284" i="7"/>
  <c r="B284" i="7"/>
  <c r="G283" i="7"/>
  <c r="E283" i="7"/>
  <c r="C283" i="7"/>
  <c r="Q282" i="7"/>
  <c r="N282" i="7"/>
  <c r="L282" i="7"/>
  <c r="H282" i="7"/>
  <c r="F282" i="7"/>
  <c r="D282" i="7"/>
  <c r="B282" i="7"/>
  <c r="G281" i="7"/>
  <c r="E281" i="7"/>
  <c r="C281" i="7"/>
  <c r="Q280" i="7"/>
  <c r="N280" i="7"/>
  <c r="L280" i="7"/>
  <c r="H280" i="7"/>
  <c r="F280" i="7"/>
  <c r="D280" i="7"/>
  <c r="B280" i="7"/>
  <c r="G279" i="7"/>
  <c r="E279" i="7"/>
  <c r="C279" i="7"/>
  <c r="Q278" i="7"/>
  <c r="N278" i="7"/>
  <c r="L278" i="7"/>
  <c r="H278" i="7"/>
  <c r="F278" i="7"/>
  <c r="D278" i="7"/>
  <c r="B278" i="7"/>
  <c r="G277" i="7"/>
  <c r="E277" i="7"/>
  <c r="C277" i="7"/>
  <c r="Q276" i="7"/>
  <c r="N276" i="7"/>
  <c r="L276" i="7"/>
  <c r="H276" i="7"/>
  <c r="F276" i="7"/>
  <c r="D276" i="7"/>
  <c r="B276" i="7"/>
  <c r="G275" i="7"/>
  <c r="E275" i="7"/>
  <c r="C275" i="7"/>
  <c r="Q274" i="7"/>
  <c r="N274" i="7"/>
  <c r="L274" i="7"/>
  <c r="H274" i="7"/>
  <c r="F274" i="7"/>
  <c r="D274" i="7"/>
  <c r="B274" i="7"/>
  <c r="G273" i="7"/>
  <c r="E273" i="7"/>
  <c r="C273" i="7"/>
  <c r="Q272" i="7"/>
  <c r="N272" i="7"/>
  <c r="L272" i="7"/>
  <c r="H272" i="7"/>
  <c r="F272" i="7"/>
  <c r="D272" i="7"/>
  <c r="B272" i="7"/>
  <c r="G271" i="7"/>
  <c r="E271" i="7"/>
  <c r="C271" i="7"/>
  <c r="Q270" i="7"/>
  <c r="N270" i="7"/>
  <c r="L270" i="7"/>
  <c r="H270" i="7"/>
  <c r="F270" i="7"/>
  <c r="D270" i="7"/>
  <c r="B270" i="7"/>
  <c r="G269" i="7"/>
  <c r="E269" i="7"/>
  <c r="C269" i="7"/>
  <c r="Q268" i="7"/>
  <c r="N268" i="7"/>
  <c r="L268" i="7"/>
  <c r="H268" i="7"/>
  <c r="F268" i="7"/>
  <c r="D268" i="7"/>
  <c r="B268" i="7"/>
  <c r="G267" i="7"/>
  <c r="E267" i="7"/>
  <c r="C267" i="7"/>
  <c r="Q266" i="7"/>
  <c r="N266" i="7"/>
  <c r="L266" i="7"/>
  <c r="H266" i="7"/>
  <c r="F266" i="7"/>
  <c r="D266" i="7"/>
  <c r="B266" i="7"/>
  <c r="G265" i="7"/>
  <c r="E265" i="7"/>
  <c r="C265" i="7"/>
  <c r="Q264" i="7"/>
  <c r="N264" i="7"/>
  <c r="L264" i="7"/>
  <c r="H264" i="7"/>
  <c r="F264" i="7"/>
  <c r="D264" i="7"/>
  <c r="B264" i="7"/>
  <c r="G263" i="7"/>
  <c r="E263" i="7"/>
  <c r="C263" i="7"/>
  <c r="Q262" i="7"/>
  <c r="M262" i="7"/>
  <c r="G262" i="7"/>
  <c r="B260" i="7"/>
  <c r="D260" i="7"/>
  <c r="F260" i="7"/>
  <c r="H260" i="7"/>
  <c r="L260" i="7"/>
  <c r="N260" i="7"/>
  <c r="Q260" i="7"/>
  <c r="E260" i="7"/>
  <c r="A260" i="7"/>
  <c r="R258" i="7"/>
  <c r="M258" i="7"/>
  <c r="G258" i="7"/>
  <c r="B256" i="7"/>
  <c r="D256" i="7"/>
  <c r="F256" i="7"/>
  <c r="H256" i="7"/>
  <c r="L256" i="7"/>
  <c r="N256" i="7"/>
  <c r="Q256" i="7"/>
  <c r="E256" i="7"/>
  <c r="A256" i="7"/>
  <c r="R254" i="7"/>
  <c r="M254" i="7"/>
  <c r="G254" i="7"/>
  <c r="B252" i="7"/>
  <c r="D252" i="7"/>
  <c r="F252" i="7"/>
  <c r="H252" i="7"/>
  <c r="L252" i="7"/>
  <c r="N252" i="7"/>
  <c r="Q252" i="7"/>
  <c r="E252" i="7"/>
  <c r="A252" i="7"/>
  <c r="R250" i="7"/>
  <c r="M250" i="7"/>
  <c r="G250" i="7"/>
  <c r="B248" i="7"/>
  <c r="D248" i="7"/>
  <c r="F248" i="7"/>
  <c r="H248" i="7"/>
  <c r="L248" i="7"/>
  <c r="N248" i="7"/>
  <c r="Q248" i="7"/>
  <c r="E248" i="7"/>
  <c r="A248" i="7"/>
  <c r="R246" i="7"/>
  <c r="M246" i="7"/>
  <c r="G246" i="7"/>
  <c r="B244" i="7"/>
  <c r="D244" i="7"/>
  <c r="F244" i="7"/>
  <c r="H244" i="7"/>
  <c r="L244" i="7"/>
  <c r="N244" i="7"/>
  <c r="Q244" i="7"/>
  <c r="E244" i="7"/>
  <c r="A244" i="7"/>
  <c r="R242" i="7"/>
  <c r="M242" i="7"/>
  <c r="G242" i="7"/>
  <c r="B240" i="7"/>
  <c r="D240" i="7"/>
  <c r="F240" i="7"/>
  <c r="H240" i="7"/>
  <c r="L240" i="7"/>
  <c r="N240" i="7"/>
  <c r="Q240" i="7"/>
  <c r="E240" i="7"/>
  <c r="A240" i="7"/>
  <c r="R238" i="7"/>
  <c r="M238" i="7"/>
  <c r="G238" i="7"/>
  <c r="B236" i="7"/>
  <c r="D236" i="7"/>
  <c r="F236" i="7"/>
  <c r="H236" i="7"/>
  <c r="L236" i="7"/>
  <c r="N236" i="7"/>
  <c r="Q236" i="7"/>
  <c r="E236" i="7"/>
  <c r="A236" i="7"/>
  <c r="R234" i="7"/>
  <c r="M234" i="7"/>
  <c r="G234" i="7"/>
  <c r="B232" i="7"/>
  <c r="D232" i="7"/>
  <c r="F232" i="7"/>
  <c r="H232" i="7"/>
  <c r="L232" i="7"/>
  <c r="N232" i="7"/>
  <c r="Q232" i="7"/>
  <c r="E232" i="7"/>
  <c r="A232" i="7"/>
  <c r="R230" i="7"/>
  <c r="M230" i="7"/>
  <c r="G230" i="7"/>
  <c r="B228" i="7"/>
  <c r="D228" i="7"/>
  <c r="F228" i="7"/>
  <c r="H228" i="7"/>
  <c r="L228" i="7"/>
  <c r="N228" i="7"/>
  <c r="Q228" i="7"/>
  <c r="E228" i="7"/>
  <c r="A228" i="7"/>
  <c r="R226" i="7"/>
  <c r="M226" i="7"/>
  <c r="G226" i="7"/>
  <c r="B224" i="7"/>
  <c r="D224" i="7"/>
  <c r="F224" i="7"/>
  <c r="H224" i="7"/>
  <c r="L224" i="7"/>
  <c r="N224" i="7"/>
  <c r="Q224" i="7"/>
  <c r="E224" i="7"/>
  <c r="A224" i="7"/>
  <c r="R222" i="7"/>
  <c r="M222" i="7"/>
  <c r="G222" i="7"/>
  <c r="B220" i="7"/>
  <c r="D220" i="7"/>
  <c r="F220" i="7"/>
  <c r="H220" i="7"/>
  <c r="L220" i="7"/>
  <c r="N220" i="7"/>
  <c r="Q220" i="7"/>
  <c r="E220" i="7"/>
  <c r="A220" i="7"/>
  <c r="R218" i="7"/>
  <c r="M218" i="7"/>
  <c r="G218" i="7"/>
  <c r="G332" i="7"/>
  <c r="E332" i="7"/>
  <c r="C332" i="7"/>
  <c r="G330" i="7"/>
  <c r="E330" i="7"/>
  <c r="C330" i="7"/>
  <c r="G328" i="7"/>
  <c r="E328" i="7"/>
  <c r="C328" i="7"/>
  <c r="G326" i="7"/>
  <c r="E326" i="7"/>
  <c r="C326" i="7"/>
  <c r="G324" i="7"/>
  <c r="E324" i="7"/>
  <c r="C324" i="7"/>
  <c r="G322" i="7"/>
  <c r="E322" i="7"/>
  <c r="C322" i="7"/>
  <c r="G320" i="7"/>
  <c r="E320" i="7"/>
  <c r="C320" i="7"/>
  <c r="G318" i="7"/>
  <c r="E318" i="7"/>
  <c r="C318" i="7"/>
  <c r="G316" i="7"/>
  <c r="E316" i="7"/>
  <c r="C316" i="7"/>
  <c r="G314" i="7"/>
  <c r="E314" i="7"/>
  <c r="C314" i="7"/>
  <c r="G312" i="7"/>
  <c r="E312" i="7"/>
  <c r="C312" i="7"/>
  <c r="G310" i="7"/>
  <c r="E310" i="7"/>
  <c r="C310" i="7"/>
  <c r="G308" i="7"/>
  <c r="E308" i="7"/>
  <c r="C308" i="7"/>
  <c r="G306" i="7"/>
  <c r="E306" i="7"/>
  <c r="C306" i="7"/>
  <c r="G304" i="7"/>
  <c r="E304" i="7"/>
  <c r="C304" i="7"/>
  <c r="G302" i="7"/>
  <c r="E302" i="7"/>
  <c r="C302" i="7"/>
  <c r="G300" i="7"/>
  <c r="E300" i="7"/>
  <c r="C300" i="7"/>
  <c r="G298" i="7"/>
  <c r="E298" i="7"/>
  <c r="C298" i="7"/>
  <c r="G296" i="7"/>
  <c r="E296" i="7"/>
  <c r="C296" i="7"/>
  <c r="G294" i="7"/>
  <c r="E294" i="7"/>
  <c r="C294" i="7"/>
  <c r="G292" i="7"/>
  <c r="E292" i="7"/>
  <c r="C292" i="7"/>
  <c r="G290" i="7"/>
  <c r="E290" i="7"/>
  <c r="C290" i="7"/>
  <c r="G288" i="7"/>
  <c r="E288" i="7"/>
  <c r="C288" i="7"/>
  <c r="G286" i="7"/>
  <c r="E286" i="7"/>
  <c r="C286" i="7"/>
  <c r="G284" i="7"/>
  <c r="E284" i="7"/>
  <c r="C284" i="7"/>
  <c r="G282" i="7"/>
  <c r="E282" i="7"/>
  <c r="C282" i="7"/>
  <c r="G280" i="7"/>
  <c r="E280" i="7"/>
  <c r="C280" i="7"/>
  <c r="G278" i="7"/>
  <c r="E278" i="7"/>
  <c r="C278" i="7"/>
  <c r="G276" i="7"/>
  <c r="E276" i="7"/>
  <c r="C276" i="7"/>
  <c r="G274" i="7"/>
  <c r="E274" i="7"/>
  <c r="C274" i="7"/>
  <c r="G272" i="7"/>
  <c r="E272" i="7"/>
  <c r="C272" i="7"/>
  <c r="G270" i="7"/>
  <c r="E270" i="7"/>
  <c r="C270" i="7"/>
  <c r="G268" i="7"/>
  <c r="E268" i="7"/>
  <c r="C268" i="7"/>
  <c r="G266" i="7"/>
  <c r="E266" i="7"/>
  <c r="C266" i="7"/>
  <c r="G264" i="7"/>
  <c r="E264" i="7"/>
  <c r="C264" i="7"/>
  <c r="B262" i="7"/>
  <c r="D262" i="7"/>
  <c r="F262" i="7"/>
  <c r="H262" i="7"/>
  <c r="L262" i="7"/>
  <c r="N262" i="7"/>
  <c r="E262" i="7"/>
  <c r="A262" i="7"/>
  <c r="B258" i="7"/>
  <c r="D258" i="7"/>
  <c r="F258" i="7"/>
  <c r="H258" i="7"/>
  <c r="L258" i="7"/>
  <c r="N258" i="7"/>
  <c r="Q258" i="7"/>
  <c r="E258" i="7"/>
  <c r="A258" i="7"/>
  <c r="B254" i="7"/>
  <c r="D254" i="7"/>
  <c r="F254" i="7"/>
  <c r="H254" i="7"/>
  <c r="L254" i="7"/>
  <c r="N254" i="7"/>
  <c r="Q254" i="7"/>
  <c r="E254" i="7"/>
  <c r="A254" i="7"/>
  <c r="B250" i="7"/>
  <c r="D250" i="7"/>
  <c r="F250" i="7"/>
  <c r="H250" i="7"/>
  <c r="L250" i="7"/>
  <c r="N250" i="7"/>
  <c r="Q250" i="7"/>
  <c r="E250" i="7"/>
  <c r="A250" i="7"/>
  <c r="B246" i="7"/>
  <c r="D246" i="7"/>
  <c r="F246" i="7"/>
  <c r="H246" i="7"/>
  <c r="L246" i="7"/>
  <c r="N246" i="7"/>
  <c r="Q246" i="7"/>
  <c r="E246" i="7"/>
  <c r="A246" i="7"/>
  <c r="B242" i="7"/>
  <c r="D242" i="7"/>
  <c r="F242" i="7"/>
  <c r="H242" i="7"/>
  <c r="L242" i="7"/>
  <c r="N242" i="7"/>
  <c r="Q242" i="7"/>
  <c r="E242" i="7"/>
  <c r="A242" i="7"/>
  <c r="B238" i="7"/>
  <c r="D238" i="7"/>
  <c r="F238" i="7"/>
  <c r="H238" i="7"/>
  <c r="L238" i="7"/>
  <c r="N238" i="7"/>
  <c r="Q238" i="7"/>
  <c r="E238" i="7"/>
  <c r="A238" i="7"/>
  <c r="B234" i="7"/>
  <c r="D234" i="7"/>
  <c r="F234" i="7"/>
  <c r="H234" i="7"/>
  <c r="L234" i="7"/>
  <c r="N234" i="7"/>
  <c r="Q234" i="7"/>
  <c r="E234" i="7"/>
  <c r="A234" i="7"/>
  <c r="B230" i="7"/>
  <c r="D230" i="7"/>
  <c r="F230" i="7"/>
  <c r="H230" i="7"/>
  <c r="L230" i="7"/>
  <c r="N230" i="7"/>
  <c r="Q230" i="7"/>
  <c r="E230" i="7"/>
  <c r="A230" i="7"/>
  <c r="B226" i="7"/>
  <c r="D226" i="7"/>
  <c r="F226" i="7"/>
  <c r="H226" i="7"/>
  <c r="L226" i="7"/>
  <c r="N226" i="7"/>
  <c r="Q226" i="7"/>
  <c r="E226" i="7"/>
  <c r="A226" i="7"/>
  <c r="B222" i="7"/>
  <c r="D222" i="7"/>
  <c r="F222" i="7"/>
  <c r="H222" i="7"/>
  <c r="L222" i="7"/>
  <c r="N222" i="7"/>
  <c r="Q222" i="7"/>
  <c r="E222" i="7"/>
  <c r="A222" i="7"/>
  <c r="B218" i="7"/>
  <c r="D218" i="7"/>
  <c r="F218" i="7"/>
  <c r="H218" i="7"/>
  <c r="L218" i="7"/>
  <c r="N218" i="7"/>
  <c r="Q218" i="7"/>
  <c r="E218" i="7"/>
  <c r="A218" i="7"/>
  <c r="G261" i="7"/>
  <c r="E261" i="7"/>
  <c r="C261" i="7"/>
  <c r="G259" i="7"/>
  <c r="E259" i="7"/>
  <c r="C259" i="7"/>
  <c r="G257" i="7"/>
  <c r="E257" i="7"/>
  <c r="C257" i="7"/>
  <c r="G255" i="7"/>
  <c r="E255" i="7"/>
  <c r="C255" i="7"/>
  <c r="G253" i="7"/>
  <c r="E253" i="7"/>
  <c r="C253" i="7"/>
  <c r="G251" i="7"/>
  <c r="E251" i="7"/>
  <c r="C251" i="7"/>
  <c r="G249" i="7"/>
  <c r="E249" i="7"/>
  <c r="C249" i="7"/>
  <c r="G247" i="7"/>
  <c r="E247" i="7"/>
  <c r="C247" i="7"/>
  <c r="G245" i="7"/>
  <c r="E245" i="7"/>
  <c r="C245" i="7"/>
  <c r="G243" i="7"/>
  <c r="E243" i="7"/>
  <c r="C243" i="7"/>
  <c r="G241" i="7"/>
  <c r="E241" i="7"/>
  <c r="C241" i="7"/>
  <c r="G239" i="7"/>
  <c r="E239" i="7"/>
  <c r="C239" i="7"/>
  <c r="G237" i="7"/>
  <c r="E237" i="7"/>
  <c r="C237" i="7"/>
  <c r="G235" i="7"/>
  <c r="E235" i="7"/>
  <c r="C235" i="7"/>
  <c r="G233" i="7"/>
  <c r="E233" i="7"/>
  <c r="C233" i="7"/>
  <c r="G231" i="7"/>
  <c r="E231" i="7"/>
  <c r="C231" i="7"/>
  <c r="G229" i="7"/>
  <c r="E229" i="7"/>
  <c r="C229" i="7"/>
  <c r="G227" i="7"/>
  <c r="E227" i="7"/>
  <c r="C227" i="7"/>
  <c r="G225" i="7"/>
  <c r="E225" i="7"/>
  <c r="C225" i="7"/>
  <c r="G223" i="7"/>
  <c r="E223" i="7"/>
  <c r="C223" i="7"/>
  <c r="G221" i="7"/>
  <c r="E221" i="7"/>
  <c r="C221" i="7"/>
  <c r="G219" i="7"/>
  <c r="E219" i="7"/>
  <c r="C219" i="7"/>
  <c r="G217" i="7"/>
  <c r="E217" i="7"/>
  <c r="C217" i="7"/>
  <c r="Q216" i="7"/>
  <c r="N216" i="7"/>
  <c r="L216" i="7"/>
  <c r="H216" i="7"/>
  <c r="F216" i="7"/>
  <c r="D216" i="7"/>
  <c r="B216" i="7"/>
  <c r="G215" i="7"/>
  <c r="E215" i="7"/>
  <c r="C215" i="7"/>
  <c r="Q214" i="7"/>
  <c r="N214" i="7"/>
  <c r="L214" i="7"/>
  <c r="H214" i="7"/>
  <c r="F214" i="7"/>
  <c r="D214" i="7"/>
  <c r="B214" i="7"/>
  <c r="G213" i="7"/>
  <c r="E213" i="7"/>
  <c r="C213" i="7"/>
  <c r="Q212" i="7"/>
  <c r="N212" i="7"/>
  <c r="L212" i="7"/>
  <c r="H212" i="7"/>
  <c r="F212" i="7"/>
  <c r="D212" i="7"/>
  <c r="B212" i="7"/>
  <c r="G211" i="7"/>
  <c r="E211" i="7"/>
  <c r="C211" i="7"/>
  <c r="Q210" i="7"/>
  <c r="N210" i="7"/>
  <c r="L210" i="7"/>
  <c r="H210" i="7"/>
  <c r="F210" i="7"/>
  <c r="D210" i="7"/>
  <c r="B210" i="7"/>
  <c r="G209" i="7"/>
  <c r="E209" i="7"/>
  <c r="C209" i="7"/>
  <c r="Q208" i="7"/>
  <c r="N208" i="7"/>
  <c r="L208" i="7"/>
  <c r="H208" i="7"/>
  <c r="F208" i="7"/>
  <c r="D208" i="7"/>
  <c r="B208" i="7"/>
  <c r="G207" i="7"/>
  <c r="E207" i="7"/>
  <c r="C207" i="7"/>
  <c r="Q206" i="7"/>
  <c r="N206" i="7"/>
  <c r="L206" i="7"/>
  <c r="H206" i="7"/>
  <c r="F206" i="7"/>
  <c r="D206" i="7"/>
  <c r="B206" i="7"/>
  <c r="G205" i="7"/>
  <c r="E205" i="7"/>
  <c r="C205" i="7"/>
  <c r="Q204" i="7"/>
  <c r="N204" i="7"/>
  <c r="L204" i="7"/>
  <c r="H204" i="7"/>
  <c r="F204" i="7"/>
  <c r="D204" i="7"/>
  <c r="B204" i="7"/>
  <c r="G203" i="7"/>
  <c r="E203" i="7"/>
  <c r="C203" i="7"/>
  <c r="Q202" i="7"/>
  <c r="N202" i="7"/>
  <c r="L202" i="7"/>
  <c r="H202" i="7"/>
  <c r="F202" i="7"/>
  <c r="D202" i="7"/>
  <c r="B202" i="7"/>
  <c r="G201" i="7"/>
  <c r="E201" i="7"/>
  <c r="C201" i="7"/>
  <c r="Q200" i="7"/>
  <c r="N200" i="7"/>
  <c r="L200" i="7"/>
  <c r="H200" i="7"/>
  <c r="F200" i="7"/>
  <c r="D200" i="7"/>
  <c r="B200" i="7"/>
  <c r="G199" i="7"/>
  <c r="E199" i="7"/>
  <c r="C199" i="7"/>
  <c r="Q198" i="7"/>
  <c r="N198" i="7"/>
  <c r="L198" i="7"/>
  <c r="H198" i="7"/>
  <c r="F198" i="7"/>
  <c r="D198" i="7"/>
  <c r="B198" i="7"/>
  <c r="G197" i="7"/>
  <c r="E197" i="7"/>
  <c r="C197" i="7"/>
  <c r="Q196" i="7"/>
  <c r="N196" i="7"/>
  <c r="L196" i="7"/>
  <c r="H196" i="7"/>
  <c r="F196" i="7"/>
  <c r="D196" i="7"/>
  <c r="B196" i="7"/>
  <c r="G195" i="7"/>
  <c r="E195" i="7"/>
  <c r="C195" i="7"/>
  <c r="Q194" i="7"/>
  <c r="N194" i="7"/>
  <c r="L194" i="7"/>
  <c r="H194" i="7"/>
  <c r="F194" i="7"/>
  <c r="D194" i="7"/>
  <c r="B194" i="7"/>
  <c r="G193" i="7"/>
  <c r="E193" i="7"/>
  <c r="C193" i="7"/>
  <c r="Q192" i="7"/>
  <c r="N192" i="7"/>
  <c r="L192" i="7"/>
  <c r="H192" i="7"/>
  <c r="F192" i="7"/>
  <c r="D192" i="7"/>
  <c r="B192" i="7"/>
  <c r="G191" i="7"/>
  <c r="E191" i="7"/>
  <c r="C191" i="7"/>
  <c r="Q190" i="7"/>
  <c r="N190" i="7"/>
  <c r="L190" i="7"/>
  <c r="H190" i="7"/>
  <c r="F190" i="7"/>
  <c r="D190" i="7"/>
  <c r="B190" i="7"/>
  <c r="G189" i="7"/>
  <c r="E189" i="7"/>
  <c r="C189" i="7"/>
  <c r="Q188" i="7"/>
  <c r="N188" i="7"/>
  <c r="L188" i="7"/>
  <c r="H188" i="7"/>
  <c r="F188" i="7"/>
  <c r="D188" i="7"/>
  <c r="B188" i="7"/>
  <c r="G187" i="7"/>
  <c r="E187" i="7"/>
  <c r="C187" i="7"/>
  <c r="Q186" i="7"/>
  <c r="N186" i="7"/>
  <c r="L186" i="7"/>
  <c r="H186" i="7"/>
  <c r="F186" i="7"/>
  <c r="D186" i="7"/>
  <c r="B186" i="7"/>
  <c r="G185" i="7"/>
  <c r="E185" i="7"/>
  <c r="C185" i="7"/>
  <c r="Q184" i="7"/>
  <c r="N184" i="7"/>
  <c r="L184" i="7"/>
  <c r="H184" i="7"/>
  <c r="F184" i="7"/>
  <c r="D184" i="7"/>
  <c r="B184" i="7"/>
  <c r="G183" i="7"/>
  <c r="E183" i="7"/>
  <c r="C183" i="7"/>
  <c r="Q182" i="7"/>
  <c r="N182" i="7"/>
  <c r="L182" i="7"/>
  <c r="H182" i="7"/>
  <c r="F182" i="7"/>
  <c r="D182" i="7"/>
  <c r="B182" i="7"/>
  <c r="G181" i="7"/>
  <c r="E181" i="7"/>
  <c r="C181" i="7"/>
  <c r="Q180" i="7"/>
  <c r="N180" i="7"/>
  <c r="L180" i="7"/>
  <c r="H180" i="7"/>
  <c r="F180" i="7"/>
  <c r="D180" i="7"/>
  <c r="B180" i="7"/>
  <c r="G179" i="7"/>
  <c r="E179" i="7"/>
  <c r="C179" i="7"/>
  <c r="Q178" i="7"/>
  <c r="N178" i="7"/>
  <c r="L178" i="7"/>
  <c r="H178" i="7"/>
  <c r="F178" i="7"/>
  <c r="D178" i="7"/>
  <c r="B178" i="7"/>
  <c r="G177" i="7"/>
  <c r="E177" i="7"/>
  <c r="C177" i="7"/>
  <c r="Q176" i="7"/>
  <c r="N176" i="7"/>
  <c r="L176" i="7"/>
  <c r="H176" i="7"/>
  <c r="F176" i="7"/>
  <c r="D176" i="7"/>
  <c r="B176" i="7"/>
  <c r="G175" i="7"/>
  <c r="E175" i="7"/>
  <c r="C175" i="7"/>
  <c r="Q174" i="7"/>
  <c r="N174" i="7"/>
  <c r="L174" i="7"/>
  <c r="H174" i="7"/>
  <c r="F174" i="7"/>
  <c r="D174" i="7"/>
  <c r="B174" i="7"/>
  <c r="G173" i="7"/>
  <c r="E173" i="7"/>
  <c r="C173" i="7"/>
  <c r="Q172" i="7"/>
  <c r="N172" i="7"/>
  <c r="L172" i="7"/>
  <c r="H172" i="7"/>
  <c r="F172" i="7"/>
  <c r="D172" i="7"/>
  <c r="B172" i="7"/>
  <c r="G171" i="7"/>
  <c r="E171" i="7"/>
  <c r="C171" i="7"/>
  <c r="Q170" i="7"/>
  <c r="N170" i="7"/>
  <c r="L170" i="7"/>
  <c r="H170" i="7"/>
  <c r="F170" i="7"/>
  <c r="D170" i="7"/>
  <c r="B170" i="7"/>
  <c r="G169" i="7"/>
  <c r="E169" i="7"/>
  <c r="C169" i="7"/>
  <c r="Q168" i="7"/>
  <c r="N168" i="7"/>
  <c r="L168" i="7"/>
  <c r="H168" i="7"/>
  <c r="F168" i="7"/>
  <c r="D168" i="7"/>
  <c r="B168" i="7"/>
  <c r="G167" i="7"/>
  <c r="E167" i="7"/>
  <c r="C167" i="7"/>
  <c r="Q166" i="7"/>
  <c r="N166" i="7"/>
  <c r="L166" i="7"/>
  <c r="H166" i="7"/>
  <c r="F166" i="7"/>
  <c r="D166" i="7"/>
  <c r="B166" i="7"/>
  <c r="G165" i="7"/>
  <c r="E165" i="7"/>
  <c r="C165" i="7"/>
  <c r="Q164" i="7"/>
  <c r="N164" i="7"/>
  <c r="L164" i="7"/>
  <c r="H164" i="7"/>
  <c r="F164" i="7"/>
  <c r="D164" i="7"/>
  <c r="B164" i="7"/>
  <c r="G163" i="7"/>
  <c r="E163" i="7"/>
  <c r="C163" i="7"/>
  <c r="Q162" i="7"/>
  <c r="N162" i="7"/>
  <c r="L162" i="7"/>
  <c r="H162" i="7"/>
  <c r="F162" i="7"/>
  <c r="D162" i="7"/>
  <c r="B162" i="7"/>
  <c r="G161" i="7"/>
  <c r="E161" i="7"/>
  <c r="C161" i="7"/>
  <c r="Q160" i="7"/>
  <c r="N160" i="7"/>
  <c r="L160" i="7"/>
  <c r="H160" i="7"/>
  <c r="F160" i="7"/>
  <c r="D160" i="7"/>
  <c r="B160" i="7"/>
  <c r="G159" i="7"/>
  <c r="E159" i="7"/>
  <c r="C159" i="7"/>
  <c r="Q158" i="7"/>
  <c r="N158" i="7"/>
  <c r="L158" i="7"/>
  <c r="H158" i="7"/>
  <c r="F158" i="7"/>
  <c r="D158" i="7"/>
  <c r="B158" i="7"/>
  <c r="G157" i="7"/>
  <c r="E157" i="7"/>
  <c r="C157" i="7"/>
  <c r="Q156" i="7"/>
  <c r="N156" i="7"/>
  <c r="L156" i="7"/>
  <c r="H156" i="7"/>
  <c r="F156" i="7"/>
  <c r="D156" i="7"/>
  <c r="B156" i="7"/>
  <c r="G155" i="7"/>
  <c r="E155" i="7"/>
  <c r="C155" i="7"/>
  <c r="Q154" i="7"/>
  <c r="N154" i="7"/>
  <c r="L154" i="7"/>
  <c r="H154" i="7"/>
  <c r="F154" i="7"/>
  <c r="D154" i="7"/>
  <c r="B154" i="7"/>
  <c r="G153" i="7"/>
  <c r="E153" i="7"/>
  <c r="C153" i="7"/>
  <c r="Q152" i="7"/>
  <c r="N152" i="7"/>
  <c r="L152" i="7"/>
  <c r="H152" i="7"/>
  <c r="F152" i="7"/>
  <c r="D152" i="7"/>
  <c r="B152" i="7"/>
  <c r="G151" i="7"/>
  <c r="E151" i="7"/>
  <c r="C151" i="7"/>
  <c r="Q150" i="7"/>
  <c r="N150" i="7"/>
  <c r="L150" i="7"/>
  <c r="H150" i="7"/>
  <c r="F150" i="7"/>
  <c r="D150" i="7"/>
  <c r="B150" i="7"/>
  <c r="G149" i="7"/>
  <c r="E149" i="7"/>
  <c r="C149" i="7"/>
  <c r="Q148" i="7"/>
  <c r="N148" i="7"/>
  <c r="L148" i="7"/>
  <c r="H148" i="7"/>
  <c r="F148" i="7"/>
  <c r="D148" i="7"/>
  <c r="B148" i="7"/>
  <c r="G147" i="7"/>
  <c r="E147" i="7"/>
  <c r="C147" i="7"/>
  <c r="Q146" i="7"/>
  <c r="N146" i="7"/>
  <c r="L146" i="7"/>
  <c r="H146" i="7"/>
  <c r="F146" i="7"/>
  <c r="D146" i="7"/>
  <c r="B146" i="7"/>
  <c r="B145" i="7"/>
  <c r="D145" i="7"/>
  <c r="F145" i="7"/>
  <c r="G145" i="7"/>
  <c r="C145" i="7"/>
  <c r="B143" i="7"/>
  <c r="D143" i="7"/>
  <c r="F143" i="7"/>
  <c r="H143" i="7"/>
  <c r="L143" i="7"/>
  <c r="N143" i="7"/>
  <c r="Q143" i="7"/>
  <c r="E143" i="7"/>
  <c r="A143" i="7"/>
  <c r="R141" i="7"/>
  <c r="M141" i="7"/>
  <c r="G141" i="7"/>
  <c r="B139" i="7"/>
  <c r="D139" i="7"/>
  <c r="F139" i="7"/>
  <c r="H139" i="7"/>
  <c r="L139" i="7"/>
  <c r="N139" i="7"/>
  <c r="Q139" i="7"/>
  <c r="E139" i="7"/>
  <c r="A139" i="7"/>
  <c r="R137" i="7"/>
  <c r="M137" i="7"/>
  <c r="G137" i="7"/>
  <c r="B135" i="7"/>
  <c r="D135" i="7"/>
  <c r="F135" i="7"/>
  <c r="H135" i="7"/>
  <c r="L135" i="7"/>
  <c r="N135" i="7"/>
  <c r="Q135" i="7"/>
  <c r="E135" i="7"/>
  <c r="A135" i="7"/>
  <c r="R133" i="7"/>
  <c r="M133" i="7"/>
  <c r="G133" i="7"/>
  <c r="B131" i="7"/>
  <c r="D131" i="7"/>
  <c r="F131" i="7"/>
  <c r="H131" i="7"/>
  <c r="L131" i="7"/>
  <c r="N131" i="7"/>
  <c r="Q131" i="7"/>
  <c r="E131" i="7"/>
  <c r="A131" i="7"/>
  <c r="R129" i="7"/>
  <c r="M129" i="7"/>
  <c r="G129" i="7"/>
  <c r="B127" i="7"/>
  <c r="D127" i="7"/>
  <c r="F127" i="7"/>
  <c r="H127" i="7"/>
  <c r="L127" i="7"/>
  <c r="N127" i="7"/>
  <c r="Q127" i="7"/>
  <c r="E127" i="7"/>
  <c r="A127" i="7"/>
  <c r="R125" i="7"/>
  <c r="M125" i="7"/>
  <c r="G125" i="7"/>
  <c r="B123" i="7"/>
  <c r="D123" i="7"/>
  <c r="F123" i="7"/>
  <c r="H123" i="7"/>
  <c r="L123" i="7"/>
  <c r="N123" i="7"/>
  <c r="Q123" i="7"/>
  <c r="E123" i="7"/>
  <c r="A123" i="7"/>
  <c r="R121" i="7"/>
  <c r="G216" i="7"/>
  <c r="E216" i="7"/>
  <c r="C216" i="7"/>
  <c r="G214" i="7"/>
  <c r="E214" i="7"/>
  <c r="C214" i="7"/>
  <c r="G212" i="7"/>
  <c r="E212" i="7"/>
  <c r="C212" i="7"/>
  <c r="G210" i="7"/>
  <c r="E210" i="7"/>
  <c r="C210" i="7"/>
  <c r="G208" i="7"/>
  <c r="E208" i="7"/>
  <c r="C208" i="7"/>
  <c r="G206" i="7"/>
  <c r="E206" i="7"/>
  <c r="C206" i="7"/>
  <c r="G204" i="7"/>
  <c r="E204" i="7"/>
  <c r="C204" i="7"/>
  <c r="G202" i="7"/>
  <c r="E202" i="7"/>
  <c r="C202" i="7"/>
  <c r="G200" i="7"/>
  <c r="E200" i="7"/>
  <c r="C200" i="7"/>
  <c r="G198" i="7"/>
  <c r="E198" i="7"/>
  <c r="C198" i="7"/>
  <c r="G196" i="7"/>
  <c r="E196" i="7"/>
  <c r="C196" i="7"/>
  <c r="G194" i="7"/>
  <c r="E194" i="7"/>
  <c r="C194" i="7"/>
  <c r="G192" i="7"/>
  <c r="E192" i="7"/>
  <c r="C192" i="7"/>
  <c r="G190" i="7"/>
  <c r="E190" i="7"/>
  <c r="C190" i="7"/>
  <c r="G188" i="7"/>
  <c r="E188" i="7"/>
  <c r="C188" i="7"/>
  <c r="G186" i="7"/>
  <c r="E186" i="7"/>
  <c r="C186" i="7"/>
  <c r="G184" i="7"/>
  <c r="E184" i="7"/>
  <c r="C184" i="7"/>
  <c r="G182" i="7"/>
  <c r="E182" i="7"/>
  <c r="C182" i="7"/>
  <c r="G180" i="7"/>
  <c r="E180" i="7"/>
  <c r="C180" i="7"/>
  <c r="G178" i="7"/>
  <c r="E178" i="7"/>
  <c r="C178" i="7"/>
  <c r="G176" i="7"/>
  <c r="E176" i="7"/>
  <c r="C176" i="7"/>
  <c r="G174" i="7"/>
  <c r="E174" i="7"/>
  <c r="C174" i="7"/>
  <c r="G172" i="7"/>
  <c r="E172" i="7"/>
  <c r="C172" i="7"/>
  <c r="G170" i="7"/>
  <c r="E170" i="7"/>
  <c r="C170" i="7"/>
  <c r="G168" i="7"/>
  <c r="E168" i="7"/>
  <c r="C168" i="7"/>
  <c r="G166" i="7"/>
  <c r="E166" i="7"/>
  <c r="C166" i="7"/>
  <c r="G164" i="7"/>
  <c r="E164" i="7"/>
  <c r="C164" i="7"/>
  <c r="G162" i="7"/>
  <c r="E162" i="7"/>
  <c r="C162" i="7"/>
  <c r="G160" i="7"/>
  <c r="E160" i="7"/>
  <c r="C160" i="7"/>
  <c r="G158" i="7"/>
  <c r="E158" i="7"/>
  <c r="C158" i="7"/>
  <c r="G156" i="7"/>
  <c r="E156" i="7"/>
  <c r="C156" i="7"/>
  <c r="G154" i="7"/>
  <c r="E154" i="7"/>
  <c r="C154" i="7"/>
  <c r="G152" i="7"/>
  <c r="E152" i="7"/>
  <c r="C152" i="7"/>
  <c r="G150" i="7"/>
  <c r="E150" i="7"/>
  <c r="C150" i="7"/>
  <c r="G148" i="7"/>
  <c r="E148" i="7"/>
  <c r="C148" i="7"/>
  <c r="G146" i="7"/>
  <c r="E146" i="7"/>
  <c r="C146" i="7"/>
  <c r="B141" i="7"/>
  <c r="D141" i="7"/>
  <c r="F141" i="7"/>
  <c r="H141" i="7"/>
  <c r="L141" i="7"/>
  <c r="N141" i="7"/>
  <c r="Q141" i="7"/>
  <c r="E141" i="7"/>
  <c r="A141" i="7"/>
  <c r="B137" i="7"/>
  <c r="D137" i="7"/>
  <c r="F137" i="7"/>
  <c r="H137" i="7"/>
  <c r="L137" i="7"/>
  <c r="N137" i="7"/>
  <c r="Q137" i="7"/>
  <c r="E137" i="7"/>
  <c r="A137" i="7"/>
  <c r="B133" i="7"/>
  <c r="D133" i="7"/>
  <c r="F133" i="7"/>
  <c r="H133" i="7"/>
  <c r="L133" i="7"/>
  <c r="N133" i="7"/>
  <c r="Q133" i="7"/>
  <c r="E133" i="7"/>
  <c r="A133" i="7"/>
  <c r="B129" i="7"/>
  <c r="D129" i="7"/>
  <c r="F129" i="7"/>
  <c r="H129" i="7"/>
  <c r="L129" i="7"/>
  <c r="N129" i="7"/>
  <c r="Q129" i="7"/>
  <c r="E129" i="7"/>
  <c r="A129" i="7"/>
  <c r="B125" i="7"/>
  <c r="D125" i="7"/>
  <c r="F125" i="7"/>
  <c r="H125" i="7"/>
  <c r="L125" i="7"/>
  <c r="N125" i="7"/>
  <c r="Q125" i="7"/>
  <c r="E125" i="7"/>
  <c r="A125" i="7"/>
  <c r="A121" i="7"/>
  <c r="C121" i="7"/>
  <c r="E121" i="7"/>
  <c r="G121" i="7"/>
  <c r="B121" i="7"/>
  <c r="D121" i="7"/>
  <c r="F121" i="7"/>
  <c r="H121" i="7"/>
  <c r="L121" i="7"/>
  <c r="N121" i="7"/>
  <c r="Q121" i="7"/>
  <c r="G144" i="7"/>
  <c r="E144" i="7"/>
  <c r="C144" i="7"/>
  <c r="G142" i="7"/>
  <c r="E142" i="7"/>
  <c r="C142" i="7"/>
  <c r="G140" i="7"/>
  <c r="E140" i="7"/>
  <c r="C140" i="7"/>
  <c r="G138" i="7"/>
  <c r="E138" i="7"/>
  <c r="C138" i="7"/>
  <c r="G136" i="7"/>
  <c r="E136" i="7"/>
  <c r="C136" i="7"/>
  <c r="G134" i="7"/>
  <c r="E134" i="7"/>
  <c r="C134" i="7"/>
  <c r="G132" i="7"/>
  <c r="E132" i="7"/>
  <c r="C132" i="7"/>
  <c r="G130" i="7"/>
  <c r="E130" i="7"/>
  <c r="C130" i="7"/>
  <c r="G128" i="7"/>
  <c r="E128" i="7"/>
  <c r="C128" i="7"/>
  <c r="G126" i="7"/>
  <c r="E126" i="7"/>
  <c r="C126" i="7"/>
  <c r="G124" i="7"/>
  <c r="E124" i="7"/>
  <c r="C124" i="7"/>
  <c r="G122" i="7"/>
  <c r="E122" i="7"/>
  <c r="C122" i="7"/>
  <c r="G120" i="7"/>
  <c r="E120" i="7"/>
  <c r="C120" i="7"/>
  <c r="Q119" i="7"/>
  <c r="N119" i="7"/>
  <c r="L119" i="7"/>
  <c r="H119" i="7"/>
  <c r="F119" i="7"/>
  <c r="D119" i="7"/>
  <c r="B119" i="7"/>
  <c r="G118" i="7"/>
  <c r="E118" i="7"/>
  <c r="C118" i="7"/>
  <c r="Q117" i="7"/>
  <c r="N117" i="7"/>
  <c r="L117" i="7"/>
  <c r="H117" i="7"/>
  <c r="F117" i="7"/>
  <c r="D117" i="7"/>
  <c r="B117" i="7"/>
  <c r="G116" i="7"/>
  <c r="E116" i="7"/>
  <c r="C116" i="7"/>
  <c r="Q115" i="7"/>
  <c r="N115" i="7"/>
  <c r="L115" i="7"/>
  <c r="H115" i="7"/>
  <c r="F115" i="7"/>
  <c r="D115" i="7"/>
  <c r="B115" i="7"/>
  <c r="G114" i="7"/>
  <c r="E114" i="7"/>
  <c r="C114" i="7"/>
  <c r="Q113" i="7"/>
  <c r="N113" i="7"/>
  <c r="L113" i="7"/>
  <c r="H113" i="7"/>
  <c r="F113" i="7"/>
  <c r="D113" i="7"/>
  <c r="B113" i="7"/>
  <c r="G112" i="7"/>
  <c r="E112" i="7"/>
  <c r="C112" i="7"/>
  <c r="Q111" i="7"/>
  <c r="N111" i="7"/>
  <c r="L111" i="7"/>
  <c r="H111" i="7"/>
  <c r="F111" i="7"/>
  <c r="D111" i="7"/>
  <c r="B111" i="7"/>
  <c r="G110" i="7"/>
  <c r="E110" i="7"/>
  <c r="C110" i="7"/>
  <c r="Q109" i="7"/>
  <c r="N109" i="7"/>
  <c r="L109" i="7"/>
  <c r="H109" i="7"/>
  <c r="F109" i="7"/>
  <c r="D109" i="7"/>
  <c r="B109" i="7"/>
  <c r="G108" i="7"/>
  <c r="E108" i="7"/>
  <c r="C108" i="7"/>
  <c r="Q107" i="7"/>
  <c r="N107" i="7"/>
  <c r="L107" i="7"/>
  <c r="H107" i="7"/>
  <c r="F107" i="7"/>
  <c r="D107" i="7"/>
  <c r="B107" i="7"/>
  <c r="G106" i="7"/>
  <c r="E106" i="7"/>
  <c r="C106" i="7"/>
  <c r="Q105" i="7"/>
  <c r="N105" i="7"/>
  <c r="L105" i="7"/>
  <c r="H105" i="7"/>
  <c r="F105" i="7"/>
  <c r="D105" i="7"/>
  <c r="B105" i="7"/>
  <c r="G104" i="7"/>
  <c r="E104" i="7"/>
  <c r="C104" i="7"/>
  <c r="Q103" i="7"/>
  <c r="N103" i="7"/>
  <c r="L103" i="7"/>
  <c r="H103" i="7"/>
  <c r="F103" i="7"/>
  <c r="D103" i="7"/>
  <c r="B103" i="7"/>
  <c r="G102" i="7"/>
  <c r="E102" i="7"/>
  <c r="C102" i="7"/>
  <c r="Q101" i="7"/>
  <c r="N101" i="7"/>
  <c r="L101" i="7"/>
  <c r="H101" i="7"/>
  <c r="F101" i="7"/>
  <c r="D101" i="7"/>
  <c r="B101" i="7"/>
  <c r="G100" i="7"/>
  <c r="E100" i="7"/>
  <c r="C100" i="7"/>
  <c r="Q99" i="7"/>
  <c r="N99" i="7"/>
  <c r="L99" i="7"/>
  <c r="H99" i="7"/>
  <c r="F99" i="7"/>
  <c r="D99" i="7"/>
  <c r="B99" i="7"/>
  <c r="G98" i="7"/>
  <c r="E98" i="7"/>
  <c r="C98" i="7"/>
  <c r="Q97" i="7"/>
  <c r="N97" i="7"/>
  <c r="L97" i="7"/>
  <c r="H97" i="7"/>
  <c r="F97" i="7"/>
  <c r="D97" i="7"/>
  <c r="B97" i="7"/>
  <c r="G96" i="7"/>
  <c r="E96" i="7"/>
  <c r="C96" i="7"/>
  <c r="Q95" i="7"/>
  <c r="N95" i="7"/>
  <c r="L95" i="7"/>
  <c r="H95" i="7"/>
  <c r="F95" i="7"/>
  <c r="D95" i="7"/>
  <c r="B95" i="7"/>
  <c r="G94" i="7"/>
  <c r="E94" i="7"/>
  <c r="C94" i="7"/>
  <c r="Q93" i="7"/>
  <c r="N93" i="7"/>
  <c r="L93" i="7"/>
  <c r="H93" i="7"/>
  <c r="F93" i="7"/>
  <c r="D93" i="7"/>
  <c r="B93" i="7"/>
  <c r="G92" i="7"/>
  <c r="E92" i="7"/>
  <c r="C92" i="7"/>
  <c r="Q91" i="7"/>
  <c r="N91" i="7"/>
  <c r="L91" i="7"/>
  <c r="H91" i="7"/>
  <c r="F91" i="7"/>
  <c r="D91" i="7"/>
  <c r="B91" i="7"/>
  <c r="G90" i="7"/>
  <c r="E90" i="7"/>
  <c r="C90" i="7"/>
  <c r="Q89" i="7"/>
  <c r="N89" i="7"/>
  <c r="L89" i="7"/>
  <c r="H89" i="7"/>
  <c r="F89" i="7"/>
  <c r="D89" i="7"/>
  <c r="B89" i="7"/>
  <c r="G88" i="7"/>
  <c r="E88" i="7"/>
  <c r="C88" i="7"/>
  <c r="Q87" i="7"/>
  <c r="N87" i="7"/>
  <c r="L87" i="7"/>
  <c r="H87" i="7"/>
  <c r="F87" i="7"/>
  <c r="D87" i="7"/>
  <c r="A87" i="7"/>
  <c r="R85" i="7"/>
  <c r="M85" i="7"/>
  <c r="G85" i="7"/>
  <c r="B83" i="7"/>
  <c r="D83" i="7"/>
  <c r="F83" i="7"/>
  <c r="H83" i="7"/>
  <c r="L83" i="7"/>
  <c r="N83" i="7"/>
  <c r="Q83" i="7"/>
  <c r="E83" i="7"/>
  <c r="A83" i="7"/>
  <c r="R81" i="7"/>
  <c r="M81" i="7"/>
  <c r="G81" i="7"/>
  <c r="B79" i="7"/>
  <c r="D79" i="7"/>
  <c r="F79" i="7"/>
  <c r="H79" i="7"/>
  <c r="L79" i="7"/>
  <c r="N79" i="7"/>
  <c r="Q79" i="7"/>
  <c r="E79" i="7"/>
  <c r="A79" i="7"/>
  <c r="R77" i="7"/>
  <c r="M77" i="7"/>
  <c r="G77" i="7"/>
  <c r="B75" i="7"/>
  <c r="D75" i="7"/>
  <c r="F75" i="7"/>
  <c r="H75" i="7"/>
  <c r="L75" i="7"/>
  <c r="N75" i="7"/>
  <c r="Q75" i="7"/>
  <c r="E75" i="7"/>
  <c r="A75" i="7"/>
  <c r="G119" i="7"/>
  <c r="E119" i="7"/>
  <c r="C119" i="7"/>
  <c r="G117" i="7"/>
  <c r="E117" i="7"/>
  <c r="C117" i="7"/>
  <c r="G115" i="7"/>
  <c r="E115" i="7"/>
  <c r="C115" i="7"/>
  <c r="G113" i="7"/>
  <c r="E113" i="7"/>
  <c r="C113" i="7"/>
  <c r="G111" i="7"/>
  <c r="E111" i="7"/>
  <c r="C111" i="7"/>
  <c r="G109" i="7"/>
  <c r="E109" i="7"/>
  <c r="C109" i="7"/>
  <c r="G107" i="7"/>
  <c r="E107" i="7"/>
  <c r="C107" i="7"/>
  <c r="G105" i="7"/>
  <c r="E105" i="7"/>
  <c r="C105" i="7"/>
  <c r="G103" i="7"/>
  <c r="E103" i="7"/>
  <c r="C103" i="7"/>
  <c r="G101" i="7"/>
  <c r="E101" i="7"/>
  <c r="C101" i="7"/>
  <c r="G99" i="7"/>
  <c r="E99" i="7"/>
  <c r="C99" i="7"/>
  <c r="G97" i="7"/>
  <c r="E97" i="7"/>
  <c r="C97" i="7"/>
  <c r="G95" i="7"/>
  <c r="E95" i="7"/>
  <c r="C95" i="7"/>
  <c r="G93" i="7"/>
  <c r="E93" i="7"/>
  <c r="C93" i="7"/>
  <c r="G91" i="7"/>
  <c r="E91" i="7"/>
  <c r="C91" i="7"/>
  <c r="G89" i="7"/>
  <c r="E89" i="7"/>
  <c r="C89" i="7"/>
  <c r="G87" i="7"/>
  <c r="E87" i="7"/>
  <c r="C87" i="7"/>
  <c r="B85" i="7"/>
  <c r="D85" i="7"/>
  <c r="F85" i="7"/>
  <c r="H85" i="7"/>
  <c r="L85" i="7"/>
  <c r="N85" i="7"/>
  <c r="Q85" i="7"/>
  <c r="E85" i="7"/>
  <c r="A85" i="7"/>
  <c r="B81" i="7"/>
  <c r="D81" i="7"/>
  <c r="F81" i="7"/>
  <c r="H81" i="7"/>
  <c r="L81" i="7"/>
  <c r="N81" i="7"/>
  <c r="Q81" i="7"/>
  <c r="E81" i="7"/>
  <c r="A81" i="7"/>
  <c r="B77" i="7"/>
  <c r="D77" i="7"/>
  <c r="F77" i="7"/>
  <c r="H77" i="7"/>
  <c r="L77" i="7"/>
  <c r="N77" i="7"/>
  <c r="Q77" i="7"/>
  <c r="E77" i="7"/>
  <c r="A77" i="7"/>
  <c r="G86" i="7"/>
  <c r="E86" i="7"/>
  <c r="C86" i="7"/>
  <c r="G84" i="7"/>
  <c r="E84" i="7"/>
  <c r="C84" i="7"/>
  <c r="G82" i="7"/>
  <c r="E82" i="7"/>
  <c r="C82" i="7"/>
  <c r="G80" i="7"/>
  <c r="E80" i="7"/>
  <c r="C80" i="7"/>
  <c r="G78" i="7"/>
  <c r="E78" i="7"/>
  <c r="C78" i="7"/>
  <c r="G76" i="7"/>
  <c r="E76" i="7"/>
  <c r="C76" i="7"/>
  <c r="G74" i="7"/>
  <c r="E74" i="7"/>
  <c r="C74" i="7"/>
  <c r="Q73" i="7"/>
  <c r="N73" i="7"/>
  <c r="L73" i="7"/>
  <c r="H73" i="7"/>
  <c r="F73" i="7"/>
  <c r="D73" i="7"/>
  <c r="B73" i="7"/>
  <c r="G72" i="7"/>
  <c r="E72" i="7"/>
  <c r="C72" i="7"/>
  <c r="Q71" i="7"/>
  <c r="N71" i="7"/>
  <c r="L71" i="7"/>
  <c r="H71" i="7"/>
  <c r="F71" i="7"/>
  <c r="D71" i="7"/>
  <c r="B71" i="7"/>
  <c r="G70" i="7"/>
  <c r="E70" i="7"/>
  <c r="C70" i="7"/>
  <c r="Q69" i="7"/>
  <c r="N69" i="7"/>
  <c r="H69" i="7"/>
  <c r="F69" i="7"/>
  <c r="D69" i="7"/>
  <c r="B69" i="7"/>
  <c r="G68" i="7"/>
  <c r="E68" i="7"/>
  <c r="C68" i="7"/>
  <c r="Q67" i="7"/>
  <c r="N67" i="7"/>
  <c r="H67" i="7"/>
  <c r="F67" i="7"/>
  <c r="D67" i="7"/>
  <c r="B67" i="7"/>
  <c r="E66" i="7"/>
  <c r="C66" i="7"/>
  <c r="Q65" i="7"/>
  <c r="N65" i="7"/>
  <c r="H65" i="7"/>
  <c r="F65" i="7"/>
  <c r="D65" i="7"/>
  <c r="B65" i="7"/>
  <c r="E64" i="7"/>
  <c r="C64" i="7"/>
  <c r="Q63" i="7"/>
  <c r="N63" i="7"/>
  <c r="H63" i="7"/>
  <c r="F63" i="7"/>
  <c r="D63" i="7"/>
  <c r="B63" i="7"/>
  <c r="E62" i="7"/>
  <c r="C62" i="7"/>
  <c r="Q61" i="7"/>
  <c r="N61" i="7"/>
  <c r="H61" i="7"/>
  <c r="F61" i="7"/>
  <c r="D61" i="7"/>
  <c r="B61" i="7"/>
  <c r="E60" i="7"/>
  <c r="C60" i="7"/>
  <c r="Q59" i="7"/>
  <c r="N59" i="7"/>
  <c r="H59" i="7"/>
  <c r="F59" i="7"/>
  <c r="D59" i="7"/>
  <c r="B59" i="7"/>
  <c r="E58" i="7"/>
  <c r="C58" i="7"/>
  <c r="R57" i="7"/>
  <c r="M57" i="7"/>
  <c r="B55" i="7"/>
  <c r="D55" i="7"/>
  <c r="F55" i="7"/>
  <c r="H55" i="7"/>
  <c r="N55" i="7"/>
  <c r="Q55" i="7"/>
  <c r="E55" i="7"/>
  <c r="A55" i="7"/>
  <c r="R53" i="7"/>
  <c r="M53" i="7"/>
  <c r="B51" i="7"/>
  <c r="D51" i="7"/>
  <c r="F51" i="7"/>
  <c r="H51" i="7"/>
  <c r="N51" i="7"/>
  <c r="Q51" i="7"/>
  <c r="E51" i="7"/>
  <c r="A51" i="7"/>
  <c r="G73" i="7"/>
  <c r="E73" i="7"/>
  <c r="C73" i="7"/>
  <c r="G71" i="7"/>
  <c r="E71" i="7"/>
  <c r="C71" i="7"/>
  <c r="G69" i="7"/>
  <c r="E69" i="7"/>
  <c r="C69" i="7"/>
  <c r="E67" i="7"/>
  <c r="C67" i="7"/>
  <c r="E65" i="7"/>
  <c r="C65" i="7"/>
  <c r="E63" i="7"/>
  <c r="C63" i="7"/>
  <c r="E61" i="7"/>
  <c r="C61" i="7"/>
  <c r="E59" i="7"/>
  <c r="C59" i="7"/>
  <c r="B57" i="7"/>
  <c r="D57" i="7"/>
  <c r="F57" i="7"/>
  <c r="H57" i="7"/>
  <c r="N57" i="7"/>
  <c r="Q57" i="7"/>
  <c r="E57" i="7"/>
  <c r="A57" i="7"/>
  <c r="B53" i="7"/>
  <c r="D53" i="7"/>
  <c r="F53" i="7"/>
  <c r="H53" i="7"/>
  <c r="N53" i="7"/>
  <c r="Q53" i="7"/>
  <c r="E53" i="7"/>
  <c r="A53" i="7"/>
  <c r="E56" i="7"/>
  <c r="C56" i="7"/>
  <c r="E54" i="7"/>
  <c r="C54" i="7"/>
  <c r="E52" i="7"/>
  <c r="C52" i="7"/>
  <c r="E50" i="7"/>
  <c r="C50" i="7"/>
  <c r="Q49" i="7"/>
  <c r="N49" i="7"/>
  <c r="H49" i="7"/>
  <c r="F49" i="7"/>
  <c r="D49" i="7"/>
  <c r="B49" i="7"/>
  <c r="E48" i="7"/>
  <c r="C48" i="7"/>
  <c r="Q47" i="7"/>
  <c r="N47" i="7"/>
  <c r="H47" i="7"/>
  <c r="F47" i="7"/>
  <c r="D47" i="7"/>
  <c r="B47" i="7"/>
  <c r="E46" i="7"/>
  <c r="C46" i="7"/>
  <c r="Q45" i="7"/>
  <c r="N45" i="7"/>
  <c r="B43" i="7"/>
  <c r="D43" i="7"/>
  <c r="F43" i="7"/>
  <c r="H43" i="7"/>
  <c r="N43" i="7"/>
  <c r="Q43" i="7"/>
  <c r="E43" i="7"/>
  <c r="A43" i="7"/>
  <c r="R41" i="7"/>
  <c r="M41" i="7"/>
  <c r="B39" i="7"/>
  <c r="D39" i="7"/>
  <c r="F39" i="7"/>
  <c r="H39" i="7"/>
  <c r="N39" i="7"/>
  <c r="Q39" i="7"/>
  <c r="E39" i="7"/>
  <c r="A39" i="7"/>
  <c r="R37" i="7"/>
  <c r="M37" i="7"/>
  <c r="E49" i="7"/>
  <c r="C49" i="7"/>
  <c r="E47" i="7"/>
  <c r="C47" i="7"/>
  <c r="B45" i="7"/>
  <c r="D45" i="7"/>
  <c r="F45" i="7"/>
  <c r="H45" i="7"/>
  <c r="E45" i="7"/>
  <c r="A45" i="7"/>
  <c r="B41" i="7"/>
  <c r="D41" i="7"/>
  <c r="F41" i="7"/>
  <c r="H41" i="7"/>
  <c r="N41" i="7"/>
  <c r="Q41" i="7"/>
  <c r="E41" i="7"/>
  <c r="A41" i="7"/>
  <c r="B37" i="7"/>
  <c r="D37" i="7"/>
  <c r="F37" i="7"/>
  <c r="H37" i="7"/>
  <c r="N37" i="7"/>
  <c r="Q37" i="7"/>
  <c r="E37" i="7"/>
  <c r="A37" i="7"/>
  <c r="E35" i="7"/>
  <c r="C35" i="7"/>
  <c r="A35" i="7"/>
  <c r="E33" i="7"/>
  <c r="C33" i="7"/>
  <c r="A33" i="7"/>
  <c r="E31" i="7"/>
  <c r="C31" i="7"/>
  <c r="A31" i="7"/>
  <c r="E44" i="7"/>
  <c r="C44" i="7"/>
  <c r="E42" i="7"/>
  <c r="C42" i="7"/>
  <c r="E40" i="7"/>
  <c r="C40" i="7"/>
  <c r="E38" i="7"/>
  <c r="C38" i="7"/>
  <c r="E36" i="7"/>
  <c r="C36" i="7"/>
  <c r="Q35" i="7"/>
  <c r="N35" i="7"/>
  <c r="H35" i="7"/>
  <c r="F35" i="7"/>
  <c r="D35" i="7"/>
  <c r="E34" i="7"/>
  <c r="C34" i="7"/>
  <c r="Q33" i="7"/>
  <c r="N33" i="7"/>
  <c r="H33" i="7"/>
  <c r="F33" i="7"/>
  <c r="D33" i="7"/>
  <c r="E32" i="7"/>
  <c r="C32" i="7"/>
  <c r="Q31" i="7"/>
  <c r="N31" i="7"/>
  <c r="H31" i="7"/>
  <c r="F31" i="7"/>
  <c r="D31" i="7"/>
  <c r="E30" i="7"/>
  <c r="C30" i="7"/>
  <c r="E28" i="7"/>
  <c r="C28" i="7"/>
  <c r="A28" i="7"/>
  <c r="E26" i="7"/>
  <c r="C26" i="7"/>
  <c r="A26" i="7"/>
  <c r="E24" i="7"/>
  <c r="C24" i="7"/>
  <c r="A24" i="7"/>
  <c r="E22" i="7"/>
  <c r="C22" i="7"/>
  <c r="A22" i="7"/>
  <c r="E20" i="7"/>
  <c r="C20" i="7"/>
  <c r="A20" i="7"/>
  <c r="E18" i="7"/>
  <c r="C18" i="7"/>
  <c r="A18" i="7"/>
  <c r="B16" i="7"/>
  <c r="D16" i="7"/>
  <c r="F16" i="7"/>
  <c r="H16" i="7"/>
  <c r="N16" i="7"/>
  <c r="Q16" i="7"/>
  <c r="E16" i="7"/>
  <c r="A16" i="7"/>
  <c r="B12" i="7"/>
  <c r="D12" i="7"/>
  <c r="F12" i="7"/>
  <c r="H12" i="7"/>
  <c r="N12" i="7"/>
  <c r="Q12" i="7"/>
  <c r="E12" i="7"/>
  <c r="A12" i="7"/>
  <c r="E29" i="7"/>
  <c r="C29" i="7"/>
  <c r="Q28" i="7"/>
  <c r="N28" i="7"/>
  <c r="H28" i="7"/>
  <c r="F28" i="7"/>
  <c r="D28" i="7"/>
  <c r="E27" i="7"/>
  <c r="C27" i="7"/>
  <c r="Q26" i="7"/>
  <c r="N26" i="7"/>
  <c r="H26" i="7"/>
  <c r="F26" i="7"/>
  <c r="D26" i="7"/>
  <c r="E25" i="7"/>
  <c r="C25" i="7"/>
  <c r="Q24" i="7"/>
  <c r="N24" i="7"/>
  <c r="H24" i="7"/>
  <c r="F24" i="7"/>
  <c r="D24" i="7"/>
  <c r="E23" i="7"/>
  <c r="C23" i="7"/>
  <c r="Q22" i="7"/>
  <c r="N22" i="7"/>
  <c r="H22" i="7"/>
  <c r="F22" i="7"/>
  <c r="D22" i="7"/>
  <c r="E21" i="7"/>
  <c r="C21" i="7"/>
  <c r="Q20" i="7"/>
  <c r="N20" i="7"/>
  <c r="H20" i="7"/>
  <c r="F20" i="7"/>
  <c r="D20" i="7"/>
  <c r="E19" i="7"/>
  <c r="C19" i="7"/>
  <c r="Q18" i="7"/>
  <c r="N18" i="7"/>
  <c r="H18" i="7"/>
  <c r="F18" i="7"/>
  <c r="D18" i="7"/>
  <c r="E17" i="7"/>
  <c r="C17" i="7"/>
  <c r="R16" i="7"/>
  <c r="M16" i="7"/>
  <c r="C16" i="7"/>
  <c r="B14" i="7"/>
  <c r="D14" i="7"/>
  <c r="F14" i="7"/>
  <c r="H14" i="7"/>
  <c r="N14" i="7"/>
  <c r="Q14" i="7"/>
  <c r="E14" i="7"/>
  <c r="A14" i="7"/>
  <c r="R12" i="7"/>
  <c r="M12" i="7"/>
  <c r="C12" i="7"/>
  <c r="E15" i="7"/>
  <c r="C15" i="7"/>
  <c r="E13" i="7"/>
  <c r="C13" i="7"/>
  <c r="E11" i="7"/>
  <c r="C11" i="7"/>
  <c r="Q10" i="7"/>
  <c r="N10" i="7"/>
  <c r="H10" i="7"/>
  <c r="F10" i="7"/>
  <c r="D10" i="7"/>
  <c r="B10" i="7"/>
  <c r="E9" i="7"/>
  <c r="C9" i="7"/>
  <c r="Q8" i="7"/>
  <c r="N8" i="7"/>
  <c r="H8" i="7"/>
  <c r="F8" i="7"/>
  <c r="D8" i="7"/>
  <c r="B8" i="7"/>
  <c r="E7" i="7"/>
  <c r="C7" i="7"/>
  <c r="Q6" i="7"/>
  <c r="N6" i="7"/>
  <c r="H6" i="7"/>
  <c r="F6" i="7"/>
  <c r="D6" i="7"/>
  <c r="B6" i="7"/>
  <c r="E5" i="7"/>
  <c r="C5" i="7"/>
  <c r="Q4" i="7"/>
  <c r="N4" i="7"/>
  <c r="H4" i="7"/>
  <c r="F4" i="7"/>
  <c r="D4" i="7"/>
  <c r="B4" i="7"/>
  <c r="E3" i="7"/>
  <c r="C3" i="7"/>
  <c r="Q2" i="7"/>
  <c r="N2" i="7"/>
  <c r="H2" i="7"/>
  <c r="F2" i="7"/>
  <c r="D2" i="7"/>
  <c r="B2" i="7"/>
  <c r="E10" i="7"/>
  <c r="C10" i="7"/>
  <c r="E8" i="7"/>
  <c r="C8" i="7"/>
  <c r="E6" i="7"/>
  <c r="C6" i="7"/>
  <c r="E4" i="7"/>
  <c r="C4" i="7"/>
  <c r="E2" i="7"/>
  <c r="C2" i="7"/>
  <c r="G67" i="7" l="1"/>
  <c r="L67" i="7"/>
  <c r="L68" i="7" s="1"/>
  <c r="L69" i="7" s="1"/>
  <c r="G65" i="7"/>
  <c r="G53" i="7"/>
  <c r="G57" i="7"/>
  <c r="G38" i="7"/>
  <c r="G42" i="7"/>
  <c r="G47" i="7"/>
  <c r="G37" i="7"/>
  <c r="G39" i="7"/>
  <c r="G41" i="7"/>
  <c r="G43" i="7"/>
  <c r="G45" i="7"/>
  <c r="G46" i="7"/>
  <c r="G48" i="7"/>
  <c r="G50" i="7"/>
  <c r="G54" i="7"/>
  <c r="G59" i="7"/>
  <c r="G63" i="7"/>
  <c r="G58" i="7"/>
  <c r="G60" i="7"/>
  <c r="G62" i="7"/>
  <c r="G64" i="7"/>
  <c r="G66" i="7"/>
  <c r="G36" i="7"/>
  <c r="G40" i="7"/>
  <c r="G44" i="7"/>
  <c r="G35" i="7"/>
  <c r="G49" i="7"/>
  <c r="G52" i="7"/>
  <c r="G56" i="7"/>
  <c r="G61" i="7"/>
  <c r="G51" i="7"/>
  <c r="G55" i="7"/>
  <c r="L3" i="7"/>
  <c r="L4" i="7" s="1"/>
  <c r="L5" i="7" s="1"/>
  <c r="L6" i="7" s="1"/>
  <c r="L7" i="7" s="1"/>
  <c r="L8" i="7" s="1"/>
  <c r="L9" i="7" s="1"/>
  <c r="L10" i="7" s="1"/>
  <c r="L11" i="7" s="1"/>
  <c r="G34" i="7"/>
  <c r="G33" i="7"/>
  <c r="G31" i="7"/>
  <c r="L12" i="7"/>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G32" i="7"/>
  <c r="G30" i="7"/>
  <c r="G4" i="7"/>
  <c r="G6" i="7"/>
  <c r="G3" i="7"/>
  <c r="G5" i="7"/>
  <c r="G7" i="7"/>
  <c r="G9" i="7"/>
  <c r="G11" i="7"/>
  <c r="G13" i="7"/>
  <c r="G15" i="7"/>
  <c r="G17" i="7"/>
  <c r="G19" i="7"/>
  <c r="G21" i="7"/>
  <c r="G23" i="7"/>
  <c r="G25" i="7"/>
  <c r="G27" i="7"/>
  <c r="G29" i="7"/>
  <c r="G8" i="7"/>
  <c r="G12" i="7"/>
  <c r="G16" i="7"/>
  <c r="G20" i="7"/>
  <c r="G24" i="7"/>
  <c r="G28" i="7"/>
  <c r="G10" i="7"/>
  <c r="G14" i="7"/>
  <c r="G18" i="7"/>
  <c r="G22" i="7"/>
  <c r="G26" i="7"/>
  <c r="G2" i="7"/>
  <c r="S4" i="3"/>
  <c r="R4" i="3"/>
  <c r="R2" i="3"/>
  <c r="B5000" i="2" l="1"/>
  <c r="C5000" i="2" s="1"/>
  <c r="B4999" i="2"/>
  <c r="C4999" i="2" s="1"/>
  <c r="B4998" i="2"/>
  <c r="C4998" i="2" s="1"/>
  <c r="B4997" i="2"/>
  <c r="C4997" i="2" s="1"/>
  <c r="B4996" i="2"/>
  <c r="C4996" i="2" s="1"/>
  <c r="B4995" i="2"/>
  <c r="C4995" i="2" s="1"/>
  <c r="B4994" i="2"/>
  <c r="C4994" i="2" s="1"/>
  <c r="B4993" i="2"/>
  <c r="C4993" i="2" s="1"/>
  <c r="B4992" i="2"/>
  <c r="C4992" i="2" s="1"/>
  <c r="B4991" i="2"/>
  <c r="C4991" i="2" s="1"/>
  <c r="B4990" i="2"/>
  <c r="C4990" i="2" s="1"/>
  <c r="B4989" i="2"/>
  <c r="C4989" i="2" s="1"/>
  <c r="B4988" i="2"/>
  <c r="C4988" i="2" s="1"/>
  <c r="B4987" i="2"/>
  <c r="C4987" i="2" s="1"/>
  <c r="B4986" i="2"/>
  <c r="C4986" i="2" s="1"/>
  <c r="B4985" i="2"/>
  <c r="C4985" i="2" s="1"/>
  <c r="B4984" i="2"/>
  <c r="C4984" i="2" s="1"/>
  <c r="B4983" i="2"/>
  <c r="C4983" i="2" s="1"/>
  <c r="B4982" i="2"/>
  <c r="C4982" i="2" s="1"/>
  <c r="B4981" i="2"/>
  <c r="C4981" i="2" s="1"/>
  <c r="B4980" i="2"/>
  <c r="C4980" i="2" s="1"/>
  <c r="B4979" i="2"/>
  <c r="C4979" i="2" s="1"/>
  <c r="B4978" i="2"/>
  <c r="C4978" i="2" s="1"/>
  <c r="B4977" i="2"/>
  <c r="C4977" i="2" s="1"/>
  <c r="B4976" i="2"/>
  <c r="C4976" i="2" s="1"/>
  <c r="B4975" i="2"/>
  <c r="C4975" i="2" s="1"/>
  <c r="B4974" i="2"/>
  <c r="C4974" i="2" s="1"/>
  <c r="B4973" i="2"/>
  <c r="C4973" i="2" s="1"/>
  <c r="B4972" i="2"/>
  <c r="C4972" i="2" s="1"/>
  <c r="B4971" i="2"/>
  <c r="C4971" i="2" s="1"/>
  <c r="B4970" i="2"/>
  <c r="C4970" i="2" s="1"/>
  <c r="B4969" i="2"/>
  <c r="C4969" i="2" s="1"/>
  <c r="B4968" i="2"/>
  <c r="C4968" i="2" s="1"/>
  <c r="B4967" i="2"/>
  <c r="C4967" i="2" s="1"/>
  <c r="B4966" i="2"/>
  <c r="C4966" i="2" s="1"/>
  <c r="B4965" i="2"/>
  <c r="C4965" i="2" s="1"/>
  <c r="B4964" i="2"/>
  <c r="C4964" i="2" s="1"/>
  <c r="B4963" i="2"/>
  <c r="C4963" i="2" s="1"/>
  <c r="B4962" i="2"/>
  <c r="C4962" i="2" s="1"/>
  <c r="B4961" i="2"/>
  <c r="C4961" i="2" s="1"/>
  <c r="B4960" i="2"/>
  <c r="C4960" i="2" s="1"/>
  <c r="B4959" i="2"/>
  <c r="C4959" i="2" s="1"/>
  <c r="B4958" i="2"/>
  <c r="C4958" i="2" s="1"/>
  <c r="B4957" i="2"/>
  <c r="C4957" i="2" s="1"/>
  <c r="B4956" i="2"/>
  <c r="C4956" i="2" s="1"/>
  <c r="B4955" i="2"/>
  <c r="C4955" i="2" s="1"/>
  <c r="B4954" i="2"/>
  <c r="C4954" i="2" s="1"/>
  <c r="B4953" i="2"/>
  <c r="C4953" i="2" s="1"/>
  <c r="B4952" i="2"/>
  <c r="C4952" i="2" s="1"/>
  <c r="B4951" i="2"/>
  <c r="C4951" i="2" s="1"/>
  <c r="B4950" i="2"/>
  <c r="C4950" i="2" s="1"/>
  <c r="B4949" i="2"/>
  <c r="C4949" i="2" s="1"/>
  <c r="B4948" i="2"/>
  <c r="C4948" i="2" s="1"/>
  <c r="B4947" i="2"/>
  <c r="C4947" i="2" s="1"/>
  <c r="B4946" i="2"/>
  <c r="C4946" i="2" s="1"/>
  <c r="B4945" i="2"/>
  <c r="C4945" i="2" s="1"/>
  <c r="B4944" i="2"/>
  <c r="C4944" i="2" s="1"/>
  <c r="B4943" i="2"/>
  <c r="C4943" i="2" s="1"/>
  <c r="B4942" i="2"/>
  <c r="C4942" i="2" s="1"/>
  <c r="B4941" i="2"/>
  <c r="C4941" i="2" s="1"/>
  <c r="B4940" i="2"/>
  <c r="C4940" i="2" s="1"/>
  <c r="B4939" i="2"/>
  <c r="C4939" i="2" s="1"/>
  <c r="B4938" i="2"/>
  <c r="C4938" i="2" s="1"/>
  <c r="B4937" i="2"/>
  <c r="C4937" i="2" s="1"/>
  <c r="B4936" i="2"/>
  <c r="C4936" i="2" s="1"/>
  <c r="B4935" i="2"/>
  <c r="C4935" i="2" s="1"/>
  <c r="B4934" i="2"/>
  <c r="C4934" i="2" s="1"/>
  <c r="B4933" i="2"/>
  <c r="C4933" i="2" s="1"/>
  <c r="B4932" i="2"/>
  <c r="C4932" i="2" s="1"/>
  <c r="B4931" i="2"/>
  <c r="C4931" i="2" s="1"/>
  <c r="B4930" i="2"/>
  <c r="C4930" i="2" s="1"/>
  <c r="B4929" i="2"/>
  <c r="C4929" i="2" s="1"/>
  <c r="B4928" i="2"/>
  <c r="C4928" i="2" s="1"/>
  <c r="B4927" i="2"/>
  <c r="C4927" i="2" s="1"/>
  <c r="B4926" i="2"/>
  <c r="C4926" i="2" s="1"/>
  <c r="B4925" i="2"/>
  <c r="C4925" i="2" s="1"/>
  <c r="B4924" i="2"/>
  <c r="C4924" i="2" s="1"/>
  <c r="B4923" i="2"/>
  <c r="C4923" i="2" s="1"/>
  <c r="B4922" i="2"/>
  <c r="C4922" i="2" s="1"/>
  <c r="B4921" i="2"/>
  <c r="C4921" i="2" s="1"/>
  <c r="B4920" i="2"/>
  <c r="C4920" i="2" s="1"/>
  <c r="B4919" i="2"/>
  <c r="C4919" i="2" s="1"/>
  <c r="B4918" i="2"/>
  <c r="C4918" i="2" s="1"/>
  <c r="B4917" i="2"/>
  <c r="C4917" i="2" s="1"/>
  <c r="B4916" i="2"/>
  <c r="C4916" i="2" s="1"/>
  <c r="B4915" i="2"/>
  <c r="C4915" i="2" s="1"/>
  <c r="B4914" i="2"/>
  <c r="C4914" i="2" s="1"/>
  <c r="B4913" i="2"/>
  <c r="C4913" i="2" s="1"/>
  <c r="B4912" i="2"/>
  <c r="C4912" i="2" s="1"/>
  <c r="B4911" i="2"/>
  <c r="C4911" i="2" s="1"/>
  <c r="B4910" i="2"/>
  <c r="C4910" i="2" s="1"/>
  <c r="B4909" i="2"/>
  <c r="C4909" i="2" s="1"/>
  <c r="B4908" i="2"/>
  <c r="C4908" i="2" s="1"/>
  <c r="B4907" i="2"/>
  <c r="C4907" i="2" s="1"/>
  <c r="B4906" i="2"/>
  <c r="C4906" i="2" s="1"/>
  <c r="B4905" i="2"/>
  <c r="C4905" i="2" s="1"/>
  <c r="B4904" i="2"/>
  <c r="C4904" i="2" s="1"/>
  <c r="B4903" i="2"/>
  <c r="C4903" i="2" s="1"/>
  <c r="B4902" i="2"/>
  <c r="C4902" i="2" s="1"/>
  <c r="B4901" i="2"/>
  <c r="C4901" i="2" s="1"/>
  <c r="B4900" i="2"/>
  <c r="C4900" i="2" s="1"/>
  <c r="B4899" i="2"/>
  <c r="C4899" i="2" s="1"/>
  <c r="B4898" i="2"/>
  <c r="C4898" i="2" s="1"/>
  <c r="B4897" i="2"/>
  <c r="C4897" i="2" s="1"/>
  <c r="B4896" i="2"/>
  <c r="C4896" i="2" s="1"/>
  <c r="B4895" i="2"/>
  <c r="C4895" i="2" s="1"/>
  <c r="B4894" i="2"/>
  <c r="C4894" i="2" s="1"/>
  <c r="B4893" i="2"/>
  <c r="C4893" i="2" s="1"/>
  <c r="B4892" i="2"/>
  <c r="C4892" i="2" s="1"/>
  <c r="B4891" i="2"/>
  <c r="C4891" i="2" s="1"/>
  <c r="B4890" i="2"/>
  <c r="C4890" i="2" s="1"/>
  <c r="B4889" i="2"/>
  <c r="C4889" i="2" s="1"/>
  <c r="B4888" i="2"/>
  <c r="C4888" i="2" s="1"/>
  <c r="B4887" i="2"/>
  <c r="C4887" i="2" s="1"/>
  <c r="B4886" i="2"/>
  <c r="C4886" i="2" s="1"/>
  <c r="B4885" i="2"/>
  <c r="C4885" i="2" s="1"/>
  <c r="B4884" i="2"/>
  <c r="C4884" i="2" s="1"/>
  <c r="B4883" i="2"/>
  <c r="C4883" i="2" s="1"/>
  <c r="B4882" i="2"/>
  <c r="C4882" i="2" s="1"/>
  <c r="B4881" i="2"/>
  <c r="C4881" i="2" s="1"/>
  <c r="B4880" i="2"/>
  <c r="C4880" i="2" s="1"/>
  <c r="B4879" i="2"/>
  <c r="C4879" i="2" s="1"/>
  <c r="B4878" i="2"/>
  <c r="C4878" i="2" s="1"/>
  <c r="B4877" i="2"/>
  <c r="C4877" i="2" s="1"/>
  <c r="B4876" i="2"/>
  <c r="C4876" i="2" s="1"/>
  <c r="B4875" i="2"/>
  <c r="C4875" i="2" s="1"/>
  <c r="B4874" i="2"/>
  <c r="C4874" i="2" s="1"/>
  <c r="B4873" i="2"/>
  <c r="C4873" i="2" s="1"/>
  <c r="B4872" i="2"/>
  <c r="C4872" i="2" s="1"/>
  <c r="B4871" i="2"/>
  <c r="C4871" i="2" s="1"/>
  <c r="B4870" i="2"/>
  <c r="C4870" i="2" s="1"/>
  <c r="B4869" i="2"/>
  <c r="C4869" i="2" s="1"/>
  <c r="B4868" i="2"/>
  <c r="C4868" i="2" s="1"/>
  <c r="B4867" i="2"/>
  <c r="C4867" i="2" s="1"/>
  <c r="B4866" i="2"/>
  <c r="C4866" i="2" s="1"/>
  <c r="B4865" i="2"/>
  <c r="C4865" i="2" s="1"/>
  <c r="B4864" i="2"/>
  <c r="C4864" i="2" s="1"/>
  <c r="B4863" i="2"/>
  <c r="C4863" i="2" s="1"/>
  <c r="B4862" i="2"/>
  <c r="C4862" i="2" s="1"/>
  <c r="B4861" i="2"/>
  <c r="C4861" i="2" s="1"/>
  <c r="B4860" i="2"/>
  <c r="C4860" i="2" s="1"/>
  <c r="B4859" i="2"/>
  <c r="C4859" i="2" s="1"/>
  <c r="B4858" i="2"/>
  <c r="C4858" i="2" s="1"/>
  <c r="B4857" i="2"/>
  <c r="C4857" i="2" s="1"/>
  <c r="B4856" i="2"/>
  <c r="C4856" i="2" s="1"/>
  <c r="B4855" i="2"/>
  <c r="C4855" i="2" s="1"/>
  <c r="B4854" i="2"/>
  <c r="C4854" i="2" s="1"/>
  <c r="B4853" i="2"/>
  <c r="C4853" i="2" s="1"/>
  <c r="B4852" i="2"/>
  <c r="C4852" i="2" s="1"/>
  <c r="B4851" i="2"/>
  <c r="C4851" i="2" s="1"/>
  <c r="B4850" i="2"/>
  <c r="C4850" i="2" s="1"/>
  <c r="B4849" i="2"/>
  <c r="C4849" i="2" s="1"/>
  <c r="B4848" i="2"/>
  <c r="C4848" i="2" s="1"/>
  <c r="B4847" i="2"/>
  <c r="C4847" i="2" s="1"/>
  <c r="B4846" i="2"/>
  <c r="C4846" i="2" s="1"/>
  <c r="B4845" i="2"/>
  <c r="C4845" i="2" s="1"/>
  <c r="B4844" i="2"/>
  <c r="C4844" i="2" s="1"/>
  <c r="B4843" i="2"/>
  <c r="C4843" i="2" s="1"/>
  <c r="B4842" i="2"/>
  <c r="C4842" i="2" s="1"/>
  <c r="B4841" i="2"/>
  <c r="C4841" i="2" s="1"/>
  <c r="B4840" i="2"/>
  <c r="C4840" i="2" s="1"/>
  <c r="B4839" i="2"/>
  <c r="C4839" i="2" s="1"/>
  <c r="B4838" i="2"/>
  <c r="C4838" i="2" s="1"/>
  <c r="B4837" i="2"/>
  <c r="C4837" i="2" s="1"/>
  <c r="B4836" i="2"/>
  <c r="C4836" i="2" s="1"/>
  <c r="B4835" i="2"/>
  <c r="C4835" i="2" s="1"/>
  <c r="B4834" i="2"/>
  <c r="C4834" i="2" s="1"/>
  <c r="B4833" i="2"/>
  <c r="C4833" i="2" s="1"/>
  <c r="B4832" i="2"/>
  <c r="C4832" i="2" s="1"/>
  <c r="B4831" i="2"/>
  <c r="C4831" i="2" s="1"/>
  <c r="B4830" i="2"/>
  <c r="C4830" i="2" s="1"/>
  <c r="B4829" i="2"/>
  <c r="C4829" i="2" s="1"/>
  <c r="B4828" i="2"/>
  <c r="C4828" i="2" s="1"/>
  <c r="B4827" i="2"/>
  <c r="C4827" i="2" s="1"/>
  <c r="B4826" i="2"/>
  <c r="C4826" i="2" s="1"/>
  <c r="B4825" i="2"/>
  <c r="C4825" i="2" s="1"/>
  <c r="B4824" i="2"/>
  <c r="C4824" i="2" s="1"/>
  <c r="B4823" i="2"/>
  <c r="C4823" i="2" s="1"/>
  <c r="B4822" i="2"/>
  <c r="C4822" i="2" s="1"/>
  <c r="B4821" i="2"/>
  <c r="C4821" i="2" s="1"/>
  <c r="B4820" i="2"/>
  <c r="C4820" i="2" s="1"/>
  <c r="B4819" i="2"/>
  <c r="C4819" i="2" s="1"/>
  <c r="B4818" i="2"/>
  <c r="C4818" i="2" s="1"/>
  <c r="B4817" i="2"/>
  <c r="C4817" i="2" s="1"/>
  <c r="B4816" i="2"/>
  <c r="C4816" i="2" s="1"/>
  <c r="B4815" i="2"/>
  <c r="C4815" i="2" s="1"/>
  <c r="B4814" i="2"/>
  <c r="C4814" i="2" s="1"/>
  <c r="B4813" i="2"/>
  <c r="C4813" i="2" s="1"/>
  <c r="B4812" i="2"/>
  <c r="C4812" i="2" s="1"/>
  <c r="B4811" i="2"/>
  <c r="C4811" i="2" s="1"/>
  <c r="B4810" i="2"/>
  <c r="C4810" i="2" s="1"/>
  <c r="B4809" i="2"/>
  <c r="C4809" i="2" s="1"/>
  <c r="B4808" i="2"/>
  <c r="C4808" i="2" s="1"/>
  <c r="B4807" i="2"/>
  <c r="C4807" i="2" s="1"/>
  <c r="B4806" i="2"/>
  <c r="C4806" i="2" s="1"/>
  <c r="B4805" i="2"/>
  <c r="C4805" i="2" s="1"/>
  <c r="B4804" i="2"/>
  <c r="C4804" i="2" s="1"/>
  <c r="B4803" i="2"/>
  <c r="C4803" i="2" s="1"/>
  <c r="B4802" i="2"/>
  <c r="C4802" i="2" s="1"/>
  <c r="B4801" i="2"/>
  <c r="C4801" i="2" s="1"/>
  <c r="B4800" i="2"/>
  <c r="C4800" i="2" s="1"/>
  <c r="B4799" i="2"/>
  <c r="C4799" i="2" s="1"/>
  <c r="B4798" i="2"/>
  <c r="C4798" i="2" s="1"/>
  <c r="B4797" i="2"/>
  <c r="C4797" i="2" s="1"/>
  <c r="B4796" i="2"/>
  <c r="C4796" i="2" s="1"/>
  <c r="B4795" i="2"/>
  <c r="C4795" i="2" s="1"/>
  <c r="B4794" i="2"/>
  <c r="C4794" i="2" s="1"/>
  <c r="B4793" i="2"/>
  <c r="C4793" i="2" s="1"/>
  <c r="B4792" i="2"/>
  <c r="C4792" i="2" s="1"/>
  <c r="B4791" i="2"/>
  <c r="C4791" i="2" s="1"/>
  <c r="B4790" i="2"/>
  <c r="C4790" i="2" s="1"/>
  <c r="B4789" i="2"/>
  <c r="C4789" i="2" s="1"/>
  <c r="B4788" i="2"/>
  <c r="C4788" i="2" s="1"/>
  <c r="B4787" i="2"/>
  <c r="C4787" i="2" s="1"/>
  <c r="B4786" i="2"/>
  <c r="C4786" i="2" s="1"/>
  <c r="B4785" i="2"/>
  <c r="C4785" i="2" s="1"/>
  <c r="B4784" i="2"/>
  <c r="C4784" i="2" s="1"/>
  <c r="B4783" i="2"/>
  <c r="C4783" i="2" s="1"/>
  <c r="B4782" i="2"/>
  <c r="C4782" i="2" s="1"/>
  <c r="B4781" i="2"/>
  <c r="C4781" i="2" s="1"/>
  <c r="B4780" i="2"/>
  <c r="C4780" i="2" s="1"/>
  <c r="B4779" i="2"/>
  <c r="C4779" i="2" s="1"/>
  <c r="B4778" i="2"/>
  <c r="C4778" i="2" s="1"/>
  <c r="B4777" i="2"/>
  <c r="C4777" i="2" s="1"/>
  <c r="B4776" i="2"/>
  <c r="C4776" i="2" s="1"/>
  <c r="B4775" i="2"/>
  <c r="C4775" i="2" s="1"/>
  <c r="B4774" i="2"/>
  <c r="C4774" i="2" s="1"/>
  <c r="B4773" i="2"/>
  <c r="C4773" i="2" s="1"/>
  <c r="B4772" i="2"/>
  <c r="C4772" i="2" s="1"/>
  <c r="B4771" i="2"/>
  <c r="C4771" i="2" s="1"/>
  <c r="B4770" i="2"/>
  <c r="C4770" i="2" s="1"/>
  <c r="B4769" i="2"/>
  <c r="C4769" i="2" s="1"/>
  <c r="B4768" i="2"/>
  <c r="C4768" i="2" s="1"/>
  <c r="B4767" i="2"/>
  <c r="C4767" i="2" s="1"/>
  <c r="B4766" i="2"/>
  <c r="C4766" i="2" s="1"/>
  <c r="B4765" i="2"/>
  <c r="C4765" i="2" s="1"/>
  <c r="B4764" i="2"/>
  <c r="C4764" i="2" s="1"/>
  <c r="B4763" i="2"/>
  <c r="C4763" i="2" s="1"/>
  <c r="B4762" i="2"/>
  <c r="C4762" i="2" s="1"/>
  <c r="B4761" i="2"/>
  <c r="C4761" i="2" s="1"/>
  <c r="B4760" i="2"/>
  <c r="C4760" i="2" s="1"/>
  <c r="B4759" i="2"/>
  <c r="C4759" i="2" s="1"/>
  <c r="B4758" i="2"/>
  <c r="C4758" i="2" s="1"/>
  <c r="B4757" i="2"/>
  <c r="C4757" i="2" s="1"/>
  <c r="B4756" i="2"/>
  <c r="C4756" i="2" s="1"/>
  <c r="B4755" i="2"/>
  <c r="C4755" i="2" s="1"/>
  <c r="B4754" i="2"/>
  <c r="C4754" i="2" s="1"/>
  <c r="B4753" i="2"/>
  <c r="C4753" i="2" s="1"/>
  <c r="B4752" i="2"/>
  <c r="C4752" i="2" s="1"/>
  <c r="B4751" i="2"/>
  <c r="C4751" i="2" s="1"/>
  <c r="B4750" i="2"/>
  <c r="C4750" i="2" s="1"/>
  <c r="B4749" i="2"/>
  <c r="C4749" i="2" s="1"/>
  <c r="B4748" i="2"/>
  <c r="C4748" i="2" s="1"/>
  <c r="B4747" i="2"/>
  <c r="C4747" i="2" s="1"/>
  <c r="B4746" i="2"/>
  <c r="C4746" i="2" s="1"/>
  <c r="B4745" i="2"/>
  <c r="C4745" i="2" s="1"/>
  <c r="B4744" i="2"/>
  <c r="C4744" i="2" s="1"/>
  <c r="B4743" i="2"/>
  <c r="C4743" i="2" s="1"/>
  <c r="B4742" i="2"/>
  <c r="C4742" i="2" s="1"/>
  <c r="B4741" i="2"/>
  <c r="C4741" i="2" s="1"/>
  <c r="B4740" i="2"/>
  <c r="C4740" i="2" s="1"/>
  <c r="B4739" i="2"/>
  <c r="C4739" i="2" s="1"/>
  <c r="B4738" i="2"/>
  <c r="C4738" i="2" s="1"/>
  <c r="B4737" i="2"/>
  <c r="C4737" i="2" s="1"/>
  <c r="B4736" i="2"/>
  <c r="C4736" i="2" s="1"/>
  <c r="B4735" i="2"/>
  <c r="C4735" i="2" s="1"/>
  <c r="B4734" i="2"/>
  <c r="C4734" i="2" s="1"/>
  <c r="B4733" i="2"/>
  <c r="C4733" i="2" s="1"/>
  <c r="B4732" i="2"/>
  <c r="C4732" i="2" s="1"/>
  <c r="B4731" i="2"/>
  <c r="C4731" i="2" s="1"/>
  <c r="B4730" i="2"/>
  <c r="C4730" i="2" s="1"/>
  <c r="B4729" i="2"/>
  <c r="C4729" i="2" s="1"/>
  <c r="B4728" i="2"/>
  <c r="C4728" i="2" s="1"/>
  <c r="B4727" i="2"/>
  <c r="C4727" i="2" s="1"/>
  <c r="B4726" i="2"/>
  <c r="C4726" i="2" s="1"/>
  <c r="B4725" i="2"/>
  <c r="C4725" i="2" s="1"/>
  <c r="B4724" i="2"/>
  <c r="C4724" i="2" s="1"/>
  <c r="B4723" i="2"/>
  <c r="C4723" i="2" s="1"/>
  <c r="B4722" i="2"/>
  <c r="C4722" i="2" s="1"/>
  <c r="B4721" i="2"/>
  <c r="C4721" i="2" s="1"/>
  <c r="B4720" i="2"/>
  <c r="C4720" i="2" s="1"/>
  <c r="B4719" i="2"/>
  <c r="C4719" i="2" s="1"/>
  <c r="B4718" i="2"/>
  <c r="C4718" i="2" s="1"/>
  <c r="B4717" i="2"/>
  <c r="C4717" i="2" s="1"/>
  <c r="B4716" i="2"/>
  <c r="C4716" i="2" s="1"/>
  <c r="B4715" i="2"/>
  <c r="C4715" i="2" s="1"/>
  <c r="B4714" i="2"/>
  <c r="C4714" i="2" s="1"/>
  <c r="B4713" i="2"/>
  <c r="C4713" i="2" s="1"/>
  <c r="B4712" i="2"/>
  <c r="C4712" i="2" s="1"/>
  <c r="B4711" i="2"/>
  <c r="C4711" i="2" s="1"/>
  <c r="B4710" i="2"/>
  <c r="C4710" i="2" s="1"/>
  <c r="B4709" i="2"/>
  <c r="C4709" i="2" s="1"/>
  <c r="B4708" i="2"/>
  <c r="C4708" i="2" s="1"/>
  <c r="B4707" i="2"/>
  <c r="C4707" i="2" s="1"/>
  <c r="B4706" i="2"/>
  <c r="C4706" i="2" s="1"/>
  <c r="B4705" i="2"/>
  <c r="C4705" i="2" s="1"/>
  <c r="B4704" i="2"/>
  <c r="C4704" i="2" s="1"/>
  <c r="B4703" i="2"/>
  <c r="C4703" i="2" s="1"/>
  <c r="B4702" i="2"/>
  <c r="C4702" i="2" s="1"/>
  <c r="B4701" i="2"/>
  <c r="C4701" i="2" s="1"/>
  <c r="B4700" i="2"/>
  <c r="C4700" i="2" s="1"/>
  <c r="B4699" i="2"/>
  <c r="C4699" i="2" s="1"/>
  <c r="B4698" i="2"/>
  <c r="C4698" i="2" s="1"/>
  <c r="B4697" i="2"/>
  <c r="C4697" i="2" s="1"/>
  <c r="B4696" i="2"/>
  <c r="C4696" i="2" s="1"/>
  <c r="B4695" i="2"/>
  <c r="C4695" i="2" s="1"/>
  <c r="B4694" i="2"/>
  <c r="C4694" i="2" s="1"/>
  <c r="B4693" i="2"/>
  <c r="C4693" i="2" s="1"/>
  <c r="B4692" i="2"/>
  <c r="C4692" i="2" s="1"/>
  <c r="B4691" i="2"/>
  <c r="C4691" i="2" s="1"/>
  <c r="B4690" i="2"/>
  <c r="C4690" i="2" s="1"/>
  <c r="B4689" i="2"/>
  <c r="C4689" i="2" s="1"/>
  <c r="B4688" i="2"/>
  <c r="C4688" i="2" s="1"/>
  <c r="B4687" i="2"/>
  <c r="C4687" i="2" s="1"/>
  <c r="B4686" i="2"/>
  <c r="C4686" i="2" s="1"/>
  <c r="B4685" i="2"/>
  <c r="C4685" i="2" s="1"/>
  <c r="B4684" i="2"/>
  <c r="C4684" i="2" s="1"/>
  <c r="B4683" i="2"/>
  <c r="C4683" i="2" s="1"/>
  <c r="B4682" i="2"/>
  <c r="C4682" i="2" s="1"/>
  <c r="B4681" i="2"/>
  <c r="C4681" i="2" s="1"/>
  <c r="B4680" i="2"/>
  <c r="C4680" i="2" s="1"/>
  <c r="B4679" i="2"/>
  <c r="C4679" i="2" s="1"/>
  <c r="B4678" i="2"/>
  <c r="C4678" i="2" s="1"/>
  <c r="B4677" i="2"/>
  <c r="C4677" i="2" s="1"/>
  <c r="B4676" i="2"/>
  <c r="C4676" i="2" s="1"/>
  <c r="B4675" i="2"/>
  <c r="C4675" i="2" s="1"/>
  <c r="B4674" i="2"/>
  <c r="C4674" i="2" s="1"/>
  <c r="B4673" i="2"/>
  <c r="C4673" i="2" s="1"/>
  <c r="B4672" i="2"/>
  <c r="C4672" i="2" s="1"/>
  <c r="B4671" i="2"/>
  <c r="C4671" i="2" s="1"/>
  <c r="B4670" i="2"/>
  <c r="C4670" i="2" s="1"/>
  <c r="B4669" i="2"/>
  <c r="C4669" i="2" s="1"/>
  <c r="B4668" i="2"/>
  <c r="C4668" i="2" s="1"/>
  <c r="B4667" i="2"/>
  <c r="C4667" i="2" s="1"/>
  <c r="B4666" i="2"/>
  <c r="C4666" i="2" s="1"/>
  <c r="B4665" i="2"/>
  <c r="C4665" i="2" s="1"/>
  <c r="B4664" i="2"/>
  <c r="C4664" i="2" s="1"/>
  <c r="B4663" i="2"/>
  <c r="C4663" i="2" s="1"/>
  <c r="B4662" i="2"/>
  <c r="C4662" i="2" s="1"/>
  <c r="B4661" i="2"/>
  <c r="C4661" i="2" s="1"/>
  <c r="B4660" i="2"/>
  <c r="C4660" i="2" s="1"/>
  <c r="B4659" i="2"/>
  <c r="C4659" i="2" s="1"/>
  <c r="B4658" i="2"/>
  <c r="C4658" i="2" s="1"/>
  <c r="B4657" i="2"/>
  <c r="C4657" i="2" s="1"/>
  <c r="B4656" i="2"/>
  <c r="C4656" i="2" s="1"/>
  <c r="B4655" i="2"/>
  <c r="C4655" i="2" s="1"/>
  <c r="B4654" i="2"/>
  <c r="C4654" i="2" s="1"/>
  <c r="B4653" i="2"/>
  <c r="C4653" i="2" s="1"/>
  <c r="B4652" i="2"/>
  <c r="C4652" i="2" s="1"/>
  <c r="B4651" i="2"/>
  <c r="C4651" i="2" s="1"/>
  <c r="B4650" i="2"/>
  <c r="C4650" i="2" s="1"/>
  <c r="B4649" i="2"/>
  <c r="C4649" i="2" s="1"/>
  <c r="B4648" i="2"/>
  <c r="C4648" i="2" s="1"/>
  <c r="B4647" i="2"/>
  <c r="C4647" i="2" s="1"/>
  <c r="B4646" i="2"/>
  <c r="C4646" i="2" s="1"/>
  <c r="B4645" i="2"/>
  <c r="C4645" i="2" s="1"/>
  <c r="B4644" i="2"/>
  <c r="C4644" i="2" s="1"/>
  <c r="B4643" i="2"/>
  <c r="C4643" i="2" s="1"/>
  <c r="B4642" i="2"/>
  <c r="C4642" i="2" s="1"/>
  <c r="B4641" i="2"/>
  <c r="C4641" i="2" s="1"/>
  <c r="B4640" i="2"/>
  <c r="C4640" i="2" s="1"/>
  <c r="B4639" i="2"/>
  <c r="C4639" i="2" s="1"/>
  <c r="B4638" i="2"/>
  <c r="C4638" i="2" s="1"/>
  <c r="B4637" i="2"/>
  <c r="C4637" i="2" s="1"/>
  <c r="B4636" i="2"/>
  <c r="C4636" i="2" s="1"/>
  <c r="B4635" i="2"/>
  <c r="C4635" i="2" s="1"/>
  <c r="B4634" i="2"/>
  <c r="C4634" i="2" s="1"/>
  <c r="B4633" i="2"/>
  <c r="C4633" i="2" s="1"/>
  <c r="B4632" i="2"/>
  <c r="C4632" i="2" s="1"/>
  <c r="B4631" i="2"/>
  <c r="C4631" i="2" s="1"/>
  <c r="B4630" i="2"/>
  <c r="C4630" i="2" s="1"/>
  <c r="B4629" i="2"/>
  <c r="C4629" i="2" s="1"/>
  <c r="B4628" i="2"/>
  <c r="C4628" i="2" s="1"/>
  <c r="B4627" i="2"/>
  <c r="C4627" i="2" s="1"/>
  <c r="B4626" i="2"/>
  <c r="C4626" i="2" s="1"/>
  <c r="B4625" i="2"/>
  <c r="C4625" i="2" s="1"/>
  <c r="B4624" i="2"/>
  <c r="C4624" i="2" s="1"/>
  <c r="B4623" i="2"/>
  <c r="C4623" i="2" s="1"/>
  <c r="B4622" i="2"/>
  <c r="C4622" i="2" s="1"/>
  <c r="B4621" i="2"/>
  <c r="C4621" i="2" s="1"/>
  <c r="B4620" i="2"/>
  <c r="C4620" i="2" s="1"/>
  <c r="B4619" i="2"/>
  <c r="C4619" i="2" s="1"/>
  <c r="B4618" i="2"/>
  <c r="C4618" i="2" s="1"/>
  <c r="B4617" i="2"/>
  <c r="C4617" i="2" s="1"/>
  <c r="B4616" i="2"/>
  <c r="C4616" i="2" s="1"/>
  <c r="B4615" i="2"/>
  <c r="C4615" i="2" s="1"/>
  <c r="B4614" i="2"/>
  <c r="C4614" i="2" s="1"/>
  <c r="B4613" i="2"/>
  <c r="C4613" i="2" s="1"/>
  <c r="B4612" i="2"/>
  <c r="C4612" i="2" s="1"/>
  <c r="B4611" i="2"/>
  <c r="C4611" i="2" s="1"/>
  <c r="B4610" i="2"/>
  <c r="C4610" i="2" s="1"/>
  <c r="B4609" i="2"/>
  <c r="C4609" i="2" s="1"/>
  <c r="B4608" i="2"/>
  <c r="C4608" i="2" s="1"/>
  <c r="B4607" i="2"/>
  <c r="C4607" i="2" s="1"/>
  <c r="B4606" i="2"/>
  <c r="C4606" i="2" s="1"/>
  <c r="B4605" i="2"/>
  <c r="C4605" i="2" s="1"/>
  <c r="B4604" i="2"/>
  <c r="C4604" i="2" s="1"/>
  <c r="B4603" i="2"/>
  <c r="C4603" i="2" s="1"/>
  <c r="B4602" i="2"/>
  <c r="C4602" i="2" s="1"/>
  <c r="B4601" i="2"/>
  <c r="C4601" i="2" s="1"/>
  <c r="B4600" i="2"/>
  <c r="C4600" i="2" s="1"/>
  <c r="B4599" i="2"/>
  <c r="C4599" i="2" s="1"/>
  <c r="B4598" i="2"/>
  <c r="C4598" i="2" s="1"/>
  <c r="B4597" i="2"/>
  <c r="C4597" i="2" s="1"/>
  <c r="B4596" i="2"/>
  <c r="C4596" i="2" s="1"/>
  <c r="B4595" i="2"/>
  <c r="C4595" i="2" s="1"/>
  <c r="B4594" i="2"/>
  <c r="C4594" i="2" s="1"/>
  <c r="B4593" i="2"/>
  <c r="C4593" i="2" s="1"/>
  <c r="B4592" i="2"/>
  <c r="C4592" i="2" s="1"/>
  <c r="B4591" i="2"/>
  <c r="C4591" i="2" s="1"/>
  <c r="B4590" i="2"/>
  <c r="C4590" i="2" s="1"/>
  <c r="B4589" i="2"/>
  <c r="C4589" i="2" s="1"/>
  <c r="B4588" i="2"/>
  <c r="C4588" i="2" s="1"/>
  <c r="B4587" i="2"/>
  <c r="C4587" i="2" s="1"/>
  <c r="B4586" i="2"/>
  <c r="C4586" i="2" s="1"/>
  <c r="B4585" i="2"/>
  <c r="C4585" i="2" s="1"/>
  <c r="B4584" i="2"/>
  <c r="C4584" i="2" s="1"/>
  <c r="B4583" i="2"/>
  <c r="C4583" i="2" s="1"/>
  <c r="B4582" i="2"/>
  <c r="C4582" i="2" s="1"/>
  <c r="B4581" i="2"/>
  <c r="C4581" i="2" s="1"/>
  <c r="B4580" i="2"/>
  <c r="C4580" i="2" s="1"/>
  <c r="B4579" i="2"/>
  <c r="C4579" i="2" s="1"/>
  <c r="B4578" i="2"/>
  <c r="C4578" i="2" s="1"/>
  <c r="B4577" i="2"/>
  <c r="C4577" i="2" s="1"/>
  <c r="B4576" i="2"/>
  <c r="C4576" i="2" s="1"/>
  <c r="B4575" i="2"/>
  <c r="C4575" i="2" s="1"/>
  <c r="B4574" i="2"/>
  <c r="C4574" i="2" s="1"/>
  <c r="B4573" i="2"/>
  <c r="C4573" i="2" s="1"/>
  <c r="B4572" i="2"/>
  <c r="C4572" i="2" s="1"/>
  <c r="B4571" i="2"/>
  <c r="C4571" i="2" s="1"/>
  <c r="B4570" i="2"/>
  <c r="C4570" i="2" s="1"/>
  <c r="B4569" i="2"/>
  <c r="C4569" i="2" s="1"/>
  <c r="B4568" i="2"/>
  <c r="C4568" i="2" s="1"/>
  <c r="B4567" i="2"/>
  <c r="C4567" i="2" s="1"/>
  <c r="B4566" i="2"/>
  <c r="C4566" i="2" s="1"/>
  <c r="B4565" i="2"/>
  <c r="C4565" i="2" s="1"/>
  <c r="B4564" i="2"/>
  <c r="C4564" i="2" s="1"/>
  <c r="B4563" i="2"/>
  <c r="C4563" i="2" s="1"/>
  <c r="B4562" i="2"/>
  <c r="C4562" i="2" s="1"/>
  <c r="B4561" i="2"/>
  <c r="C4561" i="2" s="1"/>
  <c r="B4560" i="2"/>
  <c r="C4560" i="2" s="1"/>
  <c r="B4559" i="2"/>
  <c r="C4559" i="2" s="1"/>
  <c r="B4558" i="2"/>
  <c r="C4558" i="2" s="1"/>
  <c r="B4557" i="2"/>
  <c r="C4557" i="2" s="1"/>
  <c r="B4556" i="2"/>
  <c r="C4556" i="2" s="1"/>
  <c r="B4555" i="2"/>
  <c r="C4555" i="2" s="1"/>
  <c r="B4554" i="2"/>
  <c r="C4554" i="2" s="1"/>
  <c r="B4553" i="2"/>
  <c r="C4553" i="2" s="1"/>
  <c r="B4552" i="2"/>
  <c r="C4552" i="2" s="1"/>
  <c r="B4551" i="2"/>
  <c r="C4551" i="2" s="1"/>
  <c r="B4550" i="2"/>
  <c r="C4550" i="2" s="1"/>
  <c r="B4549" i="2"/>
  <c r="C4549" i="2" s="1"/>
  <c r="B4548" i="2"/>
  <c r="C4548" i="2" s="1"/>
  <c r="B4547" i="2"/>
  <c r="C4547" i="2" s="1"/>
  <c r="B4546" i="2"/>
  <c r="C4546" i="2" s="1"/>
  <c r="B4545" i="2"/>
  <c r="C4545" i="2" s="1"/>
  <c r="B4544" i="2"/>
  <c r="C4544" i="2" s="1"/>
  <c r="B4543" i="2"/>
  <c r="C4543" i="2" s="1"/>
  <c r="B4542" i="2"/>
  <c r="C4542" i="2" s="1"/>
  <c r="B4541" i="2"/>
  <c r="C4541" i="2" s="1"/>
  <c r="B4540" i="2"/>
  <c r="C4540" i="2" s="1"/>
  <c r="B4539" i="2"/>
  <c r="C4539" i="2" s="1"/>
  <c r="B4538" i="2"/>
  <c r="C4538" i="2" s="1"/>
  <c r="B4537" i="2"/>
  <c r="C4537" i="2" s="1"/>
  <c r="B4536" i="2"/>
  <c r="C4536" i="2" s="1"/>
  <c r="B4535" i="2"/>
  <c r="C4535" i="2" s="1"/>
  <c r="B4534" i="2"/>
  <c r="C4534" i="2" s="1"/>
  <c r="B4533" i="2"/>
  <c r="C4533" i="2" s="1"/>
  <c r="B4532" i="2"/>
  <c r="C4532" i="2" s="1"/>
  <c r="B4531" i="2"/>
  <c r="C4531" i="2" s="1"/>
  <c r="B4530" i="2"/>
  <c r="C4530" i="2" s="1"/>
  <c r="B4529" i="2"/>
  <c r="C4529" i="2" s="1"/>
  <c r="B4528" i="2"/>
  <c r="C4528" i="2" s="1"/>
  <c r="B4527" i="2"/>
  <c r="C4527" i="2" s="1"/>
  <c r="B4526" i="2"/>
  <c r="C4526" i="2" s="1"/>
  <c r="B4525" i="2"/>
  <c r="C4525" i="2" s="1"/>
  <c r="B4524" i="2"/>
  <c r="C4524" i="2" s="1"/>
  <c r="B4523" i="2"/>
  <c r="C4523" i="2" s="1"/>
  <c r="B4522" i="2"/>
  <c r="C4522" i="2" s="1"/>
  <c r="B4521" i="2"/>
  <c r="C4521" i="2" s="1"/>
  <c r="B4520" i="2"/>
  <c r="C4520" i="2" s="1"/>
  <c r="B4519" i="2"/>
  <c r="C4519" i="2" s="1"/>
  <c r="B4518" i="2"/>
  <c r="C4518" i="2" s="1"/>
  <c r="B4517" i="2"/>
  <c r="C4517" i="2" s="1"/>
  <c r="B4516" i="2"/>
  <c r="C4516" i="2" s="1"/>
  <c r="B4515" i="2"/>
  <c r="C4515" i="2" s="1"/>
  <c r="B4514" i="2"/>
  <c r="C4514" i="2" s="1"/>
  <c r="B4513" i="2"/>
  <c r="C4513" i="2" s="1"/>
  <c r="B4512" i="2"/>
  <c r="C4512" i="2" s="1"/>
  <c r="B4511" i="2"/>
  <c r="C4511" i="2" s="1"/>
  <c r="B4510" i="2"/>
  <c r="C4510" i="2" s="1"/>
  <c r="B4509" i="2"/>
  <c r="C4509" i="2" s="1"/>
  <c r="B4508" i="2"/>
  <c r="C4508" i="2" s="1"/>
  <c r="B4507" i="2"/>
  <c r="C4507" i="2" s="1"/>
  <c r="B4506" i="2"/>
  <c r="C4506" i="2" s="1"/>
  <c r="B4505" i="2"/>
  <c r="C4505" i="2" s="1"/>
  <c r="B4504" i="2"/>
  <c r="C4504" i="2" s="1"/>
  <c r="B4503" i="2"/>
  <c r="C4503" i="2" s="1"/>
  <c r="B4502" i="2"/>
  <c r="C4502" i="2" s="1"/>
  <c r="B4501" i="2"/>
  <c r="C4501" i="2" s="1"/>
  <c r="B4500" i="2"/>
  <c r="C4500" i="2" s="1"/>
  <c r="B4499" i="2"/>
  <c r="C4499" i="2" s="1"/>
  <c r="B4498" i="2"/>
  <c r="C4498" i="2" s="1"/>
  <c r="B4497" i="2"/>
  <c r="C4497" i="2" s="1"/>
  <c r="B4496" i="2"/>
  <c r="C4496" i="2" s="1"/>
  <c r="B4495" i="2"/>
  <c r="C4495" i="2" s="1"/>
  <c r="B4494" i="2"/>
  <c r="C4494" i="2" s="1"/>
  <c r="B4493" i="2"/>
  <c r="C4493" i="2" s="1"/>
  <c r="B4492" i="2"/>
  <c r="C4492" i="2" s="1"/>
  <c r="B4491" i="2"/>
  <c r="C4491" i="2" s="1"/>
  <c r="B4490" i="2"/>
  <c r="C4490" i="2" s="1"/>
  <c r="B4489" i="2"/>
  <c r="C4489" i="2" s="1"/>
  <c r="B4488" i="2"/>
  <c r="C4488" i="2" s="1"/>
  <c r="B4487" i="2"/>
  <c r="C4487" i="2" s="1"/>
  <c r="B4486" i="2"/>
  <c r="C4486" i="2" s="1"/>
  <c r="B4485" i="2"/>
  <c r="C4485" i="2" s="1"/>
  <c r="B4484" i="2"/>
  <c r="C4484" i="2" s="1"/>
  <c r="B4483" i="2"/>
  <c r="C4483" i="2" s="1"/>
  <c r="B4482" i="2"/>
  <c r="C4482" i="2" s="1"/>
  <c r="B4481" i="2"/>
  <c r="C4481" i="2" s="1"/>
  <c r="B4480" i="2"/>
  <c r="C4480" i="2" s="1"/>
  <c r="B4479" i="2"/>
  <c r="C4479" i="2" s="1"/>
  <c r="B4478" i="2"/>
  <c r="C4478" i="2" s="1"/>
  <c r="B4477" i="2"/>
  <c r="C4477" i="2" s="1"/>
  <c r="B4476" i="2"/>
  <c r="C4476" i="2" s="1"/>
  <c r="B4475" i="2"/>
  <c r="C4475" i="2" s="1"/>
  <c r="B4474" i="2"/>
  <c r="C4474" i="2" s="1"/>
  <c r="B4473" i="2"/>
  <c r="C4473" i="2" s="1"/>
  <c r="B4472" i="2"/>
  <c r="C4472" i="2" s="1"/>
  <c r="B4471" i="2"/>
  <c r="C4471" i="2" s="1"/>
  <c r="B4470" i="2"/>
  <c r="C4470" i="2" s="1"/>
  <c r="B4469" i="2"/>
  <c r="C4469" i="2" s="1"/>
  <c r="B4468" i="2"/>
  <c r="C4468" i="2" s="1"/>
  <c r="B4467" i="2"/>
  <c r="C4467" i="2" s="1"/>
  <c r="B4466" i="2"/>
  <c r="C4466" i="2" s="1"/>
  <c r="B4465" i="2"/>
  <c r="C4465" i="2" s="1"/>
  <c r="B4464" i="2"/>
  <c r="C4464" i="2" s="1"/>
  <c r="B4463" i="2"/>
  <c r="C4463" i="2" s="1"/>
  <c r="B4462" i="2"/>
  <c r="C4462" i="2" s="1"/>
  <c r="B4461" i="2"/>
  <c r="C4461" i="2" s="1"/>
  <c r="B4460" i="2"/>
  <c r="C4460" i="2" s="1"/>
  <c r="B4459" i="2"/>
  <c r="C4459" i="2" s="1"/>
  <c r="B4458" i="2"/>
  <c r="C4458" i="2" s="1"/>
  <c r="B4457" i="2"/>
  <c r="C4457" i="2" s="1"/>
  <c r="B4456" i="2"/>
  <c r="C4456" i="2" s="1"/>
  <c r="B4455" i="2"/>
  <c r="C4455" i="2" s="1"/>
  <c r="B4454" i="2"/>
  <c r="C4454" i="2" s="1"/>
  <c r="B4453" i="2"/>
  <c r="C4453" i="2" s="1"/>
  <c r="B4452" i="2"/>
  <c r="C4452" i="2" s="1"/>
  <c r="B4451" i="2"/>
  <c r="C4451" i="2" s="1"/>
  <c r="B4450" i="2"/>
  <c r="C4450" i="2" s="1"/>
  <c r="B4449" i="2"/>
  <c r="C4449" i="2" s="1"/>
  <c r="B4448" i="2"/>
  <c r="C4448" i="2" s="1"/>
  <c r="B4447" i="2"/>
  <c r="C4447" i="2" s="1"/>
  <c r="B4446" i="2"/>
  <c r="C4446" i="2" s="1"/>
  <c r="B4445" i="2"/>
  <c r="C4445" i="2" s="1"/>
  <c r="B4444" i="2"/>
  <c r="C4444" i="2" s="1"/>
  <c r="B4443" i="2"/>
  <c r="C4443" i="2" s="1"/>
  <c r="B4442" i="2"/>
  <c r="C4442" i="2" s="1"/>
  <c r="B4441" i="2"/>
  <c r="C4441" i="2" s="1"/>
  <c r="B4440" i="2"/>
  <c r="C4440" i="2" s="1"/>
  <c r="B4439" i="2"/>
  <c r="C4439" i="2" s="1"/>
  <c r="B4438" i="2"/>
  <c r="C4438" i="2" s="1"/>
  <c r="B4437" i="2"/>
  <c r="C4437" i="2" s="1"/>
  <c r="B4436" i="2"/>
  <c r="C4436" i="2" s="1"/>
  <c r="B4435" i="2"/>
  <c r="C4435" i="2" s="1"/>
  <c r="B4434" i="2"/>
  <c r="C4434" i="2" s="1"/>
  <c r="B4433" i="2"/>
  <c r="C4433" i="2" s="1"/>
  <c r="B4432" i="2"/>
  <c r="C4432" i="2" s="1"/>
  <c r="B4431" i="2"/>
  <c r="C4431" i="2" s="1"/>
  <c r="B4430" i="2"/>
  <c r="C4430" i="2" s="1"/>
  <c r="B4429" i="2"/>
  <c r="C4429" i="2" s="1"/>
  <c r="B4428" i="2"/>
  <c r="C4428" i="2" s="1"/>
  <c r="B4427" i="2"/>
  <c r="C4427" i="2" s="1"/>
  <c r="B4426" i="2"/>
  <c r="C4426" i="2" s="1"/>
  <c r="B4425" i="2"/>
  <c r="C4425" i="2" s="1"/>
  <c r="B4424" i="2"/>
  <c r="C4424" i="2" s="1"/>
  <c r="B4423" i="2"/>
  <c r="C4423" i="2" s="1"/>
  <c r="B4422" i="2"/>
  <c r="C4422" i="2" s="1"/>
  <c r="B4421" i="2"/>
  <c r="C4421" i="2" s="1"/>
  <c r="B4420" i="2"/>
  <c r="C4420" i="2" s="1"/>
  <c r="B4419" i="2"/>
  <c r="C4419" i="2" s="1"/>
  <c r="B4418" i="2"/>
  <c r="C4418" i="2" s="1"/>
  <c r="B4417" i="2"/>
  <c r="C4417" i="2" s="1"/>
  <c r="B4416" i="2"/>
  <c r="C4416" i="2" s="1"/>
  <c r="B4415" i="2"/>
  <c r="C4415" i="2" s="1"/>
  <c r="B4414" i="2"/>
  <c r="C4414" i="2" s="1"/>
  <c r="B4413" i="2"/>
  <c r="C4413" i="2" s="1"/>
  <c r="B4412" i="2"/>
  <c r="C4412" i="2" s="1"/>
  <c r="B4411" i="2"/>
  <c r="C4411" i="2" s="1"/>
  <c r="B4410" i="2"/>
  <c r="C4410" i="2" s="1"/>
  <c r="B4409" i="2"/>
  <c r="C4409" i="2" s="1"/>
  <c r="B4408" i="2"/>
  <c r="C4408" i="2" s="1"/>
  <c r="B4407" i="2"/>
  <c r="C4407" i="2" s="1"/>
  <c r="B4406" i="2"/>
  <c r="C4406" i="2" s="1"/>
  <c r="B4405" i="2"/>
  <c r="C4405" i="2" s="1"/>
  <c r="B4404" i="2"/>
  <c r="C4404" i="2" s="1"/>
  <c r="B4403" i="2"/>
  <c r="C4403" i="2" s="1"/>
  <c r="B4402" i="2"/>
  <c r="C4402" i="2" s="1"/>
  <c r="B4401" i="2"/>
  <c r="C4401" i="2" s="1"/>
  <c r="B4400" i="2"/>
  <c r="C4400" i="2" s="1"/>
  <c r="B4399" i="2"/>
  <c r="C4399" i="2" s="1"/>
  <c r="B4398" i="2"/>
  <c r="C4398" i="2" s="1"/>
  <c r="B4397" i="2"/>
  <c r="C4397" i="2" s="1"/>
  <c r="B4396" i="2"/>
  <c r="C4396" i="2" s="1"/>
  <c r="B4395" i="2"/>
  <c r="C4395" i="2" s="1"/>
  <c r="B4394" i="2"/>
  <c r="C4394" i="2" s="1"/>
  <c r="B4393" i="2"/>
  <c r="C4393" i="2" s="1"/>
  <c r="B4392" i="2"/>
  <c r="C4392" i="2" s="1"/>
  <c r="B4391" i="2"/>
  <c r="C4391" i="2" s="1"/>
  <c r="B4390" i="2"/>
  <c r="C4390" i="2" s="1"/>
  <c r="B4389" i="2"/>
  <c r="C4389" i="2" s="1"/>
  <c r="B4388" i="2"/>
  <c r="C4388" i="2" s="1"/>
  <c r="B4387" i="2"/>
  <c r="C4387" i="2" s="1"/>
  <c r="B4386" i="2"/>
  <c r="C4386" i="2" s="1"/>
  <c r="B4385" i="2"/>
  <c r="C4385" i="2" s="1"/>
  <c r="B4384" i="2"/>
  <c r="C4384" i="2" s="1"/>
  <c r="B4383" i="2"/>
  <c r="C4383" i="2" s="1"/>
  <c r="B4382" i="2"/>
  <c r="C4382" i="2" s="1"/>
  <c r="B4381" i="2"/>
  <c r="C4381" i="2" s="1"/>
  <c r="B4380" i="2"/>
  <c r="C4380" i="2" s="1"/>
  <c r="B4379" i="2"/>
  <c r="C4379" i="2" s="1"/>
  <c r="B4378" i="2"/>
  <c r="C4378" i="2" s="1"/>
  <c r="B4377" i="2"/>
  <c r="C4377" i="2" s="1"/>
  <c r="B4376" i="2"/>
  <c r="C4376" i="2" s="1"/>
  <c r="B4375" i="2"/>
  <c r="C4375" i="2" s="1"/>
  <c r="B4374" i="2"/>
  <c r="C4374" i="2" s="1"/>
  <c r="B4373" i="2"/>
  <c r="C4373" i="2" s="1"/>
  <c r="B4372" i="2"/>
  <c r="C4372" i="2" s="1"/>
  <c r="B4371" i="2"/>
  <c r="C4371" i="2" s="1"/>
  <c r="B4370" i="2"/>
  <c r="C4370" i="2" s="1"/>
  <c r="B4369" i="2"/>
  <c r="C4369" i="2" s="1"/>
  <c r="B4368" i="2"/>
  <c r="C4368" i="2" s="1"/>
  <c r="B4367" i="2"/>
  <c r="C4367" i="2" s="1"/>
  <c r="B4366" i="2"/>
  <c r="C4366" i="2" s="1"/>
  <c r="B4365" i="2"/>
  <c r="C4365" i="2" s="1"/>
  <c r="B4364" i="2"/>
  <c r="C4364" i="2" s="1"/>
  <c r="B4363" i="2"/>
  <c r="C4363" i="2" s="1"/>
  <c r="B4362" i="2"/>
  <c r="C4362" i="2" s="1"/>
  <c r="B4361" i="2"/>
  <c r="C4361" i="2" s="1"/>
  <c r="B4360" i="2"/>
  <c r="C4360" i="2" s="1"/>
  <c r="B4359" i="2"/>
  <c r="C4359" i="2" s="1"/>
  <c r="B4358" i="2"/>
  <c r="C4358" i="2" s="1"/>
  <c r="B4357" i="2"/>
  <c r="C4357" i="2" s="1"/>
  <c r="B4356" i="2"/>
  <c r="C4356" i="2" s="1"/>
  <c r="B4355" i="2"/>
  <c r="C4355" i="2" s="1"/>
  <c r="B4354" i="2"/>
  <c r="C4354" i="2" s="1"/>
  <c r="B4353" i="2"/>
  <c r="C4353" i="2" s="1"/>
  <c r="B4352" i="2"/>
  <c r="C4352" i="2" s="1"/>
  <c r="B4351" i="2"/>
  <c r="C4351" i="2" s="1"/>
  <c r="B4350" i="2"/>
  <c r="C4350" i="2" s="1"/>
  <c r="B4349" i="2"/>
  <c r="C4349" i="2" s="1"/>
  <c r="B4348" i="2"/>
  <c r="C4348" i="2" s="1"/>
  <c r="B4347" i="2"/>
  <c r="C4347" i="2" s="1"/>
  <c r="B4346" i="2"/>
  <c r="C4346" i="2" s="1"/>
  <c r="B4345" i="2"/>
  <c r="C4345" i="2" s="1"/>
  <c r="B4344" i="2"/>
  <c r="C4344" i="2" s="1"/>
  <c r="B4343" i="2"/>
  <c r="C4343" i="2" s="1"/>
  <c r="B4342" i="2"/>
  <c r="C4342" i="2" s="1"/>
  <c r="B4341" i="2"/>
  <c r="C4341" i="2" s="1"/>
  <c r="B4340" i="2"/>
  <c r="C4340" i="2" s="1"/>
  <c r="B4339" i="2"/>
  <c r="C4339" i="2" s="1"/>
  <c r="B4338" i="2"/>
  <c r="C4338" i="2" s="1"/>
  <c r="B4337" i="2"/>
  <c r="C4337" i="2" s="1"/>
  <c r="B4336" i="2"/>
  <c r="C4336" i="2" s="1"/>
  <c r="B4335" i="2"/>
  <c r="C4335" i="2" s="1"/>
  <c r="B4334" i="2"/>
  <c r="C4334" i="2" s="1"/>
  <c r="B4333" i="2"/>
  <c r="C4333" i="2" s="1"/>
  <c r="B4332" i="2"/>
  <c r="C4332" i="2" s="1"/>
  <c r="B4331" i="2"/>
  <c r="C4331" i="2" s="1"/>
  <c r="B4330" i="2"/>
  <c r="C4330" i="2" s="1"/>
  <c r="B4329" i="2"/>
  <c r="C4329" i="2" s="1"/>
  <c r="B4328" i="2"/>
  <c r="C4328" i="2" s="1"/>
  <c r="B4327" i="2"/>
  <c r="C4327" i="2" s="1"/>
  <c r="B4326" i="2"/>
  <c r="C4326" i="2" s="1"/>
  <c r="B4325" i="2"/>
  <c r="C4325" i="2" s="1"/>
  <c r="B4324" i="2"/>
  <c r="C4324" i="2" s="1"/>
  <c r="B4323" i="2"/>
  <c r="C4323" i="2" s="1"/>
  <c r="B4322" i="2"/>
  <c r="C4322" i="2" s="1"/>
  <c r="B4321" i="2"/>
  <c r="C4321" i="2" s="1"/>
  <c r="B4320" i="2"/>
  <c r="C4320" i="2" s="1"/>
  <c r="B4319" i="2"/>
  <c r="C4319" i="2" s="1"/>
  <c r="B4318" i="2"/>
  <c r="C4318" i="2" s="1"/>
  <c r="B4317" i="2"/>
  <c r="C4317" i="2" s="1"/>
  <c r="B4316" i="2"/>
  <c r="C4316" i="2" s="1"/>
  <c r="B4315" i="2"/>
  <c r="C4315" i="2" s="1"/>
  <c r="B4314" i="2"/>
  <c r="C4314" i="2" s="1"/>
  <c r="B4313" i="2"/>
  <c r="C4313" i="2" s="1"/>
  <c r="B4312" i="2"/>
  <c r="C4312" i="2" s="1"/>
  <c r="B4311" i="2"/>
  <c r="C4311" i="2" s="1"/>
  <c r="B4310" i="2"/>
  <c r="C4310" i="2" s="1"/>
  <c r="B4309" i="2"/>
  <c r="C4309" i="2" s="1"/>
  <c r="B4308" i="2"/>
  <c r="C4308" i="2" s="1"/>
  <c r="B4307" i="2"/>
  <c r="C4307" i="2" s="1"/>
  <c r="B4306" i="2"/>
  <c r="C4306" i="2" s="1"/>
  <c r="B4305" i="2"/>
  <c r="C4305" i="2" s="1"/>
  <c r="B4304" i="2"/>
  <c r="C4304" i="2" s="1"/>
  <c r="B4303" i="2"/>
  <c r="C4303" i="2" s="1"/>
  <c r="B4302" i="2"/>
  <c r="C4302" i="2" s="1"/>
  <c r="B4301" i="2"/>
  <c r="C4301" i="2" s="1"/>
  <c r="B4300" i="2"/>
  <c r="C4300" i="2" s="1"/>
  <c r="B4299" i="2"/>
  <c r="C4299" i="2" s="1"/>
  <c r="B4298" i="2"/>
  <c r="C4298" i="2" s="1"/>
  <c r="B4297" i="2"/>
  <c r="C4297" i="2" s="1"/>
  <c r="B4296" i="2"/>
  <c r="C4296" i="2" s="1"/>
  <c r="B4295" i="2"/>
  <c r="C4295" i="2" s="1"/>
  <c r="B4294" i="2"/>
  <c r="C4294" i="2" s="1"/>
  <c r="B4293" i="2"/>
  <c r="C4293" i="2" s="1"/>
  <c r="B4292" i="2"/>
  <c r="C4292" i="2" s="1"/>
  <c r="B4291" i="2"/>
  <c r="C4291" i="2" s="1"/>
  <c r="B4290" i="2"/>
  <c r="C4290" i="2" s="1"/>
  <c r="B4289" i="2"/>
  <c r="C4289" i="2" s="1"/>
  <c r="B4288" i="2"/>
  <c r="C4288" i="2" s="1"/>
  <c r="B4287" i="2"/>
  <c r="C4287" i="2" s="1"/>
  <c r="B4286" i="2"/>
  <c r="C4286" i="2" s="1"/>
  <c r="B4285" i="2"/>
  <c r="C4285" i="2" s="1"/>
  <c r="B4284" i="2"/>
  <c r="C4284" i="2" s="1"/>
  <c r="B4283" i="2"/>
  <c r="C4283" i="2" s="1"/>
  <c r="B4282" i="2"/>
  <c r="C4282" i="2" s="1"/>
  <c r="B4281" i="2"/>
  <c r="C4281" i="2" s="1"/>
  <c r="B4280" i="2"/>
  <c r="C4280" i="2" s="1"/>
  <c r="B4279" i="2"/>
  <c r="C4279" i="2" s="1"/>
  <c r="B4278" i="2"/>
  <c r="C4278" i="2" s="1"/>
  <c r="B4277" i="2"/>
  <c r="C4277" i="2" s="1"/>
  <c r="B4276" i="2"/>
  <c r="C4276" i="2" s="1"/>
  <c r="B4275" i="2"/>
  <c r="C4275" i="2" s="1"/>
  <c r="B4274" i="2"/>
  <c r="C4274" i="2" s="1"/>
  <c r="B4273" i="2"/>
  <c r="C4273" i="2" s="1"/>
  <c r="B4272" i="2"/>
  <c r="C4272" i="2" s="1"/>
  <c r="B4271" i="2"/>
  <c r="C4271" i="2" s="1"/>
  <c r="B4270" i="2"/>
  <c r="C4270" i="2" s="1"/>
  <c r="B4269" i="2"/>
  <c r="C4269" i="2" s="1"/>
  <c r="B4268" i="2"/>
  <c r="C4268" i="2" s="1"/>
  <c r="B4267" i="2"/>
  <c r="C4267" i="2" s="1"/>
  <c r="B4266" i="2"/>
  <c r="C4266" i="2" s="1"/>
  <c r="B4265" i="2"/>
  <c r="C4265" i="2" s="1"/>
  <c r="B4264" i="2"/>
  <c r="C4264" i="2" s="1"/>
  <c r="B4263" i="2"/>
  <c r="C4263" i="2" s="1"/>
  <c r="B4262" i="2"/>
  <c r="C4262" i="2" s="1"/>
  <c r="B4261" i="2"/>
  <c r="C4261" i="2" s="1"/>
  <c r="B4260" i="2"/>
  <c r="C4260" i="2" s="1"/>
  <c r="B4259" i="2"/>
  <c r="C4259" i="2" s="1"/>
  <c r="B4258" i="2"/>
  <c r="C4258" i="2" s="1"/>
  <c r="B4257" i="2"/>
  <c r="C4257" i="2" s="1"/>
  <c r="B4256" i="2"/>
  <c r="C4256" i="2" s="1"/>
  <c r="B4255" i="2"/>
  <c r="C4255" i="2" s="1"/>
  <c r="B4254" i="2"/>
  <c r="C4254" i="2" s="1"/>
  <c r="B4253" i="2"/>
  <c r="C4253" i="2" s="1"/>
  <c r="B4252" i="2"/>
  <c r="C4252" i="2" s="1"/>
  <c r="B4251" i="2"/>
  <c r="C4251" i="2" s="1"/>
  <c r="B4250" i="2"/>
  <c r="C4250" i="2" s="1"/>
  <c r="B4249" i="2"/>
  <c r="C4249" i="2" s="1"/>
  <c r="B4248" i="2"/>
  <c r="C4248" i="2" s="1"/>
  <c r="B4247" i="2"/>
  <c r="C4247" i="2" s="1"/>
  <c r="B4246" i="2"/>
  <c r="C4246" i="2" s="1"/>
  <c r="B4245" i="2"/>
  <c r="C4245" i="2" s="1"/>
  <c r="B4244" i="2"/>
  <c r="C4244" i="2" s="1"/>
  <c r="B4243" i="2"/>
  <c r="C4243" i="2" s="1"/>
  <c r="B4242" i="2"/>
  <c r="C4242" i="2" s="1"/>
  <c r="B4241" i="2"/>
  <c r="C4241" i="2" s="1"/>
  <c r="B4240" i="2"/>
  <c r="C4240" i="2" s="1"/>
  <c r="B4239" i="2"/>
  <c r="C4239" i="2" s="1"/>
  <c r="B4238" i="2"/>
  <c r="C4238" i="2" s="1"/>
  <c r="B4237" i="2"/>
  <c r="C4237" i="2" s="1"/>
  <c r="B4236" i="2"/>
  <c r="C4236" i="2" s="1"/>
  <c r="B4235" i="2"/>
  <c r="C4235" i="2" s="1"/>
  <c r="B4234" i="2"/>
  <c r="C4234" i="2" s="1"/>
  <c r="B4233" i="2"/>
  <c r="C4233" i="2" s="1"/>
  <c r="B4232" i="2"/>
  <c r="C4232" i="2" s="1"/>
  <c r="B4231" i="2"/>
  <c r="C4231" i="2" s="1"/>
  <c r="B4230" i="2"/>
  <c r="C4230" i="2" s="1"/>
  <c r="B4229" i="2"/>
  <c r="C4229" i="2" s="1"/>
  <c r="B4228" i="2"/>
  <c r="C4228" i="2" s="1"/>
  <c r="B4227" i="2"/>
  <c r="C4227" i="2" s="1"/>
  <c r="B4226" i="2"/>
  <c r="C4226" i="2" s="1"/>
  <c r="B4225" i="2"/>
  <c r="C4225" i="2" s="1"/>
  <c r="B4224" i="2"/>
  <c r="C4224" i="2" s="1"/>
  <c r="B4223" i="2"/>
  <c r="C4223" i="2" s="1"/>
  <c r="B4222" i="2"/>
  <c r="C4222" i="2" s="1"/>
  <c r="B4221" i="2"/>
  <c r="C4221" i="2" s="1"/>
  <c r="B4220" i="2"/>
  <c r="C4220" i="2" s="1"/>
  <c r="B4219" i="2"/>
  <c r="C4219" i="2" s="1"/>
  <c r="B4218" i="2"/>
  <c r="C4218" i="2" s="1"/>
  <c r="B4217" i="2"/>
  <c r="C4217" i="2" s="1"/>
  <c r="B4216" i="2"/>
  <c r="C4216" i="2" s="1"/>
  <c r="B4215" i="2"/>
  <c r="C4215" i="2" s="1"/>
  <c r="B4214" i="2"/>
  <c r="C4214" i="2" s="1"/>
  <c r="B4213" i="2"/>
  <c r="C4213" i="2" s="1"/>
  <c r="B4212" i="2"/>
  <c r="C4212" i="2" s="1"/>
  <c r="B4211" i="2"/>
  <c r="C4211" i="2" s="1"/>
  <c r="B4210" i="2"/>
  <c r="C4210" i="2" s="1"/>
  <c r="B4209" i="2"/>
  <c r="C4209" i="2" s="1"/>
  <c r="B4208" i="2"/>
  <c r="C4208" i="2" s="1"/>
  <c r="B4207" i="2"/>
  <c r="C4207" i="2" s="1"/>
  <c r="B4206" i="2"/>
  <c r="C4206" i="2" s="1"/>
  <c r="B4205" i="2"/>
  <c r="C4205" i="2" s="1"/>
  <c r="B4204" i="2"/>
  <c r="C4204" i="2" s="1"/>
  <c r="B4203" i="2"/>
  <c r="C4203" i="2" s="1"/>
  <c r="B4202" i="2"/>
  <c r="C4202" i="2" s="1"/>
  <c r="B4201" i="2"/>
  <c r="C4201" i="2" s="1"/>
  <c r="B4200" i="2"/>
  <c r="C4200" i="2" s="1"/>
  <c r="B4199" i="2"/>
  <c r="C4199" i="2" s="1"/>
  <c r="B4198" i="2"/>
  <c r="C4198" i="2" s="1"/>
  <c r="B4197" i="2"/>
  <c r="C4197" i="2" s="1"/>
  <c r="B4196" i="2"/>
  <c r="C4196" i="2" s="1"/>
  <c r="B4195" i="2"/>
  <c r="C4195" i="2" s="1"/>
  <c r="B4194" i="2"/>
  <c r="C4194" i="2" s="1"/>
  <c r="B4193" i="2"/>
  <c r="C4193" i="2" s="1"/>
  <c r="B4192" i="2"/>
  <c r="C4192" i="2" s="1"/>
  <c r="B4191" i="2"/>
  <c r="C4191" i="2" s="1"/>
  <c r="B4190" i="2"/>
  <c r="C4190" i="2" s="1"/>
  <c r="B4189" i="2"/>
  <c r="C4189" i="2" s="1"/>
  <c r="B4188" i="2"/>
  <c r="C4188" i="2" s="1"/>
  <c r="B4187" i="2"/>
  <c r="C4187" i="2" s="1"/>
  <c r="B4186" i="2"/>
  <c r="C4186" i="2" s="1"/>
  <c r="B4185" i="2"/>
  <c r="C4185" i="2" s="1"/>
  <c r="B4184" i="2"/>
  <c r="C4184" i="2" s="1"/>
  <c r="B4183" i="2"/>
  <c r="C4183" i="2" s="1"/>
  <c r="B4182" i="2"/>
  <c r="C4182" i="2" s="1"/>
  <c r="B4181" i="2"/>
  <c r="C4181" i="2" s="1"/>
  <c r="B4180" i="2"/>
  <c r="C4180" i="2" s="1"/>
  <c r="B4179" i="2"/>
  <c r="C4179" i="2" s="1"/>
  <c r="B4178" i="2"/>
  <c r="C4178" i="2" s="1"/>
  <c r="B4177" i="2"/>
  <c r="C4177" i="2" s="1"/>
  <c r="B4176" i="2"/>
  <c r="C4176" i="2" s="1"/>
  <c r="B4175" i="2"/>
  <c r="C4175" i="2" s="1"/>
  <c r="B4174" i="2"/>
  <c r="C4174" i="2" s="1"/>
  <c r="B4173" i="2"/>
  <c r="C4173" i="2" s="1"/>
  <c r="B4172" i="2"/>
  <c r="C4172" i="2" s="1"/>
  <c r="B4171" i="2"/>
  <c r="C4171" i="2" s="1"/>
  <c r="B4170" i="2"/>
  <c r="C4170" i="2" s="1"/>
  <c r="B4169" i="2"/>
  <c r="C4169" i="2" s="1"/>
  <c r="B4168" i="2"/>
  <c r="C4168" i="2" s="1"/>
  <c r="B4167" i="2"/>
  <c r="C4167" i="2" s="1"/>
  <c r="B4166" i="2"/>
  <c r="C4166" i="2" s="1"/>
  <c r="B4165" i="2"/>
  <c r="C4165" i="2" s="1"/>
  <c r="B4164" i="2"/>
  <c r="C4164" i="2" s="1"/>
  <c r="B4163" i="2"/>
  <c r="C4163" i="2" s="1"/>
  <c r="B4162" i="2"/>
  <c r="C4162" i="2" s="1"/>
  <c r="B4161" i="2"/>
  <c r="C4161" i="2" s="1"/>
  <c r="B4160" i="2"/>
  <c r="C4160" i="2" s="1"/>
  <c r="B4159" i="2"/>
  <c r="C4159" i="2" s="1"/>
  <c r="B4158" i="2"/>
  <c r="C4158" i="2" s="1"/>
  <c r="B4157" i="2"/>
  <c r="C4157" i="2" s="1"/>
  <c r="B4156" i="2"/>
  <c r="C4156" i="2" s="1"/>
  <c r="B4155" i="2"/>
  <c r="C4155" i="2" s="1"/>
  <c r="B4154" i="2"/>
  <c r="C4154" i="2" s="1"/>
  <c r="B4153" i="2"/>
  <c r="C4153" i="2" s="1"/>
  <c r="B4152" i="2"/>
  <c r="C4152" i="2" s="1"/>
  <c r="B4151" i="2"/>
  <c r="C4151" i="2" s="1"/>
  <c r="B4150" i="2"/>
  <c r="C4150" i="2" s="1"/>
  <c r="B4149" i="2"/>
  <c r="C4149" i="2" s="1"/>
  <c r="B4148" i="2"/>
  <c r="C4148" i="2" s="1"/>
  <c r="B4147" i="2"/>
  <c r="C4147" i="2" s="1"/>
  <c r="B4146" i="2"/>
  <c r="C4146" i="2" s="1"/>
  <c r="B4145" i="2"/>
  <c r="C4145" i="2" s="1"/>
  <c r="B4144" i="2"/>
  <c r="C4144" i="2" s="1"/>
  <c r="B4143" i="2"/>
  <c r="C4143" i="2" s="1"/>
  <c r="B4142" i="2"/>
  <c r="C4142" i="2" s="1"/>
  <c r="B4141" i="2"/>
  <c r="C4141" i="2" s="1"/>
  <c r="B4140" i="2"/>
  <c r="C4140" i="2" s="1"/>
  <c r="B4139" i="2"/>
  <c r="C4139" i="2" s="1"/>
  <c r="B4138" i="2"/>
  <c r="C4138" i="2" s="1"/>
  <c r="B4137" i="2"/>
  <c r="C4137" i="2" s="1"/>
  <c r="B4136" i="2"/>
  <c r="C4136" i="2" s="1"/>
  <c r="B4135" i="2"/>
  <c r="C4135" i="2" s="1"/>
  <c r="B4134" i="2"/>
  <c r="C4134" i="2" s="1"/>
  <c r="B4133" i="2"/>
  <c r="C4133" i="2" s="1"/>
  <c r="B4132" i="2"/>
  <c r="C4132" i="2" s="1"/>
  <c r="B4131" i="2"/>
  <c r="C4131" i="2" s="1"/>
  <c r="B4130" i="2"/>
  <c r="C4130" i="2" s="1"/>
  <c r="B4129" i="2"/>
  <c r="C4129" i="2" s="1"/>
  <c r="B4128" i="2"/>
  <c r="C4128" i="2" s="1"/>
  <c r="B4127" i="2"/>
  <c r="C4127" i="2" s="1"/>
  <c r="B4126" i="2"/>
  <c r="C4126" i="2" s="1"/>
  <c r="B4125" i="2"/>
  <c r="C4125" i="2" s="1"/>
  <c r="B4124" i="2"/>
  <c r="C4124" i="2" s="1"/>
  <c r="B4123" i="2"/>
  <c r="C4123" i="2" s="1"/>
  <c r="B4122" i="2"/>
  <c r="C4122" i="2" s="1"/>
  <c r="B4121" i="2"/>
  <c r="C4121" i="2" s="1"/>
  <c r="B4120" i="2"/>
  <c r="C4120" i="2" s="1"/>
  <c r="B4119" i="2"/>
  <c r="C4119" i="2" s="1"/>
  <c r="B4118" i="2"/>
  <c r="C4118" i="2" s="1"/>
  <c r="B4117" i="2"/>
  <c r="C4117" i="2" s="1"/>
  <c r="B4116" i="2"/>
  <c r="C4116" i="2" s="1"/>
  <c r="B4115" i="2"/>
  <c r="C4115" i="2" s="1"/>
  <c r="B4114" i="2"/>
  <c r="C4114" i="2" s="1"/>
  <c r="B4113" i="2"/>
  <c r="C4113" i="2" s="1"/>
  <c r="B4112" i="2"/>
  <c r="C4112" i="2" s="1"/>
  <c r="B4111" i="2"/>
  <c r="C4111" i="2" s="1"/>
  <c r="B4110" i="2"/>
  <c r="C4110" i="2" s="1"/>
  <c r="B4109" i="2"/>
  <c r="C4109" i="2" s="1"/>
  <c r="B4108" i="2"/>
  <c r="C4108" i="2" s="1"/>
  <c r="B4107" i="2"/>
  <c r="C4107" i="2" s="1"/>
  <c r="B4106" i="2"/>
  <c r="C4106" i="2" s="1"/>
  <c r="B4105" i="2"/>
  <c r="C4105" i="2" s="1"/>
  <c r="B4104" i="2"/>
  <c r="C4104" i="2" s="1"/>
  <c r="B4103" i="2"/>
  <c r="C4103" i="2" s="1"/>
  <c r="B4102" i="2"/>
  <c r="C4102" i="2" s="1"/>
  <c r="B4101" i="2"/>
  <c r="C4101" i="2" s="1"/>
  <c r="B4100" i="2"/>
  <c r="C4100" i="2" s="1"/>
  <c r="B4099" i="2"/>
  <c r="C4099" i="2" s="1"/>
  <c r="B4098" i="2"/>
  <c r="C4098" i="2" s="1"/>
  <c r="B4097" i="2"/>
  <c r="C4097" i="2" s="1"/>
  <c r="B4096" i="2"/>
  <c r="C4096" i="2" s="1"/>
  <c r="B4095" i="2"/>
  <c r="C4095" i="2" s="1"/>
  <c r="B4094" i="2"/>
  <c r="C4094" i="2" s="1"/>
  <c r="B4093" i="2"/>
  <c r="C4093" i="2" s="1"/>
  <c r="B4092" i="2"/>
  <c r="C4092" i="2" s="1"/>
  <c r="B4091" i="2"/>
  <c r="C4091" i="2" s="1"/>
  <c r="B4090" i="2"/>
  <c r="C4090" i="2" s="1"/>
  <c r="B4089" i="2"/>
  <c r="C4089" i="2" s="1"/>
  <c r="B4088" i="2"/>
  <c r="C4088" i="2" s="1"/>
  <c r="B4087" i="2"/>
  <c r="C4087" i="2" s="1"/>
  <c r="B4086" i="2"/>
  <c r="C4086" i="2" s="1"/>
  <c r="B4085" i="2"/>
  <c r="C4085" i="2" s="1"/>
  <c r="B4084" i="2"/>
  <c r="C4084" i="2" s="1"/>
  <c r="B4083" i="2"/>
  <c r="C4083" i="2" s="1"/>
  <c r="B4082" i="2"/>
  <c r="C4082" i="2" s="1"/>
  <c r="B4081" i="2"/>
  <c r="C4081" i="2" s="1"/>
  <c r="B4080" i="2"/>
  <c r="C4080" i="2" s="1"/>
  <c r="B4079" i="2"/>
  <c r="C4079" i="2" s="1"/>
  <c r="B4078" i="2"/>
  <c r="C4078" i="2" s="1"/>
  <c r="B4077" i="2"/>
  <c r="C4077" i="2" s="1"/>
  <c r="B4076" i="2"/>
  <c r="C4076" i="2" s="1"/>
  <c r="B4075" i="2"/>
  <c r="C4075" i="2" s="1"/>
  <c r="B4074" i="2"/>
  <c r="C4074" i="2" s="1"/>
  <c r="B4073" i="2"/>
  <c r="C4073" i="2" s="1"/>
  <c r="B4072" i="2"/>
  <c r="C4072" i="2" s="1"/>
  <c r="B4071" i="2"/>
  <c r="C4071" i="2" s="1"/>
  <c r="B4070" i="2"/>
  <c r="C4070" i="2" s="1"/>
  <c r="B4069" i="2"/>
  <c r="C4069" i="2" s="1"/>
  <c r="B4068" i="2"/>
  <c r="C4068" i="2" s="1"/>
  <c r="B4067" i="2"/>
  <c r="C4067" i="2" s="1"/>
  <c r="B4066" i="2"/>
  <c r="C4066" i="2" s="1"/>
  <c r="B4065" i="2"/>
  <c r="C4065" i="2" s="1"/>
  <c r="B4064" i="2"/>
  <c r="C4064" i="2" s="1"/>
  <c r="B4063" i="2"/>
  <c r="C4063" i="2" s="1"/>
  <c r="B4062" i="2"/>
  <c r="C4062" i="2" s="1"/>
  <c r="B4061" i="2"/>
  <c r="C4061" i="2" s="1"/>
  <c r="B4060" i="2"/>
  <c r="C4060" i="2" s="1"/>
  <c r="B4059" i="2"/>
  <c r="C4059" i="2" s="1"/>
  <c r="B4058" i="2"/>
  <c r="C4058" i="2" s="1"/>
  <c r="B4057" i="2"/>
  <c r="C4057" i="2" s="1"/>
  <c r="B4056" i="2"/>
  <c r="C4056" i="2" s="1"/>
  <c r="B4055" i="2"/>
  <c r="C4055" i="2" s="1"/>
  <c r="B4054" i="2"/>
  <c r="C4054" i="2" s="1"/>
  <c r="B4053" i="2"/>
  <c r="C4053" i="2" s="1"/>
  <c r="B4052" i="2"/>
  <c r="C4052" i="2" s="1"/>
  <c r="B4051" i="2"/>
  <c r="C4051" i="2" s="1"/>
  <c r="B4050" i="2"/>
  <c r="C4050" i="2" s="1"/>
  <c r="B4049" i="2"/>
  <c r="C4049" i="2" s="1"/>
  <c r="B4048" i="2"/>
  <c r="C4048" i="2" s="1"/>
  <c r="B4047" i="2"/>
  <c r="C4047" i="2" s="1"/>
  <c r="B4046" i="2"/>
  <c r="C4046" i="2" s="1"/>
  <c r="B4045" i="2"/>
  <c r="C4045" i="2" s="1"/>
  <c r="B4044" i="2"/>
  <c r="C4044" i="2" s="1"/>
  <c r="B4043" i="2"/>
  <c r="C4043" i="2" s="1"/>
  <c r="B4042" i="2"/>
  <c r="C4042" i="2" s="1"/>
  <c r="B4041" i="2"/>
  <c r="C4041" i="2" s="1"/>
  <c r="B4040" i="2"/>
  <c r="C4040" i="2" s="1"/>
  <c r="B4039" i="2"/>
  <c r="C4039" i="2" s="1"/>
  <c r="B4038" i="2"/>
  <c r="C4038" i="2" s="1"/>
  <c r="B4037" i="2"/>
  <c r="C4037" i="2" s="1"/>
  <c r="B4036" i="2"/>
  <c r="C4036" i="2" s="1"/>
  <c r="B4035" i="2"/>
  <c r="C4035" i="2" s="1"/>
  <c r="B4034" i="2"/>
  <c r="C4034" i="2" s="1"/>
  <c r="B4033" i="2"/>
  <c r="C4033" i="2" s="1"/>
  <c r="B4032" i="2"/>
  <c r="C4032" i="2" s="1"/>
  <c r="B4031" i="2"/>
  <c r="C4031" i="2" s="1"/>
  <c r="B4030" i="2"/>
  <c r="C4030" i="2" s="1"/>
  <c r="B4029" i="2"/>
  <c r="C4029" i="2" s="1"/>
  <c r="B4028" i="2"/>
  <c r="C4028" i="2" s="1"/>
  <c r="B4027" i="2"/>
  <c r="C4027" i="2" s="1"/>
  <c r="B4026" i="2"/>
  <c r="C4026" i="2" s="1"/>
  <c r="B4025" i="2"/>
  <c r="C4025" i="2" s="1"/>
  <c r="B4024" i="2"/>
  <c r="C4024" i="2" s="1"/>
  <c r="B4023" i="2"/>
  <c r="C4023" i="2" s="1"/>
  <c r="B4022" i="2"/>
  <c r="C4022" i="2" s="1"/>
  <c r="B4021" i="2"/>
  <c r="C4021" i="2" s="1"/>
  <c r="B4020" i="2"/>
  <c r="C4020" i="2" s="1"/>
  <c r="B4019" i="2"/>
  <c r="C4019" i="2" s="1"/>
  <c r="B4018" i="2"/>
  <c r="C4018" i="2" s="1"/>
  <c r="B4017" i="2"/>
  <c r="C4017" i="2" s="1"/>
  <c r="B4016" i="2"/>
  <c r="C4016" i="2" s="1"/>
  <c r="B4015" i="2"/>
  <c r="C4015" i="2" s="1"/>
  <c r="B4014" i="2"/>
  <c r="C4014" i="2" s="1"/>
  <c r="B4013" i="2"/>
  <c r="C4013" i="2" s="1"/>
  <c r="B4012" i="2"/>
  <c r="C4012" i="2" s="1"/>
  <c r="B4011" i="2"/>
  <c r="C4011" i="2" s="1"/>
  <c r="B4010" i="2"/>
  <c r="C4010" i="2" s="1"/>
  <c r="B4009" i="2"/>
  <c r="C4009" i="2" s="1"/>
  <c r="B4008" i="2"/>
  <c r="C4008" i="2" s="1"/>
  <c r="B4007" i="2"/>
  <c r="C4007" i="2" s="1"/>
  <c r="B4006" i="2"/>
  <c r="C4006" i="2" s="1"/>
  <c r="B4005" i="2"/>
  <c r="C4005" i="2" s="1"/>
  <c r="B4004" i="2"/>
  <c r="C4004" i="2" s="1"/>
  <c r="B4003" i="2"/>
  <c r="C4003" i="2" s="1"/>
  <c r="B4002" i="2"/>
  <c r="C4002" i="2" s="1"/>
  <c r="B4001" i="2"/>
  <c r="C4001" i="2" s="1"/>
  <c r="B4000" i="2"/>
  <c r="C4000" i="2" s="1"/>
  <c r="B3999" i="2"/>
  <c r="C3999" i="2" s="1"/>
  <c r="B3998" i="2"/>
  <c r="C3998" i="2" s="1"/>
  <c r="B3997" i="2"/>
  <c r="C3997" i="2" s="1"/>
  <c r="B3996" i="2"/>
  <c r="C3996" i="2" s="1"/>
  <c r="B3995" i="2"/>
  <c r="C3995" i="2" s="1"/>
  <c r="B3994" i="2"/>
  <c r="C3994" i="2" s="1"/>
  <c r="B3993" i="2"/>
  <c r="C3993" i="2" s="1"/>
  <c r="B3992" i="2"/>
  <c r="C3992" i="2" s="1"/>
  <c r="B3991" i="2"/>
  <c r="C3991" i="2" s="1"/>
  <c r="B3990" i="2"/>
  <c r="C3990" i="2" s="1"/>
  <c r="B3989" i="2"/>
  <c r="C3989" i="2" s="1"/>
  <c r="B3988" i="2"/>
  <c r="C3988" i="2" s="1"/>
  <c r="B3987" i="2"/>
  <c r="C3987" i="2" s="1"/>
  <c r="B3986" i="2"/>
  <c r="C3986" i="2" s="1"/>
  <c r="B3985" i="2"/>
  <c r="C3985" i="2" s="1"/>
  <c r="B3984" i="2"/>
  <c r="C3984" i="2" s="1"/>
  <c r="B3983" i="2"/>
  <c r="C3983" i="2" s="1"/>
  <c r="B3982" i="2"/>
  <c r="C3982" i="2" s="1"/>
  <c r="B3981" i="2"/>
  <c r="C3981" i="2" s="1"/>
  <c r="B3980" i="2"/>
  <c r="C3980" i="2" s="1"/>
  <c r="B3979" i="2"/>
  <c r="C3979" i="2" s="1"/>
  <c r="B3978" i="2"/>
  <c r="C3978" i="2" s="1"/>
  <c r="B3977" i="2"/>
  <c r="C3977" i="2" s="1"/>
  <c r="B3976" i="2"/>
  <c r="C3976" i="2" s="1"/>
  <c r="B3975" i="2"/>
  <c r="C3975" i="2" s="1"/>
  <c r="B3974" i="2"/>
  <c r="C3974" i="2" s="1"/>
  <c r="B3973" i="2"/>
  <c r="C3973" i="2" s="1"/>
  <c r="B3972" i="2"/>
  <c r="C3972" i="2" s="1"/>
  <c r="B3971" i="2"/>
  <c r="C3971" i="2" s="1"/>
  <c r="B3970" i="2"/>
  <c r="C3970" i="2" s="1"/>
  <c r="B3969" i="2"/>
  <c r="C3969" i="2" s="1"/>
  <c r="B3968" i="2"/>
  <c r="C3968" i="2" s="1"/>
  <c r="B3967" i="2"/>
  <c r="C3967" i="2" s="1"/>
  <c r="B3966" i="2"/>
  <c r="C3966" i="2" s="1"/>
  <c r="B3965" i="2"/>
  <c r="C3965" i="2" s="1"/>
  <c r="B3964" i="2"/>
  <c r="C3964" i="2" s="1"/>
  <c r="B3963" i="2"/>
  <c r="C3963" i="2" s="1"/>
  <c r="B3962" i="2"/>
  <c r="C3962" i="2" s="1"/>
  <c r="B3961" i="2"/>
  <c r="C3961" i="2" s="1"/>
  <c r="B3960" i="2"/>
  <c r="C3960" i="2" s="1"/>
  <c r="B3959" i="2"/>
  <c r="C3959" i="2" s="1"/>
  <c r="B3958" i="2"/>
  <c r="C3958" i="2" s="1"/>
  <c r="B3957" i="2"/>
  <c r="C3957" i="2" s="1"/>
  <c r="B3956" i="2"/>
  <c r="C3956" i="2" s="1"/>
  <c r="B3955" i="2"/>
  <c r="C3955" i="2" s="1"/>
  <c r="B3954" i="2"/>
  <c r="C3954" i="2" s="1"/>
  <c r="B3953" i="2"/>
  <c r="C3953" i="2" s="1"/>
  <c r="B3952" i="2"/>
  <c r="C3952" i="2" s="1"/>
  <c r="B3951" i="2"/>
  <c r="C3951" i="2" s="1"/>
  <c r="B3950" i="2"/>
  <c r="C3950" i="2" s="1"/>
  <c r="B3949" i="2"/>
  <c r="C3949" i="2" s="1"/>
  <c r="B3948" i="2"/>
  <c r="C3948" i="2" s="1"/>
  <c r="B3947" i="2"/>
  <c r="C3947" i="2" s="1"/>
  <c r="B3946" i="2"/>
  <c r="C3946" i="2" s="1"/>
  <c r="B3945" i="2"/>
  <c r="C3945" i="2" s="1"/>
  <c r="B3944" i="2"/>
  <c r="C3944" i="2" s="1"/>
  <c r="B3943" i="2"/>
  <c r="C3943" i="2" s="1"/>
  <c r="B3942" i="2"/>
  <c r="C3942" i="2" s="1"/>
  <c r="B3941" i="2"/>
  <c r="C3941" i="2" s="1"/>
  <c r="B3940" i="2"/>
  <c r="C3940" i="2" s="1"/>
  <c r="B3939" i="2"/>
  <c r="C3939" i="2" s="1"/>
  <c r="B3938" i="2"/>
  <c r="C3938" i="2" s="1"/>
  <c r="B3937" i="2"/>
  <c r="C3937" i="2" s="1"/>
  <c r="B3936" i="2"/>
  <c r="C3936" i="2" s="1"/>
  <c r="B3935" i="2"/>
  <c r="C3935" i="2" s="1"/>
  <c r="B3934" i="2"/>
  <c r="C3934" i="2" s="1"/>
  <c r="B3933" i="2"/>
  <c r="C3933" i="2" s="1"/>
  <c r="B3932" i="2"/>
  <c r="C3932" i="2" s="1"/>
  <c r="B3931" i="2"/>
  <c r="C3931" i="2" s="1"/>
  <c r="B3930" i="2"/>
  <c r="C3930" i="2" s="1"/>
  <c r="B3929" i="2"/>
  <c r="C3929" i="2" s="1"/>
  <c r="B3928" i="2"/>
  <c r="C3928" i="2" s="1"/>
  <c r="B3927" i="2"/>
  <c r="C3927" i="2" s="1"/>
  <c r="B3926" i="2"/>
  <c r="C3926" i="2" s="1"/>
  <c r="B3925" i="2"/>
  <c r="C3925" i="2" s="1"/>
  <c r="B3924" i="2"/>
  <c r="C3924" i="2" s="1"/>
  <c r="B3923" i="2"/>
  <c r="C3923" i="2" s="1"/>
  <c r="B3922" i="2"/>
  <c r="C3922" i="2" s="1"/>
  <c r="B3921" i="2"/>
  <c r="C3921" i="2" s="1"/>
  <c r="B3920" i="2"/>
  <c r="C3920" i="2" s="1"/>
  <c r="B3919" i="2"/>
  <c r="C3919" i="2" s="1"/>
  <c r="B3918" i="2"/>
  <c r="C3918" i="2" s="1"/>
  <c r="B3917" i="2"/>
  <c r="C3917" i="2" s="1"/>
  <c r="B3916" i="2"/>
  <c r="C3916" i="2" s="1"/>
  <c r="B3915" i="2"/>
  <c r="C3915" i="2" s="1"/>
  <c r="B3914" i="2"/>
  <c r="C3914" i="2" s="1"/>
  <c r="B3913" i="2"/>
  <c r="C3913" i="2" s="1"/>
  <c r="B3912" i="2"/>
  <c r="C3912" i="2" s="1"/>
  <c r="B3911" i="2"/>
  <c r="C3911" i="2" s="1"/>
  <c r="B3910" i="2"/>
  <c r="C3910" i="2" s="1"/>
  <c r="B3909" i="2"/>
  <c r="C3909" i="2" s="1"/>
  <c r="B3908" i="2"/>
  <c r="C3908" i="2" s="1"/>
  <c r="B3907" i="2"/>
  <c r="C3907" i="2" s="1"/>
  <c r="B3906" i="2"/>
  <c r="C3906" i="2" s="1"/>
  <c r="B3905" i="2"/>
  <c r="C3905" i="2" s="1"/>
  <c r="B3904" i="2"/>
  <c r="C3904" i="2" s="1"/>
  <c r="B3903" i="2"/>
  <c r="C3903" i="2" s="1"/>
  <c r="B3902" i="2"/>
  <c r="C3902" i="2" s="1"/>
  <c r="B3901" i="2"/>
  <c r="C3901" i="2" s="1"/>
  <c r="B3900" i="2"/>
  <c r="C3900" i="2" s="1"/>
  <c r="B3899" i="2"/>
  <c r="C3899" i="2" s="1"/>
  <c r="B3898" i="2"/>
  <c r="C3898" i="2" s="1"/>
  <c r="B3897" i="2"/>
  <c r="C3897" i="2" s="1"/>
  <c r="B3896" i="2"/>
  <c r="C3896" i="2" s="1"/>
  <c r="B3895" i="2"/>
  <c r="C3895" i="2" s="1"/>
  <c r="B3894" i="2"/>
  <c r="C3894" i="2" s="1"/>
  <c r="B3893" i="2"/>
  <c r="C3893" i="2" s="1"/>
  <c r="B3892" i="2"/>
  <c r="C3892" i="2" s="1"/>
  <c r="B3891" i="2"/>
  <c r="C3891" i="2" s="1"/>
  <c r="B3890" i="2"/>
  <c r="C3890" i="2" s="1"/>
  <c r="B3889" i="2"/>
  <c r="C3889" i="2" s="1"/>
  <c r="B3888" i="2"/>
  <c r="C3888" i="2" s="1"/>
  <c r="B3887" i="2"/>
  <c r="C3887" i="2" s="1"/>
  <c r="B3886" i="2"/>
  <c r="C3886" i="2" s="1"/>
  <c r="B3885" i="2"/>
  <c r="C3885" i="2" s="1"/>
  <c r="B3884" i="2"/>
  <c r="C3884" i="2" s="1"/>
  <c r="B3883" i="2"/>
  <c r="C3883" i="2" s="1"/>
  <c r="B3882" i="2"/>
  <c r="C3882" i="2" s="1"/>
  <c r="B3881" i="2"/>
  <c r="C3881" i="2" s="1"/>
  <c r="B3880" i="2"/>
  <c r="C3880" i="2" s="1"/>
  <c r="B3879" i="2"/>
  <c r="C3879" i="2" s="1"/>
  <c r="B3878" i="2"/>
  <c r="C3878" i="2" s="1"/>
  <c r="B3877" i="2"/>
  <c r="C3877" i="2" s="1"/>
  <c r="B3876" i="2"/>
  <c r="C3876" i="2" s="1"/>
  <c r="B3875" i="2"/>
  <c r="C3875" i="2" s="1"/>
  <c r="B3874" i="2"/>
  <c r="C3874" i="2" s="1"/>
  <c r="B3873" i="2"/>
  <c r="C3873" i="2" s="1"/>
  <c r="B3872" i="2"/>
  <c r="C3872" i="2" s="1"/>
  <c r="B3871" i="2"/>
  <c r="C3871" i="2" s="1"/>
  <c r="B3870" i="2"/>
  <c r="C3870" i="2" s="1"/>
  <c r="B3869" i="2"/>
  <c r="C3869" i="2" s="1"/>
  <c r="B3868" i="2"/>
  <c r="C3868" i="2" s="1"/>
  <c r="B3867" i="2"/>
  <c r="C3867" i="2" s="1"/>
  <c r="B3866" i="2"/>
  <c r="C3866" i="2" s="1"/>
  <c r="B3865" i="2"/>
  <c r="C3865" i="2" s="1"/>
  <c r="B3864" i="2"/>
  <c r="C3864" i="2" s="1"/>
  <c r="B3863" i="2"/>
  <c r="C3863" i="2" s="1"/>
  <c r="B3862" i="2"/>
  <c r="C3862" i="2" s="1"/>
  <c r="B3861" i="2"/>
  <c r="C3861" i="2" s="1"/>
  <c r="B3860" i="2"/>
  <c r="C3860" i="2" s="1"/>
  <c r="B3859" i="2"/>
  <c r="C3859" i="2" s="1"/>
  <c r="B3858" i="2"/>
  <c r="C3858" i="2" s="1"/>
  <c r="B3857" i="2"/>
  <c r="C3857" i="2" s="1"/>
  <c r="B3856" i="2"/>
  <c r="C3856" i="2" s="1"/>
  <c r="B3855" i="2"/>
  <c r="C3855" i="2" s="1"/>
  <c r="B3854" i="2"/>
  <c r="C3854" i="2" s="1"/>
  <c r="B3853" i="2"/>
  <c r="C3853" i="2" s="1"/>
  <c r="B3852" i="2"/>
  <c r="C3852" i="2" s="1"/>
  <c r="B3851" i="2"/>
  <c r="C3851" i="2" s="1"/>
  <c r="B3850" i="2"/>
  <c r="C3850" i="2" s="1"/>
  <c r="B3849" i="2"/>
  <c r="C3849" i="2" s="1"/>
  <c r="B3848" i="2"/>
  <c r="C3848" i="2" s="1"/>
  <c r="B3847" i="2"/>
  <c r="C3847" i="2" s="1"/>
  <c r="B3846" i="2"/>
  <c r="C3846" i="2" s="1"/>
  <c r="B3845" i="2"/>
  <c r="C3845" i="2" s="1"/>
  <c r="B3844" i="2"/>
  <c r="C3844" i="2" s="1"/>
  <c r="B3843" i="2"/>
  <c r="C3843" i="2" s="1"/>
  <c r="B3842" i="2"/>
  <c r="C3842" i="2" s="1"/>
  <c r="B3841" i="2"/>
  <c r="C3841" i="2" s="1"/>
  <c r="B3840" i="2"/>
  <c r="C3840" i="2" s="1"/>
  <c r="B3839" i="2"/>
  <c r="C3839" i="2" s="1"/>
  <c r="B3838" i="2"/>
  <c r="C3838" i="2" s="1"/>
  <c r="B3837" i="2"/>
  <c r="C3837" i="2" s="1"/>
  <c r="B3836" i="2"/>
  <c r="C3836" i="2" s="1"/>
  <c r="B3835" i="2"/>
  <c r="C3835" i="2" s="1"/>
  <c r="B3834" i="2"/>
  <c r="C3834" i="2" s="1"/>
  <c r="B3833" i="2"/>
  <c r="C3833" i="2" s="1"/>
  <c r="B3832" i="2"/>
  <c r="C3832" i="2" s="1"/>
  <c r="B3831" i="2"/>
  <c r="C3831" i="2" s="1"/>
  <c r="B3830" i="2"/>
  <c r="C3830" i="2" s="1"/>
  <c r="B3829" i="2"/>
  <c r="C3829" i="2" s="1"/>
  <c r="B3828" i="2"/>
  <c r="C3828" i="2" s="1"/>
  <c r="B3827" i="2"/>
  <c r="C3827" i="2" s="1"/>
  <c r="B3826" i="2"/>
  <c r="C3826" i="2" s="1"/>
  <c r="B3825" i="2"/>
  <c r="C3825" i="2" s="1"/>
  <c r="B3824" i="2"/>
  <c r="C3824" i="2" s="1"/>
  <c r="B3823" i="2"/>
  <c r="C3823" i="2" s="1"/>
  <c r="B3822" i="2"/>
  <c r="C3822" i="2" s="1"/>
  <c r="B3821" i="2"/>
  <c r="C3821" i="2" s="1"/>
  <c r="B3820" i="2"/>
  <c r="C3820" i="2" s="1"/>
  <c r="B3819" i="2"/>
  <c r="C3819" i="2" s="1"/>
  <c r="B3818" i="2"/>
  <c r="C3818" i="2" s="1"/>
  <c r="B3817" i="2"/>
  <c r="C3817" i="2" s="1"/>
  <c r="B3816" i="2"/>
  <c r="C3816" i="2" s="1"/>
  <c r="B3815" i="2"/>
  <c r="C3815" i="2" s="1"/>
  <c r="B3814" i="2"/>
  <c r="C3814" i="2" s="1"/>
  <c r="B3813" i="2"/>
  <c r="C3813" i="2" s="1"/>
  <c r="B3812" i="2"/>
  <c r="C3812" i="2" s="1"/>
  <c r="B3811" i="2"/>
  <c r="C3811" i="2" s="1"/>
  <c r="B3810" i="2"/>
  <c r="C3810" i="2" s="1"/>
  <c r="B3809" i="2"/>
  <c r="C3809" i="2" s="1"/>
  <c r="B3808" i="2"/>
  <c r="C3808" i="2" s="1"/>
  <c r="B3807" i="2"/>
  <c r="C3807" i="2" s="1"/>
  <c r="B3806" i="2"/>
  <c r="C3806" i="2" s="1"/>
  <c r="B3805" i="2"/>
  <c r="C3805" i="2" s="1"/>
  <c r="B3804" i="2"/>
  <c r="C3804" i="2" s="1"/>
  <c r="B3803" i="2"/>
  <c r="C3803" i="2" s="1"/>
  <c r="B3802" i="2"/>
  <c r="C3802" i="2" s="1"/>
  <c r="B3801" i="2"/>
  <c r="C3801" i="2" s="1"/>
  <c r="B3800" i="2"/>
  <c r="C3800" i="2" s="1"/>
  <c r="B3799" i="2"/>
  <c r="C3799" i="2" s="1"/>
  <c r="B3798" i="2"/>
  <c r="C3798" i="2" s="1"/>
  <c r="B3797" i="2"/>
  <c r="C3797" i="2" s="1"/>
  <c r="B3796" i="2"/>
  <c r="C3796" i="2" s="1"/>
  <c r="B3795" i="2"/>
  <c r="C3795" i="2" s="1"/>
  <c r="B3794" i="2"/>
  <c r="C3794" i="2" s="1"/>
  <c r="B3793" i="2"/>
  <c r="C3793" i="2" s="1"/>
  <c r="B3792" i="2"/>
  <c r="C3792" i="2" s="1"/>
  <c r="B3791" i="2"/>
  <c r="C3791" i="2" s="1"/>
  <c r="B3790" i="2"/>
  <c r="C3790" i="2" s="1"/>
  <c r="B3789" i="2"/>
  <c r="C3789" i="2" s="1"/>
  <c r="B3788" i="2"/>
  <c r="C3788" i="2" s="1"/>
  <c r="B3787" i="2"/>
  <c r="C3787" i="2" s="1"/>
  <c r="B3786" i="2"/>
  <c r="C3786" i="2" s="1"/>
  <c r="B3785" i="2"/>
  <c r="C3785" i="2" s="1"/>
  <c r="B3784" i="2"/>
  <c r="C3784" i="2" s="1"/>
  <c r="B3783" i="2"/>
  <c r="C3783" i="2" s="1"/>
  <c r="B3782" i="2"/>
  <c r="C3782" i="2" s="1"/>
  <c r="B3781" i="2"/>
  <c r="C3781" i="2" s="1"/>
  <c r="B3780" i="2"/>
  <c r="C3780" i="2" s="1"/>
  <c r="B3779" i="2"/>
  <c r="C3779" i="2" s="1"/>
  <c r="B3778" i="2"/>
  <c r="C3778" i="2" s="1"/>
  <c r="B3777" i="2"/>
  <c r="C3777" i="2" s="1"/>
  <c r="B3776" i="2"/>
  <c r="C3776" i="2" s="1"/>
  <c r="B3775" i="2"/>
  <c r="C3775" i="2" s="1"/>
  <c r="B3774" i="2"/>
  <c r="C3774" i="2" s="1"/>
  <c r="B3773" i="2"/>
  <c r="C3773" i="2" s="1"/>
  <c r="B3772" i="2"/>
  <c r="C3772" i="2" s="1"/>
  <c r="B3771" i="2"/>
  <c r="C3771" i="2" s="1"/>
  <c r="B3770" i="2"/>
  <c r="C3770" i="2" s="1"/>
  <c r="B3769" i="2"/>
  <c r="C3769" i="2" s="1"/>
  <c r="B3768" i="2"/>
  <c r="C3768" i="2" s="1"/>
  <c r="B3767" i="2"/>
  <c r="C3767" i="2" s="1"/>
  <c r="B3766" i="2"/>
  <c r="C3766" i="2" s="1"/>
  <c r="B3765" i="2"/>
  <c r="C3765" i="2" s="1"/>
  <c r="B3764" i="2"/>
  <c r="C3764" i="2" s="1"/>
  <c r="B3763" i="2"/>
  <c r="C3763" i="2" s="1"/>
  <c r="B3762" i="2"/>
  <c r="C3762" i="2" s="1"/>
  <c r="B3761" i="2"/>
  <c r="C3761" i="2" s="1"/>
  <c r="B3760" i="2"/>
  <c r="C3760" i="2" s="1"/>
  <c r="B3759" i="2"/>
  <c r="C3759" i="2" s="1"/>
  <c r="B3758" i="2"/>
  <c r="C3758" i="2" s="1"/>
  <c r="B3757" i="2"/>
  <c r="C3757" i="2" s="1"/>
  <c r="B3756" i="2"/>
  <c r="C3756" i="2" s="1"/>
  <c r="B3755" i="2"/>
  <c r="C3755" i="2" s="1"/>
  <c r="B3754" i="2"/>
  <c r="C3754" i="2" s="1"/>
  <c r="B3753" i="2"/>
  <c r="C3753" i="2" s="1"/>
  <c r="B3752" i="2"/>
  <c r="C3752" i="2" s="1"/>
  <c r="B3751" i="2"/>
  <c r="C3751" i="2" s="1"/>
  <c r="B3750" i="2"/>
  <c r="C3750" i="2" s="1"/>
  <c r="B3749" i="2"/>
  <c r="C3749" i="2" s="1"/>
  <c r="B3748" i="2"/>
  <c r="C3748" i="2" s="1"/>
  <c r="B3747" i="2"/>
  <c r="C3747" i="2" s="1"/>
  <c r="B3746" i="2"/>
  <c r="C3746" i="2" s="1"/>
  <c r="B3745" i="2"/>
  <c r="C3745" i="2" s="1"/>
  <c r="B3744" i="2"/>
  <c r="C3744" i="2" s="1"/>
  <c r="B3743" i="2"/>
  <c r="C3743" i="2" s="1"/>
  <c r="B3742" i="2"/>
  <c r="C3742" i="2" s="1"/>
  <c r="B3741" i="2"/>
  <c r="C3741" i="2" s="1"/>
  <c r="B3740" i="2"/>
  <c r="C3740" i="2" s="1"/>
  <c r="B3739" i="2"/>
  <c r="C3739" i="2" s="1"/>
  <c r="B3738" i="2"/>
  <c r="C3738" i="2" s="1"/>
  <c r="B3737" i="2"/>
  <c r="C3737" i="2" s="1"/>
  <c r="B3736" i="2"/>
  <c r="C3736" i="2" s="1"/>
  <c r="B3735" i="2"/>
  <c r="C3735" i="2" s="1"/>
  <c r="B3734" i="2"/>
  <c r="C3734" i="2" s="1"/>
  <c r="B3733" i="2"/>
  <c r="C3733" i="2" s="1"/>
  <c r="B3732" i="2"/>
  <c r="C3732" i="2" s="1"/>
  <c r="B3731" i="2"/>
  <c r="C3731" i="2" s="1"/>
  <c r="B3730" i="2"/>
  <c r="C3730" i="2" s="1"/>
  <c r="B3729" i="2"/>
  <c r="C3729" i="2" s="1"/>
  <c r="B3728" i="2"/>
  <c r="C3728" i="2" s="1"/>
  <c r="B3727" i="2"/>
  <c r="C3727" i="2" s="1"/>
  <c r="B3726" i="2"/>
  <c r="C3726" i="2" s="1"/>
  <c r="B3725" i="2"/>
  <c r="C3725" i="2" s="1"/>
  <c r="B3724" i="2"/>
  <c r="C3724" i="2" s="1"/>
  <c r="B3723" i="2"/>
  <c r="C3723" i="2" s="1"/>
  <c r="B3722" i="2"/>
  <c r="C3722" i="2" s="1"/>
  <c r="B3721" i="2"/>
  <c r="C3721" i="2" s="1"/>
  <c r="B3720" i="2"/>
  <c r="C3720" i="2" s="1"/>
  <c r="B3719" i="2"/>
  <c r="C3719" i="2" s="1"/>
  <c r="B3718" i="2"/>
  <c r="C3718" i="2" s="1"/>
  <c r="B3717" i="2"/>
  <c r="C3717" i="2" s="1"/>
  <c r="B3716" i="2"/>
  <c r="C3716" i="2" s="1"/>
  <c r="B3715" i="2"/>
  <c r="C3715" i="2" s="1"/>
  <c r="B3714" i="2"/>
  <c r="C3714" i="2" s="1"/>
  <c r="B3713" i="2"/>
  <c r="C3713" i="2" s="1"/>
  <c r="B3712" i="2"/>
  <c r="C3712" i="2" s="1"/>
  <c r="B3711" i="2"/>
  <c r="C3711" i="2" s="1"/>
  <c r="B3710" i="2"/>
  <c r="C3710" i="2" s="1"/>
  <c r="B3709" i="2"/>
  <c r="C3709" i="2" s="1"/>
  <c r="B3708" i="2"/>
  <c r="C3708" i="2" s="1"/>
  <c r="B3707" i="2"/>
  <c r="C3707" i="2" s="1"/>
  <c r="B3706" i="2"/>
  <c r="C3706" i="2" s="1"/>
  <c r="B3705" i="2"/>
  <c r="C3705" i="2" s="1"/>
  <c r="B3704" i="2"/>
  <c r="C3704" i="2" s="1"/>
  <c r="B3703" i="2"/>
  <c r="C3703" i="2" s="1"/>
  <c r="B3702" i="2"/>
  <c r="C3702" i="2" s="1"/>
  <c r="B3701" i="2"/>
  <c r="C3701" i="2" s="1"/>
  <c r="B3700" i="2"/>
  <c r="C3700" i="2" s="1"/>
  <c r="B3699" i="2"/>
  <c r="C3699" i="2" s="1"/>
  <c r="B3698" i="2"/>
  <c r="C3698" i="2" s="1"/>
  <c r="B3697" i="2"/>
  <c r="C3697" i="2" s="1"/>
  <c r="B3696" i="2"/>
  <c r="C3696" i="2" s="1"/>
  <c r="B3695" i="2"/>
  <c r="C3695" i="2" s="1"/>
  <c r="B3694" i="2"/>
  <c r="C3694" i="2" s="1"/>
  <c r="B3693" i="2"/>
  <c r="C3693" i="2" s="1"/>
  <c r="B3692" i="2"/>
  <c r="C3692" i="2" s="1"/>
  <c r="B3691" i="2"/>
  <c r="C3691" i="2" s="1"/>
  <c r="B3690" i="2"/>
  <c r="C3690" i="2" s="1"/>
  <c r="B3689" i="2"/>
  <c r="C3689" i="2" s="1"/>
  <c r="B3688" i="2"/>
  <c r="C3688" i="2" s="1"/>
  <c r="B3687" i="2"/>
  <c r="C3687" i="2" s="1"/>
  <c r="B3686" i="2"/>
  <c r="C3686" i="2" s="1"/>
  <c r="B3685" i="2"/>
  <c r="C3685" i="2" s="1"/>
  <c r="B3684" i="2"/>
  <c r="C3684" i="2" s="1"/>
  <c r="B3683" i="2"/>
  <c r="C3683" i="2" s="1"/>
  <c r="B3682" i="2"/>
  <c r="C3682" i="2" s="1"/>
  <c r="B3681" i="2"/>
  <c r="C3681" i="2" s="1"/>
  <c r="B3680" i="2"/>
  <c r="C3680" i="2" s="1"/>
  <c r="B3679" i="2"/>
  <c r="C3679" i="2" s="1"/>
  <c r="B3678" i="2"/>
  <c r="C3678" i="2" s="1"/>
  <c r="B3677" i="2"/>
  <c r="C3677" i="2" s="1"/>
  <c r="B3676" i="2"/>
  <c r="C3676" i="2" s="1"/>
  <c r="B3675" i="2"/>
  <c r="C3675" i="2" s="1"/>
  <c r="B3674" i="2"/>
  <c r="C3674" i="2" s="1"/>
  <c r="B3673" i="2"/>
  <c r="C3673" i="2" s="1"/>
  <c r="B3672" i="2"/>
  <c r="C3672" i="2" s="1"/>
  <c r="B3671" i="2"/>
  <c r="C3671" i="2" s="1"/>
  <c r="B3670" i="2"/>
  <c r="C3670" i="2" s="1"/>
  <c r="B3669" i="2"/>
  <c r="C3669" i="2" s="1"/>
  <c r="B3668" i="2"/>
  <c r="C3668" i="2" s="1"/>
  <c r="B3667" i="2"/>
  <c r="C3667" i="2" s="1"/>
  <c r="B3666" i="2"/>
  <c r="C3666" i="2" s="1"/>
  <c r="B3665" i="2"/>
  <c r="C3665" i="2" s="1"/>
  <c r="B3664" i="2"/>
  <c r="C3664" i="2" s="1"/>
  <c r="B3663" i="2"/>
  <c r="C3663" i="2" s="1"/>
  <c r="B3662" i="2"/>
  <c r="C3662" i="2" s="1"/>
  <c r="B3661" i="2"/>
  <c r="C3661" i="2" s="1"/>
  <c r="B3660" i="2"/>
  <c r="C3660" i="2" s="1"/>
  <c r="B3659" i="2"/>
  <c r="C3659" i="2" s="1"/>
  <c r="B3658" i="2"/>
  <c r="C3658" i="2" s="1"/>
  <c r="B3657" i="2"/>
  <c r="C3657" i="2" s="1"/>
  <c r="B3656" i="2"/>
  <c r="C3656" i="2" s="1"/>
  <c r="B3655" i="2"/>
  <c r="C3655" i="2" s="1"/>
  <c r="B3654" i="2"/>
  <c r="C3654" i="2" s="1"/>
  <c r="B3653" i="2"/>
  <c r="C3653" i="2" s="1"/>
  <c r="B3652" i="2"/>
  <c r="C3652" i="2" s="1"/>
  <c r="B3651" i="2"/>
  <c r="C3651" i="2" s="1"/>
  <c r="B3650" i="2"/>
  <c r="C3650" i="2" s="1"/>
  <c r="B3649" i="2"/>
  <c r="C3649" i="2" s="1"/>
  <c r="B3648" i="2"/>
  <c r="C3648" i="2" s="1"/>
  <c r="B3647" i="2"/>
  <c r="C3647" i="2" s="1"/>
  <c r="B3646" i="2"/>
  <c r="C3646" i="2" s="1"/>
  <c r="B3645" i="2"/>
  <c r="C3645" i="2" s="1"/>
  <c r="B3644" i="2"/>
  <c r="C3644" i="2" s="1"/>
  <c r="B3643" i="2"/>
  <c r="C3643" i="2" s="1"/>
  <c r="B3642" i="2"/>
  <c r="C3642" i="2" s="1"/>
  <c r="B3641" i="2"/>
  <c r="C3641" i="2" s="1"/>
  <c r="B3640" i="2"/>
  <c r="C3640" i="2" s="1"/>
  <c r="B3639" i="2"/>
  <c r="C3639" i="2" s="1"/>
  <c r="B3638" i="2"/>
  <c r="C3638" i="2" s="1"/>
  <c r="B3637" i="2"/>
  <c r="C3637" i="2" s="1"/>
  <c r="B3636" i="2"/>
  <c r="C3636" i="2" s="1"/>
  <c r="B3635" i="2"/>
  <c r="C3635" i="2" s="1"/>
  <c r="B3634" i="2"/>
  <c r="C3634" i="2" s="1"/>
  <c r="B3633" i="2"/>
  <c r="C3633" i="2" s="1"/>
  <c r="B3632" i="2"/>
  <c r="C3632" i="2" s="1"/>
  <c r="B3631" i="2"/>
  <c r="C3631" i="2" s="1"/>
  <c r="B3630" i="2"/>
  <c r="C3630" i="2" s="1"/>
  <c r="B3629" i="2"/>
  <c r="C3629" i="2" s="1"/>
  <c r="B3628" i="2"/>
  <c r="C3628" i="2" s="1"/>
  <c r="B3627" i="2"/>
  <c r="C3627" i="2" s="1"/>
  <c r="B3626" i="2"/>
  <c r="C3626" i="2" s="1"/>
  <c r="B3625" i="2"/>
  <c r="C3625" i="2" s="1"/>
  <c r="B3624" i="2"/>
  <c r="C3624" i="2" s="1"/>
  <c r="B3623" i="2"/>
  <c r="C3623" i="2" s="1"/>
  <c r="B3622" i="2"/>
  <c r="C3622" i="2" s="1"/>
  <c r="B3621" i="2"/>
  <c r="C3621" i="2" s="1"/>
  <c r="B3620" i="2"/>
  <c r="C3620" i="2" s="1"/>
  <c r="B3619" i="2"/>
  <c r="C3619" i="2" s="1"/>
  <c r="B3618" i="2"/>
  <c r="C3618" i="2" s="1"/>
  <c r="B3617" i="2"/>
  <c r="C3617" i="2" s="1"/>
  <c r="B3616" i="2"/>
  <c r="C3616" i="2" s="1"/>
  <c r="B3615" i="2"/>
  <c r="C3615" i="2" s="1"/>
  <c r="B3614" i="2"/>
  <c r="C3614" i="2" s="1"/>
  <c r="B3613" i="2"/>
  <c r="C3613" i="2" s="1"/>
  <c r="B3612" i="2"/>
  <c r="C3612" i="2" s="1"/>
  <c r="B3611" i="2"/>
  <c r="C3611" i="2" s="1"/>
  <c r="B3610" i="2"/>
  <c r="C3610" i="2" s="1"/>
  <c r="B3609" i="2"/>
  <c r="C3609" i="2" s="1"/>
  <c r="B3608" i="2"/>
  <c r="C3608" i="2" s="1"/>
  <c r="B3607" i="2"/>
  <c r="C3607" i="2" s="1"/>
  <c r="B3606" i="2"/>
  <c r="C3606" i="2" s="1"/>
  <c r="B3605" i="2"/>
  <c r="C3605" i="2" s="1"/>
  <c r="B3604" i="2"/>
  <c r="C3604" i="2" s="1"/>
  <c r="B3603" i="2"/>
  <c r="C3603" i="2" s="1"/>
  <c r="B3602" i="2"/>
  <c r="C3602" i="2" s="1"/>
  <c r="B3601" i="2"/>
  <c r="C3601" i="2" s="1"/>
  <c r="B3600" i="2"/>
  <c r="C3600" i="2" s="1"/>
  <c r="B3599" i="2"/>
  <c r="C3599" i="2" s="1"/>
  <c r="B3598" i="2"/>
  <c r="C3598" i="2" s="1"/>
  <c r="B3597" i="2"/>
  <c r="C3597" i="2" s="1"/>
  <c r="B3596" i="2"/>
  <c r="C3596" i="2" s="1"/>
  <c r="B3595" i="2"/>
  <c r="C3595" i="2" s="1"/>
  <c r="B3594" i="2"/>
  <c r="C3594" i="2" s="1"/>
  <c r="B3593" i="2"/>
  <c r="C3593" i="2" s="1"/>
  <c r="B3592" i="2"/>
  <c r="C3592" i="2" s="1"/>
  <c r="B3591" i="2"/>
  <c r="C3591" i="2" s="1"/>
  <c r="B3590" i="2"/>
  <c r="C3590" i="2" s="1"/>
  <c r="B3589" i="2"/>
  <c r="C3589" i="2" s="1"/>
  <c r="B3588" i="2"/>
  <c r="C3588" i="2" s="1"/>
  <c r="B3587" i="2"/>
  <c r="C3587" i="2" s="1"/>
  <c r="B3586" i="2"/>
  <c r="C3586" i="2" s="1"/>
  <c r="B3585" i="2"/>
  <c r="C3585" i="2" s="1"/>
  <c r="B3584" i="2"/>
  <c r="C3584" i="2" s="1"/>
  <c r="B3583" i="2"/>
  <c r="C3583" i="2" s="1"/>
  <c r="B3582" i="2"/>
  <c r="C3582" i="2" s="1"/>
  <c r="B3581" i="2"/>
  <c r="C3581" i="2" s="1"/>
  <c r="B3580" i="2"/>
  <c r="C3580" i="2" s="1"/>
  <c r="B3579" i="2"/>
  <c r="C3579" i="2" s="1"/>
  <c r="B3578" i="2"/>
  <c r="C3578" i="2" s="1"/>
  <c r="B3577" i="2"/>
  <c r="C3577" i="2" s="1"/>
  <c r="B3576" i="2"/>
  <c r="C3576" i="2" s="1"/>
  <c r="B3575" i="2"/>
  <c r="C3575" i="2" s="1"/>
  <c r="B3574" i="2"/>
  <c r="C3574" i="2" s="1"/>
  <c r="B3573" i="2"/>
  <c r="C3573" i="2" s="1"/>
  <c r="B3572" i="2"/>
  <c r="C3572" i="2" s="1"/>
  <c r="B3571" i="2"/>
  <c r="C3571" i="2" s="1"/>
  <c r="B3570" i="2"/>
  <c r="C3570" i="2" s="1"/>
  <c r="B3569" i="2"/>
  <c r="C3569" i="2" s="1"/>
  <c r="B3568" i="2"/>
  <c r="C3568" i="2" s="1"/>
  <c r="B3567" i="2"/>
  <c r="C3567" i="2" s="1"/>
  <c r="B3566" i="2"/>
  <c r="C3566" i="2" s="1"/>
  <c r="B3565" i="2"/>
  <c r="C3565" i="2" s="1"/>
  <c r="B3564" i="2"/>
  <c r="C3564" i="2" s="1"/>
  <c r="B3563" i="2"/>
  <c r="C3563" i="2" s="1"/>
  <c r="B3562" i="2"/>
  <c r="C3562" i="2" s="1"/>
  <c r="B3561" i="2"/>
  <c r="C3561" i="2" s="1"/>
  <c r="B3560" i="2"/>
  <c r="C3560" i="2" s="1"/>
  <c r="B3559" i="2"/>
  <c r="C3559" i="2" s="1"/>
  <c r="B3558" i="2"/>
  <c r="C3558" i="2" s="1"/>
  <c r="B3557" i="2"/>
  <c r="C3557" i="2" s="1"/>
  <c r="B3556" i="2"/>
  <c r="C3556" i="2" s="1"/>
  <c r="B3555" i="2"/>
  <c r="C3555" i="2" s="1"/>
  <c r="B3554" i="2"/>
  <c r="C3554" i="2" s="1"/>
  <c r="B3553" i="2"/>
  <c r="C3553" i="2" s="1"/>
  <c r="B3552" i="2"/>
  <c r="C3552" i="2" s="1"/>
  <c r="B3551" i="2"/>
  <c r="C3551" i="2" s="1"/>
  <c r="B3550" i="2"/>
  <c r="C3550" i="2" s="1"/>
  <c r="B3549" i="2"/>
  <c r="C3549" i="2" s="1"/>
  <c r="B3548" i="2"/>
  <c r="C3548" i="2" s="1"/>
  <c r="B3547" i="2"/>
  <c r="C3547" i="2" s="1"/>
  <c r="B3546" i="2"/>
  <c r="C3546" i="2" s="1"/>
  <c r="B3545" i="2"/>
  <c r="C3545" i="2" s="1"/>
  <c r="B3544" i="2"/>
  <c r="C3544" i="2" s="1"/>
  <c r="B3543" i="2"/>
  <c r="C3543" i="2" s="1"/>
  <c r="B3542" i="2"/>
  <c r="C3542" i="2" s="1"/>
  <c r="B3541" i="2"/>
  <c r="C3541" i="2" s="1"/>
  <c r="B3540" i="2"/>
  <c r="C3540" i="2" s="1"/>
  <c r="B3539" i="2"/>
  <c r="C3539" i="2" s="1"/>
  <c r="B3538" i="2"/>
  <c r="C3538" i="2" s="1"/>
  <c r="B3537" i="2"/>
  <c r="C3537" i="2" s="1"/>
  <c r="B3536" i="2"/>
  <c r="C3536" i="2" s="1"/>
  <c r="B3535" i="2"/>
  <c r="C3535" i="2" s="1"/>
  <c r="B3534" i="2"/>
  <c r="C3534" i="2" s="1"/>
  <c r="B3533" i="2"/>
  <c r="C3533" i="2" s="1"/>
  <c r="B3532" i="2"/>
  <c r="C3532" i="2" s="1"/>
  <c r="B3531" i="2"/>
  <c r="C3531" i="2" s="1"/>
  <c r="B3530" i="2"/>
  <c r="C3530" i="2" s="1"/>
  <c r="B3529" i="2"/>
  <c r="C3529" i="2" s="1"/>
  <c r="B3528" i="2"/>
  <c r="C3528" i="2" s="1"/>
  <c r="B3527" i="2"/>
  <c r="C3527" i="2" s="1"/>
  <c r="B3526" i="2"/>
  <c r="C3526" i="2" s="1"/>
  <c r="B3525" i="2"/>
  <c r="C3525" i="2" s="1"/>
  <c r="B3524" i="2"/>
  <c r="C3524" i="2" s="1"/>
  <c r="B3523" i="2"/>
  <c r="C3523" i="2" s="1"/>
  <c r="B3522" i="2"/>
  <c r="C3522" i="2" s="1"/>
  <c r="B3521" i="2"/>
  <c r="C3521" i="2" s="1"/>
  <c r="B3520" i="2"/>
  <c r="C3520" i="2" s="1"/>
  <c r="B3519" i="2"/>
  <c r="C3519" i="2" s="1"/>
  <c r="B3518" i="2"/>
  <c r="C3518" i="2" s="1"/>
  <c r="B3517" i="2"/>
  <c r="C3517" i="2" s="1"/>
  <c r="B3516" i="2"/>
  <c r="C3516" i="2" s="1"/>
  <c r="B3515" i="2"/>
  <c r="C3515" i="2" s="1"/>
  <c r="B3514" i="2"/>
  <c r="C3514" i="2" s="1"/>
  <c r="B3513" i="2"/>
  <c r="C3513" i="2" s="1"/>
  <c r="B3512" i="2"/>
  <c r="C3512" i="2" s="1"/>
  <c r="B3511" i="2"/>
  <c r="C3511" i="2" s="1"/>
  <c r="B3510" i="2"/>
  <c r="C3510" i="2" s="1"/>
  <c r="B3509" i="2"/>
  <c r="C3509" i="2" s="1"/>
  <c r="B3508" i="2"/>
  <c r="C3508" i="2" s="1"/>
  <c r="B3507" i="2"/>
  <c r="C3507" i="2" s="1"/>
  <c r="B3506" i="2"/>
  <c r="C3506" i="2" s="1"/>
  <c r="B3505" i="2"/>
  <c r="C3505" i="2" s="1"/>
  <c r="B3504" i="2"/>
  <c r="C3504" i="2" s="1"/>
  <c r="B3503" i="2"/>
  <c r="C3503" i="2" s="1"/>
  <c r="B3502" i="2"/>
  <c r="C3502" i="2" s="1"/>
  <c r="B3501" i="2"/>
  <c r="C3501" i="2" s="1"/>
  <c r="B3500" i="2"/>
  <c r="C3500" i="2" s="1"/>
  <c r="B3499" i="2"/>
  <c r="C3499" i="2" s="1"/>
  <c r="B3498" i="2"/>
  <c r="C3498" i="2" s="1"/>
  <c r="B3497" i="2"/>
  <c r="C3497" i="2" s="1"/>
  <c r="B3496" i="2"/>
  <c r="C3496" i="2" s="1"/>
  <c r="B3495" i="2"/>
  <c r="C3495" i="2" s="1"/>
  <c r="B3494" i="2"/>
  <c r="C3494" i="2" s="1"/>
  <c r="B3493" i="2"/>
  <c r="C3493" i="2" s="1"/>
  <c r="B3492" i="2"/>
  <c r="C3492" i="2" s="1"/>
  <c r="B3491" i="2"/>
  <c r="C3491" i="2" s="1"/>
  <c r="B3490" i="2"/>
  <c r="C3490" i="2" s="1"/>
  <c r="B3489" i="2"/>
  <c r="C3489" i="2" s="1"/>
  <c r="B3488" i="2"/>
  <c r="C3488" i="2" s="1"/>
  <c r="B3487" i="2"/>
  <c r="C3487" i="2" s="1"/>
  <c r="B3486" i="2"/>
  <c r="C3486" i="2" s="1"/>
  <c r="B3485" i="2"/>
  <c r="C3485" i="2" s="1"/>
  <c r="B3484" i="2"/>
  <c r="C3484" i="2" s="1"/>
  <c r="B3483" i="2"/>
  <c r="C3483" i="2" s="1"/>
  <c r="B3482" i="2"/>
  <c r="C3482" i="2" s="1"/>
  <c r="B3481" i="2"/>
  <c r="C3481" i="2" s="1"/>
  <c r="B3480" i="2"/>
  <c r="C3480" i="2" s="1"/>
  <c r="B3479" i="2"/>
  <c r="C3479" i="2" s="1"/>
  <c r="B3478" i="2"/>
  <c r="C3478" i="2" s="1"/>
  <c r="B3477" i="2"/>
  <c r="C3477" i="2" s="1"/>
  <c r="B3476" i="2"/>
  <c r="C3476" i="2" s="1"/>
  <c r="B3475" i="2"/>
  <c r="C3475" i="2" s="1"/>
  <c r="B3474" i="2"/>
  <c r="C3474" i="2" s="1"/>
  <c r="B3473" i="2"/>
  <c r="C3473" i="2" s="1"/>
  <c r="B3472" i="2"/>
  <c r="C3472" i="2" s="1"/>
  <c r="B3471" i="2"/>
  <c r="C3471" i="2" s="1"/>
  <c r="B3470" i="2"/>
  <c r="C3470" i="2" s="1"/>
  <c r="B3469" i="2"/>
  <c r="C3469" i="2" s="1"/>
  <c r="B3468" i="2"/>
  <c r="C3468" i="2" s="1"/>
  <c r="B3467" i="2"/>
  <c r="C3467" i="2" s="1"/>
  <c r="B3466" i="2"/>
  <c r="C3466" i="2" s="1"/>
  <c r="B3465" i="2"/>
  <c r="C3465" i="2" s="1"/>
  <c r="B3464" i="2"/>
  <c r="C3464" i="2" s="1"/>
  <c r="B3463" i="2"/>
  <c r="C3463" i="2" s="1"/>
  <c r="B3462" i="2"/>
  <c r="C3462" i="2" s="1"/>
  <c r="B3461" i="2"/>
  <c r="C3461" i="2" s="1"/>
  <c r="B3460" i="2"/>
  <c r="C3460" i="2" s="1"/>
  <c r="B3459" i="2"/>
  <c r="C3459" i="2" s="1"/>
  <c r="B3458" i="2"/>
  <c r="C3458" i="2" s="1"/>
  <c r="B3457" i="2"/>
  <c r="C3457" i="2" s="1"/>
  <c r="B3456" i="2"/>
  <c r="C3456" i="2" s="1"/>
  <c r="B3455" i="2"/>
  <c r="C3455" i="2" s="1"/>
  <c r="B3454" i="2"/>
  <c r="C3454" i="2" s="1"/>
  <c r="B3453" i="2"/>
  <c r="C3453" i="2" s="1"/>
  <c r="B3452" i="2"/>
  <c r="C3452" i="2" s="1"/>
  <c r="B3451" i="2"/>
  <c r="C3451" i="2" s="1"/>
  <c r="B3450" i="2"/>
  <c r="C3450" i="2" s="1"/>
  <c r="B3449" i="2"/>
  <c r="C3449" i="2" s="1"/>
  <c r="B3448" i="2"/>
  <c r="C3448" i="2" s="1"/>
  <c r="B3447" i="2"/>
  <c r="C3447" i="2" s="1"/>
  <c r="B3446" i="2"/>
  <c r="C3446" i="2" s="1"/>
  <c r="B3445" i="2"/>
  <c r="C3445" i="2" s="1"/>
  <c r="B3444" i="2"/>
  <c r="C3444" i="2" s="1"/>
  <c r="B3443" i="2"/>
  <c r="C3443" i="2" s="1"/>
  <c r="B3442" i="2"/>
  <c r="C3442" i="2" s="1"/>
  <c r="B3441" i="2"/>
  <c r="C3441" i="2" s="1"/>
  <c r="B3440" i="2"/>
  <c r="C3440" i="2" s="1"/>
  <c r="B3439" i="2"/>
  <c r="C3439" i="2" s="1"/>
  <c r="B3438" i="2"/>
  <c r="C3438" i="2" s="1"/>
  <c r="B3437" i="2"/>
  <c r="C3437" i="2" s="1"/>
  <c r="B3436" i="2"/>
  <c r="C3436" i="2" s="1"/>
  <c r="B3435" i="2"/>
  <c r="C3435" i="2" s="1"/>
  <c r="B3434" i="2"/>
  <c r="C3434" i="2" s="1"/>
  <c r="B3433" i="2"/>
  <c r="C3433" i="2" s="1"/>
  <c r="B3432" i="2"/>
  <c r="C3432" i="2" s="1"/>
  <c r="B3431" i="2"/>
  <c r="C3431" i="2" s="1"/>
  <c r="B3430" i="2"/>
  <c r="C3430" i="2" s="1"/>
  <c r="B3429" i="2"/>
  <c r="C3429" i="2" s="1"/>
  <c r="B3428" i="2"/>
  <c r="C3428" i="2" s="1"/>
  <c r="B3427" i="2"/>
  <c r="C3427" i="2" s="1"/>
  <c r="B3426" i="2"/>
  <c r="C3426" i="2" s="1"/>
  <c r="B3425" i="2"/>
  <c r="C3425" i="2" s="1"/>
  <c r="B3424" i="2"/>
  <c r="C3424" i="2" s="1"/>
  <c r="B3423" i="2"/>
  <c r="C3423" i="2" s="1"/>
  <c r="B3422" i="2"/>
  <c r="C3422" i="2" s="1"/>
  <c r="B3421" i="2"/>
  <c r="C3421" i="2" s="1"/>
  <c r="B3420" i="2"/>
  <c r="C3420" i="2" s="1"/>
  <c r="B3419" i="2"/>
  <c r="C3419" i="2" s="1"/>
  <c r="B3418" i="2"/>
  <c r="C3418" i="2" s="1"/>
  <c r="B3417" i="2"/>
  <c r="C3417" i="2" s="1"/>
  <c r="B3416" i="2"/>
  <c r="C3416" i="2" s="1"/>
  <c r="B3415" i="2"/>
  <c r="C3415" i="2" s="1"/>
  <c r="B3414" i="2"/>
  <c r="C3414" i="2" s="1"/>
  <c r="B3413" i="2"/>
  <c r="C3413" i="2" s="1"/>
  <c r="B3412" i="2"/>
  <c r="C3412" i="2" s="1"/>
  <c r="B3411" i="2"/>
  <c r="C3411" i="2" s="1"/>
  <c r="B3410" i="2"/>
  <c r="C3410" i="2" s="1"/>
  <c r="B3409" i="2"/>
  <c r="C3409" i="2" s="1"/>
  <c r="B3408" i="2"/>
  <c r="C3408" i="2" s="1"/>
  <c r="B3407" i="2"/>
  <c r="C3407" i="2" s="1"/>
  <c r="B3406" i="2"/>
  <c r="C3406" i="2" s="1"/>
  <c r="B3405" i="2"/>
  <c r="C3405" i="2" s="1"/>
  <c r="B3404" i="2"/>
  <c r="C3404" i="2" s="1"/>
  <c r="B3403" i="2"/>
  <c r="C3403" i="2" s="1"/>
  <c r="B3402" i="2"/>
  <c r="C3402" i="2" s="1"/>
  <c r="B3401" i="2"/>
  <c r="C3401" i="2" s="1"/>
  <c r="B3400" i="2"/>
  <c r="C3400" i="2" s="1"/>
  <c r="B3399" i="2"/>
  <c r="C3399" i="2" s="1"/>
  <c r="B3398" i="2"/>
  <c r="C3398" i="2" s="1"/>
  <c r="B3397" i="2"/>
  <c r="C3397" i="2" s="1"/>
  <c r="B3396" i="2"/>
  <c r="C3396" i="2" s="1"/>
  <c r="B3395" i="2"/>
  <c r="C3395" i="2" s="1"/>
  <c r="B3394" i="2"/>
  <c r="C3394" i="2" s="1"/>
  <c r="B3393" i="2"/>
  <c r="C3393" i="2" s="1"/>
  <c r="B3392" i="2"/>
  <c r="C3392" i="2" s="1"/>
  <c r="B3391" i="2"/>
  <c r="C3391" i="2" s="1"/>
  <c r="B3390" i="2"/>
  <c r="C3390" i="2" s="1"/>
  <c r="B3389" i="2"/>
  <c r="C3389" i="2" s="1"/>
  <c r="B3388" i="2"/>
  <c r="C3388" i="2" s="1"/>
  <c r="B3387" i="2"/>
  <c r="C3387" i="2" s="1"/>
  <c r="B3386" i="2"/>
  <c r="C3386" i="2" s="1"/>
  <c r="B3385" i="2"/>
  <c r="C3385" i="2" s="1"/>
  <c r="B3384" i="2"/>
  <c r="C3384" i="2" s="1"/>
  <c r="B3383" i="2"/>
  <c r="C3383" i="2" s="1"/>
  <c r="B3382" i="2"/>
  <c r="C3382" i="2" s="1"/>
  <c r="B3381" i="2"/>
  <c r="C3381" i="2" s="1"/>
  <c r="B3380" i="2"/>
  <c r="C3380" i="2" s="1"/>
  <c r="B3379" i="2"/>
  <c r="C3379" i="2" s="1"/>
  <c r="B3378" i="2"/>
  <c r="C3378" i="2" s="1"/>
  <c r="B3377" i="2"/>
  <c r="C3377" i="2" s="1"/>
  <c r="B3376" i="2"/>
  <c r="C3376" i="2" s="1"/>
  <c r="B3375" i="2"/>
  <c r="C3375" i="2" s="1"/>
  <c r="B3374" i="2"/>
  <c r="C3374" i="2" s="1"/>
  <c r="B3373" i="2"/>
  <c r="C3373" i="2" s="1"/>
  <c r="B3372" i="2"/>
  <c r="C3372" i="2" s="1"/>
  <c r="B3371" i="2"/>
  <c r="C3371" i="2" s="1"/>
  <c r="B3370" i="2"/>
  <c r="C3370" i="2" s="1"/>
  <c r="B3369" i="2"/>
  <c r="C3369" i="2" s="1"/>
  <c r="B3368" i="2"/>
  <c r="C3368" i="2" s="1"/>
  <c r="B3367" i="2"/>
  <c r="C3367" i="2" s="1"/>
  <c r="B3366" i="2"/>
  <c r="C3366" i="2" s="1"/>
  <c r="B3365" i="2"/>
  <c r="C3365" i="2" s="1"/>
  <c r="B3364" i="2"/>
  <c r="C3364" i="2" s="1"/>
  <c r="B3363" i="2"/>
  <c r="C3363" i="2" s="1"/>
  <c r="B3362" i="2"/>
  <c r="C3362" i="2" s="1"/>
  <c r="B3361" i="2"/>
  <c r="C3361" i="2" s="1"/>
  <c r="B3360" i="2"/>
  <c r="C3360" i="2" s="1"/>
  <c r="B3359" i="2"/>
  <c r="C3359" i="2" s="1"/>
  <c r="B3358" i="2"/>
  <c r="C3358" i="2" s="1"/>
  <c r="B3357" i="2"/>
  <c r="C3357" i="2" s="1"/>
  <c r="B3356" i="2"/>
  <c r="C3356" i="2" s="1"/>
  <c r="B3355" i="2"/>
  <c r="C3355" i="2" s="1"/>
  <c r="B3354" i="2"/>
  <c r="C3354" i="2" s="1"/>
  <c r="B3353" i="2"/>
  <c r="C3353" i="2" s="1"/>
  <c r="B3352" i="2"/>
  <c r="C3352" i="2" s="1"/>
  <c r="B3351" i="2"/>
  <c r="C3351" i="2" s="1"/>
  <c r="B3350" i="2"/>
  <c r="C3350" i="2" s="1"/>
  <c r="B3349" i="2"/>
  <c r="C3349" i="2" s="1"/>
  <c r="B3348" i="2"/>
  <c r="C3348" i="2" s="1"/>
  <c r="B3347" i="2"/>
  <c r="C3347" i="2" s="1"/>
  <c r="B3346" i="2"/>
  <c r="C3346" i="2" s="1"/>
  <c r="B3345" i="2"/>
  <c r="C3345" i="2" s="1"/>
  <c r="B3344" i="2"/>
  <c r="C3344" i="2" s="1"/>
  <c r="B3343" i="2"/>
  <c r="C3343" i="2" s="1"/>
  <c r="B3342" i="2"/>
  <c r="C3342" i="2" s="1"/>
  <c r="B3341" i="2"/>
  <c r="C3341" i="2" s="1"/>
  <c r="B3340" i="2"/>
  <c r="C3340" i="2" s="1"/>
  <c r="B3339" i="2"/>
  <c r="C3339" i="2" s="1"/>
  <c r="B3338" i="2"/>
  <c r="C3338" i="2" s="1"/>
  <c r="B3337" i="2"/>
  <c r="C3337" i="2" s="1"/>
  <c r="B3336" i="2"/>
  <c r="C3336" i="2" s="1"/>
  <c r="B3335" i="2"/>
  <c r="C3335" i="2" s="1"/>
  <c r="B3334" i="2"/>
  <c r="C3334" i="2" s="1"/>
  <c r="B3333" i="2"/>
  <c r="C3333" i="2" s="1"/>
  <c r="B3332" i="2"/>
  <c r="C3332" i="2" s="1"/>
  <c r="B3331" i="2"/>
  <c r="C3331" i="2" s="1"/>
  <c r="B3330" i="2"/>
  <c r="C3330" i="2" s="1"/>
  <c r="B3329" i="2"/>
  <c r="C3329" i="2" s="1"/>
  <c r="B3328" i="2"/>
  <c r="C3328" i="2" s="1"/>
  <c r="B3327" i="2"/>
  <c r="C3327" i="2" s="1"/>
  <c r="B3326" i="2"/>
  <c r="C3326" i="2" s="1"/>
  <c r="B3325" i="2"/>
  <c r="C3325" i="2" s="1"/>
  <c r="B3324" i="2"/>
  <c r="C3324" i="2" s="1"/>
  <c r="B3323" i="2"/>
  <c r="C3323" i="2" s="1"/>
  <c r="B3322" i="2"/>
  <c r="C3322" i="2" s="1"/>
  <c r="B3321" i="2"/>
  <c r="C3321" i="2" s="1"/>
  <c r="B3320" i="2"/>
  <c r="C3320" i="2" s="1"/>
  <c r="B3319" i="2"/>
  <c r="C3319" i="2" s="1"/>
  <c r="B3318" i="2"/>
  <c r="C3318" i="2" s="1"/>
  <c r="B3317" i="2"/>
  <c r="C3317" i="2" s="1"/>
  <c r="B3316" i="2"/>
  <c r="C3316" i="2" s="1"/>
  <c r="B3315" i="2"/>
  <c r="C3315" i="2" s="1"/>
  <c r="B3314" i="2"/>
  <c r="C3314" i="2" s="1"/>
  <c r="B3313" i="2"/>
  <c r="C3313" i="2" s="1"/>
  <c r="B3312" i="2"/>
  <c r="C3312" i="2" s="1"/>
  <c r="B3311" i="2"/>
  <c r="C3311" i="2" s="1"/>
  <c r="B3310" i="2"/>
  <c r="C3310" i="2" s="1"/>
  <c r="B3309" i="2"/>
  <c r="C3309" i="2" s="1"/>
  <c r="B3308" i="2"/>
  <c r="C3308" i="2" s="1"/>
  <c r="B3307" i="2"/>
  <c r="C3307" i="2" s="1"/>
  <c r="B3306" i="2"/>
  <c r="C3306" i="2" s="1"/>
  <c r="B3305" i="2"/>
  <c r="C3305" i="2" s="1"/>
  <c r="B3304" i="2"/>
  <c r="C3304" i="2" s="1"/>
  <c r="B3303" i="2"/>
  <c r="C3303" i="2" s="1"/>
  <c r="B3302" i="2"/>
  <c r="C3302" i="2" s="1"/>
  <c r="B3301" i="2"/>
  <c r="C3301" i="2" s="1"/>
  <c r="B3300" i="2"/>
  <c r="C3300" i="2" s="1"/>
  <c r="B3299" i="2"/>
  <c r="C3299" i="2" s="1"/>
  <c r="B3298" i="2"/>
  <c r="C3298" i="2" s="1"/>
  <c r="B3297" i="2"/>
  <c r="C3297" i="2" s="1"/>
  <c r="B3296" i="2"/>
  <c r="C3296" i="2" s="1"/>
  <c r="B3295" i="2"/>
  <c r="C3295" i="2" s="1"/>
  <c r="B3294" i="2"/>
  <c r="C3294" i="2" s="1"/>
  <c r="B3293" i="2"/>
  <c r="C3293" i="2" s="1"/>
  <c r="B3292" i="2"/>
  <c r="C3292" i="2" s="1"/>
  <c r="B3291" i="2"/>
  <c r="C3291" i="2" s="1"/>
  <c r="B3290" i="2"/>
  <c r="C3290" i="2" s="1"/>
  <c r="B3289" i="2"/>
  <c r="C3289" i="2" s="1"/>
  <c r="B3288" i="2"/>
  <c r="C3288" i="2" s="1"/>
  <c r="B3287" i="2"/>
  <c r="C3287" i="2" s="1"/>
  <c r="B3286" i="2"/>
  <c r="C3286" i="2" s="1"/>
  <c r="B3285" i="2"/>
  <c r="C3285" i="2" s="1"/>
  <c r="B3284" i="2"/>
  <c r="C3284" i="2" s="1"/>
  <c r="B3283" i="2"/>
  <c r="C3283" i="2" s="1"/>
  <c r="B3282" i="2"/>
  <c r="C3282" i="2" s="1"/>
  <c r="B3281" i="2"/>
  <c r="C3281" i="2" s="1"/>
  <c r="B3280" i="2"/>
  <c r="C3280" i="2" s="1"/>
  <c r="B3279" i="2"/>
  <c r="C3279" i="2" s="1"/>
  <c r="B3278" i="2"/>
  <c r="C3278" i="2" s="1"/>
  <c r="B3277" i="2"/>
  <c r="C3277" i="2" s="1"/>
  <c r="B3276" i="2"/>
  <c r="C3276" i="2" s="1"/>
  <c r="B3275" i="2"/>
  <c r="C3275" i="2" s="1"/>
  <c r="B3274" i="2"/>
  <c r="C3274" i="2" s="1"/>
  <c r="B3273" i="2"/>
  <c r="C3273" i="2" s="1"/>
  <c r="B3272" i="2"/>
  <c r="C3272" i="2" s="1"/>
  <c r="B3271" i="2"/>
  <c r="C3271" i="2" s="1"/>
  <c r="B3270" i="2"/>
  <c r="C3270" i="2" s="1"/>
  <c r="B3269" i="2"/>
  <c r="C3269" i="2" s="1"/>
  <c r="B3268" i="2"/>
  <c r="C3268" i="2" s="1"/>
  <c r="B3267" i="2"/>
  <c r="C3267" i="2" s="1"/>
  <c r="B3266" i="2"/>
  <c r="C3266" i="2" s="1"/>
  <c r="B3265" i="2"/>
  <c r="C3265" i="2" s="1"/>
  <c r="B3264" i="2"/>
  <c r="C3264" i="2" s="1"/>
  <c r="B3263" i="2"/>
  <c r="C3263" i="2" s="1"/>
  <c r="B3262" i="2"/>
  <c r="C3262" i="2" s="1"/>
  <c r="B3261" i="2"/>
  <c r="C3261" i="2" s="1"/>
  <c r="B3260" i="2"/>
  <c r="C3260" i="2" s="1"/>
  <c r="B3259" i="2"/>
  <c r="C3259" i="2" s="1"/>
  <c r="B3258" i="2"/>
  <c r="C3258" i="2" s="1"/>
  <c r="B3257" i="2"/>
  <c r="C3257" i="2" s="1"/>
  <c r="B3256" i="2"/>
  <c r="C3256" i="2" s="1"/>
  <c r="B3255" i="2"/>
  <c r="C3255" i="2" s="1"/>
  <c r="B3254" i="2"/>
  <c r="C3254" i="2" s="1"/>
  <c r="B3253" i="2"/>
  <c r="C3253" i="2" s="1"/>
  <c r="B3252" i="2"/>
  <c r="C3252" i="2" s="1"/>
  <c r="B3251" i="2"/>
  <c r="C3251" i="2" s="1"/>
  <c r="B3250" i="2"/>
  <c r="C3250" i="2" s="1"/>
  <c r="B3249" i="2"/>
  <c r="C3249" i="2" s="1"/>
  <c r="B3248" i="2"/>
  <c r="C3248" i="2" s="1"/>
  <c r="B3247" i="2"/>
  <c r="C3247" i="2" s="1"/>
  <c r="B3246" i="2"/>
  <c r="C3246" i="2" s="1"/>
  <c r="B3245" i="2"/>
  <c r="C3245" i="2" s="1"/>
  <c r="B3244" i="2"/>
  <c r="C3244" i="2" s="1"/>
  <c r="B3243" i="2"/>
  <c r="C3243" i="2" s="1"/>
  <c r="B3242" i="2"/>
  <c r="C3242" i="2" s="1"/>
  <c r="B3241" i="2"/>
  <c r="C3241" i="2" s="1"/>
  <c r="B3240" i="2"/>
  <c r="C3240" i="2" s="1"/>
  <c r="B3239" i="2"/>
  <c r="C3239" i="2" s="1"/>
  <c r="B3238" i="2"/>
  <c r="C3238" i="2" s="1"/>
  <c r="B3237" i="2"/>
  <c r="C3237" i="2" s="1"/>
  <c r="B3236" i="2"/>
  <c r="C3236" i="2" s="1"/>
  <c r="B3235" i="2"/>
  <c r="C3235" i="2" s="1"/>
  <c r="B3234" i="2"/>
  <c r="C3234" i="2" s="1"/>
  <c r="B3233" i="2"/>
  <c r="C3233" i="2" s="1"/>
  <c r="B3232" i="2"/>
  <c r="C3232" i="2" s="1"/>
  <c r="B3231" i="2"/>
  <c r="C3231" i="2" s="1"/>
  <c r="B3230" i="2"/>
  <c r="C3230" i="2" s="1"/>
  <c r="B3229" i="2"/>
  <c r="C3229" i="2" s="1"/>
  <c r="B3228" i="2"/>
  <c r="C3228" i="2" s="1"/>
  <c r="B3227" i="2"/>
  <c r="C3227" i="2" s="1"/>
  <c r="B3226" i="2"/>
  <c r="C3226" i="2" s="1"/>
  <c r="B3225" i="2"/>
  <c r="C3225" i="2" s="1"/>
  <c r="B3224" i="2"/>
  <c r="C3224" i="2" s="1"/>
  <c r="B3223" i="2"/>
  <c r="C3223" i="2" s="1"/>
  <c r="B3222" i="2"/>
  <c r="C3222" i="2" s="1"/>
  <c r="B3221" i="2"/>
  <c r="C3221" i="2" s="1"/>
  <c r="B3220" i="2"/>
  <c r="C3220" i="2" s="1"/>
  <c r="B3219" i="2"/>
  <c r="C3219" i="2" s="1"/>
  <c r="B3218" i="2"/>
  <c r="C3218" i="2" s="1"/>
  <c r="B3217" i="2"/>
  <c r="C3217" i="2" s="1"/>
  <c r="B3216" i="2"/>
  <c r="C3216" i="2" s="1"/>
  <c r="B3215" i="2"/>
  <c r="C3215" i="2" s="1"/>
  <c r="B3214" i="2"/>
  <c r="C3214" i="2" s="1"/>
  <c r="B3213" i="2"/>
  <c r="C3213" i="2" s="1"/>
  <c r="B3212" i="2"/>
  <c r="C3212" i="2" s="1"/>
  <c r="B3211" i="2"/>
  <c r="C3211" i="2" s="1"/>
  <c r="B3210" i="2"/>
  <c r="C3210" i="2" s="1"/>
  <c r="B3209" i="2"/>
  <c r="C3209" i="2" s="1"/>
  <c r="B3208" i="2"/>
  <c r="C3208" i="2" s="1"/>
  <c r="B3207" i="2"/>
  <c r="C3207" i="2" s="1"/>
  <c r="B3206" i="2"/>
  <c r="C3206" i="2" s="1"/>
  <c r="B3205" i="2"/>
  <c r="C3205" i="2" s="1"/>
  <c r="B3204" i="2"/>
  <c r="C3204" i="2" s="1"/>
  <c r="B3203" i="2"/>
  <c r="C3203" i="2" s="1"/>
  <c r="B3202" i="2"/>
  <c r="C3202" i="2" s="1"/>
  <c r="B3201" i="2"/>
  <c r="C3201" i="2" s="1"/>
  <c r="B3200" i="2"/>
  <c r="C3200" i="2" s="1"/>
  <c r="B3199" i="2"/>
  <c r="C3199" i="2" s="1"/>
  <c r="B3198" i="2"/>
  <c r="C3198" i="2" s="1"/>
  <c r="B3197" i="2"/>
  <c r="C3197" i="2" s="1"/>
  <c r="B3196" i="2"/>
  <c r="C3196" i="2" s="1"/>
  <c r="B3195" i="2"/>
  <c r="C3195" i="2" s="1"/>
  <c r="B3194" i="2"/>
  <c r="C3194" i="2" s="1"/>
  <c r="B3193" i="2"/>
  <c r="C3193" i="2" s="1"/>
  <c r="B3192" i="2"/>
  <c r="C3192" i="2" s="1"/>
  <c r="B3191" i="2"/>
  <c r="C3191" i="2" s="1"/>
  <c r="B3190" i="2"/>
  <c r="C3190" i="2" s="1"/>
  <c r="B3189" i="2"/>
  <c r="C3189" i="2" s="1"/>
  <c r="B3188" i="2"/>
  <c r="C3188" i="2" s="1"/>
  <c r="B3187" i="2"/>
  <c r="C3187" i="2" s="1"/>
  <c r="B3186" i="2"/>
  <c r="C3186" i="2" s="1"/>
  <c r="B3185" i="2"/>
  <c r="C3185" i="2" s="1"/>
  <c r="B3184" i="2"/>
  <c r="C3184" i="2" s="1"/>
  <c r="B3183" i="2"/>
  <c r="C3183" i="2" s="1"/>
  <c r="B3182" i="2"/>
  <c r="C3182" i="2" s="1"/>
  <c r="B3181" i="2"/>
  <c r="C3181" i="2" s="1"/>
  <c r="B3180" i="2"/>
  <c r="C3180" i="2" s="1"/>
  <c r="B3179" i="2"/>
  <c r="C3179" i="2" s="1"/>
  <c r="B3178" i="2"/>
  <c r="C3178" i="2" s="1"/>
  <c r="B3177" i="2"/>
  <c r="C3177" i="2" s="1"/>
  <c r="B3176" i="2"/>
  <c r="C3176" i="2" s="1"/>
  <c r="B3175" i="2"/>
  <c r="C3175" i="2" s="1"/>
  <c r="B3174" i="2"/>
  <c r="C3174" i="2" s="1"/>
  <c r="B3173" i="2"/>
  <c r="C3173" i="2" s="1"/>
  <c r="B3172" i="2"/>
  <c r="C3172" i="2" s="1"/>
  <c r="B3171" i="2"/>
  <c r="C3171" i="2" s="1"/>
  <c r="B3170" i="2"/>
  <c r="C3170" i="2" s="1"/>
  <c r="B3169" i="2"/>
  <c r="C3169" i="2" s="1"/>
  <c r="B3168" i="2"/>
  <c r="C3168" i="2" s="1"/>
  <c r="B3167" i="2"/>
  <c r="C3167" i="2" s="1"/>
  <c r="B3166" i="2"/>
  <c r="C3166" i="2" s="1"/>
  <c r="B3165" i="2"/>
  <c r="C3165" i="2" s="1"/>
  <c r="B3164" i="2"/>
  <c r="C3164" i="2" s="1"/>
  <c r="B3163" i="2"/>
  <c r="C3163" i="2" s="1"/>
  <c r="B3162" i="2"/>
  <c r="C3162" i="2" s="1"/>
  <c r="B3161" i="2"/>
  <c r="C3161" i="2" s="1"/>
  <c r="B3160" i="2"/>
  <c r="C3160" i="2" s="1"/>
  <c r="B3159" i="2"/>
  <c r="C3159" i="2" s="1"/>
  <c r="B3158" i="2"/>
  <c r="C3158" i="2" s="1"/>
  <c r="B3157" i="2"/>
  <c r="C3157" i="2" s="1"/>
  <c r="B3156" i="2"/>
  <c r="C3156" i="2" s="1"/>
  <c r="B3155" i="2"/>
  <c r="C3155" i="2" s="1"/>
  <c r="B3154" i="2"/>
  <c r="C3154" i="2" s="1"/>
  <c r="B3153" i="2"/>
  <c r="C3153" i="2" s="1"/>
  <c r="B3152" i="2"/>
  <c r="C3152" i="2" s="1"/>
  <c r="B3151" i="2"/>
  <c r="C3151" i="2" s="1"/>
  <c r="B3150" i="2"/>
  <c r="C3150" i="2" s="1"/>
  <c r="B3149" i="2"/>
  <c r="C3149" i="2" s="1"/>
  <c r="B3148" i="2"/>
  <c r="C3148" i="2" s="1"/>
  <c r="B3147" i="2"/>
  <c r="C3147" i="2" s="1"/>
  <c r="B3146" i="2"/>
  <c r="C3146" i="2" s="1"/>
  <c r="B3145" i="2"/>
  <c r="C3145" i="2" s="1"/>
  <c r="B3144" i="2"/>
  <c r="C3144" i="2" s="1"/>
  <c r="B3143" i="2"/>
  <c r="C3143" i="2" s="1"/>
  <c r="B3142" i="2"/>
  <c r="C3142" i="2" s="1"/>
  <c r="B3141" i="2"/>
  <c r="C3141" i="2" s="1"/>
  <c r="B3140" i="2"/>
  <c r="C3140" i="2" s="1"/>
  <c r="B3139" i="2"/>
  <c r="C3139" i="2" s="1"/>
  <c r="B3138" i="2"/>
  <c r="C3138" i="2" s="1"/>
  <c r="B3137" i="2"/>
  <c r="C3137" i="2" s="1"/>
  <c r="B3136" i="2"/>
  <c r="C3136" i="2" s="1"/>
  <c r="B3135" i="2"/>
  <c r="C3135" i="2" s="1"/>
  <c r="B3134" i="2"/>
  <c r="C3134" i="2" s="1"/>
  <c r="B3133" i="2"/>
  <c r="C3133" i="2" s="1"/>
  <c r="B3132" i="2"/>
  <c r="C3132" i="2" s="1"/>
  <c r="B3131" i="2"/>
  <c r="C3131" i="2" s="1"/>
  <c r="B3130" i="2"/>
  <c r="C3130" i="2" s="1"/>
  <c r="B3129" i="2"/>
  <c r="C3129" i="2" s="1"/>
  <c r="B3128" i="2"/>
  <c r="C3128" i="2" s="1"/>
  <c r="B3127" i="2"/>
  <c r="C3127" i="2" s="1"/>
  <c r="B3126" i="2"/>
  <c r="C3126" i="2" s="1"/>
  <c r="B3125" i="2"/>
  <c r="C3125" i="2" s="1"/>
  <c r="B3124" i="2"/>
  <c r="C3124" i="2" s="1"/>
  <c r="B3123" i="2"/>
  <c r="C3123" i="2" s="1"/>
  <c r="B3122" i="2"/>
  <c r="C3122" i="2" s="1"/>
  <c r="B3121" i="2"/>
  <c r="C3121" i="2" s="1"/>
  <c r="B3120" i="2"/>
  <c r="C3120" i="2" s="1"/>
  <c r="B3119" i="2"/>
  <c r="C3119" i="2" s="1"/>
  <c r="B3118" i="2"/>
  <c r="C3118" i="2" s="1"/>
  <c r="B3117" i="2"/>
  <c r="C3117" i="2" s="1"/>
  <c r="B3116" i="2"/>
  <c r="C3116" i="2" s="1"/>
  <c r="B3115" i="2"/>
  <c r="C3115" i="2" s="1"/>
  <c r="B3114" i="2"/>
  <c r="C3114" i="2" s="1"/>
  <c r="B3113" i="2"/>
  <c r="C3113" i="2" s="1"/>
  <c r="B3112" i="2"/>
  <c r="C3112" i="2" s="1"/>
  <c r="B3111" i="2"/>
  <c r="C3111" i="2" s="1"/>
  <c r="B3110" i="2"/>
  <c r="C3110" i="2" s="1"/>
  <c r="B3109" i="2"/>
  <c r="C3109" i="2" s="1"/>
  <c r="B3108" i="2"/>
  <c r="C3108" i="2" s="1"/>
  <c r="B3107" i="2"/>
  <c r="C3107" i="2" s="1"/>
  <c r="B3106" i="2"/>
  <c r="C3106" i="2" s="1"/>
  <c r="B3105" i="2"/>
  <c r="C3105" i="2" s="1"/>
  <c r="B3104" i="2"/>
  <c r="C3104" i="2" s="1"/>
  <c r="B3103" i="2"/>
  <c r="C3103" i="2" s="1"/>
  <c r="B3102" i="2"/>
  <c r="C3102" i="2" s="1"/>
  <c r="B3101" i="2"/>
  <c r="C3101" i="2" s="1"/>
  <c r="B3100" i="2"/>
  <c r="C3100" i="2" s="1"/>
  <c r="B3099" i="2"/>
  <c r="C3099" i="2" s="1"/>
  <c r="B3098" i="2"/>
  <c r="C3098" i="2" s="1"/>
  <c r="B3097" i="2"/>
  <c r="C3097" i="2" s="1"/>
  <c r="B3096" i="2"/>
  <c r="C3096" i="2" s="1"/>
  <c r="B3095" i="2"/>
  <c r="C3095" i="2" s="1"/>
  <c r="B3094" i="2"/>
  <c r="C3094" i="2" s="1"/>
  <c r="B3093" i="2"/>
  <c r="C3093" i="2" s="1"/>
  <c r="B3092" i="2"/>
  <c r="C3092" i="2" s="1"/>
  <c r="B3091" i="2"/>
  <c r="C3091" i="2" s="1"/>
  <c r="B3090" i="2"/>
  <c r="C3090" i="2" s="1"/>
  <c r="B3089" i="2"/>
  <c r="C3089" i="2" s="1"/>
  <c r="B3088" i="2"/>
  <c r="C3088" i="2" s="1"/>
  <c r="B3087" i="2"/>
  <c r="C3087" i="2" s="1"/>
  <c r="B3086" i="2"/>
  <c r="C3086" i="2" s="1"/>
  <c r="B3085" i="2"/>
  <c r="C3085" i="2" s="1"/>
  <c r="B3084" i="2"/>
  <c r="C3084" i="2" s="1"/>
  <c r="B3083" i="2"/>
  <c r="C3083" i="2" s="1"/>
  <c r="B3082" i="2"/>
  <c r="C3082" i="2" s="1"/>
  <c r="B3081" i="2"/>
  <c r="C3081" i="2" s="1"/>
  <c r="B3080" i="2"/>
  <c r="C3080" i="2" s="1"/>
  <c r="B3079" i="2"/>
  <c r="C3079" i="2" s="1"/>
  <c r="B3078" i="2"/>
  <c r="C3078" i="2" s="1"/>
  <c r="B3077" i="2"/>
  <c r="C3077" i="2" s="1"/>
  <c r="B3076" i="2"/>
  <c r="C3076" i="2" s="1"/>
  <c r="B3075" i="2"/>
  <c r="C3075" i="2" s="1"/>
  <c r="B3074" i="2"/>
  <c r="C3074" i="2" s="1"/>
  <c r="B3073" i="2"/>
  <c r="C3073" i="2" s="1"/>
  <c r="B3072" i="2"/>
  <c r="C3072" i="2" s="1"/>
  <c r="B3071" i="2"/>
  <c r="C3071" i="2" s="1"/>
  <c r="B3070" i="2"/>
  <c r="C3070" i="2" s="1"/>
  <c r="B3069" i="2"/>
  <c r="C3069" i="2" s="1"/>
  <c r="B3068" i="2"/>
  <c r="C3068" i="2" s="1"/>
  <c r="B3067" i="2"/>
  <c r="C3067" i="2" s="1"/>
  <c r="B3066" i="2"/>
  <c r="C3066" i="2" s="1"/>
  <c r="B3065" i="2"/>
  <c r="C3065" i="2" s="1"/>
  <c r="B3064" i="2"/>
  <c r="C3064" i="2" s="1"/>
  <c r="B3063" i="2"/>
  <c r="C3063" i="2" s="1"/>
  <c r="B3062" i="2"/>
  <c r="C3062" i="2" s="1"/>
  <c r="B3061" i="2"/>
  <c r="C3061" i="2" s="1"/>
  <c r="B3060" i="2"/>
  <c r="C3060" i="2" s="1"/>
  <c r="B3059" i="2"/>
  <c r="C3059" i="2" s="1"/>
  <c r="B3058" i="2"/>
  <c r="C3058" i="2" s="1"/>
  <c r="B3057" i="2"/>
  <c r="C3057" i="2" s="1"/>
  <c r="B3056" i="2"/>
  <c r="C3056" i="2" s="1"/>
  <c r="B3055" i="2"/>
  <c r="C3055" i="2" s="1"/>
  <c r="B3054" i="2"/>
  <c r="C3054" i="2" s="1"/>
  <c r="B3053" i="2"/>
  <c r="C3053" i="2" s="1"/>
  <c r="B3052" i="2"/>
  <c r="C3052" i="2" s="1"/>
  <c r="B3051" i="2"/>
  <c r="C3051" i="2" s="1"/>
  <c r="B3050" i="2"/>
  <c r="C3050" i="2" s="1"/>
  <c r="B3049" i="2"/>
  <c r="C3049" i="2" s="1"/>
  <c r="B3048" i="2"/>
  <c r="C3048" i="2" s="1"/>
  <c r="B3047" i="2"/>
  <c r="C3047" i="2" s="1"/>
  <c r="B3046" i="2"/>
  <c r="C3046" i="2" s="1"/>
  <c r="B3045" i="2"/>
  <c r="C3045" i="2" s="1"/>
  <c r="B3044" i="2"/>
  <c r="C3044" i="2" s="1"/>
  <c r="B3043" i="2"/>
  <c r="C3043" i="2" s="1"/>
  <c r="B3042" i="2"/>
  <c r="C3042" i="2" s="1"/>
  <c r="B3041" i="2"/>
  <c r="C3041" i="2" s="1"/>
  <c r="B3040" i="2"/>
  <c r="C3040" i="2" s="1"/>
  <c r="B3039" i="2"/>
  <c r="C3039" i="2" s="1"/>
  <c r="B3038" i="2"/>
  <c r="C3038" i="2" s="1"/>
  <c r="B3037" i="2"/>
  <c r="C3037" i="2" s="1"/>
  <c r="B3036" i="2"/>
  <c r="C3036" i="2" s="1"/>
  <c r="B3035" i="2"/>
  <c r="C3035" i="2" s="1"/>
  <c r="B3034" i="2"/>
  <c r="C3034" i="2" s="1"/>
  <c r="B3033" i="2"/>
  <c r="C3033" i="2" s="1"/>
  <c r="B3032" i="2"/>
  <c r="C3032" i="2" s="1"/>
  <c r="B3031" i="2"/>
  <c r="C3031" i="2" s="1"/>
  <c r="B3030" i="2"/>
  <c r="C3030" i="2" s="1"/>
  <c r="B3029" i="2"/>
  <c r="C3029" i="2" s="1"/>
  <c r="B3028" i="2"/>
  <c r="C3028" i="2" s="1"/>
  <c r="B3027" i="2"/>
  <c r="C3027" i="2" s="1"/>
  <c r="B3026" i="2"/>
  <c r="C3026" i="2" s="1"/>
  <c r="B3025" i="2"/>
  <c r="C3025" i="2" s="1"/>
  <c r="B3024" i="2"/>
  <c r="C3024" i="2" s="1"/>
  <c r="B3023" i="2"/>
  <c r="C3023" i="2" s="1"/>
  <c r="B3022" i="2"/>
  <c r="C3022" i="2" s="1"/>
  <c r="B3021" i="2"/>
  <c r="C3021" i="2" s="1"/>
  <c r="B3020" i="2"/>
  <c r="C3020" i="2" s="1"/>
  <c r="B3019" i="2"/>
  <c r="C3019" i="2" s="1"/>
  <c r="B3018" i="2"/>
  <c r="C3018" i="2" s="1"/>
  <c r="B3017" i="2"/>
  <c r="C3017" i="2" s="1"/>
  <c r="B3016" i="2"/>
  <c r="C3016" i="2" s="1"/>
  <c r="B3015" i="2"/>
  <c r="C3015" i="2" s="1"/>
  <c r="B3014" i="2"/>
  <c r="C3014" i="2" s="1"/>
  <c r="B3013" i="2"/>
  <c r="C3013" i="2" s="1"/>
  <c r="B3012" i="2"/>
  <c r="C3012" i="2" s="1"/>
  <c r="B3011" i="2"/>
  <c r="C3011" i="2" s="1"/>
  <c r="B3010" i="2"/>
  <c r="C3010" i="2" s="1"/>
  <c r="B3009" i="2"/>
  <c r="C3009" i="2" s="1"/>
  <c r="B3008" i="2"/>
  <c r="C3008" i="2" s="1"/>
  <c r="B3007" i="2"/>
  <c r="C3007" i="2" s="1"/>
  <c r="B3006" i="2"/>
  <c r="C3006" i="2" s="1"/>
  <c r="B3005" i="2"/>
  <c r="C3005" i="2" s="1"/>
  <c r="B3004" i="2"/>
  <c r="C3004" i="2" s="1"/>
  <c r="B3003" i="2"/>
  <c r="C3003" i="2" s="1"/>
  <c r="B3002" i="2"/>
  <c r="C3002" i="2" s="1"/>
  <c r="B3001" i="2"/>
  <c r="C3001" i="2" s="1"/>
  <c r="B3000" i="2"/>
  <c r="C3000" i="2" s="1"/>
  <c r="B2999" i="2"/>
  <c r="C2999" i="2" s="1"/>
  <c r="B2998" i="2"/>
  <c r="C2998" i="2" s="1"/>
  <c r="B2997" i="2"/>
  <c r="C2997" i="2" s="1"/>
  <c r="B2996" i="2"/>
  <c r="C2996" i="2" s="1"/>
  <c r="B2995" i="2"/>
  <c r="C2995" i="2" s="1"/>
  <c r="B2994" i="2"/>
  <c r="C2994" i="2" s="1"/>
  <c r="B2993" i="2"/>
  <c r="C2993" i="2" s="1"/>
  <c r="B2992" i="2"/>
  <c r="C2992" i="2" s="1"/>
  <c r="B2991" i="2"/>
  <c r="C2991" i="2" s="1"/>
  <c r="B2990" i="2"/>
  <c r="C2990" i="2" s="1"/>
  <c r="B2989" i="2"/>
  <c r="C2989" i="2" s="1"/>
  <c r="B2988" i="2"/>
  <c r="C2988" i="2" s="1"/>
  <c r="B2987" i="2"/>
  <c r="C2987" i="2" s="1"/>
  <c r="B2986" i="2"/>
  <c r="C2986" i="2" s="1"/>
  <c r="B2985" i="2"/>
  <c r="C2985" i="2" s="1"/>
  <c r="B2984" i="2"/>
  <c r="C2984" i="2" s="1"/>
  <c r="B2983" i="2"/>
  <c r="C2983" i="2" s="1"/>
  <c r="B2982" i="2"/>
  <c r="C2982" i="2" s="1"/>
  <c r="B2981" i="2"/>
  <c r="C2981" i="2" s="1"/>
  <c r="B2980" i="2"/>
  <c r="C2980" i="2" s="1"/>
  <c r="B2979" i="2"/>
  <c r="C2979" i="2" s="1"/>
  <c r="B2978" i="2"/>
  <c r="C2978" i="2" s="1"/>
  <c r="B2977" i="2"/>
  <c r="C2977" i="2" s="1"/>
  <c r="B2976" i="2"/>
  <c r="C2976" i="2" s="1"/>
  <c r="B2975" i="2"/>
  <c r="C2975" i="2" s="1"/>
  <c r="B2974" i="2"/>
  <c r="C2974" i="2" s="1"/>
  <c r="B2973" i="2"/>
  <c r="C2973" i="2" s="1"/>
  <c r="B2972" i="2"/>
  <c r="C2972" i="2" s="1"/>
  <c r="B2971" i="2"/>
  <c r="C2971" i="2" s="1"/>
  <c r="B2970" i="2"/>
  <c r="C2970" i="2" s="1"/>
  <c r="B2969" i="2"/>
  <c r="C2969" i="2" s="1"/>
  <c r="B2968" i="2"/>
  <c r="C2968" i="2" s="1"/>
  <c r="B2967" i="2"/>
  <c r="C2967" i="2" s="1"/>
  <c r="B2966" i="2"/>
  <c r="C2966" i="2" s="1"/>
  <c r="B2965" i="2"/>
  <c r="C2965" i="2" s="1"/>
  <c r="B2964" i="2"/>
  <c r="C2964" i="2" s="1"/>
  <c r="B2963" i="2"/>
  <c r="C2963" i="2" s="1"/>
  <c r="B2962" i="2"/>
  <c r="C2962" i="2" s="1"/>
  <c r="B2961" i="2"/>
  <c r="C2961" i="2" s="1"/>
  <c r="B2960" i="2"/>
  <c r="C2960" i="2" s="1"/>
  <c r="B2959" i="2"/>
  <c r="C2959" i="2" s="1"/>
  <c r="B2958" i="2"/>
  <c r="C2958" i="2" s="1"/>
  <c r="B2957" i="2"/>
  <c r="C2957" i="2" s="1"/>
  <c r="B2956" i="2"/>
  <c r="C2956" i="2" s="1"/>
  <c r="B2955" i="2"/>
  <c r="C2955" i="2" s="1"/>
  <c r="B2954" i="2"/>
  <c r="C2954" i="2" s="1"/>
  <c r="B2953" i="2"/>
  <c r="C2953" i="2" s="1"/>
  <c r="B2952" i="2"/>
  <c r="C2952" i="2" s="1"/>
  <c r="B2951" i="2"/>
  <c r="C2951" i="2" s="1"/>
  <c r="B2950" i="2"/>
  <c r="C2950" i="2" s="1"/>
  <c r="B2949" i="2"/>
  <c r="C2949" i="2" s="1"/>
  <c r="B2948" i="2"/>
  <c r="C2948" i="2" s="1"/>
  <c r="B2947" i="2"/>
  <c r="C2947" i="2" s="1"/>
  <c r="B2946" i="2"/>
  <c r="C2946" i="2" s="1"/>
  <c r="B2945" i="2"/>
  <c r="C2945" i="2" s="1"/>
  <c r="B2944" i="2"/>
  <c r="C2944" i="2" s="1"/>
  <c r="B2943" i="2"/>
  <c r="C2943" i="2" s="1"/>
  <c r="B2942" i="2"/>
  <c r="C2942" i="2" s="1"/>
  <c r="B2941" i="2"/>
  <c r="C2941" i="2" s="1"/>
  <c r="B2940" i="2"/>
  <c r="C2940" i="2" s="1"/>
  <c r="B2939" i="2"/>
  <c r="C2939" i="2" s="1"/>
  <c r="B2938" i="2"/>
  <c r="C2938" i="2" s="1"/>
  <c r="B2937" i="2"/>
  <c r="C2937" i="2" s="1"/>
  <c r="B2936" i="2"/>
  <c r="C2936" i="2" s="1"/>
  <c r="B2935" i="2"/>
  <c r="C2935" i="2" s="1"/>
  <c r="B2934" i="2"/>
  <c r="C2934" i="2" s="1"/>
  <c r="B2933" i="2"/>
  <c r="C2933" i="2" s="1"/>
  <c r="B2932" i="2"/>
  <c r="C2932" i="2" s="1"/>
  <c r="B2931" i="2"/>
  <c r="C2931" i="2" s="1"/>
  <c r="B2930" i="2"/>
  <c r="C2930" i="2" s="1"/>
  <c r="B2929" i="2"/>
  <c r="C2929" i="2" s="1"/>
  <c r="B2928" i="2"/>
  <c r="C2928" i="2" s="1"/>
  <c r="B2927" i="2"/>
  <c r="C2927" i="2" s="1"/>
  <c r="B2926" i="2"/>
  <c r="C2926" i="2" s="1"/>
  <c r="B2925" i="2"/>
  <c r="C2925" i="2" s="1"/>
  <c r="B2924" i="2"/>
  <c r="C2924" i="2" s="1"/>
  <c r="B2923" i="2"/>
  <c r="C2923" i="2" s="1"/>
  <c r="B2922" i="2"/>
  <c r="C2922" i="2" s="1"/>
  <c r="B2921" i="2"/>
  <c r="C2921" i="2" s="1"/>
  <c r="B2920" i="2"/>
  <c r="C2920" i="2" s="1"/>
  <c r="B2919" i="2"/>
  <c r="C2919" i="2" s="1"/>
  <c r="B2918" i="2"/>
  <c r="C2918" i="2" s="1"/>
  <c r="B2917" i="2"/>
  <c r="C2917" i="2" s="1"/>
  <c r="B2916" i="2"/>
  <c r="C2916" i="2" s="1"/>
  <c r="B2915" i="2"/>
  <c r="C2915" i="2" s="1"/>
  <c r="B2914" i="2"/>
  <c r="C2914" i="2" s="1"/>
  <c r="B2913" i="2"/>
  <c r="C2913" i="2" s="1"/>
  <c r="B2912" i="2"/>
  <c r="C2912" i="2" s="1"/>
  <c r="B2911" i="2"/>
  <c r="C2911" i="2" s="1"/>
  <c r="B2910" i="2"/>
  <c r="C2910" i="2" s="1"/>
  <c r="B2909" i="2"/>
  <c r="C2909" i="2" s="1"/>
  <c r="B2908" i="2"/>
  <c r="C2908" i="2" s="1"/>
  <c r="B2907" i="2"/>
  <c r="C2907" i="2" s="1"/>
  <c r="B2906" i="2"/>
  <c r="C2906" i="2" s="1"/>
  <c r="B2905" i="2"/>
  <c r="C2905" i="2" s="1"/>
  <c r="B2904" i="2"/>
  <c r="C2904" i="2" s="1"/>
  <c r="B2903" i="2"/>
  <c r="C2903" i="2" s="1"/>
  <c r="B2902" i="2"/>
  <c r="C2902" i="2" s="1"/>
  <c r="B2901" i="2"/>
  <c r="C2901" i="2" s="1"/>
  <c r="B2900" i="2"/>
  <c r="C2900" i="2" s="1"/>
  <c r="B2899" i="2"/>
  <c r="C2899" i="2" s="1"/>
  <c r="B2898" i="2"/>
  <c r="C2898" i="2" s="1"/>
  <c r="B2897" i="2"/>
  <c r="C2897" i="2" s="1"/>
  <c r="B2896" i="2"/>
  <c r="C2896" i="2" s="1"/>
  <c r="B2895" i="2"/>
  <c r="C2895" i="2" s="1"/>
  <c r="B2894" i="2"/>
  <c r="C2894" i="2" s="1"/>
  <c r="B2893" i="2"/>
  <c r="C2893" i="2" s="1"/>
  <c r="B2892" i="2"/>
  <c r="C2892" i="2" s="1"/>
  <c r="B2891" i="2"/>
  <c r="C2891" i="2" s="1"/>
  <c r="B2890" i="2"/>
  <c r="C2890" i="2" s="1"/>
  <c r="B2889" i="2"/>
  <c r="C2889" i="2" s="1"/>
  <c r="B2888" i="2"/>
  <c r="C2888" i="2" s="1"/>
  <c r="B2887" i="2"/>
  <c r="C2887" i="2" s="1"/>
  <c r="B2886" i="2"/>
  <c r="C2886" i="2" s="1"/>
  <c r="B2885" i="2"/>
  <c r="C2885" i="2" s="1"/>
  <c r="B2884" i="2"/>
  <c r="C2884" i="2" s="1"/>
  <c r="B2883" i="2"/>
  <c r="C2883" i="2" s="1"/>
  <c r="B2882" i="2"/>
  <c r="C2882" i="2" s="1"/>
  <c r="B2881" i="2"/>
  <c r="C2881" i="2" s="1"/>
  <c r="B2880" i="2"/>
  <c r="C2880" i="2" s="1"/>
  <c r="B2879" i="2"/>
  <c r="C2879" i="2" s="1"/>
  <c r="B2878" i="2"/>
  <c r="C2878" i="2" s="1"/>
  <c r="B2877" i="2"/>
  <c r="C2877" i="2" s="1"/>
  <c r="B2876" i="2"/>
  <c r="C2876" i="2" s="1"/>
  <c r="B2875" i="2"/>
  <c r="C2875" i="2" s="1"/>
  <c r="B2874" i="2"/>
  <c r="C2874" i="2" s="1"/>
  <c r="B2873" i="2"/>
  <c r="C2873" i="2" s="1"/>
  <c r="B2872" i="2"/>
  <c r="C2872" i="2" s="1"/>
  <c r="B2871" i="2"/>
  <c r="C2871" i="2" s="1"/>
  <c r="B2870" i="2"/>
  <c r="C2870" i="2" s="1"/>
  <c r="B2869" i="2"/>
  <c r="C2869" i="2" s="1"/>
  <c r="B2868" i="2"/>
  <c r="C2868" i="2" s="1"/>
  <c r="B2867" i="2"/>
  <c r="C2867" i="2" s="1"/>
  <c r="B2866" i="2"/>
  <c r="C2866" i="2" s="1"/>
  <c r="B2865" i="2"/>
  <c r="C2865" i="2" s="1"/>
  <c r="B2864" i="2"/>
  <c r="C2864" i="2" s="1"/>
  <c r="B2863" i="2"/>
  <c r="C2863" i="2" s="1"/>
  <c r="B2862" i="2"/>
  <c r="C2862" i="2" s="1"/>
  <c r="B2861" i="2"/>
  <c r="C2861" i="2" s="1"/>
  <c r="B2860" i="2"/>
  <c r="C2860" i="2" s="1"/>
  <c r="B2859" i="2"/>
  <c r="C2859" i="2" s="1"/>
  <c r="B2858" i="2"/>
  <c r="C2858" i="2" s="1"/>
  <c r="B2857" i="2"/>
  <c r="C2857" i="2" s="1"/>
  <c r="B2856" i="2"/>
  <c r="C2856" i="2" s="1"/>
  <c r="B2855" i="2"/>
  <c r="C2855" i="2" s="1"/>
  <c r="B2854" i="2"/>
  <c r="C2854" i="2" s="1"/>
  <c r="B2853" i="2"/>
  <c r="C2853" i="2" s="1"/>
  <c r="B2852" i="2"/>
  <c r="C2852" i="2" s="1"/>
  <c r="B2851" i="2"/>
  <c r="C2851" i="2" s="1"/>
  <c r="B2850" i="2"/>
  <c r="C2850" i="2" s="1"/>
  <c r="B2849" i="2"/>
  <c r="C2849" i="2" s="1"/>
  <c r="B2848" i="2"/>
  <c r="C2848" i="2" s="1"/>
  <c r="B2847" i="2"/>
  <c r="C2847" i="2" s="1"/>
  <c r="B2846" i="2"/>
  <c r="C2846" i="2" s="1"/>
  <c r="B2845" i="2"/>
  <c r="C2845" i="2" s="1"/>
  <c r="B2844" i="2"/>
  <c r="C2844" i="2" s="1"/>
  <c r="B2843" i="2"/>
  <c r="C2843" i="2" s="1"/>
  <c r="B2842" i="2"/>
  <c r="C2842" i="2" s="1"/>
  <c r="B2841" i="2"/>
  <c r="C2841" i="2" s="1"/>
  <c r="B2840" i="2"/>
  <c r="C2840" i="2" s="1"/>
  <c r="B2839" i="2"/>
  <c r="C2839" i="2" s="1"/>
  <c r="B2838" i="2"/>
  <c r="C2838" i="2" s="1"/>
  <c r="B2837" i="2"/>
  <c r="C2837" i="2" s="1"/>
  <c r="B2836" i="2"/>
  <c r="C2836" i="2" s="1"/>
  <c r="B2835" i="2"/>
  <c r="C2835" i="2" s="1"/>
  <c r="B2834" i="2"/>
  <c r="C2834" i="2" s="1"/>
  <c r="B2833" i="2"/>
  <c r="C2833" i="2" s="1"/>
  <c r="B2832" i="2"/>
  <c r="C2832" i="2" s="1"/>
  <c r="B2831" i="2"/>
  <c r="C2831" i="2" s="1"/>
  <c r="B2830" i="2"/>
  <c r="C2830" i="2" s="1"/>
  <c r="B2829" i="2"/>
  <c r="C2829" i="2" s="1"/>
  <c r="B2828" i="2"/>
  <c r="C2828" i="2" s="1"/>
  <c r="B2827" i="2"/>
  <c r="C2827" i="2" s="1"/>
  <c r="B2826" i="2"/>
  <c r="C2826" i="2" s="1"/>
  <c r="B2825" i="2"/>
  <c r="C2825" i="2" s="1"/>
  <c r="B2824" i="2"/>
  <c r="C2824" i="2" s="1"/>
  <c r="B2823" i="2"/>
  <c r="C2823" i="2" s="1"/>
  <c r="B2822" i="2"/>
  <c r="C2822" i="2" s="1"/>
  <c r="B2821" i="2"/>
  <c r="C2821" i="2" s="1"/>
  <c r="B2820" i="2"/>
  <c r="C2820" i="2" s="1"/>
  <c r="B2819" i="2"/>
  <c r="C2819" i="2" s="1"/>
  <c r="B2818" i="2"/>
  <c r="C2818" i="2" s="1"/>
  <c r="B2817" i="2"/>
  <c r="C2817" i="2" s="1"/>
  <c r="B2816" i="2"/>
  <c r="C2816" i="2" s="1"/>
  <c r="B2815" i="2"/>
  <c r="C2815" i="2" s="1"/>
  <c r="B2814" i="2"/>
  <c r="C2814" i="2" s="1"/>
  <c r="B2813" i="2"/>
  <c r="C2813" i="2" s="1"/>
  <c r="B2812" i="2"/>
  <c r="C2812" i="2" s="1"/>
  <c r="B2811" i="2"/>
  <c r="C2811" i="2" s="1"/>
  <c r="B2810" i="2"/>
  <c r="C2810" i="2" s="1"/>
  <c r="B2809" i="2"/>
  <c r="C2809" i="2" s="1"/>
  <c r="B2808" i="2"/>
  <c r="C2808" i="2" s="1"/>
  <c r="B2807" i="2"/>
  <c r="C2807" i="2" s="1"/>
  <c r="B2806" i="2"/>
  <c r="C2806" i="2" s="1"/>
  <c r="B2805" i="2"/>
  <c r="C2805" i="2" s="1"/>
  <c r="B2804" i="2"/>
  <c r="C2804" i="2" s="1"/>
  <c r="B2803" i="2"/>
  <c r="C2803" i="2" s="1"/>
  <c r="B2802" i="2"/>
  <c r="C2802" i="2" s="1"/>
  <c r="B2801" i="2"/>
  <c r="C2801" i="2" s="1"/>
  <c r="B2800" i="2"/>
  <c r="C2800" i="2" s="1"/>
  <c r="B2799" i="2"/>
  <c r="C2799" i="2" s="1"/>
  <c r="B2798" i="2"/>
  <c r="C2798" i="2" s="1"/>
  <c r="B2797" i="2"/>
  <c r="C2797" i="2" s="1"/>
  <c r="B2796" i="2"/>
  <c r="C2796" i="2" s="1"/>
  <c r="B2795" i="2"/>
  <c r="C2795" i="2" s="1"/>
  <c r="B2794" i="2"/>
  <c r="C2794" i="2" s="1"/>
  <c r="B2793" i="2"/>
  <c r="C2793" i="2" s="1"/>
  <c r="B2792" i="2"/>
  <c r="C2792" i="2" s="1"/>
  <c r="B2791" i="2"/>
  <c r="C2791" i="2" s="1"/>
  <c r="B2790" i="2"/>
  <c r="C2790" i="2" s="1"/>
  <c r="B2789" i="2"/>
  <c r="C2789" i="2" s="1"/>
  <c r="B2788" i="2"/>
  <c r="C2788" i="2" s="1"/>
  <c r="B2787" i="2"/>
  <c r="C2787" i="2" s="1"/>
  <c r="B2786" i="2"/>
  <c r="C2786" i="2" s="1"/>
  <c r="B2785" i="2"/>
  <c r="C2785" i="2" s="1"/>
  <c r="B2784" i="2"/>
  <c r="C2784" i="2" s="1"/>
  <c r="B2783" i="2"/>
  <c r="C2783" i="2" s="1"/>
  <c r="B2782" i="2"/>
  <c r="C2782" i="2" s="1"/>
  <c r="B2781" i="2"/>
  <c r="C2781" i="2" s="1"/>
  <c r="B2780" i="2"/>
  <c r="C2780" i="2" s="1"/>
  <c r="B2779" i="2"/>
  <c r="C2779" i="2" s="1"/>
  <c r="B2778" i="2"/>
  <c r="C2778" i="2" s="1"/>
  <c r="B2777" i="2"/>
  <c r="C2777" i="2" s="1"/>
  <c r="B2776" i="2"/>
  <c r="C2776" i="2" s="1"/>
  <c r="B2775" i="2"/>
  <c r="C2775" i="2" s="1"/>
  <c r="B2774" i="2"/>
  <c r="C2774" i="2" s="1"/>
  <c r="B2773" i="2"/>
  <c r="C2773" i="2" s="1"/>
  <c r="B2772" i="2"/>
  <c r="C2772" i="2" s="1"/>
  <c r="B2771" i="2"/>
  <c r="C2771" i="2" s="1"/>
  <c r="B2770" i="2"/>
  <c r="C2770" i="2" s="1"/>
  <c r="B2769" i="2"/>
  <c r="C2769" i="2" s="1"/>
  <c r="B2768" i="2"/>
  <c r="C2768" i="2" s="1"/>
  <c r="B2767" i="2"/>
  <c r="C2767" i="2" s="1"/>
  <c r="B2766" i="2"/>
  <c r="C2766" i="2" s="1"/>
  <c r="B2765" i="2"/>
  <c r="C2765" i="2" s="1"/>
  <c r="B2764" i="2"/>
  <c r="C2764" i="2" s="1"/>
  <c r="B2763" i="2"/>
  <c r="C2763" i="2" s="1"/>
  <c r="B2762" i="2"/>
  <c r="C2762" i="2" s="1"/>
  <c r="B2761" i="2"/>
  <c r="C2761" i="2" s="1"/>
  <c r="B2760" i="2"/>
  <c r="C2760" i="2" s="1"/>
  <c r="B2759" i="2"/>
  <c r="C2759" i="2" s="1"/>
  <c r="B2758" i="2"/>
  <c r="C2758" i="2" s="1"/>
  <c r="B2757" i="2"/>
  <c r="C2757" i="2" s="1"/>
  <c r="B2756" i="2"/>
  <c r="C2756" i="2" s="1"/>
  <c r="B2755" i="2"/>
  <c r="C2755" i="2" s="1"/>
  <c r="B2754" i="2"/>
  <c r="C2754" i="2" s="1"/>
  <c r="B2753" i="2"/>
  <c r="C2753" i="2" s="1"/>
  <c r="B2752" i="2"/>
  <c r="C2752" i="2" s="1"/>
  <c r="B2751" i="2"/>
  <c r="C2751" i="2" s="1"/>
  <c r="B2750" i="2"/>
  <c r="C2750" i="2" s="1"/>
  <c r="B2749" i="2"/>
  <c r="C2749" i="2" s="1"/>
  <c r="B2748" i="2"/>
  <c r="C2748" i="2" s="1"/>
  <c r="B2747" i="2"/>
  <c r="C2747" i="2" s="1"/>
  <c r="B2746" i="2"/>
  <c r="C2746" i="2" s="1"/>
  <c r="B2745" i="2"/>
  <c r="C2745" i="2" s="1"/>
  <c r="B2744" i="2"/>
  <c r="C2744" i="2" s="1"/>
  <c r="B2743" i="2"/>
  <c r="C2743" i="2" s="1"/>
  <c r="B2742" i="2"/>
  <c r="C2742" i="2" s="1"/>
  <c r="B2741" i="2"/>
  <c r="C2741" i="2" s="1"/>
  <c r="B2740" i="2"/>
  <c r="C2740" i="2" s="1"/>
  <c r="B2739" i="2"/>
  <c r="C2739" i="2" s="1"/>
  <c r="B2738" i="2"/>
  <c r="C2738" i="2" s="1"/>
  <c r="B2737" i="2"/>
  <c r="C2737" i="2" s="1"/>
  <c r="B2736" i="2"/>
  <c r="C2736" i="2" s="1"/>
  <c r="B2735" i="2"/>
  <c r="C2735" i="2" s="1"/>
  <c r="B2734" i="2"/>
  <c r="C2734" i="2" s="1"/>
  <c r="B2733" i="2"/>
  <c r="C2733" i="2" s="1"/>
  <c r="B2732" i="2"/>
  <c r="C2732" i="2" s="1"/>
  <c r="B2731" i="2"/>
  <c r="C2731" i="2" s="1"/>
  <c r="B2730" i="2"/>
  <c r="C2730" i="2" s="1"/>
  <c r="B2729" i="2"/>
  <c r="C2729" i="2" s="1"/>
  <c r="B2728" i="2"/>
  <c r="C2728" i="2" s="1"/>
  <c r="B2727" i="2"/>
  <c r="C2727" i="2" s="1"/>
  <c r="B2726" i="2"/>
  <c r="C2726" i="2" s="1"/>
  <c r="B2725" i="2"/>
  <c r="C2725" i="2" s="1"/>
  <c r="B2724" i="2"/>
  <c r="C2724" i="2" s="1"/>
  <c r="B2723" i="2"/>
  <c r="C2723" i="2" s="1"/>
  <c r="B2722" i="2"/>
  <c r="C2722" i="2" s="1"/>
  <c r="B2721" i="2"/>
  <c r="C2721" i="2" s="1"/>
  <c r="B2720" i="2"/>
  <c r="C2720" i="2" s="1"/>
  <c r="B2719" i="2"/>
  <c r="C2719" i="2" s="1"/>
  <c r="B2718" i="2"/>
  <c r="C2718" i="2" s="1"/>
  <c r="B2717" i="2"/>
  <c r="C2717" i="2" s="1"/>
  <c r="B2716" i="2"/>
  <c r="C2716" i="2" s="1"/>
  <c r="B2715" i="2"/>
  <c r="C2715" i="2" s="1"/>
  <c r="B2714" i="2"/>
  <c r="C2714" i="2" s="1"/>
  <c r="B2713" i="2"/>
  <c r="C2713" i="2" s="1"/>
  <c r="B2712" i="2"/>
  <c r="C2712" i="2" s="1"/>
  <c r="B2711" i="2"/>
  <c r="C2711" i="2" s="1"/>
  <c r="B2710" i="2"/>
  <c r="C2710" i="2" s="1"/>
  <c r="B2709" i="2"/>
  <c r="C2709" i="2" s="1"/>
  <c r="B2708" i="2"/>
  <c r="C2708" i="2" s="1"/>
  <c r="B2707" i="2"/>
  <c r="C2707" i="2" s="1"/>
  <c r="B2706" i="2"/>
  <c r="C2706" i="2" s="1"/>
  <c r="B2705" i="2"/>
  <c r="C2705" i="2" s="1"/>
  <c r="B2704" i="2"/>
  <c r="C2704" i="2" s="1"/>
  <c r="B2703" i="2"/>
  <c r="C2703" i="2" s="1"/>
  <c r="B2702" i="2"/>
  <c r="C2702" i="2" s="1"/>
  <c r="B2701" i="2"/>
  <c r="C2701" i="2" s="1"/>
  <c r="B2700" i="2"/>
  <c r="C2700" i="2" s="1"/>
  <c r="B2699" i="2"/>
  <c r="C2699" i="2" s="1"/>
  <c r="B2698" i="2"/>
  <c r="C2698" i="2" s="1"/>
  <c r="B2697" i="2"/>
  <c r="C2697" i="2" s="1"/>
  <c r="B2696" i="2"/>
  <c r="C2696" i="2" s="1"/>
  <c r="B2695" i="2"/>
  <c r="C2695" i="2" s="1"/>
  <c r="B2694" i="2"/>
  <c r="C2694" i="2" s="1"/>
  <c r="B2693" i="2"/>
  <c r="C2693" i="2" s="1"/>
  <c r="B2692" i="2"/>
  <c r="C2692" i="2" s="1"/>
  <c r="B2691" i="2"/>
  <c r="C2691" i="2" s="1"/>
  <c r="B2690" i="2"/>
  <c r="C2690" i="2" s="1"/>
  <c r="B2689" i="2"/>
  <c r="C2689" i="2" s="1"/>
  <c r="B2688" i="2"/>
  <c r="C2688" i="2" s="1"/>
  <c r="B2687" i="2"/>
  <c r="C2687" i="2" s="1"/>
  <c r="B2686" i="2"/>
  <c r="C2686" i="2" s="1"/>
  <c r="B2685" i="2"/>
  <c r="C2685" i="2" s="1"/>
  <c r="B2684" i="2"/>
  <c r="C2684" i="2" s="1"/>
  <c r="B2683" i="2"/>
  <c r="C2683" i="2" s="1"/>
  <c r="B2682" i="2"/>
  <c r="C2682" i="2" s="1"/>
  <c r="B2681" i="2"/>
  <c r="C2681" i="2" s="1"/>
  <c r="B2680" i="2"/>
  <c r="C2680" i="2" s="1"/>
  <c r="B2679" i="2"/>
  <c r="C2679" i="2" s="1"/>
  <c r="B2678" i="2"/>
  <c r="C2678" i="2" s="1"/>
  <c r="B2677" i="2"/>
  <c r="C2677" i="2" s="1"/>
  <c r="B2676" i="2"/>
  <c r="C2676" i="2" s="1"/>
  <c r="B2675" i="2"/>
  <c r="C2675" i="2" s="1"/>
  <c r="B2674" i="2"/>
  <c r="C2674" i="2" s="1"/>
  <c r="B2673" i="2"/>
  <c r="C2673" i="2" s="1"/>
  <c r="B2672" i="2"/>
  <c r="C2672" i="2" s="1"/>
  <c r="B2671" i="2"/>
  <c r="C2671" i="2" s="1"/>
  <c r="B2670" i="2"/>
  <c r="C2670" i="2" s="1"/>
  <c r="B2669" i="2"/>
  <c r="C2669" i="2" s="1"/>
  <c r="B2668" i="2"/>
  <c r="C2668" i="2" s="1"/>
  <c r="B2667" i="2"/>
  <c r="C2667" i="2" s="1"/>
  <c r="B2666" i="2"/>
  <c r="C2666" i="2" s="1"/>
  <c r="B2665" i="2"/>
  <c r="C2665" i="2" s="1"/>
  <c r="B2664" i="2"/>
  <c r="C2664" i="2" s="1"/>
  <c r="B2663" i="2"/>
  <c r="C2663" i="2" s="1"/>
  <c r="B2662" i="2"/>
  <c r="C2662" i="2" s="1"/>
  <c r="B2661" i="2"/>
  <c r="C2661" i="2" s="1"/>
  <c r="B2660" i="2"/>
  <c r="C2660" i="2" s="1"/>
  <c r="B2659" i="2"/>
  <c r="C2659" i="2" s="1"/>
  <c r="B2658" i="2"/>
  <c r="C2658" i="2" s="1"/>
  <c r="B2657" i="2"/>
  <c r="C2657" i="2" s="1"/>
  <c r="B2656" i="2"/>
  <c r="C2656" i="2" s="1"/>
  <c r="B2655" i="2"/>
  <c r="C2655" i="2" s="1"/>
  <c r="B2654" i="2"/>
  <c r="C2654" i="2" s="1"/>
  <c r="B2653" i="2"/>
  <c r="C2653" i="2" s="1"/>
  <c r="B2652" i="2"/>
  <c r="C2652" i="2" s="1"/>
  <c r="B2651" i="2"/>
  <c r="C2651" i="2" s="1"/>
  <c r="B2650" i="2"/>
  <c r="C2650" i="2" s="1"/>
  <c r="B2649" i="2"/>
  <c r="C2649" i="2" s="1"/>
  <c r="B2648" i="2"/>
  <c r="C2648" i="2" s="1"/>
  <c r="B2647" i="2"/>
  <c r="C2647" i="2" s="1"/>
  <c r="B2646" i="2"/>
  <c r="C2646" i="2" s="1"/>
  <c r="B2645" i="2"/>
  <c r="C2645" i="2" s="1"/>
  <c r="B2644" i="2"/>
  <c r="C2644" i="2" s="1"/>
  <c r="B2643" i="2"/>
  <c r="C2643" i="2" s="1"/>
  <c r="B2642" i="2"/>
  <c r="C2642" i="2" s="1"/>
  <c r="B2641" i="2"/>
  <c r="C2641" i="2" s="1"/>
  <c r="B2640" i="2"/>
  <c r="C2640" i="2" s="1"/>
  <c r="B2639" i="2"/>
  <c r="C2639" i="2" s="1"/>
  <c r="B2638" i="2"/>
  <c r="C2638" i="2" s="1"/>
  <c r="B2637" i="2"/>
  <c r="C2637" i="2" s="1"/>
  <c r="B2636" i="2"/>
  <c r="C2636" i="2" s="1"/>
  <c r="B2635" i="2"/>
  <c r="C2635" i="2" s="1"/>
  <c r="B2634" i="2"/>
  <c r="C2634" i="2" s="1"/>
  <c r="B2633" i="2"/>
  <c r="C2633" i="2" s="1"/>
  <c r="B2632" i="2"/>
  <c r="C2632" i="2" s="1"/>
  <c r="B2631" i="2"/>
  <c r="C2631" i="2" s="1"/>
  <c r="B2630" i="2"/>
  <c r="C2630" i="2" s="1"/>
  <c r="B2629" i="2"/>
  <c r="C2629" i="2" s="1"/>
  <c r="B2628" i="2"/>
  <c r="C2628" i="2" s="1"/>
  <c r="B2627" i="2"/>
  <c r="C2627" i="2" s="1"/>
  <c r="B2626" i="2"/>
  <c r="C2626" i="2" s="1"/>
  <c r="B2625" i="2"/>
  <c r="C2625" i="2" s="1"/>
  <c r="B2624" i="2"/>
  <c r="C2624" i="2" s="1"/>
  <c r="B2623" i="2"/>
  <c r="C2623" i="2" s="1"/>
  <c r="B2622" i="2"/>
  <c r="C2622" i="2" s="1"/>
  <c r="B2621" i="2"/>
  <c r="C2621" i="2" s="1"/>
  <c r="B2620" i="2"/>
  <c r="C2620" i="2" s="1"/>
  <c r="B2619" i="2"/>
  <c r="C2619" i="2" s="1"/>
  <c r="B2618" i="2"/>
  <c r="C2618" i="2" s="1"/>
  <c r="B2617" i="2"/>
  <c r="C2617" i="2" s="1"/>
  <c r="B2616" i="2"/>
  <c r="C2616" i="2" s="1"/>
  <c r="B2615" i="2"/>
  <c r="C2615" i="2" s="1"/>
  <c r="B2614" i="2"/>
  <c r="C2614" i="2" s="1"/>
  <c r="B2613" i="2"/>
  <c r="C2613" i="2" s="1"/>
  <c r="B2612" i="2"/>
  <c r="C2612" i="2" s="1"/>
  <c r="B2611" i="2"/>
  <c r="C2611" i="2" s="1"/>
  <c r="B2610" i="2"/>
  <c r="C2610" i="2" s="1"/>
  <c r="B2609" i="2"/>
  <c r="C2609" i="2" s="1"/>
  <c r="B2608" i="2"/>
  <c r="C2608" i="2" s="1"/>
  <c r="B2607" i="2"/>
  <c r="C2607" i="2" s="1"/>
  <c r="B2606" i="2"/>
  <c r="C2606" i="2" s="1"/>
  <c r="B2605" i="2"/>
  <c r="C2605" i="2" s="1"/>
  <c r="B2604" i="2"/>
  <c r="C2604" i="2" s="1"/>
  <c r="B2603" i="2"/>
  <c r="C2603" i="2" s="1"/>
  <c r="B2602" i="2"/>
  <c r="C2602" i="2" s="1"/>
  <c r="B2601" i="2"/>
  <c r="C2601" i="2" s="1"/>
  <c r="B2600" i="2"/>
  <c r="C2600" i="2" s="1"/>
  <c r="B2599" i="2"/>
  <c r="C2599" i="2" s="1"/>
  <c r="B2598" i="2"/>
  <c r="C2598" i="2" s="1"/>
  <c r="B2597" i="2"/>
  <c r="C2597" i="2" s="1"/>
  <c r="B2596" i="2"/>
  <c r="C2596" i="2" s="1"/>
  <c r="B2595" i="2"/>
  <c r="C2595" i="2" s="1"/>
  <c r="B2594" i="2"/>
  <c r="C2594" i="2" s="1"/>
  <c r="B2593" i="2"/>
  <c r="C2593" i="2" s="1"/>
  <c r="B2592" i="2"/>
  <c r="C2592" i="2" s="1"/>
  <c r="B2591" i="2"/>
  <c r="C2591" i="2" s="1"/>
  <c r="B2590" i="2"/>
  <c r="C2590" i="2" s="1"/>
  <c r="B2589" i="2"/>
  <c r="C2589" i="2" s="1"/>
  <c r="B2588" i="2"/>
  <c r="C2588" i="2" s="1"/>
  <c r="B2587" i="2"/>
  <c r="C2587" i="2" s="1"/>
  <c r="B2586" i="2"/>
  <c r="C2586" i="2" s="1"/>
  <c r="B2585" i="2"/>
  <c r="C2585" i="2" s="1"/>
  <c r="B2584" i="2"/>
  <c r="C2584" i="2" s="1"/>
  <c r="B2583" i="2"/>
  <c r="C2583" i="2" s="1"/>
  <c r="B2582" i="2"/>
  <c r="C2582" i="2" s="1"/>
  <c r="B2581" i="2"/>
  <c r="C2581" i="2" s="1"/>
  <c r="B2580" i="2"/>
  <c r="C2580" i="2" s="1"/>
  <c r="B2579" i="2"/>
  <c r="C2579" i="2" s="1"/>
  <c r="B2578" i="2"/>
  <c r="C2578" i="2" s="1"/>
  <c r="B2577" i="2"/>
  <c r="C2577" i="2" s="1"/>
  <c r="B2576" i="2"/>
  <c r="C2576" i="2" s="1"/>
  <c r="B2575" i="2"/>
  <c r="C2575" i="2" s="1"/>
  <c r="B2574" i="2"/>
  <c r="C2574" i="2" s="1"/>
  <c r="B2573" i="2"/>
  <c r="C2573" i="2" s="1"/>
  <c r="B2572" i="2"/>
  <c r="C2572" i="2" s="1"/>
  <c r="B2571" i="2"/>
  <c r="C2571" i="2" s="1"/>
  <c r="B2570" i="2"/>
  <c r="C2570" i="2" s="1"/>
  <c r="B2569" i="2"/>
  <c r="C2569" i="2" s="1"/>
  <c r="B2568" i="2"/>
  <c r="C2568" i="2" s="1"/>
  <c r="B2567" i="2"/>
  <c r="C2567" i="2" s="1"/>
  <c r="B2566" i="2"/>
  <c r="C2566" i="2" s="1"/>
  <c r="B2565" i="2"/>
  <c r="C2565" i="2" s="1"/>
  <c r="B2564" i="2"/>
  <c r="C2564" i="2" s="1"/>
  <c r="B2563" i="2"/>
  <c r="C2563" i="2" s="1"/>
  <c r="B2562" i="2"/>
  <c r="C2562" i="2" s="1"/>
  <c r="B2561" i="2"/>
  <c r="C2561" i="2" s="1"/>
  <c r="B2560" i="2"/>
  <c r="C2560" i="2" s="1"/>
  <c r="B2559" i="2"/>
  <c r="C2559" i="2" s="1"/>
  <c r="B2558" i="2"/>
  <c r="C2558" i="2" s="1"/>
  <c r="B2557" i="2"/>
  <c r="C2557" i="2" s="1"/>
  <c r="B2556" i="2"/>
  <c r="C2556" i="2" s="1"/>
  <c r="B2555" i="2"/>
  <c r="C2555" i="2" s="1"/>
  <c r="B2554" i="2"/>
  <c r="C2554" i="2" s="1"/>
  <c r="B2553" i="2"/>
  <c r="C2553" i="2" s="1"/>
  <c r="B2552" i="2"/>
  <c r="C2552" i="2" s="1"/>
  <c r="B2551" i="2"/>
  <c r="C2551" i="2" s="1"/>
  <c r="B2550" i="2"/>
  <c r="C2550" i="2" s="1"/>
  <c r="B2549" i="2"/>
  <c r="C2549" i="2" s="1"/>
  <c r="B2548" i="2"/>
  <c r="C2548" i="2" s="1"/>
  <c r="B2547" i="2"/>
  <c r="C2547" i="2" s="1"/>
  <c r="B2546" i="2"/>
  <c r="C2546" i="2" s="1"/>
  <c r="B2545" i="2"/>
  <c r="C2545" i="2" s="1"/>
  <c r="B2544" i="2"/>
  <c r="C2544" i="2" s="1"/>
  <c r="B2543" i="2"/>
  <c r="C2543" i="2" s="1"/>
  <c r="B2542" i="2"/>
  <c r="C2542" i="2" s="1"/>
  <c r="B2541" i="2"/>
  <c r="C2541" i="2" s="1"/>
  <c r="B2540" i="2"/>
  <c r="C2540" i="2" s="1"/>
  <c r="B2539" i="2"/>
  <c r="C2539" i="2" s="1"/>
  <c r="B2538" i="2"/>
  <c r="C2538" i="2" s="1"/>
  <c r="B2537" i="2"/>
  <c r="C2537" i="2" s="1"/>
  <c r="B2536" i="2"/>
  <c r="C2536" i="2" s="1"/>
  <c r="B2535" i="2"/>
  <c r="C2535" i="2" s="1"/>
  <c r="B2534" i="2"/>
  <c r="C2534" i="2" s="1"/>
  <c r="B2533" i="2"/>
  <c r="C2533" i="2" s="1"/>
  <c r="B2532" i="2"/>
  <c r="C2532" i="2" s="1"/>
  <c r="B2531" i="2"/>
  <c r="C2531" i="2" s="1"/>
  <c r="B2530" i="2"/>
  <c r="C2530" i="2" s="1"/>
  <c r="B2529" i="2"/>
  <c r="C2529" i="2" s="1"/>
  <c r="B2528" i="2"/>
  <c r="C2528" i="2" s="1"/>
  <c r="B2527" i="2"/>
  <c r="C2527" i="2" s="1"/>
  <c r="B2526" i="2"/>
  <c r="C2526" i="2" s="1"/>
  <c r="B2525" i="2"/>
  <c r="C2525" i="2" s="1"/>
  <c r="B2524" i="2"/>
  <c r="C2524" i="2" s="1"/>
  <c r="B2523" i="2"/>
  <c r="C2523" i="2" s="1"/>
  <c r="B2522" i="2"/>
  <c r="C2522" i="2" s="1"/>
  <c r="B2521" i="2"/>
  <c r="C2521" i="2" s="1"/>
  <c r="B2520" i="2"/>
  <c r="C2520" i="2" s="1"/>
  <c r="B2519" i="2"/>
  <c r="C2519" i="2" s="1"/>
  <c r="B2518" i="2"/>
  <c r="C2518" i="2" s="1"/>
  <c r="B2517" i="2"/>
  <c r="C2517" i="2" s="1"/>
  <c r="B2516" i="2"/>
  <c r="C2516" i="2" s="1"/>
  <c r="B2515" i="2"/>
  <c r="C2515" i="2" s="1"/>
  <c r="B2514" i="2"/>
  <c r="C2514" i="2" s="1"/>
  <c r="B2513" i="2"/>
  <c r="C2513" i="2" s="1"/>
  <c r="B2512" i="2"/>
  <c r="C2512" i="2" s="1"/>
  <c r="B2511" i="2"/>
  <c r="C2511" i="2" s="1"/>
  <c r="B2510" i="2"/>
  <c r="C2510" i="2" s="1"/>
  <c r="B2509" i="2"/>
  <c r="C2509" i="2" s="1"/>
  <c r="B2508" i="2"/>
  <c r="C2508" i="2" s="1"/>
  <c r="B2507" i="2"/>
  <c r="C2507" i="2" s="1"/>
  <c r="B2506" i="2"/>
  <c r="C2506" i="2" s="1"/>
  <c r="B2505" i="2"/>
  <c r="C2505" i="2" s="1"/>
  <c r="B2504" i="2"/>
  <c r="C2504" i="2" s="1"/>
  <c r="B2503" i="2"/>
  <c r="C2503" i="2" s="1"/>
  <c r="B2502" i="2"/>
  <c r="C2502" i="2" s="1"/>
  <c r="B2501" i="2"/>
  <c r="C2501" i="2" s="1"/>
  <c r="B2500" i="2"/>
  <c r="C2500" i="2" s="1"/>
  <c r="B2499" i="2"/>
  <c r="C2499" i="2" s="1"/>
  <c r="B2498" i="2"/>
  <c r="C2498" i="2" s="1"/>
  <c r="B2497" i="2"/>
  <c r="C2497" i="2" s="1"/>
  <c r="B2496" i="2"/>
  <c r="C2496" i="2" s="1"/>
  <c r="B2495" i="2"/>
  <c r="C2495" i="2" s="1"/>
  <c r="B2494" i="2"/>
  <c r="C2494" i="2" s="1"/>
  <c r="B2493" i="2"/>
  <c r="C2493" i="2" s="1"/>
  <c r="B2492" i="2"/>
  <c r="C2492" i="2" s="1"/>
  <c r="B2491" i="2"/>
  <c r="C2491" i="2" s="1"/>
  <c r="B2490" i="2"/>
  <c r="C2490" i="2" s="1"/>
  <c r="B2489" i="2"/>
  <c r="C2489" i="2" s="1"/>
  <c r="B2488" i="2"/>
  <c r="C2488" i="2" s="1"/>
  <c r="B2487" i="2"/>
  <c r="C2487" i="2" s="1"/>
  <c r="B2486" i="2"/>
  <c r="C2486" i="2" s="1"/>
  <c r="B2485" i="2"/>
  <c r="C2485" i="2" s="1"/>
  <c r="B2484" i="2"/>
  <c r="C2484" i="2" s="1"/>
  <c r="B2483" i="2"/>
  <c r="C2483" i="2" s="1"/>
  <c r="B2482" i="2"/>
  <c r="C2482" i="2" s="1"/>
  <c r="B2481" i="2"/>
  <c r="C2481" i="2" s="1"/>
  <c r="B2480" i="2"/>
  <c r="C2480" i="2" s="1"/>
  <c r="B2479" i="2"/>
  <c r="C2479" i="2" s="1"/>
  <c r="B2478" i="2"/>
  <c r="C2478" i="2" s="1"/>
  <c r="B2477" i="2"/>
  <c r="C2477" i="2" s="1"/>
  <c r="B2476" i="2"/>
  <c r="C2476" i="2" s="1"/>
  <c r="B2475" i="2"/>
  <c r="C2475" i="2" s="1"/>
  <c r="B2474" i="2"/>
  <c r="C2474" i="2" s="1"/>
  <c r="B2473" i="2"/>
  <c r="C2473" i="2" s="1"/>
  <c r="B2472" i="2"/>
  <c r="C2472" i="2" s="1"/>
  <c r="B2471" i="2"/>
  <c r="C2471" i="2" s="1"/>
  <c r="B2470" i="2"/>
  <c r="C2470" i="2" s="1"/>
  <c r="B2469" i="2"/>
  <c r="C2469" i="2" s="1"/>
  <c r="B2468" i="2"/>
  <c r="C2468" i="2" s="1"/>
  <c r="B2467" i="2"/>
  <c r="C2467" i="2" s="1"/>
  <c r="B2466" i="2"/>
  <c r="C2466" i="2" s="1"/>
  <c r="B2465" i="2"/>
  <c r="C2465" i="2" s="1"/>
  <c r="B2464" i="2"/>
  <c r="C2464" i="2" s="1"/>
  <c r="B2463" i="2"/>
  <c r="C2463" i="2" s="1"/>
  <c r="B2462" i="2"/>
  <c r="C2462" i="2" s="1"/>
  <c r="B2461" i="2"/>
  <c r="C2461" i="2" s="1"/>
  <c r="B2460" i="2"/>
  <c r="C2460" i="2" s="1"/>
  <c r="B2459" i="2"/>
  <c r="C2459" i="2" s="1"/>
  <c r="B2458" i="2"/>
  <c r="C2458" i="2" s="1"/>
  <c r="B2457" i="2"/>
  <c r="C2457" i="2" s="1"/>
  <c r="B2456" i="2"/>
  <c r="C2456" i="2" s="1"/>
  <c r="B2455" i="2"/>
  <c r="C2455" i="2" s="1"/>
  <c r="B2454" i="2"/>
  <c r="C2454" i="2" s="1"/>
  <c r="B2453" i="2"/>
  <c r="C2453" i="2" s="1"/>
  <c r="B2452" i="2"/>
  <c r="C2452" i="2" s="1"/>
  <c r="B2451" i="2"/>
  <c r="C2451" i="2" s="1"/>
  <c r="B2450" i="2"/>
  <c r="C2450" i="2" s="1"/>
  <c r="B2449" i="2"/>
  <c r="C2449" i="2" s="1"/>
  <c r="B2448" i="2"/>
  <c r="C2448" i="2" s="1"/>
  <c r="B2447" i="2"/>
  <c r="C2447" i="2" s="1"/>
  <c r="B2446" i="2"/>
  <c r="C2446" i="2" s="1"/>
  <c r="B2445" i="2"/>
  <c r="C2445" i="2" s="1"/>
  <c r="B2444" i="2"/>
  <c r="C2444" i="2" s="1"/>
  <c r="B2443" i="2"/>
  <c r="C2443" i="2" s="1"/>
  <c r="B2442" i="2"/>
  <c r="C2442" i="2" s="1"/>
  <c r="B2441" i="2"/>
  <c r="C2441" i="2" s="1"/>
  <c r="B2440" i="2"/>
  <c r="C2440" i="2" s="1"/>
  <c r="B2439" i="2"/>
  <c r="C2439" i="2" s="1"/>
  <c r="B2438" i="2"/>
  <c r="C2438" i="2" s="1"/>
  <c r="B2437" i="2"/>
  <c r="C2437" i="2" s="1"/>
  <c r="B2436" i="2"/>
  <c r="C2436" i="2" s="1"/>
  <c r="B2435" i="2"/>
  <c r="C2435" i="2" s="1"/>
  <c r="B2434" i="2"/>
  <c r="C2434" i="2" s="1"/>
  <c r="B2433" i="2"/>
  <c r="C2433" i="2" s="1"/>
  <c r="B2432" i="2"/>
  <c r="C2432" i="2" s="1"/>
  <c r="B2431" i="2"/>
  <c r="C2431" i="2" s="1"/>
  <c r="B2430" i="2"/>
  <c r="C2430" i="2" s="1"/>
  <c r="B2429" i="2"/>
  <c r="C2429" i="2" s="1"/>
  <c r="B2428" i="2"/>
  <c r="C2428" i="2" s="1"/>
  <c r="B2427" i="2"/>
  <c r="C2427" i="2" s="1"/>
  <c r="B2426" i="2"/>
  <c r="C2426" i="2" s="1"/>
  <c r="B2425" i="2"/>
  <c r="C2425" i="2" s="1"/>
  <c r="B2424" i="2"/>
  <c r="C2424" i="2" s="1"/>
  <c r="B2423" i="2"/>
  <c r="C2423" i="2" s="1"/>
  <c r="B2422" i="2"/>
  <c r="C2422" i="2" s="1"/>
  <c r="B2421" i="2"/>
  <c r="C2421" i="2" s="1"/>
  <c r="B2420" i="2"/>
  <c r="C2420" i="2" s="1"/>
  <c r="B2419" i="2"/>
  <c r="C2419" i="2" s="1"/>
  <c r="B2418" i="2"/>
  <c r="C2418" i="2" s="1"/>
  <c r="B2417" i="2"/>
  <c r="C2417" i="2" s="1"/>
  <c r="B2416" i="2"/>
  <c r="C2416" i="2" s="1"/>
  <c r="B2415" i="2"/>
  <c r="C2415" i="2" s="1"/>
  <c r="B2414" i="2"/>
  <c r="C2414" i="2" s="1"/>
  <c r="B2413" i="2"/>
  <c r="C2413" i="2" s="1"/>
  <c r="B2412" i="2"/>
  <c r="C2412" i="2" s="1"/>
  <c r="B2411" i="2"/>
  <c r="C2411" i="2" s="1"/>
  <c r="B2410" i="2"/>
  <c r="C2410" i="2" s="1"/>
  <c r="B2409" i="2"/>
  <c r="C2409" i="2" s="1"/>
  <c r="B2408" i="2"/>
  <c r="C2408" i="2" s="1"/>
  <c r="B2407" i="2"/>
  <c r="C2407" i="2" s="1"/>
  <c r="B2406" i="2"/>
  <c r="C2406" i="2" s="1"/>
  <c r="B2405" i="2"/>
  <c r="C2405" i="2" s="1"/>
  <c r="B2404" i="2"/>
  <c r="C2404" i="2" s="1"/>
  <c r="B2403" i="2"/>
  <c r="C2403" i="2" s="1"/>
  <c r="B2402" i="2"/>
  <c r="C2402" i="2" s="1"/>
  <c r="B2401" i="2"/>
  <c r="C2401" i="2" s="1"/>
  <c r="B2400" i="2"/>
  <c r="C2400" i="2" s="1"/>
  <c r="B2399" i="2"/>
  <c r="C2399" i="2" s="1"/>
  <c r="B2398" i="2"/>
  <c r="C2398" i="2" s="1"/>
  <c r="B2397" i="2"/>
  <c r="C2397" i="2" s="1"/>
  <c r="B2396" i="2"/>
  <c r="C2396" i="2" s="1"/>
  <c r="B2395" i="2"/>
  <c r="C2395" i="2" s="1"/>
  <c r="B2394" i="2"/>
  <c r="C2394" i="2" s="1"/>
  <c r="B2393" i="2"/>
  <c r="C2393" i="2" s="1"/>
  <c r="B2392" i="2"/>
  <c r="C2392" i="2" s="1"/>
  <c r="B2391" i="2"/>
  <c r="C2391" i="2" s="1"/>
  <c r="B2390" i="2"/>
  <c r="C2390" i="2" s="1"/>
  <c r="B2389" i="2"/>
  <c r="C2389" i="2" s="1"/>
  <c r="B2388" i="2"/>
  <c r="C2388" i="2" s="1"/>
  <c r="B2387" i="2"/>
  <c r="C2387" i="2" s="1"/>
  <c r="B2386" i="2"/>
  <c r="C2386" i="2" s="1"/>
  <c r="B2385" i="2"/>
  <c r="C2385" i="2" s="1"/>
  <c r="B2384" i="2"/>
  <c r="C2384" i="2" s="1"/>
  <c r="B2383" i="2"/>
  <c r="C2383" i="2" s="1"/>
  <c r="B2382" i="2"/>
  <c r="C2382" i="2" s="1"/>
  <c r="B2381" i="2"/>
  <c r="C2381" i="2" s="1"/>
  <c r="B2380" i="2"/>
  <c r="C2380" i="2" s="1"/>
  <c r="B2379" i="2"/>
  <c r="C2379" i="2" s="1"/>
  <c r="B2378" i="2"/>
  <c r="C2378" i="2" s="1"/>
  <c r="B2377" i="2"/>
  <c r="C2377" i="2" s="1"/>
  <c r="B2376" i="2"/>
  <c r="C2376" i="2" s="1"/>
  <c r="B2375" i="2"/>
  <c r="C2375" i="2" s="1"/>
  <c r="B2374" i="2"/>
  <c r="C2374" i="2" s="1"/>
  <c r="B2373" i="2"/>
  <c r="C2373" i="2" s="1"/>
  <c r="B2372" i="2"/>
  <c r="C2372" i="2" s="1"/>
  <c r="B2371" i="2"/>
  <c r="C2371" i="2" s="1"/>
  <c r="B2370" i="2"/>
  <c r="C2370" i="2" s="1"/>
  <c r="B2369" i="2"/>
  <c r="C2369" i="2" s="1"/>
  <c r="B2368" i="2"/>
  <c r="C2368" i="2" s="1"/>
  <c r="B2367" i="2"/>
  <c r="C2367" i="2" s="1"/>
  <c r="B2366" i="2"/>
  <c r="C2366" i="2" s="1"/>
  <c r="B2365" i="2"/>
  <c r="C2365" i="2" s="1"/>
  <c r="B2364" i="2"/>
  <c r="C2364" i="2" s="1"/>
  <c r="B2363" i="2"/>
  <c r="C2363" i="2" s="1"/>
  <c r="B2362" i="2"/>
  <c r="C2362" i="2" s="1"/>
  <c r="B2361" i="2"/>
  <c r="C2361" i="2" s="1"/>
  <c r="B2360" i="2"/>
  <c r="C2360" i="2" s="1"/>
  <c r="B2359" i="2"/>
  <c r="C2359" i="2" s="1"/>
  <c r="B2358" i="2"/>
  <c r="C2358" i="2" s="1"/>
  <c r="B2357" i="2"/>
  <c r="C2357" i="2" s="1"/>
  <c r="B2356" i="2"/>
  <c r="C2356" i="2" s="1"/>
  <c r="B2355" i="2"/>
  <c r="C2355" i="2" s="1"/>
  <c r="B2354" i="2"/>
  <c r="C2354" i="2" s="1"/>
  <c r="B2353" i="2"/>
  <c r="C2353" i="2" s="1"/>
  <c r="B2352" i="2"/>
  <c r="C2352" i="2" s="1"/>
  <c r="B2351" i="2"/>
  <c r="C2351" i="2" s="1"/>
  <c r="B2350" i="2"/>
  <c r="C2350" i="2" s="1"/>
  <c r="B2349" i="2"/>
  <c r="C2349" i="2" s="1"/>
  <c r="B2348" i="2"/>
  <c r="C2348" i="2" s="1"/>
  <c r="B2347" i="2"/>
  <c r="C2347" i="2" s="1"/>
  <c r="B2346" i="2"/>
  <c r="C2346" i="2" s="1"/>
  <c r="B2345" i="2"/>
  <c r="C2345" i="2" s="1"/>
  <c r="B2344" i="2"/>
  <c r="C2344" i="2" s="1"/>
  <c r="B2343" i="2"/>
  <c r="C2343" i="2" s="1"/>
  <c r="B2342" i="2"/>
  <c r="C2342" i="2" s="1"/>
  <c r="B2341" i="2"/>
  <c r="C2341" i="2" s="1"/>
  <c r="B2340" i="2"/>
  <c r="C2340" i="2" s="1"/>
  <c r="B2339" i="2"/>
  <c r="C2339" i="2" s="1"/>
  <c r="B2338" i="2"/>
  <c r="C2338" i="2" s="1"/>
  <c r="B2337" i="2"/>
  <c r="C2337" i="2" s="1"/>
  <c r="B2336" i="2"/>
  <c r="C2336" i="2" s="1"/>
  <c r="B2335" i="2"/>
  <c r="C2335" i="2" s="1"/>
  <c r="B2334" i="2"/>
  <c r="C2334" i="2" s="1"/>
  <c r="B2333" i="2"/>
  <c r="C2333" i="2" s="1"/>
  <c r="B2332" i="2"/>
  <c r="C2332" i="2" s="1"/>
  <c r="B2331" i="2"/>
  <c r="C2331" i="2" s="1"/>
  <c r="B2330" i="2"/>
  <c r="C2330" i="2" s="1"/>
  <c r="B2329" i="2"/>
  <c r="C2329" i="2" s="1"/>
  <c r="B2328" i="2"/>
  <c r="C2328" i="2" s="1"/>
  <c r="B2327" i="2"/>
  <c r="C2327" i="2" s="1"/>
  <c r="B2326" i="2"/>
  <c r="C2326" i="2" s="1"/>
  <c r="B2325" i="2"/>
  <c r="C2325" i="2" s="1"/>
  <c r="B2324" i="2"/>
  <c r="C2324" i="2" s="1"/>
  <c r="B2323" i="2"/>
  <c r="C2323" i="2" s="1"/>
  <c r="B2322" i="2"/>
  <c r="C2322" i="2" s="1"/>
  <c r="B2321" i="2"/>
  <c r="C2321" i="2" s="1"/>
  <c r="B2320" i="2"/>
  <c r="C2320" i="2" s="1"/>
  <c r="B2319" i="2"/>
  <c r="C2319" i="2" s="1"/>
  <c r="B2318" i="2"/>
  <c r="C2318" i="2" s="1"/>
  <c r="B2317" i="2"/>
  <c r="C2317" i="2" s="1"/>
  <c r="B2316" i="2"/>
  <c r="C2316" i="2" s="1"/>
  <c r="B2315" i="2"/>
  <c r="C2315" i="2" s="1"/>
  <c r="B2314" i="2"/>
  <c r="C2314" i="2" s="1"/>
  <c r="B2313" i="2"/>
  <c r="C2313" i="2" s="1"/>
  <c r="B2312" i="2"/>
  <c r="C2312" i="2" s="1"/>
  <c r="B2311" i="2"/>
  <c r="C2311" i="2" s="1"/>
  <c r="B2310" i="2"/>
  <c r="C2310" i="2" s="1"/>
  <c r="B2309" i="2"/>
  <c r="C2309" i="2" s="1"/>
  <c r="B2308" i="2"/>
  <c r="C2308" i="2" s="1"/>
  <c r="B2307" i="2"/>
  <c r="C2307" i="2" s="1"/>
  <c r="B2306" i="2"/>
  <c r="C2306" i="2" s="1"/>
  <c r="B2305" i="2"/>
  <c r="C2305" i="2" s="1"/>
  <c r="B2304" i="2"/>
  <c r="C2304" i="2" s="1"/>
  <c r="B2303" i="2"/>
  <c r="C2303" i="2" s="1"/>
  <c r="B2302" i="2"/>
  <c r="C2302" i="2" s="1"/>
  <c r="B2301" i="2"/>
  <c r="C2301" i="2" s="1"/>
  <c r="B2300" i="2"/>
  <c r="C2300" i="2" s="1"/>
  <c r="B2299" i="2"/>
  <c r="C2299" i="2" s="1"/>
  <c r="B2298" i="2"/>
  <c r="C2298" i="2" s="1"/>
  <c r="B2297" i="2"/>
  <c r="C2297" i="2" s="1"/>
  <c r="B2296" i="2"/>
  <c r="C2296" i="2" s="1"/>
  <c r="B2295" i="2"/>
  <c r="C2295" i="2" s="1"/>
  <c r="B2294" i="2"/>
  <c r="C2294" i="2" s="1"/>
  <c r="B2293" i="2"/>
  <c r="C2293" i="2" s="1"/>
  <c r="B2292" i="2"/>
  <c r="C2292" i="2" s="1"/>
  <c r="B2291" i="2"/>
  <c r="C2291" i="2" s="1"/>
  <c r="B2290" i="2"/>
  <c r="C2290" i="2" s="1"/>
  <c r="B2289" i="2"/>
  <c r="C2289" i="2" s="1"/>
  <c r="B2288" i="2"/>
  <c r="C2288" i="2" s="1"/>
  <c r="B2287" i="2"/>
  <c r="C2287" i="2" s="1"/>
  <c r="B2286" i="2"/>
  <c r="C2286" i="2" s="1"/>
  <c r="B2285" i="2"/>
  <c r="C2285" i="2" s="1"/>
  <c r="B2284" i="2"/>
  <c r="C2284" i="2" s="1"/>
  <c r="B2283" i="2"/>
  <c r="C2283" i="2" s="1"/>
  <c r="B2282" i="2"/>
  <c r="C2282" i="2" s="1"/>
  <c r="B2281" i="2"/>
  <c r="C2281" i="2" s="1"/>
  <c r="B2280" i="2"/>
  <c r="C2280" i="2" s="1"/>
  <c r="B2279" i="2"/>
  <c r="C2279" i="2" s="1"/>
  <c r="B2278" i="2"/>
  <c r="C2278" i="2" s="1"/>
  <c r="B2277" i="2"/>
  <c r="C2277" i="2" s="1"/>
  <c r="B2276" i="2"/>
  <c r="C2276" i="2" s="1"/>
  <c r="B2275" i="2"/>
  <c r="C2275" i="2" s="1"/>
  <c r="B2274" i="2"/>
  <c r="C2274" i="2" s="1"/>
  <c r="B2273" i="2"/>
  <c r="C2273" i="2" s="1"/>
  <c r="B2272" i="2"/>
  <c r="C2272" i="2" s="1"/>
  <c r="B2271" i="2"/>
  <c r="C2271" i="2" s="1"/>
  <c r="B2270" i="2"/>
  <c r="C2270" i="2" s="1"/>
  <c r="B2269" i="2"/>
  <c r="C2269" i="2" s="1"/>
  <c r="B2268" i="2"/>
  <c r="C2268" i="2" s="1"/>
  <c r="B2267" i="2"/>
  <c r="C2267" i="2" s="1"/>
  <c r="B2266" i="2"/>
  <c r="C2266" i="2" s="1"/>
  <c r="B2265" i="2"/>
  <c r="C2265" i="2" s="1"/>
  <c r="B2264" i="2"/>
  <c r="C2264" i="2" s="1"/>
  <c r="B2263" i="2"/>
  <c r="C2263" i="2" s="1"/>
  <c r="B2262" i="2"/>
  <c r="C2262" i="2" s="1"/>
  <c r="B2261" i="2"/>
  <c r="C2261" i="2" s="1"/>
  <c r="B2260" i="2"/>
  <c r="C2260" i="2" s="1"/>
  <c r="B2259" i="2"/>
  <c r="C2259" i="2" s="1"/>
  <c r="B2258" i="2"/>
  <c r="C2258" i="2" s="1"/>
  <c r="B2257" i="2"/>
  <c r="C2257" i="2" s="1"/>
  <c r="B2256" i="2"/>
  <c r="C2256" i="2" s="1"/>
  <c r="B2255" i="2"/>
  <c r="C2255" i="2" s="1"/>
  <c r="B2254" i="2"/>
  <c r="C2254" i="2" s="1"/>
  <c r="B2253" i="2"/>
  <c r="C2253" i="2" s="1"/>
  <c r="B2252" i="2"/>
  <c r="C2252" i="2" s="1"/>
  <c r="B2251" i="2"/>
  <c r="C2251" i="2" s="1"/>
  <c r="B2250" i="2"/>
  <c r="C2250" i="2" s="1"/>
  <c r="B2249" i="2"/>
  <c r="C2249" i="2" s="1"/>
  <c r="B2248" i="2"/>
  <c r="C2248" i="2" s="1"/>
  <c r="B2247" i="2"/>
  <c r="C2247" i="2" s="1"/>
  <c r="B2246" i="2"/>
  <c r="C2246" i="2" s="1"/>
  <c r="B2245" i="2"/>
  <c r="C2245" i="2" s="1"/>
  <c r="B2244" i="2"/>
  <c r="C2244" i="2" s="1"/>
  <c r="B2243" i="2"/>
  <c r="C2243" i="2" s="1"/>
  <c r="B2242" i="2"/>
  <c r="C2242" i="2" s="1"/>
  <c r="B2241" i="2"/>
  <c r="C2241" i="2" s="1"/>
  <c r="B2240" i="2"/>
  <c r="C2240" i="2" s="1"/>
  <c r="B2239" i="2"/>
  <c r="C2239" i="2" s="1"/>
  <c r="B2238" i="2"/>
  <c r="C2238" i="2" s="1"/>
  <c r="B2237" i="2"/>
  <c r="C2237" i="2" s="1"/>
  <c r="B2236" i="2"/>
  <c r="C2236" i="2" s="1"/>
  <c r="B2235" i="2"/>
  <c r="C2235" i="2" s="1"/>
  <c r="B2234" i="2"/>
  <c r="C2234" i="2" s="1"/>
  <c r="B2233" i="2"/>
  <c r="C2233" i="2" s="1"/>
  <c r="B2232" i="2"/>
  <c r="C2232" i="2" s="1"/>
  <c r="B2231" i="2"/>
  <c r="C2231" i="2" s="1"/>
  <c r="B2230" i="2"/>
  <c r="C2230" i="2" s="1"/>
  <c r="B2229" i="2"/>
  <c r="C2229" i="2" s="1"/>
  <c r="B2228" i="2"/>
  <c r="C2228" i="2" s="1"/>
  <c r="B2227" i="2"/>
  <c r="C2227" i="2" s="1"/>
  <c r="B2226" i="2"/>
  <c r="C2226" i="2" s="1"/>
  <c r="B2225" i="2"/>
  <c r="C2225" i="2" s="1"/>
  <c r="B2224" i="2"/>
  <c r="C2224" i="2" s="1"/>
  <c r="B2223" i="2"/>
  <c r="C2223" i="2" s="1"/>
  <c r="B2222" i="2"/>
  <c r="C2222" i="2" s="1"/>
  <c r="B2221" i="2"/>
  <c r="C2221" i="2" s="1"/>
  <c r="B2220" i="2"/>
  <c r="C2220" i="2" s="1"/>
  <c r="B2219" i="2"/>
  <c r="C2219" i="2" s="1"/>
  <c r="B2218" i="2"/>
  <c r="C2218" i="2" s="1"/>
  <c r="B2217" i="2"/>
  <c r="C2217" i="2" s="1"/>
  <c r="B2216" i="2"/>
  <c r="C2216" i="2" s="1"/>
  <c r="B2215" i="2"/>
  <c r="C2215" i="2" s="1"/>
  <c r="B2214" i="2"/>
  <c r="C2214" i="2" s="1"/>
  <c r="B2213" i="2"/>
  <c r="C2213" i="2" s="1"/>
  <c r="B2212" i="2"/>
  <c r="C2212" i="2" s="1"/>
  <c r="B2211" i="2"/>
  <c r="C2211" i="2" s="1"/>
  <c r="B2210" i="2"/>
  <c r="C2210" i="2" s="1"/>
  <c r="B2209" i="2"/>
  <c r="C2209" i="2" s="1"/>
  <c r="B2208" i="2"/>
  <c r="C2208" i="2" s="1"/>
  <c r="B2207" i="2"/>
  <c r="C2207" i="2" s="1"/>
  <c r="B2206" i="2"/>
  <c r="C2206" i="2" s="1"/>
  <c r="B2205" i="2"/>
  <c r="C2205" i="2" s="1"/>
  <c r="B2204" i="2"/>
  <c r="C2204" i="2" s="1"/>
  <c r="B2203" i="2"/>
  <c r="C2203" i="2" s="1"/>
  <c r="B2202" i="2"/>
  <c r="C2202" i="2" s="1"/>
  <c r="B2201" i="2"/>
  <c r="C2201" i="2" s="1"/>
  <c r="B2200" i="2"/>
  <c r="C2200" i="2" s="1"/>
  <c r="B2199" i="2"/>
  <c r="C2199" i="2" s="1"/>
  <c r="B2198" i="2"/>
  <c r="C2198" i="2" s="1"/>
  <c r="B2197" i="2"/>
  <c r="C2197" i="2" s="1"/>
  <c r="B2196" i="2"/>
  <c r="C2196" i="2" s="1"/>
  <c r="B2195" i="2"/>
  <c r="C2195" i="2" s="1"/>
  <c r="B2194" i="2"/>
  <c r="C2194" i="2" s="1"/>
  <c r="B2193" i="2"/>
  <c r="C2193" i="2" s="1"/>
  <c r="B2192" i="2"/>
  <c r="C2192" i="2" s="1"/>
  <c r="B2191" i="2"/>
  <c r="C2191" i="2" s="1"/>
  <c r="B2190" i="2"/>
  <c r="C2190" i="2" s="1"/>
  <c r="B2189" i="2"/>
  <c r="C2189" i="2" s="1"/>
  <c r="B2188" i="2"/>
  <c r="C2188" i="2" s="1"/>
  <c r="B2187" i="2"/>
  <c r="C2187" i="2" s="1"/>
  <c r="B2186" i="2"/>
  <c r="C2186" i="2" s="1"/>
  <c r="B2185" i="2"/>
  <c r="C2185" i="2" s="1"/>
  <c r="B2184" i="2"/>
  <c r="C2184" i="2" s="1"/>
  <c r="B2183" i="2"/>
  <c r="C2183" i="2" s="1"/>
  <c r="B2182" i="2"/>
  <c r="C2182" i="2" s="1"/>
  <c r="B2181" i="2"/>
  <c r="C2181" i="2" s="1"/>
  <c r="B2180" i="2"/>
  <c r="C2180" i="2" s="1"/>
  <c r="B2179" i="2"/>
  <c r="C2179" i="2" s="1"/>
  <c r="B2178" i="2"/>
  <c r="C2178" i="2" s="1"/>
  <c r="B2177" i="2"/>
  <c r="C2177" i="2" s="1"/>
  <c r="B2176" i="2"/>
  <c r="C2176" i="2" s="1"/>
  <c r="B2175" i="2"/>
  <c r="C2175" i="2" s="1"/>
  <c r="B2174" i="2"/>
  <c r="C2174" i="2" s="1"/>
  <c r="B2173" i="2"/>
  <c r="C2173" i="2" s="1"/>
  <c r="B2172" i="2"/>
  <c r="C2172" i="2" s="1"/>
  <c r="B2171" i="2"/>
  <c r="C2171" i="2" s="1"/>
  <c r="B2170" i="2"/>
  <c r="C2170" i="2" s="1"/>
  <c r="B2169" i="2"/>
  <c r="C2169" i="2" s="1"/>
  <c r="B2168" i="2"/>
  <c r="C2168" i="2" s="1"/>
  <c r="B2167" i="2"/>
  <c r="C2167" i="2" s="1"/>
  <c r="B2166" i="2"/>
  <c r="C2166" i="2" s="1"/>
  <c r="B2165" i="2"/>
  <c r="C2165" i="2" s="1"/>
  <c r="B2164" i="2"/>
  <c r="C2164" i="2" s="1"/>
  <c r="B2163" i="2"/>
  <c r="C2163" i="2" s="1"/>
  <c r="B2162" i="2"/>
  <c r="C2162" i="2" s="1"/>
  <c r="B2161" i="2"/>
  <c r="C2161" i="2" s="1"/>
  <c r="B2160" i="2"/>
  <c r="C2160" i="2" s="1"/>
  <c r="B2159" i="2"/>
  <c r="C2159" i="2" s="1"/>
  <c r="B2158" i="2"/>
  <c r="C2158" i="2" s="1"/>
  <c r="B2157" i="2"/>
  <c r="C2157" i="2" s="1"/>
  <c r="B2156" i="2"/>
  <c r="C2156" i="2" s="1"/>
  <c r="B2155" i="2"/>
  <c r="C2155" i="2" s="1"/>
  <c r="B2154" i="2"/>
  <c r="C2154" i="2" s="1"/>
  <c r="B2153" i="2"/>
  <c r="C2153" i="2" s="1"/>
  <c r="B2152" i="2"/>
  <c r="C2152" i="2" s="1"/>
  <c r="B2151" i="2"/>
  <c r="C2151" i="2" s="1"/>
  <c r="B2150" i="2"/>
  <c r="C2150" i="2" s="1"/>
  <c r="B2149" i="2"/>
  <c r="C2149" i="2" s="1"/>
  <c r="B2148" i="2"/>
  <c r="C2148" i="2" s="1"/>
  <c r="B2147" i="2"/>
  <c r="C2147" i="2" s="1"/>
  <c r="B2146" i="2"/>
  <c r="C2146" i="2" s="1"/>
  <c r="B2145" i="2"/>
  <c r="C2145" i="2" s="1"/>
  <c r="B2144" i="2"/>
  <c r="C2144" i="2" s="1"/>
  <c r="B2143" i="2"/>
  <c r="C2143" i="2" s="1"/>
  <c r="B2142" i="2"/>
  <c r="C2142" i="2" s="1"/>
  <c r="B2141" i="2"/>
  <c r="C2141" i="2" s="1"/>
  <c r="B2140" i="2"/>
  <c r="C2140" i="2" s="1"/>
  <c r="B2139" i="2"/>
  <c r="C2139" i="2" s="1"/>
  <c r="B2138" i="2"/>
  <c r="C2138" i="2" s="1"/>
  <c r="B2137" i="2"/>
  <c r="C2137" i="2" s="1"/>
  <c r="B2136" i="2"/>
  <c r="C2136" i="2" s="1"/>
  <c r="B2135" i="2"/>
  <c r="C2135" i="2" s="1"/>
  <c r="B2134" i="2"/>
  <c r="C2134" i="2" s="1"/>
  <c r="B2133" i="2"/>
  <c r="C2133" i="2" s="1"/>
  <c r="B2132" i="2"/>
  <c r="C2132" i="2" s="1"/>
  <c r="B2131" i="2"/>
  <c r="C2131" i="2" s="1"/>
  <c r="B2130" i="2"/>
  <c r="C2130" i="2" s="1"/>
  <c r="B2129" i="2"/>
  <c r="C2129" i="2" s="1"/>
  <c r="B2128" i="2"/>
  <c r="C2128" i="2" s="1"/>
  <c r="B2127" i="2"/>
  <c r="C2127" i="2" s="1"/>
  <c r="B2126" i="2"/>
  <c r="C2126" i="2" s="1"/>
  <c r="B2125" i="2"/>
  <c r="C2125" i="2" s="1"/>
  <c r="B2124" i="2"/>
  <c r="C2124" i="2" s="1"/>
  <c r="B2123" i="2"/>
  <c r="C2123" i="2" s="1"/>
  <c r="B2122" i="2"/>
  <c r="C2122" i="2" s="1"/>
  <c r="B2121" i="2"/>
  <c r="C2121" i="2" s="1"/>
  <c r="B2120" i="2"/>
  <c r="C2120" i="2" s="1"/>
  <c r="B2119" i="2"/>
  <c r="C2119" i="2" s="1"/>
  <c r="B2118" i="2"/>
  <c r="C2118" i="2" s="1"/>
  <c r="B2117" i="2"/>
  <c r="C2117" i="2" s="1"/>
  <c r="B2116" i="2"/>
  <c r="C2116" i="2" s="1"/>
  <c r="B2115" i="2"/>
  <c r="C2115" i="2" s="1"/>
  <c r="B2114" i="2"/>
  <c r="C2114" i="2" s="1"/>
  <c r="B2113" i="2"/>
  <c r="C2113" i="2" s="1"/>
  <c r="B2112" i="2"/>
  <c r="C2112" i="2" s="1"/>
  <c r="B2111" i="2"/>
  <c r="C2111" i="2" s="1"/>
  <c r="B2110" i="2"/>
  <c r="C2110" i="2" s="1"/>
  <c r="B2109" i="2"/>
  <c r="C2109" i="2" s="1"/>
  <c r="B2108" i="2"/>
  <c r="C2108" i="2" s="1"/>
  <c r="B2107" i="2"/>
  <c r="C2107" i="2" s="1"/>
  <c r="B2106" i="2"/>
  <c r="C2106" i="2" s="1"/>
  <c r="B2105" i="2"/>
  <c r="C2105" i="2" s="1"/>
  <c r="B2104" i="2"/>
  <c r="C2104" i="2" s="1"/>
  <c r="B2103" i="2"/>
  <c r="C2103" i="2" s="1"/>
  <c r="B2102" i="2"/>
  <c r="C2102" i="2" s="1"/>
  <c r="B2101" i="2"/>
  <c r="C2101" i="2" s="1"/>
  <c r="B2100" i="2"/>
  <c r="C2100" i="2" s="1"/>
  <c r="B2099" i="2"/>
  <c r="C2099" i="2" s="1"/>
  <c r="B2098" i="2"/>
  <c r="C2098" i="2" s="1"/>
  <c r="B2097" i="2"/>
  <c r="C2097" i="2" s="1"/>
  <c r="B2096" i="2"/>
  <c r="C2096" i="2" s="1"/>
  <c r="B2095" i="2"/>
  <c r="C2095" i="2" s="1"/>
  <c r="B2094" i="2"/>
  <c r="C2094" i="2" s="1"/>
  <c r="B2093" i="2"/>
  <c r="C2093" i="2" s="1"/>
  <c r="B2092" i="2"/>
  <c r="C2092" i="2" s="1"/>
  <c r="B2091" i="2"/>
  <c r="C2091" i="2" s="1"/>
  <c r="B2090" i="2"/>
  <c r="C2090" i="2" s="1"/>
  <c r="B2089" i="2"/>
  <c r="C2089" i="2" s="1"/>
  <c r="B2088" i="2"/>
  <c r="C2088" i="2" s="1"/>
  <c r="B2087" i="2"/>
  <c r="C2087" i="2" s="1"/>
  <c r="B2086" i="2"/>
  <c r="C2086" i="2" s="1"/>
  <c r="B2085" i="2"/>
  <c r="C2085" i="2" s="1"/>
  <c r="B2084" i="2"/>
  <c r="C2084" i="2" s="1"/>
  <c r="B2083" i="2"/>
  <c r="C2083" i="2" s="1"/>
  <c r="B2082" i="2"/>
  <c r="C2082" i="2" s="1"/>
  <c r="B2081" i="2"/>
  <c r="C2081" i="2" s="1"/>
  <c r="B2080" i="2"/>
  <c r="C2080" i="2" s="1"/>
  <c r="B2079" i="2"/>
  <c r="C2079" i="2" s="1"/>
  <c r="B2078" i="2"/>
  <c r="C2078" i="2" s="1"/>
  <c r="B2077" i="2"/>
  <c r="C2077" i="2" s="1"/>
  <c r="B2076" i="2"/>
  <c r="C2076" i="2" s="1"/>
  <c r="B2075" i="2"/>
  <c r="C2075" i="2" s="1"/>
  <c r="B2074" i="2"/>
  <c r="C2074" i="2" s="1"/>
  <c r="B2073" i="2"/>
  <c r="C2073" i="2" s="1"/>
  <c r="B2072" i="2"/>
  <c r="C2072" i="2" s="1"/>
  <c r="B2071" i="2"/>
  <c r="C2071" i="2" s="1"/>
  <c r="B2070" i="2"/>
  <c r="C2070" i="2" s="1"/>
  <c r="B2069" i="2"/>
  <c r="C2069" i="2" s="1"/>
  <c r="B2068" i="2"/>
  <c r="C2068" i="2" s="1"/>
  <c r="B2067" i="2"/>
  <c r="C2067" i="2" s="1"/>
  <c r="B2066" i="2"/>
  <c r="C2066" i="2" s="1"/>
  <c r="B2065" i="2"/>
  <c r="C2065" i="2" s="1"/>
  <c r="B2064" i="2"/>
  <c r="C2064" i="2" s="1"/>
  <c r="B2063" i="2"/>
  <c r="C2063" i="2" s="1"/>
  <c r="B2062" i="2"/>
  <c r="C2062" i="2" s="1"/>
  <c r="B2061" i="2"/>
  <c r="C2061" i="2" s="1"/>
  <c r="B2060" i="2"/>
  <c r="C2060" i="2" s="1"/>
  <c r="B2059" i="2"/>
  <c r="C2059" i="2" s="1"/>
  <c r="B2058" i="2"/>
  <c r="C2058" i="2" s="1"/>
  <c r="B2057" i="2"/>
  <c r="C2057" i="2" s="1"/>
  <c r="B2056" i="2"/>
  <c r="C2056" i="2" s="1"/>
  <c r="B2055" i="2"/>
  <c r="C2055" i="2" s="1"/>
  <c r="B2054" i="2"/>
  <c r="C2054" i="2" s="1"/>
  <c r="B2053" i="2"/>
  <c r="C2053" i="2" s="1"/>
  <c r="B2052" i="2"/>
  <c r="C2052" i="2" s="1"/>
  <c r="B2051" i="2"/>
  <c r="C2051" i="2" s="1"/>
  <c r="B2050" i="2"/>
  <c r="C2050" i="2" s="1"/>
  <c r="B2049" i="2"/>
  <c r="C2049" i="2" s="1"/>
  <c r="B2048" i="2"/>
  <c r="C2048" i="2" s="1"/>
  <c r="B2047" i="2"/>
  <c r="C2047" i="2" s="1"/>
  <c r="B2046" i="2"/>
  <c r="C2046" i="2" s="1"/>
  <c r="B2045" i="2"/>
  <c r="C2045" i="2" s="1"/>
  <c r="B2044" i="2"/>
  <c r="C2044" i="2" s="1"/>
  <c r="B2043" i="2"/>
  <c r="C2043" i="2" s="1"/>
  <c r="B2042" i="2"/>
  <c r="C2042" i="2" s="1"/>
  <c r="B2041" i="2"/>
  <c r="C2041" i="2" s="1"/>
  <c r="B2040" i="2"/>
  <c r="C2040" i="2" s="1"/>
  <c r="B2039" i="2"/>
  <c r="C2039" i="2" s="1"/>
  <c r="B2038" i="2"/>
  <c r="C2038" i="2" s="1"/>
  <c r="B2037" i="2"/>
  <c r="C2037" i="2" s="1"/>
  <c r="B2036" i="2"/>
  <c r="C2036" i="2" s="1"/>
  <c r="B2035" i="2"/>
  <c r="C2035" i="2" s="1"/>
  <c r="B2034" i="2"/>
  <c r="C2034" i="2" s="1"/>
  <c r="B2033" i="2"/>
  <c r="C2033" i="2" s="1"/>
  <c r="B2032" i="2"/>
  <c r="C2032" i="2" s="1"/>
  <c r="B2031" i="2"/>
  <c r="C2031" i="2" s="1"/>
  <c r="B2030" i="2"/>
  <c r="C2030" i="2" s="1"/>
  <c r="B2029" i="2"/>
  <c r="C2029" i="2" s="1"/>
  <c r="B2028" i="2"/>
  <c r="C2028" i="2" s="1"/>
  <c r="B2027" i="2"/>
  <c r="C2027" i="2" s="1"/>
  <c r="B2026" i="2"/>
  <c r="C2026" i="2" s="1"/>
  <c r="B2025" i="2"/>
  <c r="C2025" i="2" s="1"/>
  <c r="B2024" i="2"/>
  <c r="C2024" i="2" s="1"/>
  <c r="B2023" i="2"/>
  <c r="C2023" i="2" s="1"/>
  <c r="B2022" i="2"/>
  <c r="C2022" i="2" s="1"/>
  <c r="B2021" i="2"/>
  <c r="C2021" i="2" s="1"/>
  <c r="B2020" i="2"/>
  <c r="C2020" i="2" s="1"/>
  <c r="B2019" i="2"/>
  <c r="C2019" i="2" s="1"/>
  <c r="B2018" i="2"/>
  <c r="C2018" i="2" s="1"/>
  <c r="B2017" i="2"/>
  <c r="C2017" i="2" s="1"/>
  <c r="B2016" i="2"/>
  <c r="C2016" i="2" s="1"/>
  <c r="B2015" i="2"/>
  <c r="C2015" i="2" s="1"/>
  <c r="B2014" i="2"/>
  <c r="C2014" i="2" s="1"/>
  <c r="B2013" i="2"/>
  <c r="C2013" i="2" s="1"/>
  <c r="B2012" i="2"/>
  <c r="C2012" i="2" s="1"/>
  <c r="B2011" i="2"/>
  <c r="C2011" i="2" s="1"/>
  <c r="B2010" i="2"/>
  <c r="C2010" i="2" s="1"/>
  <c r="B2009" i="2"/>
  <c r="C2009" i="2" s="1"/>
  <c r="B2008" i="2"/>
  <c r="C2008" i="2" s="1"/>
  <c r="B2007" i="2"/>
  <c r="C2007" i="2" s="1"/>
  <c r="B2006" i="2"/>
  <c r="C2006" i="2" s="1"/>
  <c r="B2005" i="2"/>
  <c r="C2005" i="2" s="1"/>
  <c r="B2004" i="2"/>
  <c r="C2004" i="2" s="1"/>
  <c r="B2003" i="2"/>
  <c r="C2003" i="2" s="1"/>
  <c r="B2002" i="2"/>
  <c r="C2002" i="2" s="1"/>
  <c r="B2001" i="2"/>
  <c r="C2001" i="2" s="1"/>
  <c r="B2000" i="2"/>
  <c r="C2000" i="2" s="1"/>
  <c r="B1999" i="2"/>
  <c r="C1999" i="2" s="1"/>
  <c r="B1998" i="2"/>
  <c r="C1998" i="2" s="1"/>
  <c r="B1997" i="2"/>
  <c r="C1997" i="2" s="1"/>
  <c r="B1996" i="2"/>
  <c r="C1996" i="2" s="1"/>
  <c r="B1995" i="2"/>
  <c r="C1995" i="2" s="1"/>
  <c r="B1994" i="2"/>
  <c r="C1994" i="2" s="1"/>
  <c r="B1993" i="2"/>
  <c r="C1993" i="2" s="1"/>
  <c r="B1992" i="2"/>
  <c r="C1992" i="2" s="1"/>
  <c r="B1991" i="2"/>
  <c r="C1991" i="2" s="1"/>
  <c r="B1990" i="2"/>
  <c r="C1990" i="2" s="1"/>
  <c r="B1989" i="2"/>
  <c r="C1989" i="2" s="1"/>
  <c r="B1988" i="2"/>
  <c r="C1988" i="2" s="1"/>
  <c r="B1987" i="2"/>
  <c r="C1987" i="2" s="1"/>
  <c r="B1986" i="2"/>
  <c r="C1986" i="2" s="1"/>
  <c r="B1985" i="2"/>
  <c r="C1985" i="2" s="1"/>
  <c r="B1984" i="2"/>
  <c r="C1984" i="2" s="1"/>
  <c r="B1983" i="2"/>
  <c r="C1983" i="2" s="1"/>
  <c r="B1982" i="2"/>
  <c r="C1982" i="2" s="1"/>
  <c r="B1981" i="2"/>
  <c r="C1981" i="2" s="1"/>
  <c r="B1980" i="2"/>
  <c r="C1980" i="2" s="1"/>
  <c r="B1979" i="2"/>
  <c r="C1979" i="2" s="1"/>
  <c r="B1978" i="2"/>
  <c r="C1978" i="2" s="1"/>
  <c r="B1977" i="2"/>
  <c r="C1977" i="2" s="1"/>
  <c r="B1976" i="2"/>
  <c r="C1976" i="2" s="1"/>
  <c r="B1975" i="2"/>
  <c r="C1975" i="2" s="1"/>
  <c r="B1974" i="2"/>
  <c r="C1974" i="2" s="1"/>
  <c r="B1973" i="2"/>
  <c r="C1973" i="2" s="1"/>
  <c r="B1972" i="2"/>
  <c r="C1972" i="2" s="1"/>
  <c r="B1971" i="2"/>
  <c r="C1971" i="2" s="1"/>
  <c r="B1970" i="2"/>
  <c r="C1970" i="2" s="1"/>
  <c r="B1969" i="2"/>
  <c r="C1969" i="2" s="1"/>
  <c r="B1968" i="2"/>
  <c r="C1968" i="2" s="1"/>
  <c r="B1967" i="2"/>
  <c r="C1967" i="2" s="1"/>
  <c r="B1966" i="2"/>
  <c r="C1966" i="2" s="1"/>
  <c r="B1965" i="2"/>
  <c r="C1965" i="2" s="1"/>
  <c r="B1964" i="2"/>
  <c r="C1964" i="2" s="1"/>
  <c r="B1963" i="2"/>
  <c r="C1963" i="2" s="1"/>
  <c r="B1962" i="2"/>
  <c r="C1962" i="2" s="1"/>
  <c r="B1961" i="2"/>
  <c r="C1961" i="2" s="1"/>
  <c r="B1960" i="2"/>
  <c r="C1960" i="2" s="1"/>
  <c r="B1959" i="2"/>
  <c r="C1959" i="2" s="1"/>
  <c r="B1958" i="2"/>
  <c r="C1958" i="2" s="1"/>
  <c r="B1957" i="2"/>
  <c r="C1957" i="2" s="1"/>
  <c r="B1956" i="2"/>
  <c r="C1956" i="2" s="1"/>
  <c r="B1955" i="2"/>
  <c r="C1955" i="2" s="1"/>
  <c r="B1954" i="2"/>
  <c r="C1954" i="2" s="1"/>
  <c r="B1953" i="2"/>
  <c r="C1953" i="2" s="1"/>
  <c r="B1952" i="2"/>
  <c r="C1952" i="2" s="1"/>
  <c r="B1951" i="2"/>
  <c r="C1951" i="2" s="1"/>
  <c r="B1950" i="2"/>
  <c r="C1950" i="2" s="1"/>
  <c r="B1949" i="2"/>
  <c r="C1949" i="2" s="1"/>
  <c r="B1948" i="2"/>
  <c r="C1948" i="2" s="1"/>
  <c r="B1947" i="2"/>
  <c r="C1947" i="2" s="1"/>
  <c r="B1946" i="2"/>
  <c r="C1946" i="2" s="1"/>
  <c r="B1945" i="2"/>
  <c r="C1945" i="2" s="1"/>
  <c r="B1944" i="2"/>
  <c r="C1944" i="2" s="1"/>
  <c r="B1943" i="2"/>
  <c r="C1943" i="2" s="1"/>
  <c r="B1942" i="2"/>
  <c r="C1942" i="2" s="1"/>
  <c r="B1941" i="2"/>
  <c r="C1941" i="2" s="1"/>
  <c r="B1940" i="2"/>
  <c r="C1940" i="2" s="1"/>
  <c r="B1939" i="2"/>
  <c r="C1939" i="2" s="1"/>
  <c r="B1938" i="2"/>
  <c r="C1938" i="2" s="1"/>
  <c r="B1937" i="2"/>
  <c r="C1937" i="2" s="1"/>
  <c r="B1936" i="2"/>
  <c r="C1936" i="2" s="1"/>
  <c r="B1935" i="2"/>
  <c r="C1935" i="2" s="1"/>
  <c r="B1934" i="2"/>
  <c r="C1934" i="2" s="1"/>
  <c r="B1933" i="2"/>
  <c r="C1933" i="2" s="1"/>
  <c r="B1932" i="2"/>
  <c r="C1932" i="2" s="1"/>
  <c r="B1931" i="2"/>
  <c r="C1931" i="2" s="1"/>
  <c r="B1930" i="2"/>
  <c r="C1930" i="2" s="1"/>
  <c r="B1929" i="2"/>
  <c r="C1929" i="2" s="1"/>
  <c r="B1928" i="2"/>
  <c r="C1928" i="2" s="1"/>
  <c r="B1927" i="2"/>
  <c r="C1927" i="2" s="1"/>
  <c r="B1926" i="2"/>
  <c r="C1926" i="2" s="1"/>
  <c r="B1925" i="2"/>
  <c r="C1925" i="2" s="1"/>
  <c r="B1924" i="2"/>
  <c r="C1924" i="2" s="1"/>
  <c r="B1923" i="2"/>
  <c r="C1923" i="2" s="1"/>
  <c r="B1922" i="2"/>
  <c r="C1922" i="2" s="1"/>
  <c r="B1921" i="2"/>
  <c r="C1921" i="2" s="1"/>
  <c r="B1920" i="2"/>
  <c r="C1920" i="2" s="1"/>
  <c r="B1919" i="2"/>
  <c r="C1919" i="2" s="1"/>
  <c r="B1918" i="2"/>
  <c r="C1918" i="2" s="1"/>
  <c r="B1917" i="2"/>
  <c r="C1917" i="2" s="1"/>
  <c r="B1916" i="2"/>
  <c r="C1916" i="2" s="1"/>
  <c r="B1915" i="2"/>
  <c r="C1915" i="2" s="1"/>
  <c r="B1914" i="2"/>
  <c r="C1914" i="2" s="1"/>
  <c r="B1913" i="2"/>
  <c r="C1913" i="2" s="1"/>
  <c r="B1912" i="2"/>
  <c r="C1912" i="2" s="1"/>
  <c r="B1911" i="2"/>
  <c r="C1911" i="2" s="1"/>
  <c r="B1910" i="2"/>
  <c r="C1910" i="2" s="1"/>
  <c r="B1909" i="2"/>
  <c r="C1909" i="2" s="1"/>
  <c r="B1908" i="2"/>
  <c r="C1908" i="2" s="1"/>
  <c r="B1907" i="2"/>
  <c r="C1907" i="2" s="1"/>
  <c r="B1906" i="2"/>
  <c r="C1906" i="2" s="1"/>
  <c r="B1905" i="2"/>
  <c r="C1905" i="2" s="1"/>
  <c r="B1904" i="2"/>
  <c r="C1904" i="2" s="1"/>
  <c r="B1903" i="2"/>
  <c r="C1903" i="2" s="1"/>
  <c r="B1902" i="2"/>
  <c r="C1902" i="2" s="1"/>
  <c r="B1901" i="2"/>
  <c r="C1901" i="2" s="1"/>
  <c r="B1900" i="2"/>
  <c r="C1900" i="2" s="1"/>
  <c r="B1899" i="2"/>
  <c r="C1899" i="2" s="1"/>
  <c r="B1898" i="2"/>
  <c r="C1898" i="2" s="1"/>
  <c r="B1897" i="2"/>
  <c r="C1897" i="2" s="1"/>
  <c r="B1896" i="2"/>
  <c r="C1896" i="2" s="1"/>
  <c r="B1895" i="2"/>
  <c r="C1895" i="2" s="1"/>
  <c r="B1894" i="2"/>
  <c r="C1894" i="2" s="1"/>
  <c r="B1893" i="2"/>
  <c r="C1893" i="2" s="1"/>
  <c r="B1892" i="2"/>
  <c r="C1892" i="2" s="1"/>
  <c r="B1891" i="2"/>
  <c r="C1891" i="2" s="1"/>
  <c r="B1890" i="2"/>
  <c r="C1890" i="2" s="1"/>
  <c r="B1889" i="2"/>
  <c r="C1889" i="2" s="1"/>
  <c r="B1888" i="2"/>
  <c r="C1888" i="2" s="1"/>
  <c r="B1887" i="2"/>
  <c r="C1887" i="2" s="1"/>
  <c r="B1886" i="2"/>
  <c r="C1886" i="2" s="1"/>
  <c r="B1885" i="2"/>
  <c r="C1885" i="2" s="1"/>
  <c r="B1884" i="2"/>
  <c r="C1884" i="2" s="1"/>
  <c r="B1883" i="2"/>
  <c r="C1883" i="2" s="1"/>
  <c r="B1882" i="2"/>
  <c r="C1882" i="2" s="1"/>
  <c r="B1881" i="2"/>
  <c r="C1881" i="2" s="1"/>
  <c r="B1880" i="2"/>
  <c r="C1880" i="2" s="1"/>
  <c r="B1879" i="2"/>
  <c r="C1879" i="2" s="1"/>
  <c r="B1878" i="2"/>
  <c r="C1878" i="2" s="1"/>
  <c r="B1877" i="2"/>
  <c r="C1877" i="2" s="1"/>
  <c r="B1876" i="2"/>
  <c r="C1876" i="2" s="1"/>
  <c r="B1875" i="2"/>
  <c r="C1875" i="2" s="1"/>
  <c r="B1874" i="2"/>
  <c r="C1874" i="2" s="1"/>
  <c r="B1873" i="2"/>
  <c r="C1873" i="2" s="1"/>
  <c r="B1872" i="2"/>
  <c r="C1872" i="2" s="1"/>
  <c r="B1871" i="2"/>
  <c r="C1871" i="2" s="1"/>
  <c r="B1870" i="2"/>
  <c r="C1870" i="2" s="1"/>
  <c r="B1869" i="2"/>
  <c r="C1869" i="2" s="1"/>
  <c r="B1868" i="2"/>
  <c r="C1868" i="2" s="1"/>
  <c r="B1867" i="2"/>
  <c r="C1867" i="2" s="1"/>
  <c r="B1866" i="2"/>
  <c r="C1866" i="2" s="1"/>
  <c r="B1865" i="2"/>
  <c r="C1865" i="2" s="1"/>
  <c r="B1864" i="2"/>
  <c r="C1864" i="2" s="1"/>
  <c r="B1863" i="2"/>
  <c r="C1863" i="2" s="1"/>
  <c r="B1862" i="2"/>
  <c r="C1862" i="2" s="1"/>
  <c r="B1861" i="2"/>
  <c r="C1861" i="2" s="1"/>
  <c r="B1860" i="2"/>
  <c r="C1860" i="2" s="1"/>
  <c r="B1859" i="2"/>
  <c r="C1859" i="2" s="1"/>
  <c r="B1858" i="2"/>
  <c r="C1858" i="2" s="1"/>
  <c r="B1857" i="2"/>
  <c r="C1857" i="2" s="1"/>
  <c r="B1856" i="2"/>
  <c r="C1856" i="2" s="1"/>
  <c r="B1855" i="2"/>
  <c r="C1855" i="2" s="1"/>
  <c r="B1854" i="2"/>
  <c r="C1854" i="2" s="1"/>
  <c r="B1853" i="2"/>
  <c r="C1853" i="2" s="1"/>
  <c r="B1852" i="2"/>
  <c r="C1852" i="2" s="1"/>
  <c r="B1851" i="2"/>
  <c r="C1851" i="2" s="1"/>
  <c r="B1850" i="2"/>
  <c r="C1850" i="2" s="1"/>
  <c r="B1849" i="2"/>
  <c r="C1849" i="2" s="1"/>
  <c r="B1848" i="2"/>
  <c r="C1848" i="2" s="1"/>
  <c r="B1847" i="2"/>
  <c r="C1847" i="2" s="1"/>
  <c r="B1846" i="2"/>
  <c r="C1846" i="2" s="1"/>
  <c r="B1845" i="2"/>
  <c r="C1845" i="2" s="1"/>
  <c r="B1844" i="2"/>
  <c r="C1844" i="2" s="1"/>
  <c r="B1843" i="2"/>
  <c r="C1843" i="2" s="1"/>
  <c r="B1842" i="2"/>
  <c r="C1842" i="2" s="1"/>
  <c r="B1841" i="2"/>
  <c r="C1841" i="2" s="1"/>
  <c r="B1840" i="2"/>
  <c r="C1840" i="2" s="1"/>
  <c r="B1839" i="2"/>
  <c r="C1839" i="2" s="1"/>
  <c r="B1838" i="2"/>
  <c r="C1838" i="2" s="1"/>
  <c r="B1837" i="2"/>
  <c r="C1837" i="2" s="1"/>
  <c r="B1836" i="2"/>
  <c r="C1836" i="2" s="1"/>
  <c r="B1835" i="2"/>
  <c r="C1835" i="2" s="1"/>
  <c r="B1834" i="2"/>
  <c r="C1834" i="2" s="1"/>
  <c r="B1833" i="2"/>
  <c r="C1833" i="2" s="1"/>
  <c r="B1832" i="2"/>
  <c r="C1832" i="2" s="1"/>
  <c r="B1831" i="2"/>
  <c r="C1831" i="2" s="1"/>
  <c r="B1830" i="2"/>
  <c r="C1830" i="2" s="1"/>
  <c r="B1829" i="2"/>
  <c r="C1829" i="2" s="1"/>
  <c r="B1828" i="2"/>
  <c r="C1828" i="2" s="1"/>
  <c r="B1827" i="2"/>
  <c r="C1827" i="2" s="1"/>
  <c r="B1826" i="2"/>
  <c r="C1826" i="2" s="1"/>
  <c r="B1825" i="2"/>
  <c r="C1825" i="2" s="1"/>
  <c r="B1824" i="2"/>
  <c r="C1824" i="2" s="1"/>
  <c r="B1823" i="2"/>
  <c r="C1823" i="2" s="1"/>
  <c r="B1822" i="2"/>
  <c r="C1822" i="2" s="1"/>
  <c r="B1821" i="2"/>
  <c r="C1821" i="2" s="1"/>
  <c r="B1820" i="2"/>
  <c r="C1820" i="2" s="1"/>
  <c r="B1819" i="2"/>
  <c r="C1819" i="2" s="1"/>
  <c r="B1818" i="2"/>
  <c r="C1818" i="2" s="1"/>
  <c r="B1817" i="2"/>
  <c r="C1817" i="2" s="1"/>
  <c r="B1816" i="2"/>
  <c r="C1816" i="2" s="1"/>
  <c r="B1815" i="2"/>
  <c r="C1815" i="2" s="1"/>
  <c r="B1814" i="2"/>
  <c r="C1814" i="2" s="1"/>
  <c r="B1813" i="2"/>
  <c r="C1813" i="2" s="1"/>
  <c r="B1812" i="2"/>
  <c r="C1812" i="2" s="1"/>
  <c r="B1811" i="2"/>
  <c r="C1811" i="2" s="1"/>
  <c r="B1810" i="2"/>
  <c r="C1810" i="2" s="1"/>
  <c r="B1809" i="2"/>
  <c r="C1809" i="2" s="1"/>
  <c r="B1808" i="2"/>
  <c r="C1808" i="2" s="1"/>
  <c r="B1807" i="2"/>
  <c r="C1807" i="2" s="1"/>
  <c r="B1806" i="2"/>
  <c r="C1806" i="2" s="1"/>
  <c r="B1805" i="2"/>
  <c r="C1805" i="2" s="1"/>
  <c r="B1804" i="2"/>
  <c r="C1804" i="2" s="1"/>
  <c r="B1803" i="2"/>
  <c r="C1803" i="2" s="1"/>
  <c r="B1802" i="2"/>
  <c r="C1802" i="2" s="1"/>
  <c r="B1801" i="2"/>
  <c r="C1801" i="2" s="1"/>
  <c r="B1800" i="2"/>
  <c r="C1800" i="2" s="1"/>
  <c r="B1799" i="2"/>
  <c r="C1799" i="2" s="1"/>
  <c r="B1798" i="2"/>
  <c r="C1798" i="2" s="1"/>
  <c r="B1797" i="2"/>
  <c r="C1797" i="2" s="1"/>
  <c r="B1796" i="2"/>
  <c r="C1796" i="2" s="1"/>
  <c r="B1795" i="2"/>
  <c r="C1795" i="2" s="1"/>
  <c r="B1794" i="2"/>
  <c r="C1794" i="2" s="1"/>
  <c r="B1793" i="2"/>
  <c r="C1793" i="2" s="1"/>
  <c r="B1792" i="2"/>
  <c r="C1792" i="2" s="1"/>
  <c r="B1791" i="2"/>
  <c r="C1791" i="2" s="1"/>
  <c r="B1790" i="2"/>
  <c r="C1790" i="2" s="1"/>
  <c r="B1789" i="2"/>
  <c r="C1789" i="2" s="1"/>
  <c r="B1788" i="2"/>
  <c r="C1788" i="2" s="1"/>
  <c r="B1787" i="2"/>
  <c r="C1787" i="2" s="1"/>
  <c r="B1786" i="2"/>
  <c r="C1786" i="2" s="1"/>
  <c r="B1785" i="2"/>
  <c r="C1785" i="2" s="1"/>
  <c r="B1784" i="2"/>
  <c r="C1784" i="2" s="1"/>
  <c r="B1783" i="2"/>
  <c r="C1783" i="2" s="1"/>
  <c r="B1782" i="2"/>
  <c r="C1782" i="2" s="1"/>
  <c r="B1781" i="2"/>
  <c r="C1781" i="2" s="1"/>
  <c r="B1780" i="2"/>
  <c r="C1780" i="2" s="1"/>
  <c r="B1779" i="2"/>
  <c r="C1779" i="2" s="1"/>
  <c r="B1778" i="2"/>
  <c r="C1778" i="2" s="1"/>
  <c r="B1777" i="2"/>
  <c r="C1777" i="2" s="1"/>
  <c r="B1776" i="2"/>
  <c r="C1776" i="2" s="1"/>
  <c r="B1775" i="2"/>
  <c r="C1775" i="2" s="1"/>
  <c r="B1774" i="2"/>
  <c r="C1774" i="2" s="1"/>
  <c r="B1773" i="2"/>
  <c r="C1773" i="2" s="1"/>
  <c r="B1772" i="2"/>
  <c r="C1772" i="2" s="1"/>
  <c r="B1771" i="2"/>
  <c r="C1771" i="2" s="1"/>
  <c r="B1770" i="2"/>
  <c r="C1770" i="2" s="1"/>
  <c r="B1769" i="2"/>
  <c r="C1769" i="2" s="1"/>
  <c r="B1768" i="2"/>
  <c r="C1768" i="2" s="1"/>
  <c r="B1767" i="2"/>
  <c r="C1767" i="2" s="1"/>
  <c r="B1766" i="2"/>
  <c r="C1766" i="2" s="1"/>
  <c r="B1765" i="2"/>
  <c r="C1765" i="2" s="1"/>
  <c r="B1764" i="2"/>
  <c r="C1764" i="2" s="1"/>
  <c r="B1763" i="2"/>
  <c r="C1763" i="2" s="1"/>
  <c r="B1762" i="2"/>
  <c r="C1762" i="2" s="1"/>
  <c r="B1761" i="2"/>
  <c r="C1761" i="2" s="1"/>
  <c r="B1760" i="2"/>
  <c r="C1760" i="2" s="1"/>
  <c r="B1759" i="2"/>
  <c r="C1759" i="2" s="1"/>
  <c r="B1758" i="2"/>
  <c r="C1758" i="2" s="1"/>
  <c r="B1757" i="2"/>
  <c r="C1757" i="2" s="1"/>
  <c r="B1756" i="2"/>
  <c r="C1756" i="2" s="1"/>
  <c r="B1755" i="2"/>
  <c r="C1755" i="2" s="1"/>
  <c r="B1754" i="2"/>
  <c r="C1754" i="2" s="1"/>
  <c r="B1753" i="2"/>
  <c r="C1753" i="2" s="1"/>
  <c r="B1752" i="2"/>
  <c r="C1752" i="2" s="1"/>
  <c r="B1751" i="2"/>
  <c r="C1751" i="2" s="1"/>
  <c r="B1750" i="2"/>
  <c r="C1750" i="2" s="1"/>
  <c r="B1749" i="2"/>
  <c r="C1749" i="2" s="1"/>
  <c r="B1748" i="2"/>
  <c r="C1748" i="2" s="1"/>
  <c r="B1747" i="2"/>
  <c r="C1747" i="2" s="1"/>
  <c r="B1746" i="2"/>
  <c r="C1746" i="2" s="1"/>
  <c r="B1745" i="2"/>
  <c r="C1745" i="2" s="1"/>
  <c r="B1744" i="2"/>
  <c r="C1744" i="2" s="1"/>
  <c r="B1743" i="2"/>
  <c r="C1743" i="2" s="1"/>
  <c r="B1742" i="2"/>
  <c r="C1742" i="2" s="1"/>
  <c r="B1741" i="2"/>
  <c r="C1741" i="2" s="1"/>
  <c r="B1740" i="2"/>
  <c r="C1740" i="2" s="1"/>
  <c r="B1739" i="2"/>
  <c r="C1739" i="2" s="1"/>
  <c r="B1738" i="2"/>
  <c r="C1738" i="2" s="1"/>
  <c r="B1737" i="2"/>
  <c r="C1737" i="2" s="1"/>
  <c r="B1736" i="2"/>
  <c r="C1736" i="2" s="1"/>
  <c r="B1735" i="2"/>
  <c r="C1735" i="2" s="1"/>
  <c r="B1734" i="2"/>
  <c r="C1734" i="2" s="1"/>
  <c r="B1733" i="2"/>
  <c r="C1733" i="2" s="1"/>
  <c r="B1732" i="2"/>
  <c r="C1732" i="2" s="1"/>
  <c r="B1731" i="2"/>
  <c r="C1731" i="2" s="1"/>
  <c r="B1730" i="2"/>
  <c r="C1730" i="2" s="1"/>
  <c r="B1729" i="2"/>
  <c r="C1729" i="2" s="1"/>
  <c r="B1728" i="2"/>
  <c r="C1728" i="2" s="1"/>
  <c r="B1727" i="2"/>
  <c r="C1727" i="2" s="1"/>
  <c r="B1726" i="2"/>
  <c r="C1726" i="2" s="1"/>
  <c r="B1725" i="2"/>
  <c r="C1725" i="2" s="1"/>
  <c r="B1724" i="2"/>
  <c r="C1724" i="2" s="1"/>
  <c r="B1723" i="2"/>
  <c r="C1723" i="2" s="1"/>
  <c r="B1722" i="2"/>
  <c r="C1722" i="2" s="1"/>
  <c r="B1721" i="2"/>
  <c r="C1721" i="2" s="1"/>
  <c r="B1720" i="2"/>
  <c r="C1720" i="2" s="1"/>
  <c r="B1719" i="2"/>
  <c r="C1719" i="2" s="1"/>
  <c r="B1718" i="2"/>
  <c r="C1718" i="2" s="1"/>
  <c r="B1717" i="2"/>
  <c r="C1717" i="2" s="1"/>
  <c r="B1716" i="2"/>
  <c r="C1716" i="2" s="1"/>
  <c r="B1715" i="2"/>
  <c r="C1715" i="2" s="1"/>
  <c r="B1714" i="2"/>
  <c r="C1714" i="2" s="1"/>
  <c r="B1713" i="2"/>
  <c r="C1713" i="2" s="1"/>
  <c r="B1712" i="2"/>
  <c r="C1712" i="2" s="1"/>
  <c r="B1711" i="2"/>
  <c r="C1711" i="2" s="1"/>
  <c r="B1710" i="2"/>
  <c r="C1710" i="2" s="1"/>
  <c r="B1709" i="2"/>
  <c r="C1709" i="2" s="1"/>
  <c r="B1708" i="2"/>
  <c r="C1708" i="2" s="1"/>
  <c r="B1707" i="2"/>
  <c r="C1707" i="2" s="1"/>
  <c r="B1706" i="2"/>
  <c r="C1706" i="2" s="1"/>
  <c r="B1705" i="2"/>
  <c r="C1705" i="2" s="1"/>
  <c r="B1704" i="2"/>
  <c r="C1704" i="2" s="1"/>
  <c r="B1703" i="2"/>
  <c r="C1703" i="2" s="1"/>
  <c r="B1702" i="2"/>
  <c r="C1702" i="2" s="1"/>
  <c r="B1701" i="2"/>
  <c r="C1701" i="2" s="1"/>
  <c r="B1700" i="2"/>
  <c r="C1700" i="2" s="1"/>
  <c r="B1699" i="2"/>
  <c r="C1699" i="2" s="1"/>
  <c r="B1698" i="2"/>
  <c r="C1698" i="2" s="1"/>
  <c r="B1697" i="2"/>
  <c r="C1697" i="2" s="1"/>
  <c r="B1696" i="2"/>
  <c r="C1696" i="2" s="1"/>
  <c r="B1695" i="2"/>
  <c r="C1695" i="2" s="1"/>
  <c r="B1694" i="2"/>
  <c r="C1694" i="2" s="1"/>
  <c r="B1693" i="2"/>
  <c r="C1693" i="2" s="1"/>
  <c r="B1692" i="2"/>
  <c r="C1692" i="2" s="1"/>
  <c r="B1691" i="2"/>
  <c r="C1691" i="2" s="1"/>
  <c r="B1690" i="2"/>
  <c r="C1690" i="2" s="1"/>
  <c r="B1689" i="2"/>
  <c r="C1689" i="2" s="1"/>
  <c r="B1688" i="2"/>
  <c r="C1688" i="2" s="1"/>
  <c r="B1687" i="2"/>
  <c r="C1687" i="2" s="1"/>
  <c r="B1686" i="2"/>
  <c r="C1686" i="2" s="1"/>
  <c r="B1685" i="2"/>
  <c r="C1685" i="2" s="1"/>
  <c r="B1684" i="2"/>
  <c r="C1684" i="2" s="1"/>
  <c r="B1683" i="2"/>
  <c r="C1683" i="2" s="1"/>
  <c r="B1682" i="2"/>
  <c r="C1682" i="2" s="1"/>
  <c r="B1681" i="2"/>
  <c r="C1681" i="2" s="1"/>
  <c r="B1680" i="2"/>
  <c r="C1680" i="2" s="1"/>
  <c r="B1679" i="2"/>
  <c r="C1679" i="2" s="1"/>
  <c r="B1678" i="2"/>
  <c r="C1678" i="2" s="1"/>
  <c r="B1677" i="2"/>
  <c r="C1677" i="2" s="1"/>
  <c r="B1676" i="2"/>
  <c r="C1676" i="2" s="1"/>
  <c r="B1675" i="2"/>
  <c r="C1675" i="2" s="1"/>
  <c r="B1674" i="2"/>
  <c r="C1674" i="2" s="1"/>
  <c r="B1673" i="2"/>
  <c r="C1673" i="2" s="1"/>
  <c r="B1672" i="2"/>
  <c r="C1672" i="2" s="1"/>
  <c r="B1671" i="2"/>
  <c r="C1671" i="2" s="1"/>
  <c r="B1670" i="2"/>
  <c r="C1670" i="2" s="1"/>
  <c r="B1669" i="2"/>
  <c r="C1669" i="2" s="1"/>
  <c r="B1668" i="2"/>
  <c r="C1668" i="2" s="1"/>
  <c r="B1667" i="2"/>
  <c r="C1667" i="2" s="1"/>
  <c r="B1666" i="2"/>
  <c r="C1666" i="2" s="1"/>
  <c r="B1665" i="2"/>
  <c r="C1665" i="2" s="1"/>
  <c r="B1664" i="2"/>
  <c r="C1664" i="2" s="1"/>
  <c r="B1663" i="2"/>
  <c r="C1663" i="2" s="1"/>
  <c r="B1662" i="2"/>
  <c r="C1662" i="2" s="1"/>
  <c r="B1661" i="2"/>
  <c r="C1661" i="2" s="1"/>
  <c r="B1660" i="2"/>
  <c r="C1660" i="2" s="1"/>
  <c r="B1659" i="2"/>
  <c r="C1659" i="2" s="1"/>
  <c r="B1658" i="2"/>
  <c r="C1658" i="2" s="1"/>
  <c r="B1657" i="2"/>
  <c r="C1657" i="2" s="1"/>
  <c r="B1656" i="2"/>
  <c r="C1656" i="2" s="1"/>
  <c r="B1655" i="2"/>
  <c r="C1655" i="2" s="1"/>
  <c r="B1654" i="2"/>
  <c r="C1654" i="2" s="1"/>
  <c r="B1653" i="2"/>
  <c r="C1653" i="2" s="1"/>
  <c r="B1652" i="2"/>
  <c r="C1652" i="2" s="1"/>
  <c r="B1651" i="2"/>
  <c r="C1651" i="2" s="1"/>
  <c r="B1650" i="2"/>
  <c r="C1650" i="2" s="1"/>
  <c r="B1649" i="2"/>
  <c r="C1649" i="2" s="1"/>
  <c r="B1648" i="2"/>
  <c r="C1648" i="2" s="1"/>
  <c r="B1647" i="2"/>
  <c r="C1647" i="2" s="1"/>
  <c r="B1646" i="2"/>
  <c r="C1646" i="2" s="1"/>
  <c r="B1645" i="2"/>
  <c r="C1645" i="2" s="1"/>
  <c r="B1644" i="2"/>
  <c r="C1644" i="2" s="1"/>
  <c r="B1643" i="2"/>
  <c r="C1643" i="2" s="1"/>
  <c r="B1642" i="2"/>
  <c r="C1642" i="2" s="1"/>
  <c r="B1641" i="2"/>
  <c r="C1641" i="2" s="1"/>
  <c r="B1640" i="2"/>
  <c r="C1640" i="2" s="1"/>
  <c r="B1639" i="2"/>
  <c r="C1639" i="2" s="1"/>
  <c r="B1638" i="2"/>
  <c r="C1638" i="2" s="1"/>
  <c r="B1637" i="2"/>
  <c r="C1637" i="2" s="1"/>
  <c r="B1636" i="2"/>
  <c r="C1636" i="2" s="1"/>
  <c r="B1635" i="2"/>
  <c r="C1635" i="2" s="1"/>
  <c r="B1634" i="2"/>
  <c r="C1634" i="2" s="1"/>
  <c r="B1633" i="2"/>
  <c r="C1633" i="2" s="1"/>
  <c r="B1632" i="2"/>
  <c r="C1632" i="2" s="1"/>
  <c r="B1631" i="2"/>
  <c r="C1631" i="2" s="1"/>
  <c r="B1630" i="2"/>
  <c r="C1630" i="2" s="1"/>
  <c r="B1629" i="2"/>
  <c r="C1629" i="2" s="1"/>
  <c r="B1628" i="2"/>
  <c r="C1628" i="2" s="1"/>
  <c r="B1627" i="2"/>
  <c r="C1627" i="2" s="1"/>
  <c r="B1626" i="2"/>
  <c r="C1626" i="2" s="1"/>
  <c r="B1625" i="2"/>
  <c r="C1625" i="2" s="1"/>
  <c r="B1624" i="2"/>
  <c r="C1624" i="2" s="1"/>
  <c r="B1623" i="2"/>
  <c r="C1623" i="2" s="1"/>
  <c r="B1622" i="2"/>
  <c r="C1622" i="2" s="1"/>
  <c r="B1621" i="2"/>
  <c r="C1621" i="2" s="1"/>
  <c r="B1620" i="2"/>
  <c r="C1620" i="2" s="1"/>
  <c r="B1619" i="2"/>
  <c r="C1619" i="2" s="1"/>
  <c r="B1618" i="2"/>
  <c r="C1618" i="2" s="1"/>
  <c r="B1617" i="2"/>
  <c r="C1617" i="2" s="1"/>
  <c r="B1616" i="2"/>
  <c r="C1616" i="2" s="1"/>
  <c r="B1615" i="2"/>
  <c r="C1615" i="2" s="1"/>
  <c r="B1614" i="2"/>
  <c r="C1614" i="2" s="1"/>
  <c r="B1613" i="2"/>
  <c r="C1613" i="2" s="1"/>
  <c r="B1612" i="2"/>
  <c r="C1612" i="2" s="1"/>
  <c r="B1611" i="2"/>
  <c r="C1611" i="2" s="1"/>
  <c r="B1610" i="2"/>
  <c r="C1610" i="2" s="1"/>
  <c r="B1609" i="2"/>
  <c r="C1609" i="2" s="1"/>
  <c r="B1608" i="2"/>
  <c r="C1608" i="2" s="1"/>
  <c r="B1607" i="2"/>
  <c r="C1607" i="2" s="1"/>
  <c r="B1606" i="2"/>
  <c r="C1606" i="2" s="1"/>
  <c r="B1605" i="2"/>
  <c r="C1605" i="2" s="1"/>
  <c r="B1604" i="2"/>
  <c r="C1604" i="2" s="1"/>
  <c r="B1603" i="2"/>
  <c r="C1603" i="2" s="1"/>
  <c r="B1602" i="2"/>
  <c r="C1602" i="2" s="1"/>
  <c r="B1601" i="2"/>
  <c r="C1601" i="2" s="1"/>
  <c r="B1600" i="2"/>
  <c r="C1600" i="2" s="1"/>
  <c r="B1599" i="2"/>
  <c r="C1599" i="2" s="1"/>
  <c r="B1598" i="2"/>
  <c r="C1598" i="2" s="1"/>
  <c r="B1597" i="2"/>
  <c r="C1597" i="2" s="1"/>
  <c r="B1596" i="2"/>
  <c r="C1596" i="2" s="1"/>
  <c r="B1595" i="2"/>
  <c r="C1595" i="2" s="1"/>
  <c r="B1594" i="2"/>
  <c r="C1594" i="2" s="1"/>
  <c r="B1593" i="2"/>
  <c r="C1593" i="2" s="1"/>
  <c r="B1592" i="2"/>
  <c r="C1592" i="2" s="1"/>
  <c r="B1591" i="2"/>
  <c r="C1591" i="2" s="1"/>
  <c r="B1590" i="2"/>
  <c r="C1590" i="2" s="1"/>
  <c r="B1589" i="2"/>
  <c r="C1589" i="2" s="1"/>
  <c r="B1588" i="2"/>
  <c r="C1588" i="2" s="1"/>
  <c r="B1587" i="2"/>
  <c r="C1587" i="2" s="1"/>
  <c r="B1586" i="2"/>
  <c r="C1586" i="2" s="1"/>
  <c r="B1585" i="2"/>
  <c r="C1585" i="2" s="1"/>
  <c r="B1584" i="2"/>
  <c r="C1584" i="2" s="1"/>
  <c r="B1583" i="2"/>
  <c r="C1583" i="2" s="1"/>
  <c r="B1582" i="2"/>
  <c r="C1582" i="2" s="1"/>
  <c r="B1581" i="2"/>
  <c r="C1581" i="2" s="1"/>
  <c r="B1580" i="2"/>
  <c r="C1580" i="2" s="1"/>
  <c r="B1579" i="2"/>
  <c r="C1579" i="2" s="1"/>
  <c r="B1578" i="2"/>
  <c r="C1578" i="2" s="1"/>
  <c r="B1577" i="2"/>
  <c r="C1577" i="2" s="1"/>
  <c r="B1576" i="2"/>
  <c r="C1576" i="2" s="1"/>
  <c r="B1575" i="2"/>
  <c r="C1575" i="2" s="1"/>
  <c r="B1574" i="2"/>
  <c r="C1574" i="2" s="1"/>
  <c r="B1573" i="2"/>
  <c r="C1573" i="2" s="1"/>
  <c r="B1572" i="2"/>
  <c r="C1572" i="2" s="1"/>
  <c r="B1571" i="2"/>
  <c r="C1571" i="2" s="1"/>
  <c r="B1570" i="2"/>
  <c r="C1570" i="2" s="1"/>
  <c r="B1569" i="2"/>
  <c r="C1569" i="2" s="1"/>
  <c r="B1568" i="2"/>
  <c r="C1568" i="2" s="1"/>
  <c r="B1567" i="2"/>
  <c r="C1567" i="2" s="1"/>
  <c r="B1566" i="2"/>
  <c r="C1566" i="2" s="1"/>
  <c r="B1565" i="2"/>
  <c r="C1565" i="2" s="1"/>
  <c r="B1564" i="2"/>
  <c r="C1564" i="2" s="1"/>
  <c r="B1563" i="2"/>
  <c r="C1563" i="2" s="1"/>
  <c r="B1562" i="2"/>
  <c r="C1562" i="2" s="1"/>
  <c r="B1561" i="2"/>
  <c r="C1561" i="2" s="1"/>
  <c r="B1560" i="2"/>
  <c r="C1560" i="2" s="1"/>
  <c r="B1559" i="2"/>
  <c r="C1559" i="2" s="1"/>
  <c r="B1558" i="2"/>
  <c r="C1558" i="2" s="1"/>
  <c r="B1557" i="2"/>
  <c r="C1557" i="2" s="1"/>
  <c r="B1556" i="2"/>
  <c r="C1556" i="2" s="1"/>
  <c r="B1555" i="2"/>
  <c r="C1555" i="2" s="1"/>
  <c r="B1554" i="2"/>
  <c r="C1554" i="2" s="1"/>
  <c r="B1553" i="2"/>
  <c r="C1553" i="2" s="1"/>
  <c r="B1552" i="2"/>
  <c r="C1552" i="2" s="1"/>
  <c r="B1551" i="2"/>
  <c r="C1551" i="2" s="1"/>
  <c r="B1550" i="2"/>
  <c r="C1550" i="2" s="1"/>
  <c r="B1549" i="2"/>
  <c r="C1549" i="2" s="1"/>
  <c r="B1548" i="2"/>
  <c r="C1548" i="2" s="1"/>
  <c r="B1547" i="2"/>
  <c r="C1547" i="2" s="1"/>
  <c r="B1546" i="2"/>
  <c r="C1546" i="2" s="1"/>
  <c r="B1545" i="2"/>
  <c r="C1545" i="2" s="1"/>
  <c r="B1544" i="2"/>
  <c r="C1544" i="2" s="1"/>
  <c r="B1543" i="2"/>
  <c r="C1543" i="2" s="1"/>
  <c r="B1542" i="2"/>
  <c r="C1542" i="2" s="1"/>
  <c r="B1541" i="2"/>
  <c r="C1541" i="2" s="1"/>
  <c r="B1540" i="2"/>
  <c r="C1540" i="2" s="1"/>
  <c r="B1539" i="2"/>
  <c r="C1539" i="2" s="1"/>
  <c r="B1538" i="2"/>
  <c r="C1538" i="2" s="1"/>
  <c r="B1537" i="2"/>
  <c r="C1537" i="2" s="1"/>
  <c r="B1536" i="2"/>
  <c r="C1536" i="2" s="1"/>
  <c r="B1535" i="2"/>
  <c r="C1535" i="2" s="1"/>
  <c r="B1534" i="2"/>
  <c r="C1534" i="2" s="1"/>
  <c r="B1533" i="2"/>
  <c r="C1533" i="2" s="1"/>
  <c r="B1532" i="2"/>
  <c r="C1532" i="2" s="1"/>
  <c r="B1531" i="2"/>
  <c r="C1531" i="2" s="1"/>
  <c r="B1530" i="2"/>
  <c r="C1530" i="2" s="1"/>
  <c r="B1529" i="2"/>
  <c r="C1529" i="2" s="1"/>
  <c r="B1528" i="2"/>
  <c r="C1528" i="2" s="1"/>
  <c r="B1527" i="2"/>
  <c r="C1527" i="2" s="1"/>
  <c r="B1526" i="2"/>
  <c r="C1526" i="2" s="1"/>
  <c r="B1525" i="2"/>
  <c r="C1525" i="2" s="1"/>
  <c r="B1524" i="2"/>
  <c r="C1524" i="2" s="1"/>
  <c r="B1523" i="2"/>
  <c r="C1523" i="2" s="1"/>
  <c r="B1522" i="2"/>
  <c r="C1522" i="2" s="1"/>
  <c r="B1521" i="2"/>
  <c r="C1521" i="2" s="1"/>
  <c r="B1520" i="2"/>
  <c r="C1520" i="2" s="1"/>
  <c r="B1519" i="2"/>
  <c r="C1519" i="2" s="1"/>
  <c r="B1518" i="2"/>
  <c r="C1518" i="2" s="1"/>
  <c r="B1517" i="2"/>
  <c r="C1517" i="2" s="1"/>
  <c r="B1516" i="2"/>
  <c r="C1516" i="2" s="1"/>
  <c r="B1515" i="2"/>
  <c r="C1515" i="2" s="1"/>
  <c r="B1514" i="2"/>
  <c r="C1514" i="2" s="1"/>
  <c r="B1513" i="2"/>
  <c r="C1513" i="2" s="1"/>
  <c r="B1512" i="2"/>
  <c r="C1512" i="2" s="1"/>
  <c r="B1511" i="2"/>
  <c r="C1511" i="2" s="1"/>
  <c r="B1510" i="2"/>
  <c r="C1510" i="2" s="1"/>
  <c r="B1509" i="2"/>
  <c r="C1509" i="2" s="1"/>
  <c r="B1508" i="2"/>
  <c r="C1508" i="2" s="1"/>
  <c r="B1507" i="2"/>
  <c r="C1507" i="2" s="1"/>
  <c r="B1506" i="2"/>
  <c r="C1506" i="2" s="1"/>
  <c r="B1505" i="2"/>
  <c r="C1505" i="2" s="1"/>
  <c r="B1504" i="2"/>
  <c r="C1504" i="2" s="1"/>
  <c r="B1503" i="2"/>
  <c r="C1503" i="2" s="1"/>
  <c r="B1502" i="2"/>
  <c r="C1502" i="2" s="1"/>
  <c r="B1501" i="2"/>
  <c r="C1501" i="2" s="1"/>
  <c r="B1500" i="2"/>
  <c r="C1500" i="2" s="1"/>
  <c r="B1499" i="2"/>
  <c r="C1499" i="2" s="1"/>
  <c r="B1498" i="2"/>
  <c r="C1498" i="2" s="1"/>
  <c r="B1497" i="2"/>
  <c r="C1497" i="2" s="1"/>
  <c r="B1496" i="2"/>
  <c r="C1496" i="2" s="1"/>
  <c r="B1495" i="2"/>
  <c r="C1495" i="2" s="1"/>
  <c r="B1494" i="2"/>
  <c r="C1494" i="2" s="1"/>
  <c r="B1493" i="2"/>
  <c r="C1493" i="2" s="1"/>
  <c r="B1492" i="2"/>
  <c r="C1492" i="2" s="1"/>
  <c r="B1491" i="2"/>
  <c r="C1491" i="2" s="1"/>
  <c r="B1490" i="2"/>
  <c r="C1490" i="2" s="1"/>
  <c r="B1489" i="2"/>
  <c r="C1489" i="2" s="1"/>
  <c r="B1488" i="2"/>
  <c r="C1488" i="2" s="1"/>
  <c r="B1487" i="2"/>
  <c r="C1487" i="2" s="1"/>
  <c r="B1486" i="2"/>
  <c r="C1486" i="2" s="1"/>
  <c r="B1485" i="2"/>
  <c r="C1485" i="2" s="1"/>
  <c r="B1484" i="2"/>
  <c r="C1484" i="2" s="1"/>
  <c r="B1483" i="2"/>
  <c r="C1483" i="2" s="1"/>
  <c r="B1482" i="2"/>
  <c r="C1482" i="2" s="1"/>
  <c r="B1481" i="2"/>
  <c r="C1481" i="2" s="1"/>
  <c r="B1480" i="2"/>
  <c r="C1480" i="2" s="1"/>
  <c r="B1479" i="2"/>
  <c r="C1479" i="2" s="1"/>
  <c r="B1478" i="2"/>
  <c r="C1478" i="2" s="1"/>
  <c r="B1477" i="2"/>
  <c r="C1477" i="2" s="1"/>
  <c r="B1476" i="2"/>
  <c r="C1476" i="2" s="1"/>
  <c r="B1475" i="2"/>
  <c r="C1475" i="2" s="1"/>
  <c r="B1474" i="2"/>
  <c r="C1474" i="2" s="1"/>
  <c r="B1473" i="2"/>
  <c r="C1473" i="2" s="1"/>
  <c r="B1472" i="2"/>
  <c r="C1472" i="2" s="1"/>
  <c r="B1471" i="2"/>
  <c r="C1471" i="2" s="1"/>
  <c r="B1470" i="2"/>
  <c r="C1470" i="2" s="1"/>
  <c r="B1469" i="2"/>
  <c r="C1469" i="2" s="1"/>
  <c r="B1468" i="2"/>
  <c r="C1468" i="2" s="1"/>
  <c r="B1467" i="2"/>
  <c r="C1467" i="2" s="1"/>
  <c r="B1466" i="2"/>
  <c r="C1466" i="2" s="1"/>
  <c r="B1465" i="2"/>
  <c r="C1465" i="2" s="1"/>
  <c r="B1464" i="2"/>
  <c r="C1464" i="2" s="1"/>
  <c r="B1463" i="2"/>
  <c r="C1463" i="2" s="1"/>
  <c r="B1462" i="2"/>
  <c r="C1462" i="2" s="1"/>
  <c r="B1461" i="2"/>
  <c r="C1461" i="2" s="1"/>
  <c r="B1460" i="2"/>
  <c r="C1460" i="2" s="1"/>
  <c r="B1459" i="2"/>
  <c r="C1459" i="2" s="1"/>
  <c r="B1458" i="2"/>
  <c r="C1458" i="2" s="1"/>
  <c r="B1457" i="2"/>
  <c r="C1457" i="2" s="1"/>
  <c r="B1456" i="2"/>
  <c r="C1456" i="2" s="1"/>
  <c r="B1455" i="2"/>
  <c r="C1455" i="2" s="1"/>
  <c r="B1454" i="2"/>
  <c r="C1454" i="2" s="1"/>
  <c r="B1453" i="2"/>
  <c r="C1453" i="2" s="1"/>
  <c r="B1452" i="2"/>
  <c r="C1452" i="2" s="1"/>
  <c r="B1451" i="2"/>
  <c r="C1451" i="2" s="1"/>
  <c r="B1450" i="2"/>
  <c r="C1450" i="2" s="1"/>
  <c r="B1449" i="2"/>
  <c r="C1449" i="2" s="1"/>
  <c r="B1448" i="2"/>
  <c r="C1448" i="2" s="1"/>
  <c r="B1447" i="2"/>
  <c r="C1447" i="2" s="1"/>
  <c r="B1446" i="2"/>
  <c r="C1446" i="2" s="1"/>
  <c r="B1445" i="2"/>
  <c r="C1445" i="2" s="1"/>
  <c r="B1444" i="2"/>
  <c r="C1444" i="2" s="1"/>
  <c r="B1443" i="2"/>
  <c r="C1443" i="2" s="1"/>
  <c r="B1442" i="2"/>
  <c r="C1442" i="2" s="1"/>
  <c r="B1441" i="2"/>
  <c r="C1441" i="2" s="1"/>
  <c r="B1440" i="2"/>
  <c r="C1440" i="2" s="1"/>
  <c r="B1439" i="2"/>
  <c r="C1439" i="2" s="1"/>
  <c r="B1438" i="2"/>
  <c r="C1438" i="2" s="1"/>
  <c r="B1437" i="2"/>
  <c r="C1437" i="2" s="1"/>
  <c r="B1436" i="2"/>
  <c r="C1436" i="2" s="1"/>
  <c r="B1435" i="2"/>
  <c r="C1435" i="2" s="1"/>
  <c r="B1434" i="2"/>
  <c r="C1434" i="2" s="1"/>
  <c r="B1433" i="2"/>
  <c r="C1433" i="2" s="1"/>
  <c r="B1432" i="2"/>
  <c r="C1432" i="2" s="1"/>
  <c r="B1431" i="2"/>
  <c r="C1431" i="2" s="1"/>
  <c r="B1430" i="2"/>
  <c r="C1430" i="2" s="1"/>
  <c r="B1429" i="2"/>
  <c r="C1429" i="2" s="1"/>
  <c r="B1428" i="2"/>
  <c r="C1428" i="2" s="1"/>
  <c r="B1427" i="2"/>
  <c r="C1427" i="2" s="1"/>
  <c r="B1426" i="2"/>
  <c r="C1426" i="2" s="1"/>
  <c r="B1425" i="2"/>
  <c r="C1425" i="2" s="1"/>
  <c r="B1424" i="2"/>
  <c r="C1424" i="2" s="1"/>
  <c r="B1423" i="2"/>
  <c r="C1423" i="2" s="1"/>
  <c r="B1422" i="2"/>
  <c r="C1422" i="2" s="1"/>
  <c r="B1421" i="2"/>
  <c r="C1421" i="2" s="1"/>
  <c r="B1420" i="2"/>
  <c r="C1420" i="2" s="1"/>
  <c r="B1419" i="2"/>
  <c r="C1419" i="2" s="1"/>
  <c r="B1418" i="2"/>
  <c r="C1418" i="2" s="1"/>
  <c r="B1417" i="2"/>
  <c r="C1417" i="2" s="1"/>
  <c r="B1416" i="2"/>
  <c r="C1416" i="2" s="1"/>
  <c r="B1415" i="2"/>
  <c r="C1415" i="2" s="1"/>
  <c r="B1414" i="2"/>
  <c r="C1414" i="2" s="1"/>
  <c r="B1413" i="2"/>
  <c r="C1413" i="2" s="1"/>
  <c r="B1412" i="2"/>
  <c r="C1412" i="2" s="1"/>
  <c r="B1411" i="2"/>
  <c r="C1411" i="2" s="1"/>
  <c r="B1410" i="2"/>
  <c r="C1410" i="2" s="1"/>
  <c r="B1409" i="2"/>
  <c r="C1409" i="2" s="1"/>
  <c r="B1408" i="2"/>
  <c r="C1408" i="2" s="1"/>
  <c r="B1407" i="2"/>
  <c r="C1407" i="2" s="1"/>
  <c r="B1406" i="2"/>
  <c r="C1406" i="2" s="1"/>
  <c r="B1405" i="2"/>
  <c r="C1405" i="2" s="1"/>
  <c r="B1404" i="2"/>
  <c r="C1404" i="2" s="1"/>
  <c r="B1403" i="2"/>
  <c r="C1403" i="2" s="1"/>
  <c r="B1402" i="2"/>
  <c r="C1402" i="2" s="1"/>
  <c r="B1401" i="2"/>
  <c r="C1401" i="2" s="1"/>
  <c r="B1400" i="2"/>
  <c r="C1400" i="2" s="1"/>
  <c r="B1399" i="2"/>
  <c r="C1399" i="2" s="1"/>
  <c r="B1398" i="2"/>
  <c r="C1398" i="2" s="1"/>
  <c r="B1397" i="2"/>
  <c r="C1397" i="2" s="1"/>
  <c r="B1396" i="2"/>
  <c r="C1396" i="2" s="1"/>
  <c r="B1395" i="2"/>
  <c r="C1395" i="2" s="1"/>
  <c r="B1394" i="2"/>
  <c r="C1394" i="2" s="1"/>
  <c r="B1393" i="2"/>
  <c r="C1393" i="2" s="1"/>
  <c r="B1392" i="2"/>
  <c r="C1392" i="2" s="1"/>
  <c r="B1391" i="2"/>
  <c r="C1391" i="2" s="1"/>
  <c r="B1390" i="2"/>
  <c r="C1390" i="2" s="1"/>
  <c r="B1389" i="2"/>
  <c r="C1389" i="2" s="1"/>
  <c r="B1388" i="2"/>
  <c r="C1388" i="2" s="1"/>
  <c r="B1387" i="2"/>
  <c r="C1387" i="2" s="1"/>
  <c r="B1386" i="2"/>
  <c r="C1386" i="2" s="1"/>
  <c r="B1385" i="2"/>
  <c r="C1385" i="2" s="1"/>
  <c r="B1384" i="2"/>
  <c r="C1384" i="2" s="1"/>
  <c r="B1383" i="2"/>
  <c r="C1383" i="2" s="1"/>
  <c r="B1382" i="2"/>
  <c r="C1382" i="2" s="1"/>
  <c r="B1381" i="2"/>
  <c r="C1381" i="2" s="1"/>
  <c r="B1380" i="2"/>
  <c r="C1380" i="2" s="1"/>
  <c r="B1379" i="2"/>
  <c r="C1379" i="2" s="1"/>
  <c r="B1378" i="2"/>
  <c r="C1378" i="2" s="1"/>
  <c r="B1377" i="2"/>
  <c r="C1377" i="2" s="1"/>
  <c r="B1376" i="2"/>
  <c r="C1376" i="2" s="1"/>
  <c r="B1375" i="2"/>
  <c r="C1375" i="2" s="1"/>
  <c r="B1374" i="2"/>
  <c r="C1374" i="2" s="1"/>
  <c r="B1373" i="2"/>
  <c r="C1373" i="2" s="1"/>
  <c r="B1372" i="2"/>
  <c r="C1372" i="2" s="1"/>
  <c r="B1371" i="2"/>
  <c r="C1371" i="2" s="1"/>
  <c r="B1370" i="2"/>
  <c r="C1370" i="2" s="1"/>
  <c r="B1369" i="2"/>
  <c r="C1369" i="2" s="1"/>
  <c r="B1368" i="2"/>
  <c r="C1368" i="2" s="1"/>
  <c r="B1367" i="2"/>
  <c r="C1367" i="2" s="1"/>
  <c r="B1366" i="2"/>
  <c r="C1366" i="2" s="1"/>
  <c r="B1365" i="2"/>
  <c r="C1365" i="2" s="1"/>
  <c r="B1364" i="2"/>
  <c r="C1364" i="2" s="1"/>
  <c r="B1363" i="2"/>
  <c r="C1363" i="2" s="1"/>
  <c r="B1362" i="2"/>
  <c r="C1362" i="2" s="1"/>
  <c r="B1361" i="2"/>
  <c r="C1361" i="2" s="1"/>
  <c r="B1360" i="2"/>
  <c r="C1360" i="2" s="1"/>
  <c r="B1359" i="2"/>
  <c r="C1359" i="2" s="1"/>
  <c r="B1358" i="2"/>
  <c r="C1358" i="2" s="1"/>
  <c r="B1357" i="2"/>
  <c r="C1357" i="2" s="1"/>
  <c r="B1356" i="2"/>
  <c r="C1356" i="2" s="1"/>
  <c r="B1355" i="2"/>
  <c r="C1355" i="2" s="1"/>
  <c r="B1354" i="2"/>
  <c r="C1354" i="2" s="1"/>
  <c r="B1353" i="2"/>
  <c r="C1353" i="2" s="1"/>
  <c r="B1352" i="2"/>
  <c r="C1352" i="2" s="1"/>
  <c r="B1351" i="2"/>
  <c r="C1351" i="2" s="1"/>
  <c r="B1350" i="2"/>
  <c r="C1350" i="2" s="1"/>
  <c r="B1349" i="2"/>
  <c r="C1349" i="2" s="1"/>
  <c r="B1348" i="2"/>
  <c r="C1348" i="2" s="1"/>
  <c r="B1347" i="2"/>
  <c r="C1347" i="2" s="1"/>
  <c r="B1346" i="2"/>
  <c r="C1346" i="2" s="1"/>
  <c r="B1345" i="2"/>
  <c r="C1345" i="2" s="1"/>
  <c r="B1344" i="2"/>
  <c r="C1344" i="2" s="1"/>
  <c r="B1343" i="2"/>
  <c r="C1343" i="2" s="1"/>
  <c r="B1342" i="2"/>
  <c r="C1342" i="2" s="1"/>
  <c r="B1341" i="2"/>
  <c r="C1341" i="2" s="1"/>
  <c r="B1340" i="2"/>
  <c r="C1340" i="2" s="1"/>
  <c r="B1339" i="2"/>
  <c r="C1339" i="2" s="1"/>
  <c r="B1338" i="2"/>
  <c r="C1338" i="2" s="1"/>
  <c r="B1337" i="2"/>
  <c r="C1337" i="2" s="1"/>
  <c r="B1336" i="2"/>
  <c r="C1336" i="2" s="1"/>
  <c r="B1335" i="2"/>
  <c r="C1335" i="2" s="1"/>
  <c r="B1334" i="2"/>
  <c r="C1334" i="2" s="1"/>
  <c r="B1333" i="2"/>
  <c r="C1333" i="2" s="1"/>
  <c r="B1332" i="2"/>
  <c r="C1332" i="2" s="1"/>
  <c r="B1331" i="2"/>
  <c r="C1331" i="2" s="1"/>
  <c r="B1330" i="2"/>
  <c r="C1330" i="2" s="1"/>
  <c r="B1329" i="2"/>
  <c r="C1329" i="2" s="1"/>
  <c r="B1328" i="2"/>
  <c r="C1328" i="2" s="1"/>
  <c r="B1327" i="2"/>
  <c r="C1327" i="2" s="1"/>
  <c r="B1326" i="2"/>
  <c r="C1326" i="2" s="1"/>
  <c r="B1325" i="2"/>
  <c r="C1325" i="2" s="1"/>
  <c r="B1324" i="2"/>
  <c r="C1324" i="2" s="1"/>
  <c r="B1323" i="2"/>
  <c r="C1323" i="2" s="1"/>
  <c r="B1322" i="2"/>
  <c r="C1322" i="2" s="1"/>
  <c r="B1321" i="2"/>
  <c r="C1321" i="2" s="1"/>
  <c r="B1320" i="2"/>
  <c r="C1320" i="2" s="1"/>
  <c r="B1319" i="2"/>
  <c r="C1319" i="2" s="1"/>
  <c r="B1318" i="2"/>
  <c r="C1318" i="2" s="1"/>
  <c r="B1317" i="2"/>
  <c r="C1317" i="2" s="1"/>
  <c r="B1316" i="2"/>
  <c r="C1316" i="2" s="1"/>
  <c r="B1315" i="2"/>
  <c r="C1315" i="2" s="1"/>
  <c r="B1314" i="2"/>
  <c r="C1314" i="2" s="1"/>
  <c r="B1313" i="2"/>
  <c r="C1313" i="2" s="1"/>
  <c r="B1312" i="2"/>
  <c r="C1312" i="2" s="1"/>
  <c r="B1311" i="2"/>
  <c r="C1311" i="2" s="1"/>
  <c r="B1310" i="2"/>
  <c r="C1310" i="2" s="1"/>
  <c r="B1309" i="2"/>
  <c r="C1309" i="2" s="1"/>
  <c r="B1308" i="2"/>
  <c r="C1308" i="2" s="1"/>
  <c r="B1307" i="2"/>
  <c r="C1307" i="2" s="1"/>
  <c r="B1306" i="2"/>
  <c r="C1306" i="2" s="1"/>
  <c r="B1305" i="2"/>
  <c r="C1305" i="2" s="1"/>
  <c r="B1304" i="2"/>
  <c r="C1304" i="2" s="1"/>
  <c r="B1303" i="2"/>
  <c r="C1303" i="2" s="1"/>
  <c r="B1302" i="2"/>
  <c r="C1302" i="2" s="1"/>
  <c r="B1301" i="2"/>
  <c r="C1301" i="2" s="1"/>
  <c r="B1300" i="2"/>
  <c r="C1300" i="2" s="1"/>
  <c r="B1299" i="2"/>
  <c r="C1299" i="2" s="1"/>
  <c r="B1298" i="2"/>
  <c r="C1298" i="2" s="1"/>
  <c r="B1297" i="2"/>
  <c r="C1297" i="2" s="1"/>
  <c r="B1296" i="2"/>
  <c r="C1296" i="2" s="1"/>
  <c r="B1295" i="2"/>
  <c r="C1295" i="2" s="1"/>
  <c r="B1294" i="2"/>
  <c r="C1294" i="2" s="1"/>
  <c r="B1293" i="2"/>
  <c r="C1293" i="2" s="1"/>
  <c r="B1292" i="2"/>
  <c r="C1292" i="2" s="1"/>
  <c r="B1291" i="2"/>
  <c r="C1291" i="2" s="1"/>
  <c r="B1290" i="2"/>
  <c r="C1290" i="2" s="1"/>
  <c r="B1289" i="2"/>
  <c r="C1289" i="2" s="1"/>
  <c r="B1288" i="2"/>
  <c r="C1288" i="2" s="1"/>
  <c r="B1287" i="2"/>
  <c r="C1287" i="2" s="1"/>
  <c r="B1286" i="2"/>
  <c r="C1286" i="2" s="1"/>
  <c r="B1285" i="2"/>
  <c r="C1285" i="2" s="1"/>
  <c r="B1284" i="2"/>
  <c r="C1284" i="2" s="1"/>
  <c r="B1283" i="2"/>
  <c r="C1283" i="2" s="1"/>
  <c r="B1282" i="2"/>
  <c r="C1282" i="2" s="1"/>
  <c r="B1281" i="2"/>
  <c r="C1281" i="2" s="1"/>
  <c r="B1280" i="2"/>
  <c r="C1280" i="2" s="1"/>
  <c r="B1279" i="2"/>
  <c r="C1279" i="2" s="1"/>
  <c r="B1278" i="2"/>
  <c r="C1278" i="2" s="1"/>
  <c r="B1277" i="2"/>
  <c r="C1277" i="2" s="1"/>
  <c r="B1276" i="2"/>
  <c r="C1276" i="2" s="1"/>
  <c r="B1275" i="2"/>
  <c r="C1275" i="2" s="1"/>
  <c r="B1274" i="2"/>
  <c r="C1274" i="2" s="1"/>
  <c r="B1273" i="2"/>
  <c r="C1273" i="2" s="1"/>
  <c r="B1272" i="2"/>
  <c r="C1272" i="2" s="1"/>
  <c r="B1271" i="2"/>
  <c r="C1271" i="2" s="1"/>
  <c r="B1270" i="2"/>
  <c r="C1270" i="2" s="1"/>
  <c r="B1269" i="2"/>
  <c r="C1269" i="2" s="1"/>
  <c r="B1268" i="2"/>
  <c r="C1268" i="2" s="1"/>
  <c r="B1267" i="2"/>
  <c r="C1267" i="2" s="1"/>
  <c r="B1266" i="2"/>
  <c r="C1266" i="2" s="1"/>
  <c r="B1265" i="2"/>
  <c r="C1265" i="2" s="1"/>
  <c r="B1264" i="2"/>
  <c r="C1264" i="2" s="1"/>
  <c r="B1263" i="2"/>
  <c r="C1263" i="2" s="1"/>
  <c r="B1262" i="2"/>
  <c r="C1262" i="2" s="1"/>
  <c r="B1261" i="2"/>
  <c r="C1261" i="2" s="1"/>
  <c r="B1260" i="2"/>
  <c r="C1260" i="2" s="1"/>
  <c r="B1259" i="2"/>
  <c r="C1259" i="2" s="1"/>
  <c r="B1258" i="2"/>
  <c r="C1258" i="2" s="1"/>
  <c r="B1257" i="2"/>
  <c r="C1257" i="2" s="1"/>
  <c r="B1256" i="2"/>
  <c r="C1256" i="2" s="1"/>
  <c r="B1255" i="2"/>
  <c r="C1255" i="2" s="1"/>
  <c r="B1254" i="2"/>
  <c r="C1254" i="2" s="1"/>
  <c r="B1253" i="2"/>
  <c r="C1253" i="2" s="1"/>
  <c r="B1252" i="2"/>
  <c r="C1252" i="2" s="1"/>
  <c r="B1251" i="2"/>
  <c r="C1251" i="2" s="1"/>
  <c r="B1250" i="2"/>
  <c r="C1250" i="2" s="1"/>
  <c r="B1249" i="2"/>
  <c r="C1249" i="2" s="1"/>
  <c r="B1248" i="2"/>
  <c r="C1248" i="2" s="1"/>
  <c r="B1247" i="2"/>
  <c r="C1247" i="2" s="1"/>
  <c r="B1246" i="2"/>
  <c r="C1246" i="2" s="1"/>
  <c r="B1245" i="2"/>
  <c r="C1245" i="2" s="1"/>
  <c r="B1244" i="2"/>
  <c r="C1244" i="2" s="1"/>
  <c r="B1243" i="2"/>
  <c r="C1243" i="2" s="1"/>
  <c r="B1242" i="2"/>
  <c r="C1242" i="2" s="1"/>
  <c r="B1241" i="2"/>
  <c r="C1241" i="2" s="1"/>
  <c r="B1240" i="2"/>
  <c r="C1240" i="2" s="1"/>
  <c r="B1239" i="2"/>
  <c r="C1239" i="2" s="1"/>
  <c r="B1238" i="2"/>
  <c r="C1238" i="2" s="1"/>
  <c r="B1237" i="2"/>
  <c r="C1237" i="2" s="1"/>
  <c r="B1236" i="2"/>
  <c r="C1236" i="2" s="1"/>
  <c r="B1235" i="2"/>
  <c r="C1235" i="2" s="1"/>
  <c r="B1234" i="2"/>
  <c r="C1234" i="2" s="1"/>
  <c r="B1233" i="2"/>
  <c r="C1233" i="2" s="1"/>
  <c r="B1232" i="2"/>
  <c r="C1232" i="2" s="1"/>
  <c r="B1231" i="2"/>
  <c r="C1231" i="2" s="1"/>
  <c r="B1230" i="2"/>
  <c r="C1230" i="2" s="1"/>
  <c r="B1229" i="2"/>
  <c r="C1229" i="2" s="1"/>
  <c r="B1228" i="2"/>
  <c r="C1228" i="2" s="1"/>
  <c r="B1227" i="2"/>
  <c r="C1227" i="2" s="1"/>
  <c r="B1226" i="2"/>
  <c r="C1226" i="2" s="1"/>
  <c r="B1225" i="2"/>
  <c r="C1225" i="2" s="1"/>
  <c r="B1224" i="2"/>
  <c r="C1224" i="2" s="1"/>
  <c r="B1223" i="2"/>
  <c r="C1223" i="2" s="1"/>
  <c r="B1222" i="2"/>
  <c r="C1222" i="2" s="1"/>
  <c r="B1221" i="2"/>
  <c r="C1221" i="2" s="1"/>
  <c r="B1220" i="2"/>
  <c r="C1220" i="2" s="1"/>
  <c r="B1219" i="2"/>
  <c r="C1219" i="2" s="1"/>
  <c r="B1218" i="2"/>
  <c r="C1218" i="2" s="1"/>
  <c r="B1217" i="2"/>
  <c r="C1217" i="2" s="1"/>
  <c r="B1216" i="2"/>
  <c r="C1216" i="2" s="1"/>
  <c r="B1215" i="2"/>
  <c r="C1215" i="2" s="1"/>
  <c r="B1214" i="2"/>
  <c r="C1214" i="2" s="1"/>
  <c r="B1213" i="2"/>
  <c r="C1213" i="2" s="1"/>
  <c r="B1212" i="2"/>
  <c r="C1212" i="2" s="1"/>
  <c r="B1211" i="2"/>
  <c r="C1211" i="2" s="1"/>
  <c r="B1210" i="2"/>
  <c r="C1210" i="2" s="1"/>
  <c r="B1209" i="2"/>
  <c r="C1209" i="2" s="1"/>
  <c r="B1208" i="2"/>
  <c r="C1208" i="2" s="1"/>
  <c r="B1207" i="2"/>
  <c r="C1207" i="2" s="1"/>
  <c r="B1206" i="2"/>
  <c r="C1206" i="2" s="1"/>
  <c r="B1205" i="2"/>
  <c r="C1205" i="2" s="1"/>
  <c r="B1204" i="2"/>
  <c r="C1204" i="2" s="1"/>
  <c r="B1203" i="2"/>
  <c r="C1203" i="2" s="1"/>
  <c r="B1202" i="2"/>
  <c r="C1202" i="2" s="1"/>
  <c r="B1201" i="2"/>
  <c r="C1201" i="2" s="1"/>
  <c r="B1200" i="2"/>
  <c r="C1200" i="2" s="1"/>
  <c r="B1199" i="2"/>
  <c r="C1199" i="2" s="1"/>
  <c r="B1198" i="2"/>
  <c r="C1198" i="2" s="1"/>
  <c r="B1197" i="2"/>
  <c r="C1197" i="2" s="1"/>
  <c r="B1196" i="2"/>
  <c r="C1196" i="2" s="1"/>
  <c r="B1195" i="2"/>
  <c r="C1195" i="2" s="1"/>
  <c r="B1194" i="2"/>
  <c r="C1194" i="2" s="1"/>
  <c r="B1193" i="2"/>
  <c r="C1193" i="2" s="1"/>
  <c r="B1192" i="2"/>
  <c r="C1192" i="2" s="1"/>
  <c r="B1191" i="2"/>
  <c r="C1191" i="2" s="1"/>
  <c r="B1190" i="2"/>
  <c r="C1190" i="2" s="1"/>
  <c r="B1189" i="2"/>
  <c r="C1189" i="2" s="1"/>
  <c r="B1188" i="2"/>
  <c r="C1188" i="2" s="1"/>
  <c r="B1187" i="2"/>
  <c r="C1187" i="2" s="1"/>
  <c r="B1186" i="2"/>
  <c r="C1186" i="2" s="1"/>
  <c r="B1185" i="2"/>
  <c r="C1185" i="2" s="1"/>
  <c r="B1184" i="2"/>
  <c r="C1184" i="2" s="1"/>
  <c r="B1183" i="2"/>
  <c r="C1183" i="2" s="1"/>
  <c r="B1182" i="2"/>
  <c r="C1182" i="2" s="1"/>
  <c r="B1181" i="2"/>
  <c r="C1181" i="2" s="1"/>
  <c r="B1180" i="2"/>
  <c r="C1180" i="2" s="1"/>
  <c r="B1179" i="2"/>
  <c r="C1179" i="2" s="1"/>
  <c r="B1178" i="2"/>
  <c r="C1178" i="2" s="1"/>
  <c r="B1177" i="2"/>
  <c r="C1177" i="2" s="1"/>
  <c r="B1176" i="2"/>
  <c r="C1176" i="2" s="1"/>
  <c r="B1175" i="2"/>
  <c r="C1175" i="2" s="1"/>
  <c r="B1174" i="2"/>
  <c r="C1174" i="2" s="1"/>
  <c r="B1173" i="2"/>
  <c r="C1173" i="2" s="1"/>
  <c r="B1172" i="2"/>
  <c r="C1172" i="2" s="1"/>
  <c r="B1171" i="2"/>
  <c r="C1171" i="2" s="1"/>
  <c r="B1170" i="2"/>
  <c r="C1170" i="2" s="1"/>
  <c r="B1169" i="2"/>
  <c r="C1169" i="2" s="1"/>
  <c r="B1168" i="2"/>
  <c r="C1168" i="2" s="1"/>
  <c r="B1167" i="2"/>
  <c r="C1167" i="2" s="1"/>
  <c r="B1166" i="2"/>
  <c r="C1166" i="2" s="1"/>
  <c r="B1165" i="2"/>
  <c r="C1165" i="2" s="1"/>
  <c r="B1164" i="2"/>
  <c r="C1164" i="2" s="1"/>
  <c r="B1163" i="2"/>
  <c r="C1163" i="2" s="1"/>
  <c r="B1162" i="2"/>
  <c r="C1162" i="2" s="1"/>
  <c r="B1161" i="2"/>
  <c r="C1161" i="2" s="1"/>
  <c r="B1160" i="2"/>
  <c r="C1160" i="2" s="1"/>
  <c r="B1159" i="2"/>
  <c r="C1159" i="2" s="1"/>
  <c r="B1158" i="2"/>
  <c r="C1158" i="2" s="1"/>
  <c r="B1157" i="2"/>
  <c r="C1157" i="2" s="1"/>
  <c r="B1156" i="2"/>
  <c r="C1156" i="2" s="1"/>
  <c r="B1155" i="2"/>
  <c r="C1155" i="2" s="1"/>
  <c r="B1154" i="2"/>
  <c r="C1154" i="2" s="1"/>
  <c r="B1153" i="2"/>
  <c r="C1153" i="2" s="1"/>
  <c r="B1152" i="2"/>
  <c r="C1152" i="2" s="1"/>
  <c r="B1151" i="2"/>
  <c r="C1151" i="2" s="1"/>
  <c r="B1150" i="2"/>
  <c r="C1150" i="2" s="1"/>
  <c r="B1149" i="2"/>
  <c r="C1149" i="2" s="1"/>
  <c r="B1148" i="2"/>
  <c r="C1148" i="2" s="1"/>
  <c r="B1147" i="2"/>
  <c r="C1147" i="2" s="1"/>
  <c r="B1146" i="2"/>
  <c r="C1146" i="2" s="1"/>
  <c r="B1145" i="2"/>
  <c r="C1145" i="2" s="1"/>
  <c r="B1144" i="2"/>
  <c r="C1144" i="2" s="1"/>
  <c r="B1143" i="2"/>
  <c r="C1143" i="2" s="1"/>
  <c r="B1142" i="2"/>
  <c r="C1142" i="2" s="1"/>
  <c r="B1141" i="2"/>
  <c r="C1141" i="2" s="1"/>
  <c r="B1140" i="2"/>
  <c r="C1140" i="2" s="1"/>
  <c r="B1139" i="2"/>
  <c r="C1139" i="2" s="1"/>
  <c r="B1138" i="2"/>
  <c r="C1138" i="2" s="1"/>
  <c r="B1137" i="2"/>
  <c r="C1137" i="2" s="1"/>
  <c r="B1136" i="2"/>
  <c r="C1136" i="2" s="1"/>
  <c r="B1135" i="2"/>
  <c r="C1135" i="2" s="1"/>
  <c r="B1134" i="2"/>
  <c r="C1134" i="2" s="1"/>
  <c r="B1133" i="2"/>
  <c r="C1133" i="2" s="1"/>
  <c r="B1132" i="2"/>
  <c r="C1132" i="2" s="1"/>
  <c r="B1131" i="2"/>
  <c r="C1131" i="2" s="1"/>
  <c r="B1130" i="2"/>
  <c r="C1130" i="2" s="1"/>
  <c r="B1129" i="2"/>
  <c r="C1129" i="2" s="1"/>
  <c r="B1128" i="2"/>
  <c r="C1128" i="2" s="1"/>
  <c r="B1127" i="2"/>
  <c r="C1127" i="2" s="1"/>
  <c r="B1126" i="2"/>
  <c r="C1126" i="2" s="1"/>
  <c r="B1125" i="2"/>
  <c r="C1125" i="2" s="1"/>
  <c r="B1124" i="2"/>
  <c r="C1124" i="2" s="1"/>
  <c r="B1123" i="2"/>
  <c r="C1123" i="2" s="1"/>
  <c r="B1122" i="2"/>
  <c r="C1122" i="2" s="1"/>
  <c r="B1121" i="2"/>
  <c r="C1121" i="2" s="1"/>
  <c r="B1120" i="2"/>
  <c r="C1120" i="2" s="1"/>
  <c r="B1119" i="2"/>
  <c r="C1119" i="2" s="1"/>
  <c r="B1118" i="2"/>
  <c r="C1118" i="2" s="1"/>
  <c r="B1117" i="2"/>
  <c r="C1117" i="2" s="1"/>
  <c r="B1116" i="2"/>
  <c r="C1116" i="2" s="1"/>
  <c r="B1115" i="2"/>
  <c r="C1115" i="2" s="1"/>
  <c r="B1114" i="2"/>
  <c r="C1114" i="2" s="1"/>
  <c r="B1113" i="2"/>
  <c r="C1113" i="2" s="1"/>
  <c r="B1112" i="2"/>
  <c r="C1112" i="2" s="1"/>
  <c r="B1111" i="2"/>
  <c r="C1111" i="2" s="1"/>
  <c r="B1110" i="2"/>
  <c r="C1110" i="2" s="1"/>
  <c r="B1109" i="2"/>
  <c r="C1109" i="2" s="1"/>
  <c r="B1108" i="2"/>
  <c r="C1108" i="2" s="1"/>
  <c r="B1107" i="2"/>
  <c r="C1107" i="2" s="1"/>
  <c r="B1106" i="2"/>
  <c r="C1106" i="2" s="1"/>
  <c r="B1105" i="2"/>
  <c r="C1105" i="2" s="1"/>
  <c r="B1104" i="2"/>
  <c r="C1104" i="2" s="1"/>
  <c r="B1103" i="2"/>
  <c r="C1103" i="2" s="1"/>
  <c r="B1102" i="2"/>
  <c r="C1102" i="2" s="1"/>
  <c r="B1101" i="2"/>
  <c r="C1101" i="2" s="1"/>
  <c r="B1100" i="2"/>
  <c r="C1100" i="2" s="1"/>
  <c r="B1099" i="2"/>
  <c r="C1099" i="2" s="1"/>
  <c r="B1098" i="2"/>
  <c r="C1098" i="2" s="1"/>
  <c r="B1097" i="2"/>
  <c r="C1097" i="2" s="1"/>
  <c r="B1096" i="2"/>
  <c r="C1096" i="2" s="1"/>
  <c r="B1095" i="2"/>
  <c r="C1095" i="2" s="1"/>
  <c r="B1094" i="2"/>
  <c r="C1094" i="2" s="1"/>
  <c r="B1093" i="2"/>
  <c r="C1093" i="2" s="1"/>
  <c r="B1092" i="2"/>
  <c r="C1092" i="2" s="1"/>
  <c r="B1091" i="2"/>
  <c r="C1091" i="2" s="1"/>
  <c r="B1090" i="2"/>
  <c r="C1090" i="2" s="1"/>
  <c r="B1089" i="2"/>
  <c r="C1089" i="2" s="1"/>
  <c r="B1088" i="2"/>
  <c r="C1088" i="2" s="1"/>
  <c r="B1087" i="2"/>
  <c r="C1087" i="2" s="1"/>
  <c r="B1086" i="2"/>
  <c r="C1086" i="2" s="1"/>
  <c r="B1085" i="2"/>
  <c r="C1085" i="2" s="1"/>
  <c r="B1084" i="2"/>
  <c r="C1084" i="2" s="1"/>
  <c r="B1083" i="2"/>
  <c r="C1083" i="2" s="1"/>
  <c r="B1082" i="2"/>
  <c r="C1082" i="2" s="1"/>
  <c r="B1081" i="2"/>
  <c r="C1081" i="2" s="1"/>
  <c r="B1080" i="2"/>
  <c r="C1080" i="2" s="1"/>
  <c r="B1079" i="2"/>
  <c r="C1079" i="2" s="1"/>
  <c r="B1078" i="2"/>
  <c r="C1078" i="2" s="1"/>
  <c r="B1077" i="2"/>
  <c r="C1077" i="2" s="1"/>
  <c r="B1076" i="2"/>
  <c r="C1076" i="2" s="1"/>
  <c r="B1075" i="2"/>
  <c r="C1075" i="2" s="1"/>
  <c r="B1074" i="2"/>
  <c r="C1074" i="2" s="1"/>
  <c r="B1073" i="2"/>
  <c r="C1073" i="2" s="1"/>
  <c r="B1072" i="2"/>
  <c r="C1072" i="2" s="1"/>
  <c r="B1071" i="2"/>
  <c r="C1071" i="2" s="1"/>
  <c r="B1070" i="2"/>
  <c r="C1070" i="2" s="1"/>
  <c r="B1069" i="2"/>
  <c r="C1069" i="2" s="1"/>
  <c r="B1068" i="2"/>
  <c r="C1068" i="2" s="1"/>
  <c r="B1067" i="2"/>
  <c r="C1067" i="2" s="1"/>
  <c r="B1066" i="2"/>
  <c r="C1066" i="2" s="1"/>
  <c r="B1065" i="2"/>
  <c r="C1065" i="2" s="1"/>
  <c r="B1064" i="2"/>
  <c r="C1064" i="2" s="1"/>
  <c r="B1063" i="2"/>
  <c r="C1063" i="2" s="1"/>
  <c r="B1062" i="2"/>
  <c r="C1062" i="2" s="1"/>
  <c r="B1061" i="2"/>
  <c r="C1061" i="2" s="1"/>
  <c r="B1060" i="2"/>
  <c r="C1060" i="2" s="1"/>
  <c r="B1059" i="2"/>
  <c r="C1059" i="2" s="1"/>
  <c r="B1058" i="2"/>
  <c r="C1058" i="2" s="1"/>
  <c r="B1057" i="2"/>
  <c r="C1057" i="2" s="1"/>
  <c r="B1056" i="2"/>
  <c r="C1056" i="2" s="1"/>
  <c r="B1055" i="2"/>
  <c r="C1055" i="2" s="1"/>
  <c r="B1054" i="2"/>
  <c r="C1054" i="2" s="1"/>
  <c r="B1053" i="2"/>
  <c r="C1053" i="2" s="1"/>
  <c r="B1052" i="2"/>
  <c r="C1052" i="2" s="1"/>
  <c r="B1051" i="2"/>
  <c r="C1051" i="2" s="1"/>
  <c r="B1050" i="2"/>
  <c r="C1050" i="2" s="1"/>
  <c r="B1049" i="2"/>
  <c r="C1049" i="2" s="1"/>
  <c r="B1048" i="2"/>
  <c r="C1048" i="2" s="1"/>
  <c r="B1047" i="2"/>
  <c r="C1047" i="2" s="1"/>
  <c r="B1046" i="2"/>
  <c r="C1046" i="2" s="1"/>
  <c r="B1045" i="2"/>
  <c r="C1045" i="2" s="1"/>
  <c r="B1044" i="2"/>
  <c r="C1044" i="2" s="1"/>
  <c r="B1043" i="2"/>
  <c r="C1043" i="2" s="1"/>
  <c r="B1042" i="2"/>
  <c r="C1042" i="2" s="1"/>
  <c r="B1041" i="2"/>
  <c r="C1041" i="2" s="1"/>
  <c r="B1040" i="2"/>
  <c r="C1040" i="2" s="1"/>
  <c r="B1039" i="2"/>
  <c r="C1039" i="2" s="1"/>
  <c r="B1038" i="2"/>
  <c r="C1038" i="2" s="1"/>
  <c r="B1037" i="2"/>
  <c r="C1037" i="2" s="1"/>
  <c r="B1036" i="2"/>
  <c r="C1036" i="2" s="1"/>
  <c r="B1035" i="2"/>
  <c r="C1035" i="2" s="1"/>
  <c r="B1034" i="2"/>
  <c r="C1034" i="2" s="1"/>
  <c r="B1033" i="2"/>
  <c r="C1033" i="2" s="1"/>
  <c r="B1032" i="2"/>
  <c r="C1032" i="2" s="1"/>
  <c r="B1031" i="2"/>
  <c r="C1031" i="2" s="1"/>
  <c r="B1030" i="2"/>
  <c r="C1030" i="2" s="1"/>
  <c r="B1029" i="2"/>
  <c r="C1029" i="2" s="1"/>
  <c r="B1028" i="2"/>
  <c r="C1028" i="2" s="1"/>
  <c r="B1027" i="2"/>
  <c r="C1027" i="2" s="1"/>
  <c r="B1026" i="2"/>
  <c r="C1026" i="2" s="1"/>
  <c r="B1025" i="2"/>
  <c r="C1025" i="2" s="1"/>
  <c r="B1024" i="2"/>
  <c r="C1024" i="2" s="1"/>
  <c r="B1023" i="2"/>
  <c r="C1023" i="2" s="1"/>
  <c r="B1022" i="2"/>
  <c r="C1022" i="2" s="1"/>
  <c r="B1021" i="2"/>
  <c r="C1021" i="2" s="1"/>
  <c r="B1020" i="2"/>
  <c r="C1020" i="2" s="1"/>
  <c r="B1019" i="2"/>
  <c r="C1019" i="2" s="1"/>
  <c r="B1018" i="2"/>
  <c r="C1018" i="2" s="1"/>
  <c r="B1017" i="2"/>
  <c r="C1017" i="2" s="1"/>
  <c r="B1016" i="2"/>
  <c r="C1016" i="2" s="1"/>
  <c r="B1015" i="2"/>
  <c r="C1015" i="2" s="1"/>
  <c r="B1014" i="2"/>
  <c r="C1014" i="2" s="1"/>
  <c r="B1013" i="2"/>
  <c r="C1013" i="2" s="1"/>
  <c r="B1012" i="2"/>
  <c r="C1012" i="2" s="1"/>
  <c r="B1011" i="2"/>
  <c r="C1011" i="2" s="1"/>
  <c r="B1010" i="2"/>
  <c r="C1010" i="2" s="1"/>
  <c r="B1009" i="2"/>
  <c r="C1009" i="2" s="1"/>
  <c r="B1008" i="2"/>
  <c r="C1008" i="2" s="1"/>
  <c r="B1007" i="2"/>
  <c r="C1007" i="2" s="1"/>
  <c r="B1006" i="2"/>
  <c r="C1006" i="2" s="1"/>
  <c r="B1005" i="2"/>
  <c r="C1005" i="2" s="1"/>
  <c r="B1004" i="2"/>
  <c r="C1004" i="2" s="1"/>
  <c r="B1003" i="2"/>
  <c r="C1003" i="2" s="1"/>
  <c r="B1002" i="2"/>
  <c r="C1002" i="2" s="1"/>
  <c r="B1001" i="2"/>
  <c r="C1001" i="2" s="1"/>
  <c r="B1000" i="2"/>
  <c r="C1000" i="2" s="1"/>
  <c r="B999" i="2"/>
  <c r="C999" i="2" s="1"/>
  <c r="B998" i="2"/>
  <c r="C998" i="2" s="1"/>
  <c r="B997" i="2"/>
  <c r="C997" i="2" s="1"/>
  <c r="B996" i="2"/>
  <c r="C996" i="2" s="1"/>
  <c r="B995" i="2"/>
  <c r="C995" i="2" s="1"/>
  <c r="B994" i="2"/>
  <c r="C994" i="2" s="1"/>
  <c r="B993" i="2"/>
  <c r="C993" i="2" s="1"/>
  <c r="B992" i="2"/>
  <c r="C992" i="2" s="1"/>
  <c r="B991" i="2"/>
  <c r="C991" i="2" s="1"/>
  <c r="B990" i="2"/>
  <c r="C990" i="2" s="1"/>
  <c r="B989" i="2"/>
  <c r="C989" i="2" s="1"/>
  <c r="B988" i="2"/>
  <c r="C988" i="2" s="1"/>
  <c r="B987" i="2"/>
  <c r="C987" i="2" s="1"/>
  <c r="B986" i="2"/>
  <c r="C986" i="2" s="1"/>
  <c r="B985" i="2"/>
  <c r="C985" i="2" s="1"/>
  <c r="B984" i="2"/>
  <c r="C984" i="2" s="1"/>
  <c r="B983" i="2"/>
  <c r="C983" i="2" s="1"/>
  <c r="B982" i="2"/>
  <c r="C982" i="2" s="1"/>
  <c r="B981" i="2"/>
  <c r="C981" i="2" s="1"/>
  <c r="B980" i="2"/>
  <c r="C980" i="2" s="1"/>
  <c r="B979" i="2"/>
  <c r="C979" i="2" s="1"/>
  <c r="B978" i="2"/>
  <c r="C978" i="2" s="1"/>
  <c r="B977" i="2"/>
  <c r="C977" i="2" s="1"/>
  <c r="B976" i="2"/>
  <c r="C976" i="2" s="1"/>
  <c r="B975" i="2"/>
  <c r="C975" i="2" s="1"/>
  <c r="B974" i="2"/>
  <c r="C974" i="2" s="1"/>
  <c r="B973" i="2"/>
  <c r="C973" i="2" s="1"/>
  <c r="B972" i="2"/>
  <c r="C972" i="2" s="1"/>
  <c r="B971" i="2"/>
  <c r="C971" i="2" s="1"/>
  <c r="B970" i="2"/>
  <c r="C970" i="2" s="1"/>
  <c r="B969" i="2"/>
  <c r="C969" i="2" s="1"/>
  <c r="B968" i="2"/>
  <c r="C968" i="2" s="1"/>
  <c r="B967" i="2"/>
  <c r="C967" i="2" s="1"/>
  <c r="B966" i="2"/>
  <c r="C966" i="2" s="1"/>
  <c r="B965" i="2"/>
  <c r="C965" i="2" s="1"/>
  <c r="B964" i="2"/>
  <c r="C964" i="2" s="1"/>
  <c r="B963" i="2"/>
  <c r="C963" i="2" s="1"/>
  <c r="B962" i="2"/>
  <c r="C962" i="2" s="1"/>
  <c r="B961" i="2"/>
  <c r="C961" i="2" s="1"/>
  <c r="B960" i="2"/>
  <c r="C960" i="2" s="1"/>
  <c r="B959" i="2"/>
  <c r="C959" i="2" s="1"/>
  <c r="B958" i="2"/>
  <c r="C958" i="2" s="1"/>
  <c r="B957" i="2"/>
  <c r="C957" i="2" s="1"/>
  <c r="B956" i="2"/>
  <c r="C956" i="2" s="1"/>
  <c r="B955" i="2"/>
  <c r="C955" i="2" s="1"/>
  <c r="B954" i="2"/>
  <c r="C954" i="2" s="1"/>
  <c r="B953" i="2"/>
  <c r="C953" i="2" s="1"/>
  <c r="B952" i="2"/>
  <c r="C952" i="2" s="1"/>
  <c r="B951" i="2"/>
  <c r="C951" i="2" s="1"/>
  <c r="B950" i="2"/>
  <c r="C950" i="2" s="1"/>
  <c r="B949" i="2"/>
  <c r="C949" i="2" s="1"/>
  <c r="B948" i="2"/>
  <c r="C948" i="2" s="1"/>
  <c r="B947" i="2"/>
  <c r="C947" i="2" s="1"/>
  <c r="B946" i="2"/>
  <c r="C946" i="2" s="1"/>
  <c r="B945" i="2"/>
  <c r="C945" i="2" s="1"/>
  <c r="B944" i="2"/>
  <c r="C944" i="2" s="1"/>
  <c r="B943" i="2"/>
  <c r="C943" i="2" s="1"/>
  <c r="B942" i="2"/>
  <c r="C942" i="2" s="1"/>
  <c r="B941" i="2"/>
  <c r="C941" i="2" s="1"/>
  <c r="B940" i="2"/>
  <c r="C940" i="2" s="1"/>
  <c r="B939" i="2"/>
  <c r="C939" i="2" s="1"/>
  <c r="B938" i="2"/>
  <c r="C938" i="2" s="1"/>
  <c r="B937" i="2"/>
  <c r="C937" i="2" s="1"/>
  <c r="B936" i="2"/>
  <c r="C936" i="2" s="1"/>
  <c r="B935" i="2"/>
  <c r="C935" i="2" s="1"/>
  <c r="B934" i="2"/>
  <c r="C934" i="2" s="1"/>
  <c r="B933" i="2"/>
  <c r="C933" i="2" s="1"/>
  <c r="B932" i="2"/>
  <c r="C932" i="2" s="1"/>
  <c r="B931" i="2"/>
  <c r="C931" i="2" s="1"/>
  <c r="B930" i="2"/>
  <c r="C930" i="2" s="1"/>
  <c r="B929" i="2"/>
  <c r="C929" i="2" s="1"/>
  <c r="B928" i="2"/>
  <c r="C928" i="2" s="1"/>
  <c r="B927" i="2"/>
  <c r="C927" i="2" s="1"/>
  <c r="B926" i="2"/>
  <c r="C926" i="2" s="1"/>
  <c r="B925" i="2"/>
  <c r="C925" i="2" s="1"/>
  <c r="B924" i="2"/>
  <c r="C924" i="2" s="1"/>
  <c r="B923" i="2"/>
  <c r="C923" i="2" s="1"/>
  <c r="B922" i="2"/>
  <c r="C922" i="2" s="1"/>
  <c r="B921" i="2"/>
  <c r="C921" i="2" s="1"/>
  <c r="B920" i="2"/>
  <c r="C920" i="2" s="1"/>
  <c r="B919" i="2"/>
  <c r="C919" i="2" s="1"/>
  <c r="B918" i="2"/>
  <c r="C918" i="2" s="1"/>
  <c r="B917" i="2"/>
  <c r="C917" i="2" s="1"/>
  <c r="B916" i="2"/>
  <c r="C916" i="2" s="1"/>
  <c r="B915" i="2"/>
  <c r="C915" i="2" s="1"/>
  <c r="B914" i="2"/>
  <c r="C914" i="2" s="1"/>
  <c r="B913" i="2"/>
  <c r="C913" i="2" s="1"/>
  <c r="B912" i="2"/>
  <c r="C912" i="2" s="1"/>
  <c r="B911" i="2"/>
  <c r="C911" i="2" s="1"/>
  <c r="B910" i="2"/>
  <c r="C910" i="2" s="1"/>
  <c r="B909" i="2"/>
  <c r="C909" i="2" s="1"/>
  <c r="B908" i="2"/>
  <c r="C908" i="2" s="1"/>
  <c r="B907" i="2"/>
  <c r="C907" i="2" s="1"/>
  <c r="B906" i="2"/>
  <c r="C906" i="2" s="1"/>
  <c r="B905" i="2"/>
  <c r="C905" i="2" s="1"/>
  <c r="B904" i="2"/>
  <c r="C904" i="2" s="1"/>
  <c r="B903" i="2"/>
  <c r="C903" i="2" s="1"/>
  <c r="B902" i="2"/>
  <c r="C902" i="2" s="1"/>
  <c r="B901" i="2"/>
  <c r="C901" i="2" s="1"/>
  <c r="B900" i="2"/>
  <c r="C900" i="2" s="1"/>
  <c r="B899" i="2"/>
  <c r="C899" i="2" s="1"/>
  <c r="B898" i="2"/>
  <c r="C898" i="2" s="1"/>
  <c r="B897" i="2"/>
  <c r="C897" i="2" s="1"/>
  <c r="B896" i="2"/>
  <c r="C896" i="2" s="1"/>
  <c r="B895" i="2"/>
  <c r="C895" i="2" s="1"/>
  <c r="B894" i="2"/>
  <c r="C894" i="2" s="1"/>
  <c r="B893" i="2"/>
  <c r="C893" i="2" s="1"/>
  <c r="B892" i="2"/>
  <c r="C892" i="2" s="1"/>
  <c r="B891" i="2"/>
  <c r="C891" i="2" s="1"/>
  <c r="B890" i="2"/>
  <c r="C890" i="2" s="1"/>
  <c r="B889" i="2"/>
  <c r="C889" i="2" s="1"/>
  <c r="B888" i="2"/>
  <c r="C888" i="2" s="1"/>
  <c r="B887" i="2"/>
  <c r="C887" i="2" s="1"/>
  <c r="B886" i="2"/>
  <c r="C886" i="2" s="1"/>
  <c r="B885" i="2"/>
  <c r="C885" i="2" s="1"/>
  <c r="B884" i="2"/>
  <c r="C884" i="2" s="1"/>
  <c r="B883" i="2"/>
  <c r="C883" i="2" s="1"/>
  <c r="B882" i="2"/>
  <c r="C882" i="2" s="1"/>
  <c r="B881" i="2"/>
  <c r="C881" i="2" s="1"/>
  <c r="B880" i="2"/>
  <c r="C880" i="2" s="1"/>
  <c r="B879" i="2"/>
  <c r="C879" i="2" s="1"/>
  <c r="B878" i="2"/>
  <c r="C878" i="2" s="1"/>
  <c r="B877" i="2"/>
  <c r="C877" i="2" s="1"/>
  <c r="B876" i="2"/>
  <c r="C876" i="2" s="1"/>
  <c r="B875" i="2"/>
  <c r="C875" i="2" s="1"/>
  <c r="B874" i="2"/>
  <c r="C874" i="2" s="1"/>
  <c r="B873" i="2"/>
  <c r="C873" i="2" s="1"/>
  <c r="B872" i="2"/>
  <c r="C872" i="2" s="1"/>
  <c r="B871" i="2"/>
  <c r="C871" i="2" s="1"/>
  <c r="B870" i="2"/>
  <c r="C870" i="2" s="1"/>
  <c r="B869" i="2"/>
  <c r="C869" i="2" s="1"/>
  <c r="B868" i="2"/>
  <c r="C868" i="2" s="1"/>
  <c r="B867" i="2"/>
  <c r="C867" i="2" s="1"/>
  <c r="B866" i="2"/>
  <c r="C866" i="2" s="1"/>
  <c r="B865" i="2"/>
  <c r="C865" i="2" s="1"/>
  <c r="B864" i="2"/>
  <c r="C864" i="2" s="1"/>
  <c r="B863" i="2"/>
  <c r="C863" i="2" s="1"/>
  <c r="B862" i="2"/>
  <c r="C862" i="2" s="1"/>
  <c r="B861" i="2"/>
  <c r="C861" i="2" s="1"/>
  <c r="B860" i="2"/>
  <c r="C860" i="2" s="1"/>
  <c r="B859" i="2"/>
  <c r="C859" i="2" s="1"/>
  <c r="B858" i="2"/>
  <c r="C858" i="2" s="1"/>
  <c r="B857" i="2"/>
  <c r="C857" i="2" s="1"/>
  <c r="B856" i="2"/>
  <c r="C856" i="2" s="1"/>
  <c r="B855" i="2"/>
  <c r="C855" i="2" s="1"/>
  <c r="B854" i="2"/>
  <c r="C854" i="2" s="1"/>
  <c r="B853" i="2"/>
  <c r="C853" i="2" s="1"/>
  <c r="B852" i="2"/>
  <c r="C852" i="2" s="1"/>
  <c r="B851" i="2"/>
  <c r="C851" i="2" s="1"/>
  <c r="B850" i="2"/>
  <c r="C850" i="2" s="1"/>
  <c r="B849" i="2"/>
  <c r="C849" i="2" s="1"/>
  <c r="B848" i="2"/>
  <c r="C848" i="2" s="1"/>
  <c r="B847" i="2"/>
  <c r="C847" i="2" s="1"/>
  <c r="B846" i="2"/>
  <c r="C846" i="2" s="1"/>
  <c r="B845" i="2"/>
  <c r="C845" i="2" s="1"/>
  <c r="B844" i="2"/>
  <c r="C844" i="2" s="1"/>
  <c r="B843" i="2"/>
  <c r="C843" i="2" s="1"/>
  <c r="B842" i="2"/>
  <c r="C842" i="2" s="1"/>
  <c r="B841" i="2"/>
  <c r="C841" i="2" s="1"/>
  <c r="B840" i="2"/>
  <c r="C840" i="2" s="1"/>
  <c r="B839" i="2"/>
  <c r="C839" i="2" s="1"/>
  <c r="B838" i="2"/>
  <c r="C838" i="2" s="1"/>
  <c r="B837" i="2"/>
  <c r="C837" i="2" s="1"/>
  <c r="B836" i="2"/>
  <c r="C836" i="2" s="1"/>
  <c r="B835" i="2"/>
  <c r="C835" i="2" s="1"/>
  <c r="B834" i="2"/>
  <c r="C834" i="2" s="1"/>
  <c r="B833" i="2"/>
  <c r="C833" i="2" s="1"/>
  <c r="B832" i="2"/>
  <c r="C832" i="2" s="1"/>
  <c r="B831" i="2"/>
  <c r="C831" i="2" s="1"/>
  <c r="B830" i="2"/>
  <c r="C830" i="2" s="1"/>
  <c r="B829" i="2"/>
  <c r="C829" i="2" s="1"/>
  <c r="B828" i="2"/>
  <c r="C828" i="2" s="1"/>
  <c r="B827" i="2"/>
  <c r="C827" i="2" s="1"/>
  <c r="B826" i="2"/>
  <c r="C826" i="2" s="1"/>
  <c r="B825" i="2"/>
  <c r="C825" i="2" s="1"/>
  <c r="B824" i="2"/>
  <c r="C824" i="2" s="1"/>
  <c r="B823" i="2"/>
  <c r="C823" i="2" s="1"/>
  <c r="B822" i="2"/>
  <c r="C822" i="2" s="1"/>
  <c r="B821" i="2"/>
  <c r="C821" i="2" s="1"/>
  <c r="B820" i="2"/>
  <c r="C820" i="2" s="1"/>
  <c r="B819" i="2"/>
  <c r="C819" i="2" s="1"/>
  <c r="B818" i="2"/>
  <c r="C818" i="2" s="1"/>
  <c r="B817" i="2"/>
  <c r="C817" i="2" s="1"/>
  <c r="B816" i="2"/>
  <c r="C816" i="2" s="1"/>
  <c r="B815" i="2"/>
  <c r="C815" i="2" s="1"/>
  <c r="B814" i="2"/>
  <c r="C814" i="2" s="1"/>
  <c r="B813" i="2"/>
  <c r="C813" i="2" s="1"/>
  <c r="B812" i="2"/>
  <c r="C812" i="2" s="1"/>
  <c r="B811" i="2"/>
  <c r="C811" i="2" s="1"/>
  <c r="B810" i="2"/>
  <c r="C810" i="2" s="1"/>
  <c r="B809" i="2"/>
  <c r="C809" i="2" s="1"/>
  <c r="B808" i="2"/>
  <c r="C808" i="2" s="1"/>
  <c r="B807" i="2"/>
  <c r="C807" i="2" s="1"/>
  <c r="B806" i="2"/>
  <c r="C806" i="2" s="1"/>
  <c r="B805" i="2"/>
  <c r="C805" i="2" s="1"/>
  <c r="B804" i="2"/>
  <c r="C804" i="2" s="1"/>
  <c r="B803" i="2"/>
  <c r="C803" i="2" s="1"/>
  <c r="B802" i="2"/>
  <c r="C802" i="2" s="1"/>
  <c r="B801" i="2"/>
  <c r="C801" i="2" s="1"/>
  <c r="B800" i="2"/>
  <c r="C800" i="2" s="1"/>
  <c r="B799" i="2"/>
  <c r="C799" i="2" s="1"/>
  <c r="B798" i="2"/>
  <c r="C798" i="2" s="1"/>
  <c r="B797" i="2"/>
  <c r="C797" i="2" s="1"/>
  <c r="B796" i="2"/>
  <c r="C796" i="2" s="1"/>
  <c r="B795" i="2"/>
  <c r="C795" i="2" s="1"/>
  <c r="B794" i="2"/>
  <c r="C794" i="2" s="1"/>
  <c r="B793" i="2"/>
  <c r="C793" i="2" s="1"/>
  <c r="B792" i="2"/>
  <c r="C792" i="2" s="1"/>
  <c r="B791" i="2"/>
  <c r="C791" i="2" s="1"/>
  <c r="B790" i="2"/>
  <c r="C790" i="2" s="1"/>
  <c r="B789" i="2"/>
  <c r="C789" i="2" s="1"/>
  <c r="B788" i="2"/>
  <c r="C788" i="2" s="1"/>
  <c r="B787" i="2"/>
  <c r="C787" i="2" s="1"/>
  <c r="B786" i="2"/>
  <c r="C786" i="2" s="1"/>
  <c r="B785" i="2"/>
  <c r="C785" i="2" s="1"/>
  <c r="B784" i="2"/>
  <c r="C784" i="2" s="1"/>
  <c r="B783" i="2"/>
  <c r="C783" i="2" s="1"/>
  <c r="B782" i="2"/>
  <c r="C782" i="2" s="1"/>
  <c r="B781" i="2"/>
  <c r="C781" i="2" s="1"/>
  <c r="B780" i="2"/>
  <c r="C780" i="2" s="1"/>
  <c r="B779" i="2"/>
  <c r="C779" i="2" s="1"/>
  <c r="B778" i="2"/>
  <c r="C778" i="2" s="1"/>
  <c r="B777" i="2"/>
  <c r="C777" i="2" s="1"/>
  <c r="B776" i="2"/>
  <c r="C776" i="2" s="1"/>
  <c r="B775" i="2"/>
  <c r="C775" i="2" s="1"/>
  <c r="B774" i="2"/>
  <c r="C774" i="2" s="1"/>
  <c r="B773" i="2"/>
  <c r="C773" i="2" s="1"/>
  <c r="B772" i="2"/>
  <c r="C772" i="2" s="1"/>
  <c r="B771" i="2"/>
  <c r="C771" i="2" s="1"/>
  <c r="B770" i="2"/>
  <c r="C770" i="2" s="1"/>
  <c r="B769" i="2"/>
  <c r="C769" i="2" s="1"/>
  <c r="B768" i="2"/>
  <c r="C768" i="2" s="1"/>
  <c r="B767" i="2"/>
  <c r="C767" i="2" s="1"/>
  <c r="B766" i="2"/>
  <c r="C766" i="2" s="1"/>
  <c r="B765" i="2"/>
  <c r="C765" i="2" s="1"/>
  <c r="B764" i="2"/>
  <c r="C764" i="2" s="1"/>
  <c r="B763" i="2"/>
  <c r="C763" i="2" s="1"/>
  <c r="B762" i="2"/>
  <c r="C762" i="2" s="1"/>
  <c r="B761" i="2"/>
  <c r="C761" i="2" s="1"/>
  <c r="B760" i="2"/>
  <c r="C760" i="2" s="1"/>
  <c r="B759" i="2"/>
  <c r="C759" i="2" s="1"/>
  <c r="B758" i="2"/>
  <c r="C758" i="2" s="1"/>
  <c r="B757" i="2"/>
  <c r="C757" i="2" s="1"/>
  <c r="B756" i="2"/>
  <c r="C756" i="2" s="1"/>
  <c r="B755" i="2"/>
  <c r="C755" i="2" s="1"/>
  <c r="B754" i="2"/>
  <c r="C754" i="2" s="1"/>
  <c r="B753" i="2"/>
  <c r="C753" i="2" s="1"/>
  <c r="B752" i="2"/>
  <c r="C752" i="2" s="1"/>
  <c r="B751" i="2"/>
  <c r="C751" i="2" s="1"/>
  <c r="B750" i="2"/>
  <c r="C750" i="2" s="1"/>
  <c r="B749" i="2"/>
  <c r="C749" i="2" s="1"/>
  <c r="B748" i="2"/>
  <c r="C748" i="2" s="1"/>
  <c r="B747" i="2"/>
  <c r="C747" i="2" s="1"/>
  <c r="B746" i="2"/>
  <c r="C746" i="2" s="1"/>
  <c r="B745" i="2"/>
  <c r="C745" i="2" s="1"/>
  <c r="B744" i="2"/>
  <c r="C744" i="2" s="1"/>
  <c r="B743" i="2"/>
  <c r="C743" i="2" s="1"/>
  <c r="B742" i="2"/>
  <c r="C742" i="2" s="1"/>
  <c r="B741" i="2"/>
  <c r="C741" i="2" s="1"/>
  <c r="B740" i="2"/>
  <c r="C740" i="2" s="1"/>
  <c r="B739" i="2"/>
  <c r="C739" i="2" s="1"/>
  <c r="B738" i="2"/>
  <c r="C738" i="2" s="1"/>
  <c r="B737" i="2"/>
  <c r="C737" i="2" s="1"/>
  <c r="B736" i="2"/>
  <c r="C736" i="2" s="1"/>
  <c r="B735" i="2"/>
  <c r="C735" i="2" s="1"/>
  <c r="B734" i="2"/>
  <c r="C734" i="2" s="1"/>
  <c r="B733" i="2"/>
  <c r="C733" i="2" s="1"/>
  <c r="B732" i="2"/>
  <c r="C732" i="2" s="1"/>
  <c r="B731" i="2"/>
  <c r="C731" i="2" s="1"/>
  <c r="B730" i="2"/>
  <c r="C730" i="2" s="1"/>
  <c r="B729" i="2"/>
  <c r="C729" i="2" s="1"/>
  <c r="B728" i="2"/>
  <c r="C728" i="2" s="1"/>
  <c r="B727" i="2"/>
  <c r="C727" i="2" s="1"/>
  <c r="B726" i="2"/>
  <c r="C726" i="2" s="1"/>
  <c r="B725" i="2"/>
  <c r="C725" i="2" s="1"/>
  <c r="B724" i="2"/>
  <c r="C724" i="2" s="1"/>
  <c r="B723" i="2"/>
  <c r="C723" i="2" s="1"/>
  <c r="B722" i="2"/>
  <c r="C722" i="2" s="1"/>
  <c r="B721" i="2"/>
  <c r="C721" i="2" s="1"/>
  <c r="B720" i="2"/>
  <c r="C720" i="2" s="1"/>
  <c r="B719" i="2"/>
  <c r="C719" i="2" s="1"/>
  <c r="B718" i="2"/>
  <c r="C718" i="2" s="1"/>
  <c r="B717" i="2"/>
  <c r="C717" i="2" s="1"/>
  <c r="B716" i="2"/>
  <c r="C716" i="2" s="1"/>
  <c r="B715" i="2"/>
  <c r="C715" i="2" s="1"/>
  <c r="B714" i="2"/>
  <c r="C714" i="2" s="1"/>
  <c r="B713" i="2"/>
  <c r="C713" i="2" s="1"/>
  <c r="B712" i="2"/>
  <c r="C712" i="2" s="1"/>
  <c r="B711" i="2"/>
  <c r="C711" i="2" s="1"/>
  <c r="B710" i="2"/>
  <c r="C710" i="2" s="1"/>
  <c r="B709" i="2"/>
  <c r="C709" i="2" s="1"/>
  <c r="B708" i="2"/>
  <c r="C708" i="2" s="1"/>
  <c r="B707" i="2"/>
  <c r="C707" i="2" s="1"/>
  <c r="B706" i="2"/>
  <c r="C706" i="2" s="1"/>
  <c r="B705" i="2"/>
  <c r="C705" i="2" s="1"/>
  <c r="B704" i="2"/>
  <c r="C704" i="2" s="1"/>
  <c r="B703" i="2"/>
  <c r="C703" i="2" s="1"/>
  <c r="B702" i="2"/>
  <c r="C702" i="2" s="1"/>
  <c r="B701" i="2"/>
  <c r="C701" i="2" s="1"/>
  <c r="B700" i="2"/>
  <c r="C700" i="2" s="1"/>
  <c r="B699" i="2"/>
  <c r="C699" i="2" s="1"/>
  <c r="B698" i="2"/>
  <c r="C698" i="2" s="1"/>
  <c r="B697" i="2"/>
  <c r="C697" i="2" s="1"/>
  <c r="B696" i="2"/>
  <c r="C696" i="2" s="1"/>
  <c r="B695" i="2"/>
  <c r="C695" i="2" s="1"/>
  <c r="B694" i="2"/>
  <c r="C694" i="2" s="1"/>
  <c r="B693" i="2"/>
  <c r="C693" i="2" s="1"/>
  <c r="B692" i="2"/>
  <c r="C692" i="2" s="1"/>
  <c r="B691" i="2"/>
  <c r="C691" i="2" s="1"/>
  <c r="B690" i="2"/>
  <c r="C690" i="2" s="1"/>
  <c r="B689" i="2"/>
  <c r="C689" i="2" s="1"/>
  <c r="B688" i="2"/>
  <c r="C688" i="2" s="1"/>
  <c r="B687" i="2"/>
  <c r="C687" i="2" s="1"/>
  <c r="B686" i="2"/>
  <c r="C686" i="2" s="1"/>
  <c r="B685" i="2"/>
  <c r="C685" i="2" s="1"/>
  <c r="B684" i="2"/>
  <c r="C684" i="2" s="1"/>
  <c r="B683" i="2"/>
  <c r="C683" i="2" s="1"/>
  <c r="B682" i="2"/>
  <c r="C682" i="2" s="1"/>
  <c r="B681" i="2"/>
  <c r="C681" i="2" s="1"/>
  <c r="B680" i="2"/>
  <c r="C680" i="2" s="1"/>
  <c r="B679" i="2"/>
  <c r="C679" i="2" s="1"/>
  <c r="B678" i="2"/>
  <c r="C678" i="2" s="1"/>
  <c r="B677" i="2"/>
  <c r="C677" i="2" s="1"/>
  <c r="B676" i="2"/>
  <c r="C676" i="2" s="1"/>
  <c r="B675" i="2"/>
  <c r="C675" i="2" s="1"/>
  <c r="B674" i="2"/>
  <c r="C674" i="2" s="1"/>
  <c r="B673" i="2"/>
  <c r="C673" i="2" s="1"/>
  <c r="B672" i="2"/>
  <c r="C672" i="2" s="1"/>
  <c r="B671" i="2"/>
  <c r="C671" i="2" s="1"/>
  <c r="B670" i="2"/>
  <c r="C670" i="2" s="1"/>
  <c r="B669" i="2"/>
  <c r="C669" i="2" s="1"/>
  <c r="B668" i="2"/>
  <c r="C668" i="2" s="1"/>
  <c r="B667" i="2"/>
  <c r="C667" i="2" s="1"/>
  <c r="B666" i="2"/>
  <c r="C666" i="2" s="1"/>
  <c r="B665" i="2"/>
  <c r="C665" i="2" s="1"/>
  <c r="B664" i="2"/>
  <c r="C664" i="2" s="1"/>
  <c r="B663" i="2"/>
  <c r="C663" i="2" s="1"/>
  <c r="B662" i="2"/>
  <c r="C662" i="2" s="1"/>
  <c r="B661" i="2"/>
  <c r="C661" i="2" s="1"/>
  <c r="B660" i="2"/>
  <c r="C660" i="2" s="1"/>
  <c r="B659" i="2"/>
  <c r="C659" i="2" s="1"/>
  <c r="B658" i="2"/>
  <c r="C658" i="2" s="1"/>
  <c r="B657" i="2"/>
  <c r="C657" i="2" s="1"/>
  <c r="B656" i="2"/>
  <c r="C656" i="2" s="1"/>
  <c r="B655" i="2"/>
  <c r="C655" i="2" s="1"/>
  <c r="B654" i="2"/>
  <c r="C654" i="2" s="1"/>
  <c r="B653" i="2"/>
  <c r="C653" i="2" s="1"/>
  <c r="B652" i="2"/>
  <c r="C652" i="2" s="1"/>
  <c r="B651" i="2"/>
  <c r="C651" i="2" s="1"/>
  <c r="B650" i="2"/>
  <c r="C650" i="2" s="1"/>
  <c r="B649" i="2"/>
  <c r="C649" i="2" s="1"/>
  <c r="B648" i="2"/>
  <c r="C648" i="2" s="1"/>
  <c r="B647" i="2"/>
  <c r="C647" i="2" s="1"/>
  <c r="B646" i="2"/>
  <c r="C646" i="2" s="1"/>
  <c r="B645" i="2"/>
  <c r="C645" i="2" s="1"/>
  <c r="B644" i="2"/>
  <c r="C644" i="2" s="1"/>
  <c r="B643" i="2"/>
  <c r="C643" i="2" s="1"/>
  <c r="B642" i="2"/>
  <c r="C642" i="2" s="1"/>
  <c r="B641" i="2"/>
  <c r="C641" i="2" s="1"/>
  <c r="B640" i="2"/>
  <c r="C640" i="2" s="1"/>
  <c r="B639" i="2"/>
  <c r="C639" i="2" s="1"/>
  <c r="B638" i="2"/>
  <c r="C638" i="2" s="1"/>
  <c r="B637" i="2"/>
  <c r="C637" i="2" s="1"/>
  <c r="B636" i="2"/>
  <c r="C636" i="2" s="1"/>
  <c r="B635" i="2"/>
  <c r="C635" i="2" s="1"/>
  <c r="B634" i="2"/>
  <c r="C634" i="2" s="1"/>
  <c r="B633" i="2"/>
  <c r="C633" i="2" s="1"/>
  <c r="B632" i="2"/>
  <c r="C632" i="2" s="1"/>
  <c r="B631" i="2"/>
  <c r="C631" i="2" s="1"/>
  <c r="B630" i="2"/>
  <c r="C630" i="2" s="1"/>
  <c r="B629" i="2"/>
  <c r="C629" i="2" s="1"/>
  <c r="B628" i="2"/>
  <c r="C628" i="2" s="1"/>
  <c r="B627" i="2"/>
  <c r="C627" i="2" s="1"/>
  <c r="B626" i="2"/>
  <c r="C626" i="2" s="1"/>
  <c r="B625" i="2"/>
  <c r="C625" i="2" s="1"/>
  <c r="B624" i="2"/>
  <c r="C624" i="2" s="1"/>
  <c r="B623" i="2"/>
  <c r="C623" i="2" s="1"/>
  <c r="B622" i="2"/>
  <c r="C622" i="2" s="1"/>
  <c r="B621" i="2"/>
  <c r="C621" i="2" s="1"/>
  <c r="B620" i="2"/>
  <c r="C620" i="2" s="1"/>
  <c r="B619" i="2"/>
  <c r="C619" i="2" s="1"/>
  <c r="B618" i="2"/>
  <c r="C618" i="2" s="1"/>
  <c r="B617" i="2"/>
  <c r="C617" i="2" s="1"/>
  <c r="B616" i="2"/>
  <c r="C616" i="2" s="1"/>
  <c r="B615" i="2"/>
  <c r="C615" i="2" s="1"/>
  <c r="B614" i="2"/>
  <c r="C614" i="2" s="1"/>
  <c r="B613" i="2"/>
  <c r="C613" i="2" s="1"/>
  <c r="B612" i="2"/>
  <c r="C612" i="2" s="1"/>
  <c r="B611" i="2"/>
  <c r="C611" i="2" s="1"/>
  <c r="B610" i="2"/>
  <c r="C610" i="2" s="1"/>
  <c r="B609" i="2"/>
  <c r="C609" i="2" s="1"/>
  <c r="B608" i="2"/>
  <c r="C608" i="2" s="1"/>
  <c r="B607" i="2"/>
  <c r="C607" i="2" s="1"/>
  <c r="B606" i="2"/>
  <c r="C606" i="2" s="1"/>
  <c r="B605" i="2"/>
  <c r="C605" i="2" s="1"/>
  <c r="B604" i="2"/>
  <c r="C604" i="2" s="1"/>
  <c r="B603" i="2"/>
  <c r="C603" i="2" s="1"/>
  <c r="B602" i="2"/>
  <c r="C602" i="2" s="1"/>
  <c r="B601" i="2"/>
  <c r="C601" i="2" s="1"/>
  <c r="B600" i="2"/>
  <c r="C600" i="2" s="1"/>
  <c r="B599" i="2"/>
  <c r="C599" i="2" s="1"/>
  <c r="B598" i="2"/>
  <c r="C598" i="2" s="1"/>
  <c r="B597" i="2"/>
  <c r="C597" i="2" s="1"/>
  <c r="B596" i="2"/>
  <c r="C596" i="2" s="1"/>
  <c r="B595" i="2"/>
  <c r="C595" i="2" s="1"/>
  <c r="B594" i="2"/>
  <c r="C594" i="2" s="1"/>
  <c r="B593" i="2"/>
  <c r="C593" i="2" s="1"/>
  <c r="B592" i="2"/>
  <c r="C592" i="2" s="1"/>
  <c r="B591" i="2"/>
  <c r="C591" i="2" s="1"/>
  <c r="B590" i="2"/>
  <c r="C590" i="2" s="1"/>
  <c r="B589" i="2"/>
  <c r="C589" i="2" s="1"/>
  <c r="B588" i="2"/>
  <c r="C588" i="2" s="1"/>
  <c r="B587" i="2"/>
  <c r="C587" i="2" s="1"/>
  <c r="B586" i="2"/>
  <c r="C586" i="2" s="1"/>
  <c r="B585" i="2"/>
  <c r="C585" i="2" s="1"/>
  <c r="B584" i="2"/>
  <c r="C584" i="2" s="1"/>
  <c r="B583" i="2"/>
  <c r="C583" i="2" s="1"/>
  <c r="B582" i="2"/>
  <c r="C582" i="2" s="1"/>
  <c r="B581" i="2"/>
  <c r="C581" i="2" s="1"/>
  <c r="B580" i="2"/>
  <c r="C580" i="2" s="1"/>
  <c r="B579" i="2"/>
  <c r="C579" i="2" s="1"/>
  <c r="B578" i="2"/>
  <c r="C578" i="2" s="1"/>
  <c r="B577" i="2"/>
  <c r="C577" i="2" s="1"/>
  <c r="B576" i="2"/>
  <c r="C576" i="2" s="1"/>
  <c r="B575" i="2"/>
  <c r="C575" i="2" s="1"/>
  <c r="B574" i="2"/>
  <c r="C574" i="2" s="1"/>
  <c r="B573" i="2"/>
  <c r="C573" i="2" s="1"/>
  <c r="B572" i="2"/>
  <c r="C572" i="2" s="1"/>
  <c r="B571" i="2"/>
  <c r="C571" i="2" s="1"/>
  <c r="B570" i="2"/>
  <c r="C570" i="2" s="1"/>
  <c r="B569" i="2"/>
  <c r="C569" i="2" s="1"/>
  <c r="B568" i="2"/>
  <c r="C568" i="2" s="1"/>
  <c r="B567" i="2"/>
  <c r="C567" i="2" s="1"/>
  <c r="B566" i="2"/>
  <c r="C566" i="2" s="1"/>
  <c r="B565" i="2"/>
  <c r="C565" i="2" s="1"/>
  <c r="B564" i="2"/>
  <c r="C564" i="2" s="1"/>
  <c r="B563" i="2"/>
  <c r="C563" i="2" s="1"/>
  <c r="B562" i="2"/>
  <c r="C562" i="2" s="1"/>
  <c r="B561" i="2"/>
  <c r="C561" i="2" s="1"/>
  <c r="B560" i="2"/>
  <c r="C560" i="2" s="1"/>
  <c r="B559" i="2"/>
  <c r="C559" i="2" s="1"/>
  <c r="B558" i="2"/>
  <c r="C558" i="2" s="1"/>
  <c r="B557" i="2"/>
  <c r="C557" i="2" s="1"/>
  <c r="B556" i="2"/>
  <c r="C556" i="2" s="1"/>
  <c r="B555" i="2"/>
  <c r="C555" i="2" s="1"/>
  <c r="B554" i="2"/>
  <c r="C554" i="2" s="1"/>
  <c r="B553" i="2"/>
  <c r="C553" i="2" s="1"/>
  <c r="B552" i="2"/>
  <c r="C552" i="2" s="1"/>
  <c r="B551" i="2"/>
  <c r="C551" i="2" s="1"/>
  <c r="B550" i="2"/>
  <c r="C550" i="2" s="1"/>
  <c r="B549" i="2"/>
  <c r="C549" i="2" s="1"/>
  <c r="B548" i="2"/>
  <c r="C548" i="2" s="1"/>
  <c r="B547" i="2"/>
  <c r="C547" i="2" s="1"/>
  <c r="B546" i="2"/>
  <c r="C546" i="2" s="1"/>
  <c r="B545" i="2"/>
  <c r="C545" i="2" s="1"/>
  <c r="B544" i="2"/>
  <c r="C544" i="2" s="1"/>
  <c r="B543" i="2"/>
  <c r="C543" i="2" s="1"/>
  <c r="B542" i="2"/>
  <c r="C542" i="2" s="1"/>
  <c r="B541" i="2"/>
  <c r="C541" i="2" s="1"/>
  <c r="B540" i="2"/>
  <c r="C540" i="2" s="1"/>
  <c r="B539" i="2"/>
  <c r="C539" i="2" s="1"/>
  <c r="B538" i="2"/>
  <c r="C538" i="2" s="1"/>
  <c r="B537" i="2"/>
  <c r="C537" i="2" s="1"/>
  <c r="B536" i="2"/>
  <c r="C536" i="2" s="1"/>
  <c r="B535" i="2"/>
  <c r="C535" i="2" s="1"/>
  <c r="B534" i="2"/>
  <c r="C534" i="2" s="1"/>
  <c r="B533" i="2"/>
  <c r="C533" i="2" s="1"/>
  <c r="B532" i="2"/>
  <c r="C532" i="2" s="1"/>
  <c r="B531" i="2"/>
  <c r="C531" i="2" s="1"/>
  <c r="B530" i="2"/>
  <c r="C530" i="2" s="1"/>
  <c r="B529" i="2"/>
  <c r="C529" i="2" s="1"/>
  <c r="B528" i="2"/>
  <c r="C528" i="2" s="1"/>
  <c r="B527" i="2"/>
  <c r="C527" i="2" s="1"/>
  <c r="B526" i="2"/>
  <c r="C526" i="2" s="1"/>
  <c r="B525" i="2"/>
  <c r="C525" i="2" s="1"/>
  <c r="B524" i="2"/>
  <c r="C524" i="2" s="1"/>
  <c r="B523" i="2"/>
  <c r="C523" i="2" s="1"/>
  <c r="B522" i="2"/>
  <c r="C522" i="2" s="1"/>
  <c r="B521" i="2"/>
  <c r="C521" i="2" s="1"/>
  <c r="B520" i="2"/>
  <c r="C520" i="2" s="1"/>
  <c r="B519" i="2"/>
  <c r="C519" i="2" s="1"/>
  <c r="B518" i="2"/>
  <c r="C518" i="2" s="1"/>
  <c r="B517" i="2"/>
  <c r="C517" i="2" s="1"/>
  <c r="B516" i="2"/>
  <c r="C516" i="2" s="1"/>
  <c r="B515" i="2"/>
  <c r="C515" i="2" s="1"/>
  <c r="B514" i="2"/>
  <c r="C514" i="2" s="1"/>
  <c r="B513" i="2"/>
  <c r="C513" i="2" s="1"/>
  <c r="B512" i="2"/>
  <c r="C512" i="2" s="1"/>
  <c r="B511" i="2"/>
  <c r="C511" i="2" s="1"/>
  <c r="B510" i="2"/>
  <c r="C510" i="2" s="1"/>
  <c r="B509" i="2"/>
  <c r="C509" i="2" s="1"/>
  <c r="B508" i="2"/>
  <c r="C508" i="2" s="1"/>
  <c r="B507" i="2"/>
  <c r="C507" i="2" s="1"/>
  <c r="B506" i="2"/>
  <c r="C506" i="2" s="1"/>
  <c r="B505" i="2"/>
  <c r="C505" i="2" s="1"/>
  <c r="B504" i="2"/>
  <c r="C504" i="2" s="1"/>
  <c r="B503" i="2"/>
  <c r="C503" i="2" s="1"/>
  <c r="B502" i="2"/>
  <c r="C502" i="2" s="1"/>
  <c r="B501" i="2"/>
  <c r="C501" i="2" s="1"/>
  <c r="B500" i="2"/>
  <c r="C500" i="2" s="1"/>
  <c r="B499" i="2"/>
  <c r="C499" i="2" s="1"/>
  <c r="B498" i="2"/>
  <c r="C498" i="2" s="1"/>
  <c r="B497" i="2"/>
  <c r="C497" i="2" s="1"/>
  <c r="B496" i="2"/>
  <c r="C496" i="2" s="1"/>
  <c r="B495" i="2"/>
  <c r="C495" i="2" s="1"/>
  <c r="B494" i="2"/>
  <c r="C494" i="2" s="1"/>
  <c r="B493" i="2"/>
  <c r="C493" i="2" s="1"/>
  <c r="B492" i="2"/>
  <c r="C492" i="2" s="1"/>
  <c r="B491" i="2"/>
  <c r="C491" i="2" s="1"/>
  <c r="B490" i="2"/>
  <c r="C490" i="2" s="1"/>
  <c r="B489" i="2"/>
  <c r="C489" i="2" s="1"/>
  <c r="B488" i="2"/>
  <c r="C488" i="2" s="1"/>
  <c r="B487" i="2"/>
  <c r="C487" i="2" s="1"/>
  <c r="B486" i="2"/>
  <c r="C486" i="2" s="1"/>
  <c r="B485" i="2"/>
  <c r="C485" i="2" s="1"/>
  <c r="B484" i="2"/>
  <c r="C484" i="2" s="1"/>
  <c r="B483" i="2"/>
  <c r="C483" i="2" s="1"/>
  <c r="B482" i="2"/>
  <c r="C482" i="2" s="1"/>
  <c r="B481" i="2"/>
  <c r="C481" i="2" s="1"/>
  <c r="B480" i="2"/>
  <c r="C480" i="2" s="1"/>
  <c r="B479" i="2"/>
  <c r="C479" i="2" s="1"/>
  <c r="B478" i="2"/>
  <c r="C478" i="2" s="1"/>
  <c r="B477" i="2"/>
  <c r="C477" i="2" s="1"/>
  <c r="B476" i="2"/>
  <c r="C476" i="2" s="1"/>
  <c r="B475" i="2"/>
  <c r="C475" i="2" s="1"/>
  <c r="B474" i="2"/>
  <c r="C474" i="2" s="1"/>
  <c r="B473" i="2"/>
  <c r="C473" i="2" s="1"/>
  <c r="B472" i="2"/>
  <c r="C472" i="2" s="1"/>
  <c r="B471" i="2"/>
  <c r="C471" i="2" s="1"/>
  <c r="B470" i="2"/>
  <c r="C470" i="2" s="1"/>
  <c r="B469" i="2"/>
  <c r="C469" i="2" s="1"/>
  <c r="B468" i="2"/>
  <c r="C468" i="2" s="1"/>
  <c r="B467" i="2"/>
  <c r="C467" i="2" s="1"/>
  <c r="B466" i="2"/>
  <c r="C466" i="2" s="1"/>
  <c r="B465" i="2"/>
  <c r="C465" i="2" s="1"/>
  <c r="B464" i="2"/>
  <c r="C464" i="2" s="1"/>
  <c r="B463" i="2"/>
  <c r="C463" i="2" s="1"/>
  <c r="B462" i="2"/>
  <c r="C462" i="2" s="1"/>
  <c r="B461" i="2"/>
  <c r="C461" i="2" s="1"/>
  <c r="B460" i="2"/>
  <c r="C460" i="2" s="1"/>
  <c r="B459" i="2"/>
  <c r="C459" i="2" s="1"/>
  <c r="B458" i="2"/>
  <c r="C458" i="2" s="1"/>
  <c r="B457" i="2"/>
  <c r="C457" i="2" s="1"/>
  <c r="B456" i="2"/>
  <c r="C456" i="2" s="1"/>
  <c r="B455" i="2"/>
  <c r="C455" i="2" s="1"/>
  <c r="B454" i="2"/>
  <c r="C454" i="2" s="1"/>
  <c r="B453" i="2"/>
  <c r="C453" i="2" s="1"/>
  <c r="B452" i="2"/>
  <c r="C452" i="2" s="1"/>
  <c r="B451" i="2"/>
  <c r="C451" i="2" s="1"/>
  <c r="B450" i="2"/>
  <c r="C450" i="2" s="1"/>
  <c r="B449" i="2"/>
  <c r="C449" i="2" s="1"/>
  <c r="B448" i="2"/>
  <c r="C448" i="2" s="1"/>
  <c r="B447" i="2"/>
  <c r="C447" i="2" s="1"/>
  <c r="B446" i="2"/>
  <c r="C446" i="2" s="1"/>
  <c r="B445" i="2"/>
  <c r="C445" i="2" s="1"/>
  <c r="B444" i="2"/>
  <c r="C444" i="2" s="1"/>
  <c r="B443" i="2"/>
  <c r="C443" i="2" s="1"/>
  <c r="B442" i="2"/>
  <c r="C442" i="2" s="1"/>
  <c r="B441" i="2"/>
  <c r="C441" i="2" s="1"/>
  <c r="B440" i="2"/>
  <c r="C440" i="2" s="1"/>
  <c r="B439" i="2"/>
  <c r="C439" i="2" s="1"/>
  <c r="B438" i="2"/>
  <c r="C438" i="2" s="1"/>
  <c r="B437" i="2"/>
  <c r="C437" i="2" s="1"/>
  <c r="B436" i="2"/>
  <c r="C436" i="2" s="1"/>
  <c r="B435" i="2"/>
  <c r="C435" i="2" s="1"/>
  <c r="B434" i="2"/>
  <c r="C434" i="2" s="1"/>
  <c r="B433" i="2"/>
  <c r="C433" i="2" s="1"/>
  <c r="B432" i="2"/>
  <c r="C432" i="2" s="1"/>
  <c r="B431" i="2"/>
  <c r="C431" i="2" s="1"/>
  <c r="B430" i="2"/>
  <c r="C430" i="2" s="1"/>
  <c r="B429" i="2"/>
  <c r="C429" i="2" s="1"/>
  <c r="B428" i="2"/>
  <c r="C428" i="2" s="1"/>
  <c r="B427" i="2"/>
  <c r="C427" i="2" s="1"/>
  <c r="B426" i="2"/>
  <c r="C426" i="2" s="1"/>
  <c r="B425" i="2"/>
  <c r="C425" i="2" s="1"/>
  <c r="B424" i="2"/>
  <c r="C424" i="2" s="1"/>
  <c r="B423" i="2"/>
  <c r="C423" i="2" s="1"/>
  <c r="B422" i="2"/>
  <c r="C422" i="2" s="1"/>
  <c r="B421" i="2"/>
  <c r="C421" i="2" s="1"/>
  <c r="B420" i="2"/>
  <c r="C420" i="2" s="1"/>
  <c r="B419" i="2"/>
  <c r="C419" i="2" s="1"/>
  <c r="B418" i="2"/>
  <c r="C418" i="2" s="1"/>
  <c r="B417" i="2"/>
  <c r="C417" i="2" s="1"/>
  <c r="B416" i="2"/>
  <c r="C416" i="2" s="1"/>
  <c r="B415" i="2"/>
  <c r="C415" i="2" s="1"/>
  <c r="B414" i="2"/>
  <c r="C414" i="2" s="1"/>
  <c r="B413" i="2"/>
  <c r="C413" i="2" s="1"/>
  <c r="B412" i="2"/>
  <c r="C412" i="2" s="1"/>
  <c r="B411" i="2"/>
  <c r="C411" i="2" s="1"/>
  <c r="B410" i="2"/>
  <c r="C410" i="2" s="1"/>
  <c r="B409" i="2"/>
  <c r="C409" i="2" s="1"/>
  <c r="B408" i="2"/>
  <c r="C408" i="2" s="1"/>
  <c r="B407" i="2"/>
  <c r="C407" i="2" s="1"/>
  <c r="B406" i="2"/>
  <c r="C406" i="2" s="1"/>
  <c r="B405" i="2"/>
  <c r="C405" i="2" s="1"/>
  <c r="B404" i="2"/>
  <c r="C404" i="2" s="1"/>
  <c r="B403" i="2"/>
  <c r="C403" i="2" s="1"/>
  <c r="B402" i="2"/>
  <c r="C402" i="2" s="1"/>
  <c r="B401" i="2"/>
  <c r="C401" i="2" s="1"/>
  <c r="B400" i="2"/>
  <c r="C400" i="2" s="1"/>
  <c r="B399" i="2"/>
  <c r="C399" i="2" s="1"/>
  <c r="B398" i="2"/>
  <c r="C398" i="2" s="1"/>
  <c r="B397" i="2"/>
  <c r="C397" i="2" s="1"/>
  <c r="B396" i="2"/>
  <c r="C396" i="2" s="1"/>
  <c r="B395" i="2"/>
  <c r="C395" i="2" s="1"/>
  <c r="B394" i="2"/>
  <c r="C394" i="2" s="1"/>
  <c r="B393" i="2"/>
  <c r="C393" i="2" s="1"/>
  <c r="B392" i="2"/>
  <c r="C392" i="2" s="1"/>
  <c r="B391" i="2"/>
  <c r="C391" i="2" s="1"/>
  <c r="B390" i="2"/>
  <c r="C390" i="2" s="1"/>
  <c r="B389" i="2"/>
  <c r="C389" i="2" s="1"/>
  <c r="B388" i="2"/>
  <c r="C388" i="2" s="1"/>
  <c r="B387" i="2"/>
  <c r="C387" i="2" s="1"/>
  <c r="B386" i="2"/>
  <c r="C386" i="2" s="1"/>
  <c r="B385" i="2"/>
  <c r="C385" i="2" s="1"/>
  <c r="B384" i="2"/>
  <c r="C384" i="2" s="1"/>
  <c r="B383" i="2"/>
  <c r="C383" i="2" s="1"/>
  <c r="B382" i="2"/>
  <c r="C382" i="2" s="1"/>
  <c r="B381" i="2"/>
  <c r="C381" i="2" s="1"/>
  <c r="B380" i="2"/>
  <c r="C380" i="2" s="1"/>
  <c r="B379" i="2"/>
  <c r="C379" i="2" s="1"/>
  <c r="B378" i="2"/>
  <c r="C378" i="2" s="1"/>
  <c r="B377" i="2"/>
  <c r="C377" i="2" s="1"/>
  <c r="B376" i="2"/>
  <c r="C376" i="2" s="1"/>
  <c r="B375" i="2"/>
  <c r="C375" i="2" s="1"/>
  <c r="B374" i="2"/>
  <c r="C374" i="2" s="1"/>
  <c r="B373" i="2"/>
  <c r="C373" i="2" s="1"/>
  <c r="B372" i="2"/>
  <c r="C372" i="2" s="1"/>
  <c r="B371" i="2"/>
  <c r="C371" i="2" s="1"/>
  <c r="B370" i="2"/>
  <c r="C370" i="2" s="1"/>
  <c r="B369" i="2"/>
  <c r="C369" i="2" s="1"/>
  <c r="B368" i="2"/>
  <c r="C368" i="2" s="1"/>
  <c r="B367" i="2"/>
  <c r="C367" i="2" s="1"/>
  <c r="B366" i="2"/>
  <c r="C366" i="2" s="1"/>
  <c r="B365" i="2"/>
  <c r="C365" i="2" s="1"/>
  <c r="B364" i="2"/>
  <c r="C364" i="2" s="1"/>
  <c r="B363" i="2"/>
  <c r="C363" i="2" s="1"/>
  <c r="B362" i="2"/>
  <c r="C362" i="2" s="1"/>
  <c r="B361" i="2"/>
  <c r="C361" i="2" s="1"/>
  <c r="B360" i="2"/>
  <c r="C360" i="2" s="1"/>
  <c r="B359" i="2"/>
  <c r="C359" i="2" s="1"/>
  <c r="B358" i="2"/>
  <c r="C358" i="2" s="1"/>
  <c r="B357" i="2"/>
  <c r="C357" i="2" s="1"/>
  <c r="B356" i="2"/>
  <c r="C356" i="2" s="1"/>
  <c r="B355" i="2"/>
  <c r="C355" i="2" s="1"/>
  <c r="B354" i="2"/>
  <c r="C354" i="2" s="1"/>
  <c r="B353" i="2"/>
  <c r="C353" i="2" s="1"/>
  <c r="B352" i="2"/>
  <c r="C352" i="2" s="1"/>
  <c r="B351" i="2"/>
  <c r="C351" i="2" s="1"/>
  <c r="B350" i="2"/>
  <c r="C350" i="2" s="1"/>
  <c r="B349" i="2"/>
  <c r="C349" i="2" s="1"/>
  <c r="B348" i="2"/>
  <c r="C348" i="2" s="1"/>
  <c r="B347" i="2"/>
  <c r="C347" i="2" s="1"/>
  <c r="B346" i="2"/>
  <c r="C346" i="2" s="1"/>
  <c r="B345" i="2"/>
  <c r="C345" i="2" s="1"/>
  <c r="B344" i="2"/>
  <c r="C344" i="2" s="1"/>
  <c r="B343" i="2"/>
  <c r="C343" i="2" s="1"/>
  <c r="B342" i="2"/>
  <c r="C342" i="2" s="1"/>
  <c r="B341" i="2"/>
  <c r="C341" i="2" s="1"/>
  <c r="B340" i="2"/>
  <c r="C340" i="2" s="1"/>
  <c r="B339" i="2"/>
  <c r="C339" i="2" s="1"/>
  <c r="B338" i="2"/>
  <c r="C338" i="2" s="1"/>
  <c r="B337" i="2"/>
  <c r="C337" i="2" s="1"/>
  <c r="B336" i="2"/>
  <c r="C336" i="2" s="1"/>
  <c r="B335" i="2"/>
  <c r="C335" i="2" s="1"/>
  <c r="B334" i="2"/>
  <c r="C334" i="2" s="1"/>
  <c r="B333" i="2"/>
  <c r="C333" i="2" s="1"/>
  <c r="B332" i="2"/>
  <c r="C332" i="2" s="1"/>
  <c r="B331" i="2"/>
  <c r="C331" i="2" s="1"/>
  <c r="B330" i="2"/>
  <c r="C330" i="2" s="1"/>
  <c r="B329" i="2"/>
  <c r="C329" i="2" s="1"/>
  <c r="B328" i="2"/>
  <c r="C328" i="2" s="1"/>
  <c r="B327" i="2"/>
  <c r="C327" i="2" s="1"/>
  <c r="B326" i="2"/>
  <c r="C326" i="2" s="1"/>
  <c r="B325" i="2"/>
  <c r="C325" i="2" s="1"/>
  <c r="B324" i="2"/>
  <c r="C324" i="2" s="1"/>
  <c r="B323" i="2"/>
  <c r="C323" i="2" s="1"/>
  <c r="B322" i="2"/>
  <c r="C322" i="2" s="1"/>
  <c r="B321" i="2"/>
  <c r="C321" i="2" s="1"/>
  <c r="B320" i="2"/>
  <c r="C320" i="2" s="1"/>
  <c r="B319" i="2"/>
  <c r="C319" i="2" s="1"/>
  <c r="B318" i="2"/>
  <c r="C318" i="2" s="1"/>
  <c r="B317" i="2"/>
  <c r="C317" i="2" s="1"/>
  <c r="B316" i="2"/>
  <c r="C316" i="2" s="1"/>
  <c r="B315" i="2"/>
  <c r="C315" i="2" s="1"/>
  <c r="B314" i="2"/>
  <c r="C314" i="2" s="1"/>
  <c r="B313" i="2"/>
  <c r="C313" i="2" s="1"/>
  <c r="B312" i="2"/>
  <c r="C312" i="2" s="1"/>
  <c r="B311" i="2"/>
  <c r="C311" i="2" s="1"/>
  <c r="B310" i="2"/>
  <c r="C310" i="2" s="1"/>
  <c r="B309" i="2"/>
  <c r="C309" i="2" s="1"/>
  <c r="B308" i="2"/>
  <c r="C308" i="2" s="1"/>
  <c r="B307" i="2"/>
  <c r="C307" i="2" s="1"/>
  <c r="B306" i="2"/>
  <c r="C306" i="2" s="1"/>
  <c r="B305" i="2"/>
  <c r="C305" i="2" s="1"/>
  <c r="B304" i="2"/>
  <c r="C304" i="2" s="1"/>
  <c r="B303" i="2"/>
  <c r="C303" i="2" s="1"/>
  <c r="B302" i="2"/>
  <c r="C302" i="2" s="1"/>
  <c r="B301" i="2"/>
  <c r="C301" i="2" s="1"/>
  <c r="B300" i="2"/>
  <c r="C300" i="2" s="1"/>
  <c r="B299" i="2"/>
  <c r="C299" i="2" s="1"/>
  <c r="B298" i="2"/>
  <c r="C298" i="2" s="1"/>
  <c r="B297" i="2"/>
  <c r="C297" i="2" s="1"/>
  <c r="B296" i="2"/>
  <c r="C296" i="2" s="1"/>
  <c r="B295" i="2"/>
  <c r="C295" i="2" s="1"/>
  <c r="B294" i="2"/>
  <c r="C294" i="2" s="1"/>
  <c r="B293" i="2"/>
  <c r="C293" i="2" s="1"/>
  <c r="B292" i="2"/>
  <c r="C292" i="2" s="1"/>
  <c r="B291" i="2"/>
  <c r="C291" i="2" s="1"/>
  <c r="B290" i="2"/>
  <c r="C290" i="2" s="1"/>
  <c r="B289" i="2"/>
  <c r="C289" i="2" s="1"/>
  <c r="B288" i="2"/>
  <c r="C288" i="2" s="1"/>
  <c r="B287" i="2"/>
  <c r="C287" i="2" s="1"/>
  <c r="B286" i="2"/>
  <c r="C286" i="2" s="1"/>
  <c r="B285" i="2"/>
  <c r="C285" i="2" s="1"/>
  <c r="B284" i="2"/>
  <c r="C284" i="2" s="1"/>
  <c r="B283" i="2"/>
  <c r="C283" i="2" s="1"/>
  <c r="B282" i="2"/>
  <c r="C282" i="2" s="1"/>
  <c r="B281" i="2"/>
  <c r="C281" i="2" s="1"/>
  <c r="B280" i="2"/>
  <c r="C280" i="2" s="1"/>
  <c r="B279" i="2"/>
  <c r="C279" i="2" s="1"/>
  <c r="B278" i="2"/>
  <c r="C278" i="2" s="1"/>
  <c r="B277" i="2"/>
  <c r="C277" i="2" s="1"/>
  <c r="B276" i="2"/>
  <c r="C276" i="2" s="1"/>
  <c r="B275" i="2"/>
  <c r="C275" i="2" s="1"/>
  <c r="B274" i="2"/>
  <c r="C274" i="2" s="1"/>
  <c r="B273" i="2"/>
  <c r="C273" i="2" s="1"/>
  <c r="B272" i="2"/>
  <c r="C272" i="2" s="1"/>
  <c r="B271" i="2"/>
  <c r="C271" i="2" s="1"/>
  <c r="B270" i="2"/>
  <c r="C270" i="2" s="1"/>
  <c r="B269" i="2"/>
  <c r="C269" i="2" s="1"/>
  <c r="B268" i="2"/>
  <c r="C268" i="2" s="1"/>
  <c r="B267" i="2"/>
  <c r="C267" i="2" s="1"/>
  <c r="B266" i="2"/>
  <c r="C266" i="2" s="1"/>
  <c r="B265" i="2"/>
  <c r="C265" i="2" s="1"/>
  <c r="B264" i="2"/>
  <c r="C264" i="2" s="1"/>
  <c r="B263" i="2"/>
  <c r="C263" i="2" s="1"/>
  <c r="B262" i="2"/>
  <c r="C262" i="2" s="1"/>
  <c r="B261" i="2"/>
  <c r="C261" i="2" s="1"/>
  <c r="B260" i="2"/>
  <c r="C260" i="2" s="1"/>
  <c r="B259" i="2"/>
  <c r="C259" i="2" s="1"/>
  <c r="B258" i="2"/>
  <c r="C258" i="2" s="1"/>
  <c r="B257" i="2"/>
  <c r="C257" i="2" s="1"/>
  <c r="B256" i="2"/>
  <c r="C256" i="2" s="1"/>
  <c r="B255" i="2"/>
  <c r="C255" i="2" s="1"/>
  <c r="B254" i="2"/>
  <c r="C254" i="2" s="1"/>
  <c r="B253" i="2"/>
  <c r="C253" i="2" s="1"/>
  <c r="B252" i="2"/>
  <c r="C252" i="2" s="1"/>
  <c r="B251" i="2"/>
  <c r="C251" i="2" s="1"/>
  <c r="B250" i="2"/>
  <c r="C250" i="2" s="1"/>
  <c r="B249" i="2"/>
  <c r="C249" i="2" s="1"/>
  <c r="B248" i="2"/>
  <c r="C248" i="2" s="1"/>
  <c r="B247" i="2"/>
  <c r="C247" i="2" s="1"/>
  <c r="B246" i="2"/>
  <c r="C246" i="2" s="1"/>
  <c r="B245" i="2"/>
  <c r="C245" i="2" s="1"/>
  <c r="B244" i="2"/>
  <c r="C244" i="2" s="1"/>
  <c r="B243" i="2"/>
  <c r="C243" i="2" s="1"/>
  <c r="B242" i="2"/>
  <c r="C242" i="2" s="1"/>
  <c r="B241" i="2"/>
  <c r="C241" i="2" s="1"/>
  <c r="B240" i="2"/>
  <c r="C240" i="2" s="1"/>
  <c r="B239" i="2"/>
  <c r="C239" i="2" s="1"/>
  <c r="B238" i="2"/>
  <c r="C238" i="2" s="1"/>
  <c r="B237" i="2"/>
  <c r="C237" i="2" s="1"/>
  <c r="B236" i="2"/>
  <c r="C236" i="2" s="1"/>
  <c r="B235" i="2"/>
  <c r="C235" i="2" s="1"/>
  <c r="B234" i="2"/>
  <c r="C234" i="2" s="1"/>
  <c r="B233" i="2"/>
  <c r="C233" i="2" s="1"/>
  <c r="B232" i="2"/>
  <c r="C232" i="2" s="1"/>
  <c r="B231" i="2"/>
  <c r="C231" i="2" s="1"/>
  <c r="B230" i="2"/>
  <c r="C230" i="2" s="1"/>
  <c r="B229" i="2"/>
  <c r="C229" i="2" s="1"/>
  <c r="B228" i="2"/>
  <c r="C228" i="2" s="1"/>
  <c r="B227" i="2"/>
  <c r="C227" i="2" s="1"/>
  <c r="B226" i="2"/>
  <c r="C226" i="2" s="1"/>
  <c r="B225" i="2"/>
  <c r="C225" i="2" s="1"/>
  <c r="B224" i="2"/>
  <c r="C224" i="2" s="1"/>
  <c r="B223" i="2"/>
  <c r="C223" i="2" s="1"/>
  <c r="B222" i="2"/>
  <c r="C222" i="2" s="1"/>
  <c r="B221" i="2"/>
  <c r="C221" i="2" s="1"/>
  <c r="B220" i="2"/>
  <c r="C220" i="2" s="1"/>
  <c r="B219" i="2"/>
  <c r="C219" i="2" s="1"/>
  <c r="B218" i="2"/>
  <c r="C218" i="2" s="1"/>
  <c r="B217" i="2"/>
  <c r="C217" i="2" s="1"/>
  <c r="B216" i="2"/>
  <c r="C216" i="2" s="1"/>
  <c r="B215" i="2"/>
  <c r="C215" i="2" s="1"/>
  <c r="B214" i="2"/>
  <c r="C214" i="2" s="1"/>
  <c r="B213" i="2"/>
  <c r="C213" i="2" s="1"/>
  <c r="B212" i="2"/>
  <c r="C212" i="2" s="1"/>
  <c r="B211" i="2"/>
  <c r="C211" i="2" s="1"/>
  <c r="B210" i="2"/>
  <c r="C210" i="2" s="1"/>
  <c r="B209" i="2"/>
  <c r="C209" i="2" s="1"/>
  <c r="B208" i="2"/>
  <c r="C208" i="2" s="1"/>
  <c r="B207" i="2"/>
  <c r="C207" i="2" s="1"/>
  <c r="B206" i="2"/>
  <c r="C206" i="2" s="1"/>
  <c r="B205" i="2"/>
  <c r="C205" i="2" s="1"/>
  <c r="B204" i="2"/>
  <c r="C204" i="2" s="1"/>
  <c r="B203" i="2"/>
  <c r="C203" i="2" s="1"/>
  <c r="B202" i="2"/>
  <c r="C202" i="2" s="1"/>
  <c r="B201" i="2"/>
  <c r="C201" i="2" s="1"/>
  <c r="B200" i="2"/>
  <c r="C200" i="2" s="1"/>
  <c r="B199" i="2"/>
  <c r="C199" i="2" s="1"/>
  <c r="B198" i="2"/>
  <c r="C198" i="2" s="1"/>
  <c r="B197" i="2"/>
  <c r="C197" i="2" s="1"/>
  <c r="B196" i="2"/>
  <c r="C196" i="2" s="1"/>
  <c r="B195" i="2"/>
  <c r="C195" i="2" s="1"/>
  <c r="B194" i="2"/>
  <c r="C194" i="2" s="1"/>
  <c r="B193" i="2"/>
  <c r="C193" i="2" s="1"/>
  <c r="B192" i="2"/>
  <c r="C192" i="2" s="1"/>
  <c r="B191" i="2"/>
  <c r="C191" i="2" s="1"/>
  <c r="B190" i="2"/>
  <c r="C190" i="2" s="1"/>
  <c r="B189" i="2"/>
  <c r="C189" i="2" s="1"/>
  <c r="B188" i="2"/>
  <c r="C188" i="2" s="1"/>
  <c r="B187" i="2"/>
  <c r="C187" i="2" s="1"/>
  <c r="B186" i="2"/>
  <c r="C186" i="2" s="1"/>
  <c r="B185" i="2"/>
  <c r="C185" i="2" s="1"/>
  <c r="B184" i="2"/>
  <c r="C184" i="2" s="1"/>
  <c r="B183" i="2"/>
  <c r="C183" i="2" s="1"/>
  <c r="B182" i="2"/>
  <c r="C182" i="2" s="1"/>
  <c r="B181" i="2"/>
  <c r="C181" i="2" s="1"/>
  <c r="B180" i="2"/>
  <c r="C180" i="2" s="1"/>
  <c r="B179" i="2"/>
  <c r="C179" i="2" s="1"/>
  <c r="B178" i="2"/>
  <c r="C178" i="2" s="1"/>
  <c r="B177" i="2"/>
  <c r="C177" i="2" s="1"/>
  <c r="B176" i="2"/>
  <c r="C176" i="2" s="1"/>
  <c r="B175" i="2"/>
  <c r="C175" i="2" s="1"/>
  <c r="B174" i="2"/>
  <c r="C174" i="2" s="1"/>
  <c r="B173" i="2"/>
  <c r="C173" i="2" s="1"/>
  <c r="B172" i="2"/>
  <c r="C172" i="2" s="1"/>
  <c r="B171" i="2"/>
  <c r="C171" i="2" s="1"/>
  <c r="B170" i="2"/>
  <c r="C170" i="2" s="1"/>
  <c r="B169" i="2"/>
  <c r="C169" i="2" s="1"/>
  <c r="B168" i="2"/>
  <c r="C168" i="2" s="1"/>
  <c r="B167" i="2"/>
  <c r="C167" i="2" s="1"/>
  <c r="B166" i="2"/>
  <c r="C166" i="2" s="1"/>
  <c r="B165" i="2"/>
  <c r="C165" i="2" s="1"/>
  <c r="B164" i="2"/>
  <c r="C164" i="2" s="1"/>
  <c r="B163" i="2"/>
  <c r="C163" i="2" s="1"/>
  <c r="B162" i="2"/>
  <c r="C162" i="2" s="1"/>
  <c r="B161" i="2"/>
  <c r="C161" i="2" s="1"/>
  <c r="B160" i="2"/>
  <c r="C160" i="2" s="1"/>
  <c r="B159" i="2"/>
  <c r="C159" i="2" s="1"/>
  <c r="B158" i="2"/>
  <c r="C158" i="2" s="1"/>
  <c r="B157" i="2"/>
  <c r="C157" i="2" s="1"/>
  <c r="B156" i="2"/>
  <c r="C156" i="2" s="1"/>
  <c r="B155" i="2"/>
  <c r="C155" i="2" s="1"/>
  <c r="B154" i="2"/>
  <c r="C154" i="2" s="1"/>
  <c r="B153" i="2"/>
  <c r="C153" i="2" s="1"/>
  <c r="B152" i="2"/>
  <c r="C152" i="2" s="1"/>
  <c r="B151" i="2"/>
  <c r="C151" i="2" s="1"/>
  <c r="B150" i="2"/>
  <c r="C150" i="2" s="1"/>
  <c r="B149" i="2"/>
  <c r="C149" i="2" s="1"/>
  <c r="B148" i="2"/>
  <c r="C148" i="2" s="1"/>
  <c r="B147" i="2"/>
  <c r="C147" i="2" s="1"/>
  <c r="B146" i="2"/>
  <c r="C146" i="2" s="1"/>
  <c r="B145" i="2"/>
  <c r="C145" i="2" s="1"/>
  <c r="B144" i="2"/>
  <c r="C144" i="2" s="1"/>
  <c r="B143" i="2"/>
  <c r="C143" i="2" s="1"/>
  <c r="B142" i="2"/>
  <c r="C142" i="2" s="1"/>
  <c r="B141" i="2"/>
  <c r="C141" i="2" s="1"/>
  <c r="B140" i="2"/>
  <c r="C140" i="2" s="1"/>
  <c r="B139" i="2"/>
  <c r="C139" i="2" s="1"/>
  <c r="B138" i="2"/>
  <c r="C138" i="2" s="1"/>
  <c r="B137" i="2"/>
  <c r="C137" i="2" s="1"/>
  <c r="B136" i="2"/>
  <c r="C136" i="2" s="1"/>
  <c r="B135" i="2"/>
  <c r="C135" i="2" s="1"/>
  <c r="B134" i="2"/>
  <c r="C134" i="2" s="1"/>
  <c r="B133" i="2"/>
  <c r="C133" i="2" s="1"/>
  <c r="B132" i="2"/>
  <c r="C132" i="2" s="1"/>
  <c r="B131" i="2"/>
  <c r="C131" i="2" s="1"/>
  <c r="B130" i="2"/>
  <c r="C130" i="2" s="1"/>
  <c r="B129" i="2"/>
  <c r="C129" i="2" s="1"/>
  <c r="B128" i="2"/>
  <c r="C128" i="2" s="1"/>
  <c r="B127" i="2"/>
  <c r="C127" i="2" s="1"/>
  <c r="B126" i="2"/>
  <c r="C126" i="2" s="1"/>
  <c r="B125" i="2"/>
  <c r="C125" i="2" s="1"/>
  <c r="B124" i="2"/>
  <c r="C124" i="2" s="1"/>
  <c r="B123" i="2"/>
  <c r="C123" i="2" s="1"/>
  <c r="B122" i="2"/>
  <c r="C122" i="2" s="1"/>
  <c r="B121" i="2"/>
  <c r="C121" i="2" s="1"/>
  <c r="B120" i="2"/>
  <c r="C120" i="2" s="1"/>
  <c r="B119" i="2"/>
  <c r="C119" i="2" s="1"/>
  <c r="B118" i="2"/>
  <c r="C118" i="2" s="1"/>
  <c r="B117" i="2"/>
  <c r="C117" i="2" s="1"/>
  <c r="B116" i="2"/>
  <c r="C116" i="2" s="1"/>
  <c r="B115" i="2"/>
  <c r="C115" i="2" s="1"/>
  <c r="B114" i="2"/>
  <c r="C114" i="2" s="1"/>
  <c r="B113" i="2"/>
  <c r="C113" i="2" s="1"/>
  <c r="B112" i="2"/>
  <c r="C112" i="2" s="1"/>
  <c r="B111" i="2"/>
  <c r="C111" i="2" s="1"/>
  <c r="B110" i="2"/>
  <c r="C110" i="2" s="1"/>
  <c r="B109" i="2"/>
  <c r="C109" i="2" s="1"/>
  <c r="B108" i="2"/>
  <c r="C108" i="2" s="1"/>
  <c r="B107" i="2"/>
  <c r="C107" i="2" s="1"/>
  <c r="B106" i="2"/>
  <c r="C106" i="2" s="1"/>
  <c r="B105" i="2"/>
  <c r="C105" i="2" s="1"/>
  <c r="B104" i="2"/>
  <c r="C104" i="2" s="1"/>
  <c r="B103" i="2"/>
  <c r="C103" i="2" s="1"/>
  <c r="B102" i="2"/>
  <c r="C102" i="2" s="1"/>
  <c r="B101" i="2"/>
  <c r="C101" i="2" s="1"/>
  <c r="B100" i="2"/>
  <c r="C100" i="2" s="1"/>
  <c r="B99" i="2"/>
  <c r="C99" i="2" s="1"/>
  <c r="B98" i="2"/>
  <c r="C98" i="2" s="1"/>
  <c r="B97" i="2"/>
  <c r="C97" i="2" s="1"/>
  <c r="B96" i="2"/>
  <c r="C96" i="2" s="1"/>
  <c r="B95" i="2"/>
  <c r="C95" i="2" s="1"/>
  <c r="B94" i="2"/>
  <c r="C94" i="2" s="1"/>
  <c r="B93" i="2"/>
  <c r="C93" i="2" s="1"/>
  <c r="B92" i="2"/>
  <c r="C92" i="2" s="1"/>
  <c r="B91" i="2"/>
  <c r="C91" i="2" s="1"/>
  <c r="B90" i="2"/>
  <c r="C90" i="2" s="1"/>
  <c r="B89" i="2"/>
  <c r="C89" i="2" s="1"/>
  <c r="B88" i="2"/>
  <c r="C88" i="2" s="1"/>
  <c r="B87" i="2"/>
  <c r="C87" i="2" s="1"/>
  <c r="B86" i="2"/>
  <c r="C86" i="2" s="1"/>
  <c r="B85" i="2"/>
  <c r="C85" i="2" s="1"/>
  <c r="B84" i="2"/>
  <c r="C84" i="2" s="1"/>
  <c r="B83" i="2"/>
  <c r="C83" i="2" s="1"/>
  <c r="B82" i="2"/>
  <c r="C82" i="2" s="1"/>
  <c r="B81" i="2"/>
  <c r="C81" i="2" s="1"/>
  <c r="B80" i="2"/>
  <c r="C80" i="2" s="1"/>
  <c r="B79" i="2"/>
  <c r="C79" i="2" s="1"/>
  <c r="B78" i="2"/>
  <c r="C78" i="2" s="1"/>
  <c r="B77" i="2"/>
  <c r="C77" i="2" s="1"/>
  <c r="B76" i="2"/>
  <c r="C76" i="2" s="1"/>
  <c r="B75" i="2"/>
  <c r="C75" i="2" s="1"/>
  <c r="B74" i="2"/>
  <c r="C74" i="2" s="1"/>
  <c r="B73" i="2"/>
  <c r="C73" i="2" s="1"/>
  <c r="B72" i="2"/>
  <c r="C72" i="2" s="1"/>
  <c r="B71" i="2"/>
  <c r="C71" i="2" s="1"/>
  <c r="B70" i="2"/>
  <c r="C70" i="2" s="1"/>
  <c r="B69" i="2"/>
  <c r="C69" i="2" s="1"/>
  <c r="B68" i="2"/>
  <c r="C68" i="2" s="1"/>
  <c r="B67" i="2"/>
  <c r="C67" i="2" s="1"/>
  <c r="B66" i="2"/>
  <c r="C66" i="2" s="1"/>
  <c r="B65" i="2"/>
  <c r="C65" i="2" s="1"/>
  <c r="B64" i="2"/>
  <c r="C64" i="2" s="1"/>
  <c r="B63" i="2"/>
  <c r="C63" i="2" s="1"/>
  <c r="B62" i="2"/>
  <c r="C62" i="2" s="1"/>
  <c r="B61" i="2"/>
  <c r="C61" i="2" s="1"/>
  <c r="B60" i="2"/>
  <c r="C60" i="2" s="1"/>
  <c r="B59" i="2"/>
  <c r="C59" i="2" s="1"/>
  <c r="B58" i="2"/>
  <c r="C58" i="2" s="1"/>
  <c r="B57" i="2"/>
  <c r="C57" i="2" s="1"/>
  <c r="B56" i="2"/>
  <c r="C56" i="2" s="1"/>
  <c r="B55" i="2"/>
  <c r="C55" i="2" s="1"/>
  <c r="B54" i="2"/>
  <c r="C54" i="2" s="1"/>
  <c r="B53" i="2"/>
  <c r="C53" i="2" s="1"/>
  <c r="B52" i="2"/>
  <c r="C52" i="2" s="1"/>
  <c r="B51" i="2"/>
  <c r="C51" i="2" s="1"/>
  <c r="B50" i="2"/>
  <c r="C50" i="2" s="1"/>
  <c r="B49" i="2"/>
  <c r="C49" i="2" s="1"/>
  <c r="B48" i="2"/>
  <c r="C48" i="2" s="1"/>
  <c r="B47" i="2"/>
  <c r="C47" i="2" s="1"/>
  <c r="B46" i="2"/>
  <c r="C46" i="2" s="1"/>
  <c r="B45" i="2"/>
  <c r="C45" i="2" s="1"/>
  <c r="B44" i="2"/>
  <c r="C44" i="2" s="1"/>
  <c r="B43" i="2"/>
  <c r="C43" i="2" s="1"/>
  <c r="B42" i="2"/>
  <c r="C42" i="2" s="1"/>
  <c r="B41" i="2"/>
  <c r="C41" i="2" s="1"/>
  <c r="B40" i="2"/>
  <c r="C40" i="2" s="1"/>
  <c r="B39" i="2"/>
  <c r="C39" i="2" s="1"/>
  <c r="B38" i="2"/>
  <c r="C38" i="2" s="1"/>
  <c r="B37" i="2"/>
  <c r="C37" i="2" s="1"/>
  <c r="B36" i="2"/>
  <c r="C36" i="2" s="1"/>
  <c r="B35" i="2"/>
  <c r="C35" i="2" s="1"/>
  <c r="B34" i="2"/>
  <c r="C34" i="2" s="1"/>
  <c r="B33" i="2"/>
  <c r="C33" i="2" s="1"/>
  <c r="B32" i="2"/>
  <c r="C32" i="2" s="1"/>
  <c r="B31" i="2"/>
  <c r="C31" i="2" s="1"/>
  <c r="B30" i="2"/>
  <c r="C30" i="2" s="1"/>
  <c r="B29" i="2"/>
  <c r="C29" i="2" s="1"/>
  <c r="B28" i="2"/>
  <c r="C28" i="2" s="1"/>
  <c r="B27" i="2"/>
  <c r="C27" i="2" s="1"/>
  <c r="B26" i="2"/>
  <c r="C26" i="2" s="1"/>
  <c r="B25" i="2"/>
  <c r="C25" i="2" s="1"/>
  <c r="B24" i="2"/>
  <c r="C24" i="2" s="1"/>
  <c r="B23" i="2"/>
  <c r="C23" i="2" s="1"/>
  <c r="B22" i="2"/>
  <c r="C22" i="2" s="1"/>
  <c r="B21" i="2"/>
  <c r="C21" i="2" s="1"/>
  <c r="B20" i="2"/>
  <c r="C20" i="2" s="1"/>
  <c r="B19" i="2"/>
  <c r="C19" i="2" s="1"/>
  <c r="B18" i="2"/>
  <c r="C18" i="2" s="1"/>
  <c r="B17" i="2"/>
  <c r="C17" i="2" s="1"/>
  <c r="B16" i="2"/>
  <c r="C16" i="2" s="1"/>
  <c r="B15" i="2"/>
  <c r="C15" i="2" s="1"/>
  <c r="B14" i="2"/>
  <c r="C14" i="2" s="1"/>
  <c r="B13" i="2"/>
  <c r="C13" i="2" s="1"/>
  <c r="B12" i="2"/>
  <c r="C12" i="2" s="1"/>
  <c r="B11" i="2"/>
  <c r="C11" i="2" s="1"/>
  <c r="B10" i="2"/>
  <c r="C10" i="2" s="1"/>
  <c r="B9" i="2"/>
  <c r="C9" i="2" s="1"/>
  <c r="B8" i="2"/>
  <c r="C8" i="2" s="1"/>
  <c r="B7" i="2"/>
  <c r="C7" i="2" s="1"/>
  <c r="B6" i="2"/>
  <c r="C6" i="2" s="1"/>
  <c r="B5" i="2"/>
  <c r="C5" i="2" s="1"/>
  <c r="B4" i="2"/>
  <c r="C4" i="2" s="1"/>
  <c r="B3" i="2"/>
  <c r="C3" i="2" s="1"/>
  <c r="B2" i="2"/>
  <c r="C2" i="2" s="1"/>
  <c r="B1" i="2"/>
  <c r="C1" i="2" s="1"/>
  <c r="F1" i="2" a="1"/>
  <c r="F1" i="2" l="1"/>
  <c r="F3" i="2"/>
  <c r="F5" i="2"/>
  <c r="F7" i="2"/>
  <c r="F9" i="2"/>
  <c r="F11" i="2"/>
  <c r="F13" i="2"/>
  <c r="G13" i="2" s="1"/>
  <c r="F15" i="2"/>
  <c r="G15" i="2" s="1"/>
  <c r="F17" i="2"/>
  <c r="G17" i="2" s="1"/>
  <c r="F19" i="2"/>
  <c r="G19" i="2" s="1"/>
  <c r="F21" i="2"/>
  <c r="G21" i="2" s="1"/>
  <c r="F23" i="2"/>
  <c r="G23" i="2" s="1"/>
  <c r="F25" i="2"/>
  <c r="G25" i="2" s="1"/>
  <c r="F27" i="2"/>
  <c r="G27" i="2" s="1"/>
  <c r="F29" i="2"/>
  <c r="G29" i="2" s="1"/>
  <c r="F31" i="2"/>
  <c r="G31" i="2" s="1"/>
  <c r="F33" i="2"/>
  <c r="G33" i="2" s="1"/>
  <c r="F35" i="2"/>
  <c r="G35" i="2" s="1"/>
  <c r="F37" i="2"/>
  <c r="G37" i="2" s="1"/>
  <c r="F39" i="2"/>
  <c r="G39" i="2" s="1"/>
  <c r="F41" i="2"/>
  <c r="G41" i="2" s="1"/>
  <c r="F43" i="2"/>
  <c r="G43" i="2" s="1"/>
  <c r="F45" i="2"/>
  <c r="G45" i="2" s="1"/>
  <c r="F47" i="2"/>
  <c r="G47" i="2" s="1"/>
  <c r="F49" i="2"/>
  <c r="G49" i="2" s="1"/>
  <c r="F51" i="2"/>
  <c r="G51" i="2" s="1"/>
  <c r="F53" i="2"/>
  <c r="G53" i="2" s="1"/>
  <c r="F55" i="2"/>
  <c r="G55" i="2" s="1"/>
  <c r="F57" i="2"/>
  <c r="G57" i="2" s="1"/>
  <c r="F59" i="2"/>
  <c r="G59" i="2" s="1"/>
  <c r="F61" i="2"/>
  <c r="G61" i="2" s="1"/>
  <c r="F63" i="2"/>
  <c r="G63" i="2" s="1"/>
  <c r="F65" i="2"/>
  <c r="G65" i="2" s="1"/>
  <c r="F67" i="2"/>
  <c r="G67" i="2" s="1"/>
  <c r="F69" i="2"/>
  <c r="G69" i="2" s="1"/>
  <c r="F71" i="2"/>
  <c r="G71" i="2" s="1"/>
  <c r="F73" i="2"/>
  <c r="G73" i="2" s="1"/>
  <c r="F75" i="2"/>
  <c r="G75" i="2" s="1"/>
  <c r="F77" i="2"/>
  <c r="G77" i="2" s="1"/>
  <c r="F79" i="2"/>
  <c r="G79" i="2" s="1"/>
  <c r="F81" i="2"/>
  <c r="G81" i="2" s="1"/>
  <c r="F83" i="2"/>
  <c r="G83" i="2" s="1"/>
  <c r="F85" i="2"/>
  <c r="G85" i="2" s="1"/>
  <c r="F87" i="2"/>
  <c r="G87" i="2" s="1"/>
  <c r="F89" i="2"/>
  <c r="G89" i="2" s="1"/>
  <c r="F91" i="2"/>
  <c r="G91" i="2" s="1"/>
  <c r="F93" i="2"/>
  <c r="G93" i="2" s="1"/>
  <c r="F95" i="2"/>
  <c r="G95" i="2" s="1"/>
  <c r="F97" i="2"/>
  <c r="G97" i="2" s="1"/>
  <c r="F99" i="2"/>
  <c r="G99" i="2" s="1"/>
  <c r="F101" i="2"/>
  <c r="G101" i="2" s="1"/>
  <c r="F103" i="2"/>
  <c r="G103" i="2" s="1"/>
  <c r="F105" i="2"/>
  <c r="G105" i="2" s="1"/>
  <c r="F107" i="2"/>
  <c r="G107" i="2" s="1"/>
  <c r="F109" i="2"/>
  <c r="G109" i="2" s="1"/>
  <c r="F111" i="2"/>
  <c r="G111" i="2" s="1"/>
  <c r="F113" i="2"/>
  <c r="G113" i="2" s="1"/>
  <c r="F115" i="2"/>
  <c r="G115" i="2" s="1"/>
  <c r="F117" i="2"/>
  <c r="G117" i="2" s="1"/>
  <c r="F119" i="2"/>
  <c r="G119" i="2" s="1"/>
  <c r="F121" i="2"/>
  <c r="G121" i="2" s="1"/>
  <c r="F123" i="2"/>
  <c r="G123" i="2" s="1"/>
  <c r="F125" i="2"/>
  <c r="G125" i="2" s="1"/>
  <c r="F127" i="2"/>
  <c r="G127" i="2" s="1"/>
  <c r="F129" i="2"/>
  <c r="G129" i="2" s="1"/>
  <c r="F131" i="2"/>
  <c r="G131" i="2" s="1"/>
  <c r="F133" i="2"/>
  <c r="G133" i="2" s="1"/>
  <c r="F135" i="2"/>
  <c r="G135" i="2" s="1"/>
  <c r="F137" i="2"/>
  <c r="G137" i="2" s="1"/>
  <c r="F139" i="2"/>
  <c r="G139" i="2" s="1"/>
  <c r="F141" i="2"/>
  <c r="G141" i="2" s="1"/>
  <c r="F143" i="2"/>
  <c r="G143" i="2" s="1"/>
  <c r="F145" i="2"/>
  <c r="G145" i="2" s="1"/>
  <c r="F147" i="2"/>
  <c r="G147" i="2" s="1"/>
  <c r="F149" i="2"/>
  <c r="G149" i="2" s="1"/>
  <c r="F151" i="2"/>
  <c r="G151" i="2" s="1"/>
  <c r="F153" i="2"/>
  <c r="G153" i="2" s="1"/>
  <c r="F155" i="2"/>
  <c r="G155" i="2" s="1"/>
  <c r="F157" i="2"/>
  <c r="G157" i="2" s="1"/>
  <c r="F159" i="2"/>
  <c r="G159" i="2" s="1"/>
  <c r="F161" i="2"/>
  <c r="G161" i="2" s="1"/>
  <c r="F163" i="2"/>
  <c r="G163" i="2" s="1"/>
  <c r="F165" i="2"/>
  <c r="G165" i="2" s="1"/>
  <c r="F167" i="2"/>
  <c r="G167" i="2" s="1"/>
  <c r="F169" i="2"/>
  <c r="G169" i="2" s="1"/>
  <c r="F2" i="2"/>
  <c r="F6" i="2"/>
  <c r="F10" i="2"/>
  <c r="F14" i="2"/>
  <c r="G14" i="2" s="1"/>
  <c r="F18" i="2"/>
  <c r="G18" i="2" s="1"/>
  <c r="F22" i="2"/>
  <c r="G22" i="2" s="1"/>
  <c r="F26" i="2"/>
  <c r="G26" i="2" s="1"/>
  <c r="F30" i="2"/>
  <c r="G30" i="2" s="1"/>
  <c r="F34" i="2"/>
  <c r="G34" i="2" s="1"/>
  <c r="F38" i="2"/>
  <c r="G38" i="2" s="1"/>
  <c r="F42" i="2"/>
  <c r="G42" i="2" s="1"/>
  <c r="F46" i="2"/>
  <c r="G46" i="2" s="1"/>
  <c r="F50" i="2"/>
  <c r="G50" i="2" s="1"/>
  <c r="F54" i="2"/>
  <c r="G54" i="2" s="1"/>
  <c r="F58" i="2"/>
  <c r="G58" i="2" s="1"/>
  <c r="F62" i="2"/>
  <c r="G62" i="2" s="1"/>
  <c r="F66" i="2"/>
  <c r="G66" i="2" s="1"/>
  <c r="F70" i="2"/>
  <c r="G70" i="2" s="1"/>
  <c r="F74" i="2"/>
  <c r="G74" i="2" s="1"/>
  <c r="F78" i="2"/>
  <c r="G78" i="2" s="1"/>
  <c r="F82" i="2"/>
  <c r="G82" i="2" s="1"/>
  <c r="F86" i="2"/>
  <c r="G86" i="2" s="1"/>
  <c r="F90" i="2"/>
  <c r="G90" i="2" s="1"/>
  <c r="F94" i="2"/>
  <c r="G94" i="2" s="1"/>
  <c r="F98" i="2"/>
  <c r="G98" i="2" s="1"/>
  <c r="F102" i="2"/>
  <c r="G102" i="2" s="1"/>
  <c r="F106" i="2"/>
  <c r="G106" i="2" s="1"/>
  <c r="F110" i="2"/>
  <c r="G110" i="2" s="1"/>
  <c r="F114" i="2"/>
  <c r="G114" i="2" s="1"/>
  <c r="F118" i="2"/>
  <c r="G118" i="2" s="1"/>
  <c r="F122" i="2"/>
  <c r="G122" i="2" s="1"/>
  <c r="F126" i="2"/>
  <c r="G126" i="2" s="1"/>
  <c r="F130" i="2"/>
  <c r="G130" i="2" s="1"/>
  <c r="F134" i="2"/>
  <c r="G134" i="2" s="1"/>
  <c r="F138" i="2"/>
  <c r="G138" i="2" s="1"/>
  <c r="F142" i="2"/>
  <c r="G142" i="2" s="1"/>
  <c r="F146" i="2"/>
  <c r="G146" i="2" s="1"/>
  <c r="F150" i="2"/>
  <c r="G150" i="2" s="1"/>
  <c r="F154" i="2"/>
  <c r="G154" i="2" s="1"/>
  <c r="F158" i="2"/>
  <c r="G158" i="2" s="1"/>
  <c r="F162" i="2"/>
  <c r="G162" i="2" s="1"/>
  <c r="F166" i="2"/>
  <c r="G166" i="2" s="1"/>
  <c r="F170" i="2"/>
  <c r="G170" i="2" s="1"/>
  <c r="F172" i="2"/>
  <c r="G172" i="2" s="1"/>
  <c r="F174" i="2"/>
  <c r="G174" i="2" s="1"/>
  <c r="F176" i="2"/>
  <c r="G176" i="2" s="1"/>
  <c r="F178" i="2"/>
  <c r="G178" i="2" s="1"/>
  <c r="F180" i="2"/>
  <c r="G180" i="2" s="1"/>
  <c r="F182" i="2"/>
  <c r="G182" i="2" s="1"/>
  <c r="F184" i="2"/>
  <c r="G184" i="2" s="1"/>
  <c r="F186" i="2"/>
  <c r="G186" i="2" s="1"/>
  <c r="F188" i="2"/>
  <c r="G188" i="2" s="1"/>
  <c r="F190" i="2"/>
  <c r="G190" i="2" s="1"/>
  <c r="F192" i="2"/>
  <c r="G192" i="2" s="1"/>
  <c r="F194" i="2"/>
  <c r="G194" i="2" s="1"/>
  <c r="F196" i="2"/>
  <c r="G196" i="2" s="1"/>
  <c r="F198" i="2"/>
  <c r="G198" i="2" s="1"/>
  <c r="F200" i="2"/>
  <c r="G200" i="2" s="1"/>
  <c r="F202" i="2"/>
  <c r="G202" i="2" s="1"/>
  <c r="F204" i="2"/>
  <c r="G204" i="2" s="1"/>
  <c r="F206" i="2"/>
  <c r="G206" i="2" s="1"/>
  <c r="F208" i="2"/>
  <c r="G208" i="2" s="1"/>
  <c r="F210" i="2"/>
  <c r="G210" i="2" s="1"/>
  <c r="F212" i="2"/>
  <c r="G212" i="2" s="1"/>
  <c r="F214" i="2"/>
  <c r="G214" i="2" s="1"/>
  <c r="F4" i="2"/>
  <c r="F8" i="2"/>
  <c r="F12" i="2"/>
  <c r="G12" i="2" s="1"/>
  <c r="F16" i="2"/>
  <c r="G16" i="2" s="1"/>
  <c r="F20" i="2"/>
  <c r="G20" i="2" s="1"/>
  <c r="F24" i="2"/>
  <c r="G24" i="2" s="1"/>
  <c r="F28" i="2"/>
  <c r="G28" i="2" s="1"/>
  <c r="F32" i="2"/>
  <c r="G32" i="2" s="1"/>
  <c r="F36" i="2"/>
  <c r="G36" i="2" s="1"/>
  <c r="F40" i="2"/>
  <c r="G40" i="2" s="1"/>
  <c r="F44" i="2"/>
  <c r="G44" i="2" s="1"/>
  <c r="F48" i="2"/>
  <c r="G48" i="2" s="1"/>
  <c r="F52" i="2"/>
  <c r="G52" i="2" s="1"/>
  <c r="F56" i="2"/>
  <c r="G56" i="2" s="1"/>
  <c r="F60" i="2"/>
  <c r="G60" i="2" s="1"/>
  <c r="F64" i="2"/>
  <c r="G64" i="2" s="1"/>
  <c r="F68" i="2"/>
  <c r="G68" i="2" s="1"/>
  <c r="F72" i="2"/>
  <c r="G72" i="2" s="1"/>
  <c r="F76" i="2"/>
  <c r="G76" i="2" s="1"/>
  <c r="F80" i="2"/>
  <c r="G80" i="2" s="1"/>
  <c r="F84" i="2"/>
  <c r="G84" i="2" s="1"/>
  <c r="F88" i="2"/>
  <c r="G88" i="2" s="1"/>
  <c r="F92" i="2"/>
  <c r="G92" i="2" s="1"/>
  <c r="F96" i="2"/>
  <c r="G96" i="2" s="1"/>
  <c r="F100" i="2"/>
  <c r="G100" i="2" s="1"/>
  <c r="F104" i="2"/>
  <c r="G104" i="2" s="1"/>
  <c r="F108" i="2"/>
  <c r="G108" i="2" s="1"/>
  <c r="F112" i="2"/>
  <c r="G112" i="2" s="1"/>
  <c r="F116" i="2"/>
  <c r="G116" i="2" s="1"/>
  <c r="F120" i="2"/>
  <c r="G120" i="2" s="1"/>
  <c r="F124" i="2"/>
  <c r="G124" i="2" s="1"/>
  <c r="F128" i="2"/>
  <c r="G128" i="2" s="1"/>
  <c r="F132" i="2"/>
  <c r="G132" i="2" s="1"/>
  <c r="F136" i="2"/>
  <c r="G136" i="2" s="1"/>
  <c r="F140" i="2"/>
  <c r="G140" i="2" s="1"/>
  <c r="F144" i="2"/>
  <c r="G144" i="2" s="1"/>
  <c r="F148" i="2"/>
  <c r="G148" i="2" s="1"/>
  <c r="F152" i="2"/>
  <c r="G152" i="2" s="1"/>
  <c r="F156" i="2"/>
  <c r="G156" i="2" s="1"/>
  <c r="F160" i="2"/>
  <c r="G160" i="2" s="1"/>
  <c r="F164" i="2"/>
  <c r="G164" i="2" s="1"/>
  <c r="F168" i="2"/>
  <c r="G168" i="2" s="1"/>
  <c r="F171" i="2"/>
  <c r="G171" i="2" s="1"/>
  <c r="F173" i="2"/>
  <c r="G173" i="2" s="1"/>
  <c r="F175" i="2"/>
  <c r="G175" i="2" s="1"/>
  <c r="F177" i="2"/>
  <c r="G177" i="2" s="1"/>
  <c r="F179" i="2"/>
  <c r="G179" i="2" s="1"/>
  <c r="F181" i="2"/>
  <c r="G181" i="2" s="1"/>
  <c r="F183" i="2"/>
  <c r="G183" i="2" s="1"/>
  <c r="F185" i="2"/>
  <c r="G185" i="2" s="1"/>
  <c r="F187" i="2"/>
  <c r="G187" i="2" s="1"/>
  <c r="F189" i="2"/>
  <c r="G189" i="2" s="1"/>
  <c r="F191" i="2"/>
  <c r="G191" i="2" s="1"/>
  <c r="F193" i="2"/>
  <c r="G193" i="2" s="1"/>
  <c r="F195" i="2"/>
  <c r="G195" i="2" s="1"/>
  <c r="F197" i="2"/>
  <c r="G197" i="2" s="1"/>
  <c r="F199" i="2"/>
  <c r="G199" i="2" s="1"/>
  <c r="F201" i="2"/>
  <c r="G201" i="2" s="1"/>
  <c r="F203" i="2"/>
  <c r="G203" i="2" s="1"/>
  <c r="F205" i="2"/>
  <c r="G205" i="2" s="1"/>
  <c r="F207" i="2"/>
  <c r="G207" i="2" s="1"/>
  <c r="F209" i="2"/>
  <c r="G209" i="2" s="1"/>
  <c r="F211" i="2"/>
  <c r="G211" i="2" s="1"/>
  <c r="F213" i="2"/>
  <c r="G213" i="2" s="1"/>
  <c r="F215" i="2"/>
  <c r="G215" i="2" s="1"/>
  <c r="F217" i="2"/>
  <c r="G217" i="2" s="1"/>
  <c r="F219" i="2"/>
  <c r="G219" i="2" s="1"/>
  <c r="F221" i="2"/>
  <c r="G221" i="2" s="1"/>
  <c r="F223" i="2"/>
  <c r="G223" i="2" s="1"/>
  <c r="F225" i="2"/>
  <c r="G225" i="2" s="1"/>
  <c r="F227" i="2"/>
  <c r="G227" i="2" s="1"/>
  <c r="F229" i="2"/>
  <c r="G229" i="2" s="1"/>
  <c r="F231" i="2"/>
  <c r="G231" i="2" s="1"/>
  <c r="F233" i="2"/>
  <c r="G233" i="2" s="1"/>
  <c r="F235" i="2"/>
  <c r="G235" i="2" s="1"/>
  <c r="F237" i="2"/>
  <c r="G237" i="2" s="1"/>
  <c r="F239" i="2"/>
  <c r="G239" i="2" s="1"/>
  <c r="F241" i="2"/>
  <c r="G241" i="2" s="1"/>
  <c r="F243" i="2"/>
  <c r="G243" i="2" s="1"/>
  <c r="F245" i="2"/>
  <c r="G245" i="2" s="1"/>
  <c r="F247" i="2"/>
  <c r="G247" i="2" s="1"/>
  <c r="F249" i="2"/>
  <c r="G249" i="2" s="1"/>
  <c r="F251" i="2"/>
  <c r="G251" i="2" s="1"/>
  <c r="F253" i="2"/>
  <c r="G253" i="2" s="1"/>
  <c r="F255" i="2"/>
  <c r="G255" i="2" s="1"/>
  <c r="F257" i="2"/>
  <c r="G257" i="2" s="1"/>
  <c r="F259" i="2"/>
  <c r="G259" i="2" s="1"/>
  <c r="F261" i="2"/>
  <c r="G261" i="2" s="1"/>
  <c r="F263" i="2"/>
  <c r="G263" i="2" s="1"/>
  <c r="F265" i="2"/>
  <c r="G265" i="2" s="1"/>
  <c r="F267" i="2"/>
  <c r="G267" i="2" s="1"/>
  <c r="F269" i="2"/>
  <c r="G269" i="2" s="1"/>
  <c r="F271" i="2"/>
  <c r="G271" i="2" s="1"/>
  <c r="F273" i="2"/>
  <c r="G273" i="2" s="1"/>
  <c r="F275" i="2"/>
  <c r="G275" i="2" s="1"/>
  <c r="F277" i="2"/>
  <c r="G277" i="2" s="1"/>
  <c r="F279" i="2"/>
  <c r="G279" i="2" s="1"/>
  <c r="F281" i="2"/>
  <c r="G281" i="2" s="1"/>
  <c r="F283" i="2"/>
  <c r="G283" i="2" s="1"/>
  <c r="F285" i="2"/>
  <c r="G285" i="2" s="1"/>
  <c r="F287" i="2"/>
  <c r="G287" i="2" s="1"/>
  <c r="F289" i="2"/>
  <c r="G289" i="2" s="1"/>
  <c r="F291" i="2"/>
  <c r="G291" i="2" s="1"/>
  <c r="F293" i="2"/>
  <c r="G293" i="2" s="1"/>
  <c r="F295" i="2"/>
  <c r="G295" i="2" s="1"/>
  <c r="F297" i="2"/>
  <c r="G297" i="2" s="1"/>
  <c r="F299" i="2"/>
  <c r="G299" i="2" s="1"/>
  <c r="F301" i="2"/>
  <c r="G301" i="2" s="1"/>
  <c r="F303" i="2"/>
  <c r="G303" i="2" s="1"/>
  <c r="F305" i="2"/>
  <c r="G305" i="2" s="1"/>
  <c r="F307" i="2"/>
  <c r="G307" i="2" s="1"/>
  <c r="F309" i="2"/>
  <c r="G309" i="2" s="1"/>
  <c r="F311" i="2"/>
  <c r="G311" i="2" s="1"/>
  <c r="F313" i="2"/>
  <c r="G313" i="2" s="1"/>
  <c r="F315" i="2"/>
  <c r="G315" i="2" s="1"/>
  <c r="F317" i="2"/>
  <c r="G317" i="2" s="1"/>
  <c r="F319" i="2"/>
  <c r="G319" i="2" s="1"/>
  <c r="F321" i="2"/>
  <c r="G321" i="2" s="1"/>
  <c r="F323" i="2"/>
  <c r="G323" i="2" s="1"/>
  <c r="F325" i="2"/>
  <c r="G325" i="2" s="1"/>
  <c r="F327" i="2"/>
  <c r="G327" i="2" s="1"/>
  <c r="F329" i="2"/>
  <c r="G329" i="2" s="1"/>
  <c r="F331" i="2"/>
  <c r="G331" i="2" s="1"/>
  <c r="F333" i="2"/>
  <c r="G333" i="2" s="1"/>
  <c r="F335" i="2"/>
  <c r="G335" i="2" s="1"/>
  <c r="F337" i="2"/>
  <c r="G337" i="2" s="1"/>
  <c r="F339" i="2"/>
  <c r="G339" i="2" s="1"/>
  <c r="F341" i="2"/>
  <c r="G341" i="2" s="1"/>
  <c r="F343" i="2"/>
  <c r="G343" i="2" s="1"/>
  <c r="F345" i="2"/>
  <c r="G345" i="2" s="1"/>
  <c r="F347" i="2"/>
  <c r="G347" i="2" s="1"/>
  <c r="F349" i="2"/>
  <c r="G349" i="2" s="1"/>
  <c r="F351" i="2"/>
  <c r="G351" i="2" s="1"/>
  <c r="F353" i="2"/>
  <c r="G353" i="2" s="1"/>
  <c r="F355" i="2"/>
  <c r="G355" i="2" s="1"/>
  <c r="F357" i="2"/>
  <c r="G357" i="2" s="1"/>
  <c r="F359" i="2"/>
  <c r="G359" i="2" s="1"/>
  <c r="F361" i="2"/>
  <c r="G361" i="2" s="1"/>
  <c r="F363" i="2"/>
  <c r="G363" i="2" s="1"/>
  <c r="F365" i="2"/>
  <c r="G365" i="2" s="1"/>
  <c r="F367" i="2"/>
  <c r="G367" i="2" s="1"/>
  <c r="F369" i="2"/>
  <c r="G369" i="2" s="1"/>
  <c r="F371" i="2"/>
  <c r="G371" i="2" s="1"/>
  <c r="F373" i="2"/>
  <c r="G373" i="2" s="1"/>
  <c r="F375" i="2"/>
  <c r="G375" i="2" s="1"/>
  <c r="F377" i="2"/>
  <c r="G377" i="2" s="1"/>
  <c r="F379" i="2"/>
  <c r="G379" i="2" s="1"/>
  <c r="F381" i="2"/>
  <c r="G381" i="2" s="1"/>
  <c r="F383" i="2"/>
  <c r="G383" i="2" s="1"/>
  <c r="F385" i="2"/>
  <c r="G385" i="2" s="1"/>
  <c r="F387" i="2"/>
  <c r="G387" i="2" s="1"/>
  <c r="F389" i="2"/>
  <c r="G389" i="2" s="1"/>
  <c r="F391" i="2"/>
  <c r="G391" i="2" s="1"/>
  <c r="F393" i="2"/>
  <c r="G393" i="2" s="1"/>
  <c r="F395" i="2"/>
  <c r="G395" i="2" s="1"/>
  <c r="F397" i="2"/>
  <c r="G397" i="2" s="1"/>
  <c r="F399" i="2"/>
  <c r="G399" i="2" s="1"/>
  <c r="F401" i="2"/>
  <c r="G401" i="2" s="1"/>
  <c r="F403" i="2"/>
  <c r="G403" i="2" s="1"/>
  <c r="F405" i="2"/>
  <c r="G405" i="2" s="1"/>
  <c r="F407" i="2"/>
  <c r="G407" i="2" s="1"/>
  <c r="F409" i="2"/>
  <c r="G409" i="2" s="1"/>
  <c r="F411" i="2"/>
  <c r="G411" i="2" s="1"/>
  <c r="F413" i="2"/>
  <c r="G413" i="2" s="1"/>
  <c r="F415" i="2"/>
  <c r="G415" i="2" s="1"/>
  <c r="F417" i="2"/>
  <c r="G417" i="2" s="1"/>
  <c r="F419" i="2"/>
  <c r="G419" i="2" s="1"/>
  <c r="F421" i="2"/>
  <c r="G421" i="2" s="1"/>
  <c r="F423" i="2"/>
  <c r="G423" i="2" s="1"/>
  <c r="F425" i="2"/>
  <c r="G425" i="2" s="1"/>
  <c r="F216" i="2"/>
  <c r="G216" i="2" s="1"/>
  <c r="F220" i="2"/>
  <c r="G220" i="2" s="1"/>
  <c r="F224" i="2"/>
  <c r="G224" i="2" s="1"/>
  <c r="F228" i="2"/>
  <c r="G228" i="2" s="1"/>
  <c r="F232" i="2"/>
  <c r="G232" i="2" s="1"/>
  <c r="F236" i="2"/>
  <c r="G236" i="2" s="1"/>
  <c r="F240" i="2"/>
  <c r="G240" i="2" s="1"/>
  <c r="F244" i="2"/>
  <c r="G244" i="2" s="1"/>
  <c r="F248" i="2"/>
  <c r="G248" i="2" s="1"/>
  <c r="F252" i="2"/>
  <c r="G252" i="2" s="1"/>
  <c r="F256" i="2"/>
  <c r="G256" i="2" s="1"/>
  <c r="F260" i="2"/>
  <c r="G260" i="2" s="1"/>
  <c r="F264" i="2"/>
  <c r="G264" i="2" s="1"/>
  <c r="F268" i="2"/>
  <c r="G268" i="2" s="1"/>
  <c r="F272" i="2"/>
  <c r="G272" i="2" s="1"/>
  <c r="F276" i="2"/>
  <c r="G276" i="2" s="1"/>
  <c r="F280" i="2"/>
  <c r="G280" i="2" s="1"/>
  <c r="F284" i="2"/>
  <c r="G284" i="2" s="1"/>
  <c r="F288" i="2"/>
  <c r="G288" i="2" s="1"/>
  <c r="F292" i="2"/>
  <c r="G292" i="2" s="1"/>
  <c r="F296" i="2"/>
  <c r="G296" i="2" s="1"/>
  <c r="F300" i="2"/>
  <c r="G300" i="2" s="1"/>
  <c r="F304" i="2"/>
  <c r="G304" i="2" s="1"/>
  <c r="F308" i="2"/>
  <c r="G308" i="2" s="1"/>
  <c r="F312" i="2"/>
  <c r="G312" i="2" s="1"/>
  <c r="F316" i="2"/>
  <c r="G316" i="2" s="1"/>
  <c r="F320" i="2"/>
  <c r="G320" i="2" s="1"/>
  <c r="F324" i="2"/>
  <c r="G324" i="2" s="1"/>
  <c r="F328" i="2"/>
  <c r="G328" i="2" s="1"/>
  <c r="F332" i="2"/>
  <c r="G332" i="2" s="1"/>
  <c r="F336" i="2"/>
  <c r="G336" i="2" s="1"/>
  <c r="F340" i="2"/>
  <c r="G340" i="2" s="1"/>
  <c r="F344" i="2"/>
  <c r="G344" i="2" s="1"/>
  <c r="F348" i="2"/>
  <c r="G348" i="2" s="1"/>
  <c r="F352" i="2"/>
  <c r="G352" i="2" s="1"/>
  <c r="F356" i="2"/>
  <c r="G356" i="2" s="1"/>
  <c r="F360" i="2"/>
  <c r="G360" i="2" s="1"/>
  <c r="F364" i="2"/>
  <c r="G364" i="2" s="1"/>
  <c r="F368" i="2"/>
  <c r="G368" i="2" s="1"/>
  <c r="F372" i="2"/>
  <c r="G372" i="2" s="1"/>
  <c r="F376" i="2"/>
  <c r="G376" i="2" s="1"/>
  <c r="F380" i="2"/>
  <c r="G380" i="2" s="1"/>
  <c r="F384" i="2"/>
  <c r="G384" i="2" s="1"/>
  <c r="F388" i="2"/>
  <c r="G388" i="2" s="1"/>
  <c r="F392" i="2"/>
  <c r="G392" i="2" s="1"/>
  <c r="F396" i="2"/>
  <c r="G396" i="2" s="1"/>
  <c r="F400" i="2"/>
  <c r="G400" i="2" s="1"/>
  <c r="F404" i="2"/>
  <c r="G404" i="2" s="1"/>
  <c r="F408" i="2"/>
  <c r="G408" i="2" s="1"/>
  <c r="F412" i="2"/>
  <c r="G412" i="2" s="1"/>
  <c r="F416" i="2"/>
  <c r="G416" i="2" s="1"/>
  <c r="F420" i="2"/>
  <c r="G420" i="2" s="1"/>
  <c r="F424" i="2"/>
  <c r="G424" i="2" s="1"/>
  <c r="F427" i="2"/>
  <c r="G427" i="2" s="1"/>
  <c r="F429" i="2"/>
  <c r="G429" i="2" s="1"/>
  <c r="F431" i="2"/>
  <c r="G431" i="2" s="1"/>
  <c r="F433" i="2"/>
  <c r="G433" i="2" s="1"/>
  <c r="F435" i="2"/>
  <c r="G435" i="2" s="1"/>
  <c r="F437" i="2"/>
  <c r="G437" i="2" s="1"/>
  <c r="F439" i="2"/>
  <c r="G439" i="2" s="1"/>
  <c r="F441" i="2"/>
  <c r="G441" i="2" s="1"/>
  <c r="F443" i="2"/>
  <c r="G443" i="2" s="1"/>
  <c r="F445" i="2"/>
  <c r="G445" i="2" s="1"/>
  <c r="F447" i="2"/>
  <c r="G447" i="2" s="1"/>
  <c r="F449" i="2"/>
  <c r="G449" i="2" s="1"/>
  <c r="F451" i="2"/>
  <c r="G451" i="2" s="1"/>
  <c r="F453" i="2"/>
  <c r="G453" i="2" s="1"/>
  <c r="F455" i="2"/>
  <c r="G455" i="2" s="1"/>
  <c r="F457" i="2"/>
  <c r="G457" i="2" s="1"/>
  <c r="F459" i="2"/>
  <c r="G459" i="2" s="1"/>
  <c r="F461" i="2"/>
  <c r="G461" i="2" s="1"/>
  <c r="F463" i="2"/>
  <c r="G463" i="2" s="1"/>
  <c r="F465" i="2"/>
  <c r="G465" i="2" s="1"/>
  <c r="F467" i="2"/>
  <c r="G467" i="2" s="1"/>
  <c r="F469" i="2"/>
  <c r="G469" i="2" s="1"/>
  <c r="F471" i="2"/>
  <c r="G471" i="2" s="1"/>
  <c r="F473" i="2"/>
  <c r="G473" i="2" s="1"/>
  <c r="F475" i="2"/>
  <c r="G475" i="2" s="1"/>
  <c r="F477" i="2"/>
  <c r="G477" i="2" s="1"/>
  <c r="F479" i="2"/>
  <c r="G479" i="2" s="1"/>
  <c r="F481" i="2"/>
  <c r="G481" i="2" s="1"/>
  <c r="F483" i="2"/>
  <c r="G483" i="2" s="1"/>
  <c r="F485" i="2"/>
  <c r="G485" i="2" s="1"/>
  <c r="F487" i="2"/>
  <c r="G487" i="2" s="1"/>
  <c r="F489" i="2"/>
  <c r="G489" i="2" s="1"/>
  <c r="F218" i="2"/>
  <c r="G218" i="2" s="1"/>
  <c r="F222" i="2"/>
  <c r="G222" i="2" s="1"/>
  <c r="F226" i="2"/>
  <c r="G226" i="2" s="1"/>
  <c r="F230" i="2"/>
  <c r="G230" i="2" s="1"/>
  <c r="F234" i="2"/>
  <c r="G234" i="2" s="1"/>
  <c r="F238" i="2"/>
  <c r="G238" i="2" s="1"/>
  <c r="F242" i="2"/>
  <c r="G242" i="2" s="1"/>
  <c r="F246" i="2"/>
  <c r="G246" i="2" s="1"/>
  <c r="F250" i="2"/>
  <c r="G250" i="2" s="1"/>
  <c r="F254" i="2"/>
  <c r="G254" i="2" s="1"/>
  <c r="F258" i="2"/>
  <c r="G258" i="2" s="1"/>
  <c r="F262" i="2"/>
  <c r="G262" i="2" s="1"/>
  <c r="F266" i="2"/>
  <c r="G266" i="2" s="1"/>
  <c r="F270" i="2"/>
  <c r="G270" i="2" s="1"/>
  <c r="F274" i="2"/>
  <c r="G274" i="2" s="1"/>
  <c r="F278" i="2"/>
  <c r="G278" i="2" s="1"/>
  <c r="F282" i="2"/>
  <c r="G282" i="2" s="1"/>
  <c r="F286" i="2"/>
  <c r="G286" i="2" s="1"/>
  <c r="F290" i="2"/>
  <c r="G290" i="2" s="1"/>
  <c r="F294" i="2"/>
  <c r="G294" i="2" s="1"/>
  <c r="F298" i="2"/>
  <c r="G298" i="2" s="1"/>
  <c r="F302" i="2"/>
  <c r="G302" i="2" s="1"/>
  <c r="F306" i="2"/>
  <c r="G306" i="2" s="1"/>
  <c r="F310" i="2"/>
  <c r="G310" i="2" s="1"/>
  <c r="F314" i="2"/>
  <c r="G314" i="2" s="1"/>
  <c r="F318" i="2"/>
  <c r="G318" i="2" s="1"/>
  <c r="F322" i="2"/>
  <c r="G322" i="2" s="1"/>
  <c r="F326" i="2"/>
  <c r="G326" i="2" s="1"/>
  <c r="F330" i="2"/>
  <c r="G330" i="2" s="1"/>
  <c r="F334" i="2"/>
  <c r="G334" i="2" s="1"/>
  <c r="F338" i="2"/>
  <c r="G338" i="2" s="1"/>
  <c r="F342" i="2"/>
  <c r="G342" i="2" s="1"/>
  <c r="F346" i="2"/>
  <c r="G346" i="2" s="1"/>
  <c r="F350" i="2"/>
  <c r="G350" i="2" s="1"/>
  <c r="F354" i="2"/>
  <c r="G354" i="2" s="1"/>
  <c r="F358" i="2"/>
  <c r="G358" i="2" s="1"/>
  <c r="F362" i="2"/>
  <c r="G362" i="2" s="1"/>
  <c r="F366" i="2"/>
  <c r="G366" i="2" s="1"/>
  <c r="F370" i="2"/>
  <c r="G370" i="2" s="1"/>
  <c r="F374" i="2"/>
  <c r="G374" i="2" s="1"/>
  <c r="F378" i="2"/>
  <c r="G378" i="2" s="1"/>
  <c r="F382" i="2"/>
  <c r="G382" i="2" s="1"/>
  <c r="F386" i="2"/>
  <c r="G386" i="2" s="1"/>
  <c r="F390" i="2"/>
  <c r="G390" i="2" s="1"/>
  <c r="F394" i="2"/>
  <c r="G394" i="2" s="1"/>
  <c r="F398" i="2"/>
  <c r="G398" i="2" s="1"/>
  <c r="F402" i="2"/>
  <c r="G402" i="2" s="1"/>
  <c r="F406" i="2"/>
  <c r="G406" i="2" s="1"/>
  <c r="F410" i="2"/>
  <c r="G410" i="2" s="1"/>
  <c r="F414" i="2"/>
  <c r="G414" i="2" s="1"/>
  <c r="F418" i="2"/>
  <c r="G418" i="2" s="1"/>
  <c r="F422" i="2"/>
  <c r="G422" i="2" s="1"/>
  <c r="F426" i="2"/>
  <c r="G426" i="2" s="1"/>
  <c r="F428" i="2"/>
  <c r="G428" i="2" s="1"/>
  <c r="F430" i="2"/>
  <c r="G430" i="2" s="1"/>
  <c r="F432" i="2"/>
  <c r="G432" i="2" s="1"/>
  <c r="F434" i="2"/>
  <c r="G434" i="2" s="1"/>
  <c r="F436" i="2"/>
  <c r="G436" i="2" s="1"/>
  <c r="F438" i="2"/>
  <c r="G438" i="2" s="1"/>
  <c r="F440" i="2"/>
  <c r="G440" i="2" s="1"/>
  <c r="F442" i="2"/>
  <c r="G442" i="2" s="1"/>
  <c r="F444" i="2"/>
  <c r="G444" i="2" s="1"/>
  <c r="F446" i="2"/>
  <c r="G446" i="2" s="1"/>
  <c r="F448" i="2"/>
  <c r="G448" i="2" s="1"/>
  <c r="F450" i="2"/>
  <c r="G450" i="2" s="1"/>
  <c r="F452" i="2"/>
  <c r="G452" i="2" s="1"/>
  <c r="F454" i="2"/>
  <c r="G454" i="2" s="1"/>
  <c r="F456" i="2"/>
  <c r="G456" i="2" s="1"/>
  <c r="F458" i="2"/>
  <c r="G458" i="2" s="1"/>
  <c r="F460" i="2"/>
  <c r="G460" i="2" s="1"/>
  <c r="F462" i="2"/>
  <c r="G462" i="2" s="1"/>
  <c r="F464" i="2"/>
  <c r="G464" i="2" s="1"/>
  <c r="F466" i="2"/>
  <c r="G466" i="2" s="1"/>
  <c r="F468" i="2"/>
  <c r="G468" i="2" s="1"/>
  <c r="F470" i="2"/>
  <c r="G470" i="2" s="1"/>
  <c r="F472" i="2"/>
  <c r="G472" i="2" s="1"/>
  <c r="F476" i="2"/>
  <c r="G476" i="2" s="1"/>
  <c r="F480" i="2"/>
  <c r="G480" i="2" s="1"/>
  <c r="F484" i="2"/>
  <c r="G484" i="2" s="1"/>
  <c r="F488" i="2"/>
  <c r="G488" i="2" s="1"/>
  <c r="F491" i="2"/>
  <c r="G491" i="2" s="1"/>
  <c r="F493" i="2"/>
  <c r="G493" i="2" s="1"/>
  <c r="F495" i="2"/>
  <c r="G495" i="2" s="1"/>
  <c r="F497" i="2"/>
  <c r="G497" i="2" s="1"/>
  <c r="F499" i="2"/>
  <c r="G499" i="2" s="1"/>
  <c r="F501" i="2"/>
  <c r="G501" i="2" s="1"/>
  <c r="F503" i="2"/>
  <c r="G503" i="2" s="1"/>
  <c r="F505" i="2"/>
  <c r="G505" i="2" s="1"/>
  <c r="F507" i="2"/>
  <c r="G507" i="2" s="1"/>
  <c r="F509" i="2"/>
  <c r="G509" i="2" s="1"/>
  <c r="F511" i="2"/>
  <c r="G511" i="2" s="1"/>
  <c r="F513" i="2"/>
  <c r="G513" i="2" s="1"/>
  <c r="F515" i="2"/>
  <c r="G515" i="2" s="1"/>
  <c r="F517" i="2"/>
  <c r="G517" i="2" s="1"/>
  <c r="F519" i="2"/>
  <c r="G519" i="2" s="1"/>
  <c r="F521" i="2"/>
  <c r="G521" i="2" s="1"/>
  <c r="F523" i="2"/>
  <c r="G523" i="2" s="1"/>
  <c r="F525" i="2"/>
  <c r="G525" i="2" s="1"/>
  <c r="F527" i="2"/>
  <c r="G527" i="2" s="1"/>
  <c r="F529" i="2"/>
  <c r="G529" i="2" s="1"/>
  <c r="F531" i="2"/>
  <c r="G531" i="2" s="1"/>
  <c r="F533" i="2"/>
  <c r="G533" i="2" s="1"/>
  <c r="F535" i="2"/>
  <c r="G535" i="2" s="1"/>
  <c r="F537" i="2"/>
  <c r="G537" i="2" s="1"/>
  <c r="F539" i="2"/>
  <c r="G539" i="2" s="1"/>
  <c r="F541" i="2"/>
  <c r="G541" i="2" s="1"/>
  <c r="F543" i="2"/>
  <c r="G543" i="2" s="1"/>
  <c r="F545" i="2"/>
  <c r="G545" i="2" s="1"/>
  <c r="F547" i="2"/>
  <c r="G547" i="2" s="1"/>
  <c r="F549" i="2"/>
  <c r="G549" i="2" s="1"/>
  <c r="F551" i="2"/>
  <c r="G551" i="2" s="1"/>
  <c r="F553" i="2"/>
  <c r="G553" i="2" s="1"/>
  <c r="F555" i="2"/>
  <c r="G555" i="2" s="1"/>
  <c r="F557" i="2"/>
  <c r="G557" i="2" s="1"/>
  <c r="F559" i="2"/>
  <c r="G559" i="2" s="1"/>
  <c r="F561" i="2"/>
  <c r="G561" i="2" s="1"/>
  <c r="F563" i="2"/>
  <c r="G563" i="2" s="1"/>
  <c r="F565" i="2"/>
  <c r="G565" i="2" s="1"/>
  <c r="F567" i="2"/>
  <c r="G567" i="2" s="1"/>
  <c r="F569" i="2"/>
  <c r="G569" i="2" s="1"/>
  <c r="F571" i="2"/>
  <c r="G571" i="2" s="1"/>
  <c r="F573" i="2"/>
  <c r="G573" i="2" s="1"/>
  <c r="F575" i="2"/>
  <c r="G575" i="2" s="1"/>
  <c r="F577" i="2"/>
  <c r="G577" i="2" s="1"/>
  <c r="F579" i="2"/>
  <c r="G579" i="2" s="1"/>
  <c r="F581" i="2"/>
  <c r="G581" i="2" s="1"/>
  <c r="F583" i="2"/>
  <c r="G583" i="2" s="1"/>
  <c r="F585" i="2"/>
  <c r="G585" i="2" s="1"/>
  <c r="F587" i="2"/>
  <c r="G587" i="2" s="1"/>
  <c r="F589" i="2"/>
  <c r="G589" i="2" s="1"/>
  <c r="F591" i="2"/>
  <c r="G591" i="2" s="1"/>
  <c r="F593" i="2"/>
  <c r="G593" i="2" s="1"/>
  <c r="F595" i="2"/>
  <c r="G595" i="2" s="1"/>
  <c r="F597" i="2"/>
  <c r="G597" i="2" s="1"/>
  <c r="F599" i="2"/>
  <c r="G599" i="2" s="1"/>
  <c r="F601" i="2"/>
  <c r="G601" i="2" s="1"/>
  <c r="F603" i="2"/>
  <c r="G603" i="2" s="1"/>
  <c r="F605" i="2"/>
  <c r="G605" i="2" s="1"/>
  <c r="F607" i="2"/>
  <c r="G607" i="2" s="1"/>
  <c r="F609" i="2"/>
  <c r="G609" i="2" s="1"/>
  <c r="F611" i="2"/>
  <c r="G611" i="2" s="1"/>
  <c r="F613" i="2"/>
  <c r="G613" i="2" s="1"/>
  <c r="F615" i="2"/>
  <c r="G615" i="2" s="1"/>
  <c r="F617" i="2"/>
  <c r="G617" i="2" s="1"/>
  <c r="F619" i="2"/>
  <c r="G619" i="2" s="1"/>
  <c r="F621" i="2"/>
  <c r="G621" i="2" s="1"/>
  <c r="F623" i="2"/>
  <c r="G623" i="2" s="1"/>
  <c r="F625" i="2"/>
  <c r="G625" i="2" s="1"/>
  <c r="F627" i="2"/>
  <c r="G627" i="2" s="1"/>
  <c r="F629" i="2"/>
  <c r="G629" i="2" s="1"/>
  <c r="F631" i="2"/>
  <c r="G631" i="2" s="1"/>
  <c r="F633" i="2"/>
  <c r="G633" i="2" s="1"/>
  <c r="F635" i="2"/>
  <c r="G635" i="2" s="1"/>
  <c r="F637" i="2"/>
  <c r="G637" i="2" s="1"/>
  <c r="F639" i="2"/>
  <c r="G639" i="2" s="1"/>
  <c r="F641" i="2"/>
  <c r="G641" i="2" s="1"/>
  <c r="F643" i="2"/>
  <c r="G643" i="2" s="1"/>
  <c r="F645" i="2"/>
  <c r="G645" i="2" s="1"/>
  <c r="F647" i="2"/>
  <c r="G647" i="2" s="1"/>
  <c r="F649" i="2"/>
  <c r="G649" i="2" s="1"/>
  <c r="F651" i="2"/>
  <c r="G651" i="2" s="1"/>
  <c r="F653" i="2"/>
  <c r="G653" i="2" s="1"/>
  <c r="F655" i="2"/>
  <c r="G655" i="2" s="1"/>
  <c r="F657" i="2"/>
  <c r="G657" i="2" s="1"/>
  <c r="F659" i="2"/>
  <c r="G659" i="2" s="1"/>
  <c r="F661" i="2"/>
  <c r="G661" i="2" s="1"/>
  <c r="F663" i="2"/>
  <c r="G663" i="2" s="1"/>
  <c r="F665" i="2"/>
  <c r="G665" i="2" s="1"/>
  <c r="F667" i="2"/>
  <c r="G667" i="2" s="1"/>
  <c r="F669" i="2"/>
  <c r="G669" i="2" s="1"/>
  <c r="F671" i="2"/>
  <c r="G671" i="2" s="1"/>
  <c r="F673" i="2"/>
  <c r="G673" i="2" s="1"/>
  <c r="F675" i="2"/>
  <c r="G675" i="2" s="1"/>
  <c r="F677" i="2"/>
  <c r="G677" i="2" s="1"/>
  <c r="F679" i="2"/>
  <c r="G679" i="2" s="1"/>
  <c r="F681" i="2"/>
  <c r="G681" i="2" s="1"/>
  <c r="F683" i="2"/>
  <c r="G683" i="2" s="1"/>
  <c r="F685" i="2"/>
  <c r="G685" i="2" s="1"/>
  <c r="F687" i="2"/>
  <c r="G687" i="2" s="1"/>
  <c r="F689" i="2"/>
  <c r="G689" i="2" s="1"/>
  <c r="F691" i="2"/>
  <c r="G691" i="2" s="1"/>
  <c r="F693" i="2"/>
  <c r="G693" i="2" s="1"/>
  <c r="F695" i="2"/>
  <c r="G695" i="2" s="1"/>
  <c r="F697" i="2"/>
  <c r="G697" i="2" s="1"/>
  <c r="F699" i="2"/>
  <c r="G699" i="2" s="1"/>
  <c r="F701" i="2"/>
  <c r="G701" i="2" s="1"/>
  <c r="F703" i="2"/>
  <c r="G703" i="2" s="1"/>
  <c r="F705" i="2"/>
  <c r="G705" i="2" s="1"/>
  <c r="F707" i="2"/>
  <c r="G707" i="2" s="1"/>
  <c r="F709" i="2"/>
  <c r="G709" i="2" s="1"/>
  <c r="F711" i="2"/>
  <c r="G711" i="2" s="1"/>
  <c r="F713" i="2"/>
  <c r="G713" i="2" s="1"/>
  <c r="F715" i="2"/>
  <c r="G715" i="2" s="1"/>
  <c r="F717" i="2"/>
  <c r="G717" i="2" s="1"/>
  <c r="F719" i="2"/>
  <c r="G719" i="2" s="1"/>
  <c r="F721" i="2"/>
  <c r="G721" i="2" s="1"/>
  <c r="F723" i="2"/>
  <c r="G723" i="2" s="1"/>
  <c r="F725" i="2"/>
  <c r="G725" i="2" s="1"/>
  <c r="F727" i="2"/>
  <c r="G727" i="2" s="1"/>
  <c r="F729" i="2"/>
  <c r="G729" i="2" s="1"/>
  <c r="F731" i="2"/>
  <c r="G731" i="2" s="1"/>
  <c r="F733" i="2"/>
  <c r="G733" i="2" s="1"/>
  <c r="F735" i="2"/>
  <c r="G735" i="2" s="1"/>
  <c r="F737" i="2"/>
  <c r="G737" i="2" s="1"/>
  <c r="F739" i="2"/>
  <c r="G739" i="2" s="1"/>
  <c r="F741" i="2"/>
  <c r="G741" i="2" s="1"/>
  <c r="F743" i="2"/>
  <c r="G743" i="2" s="1"/>
  <c r="F745" i="2"/>
  <c r="G745" i="2" s="1"/>
  <c r="F747" i="2"/>
  <c r="G747" i="2" s="1"/>
  <c r="F749" i="2"/>
  <c r="G749" i="2" s="1"/>
  <c r="F751" i="2"/>
  <c r="G751" i="2" s="1"/>
  <c r="F753" i="2"/>
  <c r="G753" i="2" s="1"/>
  <c r="F755" i="2"/>
  <c r="G755" i="2" s="1"/>
  <c r="F757" i="2"/>
  <c r="G757" i="2" s="1"/>
  <c r="F759" i="2"/>
  <c r="G759" i="2" s="1"/>
  <c r="F761" i="2"/>
  <c r="G761" i="2" s="1"/>
  <c r="F763" i="2"/>
  <c r="G763" i="2" s="1"/>
  <c r="F765" i="2"/>
  <c r="G765" i="2" s="1"/>
  <c r="F767" i="2"/>
  <c r="G767" i="2" s="1"/>
  <c r="F769" i="2"/>
  <c r="G769" i="2" s="1"/>
  <c r="F771" i="2"/>
  <c r="G771" i="2" s="1"/>
  <c r="F773" i="2"/>
  <c r="G773" i="2" s="1"/>
  <c r="F775" i="2"/>
  <c r="G775" i="2" s="1"/>
  <c r="F777" i="2"/>
  <c r="G777" i="2" s="1"/>
  <c r="F779" i="2"/>
  <c r="G779" i="2" s="1"/>
  <c r="F781" i="2"/>
  <c r="G781" i="2" s="1"/>
  <c r="F783" i="2"/>
  <c r="G783" i="2" s="1"/>
  <c r="F785" i="2"/>
  <c r="G785" i="2" s="1"/>
  <c r="F787" i="2"/>
  <c r="G787" i="2" s="1"/>
  <c r="F789" i="2"/>
  <c r="G789" i="2" s="1"/>
  <c r="F791" i="2"/>
  <c r="G791" i="2" s="1"/>
  <c r="F793" i="2"/>
  <c r="G793" i="2" s="1"/>
  <c r="F795" i="2"/>
  <c r="G795" i="2" s="1"/>
  <c r="F797" i="2"/>
  <c r="G797" i="2" s="1"/>
  <c r="F799" i="2"/>
  <c r="G799" i="2" s="1"/>
  <c r="F801" i="2"/>
  <c r="G801" i="2" s="1"/>
  <c r="F803" i="2"/>
  <c r="G803" i="2" s="1"/>
  <c r="F805" i="2"/>
  <c r="G805" i="2" s="1"/>
  <c r="F807" i="2"/>
  <c r="G807" i="2" s="1"/>
  <c r="F809" i="2"/>
  <c r="G809" i="2" s="1"/>
  <c r="F811" i="2"/>
  <c r="G811" i="2" s="1"/>
  <c r="F813" i="2"/>
  <c r="G813" i="2" s="1"/>
  <c r="F815" i="2"/>
  <c r="G815" i="2" s="1"/>
  <c r="F817" i="2"/>
  <c r="G817" i="2" s="1"/>
  <c r="F819" i="2"/>
  <c r="G819" i="2" s="1"/>
  <c r="F474" i="2"/>
  <c r="G474" i="2" s="1"/>
  <c r="F478" i="2"/>
  <c r="G478" i="2" s="1"/>
  <c r="F482" i="2"/>
  <c r="G482" i="2" s="1"/>
  <c r="F486" i="2"/>
  <c r="G486" i="2" s="1"/>
  <c r="F490" i="2"/>
  <c r="G490" i="2" s="1"/>
  <c r="F492" i="2"/>
  <c r="G492" i="2" s="1"/>
  <c r="F494" i="2"/>
  <c r="G494" i="2" s="1"/>
  <c r="F496" i="2"/>
  <c r="G496" i="2" s="1"/>
  <c r="F498" i="2"/>
  <c r="G498" i="2" s="1"/>
  <c r="F500" i="2"/>
  <c r="G500" i="2" s="1"/>
  <c r="F502" i="2"/>
  <c r="G502" i="2" s="1"/>
  <c r="F504" i="2"/>
  <c r="G504" i="2" s="1"/>
  <c r="F506" i="2"/>
  <c r="G506" i="2" s="1"/>
  <c r="F508" i="2"/>
  <c r="G508" i="2" s="1"/>
  <c r="F510" i="2"/>
  <c r="G510" i="2" s="1"/>
  <c r="F512" i="2"/>
  <c r="G512" i="2" s="1"/>
  <c r="F514" i="2"/>
  <c r="G514" i="2" s="1"/>
  <c r="F516" i="2"/>
  <c r="G516" i="2" s="1"/>
  <c r="F518" i="2"/>
  <c r="G518" i="2" s="1"/>
  <c r="F520" i="2"/>
  <c r="G520" i="2" s="1"/>
  <c r="F522" i="2"/>
  <c r="G522" i="2" s="1"/>
  <c r="F524" i="2"/>
  <c r="G524" i="2" s="1"/>
  <c r="F526" i="2"/>
  <c r="G526" i="2" s="1"/>
  <c r="F528" i="2"/>
  <c r="G528" i="2" s="1"/>
  <c r="F530" i="2"/>
  <c r="G530" i="2" s="1"/>
  <c r="F532" i="2"/>
  <c r="G532" i="2" s="1"/>
  <c r="F534" i="2"/>
  <c r="G534" i="2" s="1"/>
  <c r="F536" i="2"/>
  <c r="G536" i="2" s="1"/>
  <c r="F538" i="2"/>
  <c r="G538" i="2" s="1"/>
  <c r="F540" i="2"/>
  <c r="G540" i="2" s="1"/>
  <c r="F542" i="2"/>
  <c r="G542" i="2" s="1"/>
  <c r="F544" i="2"/>
  <c r="G544" i="2" s="1"/>
  <c r="F546" i="2"/>
  <c r="G546" i="2" s="1"/>
  <c r="F548" i="2"/>
  <c r="G548" i="2" s="1"/>
  <c r="F550" i="2"/>
  <c r="G550" i="2" s="1"/>
  <c r="F552" i="2"/>
  <c r="G552" i="2" s="1"/>
  <c r="F554" i="2"/>
  <c r="G554" i="2" s="1"/>
  <c r="F556" i="2"/>
  <c r="G556" i="2" s="1"/>
  <c r="F558" i="2"/>
  <c r="G558" i="2" s="1"/>
  <c r="F560" i="2"/>
  <c r="G560" i="2" s="1"/>
  <c r="F562" i="2"/>
  <c r="G562" i="2" s="1"/>
  <c r="F564" i="2"/>
  <c r="G564" i="2" s="1"/>
  <c r="F566" i="2"/>
  <c r="G566" i="2" s="1"/>
  <c r="F568" i="2"/>
  <c r="G568" i="2" s="1"/>
  <c r="F570" i="2"/>
  <c r="G570" i="2" s="1"/>
  <c r="F572" i="2"/>
  <c r="G572" i="2" s="1"/>
  <c r="F574" i="2"/>
  <c r="G574" i="2" s="1"/>
  <c r="F576" i="2"/>
  <c r="G576" i="2" s="1"/>
  <c r="F578" i="2"/>
  <c r="G578" i="2" s="1"/>
  <c r="F580" i="2"/>
  <c r="G580" i="2" s="1"/>
  <c r="F582" i="2"/>
  <c r="G582" i="2" s="1"/>
  <c r="F584" i="2"/>
  <c r="G584" i="2" s="1"/>
  <c r="F586" i="2"/>
  <c r="G586" i="2" s="1"/>
  <c r="F588" i="2"/>
  <c r="G588" i="2" s="1"/>
  <c r="F590" i="2"/>
  <c r="G590" i="2" s="1"/>
  <c r="F592" i="2"/>
  <c r="G592" i="2" s="1"/>
  <c r="F594" i="2"/>
  <c r="G594" i="2" s="1"/>
  <c r="F596" i="2"/>
  <c r="G596" i="2" s="1"/>
  <c r="F598" i="2"/>
  <c r="G598" i="2" s="1"/>
  <c r="F600" i="2"/>
  <c r="G600" i="2" s="1"/>
  <c r="F602" i="2"/>
  <c r="G602" i="2" s="1"/>
  <c r="F604" i="2"/>
  <c r="G604" i="2" s="1"/>
  <c r="F606" i="2"/>
  <c r="G606" i="2" s="1"/>
  <c r="F608" i="2"/>
  <c r="G608" i="2" s="1"/>
  <c r="F610" i="2"/>
  <c r="G610" i="2" s="1"/>
  <c r="F612" i="2"/>
  <c r="G612" i="2" s="1"/>
  <c r="F614" i="2"/>
  <c r="G614" i="2" s="1"/>
  <c r="F616" i="2"/>
  <c r="G616" i="2" s="1"/>
  <c r="F618" i="2"/>
  <c r="G618" i="2" s="1"/>
  <c r="F620" i="2"/>
  <c r="G620" i="2" s="1"/>
  <c r="F622" i="2"/>
  <c r="G622" i="2" s="1"/>
  <c r="F624" i="2"/>
  <c r="G624" i="2" s="1"/>
  <c r="F626" i="2"/>
  <c r="G626" i="2" s="1"/>
  <c r="F628" i="2"/>
  <c r="G628" i="2" s="1"/>
  <c r="F630" i="2"/>
  <c r="G630" i="2" s="1"/>
  <c r="F632" i="2"/>
  <c r="G632" i="2" s="1"/>
  <c r="F634" i="2"/>
  <c r="G634" i="2" s="1"/>
  <c r="F636" i="2"/>
  <c r="G636" i="2" s="1"/>
  <c r="F638" i="2"/>
  <c r="G638" i="2" s="1"/>
  <c r="F640" i="2"/>
  <c r="G640" i="2" s="1"/>
  <c r="F642" i="2"/>
  <c r="G642" i="2" s="1"/>
  <c r="F644" i="2"/>
  <c r="G644" i="2" s="1"/>
  <c r="F646" i="2"/>
  <c r="G646" i="2" s="1"/>
  <c r="F648" i="2"/>
  <c r="G648" i="2" s="1"/>
  <c r="F650" i="2"/>
  <c r="G650" i="2" s="1"/>
  <c r="F652" i="2"/>
  <c r="G652" i="2" s="1"/>
  <c r="F654" i="2"/>
  <c r="G654" i="2" s="1"/>
  <c r="F656" i="2"/>
  <c r="G656" i="2" s="1"/>
  <c r="F658" i="2"/>
  <c r="G658" i="2" s="1"/>
  <c r="F660" i="2"/>
  <c r="G660" i="2" s="1"/>
  <c r="F662" i="2"/>
  <c r="G662" i="2" s="1"/>
  <c r="F664" i="2"/>
  <c r="G664" i="2" s="1"/>
  <c r="F666" i="2"/>
  <c r="G666" i="2" s="1"/>
  <c r="F668" i="2"/>
  <c r="G668" i="2" s="1"/>
  <c r="F670" i="2"/>
  <c r="G670" i="2" s="1"/>
  <c r="F672" i="2"/>
  <c r="G672" i="2" s="1"/>
  <c r="F674" i="2"/>
  <c r="G674" i="2" s="1"/>
  <c r="F676" i="2"/>
  <c r="G676" i="2" s="1"/>
  <c r="F678" i="2"/>
  <c r="G678" i="2" s="1"/>
  <c r="F680" i="2"/>
  <c r="G680" i="2" s="1"/>
  <c r="F682" i="2"/>
  <c r="G682" i="2" s="1"/>
  <c r="F684" i="2"/>
  <c r="G684" i="2" s="1"/>
  <c r="F686" i="2"/>
  <c r="G686" i="2" s="1"/>
  <c r="F688" i="2"/>
  <c r="G688" i="2" s="1"/>
  <c r="F690" i="2"/>
  <c r="G690" i="2" s="1"/>
  <c r="F692" i="2"/>
  <c r="G692" i="2" s="1"/>
  <c r="F694" i="2"/>
  <c r="G694" i="2" s="1"/>
  <c r="F696" i="2"/>
  <c r="G696" i="2" s="1"/>
  <c r="F698" i="2"/>
  <c r="G698" i="2" s="1"/>
  <c r="F700" i="2"/>
  <c r="G700" i="2" s="1"/>
  <c r="F702" i="2"/>
  <c r="G702" i="2" s="1"/>
  <c r="F704" i="2"/>
  <c r="G704" i="2" s="1"/>
  <c r="F706" i="2"/>
  <c r="G706" i="2" s="1"/>
  <c r="F708" i="2"/>
  <c r="G708" i="2" s="1"/>
  <c r="F710" i="2"/>
  <c r="G710" i="2" s="1"/>
  <c r="F712" i="2"/>
  <c r="G712" i="2" s="1"/>
  <c r="F714" i="2"/>
  <c r="G714" i="2" s="1"/>
  <c r="F716" i="2"/>
  <c r="G716" i="2" s="1"/>
  <c r="F718" i="2"/>
  <c r="G718" i="2" s="1"/>
  <c r="F720" i="2"/>
  <c r="G720" i="2" s="1"/>
  <c r="F722" i="2"/>
  <c r="G722" i="2" s="1"/>
  <c r="F724" i="2"/>
  <c r="G724" i="2" s="1"/>
  <c r="F726" i="2"/>
  <c r="G726" i="2" s="1"/>
  <c r="F728" i="2"/>
  <c r="G728" i="2" s="1"/>
  <c r="F730" i="2"/>
  <c r="G730" i="2" s="1"/>
  <c r="F732" i="2"/>
  <c r="G732" i="2" s="1"/>
  <c r="F734" i="2"/>
  <c r="G734" i="2" s="1"/>
  <c r="F736" i="2"/>
  <c r="G736" i="2" s="1"/>
  <c r="F738" i="2"/>
  <c r="G738" i="2" s="1"/>
  <c r="F740" i="2"/>
  <c r="G740" i="2" s="1"/>
  <c r="F742" i="2"/>
  <c r="G742" i="2" s="1"/>
  <c r="F744" i="2"/>
  <c r="G744" i="2" s="1"/>
  <c r="F746" i="2"/>
  <c r="G746" i="2" s="1"/>
  <c r="F748" i="2"/>
  <c r="G748" i="2" s="1"/>
  <c r="F750" i="2"/>
  <c r="G750" i="2" s="1"/>
  <c r="F752" i="2"/>
  <c r="G752" i="2" s="1"/>
  <c r="F754" i="2"/>
  <c r="G754" i="2" s="1"/>
  <c r="F756" i="2"/>
  <c r="G756" i="2" s="1"/>
  <c r="F758" i="2"/>
  <c r="G758" i="2" s="1"/>
  <c r="F760" i="2"/>
  <c r="G760" i="2" s="1"/>
  <c r="F762" i="2"/>
  <c r="G762" i="2" s="1"/>
  <c r="F764" i="2"/>
  <c r="G764" i="2" s="1"/>
  <c r="F766" i="2"/>
  <c r="G766" i="2" s="1"/>
  <c r="F768" i="2"/>
  <c r="G768" i="2" s="1"/>
  <c r="F770" i="2"/>
  <c r="G770" i="2" s="1"/>
  <c r="F772" i="2"/>
  <c r="G772" i="2" s="1"/>
  <c r="F774" i="2"/>
  <c r="G774" i="2" s="1"/>
  <c r="F776" i="2"/>
  <c r="G776" i="2" s="1"/>
  <c r="F778" i="2"/>
  <c r="G778" i="2" s="1"/>
  <c r="F780" i="2"/>
  <c r="G780" i="2" s="1"/>
  <c r="F782" i="2"/>
  <c r="G782" i="2" s="1"/>
  <c r="F784" i="2"/>
  <c r="G784" i="2" s="1"/>
  <c r="F786" i="2"/>
  <c r="G786" i="2" s="1"/>
  <c r="F788" i="2"/>
  <c r="G788" i="2" s="1"/>
  <c r="F790" i="2"/>
  <c r="G790" i="2" s="1"/>
  <c r="F792" i="2"/>
  <c r="G792" i="2" s="1"/>
  <c r="F794" i="2"/>
  <c r="G794" i="2" s="1"/>
  <c r="F796" i="2"/>
  <c r="G796" i="2" s="1"/>
  <c r="F798" i="2"/>
  <c r="G798" i="2" s="1"/>
  <c r="F800" i="2"/>
  <c r="G800" i="2" s="1"/>
  <c r="F802" i="2"/>
  <c r="G802" i="2" s="1"/>
  <c r="F804" i="2"/>
  <c r="G804" i="2" s="1"/>
  <c r="F806" i="2"/>
  <c r="G806" i="2" s="1"/>
  <c r="F808" i="2"/>
  <c r="G808" i="2" s="1"/>
  <c r="F810" i="2"/>
  <c r="G810" i="2" s="1"/>
  <c r="F812" i="2"/>
  <c r="G812" i="2" s="1"/>
  <c r="F814" i="2"/>
  <c r="G814" i="2" s="1"/>
  <c r="F816" i="2"/>
  <c r="G816" i="2" s="1"/>
  <c r="F818" i="2"/>
  <c r="G818" i="2" s="1"/>
  <c r="F820" i="2"/>
  <c r="G820" i="2" s="1"/>
  <c r="F822" i="2"/>
  <c r="G822" i="2" s="1"/>
  <c r="F824" i="2"/>
  <c r="G824" i="2" s="1"/>
  <c r="F826" i="2"/>
  <c r="G826" i="2" s="1"/>
  <c r="F828" i="2"/>
  <c r="G828" i="2" s="1"/>
  <c r="F830" i="2"/>
  <c r="G830" i="2" s="1"/>
  <c r="F832" i="2"/>
  <c r="G832" i="2" s="1"/>
  <c r="F834" i="2"/>
  <c r="G834" i="2" s="1"/>
  <c r="F836" i="2"/>
  <c r="G836" i="2" s="1"/>
  <c r="F838" i="2"/>
  <c r="G838" i="2" s="1"/>
  <c r="F840" i="2"/>
  <c r="G840" i="2" s="1"/>
  <c r="F842" i="2"/>
  <c r="G842" i="2" s="1"/>
  <c r="F844" i="2"/>
  <c r="G844" i="2" s="1"/>
  <c r="F846" i="2"/>
  <c r="G846" i="2" s="1"/>
  <c r="F848" i="2"/>
  <c r="G848" i="2" s="1"/>
  <c r="F850" i="2"/>
  <c r="G850" i="2" s="1"/>
  <c r="F852" i="2"/>
  <c r="G852" i="2" s="1"/>
  <c r="F854" i="2"/>
  <c r="G854" i="2" s="1"/>
  <c r="F856" i="2"/>
  <c r="G856" i="2" s="1"/>
  <c r="F858" i="2"/>
  <c r="G858" i="2" s="1"/>
  <c r="F860" i="2"/>
  <c r="G860" i="2" s="1"/>
  <c r="F862" i="2"/>
  <c r="G862" i="2" s="1"/>
  <c r="F864" i="2"/>
  <c r="G864" i="2" s="1"/>
  <c r="F866" i="2"/>
  <c r="G866" i="2" s="1"/>
  <c r="F868" i="2"/>
  <c r="G868" i="2" s="1"/>
  <c r="F870" i="2"/>
  <c r="G870" i="2" s="1"/>
  <c r="F872" i="2"/>
  <c r="G872" i="2" s="1"/>
  <c r="F874" i="2"/>
  <c r="G874" i="2" s="1"/>
  <c r="F876" i="2"/>
  <c r="G876" i="2" s="1"/>
  <c r="F878" i="2"/>
  <c r="G878" i="2" s="1"/>
  <c r="F880" i="2"/>
  <c r="G880" i="2" s="1"/>
  <c r="F882" i="2"/>
  <c r="G882" i="2" s="1"/>
  <c r="F884" i="2"/>
  <c r="G884" i="2" s="1"/>
  <c r="F886" i="2"/>
  <c r="G886" i="2" s="1"/>
  <c r="F888" i="2"/>
  <c r="G888" i="2" s="1"/>
  <c r="F890" i="2"/>
  <c r="G890" i="2" s="1"/>
  <c r="F892" i="2"/>
  <c r="G892" i="2" s="1"/>
  <c r="F894" i="2"/>
  <c r="G894" i="2" s="1"/>
  <c r="F896" i="2"/>
  <c r="G896" i="2" s="1"/>
  <c r="F898" i="2"/>
  <c r="G898" i="2" s="1"/>
  <c r="F900" i="2"/>
  <c r="G900" i="2" s="1"/>
  <c r="F902" i="2"/>
  <c r="G902" i="2" s="1"/>
  <c r="F904" i="2"/>
  <c r="G904" i="2" s="1"/>
  <c r="F906" i="2"/>
  <c r="G906" i="2" s="1"/>
  <c r="F908" i="2"/>
  <c r="G908" i="2" s="1"/>
  <c r="F910" i="2"/>
  <c r="G910" i="2" s="1"/>
  <c r="F912" i="2"/>
  <c r="G912" i="2" s="1"/>
  <c r="F914" i="2"/>
  <c r="G914" i="2" s="1"/>
  <c r="F916" i="2"/>
  <c r="G916" i="2" s="1"/>
  <c r="F918" i="2"/>
  <c r="G918" i="2" s="1"/>
  <c r="F920" i="2"/>
  <c r="G920" i="2" s="1"/>
  <c r="F922" i="2"/>
  <c r="G922" i="2" s="1"/>
  <c r="F924" i="2"/>
  <c r="G924" i="2" s="1"/>
  <c r="F926" i="2"/>
  <c r="G926" i="2" s="1"/>
  <c r="F928" i="2"/>
  <c r="G928" i="2" s="1"/>
  <c r="F930" i="2"/>
  <c r="G930" i="2" s="1"/>
  <c r="F932" i="2"/>
  <c r="G932" i="2" s="1"/>
  <c r="F934" i="2"/>
  <c r="G934" i="2" s="1"/>
  <c r="F936" i="2"/>
  <c r="G936" i="2" s="1"/>
  <c r="F938" i="2"/>
  <c r="G938" i="2" s="1"/>
  <c r="F940" i="2"/>
  <c r="G940" i="2" s="1"/>
  <c r="F942" i="2"/>
  <c r="G942" i="2" s="1"/>
  <c r="F944" i="2"/>
  <c r="G944" i="2" s="1"/>
  <c r="F946" i="2"/>
  <c r="G946" i="2" s="1"/>
  <c r="F948" i="2"/>
  <c r="G948" i="2" s="1"/>
  <c r="F950" i="2"/>
  <c r="G950" i="2" s="1"/>
  <c r="F952" i="2"/>
  <c r="G952" i="2" s="1"/>
  <c r="F954" i="2"/>
  <c r="G954" i="2" s="1"/>
  <c r="F956" i="2"/>
  <c r="G956" i="2" s="1"/>
  <c r="F958" i="2"/>
  <c r="G958" i="2" s="1"/>
  <c r="F960" i="2"/>
  <c r="G960" i="2" s="1"/>
  <c r="F962" i="2"/>
  <c r="G962" i="2" s="1"/>
  <c r="F964" i="2"/>
  <c r="G964" i="2" s="1"/>
  <c r="F966" i="2"/>
  <c r="G966" i="2" s="1"/>
  <c r="F968" i="2"/>
  <c r="G968" i="2" s="1"/>
  <c r="F970" i="2"/>
  <c r="G970" i="2" s="1"/>
  <c r="F972" i="2"/>
  <c r="G972" i="2" s="1"/>
  <c r="F974" i="2"/>
  <c r="G974" i="2" s="1"/>
  <c r="F976" i="2"/>
  <c r="G976" i="2" s="1"/>
  <c r="F978" i="2"/>
  <c r="G978" i="2" s="1"/>
  <c r="F980" i="2"/>
  <c r="G980" i="2" s="1"/>
  <c r="F982" i="2"/>
  <c r="G982" i="2" s="1"/>
  <c r="F984" i="2"/>
  <c r="G984" i="2" s="1"/>
  <c r="F986" i="2"/>
  <c r="G986" i="2" s="1"/>
  <c r="F988" i="2"/>
  <c r="G988" i="2" s="1"/>
  <c r="F990" i="2"/>
  <c r="G990" i="2" s="1"/>
  <c r="F992" i="2"/>
  <c r="G992" i="2" s="1"/>
  <c r="F994" i="2"/>
  <c r="G994" i="2" s="1"/>
  <c r="F996" i="2"/>
  <c r="G996" i="2" s="1"/>
  <c r="F998" i="2"/>
  <c r="G998" i="2" s="1"/>
  <c r="F1000" i="2"/>
  <c r="G1000" i="2" s="1"/>
  <c r="F1002" i="2"/>
  <c r="G1002" i="2" s="1"/>
  <c r="F1004" i="2"/>
  <c r="G1004" i="2" s="1"/>
  <c r="F1006" i="2"/>
  <c r="G1006" i="2" s="1"/>
  <c r="F1008" i="2"/>
  <c r="G1008" i="2" s="1"/>
  <c r="F1010" i="2"/>
  <c r="G1010" i="2" s="1"/>
  <c r="F1012" i="2"/>
  <c r="G1012" i="2" s="1"/>
  <c r="F1014" i="2"/>
  <c r="G1014" i="2" s="1"/>
  <c r="F1016" i="2"/>
  <c r="G1016" i="2" s="1"/>
  <c r="F1018" i="2"/>
  <c r="G1018" i="2" s="1"/>
  <c r="F1020" i="2"/>
  <c r="G1020" i="2" s="1"/>
  <c r="F1022" i="2"/>
  <c r="G1022" i="2" s="1"/>
  <c r="F1024" i="2"/>
  <c r="G1024" i="2" s="1"/>
  <c r="F1026" i="2"/>
  <c r="G1026" i="2" s="1"/>
  <c r="F1028" i="2"/>
  <c r="G1028" i="2" s="1"/>
  <c r="F1030" i="2"/>
  <c r="G1030" i="2" s="1"/>
  <c r="F1032" i="2"/>
  <c r="G1032" i="2" s="1"/>
  <c r="F1034" i="2"/>
  <c r="G1034" i="2" s="1"/>
  <c r="F1036" i="2"/>
  <c r="G1036" i="2" s="1"/>
  <c r="F1038" i="2"/>
  <c r="G1038" i="2" s="1"/>
  <c r="F1040" i="2"/>
  <c r="G1040" i="2" s="1"/>
  <c r="F1042" i="2"/>
  <c r="G1042" i="2" s="1"/>
  <c r="F1044" i="2"/>
  <c r="G1044" i="2" s="1"/>
  <c r="F1046" i="2"/>
  <c r="G1046" i="2" s="1"/>
  <c r="F1048" i="2"/>
  <c r="G1048" i="2" s="1"/>
  <c r="F1050" i="2"/>
  <c r="G1050" i="2" s="1"/>
  <c r="F1052" i="2"/>
  <c r="G1052" i="2" s="1"/>
  <c r="F1054" i="2"/>
  <c r="G1054" i="2" s="1"/>
  <c r="F1056" i="2"/>
  <c r="G1056" i="2" s="1"/>
  <c r="F1058" i="2"/>
  <c r="G1058" i="2" s="1"/>
  <c r="F1060" i="2"/>
  <c r="G1060" i="2" s="1"/>
  <c r="F1062" i="2"/>
  <c r="G1062" i="2" s="1"/>
  <c r="F1064" i="2"/>
  <c r="G1064" i="2" s="1"/>
  <c r="F1066" i="2"/>
  <c r="G1066" i="2" s="1"/>
  <c r="F1068" i="2"/>
  <c r="G1068" i="2" s="1"/>
  <c r="F1070" i="2"/>
  <c r="G1070" i="2" s="1"/>
  <c r="F1072" i="2"/>
  <c r="G1072" i="2" s="1"/>
  <c r="F1074" i="2"/>
  <c r="G1074" i="2" s="1"/>
  <c r="F1076" i="2"/>
  <c r="G1076" i="2" s="1"/>
  <c r="F1078" i="2"/>
  <c r="G1078" i="2" s="1"/>
  <c r="F1080" i="2"/>
  <c r="G1080" i="2" s="1"/>
  <c r="F1082" i="2"/>
  <c r="G1082" i="2" s="1"/>
  <c r="F1084" i="2"/>
  <c r="G1084" i="2" s="1"/>
  <c r="F1086" i="2"/>
  <c r="G1086" i="2" s="1"/>
  <c r="F1088" i="2"/>
  <c r="G1088" i="2" s="1"/>
  <c r="F1090" i="2"/>
  <c r="G1090" i="2" s="1"/>
  <c r="F1092" i="2"/>
  <c r="G1092" i="2" s="1"/>
  <c r="F1094" i="2"/>
  <c r="G1094" i="2" s="1"/>
  <c r="F1096" i="2"/>
  <c r="G1096" i="2" s="1"/>
  <c r="F1098" i="2"/>
  <c r="G1098" i="2" s="1"/>
  <c r="F1100" i="2"/>
  <c r="G1100" i="2" s="1"/>
  <c r="F1102" i="2"/>
  <c r="G1102" i="2" s="1"/>
  <c r="F1104" i="2"/>
  <c r="G1104" i="2" s="1"/>
  <c r="F1106" i="2"/>
  <c r="G1106" i="2" s="1"/>
  <c r="F1108" i="2"/>
  <c r="G1108" i="2" s="1"/>
  <c r="F1110" i="2"/>
  <c r="G1110" i="2" s="1"/>
  <c r="F1112" i="2"/>
  <c r="G1112" i="2" s="1"/>
  <c r="F1114" i="2"/>
  <c r="G1114" i="2" s="1"/>
  <c r="F1116" i="2"/>
  <c r="G1116" i="2" s="1"/>
  <c r="F1118" i="2"/>
  <c r="G1118" i="2" s="1"/>
  <c r="F1120" i="2"/>
  <c r="G1120" i="2" s="1"/>
  <c r="F1122" i="2"/>
  <c r="G1122" i="2" s="1"/>
  <c r="F1124" i="2"/>
  <c r="G1124" i="2" s="1"/>
  <c r="F1126" i="2"/>
  <c r="G1126" i="2" s="1"/>
  <c r="F1128" i="2"/>
  <c r="G1128" i="2" s="1"/>
  <c r="F1130" i="2"/>
  <c r="G1130" i="2" s="1"/>
  <c r="F1132" i="2"/>
  <c r="G1132" i="2" s="1"/>
  <c r="F1134" i="2"/>
  <c r="G1134" i="2" s="1"/>
  <c r="F1136" i="2"/>
  <c r="G1136" i="2" s="1"/>
  <c r="F1138" i="2"/>
  <c r="G1138" i="2" s="1"/>
  <c r="F1140" i="2"/>
  <c r="G1140" i="2" s="1"/>
  <c r="F1142" i="2"/>
  <c r="G1142" i="2" s="1"/>
  <c r="F1144" i="2"/>
  <c r="G1144" i="2" s="1"/>
  <c r="F1146" i="2"/>
  <c r="G1146" i="2" s="1"/>
  <c r="F1148" i="2"/>
  <c r="G1148" i="2" s="1"/>
  <c r="F1150" i="2"/>
  <c r="G1150" i="2" s="1"/>
  <c r="F1152" i="2"/>
  <c r="G1152" i="2" s="1"/>
  <c r="F1154" i="2"/>
  <c r="G1154" i="2" s="1"/>
  <c r="F1156" i="2"/>
  <c r="G1156" i="2" s="1"/>
  <c r="F1158" i="2"/>
  <c r="G1158" i="2" s="1"/>
  <c r="F1160" i="2"/>
  <c r="G1160" i="2" s="1"/>
  <c r="F1162" i="2"/>
  <c r="G1162" i="2" s="1"/>
  <c r="F1164" i="2"/>
  <c r="G1164" i="2" s="1"/>
  <c r="F1166" i="2"/>
  <c r="G1166" i="2" s="1"/>
  <c r="F1168" i="2"/>
  <c r="G1168" i="2" s="1"/>
  <c r="F1170" i="2"/>
  <c r="G1170" i="2" s="1"/>
  <c r="F1172" i="2"/>
  <c r="G1172" i="2" s="1"/>
  <c r="F1174" i="2"/>
  <c r="G1174" i="2" s="1"/>
  <c r="F1176" i="2"/>
  <c r="G1176" i="2" s="1"/>
  <c r="F1178" i="2"/>
  <c r="G1178" i="2" s="1"/>
  <c r="F1180" i="2"/>
  <c r="G1180" i="2" s="1"/>
  <c r="F1182" i="2"/>
  <c r="G1182" i="2" s="1"/>
  <c r="F1184" i="2"/>
  <c r="G1184" i="2" s="1"/>
  <c r="F1186" i="2"/>
  <c r="G1186" i="2" s="1"/>
  <c r="F1188" i="2"/>
  <c r="G1188" i="2" s="1"/>
  <c r="F1190" i="2"/>
  <c r="G1190" i="2" s="1"/>
  <c r="F1192" i="2"/>
  <c r="G1192" i="2" s="1"/>
  <c r="F1194" i="2"/>
  <c r="G1194" i="2" s="1"/>
  <c r="F1196" i="2"/>
  <c r="G1196" i="2" s="1"/>
  <c r="F1198" i="2"/>
  <c r="G1198" i="2" s="1"/>
  <c r="F1200" i="2"/>
  <c r="G1200" i="2" s="1"/>
  <c r="F1202" i="2"/>
  <c r="G1202" i="2" s="1"/>
  <c r="F1204" i="2"/>
  <c r="G1204" i="2" s="1"/>
  <c r="F1206" i="2"/>
  <c r="G1206" i="2" s="1"/>
  <c r="F1208" i="2"/>
  <c r="G1208" i="2" s="1"/>
  <c r="F1210" i="2"/>
  <c r="G1210" i="2" s="1"/>
  <c r="F1212" i="2"/>
  <c r="G1212" i="2" s="1"/>
  <c r="F1214" i="2"/>
  <c r="G1214" i="2" s="1"/>
  <c r="F1216" i="2"/>
  <c r="G1216" i="2" s="1"/>
  <c r="F1218" i="2"/>
  <c r="G1218" i="2" s="1"/>
  <c r="F1220" i="2"/>
  <c r="G1220" i="2" s="1"/>
  <c r="F1222" i="2"/>
  <c r="G1222" i="2" s="1"/>
  <c r="F1224" i="2"/>
  <c r="G1224" i="2" s="1"/>
  <c r="F1226" i="2"/>
  <c r="G1226" i="2" s="1"/>
  <c r="F1228" i="2"/>
  <c r="G1228" i="2" s="1"/>
  <c r="F1230" i="2"/>
  <c r="G1230" i="2" s="1"/>
  <c r="F1232" i="2"/>
  <c r="G1232" i="2" s="1"/>
  <c r="F1234" i="2"/>
  <c r="G1234" i="2" s="1"/>
  <c r="F1236" i="2"/>
  <c r="G1236" i="2" s="1"/>
  <c r="F1238" i="2"/>
  <c r="G1238" i="2" s="1"/>
  <c r="F1240" i="2"/>
  <c r="G1240" i="2" s="1"/>
  <c r="F1242" i="2"/>
  <c r="G1242" i="2" s="1"/>
  <c r="F1244" i="2"/>
  <c r="G1244" i="2" s="1"/>
  <c r="F1246" i="2"/>
  <c r="G1246" i="2" s="1"/>
  <c r="F1248" i="2"/>
  <c r="G1248" i="2" s="1"/>
  <c r="F1250" i="2"/>
  <c r="G1250" i="2" s="1"/>
  <c r="F1252" i="2"/>
  <c r="G1252" i="2" s="1"/>
  <c r="F1254" i="2"/>
  <c r="G1254" i="2" s="1"/>
  <c r="F1256" i="2"/>
  <c r="G1256" i="2" s="1"/>
  <c r="F1258" i="2"/>
  <c r="G1258" i="2" s="1"/>
  <c r="F1260" i="2"/>
  <c r="G1260" i="2" s="1"/>
  <c r="F1262" i="2"/>
  <c r="G1262" i="2" s="1"/>
  <c r="F1264" i="2"/>
  <c r="G1264" i="2" s="1"/>
  <c r="F1266" i="2"/>
  <c r="G1266" i="2" s="1"/>
  <c r="F1268" i="2"/>
  <c r="G1268" i="2" s="1"/>
  <c r="F1270" i="2"/>
  <c r="G1270" i="2" s="1"/>
  <c r="F1272" i="2"/>
  <c r="G1272" i="2" s="1"/>
  <c r="F1274" i="2"/>
  <c r="G1274" i="2" s="1"/>
  <c r="F1276" i="2"/>
  <c r="G1276" i="2" s="1"/>
  <c r="F1278" i="2"/>
  <c r="G1278" i="2" s="1"/>
  <c r="F1280" i="2"/>
  <c r="G1280" i="2" s="1"/>
  <c r="F1282" i="2"/>
  <c r="G1282" i="2" s="1"/>
  <c r="F1284" i="2"/>
  <c r="G1284" i="2" s="1"/>
  <c r="F1286" i="2"/>
  <c r="G1286" i="2" s="1"/>
  <c r="F1288" i="2"/>
  <c r="G1288" i="2" s="1"/>
  <c r="F1290" i="2"/>
  <c r="G1290" i="2" s="1"/>
  <c r="F1292" i="2"/>
  <c r="G1292" i="2" s="1"/>
  <c r="F1294" i="2"/>
  <c r="G1294" i="2" s="1"/>
  <c r="F1296" i="2"/>
  <c r="G1296" i="2" s="1"/>
  <c r="F1298" i="2"/>
  <c r="G1298" i="2" s="1"/>
  <c r="F1300" i="2"/>
  <c r="G1300" i="2" s="1"/>
  <c r="F1302" i="2"/>
  <c r="G1302" i="2" s="1"/>
  <c r="F1304" i="2"/>
  <c r="G1304" i="2" s="1"/>
  <c r="F1306" i="2"/>
  <c r="G1306" i="2" s="1"/>
  <c r="F1308" i="2"/>
  <c r="G1308" i="2" s="1"/>
  <c r="F1310" i="2"/>
  <c r="G1310" i="2" s="1"/>
  <c r="F1312" i="2"/>
  <c r="G1312" i="2" s="1"/>
  <c r="F1314" i="2"/>
  <c r="G1314" i="2" s="1"/>
  <c r="F1316" i="2"/>
  <c r="G1316" i="2" s="1"/>
  <c r="F1318" i="2"/>
  <c r="G1318" i="2" s="1"/>
  <c r="F1320" i="2"/>
  <c r="G1320" i="2" s="1"/>
  <c r="F1322" i="2"/>
  <c r="G1322" i="2" s="1"/>
  <c r="F1324" i="2"/>
  <c r="G1324" i="2" s="1"/>
  <c r="F1326" i="2"/>
  <c r="G1326" i="2" s="1"/>
  <c r="F1328" i="2"/>
  <c r="G1328" i="2" s="1"/>
  <c r="F1330" i="2"/>
  <c r="G1330" i="2" s="1"/>
  <c r="F1332" i="2"/>
  <c r="G1332" i="2" s="1"/>
  <c r="F1334" i="2"/>
  <c r="G1334" i="2" s="1"/>
  <c r="F1336" i="2"/>
  <c r="G1336" i="2" s="1"/>
  <c r="F1338" i="2"/>
  <c r="G1338" i="2" s="1"/>
  <c r="F1340" i="2"/>
  <c r="G1340" i="2" s="1"/>
  <c r="F1342" i="2"/>
  <c r="G1342" i="2" s="1"/>
  <c r="F1344" i="2"/>
  <c r="G1344" i="2" s="1"/>
  <c r="F1346" i="2"/>
  <c r="G1346" i="2" s="1"/>
  <c r="F1348" i="2"/>
  <c r="G1348" i="2" s="1"/>
  <c r="F1350" i="2"/>
  <c r="G1350" i="2" s="1"/>
  <c r="F1352" i="2"/>
  <c r="G1352" i="2" s="1"/>
  <c r="F1354" i="2"/>
  <c r="G1354" i="2" s="1"/>
  <c r="F1356" i="2"/>
  <c r="G1356" i="2" s="1"/>
  <c r="F1358" i="2"/>
  <c r="G1358" i="2" s="1"/>
  <c r="F1360" i="2"/>
  <c r="G1360" i="2" s="1"/>
  <c r="F1362" i="2"/>
  <c r="G1362" i="2" s="1"/>
  <c r="F1364" i="2"/>
  <c r="G1364" i="2" s="1"/>
  <c r="F1366" i="2"/>
  <c r="G1366" i="2" s="1"/>
  <c r="F1368" i="2"/>
  <c r="G1368" i="2" s="1"/>
  <c r="F1370" i="2"/>
  <c r="G1370" i="2" s="1"/>
  <c r="F1372" i="2"/>
  <c r="G1372" i="2" s="1"/>
  <c r="F1374" i="2"/>
  <c r="G1374" i="2" s="1"/>
  <c r="F1376" i="2"/>
  <c r="G1376" i="2" s="1"/>
  <c r="F1378" i="2"/>
  <c r="G1378" i="2" s="1"/>
  <c r="F1380" i="2"/>
  <c r="G1380" i="2" s="1"/>
  <c r="F1382" i="2"/>
  <c r="G1382" i="2" s="1"/>
  <c r="F1384" i="2"/>
  <c r="G1384" i="2" s="1"/>
  <c r="F1386" i="2"/>
  <c r="G1386" i="2" s="1"/>
  <c r="F1388" i="2"/>
  <c r="G1388" i="2" s="1"/>
  <c r="F1390" i="2"/>
  <c r="G1390" i="2" s="1"/>
  <c r="F1392" i="2"/>
  <c r="G1392" i="2" s="1"/>
  <c r="F1394" i="2"/>
  <c r="G1394" i="2" s="1"/>
  <c r="F1396" i="2"/>
  <c r="G1396" i="2" s="1"/>
  <c r="F1398" i="2"/>
  <c r="G1398" i="2" s="1"/>
  <c r="F1400" i="2"/>
  <c r="G1400" i="2" s="1"/>
  <c r="F1402" i="2"/>
  <c r="G1402" i="2" s="1"/>
  <c r="F1404" i="2"/>
  <c r="G1404" i="2" s="1"/>
  <c r="F1406" i="2"/>
  <c r="G1406" i="2" s="1"/>
  <c r="F1408" i="2"/>
  <c r="G1408" i="2" s="1"/>
  <c r="F1410" i="2"/>
  <c r="G1410" i="2" s="1"/>
  <c r="F1412" i="2"/>
  <c r="G1412" i="2" s="1"/>
  <c r="F1414" i="2"/>
  <c r="G1414" i="2" s="1"/>
  <c r="F1416" i="2"/>
  <c r="G1416" i="2" s="1"/>
  <c r="F1418" i="2"/>
  <c r="G1418" i="2" s="1"/>
  <c r="F1420" i="2"/>
  <c r="G1420" i="2" s="1"/>
  <c r="F1422" i="2"/>
  <c r="G1422" i="2" s="1"/>
  <c r="F1424" i="2"/>
  <c r="G1424" i="2" s="1"/>
  <c r="F1426" i="2"/>
  <c r="G1426" i="2" s="1"/>
  <c r="F1428" i="2"/>
  <c r="G1428" i="2" s="1"/>
  <c r="F1430" i="2"/>
  <c r="G1430" i="2" s="1"/>
  <c r="F1432" i="2"/>
  <c r="G1432" i="2" s="1"/>
  <c r="F1434" i="2"/>
  <c r="G1434" i="2" s="1"/>
  <c r="F1436" i="2"/>
  <c r="G1436" i="2" s="1"/>
  <c r="F1438" i="2"/>
  <c r="G1438" i="2" s="1"/>
  <c r="F1440" i="2"/>
  <c r="G1440" i="2" s="1"/>
  <c r="F1442" i="2"/>
  <c r="G1442" i="2" s="1"/>
  <c r="F1444" i="2"/>
  <c r="G1444" i="2" s="1"/>
  <c r="F1446" i="2"/>
  <c r="G1446" i="2" s="1"/>
  <c r="F1448" i="2"/>
  <c r="G1448" i="2" s="1"/>
  <c r="F1450" i="2"/>
  <c r="G1450" i="2" s="1"/>
  <c r="F1452" i="2"/>
  <c r="G1452" i="2" s="1"/>
  <c r="F1454" i="2"/>
  <c r="G1454" i="2" s="1"/>
  <c r="F1456" i="2"/>
  <c r="G1456" i="2" s="1"/>
  <c r="F1458" i="2"/>
  <c r="G1458" i="2" s="1"/>
  <c r="F1460" i="2"/>
  <c r="G1460" i="2" s="1"/>
  <c r="F1462" i="2"/>
  <c r="G1462" i="2" s="1"/>
  <c r="F1464" i="2"/>
  <c r="G1464" i="2" s="1"/>
  <c r="F1466" i="2"/>
  <c r="G1466" i="2" s="1"/>
  <c r="F1468" i="2"/>
  <c r="G1468" i="2" s="1"/>
  <c r="F1470" i="2"/>
  <c r="G1470" i="2" s="1"/>
  <c r="F1472" i="2"/>
  <c r="G1472" i="2" s="1"/>
  <c r="F1474" i="2"/>
  <c r="G1474" i="2" s="1"/>
  <c r="F1476" i="2"/>
  <c r="G1476" i="2" s="1"/>
  <c r="F1478" i="2"/>
  <c r="G1478" i="2" s="1"/>
  <c r="F1480" i="2"/>
  <c r="G1480" i="2" s="1"/>
  <c r="F1482" i="2"/>
  <c r="G1482" i="2" s="1"/>
  <c r="F1484" i="2"/>
  <c r="G1484" i="2" s="1"/>
  <c r="F1486" i="2"/>
  <c r="G1486" i="2" s="1"/>
  <c r="F1488" i="2"/>
  <c r="G1488" i="2" s="1"/>
  <c r="F1490" i="2"/>
  <c r="G1490" i="2" s="1"/>
  <c r="F1492" i="2"/>
  <c r="G1492" i="2" s="1"/>
  <c r="F1494" i="2"/>
  <c r="G1494" i="2" s="1"/>
  <c r="F1496" i="2"/>
  <c r="G1496" i="2" s="1"/>
  <c r="F1498" i="2"/>
  <c r="G1498" i="2" s="1"/>
  <c r="F1500" i="2"/>
  <c r="G1500" i="2" s="1"/>
  <c r="F821" i="2"/>
  <c r="G821" i="2" s="1"/>
  <c r="F823" i="2"/>
  <c r="G823" i="2" s="1"/>
  <c r="F825" i="2"/>
  <c r="G825" i="2" s="1"/>
  <c r="F827" i="2"/>
  <c r="G827" i="2" s="1"/>
  <c r="F829" i="2"/>
  <c r="G829" i="2" s="1"/>
  <c r="F831" i="2"/>
  <c r="G831" i="2" s="1"/>
  <c r="F833" i="2"/>
  <c r="G833" i="2" s="1"/>
  <c r="F835" i="2"/>
  <c r="G835" i="2" s="1"/>
  <c r="F837" i="2"/>
  <c r="G837" i="2" s="1"/>
  <c r="F839" i="2"/>
  <c r="G839" i="2" s="1"/>
  <c r="F841" i="2"/>
  <c r="G841" i="2" s="1"/>
  <c r="F843" i="2"/>
  <c r="G843" i="2" s="1"/>
  <c r="F845" i="2"/>
  <c r="G845" i="2" s="1"/>
  <c r="F847" i="2"/>
  <c r="G847" i="2" s="1"/>
  <c r="F849" i="2"/>
  <c r="G849" i="2" s="1"/>
  <c r="F851" i="2"/>
  <c r="G851" i="2" s="1"/>
  <c r="F853" i="2"/>
  <c r="G853" i="2" s="1"/>
  <c r="F855" i="2"/>
  <c r="G855" i="2" s="1"/>
  <c r="F857" i="2"/>
  <c r="G857" i="2" s="1"/>
  <c r="F859" i="2"/>
  <c r="G859" i="2" s="1"/>
  <c r="F861" i="2"/>
  <c r="G861" i="2" s="1"/>
  <c r="F863" i="2"/>
  <c r="G863" i="2" s="1"/>
  <c r="F865" i="2"/>
  <c r="G865" i="2" s="1"/>
  <c r="F867" i="2"/>
  <c r="G867" i="2" s="1"/>
  <c r="F869" i="2"/>
  <c r="G869" i="2" s="1"/>
  <c r="F871" i="2"/>
  <c r="G871" i="2" s="1"/>
  <c r="F873" i="2"/>
  <c r="G873" i="2" s="1"/>
  <c r="F875" i="2"/>
  <c r="G875" i="2" s="1"/>
  <c r="F877" i="2"/>
  <c r="G877" i="2" s="1"/>
  <c r="F879" i="2"/>
  <c r="G879" i="2" s="1"/>
  <c r="F881" i="2"/>
  <c r="G881" i="2" s="1"/>
  <c r="F883" i="2"/>
  <c r="G883" i="2" s="1"/>
  <c r="F885" i="2"/>
  <c r="G885" i="2" s="1"/>
  <c r="F887" i="2"/>
  <c r="G887" i="2" s="1"/>
  <c r="F889" i="2"/>
  <c r="G889" i="2" s="1"/>
  <c r="F891" i="2"/>
  <c r="G891" i="2" s="1"/>
  <c r="F893" i="2"/>
  <c r="G893" i="2" s="1"/>
  <c r="F895" i="2"/>
  <c r="G895" i="2" s="1"/>
  <c r="F897" i="2"/>
  <c r="G897" i="2" s="1"/>
  <c r="F899" i="2"/>
  <c r="G899" i="2" s="1"/>
  <c r="F901" i="2"/>
  <c r="G901" i="2" s="1"/>
  <c r="F903" i="2"/>
  <c r="G903" i="2" s="1"/>
  <c r="F905" i="2"/>
  <c r="G905" i="2" s="1"/>
  <c r="F907" i="2"/>
  <c r="G907" i="2" s="1"/>
  <c r="F909" i="2"/>
  <c r="G909" i="2" s="1"/>
  <c r="F911" i="2"/>
  <c r="G911" i="2" s="1"/>
  <c r="F913" i="2"/>
  <c r="G913" i="2" s="1"/>
  <c r="F915" i="2"/>
  <c r="G915" i="2" s="1"/>
  <c r="F917" i="2"/>
  <c r="G917" i="2" s="1"/>
  <c r="F919" i="2"/>
  <c r="G919" i="2" s="1"/>
  <c r="F921" i="2"/>
  <c r="G921" i="2" s="1"/>
  <c r="F923" i="2"/>
  <c r="G923" i="2" s="1"/>
  <c r="F925" i="2"/>
  <c r="G925" i="2" s="1"/>
  <c r="F927" i="2"/>
  <c r="G927" i="2" s="1"/>
  <c r="F929" i="2"/>
  <c r="G929" i="2" s="1"/>
  <c r="F931" i="2"/>
  <c r="G931" i="2" s="1"/>
  <c r="F933" i="2"/>
  <c r="G933" i="2" s="1"/>
  <c r="F935" i="2"/>
  <c r="G935" i="2" s="1"/>
  <c r="F937" i="2"/>
  <c r="G937" i="2" s="1"/>
  <c r="F939" i="2"/>
  <c r="G939" i="2" s="1"/>
  <c r="F941" i="2"/>
  <c r="G941" i="2" s="1"/>
  <c r="F943" i="2"/>
  <c r="G943" i="2" s="1"/>
  <c r="F945" i="2"/>
  <c r="G945" i="2" s="1"/>
  <c r="F947" i="2"/>
  <c r="G947" i="2" s="1"/>
  <c r="F949" i="2"/>
  <c r="G949" i="2" s="1"/>
  <c r="F951" i="2"/>
  <c r="G951" i="2" s="1"/>
  <c r="F953" i="2"/>
  <c r="G953" i="2" s="1"/>
  <c r="F955" i="2"/>
  <c r="G955" i="2" s="1"/>
  <c r="F957" i="2"/>
  <c r="G957" i="2" s="1"/>
  <c r="F959" i="2"/>
  <c r="G959" i="2" s="1"/>
  <c r="F961" i="2"/>
  <c r="G961" i="2" s="1"/>
  <c r="F963" i="2"/>
  <c r="G963" i="2" s="1"/>
  <c r="F965" i="2"/>
  <c r="G965" i="2" s="1"/>
  <c r="F967" i="2"/>
  <c r="G967" i="2" s="1"/>
  <c r="F969" i="2"/>
  <c r="G969" i="2" s="1"/>
  <c r="F971" i="2"/>
  <c r="G971" i="2" s="1"/>
  <c r="F973" i="2"/>
  <c r="G973" i="2" s="1"/>
  <c r="F975" i="2"/>
  <c r="G975" i="2" s="1"/>
  <c r="F977" i="2"/>
  <c r="G977" i="2" s="1"/>
  <c r="F979" i="2"/>
  <c r="G979" i="2" s="1"/>
  <c r="F981" i="2"/>
  <c r="G981" i="2" s="1"/>
  <c r="F983" i="2"/>
  <c r="G983" i="2" s="1"/>
  <c r="F985" i="2"/>
  <c r="G985" i="2" s="1"/>
  <c r="F987" i="2"/>
  <c r="G987" i="2" s="1"/>
  <c r="F989" i="2"/>
  <c r="G989" i="2" s="1"/>
  <c r="F991" i="2"/>
  <c r="G991" i="2" s="1"/>
  <c r="F993" i="2"/>
  <c r="G993" i="2" s="1"/>
  <c r="F995" i="2"/>
  <c r="G995" i="2" s="1"/>
  <c r="F997" i="2"/>
  <c r="G997" i="2" s="1"/>
  <c r="F999" i="2"/>
  <c r="G999" i="2" s="1"/>
  <c r="F1001" i="2"/>
  <c r="G1001" i="2" s="1"/>
  <c r="F1003" i="2"/>
  <c r="G1003" i="2" s="1"/>
  <c r="F1005" i="2"/>
  <c r="G1005" i="2" s="1"/>
  <c r="F1007" i="2"/>
  <c r="G1007" i="2" s="1"/>
  <c r="F1009" i="2"/>
  <c r="G1009" i="2" s="1"/>
  <c r="F1011" i="2"/>
  <c r="G1011" i="2" s="1"/>
  <c r="F1013" i="2"/>
  <c r="G1013" i="2" s="1"/>
  <c r="F1015" i="2"/>
  <c r="G1015" i="2" s="1"/>
  <c r="F1017" i="2"/>
  <c r="G1017" i="2" s="1"/>
  <c r="F1019" i="2"/>
  <c r="G1019" i="2" s="1"/>
  <c r="F1021" i="2"/>
  <c r="G1021" i="2" s="1"/>
  <c r="F1023" i="2"/>
  <c r="G1023" i="2" s="1"/>
  <c r="F1025" i="2"/>
  <c r="G1025" i="2" s="1"/>
  <c r="F1027" i="2"/>
  <c r="G1027" i="2" s="1"/>
  <c r="F1029" i="2"/>
  <c r="G1029" i="2" s="1"/>
  <c r="F1031" i="2"/>
  <c r="G1031" i="2" s="1"/>
  <c r="F1033" i="2"/>
  <c r="G1033" i="2" s="1"/>
  <c r="F1035" i="2"/>
  <c r="G1035" i="2" s="1"/>
  <c r="F1037" i="2"/>
  <c r="G1037" i="2" s="1"/>
  <c r="F1039" i="2"/>
  <c r="G1039" i="2" s="1"/>
  <c r="F1041" i="2"/>
  <c r="G1041" i="2" s="1"/>
  <c r="F1043" i="2"/>
  <c r="G1043" i="2" s="1"/>
  <c r="F1045" i="2"/>
  <c r="G1045" i="2" s="1"/>
  <c r="F1047" i="2"/>
  <c r="G1047" i="2" s="1"/>
  <c r="F1049" i="2"/>
  <c r="G1049" i="2" s="1"/>
  <c r="F1051" i="2"/>
  <c r="G1051" i="2" s="1"/>
  <c r="F1053" i="2"/>
  <c r="G1053" i="2" s="1"/>
  <c r="F1055" i="2"/>
  <c r="G1055" i="2" s="1"/>
  <c r="F1057" i="2"/>
  <c r="G1057" i="2" s="1"/>
  <c r="F1059" i="2"/>
  <c r="G1059" i="2" s="1"/>
  <c r="F1061" i="2"/>
  <c r="G1061" i="2" s="1"/>
  <c r="F1063" i="2"/>
  <c r="G1063" i="2" s="1"/>
  <c r="F1065" i="2"/>
  <c r="G1065" i="2" s="1"/>
  <c r="F1067" i="2"/>
  <c r="G1067" i="2" s="1"/>
  <c r="F1069" i="2"/>
  <c r="G1069" i="2" s="1"/>
  <c r="F1071" i="2"/>
  <c r="G1071" i="2" s="1"/>
  <c r="F1073" i="2"/>
  <c r="G1073" i="2" s="1"/>
  <c r="F1075" i="2"/>
  <c r="G1075" i="2" s="1"/>
  <c r="F1077" i="2"/>
  <c r="G1077" i="2" s="1"/>
  <c r="F1079" i="2"/>
  <c r="G1079" i="2" s="1"/>
  <c r="F1081" i="2"/>
  <c r="G1081" i="2" s="1"/>
  <c r="F1083" i="2"/>
  <c r="G1083" i="2" s="1"/>
  <c r="F1085" i="2"/>
  <c r="G1085" i="2" s="1"/>
  <c r="F1087" i="2"/>
  <c r="G1087" i="2" s="1"/>
  <c r="F1089" i="2"/>
  <c r="G1089" i="2" s="1"/>
  <c r="F1091" i="2"/>
  <c r="G1091" i="2" s="1"/>
  <c r="F1093" i="2"/>
  <c r="G1093" i="2" s="1"/>
  <c r="F1095" i="2"/>
  <c r="G1095" i="2" s="1"/>
  <c r="F1097" i="2"/>
  <c r="G1097" i="2" s="1"/>
  <c r="F1099" i="2"/>
  <c r="G1099" i="2" s="1"/>
  <c r="F1101" i="2"/>
  <c r="G1101" i="2" s="1"/>
  <c r="F1103" i="2"/>
  <c r="G1103" i="2" s="1"/>
  <c r="F1105" i="2"/>
  <c r="G1105" i="2" s="1"/>
  <c r="F1107" i="2"/>
  <c r="G1107" i="2" s="1"/>
  <c r="F1109" i="2"/>
  <c r="G1109" i="2" s="1"/>
  <c r="F1111" i="2"/>
  <c r="G1111" i="2" s="1"/>
  <c r="F1113" i="2"/>
  <c r="G1113" i="2" s="1"/>
  <c r="F1115" i="2"/>
  <c r="G1115" i="2" s="1"/>
  <c r="F1117" i="2"/>
  <c r="G1117" i="2" s="1"/>
  <c r="F1119" i="2"/>
  <c r="G1119" i="2" s="1"/>
  <c r="F1121" i="2"/>
  <c r="G1121" i="2" s="1"/>
  <c r="F1123" i="2"/>
  <c r="G1123" i="2" s="1"/>
  <c r="F1125" i="2"/>
  <c r="G1125" i="2" s="1"/>
  <c r="F1127" i="2"/>
  <c r="G1127" i="2" s="1"/>
  <c r="F1129" i="2"/>
  <c r="G1129" i="2" s="1"/>
  <c r="F1131" i="2"/>
  <c r="G1131" i="2" s="1"/>
  <c r="F1133" i="2"/>
  <c r="G1133" i="2" s="1"/>
  <c r="F1135" i="2"/>
  <c r="G1135" i="2" s="1"/>
  <c r="F1137" i="2"/>
  <c r="G1137" i="2" s="1"/>
  <c r="F1139" i="2"/>
  <c r="G1139" i="2" s="1"/>
  <c r="F1141" i="2"/>
  <c r="G1141" i="2" s="1"/>
  <c r="F1143" i="2"/>
  <c r="G1143" i="2" s="1"/>
  <c r="F1145" i="2"/>
  <c r="G1145" i="2" s="1"/>
  <c r="F1147" i="2"/>
  <c r="G1147" i="2" s="1"/>
  <c r="F1149" i="2"/>
  <c r="G1149" i="2" s="1"/>
  <c r="F1151" i="2"/>
  <c r="G1151" i="2" s="1"/>
  <c r="F1153" i="2"/>
  <c r="G1153" i="2" s="1"/>
  <c r="F1155" i="2"/>
  <c r="G1155" i="2" s="1"/>
  <c r="F1157" i="2"/>
  <c r="G1157" i="2" s="1"/>
  <c r="F1159" i="2"/>
  <c r="G1159" i="2" s="1"/>
  <c r="F1161" i="2"/>
  <c r="G1161" i="2" s="1"/>
  <c r="F1163" i="2"/>
  <c r="G1163" i="2" s="1"/>
  <c r="F1165" i="2"/>
  <c r="G1165" i="2" s="1"/>
  <c r="F1167" i="2"/>
  <c r="G1167" i="2" s="1"/>
  <c r="F1169" i="2"/>
  <c r="G1169" i="2" s="1"/>
  <c r="F1171" i="2"/>
  <c r="G1171" i="2" s="1"/>
  <c r="F1173" i="2"/>
  <c r="G1173" i="2" s="1"/>
  <c r="F1175" i="2"/>
  <c r="G1175" i="2" s="1"/>
  <c r="F1177" i="2"/>
  <c r="G1177" i="2" s="1"/>
  <c r="F1179" i="2"/>
  <c r="G1179" i="2" s="1"/>
  <c r="F1181" i="2"/>
  <c r="G1181" i="2" s="1"/>
  <c r="F1183" i="2"/>
  <c r="G1183" i="2" s="1"/>
  <c r="F1185" i="2"/>
  <c r="G1185" i="2" s="1"/>
  <c r="F1187" i="2"/>
  <c r="G1187" i="2" s="1"/>
  <c r="F1189" i="2"/>
  <c r="G1189" i="2" s="1"/>
  <c r="F1191" i="2"/>
  <c r="G1191" i="2" s="1"/>
  <c r="F1193" i="2"/>
  <c r="G1193" i="2" s="1"/>
  <c r="F1195" i="2"/>
  <c r="G1195" i="2" s="1"/>
  <c r="F1197" i="2"/>
  <c r="G1197" i="2" s="1"/>
  <c r="F1199" i="2"/>
  <c r="G1199" i="2" s="1"/>
  <c r="F1201" i="2"/>
  <c r="G1201" i="2" s="1"/>
  <c r="F1203" i="2"/>
  <c r="G1203" i="2" s="1"/>
  <c r="F1205" i="2"/>
  <c r="G1205" i="2" s="1"/>
  <c r="F1207" i="2"/>
  <c r="G1207" i="2" s="1"/>
  <c r="F1209" i="2"/>
  <c r="G1209" i="2" s="1"/>
  <c r="F1211" i="2"/>
  <c r="G1211" i="2" s="1"/>
  <c r="F1213" i="2"/>
  <c r="G1213" i="2" s="1"/>
  <c r="F1215" i="2"/>
  <c r="G1215" i="2" s="1"/>
  <c r="F1217" i="2"/>
  <c r="G1217" i="2" s="1"/>
  <c r="F1219" i="2"/>
  <c r="G1219" i="2" s="1"/>
  <c r="F1221" i="2"/>
  <c r="G1221" i="2" s="1"/>
  <c r="F1223" i="2"/>
  <c r="G1223" i="2" s="1"/>
  <c r="F1225" i="2"/>
  <c r="G1225" i="2" s="1"/>
  <c r="F1227" i="2"/>
  <c r="G1227" i="2" s="1"/>
  <c r="F1229" i="2"/>
  <c r="G1229" i="2" s="1"/>
  <c r="F1231" i="2"/>
  <c r="G1231" i="2" s="1"/>
  <c r="F1233" i="2"/>
  <c r="G1233" i="2" s="1"/>
  <c r="F1235" i="2"/>
  <c r="G1235" i="2" s="1"/>
  <c r="F1237" i="2"/>
  <c r="G1237" i="2" s="1"/>
  <c r="F1239" i="2"/>
  <c r="G1239" i="2" s="1"/>
  <c r="F1241" i="2"/>
  <c r="G1241" i="2" s="1"/>
  <c r="F1243" i="2"/>
  <c r="G1243" i="2" s="1"/>
  <c r="F1245" i="2"/>
  <c r="G1245" i="2" s="1"/>
  <c r="F1247" i="2"/>
  <c r="G1247" i="2" s="1"/>
  <c r="F1249" i="2"/>
  <c r="G1249" i="2" s="1"/>
  <c r="F1251" i="2"/>
  <c r="G1251" i="2" s="1"/>
  <c r="F1253" i="2"/>
  <c r="G1253" i="2" s="1"/>
  <c r="F1255" i="2"/>
  <c r="G1255" i="2" s="1"/>
  <c r="F1257" i="2"/>
  <c r="G1257" i="2" s="1"/>
  <c r="F1259" i="2"/>
  <c r="G1259" i="2" s="1"/>
  <c r="F1261" i="2"/>
  <c r="G1261" i="2" s="1"/>
  <c r="F1263" i="2"/>
  <c r="G1263" i="2" s="1"/>
  <c r="F1265" i="2"/>
  <c r="G1265" i="2" s="1"/>
  <c r="F1267" i="2"/>
  <c r="G1267" i="2" s="1"/>
  <c r="F1269" i="2"/>
  <c r="G1269" i="2" s="1"/>
  <c r="F1271" i="2"/>
  <c r="G1271" i="2" s="1"/>
  <c r="F1273" i="2"/>
  <c r="G1273" i="2" s="1"/>
  <c r="F1275" i="2"/>
  <c r="G1275" i="2" s="1"/>
  <c r="F1277" i="2"/>
  <c r="G1277" i="2" s="1"/>
  <c r="F1279" i="2"/>
  <c r="G1279" i="2" s="1"/>
  <c r="F1281" i="2"/>
  <c r="G1281" i="2" s="1"/>
  <c r="F1283" i="2"/>
  <c r="G1283" i="2" s="1"/>
  <c r="F1285" i="2"/>
  <c r="G1285" i="2" s="1"/>
  <c r="F1287" i="2"/>
  <c r="G1287" i="2" s="1"/>
  <c r="F1289" i="2"/>
  <c r="G1289" i="2" s="1"/>
  <c r="F1291" i="2"/>
  <c r="G1291" i="2" s="1"/>
  <c r="F1293" i="2"/>
  <c r="G1293" i="2" s="1"/>
  <c r="F1295" i="2"/>
  <c r="G1295" i="2" s="1"/>
  <c r="F1297" i="2"/>
  <c r="G1297" i="2" s="1"/>
  <c r="F1299" i="2"/>
  <c r="G1299" i="2" s="1"/>
  <c r="F1301" i="2"/>
  <c r="G1301" i="2" s="1"/>
  <c r="F1303" i="2"/>
  <c r="G1303" i="2" s="1"/>
  <c r="F1305" i="2"/>
  <c r="G1305" i="2" s="1"/>
  <c r="F1307" i="2"/>
  <c r="G1307" i="2" s="1"/>
  <c r="F1309" i="2"/>
  <c r="G1309" i="2" s="1"/>
  <c r="F1311" i="2"/>
  <c r="G1311" i="2" s="1"/>
  <c r="F1313" i="2"/>
  <c r="G1313" i="2" s="1"/>
  <c r="F1315" i="2"/>
  <c r="G1315" i="2" s="1"/>
  <c r="F1317" i="2"/>
  <c r="G1317" i="2" s="1"/>
  <c r="F1319" i="2"/>
  <c r="G1319" i="2" s="1"/>
  <c r="F1321" i="2"/>
  <c r="G1321" i="2" s="1"/>
  <c r="F1323" i="2"/>
  <c r="G1323" i="2" s="1"/>
  <c r="F1325" i="2"/>
  <c r="G1325" i="2" s="1"/>
  <c r="F1327" i="2"/>
  <c r="G1327" i="2" s="1"/>
  <c r="F1329" i="2"/>
  <c r="G1329" i="2" s="1"/>
  <c r="F1331" i="2"/>
  <c r="G1331" i="2" s="1"/>
  <c r="F1333" i="2"/>
  <c r="G1333" i="2" s="1"/>
  <c r="F1335" i="2"/>
  <c r="G1335" i="2" s="1"/>
  <c r="F1337" i="2"/>
  <c r="G1337" i="2" s="1"/>
  <c r="F1339" i="2"/>
  <c r="G1339" i="2" s="1"/>
  <c r="F1341" i="2"/>
  <c r="G1341" i="2" s="1"/>
  <c r="F1343" i="2"/>
  <c r="G1343" i="2" s="1"/>
  <c r="F1345" i="2"/>
  <c r="G1345" i="2" s="1"/>
  <c r="F1347" i="2"/>
  <c r="G1347" i="2" s="1"/>
  <c r="F1349" i="2"/>
  <c r="G1349" i="2" s="1"/>
  <c r="F1351" i="2"/>
  <c r="G1351" i="2" s="1"/>
  <c r="F1353" i="2"/>
  <c r="G1353" i="2" s="1"/>
  <c r="F1355" i="2"/>
  <c r="G1355" i="2" s="1"/>
  <c r="F1357" i="2"/>
  <c r="G1357" i="2" s="1"/>
  <c r="F1359" i="2"/>
  <c r="G1359" i="2" s="1"/>
  <c r="F1361" i="2"/>
  <c r="G1361" i="2" s="1"/>
  <c r="F1363" i="2"/>
  <c r="G1363" i="2" s="1"/>
  <c r="F1365" i="2"/>
  <c r="G1365" i="2" s="1"/>
  <c r="F1367" i="2"/>
  <c r="G1367" i="2" s="1"/>
  <c r="F1369" i="2"/>
  <c r="G1369" i="2" s="1"/>
  <c r="F1371" i="2"/>
  <c r="G1371" i="2" s="1"/>
  <c r="F1373" i="2"/>
  <c r="G1373" i="2" s="1"/>
  <c r="F1375" i="2"/>
  <c r="G1375" i="2" s="1"/>
  <c r="F1377" i="2"/>
  <c r="G1377" i="2" s="1"/>
  <c r="F1379" i="2"/>
  <c r="G1379" i="2" s="1"/>
  <c r="F1381" i="2"/>
  <c r="G1381" i="2" s="1"/>
  <c r="F1383" i="2"/>
  <c r="G1383" i="2" s="1"/>
  <c r="F1385" i="2"/>
  <c r="G1385" i="2" s="1"/>
  <c r="F1387" i="2"/>
  <c r="G1387" i="2" s="1"/>
  <c r="F1389" i="2"/>
  <c r="G1389" i="2" s="1"/>
  <c r="F1391" i="2"/>
  <c r="G1391" i="2" s="1"/>
  <c r="F1393" i="2"/>
  <c r="G1393" i="2" s="1"/>
  <c r="F1395" i="2"/>
  <c r="G1395" i="2" s="1"/>
  <c r="F1397" i="2"/>
  <c r="G1397" i="2" s="1"/>
  <c r="F1399" i="2"/>
  <c r="G1399" i="2" s="1"/>
  <c r="F1401" i="2"/>
  <c r="G1401" i="2" s="1"/>
  <c r="F1403" i="2"/>
  <c r="G1403" i="2" s="1"/>
  <c r="F1405" i="2"/>
  <c r="G1405" i="2" s="1"/>
  <c r="F1407" i="2"/>
  <c r="G1407" i="2" s="1"/>
  <c r="F1409" i="2"/>
  <c r="G1409" i="2" s="1"/>
  <c r="F1411" i="2"/>
  <c r="G1411" i="2" s="1"/>
  <c r="F1413" i="2"/>
  <c r="G1413" i="2" s="1"/>
  <c r="F1415" i="2"/>
  <c r="G1415" i="2" s="1"/>
  <c r="F1417" i="2"/>
  <c r="G1417" i="2" s="1"/>
  <c r="F1419" i="2"/>
  <c r="G1419" i="2" s="1"/>
  <c r="F1421" i="2"/>
  <c r="G1421" i="2" s="1"/>
  <c r="F1423" i="2"/>
  <c r="G1423" i="2" s="1"/>
  <c r="F1425" i="2"/>
  <c r="G1425" i="2" s="1"/>
  <c r="F1427" i="2"/>
  <c r="G1427" i="2" s="1"/>
  <c r="F1429" i="2"/>
  <c r="G1429" i="2" s="1"/>
  <c r="F1431" i="2"/>
  <c r="G1431" i="2" s="1"/>
  <c r="F1433" i="2"/>
  <c r="G1433" i="2" s="1"/>
  <c r="F1435" i="2"/>
  <c r="G1435" i="2" s="1"/>
  <c r="F1437" i="2"/>
  <c r="G1437" i="2" s="1"/>
  <c r="F1439" i="2"/>
  <c r="G1439" i="2" s="1"/>
  <c r="F1441" i="2"/>
  <c r="G1441" i="2" s="1"/>
  <c r="F1443" i="2"/>
  <c r="G1443" i="2" s="1"/>
  <c r="F1445" i="2"/>
  <c r="G1445" i="2" s="1"/>
  <c r="F1447" i="2"/>
  <c r="G1447" i="2" s="1"/>
  <c r="F1449" i="2"/>
  <c r="G1449" i="2" s="1"/>
  <c r="F1451" i="2"/>
  <c r="G1451" i="2" s="1"/>
  <c r="F1453" i="2"/>
  <c r="G1453" i="2" s="1"/>
  <c r="F1455" i="2"/>
  <c r="G1455" i="2" s="1"/>
  <c r="F1457" i="2"/>
  <c r="G1457" i="2" s="1"/>
  <c r="F1459" i="2"/>
  <c r="G1459" i="2" s="1"/>
  <c r="F1461" i="2"/>
  <c r="G1461" i="2" s="1"/>
  <c r="F1463" i="2"/>
  <c r="G1463" i="2" s="1"/>
  <c r="F1465" i="2"/>
  <c r="G1465" i="2" s="1"/>
  <c r="F1467" i="2"/>
  <c r="G1467" i="2" s="1"/>
  <c r="F1469" i="2"/>
  <c r="G1469" i="2" s="1"/>
  <c r="F1471" i="2"/>
  <c r="G1471" i="2" s="1"/>
  <c r="F1473" i="2"/>
  <c r="G1473" i="2" s="1"/>
  <c r="F1475" i="2"/>
  <c r="G1475" i="2" s="1"/>
  <c r="F1477" i="2"/>
  <c r="G1477" i="2" s="1"/>
  <c r="F1479" i="2"/>
  <c r="G1479" i="2" s="1"/>
  <c r="F1481" i="2"/>
  <c r="G1481" i="2" s="1"/>
  <c r="F1483" i="2"/>
  <c r="G1483" i="2" s="1"/>
  <c r="F1485" i="2"/>
  <c r="G1485" i="2" s="1"/>
  <c r="F1487" i="2"/>
  <c r="G1487" i="2" s="1"/>
  <c r="F1489" i="2"/>
  <c r="G1489" i="2" s="1"/>
  <c r="F1491" i="2"/>
  <c r="G1491" i="2" s="1"/>
  <c r="F1493" i="2"/>
  <c r="G1493" i="2" s="1"/>
  <c r="F1495" i="2"/>
  <c r="G1495" i="2" s="1"/>
  <c r="F1499" i="2"/>
  <c r="G1499" i="2" s="1"/>
  <c r="F1502" i="2"/>
  <c r="G1502" i="2" s="1"/>
  <c r="F1504" i="2"/>
  <c r="G1504" i="2" s="1"/>
  <c r="F1506" i="2"/>
  <c r="G1506" i="2" s="1"/>
  <c r="F1508" i="2"/>
  <c r="G1508" i="2" s="1"/>
  <c r="F1510" i="2"/>
  <c r="G1510" i="2" s="1"/>
  <c r="F1512" i="2"/>
  <c r="G1512" i="2" s="1"/>
  <c r="F1514" i="2"/>
  <c r="G1514" i="2" s="1"/>
  <c r="F1516" i="2"/>
  <c r="G1516" i="2" s="1"/>
  <c r="F1518" i="2"/>
  <c r="G1518" i="2" s="1"/>
  <c r="F1520" i="2"/>
  <c r="G1520" i="2" s="1"/>
  <c r="F1522" i="2"/>
  <c r="G1522" i="2" s="1"/>
  <c r="F1524" i="2"/>
  <c r="G1524" i="2" s="1"/>
  <c r="F1526" i="2"/>
  <c r="G1526" i="2" s="1"/>
  <c r="F1528" i="2"/>
  <c r="G1528" i="2" s="1"/>
  <c r="F1530" i="2"/>
  <c r="G1530" i="2" s="1"/>
  <c r="F1532" i="2"/>
  <c r="G1532" i="2" s="1"/>
  <c r="F1534" i="2"/>
  <c r="G1534" i="2" s="1"/>
  <c r="F1536" i="2"/>
  <c r="G1536" i="2" s="1"/>
  <c r="F1538" i="2"/>
  <c r="G1538" i="2" s="1"/>
  <c r="F1540" i="2"/>
  <c r="G1540" i="2" s="1"/>
  <c r="F1542" i="2"/>
  <c r="G1542" i="2" s="1"/>
  <c r="F1544" i="2"/>
  <c r="G1544" i="2" s="1"/>
  <c r="F1546" i="2"/>
  <c r="G1546" i="2" s="1"/>
  <c r="F1548" i="2"/>
  <c r="G1548" i="2" s="1"/>
  <c r="F1550" i="2"/>
  <c r="G1550" i="2" s="1"/>
  <c r="F1552" i="2"/>
  <c r="G1552" i="2" s="1"/>
  <c r="F1554" i="2"/>
  <c r="G1554" i="2" s="1"/>
  <c r="F1556" i="2"/>
  <c r="G1556" i="2" s="1"/>
  <c r="F1558" i="2"/>
  <c r="G1558" i="2" s="1"/>
  <c r="F1560" i="2"/>
  <c r="G1560" i="2" s="1"/>
  <c r="F1562" i="2"/>
  <c r="G1562" i="2" s="1"/>
  <c r="F1564" i="2"/>
  <c r="G1564" i="2" s="1"/>
  <c r="F1566" i="2"/>
  <c r="G1566" i="2" s="1"/>
  <c r="F1568" i="2"/>
  <c r="G1568" i="2" s="1"/>
  <c r="F1570" i="2"/>
  <c r="G1570" i="2" s="1"/>
  <c r="F1572" i="2"/>
  <c r="G1572" i="2" s="1"/>
  <c r="F1574" i="2"/>
  <c r="G1574" i="2" s="1"/>
  <c r="F1576" i="2"/>
  <c r="G1576" i="2" s="1"/>
  <c r="F1578" i="2"/>
  <c r="G1578" i="2" s="1"/>
  <c r="F1580" i="2"/>
  <c r="G1580" i="2" s="1"/>
  <c r="F1582" i="2"/>
  <c r="G1582" i="2" s="1"/>
  <c r="F1584" i="2"/>
  <c r="G1584" i="2" s="1"/>
  <c r="F1586" i="2"/>
  <c r="G1586" i="2" s="1"/>
  <c r="F1588" i="2"/>
  <c r="G1588" i="2" s="1"/>
  <c r="F1590" i="2"/>
  <c r="G1590" i="2" s="1"/>
  <c r="F1592" i="2"/>
  <c r="G1592" i="2" s="1"/>
  <c r="F1594" i="2"/>
  <c r="G1594" i="2" s="1"/>
  <c r="F1596" i="2"/>
  <c r="G1596" i="2" s="1"/>
  <c r="F1598" i="2"/>
  <c r="G1598" i="2" s="1"/>
  <c r="F1600" i="2"/>
  <c r="G1600" i="2" s="1"/>
  <c r="F1602" i="2"/>
  <c r="G1602" i="2" s="1"/>
  <c r="F1604" i="2"/>
  <c r="G1604" i="2" s="1"/>
  <c r="F1606" i="2"/>
  <c r="G1606" i="2" s="1"/>
  <c r="F1608" i="2"/>
  <c r="G1608" i="2" s="1"/>
  <c r="F1610" i="2"/>
  <c r="G1610" i="2" s="1"/>
  <c r="F1612" i="2"/>
  <c r="G1612" i="2" s="1"/>
  <c r="F1614" i="2"/>
  <c r="G1614" i="2" s="1"/>
  <c r="F1616" i="2"/>
  <c r="G1616" i="2" s="1"/>
  <c r="F1618" i="2"/>
  <c r="G1618" i="2" s="1"/>
  <c r="F1620" i="2"/>
  <c r="G1620" i="2" s="1"/>
  <c r="F1622" i="2"/>
  <c r="G1622" i="2" s="1"/>
  <c r="F1624" i="2"/>
  <c r="G1624" i="2" s="1"/>
  <c r="F1626" i="2"/>
  <c r="G1626" i="2" s="1"/>
  <c r="F1628" i="2"/>
  <c r="G1628" i="2" s="1"/>
  <c r="F1630" i="2"/>
  <c r="G1630" i="2" s="1"/>
  <c r="F1632" i="2"/>
  <c r="G1632" i="2" s="1"/>
  <c r="F1634" i="2"/>
  <c r="G1634" i="2" s="1"/>
  <c r="F1636" i="2"/>
  <c r="G1636" i="2" s="1"/>
  <c r="F1638" i="2"/>
  <c r="G1638" i="2" s="1"/>
  <c r="F1640" i="2"/>
  <c r="G1640" i="2" s="1"/>
  <c r="F1642" i="2"/>
  <c r="G1642" i="2" s="1"/>
  <c r="F1644" i="2"/>
  <c r="G1644" i="2" s="1"/>
  <c r="F1646" i="2"/>
  <c r="G1646" i="2" s="1"/>
  <c r="F1648" i="2"/>
  <c r="G1648" i="2" s="1"/>
  <c r="F1650" i="2"/>
  <c r="G1650" i="2" s="1"/>
  <c r="F1652" i="2"/>
  <c r="G1652" i="2" s="1"/>
  <c r="F1654" i="2"/>
  <c r="G1654" i="2" s="1"/>
  <c r="F1656" i="2"/>
  <c r="G1656" i="2" s="1"/>
  <c r="F1658" i="2"/>
  <c r="G1658" i="2" s="1"/>
  <c r="F1660" i="2"/>
  <c r="G1660" i="2" s="1"/>
  <c r="F1662" i="2"/>
  <c r="G1662" i="2" s="1"/>
  <c r="F1664" i="2"/>
  <c r="G1664" i="2" s="1"/>
  <c r="F1666" i="2"/>
  <c r="G1666" i="2" s="1"/>
  <c r="F1668" i="2"/>
  <c r="G1668" i="2" s="1"/>
  <c r="F1670" i="2"/>
  <c r="G1670" i="2" s="1"/>
  <c r="F1672" i="2"/>
  <c r="G1672" i="2" s="1"/>
  <c r="F1674" i="2"/>
  <c r="G1674" i="2" s="1"/>
  <c r="F1676" i="2"/>
  <c r="G1676" i="2" s="1"/>
  <c r="F1678" i="2"/>
  <c r="G1678" i="2" s="1"/>
  <c r="F1680" i="2"/>
  <c r="G1680" i="2" s="1"/>
  <c r="F1682" i="2"/>
  <c r="G1682" i="2" s="1"/>
  <c r="F1684" i="2"/>
  <c r="G1684" i="2" s="1"/>
  <c r="F1686" i="2"/>
  <c r="G1686" i="2" s="1"/>
  <c r="F1688" i="2"/>
  <c r="G1688" i="2" s="1"/>
  <c r="F1690" i="2"/>
  <c r="G1690" i="2" s="1"/>
  <c r="F1692" i="2"/>
  <c r="G1692" i="2" s="1"/>
  <c r="F1694" i="2"/>
  <c r="G1694" i="2" s="1"/>
  <c r="F1696" i="2"/>
  <c r="G1696" i="2" s="1"/>
  <c r="F1698" i="2"/>
  <c r="G1698" i="2" s="1"/>
  <c r="F1700" i="2"/>
  <c r="G1700" i="2" s="1"/>
  <c r="F1702" i="2"/>
  <c r="G1702" i="2" s="1"/>
  <c r="F1704" i="2"/>
  <c r="G1704" i="2" s="1"/>
  <c r="F1706" i="2"/>
  <c r="G1706" i="2" s="1"/>
  <c r="F1708" i="2"/>
  <c r="G1708" i="2" s="1"/>
  <c r="F1710" i="2"/>
  <c r="G1710" i="2" s="1"/>
  <c r="F1712" i="2"/>
  <c r="G1712" i="2" s="1"/>
  <c r="F1714" i="2"/>
  <c r="G1714" i="2" s="1"/>
  <c r="F1716" i="2"/>
  <c r="G1716" i="2" s="1"/>
  <c r="F1718" i="2"/>
  <c r="G1718" i="2" s="1"/>
  <c r="F1720" i="2"/>
  <c r="G1720" i="2" s="1"/>
  <c r="F1722" i="2"/>
  <c r="G1722" i="2" s="1"/>
  <c r="F1724" i="2"/>
  <c r="G1724" i="2" s="1"/>
  <c r="F1726" i="2"/>
  <c r="G1726" i="2" s="1"/>
  <c r="F1728" i="2"/>
  <c r="G1728" i="2" s="1"/>
  <c r="F1730" i="2"/>
  <c r="G1730" i="2" s="1"/>
  <c r="F1732" i="2"/>
  <c r="G1732" i="2" s="1"/>
  <c r="F1734" i="2"/>
  <c r="G1734" i="2" s="1"/>
  <c r="F1736" i="2"/>
  <c r="G1736" i="2" s="1"/>
  <c r="F1738" i="2"/>
  <c r="G1738" i="2" s="1"/>
  <c r="F1740" i="2"/>
  <c r="G1740" i="2" s="1"/>
  <c r="F1742" i="2"/>
  <c r="G1742" i="2" s="1"/>
  <c r="F1744" i="2"/>
  <c r="G1744" i="2" s="1"/>
  <c r="F1746" i="2"/>
  <c r="G1746" i="2" s="1"/>
  <c r="F1748" i="2"/>
  <c r="G1748" i="2" s="1"/>
  <c r="F1750" i="2"/>
  <c r="G1750" i="2" s="1"/>
  <c r="F1752" i="2"/>
  <c r="G1752" i="2" s="1"/>
  <c r="F1754" i="2"/>
  <c r="G1754" i="2" s="1"/>
  <c r="F1756" i="2"/>
  <c r="G1756" i="2" s="1"/>
  <c r="F1758" i="2"/>
  <c r="G1758" i="2" s="1"/>
  <c r="F1760" i="2"/>
  <c r="G1760" i="2" s="1"/>
  <c r="F1762" i="2"/>
  <c r="G1762" i="2" s="1"/>
  <c r="F1764" i="2"/>
  <c r="G1764" i="2" s="1"/>
  <c r="F1766" i="2"/>
  <c r="G1766" i="2" s="1"/>
  <c r="F1768" i="2"/>
  <c r="G1768" i="2" s="1"/>
  <c r="F1770" i="2"/>
  <c r="G1770" i="2" s="1"/>
  <c r="F1772" i="2"/>
  <c r="G1772" i="2" s="1"/>
  <c r="F1774" i="2"/>
  <c r="G1774" i="2" s="1"/>
  <c r="F1776" i="2"/>
  <c r="G1776" i="2" s="1"/>
  <c r="F1778" i="2"/>
  <c r="G1778" i="2" s="1"/>
  <c r="F1780" i="2"/>
  <c r="G1780" i="2" s="1"/>
  <c r="F1782" i="2"/>
  <c r="G1782" i="2" s="1"/>
  <c r="F1784" i="2"/>
  <c r="G1784" i="2" s="1"/>
  <c r="F1786" i="2"/>
  <c r="G1786" i="2" s="1"/>
  <c r="F1788" i="2"/>
  <c r="G1788" i="2" s="1"/>
  <c r="F1790" i="2"/>
  <c r="G1790" i="2" s="1"/>
  <c r="F1792" i="2"/>
  <c r="G1792" i="2" s="1"/>
  <c r="F1794" i="2"/>
  <c r="G1794" i="2" s="1"/>
  <c r="F1796" i="2"/>
  <c r="G1796" i="2" s="1"/>
  <c r="F1798" i="2"/>
  <c r="G1798" i="2" s="1"/>
  <c r="F1800" i="2"/>
  <c r="G1800" i="2" s="1"/>
  <c r="F1802" i="2"/>
  <c r="G1802" i="2" s="1"/>
  <c r="F1804" i="2"/>
  <c r="G1804" i="2" s="1"/>
  <c r="F1806" i="2"/>
  <c r="G1806" i="2" s="1"/>
  <c r="F1808" i="2"/>
  <c r="G1808" i="2" s="1"/>
  <c r="F1810" i="2"/>
  <c r="G1810" i="2" s="1"/>
  <c r="F1812" i="2"/>
  <c r="G1812" i="2" s="1"/>
  <c r="F1814" i="2"/>
  <c r="G1814" i="2" s="1"/>
  <c r="F1816" i="2"/>
  <c r="G1816" i="2" s="1"/>
  <c r="F1818" i="2"/>
  <c r="G1818" i="2" s="1"/>
  <c r="F1820" i="2"/>
  <c r="G1820" i="2" s="1"/>
  <c r="F1822" i="2"/>
  <c r="G1822" i="2" s="1"/>
  <c r="F1824" i="2"/>
  <c r="G1824" i="2" s="1"/>
  <c r="F1826" i="2"/>
  <c r="G1826" i="2" s="1"/>
  <c r="F1828" i="2"/>
  <c r="G1828" i="2" s="1"/>
  <c r="F1830" i="2"/>
  <c r="G1830" i="2" s="1"/>
  <c r="F1832" i="2"/>
  <c r="G1832" i="2" s="1"/>
  <c r="F1834" i="2"/>
  <c r="G1834" i="2" s="1"/>
  <c r="F1836" i="2"/>
  <c r="G1836" i="2" s="1"/>
  <c r="F1838" i="2"/>
  <c r="G1838" i="2" s="1"/>
  <c r="F1840" i="2"/>
  <c r="G1840" i="2" s="1"/>
  <c r="F1842" i="2"/>
  <c r="G1842" i="2" s="1"/>
  <c r="F1844" i="2"/>
  <c r="G1844" i="2" s="1"/>
  <c r="F1846" i="2"/>
  <c r="G1846" i="2" s="1"/>
  <c r="F1848" i="2"/>
  <c r="G1848" i="2" s="1"/>
  <c r="F1850" i="2"/>
  <c r="G1850" i="2" s="1"/>
  <c r="F1852" i="2"/>
  <c r="G1852" i="2" s="1"/>
  <c r="F1854" i="2"/>
  <c r="G1854" i="2" s="1"/>
  <c r="F1856" i="2"/>
  <c r="G1856" i="2" s="1"/>
  <c r="F1858" i="2"/>
  <c r="G1858" i="2" s="1"/>
  <c r="F1860" i="2"/>
  <c r="G1860" i="2" s="1"/>
  <c r="F1862" i="2"/>
  <c r="G1862" i="2" s="1"/>
  <c r="F1864" i="2"/>
  <c r="G1864" i="2" s="1"/>
  <c r="F1866" i="2"/>
  <c r="G1866" i="2" s="1"/>
  <c r="F1868" i="2"/>
  <c r="G1868" i="2" s="1"/>
  <c r="F1870" i="2"/>
  <c r="G1870" i="2" s="1"/>
  <c r="F1872" i="2"/>
  <c r="G1872" i="2" s="1"/>
  <c r="F1874" i="2"/>
  <c r="G1874" i="2" s="1"/>
  <c r="F1876" i="2"/>
  <c r="G1876" i="2" s="1"/>
  <c r="F1878" i="2"/>
  <c r="G1878" i="2" s="1"/>
  <c r="F1880" i="2"/>
  <c r="G1880" i="2" s="1"/>
  <c r="F1882" i="2"/>
  <c r="G1882" i="2" s="1"/>
  <c r="F1884" i="2"/>
  <c r="G1884" i="2" s="1"/>
  <c r="F1886" i="2"/>
  <c r="G1886" i="2" s="1"/>
  <c r="F1888" i="2"/>
  <c r="G1888" i="2" s="1"/>
  <c r="F1497" i="2"/>
  <c r="G1497" i="2" s="1"/>
  <c r="F1501" i="2"/>
  <c r="G1501" i="2" s="1"/>
  <c r="F1503" i="2"/>
  <c r="G1503" i="2" s="1"/>
  <c r="F1505" i="2"/>
  <c r="G1505" i="2" s="1"/>
  <c r="F1507" i="2"/>
  <c r="G1507" i="2" s="1"/>
  <c r="F1509" i="2"/>
  <c r="G1509" i="2" s="1"/>
  <c r="F1511" i="2"/>
  <c r="G1511" i="2" s="1"/>
  <c r="F1513" i="2"/>
  <c r="G1513" i="2" s="1"/>
  <c r="F1515" i="2"/>
  <c r="G1515" i="2" s="1"/>
  <c r="F1517" i="2"/>
  <c r="G1517" i="2" s="1"/>
  <c r="F1519" i="2"/>
  <c r="G1519" i="2" s="1"/>
  <c r="F1521" i="2"/>
  <c r="G1521" i="2" s="1"/>
  <c r="F1523" i="2"/>
  <c r="G1523" i="2" s="1"/>
  <c r="F1525" i="2"/>
  <c r="G1525" i="2" s="1"/>
  <c r="F1527" i="2"/>
  <c r="G1527" i="2" s="1"/>
  <c r="F1529" i="2"/>
  <c r="G1529" i="2" s="1"/>
  <c r="F1531" i="2"/>
  <c r="G1531" i="2" s="1"/>
  <c r="F1533" i="2"/>
  <c r="G1533" i="2" s="1"/>
  <c r="F1535" i="2"/>
  <c r="G1535" i="2" s="1"/>
  <c r="F1537" i="2"/>
  <c r="G1537" i="2" s="1"/>
  <c r="F1539" i="2"/>
  <c r="G1539" i="2" s="1"/>
  <c r="F1541" i="2"/>
  <c r="G1541" i="2" s="1"/>
  <c r="F1543" i="2"/>
  <c r="G1543" i="2" s="1"/>
  <c r="F1545" i="2"/>
  <c r="G1545" i="2" s="1"/>
  <c r="F1547" i="2"/>
  <c r="G1547" i="2" s="1"/>
  <c r="F1549" i="2"/>
  <c r="G1549" i="2" s="1"/>
  <c r="F1551" i="2"/>
  <c r="G1551" i="2" s="1"/>
  <c r="F1553" i="2"/>
  <c r="G1553" i="2" s="1"/>
  <c r="F1555" i="2"/>
  <c r="G1555" i="2" s="1"/>
  <c r="F1557" i="2"/>
  <c r="G1557" i="2" s="1"/>
  <c r="F1559" i="2"/>
  <c r="G1559" i="2" s="1"/>
  <c r="F1561" i="2"/>
  <c r="G1561" i="2" s="1"/>
  <c r="F1563" i="2"/>
  <c r="G1563" i="2" s="1"/>
  <c r="F1565" i="2"/>
  <c r="G1565" i="2" s="1"/>
  <c r="F1567" i="2"/>
  <c r="G1567" i="2" s="1"/>
  <c r="F1569" i="2"/>
  <c r="G1569" i="2" s="1"/>
  <c r="F1571" i="2"/>
  <c r="G1571" i="2" s="1"/>
  <c r="F1573" i="2"/>
  <c r="G1573" i="2" s="1"/>
  <c r="F1575" i="2"/>
  <c r="G1575" i="2" s="1"/>
  <c r="F1577" i="2"/>
  <c r="G1577" i="2" s="1"/>
  <c r="F1579" i="2"/>
  <c r="G1579" i="2" s="1"/>
  <c r="F1581" i="2"/>
  <c r="G1581" i="2" s="1"/>
  <c r="F1583" i="2"/>
  <c r="G1583" i="2" s="1"/>
  <c r="F1585" i="2"/>
  <c r="G1585" i="2" s="1"/>
  <c r="F1587" i="2"/>
  <c r="G1587" i="2" s="1"/>
  <c r="F1589" i="2"/>
  <c r="G1589" i="2" s="1"/>
  <c r="F1591" i="2"/>
  <c r="G1591" i="2" s="1"/>
  <c r="F1593" i="2"/>
  <c r="G1593" i="2" s="1"/>
  <c r="F1595" i="2"/>
  <c r="G1595" i="2" s="1"/>
  <c r="F1597" i="2"/>
  <c r="G1597" i="2" s="1"/>
  <c r="F1599" i="2"/>
  <c r="G1599" i="2" s="1"/>
  <c r="F1601" i="2"/>
  <c r="G1601" i="2" s="1"/>
  <c r="F1603" i="2"/>
  <c r="G1603" i="2" s="1"/>
  <c r="F1605" i="2"/>
  <c r="G1605" i="2" s="1"/>
  <c r="F1607" i="2"/>
  <c r="G1607" i="2" s="1"/>
  <c r="F1609" i="2"/>
  <c r="G1609" i="2" s="1"/>
  <c r="F1611" i="2"/>
  <c r="G1611" i="2" s="1"/>
  <c r="F1613" i="2"/>
  <c r="G1613" i="2" s="1"/>
  <c r="F1615" i="2"/>
  <c r="G1615" i="2" s="1"/>
  <c r="F1617" i="2"/>
  <c r="G1617" i="2" s="1"/>
  <c r="F1619" i="2"/>
  <c r="G1619" i="2" s="1"/>
  <c r="F1621" i="2"/>
  <c r="G1621" i="2" s="1"/>
  <c r="F1623" i="2"/>
  <c r="G1623" i="2" s="1"/>
  <c r="F1625" i="2"/>
  <c r="G1625" i="2" s="1"/>
  <c r="F1627" i="2"/>
  <c r="G1627" i="2" s="1"/>
  <c r="F1629" i="2"/>
  <c r="G1629" i="2" s="1"/>
  <c r="F1631" i="2"/>
  <c r="G1631" i="2" s="1"/>
  <c r="F1633" i="2"/>
  <c r="G1633" i="2" s="1"/>
  <c r="F1635" i="2"/>
  <c r="G1635" i="2" s="1"/>
  <c r="F1637" i="2"/>
  <c r="G1637" i="2" s="1"/>
  <c r="F1639" i="2"/>
  <c r="G1639" i="2" s="1"/>
  <c r="F1641" i="2"/>
  <c r="G1641" i="2" s="1"/>
  <c r="F1643" i="2"/>
  <c r="G1643" i="2" s="1"/>
  <c r="F1645" i="2"/>
  <c r="G1645" i="2" s="1"/>
  <c r="F1647" i="2"/>
  <c r="G1647" i="2" s="1"/>
  <c r="F1649" i="2"/>
  <c r="G1649" i="2" s="1"/>
  <c r="F1651" i="2"/>
  <c r="G1651" i="2" s="1"/>
  <c r="F1653" i="2"/>
  <c r="G1653" i="2" s="1"/>
  <c r="F1655" i="2"/>
  <c r="G1655" i="2" s="1"/>
  <c r="F1657" i="2"/>
  <c r="G1657" i="2" s="1"/>
  <c r="F1659" i="2"/>
  <c r="G1659" i="2" s="1"/>
  <c r="F1661" i="2"/>
  <c r="G1661" i="2" s="1"/>
  <c r="F1663" i="2"/>
  <c r="G1663" i="2" s="1"/>
  <c r="F1665" i="2"/>
  <c r="G1665" i="2" s="1"/>
  <c r="F1667" i="2"/>
  <c r="G1667" i="2" s="1"/>
  <c r="F1669" i="2"/>
  <c r="G1669" i="2" s="1"/>
  <c r="F1671" i="2"/>
  <c r="G1671" i="2" s="1"/>
  <c r="F1673" i="2"/>
  <c r="G1673" i="2" s="1"/>
  <c r="F1675" i="2"/>
  <c r="G1675" i="2" s="1"/>
  <c r="F1677" i="2"/>
  <c r="G1677" i="2" s="1"/>
  <c r="F1679" i="2"/>
  <c r="G1679" i="2" s="1"/>
  <c r="F1681" i="2"/>
  <c r="G1681" i="2" s="1"/>
  <c r="F1683" i="2"/>
  <c r="G1683" i="2" s="1"/>
  <c r="F1685" i="2"/>
  <c r="G1685" i="2" s="1"/>
  <c r="F1687" i="2"/>
  <c r="G1687" i="2" s="1"/>
  <c r="F1689" i="2"/>
  <c r="G1689" i="2" s="1"/>
  <c r="F1691" i="2"/>
  <c r="G1691" i="2" s="1"/>
  <c r="F1693" i="2"/>
  <c r="G1693" i="2" s="1"/>
  <c r="F1695" i="2"/>
  <c r="G1695" i="2" s="1"/>
  <c r="F1697" i="2"/>
  <c r="G1697" i="2" s="1"/>
  <c r="F1699" i="2"/>
  <c r="G1699" i="2" s="1"/>
  <c r="F1701" i="2"/>
  <c r="G1701" i="2" s="1"/>
  <c r="F1703" i="2"/>
  <c r="G1703" i="2" s="1"/>
  <c r="F1705" i="2"/>
  <c r="G1705" i="2" s="1"/>
  <c r="F1707" i="2"/>
  <c r="G1707" i="2" s="1"/>
  <c r="F1709" i="2"/>
  <c r="G1709" i="2" s="1"/>
  <c r="F1711" i="2"/>
  <c r="G1711" i="2" s="1"/>
  <c r="F1713" i="2"/>
  <c r="G1713" i="2" s="1"/>
  <c r="F1715" i="2"/>
  <c r="G1715" i="2" s="1"/>
  <c r="F1717" i="2"/>
  <c r="G1717" i="2" s="1"/>
  <c r="F1719" i="2"/>
  <c r="G1719" i="2" s="1"/>
  <c r="F1721" i="2"/>
  <c r="G1721" i="2" s="1"/>
  <c r="F1723" i="2"/>
  <c r="G1723" i="2" s="1"/>
  <c r="F1725" i="2"/>
  <c r="G1725" i="2" s="1"/>
  <c r="F1727" i="2"/>
  <c r="G1727" i="2" s="1"/>
  <c r="F1729" i="2"/>
  <c r="G1729" i="2" s="1"/>
  <c r="F1731" i="2"/>
  <c r="G1731" i="2" s="1"/>
  <c r="F1733" i="2"/>
  <c r="G1733" i="2" s="1"/>
  <c r="F1735" i="2"/>
  <c r="G1735" i="2" s="1"/>
  <c r="F1737" i="2"/>
  <c r="G1737" i="2" s="1"/>
  <c r="F1739" i="2"/>
  <c r="G1739" i="2" s="1"/>
  <c r="F1741" i="2"/>
  <c r="G1741" i="2" s="1"/>
  <c r="F1743" i="2"/>
  <c r="G1743" i="2" s="1"/>
  <c r="F1745" i="2"/>
  <c r="G1745" i="2" s="1"/>
  <c r="F1747" i="2"/>
  <c r="G1747" i="2" s="1"/>
  <c r="F1749" i="2"/>
  <c r="G1749" i="2" s="1"/>
  <c r="F1751" i="2"/>
  <c r="G1751" i="2" s="1"/>
  <c r="F1753" i="2"/>
  <c r="G1753" i="2" s="1"/>
  <c r="F1755" i="2"/>
  <c r="G1755" i="2" s="1"/>
  <c r="F1757" i="2"/>
  <c r="G1757" i="2" s="1"/>
  <c r="F1759" i="2"/>
  <c r="G1759" i="2" s="1"/>
  <c r="F1761" i="2"/>
  <c r="G1761" i="2" s="1"/>
  <c r="F1763" i="2"/>
  <c r="G1763" i="2" s="1"/>
  <c r="F1765" i="2"/>
  <c r="G1765" i="2" s="1"/>
  <c r="F1767" i="2"/>
  <c r="G1767" i="2" s="1"/>
  <c r="F1769" i="2"/>
  <c r="G1769" i="2" s="1"/>
  <c r="F1771" i="2"/>
  <c r="G1771" i="2" s="1"/>
  <c r="F1773" i="2"/>
  <c r="G1773" i="2" s="1"/>
  <c r="F1775" i="2"/>
  <c r="G1775" i="2" s="1"/>
  <c r="F1777" i="2"/>
  <c r="G1777" i="2" s="1"/>
  <c r="F1779" i="2"/>
  <c r="G1779" i="2" s="1"/>
  <c r="F1781" i="2"/>
  <c r="G1781" i="2" s="1"/>
  <c r="F1783" i="2"/>
  <c r="G1783" i="2" s="1"/>
  <c r="F1785" i="2"/>
  <c r="G1785" i="2" s="1"/>
  <c r="F1787" i="2"/>
  <c r="G1787" i="2" s="1"/>
  <c r="F1789" i="2"/>
  <c r="G1789" i="2" s="1"/>
  <c r="F1791" i="2"/>
  <c r="G1791" i="2" s="1"/>
  <c r="F1793" i="2"/>
  <c r="G1793" i="2" s="1"/>
  <c r="F1795" i="2"/>
  <c r="G1795" i="2" s="1"/>
  <c r="F1797" i="2"/>
  <c r="G1797" i="2" s="1"/>
  <c r="F1799" i="2"/>
  <c r="G1799" i="2" s="1"/>
  <c r="F1801" i="2"/>
  <c r="G1801" i="2" s="1"/>
  <c r="F1803" i="2"/>
  <c r="G1803" i="2" s="1"/>
  <c r="F1805" i="2"/>
  <c r="G1805" i="2" s="1"/>
  <c r="F1807" i="2"/>
  <c r="G1807" i="2" s="1"/>
  <c r="F1809" i="2"/>
  <c r="G1809" i="2" s="1"/>
  <c r="F1811" i="2"/>
  <c r="G1811" i="2" s="1"/>
  <c r="F1813" i="2"/>
  <c r="G1813" i="2" s="1"/>
  <c r="F1815" i="2"/>
  <c r="G1815" i="2" s="1"/>
  <c r="F1817" i="2"/>
  <c r="G1817" i="2" s="1"/>
  <c r="F1819" i="2"/>
  <c r="G1819" i="2" s="1"/>
  <c r="F1821" i="2"/>
  <c r="G1821" i="2" s="1"/>
  <c r="F1823" i="2"/>
  <c r="G1823" i="2" s="1"/>
  <c r="F1825" i="2"/>
  <c r="G1825" i="2" s="1"/>
  <c r="F1827" i="2"/>
  <c r="G1827" i="2" s="1"/>
  <c r="F1829" i="2"/>
  <c r="G1829" i="2" s="1"/>
  <c r="F1831" i="2"/>
  <c r="G1831" i="2" s="1"/>
  <c r="F1833" i="2"/>
  <c r="G1833" i="2" s="1"/>
  <c r="F1835" i="2"/>
  <c r="G1835" i="2" s="1"/>
  <c r="F1837" i="2"/>
  <c r="G1837" i="2" s="1"/>
  <c r="F1839" i="2"/>
  <c r="G1839" i="2" s="1"/>
  <c r="F1841" i="2"/>
  <c r="G1841" i="2" s="1"/>
  <c r="F1843" i="2"/>
  <c r="G1843" i="2" s="1"/>
  <c r="F1845" i="2"/>
  <c r="G1845" i="2" s="1"/>
  <c r="F1847" i="2"/>
  <c r="G1847" i="2" s="1"/>
  <c r="F1849" i="2"/>
  <c r="G1849" i="2" s="1"/>
  <c r="F1851" i="2"/>
  <c r="G1851" i="2" s="1"/>
  <c r="F1853" i="2"/>
  <c r="G1853" i="2" s="1"/>
  <c r="F1855" i="2"/>
  <c r="G1855" i="2" s="1"/>
  <c r="F1857" i="2"/>
  <c r="G1857" i="2" s="1"/>
  <c r="F1859" i="2"/>
  <c r="G1859" i="2" s="1"/>
  <c r="F1861" i="2"/>
  <c r="G1861" i="2" s="1"/>
  <c r="F1863" i="2"/>
  <c r="G1863" i="2" s="1"/>
  <c r="F1865" i="2"/>
  <c r="G1865" i="2" s="1"/>
  <c r="F1867" i="2"/>
  <c r="G1867" i="2" s="1"/>
  <c r="F1869" i="2"/>
  <c r="G1869" i="2" s="1"/>
  <c r="F1871" i="2"/>
  <c r="G1871" i="2" s="1"/>
  <c r="F1873" i="2"/>
  <c r="G1873" i="2" s="1"/>
  <c r="F1875" i="2"/>
  <c r="G1875" i="2" s="1"/>
  <c r="F1877" i="2"/>
  <c r="G1877" i="2" s="1"/>
  <c r="F1879" i="2"/>
  <c r="G1879" i="2" s="1"/>
  <c r="F1881" i="2"/>
  <c r="G1881" i="2" s="1"/>
  <c r="F1883" i="2"/>
  <c r="G1883" i="2" s="1"/>
  <c r="F1885" i="2"/>
  <c r="G1885" i="2" s="1"/>
  <c r="F1887" i="2"/>
  <c r="G1887" i="2" s="1"/>
  <c r="F1889" i="2"/>
  <c r="G1889" i="2" s="1"/>
  <c r="F1891" i="2"/>
  <c r="G1891" i="2" s="1"/>
  <c r="F1893" i="2"/>
  <c r="G1893" i="2" s="1"/>
  <c r="F1895" i="2"/>
  <c r="G1895" i="2" s="1"/>
  <c r="F1897" i="2"/>
  <c r="G1897" i="2" s="1"/>
  <c r="F1899" i="2"/>
  <c r="G1899" i="2" s="1"/>
  <c r="F1901" i="2"/>
  <c r="G1901" i="2" s="1"/>
  <c r="F1903" i="2"/>
  <c r="G1903" i="2" s="1"/>
  <c r="F1905" i="2"/>
  <c r="G1905" i="2" s="1"/>
  <c r="F1907" i="2"/>
  <c r="G1907" i="2" s="1"/>
  <c r="F1909" i="2"/>
  <c r="G1909" i="2" s="1"/>
  <c r="F1911" i="2"/>
  <c r="G1911" i="2" s="1"/>
  <c r="F1913" i="2"/>
  <c r="G1913" i="2" s="1"/>
  <c r="F1915" i="2"/>
  <c r="G1915" i="2" s="1"/>
  <c r="F1917" i="2"/>
  <c r="G1917" i="2" s="1"/>
  <c r="F1919" i="2"/>
  <c r="G1919" i="2" s="1"/>
  <c r="F1921" i="2"/>
  <c r="G1921" i="2" s="1"/>
  <c r="F1923" i="2"/>
  <c r="G1923" i="2" s="1"/>
  <c r="F1925" i="2"/>
  <c r="G1925" i="2" s="1"/>
  <c r="F1927" i="2"/>
  <c r="G1927" i="2" s="1"/>
  <c r="F1929" i="2"/>
  <c r="G1929" i="2" s="1"/>
  <c r="F1931" i="2"/>
  <c r="G1931" i="2" s="1"/>
  <c r="F1933" i="2"/>
  <c r="G1933" i="2" s="1"/>
  <c r="F1935" i="2"/>
  <c r="G1935" i="2" s="1"/>
  <c r="F1937" i="2"/>
  <c r="G1937" i="2" s="1"/>
  <c r="F1939" i="2"/>
  <c r="G1939" i="2" s="1"/>
  <c r="F1941" i="2"/>
  <c r="G1941" i="2" s="1"/>
  <c r="F1943" i="2"/>
  <c r="G1943" i="2" s="1"/>
  <c r="F1945" i="2"/>
  <c r="G1945" i="2" s="1"/>
  <c r="F1947" i="2"/>
  <c r="G1947" i="2" s="1"/>
  <c r="F1949" i="2"/>
  <c r="G1949" i="2" s="1"/>
  <c r="F1951" i="2"/>
  <c r="G1951" i="2" s="1"/>
  <c r="F1953" i="2"/>
  <c r="G1953" i="2" s="1"/>
  <c r="F1955" i="2"/>
  <c r="G1955" i="2" s="1"/>
  <c r="F1957" i="2"/>
  <c r="G1957" i="2" s="1"/>
  <c r="F1959" i="2"/>
  <c r="G1959" i="2" s="1"/>
  <c r="F1961" i="2"/>
  <c r="G1961" i="2" s="1"/>
  <c r="F1963" i="2"/>
  <c r="G1963" i="2" s="1"/>
  <c r="F1965" i="2"/>
  <c r="G1965" i="2" s="1"/>
  <c r="F1967" i="2"/>
  <c r="G1967" i="2" s="1"/>
  <c r="F1969" i="2"/>
  <c r="G1969" i="2" s="1"/>
  <c r="F1971" i="2"/>
  <c r="G1971" i="2" s="1"/>
  <c r="F1973" i="2"/>
  <c r="G1973" i="2" s="1"/>
  <c r="F1975" i="2"/>
  <c r="G1975" i="2" s="1"/>
  <c r="F1977" i="2"/>
  <c r="G1977" i="2" s="1"/>
  <c r="F1979" i="2"/>
  <c r="G1979" i="2" s="1"/>
  <c r="F1981" i="2"/>
  <c r="G1981" i="2" s="1"/>
  <c r="F1983" i="2"/>
  <c r="G1983" i="2" s="1"/>
  <c r="F1985" i="2"/>
  <c r="G1985" i="2" s="1"/>
  <c r="F1987" i="2"/>
  <c r="G1987" i="2" s="1"/>
  <c r="F1989" i="2"/>
  <c r="G1989" i="2" s="1"/>
  <c r="F1991" i="2"/>
  <c r="G1991" i="2" s="1"/>
  <c r="F1993" i="2"/>
  <c r="G1993" i="2" s="1"/>
  <c r="F1995" i="2"/>
  <c r="G1995" i="2" s="1"/>
  <c r="F1997" i="2"/>
  <c r="G1997" i="2" s="1"/>
  <c r="F1999" i="2"/>
  <c r="G1999" i="2" s="1"/>
  <c r="F2001" i="2"/>
  <c r="G2001" i="2" s="1"/>
  <c r="F2003" i="2"/>
  <c r="G2003" i="2" s="1"/>
  <c r="F2005" i="2"/>
  <c r="G2005" i="2" s="1"/>
  <c r="F2007" i="2"/>
  <c r="G2007" i="2" s="1"/>
  <c r="F2009" i="2"/>
  <c r="G2009" i="2" s="1"/>
  <c r="F2011" i="2"/>
  <c r="G2011" i="2" s="1"/>
  <c r="F2013" i="2"/>
  <c r="G2013" i="2" s="1"/>
  <c r="F2015" i="2"/>
  <c r="G2015" i="2" s="1"/>
  <c r="F2017" i="2"/>
  <c r="G2017" i="2" s="1"/>
  <c r="F2019" i="2"/>
  <c r="G2019" i="2" s="1"/>
  <c r="F2021" i="2"/>
  <c r="G2021" i="2" s="1"/>
  <c r="F2023" i="2"/>
  <c r="G2023" i="2" s="1"/>
  <c r="F2025" i="2"/>
  <c r="G2025" i="2" s="1"/>
  <c r="F2027" i="2"/>
  <c r="G2027" i="2" s="1"/>
  <c r="F2029" i="2"/>
  <c r="G2029" i="2" s="1"/>
  <c r="F2031" i="2"/>
  <c r="G2031" i="2" s="1"/>
  <c r="F2033" i="2"/>
  <c r="G2033" i="2" s="1"/>
  <c r="F2035" i="2"/>
  <c r="G2035" i="2" s="1"/>
  <c r="F2037" i="2"/>
  <c r="G2037" i="2" s="1"/>
  <c r="F2039" i="2"/>
  <c r="G2039" i="2" s="1"/>
  <c r="F2041" i="2"/>
  <c r="G2041" i="2" s="1"/>
  <c r="F2043" i="2"/>
  <c r="G2043" i="2" s="1"/>
  <c r="F2045" i="2"/>
  <c r="G2045" i="2" s="1"/>
  <c r="F2047" i="2"/>
  <c r="G2047" i="2" s="1"/>
  <c r="F2049" i="2"/>
  <c r="G2049" i="2" s="1"/>
  <c r="F2051" i="2"/>
  <c r="G2051" i="2" s="1"/>
  <c r="F2053" i="2"/>
  <c r="G2053" i="2" s="1"/>
  <c r="F2055" i="2"/>
  <c r="G2055" i="2" s="1"/>
  <c r="F2057" i="2"/>
  <c r="G2057" i="2" s="1"/>
  <c r="F2059" i="2"/>
  <c r="G2059" i="2" s="1"/>
  <c r="F2061" i="2"/>
  <c r="G2061" i="2" s="1"/>
  <c r="F2063" i="2"/>
  <c r="G2063" i="2" s="1"/>
  <c r="F2065" i="2"/>
  <c r="G2065" i="2" s="1"/>
  <c r="F2067" i="2"/>
  <c r="G2067" i="2" s="1"/>
  <c r="F2069" i="2"/>
  <c r="G2069" i="2" s="1"/>
  <c r="F2071" i="2"/>
  <c r="G2071" i="2" s="1"/>
  <c r="F2073" i="2"/>
  <c r="G2073" i="2" s="1"/>
  <c r="F2075" i="2"/>
  <c r="G2075" i="2" s="1"/>
  <c r="F2077" i="2"/>
  <c r="G2077" i="2" s="1"/>
  <c r="F2079" i="2"/>
  <c r="G2079" i="2" s="1"/>
  <c r="F2081" i="2"/>
  <c r="G2081" i="2" s="1"/>
  <c r="F2083" i="2"/>
  <c r="G2083" i="2" s="1"/>
  <c r="F2085" i="2"/>
  <c r="G2085" i="2" s="1"/>
  <c r="F2087" i="2"/>
  <c r="G2087" i="2" s="1"/>
  <c r="F2089" i="2"/>
  <c r="G2089" i="2" s="1"/>
  <c r="F2091" i="2"/>
  <c r="G2091" i="2" s="1"/>
  <c r="F2093" i="2"/>
  <c r="G2093" i="2" s="1"/>
  <c r="F2095" i="2"/>
  <c r="G2095" i="2" s="1"/>
  <c r="F2097" i="2"/>
  <c r="G2097" i="2" s="1"/>
  <c r="F2099" i="2"/>
  <c r="G2099" i="2" s="1"/>
  <c r="F2101" i="2"/>
  <c r="G2101" i="2" s="1"/>
  <c r="F2103" i="2"/>
  <c r="G2103" i="2" s="1"/>
  <c r="F2105" i="2"/>
  <c r="G2105" i="2" s="1"/>
  <c r="F2107" i="2"/>
  <c r="G2107" i="2" s="1"/>
  <c r="F2109" i="2"/>
  <c r="G2109" i="2" s="1"/>
  <c r="F2111" i="2"/>
  <c r="G2111" i="2" s="1"/>
  <c r="F2113" i="2"/>
  <c r="G2113" i="2" s="1"/>
  <c r="F2115" i="2"/>
  <c r="G2115" i="2" s="1"/>
  <c r="F2117" i="2"/>
  <c r="G2117" i="2" s="1"/>
  <c r="F2119" i="2"/>
  <c r="G2119" i="2" s="1"/>
  <c r="F2121" i="2"/>
  <c r="G2121" i="2" s="1"/>
  <c r="F2123" i="2"/>
  <c r="G2123" i="2" s="1"/>
  <c r="F2125" i="2"/>
  <c r="G2125" i="2" s="1"/>
  <c r="F2127" i="2"/>
  <c r="G2127" i="2" s="1"/>
  <c r="F2129" i="2"/>
  <c r="G2129" i="2" s="1"/>
  <c r="F2131" i="2"/>
  <c r="G2131" i="2" s="1"/>
  <c r="F2133" i="2"/>
  <c r="G2133" i="2" s="1"/>
  <c r="F2135" i="2"/>
  <c r="G2135" i="2" s="1"/>
  <c r="F2137" i="2"/>
  <c r="G2137" i="2" s="1"/>
  <c r="F2139" i="2"/>
  <c r="G2139" i="2" s="1"/>
  <c r="F2141" i="2"/>
  <c r="G2141" i="2" s="1"/>
  <c r="F2143" i="2"/>
  <c r="G2143" i="2" s="1"/>
  <c r="F2145" i="2"/>
  <c r="G2145" i="2" s="1"/>
  <c r="F2147" i="2"/>
  <c r="G2147" i="2" s="1"/>
  <c r="F2149" i="2"/>
  <c r="G2149" i="2" s="1"/>
  <c r="F2151" i="2"/>
  <c r="G2151" i="2" s="1"/>
  <c r="F2153" i="2"/>
  <c r="G2153" i="2" s="1"/>
  <c r="F2155" i="2"/>
  <c r="G2155" i="2" s="1"/>
  <c r="F2157" i="2"/>
  <c r="G2157" i="2" s="1"/>
  <c r="F2159" i="2"/>
  <c r="G2159" i="2" s="1"/>
  <c r="F2161" i="2"/>
  <c r="G2161" i="2" s="1"/>
  <c r="F2163" i="2"/>
  <c r="G2163" i="2" s="1"/>
  <c r="F2165" i="2"/>
  <c r="G2165" i="2" s="1"/>
  <c r="F2167" i="2"/>
  <c r="G2167" i="2" s="1"/>
  <c r="F2169" i="2"/>
  <c r="G2169" i="2" s="1"/>
  <c r="F2171" i="2"/>
  <c r="G2171" i="2" s="1"/>
  <c r="F2173" i="2"/>
  <c r="G2173" i="2" s="1"/>
  <c r="F2175" i="2"/>
  <c r="G2175" i="2" s="1"/>
  <c r="F2177" i="2"/>
  <c r="G2177" i="2" s="1"/>
  <c r="F2179" i="2"/>
  <c r="G2179" i="2" s="1"/>
  <c r="F1890" i="2"/>
  <c r="G1890" i="2" s="1"/>
  <c r="F1894" i="2"/>
  <c r="G1894" i="2" s="1"/>
  <c r="F1898" i="2"/>
  <c r="G1898" i="2" s="1"/>
  <c r="F1902" i="2"/>
  <c r="G1902" i="2" s="1"/>
  <c r="F1906" i="2"/>
  <c r="G1906" i="2" s="1"/>
  <c r="F1910" i="2"/>
  <c r="G1910" i="2" s="1"/>
  <c r="F1914" i="2"/>
  <c r="G1914" i="2" s="1"/>
  <c r="F1918" i="2"/>
  <c r="G1918" i="2" s="1"/>
  <c r="F1922" i="2"/>
  <c r="G1922" i="2" s="1"/>
  <c r="F1926" i="2"/>
  <c r="G1926" i="2" s="1"/>
  <c r="F1930" i="2"/>
  <c r="G1930" i="2" s="1"/>
  <c r="F1934" i="2"/>
  <c r="G1934" i="2" s="1"/>
  <c r="F1938" i="2"/>
  <c r="G1938" i="2" s="1"/>
  <c r="F1942" i="2"/>
  <c r="G1942" i="2" s="1"/>
  <c r="F1946" i="2"/>
  <c r="G1946" i="2" s="1"/>
  <c r="F1950" i="2"/>
  <c r="G1950" i="2" s="1"/>
  <c r="F1954" i="2"/>
  <c r="G1954" i="2" s="1"/>
  <c r="F1958" i="2"/>
  <c r="G1958" i="2" s="1"/>
  <c r="F1962" i="2"/>
  <c r="G1962" i="2" s="1"/>
  <c r="F1966" i="2"/>
  <c r="G1966" i="2" s="1"/>
  <c r="F1970" i="2"/>
  <c r="G1970" i="2" s="1"/>
  <c r="F1974" i="2"/>
  <c r="G1974" i="2" s="1"/>
  <c r="F1978" i="2"/>
  <c r="G1978" i="2" s="1"/>
  <c r="F1982" i="2"/>
  <c r="G1982" i="2" s="1"/>
  <c r="F1986" i="2"/>
  <c r="G1986" i="2" s="1"/>
  <c r="F1990" i="2"/>
  <c r="G1990" i="2" s="1"/>
  <c r="F1994" i="2"/>
  <c r="G1994" i="2" s="1"/>
  <c r="F1998" i="2"/>
  <c r="G1998" i="2" s="1"/>
  <c r="F2002" i="2"/>
  <c r="G2002" i="2" s="1"/>
  <c r="F2006" i="2"/>
  <c r="G2006" i="2" s="1"/>
  <c r="F2010" i="2"/>
  <c r="G2010" i="2" s="1"/>
  <c r="F2014" i="2"/>
  <c r="G2014" i="2" s="1"/>
  <c r="F2018" i="2"/>
  <c r="G2018" i="2" s="1"/>
  <c r="F2022" i="2"/>
  <c r="G2022" i="2" s="1"/>
  <c r="F2026" i="2"/>
  <c r="G2026" i="2" s="1"/>
  <c r="F2030" i="2"/>
  <c r="G2030" i="2" s="1"/>
  <c r="F2034" i="2"/>
  <c r="G2034" i="2" s="1"/>
  <c r="F2038" i="2"/>
  <c r="G2038" i="2" s="1"/>
  <c r="F2042" i="2"/>
  <c r="G2042" i="2" s="1"/>
  <c r="F2046" i="2"/>
  <c r="G2046" i="2" s="1"/>
  <c r="F2050" i="2"/>
  <c r="G2050" i="2" s="1"/>
  <c r="F2054" i="2"/>
  <c r="G2054" i="2" s="1"/>
  <c r="F2058" i="2"/>
  <c r="G2058" i="2" s="1"/>
  <c r="F2062" i="2"/>
  <c r="G2062" i="2" s="1"/>
  <c r="F2066" i="2"/>
  <c r="G2066" i="2" s="1"/>
  <c r="F2070" i="2"/>
  <c r="G2070" i="2" s="1"/>
  <c r="F2074" i="2"/>
  <c r="G2074" i="2" s="1"/>
  <c r="F2078" i="2"/>
  <c r="G2078" i="2" s="1"/>
  <c r="F2082" i="2"/>
  <c r="G2082" i="2" s="1"/>
  <c r="F2086" i="2"/>
  <c r="G2086" i="2" s="1"/>
  <c r="F2090" i="2"/>
  <c r="G2090" i="2" s="1"/>
  <c r="F2094" i="2"/>
  <c r="G2094" i="2" s="1"/>
  <c r="F2098" i="2"/>
  <c r="G2098" i="2" s="1"/>
  <c r="F2102" i="2"/>
  <c r="G2102" i="2" s="1"/>
  <c r="F2106" i="2"/>
  <c r="G2106" i="2" s="1"/>
  <c r="F2110" i="2"/>
  <c r="G2110" i="2" s="1"/>
  <c r="F2114" i="2"/>
  <c r="G2114" i="2" s="1"/>
  <c r="F2118" i="2"/>
  <c r="G2118" i="2" s="1"/>
  <c r="F2122" i="2"/>
  <c r="G2122" i="2" s="1"/>
  <c r="F2126" i="2"/>
  <c r="G2126" i="2" s="1"/>
  <c r="F2130" i="2"/>
  <c r="G2130" i="2" s="1"/>
  <c r="F2134" i="2"/>
  <c r="G2134" i="2" s="1"/>
  <c r="F2138" i="2"/>
  <c r="G2138" i="2" s="1"/>
  <c r="F2142" i="2"/>
  <c r="G2142" i="2" s="1"/>
  <c r="F2146" i="2"/>
  <c r="G2146" i="2" s="1"/>
  <c r="F2150" i="2"/>
  <c r="G2150" i="2" s="1"/>
  <c r="F2154" i="2"/>
  <c r="G2154" i="2" s="1"/>
  <c r="F2158" i="2"/>
  <c r="G2158" i="2" s="1"/>
  <c r="F2162" i="2"/>
  <c r="G2162" i="2" s="1"/>
  <c r="F2166" i="2"/>
  <c r="G2166" i="2" s="1"/>
  <c r="F2170" i="2"/>
  <c r="G2170" i="2" s="1"/>
  <c r="F2174" i="2"/>
  <c r="G2174" i="2" s="1"/>
  <c r="F2178" i="2"/>
  <c r="G2178" i="2" s="1"/>
  <c r="F2181" i="2"/>
  <c r="G2181" i="2" s="1"/>
  <c r="F2183" i="2"/>
  <c r="G2183" i="2" s="1"/>
  <c r="F2185" i="2"/>
  <c r="G2185" i="2" s="1"/>
  <c r="F2187" i="2"/>
  <c r="G2187" i="2" s="1"/>
  <c r="F2189" i="2"/>
  <c r="G2189" i="2" s="1"/>
  <c r="F2191" i="2"/>
  <c r="G2191" i="2" s="1"/>
  <c r="F2193" i="2"/>
  <c r="G2193" i="2" s="1"/>
  <c r="F2195" i="2"/>
  <c r="G2195" i="2" s="1"/>
  <c r="F2197" i="2"/>
  <c r="G2197" i="2" s="1"/>
  <c r="F2199" i="2"/>
  <c r="G2199" i="2" s="1"/>
  <c r="F2201" i="2"/>
  <c r="G2201" i="2" s="1"/>
  <c r="F2203" i="2"/>
  <c r="G2203" i="2" s="1"/>
  <c r="F2205" i="2"/>
  <c r="G2205" i="2" s="1"/>
  <c r="F2207" i="2"/>
  <c r="G2207" i="2" s="1"/>
  <c r="F2209" i="2"/>
  <c r="G2209" i="2" s="1"/>
  <c r="F2211" i="2"/>
  <c r="G2211" i="2" s="1"/>
  <c r="F2213" i="2"/>
  <c r="G2213" i="2" s="1"/>
  <c r="F2215" i="2"/>
  <c r="G2215" i="2" s="1"/>
  <c r="F2217" i="2"/>
  <c r="G2217" i="2" s="1"/>
  <c r="F2219" i="2"/>
  <c r="G2219" i="2" s="1"/>
  <c r="F2221" i="2"/>
  <c r="G2221" i="2" s="1"/>
  <c r="F2223" i="2"/>
  <c r="G2223" i="2" s="1"/>
  <c r="F2225" i="2"/>
  <c r="G2225" i="2" s="1"/>
  <c r="F2227" i="2"/>
  <c r="G2227" i="2" s="1"/>
  <c r="F2229" i="2"/>
  <c r="G2229" i="2" s="1"/>
  <c r="F2231" i="2"/>
  <c r="G2231" i="2" s="1"/>
  <c r="F2233" i="2"/>
  <c r="G2233" i="2" s="1"/>
  <c r="F2235" i="2"/>
  <c r="G2235" i="2" s="1"/>
  <c r="F2237" i="2"/>
  <c r="G2237" i="2" s="1"/>
  <c r="F2239" i="2"/>
  <c r="G2239" i="2" s="1"/>
  <c r="F2241" i="2"/>
  <c r="G2241" i="2" s="1"/>
  <c r="F2243" i="2"/>
  <c r="G2243" i="2" s="1"/>
  <c r="F2245" i="2"/>
  <c r="G2245" i="2" s="1"/>
  <c r="F2247" i="2"/>
  <c r="G2247" i="2" s="1"/>
  <c r="F2249" i="2"/>
  <c r="G2249" i="2" s="1"/>
  <c r="F2251" i="2"/>
  <c r="G2251" i="2" s="1"/>
  <c r="F2253" i="2"/>
  <c r="G2253" i="2" s="1"/>
  <c r="F2255" i="2"/>
  <c r="G2255" i="2" s="1"/>
  <c r="F2257" i="2"/>
  <c r="G2257" i="2" s="1"/>
  <c r="F2259" i="2"/>
  <c r="G2259" i="2" s="1"/>
  <c r="F2261" i="2"/>
  <c r="G2261" i="2" s="1"/>
  <c r="F2263" i="2"/>
  <c r="G2263" i="2" s="1"/>
  <c r="F2265" i="2"/>
  <c r="G2265" i="2" s="1"/>
  <c r="F2267" i="2"/>
  <c r="G2267" i="2" s="1"/>
  <c r="F2269" i="2"/>
  <c r="G2269" i="2" s="1"/>
  <c r="F2271" i="2"/>
  <c r="G2271" i="2" s="1"/>
  <c r="F2273" i="2"/>
  <c r="G2273" i="2" s="1"/>
  <c r="F2275" i="2"/>
  <c r="G2275" i="2" s="1"/>
  <c r="F2277" i="2"/>
  <c r="G2277" i="2" s="1"/>
  <c r="F2279" i="2"/>
  <c r="G2279" i="2" s="1"/>
  <c r="F2281" i="2"/>
  <c r="G2281" i="2" s="1"/>
  <c r="F2283" i="2"/>
  <c r="G2283" i="2" s="1"/>
  <c r="F2285" i="2"/>
  <c r="G2285" i="2" s="1"/>
  <c r="F2287" i="2"/>
  <c r="G2287" i="2" s="1"/>
  <c r="F2289" i="2"/>
  <c r="G2289" i="2" s="1"/>
  <c r="F2291" i="2"/>
  <c r="G2291" i="2" s="1"/>
  <c r="F2293" i="2"/>
  <c r="G2293" i="2" s="1"/>
  <c r="F2295" i="2"/>
  <c r="G2295" i="2" s="1"/>
  <c r="F2297" i="2"/>
  <c r="G2297" i="2" s="1"/>
  <c r="F2299" i="2"/>
  <c r="G2299" i="2" s="1"/>
  <c r="F2301" i="2"/>
  <c r="G2301" i="2" s="1"/>
  <c r="F2303" i="2"/>
  <c r="G2303" i="2" s="1"/>
  <c r="F2305" i="2"/>
  <c r="G2305" i="2" s="1"/>
  <c r="F2307" i="2"/>
  <c r="G2307" i="2" s="1"/>
  <c r="F2309" i="2"/>
  <c r="G2309" i="2" s="1"/>
  <c r="F2311" i="2"/>
  <c r="G2311" i="2" s="1"/>
  <c r="F2313" i="2"/>
  <c r="G2313" i="2" s="1"/>
  <c r="F2315" i="2"/>
  <c r="G2315" i="2" s="1"/>
  <c r="F2317" i="2"/>
  <c r="G2317" i="2" s="1"/>
  <c r="F2319" i="2"/>
  <c r="G2319" i="2" s="1"/>
  <c r="F2321" i="2"/>
  <c r="G2321" i="2" s="1"/>
  <c r="F2323" i="2"/>
  <c r="G2323" i="2" s="1"/>
  <c r="F2325" i="2"/>
  <c r="G2325" i="2" s="1"/>
  <c r="F2327" i="2"/>
  <c r="G2327" i="2" s="1"/>
  <c r="F2329" i="2"/>
  <c r="G2329" i="2" s="1"/>
  <c r="F2331" i="2"/>
  <c r="G2331" i="2" s="1"/>
  <c r="F2333" i="2"/>
  <c r="G2333" i="2" s="1"/>
  <c r="F2335" i="2"/>
  <c r="G2335" i="2" s="1"/>
  <c r="F2337" i="2"/>
  <c r="G2337" i="2" s="1"/>
  <c r="F2339" i="2"/>
  <c r="G2339" i="2" s="1"/>
  <c r="F2341" i="2"/>
  <c r="G2341" i="2" s="1"/>
  <c r="F2343" i="2"/>
  <c r="G2343" i="2" s="1"/>
  <c r="F2345" i="2"/>
  <c r="G2345" i="2" s="1"/>
  <c r="F2347" i="2"/>
  <c r="G2347" i="2" s="1"/>
  <c r="F2349" i="2"/>
  <c r="G2349" i="2" s="1"/>
  <c r="F2351" i="2"/>
  <c r="G2351" i="2" s="1"/>
  <c r="F2353" i="2"/>
  <c r="G2353" i="2" s="1"/>
  <c r="F2355" i="2"/>
  <c r="G2355" i="2" s="1"/>
  <c r="F2357" i="2"/>
  <c r="G2357" i="2" s="1"/>
  <c r="F2359" i="2"/>
  <c r="G2359" i="2" s="1"/>
  <c r="F2361" i="2"/>
  <c r="G2361" i="2" s="1"/>
  <c r="F2363" i="2"/>
  <c r="G2363" i="2" s="1"/>
  <c r="F2365" i="2"/>
  <c r="G2365" i="2" s="1"/>
  <c r="F2367" i="2"/>
  <c r="G2367" i="2" s="1"/>
  <c r="F2369" i="2"/>
  <c r="G2369" i="2" s="1"/>
  <c r="F2371" i="2"/>
  <c r="G2371" i="2" s="1"/>
  <c r="F2373" i="2"/>
  <c r="G2373" i="2" s="1"/>
  <c r="F2375" i="2"/>
  <c r="G2375" i="2" s="1"/>
  <c r="F2377" i="2"/>
  <c r="G2377" i="2" s="1"/>
  <c r="F2379" i="2"/>
  <c r="G2379" i="2" s="1"/>
  <c r="F2381" i="2"/>
  <c r="G2381" i="2" s="1"/>
  <c r="F2383" i="2"/>
  <c r="G2383" i="2" s="1"/>
  <c r="F2385" i="2"/>
  <c r="G2385" i="2" s="1"/>
  <c r="F2387" i="2"/>
  <c r="G2387" i="2" s="1"/>
  <c r="F2389" i="2"/>
  <c r="G2389" i="2" s="1"/>
  <c r="F2391" i="2"/>
  <c r="G2391" i="2" s="1"/>
  <c r="F2393" i="2"/>
  <c r="G2393" i="2" s="1"/>
  <c r="F2395" i="2"/>
  <c r="G2395" i="2" s="1"/>
  <c r="F2397" i="2"/>
  <c r="G2397" i="2" s="1"/>
  <c r="F2399" i="2"/>
  <c r="G2399" i="2" s="1"/>
  <c r="F2401" i="2"/>
  <c r="G2401" i="2" s="1"/>
  <c r="F2403" i="2"/>
  <c r="G2403" i="2" s="1"/>
  <c r="F2405" i="2"/>
  <c r="G2405" i="2" s="1"/>
  <c r="F2407" i="2"/>
  <c r="G2407" i="2" s="1"/>
  <c r="F2409" i="2"/>
  <c r="G2409" i="2" s="1"/>
  <c r="F2411" i="2"/>
  <c r="G2411" i="2" s="1"/>
  <c r="F2413" i="2"/>
  <c r="G2413" i="2" s="1"/>
  <c r="F2415" i="2"/>
  <c r="G2415" i="2" s="1"/>
  <c r="F2417" i="2"/>
  <c r="G2417" i="2" s="1"/>
  <c r="F2419" i="2"/>
  <c r="G2419" i="2" s="1"/>
  <c r="F2421" i="2"/>
  <c r="G2421" i="2" s="1"/>
  <c r="F2423" i="2"/>
  <c r="G2423" i="2" s="1"/>
  <c r="F2425" i="2"/>
  <c r="G2425" i="2" s="1"/>
  <c r="F2427" i="2"/>
  <c r="G2427" i="2" s="1"/>
  <c r="F2429" i="2"/>
  <c r="G2429" i="2" s="1"/>
  <c r="F2431" i="2"/>
  <c r="G2431" i="2" s="1"/>
  <c r="F2433" i="2"/>
  <c r="G2433" i="2" s="1"/>
  <c r="F2435" i="2"/>
  <c r="G2435" i="2" s="1"/>
  <c r="F2437" i="2"/>
  <c r="G2437" i="2" s="1"/>
  <c r="F2439" i="2"/>
  <c r="G2439" i="2" s="1"/>
  <c r="F2441" i="2"/>
  <c r="G2441" i="2" s="1"/>
  <c r="F2443" i="2"/>
  <c r="G2443" i="2" s="1"/>
  <c r="F2445" i="2"/>
  <c r="G2445" i="2" s="1"/>
  <c r="F2447" i="2"/>
  <c r="G2447" i="2" s="1"/>
  <c r="F2449" i="2"/>
  <c r="G2449" i="2" s="1"/>
  <c r="F2451" i="2"/>
  <c r="G2451" i="2" s="1"/>
  <c r="F2453" i="2"/>
  <c r="G2453" i="2" s="1"/>
  <c r="F2455" i="2"/>
  <c r="G2455" i="2" s="1"/>
  <c r="F2457" i="2"/>
  <c r="G2457" i="2" s="1"/>
  <c r="F2459" i="2"/>
  <c r="G2459" i="2" s="1"/>
  <c r="F2461" i="2"/>
  <c r="G2461" i="2" s="1"/>
  <c r="F2463" i="2"/>
  <c r="G2463" i="2" s="1"/>
  <c r="F2465" i="2"/>
  <c r="G2465" i="2" s="1"/>
  <c r="F2467" i="2"/>
  <c r="G2467" i="2" s="1"/>
  <c r="F2469" i="2"/>
  <c r="G2469" i="2" s="1"/>
  <c r="F2471" i="2"/>
  <c r="G2471" i="2" s="1"/>
  <c r="F2473" i="2"/>
  <c r="G2473" i="2" s="1"/>
  <c r="F2475" i="2"/>
  <c r="G2475" i="2" s="1"/>
  <c r="F2477" i="2"/>
  <c r="G2477" i="2" s="1"/>
  <c r="F2479" i="2"/>
  <c r="G2479" i="2" s="1"/>
  <c r="F2481" i="2"/>
  <c r="G2481" i="2" s="1"/>
  <c r="F2483" i="2"/>
  <c r="G2483" i="2" s="1"/>
  <c r="F2485" i="2"/>
  <c r="G2485" i="2" s="1"/>
  <c r="F2487" i="2"/>
  <c r="G2487" i="2" s="1"/>
  <c r="F2489" i="2"/>
  <c r="G2489" i="2" s="1"/>
  <c r="F2491" i="2"/>
  <c r="G2491" i="2" s="1"/>
  <c r="F2493" i="2"/>
  <c r="G2493" i="2" s="1"/>
  <c r="F2495" i="2"/>
  <c r="G2495" i="2" s="1"/>
  <c r="F2497" i="2"/>
  <c r="G2497" i="2" s="1"/>
  <c r="F2499" i="2"/>
  <c r="G2499" i="2" s="1"/>
  <c r="F2501" i="2"/>
  <c r="G2501" i="2" s="1"/>
  <c r="F2503" i="2"/>
  <c r="G2503" i="2" s="1"/>
  <c r="F2505" i="2"/>
  <c r="G2505" i="2" s="1"/>
  <c r="F2507" i="2"/>
  <c r="G2507" i="2" s="1"/>
  <c r="F2509" i="2"/>
  <c r="G2509" i="2" s="1"/>
  <c r="F2511" i="2"/>
  <c r="G2511" i="2" s="1"/>
  <c r="F2513" i="2"/>
  <c r="G2513" i="2" s="1"/>
  <c r="F2515" i="2"/>
  <c r="G2515" i="2" s="1"/>
  <c r="F2517" i="2"/>
  <c r="G2517" i="2" s="1"/>
  <c r="F2519" i="2"/>
  <c r="G2519" i="2" s="1"/>
  <c r="F2521" i="2"/>
  <c r="G2521" i="2" s="1"/>
  <c r="F2523" i="2"/>
  <c r="G2523" i="2" s="1"/>
  <c r="F2525" i="2"/>
  <c r="G2525" i="2" s="1"/>
  <c r="F2527" i="2"/>
  <c r="G2527" i="2" s="1"/>
  <c r="F2529" i="2"/>
  <c r="G2529" i="2" s="1"/>
  <c r="F2531" i="2"/>
  <c r="G2531" i="2" s="1"/>
  <c r="F2533" i="2"/>
  <c r="G2533" i="2" s="1"/>
  <c r="F2535" i="2"/>
  <c r="G2535" i="2" s="1"/>
  <c r="F2537" i="2"/>
  <c r="G2537" i="2" s="1"/>
  <c r="F2539" i="2"/>
  <c r="G2539" i="2" s="1"/>
  <c r="F2541" i="2"/>
  <c r="G2541" i="2" s="1"/>
  <c r="F2543" i="2"/>
  <c r="G2543" i="2" s="1"/>
  <c r="F2545" i="2"/>
  <c r="G2545" i="2" s="1"/>
  <c r="F2547" i="2"/>
  <c r="G2547" i="2" s="1"/>
  <c r="F2549" i="2"/>
  <c r="G2549" i="2" s="1"/>
  <c r="F2551" i="2"/>
  <c r="G2551" i="2" s="1"/>
  <c r="F2553" i="2"/>
  <c r="G2553" i="2" s="1"/>
  <c r="F2555" i="2"/>
  <c r="G2555" i="2" s="1"/>
  <c r="F2557" i="2"/>
  <c r="G2557" i="2" s="1"/>
  <c r="F2559" i="2"/>
  <c r="G2559" i="2" s="1"/>
  <c r="F2561" i="2"/>
  <c r="G2561" i="2" s="1"/>
  <c r="F2563" i="2"/>
  <c r="G2563" i="2" s="1"/>
  <c r="F2565" i="2"/>
  <c r="G2565" i="2" s="1"/>
  <c r="F2567" i="2"/>
  <c r="G2567" i="2" s="1"/>
  <c r="F2569" i="2"/>
  <c r="G2569" i="2" s="1"/>
  <c r="F2571" i="2"/>
  <c r="G2571" i="2" s="1"/>
  <c r="F2573" i="2"/>
  <c r="G2573" i="2" s="1"/>
  <c r="F2575" i="2"/>
  <c r="G2575" i="2" s="1"/>
  <c r="F2577" i="2"/>
  <c r="G2577" i="2" s="1"/>
  <c r="F2579" i="2"/>
  <c r="G2579" i="2" s="1"/>
  <c r="F2581" i="2"/>
  <c r="G2581" i="2" s="1"/>
  <c r="F2583" i="2"/>
  <c r="G2583" i="2" s="1"/>
  <c r="F2585" i="2"/>
  <c r="G2585" i="2" s="1"/>
  <c r="F2587" i="2"/>
  <c r="G2587" i="2" s="1"/>
  <c r="F2589" i="2"/>
  <c r="G2589" i="2" s="1"/>
  <c r="F2591" i="2"/>
  <c r="G2591" i="2" s="1"/>
  <c r="F2593" i="2"/>
  <c r="G2593" i="2" s="1"/>
  <c r="F2595" i="2"/>
  <c r="G2595" i="2" s="1"/>
  <c r="F2597" i="2"/>
  <c r="G2597" i="2" s="1"/>
  <c r="F2599" i="2"/>
  <c r="G2599" i="2" s="1"/>
  <c r="F2601" i="2"/>
  <c r="G2601" i="2" s="1"/>
  <c r="F2603" i="2"/>
  <c r="G2603" i="2" s="1"/>
  <c r="F2605" i="2"/>
  <c r="G2605" i="2" s="1"/>
  <c r="F2607" i="2"/>
  <c r="G2607" i="2" s="1"/>
  <c r="F2609" i="2"/>
  <c r="G2609" i="2" s="1"/>
  <c r="F2611" i="2"/>
  <c r="G2611" i="2" s="1"/>
  <c r="F2613" i="2"/>
  <c r="G2613" i="2" s="1"/>
  <c r="F2615" i="2"/>
  <c r="G2615" i="2" s="1"/>
  <c r="F2617" i="2"/>
  <c r="G2617" i="2" s="1"/>
  <c r="F2619" i="2"/>
  <c r="G2619" i="2" s="1"/>
  <c r="F2621" i="2"/>
  <c r="G2621" i="2" s="1"/>
  <c r="F2623" i="2"/>
  <c r="G2623" i="2" s="1"/>
  <c r="F2625" i="2"/>
  <c r="G2625" i="2" s="1"/>
  <c r="F2627" i="2"/>
  <c r="G2627" i="2" s="1"/>
  <c r="F2629" i="2"/>
  <c r="G2629" i="2" s="1"/>
  <c r="F2631" i="2"/>
  <c r="G2631" i="2" s="1"/>
  <c r="F2633" i="2"/>
  <c r="G2633" i="2" s="1"/>
  <c r="F2635" i="2"/>
  <c r="G2635" i="2" s="1"/>
  <c r="F2637" i="2"/>
  <c r="G2637" i="2" s="1"/>
  <c r="F2639" i="2"/>
  <c r="G2639" i="2" s="1"/>
  <c r="F2641" i="2"/>
  <c r="G2641" i="2" s="1"/>
  <c r="F2643" i="2"/>
  <c r="G2643" i="2" s="1"/>
  <c r="F2645" i="2"/>
  <c r="G2645" i="2" s="1"/>
  <c r="F2647" i="2"/>
  <c r="G2647" i="2" s="1"/>
  <c r="F2649" i="2"/>
  <c r="G2649" i="2" s="1"/>
  <c r="F2651" i="2"/>
  <c r="G2651" i="2" s="1"/>
  <c r="F2653" i="2"/>
  <c r="G2653" i="2" s="1"/>
  <c r="F2655" i="2"/>
  <c r="G2655" i="2" s="1"/>
  <c r="F2657" i="2"/>
  <c r="G2657" i="2" s="1"/>
  <c r="F2659" i="2"/>
  <c r="G2659" i="2" s="1"/>
  <c r="F2661" i="2"/>
  <c r="G2661" i="2" s="1"/>
  <c r="F2663" i="2"/>
  <c r="G2663" i="2" s="1"/>
  <c r="F2665" i="2"/>
  <c r="G2665" i="2" s="1"/>
  <c r="F2667" i="2"/>
  <c r="G2667" i="2" s="1"/>
  <c r="F2669" i="2"/>
  <c r="G2669" i="2" s="1"/>
  <c r="F2671" i="2"/>
  <c r="G2671" i="2" s="1"/>
  <c r="F2673" i="2"/>
  <c r="G2673" i="2" s="1"/>
  <c r="F2675" i="2"/>
  <c r="G2675" i="2" s="1"/>
  <c r="F2677" i="2"/>
  <c r="G2677" i="2" s="1"/>
  <c r="F2679" i="2"/>
  <c r="G2679" i="2" s="1"/>
  <c r="F2681" i="2"/>
  <c r="G2681" i="2" s="1"/>
  <c r="F2683" i="2"/>
  <c r="G2683" i="2" s="1"/>
  <c r="F2685" i="2"/>
  <c r="G2685" i="2" s="1"/>
  <c r="F2687" i="2"/>
  <c r="G2687" i="2" s="1"/>
  <c r="F2689" i="2"/>
  <c r="G2689" i="2" s="1"/>
  <c r="F2691" i="2"/>
  <c r="G2691" i="2" s="1"/>
  <c r="F2693" i="2"/>
  <c r="G2693" i="2" s="1"/>
  <c r="F2695" i="2"/>
  <c r="G2695" i="2" s="1"/>
  <c r="F2697" i="2"/>
  <c r="G2697" i="2" s="1"/>
  <c r="F2699" i="2"/>
  <c r="G2699" i="2" s="1"/>
  <c r="F2701" i="2"/>
  <c r="G2701" i="2" s="1"/>
  <c r="F2703" i="2"/>
  <c r="G2703" i="2" s="1"/>
  <c r="F2705" i="2"/>
  <c r="G2705" i="2" s="1"/>
  <c r="F2707" i="2"/>
  <c r="G2707" i="2" s="1"/>
  <c r="F2709" i="2"/>
  <c r="G2709" i="2" s="1"/>
  <c r="F2711" i="2"/>
  <c r="G2711" i="2" s="1"/>
  <c r="F2713" i="2"/>
  <c r="G2713" i="2" s="1"/>
  <c r="F2715" i="2"/>
  <c r="G2715" i="2" s="1"/>
  <c r="F2717" i="2"/>
  <c r="G2717" i="2" s="1"/>
  <c r="F2719" i="2"/>
  <c r="G2719" i="2" s="1"/>
  <c r="F2721" i="2"/>
  <c r="G2721" i="2" s="1"/>
  <c r="F2723" i="2"/>
  <c r="G2723" i="2" s="1"/>
  <c r="F2725" i="2"/>
  <c r="G2725" i="2" s="1"/>
  <c r="F2727" i="2"/>
  <c r="G2727" i="2" s="1"/>
  <c r="F2729" i="2"/>
  <c r="G2729" i="2" s="1"/>
  <c r="F2731" i="2"/>
  <c r="G2731" i="2" s="1"/>
  <c r="F2733" i="2"/>
  <c r="G2733" i="2" s="1"/>
  <c r="F2735" i="2"/>
  <c r="G2735" i="2" s="1"/>
  <c r="F2737" i="2"/>
  <c r="G2737" i="2" s="1"/>
  <c r="F2739" i="2"/>
  <c r="G2739" i="2" s="1"/>
  <c r="F2741" i="2"/>
  <c r="G2741" i="2" s="1"/>
  <c r="F2743" i="2"/>
  <c r="G2743" i="2" s="1"/>
  <c r="F2745" i="2"/>
  <c r="G2745" i="2" s="1"/>
  <c r="F2747" i="2"/>
  <c r="G2747" i="2" s="1"/>
  <c r="F2749" i="2"/>
  <c r="G2749" i="2" s="1"/>
  <c r="F2751" i="2"/>
  <c r="G2751" i="2" s="1"/>
  <c r="F2753" i="2"/>
  <c r="G2753" i="2" s="1"/>
  <c r="F2755" i="2"/>
  <c r="G2755" i="2" s="1"/>
  <c r="F2757" i="2"/>
  <c r="G2757" i="2" s="1"/>
  <c r="F2759" i="2"/>
  <c r="G2759" i="2" s="1"/>
  <c r="F2761" i="2"/>
  <c r="G2761" i="2" s="1"/>
  <c r="F2763" i="2"/>
  <c r="G2763" i="2" s="1"/>
  <c r="F2765" i="2"/>
  <c r="G2765" i="2" s="1"/>
  <c r="F2767" i="2"/>
  <c r="G2767" i="2" s="1"/>
  <c r="F2769" i="2"/>
  <c r="G2769" i="2" s="1"/>
  <c r="F2771" i="2"/>
  <c r="G2771" i="2" s="1"/>
  <c r="F2773" i="2"/>
  <c r="G2773" i="2" s="1"/>
  <c r="F2775" i="2"/>
  <c r="G2775" i="2" s="1"/>
  <c r="F2777" i="2"/>
  <c r="G2777" i="2" s="1"/>
  <c r="F2779" i="2"/>
  <c r="G2779" i="2" s="1"/>
  <c r="F2781" i="2"/>
  <c r="G2781" i="2" s="1"/>
  <c r="F2783" i="2"/>
  <c r="G2783" i="2" s="1"/>
  <c r="F2785" i="2"/>
  <c r="G2785" i="2" s="1"/>
  <c r="F2787" i="2"/>
  <c r="G2787" i="2" s="1"/>
  <c r="F2789" i="2"/>
  <c r="G2789" i="2" s="1"/>
  <c r="F2791" i="2"/>
  <c r="G2791" i="2" s="1"/>
  <c r="F2793" i="2"/>
  <c r="G2793" i="2" s="1"/>
  <c r="F2795" i="2"/>
  <c r="G2795" i="2" s="1"/>
  <c r="F2797" i="2"/>
  <c r="G2797" i="2" s="1"/>
  <c r="F2799" i="2"/>
  <c r="G2799" i="2" s="1"/>
  <c r="F2801" i="2"/>
  <c r="G2801" i="2" s="1"/>
  <c r="F2803" i="2"/>
  <c r="G2803" i="2" s="1"/>
  <c r="F2805" i="2"/>
  <c r="G2805" i="2" s="1"/>
  <c r="F2807" i="2"/>
  <c r="G2807" i="2" s="1"/>
  <c r="F2809" i="2"/>
  <c r="G2809" i="2" s="1"/>
  <c r="F2811" i="2"/>
  <c r="G2811" i="2" s="1"/>
  <c r="F2813" i="2"/>
  <c r="G2813" i="2" s="1"/>
  <c r="F2815" i="2"/>
  <c r="G2815" i="2" s="1"/>
  <c r="F2817" i="2"/>
  <c r="G2817" i="2" s="1"/>
  <c r="F2819" i="2"/>
  <c r="G2819" i="2" s="1"/>
  <c r="F2821" i="2"/>
  <c r="G2821" i="2" s="1"/>
  <c r="F2823" i="2"/>
  <c r="G2823" i="2" s="1"/>
  <c r="F2825" i="2"/>
  <c r="G2825" i="2" s="1"/>
  <c r="F2827" i="2"/>
  <c r="G2827" i="2" s="1"/>
  <c r="F2829" i="2"/>
  <c r="G2829" i="2" s="1"/>
  <c r="F2831" i="2"/>
  <c r="G2831" i="2" s="1"/>
  <c r="F2833" i="2"/>
  <c r="G2833" i="2" s="1"/>
  <c r="F2835" i="2"/>
  <c r="G2835" i="2" s="1"/>
  <c r="F2837" i="2"/>
  <c r="G2837" i="2" s="1"/>
  <c r="F2839" i="2"/>
  <c r="G2839" i="2" s="1"/>
  <c r="F2841" i="2"/>
  <c r="G2841" i="2" s="1"/>
  <c r="F2843" i="2"/>
  <c r="G2843" i="2" s="1"/>
  <c r="F2845" i="2"/>
  <c r="G2845" i="2" s="1"/>
  <c r="F2847" i="2"/>
  <c r="G2847" i="2" s="1"/>
  <c r="F2849" i="2"/>
  <c r="G2849" i="2" s="1"/>
  <c r="F2851" i="2"/>
  <c r="G2851" i="2" s="1"/>
  <c r="F2853" i="2"/>
  <c r="G2853" i="2" s="1"/>
  <c r="F2855" i="2"/>
  <c r="G2855" i="2" s="1"/>
  <c r="F2857" i="2"/>
  <c r="G2857" i="2" s="1"/>
  <c r="F2859" i="2"/>
  <c r="G2859" i="2" s="1"/>
  <c r="F2861" i="2"/>
  <c r="G2861" i="2" s="1"/>
  <c r="F2863" i="2"/>
  <c r="G2863" i="2" s="1"/>
  <c r="F2865" i="2"/>
  <c r="G2865" i="2" s="1"/>
  <c r="F2867" i="2"/>
  <c r="G2867" i="2" s="1"/>
  <c r="F2869" i="2"/>
  <c r="G2869" i="2" s="1"/>
  <c r="F2871" i="2"/>
  <c r="G2871" i="2" s="1"/>
  <c r="F2873" i="2"/>
  <c r="G2873" i="2" s="1"/>
  <c r="F2875" i="2"/>
  <c r="G2875" i="2" s="1"/>
  <c r="F2877" i="2"/>
  <c r="G2877" i="2" s="1"/>
  <c r="F2879" i="2"/>
  <c r="G2879" i="2" s="1"/>
  <c r="F2881" i="2"/>
  <c r="G2881" i="2" s="1"/>
  <c r="F2883" i="2"/>
  <c r="G2883" i="2" s="1"/>
  <c r="F2885" i="2"/>
  <c r="G2885" i="2" s="1"/>
  <c r="F2887" i="2"/>
  <c r="G2887" i="2" s="1"/>
  <c r="F2889" i="2"/>
  <c r="G2889" i="2" s="1"/>
  <c r="F2891" i="2"/>
  <c r="G2891" i="2" s="1"/>
  <c r="F2893" i="2"/>
  <c r="G2893" i="2" s="1"/>
  <c r="F2895" i="2"/>
  <c r="G2895" i="2" s="1"/>
  <c r="F2897" i="2"/>
  <c r="G2897" i="2" s="1"/>
  <c r="F2899" i="2"/>
  <c r="G2899" i="2" s="1"/>
  <c r="F2901" i="2"/>
  <c r="G2901" i="2" s="1"/>
  <c r="F2903" i="2"/>
  <c r="G2903" i="2" s="1"/>
  <c r="F2905" i="2"/>
  <c r="G2905" i="2" s="1"/>
  <c r="F2907" i="2"/>
  <c r="G2907" i="2" s="1"/>
  <c r="F2909" i="2"/>
  <c r="G2909" i="2" s="1"/>
  <c r="F2911" i="2"/>
  <c r="G2911" i="2" s="1"/>
  <c r="F2913" i="2"/>
  <c r="G2913" i="2" s="1"/>
  <c r="F2915" i="2"/>
  <c r="G2915" i="2" s="1"/>
  <c r="F2917" i="2"/>
  <c r="G2917" i="2" s="1"/>
  <c r="F2919" i="2"/>
  <c r="G2919" i="2" s="1"/>
  <c r="F2921" i="2"/>
  <c r="G2921" i="2" s="1"/>
  <c r="F2923" i="2"/>
  <c r="G2923" i="2" s="1"/>
  <c r="F2925" i="2"/>
  <c r="G2925" i="2" s="1"/>
  <c r="F2927" i="2"/>
  <c r="G2927" i="2" s="1"/>
  <c r="F2929" i="2"/>
  <c r="G2929" i="2" s="1"/>
  <c r="F2931" i="2"/>
  <c r="G2931" i="2" s="1"/>
  <c r="F2933" i="2"/>
  <c r="G2933" i="2" s="1"/>
  <c r="F2935" i="2"/>
  <c r="G2935" i="2" s="1"/>
  <c r="F2937" i="2"/>
  <c r="G2937" i="2" s="1"/>
  <c r="F2939" i="2"/>
  <c r="G2939" i="2" s="1"/>
  <c r="F2941" i="2"/>
  <c r="G2941" i="2" s="1"/>
  <c r="F2943" i="2"/>
  <c r="G2943" i="2" s="1"/>
  <c r="F2945" i="2"/>
  <c r="G2945" i="2" s="1"/>
  <c r="F2947" i="2"/>
  <c r="G2947" i="2" s="1"/>
  <c r="F2949" i="2"/>
  <c r="G2949" i="2" s="1"/>
  <c r="F2951" i="2"/>
  <c r="G2951" i="2" s="1"/>
  <c r="F2953" i="2"/>
  <c r="G2953" i="2" s="1"/>
  <c r="F2955" i="2"/>
  <c r="G2955" i="2" s="1"/>
  <c r="F2957" i="2"/>
  <c r="G2957" i="2" s="1"/>
  <c r="F2959" i="2"/>
  <c r="G2959" i="2" s="1"/>
  <c r="F2961" i="2"/>
  <c r="G2961" i="2" s="1"/>
  <c r="F2963" i="2"/>
  <c r="G2963" i="2" s="1"/>
  <c r="F2965" i="2"/>
  <c r="G2965" i="2" s="1"/>
  <c r="F2967" i="2"/>
  <c r="G2967" i="2" s="1"/>
  <c r="F2969" i="2"/>
  <c r="G2969" i="2" s="1"/>
  <c r="F2971" i="2"/>
  <c r="G2971" i="2" s="1"/>
  <c r="F2973" i="2"/>
  <c r="G2973" i="2" s="1"/>
  <c r="F2975" i="2"/>
  <c r="G2975" i="2" s="1"/>
  <c r="F2977" i="2"/>
  <c r="G2977" i="2" s="1"/>
  <c r="F2979" i="2"/>
  <c r="G2979" i="2" s="1"/>
  <c r="F2981" i="2"/>
  <c r="G2981" i="2" s="1"/>
  <c r="F2983" i="2"/>
  <c r="G2983" i="2" s="1"/>
  <c r="F2985" i="2"/>
  <c r="G2985" i="2" s="1"/>
  <c r="F2987" i="2"/>
  <c r="G2987" i="2" s="1"/>
  <c r="F2989" i="2"/>
  <c r="G2989" i="2" s="1"/>
  <c r="F2991" i="2"/>
  <c r="G2991" i="2" s="1"/>
  <c r="F2993" i="2"/>
  <c r="G2993" i="2" s="1"/>
  <c r="F2995" i="2"/>
  <c r="G2995" i="2" s="1"/>
  <c r="F2997" i="2"/>
  <c r="G2997" i="2" s="1"/>
  <c r="F2999" i="2"/>
  <c r="G2999" i="2" s="1"/>
  <c r="F3001" i="2"/>
  <c r="G3001" i="2" s="1"/>
  <c r="F3003" i="2"/>
  <c r="G3003" i="2" s="1"/>
  <c r="F3005" i="2"/>
  <c r="G3005" i="2" s="1"/>
  <c r="F3007" i="2"/>
  <c r="G3007" i="2" s="1"/>
  <c r="F3009" i="2"/>
  <c r="G3009" i="2" s="1"/>
  <c r="F3011" i="2"/>
  <c r="G3011" i="2" s="1"/>
  <c r="F3013" i="2"/>
  <c r="G3013" i="2" s="1"/>
  <c r="F3015" i="2"/>
  <c r="G3015" i="2" s="1"/>
  <c r="F3017" i="2"/>
  <c r="G3017" i="2" s="1"/>
  <c r="F3019" i="2"/>
  <c r="G3019" i="2" s="1"/>
  <c r="F3021" i="2"/>
  <c r="G3021" i="2" s="1"/>
  <c r="F3023" i="2"/>
  <c r="G3023" i="2" s="1"/>
  <c r="F3025" i="2"/>
  <c r="G3025" i="2" s="1"/>
  <c r="F3027" i="2"/>
  <c r="G3027" i="2" s="1"/>
  <c r="F3029" i="2"/>
  <c r="G3029" i="2" s="1"/>
  <c r="F3031" i="2"/>
  <c r="G3031" i="2" s="1"/>
  <c r="F3033" i="2"/>
  <c r="G3033" i="2" s="1"/>
  <c r="F3035" i="2"/>
  <c r="G3035" i="2" s="1"/>
  <c r="F3037" i="2"/>
  <c r="G3037" i="2" s="1"/>
  <c r="F3039" i="2"/>
  <c r="G3039" i="2" s="1"/>
  <c r="F3041" i="2"/>
  <c r="G3041" i="2" s="1"/>
  <c r="F3043" i="2"/>
  <c r="G3043" i="2" s="1"/>
  <c r="F3045" i="2"/>
  <c r="G3045" i="2" s="1"/>
  <c r="F3047" i="2"/>
  <c r="G3047" i="2" s="1"/>
  <c r="F3049" i="2"/>
  <c r="G3049" i="2" s="1"/>
  <c r="F3051" i="2"/>
  <c r="G3051" i="2" s="1"/>
  <c r="F3053" i="2"/>
  <c r="G3053" i="2" s="1"/>
  <c r="F3055" i="2"/>
  <c r="G3055" i="2" s="1"/>
  <c r="F3057" i="2"/>
  <c r="G3057" i="2" s="1"/>
  <c r="F3059" i="2"/>
  <c r="G3059" i="2" s="1"/>
  <c r="F3061" i="2"/>
  <c r="G3061" i="2" s="1"/>
  <c r="F3063" i="2"/>
  <c r="G3063" i="2" s="1"/>
  <c r="F3065" i="2"/>
  <c r="G3065" i="2" s="1"/>
  <c r="F3067" i="2"/>
  <c r="G3067" i="2" s="1"/>
  <c r="F3069" i="2"/>
  <c r="G3069" i="2" s="1"/>
  <c r="F3071" i="2"/>
  <c r="G3071" i="2" s="1"/>
  <c r="F3073" i="2"/>
  <c r="G3073" i="2" s="1"/>
  <c r="F3075" i="2"/>
  <c r="G3075" i="2" s="1"/>
  <c r="F3077" i="2"/>
  <c r="G3077" i="2" s="1"/>
  <c r="F3079" i="2"/>
  <c r="G3079" i="2" s="1"/>
  <c r="F3081" i="2"/>
  <c r="G3081" i="2" s="1"/>
  <c r="F3083" i="2"/>
  <c r="G3083" i="2" s="1"/>
  <c r="F3085" i="2"/>
  <c r="G3085" i="2" s="1"/>
  <c r="F3087" i="2"/>
  <c r="G3087" i="2" s="1"/>
  <c r="F3089" i="2"/>
  <c r="G3089" i="2" s="1"/>
  <c r="F3091" i="2"/>
  <c r="G3091" i="2" s="1"/>
  <c r="F3093" i="2"/>
  <c r="G3093" i="2" s="1"/>
  <c r="F3095" i="2"/>
  <c r="G3095" i="2" s="1"/>
  <c r="F3097" i="2"/>
  <c r="G3097" i="2" s="1"/>
  <c r="F3099" i="2"/>
  <c r="G3099" i="2" s="1"/>
  <c r="F3101" i="2"/>
  <c r="G3101" i="2" s="1"/>
  <c r="F3103" i="2"/>
  <c r="G3103" i="2" s="1"/>
  <c r="F3105" i="2"/>
  <c r="G3105" i="2" s="1"/>
  <c r="F3107" i="2"/>
  <c r="G3107" i="2" s="1"/>
  <c r="F3109" i="2"/>
  <c r="G3109" i="2" s="1"/>
  <c r="F3111" i="2"/>
  <c r="G3111" i="2" s="1"/>
  <c r="F3113" i="2"/>
  <c r="G3113" i="2" s="1"/>
  <c r="F3115" i="2"/>
  <c r="G3115" i="2" s="1"/>
  <c r="F3117" i="2"/>
  <c r="G3117" i="2" s="1"/>
  <c r="F3119" i="2"/>
  <c r="G3119" i="2" s="1"/>
  <c r="F3121" i="2"/>
  <c r="G3121" i="2" s="1"/>
  <c r="F3123" i="2"/>
  <c r="G3123" i="2" s="1"/>
  <c r="F3125" i="2"/>
  <c r="G3125" i="2" s="1"/>
  <c r="F3127" i="2"/>
  <c r="G3127" i="2" s="1"/>
  <c r="F3129" i="2"/>
  <c r="G3129" i="2" s="1"/>
  <c r="F3131" i="2"/>
  <c r="G3131" i="2" s="1"/>
  <c r="F3133" i="2"/>
  <c r="G3133" i="2" s="1"/>
  <c r="F3135" i="2"/>
  <c r="G3135" i="2" s="1"/>
  <c r="F3137" i="2"/>
  <c r="G3137" i="2" s="1"/>
  <c r="F3139" i="2"/>
  <c r="G3139" i="2" s="1"/>
  <c r="F3141" i="2"/>
  <c r="G3141" i="2" s="1"/>
  <c r="F3143" i="2"/>
  <c r="G3143" i="2" s="1"/>
  <c r="F3145" i="2"/>
  <c r="G3145" i="2" s="1"/>
  <c r="F3147" i="2"/>
  <c r="G3147" i="2" s="1"/>
  <c r="F3149" i="2"/>
  <c r="G3149" i="2" s="1"/>
  <c r="F3151" i="2"/>
  <c r="G3151" i="2" s="1"/>
  <c r="F3153" i="2"/>
  <c r="G3153" i="2" s="1"/>
  <c r="F3155" i="2"/>
  <c r="G3155" i="2" s="1"/>
  <c r="F3157" i="2"/>
  <c r="G3157" i="2" s="1"/>
  <c r="F3159" i="2"/>
  <c r="G3159" i="2" s="1"/>
  <c r="F3161" i="2"/>
  <c r="G3161" i="2" s="1"/>
  <c r="F3163" i="2"/>
  <c r="G3163" i="2" s="1"/>
  <c r="F3165" i="2"/>
  <c r="G3165" i="2" s="1"/>
  <c r="F3167" i="2"/>
  <c r="G3167" i="2" s="1"/>
  <c r="F3169" i="2"/>
  <c r="G3169" i="2" s="1"/>
  <c r="F3171" i="2"/>
  <c r="G3171" i="2" s="1"/>
  <c r="F3173" i="2"/>
  <c r="G3173" i="2" s="1"/>
  <c r="F3175" i="2"/>
  <c r="G3175" i="2" s="1"/>
  <c r="F3177" i="2"/>
  <c r="G3177" i="2" s="1"/>
  <c r="F3179" i="2"/>
  <c r="G3179" i="2" s="1"/>
  <c r="F3181" i="2"/>
  <c r="G3181" i="2" s="1"/>
  <c r="F3183" i="2"/>
  <c r="G3183" i="2" s="1"/>
  <c r="F3185" i="2"/>
  <c r="G3185" i="2" s="1"/>
  <c r="F3187" i="2"/>
  <c r="G3187" i="2" s="1"/>
  <c r="F3189" i="2"/>
  <c r="G3189" i="2" s="1"/>
  <c r="F1892" i="2"/>
  <c r="G1892" i="2" s="1"/>
  <c r="F1896" i="2"/>
  <c r="G1896" i="2" s="1"/>
  <c r="F1900" i="2"/>
  <c r="G1900" i="2" s="1"/>
  <c r="F1904" i="2"/>
  <c r="G1904" i="2" s="1"/>
  <c r="F1908" i="2"/>
  <c r="G1908" i="2" s="1"/>
  <c r="F1912" i="2"/>
  <c r="G1912" i="2" s="1"/>
  <c r="F1916" i="2"/>
  <c r="G1916" i="2" s="1"/>
  <c r="F1920" i="2"/>
  <c r="G1920" i="2" s="1"/>
  <c r="F1924" i="2"/>
  <c r="G1924" i="2" s="1"/>
  <c r="F1928" i="2"/>
  <c r="G1928" i="2" s="1"/>
  <c r="F1932" i="2"/>
  <c r="G1932" i="2" s="1"/>
  <c r="F1936" i="2"/>
  <c r="G1936" i="2" s="1"/>
  <c r="F1940" i="2"/>
  <c r="G1940" i="2" s="1"/>
  <c r="F1944" i="2"/>
  <c r="G1944" i="2" s="1"/>
  <c r="F1948" i="2"/>
  <c r="G1948" i="2" s="1"/>
  <c r="F1952" i="2"/>
  <c r="G1952" i="2" s="1"/>
  <c r="F1956" i="2"/>
  <c r="G1956" i="2" s="1"/>
  <c r="F1960" i="2"/>
  <c r="G1960" i="2" s="1"/>
  <c r="F1964" i="2"/>
  <c r="G1964" i="2" s="1"/>
  <c r="F1968" i="2"/>
  <c r="G1968" i="2" s="1"/>
  <c r="F1972" i="2"/>
  <c r="G1972" i="2" s="1"/>
  <c r="F1976" i="2"/>
  <c r="G1976" i="2" s="1"/>
  <c r="F1980" i="2"/>
  <c r="G1980" i="2" s="1"/>
  <c r="F1984" i="2"/>
  <c r="G1984" i="2" s="1"/>
  <c r="F1988" i="2"/>
  <c r="G1988" i="2" s="1"/>
  <c r="F1992" i="2"/>
  <c r="G1992" i="2" s="1"/>
  <c r="F1996" i="2"/>
  <c r="G1996" i="2" s="1"/>
  <c r="F2000" i="2"/>
  <c r="G2000" i="2" s="1"/>
  <c r="F2004" i="2"/>
  <c r="G2004" i="2" s="1"/>
  <c r="F2008" i="2"/>
  <c r="G2008" i="2" s="1"/>
  <c r="F2012" i="2"/>
  <c r="G2012" i="2" s="1"/>
  <c r="F2016" i="2"/>
  <c r="G2016" i="2" s="1"/>
  <c r="F2020" i="2"/>
  <c r="G2020" i="2" s="1"/>
  <c r="F2024" i="2"/>
  <c r="G2024" i="2" s="1"/>
  <c r="F2028" i="2"/>
  <c r="G2028" i="2" s="1"/>
  <c r="F2032" i="2"/>
  <c r="G2032" i="2" s="1"/>
  <c r="F2036" i="2"/>
  <c r="G2036" i="2" s="1"/>
  <c r="F2040" i="2"/>
  <c r="G2040" i="2" s="1"/>
  <c r="F2044" i="2"/>
  <c r="G2044" i="2" s="1"/>
  <c r="F2048" i="2"/>
  <c r="G2048" i="2" s="1"/>
  <c r="F2052" i="2"/>
  <c r="G2052" i="2" s="1"/>
  <c r="F2056" i="2"/>
  <c r="G2056" i="2" s="1"/>
  <c r="F2060" i="2"/>
  <c r="G2060" i="2" s="1"/>
  <c r="F2064" i="2"/>
  <c r="G2064" i="2" s="1"/>
  <c r="F2068" i="2"/>
  <c r="G2068" i="2" s="1"/>
  <c r="F2072" i="2"/>
  <c r="G2072" i="2" s="1"/>
  <c r="F2076" i="2"/>
  <c r="G2076" i="2" s="1"/>
  <c r="F2080" i="2"/>
  <c r="G2080" i="2" s="1"/>
  <c r="F2084" i="2"/>
  <c r="G2084" i="2" s="1"/>
  <c r="F2088" i="2"/>
  <c r="G2088" i="2" s="1"/>
  <c r="F2092" i="2"/>
  <c r="G2092" i="2" s="1"/>
  <c r="F2096" i="2"/>
  <c r="G2096" i="2" s="1"/>
  <c r="F2100" i="2"/>
  <c r="G2100" i="2" s="1"/>
  <c r="F2104" i="2"/>
  <c r="G2104" i="2" s="1"/>
  <c r="F2108" i="2"/>
  <c r="G2108" i="2" s="1"/>
  <c r="F2112" i="2"/>
  <c r="G2112" i="2" s="1"/>
  <c r="F2116" i="2"/>
  <c r="G2116" i="2" s="1"/>
  <c r="F2120" i="2"/>
  <c r="G2120" i="2" s="1"/>
  <c r="F2124" i="2"/>
  <c r="G2124" i="2" s="1"/>
  <c r="F2128" i="2"/>
  <c r="G2128" i="2" s="1"/>
  <c r="F2132" i="2"/>
  <c r="G2132" i="2" s="1"/>
  <c r="F2136" i="2"/>
  <c r="G2136" i="2" s="1"/>
  <c r="F2140" i="2"/>
  <c r="G2140" i="2" s="1"/>
  <c r="F2144" i="2"/>
  <c r="G2144" i="2" s="1"/>
  <c r="F2148" i="2"/>
  <c r="G2148" i="2" s="1"/>
  <c r="F2152" i="2"/>
  <c r="G2152" i="2" s="1"/>
  <c r="F2156" i="2"/>
  <c r="G2156" i="2" s="1"/>
  <c r="F2160" i="2"/>
  <c r="G2160" i="2" s="1"/>
  <c r="F2164" i="2"/>
  <c r="G2164" i="2" s="1"/>
  <c r="F2168" i="2"/>
  <c r="G2168" i="2" s="1"/>
  <c r="F2172" i="2"/>
  <c r="G2172" i="2" s="1"/>
  <c r="F2176" i="2"/>
  <c r="G2176" i="2" s="1"/>
  <c r="F2180" i="2"/>
  <c r="G2180" i="2" s="1"/>
  <c r="F2182" i="2"/>
  <c r="G2182" i="2" s="1"/>
  <c r="F2184" i="2"/>
  <c r="G2184" i="2" s="1"/>
  <c r="F2186" i="2"/>
  <c r="G2186" i="2" s="1"/>
  <c r="F2188" i="2"/>
  <c r="G2188" i="2" s="1"/>
  <c r="F2190" i="2"/>
  <c r="G2190" i="2" s="1"/>
  <c r="F2192" i="2"/>
  <c r="G2192" i="2" s="1"/>
  <c r="F2194" i="2"/>
  <c r="G2194" i="2" s="1"/>
  <c r="F2196" i="2"/>
  <c r="G2196" i="2" s="1"/>
  <c r="F2198" i="2"/>
  <c r="G2198" i="2" s="1"/>
  <c r="F2200" i="2"/>
  <c r="G2200" i="2" s="1"/>
  <c r="F2202" i="2"/>
  <c r="G2202" i="2" s="1"/>
  <c r="F2204" i="2"/>
  <c r="G2204" i="2" s="1"/>
  <c r="F2206" i="2"/>
  <c r="G2206" i="2" s="1"/>
  <c r="F2208" i="2"/>
  <c r="G2208" i="2" s="1"/>
  <c r="F2210" i="2"/>
  <c r="G2210" i="2" s="1"/>
  <c r="F2212" i="2"/>
  <c r="G2212" i="2" s="1"/>
  <c r="F2214" i="2"/>
  <c r="G2214" i="2" s="1"/>
  <c r="F2216" i="2"/>
  <c r="G2216" i="2" s="1"/>
  <c r="F2218" i="2"/>
  <c r="G2218" i="2" s="1"/>
  <c r="F2220" i="2"/>
  <c r="G2220" i="2" s="1"/>
  <c r="F2222" i="2"/>
  <c r="G2222" i="2" s="1"/>
  <c r="F2224" i="2"/>
  <c r="G2224" i="2" s="1"/>
  <c r="F2226" i="2"/>
  <c r="G2226" i="2" s="1"/>
  <c r="F2228" i="2"/>
  <c r="G2228" i="2" s="1"/>
  <c r="F2230" i="2"/>
  <c r="G2230" i="2" s="1"/>
  <c r="F2232" i="2"/>
  <c r="G2232" i="2" s="1"/>
  <c r="F2234" i="2"/>
  <c r="G2234" i="2" s="1"/>
  <c r="F2236" i="2"/>
  <c r="G2236" i="2" s="1"/>
  <c r="F2238" i="2"/>
  <c r="G2238" i="2" s="1"/>
  <c r="F2240" i="2"/>
  <c r="G2240" i="2" s="1"/>
  <c r="F2242" i="2"/>
  <c r="G2242" i="2" s="1"/>
  <c r="F2244" i="2"/>
  <c r="G2244" i="2" s="1"/>
  <c r="F2246" i="2"/>
  <c r="G2246" i="2" s="1"/>
  <c r="F2248" i="2"/>
  <c r="G2248" i="2" s="1"/>
  <c r="F2250" i="2"/>
  <c r="G2250" i="2" s="1"/>
  <c r="F2252" i="2"/>
  <c r="G2252" i="2" s="1"/>
  <c r="F2254" i="2"/>
  <c r="G2254" i="2" s="1"/>
  <c r="F2256" i="2"/>
  <c r="G2256" i="2" s="1"/>
  <c r="F2258" i="2"/>
  <c r="G2258" i="2" s="1"/>
  <c r="F2260" i="2"/>
  <c r="G2260" i="2" s="1"/>
  <c r="F2262" i="2"/>
  <c r="G2262" i="2" s="1"/>
  <c r="F2264" i="2"/>
  <c r="G2264" i="2" s="1"/>
  <c r="F2266" i="2"/>
  <c r="G2266" i="2" s="1"/>
  <c r="F2268" i="2"/>
  <c r="G2268" i="2" s="1"/>
  <c r="F2270" i="2"/>
  <c r="G2270" i="2" s="1"/>
  <c r="F2272" i="2"/>
  <c r="G2272" i="2" s="1"/>
  <c r="F2274" i="2"/>
  <c r="G2274" i="2" s="1"/>
  <c r="F2276" i="2"/>
  <c r="G2276" i="2" s="1"/>
  <c r="F2278" i="2"/>
  <c r="G2278" i="2" s="1"/>
  <c r="F2280" i="2"/>
  <c r="G2280" i="2" s="1"/>
  <c r="F2282" i="2"/>
  <c r="G2282" i="2" s="1"/>
  <c r="F2284" i="2"/>
  <c r="G2284" i="2" s="1"/>
  <c r="F2286" i="2"/>
  <c r="G2286" i="2" s="1"/>
  <c r="F2288" i="2"/>
  <c r="G2288" i="2" s="1"/>
  <c r="F2290" i="2"/>
  <c r="G2290" i="2" s="1"/>
  <c r="F2292" i="2"/>
  <c r="G2292" i="2" s="1"/>
  <c r="F2294" i="2"/>
  <c r="G2294" i="2" s="1"/>
  <c r="F2296" i="2"/>
  <c r="G2296" i="2" s="1"/>
  <c r="F2298" i="2"/>
  <c r="G2298" i="2" s="1"/>
  <c r="F2300" i="2"/>
  <c r="G2300" i="2" s="1"/>
  <c r="F2302" i="2"/>
  <c r="G2302" i="2" s="1"/>
  <c r="F2304" i="2"/>
  <c r="G2304" i="2" s="1"/>
  <c r="F2306" i="2"/>
  <c r="G2306" i="2" s="1"/>
  <c r="F2308" i="2"/>
  <c r="G2308" i="2" s="1"/>
  <c r="F2310" i="2"/>
  <c r="G2310" i="2" s="1"/>
  <c r="F2312" i="2"/>
  <c r="G2312" i="2" s="1"/>
  <c r="F2314" i="2"/>
  <c r="G2314" i="2" s="1"/>
  <c r="F2316" i="2"/>
  <c r="G2316" i="2" s="1"/>
  <c r="F2318" i="2"/>
  <c r="G2318" i="2" s="1"/>
  <c r="F2320" i="2"/>
  <c r="G2320" i="2" s="1"/>
  <c r="F2322" i="2"/>
  <c r="G2322" i="2" s="1"/>
  <c r="F2324" i="2"/>
  <c r="G2324" i="2" s="1"/>
  <c r="F2326" i="2"/>
  <c r="G2326" i="2" s="1"/>
  <c r="F2328" i="2"/>
  <c r="G2328" i="2" s="1"/>
  <c r="F2330" i="2"/>
  <c r="G2330" i="2" s="1"/>
  <c r="F2332" i="2"/>
  <c r="G2332" i="2" s="1"/>
  <c r="F2334" i="2"/>
  <c r="G2334" i="2" s="1"/>
  <c r="F2336" i="2"/>
  <c r="G2336" i="2" s="1"/>
  <c r="F2338" i="2"/>
  <c r="G2338" i="2" s="1"/>
  <c r="F2340" i="2"/>
  <c r="G2340" i="2" s="1"/>
  <c r="F2342" i="2"/>
  <c r="G2342" i="2" s="1"/>
  <c r="F2344" i="2"/>
  <c r="G2344" i="2" s="1"/>
  <c r="F2346" i="2"/>
  <c r="G2346" i="2" s="1"/>
  <c r="F2348" i="2"/>
  <c r="G2348" i="2" s="1"/>
  <c r="F2350" i="2"/>
  <c r="G2350" i="2" s="1"/>
  <c r="F2352" i="2"/>
  <c r="G2352" i="2" s="1"/>
  <c r="F2354" i="2"/>
  <c r="G2354" i="2" s="1"/>
  <c r="F2356" i="2"/>
  <c r="G2356" i="2" s="1"/>
  <c r="F2358" i="2"/>
  <c r="G2358" i="2" s="1"/>
  <c r="F2360" i="2"/>
  <c r="G2360" i="2" s="1"/>
  <c r="F2362" i="2"/>
  <c r="G2362" i="2" s="1"/>
  <c r="F2364" i="2"/>
  <c r="G2364" i="2" s="1"/>
  <c r="F2366" i="2"/>
  <c r="G2366" i="2" s="1"/>
  <c r="F2368" i="2"/>
  <c r="G2368" i="2" s="1"/>
  <c r="F2370" i="2"/>
  <c r="G2370" i="2" s="1"/>
  <c r="F2372" i="2"/>
  <c r="G2372" i="2" s="1"/>
  <c r="F2374" i="2"/>
  <c r="G2374" i="2" s="1"/>
  <c r="F2376" i="2"/>
  <c r="G2376" i="2" s="1"/>
  <c r="F2378" i="2"/>
  <c r="G2378" i="2" s="1"/>
  <c r="F2380" i="2"/>
  <c r="G2380" i="2" s="1"/>
  <c r="F2382" i="2"/>
  <c r="G2382" i="2" s="1"/>
  <c r="F2384" i="2"/>
  <c r="G2384" i="2" s="1"/>
  <c r="F2386" i="2"/>
  <c r="G2386" i="2" s="1"/>
  <c r="F2388" i="2"/>
  <c r="G2388" i="2" s="1"/>
  <c r="F2390" i="2"/>
  <c r="G2390" i="2" s="1"/>
  <c r="F2392" i="2"/>
  <c r="G2392" i="2" s="1"/>
  <c r="F2394" i="2"/>
  <c r="G2394" i="2" s="1"/>
  <c r="F2396" i="2"/>
  <c r="G2396" i="2" s="1"/>
  <c r="F2398" i="2"/>
  <c r="G2398" i="2" s="1"/>
  <c r="F2400" i="2"/>
  <c r="G2400" i="2" s="1"/>
  <c r="F2402" i="2"/>
  <c r="G2402" i="2" s="1"/>
  <c r="F2404" i="2"/>
  <c r="G2404" i="2" s="1"/>
  <c r="F2406" i="2"/>
  <c r="G2406" i="2" s="1"/>
  <c r="F2408" i="2"/>
  <c r="G2408" i="2" s="1"/>
  <c r="F2410" i="2"/>
  <c r="G2410" i="2" s="1"/>
  <c r="F2412" i="2"/>
  <c r="G2412" i="2" s="1"/>
  <c r="F2414" i="2"/>
  <c r="G2414" i="2" s="1"/>
  <c r="F2416" i="2"/>
  <c r="G2416" i="2" s="1"/>
  <c r="F2418" i="2"/>
  <c r="G2418" i="2" s="1"/>
  <c r="F2420" i="2"/>
  <c r="G2420" i="2" s="1"/>
  <c r="F2422" i="2"/>
  <c r="G2422" i="2" s="1"/>
  <c r="F2424" i="2"/>
  <c r="G2424" i="2" s="1"/>
  <c r="F2426" i="2"/>
  <c r="G2426" i="2" s="1"/>
  <c r="F2428" i="2"/>
  <c r="G2428" i="2" s="1"/>
  <c r="F2430" i="2"/>
  <c r="G2430" i="2" s="1"/>
  <c r="F2432" i="2"/>
  <c r="G2432" i="2" s="1"/>
  <c r="F2434" i="2"/>
  <c r="G2434" i="2" s="1"/>
  <c r="F2436" i="2"/>
  <c r="G2436" i="2" s="1"/>
  <c r="F2438" i="2"/>
  <c r="G2438" i="2" s="1"/>
  <c r="F2440" i="2"/>
  <c r="G2440" i="2" s="1"/>
  <c r="F2442" i="2"/>
  <c r="G2442" i="2" s="1"/>
  <c r="F2444" i="2"/>
  <c r="G2444" i="2" s="1"/>
  <c r="F2446" i="2"/>
  <c r="G2446" i="2" s="1"/>
  <c r="F2448" i="2"/>
  <c r="G2448" i="2" s="1"/>
  <c r="F2450" i="2"/>
  <c r="G2450" i="2" s="1"/>
  <c r="F2452" i="2"/>
  <c r="G2452" i="2" s="1"/>
  <c r="F2454" i="2"/>
  <c r="G2454" i="2" s="1"/>
  <c r="F2456" i="2"/>
  <c r="G2456" i="2" s="1"/>
  <c r="F2458" i="2"/>
  <c r="G2458" i="2" s="1"/>
  <c r="F2460" i="2"/>
  <c r="G2460" i="2" s="1"/>
  <c r="F2462" i="2"/>
  <c r="G2462" i="2" s="1"/>
  <c r="F2464" i="2"/>
  <c r="G2464" i="2" s="1"/>
  <c r="F2466" i="2"/>
  <c r="G2466" i="2" s="1"/>
  <c r="F2468" i="2"/>
  <c r="G2468" i="2" s="1"/>
  <c r="F2470" i="2"/>
  <c r="G2470" i="2" s="1"/>
  <c r="F2472" i="2"/>
  <c r="G2472" i="2" s="1"/>
  <c r="F2474" i="2"/>
  <c r="G2474" i="2" s="1"/>
  <c r="F2476" i="2"/>
  <c r="G2476" i="2" s="1"/>
  <c r="F2478" i="2"/>
  <c r="G2478" i="2" s="1"/>
  <c r="F2480" i="2"/>
  <c r="G2480" i="2" s="1"/>
  <c r="F2482" i="2"/>
  <c r="G2482" i="2" s="1"/>
  <c r="F2484" i="2"/>
  <c r="G2484" i="2" s="1"/>
  <c r="F2486" i="2"/>
  <c r="G2486" i="2" s="1"/>
  <c r="F2488" i="2"/>
  <c r="G2488" i="2" s="1"/>
  <c r="F2490" i="2"/>
  <c r="G2490" i="2" s="1"/>
  <c r="F2492" i="2"/>
  <c r="G2492" i="2" s="1"/>
  <c r="F2494" i="2"/>
  <c r="G2494" i="2" s="1"/>
  <c r="F2496" i="2"/>
  <c r="G2496" i="2" s="1"/>
  <c r="F2498" i="2"/>
  <c r="G2498" i="2" s="1"/>
  <c r="F2500" i="2"/>
  <c r="G2500" i="2" s="1"/>
  <c r="F2502" i="2"/>
  <c r="G2502" i="2" s="1"/>
  <c r="F2504" i="2"/>
  <c r="G2504" i="2" s="1"/>
  <c r="F2506" i="2"/>
  <c r="G2506" i="2" s="1"/>
  <c r="F2508" i="2"/>
  <c r="G2508" i="2" s="1"/>
  <c r="F2510" i="2"/>
  <c r="G2510" i="2" s="1"/>
  <c r="F2512" i="2"/>
  <c r="G2512" i="2" s="1"/>
  <c r="F2514" i="2"/>
  <c r="G2514" i="2" s="1"/>
  <c r="F2516" i="2"/>
  <c r="G2516" i="2" s="1"/>
  <c r="F2518" i="2"/>
  <c r="G2518" i="2" s="1"/>
  <c r="F2520" i="2"/>
  <c r="G2520" i="2" s="1"/>
  <c r="F2522" i="2"/>
  <c r="G2522" i="2" s="1"/>
  <c r="F2524" i="2"/>
  <c r="G2524" i="2" s="1"/>
  <c r="F2526" i="2"/>
  <c r="G2526" i="2" s="1"/>
  <c r="F2528" i="2"/>
  <c r="G2528" i="2" s="1"/>
  <c r="F2530" i="2"/>
  <c r="G2530" i="2" s="1"/>
  <c r="F2532" i="2"/>
  <c r="G2532" i="2" s="1"/>
  <c r="F2534" i="2"/>
  <c r="G2534" i="2" s="1"/>
  <c r="F2536" i="2"/>
  <c r="G2536" i="2" s="1"/>
  <c r="F2538" i="2"/>
  <c r="G2538" i="2" s="1"/>
  <c r="F2540" i="2"/>
  <c r="G2540" i="2" s="1"/>
  <c r="F2542" i="2"/>
  <c r="G2542" i="2" s="1"/>
  <c r="F2544" i="2"/>
  <c r="G2544" i="2" s="1"/>
  <c r="F2546" i="2"/>
  <c r="G2546" i="2" s="1"/>
  <c r="F2548" i="2"/>
  <c r="G2548" i="2" s="1"/>
  <c r="F2550" i="2"/>
  <c r="G2550" i="2" s="1"/>
  <c r="F2552" i="2"/>
  <c r="G2552" i="2" s="1"/>
  <c r="F2554" i="2"/>
  <c r="G2554" i="2" s="1"/>
  <c r="F2556" i="2"/>
  <c r="G2556" i="2" s="1"/>
  <c r="F2558" i="2"/>
  <c r="G2558" i="2" s="1"/>
  <c r="F2560" i="2"/>
  <c r="G2560" i="2" s="1"/>
  <c r="F2562" i="2"/>
  <c r="G2562" i="2" s="1"/>
  <c r="F2564" i="2"/>
  <c r="G2564" i="2" s="1"/>
  <c r="F2566" i="2"/>
  <c r="G2566" i="2" s="1"/>
  <c r="F2568" i="2"/>
  <c r="G2568" i="2" s="1"/>
  <c r="F2570" i="2"/>
  <c r="G2570" i="2" s="1"/>
  <c r="F2572" i="2"/>
  <c r="G2572" i="2" s="1"/>
  <c r="F2574" i="2"/>
  <c r="G2574" i="2" s="1"/>
  <c r="F2576" i="2"/>
  <c r="G2576" i="2" s="1"/>
  <c r="F2578" i="2"/>
  <c r="G2578" i="2" s="1"/>
  <c r="F2580" i="2"/>
  <c r="G2580" i="2" s="1"/>
  <c r="F2582" i="2"/>
  <c r="G2582" i="2" s="1"/>
  <c r="F2584" i="2"/>
  <c r="G2584" i="2" s="1"/>
  <c r="F2586" i="2"/>
  <c r="G2586" i="2" s="1"/>
  <c r="F2588" i="2"/>
  <c r="G2588" i="2" s="1"/>
  <c r="F2590" i="2"/>
  <c r="G2590" i="2" s="1"/>
  <c r="F2592" i="2"/>
  <c r="G2592" i="2" s="1"/>
  <c r="F2594" i="2"/>
  <c r="G2594" i="2" s="1"/>
  <c r="F2596" i="2"/>
  <c r="G2596" i="2" s="1"/>
  <c r="F2598" i="2"/>
  <c r="G2598" i="2" s="1"/>
  <c r="F2600" i="2"/>
  <c r="G2600" i="2" s="1"/>
  <c r="F2602" i="2"/>
  <c r="G2602" i="2" s="1"/>
  <c r="F2604" i="2"/>
  <c r="G2604" i="2" s="1"/>
  <c r="F2606" i="2"/>
  <c r="G2606" i="2" s="1"/>
  <c r="F2608" i="2"/>
  <c r="G2608" i="2" s="1"/>
  <c r="F2610" i="2"/>
  <c r="G2610" i="2" s="1"/>
  <c r="F2612" i="2"/>
  <c r="G2612" i="2" s="1"/>
  <c r="F2614" i="2"/>
  <c r="G2614" i="2" s="1"/>
  <c r="F2616" i="2"/>
  <c r="G2616" i="2" s="1"/>
  <c r="F2618" i="2"/>
  <c r="G2618" i="2" s="1"/>
  <c r="F2620" i="2"/>
  <c r="G2620" i="2" s="1"/>
  <c r="F2622" i="2"/>
  <c r="G2622" i="2" s="1"/>
  <c r="F2624" i="2"/>
  <c r="G2624" i="2" s="1"/>
  <c r="F2626" i="2"/>
  <c r="G2626" i="2" s="1"/>
  <c r="F2628" i="2"/>
  <c r="G2628" i="2" s="1"/>
  <c r="F2630" i="2"/>
  <c r="G2630" i="2" s="1"/>
  <c r="F2632" i="2"/>
  <c r="G2632" i="2" s="1"/>
  <c r="F2634" i="2"/>
  <c r="G2634" i="2" s="1"/>
  <c r="F2636" i="2"/>
  <c r="G2636" i="2" s="1"/>
  <c r="F2638" i="2"/>
  <c r="G2638" i="2" s="1"/>
  <c r="F2640" i="2"/>
  <c r="G2640" i="2" s="1"/>
  <c r="F2642" i="2"/>
  <c r="G2642" i="2" s="1"/>
  <c r="F2644" i="2"/>
  <c r="G2644" i="2" s="1"/>
  <c r="F2646" i="2"/>
  <c r="G2646" i="2" s="1"/>
  <c r="F2648" i="2"/>
  <c r="G2648" i="2" s="1"/>
  <c r="F2650" i="2"/>
  <c r="G2650" i="2" s="1"/>
  <c r="F2652" i="2"/>
  <c r="G2652" i="2" s="1"/>
  <c r="F2654" i="2"/>
  <c r="G2654" i="2" s="1"/>
  <c r="F2656" i="2"/>
  <c r="G2656" i="2" s="1"/>
  <c r="F2658" i="2"/>
  <c r="G2658" i="2" s="1"/>
  <c r="F2660" i="2"/>
  <c r="G2660" i="2" s="1"/>
  <c r="F2662" i="2"/>
  <c r="G2662" i="2" s="1"/>
  <c r="F2664" i="2"/>
  <c r="G2664" i="2" s="1"/>
  <c r="F2666" i="2"/>
  <c r="G2666" i="2" s="1"/>
  <c r="F2668" i="2"/>
  <c r="G2668" i="2" s="1"/>
  <c r="F2670" i="2"/>
  <c r="G2670" i="2" s="1"/>
  <c r="F2672" i="2"/>
  <c r="G2672" i="2" s="1"/>
  <c r="F2674" i="2"/>
  <c r="G2674" i="2" s="1"/>
  <c r="F2676" i="2"/>
  <c r="G2676" i="2" s="1"/>
  <c r="F2678" i="2"/>
  <c r="G2678" i="2" s="1"/>
  <c r="F2680" i="2"/>
  <c r="G2680" i="2" s="1"/>
  <c r="F2682" i="2"/>
  <c r="G2682" i="2" s="1"/>
  <c r="F2684" i="2"/>
  <c r="G2684" i="2" s="1"/>
  <c r="F2686" i="2"/>
  <c r="G2686" i="2" s="1"/>
  <c r="F2688" i="2"/>
  <c r="G2688" i="2" s="1"/>
  <c r="F2690" i="2"/>
  <c r="G2690" i="2" s="1"/>
  <c r="F2692" i="2"/>
  <c r="G2692" i="2" s="1"/>
  <c r="F2694" i="2"/>
  <c r="G2694" i="2" s="1"/>
  <c r="F2696" i="2"/>
  <c r="G2696" i="2" s="1"/>
  <c r="F2698" i="2"/>
  <c r="G2698" i="2" s="1"/>
  <c r="F2700" i="2"/>
  <c r="G2700" i="2" s="1"/>
  <c r="F2702" i="2"/>
  <c r="G2702" i="2" s="1"/>
  <c r="F2704" i="2"/>
  <c r="G2704" i="2" s="1"/>
  <c r="F2706" i="2"/>
  <c r="G2706" i="2" s="1"/>
  <c r="F2708" i="2"/>
  <c r="G2708" i="2" s="1"/>
  <c r="F2710" i="2"/>
  <c r="G2710" i="2" s="1"/>
  <c r="F2712" i="2"/>
  <c r="G2712" i="2" s="1"/>
  <c r="F2714" i="2"/>
  <c r="G2714" i="2" s="1"/>
  <c r="F2716" i="2"/>
  <c r="G2716" i="2" s="1"/>
  <c r="F2718" i="2"/>
  <c r="G2718" i="2" s="1"/>
  <c r="F2720" i="2"/>
  <c r="G2720" i="2" s="1"/>
  <c r="F2722" i="2"/>
  <c r="G2722" i="2" s="1"/>
  <c r="F2724" i="2"/>
  <c r="G2724" i="2" s="1"/>
  <c r="F2726" i="2"/>
  <c r="G2726" i="2" s="1"/>
  <c r="F2728" i="2"/>
  <c r="G2728" i="2" s="1"/>
  <c r="F2730" i="2"/>
  <c r="G2730" i="2" s="1"/>
  <c r="F2732" i="2"/>
  <c r="G2732" i="2" s="1"/>
  <c r="F2734" i="2"/>
  <c r="G2734" i="2" s="1"/>
  <c r="F2736" i="2"/>
  <c r="G2736" i="2" s="1"/>
  <c r="F2738" i="2"/>
  <c r="G2738" i="2" s="1"/>
  <c r="F2740" i="2"/>
  <c r="G2740" i="2" s="1"/>
  <c r="F2742" i="2"/>
  <c r="G2742" i="2" s="1"/>
  <c r="F2744" i="2"/>
  <c r="G2744" i="2" s="1"/>
  <c r="F2746" i="2"/>
  <c r="G2746" i="2" s="1"/>
  <c r="F2748" i="2"/>
  <c r="G2748" i="2" s="1"/>
  <c r="F2750" i="2"/>
  <c r="G2750" i="2" s="1"/>
  <c r="F2752" i="2"/>
  <c r="G2752" i="2" s="1"/>
  <c r="F2754" i="2"/>
  <c r="G2754" i="2" s="1"/>
  <c r="F2756" i="2"/>
  <c r="G2756" i="2" s="1"/>
  <c r="F2758" i="2"/>
  <c r="G2758" i="2" s="1"/>
  <c r="F2760" i="2"/>
  <c r="G2760" i="2" s="1"/>
  <c r="F2762" i="2"/>
  <c r="G2762" i="2" s="1"/>
  <c r="F2764" i="2"/>
  <c r="G2764" i="2" s="1"/>
  <c r="F2766" i="2"/>
  <c r="G2766" i="2" s="1"/>
  <c r="F2768" i="2"/>
  <c r="G2768" i="2" s="1"/>
  <c r="F2770" i="2"/>
  <c r="G2770" i="2" s="1"/>
  <c r="F2772" i="2"/>
  <c r="G2772" i="2" s="1"/>
  <c r="F2774" i="2"/>
  <c r="G2774" i="2" s="1"/>
  <c r="F2776" i="2"/>
  <c r="G2776" i="2" s="1"/>
  <c r="F2778" i="2"/>
  <c r="G2778" i="2" s="1"/>
  <c r="F2780" i="2"/>
  <c r="G2780" i="2" s="1"/>
  <c r="F2782" i="2"/>
  <c r="G2782" i="2" s="1"/>
  <c r="F2784" i="2"/>
  <c r="G2784" i="2" s="1"/>
  <c r="F2786" i="2"/>
  <c r="G2786" i="2" s="1"/>
  <c r="F2788" i="2"/>
  <c r="G2788" i="2" s="1"/>
  <c r="F2790" i="2"/>
  <c r="G2790" i="2" s="1"/>
  <c r="F2792" i="2"/>
  <c r="G2792" i="2" s="1"/>
  <c r="F2794" i="2"/>
  <c r="G2794" i="2" s="1"/>
  <c r="F2796" i="2"/>
  <c r="G2796" i="2" s="1"/>
  <c r="F2798" i="2"/>
  <c r="G2798" i="2" s="1"/>
  <c r="F2800" i="2"/>
  <c r="G2800" i="2" s="1"/>
  <c r="F2802" i="2"/>
  <c r="G2802" i="2" s="1"/>
  <c r="F2804" i="2"/>
  <c r="G2804" i="2" s="1"/>
  <c r="F2806" i="2"/>
  <c r="G2806" i="2" s="1"/>
  <c r="F2808" i="2"/>
  <c r="G2808" i="2" s="1"/>
  <c r="F2810" i="2"/>
  <c r="G2810" i="2" s="1"/>
  <c r="F2812" i="2"/>
  <c r="G2812" i="2" s="1"/>
  <c r="F2814" i="2"/>
  <c r="G2814" i="2" s="1"/>
  <c r="F2816" i="2"/>
  <c r="G2816" i="2" s="1"/>
  <c r="F2818" i="2"/>
  <c r="G2818" i="2" s="1"/>
  <c r="F2820" i="2"/>
  <c r="G2820" i="2" s="1"/>
  <c r="F2822" i="2"/>
  <c r="G2822" i="2" s="1"/>
  <c r="F2824" i="2"/>
  <c r="G2824" i="2" s="1"/>
  <c r="F2826" i="2"/>
  <c r="G2826" i="2" s="1"/>
  <c r="F2828" i="2"/>
  <c r="G2828" i="2" s="1"/>
  <c r="F2830" i="2"/>
  <c r="G2830" i="2" s="1"/>
  <c r="F2832" i="2"/>
  <c r="G2832" i="2" s="1"/>
  <c r="F2834" i="2"/>
  <c r="G2834" i="2" s="1"/>
  <c r="F2836" i="2"/>
  <c r="G2836" i="2" s="1"/>
  <c r="F2838" i="2"/>
  <c r="G2838" i="2" s="1"/>
  <c r="F2840" i="2"/>
  <c r="G2840" i="2" s="1"/>
  <c r="F2842" i="2"/>
  <c r="G2842" i="2" s="1"/>
  <c r="F2844" i="2"/>
  <c r="G2844" i="2" s="1"/>
  <c r="F2846" i="2"/>
  <c r="G2846" i="2" s="1"/>
  <c r="F2848" i="2"/>
  <c r="G2848" i="2" s="1"/>
  <c r="F2850" i="2"/>
  <c r="G2850" i="2" s="1"/>
  <c r="F2852" i="2"/>
  <c r="G2852" i="2" s="1"/>
  <c r="F2854" i="2"/>
  <c r="G2854" i="2" s="1"/>
  <c r="F2856" i="2"/>
  <c r="G2856" i="2" s="1"/>
  <c r="F2858" i="2"/>
  <c r="G2858" i="2" s="1"/>
  <c r="F2860" i="2"/>
  <c r="G2860" i="2" s="1"/>
  <c r="F2862" i="2"/>
  <c r="G2862" i="2" s="1"/>
  <c r="F2864" i="2"/>
  <c r="G2864" i="2" s="1"/>
  <c r="F2866" i="2"/>
  <c r="G2866" i="2" s="1"/>
  <c r="F2868" i="2"/>
  <c r="G2868" i="2" s="1"/>
  <c r="F2870" i="2"/>
  <c r="G2870" i="2" s="1"/>
  <c r="F2872" i="2"/>
  <c r="G2872" i="2" s="1"/>
  <c r="F2874" i="2"/>
  <c r="G2874" i="2" s="1"/>
  <c r="F2876" i="2"/>
  <c r="G2876" i="2" s="1"/>
  <c r="F2878" i="2"/>
  <c r="G2878" i="2" s="1"/>
  <c r="F2880" i="2"/>
  <c r="G2880" i="2" s="1"/>
  <c r="F2882" i="2"/>
  <c r="G2882" i="2" s="1"/>
  <c r="F2884" i="2"/>
  <c r="G2884" i="2" s="1"/>
  <c r="F2886" i="2"/>
  <c r="G2886" i="2" s="1"/>
  <c r="F2888" i="2"/>
  <c r="G2888" i="2" s="1"/>
  <c r="F2890" i="2"/>
  <c r="G2890" i="2" s="1"/>
  <c r="F2892" i="2"/>
  <c r="G2892" i="2" s="1"/>
  <c r="F2894" i="2"/>
  <c r="G2894" i="2" s="1"/>
  <c r="F2896" i="2"/>
  <c r="G2896" i="2" s="1"/>
  <c r="F2898" i="2"/>
  <c r="G2898" i="2" s="1"/>
  <c r="F2900" i="2"/>
  <c r="G2900" i="2" s="1"/>
  <c r="F2902" i="2"/>
  <c r="G2902" i="2" s="1"/>
  <c r="F2904" i="2"/>
  <c r="G2904" i="2" s="1"/>
  <c r="F2906" i="2"/>
  <c r="G2906" i="2" s="1"/>
  <c r="F2908" i="2"/>
  <c r="G2908" i="2" s="1"/>
  <c r="F2910" i="2"/>
  <c r="G2910" i="2" s="1"/>
  <c r="F2912" i="2"/>
  <c r="G2912" i="2" s="1"/>
  <c r="F2914" i="2"/>
  <c r="G2914" i="2" s="1"/>
  <c r="F2916" i="2"/>
  <c r="G2916" i="2" s="1"/>
  <c r="F2918" i="2"/>
  <c r="G2918" i="2" s="1"/>
  <c r="F2920" i="2"/>
  <c r="G2920" i="2" s="1"/>
  <c r="F2922" i="2"/>
  <c r="G2922" i="2" s="1"/>
  <c r="F2924" i="2"/>
  <c r="G2924" i="2" s="1"/>
  <c r="F2926" i="2"/>
  <c r="G2926" i="2" s="1"/>
  <c r="F2928" i="2"/>
  <c r="G2928" i="2" s="1"/>
  <c r="F2930" i="2"/>
  <c r="G2930" i="2" s="1"/>
  <c r="F2932" i="2"/>
  <c r="G2932" i="2" s="1"/>
  <c r="F2934" i="2"/>
  <c r="G2934" i="2" s="1"/>
  <c r="F2936" i="2"/>
  <c r="G2936" i="2" s="1"/>
  <c r="F2938" i="2"/>
  <c r="G2938" i="2" s="1"/>
  <c r="F2940" i="2"/>
  <c r="G2940" i="2" s="1"/>
  <c r="F2942" i="2"/>
  <c r="G2942" i="2" s="1"/>
  <c r="F2944" i="2"/>
  <c r="G2944" i="2" s="1"/>
  <c r="F2946" i="2"/>
  <c r="G2946" i="2" s="1"/>
  <c r="F2948" i="2"/>
  <c r="G2948" i="2" s="1"/>
  <c r="F2950" i="2"/>
  <c r="G2950" i="2" s="1"/>
  <c r="F2952" i="2"/>
  <c r="G2952" i="2" s="1"/>
  <c r="F2954" i="2"/>
  <c r="G2954" i="2" s="1"/>
  <c r="F2956" i="2"/>
  <c r="G2956" i="2" s="1"/>
  <c r="F2958" i="2"/>
  <c r="G2958" i="2" s="1"/>
  <c r="F2960" i="2"/>
  <c r="G2960" i="2" s="1"/>
  <c r="F2962" i="2"/>
  <c r="G2962" i="2" s="1"/>
  <c r="F2964" i="2"/>
  <c r="G2964" i="2" s="1"/>
  <c r="F2966" i="2"/>
  <c r="G2966" i="2" s="1"/>
  <c r="F2968" i="2"/>
  <c r="G2968" i="2" s="1"/>
  <c r="F2970" i="2"/>
  <c r="G2970" i="2" s="1"/>
  <c r="F2972" i="2"/>
  <c r="G2972" i="2" s="1"/>
  <c r="F2974" i="2"/>
  <c r="G2974" i="2" s="1"/>
  <c r="F2976" i="2"/>
  <c r="G2976" i="2" s="1"/>
  <c r="F2978" i="2"/>
  <c r="G2978" i="2" s="1"/>
  <c r="F2980" i="2"/>
  <c r="G2980" i="2" s="1"/>
  <c r="F2982" i="2"/>
  <c r="G2982" i="2" s="1"/>
  <c r="F2984" i="2"/>
  <c r="G2984" i="2" s="1"/>
  <c r="F2986" i="2"/>
  <c r="G2986" i="2" s="1"/>
  <c r="F2988" i="2"/>
  <c r="G2988" i="2" s="1"/>
  <c r="F2990" i="2"/>
  <c r="G2990" i="2" s="1"/>
  <c r="F2992" i="2"/>
  <c r="G2992" i="2" s="1"/>
  <c r="F2994" i="2"/>
  <c r="G2994" i="2" s="1"/>
  <c r="F2996" i="2"/>
  <c r="G2996" i="2" s="1"/>
  <c r="F2998" i="2"/>
  <c r="G2998" i="2" s="1"/>
  <c r="F3000" i="2"/>
  <c r="G3000" i="2" s="1"/>
  <c r="F3002" i="2"/>
  <c r="G3002" i="2" s="1"/>
  <c r="F3004" i="2"/>
  <c r="G3004" i="2" s="1"/>
  <c r="F3006" i="2"/>
  <c r="G3006" i="2" s="1"/>
  <c r="F3008" i="2"/>
  <c r="G3008" i="2" s="1"/>
  <c r="F3010" i="2"/>
  <c r="G3010" i="2" s="1"/>
  <c r="F3012" i="2"/>
  <c r="G3012" i="2" s="1"/>
  <c r="F3014" i="2"/>
  <c r="G3014" i="2" s="1"/>
  <c r="F3016" i="2"/>
  <c r="G3016" i="2" s="1"/>
  <c r="F3018" i="2"/>
  <c r="G3018" i="2" s="1"/>
  <c r="F3020" i="2"/>
  <c r="G3020" i="2" s="1"/>
  <c r="F3022" i="2"/>
  <c r="G3022" i="2" s="1"/>
  <c r="F3024" i="2"/>
  <c r="G3024" i="2" s="1"/>
  <c r="F3026" i="2"/>
  <c r="G3026" i="2" s="1"/>
  <c r="F3028" i="2"/>
  <c r="G3028" i="2" s="1"/>
  <c r="F3030" i="2"/>
  <c r="G3030" i="2" s="1"/>
  <c r="F3032" i="2"/>
  <c r="G3032" i="2" s="1"/>
  <c r="F3034" i="2"/>
  <c r="G3034" i="2" s="1"/>
  <c r="F3036" i="2"/>
  <c r="G3036" i="2" s="1"/>
  <c r="F3038" i="2"/>
  <c r="G3038" i="2" s="1"/>
  <c r="F3040" i="2"/>
  <c r="G3040" i="2" s="1"/>
  <c r="F3042" i="2"/>
  <c r="G3042" i="2" s="1"/>
  <c r="F3044" i="2"/>
  <c r="G3044" i="2" s="1"/>
  <c r="F3046" i="2"/>
  <c r="G3046" i="2" s="1"/>
  <c r="F3048" i="2"/>
  <c r="G3048" i="2" s="1"/>
  <c r="F3050" i="2"/>
  <c r="G3050" i="2" s="1"/>
  <c r="F3052" i="2"/>
  <c r="G3052" i="2" s="1"/>
  <c r="F3054" i="2"/>
  <c r="G3054" i="2" s="1"/>
  <c r="F3056" i="2"/>
  <c r="G3056" i="2" s="1"/>
  <c r="F3058" i="2"/>
  <c r="G3058" i="2" s="1"/>
  <c r="F3060" i="2"/>
  <c r="G3060" i="2" s="1"/>
  <c r="F3062" i="2"/>
  <c r="G3062" i="2" s="1"/>
  <c r="F3064" i="2"/>
  <c r="G3064" i="2" s="1"/>
  <c r="F3066" i="2"/>
  <c r="G3066" i="2" s="1"/>
  <c r="F3068" i="2"/>
  <c r="G3068" i="2" s="1"/>
  <c r="F3070" i="2"/>
  <c r="G3070" i="2" s="1"/>
  <c r="F3072" i="2"/>
  <c r="G3072" i="2" s="1"/>
  <c r="F3074" i="2"/>
  <c r="G3074" i="2" s="1"/>
  <c r="F3076" i="2"/>
  <c r="G3076" i="2" s="1"/>
  <c r="F3078" i="2"/>
  <c r="G3078" i="2" s="1"/>
  <c r="F3080" i="2"/>
  <c r="G3080" i="2" s="1"/>
  <c r="F3082" i="2"/>
  <c r="G3082" i="2" s="1"/>
  <c r="F3084" i="2"/>
  <c r="G3084" i="2" s="1"/>
  <c r="F3086" i="2"/>
  <c r="G3086" i="2" s="1"/>
  <c r="F3088" i="2"/>
  <c r="G3088" i="2" s="1"/>
  <c r="F3090" i="2"/>
  <c r="G3090" i="2" s="1"/>
  <c r="F3092" i="2"/>
  <c r="G3092" i="2" s="1"/>
  <c r="F3094" i="2"/>
  <c r="G3094" i="2" s="1"/>
  <c r="F3096" i="2"/>
  <c r="G3096" i="2" s="1"/>
  <c r="F3098" i="2"/>
  <c r="G3098" i="2" s="1"/>
  <c r="F3100" i="2"/>
  <c r="G3100" i="2" s="1"/>
  <c r="F3102" i="2"/>
  <c r="G3102" i="2" s="1"/>
  <c r="F3104" i="2"/>
  <c r="G3104" i="2" s="1"/>
  <c r="F3106" i="2"/>
  <c r="G3106" i="2" s="1"/>
  <c r="F3108" i="2"/>
  <c r="G3108" i="2" s="1"/>
  <c r="F3110" i="2"/>
  <c r="G3110" i="2" s="1"/>
  <c r="F3112" i="2"/>
  <c r="G3112" i="2" s="1"/>
  <c r="F3114" i="2"/>
  <c r="G3114" i="2" s="1"/>
  <c r="F3116" i="2"/>
  <c r="G3116" i="2" s="1"/>
  <c r="F3118" i="2"/>
  <c r="G3118" i="2" s="1"/>
  <c r="F3120" i="2"/>
  <c r="G3120" i="2" s="1"/>
  <c r="F3122" i="2"/>
  <c r="G3122" i="2" s="1"/>
  <c r="F3124" i="2"/>
  <c r="G3124" i="2" s="1"/>
  <c r="F3126" i="2"/>
  <c r="G3126" i="2" s="1"/>
  <c r="F3128" i="2"/>
  <c r="G3128" i="2" s="1"/>
  <c r="F3130" i="2"/>
  <c r="G3130" i="2" s="1"/>
  <c r="F3132" i="2"/>
  <c r="G3132" i="2" s="1"/>
  <c r="F3134" i="2"/>
  <c r="G3134" i="2" s="1"/>
  <c r="F3136" i="2"/>
  <c r="G3136" i="2" s="1"/>
  <c r="F3138" i="2"/>
  <c r="G3138" i="2" s="1"/>
  <c r="F3140" i="2"/>
  <c r="G3140" i="2" s="1"/>
  <c r="F3142" i="2"/>
  <c r="G3142" i="2" s="1"/>
  <c r="F3144" i="2"/>
  <c r="G3144" i="2" s="1"/>
  <c r="F3146" i="2"/>
  <c r="G3146" i="2" s="1"/>
  <c r="F3148" i="2"/>
  <c r="G3148" i="2" s="1"/>
  <c r="F3150" i="2"/>
  <c r="G3150" i="2" s="1"/>
  <c r="F3152" i="2"/>
  <c r="G3152" i="2" s="1"/>
  <c r="F3154" i="2"/>
  <c r="G3154" i="2" s="1"/>
  <c r="F3156" i="2"/>
  <c r="G3156" i="2" s="1"/>
  <c r="F3158" i="2"/>
  <c r="G3158" i="2" s="1"/>
  <c r="F3160" i="2"/>
  <c r="G3160" i="2" s="1"/>
  <c r="F3162" i="2"/>
  <c r="G3162" i="2" s="1"/>
  <c r="F3164" i="2"/>
  <c r="G3164" i="2" s="1"/>
  <c r="F3166" i="2"/>
  <c r="G3166" i="2" s="1"/>
  <c r="F3168" i="2"/>
  <c r="G3168" i="2" s="1"/>
  <c r="F3170" i="2"/>
  <c r="G3170" i="2" s="1"/>
  <c r="F3172" i="2"/>
  <c r="G3172" i="2" s="1"/>
  <c r="F3174" i="2"/>
  <c r="G3174" i="2" s="1"/>
  <c r="F3176" i="2"/>
  <c r="G3176" i="2" s="1"/>
  <c r="F3178" i="2"/>
  <c r="G3178" i="2" s="1"/>
  <c r="F3180" i="2"/>
  <c r="G3180" i="2" s="1"/>
  <c r="F3182" i="2"/>
  <c r="G3182" i="2" s="1"/>
  <c r="F3184" i="2"/>
  <c r="G3184" i="2" s="1"/>
  <c r="F3186" i="2"/>
  <c r="G3186" i="2" s="1"/>
  <c r="F3188" i="2"/>
  <c r="G3188" i="2" s="1"/>
  <c r="F3190" i="2"/>
  <c r="G3190" i="2" s="1"/>
  <c r="F3192" i="2"/>
  <c r="G3192" i="2" s="1"/>
  <c r="F3194" i="2"/>
  <c r="G3194" i="2" s="1"/>
  <c r="F3196" i="2"/>
  <c r="G3196" i="2" s="1"/>
  <c r="F3198" i="2"/>
  <c r="G3198" i="2" s="1"/>
  <c r="F3200" i="2"/>
  <c r="G3200" i="2" s="1"/>
  <c r="F3202" i="2"/>
  <c r="G3202" i="2" s="1"/>
  <c r="F3204" i="2"/>
  <c r="G3204" i="2" s="1"/>
  <c r="F3206" i="2"/>
  <c r="G3206" i="2" s="1"/>
  <c r="F3208" i="2"/>
  <c r="G3208" i="2" s="1"/>
  <c r="F3210" i="2"/>
  <c r="G3210" i="2" s="1"/>
  <c r="F3212" i="2"/>
  <c r="G3212" i="2" s="1"/>
  <c r="F3214" i="2"/>
  <c r="G3214" i="2" s="1"/>
  <c r="F3216" i="2"/>
  <c r="G3216" i="2" s="1"/>
  <c r="F3218" i="2"/>
  <c r="G3218" i="2" s="1"/>
  <c r="F3220" i="2"/>
  <c r="G3220" i="2" s="1"/>
  <c r="F3222" i="2"/>
  <c r="G3222" i="2" s="1"/>
  <c r="F3224" i="2"/>
  <c r="G3224" i="2" s="1"/>
  <c r="F3226" i="2"/>
  <c r="G3226" i="2" s="1"/>
  <c r="F3228" i="2"/>
  <c r="G3228" i="2" s="1"/>
  <c r="F3230" i="2"/>
  <c r="G3230" i="2" s="1"/>
  <c r="F3232" i="2"/>
  <c r="G3232" i="2" s="1"/>
  <c r="F3234" i="2"/>
  <c r="G3234" i="2" s="1"/>
  <c r="F3236" i="2"/>
  <c r="G3236" i="2" s="1"/>
  <c r="F3238" i="2"/>
  <c r="G3238" i="2" s="1"/>
  <c r="F3240" i="2"/>
  <c r="G3240" i="2" s="1"/>
  <c r="F3242" i="2"/>
  <c r="G3242" i="2" s="1"/>
  <c r="F3244" i="2"/>
  <c r="G3244" i="2" s="1"/>
  <c r="F3246" i="2"/>
  <c r="G3246" i="2" s="1"/>
  <c r="F3248" i="2"/>
  <c r="G3248" i="2" s="1"/>
  <c r="F3250" i="2"/>
  <c r="G3250" i="2" s="1"/>
  <c r="F3252" i="2"/>
  <c r="G3252" i="2" s="1"/>
  <c r="F3254" i="2"/>
  <c r="G3254" i="2" s="1"/>
  <c r="F3256" i="2"/>
  <c r="G3256" i="2" s="1"/>
  <c r="F3258" i="2"/>
  <c r="G3258" i="2" s="1"/>
  <c r="F3260" i="2"/>
  <c r="G3260" i="2" s="1"/>
  <c r="F3262" i="2"/>
  <c r="G3262" i="2" s="1"/>
  <c r="F3264" i="2"/>
  <c r="G3264" i="2" s="1"/>
  <c r="F3266" i="2"/>
  <c r="G3266" i="2" s="1"/>
  <c r="F3268" i="2"/>
  <c r="G3268" i="2" s="1"/>
  <c r="F3270" i="2"/>
  <c r="G3270" i="2" s="1"/>
  <c r="F3272" i="2"/>
  <c r="G3272" i="2" s="1"/>
  <c r="F3274" i="2"/>
  <c r="G3274" i="2" s="1"/>
  <c r="F3276" i="2"/>
  <c r="G3276" i="2" s="1"/>
  <c r="F3278" i="2"/>
  <c r="G3278" i="2" s="1"/>
  <c r="F3280" i="2"/>
  <c r="G3280" i="2" s="1"/>
  <c r="F3282" i="2"/>
  <c r="G3282" i="2" s="1"/>
  <c r="F3284" i="2"/>
  <c r="G3284" i="2" s="1"/>
  <c r="F3286" i="2"/>
  <c r="G3286" i="2" s="1"/>
  <c r="F3288" i="2"/>
  <c r="G3288" i="2" s="1"/>
  <c r="F3290" i="2"/>
  <c r="G3290" i="2" s="1"/>
  <c r="F3292" i="2"/>
  <c r="G3292" i="2" s="1"/>
  <c r="F3294" i="2"/>
  <c r="G3294" i="2" s="1"/>
  <c r="F3296" i="2"/>
  <c r="G3296" i="2" s="1"/>
  <c r="F3298" i="2"/>
  <c r="G3298" i="2" s="1"/>
  <c r="F3300" i="2"/>
  <c r="G3300" i="2" s="1"/>
  <c r="F3302" i="2"/>
  <c r="G3302" i="2" s="1"/>
  <c r="F3304" i="2"/>
  <c r="G3304" i="2" s="1"/>
  <c r="F3306" i="2"/>
  <c r="G3306" i="2" s="1"/>
  <c r="F3308" i="2"/>
  <c r="G3308" i="2" s="1"/>
  <c r="F3310" i="2"/>
  <c r="G3310" i="2" s="1"/>
  <c r="F3312" i="2"/>
  <c r="G3312" i="2" s="1"/>
  <c r="F3314" i="2"/>
  <c r="G3314" i="2" s="1"/>
  <c r="F3316" i="2"/>
  <c r="G3316" i="2" s="1"/>
  <c r="F3318" i="2"/>
  <c r="G3318" i="2" s="1"/>
  <c r="F3320" i="2"/>
  <c r="G3320" i="2" s="1"/>
  <c r="F3322" i="2"/>
  <c r="G3322" i="2" s="1"/>
  <c r="F3324" i="2"/>
  <c r="G3324" i="2" s="1"/>
  <c r="F3326" i="2"/>
  <c r="G3326" i="2" s="1"/>
  <c r="F3328" i="2"/>
  <c r="G3328" i="2" s="1"/>
  <c r="F3330" i="2"/>
  <c r="G3330" i="2" s="1"/>
  <c r="F3332" i="2"/>
  <c r="G3332" i="2" s="1"/>
  <c r="F3334" i="2"/>
  <c r="G3334" i="2" s="1"/>
  <c r="F3336" i="2"/>
  <c r="G3336" i="2" s="1"/>
  <c r="F3338" i="2"/>
  <c r="G3338" i="2" s="1"/>
  <c r="F3340" i="2"/>
  <c r="G3340" i="2" s="1"/>
  <c r="F3342" i="2"/>
  <c r="G3342" i="2" s="1"/>
  <c r="F3344" i="2"/>
  <c r="G3344" i="2" s="1"/>
  <c r="F3346" i="2"/>
  <c r="G3346" i="2" s="1"/>
  <c r="F3348" i="2"/>
  <c r="G3348" i="2" s="1"/>
  <c r="F3350" i="2"/>
  <c r="G3350" i="2" s="1"/>
  <c r="F3352" i="2"/>
  <c r="G3352" i="2" s="1"/>
  <c r="F3354" i="2"/>
  <c r="G3354" i="2" s="1"/>
  <c r="F3356" i="2"/>
  <c r="G3356" i="2" s="1"/>
  <c r="F3358" i="2"/>
  <c r="G3358" i="2" s="1"/>
  <c r="F3360" i="2"/>
  <c r="G3360" i="2" s="1"/>
  <c r="F3362" i="2"/>
  <c r="G3362" i="2" s="1"/>
  <c r="F3364" i="2"/>
  <c r="G3364" i="2" s="1"/>
  <c r="F3366" i="2"/>
  <c r="G3366" i="2" s="1"/>
  <c r="F3368" i="2"/>
  <c r="G3368" i="2" s="1"/>
  <c r="F3370" i="2"/>
  <c r="G3370" i="2" s="1"/>
  <c r="F3372" i="2"/>
  <c r="G3372" i="2" s="1"/>
  <c r="F3374" i="2"/>
  <c r="G3374" i="2" s="1"/>
  <c r="F3376" i="2"/>
  <c r="G3376" i="2" s="1"/>
  <c r="F3378" i="2"/>
  <c r="G3378" i="2" s="1"/>
  <c r="F3380" i="2"/>
  <c r="G3380" i="2" s="1"/>
  <c r="F3382" i="2"/>
  <c r="G3382" i="2" s="1"/>
  <c r="F3384" i="2"/>
  <c r="G3384" i="2" s="1"/>
  <c r="F3386" i="2"/>
  <c r="G3386" i="2" s="1"/>
  <c r="F3388" i="2"/>
  <c r="G3388" i="2" s="1"/>
  <c r="F3390" i="2"/>
  <c r="G3390" i="2" s="1"/>
  <c r="F3392" i="2"/>
  <c r="G3392" i="2" s="1"/>
  <c r="F3394" i="2"/>
  <c r="G3394" i="2" s="1"/>
  <c r="F3396" i="2"/>
  <c r="G3396" i="2" s="1"/>
  <c r="F3398" i="2"/>
  <c r="G3398" i="2" s="1"/>
  <c r="F3191" i="2"/>
  <c r="G3191" i="2" s="1"/>
  <c r="F3195" i="2"/>
  <c r="G3195" i="2" s="1"/>
  <c r="F3199" i="2"/>
  <c r="G3199" i="2" s="1"/>
  <c r="F3203" i="2"/>
  <c r="G3203" i="2" s="1"/>
  <c r="F3207" i="2"/>
  <c r="G3207" i="2" s="1"/>
  <c r="F3211" i="2"/>
  <c r="G3211" i="2" s="1"/>
  <c r="F3215" i="2"/>
  <c r="G3215" i="2" s="1"/>
  <c r="F3219" i="2"/>
  <c r="G3219" i="2" s="1"/>
  <c r="F3223" i="2"/>
  <c r="G3223" i="2" s="1"/>
  <c r="F3227" i="2"/>
  <c r="G3227" i="2" s="1"/>
  <c r="F3231" i="2"/>
  <c r="G3231" i="2" s="1"/>
  <c r="F3235" i="2"/>
  <c r="G3235" i="2" s="1"/>
  <c r="F3239" i="2"/>
  <c r="G3239" i="2" s="1"/>
  <c r="F3243" i="2"/>
  <c r="G3243" i="2" s="1"/>
  <c r="F3247" i="2"/>
  <c r="G3247" i="2" s="1"/>
  <c r="F3251" i="2"/>
  <c r="G3251" i="2" s="1"/>
  <c r="F3255" i="2"/>
  <c r="G3255" i="2" s="1"/>
  <c r="F3259" i="2"/>
  <c r="G3259" i="2" s="1"/>
  <c r="F3263" i="2"/>
  <c r="G3263" i="2" s="1"/>
  <c r="F3267" i="2"/>
  <c r="G3267" i="2" s="1"/>
  <c r="F3271" i="2"/>
  <c r="G3271" i="2" s="1"/>
  <c r="F3275" i="2"/>
  <c r="G3275" i="2" s="1"/>
  <c r="F3279" i="2"/>
  <c r="G3279" i="2" s="1"/>
  <c r="F3283" i="2"/>
  <c r="G3283" i="2" s="1"/>
  <c r="F3287" i="2"/>
  <c r="G3287" i="2" s="1"/>
  <c r="F3291" i="2"/>
  <c r="G3291" i="2" s="1"/>
  <c r="F3295" i="2"/>
  <c r="G3295" i="2" s="1"/>
  <c r="F3299" i="2"/>
  <c r="G3299" i="2" s="1"/>
  <c r="F3303" i="2"/>
  <c r="G3303" i="2" s="1"/>
  <c r="F3307" i="2"/>
  <c r="G3307" i="2" s="1"/>
  <c r="F3311" i="2"/>
  <c r="G3311" i="2" s="1"/>
  <c r="F3315" i="2"/>
  <c r="G3315" i="2" s="1"/>
  <c r="F3319" i="2"/>
  <c r="G3319" i="2" s="1"/>
  <c r="F3323" i="2"/>
  <c r="G3323" i="2" s="1"/>
  <c r="F3327" i="2"/>
  <c r="G3327" i="2" s="1"/>
  <c r="F3331" i="2"/>
  <c r="G3331" i="2" s="1"/>
  <c r="F3335" i="2"/>
  <c r="G3335" i="2" s="1"/>
  <c r="F3339" i="2"/>
  <c r="G3339" i="2" s="1"/>
  <c r="F3343" i="2"/>
  <c r="G3343" i="2" s="1"/>
  <c r="F3347" i="2"/>
  <c r="G3347" i="2" s="1"/>
  <c r="F3351" i="2"/>
  <c r="G3351" i="2" s="1"/>
  <c r="F3355" i="2"/>
  <c r="G3355" i="2" s="1"/>
  <c r="F3359" i="2"/>
  <c r="G3359" i="2" s="1"/>
  <c r="F3363" i="2"/>
  <c r="G3363" i="2" s="1"/>
  <c r="F3367" i="2"/>
  <c r="G3367" i="2" s="1"/>
  <c r="F3371" i="2"/>
  <c r="G3371" i="2" s="1"/>
  <c r="F3375" i="2"/>
  <c r="G3375" i="2" s="1"/>
  <c r="F3379" i="2"/>
  <c r="G3379" i="2" s="1"/>
  <c r="F3383" i="2"/>
  <c r="G3383" i="2" s="1"/>
  <c r="F3387" i="2"/>
  <c r="G3387" i="2" s="1"/>
  <c r="F3391" i="2"/>
  <c r="G3391" i="2" s="1"/>
  <c r="F3395" i="2"/>
  <c r="G3395" i="2" s="1"/>
  <c r="F3399" i="2"/>
  <c r="G3399" i="2" s="1"/>
  <c r="F3401" i="2"/>
  <c r="G3401" i="2" s="1"/>
  <c r="F3403" i="2"/>
  <c r="G3403" i="2" s="1"/>
  <c r="F3405" i="2"/>
  <c r="G3405" i="2" s="1"/>
  <c r="F3407" i="2"/>
  <c r="G3407" i="2" s="1"/>
  <c r="F3409" i="2"/>
  <c r="G3409" i="2" s="1"/>
  <c r="F3411" i="2"/>
  <c r="G3411" i="2" s="1"/>
  <c r="F3413" i="2"/>
  <c r="G3413" i="2" s="1"/>
  <c r="F3415" i="2"/>
  <c r="G3415" i="2" s="1"/>
  <c r="F3417" i="2"/>
  <c r="G3417" i="2" s="1"/>
  <c r="F3419" i="2"/>
  <c r="G3419" i="2" s="1"/>
  <c r="F3421" i="2"/>
  <c r="G3421" i="2" s="1"/>
  <c r="F3423" i="2"/>
  <c r="G3423" i="2" s="1"/>
  <c r="F3425" i="2"/>
  <c r="G3425" i="2" s="1"/>
  <c r="F3427" i="2"/>
  <c r="G3427" i="2" s="1"/>
  <c r="F3429" i="2"/>
  <c r="G3429" i="2" s="1"/>
  <c r="F3431" i="2"/>
  <c r="G3431" i="2" s="1"/>
  <c r="F3433" i="2"/>
  <c r="G3433" i="2" s="1"/>
  <c r="F3435" i="2"/>
  <c r="G3435" i="2" s="1"/>
  <c r="F3437" i="2"/>
  <c r="G3437" i="2" s="1"/>
  <c r="F3439" i="2"/>
  <c r="G3439" i="2" s="1"/>
  <c r="F3441" i="2"/>
  <c r="G3441" i="2" s="1"/>
  <c r="F3443" i="2"/>
  <c r="G3443" i="2" s="1"/>
  <c r="F3445" i="2"/>
  <c r="G3445" i="2" s="1"/>
  <c r="F3447" i="2"/>
  <c r="G3447" i="2" s="1"/>
  <c r="F3449" i="2"/>
  <c r="G3449" i="2" s="1"/>
  <c r="F3451" i="2"/>
  <c r="G3451" i="2" s="1"/>
  <c r="F3453" i="2"/>
  <c r="G3453" i="2" s="1"/>
  <c r="F3455" i="2"/>
  <c r="G3455" i="2" s="1"/>
  <c r="F3457" i="2"/>
  <c r="G3457" i="2" s="1"/>
  <c r="F3459" i="2"/>
  <c r="G3459" i="2" s="1"/>
  <c r="F3461" i="2"/>
  <c r="G3461" i="2" s="1"/>
  <c r="F3463" i="2"/>
  <c r="G3463" i="2" s="1"/>
  <c r="F3465" i="2"/>
  <c r="G3465" i="2" s="1"/>
  <c r="F3467" i="2"/>
  <c r="G3467" i="2" s="1"/>
  <c r="F3469" i="2"/>
  <c r="G3469" i="2" s="1"/>
  <c r="F3471" i="2"/>
  <c r="G3471" i="2" s="1"/>
  <c r="F3473" i="2"/>
  <c r="G3473" i="2" s="1"/>
  <c r="F3475" i="2"/>
  <c r="G3475" i="2" s="1"/>
  <c r="F3477" i="2"/>
  <c r="G3477" i="2" s="1"/>
  <c r="F3479" i="2"/>
  <c r="G3479" i="2" s="1"/>
  <c r="F3481" i="2"/>
  <c r="G3481" i="2" s="1"/>
  <c r="F3483" i="2"/>
  <c r="G3483" i="2" s="1"/>
  <c r="F3485" i="2"/>
  <c r="G3485" i="2" s="1"/>
  <c r="F3487" i="2"/>
  <c r="G3487" i="2" s="1"/>
  <c r="F3489" i="2"/>
  <c r="G3489" i="2" s="1"/>
  <c r="F3491" i="2"/>
  <c r="G3491" i="2" s="1"/>
  <c r="F3493" i="2"/>
  <c r="G3493" i="2" s="1"/>
  <c r="F3495" i="2"/>
  <c r="G3495" i="2" s="1"/>
  <c r="F3497" i="2"/>
  <c r="G3497" i="2" s="1"/>
  <c r="F3499" i="2"/>
  <c r="G3499" i="2" s="1"/>
  <c r="F3501" i="2"/>
  <c r="G3501" i="2" s="1"/>
  <c r="F3503" i="2"/>
  <c r="G3503" i="2" s="1"/>
  <c r="F3505" i="2"/>
  <c r="G3505" i="2" s="1"/>
  <c r="F3507" i="2"/>
  <c r="G3507" i="2" s="1"/>
  <c r="F3509" i="2"/>
  <c r="G3509" i="2" s="1"/>
  <c r="F3511" i="2"/>
  <c r="G3511" i="2" s="1"/>
  <c r="F3513" i="2"/>
  <c r="G3513" i="2" s="1"/>
  <c r="F3515" i="2"/>
  <c r="G3515" i="2" s="1"/>
  <c r="F3517" i="2"/>
  <c r="G3517" i="2" s="1"/>
  <c r="F3519" i="2"/>
  <c r="G3519" i="2" s="1"/>
  <c r="F3521" i="2"/>
  <c r="G3521" i="2" s="1"/>
  <c r="F3523" i="2"/>
  <c r="G3523" i="2" s="1"/>
  <c r="F3525" i="2"/>
  <c r="G3525" i="2" s="1"/>
  <c r="F3527" i="2"/>
  <c r="G3527" i="2" s="1"/>
  <c r="F3529" i="2"/>
  <c r="G3529" i="2" s="1"/>
  <c r="F3531" i="2"/>
  <c r="G3531" i="2" s="1"/>
  <c r="F3533" i="2"/>
  <c r="G3533" i="2" s="1"/>
  <c r="F3535" i="2"/>
  <c r="G3535" i="2" s="1"/>
  <c r="F3537" i="2"/>
  <c r="G3537" i="2" s="1"/>
  <c r="F3539" i="2"/>
  <c r="G3539" i="2" s="1"/>
  <c r="F3541" i="2"/>
  <c r="G3541" i="2" s="1"/>
  <c r="F3543" i="2"/>
  <c r="G3543" i="2" s="1"/>
  <c r="F3545" i="2"/>
  <c r="G3545" i="2" s="1"/>
  <c r="F3547" i="2"/>
  <c r="G3547" i="2" s="1"/>
  <c r="F3549" i="2"/>
  <c r="G3549" i="2" s="1"/>
  <c r="F3551" i="2"/>
  <c r="G3551" i="2" s="1"/>
  <c r="F3553" i="2"/>
  <c r="G3553" i="2" s="1"/>
  <c r="F3555" i="2"/>
  <c r="G3555" i="2" s="1"/>
  <c r="F3557" i="2"/>
  <c r="G3557" i="2" s="1"/>
  <c r="F3559" i="2"/>
  <c r="G3559" i="2" s="1"/>
  <c r="F3561" i="2"/>
  <c r="G3561" i="2" s="1"/>
  <c r="F3563" i="2"/>
  <c r="G3563" i="2" s="1"/>
  <c r="F3565" i="2"/>
  <c r="G3565" i="2" s="1"/>
  <c r="F3567" i="2"/>
  <c r="G3567" i="2" s="1"/>
  <c r="F3569" i="2"/>
  <c r="G3569" i="2" s="1"/>
  <c r="F3571" i="2"/>
  <c r="G3571" i="2" s="1"/>
  <c r="F3573" i="2"/>
  <c r="G3573" i="2" s="1"/>
  <c r="F3575" i="2"/>
  <c r="G3575" i="2" s="1"/>
  <c r="F3577" i="2"/>
  <c r="G3577" i="2" s="1"/>
  <c r="F3579" i="2"/>
  <c r="G3579" i="2" s="1"/>
  <c r="F3581" i="2"/>
  <c r="G3581" i="2" s="1"/>
  <c r="F3583" i="2"/>
  <c r="G3583" i="2" s="1"/>
  <c r="F3585" i="2"/>
  <c r="G3585" i="2" s="1"/>
  <c r="F3587" i="2"/>
  <c r="G3587" i="2" s="1"/>
  <c r="F3589" i="2"/>
  <c r="G3589" i="2" s="1"/>
  <c r="F3591" i="2"/>
  <c r="G3591" i="2" s="1"/>
  <c r="F3593" i="2"/>
  <c r="G3593" i="2" s="1"/>
  <c r="F3595" i="2"/>
  <c r="G3595" i="2" s="1"/>
  <c r="F3597" i="2"/>
  <c r="G3597" i="2" s="1"/>
  <c r="F3599" i="2"/>
  <c r="G3599" i="2" s="1"/>
  <c r="F3601" i="2"/>
  <c r="G3601" i="2" s="1"/>
  <c r="F3603" i="2"/>
  <c r="G3603" i="2" s="1"/>
  <c r="F3605" i="2"/>
  <c r="G3605" i="2" s="1"/>
  <c r="F3607" i="2"/>
  <c r="G3607" i="2" s="1"/>
  <c r="F3609" i="2"/>
  <c r="G3609" i="2" s="1"/>
  <c r="F3611" i="2"/>
  <c r="G3611" i="2" s="1"/>
  <c r="F3613" i="2"/>
  <c r="G3613" i="2" s="1"/>
  <c r="F3615" i="2"/>
  <c r="G3615" i="2" s="1"/>
  <c r="F3617" i="2"/>
  <c r="G3617" i="2" s="1"/>
  <c r="F3619" i="2"/>
  <c r="G3619" i="2" s="1"/>
  <c r="F3621" i="2"/>
  <c r="G3621" i="2" s="1"/>
  <c r="F3623" i="2"/>
  <c r="G3623" i="2" s="1"/>
  <c r="F3625" i="2"/>
  <c r="G3625" i="2" s="1"/>
  <c r="F3627" i="2"/>
  <c r="G3627" i="2" s="1"/>
  <c r="F3629" i="2"/>
  <c r="G3629" i="2" s="1"/>
  <c r="F3631" i="2"/>
  <c r="G3631" i="2" s="1"/>
  <c r="F3633" i="2"/>
  <c r="G3633" i="2" s="1"/>
  <c r="F3635" i="2"/>
  <c r="G3635" i="2" s="1"/>
  <c r="F3637" i="2"/>
  <c r="G3637" i="2" s="1"/>
  <c r="F3639" i="2"/>
  <c r="G3639" i="2" s="1"/>
  <c r="F3641" i="2"/>
  <c r="G3641" i="2" s="1"/>
  <c r="F3643" i="2"/>
  <c r="G3643" i="2" s="1"/>
  <c r="F3645" i="2"/>
  <c r="G3645" i="2" s="1"/>
  <c r="F3647" i="2"/>
  <c r="G3647" i="2" s="1"/>
  <c r="F3649" i="2"/>
  <c r="G3649" i="2" s="1"/>
  <c r="F3651" i="2"/>
  <c r="G3651" i="2" s="1"/>
  <c r="F3653" i="2"/>
  <c r="G3653" i="2" s="1"/>
  <c r="F3655" i="2"/>
  <c r="G3655" i="2" s="1"/>
  <c r="F3657" i="2"/>
  <c r="G3657" i="2" s="1"/>
  <c r="F3659" i="2"/>
  <c r="G3659" i="2" s="1"/>
  <c r="F3661" i="2"/>
  <c r="G3661" i="2" s="1"/>
  <c r="F3663" i="2"/>
  <c r="G3663" i="2" s="1"/>
  <c r="F3665" i="2"/>
  <c r="G3665" i="2" s="1"/>
  <c r="F3667" i="2"/>
  <c r="G3667" i="2" s="1"/>
  <c r="F3669" i="2"/>
  <c r="G3669" i="2" s="1"/>
  <c r="F3671" i="2"/>
  <c r="G3671" i="2" s="1"/>
  <c r="F3673" i="2"/>
  <c r="G3673" i="2" s="1"/>
  <c r="F3675" i="2"/>
  <c r="G3675" i="2" s="1"/>
  <c r="F3677" i="2"/>
  <c r="G3677" i="2" s="1"/>
  <c r="F3679" i="2"/>
  <c r="G3679" i="2" s="1"/>
  <c r="F3681" i="2"/>
  <c r="G3681" i="2" s="1"/>
  <c r="F3683" i="2"/>
  <c r="G3683" i="2" s="1"/>
  <c r="F3685" i="2"/>
  <c r="G3685" i="2" s="1"/>
  <c r="F3687" i="2"/>
  <c r="G3687" i="2" s="1"/>
  <c r="F3689" i="2"/>
  <c r="G3689" i="2" s="1"/>
  <c r="F3691" i="2"/>
  <c r="G3691" i="2" s="1"/>
  <c r="F3693" i="2"/>
  <c r="G3693" i="2" s="1"/>
  <c r="F3695" i="2"/>
  <c r="G3695" i="2" s="1"/>
  <c r="F3697" i="2"/>
  <c r="G3697" i="2" s="1"/>
  <c r="F3699" i="2"/>
  <c r="G3699" i="2" s="1"/>
  <c r="F3701" i="2"/>
  <c r="G3701" i="2" s="1"/>
  <c r="F3703" i="2"/>
  <c r="G3703" i="2" s="1"/>
  <c r="F3705" i="2"/>
  <c r="G3705" i="2" s="1"/>
  <c r="F3707" i="2"/>
  <c r="G3707" i="2" s="1"/>
  <c r="F3709" i="2"/>
  <c r="G3709" i="2" s="1"/>
  <c r="F3711" i="2"/>
  <c r="G3711" i="2" s="1"/>
  <c r="F3713" i="2"/>
  <c r="G3713" i="2" s="1"/>
  <c r="F3715" i="2"/>
  <c r="G3715" i="2" s="1"/>
  <c r="F3717" i="2"/>
  <c r="G3717" i="2" s="1"/>
  <c r="F3719" i="2"/>
  <c r="G3719" i="2" s="1"/>
  <c r="F3721" i="2"/>
  <c r="G3721" i="2" s="1"/>
  <c r="F3723" i="2"/>
  <c r="G3723" i="2" s="1"/>
  <c r="F3725" i="2"/>
  <c r="G3725" i="2" s="1"/>
  <c r="F3727" i="2"/>
  <c r="G3727" i="2" s="1"/>
  <c r="F3729" i="2"/>
  <c r="G3729" i="2" s="1"/>
  <c r="F3731" i="2"/>
  <c r="G3731" i="2" s="1"/>
  <c r="F3733" i="2"/>
  <c r="G3733" i="2" s="1"/>
  <c r="F3735" i="2"/>
  <c r="G3735" i="2" s="1"/>
  <c r="F3737" i="2"/>
  <c r="G3737" i="2" s="1"/>
  <c r="F3739" i="2"/>
  <c r="G3739" i="2" s="1"/>
  <c r="F3741" i="2"/>
  <c r="G3741" i="2" s="1"/>
  <c r="F3743" i="2"/>
  <c r="G3743" i="2" s="1"/>
  <c r="F3745" i="2"/>
  <c r="G3745" i="2" s="1"/>
  <c r="F3747" i="2"/>
  <c r="G3747" i="2" s="1"/>
  <c r="F3749" i="2"/>
  <c r="G3749" i="2" s="1"/>
  <c r="F3751" i="2"/>
  <c r="G3751" i="2" s="1"/>
  <c r="F3753" i="2"/>
  <c r="G3753" i="2" s="1"/>
  <c r="F3755" i="2"/>
  <c r="G3755" i="2" s="1"/>
  <c r="F3757" i="2"/>
  <c r="G3757" i="2" s="1"/>
  <c r="F3759" i="2"/>
  <c r="G3759" i="2" s="1"/>
  <c r="F3761" i="2"/>
  <c r="G3761" i="2" s="1"/>
  <c r="F3763" i="2"/>
  <c r="G3763" i="2" s="1"/>
  <c r="F3765" i="2"/>
  <c r="G3765" i="2" s="1"/>
  <c r="F3767" i="2"/>
  <c r="G3767" i="2" s="1"/>
  <c r="F3769" i="2"/>
  <c r="G3769" i="2" s="1"/>
  <c r="F3771" i="2"/>
  <c r="G3771" i="2" s="1"/>
  <c r="F3773" i="2"/>
  <c r="G3773" i="2" s="1"/>
  <c r="F3775" i="2"/>
  <c r="G3775" i="2" s="1"/>
  <c r="F3777" i="2"/>
  <c r="G3777" i="2" s="1"/>
  <c r="F3779" i="2"/>
  <c r="G3779" i="2" s="1"/>
  <c r="F3781" i="2"/>
  <c r="G3781" i="2" s="1"/>
  <c r="F3783" i="2"/>
  <c r="G3783" i="2" s="1"/>
  <c r="F3785" i="2"/>
  <c r="G3785" i="2" s="1"/>
  <c r="F3787" i="2"/>
  <c r="G3787" i="2" s="1"/>
  <c r="F3789" i="2"/>
  <c r="G3789" i="2" s="1"/>
  <c r="F3791" i="2"/>
  <c r="G3791" i="2" s="1"/>
  <c r="F3793" i="2"/>
  <c r="G3793" i="2" s="1"/>
  <c r="F3795" i="2"/>
  <c r="G3795" i="2" s="1"/>
  <c r="F3797" i="2"/>
  <c r="G3797" i="2" s="1"/>
  <c r="F3799" i="2"/>
  <c r="G3799" i="2" s="1"/>
  <c r="F3801" i="2"/>
  <c r="G3801" i="2" s="1"/>
  <c r="F3803" i="2"/>
  <c r="G3803" i="2" s="1"/>
  <c r="F3805" i="2"/>
  <c r="G3805" i="2" s="1"/>
  <c r="F3807" i="2"/>
  <c r="G3807" i="2" s="1"/>
  <c r="F3809" i="2"/>
  <c r="G3809" i="2" s="1"/>
  <c r="F3811" i="2"/>
  <c r="G3811" i="2" s="1"/>
  <c r="F3813" i="2"/>
  <c r="G3813" i="2" s="1"/>
  <c r="F3815" i="2"/>
  <c r="G3815" i="2" s="1"/>
  <c r="F3817" i="2"/>
  <c r="G3817" i="2" s="1"/>
  <c r="F3819" i="2"/>
  <c r="G3819" i="2" s="1"/>
  <c r="F3821" i="2"/>
  <c r="G3821" i="2" s="1"/>
  <c r="F3823" i="2"/>
  <c r="G3823" i="2" s="1"/>
  <c r="F3825" i="2"/>
  <c r="G3825" i="2" s="1"/>
  <c r="F3827" i="2"/>
  <c r="G3827" i="2" s="1"/>
  <c r="F3829" i="2"/>
  <c r="G3829" i="2" s="1"/>
  <c r="F3831" i="2"/>
  <c r="G3831" i="2" s="1"/>
  <c r="F3833" i="2"/>
  <c r="G3833" i="2" s="1"/>
  <c r="F3835" i="2"/>
  <c r="G3835" i="2" s="1"/>
  <c r="F3837" i="2"/>
  <c r="G3837" i="2" s="1"/>
  <c r="F3839" i="2"/>
  <c r="G3839" i="2" s="1"/>
  <c r="F3841" i="2"/>
  <c r="G3841" i="2" s="1"/>
  <c r="F3843" i="2"/>
  <c r="G3843" i="2" s="1"/>
  <c r="F3845" i="2"/>
  <c r="G3845" i="2" s="1"/>
  <c r="F3847" i="2"/>
  <c r="G3847" i="2" s="1"/>
  <c r="F3849" i="2"/>
  <c r="G3849" i="2" s="1"/>
  <c r="F3851" i="2"/>
  <c r="G3851" i="2" s="1"/>
  <c r="F3853" i="2"/>
  <c r="G3853" i="2" s="1"/>
  <c r="F3855" i="2"/>
  <c r="G3855" i="2" s="1"/>
  <c r="F3857" i="2"/>
  <c r="G3857" i="2" s="1"/>
  <c r="F3859" i="2"/>
  <c r="G3859" i="2" s="1"/>
  <c r="F3861" i="2"/>
  <c r="G3861" i="2" s="1"/>
  <c r="F3863" i="2"/>
  <c r="G3863" i="2" s="1"/>
  <c r="F3865" i="2"/>
  <c r="G3865" i="2" s="1"/>
  <c r="F3867" i="2"/>
  <c r="G3867" i="2" s="1"/>
  <c r="F3869" i="2"/>
  <c r="G3869" i="2" s="1"/>
  <c r="F3871" i="2"/>
  <c r="G3871" i="2" s="1"/>
  <c r="F3873" i="2"/>
  <c r="G3873" i="2" s="1"/>
  <c r="F3875" i="2"/>
  <c r="G3875" i="2" s="1"/>
  <c r="F3877" i="2"/>
  <c r="G3877" i="2" s="1"/>
  <c r="F3879" i="2"/>
  <c r="G3879" i="2" s="1"/>
  <c r="F3881" i="2"/>
  <c r="G3881" i="2" s="1"/>
  <c r="F3883" i="2"/>
  <c r="G3883" i="2" s="1"/>
  <c r="F3885" i="2"/>
  <c r="G3885" i="2" s="1"/>
  <c r="F3887" i="2"/>
  <c r="G3887" i="2" s="1"/>
  <c r="F3889" i="2"/>
  <c r="G3889" i="2" s="1"/>
  <c r="F3891" i="2"/>
  <c r="G3891" i="2" s="1"/>
  <c r="F3893" i="2"/>
  <c r="G3893" i="2" s="1"/>
  <c r="F3895" i="2"/>
  <c r="G3895" i="2" s="1"/>
  <c r="F3897" i="2"/>
  <c r="G3897" i="2" s="1"/>
  <c r="F3899" i="2"/>
  <c r="G3899" i="2" s="1"/>
  <c r="F3901" i="2"/>
  <c r="G3901" i="2" s="1"/>
  <c r="F3903" i="2"/>
  <c r="G3903" i="2" s="1"/>
  <c r="F3905" i="2"/>
  <c r="G3905" i="2" s="1"/>
  <c r="F3907" i="2"/>
  <c r="G3907" i="2" s="1"/>
  <c r="F3909" i="2"/>
  <c r="G3909" i="2" s="1"/>
  <c r="F3911" i="2"/>
  <c r="G3911" i="2" s="1"/>
  <c r="F3913" i="2"/>
  <c r="G3913" i="2" s="1"/>
  <c r="F3915" i="2"/>
  <c r="G3915" i="2" s="1"/>
  <c r="F3917" i="2"/>
  <c r="G3917" i="2" s="1"/>
  <c r="F3919" i="2"/>
  <c r="G3919" i="2" s="1"/>
  <c r="F3921" i="2"/>
  <c r="G3921" i="2" s="1"/>
  <c r="F3923" i="2"/>
  <c r="G3923" i="2" s="1"/>
  <c r="F3925" i="2"/>
  <c r="G3925" i="2" s="1"/>
  <c r="F3927" i="2"/>
  <c r="G3927" i="2" s="1"/>
  <c r="F3929" i="2"/>
  <c r="G3929" i="2" s="1"/>
  <c r="F3931" i="2"/>
  <c r="G3931" i="2" s="1"/>
  <c r="F3933" i="2"/>
  <c r="G3933" i="2" s="1"/>
  <c r="F3935" i="2"/>
  <c r="G3935" i="2" s="1"/>
  <c r="F3937" i="2"/>
  <c r="G3937" i="2" s="1"/>
  <c r="F3939" i="2"/>
  <c r="G3939" i="2" s="1"/>
  <c r="F3941" i="2"/>
  <c r="G3941" i="2" s="1"/>
  <c r="F3943" i="2"/>
  <c r="G3943" i="2" s="1"/>
  <c r="F3945" i="2"/>
  <c r="G3945" i="2" s="1"/>
  <c r="F3947" i="2"/>
  <c r="G3947" i="2" s="1"/>
  <c r="F3949" i="2"/>
  <c r="G3949" i="2" s="1"/>
  <c r="F3951" i="2"/>
  <c r="G3951" i="2" s="1"/>
  <c r="F3953" i="2"/>
  <c r="G3953" i="2" s="1"/>
  <c r="F3955" i="2"/>
  <c r="G3955" i="2" s="1"/>
  <c r="F3957" i="2"/>
  <c r="G3957" i="2" s="1"/>
  <c r="F3959" i="2"/>
  <c r="G3959" i="2" s="1"/>
  <c r="F3961" i="2"/>
  <c r="G3961" i="2" s="1"/>
  <c r="F3963" i="2"/>
  <c r="G3963" i="2" s="1"/>
  <c r="F3965" i="2"/>
  <c r="G3965" i="2" s="1"/>
  <c r="F3967" i="2"/>
  <c r="G3967" i="2" s="1"/>
  <c r="F3969" i="2"/>
  <c r="G3969" i="2" s="1"/>
  <c r="F3971" i="2"/>
  <c r="G3971" i="2" s="1"/>
  <c r="F3973" i="2"/>
  <c r="G3973" i="2" s="1"/>
  <c r="F3975" i="2"/>
  <c r="G3975" i="2" s="1"/>
  <c r="F3977" i="2"/>
  <c r="G3977" i="2" s="1"/>
  <c r="F3979" i="2"/>
  <c r="G3979" i="2" s="1"/>
  <c r="F3981" i="2"/>
  <c r="G3981" i="2" s="1"/>
  <c r="F3983" i="2"/>
  <c r="G3983" i="2" s="1"/>
  <c r="F3985" i="2"/>
  <c r="G3985" i="2" s="1"/>
  <c r="F3987" i="2"/>
  <c r="G3987" i="2" s="1"/>
  <c r="F3989" i="2"/>
  <c r="G3989" i="2" s="1"/>
  <c r="F3991" i="2"/>
  <c r="G3991" i="2" s="1"/>
  <c r="F3993" i="2"/>
  <c r="G3993" i="2" s="1"/>
  <c r="F3995" i="2"/>
  <c r="G3995" i="2" s="1"/>
  <c r="F3997" i="2"/>
  <c r="G3997" i="2" s="1"/>
  <c r="F3999" i="2"/>
  <c r="G3999" i="2" s="1"/>
  <c r="F4001" i="2"/>
  <c r="G4001" i="2" s="1"/>
  <c r="F4003" i="2"/>
  <c r="G4003" i="2" s="1"/>
  <c r="F4005" i="2"/>
  <c r="G4005" i="2" s="1"/>
  <c r="F4007" i="2"/>
  <c r="G4007" i="2" s="1"/>
  <c r="F4009" i="2"/>
  <c r="G4009" i="2" s="1"/>
  <c r="F4011" i="2"/>
  <c r="G4011" i="2" s="1"/>
  <c r="F4013" i="2"/>
  <c r="G4013" i="2" s="1"/>
  <c r="F4015" i="2"/>
  <c r="G4015" i="2" s="1"/>
  <c r="F4017" i="2"/>
  <c r="G4017" i="2" s="1"/>
  <c r="F4019" i="2"/>
  <c r="G4019" i="2" s="1"/>
  <c r="F4021" i="2"/>
  <c r="G4021" i="2" s="1"/>
  <c r="F4023" i="2"/>
  <c r="G4023" i="2" s="1"/>
  <c r="F4025" i="2"/>
  <c r="G4025" i="2" s="1"/>
  <c r="F4027" i="2"/>
  <c r="G4027" i="2" s="1"/>
  <c r="F4029" i="2"/>
  <c r="G4029" i="2" s="1"/>
  <c r="F4031" i="2"/>
  <c r="G4031" i="2" s="1"/>
  <c r="F4033" i="2"/>
  <c r="G4033" i="2" s="1"/>
  <c r="F4035" i="2"/>
  <c r="G4035" i="2" s="1"/>
  <c r="F4037" i="2"/>
  <c r="G4037" i="2" s="1"/>
  <c r="F4039" i="2"/>
  <c r="G4039" i="2" s="1"/>
  <c r="F4041" i="2"/>
  <c r="G4041" i="2" s="1"/>
  <c r="F4043" i="2"/>
  <c r="G4043" i="2" s="1"/>
  <c r="F4045" i="2"/>
  <c r="G4045" i="2" s="1"/>
  <c r="F4047" i="2"/>
  <c r="G4047" i="2" s="1"/>
  <c r="F4049" i="2"/>
  <c r="G4049" i="2" s="1"/>
  <c r="F4051" i="2"/>
  <c r="G4051" i="2" s="1"/>
  <c r="F4053" i="2"/>
  <c r="G4053" i="2" s="1"/>
  <c r="F4055" i="2"/>
  <c r="G4055" i="2" s="1"/>
  <c r="F4057" i="2"/>
  <c r="G4057" i="2" s="1"/>
  <c r="F4059" i="2"/>
  <c r="G4059" i="2" s="1"/>
  <c r="F4061" i="2"/>
  <c r="G4061" i="2" s="1"/>
  <c r="F4063" i="2"/>
  <c r="G4063" i="2" s="1"/>
  <c r="F4065" i="2"/>
  <c r="G4065" i="2" s="1"/>
  <c r="F4067" i="2"/>
  <c r="G4067" i="2" s="1"/>
  <c r="F4069" i="2"/>
  <c r="G4069" i="2" s="1"/>
  <c r="F4071" i="2"/>
  <c r="G4071" i="2" s="1"/>
  <c r="F4073" i="2"/>
  <c r="G4073" i="2" s="1"/>
  <c r="F4075" i="2"/>
  <c r="G4075" i="2" s="1"/>
  <c r="F4077" i="2"/>
  <c r="G4077" i="2" s="1"/>
  <c r="F4079" i="2"/>
  <c r="G4079" i="2" s="1"/>
  <c r="F4081" i="2"/>
  <c r="G4081" i="2" s="1"/>
  <c r="F4083" i="2"/>
  <c r="G4083" i="2" s="1"/>
  <c r="F4085" i="2"/>
  <c r="G4085" i="2" s="1"/>
  <c r="F4087" i="2"/>
  <c r="G4087" i="2" s="1"/>
  <c r="F4089" i="2"/>
  <c r="G4089" i="2" s="1"/>
  <c r="F4091" i="2"/>
  <c r="G4091" i="2" s="1"/>
  <c r="F4093" i="2"/>
  <c r="G4093" i="2" s="1"/>
  <c r="F4095" i="2"/>
  <c r="G4095" i="2" s="1"/>
  <c r="F4097" i="2"/>
  <c r="G4097" i="2" s="1"/>
  <c r="F4099" i="2"/>
  <c r="G4099" i="2" s="1"/>
  <c r="F4101" i="2"/>
  <c r="G4101" i="2" s="1"/>
  <c r="F4103" i="2"/>
  <c r="G4103" i="2" s="1"/>
  <c r="F4105" i="2"/>
  <c r="G4105" i="2" s="1"/>
  <c r="F4107" i="2"/>
  <c r="G4107" i="2" s="1"/>
  <c r="F4109" i="2"/>
  <c r="G4109" i="2" s="1"/>
  <c r="F4111" i="2"/>
  <c r="G4111" i="2" s="1"/>
  <c r="F4113" i="2"/>
  <c r="G4113" i="2" s="1"/>
  <c r="F4115" i="2"/>
  <c r="G4115" i="2" s="1"/>
  <c r="F4117" i="2"/>
  <c r="G4117" i="2" s="1"/>
  <c r="F4119" i="2"/>
  <c r="G4119" i="2" s="1"/>
  <c r="F4121" i="2"/>
  <c r="G4121" i="2" s="1"/>
  <c r="F4123" i="2"/>
  <c r="G4123" i="2" s="1"/>
  <c r="F4125" i="2"/>
  <c r="G4125" i="2" s="1"/>
  <c r="F4127" i="2"/>
  <c r="G4127" i="2" s="1"/>
  <c r="F4129" i="2"/>
  <c r="G4129" i="2" s="1"/>
  <c r="F4131" i="2"/>
  <c r="G4131" i="2" s="1"/>
  <c r="F4133" i="2"/>
  <c r="G4133" i="2" s="1"/>
  <c r="F4135" i="2"/>
  <c r="G4135" i="2" s="1"/>
  <c r="F4137" i="2"/>
  <c r="G4137" i="2" s="1"/>
  <c r="F4139" i="2"/>
  <c r="G4139" i="2" s="1"/>
  <c r="F4141" i="2"/>
  <c r="G4141" i="2" s="1"/>
  <c r="F4143" i="2"/>
  <c r="G4143" i="2" s="1"/>
  <c r="F4145" i="2"/>
  <c r="G4145" i="2" s="1"/>
  <c r="F4147" i="2"/>
  <c r="G4147" i="2" s="1"/>
  <c r="F4149" i="2"/>
  <c r="G4149" i="2" s="1"/>
  <c r="F4151" i="2"/>
  <c r="G4151" i="2" s="1"/>
  <c r="F4153" i="2"/>
  <c r="G4153" i="2" s="1"/>
  <c r="F4155" i="2"/>
  <c r="G4155" i="2" s="1"/>
  <c r="F4157" i="2"/>
  <c r="G4157" i="2" s="1"/>
  <c r="F4159" i="2"/>
  <c r="G4159" i="2" s="1"/>
  <c r="F4161" i="2"/>
  <c r="G4161" i="2" s="1"/>
  <c r="F4163" i="2"/>
  <c r="G4163" i="2" s="1"/>
  <c r="F4165" i="2"/>
  <c r="G4165" i="2" s="1"/>
  <c r="F4167" i="2"/>
  <c r="G4167" i="2" s="1"/>
  <c r="F4169" i="2"/>
  <c r="G4169" i="2" s="1"/>
  <c r="F4171" i="2"/>
  <c r="G4171" i="2" s="1"/>
  <c r="F4173" i="2"/>
  <c r="G4173" i="2" s="1"/>
  <c r="F4175" i="2"/>
  <c r="G4175" i="2" s="1"/>
  <c r="F4177" i="2"/>
  <c r="G4177" i="2" s="1"/>
  <c r="F4179" i="2"/>
  <c r="G4179" i="2" s="1"/>
  <c r="F4181" i="2"/>
  <c r="G4181" i="2" s="1"/>
  <c r="F4183" i="2"/>
  <c r="G4183" i="2" s="1"/>
  <c r="F4185" i="2"/>
  <c r="G4185" i="2" s="1"/>
  <c r="F4187" i="2"/>
  <c r="G4187" i="2" s="1"/>
  <c r="F4189" i="2"/>
  <c r="G4189" i="2" s="1"/>
  <c r="F4191" i="2"/>
  <c r="G4191" i="2" s="1"/>
  <c r="F4193" i="2"/>
  <c r="G4193" i="2" s="1"/>
  <c r="F4195" i="2"/>
  <c r="G4195" i="2" s="1"/>
  <c r="F4197" i="2"/>
  <c r="G4197" i="2" s="1"/>
  <c r="F4199" i="2"/>
  <c r="G4199" i="2" s="1"/>
  <c r="F4201" i="2"/>
  <c r="G4201" i="2" s="1"/>
  <c r="F4203" i="2"/>
  <c r="G4203" i="2" s="1"/>
  <c r="F4205" i="2"/>
  <c r="G4205" i="2" s="1"/>
  <c r="F4207" i="2"/>
  <c r="G4207" i="2" s="1"/>
  <c r="F4209" i="2"/>
  <c r="G4209" i="2" s="1"/>
  <c r="F4211" i="2"/>
  <c r="G4211" i="2" s="1"/>
  <c r="F4213" i="2"/>
  <c r="G4213" i="2" s="1"/>
  <c r="F4215" i="2"/>
  <c r="G4215" i="2" s="1"/>
  <c r="F4217" i="2"/>
  <c r="G4217" i="2" s="1"/>
  <c r="F4219" i="2"/>
  <c r="G4219" i="2" s="1"/>
  <c r="F4221" i="2"/>
  <c r="G4221" i="2" s="1"/>
  <c r="F4223" i="2"/>
  <c r="G4223" i="2" s="1"/>
  <c r="F4225" i="2"/>
  <c r="G4225" i="2" s="1"/>
  <c r="F4227" i="2"/>
  <c r="G4227" i="2" s="1"/>
  <c r="F4229" i="2"/>
  <c r="G4229" i="2" s="1"/>
  <c r="F4231" i="2"/>
  <c r="G4231" i="2" s="1"/>
  <c r="F4233" i="2"/>
  <c r="G4233" i="2" s="1"/>
  <c r="F4235" i="2"/>
  <c r="G4235" i="2" s="1"/>
  <c r="F4237" i="2"/>
  <c r="G4237" i="2" s="1"/>
  <c r="F4239" i="2"/>
  <c r="G4239" i="2" s="1"/>
  <c r="F4241" i="2"/>
  <c r="G4241" i="2" s="1"/>
  <c r="F4243" i="2"/>
  <c r="G4243" i="2" s="1"/>
  <c r="F4245" i="2"/>
  <c r="G4245" i="2" s="1"/>
  <c r="F4247" i="2"/>
  <c r="G4247" i="2" s="1"/>
  <c r="F4249" i="2"/>
  <c r="G4249" i="2" s="1"/>
  <c r="F4251" i="2"/>
  <c r="G4251" i="2" s="1"/>
  <c r="F4253" i="2"/>
  <c r="G4253" i="2" s="1"/>
  <c r="F4255" i="2"/>
  <c r="G4255" i="2" s="1"/>
  <c r="F4257" i="2"/>
  <c r="G4257" i="2" s="1"/>
  <c r="F4259" i="2"/>
  <c r="G4259" i="2" s="1"/>
  <c r="F4261" i="2"/>
  <c r="G4261" i="2" s="1"/>
  <c r="F4263" i="2"/>
  <c r="G4263" i="2" s="1"/>
  <c r="F4265" i="2"/>
  <c r="G4265" i="2" s="1"/>
  <c r="F4267" i="2"/>
  <c r="G4267" i="2" s="1"/>
  <c r="F4269" i="2"/>
  <c r="G4269" i="2" s="1"/>
  <c r="F4271" i="2"/>
  <c r="G4271" i="2" s="1"/>
  <c r="F4273" i="2"/>
  <c r="G4273" i="2" s="1"/>
  <c r="F4275" i="2"/>
  <c r="G4275" i="2" s="1"/>
  <c r="F4277" i="2"/>
  <c r="G4277" i="2" s="1"/>
  <c r="F4279" i="2"/>
  <c r="G4279" i="2" s="1"/>
  <c r="F4281" i="2"/>
  <c r="G4281" i="2" s="1"/>
  <c r="F4283" i="2"/>
  <c r="G4283" i="2" s="1"/>
  <c r="F4285" i="2"/>
  <c r="G4285" i="2" s="1"/>
  <c r="F4287" i="2"/>
  <c r="G4287" i="2" s="1"/>
  <c r="F4289" i="2"/>
  <c r="G4289" i="2" s="1"/>
  <c r="F4291" i="2"/>
  <c r="G4291" i="2" s="1"/>
  <c r="F4293" i="2"/>
  <c r="G4293" i="2" s="1"/>
  <c r="F4295" i="2"/>
  <c r="G4295" i="2" s="1"/>
  <c r="F4297" i="2"/>
  <c r="G4297" i="2" s="1"/>
  <c r="F4299" i="2"/>
  <c r="G4299" i="2" s="1"/>
  <c r="F4301" i="2"/>
  <c r="G4301" i="2" s="1"/>
  <c r="F4303" i="2"/>
  <c r="G4303" i="2" s="1"/>
  <c r="F4305" i="2"/>
  <c r="G4305" i="2" s="1"/>
  <c r="F4307" i="2"/>
  <c r="G4307" i="2" s="1"/>
  <c r="F4309" i="2"/>
  <c r="G4309" i="2" s="1"/>
  <c r="F4311" i="2"/>
  <c r="G4311" i="2" s="1"/>
  <c r="F4313" i="2"/>
  <c r="G4313" i="2" s="1"/>
  <c r="F4315" i="2"/>
  <c r="G4315" i="2" s="1"/>
  <c r="F4317" i="2"/>
  <c r="G4317" i="2" s="1"/>
  <c r="F4319" i="2"/>
  <c r="G4319" i="2" s="1"/>
  <c r="F4321" i="2"/>
  <c r="G4321" i="2" s="1"/>
  <c r="F4323" i="2"/>
  <c r="G4323" i="2" s="1"/>
  <c r="F4325" i="2"/>
  <c r="G4325" i="2" s="1"/>
  <c r="F4327" i="2"/>
  <c r="G4327" i="2" s="1"/>
  <c r="F4329" i="2"/>
  <c r="G4329" i="2" s="1"/>
  <c r="F4331" i="2"/>
  <c r="G4331" i="2" s="1"/>
  <c r="F4333" i="2"/>
  <c r="G4333" i="2" s="1"/>
  <c r="F4335" i="2"/>
  <c r="G4335" i="2" s="1"/>
  <c r="F4337" i="2"/>
  <c r="G4337" i="2" s="1"/>
  <c r="F4339" i="2"/>
  <c r="G4339" i="2" s="1"/>
  <c r="F4341" i="2"/>
  <c r="G4341" i="2" s="1"/>
  <c r="F4343" i="2"/>
  <c r="G4343" i="2" s="1"/>
  <c r="F4345" i="2"/>
  <c r="G4345" i="2" s="1"/>
  <c r="F4347" i="2"/>
  <c r="G4347" i="2" s="1"/>
  <c r="F4349" i="2"/>
  <c r="G4349" i="2" s="1"/>
  <c r="F4351" i="2"/>
  <c r="G4351" i="2" s="1"/>
  <c r="F4353" i="2"/>
  <c r="G4353" i="2" s="1"/>
  <c r="F4355" i="2"/>
  <c r="G4355" i="2" s="1"/>
  <c r="F4357" i="2"/>
  <c r="G4357" i="2" s="1"/>
  <c r="F4359" i="2"/>
  <c r="G4359" i="2" s="1"/>
  <c r="F4361" i="2"/>
  <c r="G4361" i="2" s="1"/>
  <c r="F4363" i="2"/>
  <c r="G4363" i="2" s="1"/>
  <c r="F4365" i="2"/>
  <c r="G4365" i="2" s="1"/>
  <c r="F4367" i="2"/>
  <c r="G4367" i="2" s="1"/>
  <c r="F4369" i="2"/>
  <c r="G4369" i="2" s="1"/>
  <c r="F4371" i="2"/>
  <c r="G4371" i="2" s="1"/>
  <c r="F4373" i="2"/>
  <c r="G4373" i="2" s="1"/>
  <c r="F4375" i="2"/>
  <c r="G4375" i="2" s="1"/>
  <c r="F4377" i="2"/>
  <c r="G4377" i="2" s="1"/>
  <c r="F4379" i="2"/>
  <c r="G4379" i="2" s="1"/>
  <c r="F4381" i="2"/>
  <c r="G4381" i="2" s="1"/>
  <c r="F4383" i="2"/>
  <c r="G4383" i="2" s="1"/>
  <c r="F4385" i="2"/>
  <c r="G4385" i="2" s="1"/>
  <c r="F4387" i="2"/>
  <c r="G4387" i="2" s="1"/>
  <c r="F4389" i="2"/>
  <c r="G4389" i="2" s="1"/>
  <c r="F4391" i="2"/>
  <c r="G4391" i="2" s="1"/>
  <c r="F4393" i="2"/>
  <c r="G4393" i="2" s="1"/>
  <c r="F4395" i="2"/>
  <c r="G4395" i="2" s="1"/>
  <c r="F4397" i="2"/>
  <c r="G4397" i="2" s="1"/>
  <c r="F4399" i="2"/>
  <c r="G4399" i="2" s="1"/>
  <c r="F4401" i="2"/>
  <c r="G4401" i="2" s="1"/>
  <c r="F4403" i="2"/>
  <c r="G4403" i="2" s="1"/>
  <c r="F4405" i="2"/>
  <c r="G4405" i="2" s="1"/>
  <c r="F4407" i="2"/>
  <c r="G4407" i="2" s="1"/>
  <c r="F4409" i="2"/>
  <c r="G4409" i="2" s="1"/>
  <c r="F4411" i="2"/>
  <c r="G4411" i="2" s="1"/>
  <c r="F4413" i="2"/>
  <c r="G4413" i="2" s="1"/>
  <c r="F4415" i="2"/>
  <c r="G4415" i="2" s="1"/>
  <c r="F4417" i="2"/>
  <c r="G4417" i="2" s="1"/>
  <c r="F4419" i="2"/>
  <c r="G4419" i="2" s="1"/>
  <c r="F4421" i="2"/>
  <c r="G4421" i="2" s="1"/>
  <c r="F4423" i="2"/>
  <c r="G4423" i="2" s="1"/>
  <c r="F4425" i="2"/>
  <c r="G4425" i="2" s="1"/>
  <c r="F4427" i="2"/>
  <c r="G4427" i="2" s="1"/>
  <c r="F4429" i="2"/>
  <c r="G4429" i="2" s="1"/>
  <c r="F4431" i="2"/>
  <c r="G4431" i="2" s="1"/>
  <c r="F4433" i="2"/>
  <c r="G4433" i="2" s="1"/>
  <c r="F4435" i="2"/>
  <c r="G4435" i="2" s="1"/>
  <c r="F4437" i="2"/>
  <c r="G4437" i="2" s="1"/>
  <c r="F4439" i="2"/>
  <c r="G4439" i="2" s="1"/>
  <c r="F4441" i="2"/>
  <c r="G4441" i="2" s="1"/>
  <c r="F4443" i="2"/>
  <c r="G4443" i="2" s="1"/>
  <c r="F4445" i="2"/>
  <c r="G4445" i="2" s="1"/>
  <c r="F4447" i="2"/>
  <c r="G4447" i="2" s="1"/>
  <c r="F4449" i="2"/>
  <c r="G4449" i="2" s="1"/>
  <c r="F4451" i="2"/>
  <c r="G4451" i="2" s="1"/>
  <c r="F4453" i="2"/>
  <c r="G4453" i="2" s="1"/>
  <c r="F4455" i="2"/>
  <c r="G4455" i="2" s="1"/>
  <c r="F4457" i="2"/>
  <c r="G4457" i="2" s="1"/>
  <c r="F4459" i="2"/>
  <c r="G4459" i="2" s="1"/>
  <c r="F4461" i="2"/>
  <c r="G4461" i="2" s="1"/>
  <c r="F4463" i="2"/>
  <c r="G4463" i="2" s="1"/>
  <c r="F4465" i="2"/>
  <c r="G4465" i="2" s="1"/>
  <c r="F4467" i="2"/>
  <c r="G4467" i="2" s="1"/>
  <c r="F4469" i="2"/>
  <c r="G4469" i="2" s="1"/>
  <c r="F4471" i="2"/>
  <c r="G4471" i="2" s="1"/>
  <c r="F4473" i="2"/>
  <c r="G4473" i="2" s="1"/>
  <c r="F4475" i="2"/>
  <c r="G4475" i="2" s="1"/>
  <c r="F4477" i="2"/>
  <c r="G4477" i="2" s="1"/>
  <c r="F4479" i="2"/>
  <c r="G4479" i="2" s="1"/>
  <c r="F4481" i="2"/>
  <c r="G4481" i="2" s="1"/>
  <c r="F4483" i="2"/>
  <c r="G4483" i="2" s="1"/>
  <c r="F4485" i="2"/>
  <c r="G4485" i="2" s="1"/>
  <c r="F4487" i="2"/>
  <c r="G4487" i="2" s="1"/>
  <c r="F4489" i="2"/>
  <c r="G4489" i="2" s="1"/>
  <c r="F4491" i="2"/>
  <c r="G4491" i="2" s="1"/>
  <c r="F4493" i="2"/>
  <c r="G4493" i="2" s="1"/>
  <c r="F4495" i="2"/>
  <c r="G4495" i="2" s="1"/>
  <c r="F4497" i="2"/>
  <c r="G4497" i="2" s="1"/>
  <c r="F4499" i="2"/>
  <c r="G4499" i="2" s="1"/>
  <c r="F4501" i="2"/>
  <c r="G4501" i="2" s="1"/>
  <c r="F4503" i="2"/>
  <c r="G4503" i="2" s="1"/>
  <c r="F4505" i="2"/>
  <c r="G4505" i="2" s="1"/>
  <c r="F4507" i="2"/>
  <c r="G4507" i="2" s="1"/>
  <c r="F4509" i="2"/>
  <c r="G4509" i="2" s="1"/>
  <c r="F4511" i="2"/>
  <c r="G4511" i="2" s="1"/>
  <c r="F4513" i="2"/>
  <c r="G4513" i="2" s="1"/>
  <c r="F4515" i="2"/>
  <c r="G4515" i="2" s="1"/>
  <c r="F4517" i="2"/>
  <c r="G4517" i="2" s="1"/>
  <c r="F4519" i="2"/>
  <c r="G4519" i="2" s="1"/>
  <c r="F4521" i="2"/>
  <c r="G4521" i="2" s="1"/>
  <c r="F4523" i="2"/>
  <c r="G4523" i="2" s="1"/>
  <c r="F4525" i="2"/>
  <c r="G4525" i="2" s="1"/>
  <c r="F4527" i="2"/>
  <c r="G4527" i="2" s="1"/>
  <c r="F4529" i="2"/>
  <c r="G4529" i="2" s="1"/>
  <c r="F4531" i="2"/>
  <c r="G4531" i="2" s="1"/>
  <c r="F4533" i="2"/>
  <c r="G4533" i="2" s="1"/>
  <c r="F4535" i="2"/>
  <c r="G4535" i="2" s="1"/>
  <c r="F4537" i="2"/>
  <c r="G4537" i="2" s="1"/>
  <c r="F4539" i="2"/>
  <c r="G4539" i="2" s="1"/>
  <c r="F4541" i="2"/>
  <c r="G4541" i="2" s="1"/>
  <c r="F4543" i="2"/>
  <c r="G4543" i="2" s="1"/>
  <c r="F4545" i="2"/>
  <c r="G4545" i="2" s="1"/>
  <c r="F4547" i="2"/>
  <c r="G4547" i="2" s="1"/>
  <c r="F4549" i="2"/>
  <c r="G4549" i="2" s="1"/>
  <c r="F4551" i="2"/>
  <c r="G4551" i="2" s="1"/>
  <c r="F4553" i="2"/>
  <c r="G4553" i="2" s="1"/>
  <c r="F4555" i="2"/>
  <c r="G4555" i="2" s="1"/>
  <c r="F4557" i="2"/>
  <c r="G4557" i="2" s="1"/>
  <c r="F4559" i="2"/>
  <c r="G4559" i="2" s="1"/>
  <c r="F4561" i="2"/>
  <c r="G4561" i="2" s="1"/>
  <c r="F4563" i="2"/>
  <c r="G4563" i="2" s="1"/>
  <c r="F4565" i="2"/>
  <c r="G4565" i="2" s="1"/>
  <c r="F4567" i="2"/>
  <c r="G4567" i="2" s="1"/>
  <c r="F4569" i="2"/>
  <c r="G4569" i="2" s="1"/>
  <c r="F4571" i="2"/>
  <c r="G4571" i="2" s="1"/>
  <c r="F4573" i="2"/>
  <c r="G4573" i="2" s="1"/>
  <c r="F4575" i="2"/>
  <c r="G4575" i="2" s="1"/>
  <c r="F4577" i="2"/>
  <c r="G4577" i="2" s="1"/>
  <c r="F4579" i="2"/>
  <c r="G4579" i="2" s="1"/>
  <c r="F4581" i="2"/>
  <c r="G4581" i="2" s="1"/>
  <c r="F4583" i="2"/>
  <c r="G4583" i="2" s="1"/>
  <c r="F4585" i="2"/>
  <c r="G4585" i="2" s="1"/>
  <c r="F4587" i="2"/>
  <c r="G4587" i="2" s="1"/>
  <c r="F4589" i="2"/>
  <c r="G4589" i="2" s="1"/>
  <c r="F4591" i="2"/>
  <c r="G4591" i="2" s="1"/>
  <c r="F4593" i="2"/>
  <c r="G4593" i="2" s="1"/>
  <c r="F4595" i="2"/>
  <c r="G4595" i="2" s="1"/>
  <c r="F4597" i="2"/>
  <c r="G4597" i="2" s="1"/>
  <c r="F4599" i="2"/>
  <c r="G4599" i="2" s="1"/>
  <c r="F4601" i="2"/>
  <c r="G4601" i="2" s="1"/>
  <c r="F4603" i="2"/>
  <c r="G4603" i="2" s="1"/>
  <c r="F4605" i="2"/>
  <c r="G4605" i="2" s="1"/>
  <c r="F4607" i="2"/>
  <c r="G4607" i="2" s="1"/>
  <c r="F4609" i="2"/>
  <c r="G4609" i="2" s="1"/>
  <c r="F4611" i="2"/>
  <c r="G4611" i="2" s="1"/>
  <c r="F4613" i="2"/>
  <c r="G4613" i="2" s="1"/>
  <c r="F4615" i="2"/>
  <c r="G4615" i="2" s="1"/>
  <c r="F4617" i="2"/>
  <c r="G4617" i="2" s="1"/>
  <c r="F4619" i="2"/>
  <c r="G4619" i="2" s="1"/>
  <c r="F4621" i="2"/>
  <c r="G4621" i="2" s="1"/>
  <c r="F4623" i="2"/>
  <c r="G4623" i="2" s="1"/>
  <c r="F4625" i="2"/>
  <c r="G4625" i="2" s="1"/>
  <c r="F4627" i="2"/>
  <c r="G4627" i="2" s="1"/>
  <c r="F4629" i="2"/>
  <c r="G4629" i="2" s="1"/>
  <c r="F4631" i="2"/>
  <c r="G4631" i="2" s="1"/>
  <c r="F4633" i="2"/>
  <c r="G4633" i="2" s="1"/>
  <c r="F4635" i="2"/>
  <c r="G4635" i="2" s="1"/>
  <c r="F4637" i="2"/>
  <c r="G4637" i="2" s="1"/>
  <c r="F4639" i="2"/>
  <c r="G4639" i="2" s="1"/>
  <c r="F4641" i="2"/>
  <c r="G4641" i="2" s="1"/>
  <c r="F4643" i="2"/>
  <c r="G4643" i="2" s="1"/>
  <c r="F4645" i="2"/>
  <c r="G4645" i="2" s="1"/>
  <c r="F4647" i="2"/>
  <c r="G4647" i="2" s="1"/>
  <c r="F4649" i="2"/>
  <c r="G4649" i="2" s="1"/>
  <c r="F4651" i="2"/>
  <c r="G4651" i="2" s="1"/>
  <c r="F4653" i="2"/>
  <c r="G4653" i="2" s="1"/>
  <c r="F4655" i="2"/>
  <c r="G4655" i="2" s="1"/>
  <c r="F4657" i="2"/>
  <c r="G4657" i="2" s="1"/>
  <c r="F3193" i="2"/>
  <c r="G3193" i="2" s="1"/>
  <c r="F3197" i="2"/>
  <c r="G3197" i="2" s="1"/>
  <c r="F3201" i="2"/>
  <c r="G3201" i="2" s="1"/>
  <c r="F3205" i="2"/>
  <c r="G3205" i="2" s="1"/>
  <c r="F3209" i="2"/>
  <c r="G3209" i="2" s="1"/>
  <c r="F3213" i="2"/>
  <c r="G3213" i="2" s="1"/>
  <c r="F3217" i="2"/>
  <c r="G3217" i="2" s="1"/>
  <c r="F3221" i="2"/>
  <c r="G3221" i="2" s="1"/>
  <c r="F3225" i="2"/>
  <c r="G3225" i="2" s="1"/>
  <c r="F3229" i="2"/>
  <c r="G3229" i="2" s="1"/>
  <c r="F3233" i="2"/>
  <c r="G3233" i="2" s="1"/>
  <c r="F3237" i="2"/>
  <c r="G3237" i="2" s="1"/>
  <c r="F3241" i="2"/>
  <c r="G3241" i="2" s="1"/>
  <c r="F3245" i="2"/>
  <c r="G3245" i="2" s="1"/>
  <c r="F3249" i="2"/>
  <c r="G3249" i="2" s="1"/>
  <c r="F3253" i="2"/>
  <c r="G3253" i="2" s="1"/>
  <c r="F3257" i="2"/>
  <c r="G3257" i="2" s="1"/>
  <c r="F3261" i="2"/>
  <c r="G3261" i="2" s="1"/>
  <c r="F3265" i="2"/>
  <c r="G3265" i="2" s="1"/>
  <c r="F3269" i="2"/>
  <c r="G3269" i="2" s="1"/>
  <c r="F3273" i="2"/>
  <c r="G3273" i="2" s="1"/>
  <c r="F3277" i="2"/>
  <c r="G3277" i="2" s="1"/>
  <c r="F3281" i="2"/>
  <c r="G3281" i="2" s="1"/>
  <c r="F3285" i="2"/>
  <c r="G3285" i="2" s="1"/>
  <c r="F3289" i="2"/>
  <c r="G3289" i="2" s="1"/>
  <c r="F3293" i="2"/>
  <c r="G3293" i="2" s="1"/>
  <c r="F3297" i="2"/>
  <c r="G3297" i="2" s="1"/>
  <c r="F3301" i="2"/>
  <c r="G3301" i="2" s="1"/>
  <c r="F3305" i="2"/>
  <c r="G3305" i="2" s="1"/>
  <c r="F3309" i="2"/>
  <c r="G3309" i="2" s="1"/>
  <c r="F3313" i="2"/>
  <c r="G3313" i="2" s="1"/>
  <c r="F3317" i="2"/>
  <c r="G3317" i="2" s="1"/>
  <c r="F3321" i="2"/>
  <c r="G3321" i="2" s="1"/>
  <c r="F3325" i="2"/>
  <c r="G3325" i="2" s="1"/>
  <c r="F3329" i="2"/>
  <c r="G3329" i="2" s="1"/>
  <c r="F3333" i="2"/>
  <c r="G3333" i="2" s="1"/>
  <c r="F3337" i="2"/>
  <c r="G3337" i="2" s="1"/>
  <c r="F3341" i="2"/>
  <c r="G3341" i="2" s="1"/>
  <c r="F3345" i="2"/>
  <c r="G3345" i="2" s="1"/>
  <c r="F3349" i="2"/>
  <c r="G3349" i="2" s="1"/>
  <c r="F3353" i="2"/>
  <c r="G3353" i="2" s="1"/>
  <c r="F3357" i="2"/>
  <c r="G3357" i="2" s="1"/>
  <c r="F3361" i="2"/>
  <c r="G3361" i="2" s="1"/>
  <c r="F3365" i="2"/>
  <c r="G3365" i="2" s="1"/>
  <c r="F3369" i="2"/>
  <c r="G3369" i="2" s="1"/>
  <c r="F3373" i="2"/>
  <c r="G3373" i="2" s="1"/>
  <c r="F3377" i="2"/>
  <c r="G3377" i="2" s="1"/>
  <c r="F3381" i="2"/>
  <c r="G3381" i="2" s="1"/>
  <c r="F3385" i="2"/>
  <c r="G3385" i="2" s="1"/>
  <c r="F3389" i="2"/>
  <c r="G3389" i="2" s="1"/>
  <c r="F3393" i="2"/>
  <c r="G3393" i="2" s="1"/>
  <c r="F3397" i="2"/>
  <c r="G3397" i="2" s="1"/>
  <c r="F3400" i="2"/>
  <c r="G3400" i="2" s="1"/>
  <c r="F3402" i="2"/>
  <c r="G3402" i="2" s="1"/>
  <c r="F3404" i="2"/>
  <c r="G3404" i="2" s="1"/>
  <c r="F3406" i="2"/>
  <c r="G3406" i="2" s="1"/>
  <c r="F3408" i="2"/>
  <c r="G3408" i="2" s="1"/>
  <c r="F3410" i="2"/>
  <c r="G3410" i="2" s="1"/>
  <c r="F3412" i="2"/>
  <c r="G3412" i="2" s="1"/>
  <c r="F3414" i="2"/>
  <c r="G3414" i="2" s="1"/>
  <c r="F3416" i="2"/>
  <c r="G3416" i="2" s="1"/>
  <c r="F3418" i="2"/>
  <c r="G3418" i="2" s="1"/>
  <c r="F3420" i="2"/>
  <c r="G3420" i="2" s="1"/>
  <c r="F3422" i="2"/>
  <c r="G3422" i="2" s="1"/>
  <c r="F3424" i="2"/>
  <c r="G3424" i="2" s="1"/>
  <c r="F3426" i="2"/>
  <c r="G3426" i="2" s="1"/>
  <c r="F3428" i="2"/>
  <c r="G3428" i="2" s="1"/>
  <c r="F3430" i="2"/>
  <c r="G3430" i="2" s="1"/>
  <c r="F3432" i="2"/>
  <c r="G3432" i="2" s="1"/>
  <c r="F3434" i="2"/>
  <c r="G3434" i="2" s="1"/>
  <c r="F3436" i="2"/>
  <c r="G3436" i="2" s="1"/>
  <c r="F3438" i="2"/>
  <c r="G3438" i="2" s="1"/>
  <c r="F3440" i="2"/>
  <c r="G3440" i="2" s="1"/>
  <c r="F3442" i="2"/>
  <c r="G3442" i="2" s="1"/>
  <c r="F3444" i="2"/>
  <c r="G3444" i="2" s="1"/>
  <c r="F3446" i="2"/>
  <c r="G3446" i="2" s="1"/>
  <c r="F3448" i="2"/>
  <c r="G3448" i="2" s="1"/>
  <c r="F3450" i="2"/>
  <c r="G3450" i="2" s="1"/>
  <c r="F3452" i="2"/>
  <c r="G3452" i="2" s="1"/>
  <c r="F3454" i="2"/>
  <c r="G3454" i="2" s="1"/>
  <c r="F3456" i="2"/>
  <c r="G3456" i="2" s="1"/>
  <c r="F3458" i="2"/>
  <c r="G3458" i="2" s="1"/>
  <c r="F3460" i="2"/>
  <c r="G3460" i="2" s="1"/>
  <c r="F3462" i="2"/>
  <c r="G3462" i="2" s="1"/>
  <c r="F3464" i="2"/>
  <c r="G3464" i="2" s="1"/>
  <c r="F3466" i="2"/>
  <c r="G3466" i="2" s="1"/>
  <c r="F3468" i="2"/>
  <c r="G3468" i="2" s="1"/>
  <c r="F3470" i="2"/>
  <c r="G3470" i="2" s="1"/>
  <c r="F3472" i="2"/>
  <c r="G3472" i="2" s="1"/>
  <c r="F3474" i="2"/>
  <c r="G3474" i="2" s="1"/>
  <c r="F3476" i="2"/>
  <c r="G3476" i="2" s="1"/>
  <c r="F3478" i="2"/>
  <c r="G3478" i="2" s="1"/>
  <c r="F3480" i="2"/>
  <c r="G3480" i="2" s="1"/>
  <c r="F3482" i="2"/>
  <c r="G3482" i="2" s="1"/>
  <c r="F3484" i="2"/>
  <c r="G3484" i="2" s="1"/>
  <c r="F3486" i="2"/>
  <c r="G3486" i="2" s="1"/>
  <c r="F3488" i="2"/>
  <c r="G3488" i="2" s="1"/>
  <c r="F3490" i="2"/>
  <c r="G3490" i="2" s="1"/>
  <c r="F3492" i="2"/>
  <c r="G3492" i="2" s="1"/>
  <c r="F3494" i="2"/>
  <c r="G3494" i="2" s="1"/>
  <c r="F3496" i="2"/>
  <c r="G3496" i="2" s="1"/>
  <c r="F3498" i="2"/>
  <c r="G3498" i="2" s="1"/>
  <c r="F3500" i="2"/>
  <c r="G3500" i="2" s="1"/>
  <c r="F3502" i="2"/>
  <c r="G3502" i="2" s="1"/>
  <c r="F3504" i="2"/>
  <c r="G3504" i="2" s="1"/>
  <c r="F3506" i="2"/>
  <c r="G3506" i="2" s="1"/>
  <c r="F3508" i="2"/>
  <c r="G3508" i="2" s="1"/>
  <c r="F3510" i="2"/>
  <c r="G3510" i="2" s="1"/>
  <c r="F3512" i="2"/>
  <c r="G3512" i="2" s="1"/>
  <c r="F3514" i="2"/>
  <c r="G3514" i="2" s="1"/>
  <c r="F3516" i="2"/>
  <c r="G3516" i="2" s="1"/>
  <c r="F3518" i="2"/>
  <c r="G3518" i="2" s="1"/>
  <c r="F3520" i="2"/>
  <c r="G3520" i="2" s="1"/>
  <c r="F3522" i="2"/>
  <c r="G3522" i="2" s="1"/>
  <c r="F3524" i="2"/>
  <c r="G3524" i="2" s="1"/>
  <c r="F3526" i="2"/>
  <c r="G3526" i="2" s="1"/>
  <c r="F3528" i="2"/>
  <c r="G3528" i="2" s="1"/>
  <c r="F3530" i="2"/>
  <c r="G3530" i="2" s="1"/>
  <c r="F3532" i="2"/>
  <c r="G3532" i="2" s="1"/>
  <c r="F3534" i="2"/>
  <c r="G3534" i="2" s="1"/>
  <c r="F3536" i="2"/>
  <c r="G3536" i="2" s="1"/>
  <c r="F3538" i="2"/>
  <c r="G3538" i="2" s="1"/>
  <c r="F3540" i="2"/>
  <c r="G3540" i="2" s="1"/>
  <c r="F3542" i="2"/>
  <c r="G3542" i="2" s="1"/>
  <c r="F3544" i="2"/>
  <c r="G3544" i="2" s="1"/>
  <c r="F3546" i="2"/>
  <c r="G3546" i="2" s="1"/>
  <c r="F3548" i="2"/>
  <c r="G3548" i="2" s="1"/>
  <c r="F3550" i="2"/>
  <c r="G3550" i="2" s="1"/>
  <c r="F3552" i="2"/>
  <c r="G3552" i="2" s="1"/>
  <c r="F3554" i="2"/>
  <c r="G3554" i="2" s="1"/>
  <c r="F3556" i="2"/>
  <c r="G3556" i="2" s="1"/>
  <c r="F3558" i="2"/>
  <c r="G3558" i="2" s="1"/>
  <c r="F3560" i="2"/>
  <c r="G3560" i="2" s="1"/>
  <c r="F3562" i="2"/>
  <c r="G3562" i="2" s="1"/>
  <c r="F3564" i="2"/>
  <c r="G3564" i="2" s="1"/>
  <c r="F3566" i="2"/>
  <c r="G3566" i="2" s="1"/>
  <c r="F3568" i="2"/>
  <c r="G3568" i="2" s="1"/>
  <c r="F3570" i="2"/>
  <c r="G3570" i="2" s="1"/>
  <c r="F3572" i="2"/>
  <c r="G3572" i="2" s="1"/>
  <c r="F3574" i="2"/>
  <c r="G3574" i="2" s="1"/>
  <c r="F3576" i="2"/>
  <c r="G3576" i="2" s="1"/>
  <c r="F3578" i="2"/>
  <c r="G3578" i="2" s="1"/>
  <c r="F3580" i="2"/>
  <c r="G3580" i="2" s="1"/>
  <c r="F3582" i="2"/>
  <c r="G3582" i="2" s="1"/>
  <c r="F3584" i="2"/>
  <c r="G3584" i="2" s="1"/>
  <c r="F3586" i="2"/>
  <c r="G3586" i="2" s="1"/>
  <c r="F3588" i="2"/>
  <c r="G3588" i="2" s="1"/>
  <c r="F3590" i="2"/>
  <c r="G3590" i="2" s="1"/>
  <c r="F3592" i="2"/>
  <c r="G3592" i="2" s="1"/>
  <c r="F3594" i="2"/>
  <c r="G3594" i="2" s="1"/>
  <c r="F3596" i="2"/>
  <c r="G3596" i="2" s="1"/>
  <c r="F3598" i="2"/>
  <c r="G3598" i="2" s="1"/>
  <c r="F3600" i="2"/>
  <c r="G3600" i="2" s="1"/>
  <c r="F3602" i="2"/>
  <c r="G3602" i="2" s="1"/>
  <c r="F3604" i="2"/>
  <c r="G3604" i="2" s="1"/>
  <c r="F3606" i="2"/>
  <c r="G3606" i="2" s="1"/>
  <c r="F3608" i="2"/>
  <c r="G3608" i="2" s="1"/>
  <c r="F3610" i="2"/>
  <c r="G3610" i="2" s="1"/>
  <c r="F3612" i="2"/>
  <c r="G3612" i="2" s="1"/>
  <c r="F3614" i="2"/>
  <c r="G3614" i="2" s="1"/>
  <c r="F3616" i="2"/>
  <c r="G3616" i="2" s="1"/>
  <c r="F3618" i="2"/>
  <c r="G3618" i="2" s="1"/>
  <c r="F3620" i="2"/>
  <c r="G3620" i="2" s="1"/>
  <c r="F3622" i="2"/>
  <c r="G3622" i="2" s="1"/>
  <c r="F3624" i="2"/>
  <c r="G3624" i="2" s="1"/>
  <c r="F3626" i="2"/>
  <c r="G3626" i="2" s="1"/>
  <c r="F3628" i="2"/>
  <c r="G3628" i="2" s="1"/>
  <c r="F3630" i="2"/>
  <c r="G3630" i="2" s="1"/>
  <c r="F3632" i="2"/>
  <c r="G3632" i="2" s="1"/>
  <c r="F3634" i="2"/>
  <c r="G3634" i="2" s="1"/>
  <c r="F3636" i="2"/>
  <c r="G3636" i="2" s="1"/>
  <c r="F3638" i="2"/>
  <c r="G3638" i="2" s="1"/>
  <c r="F3640" i="2"/>
  <c r="G3640" i="2" s="1"/>
  <c r="F3642" i="2"/>
  <c r="G3642" i="2" s="1"/>
  <c r="F3644" i="2"/>
  <c r="G3644" i="2" s="1"/>
  <c r="F3646" i="2"/>
  <c r="G3646" i="2" s="1"/>
  <c r="F3648" i="2"/>
  <c r="G3648" i="2" s="1"/>
  <c r="F3650" i="2"/>
  <c r="G3650" i="2" s="1"/>
  <c r="F3652" i="2"/>
  <c r="G3652" i="2" s="1"/>
  <c r="F3654" i="2"/>
  <c r="G3654" i="2" s="1"/>
  <c r="F3656" i="2"/>
  <c r="G3656" i="2" s="1"/>
  <c r="F3658" i="2"/>
  <c r="G3658" i="2" s="1"/>
  <c r="F3660" i="2"/>
  <c r="G3660" i="2" s="1"/>
  <c r="F3662" i="2"/>
  <c r="G3662" i="2" s="1"/>
  <c r="F3664" i="2"/>
  <c r="G3664" i="2" s="1"/>
  <c r="F3666" i="2"/>
  <c r="G3666" i="2" s="1"/>
  <c r="F3668" i="2"/>
  <c r="G3668" i="2" s="1"/>
  <c r="F3670" i="2"/>
  <c r="G3670" i="2" s="1"/>
  <c r="F3672" i="2"/>
  <c r="G3672" i="2" s="1"/>
  <c r="F3674" i="2"/>
  <c r="G3674" i="2" s="1"/>
  <c r="F3676" i="2"/>
  <c r="G3676" i="2" s="1"/>
  <c r="F3678" i="2"/>
  <c r="G3678" i="2" s="1"/>
  <c r="F3680" i="2"/>
  <c r="G3680" i="2" s="1"/>
  <c r="F3682" i="2"/>
  <c r="G3682" i="2" s="1"/>
  <c r="F3684" i="2"/>
  <c r="G3684" i="2" s="1"/>
  <c r="F3686" i="2"/>
  <c r="G3686" i="2" s="1"/>
  <c r="F3688" i="2"/>
  <c r="G3688" i="2" s="1"/>
  <c r="F3690" i="2"/>
  <c r="G3690" i="2" s="1"/>
  <c r="F3692" i="2"/>
  <c r="G3692" i="2" s="1"/>
  <c r="F3694" i="2"/>
  <c r="G3694" i="2" s="1"/>
  <c r="F3696" i="2"/>
  <c r="G3696" i="2" s="1"/>
  <c r="F3698" i="2"/>
  <c r="G3698" i="2" s="1"/>
  <c r="F3700" i="2"/>
  <c r="G3700" i="2" s="1"/>
  <c r="F3702" i="2"/>
  <c r="G3702" i="2" s="1"/>
  <c r="F3704" i="2"/>
  <c r="G3704" i="2" s="1"/>
  <c r="F3706" i="2"/>
  <c r="G3706" i="2" s="1"/>
  <c r="F3708" i="2"/>
  <c r="G3708" i="2" s="1"/>
  <c r="F3710" i="2"/>
  <c r="G3710" i="2" s="1"/>
  <c r="F3712" i="2"/>
  <c r="G3712" i="2" s="1"/>
  <c r="F3714" i="2"/>
  <c r="G3714" i="2" s="1"/>
  <c r="F3716" i="2"/>
  <c r="G3716" i="2" s="1"/>
  <c r="F3718" i="2"/>
  <c r="G3718" i="2" s="1"/>
  <c r="F3720" i="2"/>
  <c r="G3720" i="2" s="1"/>
  <c r="F3722" i="2"/>
  <c r="G3722" i="2" s="1"/>
  <c r="F3724" i="2"/>
  <c r="G3724" i="2" s="1"/>
  <c r="F3726" i="2"/>
  <c r="G3726" i="2" s="1"/>
  <c r="F3728" i="2"/>
  <c r="G3728" i="2" s="1"/>
  <c r="F3730" i="2"/>
  <c r="G3730" i="2" s="1"/>
  <c r="F3732" i="2"/>
  <c r="G3732" i="2" s="1"/>
  <c r="F3734" i="2"/>
  <c r="G3734" i="2" s="1"/>
  <c r="F3736" i="2"/>
  <c r="G3736" i="2" s="1"/>
  <c r="F3738" i="2"/>
  <c r="G3738" i="2" s="1"/>
  <c r="F3740" i="2"/>
  <c r="G3740" i="2" s="1"/>
  <c r="F3742" i="2"/>
  <c r="G3742" i="2" s="1"/>
  <c r="F3744" i="2"/>
  <c r="G3744" i="2" s="1"/>
  <c r="F3746" i="2"/>
  <c r="G3746" i="2" s="1"/>
  <c r="F3748" i="2"/>
  <c r="G3748" i="2" s="1"/>
  <c r="F3750" i="2"/>
  <c r="G3750" i="2" s="1"/>
  <c r="F3752" i="2"/>
  <c r="G3752" i="2" s="1"/>
  <c r="F3754" i="2"/>
  <c r="G3754" i="2" s="1"/>
  <c r="F3756" i="2"/>
  <c r="G3756" i="2" s="1"/>
  <c r="F3758" i="2"/>
  <c r="G3758" i="2" s="1"/>
  <c r="F3760" i="2"/>
  <c r="G3760" i="2" s="1"/>
  <c r="F3762" i="2"/>
  <c r="G3762" i="2" s="1"/>
  <c r="F3764" i="2"/>
  <c r="G3764" i="2" s="1"/>
  <c r="F3766" i="2"/>
  <c r="G3766" i="2" s="1"/>
  <c r="F3768" i="2"/>
  <c r="G3768" i="2" s="1"/>
  <c r="F3770" i="2"/>
  <c r="G3770" i="2" s="1"/>
  <c r="F3772" i="2"/>
  <c r="G3772" i="2" s="1"/>
  <c r="F3774" i="2"/>
  <c r="G3774" i="2" s="1"/>
  <c r="F3776" i="2"/>
  <c r="G3776" i="2" s="1"/>
  <c r="F3778" i="2"/>
  <c r="G3778" i="2" s="1"/>
  <c r="F3780" i="2"/>
  <c r="G3780" i="2" s="1"/>
  <c r="F3782" i="2"/>
  <c r="G3782" i="2" s="1"/>
  <c r="F3784" i="2"/>
  <c r="G3784" i="2" s="1"/>
  <c r="F3786" i="2"/>
  <c r="G3786" i="2" s="1"/>
  <c r="F3788" i="2"/>
  <c r="G3788" i="2" s="1"/>
  <c r="F3790" i="2"/>
  <c r="G3790" i="2" s="1"/>
  <c r="F3792" i="2"/>
  <c r="G3792" i="2" s="1"/>
  <c r="F3794" i="2"/>
  <c r="G3794" i="2" s="1"/>
  <c r="F3796" i="2"/>
  <c r="G3796" i="2" s="1"/>
  <c r="F3798" i="2"/>
  <c r="G3798" i="2" s="1"/>
  <c r="F3800" i="2"/>
  <c r="G3800" i="2" s="1"/>
  <c r="F3802" i="2"/>
  <c r="G3802" i="2" s="1"/>
  <c r="F3804" i="2"/>
  <c r="G3804" i="2" s="1"/>
  <c r="F3806" i="2"/>
  <c r="G3806" i="2" s="1"/>
  <c r="F3808" i="2"/>
  <c r="G3808" i="2" s="1"/>
  <c r="F3810" i="2"/>
  <c r="G3810" i="2" s="1"/>
  <c r="F3812" i="2"/>
  <c r="G3812" i="2" s="1"/>
  <c r="F3814" i="2"/>
  <c r="G3814" i="2" s="1"/>
  <c r="F3816" i="2"/>
  <c r="G3816" i="2" s="1"/>
  <c r="F3818" i="2"/>
  <c r="G3818" i="2" s="1"/>
  <c r="F3820" i="2"/>
  <c r="G3820" i="2" s="1"/>
  <c r="F3822" i="2"/>
  <c r="G3822" i="2" s="1"/>
  <c r="F3824" i="2"/>
  <c r="G3824" i="2" s="1"/>
  <c r="F3826" i="2"/>
  <c r="G3826" i="2" s="1"/>
  <c r="F3828" i="2"/>
  <c r="G3828" i="2" s="1"/>
  <c r="F3830" i="2"/>
  <c r="G3830" i="2" s="1"/>
  <c r="F3832" i="2"/>
  <c r="G3832" i="2" s="1"/>
  <c r="F3834" i="2"/>
  <c r="G3834" i="2" s="1"/>
  <c r="F3836" i="2"/>
  <c r="G3836" i="2" s="1"/>
  <c r="F3838" i="2"/>
  <c r="G3838" i="2" s="1"/>
  <c r="F3840" i="2"/>
  <c r="G3840" i="2" s="1"/>
  <c r="F3842" i="2"/>
  <c r="G3842" i="2" s="1"/>
  <c r="F3844" i="2"/>
  <c r="G3844" i="2" s="1"/>
  <c r="F3846" i="2"/>
  <c r="G3846" i="2" s="1"/>
  <c r="F3848" i="2"/>
  <c r="G3848" i="2" s="1"/>
  <c r="F3850" i="2"/>
  <c r="G3850" i="2" s="1"/>
  <c r="F3852" i="2"/>
  <c r="G3852" i="2" s="1"/>
  <c r="F3854" i="2"/>
  <c r="G3854" i="2" s="1"/>
  <c r="F3856" i="2"/>
  <c r="G3856" i="2" s="1"/>
  <c r="F3858" i="2"/>
  <c r="G3858" i="2" s="1"/>
  <c r="F3860" i="2"/>
  <c r="G3860" i="2" s="1"/>
  <c r="F3862" i="2"/>
  <c r="G3862" i="2" s="1"/>
  <c r="F3864" i="2"/>
  <c r="G3864" i="2" s="1"/>
  <c r="F3866" i="2"/>
  <c r="G3866" i="2" s="1"/>
  <c r="F3868" i="2"/>
  <c r="G3868" i="2" s="1"/>
  <c r="F3870" i="2"/>
  <c r="G3870" i="2" s="1"/>
  <c r="F3872" i="2"/>
  <c r="G3872" i="2" s="1"/>
  <c r="F3874" i="2"/>
  <c r="G3874" i="2" s="1"/>
  <c r="F3876" i="2"/>
  <c r="G3876" i="2" s="1"/>
  <c r="F3878" i="2"/>
  <c r="G3878" i="2" s="1"/>
  <c r="F3880" i="2"/>
  <c r="G3880" i="2" s="1"/>
  <c r="F3882" i="2"/>
  <c r="G3882" i="2" s="1"/>
  <c r="F3884" i="2"/>
  <c r="G3884" i="2" s="1"/>
  <c r="F3886" i="2"/>
  <c r="G3886" i="2" s="1"/>
  <c r="F3888" i="2"/>
  <c r="G3888" i="2" s="1"/>
  <c r="F3890" i="2"/>
  <c r="G3890" i="2" s="1"/>
  <c r="F3892" i="2"/>
  <c r="G3892" i="2" s="1"/>
  <c r="F3894" i="2"/>
  <c r="G3894" i="2" s="1"/>
  <c r="F3896" i="2"/>
  <c r="G3896" i="2" s="1"/>
  <c r="F3898" i="2"/>
  <c r="G3898" i="2" s="1"/>
  <c r="F3900" i="2"/>
  <c r="G3900" i="2" s="1"/>
  <c r="F3902" i="2"/>
  <c r="G3902" i="2" s="1"/>
  <c r="F3904" i="2"/>
  <c r="G3904" i="2" s="1"/>
  <c r="F3906" i="2"/>
  <c r="G3906" i="2" s="1"/>
  <c r="F3908" i="2"/>
  <c r="G3908" i="2" s="1"/>
  <c r="F3910" i="2"/>
  <c r="G3910" i="2" s="1"/>
  <c r="F3912" i="2"/>
  <c r="G3912" i="2" s="1"/>
  <c r="F3914" i="2"/>
  <c r="G3914" i="2" s="1"/>
  <c r="F3916" i="2"/>
  <c r="G3916" i="2" s="1"/>
  <c r="F3918" i="2"/>
  <c r="G3918" i="2" s="1"/>
  <c r="F3920" i="2"/>
  <c r="G3920" i="2" s="1"/>
  <c r="F3922" i="2"/>
  <c r="G3922" i="2" s="1"/>
  <c r="F3924" i="2"/>
  <c r="G3924" i="2" s="1"/>
  <c r="F3926" i="2"/>
  <c r="G3926" i="2" s="1"/>
  <c r="F3928" i="2"/>
  <c r="G3928" i="2" s="1"/>
  <c r="F3930" i="2"/>
  <c r="G3930" i="2" s="1"/>
  <c r="F3932" i="2"/>
  <c r="G3932" i="2" s="1"/>
  <c r="F3934" i="2"/>
  <c r="G3934" i="2" s="1"/>
  <c r="F3936" i="2"/>
  <c r="G3936" i="2" s="1"/>
  <c r="F3938" i="2"/>
  <c r="G3938" i="2" s="1"/>
  <c r="F3940" i="2"/>
  <c r="G3940" i="2" s="1"/>
  <c r="F3942" i="2"/>
  <c r="G3942" i="2" s="1"/>
  <c r="F3944" i="2"/>
  <c r="G3944" i="2" s="1"/>
  <c r="F3946" i="2"/>
  <c r="G3946" i="2" s="1"/>
  <c r="F3948" i="2"/>
  <c r="G3948" i="2" s="1"/>
  <c r="F3950" i="2"/>
  <c r="G3950" i="2" s="1"/>
  <c r="F3952" i="2"/>
  <c r="G3952" i="2" s="1"/>
  <c r="F3954" i="2"/>
  <c r="G3954" i="2" s="1"/>
  <c r="F3956" i="2"/>
  <c r="G3956" i="2" s="1"/>
  <c r="F3958" i="2"/>
  <c r="G3958" i="2" s="1"/>
  <c r="F3960" i="2"/>
  <c r="G3960" i="2" s="1"/>
  <c r="F3962" i="2"/>
  <c r="G3962" i="2" s="1"/>
  <c r="F3964" i="2"/>
  <c r="G3964" i="2" s="1"/>
  <c r="F3966" i="2"/>
  <c r="G3966" i="2" s="1"/>
  <c r="F3968" i="2"/>
  <c r="G3968" i="2" s="1"/>
  <c r="F3970" i="2"/>
  <c r="G3970" i="2" s="1"/>
  <c r="F3972" i="2"/>
  <c r="G3972" i="2" s="1"/>
  <c r="F3974" i="2"/>
  <c r="G3974" i="2" s="1"/>
  <c r="F3976" i="2"/>
  <c r="G3976" i="2" s="1"/>
  <c r="F3978" i="2"/>
  <c r="G3978" i="2" s="1"/>
  <c r="F3980" i="2"/>
  <c r="G3980" i="2" s="1"/>
  <c r="F3982" i="2"/>
  <c r="G3982" i="2" s="1"/>
  <c r="F3984" i="2"/>
  <c r="G3984" i="2" s="1"/>
  <c r="F3986" i="2"/>
  <c r="G3986" i="2" s="1"/>
  <c r="F3988" i="2"/>
  <c r="G3988" i="2" s="1"/>
  <c r="F3990" i="2"/>
  <c r="G3990" i="2" s="1"/>
  <c r="F3992" i="2"/>
  <c r="G3992" i="2" s="1"/>
  <c r="F3994" i="2"/>
  <c r="G3994" i="2" s="1"/>
  <c r="F3996" i="2"/>
  <c r="G3996" i="2" s="1"/>
  <c r="F3998" i="2"/>
  <c r="G3998" i="2" s="1"/>
  <c r="F4000" i="2"/>
  <c r="G4000" i="2" s="1"/>
  <c r="F4002" i="2"/>
  <c r="G4002" i="2" s="1"/>
  <c r="F4004" i="2"/>
  <c r="G4004" i="2" s="1"/>
  <c r="F4006" i="2"/>
  <c r="G4006" i="2" s="1"/>
  <c r="F4008" i="2"/>
  <c r="G4008" i="2" s="1"/>
  <c r="F4010" i="2"/>
  <c r="G4010" i="2" s="1"/>
  <c r="F4012" i="2"/>
  <c r="G4012" i="2" s="1"/>
  <c r="F4014" i="2"/>
  <c r="G4014" i="2" s="1"/>
  <c r="F4016" i="2"/>
  <c r="G4016" i="2" s="1"/>
  <c r="F4018" i="2"/>
  <c r="G4018" i="2" s="1"/>
  <c r="F4020" i="2"/>
  <c r="G4020" i="2" s="1"/>
  <c r="F4022" i="2"/>
  <c r="G4022" i="2" s="1"/>
  <c r="F4024" i="2"/>
  <c r="G4024" i="2" s="1"/>
  <c r="F4026" i="2"/>
  <c r="G4026" i="2" s="1"/>
  <c r="F4028" i="2"/>
  <c r="G4028" i="2" s="1"/>
  <c r="F4030" i="2"/>
  <c r="G4030" i="2" s="1"/>
  <c r="F4032" i="2"/>
  <c r="G4032" i="2" s="1"/>
  <c r="F4034" i="2"/>
  <c r="G4034" i="2" s="1"/>
  <c r="F4036" i="2"/>
  <c r="G4036" i="2" s="1"/>
  <c r="F4038" i="2"/>
  <c r="G4038" i="2" s="1"/>
  <c r="F4040" i="2"/>
  <c r="G4040" i="2" s="1"/>
  <c r="F4042" i="2"/>
  <c r="G4042" i="2" s="1"/>
  <c r="F4044" i="2"/>
  <c r="G4044" i="2" s="1"/>
  <c r="F4046" i="2"/>
  <c r="G4046" i="2" s="1"/>
  <c r="F4048" i="2"/>
  <c r="G4048" i="2" s="1"/>
  <c r="F4050" i="2"/>
  <c r="G4050" i="2" s="1"/>
  <c r="F4052" i="2"/>
  <c r="G4052" i="2" s="1"/>
  <c r="F4054" i="2"/>
  <c r="G4054" i="2" s="1"/>
  <c r="F4056" i="2"/>
  <c r="G4056" i="2" s="1"/>
  <c r="F4058" i="2"/>
  <c r="G4058" i="2" s="1"/>
  <c r="F4060" i="2"/>
  <c r="G4060" i="2" s="1"/>
  <c r="F4062" i="2"/>
  <c r="G4062" i="2" s="1"/>
  <c r="F4064" i="2"/>
  <c r="G4064" i="2" s="1"/>
  <c r="F4066" i="2"/>
  <c r="G4066" i="2" s="1"/>
  <c r="F4068" i="2"/>
  <c r="G4068" i="2" s="1"/>
  <c r="F4070" i="2"/>
  <c r="G4070" i="2" s="1"/>
  <c r="F4072" i="2"/>
  <c r="G4072" i="2" s="1"/>
  <c r="F4074" i="2"/>
  <c r="G4074" i="2" s="1"/>
  <c r="F4076" i="2"/>
  <c r="G4076" i="2" s="1"/>
  <c r="F4078" i="2"/>
  <c r="G4078" i="2" s="1"/>
  <c r="F4080" i="2"/>
  <c r="G4080" i="2" s="1"/>
  <c r="F4082" i="2"/>
  <c r="G4082" i="2" s="1"/>
  <c r="F4084" i="2"/>
  <c r="G4084" i="2" s="1"/>
  <c r="F4086" i="2"/>
  <c r="G4086" i="2" s="1"/>
  <c r="F4088" i="2"/>
  <c r="G4088" i="2" s="1"/>
  <c r="F4090" i="2"/>
  <c r="G4090" i="2" s="1"/>
  <c r="F4092" i="2"/>
  <c r="G4092" i="2" s="1"/>
  <c r="F4094" i="2"/>
  <c r="G4094" i="2" s="1"/>
  <c r="F4096" i="2"/>
  <c r="G4096" i="2" s="1"/>
  <c r="F4098" i="2"/>
  <c r="G4098" i="2" s="1"/>
  <c r="F4100" i="2"/>
  <c r="G4100" i="2" s="1"/>
  <c r="F4102" i="2"/>
  <c r="G4102" i="2" s="1"/>
  <c r="F4104" i="2"/>
  <c r="G4104" i="2" s="1"/>
  <c r="F4106" i="2"/>
  <c r="G4106" i="2" s="1"/>
  <c r="F4108" i="2"/>
  <c r="G4108" i="2" s="1"/>
  <c r="F4110" i="2"/>
  <c r="G4110" i="2" s="1"/>
  <c r="F4112" i="2"/>
  <c r="G4112" i="2" s="1"/>
  <c r="F4114" i="2"/>
  <c r="G4114" i="2" s="1"/>
  <c r="F4116" i="2"/>
  <c r="G4116" i="2" s="1"/>
  <c r="F4118" i="2"/>
  <c r="G4118" i="2" s="1"/>
  <c r="F4120" i="2"/>
  <c r="G4120" i="2" s="1"/>
  <c r="F4122" i="2"/>
  <c r="G4122" i="2" s="1"/>
  <c r="F4124" i="2"/>
  <c r="G4124" i="2" s="1"/>
  <c r="F4126" i="2"/>
  <c r="G4126" i="2" s="1"/>
  <c r="F4128" i="2"/>
  <c r="G4128" i="2" s="1"/>
  <c r="F4130" i="2"/>
  <c r="G4130" i="2" s="1"/>
  <c r="F4132" i="2"/>
  <c r="G4132" i="2" s="1"/>
  <c r="F4134" i="2"/>
  <c r="G4134" i="2" s="1"/>
  <c r="F4136" i="2"/>
  <c r="G4136" i="2" s="1"/>
  <c r="F4138" i="2"/>
  <c r="G4138" i="2" s="1"/>
  <c r="F4140" i="2"/>
  <c r="G4140" i="2" s="1"/>
  <c r="F4142" i="2"/>
  <c r="G4142" i="2" s="1"/>
  <c r="F4144" i="2"/>
  <c r="G4144" i="2" s="1"/>
  <c r="F4146" i="2"/>
  <c r="G4146" i="2" s="1"/>
  <c r="F4148" i="2"/>
  <c r="G4148" i="2" s="1"/>
  <c r="F4150" i="2"/>
  <c r="G4150" i="2" s="1"/>
  <c r="F4152" i="2"/>
  <c r="G4152" i="2" s="1"/>
  <c r="F4154" i="2"/>
  <c r="G4154" i="2" s="1"/>
  <c r="F4156" i="2"/>
  <c r="G4156" i="2" s="1"/>
  <c r="F4158" i="2"/>
  <c r="G4158" i="2" s="1"/>
  <c r="F4160" i="2"/>
  <c r="G4160" i="2" s="1"/>
  <c r="F4162" i="2"/>
  <c r="G4162" i="2" s="1"/>
  <c r="F4164" i="2"/>
  <c r="G4164" i="2" s="1"/>
  <c r="F4166" i="2"/>
  <c r="G4166" i="2" s="1"/>
  <c r="F4168" i="2"/>
  <c r="G4168" i="2" s="1"/>
  <c r="F4170" i="2"/>
  <c r="G4170" i="2" s="1"/>
  <c r="F4172" i="2"/>
  <c r="G4172" i="2" s="1"/>
  <c r="F4174" i="2"/>
  <c r="G4174" i="2" s="1"/>
  <c r="F4176" i="2"/>
  <c r="G4176" i="2" s="1"/>
  <c r="F4178" i="2"/>
  <c r="G4178" i="2" s="1"/>
  <c r="F4180" i="2"/>
  <c r="G4180" i="2" s="1"/>
  <c r="F4182" i="2"/>
  <c r="G4182" i="2" s="1"/>
  <c r="F4184" i="2"/>
  <c r="G4184" i="2" s="1"/>
  <c r="F4186" i="2"/>
  <c r="G4186" i="2" s="1"/>
  <c r="F4188" i="2"/>
  <c r="G4188" i="2" s="1"/>
  <c r="F4190" i="2"/>
  <c r="G4190" i="2" s="1"/>
  <c r="F4192" i="2"/>
  <c r="G4192" i="2" s="1"/>
  <c r="F4194" i="2"/>
  <c r="G4194" i="2" s="1"/>
  <c r="F4196" i="2"/>
  <c r="G4196" i="2" s="1"/>
  <c r="F4198" i="2"/>
  <c r="G4198" i="2" s="1"/>
  <c r="F4200" i="2"/>
  <c r="G4200" i="2" s="1"/>
  <c r="F4202" i="2"/>
  <c r="G4202" i="2" s="1"/>
  <c r="F4204" i="2"/>
  <c r="G4204" i="2" s="1"/>
  <c r="F4206" i="2"/>
  <c r="G4206" i="2" s="1"/>
  <c r="F4208" i="2"/>
  <c r="G4208" i="2" s="1"/>
  <c r="F4210" i="2"/>
  <c r="G4210" i="2" s="1"/>
  <c r="F4212" i="2"/>
  <c r="G4212" i="2" s="1"/>
  <c r="F4214" i="2"/>
  <c r="G4214" i="2" s="1"/>
  <c r="F4216" i="2"/>
  <c r="G4216" i="2" s="1"/>
  <c r="F4218" i="2"/>
  <c r="G4218" i="2" s="1"/>
  <c r="F4220" i="2"/>
  <c r="G4220" i="2" s="1"/>
  <c r="F4222" i="2"/>
  <c r="G4222" i="2" s="1"/>
  <c r="F4224" i="2"/>
  <c r="G4224" i="2" s="1"/>
  <c r="F4226" i="2"/>
  <c r="G4226" i="2" s="1"/>
  <c r="F4228" i="2"/>
  <c r="G4228" i="2" s="1"/>
  <c r="F4230" i="2"/>
  <c r="G4230" i="2" s="1"/>
  <c r="F4232" i="2"/>
  <c r="G4232" i="2" s="1"/>
  <c r="F4234" i="2"/>
  <c r="G4234" i="2" s="1"/>
  <c r="F4236" i="2"/>
  <c r="G4236" i="2" s="1"/>
  <c r="F4238" i="2"/>
  <c r="G4238" i="2" s="1"/>
  <c r="F4240" i="2"/>
  <c r="G4240" i="2" s="1"/>
  <c r="F4242" i="2"/>
  <c r="G4242" i="2" s="1"/>
  <c r="F4244" i="2"/>
  <c r="G4244" i="2" s="1"/>
  <c r="F4246" i="2"/>
  <c r="G4246" i="2" s="1"/>
  <c r="F4248" i="2"/>
  <c r="G4248" i="2" s="1"/>
  <c r="F4250" i="2"/>
  <c r="G4250" i="2" s="1"/>
  <c r="F4252" i="2"/>
  <c r="G4252" i="2" s="1"/>
  <c r="F4254" i="2"/>
  <c r="G4254" i="2" s="1"/>
  <c r="F4256" i="2"/>
  <c r="G4256" i="2" s="1"/>
  <c r="F4258" i="2"/>
  <c r="G4258" i="2" s="1"/>
  <c r="F4260" i="2"/>
  <c r="G4260" i="2" s="1"/>
  <c r="F4262" i="2"/>
  <c r="G4262" i="2" s="1"/>
  <c r="F4264" i="2"/>
  <c r="G4264" i="2" s="1"/>
  <c r="F4266" i="2"/>
  <c r="G4266" i="2" s="1"/>
  <c r="F4268" i="2"/>
  <c r="G4268" i="2" s="1"/>
  <c r="F4270" i="2"/>
  <c r="G4270" i="2" s="1"/>
  <c r="F4272" i="2"/>
  <c r="G4272" i="2" s="1"/>
  <c r="F4274" i="2"/>
  <c r="G4274" i="2" s="1"/>
  <c r="F4276" i="2"/>
  <c r="G4276" i="2" s="1"/>
  <c r="F4278" i="2"/>
  <c r="G4278" i="2" s="1"/>
  <c r="F4280" i="2"/>
  <c r="G4280" i="2" s="1"/>
  <c r="F4282" i="2"/>
  <c r="G4282" i="2" s="1"/>
  <c r="F4284" i="2"/>
  <c r="G4284" i="2" s="1"/>
  <c r="F4286" i="2"/>
  <c r="G4286" i="2" s="1"/>
  <c r="F4288" i="2"/>
  <c r="G4288" i="2" s="1"/>
  <c r="F4290" i="2"/>
  <c r="G4290" i="2" s="1"/>
  <c r="F4292" i="2"/>
  <c r="G4292" i="2" s="1"/>
  <c r="F4294" i="2"/>
  <c r="G4294" i="2" s="1"/>
  <c r="F4296" i="2"/>
  <c r="G4296" i="2" s="1"/>
  <c r="F4298" i="2"/>
  <c r="G4298" i="2" s="1"/>
  <c r="F4300" i="2"/>
  <c r="G4300" i="2" s="1"/>
  <c r="F4302" i="2"/>
  <c r="G4302" i="2" s="1"/>
  <c r="F4304" i="2"/>
  <c r="G4304" i="2" s="1"/>
  <c r="F4306" i="2"/>
  <c r="G4306" i="2" s="1"/>
  <c r="F4308" i="2"/>
  <c r="G4308" i="2" s="1"/>
  <c r="F4310" i="2"/>
  <c r="G4310" i="2" s="1"/>
  <c r="F4312" i="2"/>
  <c r="G4312" i="2" s="1"/>
  <c r="F4314" i="2"/>
  <c r="G4314" i="2" s="1"/>
  <c r="F4316" i="2"/>
  <c r="G4316" i="2" s="1"/>
  <c r="F4318" i="2"/>
  <c r="G4318" i="2" s="1"/>
  <c r="F4320" i="2"/>
  <c r="G4320" i="2" s="1"/>
  <c r="F4322" i="2"/>
  <c r="G4322" i="2" s="1"/>
  <c r="F4324" i="2"/>
  <c r="G4324" i="2" s="1"/>
  <c r="F4326" i="2"/>
  <c r="G4326" i="2" s="1"/>
  <c r="F4328" i="2"/>
  <c r="G4328" i="2" s="1"/>
  <c r="F4330" i="2"/>
  <c r="G4330" i="2" s="1"/>
  <c r="F4332" i="2"/>
  <c r="G4332" i="2" s="1"/>
  <c r="F4334" i="2"/>
  <c r="G4334" i="2" s="1"/>
  <c r="F4336" i="2"/>
  <c r="G4336" i="2" s="1"/>
  <c r="F4338" i="2"/>
  <c r="G4338" i="2" s="1"/>
  <c r="F4340" i="2"/>
  <c r="G4340" i="2" s="1"/>
  <c r="F4342" i="2"/>
  <c r="G4342" i="2" s="1"/>
  <c r="F4344" i="2"/>
  <c r="G4344" i="2" s="1"/>
  <c r="F4346" i="2"/>
  <c r="G4346" i="2" s="1"/>
  <c r="F4348" i="2"/>
  <c r="G4348" i="2" s="1"/>
  <c r="F4350" i="2"/>
  <c r="G4350" i="2" s="1"/>
  <c r="F4352" i="2"/>
  <c r="G4352" i="2" s="1"/>
  <c r="F4354" i="2"/>
  <c r="G4354" i="2" s="1"/>
  <c r="F4356" i="2"/>
  <c r="G4356" i="2" s="1"/>
  <c r="F4358" i="2"/>
  <c r="G4358" i="2" s="1"/>
  <c r="F4360" i="2"/>
  <c r="G4360" i="2" s="1"/>
  <c r="F4362" i="2"/>
  <c r="G4362" i="2" s="1"/>
  <c r="F4364" i="2"/>
  <c r="G4364" i="2" s="1"/>
  <c r="F4366" i="2"/>
  <c r="G4366" i="2" s="1"/>
  <c r="F4368" i="2"/>
  <c r="G4368" i="2" s="1"/>
  <c r="F4370" i="2"/>
  <c r="G4370" i="2" s="1"/>
  <c r="F4372" i="2"/>
  <c r="G4372" i="2" s="1"/>
  <c r="F4374" i="2"/>
  <c r="G4374" i="2" s="1"/>
  <c r="F4376" i="2"/>
  <c r="G4376" i="2" s="1"/>
  <c r="F4378" i="2"/>
  <c r="G4378" i="2" s="1"/>
  <c r="F4380" i="2"/>
  <c r="G4380" i="2" s="1"/>
  <c r="F4382" i="2"/>
  <c r="G4382" i="2" s="1"/>
  <c r="F4384" i="2"/>
  <c r="G4384" i="2" s="1"/>
  <c r="F4386" i="2"/>
  <c r="G4386" i="2" s="1"/>
  <c r="F4388" i="2"/>
  <c r="G4388" i="2" s="1"/>
  <c r="F4390" i="2"/>
  <c r="G4390" i="2" s="1"/>
  <c r="F4392" i="2"/>
  <c r="G4392" i="2" s="1"/>
  <c r="F4394" i="2"/>
  <c r="G4394" i="2" s="1"/>
  <c r="F4396" i="2"/>
  <c r="G4396" i="2" s="1"/>
  <c r="F4398" i="2"/>
  <c r="G4398" i="2" s="1"/>
  <c r="F4400" i="2"/>
  <c r="G4400" i="2" s="1"/>
  <c r="F4402" i="2"/>
  <c r="G4402" i="2" s="1"/>
  <c r="F4404" i="2"/>
  <c r="G4404" i="2" s="1"/>
  <c r="F4406" i="2"/>
  <c r="G4406" i="2" s="1"/>
  <c r="F4408" i="2"/>
  <c r="G4408" i="2" s="1"/>
  <c r="F4410" i="2"/>
  <c r="G4410" i="2" s="1"/>
  <c r="F4412" i="2"/>
  <c r="G4412" i="2" s="1"/>
  <c r="F4414" i="2"/>
  <c r="G4414" i="2" s="1"/>
  <c r="F4416" i="2"/>
  <c r="G4416" i="2" s="1"/>
  <c r="F4418" i="2"/>
  <c r="G4418" i="2" s="1"/>
  <c r="F4420" i="2"/>
  <c r="G4420" i="2" s="1"/>
  <c r="F4422" i="2"/>
  <c r="G4422" i="2" s="1"/>
  <c r="F4424" i="2"/>
  <c r="G4424" i="2" s="1"/>
  <c r="F4426" i="2"/>
  <c r="G4426" i="2" s="1"/>
  <c r="F4428" i="2"/>
  <c r="G4428" i="2" s="1"/>
  <c r="F4430" i="2"/>
  <c r="G4430" i="2" s="1"/>
  <c r="F4432" i="2"/>
  <c r="G4432" i="2" s="1"/>
  <c r="F4434" i="2"/>
  <c r="G4434" i="2" s="1"/>
  <c r="F4436" i="2"/>
  <c r="G4436" i="2" s="1"/>
  <c r="F4438" i="2"/>
  <c r="G4438" i="2" s="1"/>
  <c r="F4440" i="2"/>
  <c r="G4440" i="2" s="1"/>
  <c r="F4442" i="2"/>
  <c r="G4442" i="2" s="1"/>
  <c r="F4444" i="2"/>
  <c r="G4444" i="2" s="1"/>
  <c r="F4446" i="2"/>
  <c r="G4446" i="2" s="1"/>
  <c r="F4448" i="2"/>
  <c r="G4448" i="2" s="1"/>
  <c r="F4450" i="2"/>
  <c r="G4450" i="2" s="1"/>
  <c r="F4452" i="2"/>
  <c r="G4452" i="2" s="1"/>
  <c r="F4454" i="2"/>
  <c r="G4454" i="2" s="1"/>
  <c r="F4456" i="2"/>
  <c r="G4456" i="2" s="1"/>
  <c r="F4458" i="2"/>
  <c r="G4458" i="2" s="1"/>
  <c r="F4460" i="2"/>
  <c r="G4460" i="2" s="1"/>
  <c r="F4462" i="2"/>
  <c r="G4462" i="2" s="1"/>
  <c r="F4464" i="2"/>
  <c r="G4464" i="2" s="1"/>
  <c r="F4466" i="2"/>
  <c r="G4466" i="2" s="1"/>
  <c r="F4468" i="2"/>
  <c r="G4468" i="2" s="1"/>
  <c r="F4470" i="2"/>
  <c r="G4470" i="2" s="1"/>
  <c r="F4472" i="2"/>
  <c r="G4472" i="2" s="1"/>
  <c r="F4474" i="2"/>
  <c r="G4474" i="2" s="1"/>
  <c r="F4476" i="2"/>
  <c r="G4476" i="2" s="1"/>
  <c r="F4478" i="2"/>
  <c r="G4478" i="2" s="1"/>
  <c r="F4480" i="2"/>
  <c r="G4480" i="2" s="1"/>
  <c r="F4482" i="2"/>
  <c r="G4482" i="2" s="1"/>
  <c r="F4484" i="2"/>
  <c r="G4484" i="2" s="1"/>
  <c r="F4486" i="2"/>
  <c r="G4486" i="2" s="1"/>
  <c r="F4488" i="2"/>
  <c r="G4488" i="2" s="1"/>
  <c r="F4490" i="2"/>
  <c r="G4490" i="2" s="1"/>
  <c r="F4492" i="2"/>
  <c r="G4492" i="2" s="1"/>
  <c r="F4494" i="2"/>
  <c r="G4494" i="2" s="1"/>
  <c r="F4496" i="2"/>
  <c r="G4496" i="2" s="1"/>
  <c r="F4498" i="2"/>
  <c r="G4498" i="2" s="1"/>
  <c r="F4500" i="2"/>
  <c r="G4500" i="2" s="1"/>
  <c r="F4502" i="2"/>
  <c r="G4502" i="2" s="1"/>
  <c r="F4504" i="2"/>
  <c r="G4504" i="2" s="1"/>
  <c r="F4506" i="2"/>
  <c r="G4506" i="2" s="1"/>
  <c r="F4508" i="2"/>
  <c r="G4508" i="2" s="1"/>
  <c r="F4510" i="2"/>
  <c r="G4510" i="2" s="1"/>
  <c r="F4512" i="2"/>
  <c r="G4512" i="2" s="1"/>
  <c r="F4514" i="2"/>
  <c r="G4514" i="2" s="1"/>
  <c r="F4516" i="2"/>
  <c r="G4516" i="2" s="1"/>
  <c r="F4518" i="2"/>
  <c r="G4518" i="2" s="1"/>
  <c r="F4520" i="2"/>
  <c r="G4520" i="2" s="1"/>
  <c r="F4522" i="2"/>
  <c r="G4522" i="2" s="1"/>
  <c r="F4524" i="2"/>
  <c r="G4524" i="2" s="1"/>
  <c r="F4526" i="2"/>
  <c r="G4526" i="2" s="1"/>
  <c r="F4528" i="2"/>
  <c r="G4528" i="2" s="1"/>
  <c r="F4530" i="2"/>
  <c r="G4530" i="2" s="1"/>
  <c r="F4532" i="2"/>
  <c r="G4532" i="2" s="1"/>
  <c r="F4534" i="2"/>
  <c r="G4534" i="2" s="1"/>
  <c r="F4536" i="2"/>
  <c r="G4536" i="2" s="1"/>
  <c r="F4538" i="2"/>
  <c r="G4538" i="2" s="1"/>
  <c r="F4540" i="2"/>
  <c r="G4540" i="2" s="1"/>
  <c r="F4542" i="2"/>
  <c r="G4542" i="2" s="1"/>
  <c r="F4544" i="2"/>
  <c r="G4544" i="2" s="1"/>
  <c r="F4546" i="2"/>
  <c r="G4546" i="2" s="1"/>
  <c r="F4548" i="2"/>
  <c r="G4548" i="2" s="1"/>
  <c r="F4550" i="2"/>
  <c r="G4550" i="2" s="1"/>
  <c r="F4552" i="2"/>
  <c r="G4552" i="2" s="1"/>
  <c r="F4554" i="2"/>
  <c r="G4554" i="2" s="1"/>
  <c r="F4556" i="2"/>
  <c r="G4556" i="2" s="1"/>
  <c r="F4558" i="2"/>
  <c r="G4558" i="2" s="1"/>
  <c r="F4560" i="2"/>
  <c r="G4560" i="2" s="1"/>
  <c r="F4562" i="2"/>
  <c r="G4562" i="2" s="1"/>
  <c r="F4564" i="2"/>
  <c r="G4564" i="2" s="1"/>
  <c r="F4566" i="2"/>
  <c r="G4566" i="2" s="1"/>
  <c r="F4568" i="2"/>
  <c r="G4568" i="2" s="1"/>
  <c r="F4570" i="2"/>
  <c r="G4570" i="2" s="1"/>
  <c r="F4572" i="2"/>
  <c r="G4572" i="2" s="1"/>
  <c r="F4574" i="2"/>
  <c r="G4574" i="2" s="1"/>
  <c r="F4576" i="2"/>
  <c r="G4576" i="2" s="1"/>
  <c r="F4578" i="2"/>
  <c r="G4578" i="2" s="1"/>
  <c r="F4580" i="2"/>
  <c r="G4580" i="2" s="1"/>
  <c r="F4582" i="2"/>
  <c r="G4582" i="2" s="1"/>
  <c r="F4584" i="2"/>
  <c r="G4584" i="2" s="1"/>
  <c r="F4586" i="2"/>
  <c r="G4586" i="2" s="1"/>
  <c r="F4588" i="2"/>
  <c r="G4588" i="2" s="1"/>
  <c r="F4590" i="2"/>
  <c r="G4590" i="2" s="1"/>
  <c r="F4592" i="2"/>
  <c r="G4592" i="2" s="1"/>
  <c r="F4594" i="2"/>
  <c r="G4594" i="2" s="1"/>
  <c r="F4596" i="2"/>
  <c r="G4596" i="2" s="1"/>
  <c r="F4598" i="2"/>
  <c r="G4598" i="2" s="1"/>
  <c r="F4600" i="2"/>
  <c r="G4600" i="2" s="1"/>
  <c r="F4602" i="2"/>
  <c r="G4602" i="2" s="1"/>
  <c r="F4604" i="2"/>
  <c r="G4604" i="2" s="1"/>
  <c r="F4606" i="2"/>
  <c r="G4606" i="2" s="1"/>
  <c r="F4608" i="2"/>
  <c r="G4608" i="2" s="1"/>
  <c r="F4610" i="2"/>
  <c r="G4610" i="2" s="1"/>
  <c r="F4612" i="2"/>
  <c r="G4612" i="2" s="1"/>
  <c r="F4614" i="2"/>
  <c r="G4614" i="2" s="1"/>
  <c r="F4616" i="2"/>
  <c r="G4616" i="2" s="1"/>
  <c r="F4618" i="2"/>
  <c r="G4618" i="2" s="1"/>
  <c r="F4620" i="2"/>
  <c r="G4620" i="2" s="1"/>
  <c r="F4622" i="2"/>
  <c r="G4622" i="2" s="1"/>
  <c r="F4624" i="2"/>
  <c r="G4624" i="2" s="1"/>
  <c r="F4626" i="2"/>
  <c r="G4626" i="2" s="1"/>
  <c r="F4628" i="2"/>
  <c r="G4628" i="2" s="1"/>
  <c r="F4630" i="2"/>
  <c r="G4630" i="2" s="1"/>
  <c r="F4632" i="2"/>
  <c r="G4632" i="2" s="1"/>
  <c r="F4634" i="2"/>
  <c r="G4634" i="2" s="1"/>
  <c r="F4636" i="2"/>
  <c r="G4636" i="2" s="1"/>
  <c r="F4638" i="2"/>
  <c r="G4638" i="2" s="1"/>
  <c r="F4640" i="2"/>
  <c r="G4640" i="2" s="1"/>
  <c r="F4642" i="2"/>
  <c r="G4642" i="2" s="1"/>
  <c r="F4644" i="2"/>
  <c r="G4644" i="2" s="1"/>
  <c r="F4646" i="2"/>
  <c r="G4646" i="2" s="1"/>
  <c r="F4648" i="2"/>
  <c r="G4648" i="2" s="1"/>
  <c r="F4650" i="2"/>
  <c r="G4650" i="2" s="1"/>
  <c r="F4652" i="2"/>
  <c r="G4652" i="2" s="1"/>
  <c r="F4654" i="2"/>
  <c r="G4654" i="2" s="1"/>
  <c r="F4656" i="2"/>
  <c r="G4656" i="2" s="1"/>
  <c r="F4658" i="2"/>
  <c r="G4658" i="2" s="1"/>
  <c r="F4660" i="2"/>
  <c r="G4660" i="2" s="1"/>
  <c r="F4662" i="2"/>
  <c r="G4662" i="2" s="1"/>
  <c r="F4664" i="2"/>
  <c r="G4664" i="2" s="1"/>
  <c r="F4666" i="2"/>
  <c r="G4666" i="2" s="1"/>
  <c r="F4668" i="2"/>
  <c r="G4668" i="2" s="1"/>
  <c r="F4670" i="2"/>
  <c r="G4670" i="2" s="1"/>
  <c r="F4672" i="2"/>
  <c r="G4672" i="2" s="1"/>
  <c r="F4674" i="2"/>
  <c r="G4674" i="2" s="1"/>
  <c r="F4676" i="2"/>
  <c r="G4676" i="2" s="1"/>
  <c r="F4678" i="2"/>
  <c r="G4678" i="2" s="1"/>
  <c r="F4680" i="2"/>
  <c r="G4680" i="2" s="1"/>
  <c r="F4682" i="2"/>
  <c r="G4682" i="2" s="1"/>
  <c r="F4684" i="2"/>
  <c r="G4684" i="2" s="1"/>
  <c r="F4686" i="2"/>
  <c r="G4686" i="2" s="1"/>
  <c r="F4688" i="2"/>
  <c r="G4688" i="2" s="1"/>
  <c r="F4690" i="2"/>
  <c r="G4690" i="2" s="1"/>
  <c r="F4692" i="2"/>
  <c r="G4692" i="2" s="1"/>
  <c r="F4694" i="2"/>
  <c r="G4694" i="2" s="1"/>
  <c r="F4696" i="2"/>
  <c r="G4696" i="2" s="1"/>
  <c r="F4698" i="2"/>
  <c r="G4698" i="2" s="1"/>
  <c r="F4700" i="2"/>
  <c r="G4700" i="2" s="1"/>
  <c r="F4702" i="2"/>
  <c r="G4702" i="2" s="1"/>
  <c r="F4704" i="2"/>
  <c r="G4704" i="2" s="1"/>
  <c r="F4706" i="2"/>
  <c r="G4706" i="2" s="1"/>
  <c r="F4708" i="2"/>
  <c r="G4708" i="2" s="1"/>
  <c r="F4710" i="2"/>
  <c r="G4710" i="2" s="1"/>
  <c r="F4712" i="2"/>
  <c r="G4712" i="2" s="1"/>
  <c r="F4714" i="2"/>
  <c r="G4714" i="2" s="1"/>
  <c r="F4716" i="2"/>
  <c r="G4716" i="2" s="1"/>
  <c r="F4718" i="2"/>
  <c r="G4718" i="2" s="1"/>
  <c r="F4720" i="2"/>
  <c r="G4720" i="2" s="1"/>
  <c r="F4722" i="2"/>
  <c r="G4722" i="2" s="1"/>
  <c r="F4724" i="2"/>
  <c r="G4724" i="2" s="1"/>
  <c r="F4726" i="2"/>
  <c r="G4726" i="2" s="1"/>
  <c r="F4728" i="2"/>
  <c r="G4728" i="2" s="1"/>
  <c r="F4730" i="2"/>
  <c r="G4730" i="2" s="1"/>
  <c r="F4732" i="2"/>
  <c r="G4732" i="2" s="1"/>
  <c r="F4734" i="2"/>
  <c r="G4734" i="2" s="1"/>
  <c r="F4736" i="2"/>
  <c r="G4736" i="2" s="1"/>
  <c r="F4738" i="2"/>
  <c r="G4738" i="2" s="1"/>
  <c r="F4740" i="2"/>
  <c r="G4740" i="2" s="1"/>
  <c r="F4742" i="2"/>
  <c r="G4742" i="2" s="1"/>
  <c r="F4744" i="2"/>
  <c r="G4744" i="2" s="1"/>
  <c r="F4746" i="2"/>
  <c r="G4746" i="2" s="1"/>
  <c r="F4748" i="2"/>
  <c r="G4748" i="2" s="1"/>
  <c r="F4750" i="2"/>
  <c r="G4750" i="2" s="1"/>
  <c r="F4752" i="2"/>
  <c r="G4752" i="2" s="1"/>
  <c r="F4754" i="2"/>
  <c r="G4754" i="2" s="1"/>
  <c r="F4756" i="2"/>
  <c r="G4756" i="2" s="1"/>
  <c r="F4758" i="2"/>
  <c r="G4758" i="2" s="1"/>
  <c r="F4760" i="2"/>
  <c r="G4760" i="2" s="1"/>
  <c r="F4762" i="2"/>
  <c r="G4762" i="2" s="1"/>
  <c r="F4764" i="2"/>
  <c r="G4764" i="2" s="1"/>
  <c r="F4766" i="2"/>
  <c r="G4766" i="2" s="1"/>
  <c r="F4768" i="2"/>
  <c r="G4768" i="2" s="1"/>
  <c r="F4770" i="2"/>
  <c r="G4770" i="2" s="1"/>
  <c r="F4772" i="2"/>
  <c r="G4772" i="2" s="1"/>
  <c r="F4774" i="2"/>
  <c r="G4774" i="2" s="1"/>
  <c r="F4776" i="2"/>
  <c r="G4776" i="2" s="1"/>
  <c r="F4778" i="2"/>
  <c r="G4778" i="2" s="1"/>
  <c r="F4780" i="2"/>
  <c r="G4780" i="2" s="1"/>
  <c r="F4782" i="2"/>
  <c r="G4782" i="2" s="1"/>
  <c r="F4784" i="2"/>
  <c r="G4784" i="2" s="1"/>
  <c r="F4786" i="2"/>
  <c r="G4786" i="2" s="1"/>
  <c r="F4788" i="2"/>
  <c r="G4788" i="2" s="1"/>
  <c r="F4790" i="2"/>
  <c r="G4790" i="2" s="1"/>
  <c r="F4792" i="2"/>
  <c r="G4792" i="2" s="1"/>
  <c r="F4794" i="2"/>
  <c r="G4794" i="2" s="1"/>
  <c r="F4796" i="2"/>
  <c r="G4796" i="2" s="1"/>
  <c r="F4798" i="2"/>
  <c r="G4798" i="2" s="1"/>
  <c r="F4800" i="2"/>
  <c r="G4800" i="2" s="1"/>
  <c r="F4802" i="2"/>
  <c r="G4802" i="2" s="1"/>
  <c r="F4804" i="2"/>
  <c r="G4804" i="2" s="1"/>
  <c r="F4806" i="2"/>
  <c r="G4806" i="2" s="1"/>
  <c r="F4808" i="2"/>
  <c r="G4808" i="2" s="1"/>
  <c r="F4810" i="2"/>
  <c r="G4810" i="2" s="1"/>
  <c r="F4812" i="2"/>
  <c r="G4812" i="2" s="1"/>
  <c r="F4814" i="2"/>
  <c r="G4814" i="2" s="1"/>
  <c r="F4816" i="2"/>
  <c r="G4816" i="2" s="1"/>
  <c r="F4818" i="2"/>
  <c r="G4818" i="2" s="1"/>
  <c r="F4820" i="2"/>
  <c r="G4820" i="2" s="1"/>
  <c r="F4822" i="2"/>
  <c r="G4822" i="2" s="1"/>
  <c r="F4824" i="2"/>
  <c r="G4824" i="2" s="1"/>
  <c r="F4826" i="2"/>
  <c r="G4826" i="2" s="1"/>
  <c r="F4828" i="2"/>
  <c r="G4828" i="2" s="1"/>
  <c r="F4830" i="2"/>
  <c r="G4830" i="2" s="1"/>
  <c r="F4832" i="2"/>
  <c r="G4832" i="2" s="1"/>
  <c r="F4834" i="2"/>
  <c r="G4834" i="2" s="1"/>
  <c r="F4836" i="2"/>
  <c r="G4836" i="2" s="1"/>
  <c r="F4838" i="2"/>
  <c r="G4838" i="2" s="1"/>
  <c r="F4840" i="2"/>
  <c r="G4840" i="2" s="1"/>
  <c r="F4842" i="2"/>
  <c r="G4842" i="2" s="1"/>
  <c r="F4844" i="2"/>
  <c r="G4844" i="2" s="1"/>
  <c r="F4846" i="2"/>
  <c r="G4846" i="2" s="1"/>
  <c r="F4848" i="2"/>
  <c r="G4848" i="2" s="1"/>
  <c r="F4850" i="2"/>
  <c r="G4850" i="2" s="1"/>
  <c r="F4852" i="2"/>
  <c r="G4852" i="2" s="1"/>
  <c r="F4854" i="2"/>
  <c r="G4854" i="2" s="1"/>
  <c r="F4856" i="2"/>
  <c r="G4856" i="2" s="1"/>
  <c r="F4858" i="2"/>
  <c r="G4858" i="2" s="1"/>
  <c r="F4860" i="2"/>
  <c r="G4860" i="2" s="1"/>
  <c r="F4862" i="2"/>
  <c r="G4862" i="2" s="1"/>
  <c r="F4864" i="2"/>
  <c r="G4864" i="2" s="1"/>
  <c r="F4866" i="2"/>
  <c r="G4866" i="2" s="1"/>
  <c r="F4868" i="2"/>
  <c r="G4868" i="2" s="1"/>
  <c r="F4870" i="2"/>
  <c r="G4870" i="2" s="1"/>
  <c r="F4872" i="2"/>
  <c r="G4872" i="2" s="1"/>
  <c r="F4874" i="2"/>
  <c r="G4874" i="2" s="1"/>
  <c r="F4876" i="2"/>
  <c r="G4876" i="2" s="1"/>
  <c r="F4878" i="2"/>
  <c r="G4878" i="2" s="1"/>
  <c r="F4880" i="2"/>
  <c r="G4880" i="2" s="1"/>
  <c r="F4882" i="2"/>
  <c r="G4882" i="2" s="1"/>
  <c r="F4884" i="2"/>
  <c r="G4884" i="2" s="1"/>
  <c r="F4886" i="2"/>
  <c r="G4886" i="2" s="1"/>
  <c r="F4888" i="2"/>
  <c r="G4888" i="2" s="1"/>
  <c r="F4890" i="2"/>
  <c r="G4890" i="2" s="1"/>
  <c r="F4892" i="2"/>
  <c r="G4892" i="2" s="1"/>
  <c r="F4894" i="2"/>
  <c r="G4894" i="2" s="1"/>
  <c r="F4896" i="2"/>
  <c r="G4896" i="2" s="1"/>
  <c r="F4898" i="2"/>
  <c r="G4898" i="2" s="1"/>
  <c r="F4900" i="2"/>
  <c r="G4900" i="2" s="1"/>
  <c r="F4902" i="2"/>
  <c r="G4902" i="2" s="1"/>
  <c r="F4659" i="2"/>
  <c r="G4659" i="2" s="1"/>
  <c r="F4663" i="2"/>
  <c r="G4663" i="2" s="1"/>
  <c r="F4667" i="2"/>
  <c r="G4667" i="2" s="1"/>
  <c r="F4671" i="2"/>
  <c r="G4671" i="2" s="1"/>
  <c r="F4675" i="2"/>
  <c r="G4675" i="2" s="1"/>
  <c r="F4679" i="2"/>
  <c r="G4679" i="2" s="1"/>
  <c r="F4683" i="2"/>
  <c r="G4683" i="2" s="1"/>
  <c r="F4687" i="2"/>
  <c r="G4687" i="2" s="1"/>
  <c r="F4691" i="2"/>
  <c r="G4691" i="2" s="1"/>
  <c r="F4695" i="2"/>
  <c r="G4695" i="2" s="1"/>
  <c r="F4699" i="2"/>
  <c r="G4699" i="2" s="1"/>
  <c r="F4703" i="2"/>
  <c r="G4703" i="2" s="1"/>
  <c r="F4707" i="2"/>
  <c r="G4707" i="2" s="1"/>
  <c r="F4711" i="2"/>
  <c r="G4711" i="2" s="1"/>
  <c r="F4715" i="2"/>
  <c r="G4715" i="2" s="1"/>
  <c r="F4719" i="2"/>
  <c r="G4719" i="2" s="1"/>
  <c r="F4723" i="2"/>
  <c r="G4723" i="2" s="1"/>
  <c r="F4727" i="2"/>
  <c r="G4727" i="2" s="1"/>
  <c r="F4731" i="2"/>
  <c r="G4731" i="2" s="1"/>
  <c r="F4735" i="2"/>
  <c r="G4735" i="2" s="1"/>
  <c r="F4739" i="2"/>
  <c r="G4739" i="2" s="1"/>
  <c r="F4743" i="2"/>
  <c r="G4743" i="2" s="1"/>
  <c r="F4747" i="2"/>
  <c r="G4747" i="2" s="1"/>
  <c r="F4751" i="2"/>
  <c r="G4751" i="2" s="1"/>
  <c r="F4755" i="2"/>
  <c r="G4755" i="2" s="1"/>
  <c r="F4759" i="2"/>
  <c r="G4759" i="2" s="1"/>
  <c r="F4763" i="2"/>
  <c r="G4763" i="2" s="1"/>
  <c r="F4767" i="2"/>
  <c r="G4767" i="2" s="1"/>
  <c r="F4771" i="2"/>
  <c r="G4771" i="2" s="1"/>
  <c r="F4775" i="2"/>
  <c r="G4775" i="2" s="1"/>
  <c r="F4779" i="2"/>
  <c r="G4779" i="2" s="1"/>
  <c r="F4783" i="2"/>
  <c r="G4783" i="2" s="1"/>
  <c r="F4787" i="2"/>
  <c r="G4787" i="2" s="1"/>
  <c r="F4791" i="2"/>
  <c r="G4791" i="2" s="1"/>
  <c r="F4795" i="2"/>
  <c r="G4795" i="2" s="1"/>
  <c r="F4799" i="2"/>
  <c r="G4799" i="2" s="1"/>
  <c r="F4803" i="2"/>
  <c r="G4803" i="2" s="1"/>
  <c r="F4807" i="2"/>
  <c r="G4807" i="2" s="1"/>
  <c r="F4811" i="2"/>
  <c r="G4811" i="2" s="1"/>
  <c r="F4815" i="2"/>
  <c r="G4815" i="2" s="1"/>
  <c r="F4819" i="2"/>
  <c r="G4819" i="2" s="1"/>
  <c r="F4823" i="2"/>
  <c r="G4823" i="2" s="1"/>
  <c r="F4827" i="2"/>
  <c r="G4827" i="2" s="1"/>
  <c r="F4831" i="2"/>
  <c r="G4831" i="2" s="1"/>
  <c r="F4835" i="2"/>
  <c r="G4835" i="2" s="1"/>
  <c r="F4839" i="2"/>
  <c r="G4839" i="2" s="1"/>
  <c r="F4843" i="2"/>
  <c r="G4843" i="2" s="1"/>
  <c r="F4847" i="2"/>
  <c r="G4847" i="2" s="1"/>
  <c r="F4851" i="2"/>
  <c r="G4851" i="2" s="1"/>
  <c r="F4855" i="2"/>
  <c r="G4855" i="2" s="1"/>
  <c r="F4859" i="2"/>
  <c r="G4859" i="2" s="1"/>
  <c r="F4863" i="2"/>
  <c r="G4863" i="2" s="1"/>
  <c r="F4867" i="2"/>
  <c r="G4867" i="2" s="1"/>
  <c r="F4871" i="2"/>
  <c r="G4871" i="2" s="1"/>
  <c r="F4875" i="2"/>
  <c r="G4875" i="2" s="1"/>
  <c r="F4879" i="2"/>
  <c r="G4879" i="2" s="1"/>
  <c r="F4883" i="2"/>
  <c r="G4883" i="2" s="1"/>
  <c r="F4887" i="2"/>
  <c r="G4887" i="2" s="1"/>
  <c r="F4891" i="2"/>
  <c r="G4891" i="2" s="1"/>
  <c r="F4895" i="2"/>
  <c r="G4895" i="2" s="1"/>
  <c r="F4899" i="2"/>
  <c r="G4899" i="2" s="1"/>
  <c r="F4903" i="2"/>
  <c r="G4903" i="2" s="1"/>
  <c r="F4905" i="2"/>
  <c r="G4905" i="2" s="1"/>
  <c r="F4907" i="2"/>
  <c r="G4907" i="2" s="1"/>
  <c r="F4909" i="2"/>
  <c r="G4909" i="2" s="1"/>
  <c r="F4911" i="2"/>
  <c r="G4911" i="2" s="1"/>
  <c r="F4913" i="2"/>
  <c r="G4913" i="2" s="1"/>
  <c r="F4915" i="2"/>
  <c r="G4915" i="2" s="1"/>
  <c r="F4917" i="2"/>
  <c r="G4917" i="2" s="1"/>
  <c r="F4919" i="2"/>
  <c r="G4919" i="2" s="1"/>
  <c r="F4921" i="2"/>
  <c r="G4921" i="2" s="1"/>
  <c r="F4923" i="2"/>
  <c r="G4923" i="2" s="1"/>
  <c r="F4925" i="2"/>
  <c r="G4925" i="2" s="1"/>
  <c r="F4927" i="2"/>
  <c r="G4927" i="2" s="1"/>
  <c r="F4929" i="2"/>
  <c r="G4929" i="2" s="1"/>
  <c r="F4931" i="2"/>
  <c r="G4931" i="2" s="1"/>
  <c r="F4933" i="2"/>
  <c r="G4933" i="2" s="1"/>
  <c r="F4935" i="2"/>
  <c r="G4935" i="2" s="1"/>
  <c r="F4937" i="2"/>
  <c r="G4937" i="2" s="1"/>
  <c r="F4939" i="2"/>
  <c r="G4939" i="2" s="1"/>
  <c r="F4941" i="2"/>
  <c r="G4941" i="2" s="1"/>
  <c r="F4943" i="2"/>
  <c r="G4943" i="2" s="1"/>
  <c r="F4945" i="2"/>
  <c r="G4945" i="2" s="1"/>
  <c r="F4947" i="2"/>
  <c r="G4947" i="2" s="1"/>
  <c r="F4949" i="2"/>
  <c r="G4949" i="2" s="1"/>
  <c r="F4951" i="2"/>
  <c r="G4951" i="2" s="1"/>
  <c r="F4953" i="2"/>
  <c r="G4953" i="2" s="1"/>
  <c r="F4955" i="2"/>
  <c r="G4955" i="2" s="1"/>
  <c r="F4957" i="2"/>
  <c r="G4957" i="2" s="1"/>
  <c r="F4959" i="2"/>
  <c r="G4959" i="2" s="1"/>
  <c r="F4961" i="2"/>
  <c r="G4961" i="2" s="1"/>
  <c r="F4963" i="2"/>
  <c r="G4963" i="2" s="1"/>
  <c r="F4965" i="2"/>
  <c r="G4965" i="2" s="1"/>
  <c r="F4967" i="2"/>
  <c r="G4967" i="2" s="1"/>
  <c r="F4969" i="2"/>
  <c r="G4969" i="2" s="1"/>
  <c r="F4971" i="2"/>
  <c r="G4971" i="2" s="1"/>
  <c r="F4973" i="2"/>
  <c r="G4973" i="2" s="1"/>
  <c r="F4975" i="2"/>
  <c r="G4975" i="2" s="1"/>
  <c r="F4977" i="2"/>
  <c r="G4977" i="2" s="1"/>
  <c r="F4979" i="2"/>
  <c r="G4979" i="2" s="1"/>
  <c r="F4981" i="2"/>
  <c r="G4981" i="2" s="1"/>
  <c r="F4983" i="2"/>
  <c r="G4983" i="2" s="1"/>
  <c r="F4985" i="2"/>
  <c r="G4985" i="2" s="1"/>
  <c r="F4987" i="2"/>
  <c r="G4987" i="2" s="1"/>
  <c r="F4989" i="2"/>
  <c r="G4989" i="2" s="1"/>
  <c r="F4991" i="2"/>
  <c r="G4991" i="2" s="1"/>
  <c r="F4993" i="2"/>
  <c r="G4993" i="2" s="1"/>
  <c r="F4995" i="2"/>
  <c r="G4995" i="2" s="1"/>
  <c r="F4997" i="2"/>
  <c r="G4997" i="2" s="1"/>
  <c r="F4999" i="2"/>
  <c r="G4999" i="2" s="1"/>
  <c r="F4661" i="2"/>
  <c r="G4661" i="2" s="1"/>
  <c r="F4665" i="2"/>
  <c r="G4665" i="2" s="1"/>
  <c r="F4669" i="2"/>
  <c r="G4669" i="2" s="1"/>
  <c r="F4673" i="2"/>
  <c r="G4673" i="2" s="1"/>
  <c r="F4677" i="2"/>
  <c r="G4677" i="2" s="1"/>
  <c r="F4681" i="2"/>
  <c r="G4681" i="2" s="1"/>
  <c r="F4685" i="2"/>
  <c r="G4685" i="2" s="1"/>
  <c r="F4689" i="2"/>
  <c r="G4689" i="2" s="1"/>
  <c r="F4693" i="2"/>
  <c r="G4693" i="2" s="1"/>
  <c r="F4697" i="2"/>
  <c r="G4697" i="2" s="1"/>
  <c r="F4701" i="2"/>
  <c r="G4701" i="2" s="1"/>
  <c r="F4705" i="2"/>
  <c r="G4705" i="2" s="1"/>
  <c r="F4709" i="2"/>
  <c r="G4709" i="2" s="1"/>
  <c r="F4713" i="2"/>
  <c r="G4713" i="2" s="1"/>
  <c r="F4717" i="2"/>
  <c r="G4717" i="2" s="1"/>
  <c r="F4721" i="2"/>
  <c r="G4721" i="2" s="1"/>
  <c r="F4725" i="2"/>
  <c r="G4725" i="2" s="1"/>
  <c r="F4729" i="2"/>
  <c r="G4729" i="2" s="1"/>
  <c r="F4733" i="2"/>
  <c r="G4733" i="2" s="1"/>
  <c r="F4737" i="2"/>
  <c r="G4737" i="2" s="1"/>
  <c r="F4741" i="2"/>
  <c r="G4741" i="2" s="1"/>
  <c r="F4745" i="2"/>
  <c r="G4745" i="2" s="1"/>
  <c r="F4749" i="2"/>
  <c r="G4749" i="2" s="1"/>
  <c r="F4753" i="2"/>
  <c r="G4753" i="2" s="1"/>
  <c r="F4757" i="2"/>
  <c r="G4757" i="2" s="1"/>
  <c r="F4761" i="2"/>
  <c r="G4761" i="2" s="1"/>
  <c r="F4765" i="2"/>
  <c r="G4765" i="2" s="1"/>
  <c r="F4769" i="2"/>
  <c r="G4769" i="2" s="1"/>
  <c r="F4773" i="2"/>
  <c r="G4773" i="2" s="1"/>
  <c r="F4777" i="2"/>
  <c r="G4777" i="2" s="1"/>
  <c r="F4781" i="2"/>
  <c r="G4781" i="2" s="1"/>
  <c r="F4785" i="2"/>
  <c r="G4785" i="2" s="1"/>
  <c r="F4789" i="2"/>
  <c r="G4789" i="2" s="1"/>
  <c r="F4793" i="2"/>
  <c r="G4793" i="2" s="1"/>
  <c r="F4797" i="2"/>
  <c r="G4797" i="2" s="1"/>
  <c r="F4801" i="2"/>
  <c r="G4801" i="2" s="1"/>
  <c r="F4805" i="2"/>
  <c r="G4805" i="2" s="1"/>
  <c r="F4809" i="2"/>
  <c r="G4809" i="2" s="1"/>
  <c r="F4813" i="2"/>
  <c r="G4813" i="2" s="1"/>
  <c r="F4817" i="2"/>
  <c r="G4817" i="2" s="1"/>
  <c r="F4821" i="2"/>
  <c r="G4821" i="2" s="1"/>
  <c r="F4825" i="2"/>
  <c r="G4825" i="2" s="1"/>
  <c r="F4829" i="2"/>
  <c r="G4829" i="2" s="1"/>
  <c r="F4833" i="2"/>
  <c r="G4833" i="2" s="1"/>
  <c r="F4837" i="2"/>
  <c r="G4837" i="2" s="1"/>
  <c r="F4841" i="2"/>
  <c r="G4841" i="2" s="1"/>
  <c r="F4845" i="2"/>
  <c r="G4845" i="2" s="1"/>
  <c r="F4849" i="2"/>
  <c r="G4849" i="2" s="1"/>
  <c r="F4853" i="2"/>
  <c r="G4853" i="2" s="1"/>
  <c r="F4857" i="2"/>
  <c r="G4857" i="2" s="1"/>
  <c r="F4861" i="2"/>
  <c r="G4861" i="2" s="1"/>
  <c r="F4865" i="2"/>
  <c r="G4865" i="2" s="1"/>
  <c r="F4869" i="2"/>
  <c r="G4869" i="2" s="1"/>
  <c r="F4873" i="2"/>
  <c r="G4873" i="2" s="1"/>
  <c r="F4877" i="2"/>
  <c r="G4877" i="2" s="1"/>
  <c r="F4881" i="2"/>
  <c r="G4881" i="2" s="1"/>
  <c r="F4885" i="2"/>
  <c r="G4885" i="2" s="1"/>
  <c r="F4889" i="2"/>
  <c r="G4889" i="2" s="1"/>
  <c r="F4893" i="2"/>
  <c r="G4893" i="2" s="1"/>
  <c r="F4897" i="2"/>
  <c r="G4897" i="2" s="1"/>
  <c r="F4901" i="2"/>
  <c r="G4901" i="2" s="1"/>
  <c r="F4904" i="2"/>
  <c r="G4904" i="2" s="1"/>
  <c r="F4906" i="2"/>
  <c r="G4906" i="2" s="1"/>
  <c r="F4908" i="2"/>
  <c r="G4908" i="2" s="1"/>
  <c r="F4910" i="2"/>
  <c r="G4910" i="2" s="1"/>
  <c r="F4912" i="2"/>
  <c r="G4912" i="2" s="1"/>
  <c r="F4914" i="2"/>
  <c r="G4914" i="2" s="1"/>
  <c r="F4916" i="2"/>
  <c r="G4916" i="2" s="1"/>
  <c r="F4918" i="2"/>
  <c r="G4918" i="2" s="1"/>
  <c r="F4920" i="2"/>
  <c r="G4920" i="2" s="1"/>
  <c r="F4922" i="2"/>
  <c r="G4922" i="2" s="1"/>
  <c r="F4924" i="2"/>
  <c r="G4924" i="2" s="1"/>
  <c r="F4926" i="2"/>
  <c r="G4926" i="2" s="1"/>
  <c r="F4928" i="2"/>
  <c r="G4928" i="2" s="1"/>
  <c r="F4930" i="2"/>
  <c r="G4930" i="2" s="1"/>
  <c r="F4932" i="2"/>
  <c r="G4932" i="2" s="1"/>
  <c r="F4934" i="2"/>
  <c r="G4934" i="2" s="1"/>
  <c r="F4936" i="2"/>
  <c r="G4936" i="2" s="1"/>
  <c r="F4938" i="2"/>
  <c r="G4938" i="2" s="1"/>
  <c r="F4940" i="2"/>
  <c r="G4940" i="2" s="1"/>
  <c r="F4942" i="2"/>
  <c r="G4942" i="2" s="1"/>
  <c r="F4944" i="2"/>
  <c r="G4944" i="2" s="1"/>
  <c r="F4946" i="2"/>
  <c r="G4946" i="2" s="1"/>
  <c r="F4948" i="2"/>
  <c r="G4948" i="2" s="1"/>
  <c r="F4950" i="2"/>
  <c r="G4950" i="2" s="1"/>
  <c r="F4952" i="2"/>
  <c r="G4952" i="2" s="1"/>
  <c r="F4954" i="2"/>
  <c r="G4954" i="2" s="1"/>
  <c r="F4956" i="2"/>
  <c r="G4956" i="2" s="1"/>
  <c r="F4958" i="2"/>
  <c r="G4958" i="2" s="1"/>
  <c r="F4960" i="2"/>
  <c r="G4960" i="2" s="1"/>
  <c r="F4962" i="2"/>
  <c r="G4962" i="2" s="1"/>
  <c r="F4964" i="2"/>
  <c r="G4964" i="2" s="1"/>
  <c r="F4966" i="2"/>
  <c r="G4966" i="2" s="1"/>
  <c r="F4968" i="2"/>
  <c r="G4968" i="2" s="1"/>
  <c r="F4970" i="2"/>
  <c r="G4970" i="2" s="1"/>
  <c r="F4972" i="2"/>
  <c r="G4972" i="2" s="1"/>
  <c r="F4974" i="2"/>
  <c r="G4974" i="2" s="1"/>
  <c r="F4976" i="2"/>
  <c r="G4976" i="2" s="1"/>
  <c r="F4978" i="2"/>
  <c r="G4978" i="2" s="1"/>
  <c r="F4980" i="2"/>
  <c r="G4980" i="2" s="1"/>
  <c r="F4982" i="2"/>
  <c r="G4982" i="2" s="1"/>
  <c r="F4984" i="2"/>
  <c r="G4984" i="2" s="1"/>
  <c r="F4986" i="2"/>
  <c r="G4986" i="2" s="1"/>
  <c r="F4988" i="2"/>
  <c r="G4988" i="2" s="1"/>
  <c r="F4990" i="2"/>
  <c r="G4990" i="2" s="1"/>
  <c r="F4992" i="2"/>
  <c r="G4992" i="2" s="1"/>
  <c r="F4994" i="2"/>
  <c r="G4994" i="2" s="1"/>
  <c r="F4996" i="2"/>
  <c r="G4996" i="2" s="1"/>
  <c r="F4998" i="2"/>
  <c r="G4998" i="2" s="1"/>
  <c r="F5000" i="2"/>
  <c r="G5000" i="2" s="1"/>
  <c r="S2" i="3"/>
  <c r="G8" i="2" l="1"/>
  <c r="H8" i="2"/>
  <c r="G10" i="2"/>
  <c r="H10" i="2"/>
  <c r="G2" i="2"/>
  <c r="H2" i="2"/>
  <c r="G11" i="2"/>
  <c r="H11" i="2"/>
  <c r="G7" i="2"/>
  <c r="H7" i="2"/>
  <c r="G3" i="2"/>
  <c r="H3" i="2"/>
  <c r="G4" i="2"/>
  <c r="H4" i="2"/>
  <c r="G6" i="2"/>
  <c r="H6" i="2"/>
  <c r="G9" i="2"/>
  <c r="H9" i="2"/>
  <c r="G5" i="2"/>
  <c r="H5" i="2"/>
  <c r="G1" i="2"/>
  <c r="H1" i="2"/>
  <c r="H24" i="2"/>
  <c r="H16" i="2"/>
  <c r="H26" i="2"/>
  <c r="H18" i="2"/>
  <c r="H27" i="2"/>
  <c r="H23" i="2"/>
  <c r="H19" i="2"/>
  <c r="H15" i="2"/>
  <c r="H28" i="2"/>
  <c r="H20" i="2"/>
  <c r="H12" i="2"/>
  <c r="H22" i="2"/>
  <c r="H14" i="2"/>
  <c r="H25" i="2"/>
  <c r="H21" i="2"/>
  <c r="H17" i="2"/>
  <c r="H13" i="2"/>
  <c r="H5000" i="2"/>
  <c r="H4996" i="2"/>
  <c r="H4992" i="2"/>
  <c r="H4988" i="2"/>
  <c r="H4984" i="2"/>
  <c r="H4980" i="2"/>
  <c r="H4976" i="2"/>
  <c r="H4972" i="2"/>
  <c r="H4968" i="2"/>
  <c r="H4964" i="2"/>
  <c r="H4960" i="2"/>
  <c r="H4956" i="2"/>
  <c r="H4952" i="2"/>
  <c r="H4948" i="2"/>
  <c r="H4944" i="2"/>
  <c r="H4940" i="2"/>
  <c r="H4936" i="2"/>
  <c r="H4932" i="2"/>
  <c r="H4928" i="2"/>
  <c r="H4924" i="2"/>
  <c r="H4920" i="2"/>
  <c r="H4916" i="2"/>
  <c r="H4912" i="2"/>
  <c r="H4908" i="2"/>
  <c r="H4904" i="2"/>
  <c r="H4897" i="2"/>
  <c r="H4889" i="2"/>
  <c r="H4881" i="2"/>
  <c r="H4873" i="2"/>
  <c r="H4865" i="2"/>
  <c r="H4857" i="2"/>
  <c r="H4849" i="2"/>
  <c r="H4841" i="2"/>
  <c r="H4833" i="2"/>
  <c r="H4825" i="2"/>
  <c r="H4817" i="2"/>
  <c r="H4809" i="2"/>
  <c r="H4801" i="2"/>
  <c r="H4793" i="2"/>
  <c r="H4785" i="2"/>
  <c r="H4777" i="2"/>
  <c r="H4769" i="2"/>
  <c r="H4761" i="2"/>
  <c r="H4753" i="2"/>
  <c r="H4745" i="2"/>
  <c r="H4737" i="2"/>
  <c r="H4729" i="2"/>
  <c r="H4721" i="2"/>
  <c r="H4713" i="2"/>
  <c r="H4705" i="2"/>
  <c r="H4697" i="2"/>
  <c r="H4689" i="2"/>
  <c r="H4681" i="2"/>
  <c r="H4673" i="2"/>
  <c r="H4665" i="2"/>
  <c r="H4999" i="2"/>
  <c r="H4995" i="2"/>
  <c r="H4991" i="2"/>
  <c r="H4987" i="2"/>
  <c r="H4983" i="2"/>
  <c r="H4979" i="2"/>
  <c r="H4975" i="2"/>
  <c r="H4971" i="2"/>
  <c r="H4967" i="2"/>
  <c r="H4963" i="2"/>
  <c r="H4959" i="2"/>
  <c r="H4955" i="2"/>
  <c r="H4951" i="2"/>
  <c r="H4947" i="2"/>
  <c r="H4943" i="2"/>
  <c r="H4939" i="2"/>
  <c r="H4935" i="2"/>
  <c r="H4931" i="2"/>
  <c r="H4927" i="2"/>
  <c r="H4923" i="2"/>
  <c r="H4919" i="2"/>
  <c r="H4915" i="2"/>
  <c r="H4911" i="2"/>
  <c r="H4907" i="2"/>
  <c r="H4903" i="2"/>
  <c r="H4895" i="2"/>
  <c r="H4887" i="2"/>
  <c r="H4879" i="2"/>
  <c r="H4871" i="2"/>
  <c r="H4863" i="2"/>
  <c r="H4855" i="2"/>
  <c r="H4847" i="2"/>
  <c r="H4839" i="2"/>
  <c r="H4831" i="2"/>
  <c r="H4823" i="2"/>
  <c r="H4815" i="2"/>
  <c r="H4807" i="2"/>
  <c r="H4799" i="2"/>
  <c r="H4791" i="2"/>
  <c r="H4783" i="2"/>
  <c r="H4775" i="2"/>
  <c r="H4767" i="2"/>
  <c r="H4759" i="2"/>
  <c r="H4751" i="2"/>
  <c r="H4743" i="2"/>
  <c r="H4735" i="2"/>
  <c r="H4727" i="2"/>
  <c r="H4719" i="2"/>
  <c r="H4711" i="2"/>
  <c r="H4703" i="2"/>
  <c r="H4695" i="2"/>
  <c r="H4687" i="2"/>
  <c r="H4679" i="2"/>
  <c r="H4671" i="2"/>
  <c r="H4663" i="2"/>
  <c r="H4902" i="2"/>
  <c r="H4898" i="2"/>
  <c r="H4894" i="2"/>
  <c r="H4890" i="2"/>
  <c r="H4886" i="2"/>
  <c r="H4882" i="2"/>
  <c r="H4878" i="2"/>
  <c r="H4874" i="2"/>
  <c r="H4870" i="2"/>
  <c r="H4866" i="2"/>
  <c r="H4862" i="2"/>
  <c r="H4858" i="2"/>
  <c r="H4854" i="2"/>
  <c r="H4850" i="2"/>
  <c r="H4846" i="2"/>
  <c r="H4842" i="2"/>
  <c r="H4838" i="2"/>
  <c r="H4834" i="2"/>
  <c r="H4830" i="2"/>
  <c r="H4826" i="2"/>
  <c r="H4822" i="2"/>
  <c r="H4818" i="2"/>
  <c r="H4814" i="2"/>
  <c r="H4810" i="2"/>
  <c r="H4806" i="2"/>
  <c r="H4802" i="2"/>
  <c r="H4798" i="2"/>
  <c r="H4794" i="2"/>
  <c r="H4790" i="2"/>
  <c r="H4786" i="2"/>
  <c r="H4782" i="2"/>
  <c r="H4778" i="2"/>
  <c r="H4774" i="2"/>
  <c r="H4770" i="2"/>
  <c r="H4766" i="2"/>
  <c r="H4762" i="2"/>
  <c r="H4758" i="2"/>
  <c r="H4754" i="2"/>
  <c r="H4750" i="2"/>
  <c r="H4746" i="2"/>
  <c r="H4742" i="2"/>
  <c r="H4738" i="2"/>
  <c r="H4734" i="2"/>
  <c r="H4730" i="2"/>
  <c r="H4726" i="2"/>
  <c r="H4722" i="2"/>
  <c r="H4718" i="2"/>
  <c r="H4714" i="2"/>
  <c r="H4710" i="2"/>
  <c r="H4706" i="2"/>
  <c r="H4702" i="2"/>
  <c r="H4698" i="2"/>
  <c r="H4694" i="2"/>
  <c r="H4690" i="2"/>
  <c r="H4686" i="2"/>
  <c r="H4682" i="2"/>
  <c r="H4678" i="2"/>
  <c r="H4674" i="2"/>
  <c r="H4670" i="2"/>
  <c r="H4666" i="2"/>
  <c r="H4662" i="2"/>
  <c r="H4658" i="2"/>
  <c r="H4654" i="2"/>
  <c r="H4650" i="2"/>
  <c r="H4646" i="2"/>
  <c r="H4642" i="2"/>
  <c r="H4638" i="2"/>
  <c r="H4634" i="2"/>
  <c r="H4630" i="2"/>
  <c r="H4626" i="2"/>
  <c r="H4622" i="2"/>
  <c r="H4618" i="2"/>
  <c r="H4614" i="2"/>
  <c r="H4610" i="2"/>
  <c r="H4606" i="2"/>
  <c r="H4602" i="2"/>
  <c r="H4598" i="2"/>
  <c r="H4594" i="2"/>
  <c r="H4590" i="2"/>
  <c r="H4586" i="2"/>
  <c r="H4582" i="2"/>
  <c r="H4578" i="2"/>
  <c r="H4574" i="2"/>
  <c r="H4570" i="2"/>
  <c r="H4566" i="2"/>
  <c r="H4562" i="2"/>
  <c r="H4558" i="2"/>
  <c r="H4554" i="2"/>
  <c r="H4550" i="2"/>
  <c r="H4546" i="2"/>
  <c r="H4542" i="2"/>
  <c r="H4538" i="2"/>
  <c r="H4534" i="2"/>
  <c r="H4530" i="2"/>
  <c r="H4526" i="2"/>
  <c r="H4522" i="2"/>
  <c r="H4518" i="2"/>
  <c r="H4514" i="2"/>
  <c r="H4510" i="2"/>
  <c r="H4506" i="2"/>
  <c r="H4502" i="2"/>
  <c r="H4498" i="2"/>
  <c r="H4494" i="2"/>
  <c r="H4490" i="2"/>
  <c r="H4486" i="2"/>
  <c r="H4482" i="2"/>
  <c r="H4478" i="2"/>
  <c r="H4474" i="2"/>
  <c r="H4470" i="2"/>
  <c r="H4466" i="2"/>
  <c r="H4462" i="2"/>
  <c r="H4458" i="2"/>
  <c r="H4454" i="2"/>
  <c r="H4450" i="2"/>
  <c r="H4446" i="2"/>
  <c r="H4442" i="2"/>
  <c r="H4438" i="2"/>
  <c r="H4434" i="2"/>
  <c r="H4430" i="2"/>
  <c r="H4426" i="2"/>
  <c r="H4422" i="2"/>
  <c r="H4418" i="2"/>
  <c r="H4414" i="2"/>
  <c r="H4410" i="2"/>
  <c r="H4406" i="2"/>
  <c r="H4402" i="2"/>
  <c r="H4398" i="2"/>
  <c r="H4394" i="2"/>
  <c r="H4390" i="2"/>
  <c r="H4386" i="2"/>
  <c r="H4382" i="2"/>
  <c r="H4378" i="2"/>
  <c r="H4374" i="2"/>
  <c r="H4370" i="2"/>
  <c r="H4366" i="2"/>
  <c r="H4362" i="2"/>
  <c r="H4358" i="2"/>
  <c r="H4354" i="2"/>
  <c r="H4350" i="2"/>
  <c r="H4346" i="2"/>
  <c r="H4342" i="2"/>
  <c r="H4338" i="2"/>
  <c r="H4334" i="2"/>
  <c r="H4330" i="2"/>
  <c r="H4326" i="2"/>
  <c r="H4322" i="2"/>
  <c r="H4318" i="2"/>
  <c r="H4314" i="2"/>
  <c r="H4310" i="2"/>
  <c r="H4306" i="2"/>
  <c r="H4302" i="2"/>
  <c r="H4298" i="2"/>
  <c r="H4294" i="2"/>
  <c r="H4290" i="2"/>
  <c r="H4286" i="2"/>
  <c r="H4282" i="2"/>
  <c r="H4278" i="2"/>
  <c r="H4274" i="2"/>
  <c r="H4270" i="2"/>
  <c r="H4266" i="2"/>
  <c r="H4262" i="2"/>
  <c r="H4258" i="2"/>
  <c r="H4254" i="2"/>
  <c r="H4250" i="2"/>
  <c r="H4246" i="2"/>
  <c r="H4242" i="2"/>
  <c r="H4238" i="2"/>
  <c r="H4234" i="2"/>
  <c r="H4230" i="2"/>
  <c r="H4226" i="2"/>
  <c r="H4222" i="2"/>
  <c r="H4218" i="2"/>
  <c r="H4214" i="2"/>
  <c r="H4210" i="2"/>
  <c r="H4206" i="2"/>
  <c r="H4202" i="2"/>
  <c r="H4198" i="2"/>
  <c r="H4194" i="2"/>
  <c r="H4190" i="2"/>
  <c r="H4186" i="2"/>
  <c r="H4182" i="2"/>
  <c r="H4178" i="2"/>
  <c r="H4174" i="2"/>
  <c r="H4170" i="2"/>
  <c r="H4166" i="2"/>
  <c r="H4162" i="2"/>
  <c r="H4158" i="2"/>
  <c r="H4154" i="2"/>
  <c r="H4150" i="2"/>
  <c r="H4146" i="2"/>
  <c r="H4142" i="2"/>
  <c r="H4138" i="2"/>
  <c r="H4134" i="2"/>
  <c r="H4130" i="2"/>
  <c r="H4126" i="2"/>
  <c r="H4122" i="2"/>
  <c r="H4118" i="2"/>
  <c r="H4114" i="2"/>
  <c r="H4110" i="2"/>
  <c r="H4106" i="2"/>
  <c r="H4102" i="2"/>
  <c r="H4098" i="2"/>
  <c r="H4094" i="2"/>
  <c r="H4090" i="2"/>
  <c r="H4086" i="2"/>
  <c r="H4082" i="2"/>
  <c r="H4078" i="2"/>
  <c r="H4074" i="2"/>
  <c r="H4070" i="2"/>
  <c r="H4066" i="2"/>
  <c r="H4062" i="2"/>
  <c r="H4058" i="2"/>
  <c r="H4054" i="2"/>
  <c r="H4050" i="2"/>
  <c r="H4046" i="2"/>
  <c r="H4042" i="2"/>
  <c r="H4038" i="2"/>
  <c r="H4034" i="2"/>
  <c r="H4030" i="2"/>
  <c r="H4026" i="2"/>
  <c r="H4022" i="2"/>
  <c r="H4018" i="2"/>
  <c r="H4014" i="2"/>
  <c r="H4010" i="2"/>
  <c r="H4006" i="2"/>
  <c r="H4002" i="2"/>
  <c r="H3998" i="2"/>
  <c r="H3994" i="2"/>
  <c r="H3990" i="2"/>
  <c r="H3986" i="2"/>
  <c r="H3982" i="2"/>
  <c r="H3978" i="2"/>
  <c r="H3974" i="2"/>
  <c r="H3970" i="2"/>
  <c r="H3966" i="2"/>
  <c r="H3962" i="2"/>
  <c r="H3958" i="2"/>
  <c r="H3954" i="2"/>
  <c r="H3950" i="2"/>
  <c r="H3946" i="2"/>
  <c r="H3942" i="2"/>
  <c r="H3938" i="2"/>
  <c r="H3934" i="2"/>
  <c r="H3930" i="2"/>
  <c r="H3926" i="2"/>
  <c r="H3922" i="2"/>
  <c r="H3918" i="2"/>
  <c r="H3914" i="2"/>
  <c r="H3910" i="2"/>
  <c r="H3906" i="2"/>
  <c r="H3902" i="2"/>
  <c r="H3898" i="2"/>
  <c r="H3894" i="2"/>
  <c r="H3890" i="2"/>
  <c r="H3886" i="2"/>
  <c r="H3882" i="2"/>
  <c r="H3878" i="2"/>
  <c r="H3874" i="2"/>
  <c r="H3870" i="2"/>
  <c r="H3866" i="2"/>
  <c r="H3862" i="2"/>
  <c r="H3858" i="2"/>
  <c r="H3854" i="2"/>
  <c r="H3850" i="2"/>
  <c r="H3846" i="2"/>
  <c r="H3842" i="2"/>
  <c r="H3838" i="2"/>
  <c r="H3834" i="2"/>
  <c r="H3830" i="2"/>
  <c r="H3826" i="2"/>
  <c r="H3822" i="2"/>
  <c r="H3818" i="2"/>
  <c r="H3814" i="2"/>
  <c r="H3810" i="2"/>
  <c r="H3806" i="2"/>
  <c r="H3802" i="2"/>
  <c r="H3798" i="2"/>
  <c r="H3794" i="2"/>
  <c r="H3790" i="2"/>
  <c r="H3786" i="2"/>
  <c r="H3782" i="2"/>
  <c r="H3778" i="2"/>
  <c r="H3774" i="2"/>
  <c r="H3770" i="2"/>
  <c r="H3766" i="2"/>
  <c r="H3762" i="2"/>
  <c r="H3758" i="2"/>
  <c r="H3754" i="2"/>
  <c r="H3750" i="2"/>
  <c r="H3746" i="2"/>
  <c r="H3742" i="2"/>
  <c r="H3738" i="2"/>
  <c r="H3734" i="2"/>
  <c r="H3730" i="2"/>
  <c r="H3726" i="2"/>
  <c r="H3722" i="2"/>
  <c r="H3718" i="2"/>
  <c r="H3714" i="2"/>
  <c r="H3710" i="2"/>
  <c r="H3706" i="2"/>
  <c r="H3702" i="2"/>
  <c r="H3698" i="2"/>
  <c r="H3694" i="2"/>
  <c r="H3690" i="2"/>
  <c r="H3686" i="2"/>
  <c r="H3682" i="2"/>
  <c r="H3678" i="2"/>
  <c r="H3674" i="2"/>
  <c r="H3670" i="2"/>
  <c r="H3666" i="2"/>
  <c r="H3662" i="2"/>
  <c r="H3658" i="2"/>
  <c r="H3654" i="2"/>
  <c r="H3650" i="2"/>
  <c r="H3646" i="2"/>
  <c r="H3642" i="2"/>
  <c r="H3638" i="2"/>
  <c r="H3634" i="2"/>
  <c r="H3630" i="2"/>
  <c r="H3626" i="2"/>
  <c r="H3622" i="2"/>
  <c r="H3618" i="2"/>
  <c r="H3614" i="2"/>
  <c r="H3610" i="2"/>
  <c r="H3606" i="2"/>
  <c r="H3602" i="2"/>
  <c r="H3598" i="2"/>
  <c r="H3594" i="2"/>
  <c r="H3590" i="2"/>
  <c r="H3586" i="2"/>
  <c r="H3582" i="2"/>
  <c r="H3578" i="2"/>
  <c r="H3574" i="2"/>
  <c r="H3570" i="2"/>
  <c r="H3566" i="2"/>
  <c r="H3562" i="2"/>
  <c r="H3558" i="2"/>
  <c r="H3554" i="2"/>
  <c r="H3550" i="2"/>
  <c r="H3546" i="2"/>
  <c r="H3542" i="2"/>
  <c r="H3538" i="2"/>
  <c r="H3534" i="2"/>
  <c r="H3530" i="2"/>
  <c r="H3526" i="2"/>
  <c r="H3522" i="2"/>
  <c r="H3518" i="2"/>
  <c r="H3514" i="2"/>
  <c r="H3510" i="2"/>
  <c r="H3506" i="2"/>
  <c r="H3502" i="2"/>
  <c r="H3498" i="2"/>
  <c r="H3494" i="2"/>
  <c r="H3490" i="2"/>
  <c r="H3486" i="2"/>
  <c r="H3482" i="2"/>
  <c r="H3478" i="2"/>
  <c r="H3474" i="2"/>
  <c r="H3470" i="2"/>
  <c r="H3466" i="2"/>
  <c r="H3462" i="2"/>
  <c r="H3458" i="2"/>
  <c r="H3454" i="2"/>
  <c r="H3450" i="2"/>
  <c r="H3446" i="2"/>
  <c r="H3442" i="2"/>
  <c r="H3438" i="2"/>
  <c r="H3434" i="2"/>
  <c r="H3430" i="2"/>
  <c r="H3426" i="2"/>
  <c r="H3422" i="2"/>
  <c r="H3418" i="2"/>
  <c r="H3414" i="2"/>
  <c r="H3410" i="2"/>
  <c r="H3406" i="2"/>
  <c r="H3402" i="2"/>
  <c r="H3397" i="2"/>
  <c r="H3389" i="2"/>
  <c r="H3381" i="2"/>
  <c r="H3373" i="2"/>
  <c r="H3365" i="2"/>
  <c r="H3357" i="2"/>
  <c r="H3349" i="2"/>
  <c r="H3341" i="2"/>
  <c r="H3333" i="2"/>
  <c r="H3325" i="2"/>
  <c r="H3317" i="2"/>
  <c r="H3309" i="2"/>
  <c r="H3301" i="2"/>
  <c r="H3293" i="2"/>
  <c r="H3285" i="2"/>
  <c r="H3277" i="2"/>
  <c r="H3269" i="2"/>
  <c r="H3261" i="2"/>
  <c r="H3253" i="2"/>
  <c r="H3245" i="2"/>
  <c r="H3237" i="2"/>
  <c r="H3229" i="2"/>
  <c r="H3221" i="2"/>
  <c r="H3213" i="2"/>
  <c r="H3205" i="2"/>
  <c r="H3197" i="2"/>
  <c r="H4657" i="2"/>
  <c r="H4653" i="2"/>
  <c r="H4649" i="2"/>
  <c r="H4645" i="2"/>
  <c r="H4641" i="2"/>
  <c r="H4637" i="2"/>
  <c r="H4633" i="2"/>
  <c r="H4629" i="2"/>
  <c r="H4625" i="2"/>
  <c r="H4621" i="2"/>
  <c r="H4617" i="2"/>
  <c r="H4613" i="2"/>
  <c r="H4609" i="2"/>
  <c r="H4605" i="2"/>
  <c r="H4601" i="2"/>
  <c r="H4597" i="2"/>
  <c r="H4593" i="2"/>
  <c r="H4589" i="2"/>
  <c r="H4585" i="2"/>
  <c r="H4581" i="2"/>
  <c r="H4577" i="2"/>
  <c r="H4573" i="2"/>
  <c r="H4569" i="2"/>
  <c r="H4565" i="2"/>
  <c r="H4561" i="2"/>
  <c r="H4557" i="2"/>
  <c r="H4553" i="2"/>
  <c r="H4549" i="2"/>
  <c r="H4545" i="2"/>
  <c r="H4541" i="2"/>
  <c r="H4537" i="2"/>
  <c r="H4533" i="2"/>
  <c r="H4529" i="2"/>
  <c r="H4525" i="2"/>
  <c r="H4521" i="2"/>
  <c r="H4517" i="2"/>
  <c r="H4513" i="2"/>
  <c r="H4509" i="2"/>
  <c r="H4505" i="2"/>
  <c r="H4501" i="2"/>
  <c r="H4497" i="2"/>
  <c r="H4493" i="2"/>
  <c r="H4489" i="2"/>
  <c r="H4485" i="2"/>
  <c r="H4481" i="2"/>
  <c r="H4477" i="2"/>
  <c r="H4473" i="2"/>
  <c r="H4469" i="2"/>
  <c r="H4465" i="2"/>
  <c r="H4461" i="2"/>
  <c r="H4457" i="2"/>
  <c r="H4453" i="2"/>
  <c r="H4449" i="2"/>
  <c r="H4445" i="2"/>
  <c r="H4441" i="2"/>
  <c r="H4437" i="2"/>
  <c r="H4433" i="2"/>
  <c r="H4429" i="2"/>
  <c r="H4425" i="2"/>
  <c r="H4421" i="2"/>
  <c r="H4417" i="2"/>
  <c r="H4413" i="2"/>
  <c r="H4409" i="2"/>
  <c r="H4405" i="2"/>
  <c r="H4401" i="2"/>
  <c r="H4397" i="2"/>
  <c r="H4393" i="2"/>
  <c r="H4389" i="2"/>
  <c r="H4385" i="2"/>
  <c r="H4381" i="2"/>
  <c r="H4377" i="2"/>
  <c r="H4373" i="2"/>
  <c r="H4369" i="2"/>
  <c r="H4365" i="2"/>
  <c r="H4361" i="2"/>
  <c r="H4357" i="2"/>
  <c r="H4353" i="2"/>
  <c r="H4349" i="2"/>
  <c r="H4345" i="2"/>
  <c r="H4341" i="2"/>
  <c r="H4337" i="2"/>
  <c r="H4333" i="2"/>
  <c r="H4329" i="2"/>
  <c r="H4325" i="2"/>
  <c r="H4321" i="2"/>
  <c r="H4317" i="2"/>
  <c r="H4313" i="2"/>
  <c r="H4309" i="2"/>
  <c r="H4305" i="2"/>
  <c r="H4301" i="2"/>
  <c r="H4297" i="2"/>
  <c r="H4293" i="2"/>
  <c r="H4289" i="2"/>
  <c r="H4285" i="2"/>
  <c r="H4281" i="2"/>
  <c r="H4277" i="2"/>
  <c r="H4273" i="2"/>
  <c r="H4269" i="2"/>
  <c r="H4265" i="2"/>
  <c r="H4261" i="2"/>
  <c r="H4257" i="2"/>
  <c r="H4253" i="2"/>
  <c r="H4249" i="2"/>
  <c r="H4245" i="2"/>
  <c r="H4241" i="2"/>
  <c r="H4237" i="2"/>
  <c r="H4233" i="2"/>
  <c r="H4229" i="2"/>
  <c r="H4225" i="2"/>
  <c r="H4221" i="2"/>
  <c r="H4217" i="2"/>
  <c r="H4213" i="2"/>
  <c r="H4209" i="2"/>
  <c r="H4205" i="2"/>
  <c r="H4201" i="2"/>
  <c r="H4197" i="2"/>
  <c r="H4193" i="2"/>
  <c r="H4189" i="2"/>
  <c r="H4185" i="2"/>
  <c r="H4181" i="2"/>
  <c r="H4177" i="2"/>
  <c r="H4173" i="2"/>
  <c r="H4169" i="2"/>
  <c r="H4165" i="2"/>
  <c r="H4161" i="2"/>
  <c r="H4157" i="2"/>
  <c r="H4153" i="2"/>
  <c r="H4149" i="2"/>
  <c r="H4145" i="2"/>
  <c r="H4141" i="2"/>
  <c r="H4137" i="2"/>
  <c r="H4133" i="2"/>
  <c r="H4129" i="2"/>
  <c r="H4125" i="2"/>
  <c r="H4121" i="2"/>
  <c r="H4117" i="2"/>
  <c r="H4113" i="2"/>
  <c r="H4109" i="2"/>
  <c r="H4105" i="2"/>
  <c r="H4101" i="2"/>
  <c r="H4097" i="2"/>
  <c r="H4093" i="2"/>
  <c r="H4089" i="2"/>
  <c r="H4085" i="2"/>
  <c r="H4081" i="2"/>
  <c r="H4077" i="2"/>
  <c r="H4073" i="2"/>
  <c r="H4069" i="2"/>
  <c r="H4065" i="2"/>
  <c r="H4061" i="2"/>
  <c r="H4057" i="2"/>
  <c r="H4053" i="2"/>
  <c r="H4049" i="2"/>
  <c r="H4045" i="2"/>
  <c r="H4041" i="2"/>
  <c r="H4037" i="2"/>
  <c r="H4033" i="2"/>
  <c r="H4029" i="2"/>
  <c r="H4025" i="2"/>
  <c r="H4021" i="2"/>
  <c r="H4017" i="2"/>
  <c r="H4013" i="2"/>
  <c r="H4009" i="2"/>
  <c r="H4005" i="2"/>
  <c r="H4001" i="2"/>
  <c r="H3997" i="2"/>
  <c r="H3993" i="2"/>
  <c r="H3989" i="2"/>
  <c r="H3985" i="2"/>
  <c r="H3981" i="2"/>
  <c r="H3977" i="2"/>
  <c r="H3973" i="2"/>
  <c r="H3969" i="2"/>
  <c r="H3965" i="2"/>
  <c r="H3961" i="2"/>
  <c r="H3957" i="2"/>
  <c r="H3953" i="2"/>
  <c r="H3949" i="2"/>
  <c r="H3945" i="2"/>
  <c r="H3941" i="2"/>
  <c r="H3937" i="2"/>
  <c r="H3933" i="2"/>
  <c r="H3929" i="2"/>
  <c r="H3925" i="2"/>
  <c r="H3921" i="2"/>
  <c r="H3917" i="2"/>
  <c r="H3913" i="2"/>
  <c r="H3909" i="2"/>
  <c r="H3905" i="2"/>
  <c r="H3901" i="2"/>
  <c r="H3897" i="2"/>
  <c r="H3893" i="2"/>
  <c r="H3889" i="2"/>
  <c r="H3885" i="2"/>
  <c r="H3881" i="2"/>
  <c r="H3877" i="2"/>
  <c r="H3873" i="2"/>
  <c r="H3869" i="2"/>
  <c r="H3865" i="2"/>
  <c r="H3861" i="2"/>
  <c r="H3857" i="2"/>
  <c r="H3853" i="2"/>
  <c r="H3849" i="2"/>
  <c r="H3845" i="2"/>
  <c r="H3841" i="2"/>
  <c r="H3837" i="2"/>
  <c r="H3833" i="2"/>
  <c r="H3829" i="2"/>
  <c r="H3825" i="2"/>
  <c r="H3821" i="2"/>
  <c r="H3817" i="2"/>
  <c r="H3813" i="2"/>
  <c r="H3809" i="2"/>
  <c r="H3805" i="2"/>
  <c r="H3801" i="2"/>
  <c r="H3797" i="2"/>
  <c r="H3793" i="2"/>
  <c r="H3789" i="2"/>
  <c r="H3785" i="2"/>
  <c r="H3781" i="2"/>
  <c r="H3777" i="2"/>
  <c r="H3773" i="2"/>
  <c r="H3769" i="2"/>
  <c r="H3765" i="2"/>
  <c r="H3761" i="2"/>
  <c r="H3757" i="2"/>
  <c r="H3753" i="2"/>
  <c r="H3749" i="2"/>
  <c r="H3745" i="2"/>
  <c r="H3741" i="2"/>
  <c r="H3737" i="2"/>
  <c r="H3733" i="2"/>
  <c r="H3729" i="2"/>
  <c r="H3725" i="2"/>
  <c r="H3721" i="2"/>
  <c r="H3717" i="2"/>
  <c r="H3713" i="2"/>
  <c r="H3709" i="2"/>
  <c r="H3705" i="2"/>
  <c r="H3701" i="2"/>
  <c r="H3697" i="2"/>
  <c r="H3693" i="2"/>
  <c r="H3689" i="2"/>
  <c r="H3685" i="2"/>
  <c r="H3681" i="2"/>
  <c r="H3677" i="2"/>
  <c r="H3673" i="2"/>
  <c r="H3669" i="2"/>
  <c r="H3665" i="2"/>
  <c r="H3661" i="2"/>
  <c r="H3657" i="2"/>
  <c r="H3653" i="2"/>
  <c r="H3649" i="2"/>
  <c r="H3645" i="2"/>
  <c r="H3641" i="2"/>
  <c r="H3637" i="2"/>
  <c r="H3633" i="2"/>
  <c r="H3629" i="2"/>
  <c r="H3625" i="2"/>
  <c r="H3621" i="2"/>
  <c r="H3617" i="2"/>
  <c r="H3613" i="2"/>
  <c r="H3609" i="2"/>
  <c r="H3605" i="2"/>
  <c r="H3601" i="2"/>
  <c r="H3597" i="2"/>
  <c r="H3593" i="2"/>
  <c r="H3589" i="2"/>
  <c r="H3585" i="2"/>
  <c r="H3581" i="2"/>
  <c r="H3577" i="2"/>
  <c r="H3573" i="2"/>
  <c r="H3569" i="2"/>
  <c r="H3565" i="2"/>
  <c r="H3561" i="2"/>
  <c r="H3557" i="2"/>
  <c r="H3553" i="2"/>
  <c r="H3549" i="2"/>
  <c r="H3545" i="2"/>
  <c r="H3541" i="2"/>
  <c r="H3537" i="2"/>
  <c r="H3533" i="2"/>
  <c r="H3529" i="2"/>
  <c r="H3525" i="2"/>
  <c r="H3521" i="2"/>
  <c r="H3517" i="2"/>
  <c r="H3513" i="2"/>
  <c r="H3509" i="2"/>
  <c r="H3505" i="2"/>
  <c r="H3501" i="2"/>
  <c r="H3497" i="2"/>
  <c r="H3493" i="2"/>
  <c r="H3489" i="2"/>
  <c r="H3485" i="2"/>
  <c r="H3481" i="2"/>
  <c r="H3477" i="2"/>
  <c r="H3473" i="2"/>
  <c r="H3469" i="2"/>
  <c r="H3465" i="2"/>
  <c r="H3461" i="2"/>
  <c r="H3457" i="2"/>
  <c r="H3453" i="2"/>
  <c r="H3449" i="2"/>
  <c r="H3445" i="2"/>
  <c r="H3441" i="2"/>
  <c r="H3437" i="2"/>
  <c r="H3433" i="2"/>
  <c r="H3429" i="2"/>
  <c r="H3425" i="2"/>
  <c r="H3421" i="2"/>
  <c r="H3417" i="2"/>
  <c r="H3413" i="2"/>
  <c r="H3409" i="2"/>
  <c r="H3405" i="2"/>
  <c r="H3401" i="2"/>
  <c r="H3395" i="2"/>
  <c r="H3387" i="2"/>
  <c r="H3379" i="2"/>
  <c r="H3371" i="2"/>
  <c r="H3363" i="2"/>
  <c r="H3355" i="2"/>
  <c r="H3347" i="2"/>
  <c r="H3339" i="2"/>
  <c r="H3331" i="2"/>
  <c r="H3323" i="2"/>
  <c r="H3315" i="2"/>
  <c r="H3307" i="2"/>
  <c r="H3299" i="2"/>
  <c r="H3291" i="2"/>
  <c r="H3283" i="2"/>
  <c r="H3275" i="2"/>
  <c r="H3267" i="2"/>
  <c r="H3259" i="2"/>
  <c r="H3251" i="2"/>
  <c r="H3243" i="2"/>
  <c r="H3235" i="2"/>
  <c r="H3227" i="2"/>
  <c r="H3219" i="2"/>
  <c r="H3211" i="2"/>
  <c r="H3203" i="2"/>
  <c r="H3195" i="2"/>
  <c r="H3398" i="2"/>
  <c r="H3394" i="2"/>
  <c r="H3390" i="2"/>
  <c r="H3386" i="2"/>
  <c r="H3382" i="2"/>
  <c r="H3378" i="2"/>
  <c r="H3374" i="2"/>
  <c r="H3370" i="2"/>
  <c r="H3366" i="2"/>
  <c r="H3362" i="2"/>
  <c r="H3358" i="2"/>
  <c r="H3354" i="2"/>
  <c r="H3350" i="2"/>
  <c r="H3346" i="2"/>
  <c r="H3342" i="2"/>
  <c r="H3338" i="2"/>
  <c r="H3334" i="2"/>
  <c r="H3330" i="2"/>
  <c r="H3326" i="2"/>
  <c r="H3322" i="2"/>
  <c r="H3318" i="2"/>
  <c r="H3314" i="2"/>
  <c r="H3310" i="2"/>
  <c r="H3306" i="2"/>
  <c r="H3302" i="2"/>
  <c r="H3298" i="2"/>
  <c r="H3294" i="2"/>
  <c r="H3290" i="2"/>
  <c r="H3286" i="2"/>
  <c r="H3282" i="2"/>
  <c r="H3278" i="2"/>
  <c r="H3274" i="2"/>
  <c r="H3270" i="2"/>
  <c r="H3266" i="2"/>
  <c r="H3262" i="2"/>
  <c r="H3258" i="2"/>
  <c r="H3254" i="2"/>
  <c r="H3250" i="2"/>
  <c r="H3246" i="2"/>
  <c r="H3242" i="2"/>
  <c r="H3238" i="2"/>
  <c r="H3234" i="2"/>
  <c r="H3230" i="2"/>
  <c r="H3226" i="2"/>
  <c r="H3222" i="2"/>
  <c r="H3218" i="2"/>
  <c r="H3214" i="2"/>
  <c r="H3210" i="2"/>
  <c r="H3206" i="2"/>
  <c r="H3202" i="2"/>
  <c r="H3198" i="2"/>
  <c r="H3194" i="2"/>
  <c r="H3190" i="2"/>
  <c r="H3186" i="2"/>
  <c r="H3182" i="2"/>
  <c r="H3178" i="2"/>
  <c r="H3174" i="2"/>
  <c r="H3170" i="2"/>
  <c r="H3166" i="2"/>
  <c r="H3162" i="2"/>
  <c r="H3158" i="2"/>
  <c r="H3154" i="2"/>
  <c r="H3150" i="2"/>
  <c r="H3146" i="2"/>
  <c r="H3142" i="2"/>
  <c r="H3138" i="2"/>
  <c r="H3134" i="2"/>
  <c r="H3130" i="2"/>
  <c r="H3126" i="2"/>
  <c r="H3122" i="2"/>
  <c r="H3118" i="2"/>
  <c r="H3114" i="2"/>
  <c r="H3110" i="2"/>
  <c r="H3106" i="2"/>
  <c r="H3102" i="2"/>
  <c r="H3098" i="2"/>
  <c r="H3094" i="2"/>
  <c r="H3090" i="2"/>
  <c r="H3086" i="2"/>
  <c r="H3082" i="2"/>
  <c r="H3078" i="2"/>
  <c r="H3074" i="2"/>
  <c r="H3070" i="2"/>
  <c r="H3066" i="2"/>
  <c r="H3062" i="2"/>
  <c r="H3058" i="2"/>
  <c r="H3054" i="2"/>
  <c r="H3050" i="2"/>
  <c r="H3046" i="2"/>
  <c r="H3042" i="2"/>
  <c r="H3038" i="2"/>
  <c r="H3034" i="2"/>
  <c r="H3030" i="2"/>
  <c r="H3026" i="2"/>
  <c r="H3022" i="2"/>
  <c r="H3018" i="2"/>
  <c r="H3014" i="2"/>
  <c r="H3010" i="2"/>
  <c r="H3006" i="2"/>
  <c r="H3002" i="2"/>
  <c r="H2998" i="2"/>
  <c r="H2994" i="2"/>
  <c r="H2990" i="2"/>
  <c r="H2986" i="2"/>
  <c r="H2982" i="2"/>
  <c r="H2978" i="2"/>
  <c r="H2974" i="2"/>
  <c r="H2970" i="2"/>
  <c r="H2966" i="2"/>
  <c r="H2962" i="2"/>
  <c r="H2958" i="2"/>
  <c r="H2954" i="2"/>
  <c r="H2950" i="2"/>
  <c r="H2946" i="2"/>
  <c r="H2942" i="2"/>
  <c r="H2938" i="2"/>
  <c r="H2934" i="2"/>
  <c r="H2930" i="2"/>
  <c r="H2926" i="2"/>
  <c r="H2922" i="2"/>
  <c r="H2918" i="2"/>
  <c r="H2914" i="2"/>
  <c r="H2910" i="2"/>
  <c r="H2906" i="2"/>
  <c r="H2902" i="2"/>
  <c r="H2898" i="2"/>
  <c r="H2894" i="2"/>
  <c r="H2890" i="2"/>
  <c r="H2886" i="2"/>
  <c r="H2882" i="2"/>
  <c r="H2878" i="2"/>
  <c r="H2874" i="2"/>
  <c r="H2870" i="2"/>
  <c r="H2866" i="2"/>
  <c r="H2862" i="2"/>
  <c r="H2858" i="2"/>
  <c r="H2854" i="2"/>
  <c r="H2850" i="2"/>
  <c r="H2846" i="2"/>
  <c r="H2842" i="2"/>
  <c r="H2838" i="2"/>
  <c r="H2834" i="2"/>
  <c r="H2830" i="2"/>
  <c r="H2826" i="2"/>
  <c r="H2822" i="2"/>
  <c r="H2818" i="2"/>
  <c r="H2814" i="2"/>
  <c r="H2810" i="2"/>
  <c r="H2806" i="2"/>
  <c r="H2802" i="2"/>
  <c r="H2798" i="2"/>
  <c r="H2794" i="2"/>
  <c r="H2790" i="2"/>
  <c r="H2786" i="2"/>
  <c r="H2782" i="2"/>
  <c r="H2778" i="2"/>
  <c r="H2774" i="2"/>
  <c r="H2770" i="2"/>
  <c r="H2766" i="2"/>
  <c r="H2762" i="2"/>
  <c r="H2758" i="2"/>
  <c r="H2754" i="2"/>
  <c r="H2750" i="2"/>
  <c r="H2746" i="2"/>
  <c r="H2742" i="2"/>
  <c r="H2738" i="2"/>
  <c r="H2734" i="2"/>
  <c r="H2730" i="2"/>
  <c r="H2726" i="2"/>
  <c r="H2722" i="2"/>
  <c r="H2718" i="2"/>
  <c r="H2714" i="2"/>
  <c r="H2710" i="2"/>
  <c r="H2706" i="2"/>
  <c r="H2702" i="2"/>
  <c r="H2698" i="2"/>
  <c r="H2694" i="2"/>
  <c r="H2690" i="2"/>
  <c r="H2686" i="2"/>
  <c r="H2682" i="2"/>
  <c r="H2678" i="2"/>
  <c r="H2674" i="2"/>
  <c r="H2670" i="2"/>
  <c r="H2666" i="2"/>
  <c r="H2662" i="2"/>
  <c r="H2658" i="2"/>
  <c r="H2654" i="2"/>
  <c r="H2650" i="2"/>
  <c r="H2646" i="2"/>
  <c r="H2642" i="2"/>
  <c r="H2638" i="2"/>
  <c r="H2634" i="2"/>
  <c r="H2630" i="2"/>
  <c r="H2626" i="2"/>
  <c r="H2622" i="2"/>
  <c r="H2618" i="2"/>
  <c r="H2614" i="2"/>
  <c r="H2610" i="2"/>
  <c r="H2606" i="2"/>
  <c r="H2602" i="2"/>
  <c r="H2598" i="2"/>
  <c r="H2594" i="2"/>
  <c r="H2590" i="2"/>
  <c r="H2586" i="2"/>
  <c r="H2582" i="2"/>
  <c r="H2578" i="2"/>
  <c r="H2574" i="2"/>
  <c r="H2570" i="2"/>
  <c r="H2566" i="2"/>
  <c r="H2562" i="2"/>
  <c r="H2558" i="2"/>
  <c r="H2554" i="2"/>
  <c r="H2550" i="2"/>
  <c r="H2546" i="2"/>
  <c r="H2542" i="2"/>
  <c r="H2538" i="2"/>
  <c r="H2534" i="2"/>
  <c r="H2530" i="2"/>
  <c r="H2526" i="2"/>
  <c r="H2522" i="2"/>
  <c r="H2518" i="2"/>
  <c r="H2514" i="2"/>
  <c r="H2510" i="2"/>
  <c r="H2506" i="2"/>
  <c r="H2502" i="2"/>
  <c r="H2498" i="2"/>
  <c r="H2494" i="2"/>
  <c r="H2490" i="2"/>
  <c r="H2486" i="2"/>
  <c r="H2482" i="2"/>
  <c r="H2478" i="2"/>
  <c r="H2474" i="2"/>
  <c r="H2470" i="2"/>
  <c r="H2466" i="2"/>
  <c r="H2462" i="2"/>
  <c r="H2458" i="2"/>
  <c r="H2454" i="2"/>
  <c r="H2450" i="2"/>
  <c r="H2446" i="2"/>
  <c r="H2442" i="2"/>
  <c r="H2438" i="2"/>
  <c r="H2434" i="2"/>
  <c r="H2430" i="2"/>
  <c r="H2426" i="2"/>
  <c r="H2422" i="2"/>
  <c r="H2418" i="2"/>
  <c r="H2414" i="2"/>
  <c r="H2410" i="2"/>
  <c r="H2406" i="2"/>
  <c r="H2402" i="2"/>
  <c r="H2398" i="2"/>
  <c r="H2394" i="2"/>
  <c r="H2390" i="2"/>
  <c r="H2386" i="2"/>
  <c r="H2382" i="2"/>
  <c r="H2378" i="2"/>
  <c r="H2374" i="2"/>
  <c r="H2370" i="2"/>
  <c r="H2366" i="2"/>
  <c r="H2362" i="2"/>
  <c r="H2358" i="2"/>
  <c r="H2354" i="2"/>
  <c r="H2350" i="2"/>
  <c r="H2346" i="2"/>
  <c r="H2342" i="2"/>
  <c r="H2338" i="2"/>
  <c r="H2334" i="2"/>
  <c r="H2330" i="2"/>
  <c r="H2326" i="2"/>
  <c r="H2322" i="2"/>
  <c r="H2318" i="2"/>
  <c r="H2314" i="2"/>
  <c r="H2310" i="2"/>
  <c r="H2306" i="2"/>
  <c r="H2302" i="2"/>
  <c r="H2298" i="2"/>
  <c r="H2294" i="2"/>
  <c r="H2290" i="2"/>
  <c r="H2286" i="2"/>
  <c r="H2282" i="2"/>
  <c r="H2278" i="2"/>
  <c r="H2274" i="2"/>
  <c r="H2270" i="2"/>
  <c r="H2266" i="2"/>
  <c r="H2262" i="2"/>
  <c r="H2258" i="2"/>
  <c r="H2254" i="2"/>
  <c r="H2250" i="2"/>
  <c r="H2246" i="2"/>
  <c r="H2242" i="2"/>
  <c r="H2238" i="2"/>
  <c r="H2234" i="2"/>
  <c r="H2230" i="2"/>
  <c r="H2226" i="2"/>
  <c r="H2222" i="2"/>
  <c r="H2218" i="2"/>
  <c r="H2214" i="2"/>
  <c r="H2210" i="2"/>
  <c r="H2206" i="2"/>
  <c r="H2202" i="2"/>
  <c r="H2198" i="2"/>
  <c r="H2194" i="2"/>
  <c r="H2190" i="2"/>
  <c r="H2186" i="2"/>
  <c r="H2182" i="2"/>
  <c r="H2176" i="2"/>
  <c r="H2168" i="2"/>
  <c r="H2160" i="2"/>
  <c r="H2152" i="2"/>
  <c r="H2144" i="2"/>
  <c r="H2136" i="2"/>
  <c r="H2128" i="2"/>
  <c r="H2120" i="2"/>
  <c r="H2112" i="2"/>
  <c r="H2104" i="2"/>
  <c r="H2096" i="2"/>
  <c r="H2088" i="2"/>
  <c r="H2080" i="2"/>
  <c r="H2072" i="2"/>
  <c r="H2064" i="2"/>
  <c r="H2056" i="2"/>
  <c r="H2048" i="2"/>
  <c r="H2040" i="2"/>
  <c r="H2032" i="2"/>
  <c r="H2024" i="2"/>
  <c r="H2016" i="2"/>
  <c r="H2008" i="2"/>
  <c r="H2000" i="2"/>
  <c r="H1992" i="2"/>
  <c r="H1984" i="2"/>
  <c r="H1976" i="2"/>
  <c r="H1968" i="2"/>
  <c r="H1960" i="2"/>
  <c r="H1952" i="2"/>
  <c r="H1944" i="2"/>
  <c r="H1936" i="2"/>
  <c r="H1928" i="2"/>
  <c r="H1920" i="2"/>
  <c r="H1912" i="2"/>
  <c r="H1904" i="2"/>
  <c r="H1896" i="2"/>
  <c r="H3189" i="2"/>
  <c r="H3185" i="2"/>
  <c r="H3181" i="2"/>
  <c r="H3177" i="2"/>
  <c r="H3173" i="2"/>
  <c r="H3169" i="2"/>
  <c r="H3165" i="2"/>
  <c r="H3161" i="2"/>
  <c r="H3157" i="2"/>
  <c r="H3153" i="2"/>
  <c r="H3149" i="2"/>
  <c r="H3145" i="2"/>
  <c r="H3141" i="2"/>
  <c r="H3137" i="2"/>
  <c r="H3133" i="2"/>
  <c r="H3129" i="2"/>
  <c r="H3125" i="2"/>
  <c r="H3121" i="2"/>
  <c r="H3117" i="2"/>
  <c r="H3113" i="2"/>
  <c r="H3109" i="2"/>
  <c r="H3105" i="2"/>
  <c r="H3101" i="2"/>
  <c r="H3097" i="2"/>
  <c r="H3093" i="2"/>
  <c r="H3089" i="2"/>
  <c r="H3085" i="2"/>
  <c r="H3081" i="2"/>
  <c r="H3077" i="2"/>
  <c r="H3073" i="2"/>
  <c r="H3069" i="2"/>
  <c r="H3065" i="2"/>
  <c r="H3061" i="2"/>
  <c r="H3057" i="2"/>
  <c r="H3053" i="2"/>
  <c r="H3049" i="2"/>
  <c r="H3045" i="2"/>
  <c r="H3041" i="2"/>
  <c r="H3037" i="2"/>
  <c r="H3033" i="2"/>
  <c r="H3029" i="2"/>
  <c r="H3025" i="2"/>
  <c r="H3021" i="2"/>
  <c r="H3017" i="2"/>
  <c r="H3013" i="2"/>
  <c r="H3009" i="2"/>
  <c r="H3005" i="2"/>
  <c r="H3001" i="2"/>
  <c r="H2997" i="2"/>
  <c r="H2993" i="2"/>
  <c r="H2989" i="2"/>
  <c r="H2985" i="2"/>
  <c r="H2981" i="2"/>
  <c r="H2977" i="2"/>
  <c r="H2973" i="2"/>
  <c r="H2969" i="2"/>
  <c r="H2965" i="2"/>
  <c r="H2961" i="2"/>
  <c r="H2957" i="2"/>
  <c r="H2953" i="2"/>
  <c r="H2949" i="2"/>
  <c r="H2945" i="2"/>
  <c r="H2941" i="2"/>
  <c r="H2937" i="2"/>
  <c r="H2933" i="2"/>
  <c r="H2929" i="2"/>
  <c r="H2925" i="2"/>
  <c r="H2921" i="2"/>
  <c r="H2917" i="2"/>
  <c r="H2913" i="2"/>
  <c r="H2909" i="2"/>
  <c r="H2905" i="2"/>
  <c r="H2901" i="2"/>
  <c r="H2897" i="2"/>
  <c r="H2893" i="2"/>
  <c r="H2889" i="2"/>
  <c r="H2885" i="2"/>
  <c r="H2881" i="2"/>
  <c r="H2877" i="2"/>
  <c r="H2873" i="2"/>
  <c r="H2869" i="2"/>
  <c r="H2865" i="2"/>
  <c r="H2861" i="2"/>
  <c r="H2857" i="2"/>
  <c r="H2853" i="2"/>
  <c r="H2849" i="2"/>
  <c r="H2845" i="2"/>
  <c r="H2841" i="2"/>
  <c r="H2837" i="2"/>
  <c r="H2833" i="2"/>
  <c r="H2829" i="2"/>
  <c r="H2825" i="2"/>
  <c r="H2821" i="2"/>
  <c r="H2817" i="2"/>
  <c r="H2813" i="2"/>
  <c r="H2809" i="2"/>
  <c r="H2805" i="2"/>
  <c r="H2801" i="2"/>
  <c r="H2797" i="2"/>
  <c r="H2793" i="2"/>
  <c r="H2789" i="2"/>
  <c r="H2785" i="2"/>
  <c r="H2781" i="2"/>
  <c r="H2777" i="2"/>
  <c r="H2773" i="2"/>
  <c r="H2769" i="2"/>
  <c r="H2765" i="2"/>
  <c r="H2761" i="2"/>
  <c r="H2757" i="2"/>
  <c r="H2753" i="2"/>
  <c r="H2749" i="2"/>
  <c r="H2745" i="2"/>
  <c r="H2741" i="2"/>
  <c r="H2737" i="2"/>
  <c r="H2733" i="2"/>
  <c r="H2729" i="2"/>
  <c r="H2725" i="2"/>
  <c r="H2721" i="2"/>
  <c r="H2717" i="2"/>
  <c r="H2713" i="2"/>
  <c r="H2709" i="2"/>
  <c r="H2705" i="2"/>
  <c r="H2701" i="2"/>
  <c r="H2697" i="2"/>
  <c r="H2693" i="2"/>
  <c r="H2689" i="2"/>
  <c r="H2685" i="2"/>
  <c r="H2681" i="2"/>
  <c r="H2677" i="2"/>
  <c r="H2673" i="2"/>
  <c r="H2669" i="2"/>
  <c r="H2665" i="2"/>
  <c r="H2661" i="2"/>
  <c r="H2657" i="2"/>
  <c r="H2653" i="2"/>
  <c r="H2649" i="2"/>
  <c r="H2645" i="2"/>
  <c r="H2641" i="2"/>
  <c r="H2637" i="2"/>
  <c r="H2633" i="2"/>
  <c r="H2629" i="2"/>
  <c r="H2625" i="2"/>
  <c r="H2621" i="2"/>
  <c r="H2617" i="2"/>
  <c r="H2613" i="2"/>
  <c r="H2609" i="2"/>
  <c r="H2605" i="2"/>
  <c r="H2601" i="2"/>
  <c r="H2597" i="2"/>
  <c r="H2593" i="2"/>
  <c r="H2589" i="2"/>
  <c r="H2585" i="2"/>
  <c r="H2581" i="2"/>
  <c r="H2577" i="2"/>
  <c r="H2573" i="2"/>
  <c r="H2569" i="2"/>
  <c r="H2565" i="2"/>
  <c r="H2561" i="2"/>
  <c r="H2557" i="2"/>
  <c r="H2553" i="2"/>
  <c r="H2549" i="2"/>
  <c r="H2545" i="2"/>
  <c r="H2541" i="2"/>
  <c r="H2537" i="2"/>
  <c r="H2533" i="2"/>
  <c r="H2529" i="2"/>
  <c r="H2525" i="2"/>
  <c r="H2521" i="2"/>
  <c r="H2517" i="2"/>
  <c r="H2513" i="2"/>
  <c r="H2509" i="2"/>
  <c r="H2505" i="2"/>
  <c r="H2501" i="2"/>
  <c r="H2497" i="2"/>
  <c r="H2493" i="2"/>
  <c r="H2489" i="2"/>
  <c r="H2485" i="2"/>
  <c r="H2481" i="2"/>
  <c r="H2477" i="2"/>
  <c r="H2473" i="2"/>
  <c r="H2469" i="2"/>
  <c r="H2465" i="2"/>
  <c r="H2461" i="2"/>
  <c r="H2457" i="2"/>
  <c r="H2453" i="2"/>
  <c r="H2449" i="2"/>
  <c r="H2445" i="2"/>
  <c r="H2441" i="2"/>
  <c r="H2437" i="2"/>
  <c r="H2433" i="2"/>
  <c r="H2429" i="2"/>
  <c r="H2425" i="2"/>
  <c r="H2421" i="2"/>
  <c r="H2417" i="2"/>
  <c r="H2413" i="2"/>
  <c r="H2409" i="2"/>
  <c r="H2405" i="2"/>
  <c r="H2401" i="2"/>
  <c r="H2397" i="2"/>
  <c r="H2393" i="2"/>
  <c r="H2389" i="2"/>
  <c r="H2385" i="2"/>
  <c r="H2381" i="2"/>
  <c r="H2377" i="2"/>
  <c r="H2373" i="2"/>
  <c r="H2369" i="2"/>
  <c r="H2365" i="2"/>
  <c r="H2361" i="2"/>
  <c r="H2357" i="2"/>
  <c r="H2353" i="2"/>
  <c r="H2349" i="2"/>
  <c r="H2345" i="2"/>
  <c r="H2341" i="2"/>
  <c r="H2337" i="2"/>
  <c r="H2333" i="2"/>
  <c r="H2329" i="2"/>
  <c r="H2325" i="2"/>
  <c r="H2321" i="2"/>
  <c r="H2317" i="2"/>
  <c r="H2313" i="2"/>
  <c r="H2309" i="2"/>
  <c r="H2305" i="2"/>
  <c r="H2301" i="2"/>
  <c r="H2297" i="2"/>
  <c r="H2293" i="2"/>
  <c r="H2289" i="2"/>
  <c r="H2285" i="2"/>
  <c r="H2281" i="2"/>
  <c r="H2277" i="2"/>
  <c r="H2273" i="2"/>
  <c r="H2269" i="2"/>
  <c r="H2265" i="2"/>
  <c r="H2261" i="2"/>
  <c r="H2257" i="2"/>
  <c r="H2253" i="2"/>
  <c r="H2249" i="2"/>
  <c r="H2245" i="2"/>
  <c r="H2241" i="2"/>
  <c r="H2237" i="2"/>
  <c r="H2233" i="2"/>
  <c r="H2229" i="2"/>
  <c r="H2225" i="2"/>
  <c r="H2221" i="2"/>
  <c r="H2217" i="2"/>
  <c r="H2213" i="2"/>
  <c r="H2209" i="2"/>
  <c r="H2205" i="2"/>
  <c r="H2201" i="2"/>
  <c r="H2197" i="2"/>
  <c r="H2193" i="2"/>
  <c r="H2189" i="2"/>
  <c r="H2185" i="2"/>
  <c r="H2181" i="2"/>
  <c r="H2174" i="2"/>
  <c r="H2166" i="2"/>
  <c r="H2158" i="2"/>
  <c r="H2150" i="2"/>
  <c r="H2142" i="2"/>
  <c r="H2134" i="2"/>
  <c r="H2126" i="2"/>
  <c r="H2118" i="2"/>
  <c r="H2110" i="2"/>
  <c r="H2102" i="2"/>
  <c r="H2094" i="2"/>
  <c r="H2086" i="2"/>
  <c r="H2078" i="2"/>
  <c r="H2070" i="2"/>
  <c r="H2062" i="2"/>
  <c r="H2054" i="2"/>
  <c r="H2046" i="2"/>
  <c r="H2038" i="2"/>
  <c r="H2030" i="2"/>
  <c r="H2022" i="2"/>
  <c r="H2014" i="2"/>
  <c r="H2006" i="2"/>
  <c r="H1998" i="2"/>
  <c r="H1990" i="2"/>
  <c r="H1982" i="2"/>
  <c r="H1974" i="2"/>
  <c r="H1966" i="2"/>
  <c r="H1958" i="2"/>
  <c r="H1950" i="2"/>
  <c r="H1942" i="2"/>
  <c r="H1934" i="2"/>
  <c r="H1926" i="2"/>
  <c r="H1918" i="2"/>
  <c r="H1910" i="2"/>
  <c r="H1902" i="2"/>
  <c r="H1894" i="2"/>
  <c r="H2179" i="2"/>
  <c r="H2175" i="2"/>
  <c r="H2171" i="2"/>
  <c r="H2167" i="2"/>
  <c r="H2163" i="2"/>
  <c r="H2159" i="2"/>
  <c r="H2155" i="2"/>
  <c r="H2151" i="2"/>
  <c r="H2147" i="2"/>
  <c r="H2143" i="2"/>
  <c r="H2139" i="2"/>
  <c r="H2135" i="2"/>
  <c r="H2131" i="2"/>
  <c r="H2127" i="2"/>
  <c r="H2123" i="2"/>
  <c r="H2119" i="2"/>
  <c r="H2115" i="2"/>
  <c r="H2111" i="2"/>
  <c r="H2107" i="2"/>
  <c r="H2103" i="2"/>
  <c r="H2099" i="2"/>
  <c r="H2095" i="2"/>
  <c r="H2091" i="2"/>
  <c r="H2087" i="2"/>
  <c r="H2083" i="2"/>
  <c r="H2079" i="2"/>
  <c r="H2075" i="2"/>
  <c r="H2071" i="2"/>
  <c r="H2067" i="2"/>
  <c r="H2063" i="2"/>
  <c r="H2059" i="2"/>
  <c r="H2055" i="2"/>
  <c r="H2051" i="2"/>
  <c r="H2047" i="2"/>
  <c r="H2043" i="2"/>
  <c r="H2039" i="2"/>
  <c r="H2035" i="2"/>
  <c r="H2031" i="2"/>
  <c r="H2027" i="2"/>
  <c r="H2023" i="2"/>
  <c r="H2019" i="2"/>
  <c r="H2015" i="2"/>
  <c r="H2011" i="2"/>
  <c r="H2007" i="2"/>
  <c r="H2003" i="2"/>
  <c r="H1999" i="2"/>
  <c r="H1995" i="2"/>
  <c r="H1991" i="2"/>
  <c r="H1987" i="2"/>
  <c r="H1983" i="2"/>
  <c r="H1979" i="2"/>
  <c r="H1975" i="2"/>
  <c r="H1971" i="2"/>
  <c r="H1967" i="2"/>
  <c r="H1963" i="2"/>
  <c r="H1959" i="2"/>
  <c r="H1955" i="2"/>
  <c r="H1951" i="2"/>
  <c r="H1947" i="2"/>
  <c r="H1943" i="2"/>
  <c r="H1939" i="2"/>
  <c r="H1935" i="2"/>
  <c r="H1931" i="2"/>
  <c r="H1927" i="2"/>
  <c r="H1923" i="2"/>
  <c r="H1919" i="2"/>
  <c r="H1915" i="2"/>
  <c r="H1911" i="2"/>
  <c r="H1907" i="2"/>
  <c r="H1903" i="2"/>
  <c r="H1899" i="2"/>
  <c r="H1895" i="2"/>
  <c r="H1891" i="2"/>
  <c r="H1887" i="2"/>
  <c r="H1883" i="2"/>
  <c r="H1879" i="2"/>
  <c r="H1875" i="2"/>
  <c r="H1871" i="2"/>
  <c r="H1867" i="2"/>
  <c r="H1863" i="2"/>
  <c r="H1859" i="2"/>
  <c r="H1855" i="2"/>
  <c r="H1851" i="2"/>
  <c r="H1847" i="2"/>
  <c r="H1843" i="2"/>
  <c r="H1839" i="2"/>
  <c r="H1835" i="2"/>
  <c r="H1831" i="2"/>
  <c r="H1827" i="2"/>
  <c r="H1823" i="2"/>
  <c r="H1819" i="2"/>
  <c r="H1815" i="2"/>
  <c r="H1811" i="2"/>
  <c r="H1807" i="2"/>
  <c r="H1803" i="2"/>
  <c r="H1799" i="2"/>
  <c r="H1795" i="2"/>
  <c r="H1791" i="2"/>
  <c r="H1787" i="2"/>
  <c r="H1783" i="2"/>
  <c r="H1779" i="2"/>
  <c r="H1775" i="2"/>
  <c r="H1771" i="2"/>
  <c r="H1767" i="2"/>
  <c r="H1763" i="2"/>
  <c r="H1759" i="2"/>
  <c r="H1755" i="2"/>
  <c r="H1751" i="2"/>
  <c r="H1747" i="2"/>
  <c r="H1743" i="2"/>
  <c r="H1739" i="2"/>
  <c r="H1735" i="2"/>
  <c r="H1731" i="2"/>
  <c r="H1727" i="2"/>
  <c r="H1723" i="2"/>
  <c r="H1719" i="2"/>
  <c r="H1715" i="2"/>
  <c r="H1711" i="2"/>
  <c r="H1707" i="2"/>
  <c r="H1703" i="2"/>
  <c r="H1699" i="2"/>
  <c r="H1695" i="2"/>
  <c r="H1691" i="2"/>
  <c r="H1687" i="2"/>
  <c r="H1683" i="2"/>
  <c r="H1679" i="2"/>
  <c r="H1675" i="2"/>
  <c r="H1671" i="2"/>
  <c r="H1667" i="2"/>
  <c r="H1663" i="2"/>
  <c r="H1659" i="2"/>
  <c r="H1655" i="2"/>
  <c r="H1651" i="2"/>
  <c r="H1647" i="2"/>
  <c r="H1643" i="2"/>
  <c r="H1639" i="2"/>
  <c r="H1635" i="2"/>
  <c r="H1631" i="2"/>
  <c r="H1627" i="2"/>
  <c r="H1623" i="2"/>
  <c r="H1619" i="2"/>
  <c r="H1615" i="2"/>
  <c r="H1611" i="2"/>
  <c r="H1607" i="2"/>
  <c r="H1603" i="2"/>
  <c r="H1599" i="2"/>
  <c r="H1595" i="2"/>
  <c r="H1591" i="2"/>
  <c r="H1587" i="2"/>
  <c r="H1583" i="2"/>
  <c r="H1579" i="2"/>
  <c r="H1575" i="2"/>
  <c r="H1571" i="2"/>
  <c r="H1567" i="2"/>
  <c r="H1563" i="2"/>
  <c r="H1559" i="2"/>
  <c r="H1555" i="2"/>
  <c r="H1551" i="2"/>
  <c r="H1547" i="2"/>
  <c r="H1543" i="2"/>
  <c r="H1539" i="2"/>
  <c r="H1535" i="2"/>
  <c r="H1531" i="2"/>
  <c r="H1527" i="2"/>
  <c r="H1523" i="2"/>
  <c r="H1519" i="2"/>
  <c r="H1515" i="2"/>
  <c r="H1511" i="2"/>
  <c r="H1507" i="2"/>
  <c r="H1503" i="2"/>
  <c r="H1497" i="2"/>
  <c r="H1886" i="2"/>
  <c r="H1882" i="2"/>
  <c r="H1878" i="2"/>
  <c r="H1874" i="2"/>
  <c r="H1870" i="2"/>
  <c r="H1866" i="2"/>
  <c r="H1862" i="2"/>
  <c r="H1858" i="2"/>
  <c r="H1854" i="2"/>
  <c r="H1850" i="2"/>
  <c r="H1846" i="2"/>
  <c r="H1842" i="2"/>
  <c r="H1838" i="2"/>
  <c r="H1834" i="2"/>
  <c r="H1830" i="2"/>
  <c r="H1826" i="2"/>
  <c r="H1822" i="2"/>
  <c r="H1818" i="2"/>
  <c r="H1814" i="2"/>
  <c r="H1810" i="2"/>
  <c r="H1806" i="2"/>
  <c r="H1802" i="2"/>
  <c r="H1798" i="2"/>
  <c r="H1794" i="2"/>
  <c r="H1790" i="2"/>
  <c r="H1786" i="2"/>
  <c r="H1782" i="2"/>
  <c r="H1778" i="2"/>
  <c r="H1774" i="2"/>
  <c r="H1770" i="2"/>
  <c r="H1766" i="2"/>
  <c r="H1762" i="2"/>
  <c r="H1758" i="2"/>
  <c r="H1754" i="2"/>
  <c r="H1750" i="2"/>
  <c r="H1746" i="2"/>
  <c r="H1742" i="2"/>
  <c r="H1738" i="2"/>
  <c r="H1734" i="2"/>
  <c r="H1730" i="2"/>
  <c r="H1726" i="2"/>
  <c r="H1722" i="2"/>
  <c r="H1718" i="2"/>
  <c r="H1714" i="2"/>
  <c r="H1710" i="2"/>
  <c r="H1706" i="2"/>
  <c r="H1702" i="2"/>
  <c r="H1698" i="2"/>
  <c r="H1694" i="2"/>
  <c r="H1690" i="2"/>
  <c r="H1686" i="2"/>
  <c r="H1682" i="2"/>
  <c r="H1678" i="2"/>
  <c r="H1674" i="2"/>
  <c r="H1670" i="2"/>
  <c r="H1666" i="2"/>
  <c r="H1662" i="2"/>
  <c r="H1658" i="2"/>
  <c r="H1654" i="2"/>
  <c r="H1650" i="2"/>
  <c r="H1646" i="2"/>
  <c r="H1642" i="2"/>
  <c r="H1638" i="2"/>
  <c r="H1634" i="2"/>
  <c r="H1630" i="2"/>
  <c r="H1626" i="2"/>
  <c r="H1622" i="2"/>
  <c r="H1618" i="2"/>
  <c r="H1614" i="2"/>
  <c r="H1610" i="2"/>
  <c r="H1606" i="2"/>
  <c r="H1602" i="2"/>
  <c r="H1598" i="2"/>
  <c r="H1594" i="2"/>
  <c r="H1590" i="2"/>
  <c r="H1586" i="2"/>
  <c r="H1582" i="2"/>
  <c r="H1578" i="2"/>
  <c r="H1574" i="2"/>
  <c r="H1570" i="2"/>
  <c r="H1566" i="2"/>
  <c r="H1562" i="2"/>
  <c r="H1558" i="2"/>
  <c r="H1554" i="2"/>
  <c r="H1550" i="2"/>
  <c r="H1546" i="2"/>
  <c r="H1542" i="2"/>
  <c r="H1538" i="2"/>
  <c r="H1534" i="2"/>
  <c r="H1530" i="2"/>
  <c r="H1526" i="2"/>
  <c r="H1522" i="2"/>
  <c r="H1518" i="2"/>
  <c r="H1514" i="2"/>
  <c r="H1510" i="2"/>
  <c r="H1506" i="2"/>
  <c r="H1502" i="2"/>
  <c r="H1495" i="2"/>
  <c r="H1491" i="2"/>
  <c r="H1487" i="2"/>
  <c r="H1483" i="2"/>
  <c r="H1479" i="2"/>
  <c r="H1475" i="2"/>
  <c r="H1471" i="2"/>
  <c r="H1467" i="2"/>
  <c r="H1463" i="2"/>
  <c r="H1459" i="2"/>
  <c r="H1455" i="2"/>
  <c r="H1451" i="2"/>
  <c r="H1447" i="2"/>
  <c r="H1443" i="2"/>
  <c r="H1439" i="2"/>
  <c r="H1435" i="2"/>
  <c r="H1431" i="2"/>
  <c r="H1427" i="2"/>
  <c r="H1423" i="2"/>
  <c r="H1419" i="2"/>
  <c r="H1415" i="2"/>
  <c r="H1411" i="2"/>
  <c r="H1407" i="2"/>
  <c r="H1403" i="2"/>
  <c r="H1399" i="2"/>
  <c r="H1395" i="2"/>
  <c r="H1391" i="2"/>
  <c r="H1387" i="2"/>
  <c r="H1383" i="2"/>
  <c r="H1379" i="2"/>
  <c r="H1375" i="2"/>
  <c r="H1371" i="2"/>
  <c r="H1367" i="2"/>
  <c r="H1363" i="2"/>
  <c r="H1359" i="2"/>
  <c r="H1355" i="2"/>
  <c r="H1351" i="2"/>
  <c r="H1347" i="2"/>
  <c r="H1343" i="2"/>
  <c r="H1339" i="2"/>
  <c r="H1335" i="2"/>
  <c r="H1331" i="2"/>
  <c r="H1327" i="2"/>
  <c r="H1323" i="2"/>
  <c r="H1319" i="2"/>
  <c r="H1315" i="2"/>
  <c r="H1311" i="2"/>
  <c r="H1307" i="2"/>
  <c r="H1303" i="2"/>
  <c r="H1299" i="2"/>
  <c r="H1295" i="2"/>
  <c r="H1291" i="2"/>
  <c r="H1287" i="2"/>
  <c r="H1283" i="2"/>
  <c r="H1279" i="2"/>
  <c r="H1275" i="2"/>
  <c r="H1271" i="2"/>
  <c r="H1267" i="2"/>
  <c r="H1263" i="2"/>
  <c r="H1259" i="2"/>
  <c r="H1255" i="2"/>
  <c r="H1251" i="2"/>
  <c r="H1247" i="2"/>
  <c r="H1243" i="2"/>
  <c r="H1239" i="2"/>
  <c r="H1235" i="2"/>
  <c r="H1231" i="2"/>
  <c r="H1227" i="2"/>
  <c r="H1223" i="2"/>
  <c r="H1219" i="2"/>
  <c r="H1215" i="2"/>
  <c r="H1211" i="2"/>
  <c r="H1207" i="2"/>
  <c r="H1203" i="2"/>
  <c r="H1199" i="2"/>
  <c r="H1195" i="2"/>
  <c r="H1191" i="2"/>
  <c r="H1187" i="2"/>
  <c r="H1183" i="2"/>
  <c r="H1179" i="2"/>
  <c r="H1175" i="2"/>
  <c r="H1171" i="2"/>
  <c r="H1167" i="2"/>
  <c r="H1163" i="2"/>
  <c r="H1159" i="2"/>
  <c r="H1155" i="2"/>
  <c r="H1151" i="2"/>
  <c r="H1147" i="2"/>
  <c r="H1143" i="2"/>
  <c r="H1139" i="2"/>
  <c r="H1135" i="2"/>
  <c r="H1131" i="2"/>
  <c r="H1127" i="2"/>
  <c r="H1123" i="2"/>
  <c r="H1119" i="2"/>
  <c r="H1115" i="2"/>
  <c r="H1111" i="2"/>
  <c r="H1107" i="2"/>
  <c r="H1103" i="2"/>
  <c r="H1099" i="2"/>
  <c r="H1095" i="2"/>
  <c r="H1091" i="2"/>
  <c r="H1087" i="2"/>
  <c r="H1083" i="2"/>
  <c r="H1079" i="2"/>
  <c r="H1075" i="2"/>
  <c r="H1071" i="2"/>
  <c r="H1067" i="2"/>
  <c r="H1063" i="2"/>
  <c r="H1059" i="2"/>
  <c r="H1055" i="2"/>
  <c r="H1051" i="2"/>
  <c r="H1047" i="2"/>
  <c r="H1043" i="2"/>
  <c r="H1039" i="2"/>
  <c r="H1035" i="2"/>
  <c r="H1031" i="2"/>
  <c r="H1027" i="2"/>
  <c r="H1023" i="2"/>
  <c r="H1019" i="2"/>
  <c r="H1015" i="2"/>
  <c r="H1011" i="2"/>
  <c r="H1007" i="2"/>
  <c r="H1003" i="2"/>
  <c r="H999" i="2"/>
  <c r="H995" i="2"/>
  <c r="H991" i="2"/>
  <c r="H987" i="2"/>
  <c r="H983" i="2"/>
  <c r="H979" i="2"/>
  <c r="H975" i="2"/>
  <c r="H971" i="2"/>
  <c r="H967" i="2"/>
  <c r="H963" i="2"/>
  <c r="H959" i="2"/>
  <c r="H955" i="2"/>
  <c r="H951" i="2"/>
  <c r="H947" i="2"/>
  <c r="H943" i="2"/>
  <c r="H939" i="2"/>
  <c r="H935" i="2"/>
  <c r="H931" i="2"/>
  <c r="H927" i="2"/>
  <c r="H923" i="2"/>
  <c r="H919" i="2"/>
  <c r="H915" i="2"/>
  <c r="H911" i="2"/>
  <c r="H907" i="2"/>
  <c r="H903" i="2"/>
  <c r="H899" i="2"/>
  <c r="H895" i="2"/>
  <c r="H891" i="2"/>
  <c r="H887" i="2"/>
  <c r="H883" i="2"/>
  <c r="H879" i="2"/>
  <c r="H875" i="2"/>
  <c r="H871" i="2"/>
  <c r="H867" i="2"/>
  <c r="H863" i="2"/>
  <c r="H859" i="2"/>
  <c r="H855" i="2"/>
  <c r="H851" i="2"/>
  <c r="H847" i="2"/>
  <c r="H843" i="2"/>
  <c r="H839" i="2"/>
  <c r="H835" i="2"/>
  <c r="H831" i="2"/>
  <c r="H827" i="2"/>
  <c r="H823" i="2"/>
  <c r="H1500" i="2"/>
  <c r="H1496" i="2"/>
  <c r="H1492" i="2"/>
  <c r="H1488" i="2"/>
  <c r="H1484" i="2"/>
  <c r="H1480" i="2"/>
  <c r="H1476" i="2"/>
  <c r="H1472" i="2"/>
  <c r="H1468" i="2"/>
  <c r="H1464" i="2"/>
  <c r="H1460" i="2"/>
  <c r="H1456" i="2"/>
  <c r="H1452" i="2"/>
  <c r="H1448" i="2"/>
  <c r="H1444" i="2"/>
  <c r="H1440" i="2"/>
  <c r="H1436" i="2"/>
  <c r="H1432" i="2"/>
  <c r="H1428" i="2"/>
  <c r="H1424" i="2"/>
  <c r="H1420" i="2"/>
  <c r="H1416" i="2"/>
  <c r="H1412" i="2"/>
  <c r="H1408" i="2"/>
  <c r="H1404" i="2"/>
  <c r="H1400" i="2"/>
  <c r="H1396" i="2"/>
  <c r="H1392" i="2"/>
  <c r="H1388" i="2"/>
  <c r="H1384" i="2"/>
  <c r="H1380" i="2"/>
  <c r="H1376" i="2"/>
  <c r="H1372" i="2"/>
  <c r="H1368" i="2"/>
  <c r="H1364" i="2"/>
  <c r="H1360" i="2"/>
  <c r="H1356" i="2"/>
  <c r="H1352" i="2"/>
  <c r="H1348" i="2"/>
  <c r="H1344" i="2"/>
  <c r="H1340" i="2"/>
  <c r="H1336" i="2"/>
  <c r="H1332" i="2"/>
  <c r="H1328" i="2"/>
  <c r="H1324" i="2"/>
  <c r="H1320" i="2"/>
  <c r="H1316" i="2"/>
  <c r="H1312" i="2"/>
  <c r="H1308" i="2"/>
  <c r="H1304" i="2"/>
  <c r="H1300" i="2"/>
  <c r="H1296" i="2"/>
  <c r="H1292" i="2"/>
  <c r="H1288" i="2"/>
  <c r="H1284" i="2"/>
  <c r="H1280" i="2"/>
  <c r="H1276" i="2"/>
  <c r="H1272" i="2"/>
  <c r="H1268" i="2"/>
  <c r="H1264" i="2"/>
  <c r="H1260" i="2"/>
  <c r="H1256" i="2"/>
  <c r="H1252" i="2"/>
  <c r="H1248" i="2"/>
  <c r="H1244" i="2"/>
  <c r="H1240" i="2"/>
  <c r="H1236" i="2"/>
  <c r="H1232" i="2"/>
  <c r="H1228" i="2"/>
  <c r="H1224" i="2"/>
  <c r="H1220" i="2"/>
  <c r="H1216" i="2"/>
  <c r="H1212" i="2"/>
  <c r="H1208" i="2"/>
  <c r="H1204" i="2"/>
  <c r="H1200" i="2"/>
  <c r="H1196" i="2"/>
  <c r="H1192" i="2"/>
  <c r="H1188" i="2"/>
  <c r="H1184" i="2"/>
  <c r="H1180" i="2"/>
  <c r="H1176" i="2"/>
  <c r="H1172" i="2"/>
  <c r="H1168" i="2"/>
  <c r="H1164" i="2"/>
  <c r="H1160" i="2"/>
  <c r="H1156" i="2"/>
  <c r="H1152" i="2"/>
  <c r="H1148" i="2"/>
  <c r="H1144" i="2"/>
  <c r="H1140" i="2"/>
  <c r="H1136" i="2"/>
  <c r="H1132" i="2"/>
  <c r="H1128" i="2"/>
  <c r="H1124" i="2"/>
  <c r="H1120" i="2"/>
  <c r="H1116" i="2"/>
  <c r="H1112" i="2"/>
  <c r="H1108" i="2"/>
  <c r="H1104" i="2"/>
  <c r="H1100" i="2"/>
  <c r="H1096" i="2"/>
  <c r="H1092" i="2"/>
  <c r="H1088" i="2"/>
  <c r="H1084" i="2"/>
  <c r="H1080" i="2"/>
  <c r="H1076" i="2"/>
  <c r="H1072" i="2"/>
  <c r="H1068" i="2"/>
  <c r="H1064" i="2"/>
  <c r="H1060" i="2"/>
  <c r="H1056" i="2"/>
  <c r="H1052" i="2"/>
  <c r="H1048" i="2"/>
  <c r="H1044" i="2"/>
  <c r="H1040" i="2"/>
  <c r="H1036" i="2"/>
  <c r="H1032" i="2"/>
  <c r="H1028" i="2"/>
  <c r="H1024" i="2"/>
  <c r="H1020" i="2"/>
  <c r="H1016" i="2"/>
  <c r="H1012" i="2"/>
  <c r="H1008" i="2"/>
  <c r="H1004" i="2"/>
  <c r="H1000" i="2"/>
  <c r="H996" i="2"/>
  <c r="H992" i="2"/>
  <c r="H988" i="2"/>
  <c r="H984" i="2"/>
  <c r="H980" i="2"/>
  <c r="H976" i="2"/>
  <c r="H972" i="2"/>
  <c r="H968" i="2"/>
  <c r="H964" i="2"/>
  <c r="H960" i="2"/>
  <c r="H956" i="2"/>
  <c r="H952" i="2"/>
  <c r="H948" i="2"/>
  <c r="H944" i="2"/>
  <c r="H940" i="2"/>
  <c r="H936" i="2"/>
  <c r="H932" i="2"/>
  <c r="H928" i="2"/>
  <c r="H924" i="2"/>
  <c r="H920" i="2"/>
  <c r="H916" i="2"/>
  <c r="H912" i="2"/>
  <c r="H908" i="2"/>
  <c r="H904" i="2"/>
  <c r="H900" i="2"/>
  <c r="H896" i="2"/>
  <c r="H892" i="2"/>
  <c r="H888" i="2"/>
  <c r="H884" i="2"/>
  <c r="H880" i="2"/>
  <c r="H876" i="2"/>
  <c r="H872" i="2"/>
  <c r="H868" i="2"/>
  <c r="H864" i="2"/>
  <c r="H860" i="2"/>
  <c r="H856" i="2"/>
  <c r="H852" i="2"/>
  <c r="H848" i="2"/>
  <c r="H844" i="2"/>
  <c r="H840" i="2"/>
  <c r="H836" i="2"/>
  <c r="H832" i="2"/>
  <c r="H828" i="2"/>
  <c r="H824" i="2"/>
  <c r="H820" i="2"/>
  <c r="H816" i="2"/>
  <c r="H812" i="2"/>
  <c r="H808" i="2"/>
  <c r="H804" i="2"/>
  <c r="H800" i="2"/>
  <c r="H796" i="2"/>
  <c r="H792" i="2"/>
  <c r="H788" i="2"/>
  <c r="H784" i="2"/>
  <c r="H780" i="2"/>
  <c r="H776" i="2"/>
  <c r="H772" i="2"/>
  <c r="H768" i="2"/>
  <c r="H764" i="2"/>
  <c r="H760" i="2"/>
  <c r="H756" i="2"/>
  <c r="H752" i="2"/>
  <c r="H748" i="2"/>
  <c r="H744" i="2"/>
  <c r="H740" i="2"/>
  <c r="H736" i="2"/>
  <c r="H732" i="2"/>
  <c r="H728" i="2"/>
  <c r="H724" i="2"/>
  <c r="H720" i="2"/>
  <c r="H716" i="2"/>
  <c r="H712" i="2"/>
  <c r="H708" i="2"/>
  <c r="H704" i="2"/>
  <c r="H700" i="2"/>
  <c r="H696" i="2"/>
  <c r="H692" i="2"/>
  <c r="H688" i="2"/>
  <c r="H684" i="2"/>
  <c r="H680" i="2"/>
  <c r="H676" i="2"/>
  <c r="H672" i="2"/>
  <c r="H668" i="2"/>
  <c r="H664" i="2"/>
  <c r="H660" i="2"/>
  <c r="H656" i="2"/>
  <c r="H652" i="2"/>
  <c r="H648" i="2"/>
  <c r="H644" i="2"/>
  <c r="H640" i="2"/>
  <c r="H636" i="2"/>
  <c r="H632" i="2"/>
  <c r="H628" i="2"/>
  <c r="H624" i="2"/>
  <c r="H620" i="2"/>
  <c r="H616" i="2"/>
  <c r="H612" i="2"/>
  <c r="H608" i="2"/>
  <c r="H604" i="2"/>
  <c r="H600" i="2"/>
  <c r="H596" i="2"/>
  <c r="H592" i="2"/>
  <c r="H588" i="2"/>
  <c r="H584" i="2"/>
  <c r="H580" i="2"/>
  <c r="H576" i="2"/>
  <c r="H572" i="2"/>
  <c r="H568" i="2"/>
  <c r="H564" i="2"/>
  <c r="H560" i="2"/>
  <c r="H556" i="2"/>
  <c r="H552" i="2"/>
  <c r="H548" i="2"/>
  <c r="H544" i="2"/>
  <c r="H540" i="2"/>
  <c r="H536" i="2"/>
  <c r="H532" i="2"/>
  <c r="H528" i="2"/>
  <c r="H524" i="2"/>
  <c r="H520" i="2"/>
  <c r="H516" i="2"/>
  <c r="H512" i="2"/>
  <c r="H508" i="2"/>
  <c r="H504" i="2"/>
  <c r="H500" i="2"/>
  <c r="H496" i="2"/>
  <c r="H492" i="2"/>
  <c r="H486" i="2"/>
  <c r="H478" i="2"/>
  <c r="H819" i="2"/>
  <c r="H815" i="2"/>
  <c r="H811" i="2"/>
  <c r="H807" i="2"/>
  <c r="H803" i="2"/>
  <c r="H799" i="2"/>
  <c r="H795" i="2"/>
  <c r="H791" i="2"/>
  <c r="H787" i="2"/>
  <c r="H783" i="2"/>
  <c r="H779" i="2"/>
  <c r="H775" i="2"/>
  <c r="H771" i="2"/>
  <c r="H767" i="2"/>
  <c r="H763" i="2"/>
  <c r="H759" i="2"/>
  <c r="H755" i="2"/>
  <c r="H751" i="2"/>
  <c r="H747" i="2"/>
  <c r="H743" i="2"/>
  <c r="H739" i="2"/>
  <c r="H735" i="2"/>
  <c r="H731" i="2"/>
  <c r="H727" i="2"/>
  <c r="H723" i="2"/>
  <c r="H719" i="2"/>
  <c r="H715" i="2"/>
  <c r="H711" i="2"/>
  <c r="H707" i="2"/>
  <c r="H703" i="2"/>
  <c r="H699" i="2"/>
  <c r="H695" i="2"/>
  <c r="H691" i="2"/>
  <c r="H687" i="2"/>
  <c r="H683" i="2"/>
  <c r="H679" i="2"/>
  <c r="H675" i="2"/>
  <c r="H671" i="2"/>
  <c r="H667" i="2"/>
  <c r="H663" i="2"/>
  <c r="H659" i="2"/>
  <c r="H655" i="2"/>
  <c r="H651" i="2"/>
  <c r="H647" i="2"/>
  <c r="H643" i="2"/>
  <c r="H639" i="2"/>
  <c r="H635" i="2"/>
  <c r="H631" i="2"/>
  <c r="H627" i="2"/>
  <c r="H623" i="2"/>
  <c r="H619" i="2"/>
  <c r="H615" i="2"/>
  <c r="H611" i="2"/>
  <c r="H607" i="2"/>
  <c r="H603" i="2"/>
  <c r="H599" i="2"/>
  <c r="H595" i="2"/>
  <c r="H591" i="2"/>
  <c r="H587" i="2"/>
  <c r="H583" i="2"/>
  <c r="H579" i="2"/>
  <c r="H575" i="2"/>
  <c r="H571" i="2"/>
  <c r="H567" i="2"/>
  <c r="H563" i="2"/>
  <c r="H559" i="2"/>
  <c r="H555" i="2"/>
  <c r="H551" i="2"/>
  <c r="H547" i="2"/>
  <c r="H543" i="2"/>
  <c r="H539" i="2"/>
  <c r="H535" i="2"/>
  <c r="H531" i="2"/>
  <c r="H527" i="2"/>
  <c r="H523" i="2"/>
  <c r="H519" i="2"/>
  <c r="H515" i="2"/>
  <c r="H511" i="2"/>
  <c r="H507" i="2"/>
  <c r="H503" i="2"/>
  <c r="H499" i="2"/>
  <c r="H495" i="2"/>
  <c r="H491" i="2"/>
  <c r="H484" i="2"/>
  <c r="H476" i="2"/>
  <c r="H470" i="2"/>
  <c r="H466" i="2"/>
  <c r="H462" i="2"/>
  <c r="H458" i="2"/>
  <c r="H454" i="2"/>
  <c r="H450" i="2"/>
  <c r="H446" i="2"/>
  <c r="H442" i="2"/>
  <c r="H438" i="2"/>
  <c r="H434" i="2"/>
  <c r="H430" i="2"/>
  <c r="H426" i="2"/>
  <c r="H418" i="2"/>
  <c r="H410" i="2"/>
  <c r="H402" i="2"/>
  <c r="H394" i="2"/>
  <c r="H386" i="2"/>
  <c r="H378" i="2"/>
  <c r="H370" i="2"/>
  <c r="H362" i="2"/>
  <c r="H354" i="2"/>
  <c r="H346" i="2"/>
  <c r="H338" i="2"/>
  <c r="H330" i="2"/>
  <c r="H322" i="2"/>
  <c r="H314" i="2"/>
  <c r="H306" i="2"/>
  <c r="H298" i="2"/>
  <c r="H290" i="2"/>
  <c r="H282" i="2"/>
  <c r="H274" i="2"/>
  <c r="H266" i="2"/>
  <c r="H258" i="2"/>
  <c r="H250" i="2"/>
  <c r="H242" i="2"/>
  <c r="H234" i="2"/>
  <c r="H226" i="2"/>
  <c r="H218" i="2"/>
  <c r="H487" i="2"/>
  <c r="H483" i="2"/>
  <c r="H479" i="2"/>
  <c r="H475" i="2"/>
  <c r="H471" i="2"/>
  <c r="H467" i="2"/>
  <c r="H463" i="2"/>
  <c r="H459" i="2"/>
  <c r="H455" i="2"/>
  <c r="H451" i="2"/>
  <c r="H447" i="2"/>
  <c r="H443" i="2"/>
  <c r="H439" i="2"/>
  <c r="H435" i="2"/>
  <c r="H431" i="2"/>
  <c r="H427" i="2"/>
  <c r="H420" i="2"/>
  <c r="H412" i="2"/>
  <c r="H404" i="2"/>
  <c r="H396" i="2"/>
  <c r="H388" i="2"/>
  <c r="H380" i="2"/>
  <c r="H372" i="2"/>
  <c r="H364" i="2"/>
  <c r="H356" i="2"/>
  <c r="H348" i="2"/>
  <c r="H340" i="2"/>
  <c r="H332" i="2"/>
  <c r="H324" i="2"/>
  <c r="H316" i="2"/>
  <c r="H308" i="2"/>
  <c r="H300" i="2"/>
  <c r="H292" i="2"/>
  <c r="H284" i="2"/>
  <c r="H276" i="2"/>
  <c r="H268" i="2"/>
  <c r="H260" i="2"/>
  <c r="H252" i="2"/>
  <c r="H244" i="2"/>
  <c r="H236" i="2"/>
  <c r="H228" i="2"/>
  <c r="H220" i="2"/>
  <c r="H425" i="2"/>
  <c r="H421" i="2"/>
  <c r="H417" i="2"/>
  <c r="H413" i="2"/>
  <c r="H409" i="2"/>
  <c r="H405" i="2"/>
  <c r="H401" i="2"/>
  <c r="H397" i="2"/>
  <c r="H393" i="2"/>
  <c r="H389" i="2"/>
  <c r="H385" i="2"/>
  <c r="H381" i="2"/>
  <c r="H377" i="2"/>
  <c r="H373" i="2"/>
  <c r="H369" i="2"/>
  <c r="H365" i="2"/>
  <c r="H361" i="2"/>
  <c r="H357" i="2"/>
  <c r="H353" i="2"/>
  <c r="H349" i="2"/>
  <c r="H345" i="2"/>
  <c r="H341" i="2"/>
  <c r="H337" i="2"/>
  <c r="H333" i="2"/>
  <c r="H329" i="2"/>
  <c r="H325" i="2"/>
  <c r="H321" i="2"/>
  <c r="H317" i="2"/>
  <c r="H313" i="2"/>
  <c r="H309" i="2"/>
  <c r="H305" i="2"/>
  <c r="H301" i="2"/>
  <c r="H297" i="2"/>
  <c r="H293" i="2"/>
  <c r="H289" i="2"/>
  <c r="H285" i="2"/>
  <c r="H281" i="2"/>
  <c r="H277" i="2"/>
  <c r="H273" i="2"/>
  <c r="H269" i="2"/>
  <c r="H265" i="2"/>
  <c r="H261" i="2"/>
  <c r="H257" i="2"/>
  <c r="H253" i="2"/>
  <c r="H249" i="2"/>
  <c r="H245" i="2"/>
  <c r="H241" i="2"/>
  <c r="H237" i="2"/>
  <c r="H233" i="2"/>
  <c r="H229" i="2"/>
  <c r="H225" i="2"/>
  <c r="H221" i="2"/>
  <c r="H217" i="2"/>
  <c r="H213" i="2"/>
  <c r="H209" i="2"/>
  <c r="H205" i="2"/>
  <c r="H201" i="2"/>
  <c r="H197" i="2"/>
  <c r="H193" i="2"/>
  <c r="H189" i="2"/>
  <c r="H185" i="2"/>
  <c r="H181" i="2"/>
  <c r="H177" i="2"/>
  <c r="H173" i="2"/>
  <c r="H168" i="2"/>
  <c r="H160" i="2"/>
  <c r="H152" i="2"/>
  <c r="H144" i="2"/>
  <c r="H136" i="2"/>
  <c r="H128" i="2"/>
  <c r="H120" i="2"/>
  <c r="H112" i="2"/>
  <c r="H104" i="2"/>
  <c r="H96" i="2"/>
  <c r="H88" i="2"/>
  <c r="H80" i="2"/>
  <c r="H72" i="2"/>
  <c r="H64" i="2"/>
  <c r="H56" i="2"/>
  <c r="H48" i="2"/>
  <c r="H40" i="2"/>
  <c r="H32" i="2"/>
  <c r="H214" i="2"/>
  <c r="H210" i="2"/>
  <c r="H206" i="2"/>
  <c r="H202" i="2"/>
  <c r="H198" i="2"/>
  <c r="H194" i="2"/>
  <c r="H190" i="2"/>
  <c r="H186" i="2"/>
  <c r="H182" i="2"/>
  <c r="H178" i="2"/>
  <c r="H174" i="2"/>
  <c r="H170" i="2"/>
  <c r="H162" i="2"/>
  <c r="H154" i="2"/>
  <c r="H146" i="2"/>
  <c r="H138" i="2"/>
  <c r="H130" i="2"/>
  <c r="H122" i="2"/>
  <c r="H114" i="2"/>
  <c r="H106" i="2"/>
  <c r="H98" i="2"/>
  <c r="H90" i="2"/>
  <c r="H82" i="2"/>
  <c r="H74" i="2"/>
  <c r="H66" i="2"/>
  <c r="H58" i="2"/>
  <c r="H50" i="2"/>
  <c r="H42" i="2"/>
  <c r="H34" i="2"/>
  <c r="H167" i="2"/>
  <c r="H163" i="2"/>
  <c r="H159" i="2"/>
  <c r="H155" i="2"/>
  <c r="H151" i="2"/>
  <c r="H147" i="2"/>
  <c r="H143" i="2"/>
  <c r="H139" i="2"/>
  <c r="H135" i="2"/>
  <c r="H131" i="2"/>
  <c r="H127" i="2"/>
  <c r="H123" i="2"/>
  <c r="H119" i="2"/>
  <c r="H115" i="2"/>
  <c r="H111" i="2"/>
  <c r="H107" i="2"/>
  <c r="H103" i="2"/>
  <c r="H99" i="2"/>
  <c r="H95" i="2"/>
  <c r="H91" i="2"/>
  <c r="H87" i="2"/>
  <c r="H83" i="2"/>
  <c r="H79" i="2"/>
  <c r="H75" i="2"/>
  <c r="H71" i="2"/>
  <c r="H67" i="2"/>
  <c r="H63" i="2"/>
  <c r="H59" i="2"/>
  <c r="H55" i="2"/>
  <c r="H51" i="2"/>
  <c r="H47" i="2"/>
  <c r="H43" i="2"/>
  <c r="H39" i="2"/>
  <c r="H35" i="2"/>
  <c r="H31" i="2"/>
  <c r="H4998" i="2"/>
  <c r="H4994" i="2"/>
  <c r="H4990" i="2"/>
  <c r="H4986" i="2"/>
  <c r="H4982" i="2"/>
  <c r="H4978" i="2"/>
  <c r="H4974" i="2"/>
  <c r="H4970" i="2"/>
  <c r="H4966" i="2"/>
  <c r="H4962" i="2"/>
  <c r="H4958" i="2"/>
  <c r="H4954" i="2"/>
  <c r="H4950" i="2"/>
  <c r="H4946" i="2"/>
  <c r="H4942" i="2"/>
  <c r="H4938" i="2"/>
  <c r="H4934" i="2"/>
  <c r="H4930" i="2"/>
  <c r="H4926" i="2"/>
  <c r="H4922" i="2"/>
  <c r="H4918" i="2"/>
  <c r="H4914" i="2"/>
  <c r="H4910" i="2"/>
  <c r="H4906" i="2"/>
  <c r="H4901" i="2"/>
  <c r="H4893" i="2"/>
  <c r="H4885" i="2"/>
  <c r="H4877" i="2"/>
  <c r="H4869" i="2"/>
  <c r="H4861" i="2"/>
  <c r="H4853" i="2"/>
  <c r="H4845" i="2"/>
  <c r="H4837" i="2"/>
  <c r="H4829" i="2"/>
  <c r="H4821" i="2"/>
  <c r="H4813" i="2"/>
  <c r="H4805" i="2"/>
  <c r="H4797" i="2"/>
  <c r="H4789" i="2"/>
  <c r="H4781" i="2"/>
  <c r="H4773" i="2"/>
  <c r="H4765" i="2"/>
  <c r="H4757" i="2"/>
  <c r="H4749" i="2"/>
  <c r="H4741" i="2"/>
  <c r="H4733" i="2"/>
  <c r="H4725" i="2"/>
  <c r="H4717" i="2"/>
  <c r="H4709" i="2"/>
  <c r="H4701" i="2"/>
  <c r="H4693" i="2"/>
  <c r="H4685" i="2"/>
  <c r="H4677" i="2"/>
  <c r="H4669" i="2"/>
  <c r="H4661" i="2"/>
  <c r="H4997" i="2"/>
  <c r="H4993" i="2"/>
  <c r="H4989" i="2"/>
  <c r="H4985" i="2"/>
  <c r="H4981" i="2"/>
  <c r="H4977" i="2"/>
  <c r="H4973" i="2"/>
  <c r="H4969" i="2"/>
  <c r="H4965" i="2"/>
  <c r="H4961" i="2"/>
  <c r="H4957" i="2"/>
  <c r="H4953" i="2"/>
  <c r="H4949" i="2"/>
  <c r="H4945" i="2"/>
  <c r="H4941" i="2"/>
  <c r="H4937" i="2"/>
  <c r="H4933" i="2"/>
  <c r="H4929" i="2"/>
  <c r="H4925" i="2"/>
  <c r="H4921" i="2"/>
  <c r="H4917" i="2"/>
  <c r="H4913" i="2"/>
  <c r="H4909" i="2"/>
  <c r="H4905" i="2"/>
  <c r="H4899" i="2"/>
  <c r="H4891" i="2"/>
  <c r="H4883" i="2"/>
  <c r="H4875" i="2"/>
  <c r="H4867" i="2"/>
  <c r="H4859" i="2"/>
  <c r="H4851" i="2"/>
  <c r="H4843" i="2"/>
  <c r="H4835" i="2"/>
  <c r="H4827" i="2"/>
  <c r="H4819" i="2"/>
  <c r="H4811" i="2"/>
  <c r="H4803" i="2"/>
  <c r="H4795" i="2"/>
  <c r="H4787" i="2"/>
  <c r="H4779" i="2"/>
  <c r="H4771" i="2"/>
  <c r="H4763" i="2"/>
  <c r="H4755" i="2"/>
  <c r="H4747" i="2"/>
  <c r="H4739" i="2"/>
  <c r="H4731" i="2"/>
  <c r="H4723" i="2"/>
  <c r="H4715" i="2"/>
  <c r="H4707" i="2"/>
  <c r="H4699" i="2"/>
  <c r="H4691" i="2"/>
  <c r="H4683" i="2"/>
  <c r="H4675" i="2"/>
  <c r="H4667" i="2"/>
  <c r="H4659" i="2"/>
  <c r="H4900" i="2"/>
  <c r="H4896" i="2"/>
  <c r="H4892" i="2"/>
  <c r="H4888" i="2"/>
  <c r="H4884" i="2"/>
  <c r="H4880" i="2"/>
  <c r="H4876" i="2"/>
  <c r="H4872" i="2"/>
  <c r="H4868" i="2"/>
  <c r="H4864" i="2"/>
  <c r="H4860" i="2"/>
  <c r="H4856" i="2"/>
  <c r="H4852" i="2"/>
  <c r="H4848" i="2"/>
  <c r="H4844" i="2"/>
  <c r="H4840" i="2"/>
  <c r="H4836" i="2"/>
  <c r="H4832" i="2"/>
  <c r="H4828" i="2"/>
  <c r="H4824" i="2"/>
  <c r="H4820" i="2"/>
  <c r="H4816" i="2"/>
  <c r="H4812" i="2"/>
  <c r="H4808" i="2"/>
  <c r="H4804" i="2"/>
  <c r="H4800" i="2"/>
  <c r="H4796" i="2"/>
  <c r="H4792" i="2"/>
  <c r="H4788" i="2"/>
  <c r="H4784" i="2"/>
  <c r="H4780" i="2"/>
  <c r="H4776" i="2"/>
  <c r="H4772" i="2"/>
  <c r="H4768" i="2"/>
  <c r="H4764" i="2"/>
  <c r="H4760" i="2"/>
  <c r="H4756" i="2"/>
  <c r="H4752" i="2"/>
  <c r="H4748" i="2"/>
  <c r="H4744" i="2"/>
  <c r="H4740" i="2"/>
  <c r="H4736" i="2"/>
  <c r="H4732" i="2"/>
  <c r="H4728" i="2"/>
  <c r="H4724" i="2"/>
  <c r="H4720" i="2"/>
  <c r="H4716" i="2"/>
  <c r="H4712" i="2"/>
  <c r="H4708" i="2"/>
  <c r="H4704" i="2"/>
  <c r="H4700" i="2"/>
  <c r="H4696" i="2"/>
  <c r="H4692" i="2"/>
  <c r="H4688" i="2"/>
  <c r="H4684" i="2"/>
  <c r="H4680" i="2"/>
  <c r="H4676" i="2"/>
  <c r="H4672" i="2"/>
  <c r="H4668" i="2"/>
  <c r="H4664" i="2"/>
  <c r="H4660" i="2"/>
  <c r="H4656" i="2"/>
  <c r="H4652" i="2"/>
  <c r="H4648" i="2"/>
  <c r="H4644" i="2"/>
  <c r="H4640" i="2"/>
  <c r="H4636" i="2"/>
  <c r="H4632" i="2"/>
  <c r="H4628" i="2"/>
  <c r="H4624" i="2"/>
  <c r="H4620" i="2"/>
  <c r="H4616" i="2"/>
  <c r="H4612" i="2"/>
  <c r="H4608" i="2"/>
  <c r="H4604" i="2"/>
  <c r="H4600" i="2"/>
  <c r="H4596" i="2"/>
  <c r="H4592" i="2"/>
  <c r="H4588" i="2"/>
  <c r="H4584" i="2"/>
  <c r="H4580" i="2"/>
  <c r="H4576" i="2"/>
  <c r="H4572" i="2"/>
  <c r="H4568" i="2"/>
  <c r="H4564" i="2"/>
  <c r="H4560" i="2"/>
  <c r="H4556" i="2"/>
  <c r="H4552" i="2"/>
  <c r="H4548" i="2"/>
  <c r="H4544" i="2"/>
  <c r="H4540" i="2"/>
  <c r="H4536" i="2"/>
  <c r="H4532" i="2"/>
  <c r="H4528" i="2"/>
  <c r="H4524" i="2"/>
  <c r="H4520" i="2"/>
  <c r="H4516" i="2"/>
  <c r="H4512" i="2"/>
  <c r="H4508" i="2"/>
  <c r="H4504" i="2"/>
  <c r="H4500" i="2"/>
  <c r="H4496" i="2"/>
  <c r="H4492" i="2"/>
  <c r="H4488" i="2"/>
  <c r="H4484" i="2"/>
  <c r="H4480" i="2"/>
  <c r="H4476" i="2"/>
  <c r="H4472" i="2"/>
  <c r="H4468" i="2"/>
  <c r="H4464" i="2"/>
  <c r="H4460" i="2"/>
  <c r="H4456" i="2"/>
  <c r="H4452" i="2"/>
  <c r="H4448" i="2"/>
  <c r="H4444" i="2"/>
  <c r="H4440" i="2"/>
  <c r="H4436" i="2"/>
  <c r="H4432" i="2"/>
  <c r="H4428" i="2"/>
  <c r="H4424" i="2"/>
  <c r="H4420" i="2"/>
  <c r="H4416" i="2"/>
  <c r="H4412" i="2"/>
  <c r="H4408" i="2"/>
  <c r="H4404" i="2"/>
  <c r="H4400" i="2"/>
  <c r="H4396" i="2"/>
  <c r="H4392" i="2"/>
  <c r="H4388" i="2"/>
  <c r="H4384" i="2"/>
  <c r="H4380" i="2"/>
  <c r="H4376" i="2"/>
  <c r="H4372" i="2"/>
  <c r="H4368" i="2"/>
  <c r="H4364" i="2"/>
  <c r="H4360" i="2"/>
  <c r="H4356" i="2"/>
  <c r="H4352" i="2"/>
  <c r="H4348" i="2"/>
  <c r="H4344" i="2"/>
  <c r="H4340" i="2"/>
  <c r="H4336" i="2"/>
  <c r="H4332" i="2"/>
  <c r="H4328" i="2"/>
  <c r="H4324" i="2"/>
  <c r="H4320" i="2"/>
  <c r="H4316" i="2"/>
  <c r="H4312" i="2"/>
  <c r="H4308" i="2"/>
  <c r="H4304" i="2"/>
  <c r="H4300" i="2"/>
  <c r="H4296" i="2"/>
  <c r="H4292" i="2"/>
  <c r="H4288" i="2"/>
  <c r="H4284" i="2"/>
  <c r="H4280" i="2"/>
  <c r="H4276" i="2"/>
  <c r="H4272" i="2"/>
  <c r="H4268" i="2"/>
  <c r="H4264" i="2"/>
  <c r="H4260" i="2"/>
  <c r="H4256" i="2"/>
  <c r="H4252" i="2"/>
  <c r="H4248" i="2"/>
  <c r="H4244" i="2"/>
  <c r="H4240" i="2"/>
  <c r="H4236" i="2"/>
  <c r="H4232" i="2"/>
  <c r="H4228" i="2"/>
  <c r="H4224" i="2"/>
  <c r="H4220" i="2"/>
  <c r="H4216" i="2"/>
  <c r="H4212" i="2"/>
  <c r="H4208" i="2"/>
  <c r="H4204" i="2"/>
  <c r="H4200" i="2"/>
  <c r="H4196" i="2"/>
  <c r="H4192" i="2"/>
  <c r="H4188" i="2"/>
  <c r="H4184" i="2"/>
  <c r="H4180" i="2"/>
  <c r="H4176" i="2"/>
  <c r="H4172" i="2"/>
  <c r="H4168" i="2"/>
  <c r="H4164" i="2"/>
  <c r="H4160" i="2"/>
  <c r="H4156" i="2"/>
  <c r="H4152" i="2"/>
  <c r="H4148" i="2"/>
  <c r="H4144" i="2"/>
  <c r="H4140" i="2"/>
  <c r="H4136" i="2"/>
  <c r="H4132" i="2"/>
  <c r="H4128" i="2"/>
  <c r="H4124" i="2"/>
  <c r="H4120" i="2"/>
  <c r="H4116" i="2"/>
  <c r="H4112" i="2"/>
  <c r="H4108" i="2"/>
  <c r="H4104" i="2"/>
  <c r="H4100" i="2"/>
  <c r="H4096" i="2"/>
  <c r="H4092" i="2"/>
  <c r="H4088" i="2"/>
  <c r="H4084" i="2"/>
  <c r="H4080" i="2"/>
  <c r="H4076" i="2"/>
  <c r="H4072" i="2"/>
  <c r="H4068" i="2"/>
  <c r="H4064" i="2"/>
  <c r="H4060" i="2"/>
  <c r="H4056" i="2"/>
  <c r="H4052" i="2"/>
  <c r="H4048" i="2"/>
  <c r="H4044" i="2"/>
  <c r="H4040" i="2"/>
  <c r="H4036" i="2"/>
  <c r="H4032" i="2"/>
  <c r="H4028" i="2"/>
  <c r="H4024" i="2"/>
  <c r="H4020" i="2"/>
  <c r="H4016" i="2"/>
  <c r="H4012" i="2"/>
  <c r="H4008" i="2"/>
  <c r="H4004" i="2"/>
  <c r="H4000" i="2"/>
  <c r="H3996" i="2"/>
  <c r="H3992" i="2"/>
  <c r="H3988" i="2"/>
  <c r="H3984" i="2"/>
  <c r="H3980" i="2"/>
  <c r="H3976" i="2"/>
  <c r="H3972" i="2"/>
  <c r="H3968" i="2"/>
  <c r="H3964" i="2"/>
  <c r="H3960" i="2"/>
  <c r="H3956" i="2"/>
  <c r="H3952" i="2"/>
  <c r="H3948" i="2"/>
  <c r="H3944" i="2"/>
  <c r="H3940" i="2"/>
  <c r="H3936" i="2"/>
  <c r="H3932" i="2"/>
  <c r="H3928" i="2"/>
  <c r="H3924" i="2"/>
  <c r="H3920" i="2"/>
  <c r="H3916" i="2"/>
  <c r="H3912" i="2"/>
  <c r="H3908" i="2"/>
  <c r="H3904" i="2"/>
  <c r="H3900" i="2"/>
  <c r="H3896" i="2"/>
  <c r="H3892" i="2"/>
  <c r="H3888" i="2"/>
  <c r="H3884" i="2"/>
  <c r="H3880" i="2"/>
  <c r="H3876" i="2"/>
  <c r="H3872" i="2"/>
  <c r="H3868" i="2"/>
  <c r="H3864" i="2"/>
  <c r="H3860" i="2"/>
  <c r="H3856" i="2"/>
  <c r="H3852" i="2"/>
  <c r="H3848" i="2"/>
  <c r="H3844" i="2"/>
  <c r="H3840" i="2"/>
  <c r="H3836" i="2"/>
  <c r="H3832" i="2"/>
  <c r="H3828" i="2"/>
  <c r="H3824" i="2"/>
  <c r="H3820" i="2"/>
  <c r="H3816" i="2"/>
  <c r="H3812" i="2"/>
  <c r="H3808" i="2"/>
  <c r="H3804" i="2"/>
  <c r="H3800" i="2"/>
  <c r="H3796" i="2"/>
  <c r="H3792" i="2"/>
  <c r="H3788" i="2"/>
  <c r="H3784" i="2"/>
  <c r="H3780" i="2"/>
  <c r="H3776" i="2"/>
  <c r="H3772" i="2"/>
  <c r="H3768" i="2"/>
  <c r="H3764" i="2"/>
  <c r="H3760" i="2"/>
  <c r="H3756" i="2"/>
  <c r="H3752" i="2"/>
  <c r="H3748" i="2"/>
  <c r="H3744" i="2"/>
  <c r="H3740" i="2"/>
  <c r="H3736" i="2"/>
  <c r="H3732" i="2"/>
  <c r="H3728" i="2"/>
  <c r="H3724" i="2"/>
  <c r="H3720" i="2"/>
  <c r="H3716" i="2"/>
  <c r="H3712" i="2"/>
  <c r="H3708" i="2"/>
  <c r="H3704" i="2"/>
  <c r="H3700" i="2"/>
  <c r="H3696" i="2"/>
  <c r="H3692" i="2"/>
  <c r="H3688" i="2"/>
  <c r="H3684" i="2"/>
  <c r="H3680" i="2"/>
  <c r="H3676" i="2"/>
  <c r="H3672" i="2"/>
  <c r="H3668" i="2"/>
  <c r="H3664" i="2"/>
  <c r="H3660" i="2"/>
  <c r="H3656" i="2"/>
  <c r="H3652" i="2"/>
  <c r="H3648" i="2"/>
  <c r="H3644" i="2"/>
  <c r="H3640" i="2"/>
  <c r="H3636" i="2"/>
  <c r="H3632" i="2"/>
  <c r="H3628" i="2"/>
  <c r="H3624" i="2"/>
  <c r="H3620" i="2"/>
  <c r="H3616" i="2"/>
  <c r="H3612" i="2"/>
  <c r="H3608" i="2"/>
  <c r="H3604" i="2"/>
  <c r="H3600" i="2"/>
  <c r="H3596" i="2"/>
  <c r="H3592" i="2"/>
  <c r="H3588" i="2"/>
  <c r="H3584" i="2"/>
  <c r="H3580" i="2"/>
  <c r="H3576" i="2"/>
  <c r="H3572" i="2"/>
  <c r="H3568" i="2"/>
  <c r="H3564" i="2"/>
  <c r="H3560" i="2"/>
  <c r="H3556" i="2"/>
  <c r="H3552" i="2"/>
  <c r="H3548" i="2"/>
  <c r="H3544" i="2"/>
  <c r="H3540" i="2"/>
  <c r="H3536" i="2"/>
  <c r="H3532" i="2"/>
  <c r="H3528" i="2"/>
  <c r="H3524" i="2"/>
  <c r="H3520" i="2"/>
  <c r="H3516" i="2"/>
  <c r="H3512" i="2"/>
  <c r="H3508" i="2"/>
  <c r="H3504" i="2"/>
  <c r="H3500" i="2"/>
  <c r="H3496" i="2"/>
  <c r="H3492" i="2"/>
  <c r="H3488" i="2"/>
  <c r="H3484" i="2"/>
  <c r="H3480" i="2"/>
  <c r="H3476" i="2"/>
  <c r="H3472" i="2"/>
  <c r="H3468" i="2"/>
  <c r="H3464" i="2"/>
  <c r="H3460" i="2"/>
  <c r="H3456" i="2"/>
  <c r="H3452" i="2"/>
  <c r="H3448" i="2"/>
  <c r="H3444" i="2"/>
  <c r="H3440" i="2"/>
  <c r="H3436" i="2"/>
  <c r="H3432" i="2"/>
  <c r="H3428" i="2"/>
  <c r="H3424" i="2"/>
  <c r="H3420" i="2"/>
  <c r="H3416" i="2"/>
  <c r="H3412" i="2"/>
  <c r="H3408" i="2"/>
  <c r="H3404" i="2"/>
  <c r="H3400" i="2"/>
  <c r="H3393" i="2"/>
  <c r="H3385" i="2"/>
  <c r="H3377" i="2"/>
  <c r="H3369" i="2"/>
  <c r="H3361" i="2"/>
  <c r="H3353" i="2"/>
  <c r="H3345" i="2"/>
  <c r="H3337" i="2"/>
  <c r="H3329" i="2"/>
  <c r="H3321" i="2"/>
  <c r="H3313" i="2"/>
  <c r="H3305" i="2"/>
  <c r="H3297" i="2"/>
  <c r="H3289" i="2"/>
  <c r="H3281" i="2"/>
  <c r="H3273" i="2"/>
  <c r="H3265" i="2"/>
  <c r="H3257" i="2"/>
  <c r="H3249" i="2"/>
  <c r="H3241" i="2"/>
  <c r="H3233" i="2"/>
  <c r="H3225" i="2"/>
  <c r="H3217" i="2"/>
  <c r="H3209" i="2"/>
  <c r="H3201" i="2"/>
  <c r="H3193" i="2"/>
  <c r="H4655" i="2"/>
  <c r="H4651" i="2"/>
  <c r="H4647" i="2"/>
  <c r="H4643" i="2"/>
  <c r="H4639" i="2"/>
  <c r="H4635" i="2"/>
  <c r="H4631" i="2"/>
  <c r="H4627" i="2"/>
  <c r="H4623" i="2"/>
  <c r="H4619" i="2"/>
  <c r="H4615" i="2"/>
  <c r="H4611" i="2"/>
  <c r="H4607" i="2"/>
  <c r="H4603" i="2"/>
  <c r="H4599" i="2"/>
  <c r="H4595" i="2"/>
  <c r="H4591" i="2"/>
  <c r="H4587" i="2"/>
  <c r="H4583" i="2"/>
  <c r="H4579" i="2"/>
  <c r="H4575" i="2"/>
  <c r="H4571" i="2"/>
  <c r="H4567" i="2"/>
  <c r="H4563" i="2"/>
  <c r="H4559" i="2"/>
  <c r="H4555" i="2"/>
  <c r="H4551" i="2"/>
  <c r="H4547" i="2"/>
  <c r="H4543" i="2"/>
  <c r="H4539" i="2"/>
  <c r="H4535" i="2"/>
  <c r="H4531" i="2"/>
  <c r="H4527" i="2"/>
  <c r="H4523" i="2"/>
  <c r="H4519" i="2"/>
  <c r="H4515" i="2"/>
  <c r="H4511" i="2"/>
  <c r="H4507" i="2"/>
  <c r="H4503" i="2"/>
  <c r="H4499" i="2"/>
  <c r="H4495" i="2"/>
  <c r="H4491" i="2"/>
  <c r="H4487" i="2"/>
  <c r="H4483" i="2"/>
  <c r="H4479" i="2"/>
  <c r="H4475" i="2"/>
  <c r="H4471" i="2"/>
  <c r="H4467" i="2"/>
  <c r="H4463" i="2"/>
  <c r="H4459" i="2"/>
  <c r="H4455" i="2"/>
  <c r="H4451" i="2"/>
  <c r="H4447" i="2"/>
  <c r="H4443" i="2"/>
  <c r="H4439" i="2"/>
  <c r="H4435" i="2"/>
  <c r="H4431" i="2"/>
  <c r="H4427" i="2"/>
  <c r="H4423" i="2"/>
  <c r="H4419" i="2"/>
  <c r="H4415" i="2"/>
  <c r="H4411" i="2"/>
  <c r="H4407" i="2"/>
  <c r="H4403" i="2"/>
  <c r="H4399" i="2"/>
  <c r="H4395" i="2"/>
  <c r="H4391" i="2"/>
  <c r="H4387" i="2"/>
  <c r="H4383" i="2"/>
  <c r="H4379" i="2"/>
  <c r="H4375" i="2"/>
  <c r="H4371" i="2"/>
  <c r="H4367" i="2"/>
  <c r="H4363" i="2"/>
  <c r="H4359" i="2"/>
  <c r="H4355" i="2"/>
  <c r="H4351" i="2"/>
  <c r="H4347" i="2"/>
  <c r="H4343" i="2"/>
  <c r="H4339" i="2"/>
  <c r="H4335" i="2"/>
  <c r="H4331" i="2"/>
  <c r="H4327" i="2"/>
  <c r="H4323" i="2"/>
  <c r="H4319" i="2"/>
  <c r="H4315" i="2"/>
  <c r="H4311" i="2"/>
  <c r="H4307" i="2"/>
  <c r="H4303" i="2"/>
  <c r="H4299" i="2"/>
  <c r="H4295" i="2"/>
  <c r="H4291" i="2"/>
  <c r="H4287" i="2"/>
  <c r="H4283" i="2"/>
  <c r="H4279" i="2"/>
  <c r="H4275" i="2"/>
  <c r="H4271" i="2"/>
  <c r="H4267" i="2"/>
  <c r="H4263" i="2"/>
  <c r="H4259" i="2"/>
  <c r="H4255" i="2"/>
  <c r="H4251" i="2"/>
  <c r="H4247" i="2"/>
  <c r="H4243" i="2"/>
  <c r="H4239" i="2"/>
  <c r="H4235" i="2"/>
  <c r="H4231" i="2"/>
  <c r="H4227" i="2"/>
  <c r="H4223" i="2"/>
  <c r="H4219" i="2"/>
  <c r="H4215" i="2"/>
  <c r="H4211" i="2"/>
  <c r="H4207" i="2"/>
  <c r="H4203" i="2"/>
  <c r="H4199" i="2"/>
  <c r="H4195" i="2"/>
  <c r="H4191" i="2"/>
  <c r="H4187" i="2"/>
  <c r="H4183" i="2"/>
  <c r="H4179" i="2"/>
  <c r="H4175" i="2"/>
  <c r="H4171" i="2"/>
  <c r="H4167" i="2"/>
  <c r="H4163" i="2"/>
  <c r="H4159" i="2"/>
  <c r="H4155" i="2"/>
  <c r="H4151" i="2"/>
  <c r="H4147" i="2"/>
  <c r="H4143" i="2"/>
  <c r="H4139" i="2"/>
  <c r="H4135" i="2"/>
  <c r="H4131" i="2"/>
  <c r="H4127" i="2"/>
  <c r="H4123" i="2"/>
  <c r="H4119" i="2"/>
  <c r="H4115" i="2"/>
  <c r="H4111" i="2"/>
  <c r="H4107" i="2"/>
  <c r="H4103" i="2"/>
  <c r="H4099" i="2"/>
  <c r="H4095" i="2"/>
  <c r="H4091" i="2"/>
  <c r="H4087" i="2"/>
  <c r="H4083" i="2"/>
  <c r="H4079" i="2"/>
  <c r="H4075" i="2"/>
  <c r="H4071" i="2"/>
  <c r="H4067" i="2"/>
  <c r="H4063" i="2"/>
  <c r="H4059" i="2"/>
  <c r="H4055" i="2"/>
  <c r="H4051" i="2"/>
  <c r="H4047" i="2"/>
  <c r="H4043" i="2"/>
  <c r="H4039" i="2"/>
  <c r="H4035" i="2"/>
  <c r="H4031" i="2"/>
  <c r="H4027" i="2"/>
  <c r="H4023" i="2"/>
  <c r="H4019" i="2"/>
  <c r="H4015" i="2"/>
  <c r="H4011" i="2"/>
  <c r="H4007" i="2"/>
  <c r="H4003" i="2"/>
  <c r="H3999" i="2"/>
  <c r="H3995" i="2"/>
  <c r="H3991" i="2"/>
  <c r="H3987" i="2"/>
  <c r="H3983" i="2"/>
  <c r="H3979" i="2"/>
  <c r="H3975" i="2"/>
  <c r="H3971" i="2"/>
  <c r="H3967" i="2"/>
  <c r="H3963" i="2"/>
  <c r="H3959" i="2"/>
  <c r="H3955" i="2"/>
  <c r="H3951" i="2"/>
  <c r="H3947" i="2"/>
  <c r="H3943" i="2"/>
  <c r="H3939" i="2"/>
  <c r="H3935" i="2"/>
  <c r="H3931" i="2"/>
  <c r="H3927" i="2"/>
  <c r="H3923" i="2"/>
  <c r="H3919" i="2"/>
  <c r="H3915" i="2"/>
  <c r="H3911" i="2"/>
  <c r="H3907" i="2"/>
  <c r="H3903" i="2"/>
  <c r="H3899" i="2"/>
  <c r="H3895" i="2"/>
  <c r="H3891" i="2"/>
  <c r="H3887" i="2"/>
  <c r="H3883" i="2"/>
  <c r="H3879" i="2"/>
  <c r="H3875" i="2"/>
  <c r="H3871" i="2"/>
  <c r="H3867" i="2"/>
  <c r="H3863" i="2"/>
  <c r="H3859" i="2"/>
  <c r="H3855" i="2"/>
  <c r="H3851" i="2"/>
  <c r="H3847" i="2"/>
  <c r="H3843" i="2"/>
  <c r="H3839" i="2"/>
  <c r="H3835" i="2"/>
  <c r="H3831" i="2"/>
  <c r="H3827" i="2"/>
  <c r="H3823" i="2"/>
  <c r="H3819" i="2"/>
  <c r="H3815" i="2"/>
  <c r="H3811" i="2"/>
  <c r="H3807" i="2"/>
  <c r="H3803" i="2"/>
  <c r="H3799" i="2"/>
  <c r="H3795" i="2"/>
  <c r="H3791" i="2"/>
  <c r="H3787" i="2"/>
  <c r="H3783" i="2"/>
  <c r="H3779" i="2"/>
  <c r="H3775" i="2"/>
  <c r="H3771" i="2"/>
  <c r="H3767" i="2"/>
  <c r="H3763" i="2"/>
  <c r="H3759" i="2"/>
  <c r="H3755" i="2"/>
  <c r="H3751" i="2"/>
  <c r="H3747" i="2"/>
  <c r="H3743" i="2"/>
  <c r="H3739" i="2"/>
  <c r="H3735" i="2"/>
  <c r="H3731" i="2"/>
  <c r="H3727" i="2"/>
  <c r="H3723" i="2"/>
  <c r="H3719" i="2"/>
  <c r="H3715" i="2"/>
  <c r="H3711" i="2"/>
  <c r="H3707" i="2"/>
  <c r="H3703" i="2"/>
  <c r="H3699" i="2"/>
  <c r="H3695" i="2"/>
  <c r="H3691" i="2"/>
  <c r="H3687" i="2"/>
  <c r="H3683" i="2"/>
  <c r="H3679" i="2"/>
  <c r="H3675" i="2"/>
  <c r="H3671" i="2"/>
  <c r="H3667" i="2"/>
  <c r="H3663" i="2"/>
  <c r="H3659" i="2"/>
  <c r="H3655" i="2"/>
  <c r="H3651" i="2"/>
  <c r="H3647" i="2"/>
  <c r="H3643" i="2"/>
  <c r="H3639" i="2"/>
  <c r="H3635" i="2"/>
  <c r="H3631" i="2"/>
  <c r="H3627" i="2"/>
  <c r="H3623" i="2"/>
  <c r="H3619" i="2"/>
  <c r="H3615" i="2"/>
  <c r="H3611" i="2"/>
  <c r="H3607" i="2"/>
  <c r="H3603" i="2"/>
  <c r="H3599" i="2"/>
  <c r="H3595" i="2"/>
  <c r="H3591" i="2"/>
  <c r="H3587" i="2"/>
  <c r="H3583" i="2"/>
  <c r="H3579" i="2"/>
  <c r="H3575" i="2"/>
  <c r="H3571" i="2"/>
  <c r="H3567" i="2"/>
  <c r="H3563" i="2"/>
  <c r="H3559" i="2"/>
  <c r="H3555" i="2"/>
  <c r="H3551" i="2"/>
  <c r="H3547" i="2"/>
  <c r="H3543" i="2"/>
  <c r="H3539" i="2"/>
  <c r="H3535" i="2"/>
  <c r="H3531" i="2"/>
  <c r="H3527" i="2"/>
  <c r="H3523" i="2"/>
  <c r="H3519" i="2"/>
  <c r="H3515" i="2"/>
  <c r="H3511" i="2"/>
  <c r="H3507" i="2"/>
  <c r="H3503" i="2"/>
  <c r="H3499" i="2"/>
  <c r="H3495" i="2"/>
  <c r="H3491" i="2"/>
  <c r="H3487" i="2"/>
  <c r="H3483" i="2"/>
  <c r="H3479" i="2"/>
  <c r="H3475" i="2"/>
  <c r="H3471" i="2"/>
  <c r="H3467" i="2"/>
  <c r="H3463" i="2"/>
  <c r="H3459" i="2"/>
  <c r="H3455" i="2"/>
  <c r="H3451" i="2"/>
  <c r="H3447" i="2"/>
  <c r="H3443" i="2"/>
  <c r="H3439" i="2"/>
  <c r="H3435" i="2"/>
  <c r="H3431" i="2"/>
  <c r="H3427" i="2"/>
  <c r="H3423" i="2"/>
  <c r="H3419" i="2"/>
  <c r="H3415" i="2"/>
  <c r="H3411" i="2"/>
  <c r="H3407" i="2"/>
  <c r="H3403" i="2"/>
  <c r="H3399" i="2"/>
  <c r="H3391" i="2"/>
  <c r="H3383" i="2"/>
  <c r="H3375" i="2"/>
  <c r="H3367" i="2"/>
  <c r="H3359" i="2"/>
  <c r="H3351" i="2"/>
  <c r="H3343" i="2"/>
  <c r="H3335" i="2"/>
  <c r="H3327" i="2"/>
  <c r="H3319" i="2"/>
  <c r="H3311" i="2"/>
  <c r="H3303" i="2"/>
  <c r="H3295" i="2"/>
  <c r="H3287" i="2"/>
  <c r="H3279" i="2"/>
  <c r="H3271" i="2"/>
  <c r="H3263" i="2"/>
  <c r="H3255" i="2"/>
  <c r="H3247" i="2"/>
  <c r="H3239" i="2"/>
  <c r="H3231" i="2"/>
  <c r="H3223" i="2"/>
  <c r="H3215" i="2"/>
  <c r="H3207" i="2"/>
  <c r="H3199" i="2"/>
  <c r="H3191" i="2"/>
  <c r="H3396" i="2"/>
  <c r="H3392" i="2"/>
  <c r="H3388" i="2"/>
  <c r="H3384" i="2"/>
  <c r="H3380" i="2"/>
  <c r="H3376" i="2"/>
  <c r="H3372" i="2"/>
  <c r="H3368" i="2"/>
  <c r="H3364" i="2"/>
  <c r="H3360" i="2"/>
  <c r="H3356" i="2"/>
  <c r="H3352" i="2"/>
  <c r="H3348" i="2"/>
  <c r="H3344" i="2"/>
  <c r="H3340" i="2"/>
  <c r="H3336" i="2"/>
  <c r="H3332" i="2"/>
  <c r="H3328" i="2"/>
  <c r="H3324" i="2"/>
  <c r="H3320" i="2"/>
  <c r="H3316" i="2"/>
  <c r="H3312" i="2"/>
  <c r="H3308" i="2"/>
  <c r="H3304" i="2"/>
  <c r="H3300" i="2"/>
  <c r="H3296" i="2"/>
  <c r="H3292" i="2"/>
  <c r="H3288" i="2"/>
  <c r="H3284" i="2"/>
  <c r="H3280" i="2"/>
  <c r="H3276" i="2"/>
  <c r="H3272" i="2"/>
  <c r="H3268" i="2"/>
  <c r="H3264" i="2"/>
  <c r="H3260" i="2"/>
  <c r="H3256" i="2"/>
  <c r="H3252" i="2"/>
  <c r="H3248" i="2"/>
  <c r="H3244" i="2"/>
  <c r="H3240" i="2"/>
  <c r="H3236" i="2"/>
  <c r="H3232" i="2"/>
  <c r="H3228" i="2"/>
  <c r="H3224" i="2"/>
  <c r="H3220" i="2"/>
  <c r="H3216" i="2"/>
  <c r="H3212" i="2"/>
  <c r="H3208" i="2"/>
  <c r="H3204" i="2"/>
  <c r="H3200" i="2"/>
  <c r="H3196" i="2"/>
  <c r="H3192" i="2"/>
  <c r="H3188" i="2"/>
  <c r="H3184" i="2"/>
  <c r="H3180" i="2"/>
  <c r="H3176" i="2"/>
  <c r="H3172" i="2"/>
  <c r="H3168" i="2"/>
  <c r="H3164" i="2"/>
  <c r="H3160" i="2"/>
  <c r="H3156" i="2"/>
  <c r="H3152" i="2"/>
  <c r="H3148" i="2"/>
  <c r="H3144" i="2"/>
  <c r="H3140" i="2"/>
  <c r="H3136" i="2"/>
  <c r="H3132" i="2"/>
  <c r="H3128" i="2"/>
  <c r="H3124" i="2"/>
  <c r="H3120" i="2"/>
  <c r="H3116" i="2"/>
  <c r="H3112" i="2"/>
  <c r="H3108" i="2"/>
  <c r="H3104" i="2"/>
  <c r="H3100" i="2"/>
  <c r="H3096" i="2"/>
  <c r="H3092" i="2"/>
  <c r="H3088" i="2"/>
  <c r="H3084" i="2"/>
  <c r="H3080" i="2"/>
  <c r="H3076" i="2"/>
  <c r="H3072" i="2"/>
  <c r="H3068" i="2"/>
  <c r="H3064" i="2"/>
  <c r="H3060" i="2"/>
  <c r="H3056" i="2"/>
  <c r="H3052" i="2"/>
  <c r="H3048" i="2"/>
  <c r="H3044" i="2"/>
  <c r="H3040" i="2"/>
  <c r="H3036" i="2"/>
  <c r="H3032" i="2"/>
  <c r="H3028" i="2"/>
  <c r="H3024" i="2"/>
  <c r="H3020" i="2"/>
  <c r="H3016" i="2"/>
  <c r="H3012" i="2"/>
  <c r="H3008" i="2"/>
  <c r="H3004" i="2"/>
  <c r="H3000" i="2"/>
  <c r="H2996" i="2"/>
  <c r="H2992" i="2"/>
  <c r="H2988" i="2"/>
  <c r="H2984" i="2"/>
  <c r="H2980" i="2"/>
  <c r="H2976" i="2"/>
  <c r="H2972" i="2"/>
  <c r="H2968" i="2"/>
  <c r="H2964" i="2"/>
  <c r="H2960" i="2"/>
  <c r="H2956" i="2"/>
  <c r="H2952" i="2"/>
  <c r="H2948" i="2"/>
  <c r="H2944" i="2"/>
  <c r="H2940" i="2"/>
  <c r="H2936" i="2"/>
  <c r="H2932" i="2"/>
  <c r="H2928" i="2"/>
  <c r="H2924" i="2"/>
  <c r="H2920" i="2"/>
  <c r="H2916" i="2"/>
  <c r="H2912" i="2"/>
  <c r="H2908" i="2"/>
  <c r="H2904" i="2"/>
  <c r="H2900" i="2"/>
  <c r="H2896" i="2"/>
  <c r="H2892" i="2"/>
  <c r="H2888" i="2"/>
  <c r="H2884" i="2"/>
  <c r="H2880" i="2"/>
  <c r="H2876" i="2"/>
  <c r="H2872" i="2"/>
  <c r="H2868" i="2"/>
  <c r="H2864" i="2"/>
  <c r="H2860" i="2"/>
  <c r="H2856" i="2"/>
  <c r="H2852" i="2"/>
  <c r="H2848" i="2"/>
  <c r="H2844" i="2"/>
  <c r="H2840" i="2"/>
  <c r="H2836" i="2"/>
  <c r="H2832" i="2"/>
  <c r="H2828" i="2"/>
  <c r="H2824" i="2"/>
  <c r="H2820" i="2"/>
  <c r="H2816" i="2"/>
  <c r="H2812" i="2"/>
  <c r="H2808" i="2"/>
  <c r="H2804" i="2"/>
  <c r="H2800" i="2"/>
  <c r="H2796" i="2"/>
  <c r="H2792" i="2"/>
  <c r="H2788" i="2"/>
  <c r="H2784" i="2"/>
  <c r="H2780" i="2"/>
  <c r="H2776" i="2"/>
  <c r="H2772" i="2"/>
  <c r="H2768" i="2"/>
  <c r="H2764" i="2"/>
  <c r="H2760" i="2"/>
  <c r="H2756" i="2"/>
  <c r="H2752" i="2"/>
  <c r="H2748" i="2"/>
  <c r="H2744" i="2"/>
  <c r="H2740" i="2"/>
  <c r="H2736" i="2"/>
  <c r="H2732" i="2"/>
  <c r="H2728" i="2"/>
  <c r="H2724" i="2"/>
  <c r="H2720" i="2"/>
  <c r="H2716" i="2"/>
  <c r="H2712" i="2"/>
  <c r="H2708" i="2"/>
  <c r="H2704" i="2"/>
  <c r="H2700" i="2"/>
  <c r="H2696" i="2"/>
  <c r="H2692" i="2"/>
  <c r="H2688" i="2"/>
  <c r="H2684" i="2"/>
  <c r="H2680" i="2"/>
  <c r="H2676" i="2"/>
  <c r="H2672" i="2"/>
  <c r="H2668" i="2"/>
  <c r="H2664" i="2"/>
  <c r="H2660" i="2"/>
  <c r="H2656" i="2"/>
  <c r="H2652" i="2"/>
  <c r="H2648" i="2"/>
  <c r="H2644" i="2"/>
  <c r="H2640" i="2"/>
  <c r="H2636" i="2"/>
  <c r="H2632" i="2"/>
  <c r="H2628" i="2"/>
  <c r="H2624" i="2"/>
  <c r="H2620" i="2"/>
  <c r="H2616" i="2"/>
  <c r="H2612" i="2"/>
  <c r="H2608" i="2"/>
  <c r="H2604" i="2"/>
  <c r="H2600" i="2"/>
  <c r="H2596" i="2"/>
  <c r="H2592" i="2"/>
  <c r="H2588" i="2"/>
  <c r="H2584" i="2"/>
  <c r="H2580" i="2"/>
  <c r="H2576" i="2"/>
  <c r="H2572" i="2"/>
  <c r="H2568" i="2"/>
  <c r="H2564" i="2"/>
  <c r="H2560" i="2"/>
  <c r="H2556" i="2"/>
  <c r="H2552" i="2"/>
  <c r="H2548" i="2"/>
  <c r="H2544" i="2"/>
  <c r="H2540" i="2"/>
  <c r="H2536" i="2"/>
  <c r="H2532" i="2"/>
  <c r="H2528" i="2"/>
  <c r="H2524" i="2"/>
  <c r="H2520" i="2"/>
  <c r="H2516" i="2"/>
  <c r="H2512" i="2"/>
  <c r="H2508" i="2"/>
  <c r="H2504" i="2"/>
  <c r="H2500" i="2"/>
  <c r="H2496" i="2"/>
  <c r="H2492" i="2"/>
  <c r="H2488" i="2"/>
  <c r="H2484" i="2"/>
  <c r="H2480" i="2"/>
  <c r="H2476" i="2"/>
  <c r="H2472" i="2"/>
  <c r="H2468" i="2"/>
  <c r="H2464" i="2"/>
  <c r="H2460" i="2"/>
  <c r="H2456" i="2"/>
  <c r="H2452" i="2"/>
  <c r="H2448" i="2"/>
  <c r="H2444" i="2"/>
  <c r="H2440" i="2"/>
  <c r="H2436" i="2"/>
  <c r="H2432" i="2"/>
  <c r="H2428" i="2"/>
  <c r="H2424" i="2"/>
  <c r="H2420" i="2"/>
  <c r="H2416" i="2"/>
  <c r="H2412" i="2"/>
  <c r="H2408" i="2"/>
  <c r="H2404" i="2"/>
  <c r="H2400" i="2"/>
  <c r="H2396" i="2"/>
  <c r="H2392" i="2"/>
  <c r="H2388" i="2"/>
  <c r="H2384" i="2"/>
  <c r="H2380" i="2"/>
  <c r="H2376" i="2"/>
  <c r="H2372" i="2"/>
  <c r="H2368" i="2"/>
  <c r="H2364" i="2"/>
  <c r="H2360" i="2"/>
  <c r="H2356" i="2"/>
  <c r="H2352" i="2"/>
  <c r="H2348" i="2"/>
  <c r="H2344" i="2"/>
  <c r="H2340" i="2"/>
  <c r="H2336" i="2"/>
  <c r="H2332" i="2"/>
  <c r="H2328" i="2"/>
  <c r="H2324" i="2"/>
  <c r="H2320" i="2"/>
  <c r="H2316" i="2"/>
  <c r="H2312" i="2"/>
  <c r="H2308" i="2"/>
  <c r="H2304" i="2"/>
  <c r="H2300" i="2"/>
  <c r="H2296" i="2"/>
  <c r="H2292" i="2"/>
  <c r="H2288" i="2"/>
  <c r="H2284" i="2"/>
  <c r="H2280" i="2"/>
  <c r="H2276" i="2"/>
  <c r="H2272" i="2"/>
  <c r="H2268" i="2"/>
  <c r="H2264" i="2"/>
  <c r="H2260" i="2"/>
  <c r="H2256" i="2"/>
  <c r="H2252" i="2"/>
  <c r="H2248" i="2"/>
  <c r="H2244" i="2"/>
  <c r="H2240" i="2"/>
  <c r="H2236" i="2"/>
  <c r="H2232" i="2"/>
  <c r="H2228" i="2"/>
  <c r="H2224" i="2"/>
  <c r="H2220" i="2"/>
  <c r="H2216" i="2"/>
  <c r="H2212" i="2"/>
  <c r="H2208" i="2"/>
  <c r="H2204" i="2"/>
  <c r="H2200" i="2"/>
  <c r="H2196" i="2"/>
  <c r="H2192" i="2"/>
  <c r="H2188" i="2"/>
  <c r="H2184" i="2"/>
  <c r="H2180" i="2"/>
  <c r="H2172" i="2"/>
  <c r="H2164" i="2"/>
  <c r="H2156" i="2"/>
  <c r="H2148" i="2"/>
  <c r="H2140" i="2"/>
  <c r="H2132" i="2"/>
  <c r="H2124" i="2"/>
  <c r="H2116" i="2"/>
  <c r="H2108" i="2"/>
  <c r="H2100" i="2"/>
  <c r="H2092" i="2"/>
  <c r="H2084" i="2"/>
  <c r="H2076" i="2"/>
  <c r="H2068" i="2"/>
  <c r="H2060" i="2"/>
  <c r="H2052" i="2"/>
  <c r="H2044" i="2"/>
  <c r="H2036" i="2"/>
  <c r="H2028" i="2"/>
  <c r="H2020" i="2"/>
  <c r="H2012" i="2"/>
  <c r="H2004" i="2"/>
  <c r="H1996" i="2"/>
  <c r="H1988" i="2"/>
  <c r="H1980" i="2"/>
  <c r="H1972" i="2"/>
  <c r="H1964" i="2"/>
  <c r="H1956" i="2"/>
  <c r="H1948" i="2"/>
  <c r="H1940" i="2"/>
  <c r="H1932" i="2"/>
  <c r="H1924" i="2"/>
  <c r="H1916" i="2"/>
  <c r="H1908" i="2"/>
  <c r="H1900" i="2"/>
  <c r="H1892" i="2"/>
  <c r="H3187" i="2"/>
  <c r="H3183" i="2"/>
  <c r="H3179" i="2"/>
  <c r="H3175" i="2"/>
  <c r="H3171" i="2"/>
  <c r="H3167" i="2"/>
  <c r="H3163" i="2"/>
  <c r="H3159" i="2"/>
  <c r="H3155" i="2"/>
  <c r="H3151" i="2"/>
  <c r="H3147" i="2"/>
  <c r="H3143" i="2"/>
  <c r="H3139" i="2"/>
  <c r="H3135" i="2"/>
  <c r="H3131" i="2"/>
  <c r="H3127" i="2"/>
  <c r="H3123" i="2"/>
  <c r="H3119" i="2"/>
  <c r="H3115" i="2"/>
  <c r="H3111" i="2"/>
  <c r="H3107" i="2"/>
  <c r="H3103" i="2"/>
  <c r="H3099" i="2"/>
  <c r="H3095" i="2"/>
  <c r="H3091" i="2"/>
  <c r="H3087" i="2"/>
  <c r="H3083" i="2"/>
  <c r="H3079" i="2"/>
  <c r="H3075" i="2"/>
  <c r="H3071" i="2"/>
  <c r="H3067" i="2"/>
  <c r="H3063" i="2"/>
  <c r="H3059" i="2"/>
  <c r="H3055" i="2"/>
  <c r="H3051" i="2"/>
  <c r="H3047" i="2"/>
  <c r="H3043" i="2"/>
  <c r="H3039" i="2"/>
  <c r="H3035" i="2"/>
  <c r="H3031" i="2"/>
  <c r="H3027" i="2"/>
  <c r="H3023" i="2"/>
  <c r="H3019" i="2"/>
  <c r="H3015" i="2"/>
  <c r="H3011" i="2"/>
  <c r="H3007" i="2"/>
  <c r="H3003" i="2"/>
  <c r="H2999" i="2"/>
  <c r="H2995" i="2"/>
  <c r="H2991" i="2"/>
  <c r="H2987" i="2"/>
  <c r="H2983" i="2"/>
  <c r="H2979" i="2"/>
  <c r="H2975" i="2"/>
  <c r="H2971" i="2"/>
  <c r="H2967" i="2"/>
  <c r="H2963" i="2"/>
  <c r="H2959" i="2"/>
  <c r="H2955" i="2"/>
  <c r="H2951" i="2"/>
  <c r="H2947" i="2"/>
  <c r="H2943" i="2"/>
  <c r="H2939" i="2"/>
  <c r="H2935" i="2"/>
  <c r="H2931" i="2"/>
  <c r="H2927" i="2"/>
  <c r="H2923" i="2"/>
  <c r="H2919" i="2"/>
  <c r="H2915" i="2"/>
  <c r="H2911" i="2"/>
  <c r="H2907" i="2"/>
  <c r="H2903" i="2"/>
  <c r="H2899" i="2"/>
  <c r="H2895" i="2"/>
  <c r="H2891" i="2"/>
  <c r="H2887" i="2"/>
  <c r="H2883" i="2"/>
  <c r="H2879" i="2"/>
  <c r="H2875" i="2"/>
  <c r="H2871" i="2"/>
  <c r="H2867" i="2"/>
  <c r="H2863" i="2"/>
  <c r="H2859" i="2"/>
  <c r="H2855" i="2"/>
  <c r="H2851" i="2"/>
  <c r="H2847" i="2"/>
  <c r="H2843" i="2"/>
  <c r="H2839" i="2"/>
  <c r="H2835" i="2"/>
  <c r="H2831" i="2"/>
  <c r="H2827" i="2"/>
  <c r="H2823" i="2"/>
  <c r="H2819" i="2"/>
  <c r="H2815" i="2"/>
  <c r="H2811" i="2"/>
  <c r="H2807" i="2"/>
  <c r="H2803" i="2"/>
  <c r="H2799" i="2"/>
  <c r="H2795" i="2"/>
  <c r="H2791" i="2"/>
  <c r="H2787" i="2"/>
  <c r="H2783" i="2"/>
  <c r="H2779" i="2"/>
  <c r="H2775" i="2"/>
  <c r="H2771" i="2"/>
  <c r="H2767" i="2"/>
  <c r="H2763" i="2"/>
  <c r="H2759" i="2"/>
  <c r="H2755" i="2"/>
  <c r="H2751" i="2"/>
  <c r="H2747" i="2"/>
  <c r="H2743" i="2"/>
  <c r="H2739" i="2"/>
  <c r="H2735" i="2"/>
  <c r="H2731" i="2"/>
  <c r="H2727" i="2"/>
  <c r="H2723" i="2"/>
  <c r="H2719" i="2"/>
  <c r="H2715" i="2"/>
  <c r="H2711" i="2"/>
  <c r="H2707" i="2"/>
  <c r="H2703" i="2"/>
  <c r="H2699" i="2"/>
  <c r="H2695" i="2"/>
  <c r="H2691" i="2"/>
  <c r="H2687" i="2"/>
  <c r="H2683" i="2"/>
  <c r="H2679" i="2"/>
  <c r="H2675" i="2"/>
  <c r="H2671" i="2"/>
  <c r="H2667" i="2"/>
  <c r="H2663" i="2"/>
  <c r="H2659" i="2"/>
  <c r="H2655" i="2"/>
  <c r="H2651" i="2"/>
  <c r="H2647" i="2"/>
  <c r="H2643" i="2"/>
  <c r="H2639" i="2"/>
  <c r="H2635" i="2"/>
  <c r="H2631" i="2"/>
  <c r="H2627" i="2"/>
  <c r="H2623" i="2"/>
  <c r="H2619" i="2"/>
  <c r="H2615" i="2"/>
  <c r="H2611" i="2"/>
  <c r="H2607" i="2"/>
  <c r="H2603" i="2"/>
  <c r="H2599" i="2"/>
  <c r="H2595" i="2"/>
  <c r="H2591" i="2"/>
  <c r="H2587" i="2"/>
  <c r="H2583" i="2"/>
  <c r="H2579" i="2"/>
  <c r="H2575" i="2"/>
  <c r="H2571" i="2"/>
  <c r="H2567" i="2"/>
  <c r="H2563" i="2"/>
  <c r="H2559" i="2"/>
  <c r="H2555" i="2"/>
  <c r="H2551" i="2"/>
  <c r="H2547" i="2"/>
  <c r="H2543" i="2"/>
  <c r="H2539" i="2"/>
  <c r="H2535" i="2"/>
  <c r="H2531" i="2"/>
  <c r="H2527" i="2"/>
  <c r="H2523" i="2"/>
  <c r="H2519" i="2"/>
  <c r="H2515" i="2"/>
  <c r="H2511" i="2"/>
  <c r="H2507" i="2"/>
  <c r="H2503" i="2"/>
  <c r="H2499" i="2"/>
  <c r="H2495" i="2"/>
  <c r="H2491" i="2"/>
  <c r="H2487" i="2"/>
  <c r="H2483" i="2"/>
  <c r="H2479" i="2"/>
  <c r="H2475" i="2"/>
  <c r="H2471" i="2"/>
  <c r="H2467" i="2"/>
  <c r="H2463" i="2"/>
  <c r="H2459" i="2"/>
  <c r="H2455" i="2"/>
  <c r="H2451" i="2"/>
  <c r="H2447" i="2"/>
  <c r="H2443" i="2"/>
  <c r="H2439" i="2"/>
  <c r="H2435" i="2"/>
  <c r="H2431" i="2"/>
  <c r="H2427" i="2"/>
  <c r="H2423" i="2"/>
  <c r="H2419" i="2"/>
  <c r="H2415" i="2"/>
  <c r="H2411" i="2"/>
  <c r="H2407" i="2"/>
  <c r="H2403" i="2"/>
  <c r="H2399" i="2"/>
  <c r="H2395" i="2"/>
  <c r="H2391" i="2"/>
  <c r="H2387" i="2"/>
  <c r="H2383" i="2"/>
  <c r="H2379" i="2"/>
  <c r="H2375" i="2"/>
  <c r="H2371" i="2"/>
  <c r="H2367" i="2"/>
  <c r="H2363" i="2"/>
  <c r="H2359" i="2"/>
  <c r="H2355" i="2"/>
  <c r="H2351" i="2"/>
  <c r="H2347" i="2"/>
  <c r="H2343" i="2"/>
  <c r="H2339" i="2"/>
  <c r="H2335" i="2"/>
  <c r="H2331" i="2"/>
  <c r="H2327" i="2"/>
  <c r="H2323" i="2"/>
  <c r="H2319" i="2"/>
  <c r="H2315" i="2"/>
  <c r="H2311" i="2"/>
  <c r="H2307" i="2"/>
  <c r="H2303" i="2"/>
  <c r="H2299" i="2"/>
  <c r="H2295" i="2"/>
  <c r="H2291" i="2"/>
  <c r="H2287" i="2"/>
  <c r="H2283" i="2"/>
  <c r="H2279" i="2"/>
  <c r="H2275" i="2"/>
  <c r="H2271" i="2"/>
  <c r="H2267" i="2"/>
  <c r="H2263" i="2"/>
  <c r="H2259" i="2"/>
  <c r="H2255" i="2"/>
  <c r="H2251" i="2"/>
  <c r="H2247" i="2"/>
  <c r="H2243" i="2"/>
  <c r="H2239" i="2"/>
  <c r="H2235" i="2"/>
  <c r="H2231" i="2"/>
  <c r="H2227" i="2"/>
  <c r="H2223" i="2"/>
  <c r="H2219" i="2"/>
  <c r="H2215" i="2"/>
  <c r="H2211" i="2"/>
  <c r="H2207" i="2"/>
  <c r="H2203" i="2"/>
  <c r="H2199" i="2"/>
  <c r="H2195" i="2"/>
  <c r="H2191" i="2"/>
  <c r="H2187" i="2"/>
  <c r="H2183" i="2"/>
  <c r="H2178" i="2"/>
  <c r="H2170" i="2"/>
  <c r="H2162" i="2"/>
  <c r="H2154" i="2"/>
  <c r="H2146" i="2"/>
  <c r="H2138" i="2"/>
  <c r="H2130" i="2"/>
  <c r="H2122" i="2"/>
  <c r="H2114" i="2"/>
  <c r="H2106" i="2"/>
  <c r="H2098" i="2"/>
  <c r="H2090" i="2"/>
  <c r="H2082" i="2"/>
  <c r="H2074" i="2"/>
  <c r="H2066" i="2"/>
  <c r="H2058" i="2"/>
  <c r="H2050" i="2"/>
  <c r="H2042" i="2"/>
  <c r="H2034" i="2"/>
  <c r="H2026" i="2"/>
  <c r="H2018" i="2"/>
  <c r="H2010" i="2"/>
  <c r="H2002" i="2"/>
  <c r="H1994" i="2"/>
  <c r="H1986" i="2"/>
  <c r="H1978" i="2"/>
  <c r="H1970" i="2"/>
  <c r="H1962" i="2"/>
  <c r="H1954" i="2"/>
  <c r="H1946" i="2"/>
  <c r="H1938" i="2"/>
  <c r="H1930" i="2"/>
  <c r="H1922" i="2"/>
  <c r="H1914" i="2"/>
  <c r="H1906" i="2"/>
  <c r="H1898" i="2"/>
  <c r="H1890" i="2"/>
  <c r="H2177" i="2"/>
  <c r="H2173" i="2"/>
  <c r="H2169" i="2"/>
  <c r="H2165" i="2"/>
  <c r="H2161" i="2"/>
  <c r="H2157" i="2"/>
  <c r="H2153" i="2"/>
  <c r="H2149" i="2"/>
  <c r="H2145" i="2"/>
  <c r="H2141" i="2"/>
  <c r="H2137" i="2"/>
  <c r="H2133" i="2"/>
  <c r="H2129" i="2"/>
  <c r="H2125" i="2"/>
  <c r="H2121" i="2"/>
  <c r="H2117" i="2"/>
  <c r="H2113" i="2"/>
  <c r="H2109" i="2"/>
  <c r="H2105" i="2"/>
  <c r="H2101" i="2"/>
  <c r="H2097" i="2"/>
  <c r="H2093" i="2"/>
  <c r="H2089" i="2"/>
  <c r="H2085" i="2"/>
  <c r="H2081" i="2"/>
  <c r="H2077" i="2"/>
  <c r="H2073" i="2"/>
  <c r="H2069" i="2"/>
  <c r="H2065" i="2"/>
  <c r="H2061" i="2"/>
  <c r="H2057" i="2"/>
  <c r="H2053" i="2"/>
  <c r="H2049" i="2"/>
  <c r="H2045" i="2"/>
  <c r="H2041" i="2"/>
  <c r="H2037" i="2"/>
  <c r="H2033" i="2"/>
  <c r="H2029" i="2"/>
  <c r="H2025" i="2"/>
  <c r="H2021" i="2"/>
  <c r="H2017" i="2"/>
  <c r="H2013" i="2"/>
  <c r="H2009" i="2"/>
  <c r="H2005" i="2"/>
  <c r="H2001" i="2"/>
  <c r="H1997" i="2"/>
  <c r="H1993" i="2"/>
  <c r="H1989" i="2"/>
  <c r="H1985" i="2"/>
  <c r="H1981" i="2"/>
  <c r="H1977" i="2"/>
  <c r="H1973" i="2"/>
  <c r="H1969" i="2"/>
  <c r="H1965" i="2"/>
  <c r="H1961" i="2"/>
  <c r="H1957" i="2"/>
  <c r="H1953" i="2"/>
  <c r="H1949" i="2"/>
  <c r="H1945" i="2"/>
  <c r="H1941" i="2"/>
  <c r="H1937" i="2"/>
  <c r="H1933" i="2"/>
  <c r="H1929" i="2"/>
  <c r="H1925" i="2"/>
  <c r="H1921" i="2"/>
  <c r="H1917" i="2"/>
  <c r="H1913" i="2"/>
  <c r="H1909" i="2"/>
  <c r="H1905" i="2"/>
  <c r="H1901" i="2"/>
  <c r="H1897" i="2"/>
  <c r="H1893" i="2"/>
  <c r="H1889" i="2"/>
  <c r="H1885" i="2"/>
  <c r="H1881" i="2"/>
  <c r="H1877" i="2"/>
  <c r="H1873" i="2"/>
  <c r="H1869" i="2"/>
  <c r="H1865" i="2"/>
  <c r="H1861" i="2"/>
  <c r="H1857" i="2"/>
  <c r="H1853" i="2"/>
  <c r="H1849" i="2"/>
  <c r="H1845" i="2"/>
  <c r="H1841" i="2"/>
  <c r="H1837" i="2"/>
  <c r="H1833" i="2"/>
  <c r="H1829" i="2"/>
  <c r="H1825" i="2"/>
  <c r="H1821" i="2"/>
  <c r="H1817" i="2"/>
  <c r="H1813" i="2"/>
  <c r="H1809" i="2"/>
  <c r="H1805" i="2"/>
  <c r="H1801" i="2"/>
  <c r="H1797" i="2"/>
  <c r="H1793" i="2"/>
  <c r="H1789" i="2"/>
  <c r="H1785" i="2"/>
  <c r="H1781" i="2"/>
  <c r="H1777" i="2"/>
  <c r="H1773" i="2"/>
  <c r="H1769" i="2"/>
  <c r="H1765" i="2"/>
  <c r="H1761" i="2"/>
  <c r="H1757" i="2"/>
  <c r="H1753" i="2"/>
  <c r="H1749" i="2"/>
  <c r="H1745" i="2"/>
  <c r="H1741" i="2"/>
  <c r="H1737" i="2"/>
  <c r="H1733" i="2"/>
  <c r="H1729" i="2"/>
  <c r="H1725" i="2"/>
  <c r="H1721" i="2"/>
  <c r="H1717" i="2"/>
  <c r="H1713" i="2"/>
  <c r="H1709" i="2"/>
  <c r="H1705" i="2"/>
  <c r="H1701" i="2"/>
  <c r="H1697" i="2"/>
  <c r="H1693" i="2"/>
  <c r="H1689" i="2"/>
  <c r="H1685" i="2"/>
  <c r="H1681" i="2"/>
  <c r="H1677" i="2"/>
  <c r="H1673" i="2"/>
  <c r="H1669" i="2"/>
  <c r="H1665" i="2"/>
  <c r="H1661" i="2"/>
  <c r="H1657" i="2"/>
  <c r="H1653" i="2"/>
  <c r="H1649" i="2"/>
  <c r="H1645" i="2"/>
  <c r="H1641" i="2"/>
  <c r="H1637" i="2"/>
  <c r="H1633" i="2"/>
  <c r="H1629" i="2"/>
  <c r="H1625" i="2"/>
  <c r="H1621" i="2"/>
  <c r="H1617" i="2"/>
  <c r="H1613" i="2"/>
  <c r="H1609" i="2"/>
  <c r="H1605" i="2"/>
  <c r="H1601" i="2"/>
  <c r="H1597" i="2"/>
  <c r="H1593" i="2"/>
  <c r="H1589" i="2"/>
  <c r="H1585" i="2"/>
  <c r="H1581" i="2"/>
  <c r="H1577" i="2"/>
  <c r="H1573" i="2"/>
  <c r="H1569" i="2"/>
  <c r="H1565" i="2"/>
  <c r="H1561" i="2"/>
  <c r="H1557" i="2"/>
  <c r="H1553" i="2"/>
  <c r="H1549" i="2"/>
  <c r="H1545" i="2"/>
  <c r="H1541" i="2"/>
  <c r="H1537" i="2"/>
  <c r="H1533" i="2"/>
  <c r="H1529" i="2"/>
  <c r="H1525" i="2"/>
  <c r="H1521" i="2"/>
  <c r="H1517" i="2"/>
  <c r="H1513" i="2"/>
  <c r="H1509" i="2"/>
  <c r="H1505" i="2"/>
  <c r="H1501" i="2"/>
  <c r="H1888" i="2"/>
  <c r="H1884" i="2"/>
  <c r="H1880" i="2"/>
  <c r="H1876" i="2"/>
  <c r="H1872" i="2"/>
  <c r="H1868" i="2"/>
  <c r="H1864" i="2"/>
  <c r="H1860" i="2"/>
  <c r="H1856" i="2"/>
  <c r="H1852" i="2"/>
  <c r="H1848" i="2"/>
  <c r="H1844" i="2"/>
  <c r="H1840" i="2"/>
  <c r="H1836" i="2"/>
  <c r="H1832" i="2"/>
  <c r="H1828" i="2"/>
  <c r="H1824" i="2"/>
  <c r="H1820" i="2"/>
  <c r="H1816" i="2"/>
  <c r="H1812" i="2"/>
  <c r="H1808" i="2"/>
  <c r="H1804" i="2"/>
  <c r="H1800" i="2"/>
  <c r="H1796" i="2"/>
  <c r="H1792" i="2"/>
  <c r="H1788" i="2"/>
  <c r="H1784" i="2"/>
  <c r="H1780" i="2"/>
  <c r="H1776" i="2"/>
  <c r="H1772" i="2"/>
  <c r="H1768" i="2"/>
  <c r="H1764" i="2"/>
  <c r="H1760" i="2"/>
  <c r="H1756" i="2"/>
  <c r="H1752" i="2"/>
  <c r="H1748" i="2"/>
  <c r="H1744" i="2"/>
  <c r="H1740" i="2"/>
  <c r="H1736" i="2"/>
  <c r="H1732" i="2"/>
  <c r="H1728" i="2"/>
  <c r="H1724" i="2"/>
  <c r="H1720" i="2"/>
  <c r="H1716" i="2"/>
  <c r="H1712" i="2"/>
  <c r="H1708" i="2"/>
  <c r="H1704" i="2"/>
  <c r="H1700" i="2"/>
  <c r="H1696" i="2"/>
  <c r="H1692" i="2"/>
  <c r="H1688" i="2"/>
  <c r="H1684" i="2"/>
  <c r="H1680" i="2"/>
  <c r="H1676" i="2"/>
  <c r="H1672" i="2"/>
  <c r="H1668" i="2"/>
  <c r="H1664" i="2"/>
  <c r="H1660" i="2"/>
  <c r="H1656" i="2"/>
  <c r="H1652" i="2"/>
  <c r="H1648" i="2"/>
  <c r="H1644" i="2"/>
  <c r="H1640" i="2"/>
  <c r="H1636" i="2"/>
  <c r="H1632" i="2"/>
  <c r="H1628" i="2"/>
  <c r="H1624" i="2"/>
  <c r="H1620" i="2"/>
  <c r="H1616" i="2"/>
  <c r="H1612" i="2"/>
  <c r="H1608" i="2"/>
  <c r="H1604" i="2"/>
  <c r="H1600" i="2"/>
  <c r="H1596" i="2"/>
  <c r="H1592" i="2"/>
  <c r="H1588" i="2"/>
  <c r="H1584" i="2"/>
  <c r="H1580" i="2"/>
  <c r="H1576" i="2"/>
  <c r="H1572" i="2"/>
  <c r="H1568" i="2"/>
  <c r="H1564" i="2"/>
  <c r="H1560" i="2"/>
  <c r="H1556" i="2"/>
  <c r="H1552" i="2"/>
  <c r="H1548" i="2"/>
  <c r="H1544" i="2"/>
  <c r="H1540" i="2"/>
  <c r="H1536" i="2"/>
  <c r="H1532" i="2"/>
  <c r="H1528" i="2"/>
  <c r="H1524" i="2"/>
  <c r="H1520" i="2"/>
  <c r="H1516" i="2"/>
  <c r="H1512" i="2"/>
  <c r="H1508" i="2"/>
  <c r="H1504" i="2"/>
  <c r="H1499" i="2"/>
  <c r="H1493" i="2"/>
  <c r="H1489" i="2"/>
  <c r="H1485" i="2"/>
  <c r="H1481" i="2"/>
  <c r="H1477" i="2"/>
  <c r="H1473" i="2"/>
  <c r="H1469" i="2"/>
  <c r="H1465" i="2"/>
  <c r="H1461" i="2"/>
  <c r="H1457" i="2"/>
  <c r="H1453" i="2"/>
  <c r="H1449" i="2"/>
  <c r="H1445" i="2"/>
  <c r="H1441" i="2"/>
  <c r="H1437" i="2"/>
  <c r="H1433" i="2"/>
  <c r="H1429" i="2"/>
  <c r="H1425" i="2"/>
  <c r="H1421" i="2"/>
  <c r="H1417" i="2"/>
  <c r="H1413" i="2"/>
  <c r="H1409" i="2"/>
  <c r="H1405" i="2"/>
  <c r="H1401" i="2"/>
  <c r="H1397" i="2"/>
  <c r="H1393" i="2"/>
  <c r="H1389" i="2"/>
  <c r="H1385" i="2"/>
  <c r="H1381" i="2"/>
  <c r="H1377" i="2"/>
  <c r="H1373" i="2"/>
  <c r="H1369" i="2"/>
  <c r="H1365" i="2"/>
  <c r="H1361" i="2"/>
  <c r="H1357" i="2"/>
  <c r="H1353" i="2"/>
  <c r="H1349" i="2"/>
  <c r="H1345" i="2"/>
  <c r="H1341" i="2"/>
  <c r="H1337" i="2"/>
  <c r="H1333" i="2"/>
  <c r="H1329" i="2"/>
  <c r="H1325" i="2"/>
  <c r="H1321" i="2"/>
  <c r="H1317" i="2"/>
  <c r="H1313" i="2"/>
  <c r="H1309" i="2"/>
  <c r="H1305" i="2"/>
  <c r="H1301" i="2"/>
  <c r="H1297" i="2"/>
  <c r="H1293" i="2"/>
  <c r="H1289" i="2"/>
  <c r="H1285" i="2"/>
  <c r="H1281" i="2"/>
  <c r="H1277" i="2"/>
  <c r="H1273" i="2"/>
  <c r="H1269" i="2"/>
  <c r="H1265" i="2"/>
  <c r="H1261" i="2"/>
  <c r="H1257" i="2"/>
  <c r="H1253" i="2"/>
  <c r="H1249" i="2"/>
  <c r="H1245" i="2"/>
  <c r="H1241" i="2"/>
  <c r="H1237" i="2"/>
  <c r="H1233" i="2"/>
  <c r="H1229" i="2"/>
  <c r="H1225" i="2"/>
  <c r="H1221" i="2"/>
  <c r="H1217" i="2"/>
  <c r="H1213" i="2"/>
  <c r="H1209" i="2"/>
  <c r="H1205" i="2"/>
  <c r="H1201" i="2"/>
  <c r="H1197" i="2"/>
  <c r="H1193" i="2"/>
  <c r="H1189" i="2"/>
  <c r="H1185" i="2"/>
  <c r="H1181" i="2"/>
  <c r="H1177" i="2"/>
  <c r="H1173" i="2"/>
  <c r="H1169" i="2"/>
  <c r="H1165" i="2"/>
  <c r="H1161" i="2"/>
  <c r="H1157" i="2"/>
  <c r="H1153" i="2"/>
  <c r="H1149" i="2"/>
  <c r="H1145" i="2"/>
  <c r="H1141" i="2"/>
  <c r="H1137" i="2"/>
  <c r="H1133" i="2"/>
  <c r="H1129" i="2"/>
  <c r="H1125" i="2"/>
  <c r="H1121" i="2"/>
  <c r="H1117" i="2"/>
  <c r="H1113" i="2"/>
  <c r="H1109" i="2"/>
  <c r="H1105" i="2"/>
  <c r="H1101" i="2"/>
  <c r="H1097" i="2"/>
  <c r="H1093" i="2"/>
  <c r="H1089" i="2"/>
  <c r="H1085" i="2"/>
  <c r="H1081" i="2"/>
  <c r="H1077" i="2"/>
  <c r="H1073" i="2"/>
  <c r="H1069" i="2"/>
  <c r="H1065" i="2"/>
  <c r="H1061" i="2"/>
  <c r="H1057" i="2"/>
  <c r="H1053" i="2"/>
  <c r="H1049" i="2"/>
  <c r="H1045" i="2"/>
  <c r="H1041" i="2"/>
  <c r="H1037" i="2"/>
  <c r="H1033" i="2"/>
  <c r="H1029" i="2"/>
  <c r="H1025" i="2"/>
  <c r="H1021" i="2"/>
  <c r="H1017" i="2"/>
  <c r="H1013" i="2"/>
  <c r="H1009" i="2"/>
  <c r="H1005" i="2"/>
  <c r="H1001" i="2"/>
  <c r="H997" i="2"/>
  <c r="H993" i="2"/>
  <c r="H989" i="2"/>
  <c r="H985" i="2"/>
  <c r="H981" i="2"/>
  <c r="H977" i="2"/>
  <c r="H973" i="2"/>
  <c r="H969" i="2"/>
  <c r="H965" i="2"/>
  <c r="H961" i="2"/>
  <c r="H957" i="2"/>
  <c r="H953" i="2"/>
  <c r="H949" i="2"/>
  <c r="H945" i="2"/>
  <c r="H941" i="2"/>
  <c r="H937" i="2"/>
  <c r="H933" i="2"/>
  <c r="H929" i="2"/>
  <c r="H925" i="2"/>
  <c r="H921" i="2"/>
  <c r="H917" i="2"/>
  <c r="H913" i="2"/>
  <c r="H909" i="2"/>
  <c r="H905" i="2"/>
  <c r="H901" i="2"/>
  <c r="H897" i="2"/>
  <c r="H893" i="2"/>
  <c r="H889" i="2"/>
  <c r="H885" i="2"/>
  <c r="H881" i="2"/>
  <c r="H877" i="2"/>
  <c r="H873" i="2"/>
  <c r="H869" i="2"/>
  <c r="H865" i="2"/>
  <c r="H861" i="2"/>
  <c r="H857" i="2"/>
  <c r="H853" i="2"/>
  <c r="H849" i="2"/>
  <c r="H845" i="2"/>
  <c r="H841" i="2"/>
  <c r="H837" i="2"/>
  <c r="H833" i="2"/>
  <c r="H829" i="2"/>
  <c r="H825" i="2"/>
  <c r="H821" i="2"/>
  <c r="H1498" i="2"/>
  <c r="H1494" i="2"/>
  <c r="H1490" i="2"/>
  <c r="H1486" i="2"/>
  <c r="H1482" i="2"/>
  <c r="H1478" i="2"/>
  <c r="H1474" i="2"/>
  <c r="H1470" i="2"/>
  <c r="H1466" i="2"/>
  <c r="H1462" i="2"/>
  <c r="H1458" i="2"/>
  <c r="H1454" i="2"/>
  <c r="H1450" i="2"/>
  <c r="H1446" i="2"/>
  <c r="H1442" i="2"/>
  <c r="H1438" i="2"/>
  <c r="H1434" i="2"/>
  <c r="H1430" i="2"/>
  <c r="H1426" i="2"/>
  <c r="H1422" i="2"/>
  <c r="H1418" i="2"/>
  <c r="H1414" i="2"/>
  <c r="H1410" i="2"/>
  <c r="H1406" i="2"/>
  <c r="H1402" i="2"/>
  <c r="H1398" i="2"/>
  <c r="H1394" i="2"/>
  <c r="H1390" i="2"/>
  <c r="H1386" i="2"/>
  <c r="H1382" i="2"/>
  <c r="H1378" i="2"/>
  <c r="H1374" i="2"/>
  <c r="H1370" i="2"/>
  <c r="H1366" i="2"/>
  <c r="H1362" i="2"/>
  <c r="H1358" i="2"/>
  <c r="H1354" i="2"/>
  <c r="H1350" i="2"/>
  <c r="H1346" i="2"/>
  <c r="H1342" i="2"/>
  <c r="H1338" i="2"/>
  <c r="H1334" i="2"/>
  <c r="H1330" i="2"/>
  <c r="H1326" i="2"/>
  <c r="H1322" i="2"/>
  <c r="H1318" i="2"/>
  <c r="H1314" i="2"/>
  <c r="H1310" i="2"/>
  <c r="H1306" i="2"/>
  <c r="H1302" i="2"/>
  <c r="H1298" i="2"/>
  <c r="H1294" i="2"/>
  <c r="H1290" i="2"/>
  <c r="H1286" i="2"/>
  <c r="H1282" i="2"/>
  <c r="H1278" i="2"/>
  <c r="H1274" i="2"/>
  <c r="H1270" i="2"/>
  <c r="H1266" i="2"/>
  <c r="H1262" i="2"/>
  <c r="H1258" i="2"/>
  <c r="H1254" i="2"/>
  <c r="H1250" i="2"/>
  <c r="H1246" i="2"/>
  <c r="H1242" i="2"/>
  <c r="H1238" i="2"/>
  <c r="H1234" i="2"/>
  <c r="H1230" i="2"/>
  <c r="H1226" i="2"/>
  <c r="H1222" i="2"/>
  <c r="H1218" i="2"/>
  <c r="H1214" i="2"/>
  <c r="H1210" i="2"/>
  <c r="H1206" i="2"/>
  <c r="H1202" i="2"/>
  <c r="H1198" i="2"/>
  <c r="H1194" i="2"/>
  <c r="H1190" i="2"/>
  <c r="H1186" i="2"/>
  <c r="H1182" i="2"/>
  <c r="H1178" i="2"/>
  <c r="H1174" i="2"/>
  <c r="H1170" i="2"/>
  <c r="H1166" i="2"/>
  <c r="H1162" i="2"/>
  <c r="H1158" i="2"/>
  <c r="H1154" i="2"/>
  <c r="H1150" i="2"/>
  <c r="H1146" i="2"/>
  <c r="H1142" i="2"/>
  <c r="H1138" i="2"/>
  <c r="H1134" i="2"/>
  <c r="H1130" i="2"/>
  <c r="H1126" i="2"/>
  <c r="H1122" i="2"/>
  <c r="H1118" i="2"/>
  <c r="H1114" i="2"/>
  <c r="H1110" i="2"/>
  <c r="H1106" i="2"/>
  <c r="H1102" i="2"/>
  <c r="H1098" i="2"/>
  <c r="H1094" i="2"/>
  <c r="H1090" i="2"/>
  <c r="H1086" i="2"/>
  <c r="H1082" i="2"/>
  <c r="H1078" i="2"/>
  <c r="H1074" i="2"/>
  <c r="H1070" i="2"/>
  <c r="H1066" i="2"/>
  <c r="H1062" i="2"/>
  <c r="H1058" i="2"/>
  <c r="H1054" i="2"/>
  <c r="H1050" i="2"/>
  <c r="H1046" i="2"/>
  <c r="H1042" i="2"/>
  <c r="H1038" i="2"/>
  <c r="H1034" i="2"/>
  <c r="H1030" i="2"/>
  <c r="H1026" i="2"/>
  <c r="H1022" i="2"/>
  <c r="H1018" i="2"/>
  <c r="H1014" i="2"/>
  <c r="H1010" i="2"/>
  <c r="H1006" i="2"/>
  <c r="H1002" i="2"/>
  <c r="H998" i="2"/>
  <c r="H994" i="2"/>
  <c r="H990" i="2"/>
  <c r="H986" i="2"/>
  <c r="H982" i="2"/>
  <c r="H978" i="2"/>
  <c r="H974" i="2"/>
  <c r="H970" i="2"/>
  <c r="H966" i="2"/>
  <c r="H962" i="2"/>
  <c r="H958" i="2"/>
  <c r="H954" i="2"/>
  <c r="H950" i="2"/>
  <c r="H946" i="2"/>
  <c r="H942" i="2"/>
  <c r="H938" i="2"/>
  <c r="H934" i="2"/>
  <c r="H930" i="2"/>
  <c r="H926" i="2"/>
  <c r="H922" i="2"/>
  <c r="H918" i="2"/>
  <c r="H914" i="2"/>
  <c r="H910" i="2"/>
  <c r="H906" i="2"/>
  <c r="H902" i="2"/>
  <c r="H898" i="2"/>
  <c r="H894" i="2"/>
  <c r="H890" i="2"/>
  <c r="H886" i="2"/>
  <c r="H882" i="2"/>
  <c r="H878" i="2"/>
  <c r="H874" i="2"/>
  <c r="H870" i="2"/>
  <c r="H866" i="2"/>
  <c r="H862" i="2"/>
  <c r="H858" i="2"/>
  <c r="H854" i="2"/>
  <c r="H850" i="2"/>
  <c r="H846" i="2"/>
  <c r="H842" i="2"/>
  <c r="H838" i="2"/>
  <c r="H834" i="2"/>
  <c r="H830" i="2"/>
  <c r="H826" i="2"/>
  <c r="H822" i="2"/>
  <c r="H818" i="2"/>
  <c r="H814" i="2"/>
  <c r="H810" i="2"/>
  <c r="H806" i="2"/>
  <c r="H802" i="2"/>
  <c r="H798" i="2"/>
  <c r="H794" i="2"/>
  <c r="H790" i="2"/>
  <c r="H786" i="2"/>
  <c r="H782" i="2"/>
  <c r="H778" i="2"/>
  <c r="H774" i="2"/>
  <c r="H770" i="2"/>
  <c r="H766" i="2"/>
  <c r="H762" i="2"/>
  <c r="H758" i="2"/>
  <c r="H754" i="2"/>
  <c r="H750" i="2"/>
  <c r="H746" i="2"/>
  <c r="H742" i="2"/>
  <c r="H738" i="2"/>
  <c r="H734" i="2"/>
  <c r="H730" i="2"/>
  <c r="H726" i="2"/>
  <c r="H722" i="2"/>
  <c r="H718" i="2"/>
  <c r="H714" i="2"/>
  <c r="H710" i="2"/>
  <c r="H706" i="2"/>
  <c r="H702" i="2"/>
  <c r="H698" i="2"/>
  <c r="H694" i="2"/>
  <c r="H690" i="2"/>
  <c r="H686" i="2"/>
  <c r="H682" i="2"/>
  <c r="H678" i="2"/>
  <c r="H674" i="2"/>
  <c r="H670" i="2"/>
  <c r="H666" i="2"/>
  <c r="H662" i="2"/>
  <c r="H658" i="2"/>
  <c r="H654" i="2"/>
  <c r="H650" i="2"/>
  <c r="H646" i="2"/>
  <c r="H642" i="2"/>
  <c r="H638" i="2"/>
  <c r="H634" i="2"/>
  <c r="H630" i="2"/>
  <c r="H626" i="2"/>
  <c r="H622" i="2"/>
  <c r="H618" i="2"/>
  <c r="H614" i="2"/>
  <c r="H610" i="2"/>
  <c r="H606" i="2"/>
  <c r="H602" i="2"/>
  <c r="H598" i="2"/>
  <c r="H594" i="2"/>
  <c r="H590" i="2"/>
  <c r="H586" i="2"/>
  <c r="H582" i="2"/>
  <c r="H578" i="2"/>
  <c r="H574" i="2"/>
  <c r="H570" i="2"/>
  <c r="H566" i="2"/>
  <c r="H562" i="2"/>
  <c r="H558" i="2"/>
  <c r="H554" i="2"/>
  <c r="H550" i="2"/>
  <c r="H546" i="2"/>
  <c r="H542" i="2"/>
  <c r="H538" i="2"/>
  <c r="H534" i="2"/>
  <c r="H530" i="2"/>
  <c r="H526" i="2"/>
  <c r="H522" i="2"/>
  <c r="H518" i="2"/>
  <c r="H514" i="2"/>
  <c r="H510" i="2"/>
  <c r="H506" i="2"/>
  <c r="H502" i="2"/>
  <c r="H498" i="2"/>
  <c r="H494" i="2"/>
  <c r="H490" i="2"/>
  <c r="H482" i="2"/>
  <c r="H474" i="2"/>
  <c r="H817" i="2"/>
  <c r="H813" i="2"/>
  <c r="H809" i="2"/>
  <c r="H805" i="2"/>
  <c r="H801" i="2"/>
  <c r="H797" i="2"/>
  <c r="H793" i="2"/>
  <c r="H789" i="2"/>
  <c r="H785" i="2"/>
  <c r="H781" i="2"/>
  <c r="H777" i="2"/>
  <c r="H773" i="2"/>
  <c r="H769" i="2"/>
  <c r="H765" i="2"/>
  <c r="H761" i="2"/>
  <c r="H757" i="2"/>
  <c r="H753" i="2"/>
  <c r="H749" i="2"/>
  <c r="H745" i="2"/>
  <c r="H741" i="2"/>
  <c r="H737" i="2"/>
  <c r="H733" i="2"/>
  <c r="H729" i="2"/>
  <c r="H725" i="2"/>
  <c r="H721" i="2"/>
  <c r="H717" i="2"/>
  <c r="H713" i="2"/>
  <c r="H709" i="2"/>
  <c r="H705" i="2"/>
  <c r="H701" i="2"/>
  <c r="H697" i="2"/>
  <c r="H693" i="2"/>
  <c r="H689" i="2"/>
  <c r="H685" i="2"/>
  <c r="H681" i="2"/>
  <c r="H677" i="2"/>
  <c r="H673" i="2"/>
  <c r="H669" i="2"/>
  <c r="H665" i="2"/>
  <c r="H661" i="2"/>
  <c r="H657" i="2"/>
  <c r="H653" i="2"/>
  <c r="H649" i="2"/>
  <c r="H645" i="2"/>
  <c r="H641" i="2"/>
  <c r="H637" i="2"/>
  <c r="H633" i="2"/>
  <c r="H629" i="2"/>
  <c r="H625" i="2"/>
  <c r="H621" i="2"/>
  <c r="H617" i="2"/>
  <c r="H613" i="2"/>
  <c r="H609" i="2"/>
  <c r="H605" i="2"/>
  <c r="H601" i="2"/>
  <c r="H597" i="2"/>
  <c r="H593" i="2"/>
  <c r="H589" i="2"/>
  <c r="H585" i="2"/>
  <c r="H581" i="2"/>
  <c r="H577" i="2"/>
  <c r="H573" i="2"/>
  <c r="H569" i="2"/>
  <c r="H565" i="2"/>
  <c r="H561" i="2"/>
  <c r="H557" i="2"/>
  <c r="H553" i="2"/>
  <c r="H549" i="2"/>
  <c r="H545" i="2"/>
  <c r="H541" i="2"/>
  <c r="H537" i="2"/>
  <c r="H533" i="2"/>
  <c r="H529" i="2"/>
  <c r="H525" i="2"/>
  <c r="H521" i="2"/>
  <c r="H517" i="2"/>
  <c r="H513" i="2"/>
  <c r="H509" i="2"/>
  <c r="H505" i="2"/>
  <c r="H501" i="2"/>
  <c r="H497" i="2"/>
  <c r="H493" i="2"/>
  <c r="H488" i="2"/>
  <c r="H480" i="2"/>
  <c r="H472" i="2"/>
  <c r="H468" i="2"/>
  <c r="H464" i="2"/>
  <c r="H460" i="2"/>
  <c r="H456" i="2"/>
  <c r="H452" i="2"/>
  <c r="H448" i="2"/>
  <c r="H444" i="2"/>
  <c r="H440" i="2"/>
  <c r="H436" i="2"/>
  <c r="H432" i="2"/>
  <c r="H428" i="2"/>
  <c r="H422" i="2"/>
  <c r="H414" i="2"/>
  <c r="H406" i="2"/>
  <c r="H398" i="2"/>
  <c r="H390" i="2"/>
  <c r="H382" i="2"/>
  <c r="H374" i="2"/>
  <c r="H366" i="2"/>
  <c r="H358" i="2"/>
  <c r="H350" i="2"/>
  <c r="H342" i="2"/>
  <c r="H334" i="2"/>
  <c r="H326" i="2"/>
  <c r="H318" i="2"/>
  <c r="H310" i="2"/>
  <c r="H302" i="2"/>
  <c r="H294" i="2"/>
  <c r="H286" i="2"/>
  <c r="H278" i="2"/>
  <c r="H270" i="2"/>
  <c r="H262" i="2"/>
  <c r="H254" i="2"/>
  <c r="H246" i="2"/>
  <c r="H238" i="2"/>
  <c r="H230" i="2"/>
  <c r="H222" i="2"/>
  <c r="H489" i="2"/>
  <c r="H485" i="2"/>
  <c r="H481" i="2"/>
  <c r="H477" i="2"/>
  <c r="H473" i="2"/>
  <c r="H469" i="2"/>
  <c r="H465" i="2"/>
  <c r="H461" i="2"/>
  <c r="H457" i="2"/>
  <c r="H453" i="2"/>
  <c r="H449" i="2"/>
  <c r="H445" i="2"/>
  <c r="H441" i="2"/>
  <c r="H437" i="2"/>
  <c r="H433" i="2"/>
  <c r="H429" i="2"/>
  <c r="H424" i="2"/>
  <c r="H416" i="2"/>
  <c r="H408" i="2"/>
  <c r="H400" i="2"/>
  <c r="H392" i="2"/>
  <c r="H384" i="2"/>
  <c r="H376" i="2"/>
  <c r="H368" i="2"/>
  <c r="H360" i="2"/>
  <c r="H352" i="2"/>
  <c r="H344" i="2"/>
  <c r="H336" i="2"/>
  <c r="H328" i="2"/>
  <c r="H320" i="2"/>
  <c r="H312" i="2"/>
  <c r="H304" i="2"/>
  <c r="H296" i="2"/>
  <c r="H288" i="2"/>
  <c r="H280" i="2"/>
  <c r="H272" i="2"/>
  <c r="H264" i="2"/>
  <c r="H256" i="2"/>
  <c r="H248" i="2"/>
  <c r="H240" i="2"/>
  <c r="H232" i="2"/>
  <c r="H224" i="2"/>
  <c r="H216" i="2"/>
  <c r="H423" i="2"/>
  <c r="H419" i="2"/>
  <c r="H415" i="2"/>
  <c r="H411" i="2"/>
  <c r="H407" i="2"/>
  <c r="H403" i="2"/>
  <c r="H399" i="2"/>
  <c r="H395" i="2"/>
  <c r="H391" i="2"/>
  <c r="H387" i="2"/>
  <c r="H383" i="2"/>
  <c r="H379" i="2"/>
  <c r="H375" i="2"/>
  <c r="H371" i="2"/>
  <c r="H367" i="2"/>
  <c r="H363" i="2"/>
  <c r="H359" i="2"/>
  <c r="H355" i="2"/>
  <c r="H351" i="2"/>
  <c r="H347" i="2"/>
  <c r="H343" i="2"/>
  <c r="H339" i="2"/>
  <c r="H335" i="2"/>
  <c r="H331" i="2"/>
  <c r="H327" i="2"/>
  <c r="H323" i="2"/>
  <c r="H319" i="2"/>
  <c r="H315" i="2"/>
  <c r="H311" i="2"/>
  <c r="H307" i="2"/>
  <c r="H303" i="2"/>
  <c r="H299" i="2"/>
  <c r="H295" i="2"/>
  <c r="H291" i="2"/>
  <c r="H287" i="2"/>
  <c r="H283" i="2"/>
  <c r="H279" i="2"/>
  <c r="H275" i="2"/>
  <c r="H271" i="2"/>
  <c r="H267" i="2"/>
  <c r="H263" i="2"/>
  <c r="H259" i="2"/>
  <c r="H255" i="2"/>
  <c r="H251" i="2"/>
  <c r="H247" i="2"/>
  <c r="H243" i="2"/>
  <c r="H239" i="2"/>
  <c r="H235" i="2"/>
  <c r="H231" i="2"/>
  <c r="H227" i="2"/>
  <c r="H223" i="2"/>
  <c r="H219" i="2"/>
  <c r="H215" i="2"/>
  <c r="H211" i="2"/>
  <c r="H207" i="2"/>
  <c r="H203" i="2"/>
  <c r="H199" i="2"/>
  <c r="H195" i="2"/>
  <c r="H191" i="2"/>
  <c r="H187" i="2"/>
  <c r="H183" i="2"/>
  <c r="H179" i="2"/>
  <c r="H175" i="2"/>
  <c r="H171" i="2"/>
  <c r="H164" i="2"/>
  <c r="H156" i="2"/>
  <c r="H148" i="2"/>
  <c r="H140" i="2"/>
  <c r="H132" i="2"/>
  <c r="H124" i="2"/>
  <c r="H116" i="2"/>
  <c r="H108" i="2"/>
  <c r="H100" i="2"/>
  <c r="H92" i="2"/>
  <c r="H84" i="2"/>
  <c r="H76" i="2"/>
  <c r="H68" i="2"/>
  <c r="H60" i="2"/>
  <c r="H52" i="2"/>
  <c r="H44" i="2"/>
  <c r="H36" i="2"/>
  <c r="H212" i="2"/>
  <c r="H208" i="2"/>
  <c r="H204" i="2"/>
  <c r="H200" i="2"/>
  <c r="H196" i="2"/>
  <c r="H192" i="2"/>
  <c r="H188" i="2"/>
  <c r="H184" i="2"/>
  <c r="H180" i="2"/>
  <c r="H176" i="2"/>
  <c r="H172" i="2"/>
  <c r="H166" i="2"/>
  <c r="H158" i="2"/>
  <c r="H150" i="2"/>
  <c r="H142" i="2"/>
  <c r="H134" i="2"/>
  <c r="H126" i="2"/>
  <c r="H118" i="2"/>
  <c r="H110" i="2"/>
  <c r="H102" i="2"/>
  <c r="H94" i="2"/>
  <c r="H86" i="2"/>
  <c r="H78" i="2"/>
  <c r="H70" i="2"/>
  <c r="H62" i="2"/>
  <c r="H54" i="2"/>
  <c r="H46" i="2"/>
  <c r="H38" i="2"/>
  <c r="H30" i="2"/>
  <c r="H169" i="2"/>
  <c r="H165" i="2"/>
  <c r="H161" i="2"/>
  <c r="H157" i="2"/>
  <c r="H153" i="2"/>
  <c r="H149" i="2"/>
  <c r="H145" i="2"/>
  <c r="H141" i="2"/>
  <c r="H137" i="2"/>
  <c r="H133" i="2"/>
  <c r="H129" i="2"/>
  <c r="H125" i="2"/>
  <c r="H121" i="2"/>
  <c r="H117" i="2"/>
  <c r="H113" i="2"/>
  <c r="H109" i="2"/>
  <c r="H105" i="2"/>
  <c r="H101" i="2"/>
  <c r="H97" i="2"/>
  <c r="H93" i="2"/>
  <c r="H89" i="2"/>
  <c r="H85" i="2"/>
  <c r="H81" i="2"/>
  <c r="H77" i="2"/>
  <c r="H73" i="2"/>
  <c r="H69" i="2"/>
  <c r="H65" i="2"/>
  <c r="H61" i="2"/>
  <c r="H57" i="2"/>
  <c r="H53" i="2"/>
  <c r="H49" i="2"/>
  <c r="H45" i="2"/>
  <c r="H41" i="2"/>
  <c r="H37" i="2"/>
  <c r="H33" i="2"/>
  <c r="H29" i="2"/>
  <c r="B2" i="1"/>
  <c r="B3" i="1"/>
  <c r="E3" i="1" s="1"/>
  <c r="B4" i="1"/>
  <c r="E4" i="1" s="1"/>
  <c r="B5" i="1"/>
  <c r="E5" i="1" s="1"/>
  <c r="B6" i="1"/>
  <c r="E6" i="1" s="1"/>
  <c r="B7" i="1"/>
  <c r="E7" i="1" s="1"/>
  <c r="B8" i="1"/>
  <c r="E8" i="1" s="1"/>
  <c r="B9" i="1"/>
  <c r="E9" i="1" s="1"/>
  <c r="B10" i="1"/>
  <c r="E10" i="1" s="1"/>
  <c r="B11" i="1"/>
  <c r="E11" i="1" s="1"/>
  <c r="B12" i="1"/>
  <c r="E12" i="1" s="1"/>
  <c r="B13" i="1"/>
  <c r="E13" i="1" s="1"/>
  <c r="B14" i="1"/>
  <c r="E14" i="1" s="1"/>
  <c r="B15" i="1"/>
  <c r="E15" i="1" s="1"/>
  <c r="B16" i="1"/>
  <c r="E16" i="1" s="1"/>
  <c r="B17" i="1"/>
  <c r="E17" i="1" s="1"/>
  <c r="B18" i="1"/>
  <c r="E18" i="1" s="1"/>
  <c r="B19" i="1"/>
  <c r="E19" i="1" s="1"/>
  <c r="B20" i="1"/>
  <c r="E20" i="1" s="1"/>
  <c r="B21" i="1"/>
  <c r="E21" i="1" s="1"/>
  <c r="B22" i="1"/>
  <c r="E22" i="1" s="1"/>
  <c r="B23" i="1"/>
  <c r="E23" i="1" s="1"/>
  <c r="B24" i="1"/>
  <c r="E24" i="1" s="1"/>
  <c r="B25" i="1"/>
  <c r="E25" i="1" s="1"/>
  <c r="B26" i="1"/>
  <c r="E26" i="1" s="1"/>
  <c r="B27" i="1"/>
  <c r="E27" i="1" s="1"/>
  <c r="B28" i="1"/>
  <c r="E28" i="1" s="1"/>
  <c r="B29" i="1"/>
  <c r="E29" i="1" s="1"/>
  <c r="B30" i="1"/>
  <c r="E30" i="1" s="1"/>
  <c r="B31" i="1"/>
  <c r="E31" i="1" s="1"/>
  <c r="B32" i="1"/>
  <c r="E32" i="1" s="1"/>
  <c r="B33" i="1"/>
  <c r="E33" i="1" s="1"/>
  <c r="B34" i="1"/>
  <c r="E34" i="1" s="1"/>
  <c r="B35" i="1"/>
  <c r="E35" i="1" s="1"/>
  <c r="B36" i="1"/>
  <c r="E36" i="1" s="1"/>
  <c r="B37" i="1"/>
  <c r="E37" i="1" s="1"/>
  <c r="B38" i="1"/>
  <c r="E38" i="1" s="1"/>
  <c r="B39" i="1"/>
  <c r="E39" i="1" s="1"/>
  <c r="B40" i="1"/>
  <c r="E40" i="1" s="1"/>
  <c r="B41" i="1"/>
  <c r="E41" i="1" s="1"/>
  <c r="B42" i="1"/>
  <c r="E42" i="1" s="1"/>
  <c r="B43" i="1"/>
  <c r="E43" i="1" s="1"/>
  <c r="B44" i="1"/>
  <c r="E44" i="1" s="1"/>
  <c r="B45" i="1"/>
  <c r="E45" i="1" s="1"/>
  <c r="B46" i="1"/>
  <c r="E46" i="1" s="1"/>
  <c r="B47" i="1"/>
  <c r="E47" i="1" s="1"/>
  <c r="B48" i="1"/>
  <c r="E48" i="1" s="1"/>
  <c r="B49" i="1"/>
  <c r="E49" i="1" s="1"/>
  <c r="B50" i="1"/>
  <c r="E50" i="1" s="1"/>
  <c r="B51" i="1"/>
  <c r="E51" i="1" s="1"/>
  <c r="B52" i="1"/>
  <c r="E52" i="1" s="1"/>
  <c r="B53" i="1"/>
  <c r="E53" i="1" s="1"/>
  <c r="B54" i="1"/>
  <c r="E54" i="1" s="1"/>
  <c r="B55" i="1"/>
  <c r="E55" i="1" s="1"/>
  <c r="B56" i="1"/>
  <c r="E56" i="1" s="1"/>
  <c r="B57" i="1"/>
  <c r="E57" i="1" s="1"/>
  <c r="B58" i="1"/>
  <c r="E58" i="1" s="1"/>
  <c r="B59" i="1"/>
  <c r="E59" i="1" s="1"/>
  <c r="B60" i="1"/>
  <c r="E60" i="1" s="1"/>
  <c r="B61" i="1"/>
  <c r="E61" i="1" s="1"/>
  <c r="B62" i="1"/>
  <c r="E62" i="1" s="1"/>
  <c r="B63" i="1"/>
  <c r="E63" i="1" s="1"/>
  <c r="B64" i="1"/>
  <c r="E64" i="1" s="1"/>
  <c r="B65" i="1"/>
  <c r="E65" i="1" s="1"/>
  <c r="B66" i="1"/>
  <c r="E66" i="1" s="1"/>
  <c r="B67" i="1"/>
  <c r="E67" i="1" s="1"/>
  <c r="B68" i="1"/>
  <c r="E68" i="1" s="1"/>
  <c r="B69" i="1"/>
  <c r="E69" i="1" s="1"/>
  <c r="B70" i="1"/>
  <c r="E70" i="1" s="1"/>
  <c r="B71" i="1"/>
  <c r="E71" i="1" s="1"/>
  <c r="B72" i="1"/>
  <c r="E72" i="1" s="1"/>
  <c r="B73" i="1"/>
  <c r="E73" i="1" s="1"/>
  <c r="B74" i="1"/>
  <c r="E74" i="1" s="1"/>
  <c r="B75" i="1"/>
  <c r="E75" i="1" s="1"/>
  <c r="B76" i="1"/>
  <c r="E76" i="1" s="1"/>
  <c r="B77" i="1"/>
  <c r="E77" i="1" s="1"/>
  <c r="B78" i="1"/>
  <c r="E78" i="1" s="1"/>
  <c r="B79" i="1"/>
  <c r="E79" i="1" s="1"/>
  <c r="B80" i="1"/>
  <c r="E80" i="1" s="1"/>
  <c r="B81" i="1"/>
  <c r="E81" i="1" s="1"/>
  <c r="B82" i="1"/>
  <c r="E82" i="1" s="1"/>
  <c r="B83" i="1"/>
  <c r="E83" i="1" s="1"/>
  <c r="B84" i="1"/>
  <c r="E84" i="1" s="1"/>
  <c r="B85" i="1"/>
  <c r="E85" i="1" s="1"/>
  <c r="B86" i="1"/>
  <c r="E86" i="1" s="1"/>
  <c r="B87" i="1"/>
  <c r="E87" i="1" s="1"/>
  <c r="B88" i="1"/>
  <c r="E88" i="1" s="1"/>
  <c r="B89" i="1"/>
  <c r="E89" i="1" s="1"/>
  <c r="B90" i="1"/>
  <c r="E90" i="1" s="1"/>
  <c r="B91" i="1"/>
  <c r="E91" i="1" s="1"/>
  <c r="B92" i="1"/>
  <c r="E92" i="1" s="1"/>
  <c r="B93" i="1"/>
  <c r="E93" i="1" s="1"/>
  <c r="B94" i="1"/>
  <c r="E94" i="1" s="1"/>
  <c r="B95" i="1"/>
  <c r="E95" i="1" s="1"/>
  <c r="B96" i="1"/>
  <c r="E96" i="1" s="1"/>
  <c r="B97" i="1"/>
  <c r="E97" i="1" s="1"/>
  <c r="B98" i="1"/>
  <c r="E98" i="1" s="1"/>
  <c r="B99" i="1"/>
  <c r="E99" i="1" s="1"/>
  <c r="B100" i="1"/>
  <c r="E100" i="1" s="1"/>
  <c r="B101" i="1"/>
  <c r="E101" i="1" s="1"/>
  <c r="B102" i="1"/>
  <c r="E102" i="1" s="1"/>
  <c r="B103" i="1"/>
  <c r="E103" i="1" s="1"/>
  <c r="B104" i="1"/>
  <c r="E104" i="1" s="1"/>
  <c r="B105" i="1"/>
  <c r="E105" i="1" s="1"/>
  <c r="B106" i="1"/>
  <c r="E106" i="1" s="1"/>
  <c r="B107" i="1"/>
  <c r="E107" i="1" s="1"/>
  <c r="B108" i="1"/>
  <c r="E108" i="1" s="1"/>
  <c r="B109" i="1"/>
  <c r="E109" i="1" s="1"/>
  <c r="B110" i="1"/>
  <c r="E110" i="1" s="1"/>
  <c r="B111" i="1"/>
  <c r="E111" i="1" s="1"/>
  <c r="B112" i="1"/>
  <c r="E112" i="1" s="1"/>
  <c r="B113" i="1"/>
  <c r="E113" i="1" s="1"/>
  <c r="B114" i="1"/>
  <c r="E114" i="1" s="1"/>
  <c r="B115" i="1"/>
  <c r="E115" i="1" s="1"/>
  <c r="B116" i="1"/>
  <c r="E116" i="1" s="1"/>
  <c r="B117" i="1"/>
  <c r="E117" i="1" s="1"/>
  <c r="B118" i="1"/>
  <c r="E118" i="1" s="1"/>
  <c r="B119" i="1"/>
  <c r="E119" i="1" s="1"/>
  <c r="B120" i="1"/>
  <c r="E120" i="1" s="1"/>
  <c r="B121" i="1"/>
  <c r="E121" i="1" s="1"/>
  <c r="B122" i="1"/>
  <c r="E122" i="1" s="1"/>
  <c r="B123" i="1"/>
  <c r="E123" i="1" s="1"/>
  <c r="B124" i="1"/>
  <c r="E124" i="1" s="1"/>
  <c r="B125" i="1"/>
  <c r="E125" i="1" s="1"/>
  <c r="B126" i="1"/>
  <c r="E126" i="1" s="1"/>
  <c r="B127" i="1"/>
  <c r="E127" i="1" s="1"/>
  <c r="B128" i="1"/>
  <c r="E128" i="1" s="1"/>
  <c r="B129" i="1"/>
  <c r="E129" i="1" s="1"/>
  <c r="B130" i="1"/>
  <c r="E130" i="1" s="1"/>
  <c r="B131" i="1"/>
  <c r="E131" i="1" s="1"/>
  <c r="B132" i="1"/>
  <c r="E132" i="1" s="1"/>
  <c r="B133" i="1"/>
  <c r="E133" i="1" s="1"/>
  <c r="B134" i="1"/>
  <c r="E134" i="1" s="1"/>
  <c r="B135" i="1"/>
  <c r="E135" i="1" s="1"/>
  <c r="B136" i="1"/>
  <c r="E136" i="1" s="1"/>
  <c r="B137" i="1"/>
  <c r="E137" i="1" s="1"/>
  <c r="B138" i="1"/>
  <c r="E138" i="1" s="1"/>
  <c r="B139" i="1"/>
  <c r="E139" i="1" s="1"/>
  <c r="B140" i="1"/>
  <c r="E140" i="1" s="1"/>
  <c r="B141" i="1"/>
  <c r="E141" i="1" s="1"/>
  <c r="B142" i="1"/>
  <c r="E142" i="1" s="1"/>
  <c r="B143" i="1"/>
  <c r="E143" i="1" s="1"/>
  <c r="B144" i="1"/>
  <c r="E144" i="1" s="1"/>
  <c r="B145" i="1"/>
  <c r="E145" i="1" s="1"/>
  <c r="B146" i="1"/>
  <c r="E146" i="1" s="1"/>
  <c r="B147" i="1"/>
  <c r="E147" i="1" s="1"/>
  <c r="B148" i="1"/>
  <c r="E148" i="1" s="1"/>
  <c r="B149" i="1"/>
  <c r="E149" i="1" s="1"/>
  <c r="B150" i="1"/>
  <c r="E150" i="1" s="1"/>
  <c r="B151" i="1"/>
  <c r="E151" i="1" s="1"/>
  <c r="B152" i="1"/>
  <c r="E152" i="1" s="1"/>
  <c r="B153" i="1"/>
  <c r="E153" i="1" s="1"/>
  <c r="B154" i="1"/>
  <c r="E154" i="1" s="1"/>
  <c r="B155" i="1"/>
  <c r="E155" i="1" s="1"/>
  <c r="B156" i="1"/>
  <c r="E156" i="1" s="1"/>
  <c r="B157" i="1"/>
  <c r="E157" i="1" s="1"/>
  <c r="B158" i="1"/>
  <c r="E158" i="1" s="1"/>
  <c r="B159" i="1"/>
  <c r="E159" i="1" s="1"/>
  <c r="B160" i="1"/>
  <c r="E160" i="1" s="1"/>
  <c r="B161" i="1"/>
  <c r="E161" i="1" s="1"/>
  <c r="B162" i="1"/>
  <c r="E162" i="1" s="1"/>
  <c r="B163" i="1"/>
  <c r="E163" i="1" s="1"/>
  <c r="B164" i="1"/>
  <c r="E164" i="1" s="1"/>
  <c r="B165" i="1"/>
  <c r="E165" i="1" s="1"/>
  <c r="B166" i="1"/>
  <c r="E166" i="1" s="1"/>
  <c r="B167" i="1"/>
  <c r="E167" i="1" s="1"/>
  <c r="B168" i="1"/>
  <c r="E168" i="1" s="1"/>
  <c r="B169" i="1"/>
  <c r="E169" i="1" s="1"/>
  <c r="B170" i="1"/>
  <c r="E170" i="1" s="1"/>
  <c r="B171" i="1"/>
  <c r="E171" i="1" s="1"/>
  <c r="B172" i="1"/>
  <c r="E172" i="1" s="1"/>
  <c r="B173" i="1"/>
  <c r="E173" i="1" s="1"/>
  <c r="B174" i="1"/>
  <c r="E174" i="1" s="1"/>
  <c r="B175" i="1"/>
  <c r="E175" i="1" s="1"/>
  <c r="B176" i="1"/>
  <c r="B177" i="1"/>
  <c r="B178" i="1"/>
  <c r="B179" i="1"/>
  <c r="E179" i="1" s="1"/>
  <c r="B180" i="1"/>
  <c r="E180" i="1" s="1"/>
  <c r="B181" i="1"/>
  <c r="E181" i="1" s="1"/>
  <c r="B182" i="1"/>
  <c r="E182" i="1" s="1"/>
  <c r="B183" i="1"/>
  <c r="E183" i="1" s="1"/>
  <c r="B184" i="1"/>
  <c r="E184" i="1" s="1"/>
  <c r="B185" i="1"/>
  <c r="E185" i="1" s="1"/>
  <c r="B186" i="1"/>
  <c r="E186" i="1" s="1"/>
  <c r="B187" i="1"/>
  <c r="E187" i="1" s="1"/>
  <c r="B188" i="1"/>
  <c r="E188" i="1" s="1"/>
  <c r="B189" i="1"/>
  <c r="E189" i="1" s="1"/>
  <c r="B190" i="1"/>
  <c r="E190" i="1" s="1"/>
  <c r="B191" i="1"/>
  <c r="E191" i="1" s="1"/>
  <c r="B192" i="1"/>
  <c r="E192" i="1" s="1"/>
  <c r="B193" i="1"/>
  <c r="E193" i="1" s="1"/>
  <c r="B194" i="1"/>
  <c r="E194" i="1" s="1"/>
  <c r="B195" i="1"/>
  <c r="E195" i="1" s="1"/>
  <c r="B196" i="1"/>
  <c r="E196" i="1" s="1"/>
  <c r="B197" i="1"/>
  <c r="E197" i="1" s="1"/>
  <c r="B198" i="1"/>
  <c r="E198" i="1" s="1"/>
  <c r="B199" i="1"/>
  <c r="E199" i="1" s="1"/>
  <c r="B200" i="1"/>
  <c r="E200" i="1" s="1"/>
  <c r="B201" i="1"/>
  <c r="E201" i="1" s="1"/>
  <c r="B202" i="1"/>
  <c r="E202" i="1" s="1"/>
  <c r="B203" i="1"/>
  <c r="E203" i="1" s="1"/>
  <c r="B204" i="1"/>
  <c r="E204" i="1" s="1"/>
  <c r="B205" i="1"/>
  <c r="E205" i="1" s="1"/>
  <c r="B206" i="1"/>
  <c r="E206" i="1" s="1"/>
  <c r="B207" i="1"/>
  <c r="E207" i="1" s="1"/>
  <c r="B208" i="1"/>
  <c r="E208" i="1" s="1"/>
  <c r="B209" i="1"/>
  <c r="E209" i="1" s="1"/>
  <c r="B210" i="1"/>
  <c r="E210" i="1" s="1"/>
  <c r="B211" i="1"/>
  <c r="E211" i="1" s="1"/>
  <c r="B212" i="1"/>
  <c r="E212" i="1" s="1"/>
  <c r="B213" i="1"/>
  <c r="E213" i="1" s="1"/>
  <c r="B214" i="1"/>
  <c r="E214" i="1" s="1"/>
  <c r="B215" i="1"/>
  <c r="E215" i="1" s="1"/>
  <c r="B216" i="1"/>
  <c r="E216" i="1" s="1"/>
  <c r="B217" i="1"/>
  <c r="E217" i="1" s="1"/>
  <c r="B218" i="1"/>
  <c r="E218" i="1" s="1"/>
  <c r="B219" i="1"/>
  <c r="E219" i="1" s="1"/>
  <c r="B220" i="1"/>
  <c r="E220" i="1" s="1"/>
  <c r="B221" i="1"/>
  <c r="E221" i="1" s="1"/>
  <c r="B222" i="1"/>
  <c r="E222" i="1" s="1"/>
  <c r="B223" i="1"/>
  <c r="E223" i="1" s="1"/>
  <c r="B224" i="1"/>
  <c r="E224" i="1" s="1"/>
  <c r="B225" i="1"/>
  <c r="E225" i="1" s="1"/>
  <c r="B226" i="1"/>
  <c r="E226" i="1" s="1"/>
  <c r="B227" i="1"/>
  <c r="E227" i="1" s="1"/>
  <c r="B228" i="1"/>
  <c r="E228" i="1" s="1"/>
  <c r="B229" i="1"/>
  <c r="E229" i="1" s="1"/>
  <c r="B230" i="1"/>
  <c r="E230" i="1" s="1"/>
  <c r="B231" i="1"/>
  <c r="E231" i="1" s="1"/>
  <c r="B232" i="1"/>
  <c r="E232" i="1" s="1"/>
  <c r="B233" i="1"/>
  <c r="E233" i="1" s="1"/>
  <c r="B234" i="1"/>
  <c r="E234" i="1" s="1"/>
  <c r="B235" i="1"/>
  <c r="E235" i="1" s="1"/>
  <c r="B236" i="1"/>
  <c r="E236" i="1" s="1"/>
  <c r="B237" i="1"/>
  <c r="E237" i="1" s="1"/>
  <c r="B238" i="1"/>
  <c r="E238" i="1" s="1"/>
  <c r="B239" i="1"/>
  <c r="E239" i="1" s="1"/>
  <c r="B240" i="1"/>
  <c r="E240" i="1" s="1"/>
  <c r="B241" i="1"/>
  <c r="E241" i="1" s="1"/>
  <c r="B242" i="1"/>
  <c r="E242" i="1" s="1"/>
  <c r="B243" i="1"/>
  <c r="E243" i="1" s="1"/>
  <c r="B244" i="1"/>
  <c r="E244" i="1" s="1"/>
  <c r="B245" i="1"/>
  <c r="E245" i="1" s="1"/>
  <c r="B246" i="1"/>
  <c r="E246" i="1" s="1"/>
  <c r="B247" i="1"/>
  <c r="E247" i="1" s="1"/>
  <c r="B248" i="1"/>
  <c r="E248" i="1" s="1"/>
  <c r="B249" i="1"/>
  <c r="E249" i="1" s="1"/>
  <c r="B250" i="1"/>
  <c r="E250" i="1" s="1"/>
  <c r="B251" i="1"/>
  <c r="E251" i="1" s="1"/>
  <c r="B252" i="1"/>
  <c r="E252" i="1" s="1"/>
  <c r="B253" i="1"/>
  <c r="E253" i="1" s="1"/>
  <c r="B254" i="1"/>
  <c r="E254" i="1" s="1"/>
  <c r="B255" i="1"/>
  <c r="E255" i="1" s="1"/>
  <c r="B256" i="1"/>
  <c r="E256" i="1" s="1"/>
  <c r="B257" i="1"/>
  <c r="E257" i="1" s="1"/>
  <c r="B258" i="1"/>
  <c r="E258" i="1" s="1"/>
  <c r="B259" i="1"/>
  <c r="E259" i="1" s="1"/>
  <c r="B260" i="1"/>
  <c r="E260" i="1" s="1"/>
  <c r="B261" i="1"/>
  <c r="E261" i="1" s="1"/>
  <c r="B262" i="1"/>
  <c r="E262" i="1" s="1"/>
  <c r="B263" i="1"/>
  <c r="E263" i="1" s="1"/>
  <c r="B264" i="1"/>
  <c r="E264" i="1" s="1"/>
  <c r="B265" i="1"/>
  <c r="E265" i="1" s="1"/>
  <c r="B266" i="1"/>
  <c r="E266" i="1" s="1"/>
  <c r="B267" i="1"/>
  <c r="E267" i="1" s="1"/>
  <c r="B268" i="1"/>
  <c r="E268" i="1" s="1"/>
  <c r="B269" i="1"/>
  <c r="E269" i="1" s="1"/>
  <c r="B270" i="1"/>
  <c r="E270" i="1" s="1"/>
  <c r="B271" i="1"/>
  <c r="E271" i="1" s="1"/>
  <c r="B272" i="1"/>
  <c r="E272" i="1" s="1"/>
  <c r="B273" i="1"/>
  <c r="E273" i="1" s="1"/>
  <c r="B274" i="1"/>
  <c r="E274" i="1" s="1"/>
  <c r="B275" i="1"/>
  <c r="E275" i="1" s="1"/>
  <c r="B276" i="1"/>
  <c r="E276" i="1" s="1"/>
  <c r="B277" i="1"/>
  <c r="E277" i="1" s="1"/>
  <c r="B278" i="1"/>
  <c r="E278" i="1" s="1"/>
  <c r="B279" i="1"/>
  <c r="E279" i="1" s="1"/>
  <c r="B280" i="1"/>
  <c r="E280" i="1" s="1"/>
  <c r="B281" i="1"/>
  <c r="E281" i="1" s="1"/>
  <c r="B282" i="1"/>
  <c r="E282" i="1" s="1"/>
  <c r="B283" i="1"/>
  <c r="E283" i="1" s="1"/>
  <c r="B284" i="1"/>
  <c r="E284" i="1" s="1"/>
  <c r="B285" i="1"/>
  <c r="E285" i="1" s="1"/>
  <c r="B286" i="1"/>
  <c r="E286" i="1" s="1"/>
  <c r="B287" i="1"/>
  <c r="E287" i="1" s="1"/>
  <c r="B288" i="1"/>
  <c r="E288" i="1" s="1"/>
  <c r="B289" i="1"/>
  <c r="E289" i="1" s="1"/>
  <c r="B290" i="1"/>
  <c r="E290" i="1" s="1"/>
  <c r="B291" i="1"/>
  <c r="E291" i="1" s="1"/>
  <c r="B292" i="1"/>
  <c r="E292" i="1" s="1"/>
  <c r="B293" i="1"/>
  <c r="E293" i="1" s="1"/>
  <c r="B294" i="1"/>
  <c r="E294" i="1" s="1"/>
  <c r="B295" i="1"/>
  <c r="E295" i="1" s="1"/>
  <c r="B296" i="1"/>
  <c r="E296" i="1" s="1"/>
  <c r="B297" i="1"/>
  <c r="E297" i="1" s="1"/>
  <c r="B298" i="1"/>
  <c r="E298" i="1" s="1"/>
  <c r="B299" i="1"/>
  <c r="E299" i="1" s="1"/>
  <c r="B300" i="1"/>
  <c r="E300" i="1" s="1"/>
  <c r="B301" i="1"/>
  <c r="E301" i="1" s="1"/>
  <c r="B302" i="1"/>
  <c r="E302" i="1" s="1"/>
  <c r="B303" i="1"/>
  <c r="E303" i="1" s="1"/>
  <c r="B304" i="1"/>
  <c r="E304" i="1" s="1"/>
  <c r="B305" i="1"/>
  <c r="E305" i="1" s="1"/>
  <c r="B306" i="1"/>
  <c r="E306" i="1" s="1"/>
  <c r="B307" i="1"/>
  <c r="E307" i="1" s="1"/>
  <c r="B308" i="1"/>
  <c r="E308" i="1" s="1"/>
  <c r="B309" i="1"/>
  <c r="E309" i="1" s="1"/>
  <c r="B310" i="1"/>
  <c r="E310" i="1" s="1"/>
  <c r="B311" i="1"/>
  <c r="E311" i="1" s="1"/>
  <c r="B312" i="1"/>
  <c r="E312" i="1" s="1"/>
  <c r="B313" i="1"/>
  <c r="E313" i="1" s="1"/>
  <c r="B314" i="1"/>
  <c r="E314" i="1" s="1"/>
  <c r="B315" i="1"/>
  <c r="E315" i="1" s="1"/>
  <c r="B316" i="1"/>
  <c r="E316" i="1" s="1"/>
  <c r="B317" i="1"/>
  <c r="E317" i="1" s="1"/>
  <c r="B318" i="1"/>
  <c r="E318" i="1" s="1"/>
  <c r="B319" i="1"/>
  <c r="E319" i="1" s="1"/>
  <c r="B320" i="1"/>
  <c r="E320" i="1" s="1"/>
  <c r="B321" i="1"/>
  <c r="E321" i="1" s="1"/>
  <c r="B322" i="1"/>
  <c r="E322" i="1" s="1"/>
  <c r="B323" i="1"/>
  <c r="E323" i="1" s="1"/>
  <c r="B324" i="1"/>
  <c r="E324" i="1" s="1"/>
  <c r="B325" i="1"/>
  <c r="E325" i="1" s="1"/>
  <c r="B326" i="1"/>
  <c r="E326" i="1" s="1"/>
  <c r="B327" i="1"/>
  <c r="E327" i="1" s="1"/>
  <c r="B328" i="1"/>
  <c r="E328" i="1" s="1"/>
  <c r="B329" i="1"/>
  <c r="E329" i="1" s="1"/>
  <c r="B330" i="1"/>
  <c r="E330" i="1" s="1"/>
  <c r="B331" i="1"/>
  <c r="E331" i="1" s="1"/>
  <c r="B332" i="1"/>
  <c r="E332" i="1" s="1"/>
  <c r="B333" i="1"/>
  <c r="E333" i="1" s="1"/>
  <c r="B334" i="1"/>
  <c r="E334" i="1" s="1"/>
  <c r="B335" i="1"/>
  <c r="E335" i="1" s="1"/>
  <c r="B336" i="1"/>
  <c r="E336" i="1" s="1"/>
  <c r="B337" i="1"/>
  <c r="E337" i="1" s="1"/>
  <c r="B338" i="1"/>
  <c r="E338" i="1" s="1"/>
  <c r="B339" i="1"/>
  <c r="E339" i="1" s="1"/>
  <c r="B340" i="1"/>
  <c r="E340" i="1" s="1"/>
  <c r="B341" i="1"/>
  <c r="E341" i="1" s="1"/>
  <c r="B342" i="1"/>
  <c r="E342" i="1" s="1"/>
  <c r="B343" i="1"/>
  <c r="E343" i="1" s="1"/>
  <c r="B344" i="1"/>
  <c r="E344" i="1" s="1"/>
  <c r="B345" i="1"/>
  <c r="E345" i="1" s="1"/>
  <c r="B346" i="1"/>
  <c r="E346" i="1" s="1"/>
  <c r="B347" i="1"/>
  <c r="E347" i="1" s="1"/>
  <c r="B348" i="1"/>
  <c r="E348" i="1" s="1"/>
  <c r="B349" i="1"/>
  <c r="E349" i="1" s="1"/>
  <c r="B350" i="1"/>
  <c r="E350" i="1" s="1"/>
  <c r="B351" i="1"/>
  <c r="E351" i="1" s="1"/>
  <c r="B352" i="1"/>
  <c r="E352" i="1" s="1"/>
  <c r="B353" i="1"/>
  <c r="E353" i="1" s="1"/>
  <c r="B354" i="1"/>
  <c r="E354" i="1" s="1"/>
  <c r="B355" i="1"/>
  <c r="E355" i="1" s="1"/>
  <c r="B356" i="1"/>
  <c r="E356" i="1" s="1"/>
  <c r="B357" i="1"/>
  <c r="E357" i="1" s="1"/>
  <c r="B358" i="1"/>
  <c r="E358" i="1" s="1"/>
  <c r="B359" i="1"/>
  <c r="E359" i="1" s="1"/>
  <c r="B360" i="1"/>
  <c r="E360" i="1" s="1"/>
  <c r="B361" i="1"/>
  <c r="E361" i="1" s="1"/>
  <c r="B362" i="1"/>
  <c r="E362" i="1" s="1"/>
  <c r="B363" i="1"/>
  <c r="E363" i="1" s="1"/>
  <c r="B364" i="1"/>
  <c r="E364" i="1" s="1"/>
  <c r="B365" i="1"/>
  <c r="E365" i="1" s="1"/>
  <c r="B366" i="1"/>
  <c r="E366" i="1" s="1"/>
  <c r="B367" i="1"/>
  <c r="E367" i="1" s="1"/>
  <c r="B368" i="1"/>
  <c r="E368" i="1" s="1"/>
  <c r="B369" i="1"/>
  <c r="E369" i="1" s="1"/>
  <c r="B370" i="1"/>
  <c r="E370" i="1" s="1"/>
  <c r="B371" i="1"/>
  <c r="E371" i="1" s="1"/>
  <c r="B372" i="1"/>
  <c r="E372" i="1" s="1"/>
  <c r="B373" i="1"/>
  <c r="E373" i="1" s="1"/>
  <c r="B374" i="1"/>
  <c r="E374" i="1" s="1"/>
  <c r="B375" i="1"/>
  <c r="E375" i="1" s="1"/>
  <c r="B376" i="1"/>
  <c r="E376" i="1" s="1"/>
  <c r="B377" i="1"/>
  <c r="E377" i="1" s="1"/>
  <c r="B378" i="1"/>
  <c r="E378" i="1" s="1"/>
  <c r="B379" i="1"/>
  <c r="E379" i="1" s="1"/>
  <c r="B380" i="1"/>
  <c r="E380" i="1" s="1"/>
  <c r="B381" i="1"/>
  <c r="E381" i="1" s="1"/>
  <c r="B382" i="1"/>
  <c r="E382" i="1" s="1"/>
  <c r="B383" i="1"/>
  <c r="E383" i="1" s="1"/>
  <c r="B384" i="1"/>
  <c r="E384" i="1" s="1"/>
  <c r="B385" i="1"/>
  <c r="E385" i="1" s="1"/>
  <c r="B386" i="1"/>
  <c r="E386" i="1" s="1"/>
  <c r="B387" i="1"/>
  <c r="E387" i="1" s="1"/>
  <c r="B388" i="1"/>
  <c r="E388" i="1" s="1"/>
  <c r="B389" i="1"/>
  <c r="E389" i="1" s="1"/>
  <c r="B390" i="1"/>
  <c r="E390" i="1" s="1"/>
  <c r="B391" i="1"/>
  <c r="E391" i="1" s="1"/>
  <c r="B392" i="1"/>
  <c r="E392" i="1" s="1"/>
  <c r="B393" i="1"/>
  <c r="E393" i="1" s="1"/>
  <c r="B394" i="1"/>
  <c r="E394" i="1" s="1"/>
  <c r="B395" i="1"/>
  <c r="E395" i="1" s="1"/>
  <c r="B396" i="1"/>
  <c r="E396" i="1" s="1"/>
  <c r="B397" i="1"/>
  <c r="E397" i="1" s="1"/>
  <c r="B398" i="1"/>
  <c r="E398" i="1" s="1"/>
  <c r="B399" i="1"/>
  <c r="E399" i="1" s="1"/>
  <c r="B400" i="1"/>
  <c r="E400" i="1" s="1"/>
  <c r="B401" i="1"/>
  <c r="E401" i="1" s="1"/>
  <c r="B402" i="1"/>
  <c r="E402" i="1" s="1"/>
  <c r="B403" i="1"/>
  <c r="E403" i="1" s="1"/>
  <c r="B404" i="1"/>
  <c r="E404" i="1" s="1"/>
  <c r="B405" i="1"/>
  <c r="E405" i="1" s="1"/>
  <c r="B406" i="1"/>
  <c r="E406" i="1" s="1"/>
  <c r="B407" i="1"/>
  <c r="E407" i="1" s="1"/>
  <c r="B408" i="1"/>
  <c r="E408" i="1" s="1"/>
  <c r="B409" i="1"/>
  <c r="E409" i="1" s="1"/>
  <c r="B410" i="1"/>
  <c r="E410" i="1" s="1"/>
  <c r="B411" i="1"/>
  <c r="E411" i="1" s="1"/>
  <c r="B412" i="1"/>
  <c r="E412" i="1" s="1"/>
  <c r="B413" i="1"/>
  <c r="E413" i="1" s="1"/>
  <c r="B414" i="1"/>
  <c r="E414" i="1" s="1"/>
  <c r="B415" i="1"/>
  <c r="E415" i="1" s="1"/>
  <c r="B416" i="1"/>
  <c r="E416" i="1" s="1"/>
  <c r="B417" i="1"/>
  <c r="E417" i="1" s="1"/>
  <c r="B418" i="1"/>
  <c r="E418" i="1" s="1"/>
  <c r="B419" i="1"/>
  <c r="E419" i="1" s="1"/>
  <c r="B420" i="1"/>
  <c r="E420" i="1" s="1"/>
  <c r="B421" i="1"/>
  <c r="E421" i="1" s="1"/>
  <c r="B422" i="1"/>
  <c r="E422" i="1" s="1"/>
  <c r="B423" i="1"/>
  <c r="E423" i="1" s="1"/>
  <c r="B424" i="1"/>
  <c r="E424" i="1" s="1"/>
  <c r="B425" i="1"/>
  <c r="E425" i="1" s="1"/>
  <c r="B426" i="1"/>
  <c r="E426" i="1" s="1"/>
  <c r="B427" i="1"/>
  <c r="E427" i="1" s="1"/>
  <c r="B428" i="1"/>
  <c r="E428" i="1" s="1"/>
  <c r="B429" i="1"/>
  <c r="E429" i="1" s="1"/>
  <c r="B430" i="1"/>
  <c r="E430" i="1" s="1"/>
  <c r="B431" i="1"/>
  <c r="E431" i="1" s="1"/>
  <c r="B432" i="1"/>
  <c r="E432" i="1" s="1"/>
  <c r="B433" i="1"/>
  <c r="E433" i="1" s="1"/>
  <c r="B434" i="1"/>
  <c r="E434" i="1" s="1"/>
  <c r="B435" i="1"/>
  <c r="E435" i="1" s="1"/>
  <c r="B436" i="1"/>
  <c r="E436" i="1" s="1"/>
  <c r="B437" i="1"/>
  <c r="E437" i="1" s="1"/>
  <c r="B438" i="1"/>
  <c r="E438" i="1" s="1"/>
  <c r="B439" i="1"/>
  <c r="E439" i="1" s="1"/>
  <c r="B440" i="1"/>
  <c r="E440" i="1" s="1"/>
  <c r="B441" i="1"/>
  <c r="E441" i="1" s="1"/>
  <c r="B442" i="1"/>
  <c r="E442" i="1" s="1"/>
  <c r="B443" i="1"/>
  <c r="E443" i="1" s="1"/>
  <c r="B444" i="1"/>
  <c r="E444" i="1" s="1"/>
  <c r="B445" i="1"/>
  <c r="E445" i="1" s="1"/>
  <c r="B446" i="1"/>
  <c r="E446" i="1" s="1"/>
  <c r="B447" i="1"/>
  <c r="E447" i="1" s="1"/>
  <c r="B448" i="1"/>
  <c r="E448" i="1" s="1"/>
  <c r="B449" i="1"/>
  <c r="E449" i="1" s="1"/>
  <c r="B450" i="1"/>
  <c r="E450" i="1" s="1"/>
  <c r="B451" i="1"/>
  <c r="E451" i="1" s="1"/>
  <c r="B452" i="1"/>
  <c r="E452" i="1" s="1"/>
  <c r="B453" i="1"/>
  <c r="E453" i="1" s="1"/>
  <c r="B454" i="1"/>
  <c r="E454" i="1" s="1"/>
  <c r="B455" i="1"/>
  <c r="E455" i="1" s="1"/>
  <c r="B456" i="1"/>
  <c r="E456" i="1" s="1"/>
  <c r="B457" i="1"/>
  <c r="E457" i="1" s="1"/>
  <c r="B458" i="1"/>
  <c r="E458" i="1" s="1"/>
  <c r="B459" i="1"/>
  <c r="E459" i="1" s="1"/>
  <c r="B460" i="1"/>
  <c r="E460" i="1" s="1"/>
  <c r="B461" i="1"/>
  <c r="E461" i="1" s="1"/>
  <c r="B462" i="1"/>
  <c r="E462" i="1" s="1"/>
  <c r="B463" i="1"/>
  <c r="E463" i="1" s="1"/>
  <c r="B464" i="1"/>
  <c r="E464" i="1" s="1"/>
  <c r="B465" i="1"/>
  <c r="E465" i="1" s="1"/>
  <c r="B466" i="1"/>
  <c r="E466" i="1" s="1"/>
  <c r="B467" i="1"/>
  <c r="E467" i="1" s="1"/>
  <c r="B468" i="1"/>
  <c r="E468" i="1" s="1"/>
  <c r="B469" i="1"/>
  <c r="E469" i="1" s="1"/>
  <c r="B470" i="1"/>
  <c r="E470" i="1" s="1"/>
  <c r="B471" i="1"/>
  <c r="E471" i="1" s="1"/>
  <c r="B472" i="1"/>
  <c r="E472" i="1" s="1"/>
  <c r="B473" i="1"/>
  <c r="E473" i="1" s="1"/>
  <c r="B474" i="1"/>
  <c r="E474" i="1" s="1"/>
  <c r="B475" i="1"/>
  <c r="E475" i="1" s="1"/>
  <c r="B476" i="1"/>
  <c r="E476" i="1" s="1"/>
  <c r="B477" i="1"/>
  <c r="E477" i="1" s="1"/>
  <c r="B478" i="1"/>
  <c r="E478" i="1" s="1"/>
  <c r="B479" i="1"/>
  <c r="E479" i="1" s="1"/>
  <c r="B480" i="1"/>
  <c r="E480" i="1" s="1"/>
  <c r="B481" i="1"/>
  <c r="E481" i="1" s="1"/>
  <c r="B482" i="1"/>
  <c r="E482" i="1" s="1"/>
  <c r="B483" i="1"/>
  <c r="E483" i="1" s="1"/>
  <c r="B484" i="1"/>
  <c r="E484" i="1" s="1"/>
  <c r="B485" i="1"/>
  <c r="E485" i="1" s="1"/>
  <c r="B486" i="1"/>
  <c r="E486" i="1" s="1"/>
  <c r="B487" i="1"/>
  <c r="E487" i="1" s="1"/>
  <c r="B488" i="1"/>
  <c r="E488" i="1" s="1"/>
  <c r="B489" i="1"/>
  <c r="E489" i="1" s="1"/>
  <c r="B490" i="1"/>
  <c r="E490" i="1" s="1"/>
  <c r="B491" i="1"/>
  <c r="E491" i="1" s="1"/>
  <c r="B492" i="1"/>
  <c r="E492" i="1" s="1"/>
  <c r="B493" i="1"/>
  <c r="E493" i="1" s="1"/>
  <c r="B494" i="1"/>
  <c r="E494" i="1" s="1"/>
  <c r="B495" i="1"/>
  <c r="E495" i="1" s="1"/>
  <c r="B496" i="1"/>
  <c r="E496" i="1" s="1"/>
  <c r="B497" i="1"/>
  <c r="E497" i="1" s="1"/>
  <c r="B498" i="1"/>
  <c r="E498" i="1" s="1"/>
  <c r="B499" i="1"/>
  <c r="E499" i="1" s="1"/>
  <c r="B500" i="1"/>
  <c r="E500" i="1" s="1"/>
  <c r="B501" i="1"/>
  <c r="E501" i="1" s="1"/>
  <c r="B502" i="1"/>
  <c r="E502" i="1" s="1"/>
  <c r="B503" i="1"/>
  <c r="E503" i="1" s="1"/>
  <c r="B504" i="1"/>
  <c r="E504" i="1" s="1"/>
  <c r="B505" i="1"/>
  <c r="E505" i="1" s="1"/>
  <c r="B506" i="1"/>
  <c r="E506" i="1" s="1"/>
  <c r="B507" i="1"/>
  <c r="E507" i="1" s="1"/>
  <c r="B508" i="1"/>
  <c r="E508" i="1" s="1"/>
  <c r="B509" i="1"/>
  <c r="E509" i="1" s="1"/>
  <c r="B510" i="1"/>
  <c r="E510" i="1" s="1"/>
  <c r="B511" i="1"/>
  <c r="E511" i="1" s="1"/>
  <c r="B512" i="1"/>
  <c r="E512" i="1" s="1"/>
  <c r="B513" i="1"/>
  <c r="E513" i="1" s="1"/>
  <c r="B514" i="1"/>
  <c r="E514" i="1" s="1"/>
  <c r="B515" i="1"/>
  <c r="E515" i="1" s="1"/>
  <c r="B516" i="1"/>
  <c r="E516" i="1" s="1"/>
  <c r="B517" i="1"/>
  <c r="E517" i="1" s="1"/>
  <c r="B518" i="1"/>
  <c r="E518" i="1" s="1"/>
  <c r="B519" i="1"/>
  <c r="E519" i="1" s="1"/>
  <c r="B520" i="1"/>
  <c r="E520" i="1" s="1"/>
  <c r="B521" i="1"/>
  <c r="E521" i="1" s="1"/>
  <c r="B522" i="1"/>
  <c r="E522" i="1" s="1"/>
  <c r="B523" i="1"/>
  <c r="E523" i="1" s="1"/>
  <c r="B524" i="1"/>
  <c r="E524" i="1" s="1"/>
  <c r="B525" i="1"/>
  <c r="E525" i="1" s="1"/>
  <c r="B526" i="1"/>
  <c r="E526" i="1" s="1"/>
  <c r="B527" i="1"/>
  <c r="E527" i="1" s="1"/>
  <c r="B528" i="1"/>
  <c r="E528" i="1" s="1"/>
  <c r="B529" i="1"/>
  <c r="E529" i="1" s="1"/>
  <c r="B530" i="1"/>
  <c r="E530" i="1" s="1"/>
  <c r="B531" i="1"/>
  <c r="E531" i="1" s="1"/>
  <c r="B532" i="1"/>
  <c r="E532" i="1" s="1"/>
  <c r="B533" i="1"/>
  <c r="E533" i="1" s="1"/>
  <c r="B534" i="1"/>
  <c r="E534" i="1" s="1"/>
  <c r="B535" i="1"/>
  <c r="E535" i="1" s="1"/>
  <c r="B536" i="1"/>
  <c r="E536" i="1" s="1"/>
  <c r="B537" i="1"/>
  <c r="E537" i="1" s="1"/>
  <c r="B538" i="1"/>
  <c r="E538" i="1" s="1"/>
  <c r="B539" i="1"/>
  <c r="E539" i="1" s="1"/>
  <c r="B540" i="1"/>
  <c r="E540" i="1" s="1"/>
  <c r="B541" i="1"/>
  <c r="E541" i="1" s="1"/>
  <c r="B542" i="1"/>
  <c r="E542" i="1" s="1"/>
  <c r="B543" i="1"/>
  <c r="E543" i="1" s="1"/>
  <c r="B544" i="1"/>
  <c r="E544" i="1" s="1"/>
  <c r="B545" i="1"/>
  <c r="E545" i="1" s="1"/>
  <c r="B546" i="1"/>
  <c r="E546" i="1" s="1"/>
  <c r="B547" i="1"/>
  <c r="E547" i="1" s="1"/>
  <c r="B548" i="1"/>
  <c r="E548" i="1" s="1"/>
  <c r="B549" i="1"/>
  <c r="E549" i="1" s="1"/>
  <c r="B550" i="1"/>
  <c r="E550" i="1" s="1"/>
  <c r="B551" i="1"/>
  <c r="E551" i="1" s="1"/>
  <c r="B552" i="1"/>
  <c r="E552" i="1" s="1"/>
  <c r="B553" i="1"/>
  <c r="E553" i="1" s="1"/>
  <c r="B554" i="1"/>
  <c r="E554" i="1" s="1"/>
  <c r="B555" i="1"/>
  <c r="E555" i="1" s="1"/>
  <c r="B556" i="1"/>
  <c r="E556" i="1" s="1"/>
  <c r="B557" i="1"/>
  <c r="E557" i="1" s="1"/>
  <c r="B558" i="1"/>
  <c r="E558" i="1" s="1"/>
  <c r="B559" i="1"/>
  <c r="E559" i="1" s="1"/>
  <c r="B560" i="1"/>
  <c r="E560" i="1" s="1"/>
  <c r="B561" i="1"/>
  <c r="E561" i="1" s="1"/>
  <c r="B562" i="1"/>
  <c r="E562" i="1" s="1"/>
  <c r="B563" i="1"/>
  <c r="E563" i="1" s="1"/>
  <c r="B564" i="1"/>
  <c r="E564" i="1" s="1"/>
  <c r="B565" i="1"/>
  <c r="E565" i="1" s="1"/>
  <c r="B566" i="1"/>
  <c r="E566" i="1" s="1"/>
  <c r="B567" i="1"/>
  <c r="E567" i="1" s="1"/>
  <c r="B568" i="1"/>
  <c r="E568" i="1" s="1"/>
  <c r="B569" i="1"/>
  <c r="E569" i="1" s="1"/>
  <c r="B570" i="1"/>
  <c r="E570" i="1" s="1"/>
  <c r="B571" i="1"/>
  <c r="E571" i="1" s="1"/>
  <c r="B572" i="1"/>
  <c r="E572" i="1" s="1"/>
  <c r="B573" i="1"/>
  <c r="E573" i="1" s="1"/>
  <c r="B574" i="1"/>
  <c r="E574" i="1" s="1"/>
  <c r="B575" i="1"/>
  <c r="E575" i="1" s="1"/>
  <c r="B576" i="1"/>
  <c r="E576" i="1" s="1"/>
  <c r="B577" i="1"/>
  <c r="E577" i="1" s="1"/>
  <c r="B578" i="1"/>
  <c r="E578" i="1" s="1"/>
  <c r="B579" i="1"/>
  <c r="E579" i="1" s="1"/>
  <c r="B580" i="1"/>
  <c r="E580" i="1" s="1"/>
  <c r="B581" i="1"/>
  <c r="E581" i="1" s="1"/>
  <c r="B582" i="1"/>
  <c r="E582" i="1" s="1"/>
  <c r="B583" i="1"/>
  <c r="E583" i="1" s="1"/>
  <c r="B584" i="1"/>
  <c r="E584" i="1" s="1"/>
  <c r="B585" i="1"/>
  <c r="E585" i="1" s="1"/>
  <c r="B586" i="1"/>
  <c r="E586" i="1" s="1"/>
  <c r="B587" i="1"/>
  <c r="E587" i="1" s="1"/>
  <c r="B588" i="1"/>
  <c r="E588" i="1" s="1"/>
  <c r="B589" i="1"/>
  <c r="E589" i="1" s="1"/>
  <c r="B590" i="1"/>
  <c r="E590" i="1" s="1"/>
  <c r="B591" i="1"/>
  <c r="E591" i="1" s="1"/>
  <c r="B592" i="1"/>
  <c r="E592" i="1" s="1"/>
  <c r="B593" i="1"/>
  <c r="E593" i="1" s="1"/>
  <c r="B594" i="1"/>
  <c r="E594" i="1" s="1"/>
  <c r="B595" i="1"/>
  <c r="E595" i="1" s="1"/>
  <c r="B596" i="1"/>
  <c r="E596" i="1" s="1"/>
  <c r="B597" i="1"/>
  <c r="E597" i="1" s="1"/>
  <c r="B598" i="1"/>
  <c r="E598" i="1" s="1"/>
  <c r="B599" i="1"/>
  <c r="E599" i="1" s="1"/>
  <c r="B600" i="1"/>
  <c r="E600" i="1" s="1"/>
  <c r="B601" i="1"/>
  <c r="E601" i="1" s="1"/>
  <c r="B602" i="1"/>
  <c r="E602" i="1" s="1"/>
  <c r="B603" i="1"/>
  <c r="E603" i="1" s="1"/>
  <c r="B604" i="1"/>
  <c r="E604" i="1" s="1"/>
  <c r="B605" i="1"/>
  <c r="E605" i="1" s="1"/>
  <c r="B606" i="1"/>
  <c r="E606" i="1" s="1"/>
  <c r="B607" i="1"/>
  <c r="E607" i="1" s="1"/>
  <c r="B608" i="1"/>
  <c r="E608" i="1" s="1"/>
  <c r="B609" i="1"/>
  <c r="E609" i="1" s="1"/>
  <c r="B610" i="1"/>
  <c r="E610" i="1" s="1"/>
  <c r="B611" i="1"/>
  <c r="E611" i="1" s="1"/>
  <c r="B612" i="1"/>
  <c r="E612" i="1" s="1"/>
  <c r="B613" i="1"/>
  <c r="E613" i="1" s="1"/>
  <c r="B614" i="1"/>
  <c r="E614" i="1" s="1"/>
  <c r="B615" i="1"/>
  <c r="E615" i="1" s="1"/>
  <c r="B616" i="1"/>
  <c r="E616" i="1" s="1"/>
  <c r="B617" i="1"/>
  <c r="E617" i="1" s="1"/>
  <c r="B618" i="1"/>
  <c r="E618" i="1" s="1"/>
  <c r="B619" i="1"/>
  <c r="E619" i="1" s="1"/>
  <c r="B620" i="1"/>
  <c r="E620" i="1" s="1"/>
  <c r="B621" i="1"/>
  <c r="E621" i="1" s="1"/>
  <c r="B622" i="1"/>
  <c r="E622" i="1" s="1"/>
  <c r="B623" i="1"/>
  <c r="E623" i="1" s="1"/>
  <c r="B624" i="1"/>
  <c r="E624" i="1" s="1"/>
  <c r="B625" i="1"/>
  <c r="E625" i="1" s="1"/>
  <c r="B626" i="1"/>
  <c r="E626" i="1" s="1"/>
  <c r="B627" i="1"/>
  <c r="E627" i="1" s="1"/>
  <c r="B628" i="1"/>
  <c r="E628" i="1" s="1"/>
  <c r="B629" i="1"/>
  <c r="E629" i="1" s="1"/>
  <c r="B630" i="1"/>
  <c r="E630" i="1" s="1"/>
  <c r="B631" i="1"/>
  <c r="E631" i="1" s="1"/>
  <c r="B632" i="1"/>
  <c r="E632" i="1" s="1"/>
  <c r="B633" i="1"/>
  <c r="E633" i="1" s="1"/>
  <c r="B634" i="1"/>
  <c r="E634" i="1" s="1"/>
  <c r="B635" i="1"/>
  <c r="E635" i="1" s="1"/>
  <c r="B636" i="1"/>
  <c r="E636" i="1" s="1"/>
  <c r="B637" i="1"/>
  <c r="E637" i="1" s="1"/>
  <c r="B638" i="1"/>
  <c r="E638" i="1" s="1"/>
  <c r="B639" i="1"/>
  <c r="E639" i="1" s="1"/>
  <c r="B640" i="1"/>
  <c r="E640" i="1" s="1"/>
  <c r="B641" i="1"/>
  <c r="E641" i="1" s="1"/>
  <c r="B642" i="1"/>
  <c r="E642" i="1" s="1"/>
  <c r="B643" i="1"/>
  <c r="E643" i="1" s="1"/>
  <c r="B644" i="1"/>
  <c r="E644" i="1" s="1"/>
  <c r="B645" i="1"/>
  <c r="E645" i="1" s="1"/>
  <c r="B646" i="1"/>
  <c r="E646" i="1" s="1"/>
  <c r="B647" i="1"/>
  <c r="E647" i="1" s="1"/>
  <c r="B648" i="1"/>
  <c r="E648" i="1" s="1"/>
  <c r="B649" i="1"/>
  <c r="E649" i="1" s="1"/>
  <c r="B650" i="1"/>
  <c r="E650" i="1" s="1"/>
  <c r="B651" i="1"/>
  <c r="E651" i="1" s="1"/>
  <c r="B652" i="1"/>
  <c r="E652" i="1" s="1"/>
  <c r="B653" i="1"/>
  <c r="E653" i="1" s="1"/>
  <c r="B654" i="1"/>
  <c r="E654" i="1" s="1"/>
  <c r="B655" i="1"/>
  <c r="E655" i="1" s="1"/>
  <c r="B656" i="1"/>
  <c r="E656" i="1" s="1"/>
  <c r="B657" i="1"/>
  <c r="E657" i="1" s="1"/>
  <c r="B658" i="1"/>
  <c r="E658" i="1" s="1"/>
  <c r="B659" i="1"/>
  <c r="E659" i="1" s="1"/>
  <c r="B660" i="1"/>
  <c r="E660" i="1" s="1"/>
  <c r="B661" i="1"/>
  <c r="E661" i="1" s="1"/>
  <c r="B662" i="1"/>
  <c r="E662" i="1" s="1"/>
  <c r="B663" i="1"/>
  <c r="E663" i="1" s="1"/>
  <c r="B664" i="1"/>
  <c r="E664" i="1" s="1"/>
  <c r="B665" i="1"/>
  <c r="E665" i="1" s="1"/>
  <c r="B666" i="1"/>
  <c r="E666" i="1" s="1"/>
  <c r="B667" i="1"/>
  <c r="E667" i="1" s="1"/>
  <c r="B668" i="1"/>
  <c r="E668" i="1" s="1"/>
  <c r="B669" i="1"/>
  <c r="E669" i="1" s="1"/>
  <c r="B670" i="1"/>
  <c r="E670" i="1" s="1"/>
  <c r="B671" i="1"/>
  <c r="E671" i="1" s="1"/>
  <c r="B672" i="1"/>
  <c r="E672" i="1" s="1"/>
  <c r="B673" i="1"/>
  <c r="E673" i="1" s="1"/>
  <c r="B674" i="1"/>
  <c r="E674" i="1" s="1"/>
  <c r="B675" i="1"/>
  <c r="E675" i="1" s="1"/>
  <c r="B676" i="1"/>
  <c r="E676" i="1" s="1"/>
  <c r="B677" i="1"/>
  <c r="E677" i="1" s="1"/>
  <c r="B678" i="1"/>
  <c r="E678" i="1" s="1"/>
  <c r="B679" i="1"/>
  <c r="E679" i="1" s="1"/>
  <c r="B680" i="1"/>
  <c r="E680" i="1" s="1"/>
  <c r="B681" i="1"/>
  <c r="E681" i="1" s="1"/>
  <c r="B682" i="1"/>
  <c r="E682" i="1" s="1"/>
  <c r="B683" i="1"/>
  <c r="E683" i="1" s="1"/>
  <c r="B684" i="1"/>
  <c r="E684" i="1" s="1"/>
  <c r="B685" i="1"/>
  <c r="E685" i="1" s="1"/>
  <c r="B686" i="1"/>
  <c r="E686" i="1" s="1"/>
  <c r="B687" i="1"/>
  <c r="E687" i="1" s="1"/>
  <c r="B688" i="1"/>
  <c r="E688" i="1" s="1"/>
  <c r="B689" i="1"/>
  <c r="E689" i="1" s="1"/>
  <c r="B690" i="1"/>
  <c r="E690" i="1" s="1"/>
  <c r="B691" i="1"/>
  <c r="E691" i="1" s="1"/>
  <c r="B692" i="1"/>
  <c r="E692" i="1" s="1"/>
  <c r="B693" i="1"/>
  <c r="E693" i="1" s="1"/>
  <c r="B694" i="1"/>
  <c r="E694" i="1" s="1"/>
  <c r="B695" i="1"/>
  <c r="E695" i="1" s="1"/>
  <c r="B696" i="1"/>
  <c r="E696" i="1" s="1"/>
  <c r="B697" i="1"/>
  <c r="E697" i="1" s="1"/>
  <c r="B698" i="1"/>
  <c r="E698" i="1" s="1"/>
  <c r="B699" i="1"/>
  <c r="E699" i="1" s="1"/>
  <c r="B700" i="1"/>
  <c r="E700" i="1" s="1"/>
  <c r="B701" i="1"/>
  <c r="E701" i="1" s="1"/>
  <c r="B702" i="1"/>
  <c r="E702" i="1" s="1"/>
  <c r="B703" i="1"/>
  <c r="E703" i="1" s="1"/>
  <c r="B704" i="1"/>
  <c r="E704" i="1" s="1"/>
  <c r="B705" i="1"/>
  <c r="E705" i="1" s="1"/>
  <c r="B706" i="1"/>
  <c r="E706" i="1" s="1"/>
  <c r="B707" i="1"/>
  <c r="E707" i="1" s="1"/>
  <c r="B708" i="1"/>
  <c r="E708" i="1" s="1"/>
  <c r="B709" i="1"/>
  <c r="E709" i="1" s="1"/>
  <c r="B710" i="1"/>
  <c r="E710" i="1" s="1"/>
  <c r="B711" i="1"/>
  <c r="E711" i="1" s="1"/>
  <c r="B712" i="1"/>
  <c r="E712" i="1" s="1"/>
  <c r="B713" i="1"/>
  <c r="E713" i="1" s="1"/>
  <c r="B714" i="1"/>
  <c r="E714" i="1" s="1"/>
  <c r="B715" i="1"/>
  <c r="E715" i="1" s="1"/>
  <c r="B716" i="1"/>
  <c r="E716" i="1" s="1"/>
  <c r="B717" i="1"/>
  <c r="E717" i="1" s="1"/>
  <c r="B718" i="1"/>
  <c r="E718" i="1" s="1"/>
  <c r="B719" i="1"/>
  <c r="E719" i="1" s="1"/>
  <c r="B720" i="1"/>
  <c r="E720" i="1" s="1"/>
  <c r="B721" i="1"/>
  <c r="E721" i="1" s="1"/>
  <c r="B722" i="1"/>
  <c r="E722" i="1" s="1"/>
  <c r="B723" i="1"/>
  <c r="E723" i="1" s="1"/>
  <c r="B724" i="1"/>
  <c r="E724" i="1" s="1"/>
  <c r="B725" i="1"/>
  <c r="E725" i="1" s="1"/>
  <c r="B726" i="1"/>
  <c r="E726" i="1" s="1"/>
  <c r="B727" i="1"/>
  <c r="E727" i="1" s="1"/>
  <c r="B728" i="1"/>
  <c r="E728" i="1" s="1"/>
  <c r="B729" i="1"/>
  <c r="E729" i="1" s="1"/>
  <c r="B730" i="1"/>
  <c r="E730" i="1" s="1"/>
  <c r="B731" i="1"/>
  <c r="E731" i="1" s="1"/>
  <c r="B732" i="1"/>
  <c r="E732" i="1" s="1"/>
  <c r="B733" i="1"/>
  <c r="E733" i="1" s="1"/>
  <c r="B734" i="1"/>
  <c r="E734" i="1" s="1"/>
  <c r="B735" i="1"/>
  <c r="E735" i="1" s="1"/>
  <c r="B736" i="1"/>
  <c r="E736" i="1" s="1"/>
  <c r="B737" i="1"/>
  <c r="E737" i="1" s="1"/>
  <c r="B738" i="1"/>
  <c r="E738" i="1" s="1"/>
  <c r="B739" i="1"/>
  <c r="E739" i="1" s="1"/>
  <c r="B740" i="1"/>
  <c r="E740" i="1" s="1"/>
  <c r="B741" i="1"/>
  <c r="E741" i="1" s="1"/>
  <c r="B742" i="1"/>
  <c r="E742" i="1" s="1"/>
  <c r="B743" i="1"/>
  <c r="E743" i="1" s="1"/>
  <c r="B744" i="1"/>
  <c r="E744" i="1" s="1"/>
  <c r="B745" i="1"/>
  <c r="E745" i="1" s="1"/>
  <c r="B746" i="1"/>
  <c r="E746" i="1" s="1"/>
  <c r="B747" i="1"/>
  <c r="E747" i="1" s="1"/>
  <c r="B748" i="1"/>
  <c r="E748" i="1" s="1"/>
  <c r="B749" i="1"/>
  <c r="E749" i="1" s="1"/>
  <c r="B750" i="1"/>
  <c r="E750" i="1" s="1"/>
  <c r="B751" i="1"/>
  <c r="E751" i="1" s="1"/>
  <c r="B752" i="1"/>
  <c r="E752" i="1" s="1"/>
  <c r="B753" i="1"/>
  <c r="E753" i="1" s="1"/>
  <c r="B754" i="1"/>
  <c r="E754" i="1" s="1"/>
  <c r="B755" i="1"/>
  <c r="E755" i="1" s="1"/>
  <c r="B756" i="1"/>
  <c r="E756" i="1" s="1"/>
  <c r="B757" i="1"/>
  <c r="E757" i="1" s="1"/>
  <c r="B758" i="1"/>
  <c r="E758" i="1" s="1"/>
  <c r="B759" i="1"/>
  <c r="E759" i="1" s="1"/>
  <c r="B760" i="1"/>
  <c r="E760" i="1" s="1"/>
  <c r="B761" i="1"/>
  <c r="E761" i="1" s="1"/>
  <c r="B762" i="1"/>
  <c r="E762" i="1" s="1"/>
  <c r="B763" i="1"/>
  <c r="E763" i="1" s="1"/>
  <c r="B764" i="1"/>
  <c r="E764" i="1" s="1"/>
  <c r="B765" i="1"/>
  <c r="E765" i="1" s="1"/>
  <c r="B766" i="1"/>
  <c r="E766" i="1" s="1"/>
  <c r="B767" i="1"/>
  <c r="E767" i="1" s="1"/>
  <c r="B768" i="1"/>
  <c r="E768" i="1" s="1"/>
  <c r="B769" i="1"/>
  <c r="E769" i="1" s="1"/>
  <c r="B770" i="1"/>
  <c r="E770" i="1" s="1"/>
  <c r="B771" i="1"/>
  <c r="E771" i="1" s="1"/>
  <c r="B772" i="1"/>
  <c r="E772" i="1" s="1"/>
  <c r="B773" i="1"/>
  <c r="E773" i="1" s="1"/>
  <c r="B774" i="1"/>
  <c r="E774" i="1" s="1"/>
  <c r="B775" i="1"/>
  <c r="E775" i="1" s="1"/>
  <c r="B776" i="1"/>
  <c r="E776" i="1" s="1"/>
  <c r="B777" i="1"/>
  <c r="E777" i="1" s="1"/>
  <c r="B778" i="1"/>
  <c r="E778" i="1" s="1"/>
  <c r="B779" i="1"/>
  <c r="E779" i="1" s="1"/>
  <c r="B780" i="1"/>
  <c r="E780" i="1" s="1"/>
  <c r="B781" i="1"/>
  <c r="E781" i="1" s="1"/>
  <c r="B782" i="1"/>
  <c r="E782" i="1" s="1"/>
  <c r="B783" i="1"/>
  <c r="E783" i="1" s="1"/>
  <c r="B784" i="1"/>
  <c r="E784" i="1" s="1"/>
  <c r="B785" i="1"/>
  <c r="E785" i="1" s="1"/>
  <c r="B786" i="1"/>
  <c r="E786" i="1" s="1"/>
  <c r="B787" i="1"/>
  <c r="E787" i="1" s="1"/>
  <c r="B788" i="1"/>
  <c r="E788" i="1" s="1"/>
  <c r="B789" i="1"/>
  <c r="E789" i="1" s="1"/>
  <c r="B790" i="1"/>
  <c r="E790" i="1" s="1"/>
  <c r="B791" i="1"/>
  <c r="E791" i="1" s="1"/>
  <c r="B792" i="1"/>
  <c r="E792" i="1" s="1"/>
  <c r="B793" i="1"/>
  <c r="E793" i="1" s="1"/>
  <c r="B794" i="1"/>
  <c r="E794" i="1" s="1"/>
  <c r="B795" i="1"/>
  <c r="E795" i="1" s="1"/>
  <c r="B796" i="1"/>
  <c r="E796" i="1" s="1"/>
  <c r="B797" i="1"/>
  <c r="E797" i="1" s="1"/>
  <c r="B798" i="1"/>
  <c r="E798" i="1" s="1"/>
  <c r="B799" i="1"/>
  <c r="E799" i="1" s="1"/>
  <c r="B800" i="1"/>
  <c r="E800" i="1" s="1"/>
  <c r="B801" i="1"/>
  <c r="E801" i="1" s="1"/>
  <c r="B802" i="1"/>
  <c r="E802" i="1" s="1"/>
  <c r="B803" i="1"/>
  <c r="E803" i="1" s="1"/>
  <c r="B804" i="1"/>
  <c r="E804" i="1" s="1"/>
  <c r="B805" i="1"/>
  <c r="E805" i="1" s="1"/>
  <c r="B806" i="1"/>
  <c r="E806" i="1" s="1"/>
  <c r="B807" i="1"/>
  <c r="E807" i="1" s="1"/>
  <c r="B808" i="1"/>
  <c r="E808" i="1" s="1"/>
  <c r="B809" i="1"/>
  <c r="E809" i="1" s="1"/>
  <c r="B810" i="1"/>
  <c r="E810" i="1" s="1"/>
  <c r="B811" i="1"/>
  <c r="E811" i="1" s="1"/>
  <c r="B812" i="1"/>
  <c r="E812" i="1" s="1"/>
  <c r="B813" i="1"/>
  <c r="E813" i="1" s="1"/>
  <c r="B814" i="1"/>
  <c r="E814" i="1" s="1"/>
  <c r="B815" i="1"/>
  <c r="E815" i="1" s="1"/>
  <c r="B816" i="1"/>
  <c r="E816" i="1" s="1"/>
  <c r="B817" i="1"/>
  <c r="E817" i="1" s="1"/>
  <c r="B818" i="1"/>
  <c r="E818" i="1" s="1"/>
  <c r="B819" i="1"/>
  <c r="E819" i="1" s="1"/>
  <c r="B820" i="1"/>
  <c r="E820" i="1" s="1"/>
  <c r="B821" i="1"/>
  <c r="E821" i="1" s="1"/>
  <c r="B822" i="1"/>
  <c r="E822" i="1" s="1"/>
  <c r="B823" i="1"/>
  <c r="E823" i="1" s="1"/>
  <c r="B824" i="1"/>
  <c r="E824" i="1" s="1"/>
  <c r="B825" i="1"/>
  <c r="E825" i="1" s="1"/>
  <c r="B826" i="1"/>
  <c r="E826" i="1" s="1"/>
  <c r="B827" i="1"/>
  <c r="E827" i="1" s="1"/>
  <c r="B828" i="1"/>
  <c r="E828" i="1" s="1"/>
  <c r="B829" i="1"/>
  <c r="E829" i="1" s="1"/>
  <c r="B830" i="1"/>
  <c r="E830" i="1" s="1"/>
  <c r="B831" i="1"/>
  <c r="E831" i="1" s="1"/>
  <c r="B832" i="1"/>
  <c r="E832" i="1" s="1"/>
  <c r="B833" i="1"/>
  <c r="E833" i="1" s="1"/>
  <c r="B834" i="1"/>
  <c r="E834" i="1" s="1"/>
  <c r="B835" i="1"/>
  <c r="E835" i="1" s="1"/>
  <c r="B836" i="1"/>
  <c r="E836" i="1" s="1"/>
  <c r="B837" i="1"/>
  <c r="E837" i="1" s="1"/>
  <c r="B838" i="1"/>
  <c r="E838" i="1" s="1"/>
  <c r="B839" i="1"/>
  <c r="E839" i="1" s="1"/>
  <c r="B840" i="1"/>
  <c r="E840" i="1" s="1"/>
  <c r="B841" i="1"/>
  <c r="E841" i="1" s="1"/>
  <c r="B842" i="1"/>
  <c r="E842" i="1" s="1"/>
  <c r="B843" i="1"/>
  <c r="E843" i="1" s="1"/>
  <c r="B844" i="1"/>
  <c r="E844" i="1" s="1"/>
  <c r="B845" i="1"/>
  <c r="E845" i="1" s="1"/>
  <c r="B846" i="1"/>
  <c r="E846" i="1" s="1"/>
  <c r="B847" i="1"/>
  <c r="E847" i="1" s="1"/>
  <c r="B848" i="1"/>
  <c r="E848" i="1" s="1"/>
  <c r="B849" i="1"/>
  <c r="E849" i="1" s="1"/>
  <c r="B850" i="1"/>
  <c r="E850" i="1" s="1"/>
  <c r="B851" i="1"/>
  <c r="E851" i="1" s="1"/>
  <c r="B852" i="1"/>
  <c r="E852" i="1" s="1"/>
  <c r="B853" i="1"/>
  <c r="E853" i="1" s="1"/>
  <c r="B854" i="1"/>
  <c r="E854" i="1" s="1"/>
  <c r="B855" i="1"/>
  <c r="E855" i="1" s="1"/>
  <c r="B856" i="1"/>
  <c r="E856" i="1" s="1"/>
  <c r="B857" i="1"/>
  <c r="E857" i="1" s="1"/>
  <c r="B858" i="1"/>
  <c r="E858" i="1" s="1"/>
  <c r="B859" i="1"/>
  <c r="E859" i="1" s="1"/>
  <c r="B860" i="1"/>
  <c r="E860" i="1" s="1"/>
  <c r="B861" i="1"/>
  <c r="E861" i="1" s="1"/>
  <c r="B862" i="1"/>
  <c r="E862" i="1" s="1"/>
  <c r="B863" i="1"/>
  <c r="E863" i="1" s="1"/>
  <c r="B864" i="1"/>
  <c r="E864" i="1" s="1"/>
  <c r="B865" i="1"/>
  <c r="E865" i="1" s="1"/>
  <c r="B866" i="1"/>
  <c r="E866" i="1" s="1"/>
  <c r="B867" i="1"/>
  <c r="E867" i="1" s="1"/>
  <c r="B868" i="1"/>
  <c r="E868" i="1" s="1"/>
  <c r="B869" i="1"/>
  <c r="E869" i="1" s="1"/>
  <c r="B870" i="1"/>
  <c r="E870" i="1" s="1"/>
  <c r="B871" i="1"/>
  <c r="E871" i="1" s="1"/>
  <c r="B872" i="1"/>
  <c r="E872" i="1" s="1"/>
  <c r="B873" i="1"/>
  <c r="E873" i="1" s="1"/>
  <c r="B874" i="1"/>
  <c r="E874" i="1" s="1"/>
  <c r="B875" i="1"/>
  <c r="E875" i="1" s="1"/>
  <c r="B876" i="1"/>
  <c r="E876" i="1" s="1"/>
  <c r="B877" i="1"/>
  <c r="E877" i="1" s="1"/>
  <c r="B878" i="1"/>
  <c r="E878" i="1" s="1"/>
  <c r="B879" i="1"/>
  <c r="E879" i="1" s="1"/>
  <c r="B880" i="1"/>
  <c r="E880" i="1" s="1"/>
  <c r="B881" i="1"/>
  <c r="E881" i="1" s="1"/>
  <c r="B882" i="1"/>
  <c r="E882" i="1" s="1"/>
  <c r="B883" i="1"/>
  <c r="E883" i="1" s="1"/>
  <c r="B884" i="1"/>
  <c r="E884" i="1" s="1"/>
  <c r="B885" i="1"/>
  <c r="E885" i="1" s="1"/>
  <c r="B886" i="1"/>
  <c r="E886" i="1" s="1"/>
  <c r="B887" i="1"/>
  <c r="E887" i="1" s="1"/>
  <c r="B888" i="1"/>
  <c r="E888" i="1" s="1"/>
  <c r="B889" i="1"/>
  <c r="E889" i="1" s="1"/>
  <c r="B890" i="1"/>
  <c r="E890" i="1" s="1"/>
  <c r="B891" i="1"/>
  <c r="E891" i="1" s="1"/>
  <c r="B892" i="1"/>
  <c r="E892" i="1" s="1"/>
  <c r="B893" i="1"/>
  <c r="E893" i="1" s="1"/>
  <c r="B894" i="1"/>
  <c r="E894" i="1" s="1"/>
  <c r="B895" i="1"/>
  <c r="E895" i="1" s="1"/>
  <c r="B896" i="1"/>
  <c r="E896" i="1" s="1"/>
  <c r="B897" i="1"/>
  <c r="E897" i="1" s="1"/>
  <c r="B898" i="1"/>
  <c r="E898" i="1" s="1"/>
  <c r="B899" i="1"/>
  <c r="E899" i="1" s="1"/>
  <c r="B900" i="1"/>
  <c r="E900" i="1" s="1"/>
  <c r="B901" i="1"/>
  <c r="E901" i="1" s="1"/>
  <c r="B902" i="1"/>
  <c r="E902" i="1" s="1"/>
  <c r="B903" i="1"/>
  <c r="E903" i="1" s="1"/>
  <c r="B904" i="1"/>
  <c r="E904" i="1" s="1"/>
  <c r="B905" i="1"/>
  <c r="E905" i="1" s="1"/>
  <c r="B906" i="1"/>
  <c r="E906" i="1" s="1"/>
  <c r="B907" i="1"/>
  <c r="E907" i="1" s="1"/>
  <c r="B908" i="1"/>
  <c r="E908" i="1" s="1"/>
  <c r="B909" i="1"/>
  <c r="E909" i="1" s="1"/>
  <c r="B910" i="1"/>
  <c r="E910" i="1" s="1"/>
  <c r="B911" i="1"/>
  <c r="E911" i="1" s="1"/>
  <c r="B912" i="1"/>
  <c r="E912" i="1" s="1"/>
  <c r="B913" i="1"/>
  <c r="E913" i="1" s="1"/>
  <c r="B914" i="1"/>
  <c r="E914" i="1" s="1"/>
  <c r="B915" i="1"/>
  <c r="E915" i="1" s="1"/>
  <c r="B916" i="1"/>
  <c r="E916" i="1" s="1"/>
  <c r="B917" i="1"/>
  <c r="E917" i="1" s="1"/>
  <c r="B918" i="1"/>
  <c r="E918" i="1" s="1"/>
  <c r="B919" i="1"/>
  <c r="E919" i="1" s="1"/>
  <c r="B920" i="1"/>
  <c r="E920" i="1" s="1"/>
  <c r="B921" i="1"/>
  <c r="E921" i="1" s="1"/>
  <c r="B922" i="1"/>
  <c r="E922" i="1" s="1"/>
  <c r="B923" i="1"/>
  <c r="E923" i="1" s="1"/>
  <c r="B924" i="1"/>
  <c r="E924" i="1" s="1"/>
  <c r="B925" i="1"/>
  <c r="E925" i="1" s="1"/>
  <c r="B926" i="1"/>
  <c r="E926" i="1" s="1"/>
  <c r="B927" i="1"/>
  <c r="E927" i="1" s="1"/>
  <c r="B928" i="1"/>
  <c r="E928" i="1" s="1"/>
  <c r="B929" i="1"/>
  <c r="E929" i="1" s="1"/>
  <c r="B930" i="1"/>
  <c r="E930" i="1" s="1"/>
  <c r="B931" i="1"/>
  <c r="E931" i="1" s="1"/>
  <c r="B932" i="1"/>
  <c r="E932" i="1" s="1"/>
  <c r="B933" i="1"/>
  <c r="E933" i="1" s="1"/>
  <c r="B934" i="1"/>
  <c r="E934" i="1" s="1"/>
  <c r="B935" i="1"/>
  <c r="E935" i="1" s="1"/>
  <c r="B936" i="1"/>
  <c r="E936" i="1" s="1"/>
  <c r="B937" i="1"/>
  <c r="E937" i="1" s="1"/>
  <c r="B938" i="1"/>
  <c r="E938" i="1" s="1"/>
  <c r="B939" i="1"/>
  <c r="E939" i="1" s="1"/>
  <c r="B940" i="1"/>
  <c r="E940" i="1" s="1"/>
  <c r="B941" i="1"/>
  <c r="E941" i="1" s="1"/>
  <c r="B942" i="1"/>
  <c r="E942" i="1" s="1"/>
  <c r="B943" i="1"/>
  <c r="E943" i="1" s="1"/>
  <c r="B944" i="1"/>
  <c r="E944" i="1" s="1"/>
  <c r="B945" i="1"/>
  <c r="E945" i="1" s="1"/>
  <c r="B946" i="1"/>
  <c r="E946" i="1" s="1"/>
  <c r="B947" i="1"/>
  <c r="E947" i="1" s="1"/>
  <c r="B948" i="1"/>
  <c r="E948" i="1" s="1"/>
  <c r="B949" i="1"/>
  <c r="E949" i="1" s="1"/>
  <c r="B950" i="1"/>
  <c r="E950" i="1" s="1"/>
  <c r="B951" i="1"/>
  <c r="E951" i="1" s="1"/>
  <c r="B952" i="1"/>
  <c r="E952" i="1" s="1"/>
  <c r="B953" i="1"/>
  <c r="E953" i="1" s="1"/>
  <c r="B954" i="1"/>
  <c r="E954" i="1" s="1"/>
  <c r="B955" i="1"/>
  <c r="E955" i="1" s="1"/>
  <c r="B956" i="1"/>
  <c r="E956" i="1" s="1"/>
  <c r="B957" i="1"/>
  <c r="E957" i="1" s="1"/>
  <c r="B958" i="1"/>
  <c r="E958" i="1" s="1"/>
  <c r="B959" i="1"/>
  <c r="E959" i="1" s="1"/>
  <c r="B960" i="1"/>
  <c r="E960" i="1" s="1"/>
  <c r="B961" i="1"/>
  <c r="E961" i="1" s="1"/>
  <c r="B962" i="1"/>
  <c r="E962" i="1" s="1"/>
  <c r="B963" i="1"/>
  <c r="E963" i="1" s="1"/>
  <c r="B964" i="1"/>
  <c r="E964" i="1" s="1"/>
  <c r="B965" i="1"/>
  <c r="E965" i="1" s="1"/>
  <c r="B966" i="1"/>
  <c r="E966" i="1" s="1"/>
  <c r="B967" i="1"/>
  <c r="E967" i="1" s="1"/>
  <c r="B968" i="1"/>
  <c r="E968" i="1" s="1"/>
  <c r="B969" i="1"/>
  <c r="E969" i="1" s="1"/>
  <c r="B970" i="1"/>
  <c r="E970" i="1" s="1"/>
  <c r="B971" i="1"/>
  <c r="E971" i="1" s="1"/>
  <c r="B972" i="1"/>
  <c r="E972" i="1" s="1"/>
  <c r="B973" i="1"/>
  <c r="E973" i="1" s="1"/>
  <c r="B974" i="1"/>
  <c r="E974" i="1" s="1"/>
  <c r="B975" i="1"/>
  <c r="E975" i="1" s="1"/>
  <c r="B976" i="1"/>
  <c r="E976" i="1" s="1"/>
  <c r="B977" i="1"/>
  <c r="E977" i="1" s="1"/>
  <c r="B978" i="1"/>
  <c r="E978" i="1" s="1"/>
  <c r="B979" i="1"/>
  <c r="E979" i="1" s="1"/>
  <c r="B980" i="1"/>
  <c r="E980" i="1" s="1"/>
  <c r="B981" i="1"/>
  <c r="E981" i="1" s="1"/>
  <c r="B982" i="1"/>
  <c r="E982" i="1" s="1"/>
  <c r="B983" i="1"/>
  <c r="E983" i="1" s="1"/>
  <c r="B984" i="1"/>
  <c r="E984" i="1" s="1"/>
  <c r="B985" i="1"/>
  <c r="E985" i="1" s="1"/>
  <c r="B986" i="1"/>
  <c r="E986" i="1" s="1"/>
  <c r="B987" i="1"/>
  <c r="E987" i="1" s="1"/>
  <c r="B988" i="1"/>
  <c r="E988" i="1" s="1"/>
  <c r="B989" i="1"/>
  <c r="E989" i="1" s="1"/>
  <c r="B990" i="1"/>
  <c r="E990" i="1" s="1"/>
  <c r="B991" i="1"/>
  <c r="E991" i="1" s="1"/>
  <c r="B992" i="1"/>
  <c r="E992" i="1" s="1"/>
  <c r="B993" i="1"/>
  <c r="E993" i="1" s="1"/>
  <c r="B994" i="1"/>
  <c r="E994" i="1" s="1"/>
  <c r="B995" i="1"/>
  <c r="E995" i="1" s="1"/>
  <c r="B996" i="1"/>
  <c r="E996" i="1" s="1"/>
  <c r="B997" i="1"/>
  <c r="E997" i="1" s="1"/>
  <c r="B998" i="1"/>
  <c r="E998" i="1" s="1"/>
  <c r="B999" i="1"/>
  <c r="E999" i="1" s="1"/>
  <c r="B1000" i="1"/>
  <c r="E1000" i="1" s="1"/>
  <c r="B1001" i="1"/>
  <c r="E1001" i="1" s="1"/>
  <c r="B1002" i="1"/>
  <c r="E1002" i="1" s="1"/>
  <c r="B1003" i="1"/>
  <c r="E1003" i="1" s="1"/>
  <c r="B1004" i="1"/>
  <c r="E1004" i="1" s="1"/>
  <c r="B1005" i="1"/>
  <c r="E1005" i="1" s="1"/>
  <c r="B1006" i="1"/>
  <c r="E1006" i="1" s="1"/>
  <c r="B1007" i="1"/>
  <c r="E1007" i="1" s="1"/>
  <c r="B1008" i="1"/>
  <c r="E1008" i="1" s="1"/>
  <c r="B1009" i="1"/>
  <c r="E1009" i="1" s="1"/>
  <c r="B1010" i="1"/>
  <c r="E1010" i="1" s="1"/>
  <c r="B1011" i="1"/>
  <c r="E1011" i="1" s="1"/>
  <c r="B1012" i="1"/>
  <c r="E1012" i="1" s="1"/>
  <c r="B1013" i="1"/>
  <c r="E1013" i="1" s="1"/>
  <c r="B1014" i="1"/>
  <c r="E1014" i="1" s="1"/>
  <c r="B1015" i="1"/>
  <c r="E1015" i="1" s="1"/>
  <c r="B1016" i="1"/>
  <c r="E1016" i="1" s="1"/>
  <c r="B1017" i="1"/>
  <c r="E1017" i="1" s="1"/>
  <c r="B1018" i="1"/>
  <c r="E1018" i="1" s="1"/>
  <c r="B1019" i="1"/>
  <c r="E1019" i="1" s="1"/>
  <c r="B1020" i="1"/>
  <c r="E1020" i="1" s="1"/>
  <c r="B1021" i="1"/>
  <c r="E1021" i="1" s="1"/>
  <c r="B1022" i="1"/>
  <c r="E1022" i="1" s="1"/>
  <c r="B1023" i="1"/>
  <c r="E1023" i="1" s="1"/>
  <c r="B1024" i="1"/>
  <c r="E1024" i="1" s="1"/>
  <c r="B1025" i="1"/>
  <c r="E1025" i="1" s="1"/>
  <c r="B1026" i="1"/>
  <c r="E1026" i="1" s="1"/>
  <c r="B1027" i="1"/>
  <c r="E1027" i="1" s="1"/>
  <c r="B1028" i="1"/>
  <c r="E1028" i="1" s="1"/>
  <c r="B1029" i="1"/>
  <c r="E1029" i="1" s="1"/>
  <c r="B1030" i="1"/>
  <c r="E1030" i="1" s="1"/>
  <c r="B1031" i="1"/>
  <c r="E1031" i="1" s="1"/>
  <c r="B1032" i="1"/>
  <c r="E1032" i="1" s="1"/>
  <c r="B1033" i="1"/>
  <c r="E1033" i="1" s="1"/>
  <c r="B1034" i="1"/>
  <c r="E1034" i="1" s="1"/>
  <c r="B1035" i="1"/>
  <c r="E1035" i="1" s="1"/>
  <c r="B1036" i="1"/>
  <c r="E1036" i="1" s="1"/>
  <c r="B1037" i="1"/>
  <c r="E1037" i="1" s="1"/>
  <c r="B1038" i="1"/>
  <c r="E1038" i="1" s="1"/>
  <c r="B1039" i="1"/>
  <c r="E1039" i="1" s="1"/>
  <c r="B1040" i="1"/>
  <c r="E1040" i="1" s="1"/>
  <c r="B1041" i="1"/>
  <c r="E1041" i="1" s="1"/>
  <c r="B1042" i="1"/>
  <c r="E1042" i="1" s="1"/>
  <c r="B1043" i="1"/>
  <c r="E1043" i="1" s="1"/>
  <c r="B1044" i="1"/>
  <c r="E1044" i="1" s="1"/>
  <c r="B1045" i="1"/>
  <c r="E1045" i="1" s="1"/>
  <c r="B1046" i="1"/>
  <c r="E1046" i="1" s="1"/>
  <c r="B1047" i="1"/>
  <c r="E1047" i="1" s="1"/>
  <c r="B1048" i="1"/>
  <c r="E1048" i="1" s="1"/>
  <c r="B1049" i="1"/>
  <c r="E1049" i="1" s="1"/>
  <c r="B1050" i="1"/>
  <c r="E1050" i="1" s="1"/>
  <c r="B1051" i="1"/>
  <c r="E1051" i="1" s="1"/>
  <c r="B1052" i="1"/>
  <c r="E1052" i="1" s="1"/>
  <c r="B1053" i="1"/>
  <c r="E1053" i="1" s="1"/>
  <c r="B1054" i="1"/>
  <c r="E1054" i="1" s="1"/>
  <c r="B1055" i="1"/>
  <c r="E1055" i="1" s="1"/>
  <c r="B1056" i="1"/>
  <c r="E1056" i="1" s="1"/>
  <c r="B1057" i="1"/>
  <c r="E1057" i="1" s="1"/>
  <c r="B1058" i="1"/>
  <c r="E1058" i="1" s="1"/>
  <c r="B1059" i="1"/>
  <c r="E1059" i="1" s="1"/>
  <c r="B1060" i="1"/>
  <c r="E1060" i="1" s="1"/>
  <c r="B1061" i="1"/>
  <c r="E1061" i="1" s="1"/>
  <c r="B1062" i="1"/>
  <c r="E1062" i="1" s="1"/>
  <c r="B1063" i="1"/>
  <c r="E1063" i="1" s="1"/>
  <c r="B1064" i="1"/>
  <c r="E1064" i="1" s="1"/>
  <c r="B1065" i="1"/>
  <c r="E1065" i="1" s="1"/>
  <c r="B1066" i="1"/>
  <c r="E1066" i="1" s="1"/>
  <c r="B1067" i="1"/>
  <c r="E1067" i="1" s="1"/>
  <c r="B1068" i="1"/>
  <c r="E1068" i="1" s="1"/>
  <c r="B1069" i="1"/>
  <c r="E1069" i="1" s="1"/>
  <c r="B1070" i="1"/>
  <c r="E1070" i="1" s="1"/>
  <c r="B1071" i="1"/>
  <c r="E1071" i="1" s="1"/>
  <c r="B1072" i="1"/>
  <c r="E1072" i="1" s="1"/>
  <c r="B1073" i="1"/>
  <c r="E1073" i="1" s="1"/>
  <c r="B1074" i="1"/>
  <c r="E1074" i="1" s="1"/>
  <c r="B1075" i="1"/>
  <c r="E1075" i="1" s="1"/>
  <c r="B1076" i="1"/>
  <c r="E1076" i="1" s="1"/>
  <c r="B1077" i="1"/>
  <c r="E1077" i="1" s="1"/>
  <c r="B1078" i="1"/>
  <c r="E1078" i="1" s="1"/>
  <c r="B1079" i="1"/>
  <c r="E1079" i="1" s="1"/>
  <c r="B1080" i="1"/>
  <c r="E1080" i="1" s="1"/>
  <c r="B1081" i="1"/>
  <c r="E1081" i="1" s="1"/>
  <c r="B1082" i="1"/>
  <c r="E1082" i="1" s="1"/>
  <c r="B1083" i="1"/>
  <c r="E1083" i="1" s="1"/>
  <c r="B1084" i="1"/>
  <c r="E1084" i="1" s="1"/>
  <c r="B1085" i="1"/>
  <c r="E1085" i="1" s="1"/>
  <c r="B1086" i="1"/>
  <c r="E1086" i="1" s="1"/>
  <c r="B1087" i="1"/>
  <c r="E1087" i="1" s="1"/>
  <c r="B1088" i="1"/>
  <c r="E1088" i="1" s="1"/>
  <c r="B1089" i="1"/>
  <c r="E1089" i="1" s="1"/>
  <c r="B1090" i="1"/>
  <c r="E1090" i="1" s="1"/>
  <c r="B1091" i="1"/>
  <c r="E1091" i="1" s="1"/>
  <c r="B1092" i="1"/>
  <c r="E1092" i="1" s="1"/>
  <c r="B1093" i="1"/>
  <c r="E1093" i="1" s="1"/>
  <c r="B1094" i="1"/>
  <c r="E1094" i="1" s="1"/>
  <c r="B1095" i="1"/>
  <c r="E1095" i="1" s="1"/>
  <c r="B1096" i="1"/>
  <c r="E1096" i="1" s="1"/>
  <c r="B1097" i="1"/>
  <c r="E1097" i="1" s="1"/>
  <c r="B1098" i="1"/>
  <c r="E1098" i="1" s="1"/>
  <c r="B1099" i="1"/>
  <c r="E1099" i="1" s="1"/>
  <c r="B1100" i="1"/>
  <c r="E1100" i="1" s="1"/>
  <c r="B1101" i="1"/>
  <c r="E1101" i="1" s="1"/>
  <c r="B1102" i="1"/>
  <c r="E1102" i="1" s="1"/>
  <c r="B1103" i="1"/>
  <c r="E1103" i="1" s="1"/>
  <c r="B1104" i="1"/>
  <c r="E1104" i="1" s="1"/>
  <c r="B1105" i="1"/>
  <c r="E1105" i="1" s="1"/>
  <c r="B1106" i="1"/>
  <c r="E1106" i="1" s="1"/>
  <c r="B1107" i="1"/>
  <c r="E1107" i="1" s="1"/>
  <c r="B1108" i="1"/>
  <c r="E1108" i="1" s="1"/>
  <c r="B1109" i="1"/>
  <c r="E1109" i="1" s="1"/>
  <c r="B1110" i="1"/>
  <c r="E1110" i="1" s="1"/>
  <c r="B1111" i="1"/>
  <c r="E1111" i="1" s="1"/>
  <c r="B1112" i="1"/>
  <c r="E1112" i="1" s="1"/>
  <c r="B1113" i="1"/>
  <c r="E1113" i="1" s="1"/>
  <c r="B1114" i="1"/>
  <c r="E1114" i="1" s="1"/>
  <c r="B1115" i="1"/>
  <c r="E1115" i="1" s="1"/>
  <c r="B1116" i="1"/>
  <c r="E1116" i="1" s="1"/>
  <c r="B1117" i="1"/>
  <c r="E1117" i="1" s="1"/>
  <c r="B1118" i="1"/>
  <c r="E1118" i="1" s="1"/>
  <c r="B1119" i="1"/>
  <c r="E1119" i="1" s="1"/>
  <c r="B1120" i="1"/>
  <c r="E1120" i="1" s="1"/>
  <c r="B1121" i="1"/>
  <c r="E1121" i="1" s="1"/>
  <c r="B1122" i="1"/>
  <c r="E1122" i="1" s="1"/>
  <c r="B1123" i="1"/>
  <c r="E1123" i="1" s="1"/>
  <c r="B1124" i="1"/>
  <c r="E1124" i="1" s="1"/>
  <c r="B1125" i="1"/>
  <c r="E1125" i="1" s="1"/>
  <c r="B1126" i="1"/>
  <c r="E1126" i="1" s="1"/>
  <c r="B1127" i="1"/>
  <c r="E1127" i="1" s="1"/>
  <c r="B1128" i="1"/>
  <c r="E1128" i="1" s="1"/>
  <c r="B1129" i="1"/>
  <c r="E1129" i="1" s="1"/>
  <c r="B1130" i="1"/>
  <c r="E1130" i="1" s="1"/>
  <c r="B1131" i="1"/>
  <c r="E1131" i="1" s="1"/>
  <c r="B1132" i="1"/>
  <c r="E1132" i="1" s="1"/>
  <c r="B1133" i="1"/>
  <c r="E1133" i="1" s="1"/>
  <c r="B1134" i="1"/>
  <c r="E1134" i="1" s="1"/>
  <c r="B1135" i="1"/>
  <c r="E1135" i="1" s="1"/>
  <c r="B1136" i="1"/>
  <c r="E1136" i="1" s="1"/>
  <c r="B1137" i="1"/>
  <c r="E1137" i="1" s="1"/>
  <c r="B1138" i="1"/>
  <c r="E1138" i="1" s="1"/>
  <c r="B1139" i="1"/>
  <c r="E1139" i="1" s="1"/>
  <c r="B1140" i="1"/>
  <c r="E1140" i="1" s="1"/>
  <c r="B1141" i="1"/>
  <c r="E1141" i="1" s="1"/>
  <c r="B1142" i="1"/>
  <c r="E1142" i="1" s="1"/>
  <c r="B1143" i="1"/>
  <c r="E1143" i="1" s="1"/>
  <c r="B1144" i="1"/>
  <c r="E1144" i="1" s="1"/>
  <c r="B1145" i="1"/>
  <c r="E1145" i="1" s="1"/>
  <c r="B1146" i="1"/>
  <c r="E1146" i="1" s="1"/>
  <c r="B1147" i="1"/>
  <c r="E1147" i="1" s="1"/>
  <c r="B1148" i="1"/>
  <c r="E1148" i="1" s="1"/>
  <c r="B1149" i="1"/>
  <c r="E1149" i="1" s="1"/>
  <c r="B1150" i="1"/>
  <c r="E1150" i="1" s="1"/>
  <c r="B1151" i="1"/>
  <c r="E1151" i="1" s="1"/>
  <c r="B1152" i="1"/>
  <c r="E1152" i="1" s="1"/>
  <c r="B1153" i="1"/>
  <c r="E1153" i="1" s="1"/>
  <c r="B1154" i="1"/>
  <c r="E1154" i="1" s="1"/>
  <c r="B1155" i="1"/>
  <c r="E1155" i="1" s="1"/>
  <c r="B1156" i="1"/>
  <c r="E1156" i="1" s="1"/>
  <c r="B1157" i="1"/>
  <c r="E1157" i="1" s="1"/>
  <c r="B1158" i="1"/>
  <c r="E1158" i="1" s="1"/>
  <c r="B1159" i="1"/>
  <c r="E1159" i="1" s="1"/>
  <c r="B1160" i="1"/>
  <c r="E1160" i="1" s="1"/>
  <c r="B1161" i="1"/>
  <c r="E1161" i="1" s="1"/>
  <c r="B1162" i="1"/>
  <c r="E1162" i="1" s="1"/>
  <c r="B1163" i="1"/>
  <c r="E1163" i="1" s="1"/>
  <c r="B1164" i="1"/>
  <c r="E1164" i="1" s="1"/>
  <c r="B1165" i="1"/>
  <c r="E1165" i="1" s="1"/>
  <c r="B1166" i="1"/>
  <c r="E1166" i="1" s="1"/>
  <c r="B1167" i="1"/>
  <c r="E1167" i="1" s="1"/>
  <c r="B1168" i="1"/>
  <c r="E1168" i="1" s="1"/>
  <c r="B1169" i="1"/>
  <c r="E1169" i="1" s="1"/>
  <c r="B1170" i="1"/>
  <c r="E1170" i="1" s="1"/>
  <c r="B1171" i="1"/>
  <c r="E1171" i="1" s="1"/>
  <c r="B1172" i="1"/>
  <c r="E1172" i="1" s="1"/>
  <c r="B1173" i="1"/>
  <c r="E1173" i="1" s="1"/>
  <c r="B1174" i="1"/>
  <c r="E1174" i="1" s="1"/>
  <c r="B1175" i="1"/>
  <c r="E1175" i="1" s="1"/>
  <c r="B1176" i="1"/>
  <c r="E1176" i="1" s="1"/>
  <c r="B1177" i="1"/>
  <c r="E1177" i="1" s="1"/>
  <c r="B1178" i="1"/>
  <c r="E1178" i="1" s="1"/>
  <c r="B1179" i="1"/>
  <c r="E1179" i="1" s="1"/>
  <c r="B1180" i="1"/>
  <c r="E1180" i="1" s="1"/>
  <c r="B1181" i="1"/>
  <c r="E1181" i="1" s="1"/>
  <c r="B1182" i="1"/>
  <c r="E1182" i="1" s="1"/>
  <c r="B1183" i="1"/>
  <c r="E1183" i="1" s="1"/>
  <c r="B1184" i="1"/>
  <c r="E1184" i="1" s="1"/>
  <c r="B1185" i="1"/>
  <c r="E1185" i="1" s="1"/>
  <c r="B1186" i="1"/>
  <c r="E1186" i="1" s="1"/>
  <c r="B1187" i="1"/>
  <c r="E1187" i="1" s="1"/>
  <c r="B1188" i="1"/>
  <c r="E1188" i="1" s="1"/>
  <c r="B1189" i="1"/>
  <c r="E1189" i="1" s="1"/>
  <c r="B1190" i="1"/>
  <c r="E1190" i="1" s="1"/>
  <c r="B1191" i="1"/>
  <c r="E1191" i="1" s="1"/>
  <c r="B1192" i="1"/>
  <c r="E1192" i="1" s="1"/>
  <c r="B1193" i="1"/>
  <c r="E1193" i="1" s="1"/>
  <c r="B1194" i="1"/>
  <c r="E1194" i="1" s="1"/>
  <c r="B1195" i="1"/>
  <c r="E1195" i="1" s="1"/>
  <c r="B1196" i="1"/>
  <c r="E1196" i="1" s="1"/>
  <c r="B1197" i="1"/>
  <c r="E1197" i="1" s="1"/>
  <c r="B1198" i="1"/>
  <c r="E1198" i="1" s="1"/>
  <c r="B1199" i="1"/>
  <c r="E1199" i="1" s="1"/>
  <c r="B1200" i="1"/>
  <c r="E1200" i="1" s="1"/>
  <c r="B1201" i="1"/>
  <c r="E1201" i="1" s="1"/>
  <c r="B1202" i="1"/>
  <c r="E1202" i="1" s="1"/>
  <c r="B1203" i="1"/>
  <c r="E1203" i="1" s="1"/>
  <c r="B1204" i="1"/>
  <c r="E1204" i="1" s="1"/>
  <c r="B1205" i="1"/>
  <c r="E1205" i="1" s="1"/>
  <c r="B1206" i="1"/>
  <c r="E1206" i="1" s="1"/>
  <c r="B1207" i="1"/>
  <c r="E1207" i="1" s="1"/>
  <c r="B1208" i="1"/>
  <c r="E1208" i="1" s="1"/>
  <c r="B1209" i="1"/>
  <c r="E1209" i="1" s="1"/>
  <c r="B1210" i="1"/>
  <c r="E1210" i="1" s="1"/>
  <c r="B1211" i="1"/>
  <c r="E1211" i="1" s="1"/>
  <c r="B1212" i="1"/>
  <c r="E1212" i="1" s="1"/>
  <c r="B1213" i="1"/>
  <c r="E1213" i="1" s="1"/>
  <c r="B1214" i="1"/>
  <c r="E1214" i="1" s="1"/>
  <c r="B1215" i="1"/>
  <c r="E1215" i="1" s="1"/>
  <c r="B1216" i="1"/>
  <c r="E1216" i="1" s="1"/>
  <c r="B1217" i="1"/>
  <c r="E1217" i="1" s="1"/>
  <c r="B1218" i="1"/>
  <c r="E1218" i="1" s="1"/>
  <c r="B1219" i="1"/>
  <c r="E1219" i="1" s="1"/>
  <c r="B1220" i="1"/>
  <c r="E1220" i="1" s="1"/>
  <c r="B1221" i="1"/>
  <c r="E1221" i="1" s="1"/>
  <c r="B1222" i="1"/>
  <c r="E1222" i="1" s="1"/>
  <c r="B1223" i="1"/>
  <c r="E1223" i="1" s="1"/>
  <c r="B1224" i="1"/>
  <c r="E1224" i="1" s="1"/>
  <c r="B1225" i="1"/>
  <c r="E1225" i="1" s="1"/>
  <c r="B1226" i="1"/>
  <c r="E1226" i="1" s="1"/>
  <c r="B1227" i="1"/>
  <c r="E1227" i="1" s="1"/>
  <c r="B1228" i="1"/>
  <c r="E1228" i="1" s="1"/>
  <c r="B1229" i="1"/>
  <c r="E1229" i="1" s="1"/>
  <c r="B1230" i="1"/>
  <c r="E1230" i="1" s="1"/>
  <c r="B1231" i="1"/>
  <c r="E1231" i="1" s="1"/>
  <c r="B1232" i="1"/>
  <c r="E1232" i="1" s="1"/>
  <c r="B1233" i="1"/>
  <c r="E1233" i="1" s="1"/>
  <c r="B1234" i="1"/>
  <c r="E1234" i="1" s="1"/>
  <c r="B1235" i="1"/>
  <c r="E1235" i="1" s="1"/>
  <c r="B1236" i="1"/>
  <c r="E1236" i="1" s="1"/>
  <c r="B1237" i="1"/>
  <c r="E1237" i="1" s="1"/>
  <c r="B1238" i="1"/>
  <c r="E1238" i="1" s="1"/>
  <c r="B1239" i="1"/>
  <c r="E1239" i="1" s="1"/>
  <c r="B1240" i="1"/>
  <c r="E1240" i="1" s="1"/>
  <c r="B1241" i="1"/>
  <c r="E1241" i="1" s="1"/>
  <c r="B1242" i="1"/>
  <c r="E1242" i="1" s="1"/>
  <c r="B1243" i="1"/>
  <c r="E1243" i="1" s="1"/>
  <c r="B1244" i="1"/>
  <c r="E1244" i="1" s="1"/>
  <c r="B1245" i="1"/>
  <c r="E1245" i="1" s="1"/>
  <c r="B1246" i="1"/>
  <c r="E1246" i="1" s="1"/>
  <c r="B1247" i="1"/>
  <c r="E1247" i="1" s="1"/>
  <c r="B1248" i="1"/>
  <c r="E1248" i="1" s="1"/>
  <c r="B1249" i="1"/>
  <c r="E1249" i="1" s="1"/>
  <c r="B1250" i="1"/>
  <c r="E1250" i="1" s="1"/>
  <c r="B1251" i="1"/>
  <c r="E1251" i="1" s="1"/>
  <c r="B1252" i="1"/>
  <c r="E1252" i="1" s="1"/>
  <c r="B1253" i="1"/>
  <c r="E1253" i="1" s="1"/>
  <c r="B1254" i="1"/>
  <c r="E1254" i="1" s="1"/>
  <c r="B1255" i="1"/>
  <c r="E1255" i="1" s="1"/>
  <c r="B1256" i="1"/>
  <c r="E1256" i="1" s="1"/>
  <c r="B1257" i="1"/>
  <c r="E1257" i="1" s="1"/>
  <c r="B1258" i="1"/>
  <c r="E1258" i="1" s="1"/>
  <c r="B1259" i="1"/>
  <c r="E1259" i="1" s="1"/>
  <c r="B1260" i="1"/>
  <c r="E1260" i="1" s="1"/>
  <c r="B1261" i="1"/>
  <c r="E1261" i="1" s="1"/>
  <c r="B1262" i="1"/>
  <c r="E1262" i="1" s="1"/>
  <c r="B1263" i="1"/>
  <c r="E1263" i="1" s="1"/>
  <c r="B1264" i="1"/>
  <c r="E1264" i="1" s="1"/>
  <c r="B1265" i="1"/>
  <c r="E1265" i="1" s="1"/>
  <c r="B1266" i="1"/>
  <c r="E1266" i="1" s="1"/>
  <c r="B1267" i="1"/>
  <c r="E1267" i="1" s="1"/>
  <c r="B1268" i="1"/>
  <c r="E1268" i="1" s="1"/>
  <c r="B1269" i="1"/>
  <c r="E1269" i="1" s="1"/>
  <c r="B1270" i="1"/>
  <c r="E1270" i="1" s="1"/>
  <c r="B1271" i="1"/>
  <c r="E1271" i="1" s="1"/>
  <c r="B1272" i="1"/>
  <c r="E1272" i="1" s="1"/>
  <c r="B1273" i="1"/>
  <c r="E1273" i="1" s="1"/>
  <c r="B1274" i="1"/>
  <c r="E1274" i="1" s="1"/>
  <c r="B1275" i="1"/>
  <c r="E1275" i="1" s="1"/>
  <c r="B1276" i="1"/>
  <c r="E1276" i="1" s="1"/>
  <c r="B1277" i="1"/>
  <c r="E1277" i="1" s="1"/>
  <c r="B1278" i="1"/>
  <c r="E1278" i="1" s="1"/>
  <c r="B1279" i="1"/>
  <c r="E1279" i="1" s="1"/>
  <c r="B1280" i="1"/>
  <c r="E1280" i="1" s="1"/>
  <c r="B1281" i="1"/>
  <c r="E1281" i="1" s="1"/>
  <c r="B1282" i="1"/>
  <c r="E1282" i="1" s="1"/>
  <c r="B1283" i="1"/>
  <c r="E1283" i="1" s="1"/>
  <c r="B1284" i="1"/>
  <c r="E1284" i="1" s="1"/>
  <c r="B1285" i="1"/>
  <c r="E1285" i="1" s="1"/>
  <c r="B1286" i="1"/>
  <c r="E1286" i="1" s="1"/>
  <c r="B1287" i="1"/>
  <c r="E1287" i="1" s="1"/>
  <c r="B1288" i="1"/>
  <c r="E1288" i="1" s="1"/>
  <c r="B1289" i="1"/>
  <c r="E1289" i="1" s="1"/>
  <c r="B1290" i="1"/>
  <c r="E1290" i="1" s="1"/>
  <c r="B1291" i="1"/>
  <c r="E1291" i="1" s="1"/>
  <c r="B1292" i="1"/>
  <c r="E1292" i="1" s="1"/>
  <c r="B1293" i="1"/>
  <c r="E1293" i="1" s="1"/>
  <c r="B1294" i="1"/>
  <c r="E1294" i="1" s="1"/>
  <c r="B1295" i="1"/>
  <c r="E1295" i="1" s="1"/>
  <c r="B1296" i="1"/>
  <c r="E1296" i="1" s="1"/>
  <c r="B1297" i="1"/>
  <c r="E1297" i="1" s="1"/>
  <c r="B1298" i="1"/>
  <c r="E1298" i="1" s="1"/>
  <c r="B1299" i="1"/>
  <c r="E1299" i="1" s="1"/>
  <c r="B1300" i="1"/>
  <c r="E1300" i="1" s="1"/>
  <c r="B1301" i="1"/>
  <c r="E1301" i="1" s="1"/>
  <c r="B1302" i="1"/>
  <c r="E1302" i="1" s="1"/>
  <c r="B1303" i="1"/>
  <c r="E1303" i="1" s="1"/>
  <c r="B1304" i="1"/>
  <c r="E1304" i="1" s="1"/>
  <c r="B1305" i="1"/>
  <c r="E1305" i="1" s="1"/>
  <c r="B1306" i="1"/>
  <c r="E1306" i="1" s="1"/>
  <c r="B1307" i="1"/>
  <c r="E1307" i="1" s="1"/>
  <c r="B1308" i="1"/>
  <c r="E1308" i="1" s="1"/>
  <c r="B1309" i="1"/>
  <c r="E1309" i="1" s="1"/>
  <c r="B1310" i="1"/>
  <c r="E1310" i="1" s="1"/>
  <c r="B1311" i="1"/>
  <c r="E1311" i="1" s="1"/>
  <c r="B1312" i="1"/>
  <c r="E1312" i="1" s="1"/>
  <c r="B1313" i="1"/>
  <c r="E1313" i="1" s="1"/>
  <c r="B1314" i="1"/>
  <c r="E1314" i="1" s="1"/>
  <c r="B1315" i="1"/>
  <c r="E1315" i="1" s="1"/>
  <c r="B1316" i="1"/>
  <c r="E1316" i="1" s="1"/>
  <c r="B1317" i="1"/>
  <c r="E1317" i="1" s="1"/>
  <c r="B1318" i="1"/>
  <c r="E1318" i="1" s="1"/>
  <c r="B1319" i="1"/>
  <c r="E1319" i="1" s="1"/>
  <c r="B1320" i="1"/>
  <c r="E1320" i="1" s="1"/>
  <c r="B1321" i="1"/>
  <c r="E1321" i="1" s="1"/>
  <c r="B1322" i="1"/>
  <c r="E1322" i="1" s="1"/>
  <c r="B1323" i="1"/>
  <c r="E1323" i="1" s="1"/>
  <c r="B1324" i="1"/>
  <c r="E1324" i="1" s="1"/>
  <c r="B1325" i="1"/>
  <c r="E1325" i="1" s="1"/>
  <c r="B1326" i="1"/>
  <c r="E1326" i="1" s="1"/>
  <c r="B1327" i="1"/>
  <c r="E1327" i="1" s="1"/>
  <c r="B1328" i="1"/>
  <c r="E1328" i="1" s="1"/>
  <c r="B1329" i="1"/>
  <c r="E1329" i="1" s="1"/>
  <c r="B1330" i="1"/>
  <c r="E1330" i="1" s="1"/>
  <c r="B1331" i="1"/>
  <c r="E1331" i="1" s="1"/>
  <c r="B1332" i="1"/>
  <c r="E1332" i="1" s="1"/>
  <c r="B1333" i="1"/>
  <c r="E1333" i="1" s="1"/>
  <c r="B1334" i="1"/>
  <c r="E1334" i="1" s="1"/>
  <c r="B1335" i="1"/>
  <c r="E1335" i="1" s="1"/>
  <c r="B1336" i="1"/>
  <c r="E1336" i="1" s="1"/>
  <c r="B1337" i="1"/>
  <c r="E1337" i="1" s="1"/>
  <c r="B1338" i="1"/>
  <c r="E1338" i="1" s="1"/>
  <c r="B1339" i="1"/>
  <c r="E1339" i="1" s="1"/>
  <c r="B1340" i="1"/>
  <c r="E1340" i="1" s="1"/>
  <c r="B1341" i="1"/>
  <c r="E1341" i="1" s="1"/>
  <c r="B1342" i="1"/>
  <c r="E1342" i="1" s="1"/>
  <c r="B1343" i="1"/>
  <c r="E1343" i="1" s="1"/>
  <c r="B1344" i="1"/>
  <c r="E1344" i="1" s="1"/>
  <c r="B1345" i="1"/>
  <c r="E1345" i="1" s="1"/>
  <c r="B1346" i="1"/>
  <c r="E1346" i="1" s="1"/>
  <c r="B1347" i="1"/>
  <c r="E1347" i="1" s="1"/>
  <c r="B1348" i="1"/>
  <c r="E1348" i="1" s="1"/>
  <c r="B1349" i="1"/>
  <c r="E1349" i="1" s="1"/>
  <c r="B1350" i="1"/>
  <c r="E1350" i="1" s="1"/>
  <c r="B1351" i="1"/>
  <c r="E1351" i="1" s="1"/>
  <c r="B1352" i="1"/>
  <c r="E1352" i="1" s="1"/>
  <c r="B1353" i="1"/>
  <c r="E1353" i="1" s="1"/>
  <c r="B1354" i="1"/>
  <c r="E1354" i="1" s="1"/>
  <c r="B1355" i="1"/>
  <c r="E1355" i="1" s="1"/>
  <c r="B1356" i="1"/>
  <c r="E1356" i="1" s="1"/>
  <c r="B1357" i="1"/>
  <c r="E1357" i="1" s="1"/>
  <c r="B1358" i="1"/>
  <c r="E1358" i="1" s="1"/>
  <c r="B1359" i="1"/>
  <c r="E1359" i="1" s="1"/>
  <c r="B1360" i="1"/>
  <c r="E1360" i="1" s="1"/>
  <c r="B1361" i="1"/>
  <c r="E1361" i="1" s="1"/>
  <c r="B1362" i="1"/>
  <c r="E1362" i="1" s="1"/>
  <c r="B1363" i="1"/>
  <c r="E1363" i="1" s="1"/>
  <c r="B1364" i="1"/>
  <c r="E1364" i="1" s="1"/>
  <c r="B1365" i="1"/>
  <c r="E1365" i="1" s="1"/>
  <c r="B1366" i="1"/>
  <c r="E1366" i="1" s="1"/>
  <c r="B1367" i="1"/>
  <c r="E1367" i="1" s="1"/>
  <c r="B1368" i="1"/>
  <c r="E1368" i="1" s="1"/>
  <c r="B1369" i="1"/>
  <c r="E1369" i="1" s="1"/>
  <c r="B1370" i="1"/>
  <c r="E1370" i="1" s="1"/>
  <c r="B1371" i="1"/>
  <c r="E1371" i="1" s="1"/>
  <c r="B1372" i="1"/>
  <c r="E1372" i="1" s="1"/>
  <c r="B1373" i="1"/>
  <c r="E1373" i="1" s="1"/>
  <c r="B1374" i="1"/>
  <c r="E1374" i="1" s="1"/>
  <c r="B1375" i="1"/>
  <c r="E1375" i="1" s="1"/>
  <c r="B1376" i="1"/>
  <c r="E1376" i="1" s="1"/>
  <c r="B1377" i="1"/>
  <c r="E1377" i="1" s="1"/>
  <c r="B1378" i="1"/>
  <c r="E1378" i="1" s="1"/>
  <c r="B1379" i="1"/>
  <c r="E1379" i="1" s="1"/>
  <c r="B1380" i="1"/>
  <c r="E1380" i="1" s="1"/>
  <c r="B1381" i="1"/>
  <c r="E1381" i="1" s="1"/>
  <c r="B1382" i="1"/>
  <c r="E1382" i="1" s="1"/>
  <c r="B1383" i="1"/>
  <c r="E1383" i="1" s="1"/>
  <c r="B1384" i="1"/>
  <c r="E1384" i="1" s="1"/>
  <c r="B1385" i="1"/>
  <c r="E1385" i="1" s="1"/>
  <c r="B1386" i="1"/>
  <c r="E1386" i="1" s="1"/>
  <c r="B1387" i="1"/>
  <c r="E1387" i="1" s="1"/>
  <c r="B1388" i="1"/>
  <c r="E1388" i="1" s="1"/>
  <c r="B1389" i="1"/>
  <c r="E1389" i="1" s="1"/>
  <c r="B1390" i="1"/>
  <c r="E1390" i="1" s="1"/>
  <c r="B1391" i="1"/>
  <c r="E1391" i="1" s="1"/>
  <c r="B1392" i="1"/>
  <c r="E1392" i="1" s="1"/>
  <c r="B1393" i="1"/>
  <c r="E1393" i="1" s="1"/>
  <c r="B1394" i="1"/>
  <c r="E1394" i="1" s="1"/>
  <c r="B1395" i="1"/>
  <c r="E1395" i="1" s="1"/>
  <c r="B1396" i="1"/>
  <c r="E1396" i="1" s="1"/>
  <c r="B1397" i="1"/>
  <c r="E1397" i="1" s="1"/>
  <c r="B1398" i="1"/>
  <c r="E1398" i="1" s="1"/>
  <c r="B1399" i="1"/>
  <c r="E1399" i="1" s="1"/>
  <c r="B1400" i="1"/>
  <c r="E1400" i="1" s="1"/>
  <c r="B1401" i="1"/>
  <c r="E1401" i="1" s="1"/>
  <c r="B1402" i="1"/>
  <c r="E1402" i="1" s="1"/>
  <c r="B1403" i="1"/>
  <c r="E1403" i="1" s="1"/>
  <c r="B1404" i="1"/>
  <c r="E1404" i="1" s="1"/>
  <c r="B1405" i="1"/>
  <c r="E1405" i="1" s="1"/>
  <c r="B1406" i="1"/>
  <c r="E1406" i="1" s="1"/>
  <c r="B1407" i="1"/>
  <c r="E1407" i="1" s="1"/>
  <c r="B1408" i="1"/>
  <c r="E1408" i="1" s="1"/>
  <c r="B1409" i="1"/>
  <c r="E1409" i="1" s="1"/>
  <c r="B1410" i="1"/>
  <c r="E1410" i="1" s="1"/>
  <c r="B1411" i="1"/>
  <c r="E1411" i="1" s="1"/>
  <c r="B1412" i="1"/>
  <c r="E1412" i="1" s="1"/>
  <c r="B1413" i="1"/>
  <c r="E1413" i="1" s="1"/>
  <c r="B1414" i="1"/>
  <c r="E1414" i="1" s="1"/>
  <c r="B1415" i="1"/>
  <c r="E1415" i="1" s="1"/>
  <c r="B1416" i="1"/>
  <c r="E1416" i="1" s="1"/>
  <c r="B1417" i="1"/>
  <c r="E1417" i="1" s="1"/>
  <c r="B1418" i="1"/>
  <c r="E1418" i="1" s="1"/>
  <c r="B1419" i="1"/>
  <c r="E1419" i="1" s="1"/>
  <c r="B1420" i="1"/>
  <c r="E1420" i="1" s="1"/>
  <c r="B1421" i="1"/>
  <c r="E1421" i="1" s="1"/>
  <c r="B1422" i="1"/>
  <c r="E1422" i="1" s="1"/>
  <c r="B1423" i="1"/>
  <c r="E1423" i="1" s="1"/>
  <c r="B1424" i="1"/>
  <c r="E1424" i="1" s="1"/>
  <c r="B1425" i="1"/>
  <c r="E1425" i="1" s="1"/>
  <c r="B1426" i="1"/>
  <c r="E1426" i="1" s="1"/>
  <c r="B1427" i="1"/>
  <c r="E1427" i="1" s="1"/>
  <c r="B1428" i="1"/>
  <c r="E1428" i="1" s="1"/>
  <c r="B1429" i="1"/>
  <c r="E1429" i="1" s="1"/>
  <c r="B1430" i="1"/>
  <c r="E1430" i="1" s="1"/>
  <c r="B1431" i="1"/>
  <c r="E1431" i="1" s="1"/>
  <c r="B1432" i="1"/>
  <c r="E1432" i="1" s="1"/>
  <c r="B1433" i="1"/>
  <c r="E1433" i="1" s="1"/>
  <c r="B1434" i="1"/>
  <c r="E1434" i="1" s="1"/>
  <c r="B1435" i="1"/>
  <c r="E1435" i="1" s="1"/>
  <c r="B1436" i="1"/>
  <c r="E1436" i="1" s="1"/>
  <c r="B1437" i="1"/>
  <c r="E1437" i="1" s="1"/>
  <c r="B1438" i="1"/>
  <c r="E1438" i="1" s="1"/>
  <c r="B1439" i="1"/>
  <c r="E1439" i="1" s="1"/>
  <c r="B1440" i="1"/>
  <c r="E1440" i="1" s="1"/>
  <c r="B1441" i="1"/>
  <c r="E1441" i="1" s="1"/>
  <c r="B1442" i="1"/>
  <c r="E1442" i="1" s="1"/>
  <c r="B1443" i="1"/>
  <c r="E1443" i="1" s="1"/>
  <c r="B1444" i="1"/>
  <c r="E1444" i="1" s="1"/>
  <c r="B1445" i="1"/>
  <c r="E1445" i="1" s="1"/>
  <c r="B1446" i="1"/>
  <c r="E1446" i="1" s="1"/>
  <c r="B1447" i="1"/>
  <c r="E1447" i="1" s="1"/>
  <c r="B1448" i="1"/>
  <c r="E1448" i="1" s="1"/>
  <c r="B1449" i="1"/>
  <c r="E1449" i="1" s="1"/>
  <c r="B1450" i="1"/>
  <c r="E1450" i="1" s="1"/>
  <c r="B1451" i="1"/>
  <c r="E1451" i="1" s="1"/>
  <c r="B1452" i="1"/>
  <c r="E1452" i="1" s="1"/>
  <c r="B1453" i="1"/>
  <c r="E1453" i="1" s="1"/>
  <c r="B1454" i="1"/>
  <c r="E1454" i="1" s="1"/>
  <c r="B1455" i="1"/>
  <c r="E1455" i="1" s="1"/>
  <c r="B1456" i="1"/>
  <c r="E1456" i="1" s="1"/>
  <c r="B1457" i="1"/>
  <c r="E1457" i="1" s="1"/>
  <c r="B1458" i="1"/>
  <c r="E1458" i="1" s="1"/>
  <c r="B1459" i="1"/>
  <c r="E1459" i="1" s="1"/>
  <c r="B1460" i="1"/>
  <c r="E1460" i="1" s="1"/>
  <c r="B1461" i="1"/>
  <c r="E1461" i="1" s="1"/>
  <c r="B1462" i="1"/>
  <c r="E1462" i="1" s="1"/>
  <c r="B1463" i="1"/>
  <c r="E1463" i="1" s="1"/>
  <c r="B1464" i="1"/>
  <c r="E1464" i="1" s="1"/>
  <c r="B1465" i="1"/>
  <c r="E1465" i="1" s="1"/>
  <c r="B1466" i="1"/>
  <c r="E1466" i="1" s="1"/>
  <c r="B1467" i="1"/>
  <c r="E1467" i="1" s="1"/>
  <c r="B1468" i="1"/>
  <c r="E1468" i="1" s="1"/>
  <c r="B1469" i="1"/>
  <c r="E1469" i="1" s="1"/>
  <c r="B1470" i="1"/>
  <c r="E1470" i="1" s="1"/>
  <c r="B1471" i="1"/>
  <c r="E1471" i="1" s="1"/>
  <c r="B1472" i="1"/>
  <c r="E1472" i="1" s="1"/>
  <c r="B1473" i="1"/>
  <c r="E1473" i="1" s="1"/>
  <c r="B1474" i="1"/>
  <c r="E1474" i="1" s="1"/>
  <c r="B1475" i="1"/>
  <c r="E1475" i="1" s="1"/>
  <c r="B1476" i="1"/>
  <c r="E1476" i="1" s="1"/>
  <c r="B1477" i="1"/>
  <c r="E1477" i="1" s="1"/>
  <c r="B1478" i="1"/>
  <c r="E1478" i="1" s="1"/>
  <c r="B1479" i="1"/>
  <c r="E1479" i="1" s="1"/>
  <c r="B1480" i="1"/>
  <c r="E1480" i="1" s="1"/>
  <c r="B1481" i="1"/>
  <c r="E1481" i="1" s="1"/>
  <c r="B1482" i="1"/>
  <c r="E1482" i="1" s="1"/>
  <c r="B1483" i="1"/>
  <c r="E1483" i="1" s="1"/>
  <c r="B1484" i="1"/>
  <c r="E1484" i="1" s="1"/>
  <c r="B1485" i="1"/>
  <c r="E1485" i="1" s="1"/>
  <c r="B1486" i="1"/>
  <c r="E1486" i="1" s="1"/>
  <c r="B1487" i="1"/>
  <c r="E1487" i="1" s="1"/>
  <c r="B1488" i="1"/>
  <c r="E1488" i="1" s="1"/>
  <c r="B1489" i="1"/>
  <c r="E1489" i="1" s="1"/>
  <c r="B1490" i="1"/>
  <c r="E1490" i="1" s="1"/>
  <c r="B1491" i="1"/>
  <c r="E1491" i="1" s="1"/>
  <c r="B1492" i="1"/>
  <c r="E1492" i="1" s="1"/>
  <c r="B1493" i="1"/>
  <c r="E1493" i="1" s="1"/>
  <c r="B1494" i="1"/>
  <c r="E1494" i="1" s="1"/>
  <c r="B1495" i="1"/>
  <c r="E1495" i="1" s="1"/>
  <c r="B1496" i="1"/>
  <c r="E1496" i="1" s="1"/>
  <c r="B1497" i="1"/>
  <c r="E1497" i="1" s="1"/>
  <c r="B1498" i="1"/>
  <c r="E1498" i="1" s="1"/>
  <c r="B1499" i="1"/>
  <c r="E1499" i="1" s="1"/>
  <c r="B1500" i="1"/>
  <c r="E1500" i="1" s="1"/>
  <c r="B1501" i="1"/>
  <c r="E1501" i="1" s="1"/>
  <c r="B1502" i="1"/>
  <c r="E1502" i="1" s="1"/>
  <c r="B1503" i="1"/>
  <c r="E1503" i="1" s="1"/>
  <c r="B1504" i="1"/>
  <c r="E1504" i="1" s="1"/>
  <c r="B1505" i="1"/>
  <c r="E1505" i="1" s="1"/>
  <c r="B1506" i="1"/>
  <c r="E1506" i="1" s="1"/>
  <c r="B1507" i="1"/>
  <c r="E1507" i="1" s="1"/>
  <c r="B1508" i="1"/>
  <c r="E1508" i="1" s="1"/>
  <c r="B1509" i="1"/>
  <c r="E1509" i="1" s="1"/>
  <c r="B1510" i="1"/>
  <c r="E1510" i="1" s="1"/>
  <c r="B1511" i="1"/>
  <c r="E1511" i="1" s="1"/>
  <c r="B1512" i="1"/>
  <c r="E1512" i="1" s="1"/>
  <c r="B1513" i="1"/>
  <c r="E1513" i="1" s="1"/>
  <c r="B1514" i="1"/>
  <c r="E1514" i="1" s="1"/>
  <c r="B1515" i="1"/>
  <c r="E1515" i="1" s="1"/>
  <c r="B1516" i="1"/>
  <c r="E1516" i="1" s="1"/>
  <c r="B1517" i="1"/>
  <c r="E1517" i="1" s="1"/>
  <c r="B1518" i="1"/>
  <c r="E1518" i="1" s="1"/>
  <c r="B1519" i="1"/>
  <c r="E1519" i="1" s="1"/>
  <c r="B1520" i="1"/>
  <c r="E1520" i="1" s="1"/>
  <c r="B1521" i="1"/>
  <c r="E1521" i="1" s="1"/>
  <c r="B1522" i="1"/>
  <c r="E1522" i="1" s="1"/>
  <c r="B1523" i="1"/>
  <c r="E1523" i="1" s="1"/>
  <c r="B1524" i="1"/>
  <c r="E1524" i="1" s="1"/>
  <c r="B1525" i="1"/>
  <c r="E1525" i="1" s="1"/>
  <c r="B1526" i="1"/>
  <c r="E1526" i="1" s="1"/>
  <c r="B1527" i="1"/>
  <c r="E1527" i="1" s="1"/>
  <c r="B1528" i="1"/>
  <c r="E1528" i="1" s="1"/>
  <c r="B1529" i="1"/>
  <c r="E1529" i="1" s="1"/>
  <c r="B1530" i="1"/>
  <c r="E1530" i="1" s="1"/>
  <c r="B1531" i="1"/>
  <c r="E1531" i="1" s="1"/>
  <c r="B1532" i="1"/>
  <c r="E1532" i="1" s="1"/>
  <c r="B1533" i="1"/>
  <c r="E1533" i="1" s="1"/>
  <c r="B1534" i="1"/>
  <c r="E1534" i="1" s="1"/>
  <c r="B1535" i="1"/>
  <c r="E1535" i="1" s="1"/>
  <c r="B1536" i="1"/>
  <c r="E1536" i="1" s="1"/>
  <c r="B1537" i="1"/>
  <c r="E1537" i="1" s="1"/>
  <c r="B1538" i="1"/>
  <c r="E1538" i="1" s="1"/>
  <c r="B1539" i="1"/>
  <c r="E1539" i="1" s="1"/>
  <c r="B1540" i="1"/>
  <c r="E1540" i="1" s="1"/>
  <c r="B1541" i="1"/>
  <c r="E1541" i="1" s="1"/>
  <c r="B1542" i="1"/>
  <c r="E1542" i="1" s="1"/>
  <c r="B1543" i="1"/>
  <c r="E1543" i="1" s="1"/>
  <c r="B1544" i="1"/>
  <c r="E1544" i="1" s="1"/>
  <c r="B1545" i="1"/>
  <c r="E1545" i="1" s="1"/>
  <c r="B1546" i="1"/>
  <c r="E1546" i="1" s="1"/>
  <c r="B1547" i="1"/>
  <c r="E1547" i="1" s="1"/>
  <c r="B1548" i="1"/>
  <c r="E1548" i="1" s="1"/>
  <c r="B1549" i="1"/>
  <c r="E1549" i="1" s="1"/>
  <c r="B1550" i="1"/>
  <c r="E1550" i="1" s="1"/>
  <c r="B1551" i="1"/>
  <c r="E1551" i="1" s="1"/>
  <c r="B1552" i="1"/>
  <c r="E1552" i="1" s="1"/>
  <c r="B1553" i="1"/>
  <c r="E1553" i="1" s="1"/>
  <c r="B1554" i="1"/>
  <c r="E1554" i="1" s="1"/>
  <c r="B1555" i="1"/>
  <c r="E1555" i="1" s="1"/>
  <c r="B1556" i="1"/>
  <c r="E1556" i="1" s="1"/>
  <c r="B1557" i="1"/>
  <c r="E1557" i="1" s="1"/>
  <c r="B1558" i="1"/>
  <c r="E1558" i="1" s="1"/>
  <c r="B1559" i="1"/>
  <c r="E1559" i="1" s="1"/>
  <c r="B1560" i="1"/>
  <c r="E1560" i="1" s="1"/>
  <c r="B1561" i="1"/>
  <c r="E1561" i="1" s="1"/>
  <c r="B1562" i="1"/>
  <c r="E1562" i="1" s="1"/>
  <c r="B1563" i="1"/>
  <c r="E1563" i="1" s="1"/>
  <c r="B1564" i="1"/>
  <c r="E1564" i="1" s="1"/>
  <c r="B1565" i="1"/>
  <c r="E1565" i="1" s="1"/>
  <c r="B1566" i="1"/>
  <c r="E1566" i="1" s="1"/>
  <c r="B1567" i="1"/>
  <c r="E1567" i="1" s="1"/>
  <c r="B1568" i="1"/>
  <c r="E1568" i="1" s="1"/>
  <c r="B1569" i="1"/>
  <c r="E1569" i="1" s="1"/>
  <c r="B1570" i="1"/>
  <c r="E1570" i="1" s="1"/>
  <c r="B1571" i="1"/>
  <c r="E1571" i="1" s="1"/>
  <c r="B1572" i="1"/>
  <c r="E1572" i="1" s="1"/>
  <c r="B1573" i="1"/>
  <c r="E1573" i="1" s="1"/>
  <c r="B1574" i="1"/>
  <c r="E1574" i="1" s="1"/>
  <c r="B1575" i="1"/>
  <c r="E1575" i="1" s="1"/>
  <c r="B1576" i="1"/>
  <c r="E1576" i="1" s="1"/>
  <c r="B1577" i="1"/>
  <c r="E1577" i="1" s="1"/>
  <c r="B1578" i="1"/>
  <c r="E1578" i="1" s="1"/>
  <c r="B1579" i="1"/>
  <c r="E1579" i="1" s="1"/>
  <c r="B1580" i="1"/>
  <c r="E1580" i="1" s="1"/>
  <c r="B1581" i="1"/>
  <c r="E1581" i="1" s="1"/>
  <c r="B1582" i="1"/>
  <c r="E1582" i="1" s="1"/>
  <c r="B1583" i="1"/>
  <c r="E1583" i="1" s="1"/>
  <c r="B1584" i="1"/>
  <c r="E1584" i="1" s="1"/>
  <c r="B1585" i="1"/>
  <c r="E1585" i="1" s="1"/>
  <c r="B1586" i="1"/>
  <c r="E1586" i="1" s="1"/>
  <c r="B1587" i="1"/>
  <c r="E1587" i="1" s="1"/>
  <c r="B1588" i="1"/>
  <c r="E1588" i="1" s="1"/>
  <c r="B1589" i="1"/>
  <c r="E1589" i="1" s="1"/>
  <c r="B1590" i="1"/>
  <c r="E1590" i="1" s="1"/>
  <c r="B1591" i="1"/>
  <c r="E1591" i="1" s="1"/>
  <c r="B1592" i="1"/>
  <c r="E1592" i="1" s="1"/>
  <c r="B1593" i="1"/>
  <c r="E1593" i="1" s="1"/>
  <c r="B1594" i="1"/>
  <c r="E1594" i="1" s="1"/>
  <c r="B1595" i="1"/>
  <c r="E1595" i="1" s="1"/>
  <c r="B1596" i="1"/>
  <c r="E1596" i="1" s="1"/>
  <c r="B1597" i="1"/>
  <c r="E1597" i="1" s="1"/>
  <c r="B1598" i="1"/>
  <c r="E1598" i="1" s="1"/>
  <c r="B1599" i="1"/>
  <c r="E1599" i="1" s="1"/>
  <c r="B1600" i="1"/>
  <c r="E1600" i="1" s="1"/>
  <c r="B1601" i="1"/>
  <c r="E1601" i="1" s="1"/>
  <c r="B1602" i="1"/>
  <c r="E1602" i="1" s="1"/>
  <c r="B1603" i="1"/>
  <c r="E1603" i="1" s="1"/>
  <c r="B1604" i="1"/>
  <c r="E1604" i="1" s="1"/>
  <c r="B1605" i="1"/>
  <c r="E1605" i="1" s="1"/>
  <c r="B1606" i="1"/>
  <c r="E1606" i="1" s="1"/>
  <c r="B1607" i="1"/>
  <c r="E1607" i="1" s="1"/>
  <c r="B1608" i="1"/>
  <c r="E1608" i="1" s="1"/>
  <c r="B1609" i="1"/>
  <c r="E1609" i="1" s="1"/>
  <c r="B1610" i="1"/>
  <c r="E1610" i="1" s="1"/>
  <c r="B1611" i="1"/>
  <c r="E1611" i="1" s="1"/>
  <c r="B1612" i="1"/>
  <c r="E1612" i="1" s="1"/>
  <c r="B1613" i="1"/>
  <c r="E1613" i="1" s="1"/>
  <c r="B1614" i="1"/>
  <c r="E1614" i="1" s="1"/>
  <c r="B1615" i="1"/>
  <c r="E1615" i="1" s="1"/>
  <c r="B1616" i="1"/>
  <c r="E1616" i="1" s="1"/>
  <c r="B1617" i="1"/>
  <c r="E1617" i="1" s="1"/>
  <c r="B1618" i="1"/>
  <c r="E1618" i="1" s="1"/>
  <c r="B1619" i="1"/>
  <c r="E1619" i="1" s="1"/>
  <c r="B1620" i="1"/>
  <c r="E1620" i="1" s="1"/>
  <c r="B1621" i="1"/>
  <c r="E1621" i="1" s="1"/>
  <c r="B1622" i="1"/>
  <c r="E1622" i="1" s="1"/>
  <c r="B1623" i="1"/>
  <c r="E1623" i="1" s="1"/>
  <c r="B1624" i="1"/>
  <c r="E1624" i="1" s="1"/>
  <c r="B1625" i="1"/>
  <c r="E1625" i="1" s="1"/>
  <c r="B1626" i="1"/>
  <c r="E1626" i="1" s="1"/>
  <c r="B1627" i="1"/>
  <c r="E1627" i="1" s="1"/>
  <c r="B1628" i="1"/>
  <c r="E1628" i="1" s="1"/>
  <c r="B1629" i="1"/>
  <c r="E1629" i="1" s="1"/>
  <c r="B1630" i="1"/>
  <c r="E1630" i="1" s="1"/>
  <c r="B1631" i="1"/>
  <c r="E1631" i="1" s="1"/>
  <c r="B1632" i="1"/>
  <c r="E1632" i="1" s="1"/>
  <c r="B1633" i="1"/>
  <c r="E1633" i="1" s="1"/>
  <c r="B1634" i="1"/>
  <c r="E1634" i="1" s="1"/>
  <c r="B1635" i="1"/>
  <c r="E1635" i="1" s="1"/>
  <c r="B1636" i="1"/>
  <c r="E1636" i="1" s="1"/>
  <c r="B1637" i="1"/>
  <c r="E1637" i="1" s="1"/>
  <c r="B1638" i="1"/>
  <c r="E1638" i="1" s="1"/>
  <c r="B1639" i="1"/>
  <c r="E1639" i="1" s="1"/>
  <c r="B1640" i="1"/>
  <c r="E1640" i="1" s="1"/>
  <c r="B1641" i="1"/>
  <c r="E1641" i="1" s="1"/>
  <c r="B1642" i="1"/>
  <c r="E1642" i="1" s="1"/>
  <c r="B1643" i="1"/>
  <c r="E1643" i="1" s="1"/>
  <c r="B1644" i="1"/>
  <c r="E1644" i="1" s="1"/>
  <c r="B1645" i="1"/>
  <c r="E1645" i="1" s="1"/>
  <c r="B1646" i="1"/>
  <c r="E1646" i="1" s="1"/>
  <c r="B1647" i="1"/>
  <c r="E1647" i="1" s="1"/>
  <c r="B1648" i="1"/>
  <c r="E1648" i="1" s="1"/>
  <c r="B1649" i="1"/>
  <c r="E1649" i="1" s="1"/>
  <c r="B1650" i="1"/>
  <c r="E1650" i="1" s="1"/>
  <c r="B1651" i="1"/>
  <c r="E1651" i="1" s="1"/>
  <c r="B1652" i="1"/>
  <c r="E1652" i="1" s="1"/>
  <c r="B1653" i="1"/>
  <c r="E1653" i="1" s="1"/>
  <c r="B1654" i="1"/>
  <c r="E1654" i="1" s="1"/>
  <c r="B1655" i="1"/>
  <c r="E1655" i="1" s="1"/>
  <c r="B1656" i="1"/>
  <c r="E1656" i="1" s="1"/>
  <c r="B1657" i="1"/>
  <c r="E1657" i="1" s="1"/>
  <c r="B1658" i="1"/>
  <c r="E1658" i="1" s="1"/>
  <c r="B1659" i="1"/>
  <c r="E1659" i="1" s="1"/>
  <c r="B1660" i="1"/>
  <c r="E1660" i="1" s="1"/>
  <c r="B1661" i="1"/>
  <c r="E1661" i="1" s="1"/>
  <c r="B1662" i="1"/>
  <c r="E1662" i="1" s="1"/>
  <c r="B1663" i="1"/>
  <c r="E1663" i="1" s="1"/>
  <c r="B1664" i="1"/>
  <c r="E1664" i="1" s="1"/>
  <c r="B1665" i="1"/>
  <c r="E1665" i="1" s="1"/>
  <c r="B1666" i="1"/>
  <c r="E1666" i="1" s="1"/>
  <c r="B1667" i="1"/>
  <c r="E1667" i="1" s="1"/>
  <c r="B1668" i="1"/>
  <c r="E1668" i="1" s="1"/>
  <c r="B1669" i="1"/>
  <c r="E1669" i="1" s="1"/>
  <c r="B1670" i="1"/>
  <c r="E1670" i="1" s="1"/>
  <c r="B1671" i="1"/>
  <c r="E1671" i="1" s="1"/>
  <c r="B1672" i="1"/>
  <c r="E1672" i="1" s="1"/>
  <c r="B1673" i="1"/>
  <c r="E1673" i="1" s="1"/>
  <c r="B1674" i="1"/>
  <c r="E1674" i="1" s="1"/>
  <c r="B1675" i="1"/>
  <c r="E1675" i="1" s="1"/>
  <c r="B1676" i="1"/>
  <c r="E1676" i="1" s="1"/>
  <c r="B1677" i="1"/>
  <c r="E1677" i="1" s="1"/>
  <c r="B1678" i="1"/>
  <c r="E1678" i="1" s="1"/>
  <c r="B1679" i="1"/>
  <c r="E1679" i="1" s="1"/>
  <c r="B1680" i="1"/>
  <c r="E1680" i="1" s="1"/>
  <c r="B1681" i="1"/>
  <c r="E1681" i="1" s="1"/>
  <c r="B1682" i="1"/>
  <c r="E1682" i="1" s="1"/>
  <c r="B1683" i="1"/>
  <c r="E1683" i="1" s="1"/>
  <c r="B1684" i="1"/>
  <c r="E1684" i="1" s="1"/>
  <c r="B1685" i="1"/>
  <c r="E1685" i="1" s="1"/>
  <c r="B1686" i="1"/>
  <c r="E1686" i="1" s="1"/>
  <c r="B1687" i="1"/>
  <c r="E1687" i="1" s="1"/>
  <c r="B1688" i="1"/>
  <c r="E1688" i="1" s="1"/>
  <c r="B1689" i="1"/>
  <c r="E1689" i="1" s="1"/>
  <c r="B1690" i="1"/>
  <c r="E1690" i="1" s="1"/>
  <c r="B1691" i="1"/>
  <c r="E1691" i="1" s="1"/>
  <c r="B1692" i="1"/>
  <c r="E1692" i="1" s="1"/>
  <c r="B1693" i="1"/>
  <c r="E1693" i="1" s="1"/>
  <c r="B1694" i="1"/>
  <c r="E1694" i="1" s="1"/>
  <c r="B1695" i="1"/>
  <c r="E1695" i="1" s="1"/>
  <c r="B1696" i="1"/>
  <c r="E1696" i="1" s="1"/>
  <c r="B1697" i="1"/>
  <c r="E1697" i="1" s="1"/>
  <c r="B1698" i="1"/>
  <c r="E1698" i="1" s="1"/>
  <c r="B1699" i="1"/>
  <c r="E1699" i="1" s="1"/>
  <c r="B1700" i="1"/>
  <c r="E1700" i="1" s="1"/>
  <c r="B1701" i="1"/>
  <c r="E1701" i="1" s="1"/>
  <c r="B1702" i="1"/>
  <c r="E1702" i="1" s="1"/>
  <c r="B1703" i="1"/>
  <c r="E1703" i="1" s="1"/>
  <c r="B1704" i="1"/>
  <c r="E1704" i="1" s="1"/>
  <c r="B1705" i="1"/>
  <c r="E1705" i="1" s="1"/>
  <c r="B1706" i="1"/>
  <c r="E1706" i="1" s="1"/>
  <c r="B1707" i="1"/>
  <c r="E1707" i="1" s="1"/>
  <c r="B1708" i="1"/>
  <c r="E1708" i="1" s="1"/>
  <c r="B1709" i="1"/>
  <c r="E1709" i="1" s="1"/>
  <c r="B1710" i="1"/>
  <c r="E1710" i="1" s="1"/>
  <c r="B1711" i="1"/>
  <c r="E1711" i="1" s="1"/>
  <c r="B1712" i="1"/>
  <c r="E1712" i="1" s="1"/>
  <c r="B1713" i="1"/>
  <c r="E1713" i="1" s="1"/>
  <c r="B1714" i="1"/>
  <c r="E1714" i="1" s="1"/>
  <c r="B1715" i="1"/>
  <c r="E1715" i="1" s="1"/>
  <c r="B1716" i="1"/>
  <c r="E1716" i="1" s="1"/>
  <c r="B1717" i="1"/>
  <c r="E1717" i="1" s="1"/>
  <c r="B1718" i="1"/>
  <c r="E1718" i="1" s="1"/>
  <c r="B1719" i="1"/>
  <c r="E1719" i="1" s="1"/>
  <c r="B1720" i="1"/>
  <c r="E1720" i="1" s="1"/>
  <c r="B1721" i="1"/>
  <c r="E1721" i="1" s="1"/>
  <c r="B1722" i="1"/>
  <c r="E1722" i="1" s="1"/>
  <c r="B1723" i="1"/>
  <c r="E1723" i="1" s="1"/>
  <c r="B1724" i="1"/>
  <c r="E1724" i="1" s="1"/>
  <c r="B1725" i="1"/>
  <c r="E1725" i="1" s="1"/>
  <c r="B1726" i="1"/>
  <c r="E1726" i="1" s="1"/>
  <c r="B1727" i="1"/>
  <c r="E1727" i="1" s="1"/>
  <c r="B1728" i="1"/>
  <c r="E1728" i="1" s="1"/>
  <c r="B1729" i="1"/>
  <c r="E1729" i="1" s="1"/>
  <c r="B1730" i="1"/>
  <c r="E1730" i="1" s="1"/>
  <c r="B1731" i="1"/>
  <c r="E1731" i="1" s="1"/>
  <c r="B1732" i="1"/>
  <c r="E1732" i="1" s="1"/>
  <c r="B1733" i="1"/>
  <c r="E1733" i="1" s="1"/>
  <c r="B1734" i="1"/>
  <c r="E1734" i="1" s="1"/>
  <c r="B1735" i="1"/>
  <c r="E1735" i="1" s="1"/>
  <c r="B1736" i="1"/>
  <c r="E1736" i="1" s="1"/>
  <c r="B1737" i="1"/>
  <c r="E1737" i="1" s="1"/>
  <c r="B1738" i="1"/>
  <c r="E1738" i="1" s="1"/>
  <c r="B1739" i="1"/>
  <c r="E1739" i="1" s="1"/>
  <c r="B1740" i="1"/>
  <c r="E1740" i="1" s="1"/>
  <c r="B1741" i="1"/>
  <c r="E1741" i="1" s="1"/>
  <c r="B1742" i="1"/>
  <c r="E1742" i="1" s="1"/>
  <c r="B1743" i="1"/>
  <c r="E1743" i="1" s="1"/>
  <c r="B1744" i="1"/>
  <c r="E1744" i="1" s="1"/>
  <c r="B1745" i="1"/>
  <c r="E1745" i="1" s="1"/>
  <c r="B1746" i="1"/>
  <c r="E1746" i="1" s="1"/>
  <c r="B1747" i="1"/>
  <c r="E1747" i="1" s="1"/>
  <c r="B1748" i="1"/>
  <c r="E1748" i="1" s="1"/>
  <c r="B1749" i="1"/>
  <c r="E1749" i="1" s="1"/>
  <c r="B1750" i="1"/>
  <c r="E1750" i="1" s="1"/>
  <c r="B1751" i="1"/>
  <c r="E1751" i="1" s="1"/>
  <c r="B1752" i="1"/>
  <c r="E1752" i="1" s="1"/>
  <c r="B1753" i="1"/>
  <c r="E1753" i="1" s="1"/>
  <c r="B1754" i="1"/>
  <c r="E1754" i="1" s="1"/>
  <c r="B1755" i="1"/>
  <c r="E1755" i="1" s="1"/>
  <c r="B1756" i="1"/>
  <c r="E1756" i="1" s="1"/>
  <c r="B1757" i="1"/>
  <c r="E1757" i="1" s="1"/>
  <c r="B1758" i="1"/>
  <c r="E1758" i="1" s="1"/>
  <c r="B1759" i="1"/>
  <c r="E1759" i="1" s="1"/>
  <c r="B1760" i="1"/>
  <c r="E1760" i="1" s="1"/>
  <c r="B1761" i="1"/>
  <c r="E1761" i="1" s="1"/>
  <c r="B1762" i="1"/>
  <c r="E1762" i="1" s="1"/>
  <c r="B1763" i="1"/>
  <c r="E1763" i="1" s="1"/>
  <c r="B1764" i="1"/>
  <c r="E1764" i="1" s="1"/>
  <c r="B1765" i="1"/>
  <c r="E1765" i="1" s="1"/>
  <c r="B1766" i="1"/>
  <c r="E1766" i="1" s="1"/>
  <c r="B1767" i="1"/>
  <c r="E1767" i="1" s="1"/>
  <c r="B1768" i="1"/>
  <c r="E1768" i="1" s="1"/>
  <c r="B1769" i="1"/>
  <c r="E1769" i="1" s="1"/>
  <c r="B1770" i="1"/>
  <c r="E1770" i="1" s="1"/>
  <c r="B1771" i="1"/>
  <c r="E1771" i="1" s="1"/>
  <c r="B1772" i="1"/>
  <c r="E1772" i="1" s="1"/>
  <c r="B1773" i="1"/>
  <c r="E1773" i="1" s="1"/>
  <c r="B1774" i="1"/>
  <c r="E1774" i="1" s="1"/>
  <c r="B1775" i="1"/>
  <c r="E1775" i="1" s="1"/>
  <c r="B1776" i="1"/>
  <c r="E1776" i="1" s="1"/>
  <c r="B1777" i="1"/>
  <c r="E1777" i="1" s="1"/>
  <c r="B1778" i="1"/>
  <c r="E1778" i="1" s="1"/>
  <c r="B1779" i="1"/>
  <c r="E1779" i="1" s="1"/>
  <c r="B1780" i="1"/>
  <c r="E1780" i="1" s="1"/>
  <c r="B1781" i="1"/>
  <c r="E1781" i="1" s="1"/>
  <c r="B1782" i="1"/>
  <c r="E1782" i="1" s="1"/>
  <c r="B1783" i="1"/>
  <c r="E1783" i="1" s="1"/>
  <c r="B1784" i="1"/>
  <c r="E1784" i="1" s="1"/>
  <c r="B1785" i="1"/>
  <c r="E1785" i="1" s="1"/>
  <c r="B1786" i="1"/>
  <c r="E1786" i="1" s="1"/>
  <c r="B1787" i="1"/>
  <c r="E1787" i="1" s="1"/>
  <c r="B1788" i="1"/>
  <c r="E1788" i="1" s="1"/>
  <c r="B1789" i="1"/>
  <c r="E1789" i="1" s="1"/>
  <c r="B1790" i="1"/>
  <c r="E1790" i="1" s="1"/>
  <c r="B1791" i="1"/>
  <c r="E1791" i="1" s="1"/>
  <c r="B1792" i="1"/>
  <c r="E1792" i="1" s="1"/>
  <c r="B1793" i="1"/>
  <c r="E1793" i="1" s="1"/>
  <c r="B1794" i="1"/>
  <c r="E1794" i="1" s="1"/>
  <c r="B1795" i="1"/>
  <c r="E1795" i="1" s="1"/>
  <c r="B1796" i="1"/>
  <c r="E1796" i="1" s="1"/>
  <c r="B1797" i="1"/>
  <c r="E1797" i="1" s="1"/>
  <c r="B1798" i="1"/>
  <c r="E1798" i="1" s="1"/>
  <c r="B1799" i="1"/>
  <c r="E1799" i="1" s="1"/>
  <c r="B1800" i="1"/>
  <c r="E1800" i="1" s="1"/>
  <c r="B1801" i="1"/>
  <c r="E1801" i="1" s="1"/>
  <c r="B1802" i="1"/>
  <c r="E1802" i="1" s="1"/>
  <c r="B1803" i="1"/>
  <c r="E1803" i="1" s="1"/>
  <c r="B1804" i="1"/>
  <c r="E1804" i="1" s="1"/>
  <c r="B1805" i="1"/>
  <c r="E1805" i="1" s="1"/>
  <c r="B1806" i="1"/>
  <c r="E1806" i="1" s="1"/>
  <c r="B1807" i="1"/>
  <c r="E1807" i="1" s="1"/>
  <c r="B1808" i="1"/>
  <c r="E1808" i="1" s="1"/>
  <c r="B1809" i="1"/>
  <c r="E1809" i="1" s="1"/>
  <c r="B1810" i="1"/>
  <c r="E1810" i="1" s="1"/>
  <c r="B1811" i="1"/>
  <c r="E1811" i="1" s="1"/>
  <c r="B1812" i="1"/>
  <c r="E1812" i="1" s="1"/>
  <c r="B1813" i="1"/>
  <c r="E1813" i="1" s="1"/>
  <c r="B1814" i="1"/>
  <c r="E1814" i="1" s="1"/>
  <c r="B1815" i="1"/>
  <c r="E1815" i="1" s="1"/>
  <c r="B1816" i="1"/>
  <c r="E1816" i="1" s="1"/>
  <c r="B1817" i="1"/>
  <c r="E1817" i="1" s="1"/>
  <c r="B1818" i="1"/>
  <c r="E1818" i="1" s="1"/>
  <c r="B1819" i="1"/>
  <c r="E1819" i="1" s="1"/>
  <c r="B1820" i="1"/>
  <c r="E1820" i="1" s="1"/>
  <c r="B1821" i="1"/>
  <c r="E1821" i="1" s="1"/>
  <c r="B1822" i="1"/>
  <c r="E1822" i="1" s="1"/>
  <c r="B1823" i="1"/>
  <c r="E1823" i="1" s="1"/>
  <c r="B1824" i="1"/>
  <c r="E1824" i="1" s="1"/>
  <c r="B1825" i="1"/>
  <c r="E1825" i="1" s="1"/>
  <c r="B1826" i="1"/>
  <c r="E1826" i="1" s="1"/>
  <c r="B1827" i="1"/>
  <c r="E1827" i="1" s="1"/>
  <c r="B1828" i="1"/>
  <c r="E1828" i="1" s="1"/>
  <c r="B1829" i="1"/>
  <c r="E1829" i="1" s="1"/>
  <c r="B1830" i="1"/>
  <c r="E1830" i="1" s="1"/>
  <c r="B1831" i="1"/>
  <c r="E1831" i="1" s="1"/>
  <c r="B1832" i="1"/>
  <c r="E1832" i="1" s="1"/>
  <c r="B1833" i="1"/>
  <c r="E1833" i="1" s="1"/>
  <c r="B1834" i="1"/>
  <c r="E1834" i="1" s="1"/>
  <c r="B1835" i="1"/>
  <c r="E1835" i="1" s="1"/>
  <c r="B1836" i="1"/>
  <c r="E1836" i="1" s="1"/>
  <c r="B1837" i="1"/>
  <c r="E1837" i="1" s="1"/>
  <c r="B1838" i="1"/>
  <c r="E1838" i="1" s="1"/>
  <c r="B1839" i="1"/>
  <c r="E1839" i="1" s="1"/>
  <c r="B1840" i="1"/>
  <c r="E1840" i="1" s="1"/>
  <c r="B1841" i="1"/>
  <c r="E1841" i="1" s="1"/>
  <c r="B1842" i="1"/>
  <c r="E1842" i="1" s="1"/>
  <c r="B1843" i="1"/>
  <c r="E1843" i="1" s="1"/>
  <c r="B1844" i="1"/>
  <c r="E1844" i="1" s="1"/>
  <c r="B1845" i="1"/>
  <c r="E1845" i="1" s="1"/>
  <c r="B1846" i="1"/>
  <c r="E1846" i="1" s="1"/>
  <c r="B1847" i="1"/>
  <c r="E1847" i="1" s="1"/>
  <c r="B1848" i="1"/>
  <c r="E1848" i="1" s="1"/>
  <c r="B1849" i="1"/>
  <c r="E1849" i="1" s="1"/>
  <c r="B1850" i="1"/>
  <c r="E1850" i="1" s="1"/>
  <c r="B1851" i="1"/>
  <c r="E1851" i="1" s="1"/>
  <c r="B1852" i="1"/>
  <c r="E1852" i="1" s="1"/>
  <c r="B1853" i="1"/>
  <c r="E1853" i="1" s="1"/>
  <c r="B1854" i="1"/>
  <c r="E1854" i="1" s="1"/>
  <c r="B1855" i="1"/>
  <c r="E1855" i="1" s="1"/>
  <c r="B1856" i="1"/>
  <c r="E1856" i="1" s="1"/>
  <c r="B1857" i="1"/>
  <c r="E1857" i="1" s="1"/>
  <c r="B1858" i="1"/>
  <c r="E1858" i="1" s="1"/>
  <c r="B1859" i="1"/>
  <c r="E1859" i="1" s="1"/>
  <c r="B1860" i="1"/>
  <c r="E1860" i="1" s="1"/>
  <c r="B1861" i="1"/>
  <c r="E1861" i="1" s="1"/>
  <c r="B1862" i="1"/>
  <c r="E1862" i="1" s="1"/>
  <c r="B1863" i="1"/>
  <c r="E1863" i="1" s="1"/>
  <c r="B1864" i="1"/>
  <c r="E1864" i="1" s="1"/>
  <c r="B1865" i="1"/>
  <c r="E1865" i="1" s="1"/>
  <c r="B1866" i="1"/>
  <c r="E1866" i="1" s="1"/>
  <c r="B1867" i="1"/>
  <c r="E1867" i="1" s="1"/>
  <c r="B1868" i="1"/>
  <c r="E1868" i="1" s="1"/>
  <c r="B1869" i="1"/>
  <c r="E1869" i="1" s="1"/>
  <c r="B1870" i="1"/>
  <c r="E1870" i="1" s="1"/>
  <c r="B1871" i="1"/>
  <c r="E1871" i="1" s="1"/>
  <c r="B1872" i="1"/>
  <c r="E1872" i="1" s="1"/>
  <c r="B1873" i="1"/>
  <c r="E1873" i="1" s="1"/>
  <c r="B1874" i="1"/>
  <c r="E1874" i="1" s="1"/>
  <c r="B1875" i="1"/>
  <c r="E1875" i="1" s="1"/>
  <c r="B1876" i="1"/>
  <c r="E1876" i="1" s="1"/>
  <c r="B1877" i="1"/>
  <c r="E1877" i="1" s="1"/>
  <c r="B1878" i="1"/>
  <c r="E1878" i="1" s="1"/>
  <c r="B1879" i="1"/>
  <c r="E1879" i="1" s="1"/>
  <c r="B1880" i="1"/>
  <c r="E1880" i="1" s="1"/>
  <c r="B1881" i="1"/>
  <c r="E1881" i="1" s="1"/>
  <c r="B1882" i="1"/>
  <c r="E1882" i="1" s="1"/>
  <c r="B1883" i="1"/>
  <c r="E1883" i="1" s="1"/>
  <c r="B1884" i="1"/>
  <c r="E1884" i="1" s="1"/>
  <c r="B1885" i="1"/>
  <c r="E1885" i="1" s="1"/>
  <c r="B1886" i="1"/>
  <c r="E1886" i="1" s="1"/>
  <c r="B1887" i="1"/>
  <c r="E1887" i="1" s="1"/>
  <c r="B1888" i="1"/>
  <c r="E1888" i="1" s="1"/>
  <c r="B1889" i="1"/>
  <c r="E1889" i="1" s="1"/>
  <c r="B1890" i="1"/>
  <c r="E1890" i="1" s="1"/>
  <c r="B1891" i="1"/>
  <c r="E1891" i="1" s="1"/>
  <c r="B1892" i="1"/>
  <c r="E1892" i="1" s="1"/>
  <c r="B1893" i="1"/>
  <c r="E1893" i="1" s="1"/>
  <c r="B1894" i="1"/>
  <c r="E1894" i="1" s="1"/>
  <c r="B1895" i="1"/>
  <c r="E1895" i="1" s="1"/>
  <c r="B1896" i="1"/>
  <c r="E1896" i="1" s="1"/>
  <c r="B1897" i="1"/>
  <c r="E1897" i="1" s="1"/>
  <c r="B1898" i="1"/>
  <c r="E1898" i="1" s="1"/>
  <c r="B1899" i="1"/>
  <c r="E1899" i="1" s="1"/>
  <c r="B1900" i="1"/>
  <c r="E1900" i="1" s="1"/>
  <c r="B1901" i="1"/>
  <c r="E1901" i="1" s="1"/>
  <c r="B1902" i="1"/>
  <c r="E1902" i="1" s="1"/>
  <c r="B1903" i="1"/>
  <c r="E1903" i="1" s="1"/>
  <c r="B1904" i="1"/>
  <c r="E1904" i="1" s="1"/>
  <c r="B1905" i="1"/>
  <c r="E1905" i="1" s="1"/>
  <c r="B1906" i="1"/>
  <c r="E1906" i="1" s="1"/>
  <c r="B1907" i="1"/>
  <c r="E1907" i="1" s="1"/>
  <c r="B1908" i="1"/>
  <c r="E1908" i="1" s="1"/>
  <c r="B1909" i="1"/>
  <c r="E1909" i="1" s="1"/>
  <c r="B1910" i="1"/>
  <c r="E1910" i="1" s="1"/>
  <c r="B1911" i="1"/>
  <c r="E1911" i="1" s="1"/>
  <c r="B1912" i="1"/>
  <c r="E1912" i="1" s="1"/>
  <c r="B1913" i="1"/>
  <c r="E1913" i="1" s="1"/>
  <c r="B1914" i="1"/>
  <c r="E1914" i="1" s="1"/>
  <c r="B1915" i="1"/>
  <c r="E1915" i="1" s="1"/>
  <c r="B1916" i="1"/>
  <c r="E1916" i="1" s="1"/>
  <c r="B1917" i="1"/>
  <c r="E1917" i="1" s="1"/>
  <c r="B1918" i="1"/>
  <c r="E1918" i="1" s="1"/>
  <c r="B1919" i="1"/>
  <c r="E1919" i="1" s="1"/>
  <c r="B1920" i="1"/>
  <c r="E1920" i="1" s="1"/>
  <c r="B1921" i="1"/>
  <c r="E1921" i="1" s="1"/>
  <c r="B1922" i="1"/>
  <c r="E1922" i="1" s="1"/>
  <c r="B1923" i="1"/>
  <c r="E1923" i="1" s="1"/>
  <c r="B1924" i="1"/>
  <c r="E1924" i="1" s="1"/>
  <c r="B1925" i="1"/>
  <c r="E1925" i="1" s="1"/>
  <c r="B1926" i="1"/>
  <c r="E1926" i="1" s="1"/>
  <c r="B1927" i="1"/>
  <c r="E1927" i="1" s="1"/>
  <c r="B1928" i="1"/>
  <c r="E1928" i="1" s="1"/>
  <c r="B1929" i="1"/>
  <c r="E1929" i="1" s="1"/>
  <c r="B1930" i="1"/>
  <c r="E1930" i="1" s="1"/>
  <c r="B1931" i="1"/>
  <c r="E1931" i="1" s="1"/>
  <c r="B1932" i="1"/>
  <c r="E1932" i="1" s="1"/>
  <c r="B1933" i="1"/>
  <c r="E1933" i="1" s="1"/>
  <c r="B1934" i="1"/>
  <c r="E1934" i="1" s="1"/>
  <c r="B1935" i="1"/>
  <c r="E1935" i="1" s="1"/>
  <c r="B1936" i="1"/>
  <c r="E1936" i="1" s="1"/>
  <c r="B1937" i="1"/>
  <c r="E1937" i="1" s="1"/>
  <c r="B1938" i="1"/>
  <c r="E1938" i="1" s="1"/>
  <c r="B1939" i="1"/>
  <c r="E1939" i="1" s="1"/>
  <c r="B1940" i="1"/>
  <c r="E1940" i="1" s="1"/>
  <c r="B1941" i="1"/>
  <c r="E1941" i="1" s="1"/>
  <c r="B1942" i="1"/>
  <c r="E1942" i="1" s="1"/>
  <c r="B1943" i="1"/>
  <c r="E1943" i="1" s="1"/>
  <c r="B1944" i="1"/>
  <c r="E1944" i="1" s="1"/>
  <c r="B1945" i="1"/>
  <c r="E1945" i="1" s="1"/>
  <c r="B1946" i="1"/>
  <c r="E1946" i="1" s="1"/>
  <c r="B1947" i="1"/>
  <c r="E1947" i="1" s="1"/>
  <c r="B1948" i="1"/>
  <c r="E1948" i="1" s="1"/>
  <c r="B1949" i="1"/>
  <c r="E1949" i="1" s="1"/>
  <c r="B1950" i="1"/>
  <c r="E1950" i="1" s="1"/>
  <c r="B1951" i="1"/>
  <c r="E1951" i="1" s="1"/>
  <c r="B1952" i="1"/>
  <c r="E1952" i="1" s="1"/>
  <c r="B1953" i="1"/>
  <c r="E1953" i="1" s="1"/>
  <c r="B1954" i="1"/>
  <c r="E1954" i="1" s="1"/>
  <c r="B1955" i="1"/>
  <c r="E1955" i="1" s="1"/>
  <c r="B1956" i="1"/>
  <c r="E1956" i="1" s="1"/>
  <c r="B1957" i="1"/>
  <c r="E1957" i="1" s="1"/>
  <c r="B1958" i="1"/>
  <c r="E1958" i="1" s="1"/>
  <c r="B1959" i="1"/>
  <c r="E1959" i="1" s="1"/>
  <c r="B1960" i="1"/>
  <c r="E1960" i="1" s="1"/>
  <c r="B1961" i="1"/>
  <c r="E1961" i="1" s="1"/>
  <c r="B1962" i="1"/>
  <c r="E1962" i="1" s="1"/>
  <c r="B1963" i="1"/>
  <c r="E1963" i="1" s="1"/>
  <c r="B1964" i="1"/>
  <c r="E1964" i="1" s="1"/>
  <c r="B1965" i="1"/>
  <c r="E1965" i="1" s="1"/>
  <c r="B1966" i="1"/>
  <c r="E1966" i="1" s="1"/>
  <c r="B1967" i="1"/>
  <c r="E1967" i="1" s="1"/>
  <c r="B1968" i="1"/>
  <c r="E1968" i="1" s="1"/>
  <c r="B1969" i="1"/>
  <c r="E1969" i="1" s="1"/>
  <c r="B1970" i="1"/>
  <c r="E1970" i="1" s="1"/>
  <c r="B1971" i="1"/>
  <c r="E1971" i="1" s="1"/>
  <c r="B1972" i="1"/>
  <c r="E1972" i="1" s="1"/>
  <c r="B1973" i="1"/>
  <c r="E1973" i="1" s="1"/>
  <c r="B1974" i="1"/>
  <c r="E1974" i="1" s="1"/>
  <c r="B1975" i="1"/>
  <c r="E1975" i="1" s="1"/>
  <c r="B1976" i="1"/>
  <c r="E1976" i="1" s="1"/>
  <c r="B1977" i="1"/>
  <c r="E1977" i="1" s="1"/>
  <c r="B1978" i="1"/>
  <c r="E1978" i="1" s="1"/>
  <c r="B1979" i="1"/>
  <c r="E1979" i="1" s="1"/>
  <c r="B1980" i="1"/>
  <c r="E1980" i="1" s="1"/>
  <c r="B1981" i="1"/>
  <c r="E1981" i="1" s="1"/>
  <c r="B1982" i="1"/>
  <c r="E1982" i="1" s="1"/>
  <c r="B1983" i="1"/>
  <c r="E1983" i="1" s="1"/>
  <c r="B1984" i="1"/>
  <c r="E1984" i="1" s="1"/>
  <c r="B1985" i="1"/>
  <c r="E1985" i="1" s="1"/>
  <c r="B1986" i="1"/>
  <c r="E1986" i="1" s="1"/>
  <c r="B1987" i="1"/>
  <c r="E1987" i="1" s="1"/>
  <c r="B1988" i="1"/>
  <c r="E1988" i="1" s="1"/>
  <c r="B1989" i="1"/>
  <c r="E1989" i="1" s="1"/>
  <c r="B1990" i="1"/>
  <c r="E1990" i="1" s="1"/>
  <c r="B1991" i="1"/>
  <c r="E1991" i="1" s="1"/>
  <c r="B1992" i="1"/>
  <c r="E1992" i="1" s="1"/>
  <c r="B1993" i="1"/>
  <c r="E1993" i="1" s="1"/>
  <c r="B1994" i="1"/>
  <c r="E1994" i="1" s="1"/>
  <c r="B1995" i="1"/>
  <c r="E1995" i="1" s="1"/>
  <c r="B1996" i="1"/>
  <c r="E1996" i="1" s="1"/>
  <c r="B1997" i="1"/>
  <c r="E1997" i="1" s="1"/>
  <c r="B1998" i="1"/>
  <c r="E1998" i="1" s="1"/>
  <c r="B1999" i="1"/>
  <c r="E1999" i="1" s="1"/>
  <c r="B2000" i="1"/>
  <c r="E2000" i="1" s="1"/>
  <c r="B2001" i="1"/>
  <c r="E2001" i="1" s="1"/>
  <c r="B2002" i="1"/>
  <c r="E2002" i="1" s="1"/>
  <c r="B2003" i="1"/>
  <c r="E2003" i="1" s="1"/>
  <c r="B2004" i="1"/>
  <c r="E2004" i="1" s="1"/>
  <c r="B2005" i="1"/>
  <c r="E2005" i="1" s="1"/>
  <c r="B2006" i="1"/>
  <c r="E2006" i="1" s="1"/>
  <c r="B2007" i="1"/>
  <c r="E2007" i="1" s="1"/>
  <c r="B2008" i="1"/>
  <c r="E2008" i="1" s="1"/>
  <c r="B2009" i="1"/>
  <c r="E2009" i="1" s="1"/>
  <c r="B2010" i="1"/>
  <c r="E2010" i="1" s="1"/>
  <c r="B2011" i="1"/>
  <c r="E2011" i="1" s="1"/>
  <c r="B2012" i="1"/>
  <c r="E2012" i="1" s="1"/>
  <c r="B2013" i="1"/>
  <c r="E2013" i="1" s="1"/>
  <c r="B2014" i="1"/>
  <c r="E2014" i="1" s="1"/>
  <c r="B2015" i="1"/>
  <c r="E2015" i="1" s="1"/>
  <c r="B2016" i="1"/>
  <c r="E2016" i="1" s="1"/>
  <c r="B2017" i="1"/>
  <c r="E2017" i="1" s="1"/>
  <c r="B2018" i="1"/>
  <c r="E2018" i="1" s="1"/>
  <c r="B2019" i="1"/>
  <c r="E2019" i="1" s="1"/>
  <c r="B2020" i="1"/>
  <c r="E2020" i="1" s="1"/>
  <c r="B2021" i="1"/>
  <c r="E2021" i="1" s="1"/>
  <c r="B2022" i="1"/>
  <c r="E2022" i="1" s="1"/>
  <c r="B2023" i="1"/>
  <c r="E2023" i="1" s="1"/>
  <c r="B2024" i="1"/>
  <c r="E2024" i="1" s="1"/>
  <c r="B2025" i="1"/>
  <c r="E2025" i="1" s="1"/>
  <c r="B2026" i="1"/>
  <c r="E2026" i="1" s="1"/>
  <c r="B2027" i="1"/>
  <c r="E2027" i="1" s="1"/>
  <c r="B2028" i="1"/>
  <c r="E2028" i="1" s="1"/>
  <c r="B2029" i="1"/>
  <c r="E2029" i="1" s="1"/>
  <c r="B2030" i="1"/>
  <c r="E2030" i="1" s="1"/>
  <c r="B2031" i="1"/>
  <c r="E2031" i="1" s="1"/>
  <c r="B2032" i="1"/>
  <c r="E2032" i="1" s="1"/>
  <c r="B2033" i="1"/>
  <c r="E2033" i="1" s="1"/>
  <c r="B2034" i="1"/>
  <c r="E2034" i="1" s="1"/>
  <c r="B2035" i="1"/>
  <c r="E2035" i="1" s="1"/>
  <c r="B2036" i="1"/>
  <c r="E2036" i="1" s="1"/>
  <c r="B2037" i="1"/>
  <c r="E2037" i="1" s="1"/>
  <c r="B2038" i="1"/>
  <c r="E2038" i="1" s="1"/>
  <c r="B2039" i="1"/>
  <c r="E2039" i="1" s="1"/>
  <c r="B2040" i="1"/>
  <c r="E2040" i="1" s="1"/>
  <c r="B2041" i="1"/>
  <c r="E2041" i="1" s="1"/>
  <c r="B2042" i="1"/>
  <c r="E2042" i="1" s="1"/>
  <c r="B2043" i="1"/>
  <c r="E2043" i="1" s="1"/>
  <c r="B2044" i="1"/>
  <c r="E2044" i="1" s="1"/>
  <c r="B2045" i="1"/>
  <c r="E2045" i="1" s="1"/>
  <c r="B2046" i="1"/>
  <c r="E2046" i="1" s="1"/>
  <c r="B2047" i="1"/>
  <c r="E2047" i="1" s="1"/>
  <c r="B2048" i="1"/>
  <c r="E2048" i="1" s="1"/>
  <c r="B2049" i="1"/>
  <c r="E2049" i="1" s="1"/>
  <c r="B2050" i="1"/>
  <c r="E2050" i="1" s="1"/>
  <c r="B2051" i="1"/>
  <c r="E2051" i="1" s="1"/>
  <c r="B2052" i="1"/>
  <c r="E2052" i="1" s="1"/>
  <c r="B2053" i="1"/>
  <c r="E2053" i="1" s="1"/>
  <c r="B2054" i="1"/>
  <c r="E2054" i="1" s="1"/>
  <c r="B2055" i="1"/>
  <c r="E2055" i="1" s="1"/>
  <c r="B2056" i="1"/>
  <c r="E2056" i="1" s="1"/>
  <c r="B2057" i="1"/>
  <c r="E2057" i="1" s="1"/>
  <c r="B2058" i="1"/>
  <c r="E2058" i="1" s="1"/>
  <c r="B2059" i="1"/>
  <c r="E2059" i="1" s="1"/>
  <c r="B2060" i="1"/>
  <c r="E2060" i="1" s="1"/>
  <c r="B2061" i="1"/>
  <c r="E2061" i="1" s="1"/>
  <c r="B2062" i="1"/>
  <c r="E2062" i="1" s="1"/>
  <c r="B2063" i="1"/>
  <c r="E2063" i="1" s="1"/>
  <c r="B2064" i="1"/>
  <c r="E2064" i="1" s="1"/>
  <c r="B2065" i="1"/>
  <c r="E2065" i="1" s="1"/>
  <c r="B2066" i="1"/>
  <c r="E2066" i="1" s="1"/>
  <c r="B2067" i="1"/>
  <c r="E2067" i="1" s="1"/>
  <c r="B2068" i="1"/>
  <c r="E2068" i="1" s="1"/>
  <c r="B2069" i="1"/>
  <c r="E2069" i="1" s="1"/>
  <c r="B2070" i="1"/>
  <c r="E2070" i="1" s="1"/>
  <c r="B2071" i="1"/>
  <c r="E2071" i="1" s="1"/>
  <c r="B2072" i="1"/>
  <c r="E2072" i="1" s="1"/>
  <c r="B2073" i="1"/>
  <c r="E2073" i="1" s="1"/>
  <c r="B2074" i="1"/>
  <c r="E2074" i="1" s="1"/>
  <c r="B2075" i="1"/>
  <c r="E2075" i="1" s="1"/>
  <c r="B2076" i="1"/>
  <c r="E2076" i="1" s="1"/>
  <c r="B2077" i="1"/>
  <c r="E2077" i="1" s="1"/>
  <c r="B2078" i="1"/>
  <c r="E2078" i="1" s="1"/>
  <c r="B2079" i="1"/>
  <c r="E2079" i="1" s="1"/>
  <c r="B2080" i="1"/>
  <c r="E2080" i="1" s="1"/>
  <c r="B2081" i="1"/>
  <c r="E2081" i="1" s="1"/>
  <c r="B2082" i="1"/>
  <c r="E2082" i="1" s="1"/>
  <c r="B2083" i="1"/>
  <c r="E2083" i="1" s="1"/>
  <c r="B2084" i="1"/>
  <c r="E2084" i="1" s="1"/>
  <c r="B2085" i="1"/>
  <c r="E2085" i="1" s="1"/>
  <c r="B2086" i="1"/>
  <c r="E2086" i="1" s="1"/>
  <c r="B2087" i="1"/>
  <c r="E2087" i="1" s="1"/>
  <c r="B2088" i="1"/>
  <c r="E2088" i="1" s="1"/>
  <c r="B2089" i="1"/>
  <c r="E2089" i="1" s="1"/>
  <c r="B2090" i="1"/>
  <c r="E2090" i="1" s="1"/>
  <c r="B2091" i="1"/>
  <c r="E2091" i="1" s="1"/>
  <c r="B2092" i="1"/>
  <c r="E2092" i="1" s="1"/>
  <c r="B2093" i="1"/>
  <c r="E2093" i="1" s="1"/>
  <c r="B2094" i="1"/>
  <c r="E2094" i="1" s="1"/>
  <c r="B2095" i="1"/>
  <c r="E2095" i="1" s="1"/>
  <c r="B2096" i="1"/>
  <c r="E2096" i="1" s="1"/>
  <c r="B2097" i="1"/>
  <c r="E2097" i="1" s="1"/>
  <c r="B2098" i="1"/>
  <c r="E2098" i="1" s="1"/>
  <c r="B2099" i="1"/>
  <c r="E2099" i="1" s="1"/>
  <c r="B2100" i="1"/>
  <c r="E2100" i="1" s="1"/>
  <c r="B2101" i="1"/>
  <c r="E2101" i="1" s="1"/>
  <c r="B2102" i="1"/>
  <c r="E2102" i="1" s="1"/>
  <c r="B2103" i="1"/>
  <c r="E2103" i="1" s="1"/>
  <c r="B2104" i="1"/>
  <c r="E2104" i="1" s="1"/>
  <c r="B2105" i="1"/>
  <c r="E2105" i="1" s="1"/>
  <c r="B2106" i="1"/>
  <c r="E2106" i="1" s="1"/>
  <c r="B2107" i="1"/>
  <c r="E2107" i="1" s="1"/>
  <c r="B2108" i="1"/>
  <c r="E2108" i="1" s="1"/>
  <c r="B2109" i="1"/>
  <c r="E2109" i="1" s="1"/>
  <c r="B2110" i="1"/>
  <c r="E2110" i="1" s="1"/>
  <c r="B2111" i="1"/>
  <c r="E2111" i="1" s="1"/>
  <c r="B2112" i="1"/>
  <c r="E2112" i="1" s="1"/>
  <c r="B2113" i="1"/>
  <c r="E2113" i="1" s="1"/>
  <c r="B2114" i="1"/>
  <c r="E2114" i="1" s="1"/>
  <c r="B2115" i="1"/>
  <c r="E2115" i="1" s="1"/>
  <c r="B2116" i="1"/>
  <c r="E2116" i="1" s="1"/>
  <c r="B2117" i="1"/>
  <c r="E2117" i="1" s="1"/>
  <c r="B2118" i="1"/>
  <c r="E2118" i="1" s="1"/>
  <c r="B2119" i="1"/>
  <c r="E2119" i="1" s="1"/>
  <c r="B2120" i="1"/>
  <c r="E2120" i="1" s="1"/>
  <c r="B2121" i="1"/>
  <c r="E2121" i="1" s="1"/>
  <c r="B2122" i="1"/>
  <c r="E2122" i="1" s="1"/>
  <c r="B2123" i="1"/>
  <c r="E2123" i="1" s="1"/>
  <c r="B2124" i="1"/>
  <c r="E2124" i="1" s="1"/>
  <c r="B2125" i="1"/>
  <c r="E2125" i="1" s="1"/>
  <c r="B2126" i="1"/>
  <c r="E2126" i="1" s="1"/>
  <c r="B2127" i="1"/>
  <c r="E2127" i="1" s="1"/>
  <c r="B2128" i="1"/>
  <c r="E2128" i="1" s="1"/>
  <c r="B2129" i="1"/>
  <c r="E2129" i="1" s="1"/>
  <c r="B2130" i="1"/>
  <c r="E2130" i="1" s="1"/>
  <c r="B2131" i="1"/>
  <c r="E2131" i="1" s="1"/>
  <c r="B2132" i="1"/>
  <c r="E2132" i="1" s="1"/>
  <c r="B2133" i="1"/>
  <c r="E2133" i="1" s="1"/>
  <c r="B2134" i="1"/>
  <c r="E2134" i="1" s="1"/>
  <c r="B2135" i="1"/>
  <c r="E2135" i="1" s="1"/>
  <c r="B2136" i="1"/>
  <c r="E2136" i="1" s="1"/>
  <c r="B2137" i="1"/>
  <c r="E2137" i="1" s="1"/>
  <c r="B2138" i="1"/>
  <c r="E2138" i="1" s="1"/>
  <c r="B2139" i="1"/>
  <c r="E2139" i="1" s="1"/>
  <c r="B2140" i="1"/>
  <c r="E2140" i="1" s="1"/>
  <c r="B2141" i="1"/>
  <c r="E2141" i="1" s="1"/>
  <c r="B2142" i="1"/>
  <c r="E2142" i="1" s="1"/>
  <c r="B2143" i="1"/>
  <c r="E2143" i="1" s="1"/>
  <c r="B2144" i="1"/>
  <c r="E2144" i="1" s="1"/>
  <c r="B2145" i="1"/>
  <c r="E2145" i="1" s="1"/>
  <c r="B2146" i="1"/>
  <c r="E2146" i="1" s="1"/>
  <c r="B2147" i="1"/>
  <c r="E2147" i="1" s="1"/>
  <c r="B2148" i="1"/>
  <c r="E2148" i="1" s="1"/>
  <c r="B2149" i="1"/>
  <c r="E2149" i="1" s="1"/>
  <c r="B2150" i="1"/>
  <c r="E2150" i="1" s="1"/>
  <c r="B2151" i="1"/>
  <c r="E2151" i="1" s="1"/>
  <c r="B2152" i="1"/>
  <c r="E2152" i="1" s="1"/>
  <c r="B2153" i="1"/>
  <c r="E2153" i="1" s="1"/>
  <c r="B2154" i="1"/>
  <c r="E2154" i="1" s="1"/>
  <c r="B2155" i="1"/>
  <c r="E2155" i="1" s="1"/>
  <c r="B2156" i="1"/>
  <c r="E2156" i="1" s="1"/>
  <c r="B2157" i="1"/>
  <c r="E2157" i="1" s="1"/>
  <c r="B2158" i="1"/>
  <c r="E2158" i="1" s="1"/>
  <c r="B2159" i="1"/>
  <c r="E2159" i="1" s="1"/>
  <c r="B2160" i="1"/>
  <c r="E2160" i="1" s="1"/>
  <c r="B2161" i="1"/>
  <c r="E2161" i="1" s="1"/>
  <c r="B2162" i="1"/>
  <c r="E2162" i="1" s="1"/>
  <c r="B2163" i="1"/>
  <c r="E2163" i="1" s="1"/>
  <c r="B2164" i="1"/>
  <c r="E2164" i="1" s="1"/>
  <c r="B2165" i="1"/>
  <c r="E2165" i="1" s="1"/>
  <c r="B2166" i="1"/>
  <c r="E2166" i="1" s="1"/>
  <c r="B2167" i="1"/>
  <c r="E2167" i="1" s="1"/>
  <c r="B2168" i="1"/>
  <c r="E2168" i="1" s="1"/>
  <c r="B2169" i="1"/>
  <c r="E2169" i="1" s="1"/>
  <c r="B2170" i="1"/>
  <c r="E2170" i="1" s="1"/>
  <c r="B2171" i="1"/>
  <c r="E2171" i="1" s="1"/>
  <c r="B2172" i="1"/>
  <c r="E2172" i="1" s="1"/>
  <c r="B2173" i="1"/>
  <c r="E2173" i="1" s="1"/>
  <c r="B2174" i="1"/>
  <c r="E2174" i="1" s="1"/>
  <c r="B2175" i="1"/>
  <c r="E2175" i="1" s="1"/>
  <c r="B2176" i="1"/>
  <c r="E2176" i="1" s="1"/>
  <c r="B2177" i="1"/>
  <c r="E2177" i="1" s="1"/>
  <c r="B2178" i="1"/>
  <c r="E2178" i="1" s="1"/>
  <c r="B2179" i="1"/>
  <c r="E2179" i="1" s="1"/>
  <c r="B2180" i="1"/>
  <c r="E2180" i="1" s="1"/>
  <c r="B2181" i="1"/>
  <c r="E2181" i="1" s="1"/>
  <c r="B2182" i="1"/>
  <c r="E2182" i="1" s="1"/>
  <c r="B2183" i="1"/>
  <c r="E2183" i="1" s="1"/>
  <c r="B2184" i="1"/>
  <c r="E2184" i="1" s="1"/>
  <c r="B2185" i="1"/>
  <c r="E2185" i="1" s="1"/>
  <c r="B2186" i="1"/>
  <c r="E2186" i="1" s="1"/>
  <c r="B2187" i="1"/>
  <c r="E2187" i="1" s="1"/>
  <c r="B2188" i="1"/>
  <c r="E2188" i="1" s="1"/>
  <c r="B2189" i="1"/>
  <c r="E2189" i="1" s="1"/>
  <c r="B2190" i="1"/>
  <c r="E2190" i="1" s="1"/>
  <c r="B2191" i="1"/>
  <c r="E2191" i="1" s="1"/>
  <c r="B2192" i="1"/>
  <c r="E2192" i="1" s="1"/>
  <c r="B2193" i="1"/>
  <c r="E2193" i="1" s="1"/>
  <c r="B2194" i="1"/>
  <c r="E2194" i="1" s="1"/>
  <c r="B2195" i="1"/>
  <c r="E2195" i="1" s="1"/>
  <c r="B2196" i="1"/>
  <c r="E2196" i="1" s="1"/>
  <c r="B2197" i="1"/>
  <c r="E2197" i="1" s="1"/>
  <c r="B2198" i="1"/>
  <c r="E2198" i="1" s="1"/>
  <c r="B2199" i="1"/>
  <c r="E2199" i="1" s="1"/>
  <c r="B2200" i="1"/>
  <c r="E2200" i="1" s="1"/>
  <c r="B2201" i="1"/>
  <c r="E2201" i="1" s="1"/>
  <c r="B2202" i="1"/>
  <c r="E2202" i="1" s="1"/>
  <c r="B2203" i="1"/>
  <c r="E2203" i="1" s="1"/>
  <c r="B2204" i="1"/>
  <c r="E2204" i="1" s="1"/>
  <c r="B2205" i="1"/>
  <c r="E2205" i="1" s="1"/>
  <c r="B2206" i="1"/>
  <c r="E2206" i="1" s="1"/>
  <c r="B2207" i="1"/>
  <c r="E2207" i="1" s="1"/>
  <c r="B2208" i="1"/>
  <c r="E2208" i="1" s="1"/>
  <c r="B2209" i="1"/>
  <c r="E2209" i="1" s="1"/>
  <c r="B2210" i="1"/>
  <c r="E2210" i="1" s="1"/>
  <c r="B2211" i="1"/>
  <c r="E2211" i="1" s="1"/>
  <c r="B2212" i="1"/>
  <c r="E2212" i="1" s="1"/>
  <c r="B2213" i="1"/>
  <c r="E2213" i="1" s="1"/>
  <c r="B2214" i="1"/>
  <c r="E2214" i="1" s="1"/>
  <c r="B2215" i="1"/>
  <c r="E2215" i="1" s="1"/>
  <c r="B2216" i="1"/>
  <c r="E2216" i="1" s="1"/>
  <c r="B2217" i="1"/>
  <c r="E2217" i="1" s="1"/>
  <c r="B2218" i="1"/>
  <c r="E2218" i="1" s="1"/>
  <c r="B2219" i="1"/>
  <c r="E2219" i="1" s="1"/>
  <c r="B2220" i="1"/>
  <c r="E2220" i="1" s="1"/>
  <c r="B2221" i="1"/>
  <c r="E2221" i="1" s="1"/>
  <c r="B2222" i="1"/>
  <c r="E2222" i="1" s="1"/>
  <c r="B2223" i="1"/>
  <c r="E2223" i="1" s="1"/>
  <c r="B2224" i="1"/>
  <c r="E2224" i="1" s="1"/>
  <c r="B2225" i="1"/>
  <c r="E2225" i="1" s="1"/>
  <c r="B2226" i="1"/>
  <c r="E2226" i="1" s="1"/>
  <c r="B2227" i="1"/>
  <c r="E2227" i="1" s="1"/>
  <c r="B2228" i="1"/>
  <c r="E2228" i="1" s="1"/>
  <c r="B2229" i="1"/>
  <c r="E2229" i="1" s="1"/>
  <c r="B2230" i="1"/>
  <c r="E2230" i="1" s="1"/>
  <c r="B2231" i="1"/>
  <c r="E2231" i="1" s="1"/>
  <c r="B2232" i="1"/>
  <c r="E2232" i="1" s="1"/>
  <c r="B2233" i="1"/>
  <c r="E2233" i="1" s="1"/>
  <c r="B2234" i="1"/>
  <c r="E2234" i="1" s="1"/>
  <c r="B2235" i="1"/>
  <c r="E2235" i="1" s="1"/>
  <c r="B2236" i="1"/>
  <c r="E2236" i="1" s="1"/>
  <c r="B2237" i="1"/>
  <c r="E2237" i="1" s="1"/>
  <c r="B2238" i="1"/>
  <c r="E2238" i="1" s="1"/>
  <c r="B2239" i="1"/>
  <c r="E2239" i="1" s="1"/>
  <c r="B2240" i="1"/>
  <c r="E2240" i="1" s="1"/>
  <c r="B2241" i="1"/>
  <c r="E2241" i="1" s="1"/>
  <c r="B2242" i="1"/>
  <c r="E2242" i="1" s="1"/>
  <c r="B2243" i="1"/>
  <c r="E2243" i="1" s="1"/>
  <c r="B2244" i="1"/>
  <c r="E2244" i="1" s="1"/>
  <c r="B2245" i="1"/>
  <c r="E2245" i="1" s="1"/>
  <c r="B2246" i="1"/>
  <c r="E2246" i="1" s="1"/>
  <c r="B2247" i="1"/>
  <c r="E2247" i="1" s="1"/>
  <c r="B2248" i="1"/>
  <c r="E2248" i="1" s="1"/>
  <c r="B2249" i="1"/>
  <c r="E2249" i="1" s="1"/>
  <c r="B2250" i="1"/>
  <c r="E2250" i="1" s="1"/>
  <c r="B2251" i="1"/>
  <c r="E2251" i="1" s="1"/>
  <c r="B2252" i="1"/>
  <c r="E2252" i="1" s="1"/>
  <c r="B2253" i="1"/>
  <c r="E2253" i="1" s="1"/>
  <c r="B2254" i="1"/>
  <c r="E2254" i="1" s="1"/>
  <c r="B2255" i="1"/>
  <c r="E2255" i="1" s="1"/>
  <c r="B2256" i="1"/>
  <c r="E2256" i="1" s="1"/>
  <c r="B2257" i="1"/>
  <c r="E2257" i="1" s="1"/>
  <c r="B2258" i="1"/>
  <c r="E2258" i="1" s="1"/>
  <c r="B2259" i="1"/>
  <c r="E2259" i="1" s="1"/>
  <c r="B2260" i="1"/>
  <c r="E2260" i="1" s="1"/>
  <c r="B2261" i="1"/>
  <c r="E2261" i="1" s="1"/>
  <c r="B2262" i="1"/>
  <c r="E2262" i="1" s="1"/>
  <c r="B2263" i="1"/>
  <c r="E2263" i="1" s="1"/>
  <c r="B2264" i="1"/>
  <c r="E2264" i="1" s="1"/>
  <c r="B2265" i="1"/>
  <c r="E2265" i="1" s="1"/>
  <c r="B2266" i="1"/>
  <c r="E2266" i="1" s="1"/>
  <c r="B2267" i="1"/>
  <c r="E2267" i="1" s="1"/>
  <c r="B2268" i="1"/>
  <c r="E2268" i="1" s="1"/>
  <c r="B2269" i="1"/>
  <c r="E2269" i="1" s="1"/>
  <c r="B2270" i="1"/>
  <c r="E2270" i="1" s="1"/>
  <c r="B2271" i="1"/>
  <c r="E2271" i="1" s="1"/>
  <c r="B2272" i="1"/>
  <c r="E2272" i="1" s="1"/>
  <c r="B2273" i="1"/>
  <c r="E2273" i="1" s="1"/>
  <c r="B2274" i="1"/>
  <c r="E2274" i="1" s="1"/>
  <c r="B2275" i="1"/>
  <c r="E2275" i="1" s="1"/>
  <c r="B2276" i="1"/>
  <c r="E2276" i="1" s="1"/>
  <c r="B2277" i="1"/>
  <c r="E2277" i="1" s="1"/>
  <c r="B2278" i="1"/>
  <c r="E2278" i="1" s="1"/>
  <c r="B2279" i="1"/>
  <c r="E2279" i="1" s="1"/>
  <c r="B2280" i="1"/>
  <c r="E2280" i="1" s="1"/>
  <c r="B2281" i="1"/>
  <c r="E2281" i="1" s="1"/>
  <c r="B2282" i="1"/>
  <c r="E2282" i="1" s="1"/>
  <c r="B2283" i="1"/>
  <c r="E2283" i="1" s="1"/>
  <c r="B2284" i="1"/>
  <c r="E2284" i="1" s="1"/>
  <c r="B2285" i="1"/>
  <c r="E2285" i="1" s="1"/>
  <c r="B2286" i="1"/>
  <c r="E2286" i="1" s="1"/>
  <c r="B2287" i="1"/>
  <c r="E2287" i="1" s="1"/>
  <c r="B2288" i="1"/>
  <c r="E2288" i="1" s="1"/>
  <c r="B2289" i="1"/>
  <c r="E2289" i="1" s="1"/>
  <c r="B2290" i="1"/>
  <c r="E2290" i="1" s="1"/>
  <c r="B2291" i="1"/>
  <c r="E2291" i="1" s="1"/>
  <c r="B2292" i="1"/>
  <c r="E2292" i="1" s="1"/>
  <c r="B2293" i="1"/>
  <c r="E2293" i="1" s="1"/>
  <c r="B2294" i="1"/>
  <c r="E2294" i="1" s="1"/>
  <c r="B2295" i="1"/>
  <c r="E2295" i="1" s="1"/>
  <c r="B2296" i="1"/>
  <c r="E2296" i="1" s="1"/>
  <c r="B2297" i="1"/>
  <c r="E2297" i="1" s="1"/>
  <c r="B2298" i="1"/>
  <c r="E2298" i="1" s="1"/>
  <c r="B2299" i="1"/>
  <c r="E2299" i="1" s="1"/>
  <c r="B2300" i="1"/>
  <c r="E2300" i="1" s="1"/>
  <c r="B2301" i="1"/>
  <c r="E2301" i="1" s="1"/>
  <c r="B2302" i="1"/>
  <c r="E2302" i="1" s="1"/>
  <c r="B2303" i="1"/>
  <c r="E2303" i="1" s="1"/>
  <c r="B2304" i="1"/>
  <c r="E2304" i="1" s="1"/>
  <c r="B2305" i="1"/>
  <c r="E2305" i="1" s="1"/>
  <c r="B2306" i="1"/>
  <c r="E2306" i="1" s="1"/>
  <c r="B2307" i="1"/>
  <c r="E2307" i="1" s="1"/>
  <c r="B2308" i="1"/>
  <c r="E2308" i="1" s="1"/>
  <c r="B2309" i="1"/>
  <c r="E2309" i="1" s="1"/>
  <c r="B2310" i="1"/>
  <c r="E2310" i="1" s="1"/>
  <c r="B2311" i="1"/>
  <c r="E2311" i="1" s="1"/>
  <c r="B2312" i="1"/>
  <c r="E2312" i="1" s="1"/>
  <c r="B2313" i="1"/>
  <c r="E2313" i="1" s="1"/>
  <c r="B2314" i="1"/>
  <c r="E2314" i="1" s="1"/>
  <c r="B2315" i="1"/>
  <c r="E2315" i="1" s="1"/>
  <c r="B2316" i="1"/>
  <c r="E2316" i="1" s="1"/>
  <c r="B2317" i="1"/>
  <c r="E2317" i="1" s="1"/>
  <c r="B2318" i="1"/>
  <c r="E2318" i="1" s="1"/>
  <c r="B2319" i="1"/>
  <c r="E2319" i="1" s="1"/>
  <c r="B2320" i="1"/>
  <c r="E2320" i="1" s="1"/>
  <c r="B2321" i="1"/>
  <c r="E2321" i="1" s="1"/>
  <c r="B2322" i="1"/>
  <c r="E2322" i="1" s="1"/>
  <c r="B2323" i="1"/>
  <c r="E2323" i="1" s="1"/>
  <c r="B2324" i="1"/>
  <c r="E2324" i="1" s="1"/>
  <c r="B2325" i="1"/>
  <c r="E2325" i="1" s="1"/>
  <c r="B2326" i="1"/>
  <c r="E2326" i="1" s="1"/>
  <c r="B2327" i="1"/>
  <c r="E2327" i="1" s="1"/>
  <c r="B2328" i="1"/>
  <c r="E2328" i="1" s="1"/>
  <c r="B2329" i="1"/>
  <c r="E2329" i="1" s="1"/>
  <c r="B2330" i="1"/>
  <c r="E2330" i="1" s="1"/>
  <c r="B2331" i="1"/>
  <c r="E2331" i="1" s="1"/>
  <c r="B2332" i="1"/>
  <c r="E2332" i="1" s="1"/>
  <c r="B2333" i="1"/>
  <c r="E2333" i="1" s="1"/>
  <c r="B2334" i="1"/>
  <c r="E2334" i="1" s="1"/>
  <c r="B2335" i="1"/>
  <c r="E2335" i="1" s="1"/>
  <c r="B2336" i="1"/>
  <c r="E2336" i="1" s="1"/>
  <c r="B2337" i="1"/>
  <c r="E2337" i="1" s="1"/>
  <c r="B2338" i="1"/>
  <c r="E2338" i="1" s="1"/>
  <c r="B2339" i="1"/>
  <c r="E2339" i="1" s="1"/>
  <c r="B2340" i="1"/>
  <c r="E2340" i="1" s="1"/>
  <c r="B2341" i="1"/>
  <c r="E2341" i="1" s="1"/>
  <c r="B2342" i="1"/>
  <c r="E2342" i="1" s="1"/>
  <c r="B2343" i="1"/>
  <c r="E2343" i="1" s="1"/>
  <c r="B2344" i="1"/>
  <c r="E2344" i="1" s="1"/>
  <c r="B2345" i="1"/>
  <c r="E2345" i="1" s="1"/>
  <c r="B2346" i="1"/>
  <c r="E2346" i="1" s="1"/>
  <c r="B2347" i="1"/>
  <c r="E2347" i="1" s="1"/>
  <c r="B2348" i="1"/>
  <c r="E2348" i="1" s="1"/>
  <c r="B2349" i="1"/>
  <c r="E2349" i="1" s="1"/>
  <c r="B2350" i="1"/>
  <c r="E2350" i="1" s="1"/>
  <c r="B2351" i="1"/>
  <c r="E2351" i="1" s="1"/>
  <c r="B2352" i="1"/>
  <c r="E2352" i="1" s="1"/>
  <c r="B2353" i="1"/>
  <c r="E2353" i="1" s="1"/>
  <c r="B2354" i="1"/>
  <c r="E2354" i="1" s="1"/>
  <c r="B2355" i="1"/>
  <c r="E2355" i="1" s="1"/>
  <c r="B2356" i="1"/>
  <c r="E2356" i="1" s="1"/>
  <c r="B2357" i="1"/>
  <c r="E2357" i="1" s="1"/>
  <c r="B2358" i="1"/>
  <c r="E2358" i="1" s="1"/>
  <c r="B2359" i="1"/>
  <c r="E2359" i="1" s="1"/>
  <c r="B2360" i="1"/>
  <c r="E2360" i="1" s="1"/>
  <c r="B2361" i="1"/>
  <c r="E2361" i="1" s="1"/>
  <c r="B2362" i="1"/>
  <c r="E2362" i="1" s="1"/>
  <c r="B2363" i="1"/>
  <c r="E2363" i="1" s="1"/>
  <c r="B2364" i="1"/>
  <c r="E2364" i="1" s="1"/>
  <c r="B2365" i="1"/>
  <c r="E2365" i="1" s="1"/>
  <c r="B2366" i="1"/>
  <c r="E2366" i="1" s="1"/>
  <c r="B2367" i="1"/>
  <c r="E2367" i="1" s="1"/>
  <c r="B2368" i="1"/>
  <c r="E2368" i="1" s="1"/>
  <c r="B2369" i="1"/>
  <c r="E2369" i="1" s="1"/>
  <c r="B2370" i="1"/>
  <c r="E2370" i="1" s="1"/>
  <c r="B2371" i="1"/>
  <c r="E2371" i="1" s="1"/>
  <c r="B2372" i="1"/>
  <c r="E2372" i="1" s="1"/>
  <c r="B2373" i="1"/>
  <c r="E2373" i="1" s="1"/>
  <c r="B2374" i="1"/>
  <c r="E2374" i="1" s="1"/>
  <c r="B2375" i="1"/>
  <c r="E2375" i="1" s="1"/>
  <c r="B2376" i="1"/>
  <c r="E2376" i="1" s="1"/>
  <c r="B2377" i="1"/>
  <c r="E2377" i="1" s="1"/>
  <c r="B2378" i="1"/>
  <c r="E2378" i="1" s="1"/>
  <c r="B2379" i="1"/>
  <c r="E2379" i="1" s="1"/>
  <c r="B2380" i="1"/>
  <c r="E2380" i="1" s="1"/>
  <c r="B2381" i="1"/>
  <c r="E2381" i="1" s="1"/>
  <c r="B2382" i="1"/>
  <c r="E2382" i="1" s="1"/>
  <c r="B2383" i="1"/>
  <c r="E2383" i="1" s="1"/>
  <c r="B2384" i="1"/>
  <c r="E2384" i="1" s="1"/>
  <c r="B2385" i="1"/>
  <c r="E2385" i="1" s="1"/>
  <c r="B2386" i="1"/>
  <c r="E2386" i="1" s="1"/>
  <c r="B2387" i="1"/>
  <c r="E2387" i="1" s="1"/>
  <c r="B2388" i="1"/>
  <c r="E2388" i="1" s="1"/>
  <c r="B2389" i="1"/>
  <c r="E2389" i="1" s="1"/>
  <c r="B2390" i="1"/>
  <c r="E2390" i="1" s="1"/>
  <c r="B2391" i="1"/>
  <c r="E2391" i="1" s="1"/>
  <c r="B2392" i="1"/>
  <c r="E2392" i="1" s="1"/>
  <c r="B2393" i="1"/>
  <c r="E2393" i="1" s="1"/>
  <c r="B2394" i="1"/>
  <c r="E2394" i="1" s="1"/>
  <c r="B2395" i="1"/>
  <c r="E2395" i="1" s="1"/>
  <c r="B2396" i="1"/>
  <c r="E2396" i="1" s="1"/>
  <c r="B2397" i="1"/>
  <c r="E2397" i="1" s="1"/>
  <c r="B2398" i="1"/>
  <c r="E2398" i="1" s="1"/>
  <c r="B2399" i="1"/>
  <c r="E2399" i="1" s="1"/>
  <c r="B2400" i="1"/>
  <c r="E2400" i="1" s="1"/>
  <c r="B2401" i="1"/>
  <c r="E2401" i="1" s="1"/>
  <c r="B2402" i="1"/>
  <c r="E2402" i="1" s="1"/>
  <c r="B2403" i="1"/>
  <c r="E2403" i="1" s="1"/>
  <c r="B2404" i="1"/>
  <c r="E2404" i="1" s="1"/>
  <c r="B2405" i="1"/>
  <c r="E2405" i="1" s="1"/>
  <c r="B2406" i="1"/>
  <c r="E2406" i="1" s="1"/>
  <c r="B2407" i="1"/>
  <c r="E2407" i="1" s="1"/>
  <c r="B2408" i="1"/>
  <c r="E2408" i="1" s="1"/>
  <c r="B2409" i="1"/>
  <c r="E2409" i="1" s="1"/>
  <c r="B2410" i="1"/>
  <c r="E2410" i="1" s="1"/>
  <c r="B2411" i="1"/>
  <c r="E2411" i="1" s="1"/>
  <c r="B2412" i="1"/>
  <c r="E2412" i="1" s="1"/>
  <c r="B2413" i="1"/>
  <c r="E2413" i="1" s="1"/>
  <c r="B2414" i="1"/>
  <c r="E2414" i="1" s="1"/>
  <c r="B2415" i="1"/>
  <c r="E2415" i="1" s="1"/>
  <c r="B2416" i="1"/>
  <c r="E2416" i="1" s="1"/>
  <c r="B2417" i="1"/>
  <c r="E2417" i="1" s="1"/>
  <c r="B2418" i="1"/>
  <c r="E2418" i="1" s="1"/>
  <c r="B2419" i="1"/>
  <c r="E2419" i="1" s="1"/>
  <c r="B2420" i="1"/>
  <c r="E2420" i="1" s="1"/>
  <c r="B2421" i="1"/>
  <c r="E2421" i="1" s="1"/>
  <c r="B2422" i="1"/>
  <c r="E2422" i="1" s="1"/>
  <c r="B2423" i="1"/>
  <c r="E2423" i="1" s="1"/>
  <c r="B2424" i="1"/>
  <c r="E2424" i="1" s="1"/>
  <c r="B2425" i="1"/>
  <c r="E2425" i="1" s="1"/>
  <c r="B2426" i="1"/>
  <c r="E2426" i="1" s="1"/>
  <c r="B2427" i="1"/>
  <c r="E2427" i="1" s="1"/>
  <c r="B2428" i="1"/>
  <c r="E2428" i="1" s="1"/>
  <c r="B2429" i="1"/>
  <c r="E2429" i="1" s="1"/>
  <c r="B2430" i="1"/>
  <c r="E2430" i="1" s="1"/>
  <c r="B2431" i="1"/>
  <c r="E2431" i="1" s="1"/>
  <c r="B2432" i="1"/>
  <c r="E2432" i="1" s="1"/>
  <c r="B2433" i="1"/>
  <c r="E2433" i="1" s="1"/>
  <c r="B2434" i="1"/>
  <c r="E2434" i="1" s="1"/>
  <c r="B2435" i="1"/>
  <c r="E2435" i="1" s="1"/>
  <c r="B2436" i="1"/>
  <c r="E2436" i="1" s="1"/>
  <c r="B2437" i="1"/>
  <c r="E2437" i="1" s="1"/>
  <c r="B2438" i="1"/>
  <c r="E2438" i="1" s="1"/>
  <c r="B2439" i="1"/>
  <c r="E2439" i="1" s="1"/>
  <c r="B2440" i="1"/>
  <c r="E2440" i="1" s="1"/>
  <c r="B2441" i="1"/>
  <c r="E2441" i="1" s="1"/>
  <c r="B2442" i="1"/>
  <c r="E2442" i="1" s="1"/>
  <c r="B2443" i="1"/>
  <c r="E2443" i="1" s="1"/>
  <c r="B2444" i="1"/>
  <c r="E2444" i="1" s="1"/>
  <c r="B2445" i="1"/>
  <c r="E2445" i="1" s="1"/>
  <c r="B2446" i="1"/>
  <c r="E2446" i="1" s="1"/>
  <c r="B2447" i="1"/>
  <c r="E2447" i="1" s="1"/>
  <c r="B2448" i="1"/>
  <c r="E2448" i="1" s="1"/>
  <c r="B2449" i="1"/>
  <c r="E2449" i="1" s="1"/>
  <c r="B2450" i="1"/>
  <c r="E2450" i="1" s="1"/>
  <c r="B2451" i="1"/>
  <c r="E2451" i="1" s="1"/>
  <c r="B2452" i="1"/>
  <c r="E2452" i="1" s="1"/>
  <c r="B2453" i="1"/>
  <c r="E2453" i="1" s="1"/>
  <c r="B2454" i="1"/>
  <c r="E2454" i="1" s="1"/>
  <c r="B2455" i="1"/>
  <c r="E2455" i="1" s="1"/>
  <c r="B2456" i="1"/>
  <c r="E2456" i="1" s="1"/>
  <c r="B2457" i="1"/>
  <c r="E2457" i="1" s="1"/>
  <c r="B2458" i="1"/>
  <c r="E2458" i="1" s="1"/>
  <c r="B2459" i="1"/>
  <c r="E2459" i="1" s="1"/>
  <c r="B2460" i="1"/>
  <c r="E2460" i="1" s="1"/>
  <c r="B2461" i="1"/>
  <c r="E2461" i="1" s="1"/>
  <c r="B2462" i="1"/>
  <c r="E2462" i="1" s="1"/>
  <c r="B2463" i="1"/>
  <c r="E2463" i="1" s="1"/>
  <c r="B2464" i="1"/>
  <c r="E2464" i="1" s="1"/>
  <c r="B2465" i="1"/>
  <c r="E2465" i="1" s="1"/>
  <c r="B2466" i="1"/>
  <c r="E2466" i="1" s="1"/>
  <c r="B2467" i="1"/>
  <c r="E2467" i="1" s="1"/>
  <c r="B2468" i="1"/>
  <c r="E2468" i="1" s="1"/>
  <c r="B2469" i="1"/>
  <c r="E2469" i="1" s="1"/>
  <c r="B2470" i="1"/>
  <c r="E2470" i="1" s="1"/>
  <c r="B2471" i="1"/>
  <c r="E2471" i="1" s="1"/>
  <c r="B2472" i="1"/>
  <c r="E2472" i="1" s="1"/>
  <c r="B2473" i="1"/>
  <c r="E2473" i="1" s="1"/>
  <c r="B2474" i="1"/>
  <c r="E2474" i="1" s="1"/>
  <c r="B2475" i="1"/>
  <c r="E2475" i="1" s="1"/>
  <c r="B2476" i="1"/>
  <c r="E2476" i="1" s="1"/>
  <c r="B2477" i="1"/>
  <c r="E2477" i="1" s="1"/>
  <c r="B2478" i="1"/>
  <c r="E2478" i="1" s="1"/>
  <c r="B2479" i="1"/>
  <c r="E2479" i="1" s="1"/>
  <c r="B2480" i="1"/>
  <c r="E2480" i="1" s="1"/>
  <c r="B2481" i="1"/>
  <c r="E2481" i="1" s="1"/>
  <c r="B2482" i="1"/>
  <c r="E2482" i="1" s="1"/>
  <c r="B2483" i="1"/>
  <c r="E2483" i="1" s="1"/>
  <c r="B2484" i="1"/>
  <c r="E2484" i="1" s="1"/>
  <c r="B2485" i="1"/>
  <c r="E2485" i="1" s="1"/>
  <c r="B2486" i="1"/>
  <c r="E2486" i="1" s="1"/>
  <c r="B2487" i="1"/>
  <c r="E2487" i="1" s="1"/>
  <c r="B2488" i="1"/>
  <c r="E2488" i="1" s="1"/>
  <c r="B2489" i="1"/>
  <c r="E2489" i="1" s="1"/>
  <c r="B2490" i="1"/>
  <c r="E2490" i="1" s="1"/>
  <c r="B2491" i="1"/>
  <c r="E2491" i="1" s="1"/>
  <c r="B2492" i="1"/>
  <c r="E2492" i="1" s="1"/>
  <c r="B2493" i="1"/>
  <c r="E2493" i="1" s="1"/>
  <c r="B2494" i="1"/>
  <c r="E2494" i="1" s="1"/>
  <c r="B2495" i="1"/>
  <c r="E2495" i="1" s="1"/>
  <c r="B2496" i="1"/>
  <c r="E2496" i="1" s="1"/>
  <c r="B2497" i="1"/>
  <c r="E2497" i="1" s="1"/>
  <c r="B2498" i="1"/>
  <c r="E2498" i="1" s="1"/>
  <c r="B2499" i="1"/>
  <c r="E2499" i="1" s="1"/>
  <c r="B2500" i="1"/>
  <c r="E2500" i="1" s="1"/>
  <c r="B2501" i="1"/>
  <c r="E2501" i="1" s="1"/>
  <c r="B2502" i="1"/>
  <c r="E2502" i="1" s="1"/>
  <c r="B2503" i="1"/>
  <c r="E2503" i="1" s="1"/>
  <c r="B2504" i="1"/>
  <c r="E2504" i="1" s="1"/>
  <c r="B2505" i="1"/>
  <c r="E2505" i="1" s="1"/>
  <c r="B2506" i="1"/>
  <c r="E2506" i="1" s="1"/>
  <c r="B2507" i="1"/>
  <c r="E2507" i="1" s="1"/>
  <c r="B2508" i="1"/>
  <c r="E2508" i="1" s="1"/>
  <c r="B2509" i="1"/>
  <c r="E2509" i="1" s="1"/>
  <c r="B2510" i="1"/>
  <c r="E2510" i="1" s="1"/>
  <c r="B2511" i="1"/>
  <c r="E2511" i="1" s="1"/>
  <c r="B2512" i="1"/>
  <c r="E2512" i="1" s="1"/>
  <c r="B2513" i="1"/>
  <c r="E2513" i="1" s="1"/>
  <c r="B2514" i="1"/>
  <c r="E2514" i="1" s="1"/>
  <c r="B2515" i="1"/>
  <c r="E2515" i="1" s="1"/>
  <c r="B2516" i="1"/>
  <c r="E2516" i="1" s="1"/>
  <c r="B2517" i="1"/>
  <c r="E2517" i="1" s="1"/>
  <c r="B2518" i="1"/>
  <c r="E2518" i="1" s="1"/>
  <c r="B2519" i="1"/>
  <c r="E2519" i="1" s="1"/>
  <c r="B2520" i="1"/>
  <c r="E2520" i="1" s="1"/>
  <c r="B2521" i="1"/>
  <c r="E2521" i="1" s="1"/>
  <c r="B2522" i="1"/>
  <c r="E2522" i="1" s="1"/>
  <c r="B2523" i="1"/>
  <c r="E2523" i="1" s="1"/>
  <c r="B2524" i="1"/>
  <c r="E2524" i="1" s="1"/>
  <c r="B2525" i="1"/>
  <c r="E2525" i="1" s="1"/>
  <c r="B2526" i="1"/>
  <c r="E2526" i="1" s="1"/>
  <c r="B2527" i="1"/>
  <c r="E2527" i="1" s="1"/>
  <c r="B2528" i="1"/>
  <c r="E2528" i="1" s="1"/>
  <c r="B2529" i="1"/>
  <c r="E2529" i="1" s="1"/>
  <c r="B2530" i="1"/>
  <c r="E2530" i="1" s="1"/>
  <c r="B2531" i="1"/>
  <c r="E2531" i="1" s="1"/>
  <c r="B2532" i="1"/>
  <c r="E2532" i="1" s="1"/>
  <c r="B2533" i="1"/>
  <c r="E2533" i="1" s="1"/>
  <c r="B2534" i="1"/>
  <c r="E2534" i="1" s="1"/>
  <c r="B2535" i="1"/>
  <c r="E2535" i="1" s="1"/>
  <c r="B2536" i="1"/>
  <c r="E2536" i="1" s="1"/>
  <c r="B2537" i="1"/>
  <c r="E2537" i="1" s="1"/>
  <c r="B2538" i="1"/>
  <c r="E2538" i="1" s="1"/>
  <c r="B2539" i="1"/>
  <c r="E2539" i="1" s="1"/>
  <c r="B2540" i="1"/>
  <c r="E2540" i="1" s="1"/>
  <c r="B2541" i="1"/>
  <c r="E2541" i="1" s="1"/>
  <c r="B2542" i="1"/>
  <c r="E2542" i="1" s="1"/>
  <c r="B2543" i="1"/>
  <c r="E2543" i="1" s="1"/>
  <c r="B2544" i="1"/>
  <c r="E2544" i="1" s="1"/>
  <c r="B2545" i="1"/>
  <c r="E2545" i="1" s="1"/>
  <c r="B2546" i="1"/>
  <c r="E2546" i="1" s="1"/>
  <c r="B2547" i="1"/>
  <c r="E2547" i="1" s="1"/>
  <c r="B2548" i="1"/>
  <c r="E2548" i="1" s="1"/>
  <c r="B2549" i="1"/>
  <c r="E2549" i="1" s="1"/>
  <c r="B2550" i="1"/>
  <c r="E2550" i="1" s="1"/>
  <c r="B2551" i="1"/>
  <c r="E2551" i="1" s="1"/>
  <c r="B2552" i="1"/>
  <c r="E2552" i="1" s="1"/>
  <c r="B2553" i="1"/>
  <c r="E2553" i="1" s="1"/>
  <c r="B2554" i="1"/>
  <c r="E2554" i="1" s="1"/>
  <c r="B2555" i="1"/>
  <c r="E2555" i="1" s="1"/>
  <c r="B2556" i="1"/>
  <c r="E2556" i="1" s="1"/>
  <c r="B2557" i="1"/>
  <c r="E2557" i="1" s="1"/>
  <c r="B2558" i="1"/>
  <c r="E2558" i="1" s="1"/>
  <c r="B2559" i="1"/>
  <c r="E2559" i="1" s="1"/>
  <c r="B2560" i="1"/>
  <c r="E2560" i="1" s="1"/>
  <c r="B2561" i="1"/>
  <c r="E2561" i="1" s="1"/>
  <c r="B2562" i="1"/>
  <c r="E2562" i="1" s="1"/>
  <c r="B2563" i="1"/>
  <c r="E2563" i="1" s="1"/>
  <c r="B2564" i="1"/>
  <c r="E2564" i="1" s="1"/>
  <c r="B2565" i="1"/>
  <c r="E2565" i="1" s="1"/>
  <c r="B2566" i="1"/>
  <c r="E2566" i="1" s="1"/>
  <c r="B2567" i="1"/>
  <c r="E2567" i="1" s="1"/>
  <c r="B2568" i="1"/>
  <c r="E2568" i="1" s="1"/>
  <c r="B2569" i="1"/>
  <c r="E2569" i="1" s="1"/>
  <c r="B2570" i="1"/>
  <c r="E2570" i="1" s="1"/>
  <c r="B2571" i="1"/>
  <c r="E2571" i="1" s="1"/>
  <c r="B2572" i="1"/>
  <c r="E2572" i="1" s="1"/>
  <c r="B2573" i="1"/>
  <c r="E2573" i="1" s="1"/>
  <c r="B2574" i="1"/>
  <c r="E2574" i="1" s="1"/>
  <c r="B2575" i="1"/>
  <c r="E2575" i="1" s="1"/>
  <c r="B2576" i="1"/>
  <c r="E2576" i="1" s="1"/>
  <c r="B2577" i="1"/>
  <c r="E2577" i="1" s="1"/>
  <c r="B2578" i="1"/>
  <c r="E2578" i="1" s="1"/>
  <c r="B2579" i="1"/>
  <c r="E2579" i="1" s="1"/>
  <c r="B2580" i="1"/>
  <c r="E2580" i="1" s="1"/>
  <c r="B2581" i="1"/>
  <c r="E2581" i="1" s="1"/>
  <c r="B2582" i="1"/>
  <c r="E2582" i="1" s="1"/>
  <c r="B2583" i="1"/>
  <c r="E2583" i="1" s="1"/>
  <c r="B2584" i="1"/>
  <c r="E2584" i="1" s="1"/>
  <c r="B2585" i="1"/>
  <c r="E2585" i="1" s="1"/>
  <c r="B2586" i="1"/>
  <c r="E2586" i="1" s="1"/>
  <c r="B2587" i="1"/>
  <c r="E2587" i="1" s="1"/>
  <c r="B2588" i="1"/>
  <c r="E2588" i="1" s="1"/>
  <c r="B2589" i="1"/>
  <c r="E2589" i="1" s="1"/>
  <c r="B2590" i="1"/>
  <c r="E2590" i="1" s="1"/>
  <c r="B2591" i="1"/>
  <c r="E2591" i="1" s="1"/>
  <c r="B2592" i="1"/>
  <c r="E2592" i="1" s="1"/>
  <c r="B2593" i="1"/>
  <c r="E2593" i="1" s="1"/>
  <c r="B2594" i="1"/>
  <c r="E2594" i="1" s="1"/>
  <c r="B2595" i="1"/>
  <c r="E2595" i="1" s="1"/>
  <c r="B2596" i="1"/>
  <c r="E2596" i="1" s="1"/>
  <c r="B2597" i="1"/>
  <c r="E2597" i="1" s="1"/>
  <c r="B2598" i="1"/>
  <c r="E2598" i="1" s="1"/>
  <c r="B2599" i="1"/>
  <c r="E2599" i="1" s="1"/>
  <c r="B2600" i="1"/>
  <c r="E2600" i="1" s="1"/>
  <c r="B2601" i="1"/>
  <c r="E2601" i="1" s="1"/>
  <c r="B2602" i="1"/>
  <c r="E2602" i="1" s="1"/>
  <c r="B2603" i="1"/>
  <c r="E2603" i="1" s="1"/>
  <c r="B2604" i="1"/>
  <c r="E2604" i="1" s="1"/>
  <c r="B2605" i="1"/>
  <c r="E2605" i="1" s="1"/>
  <c r="B2606" i="1"/>
  <c r="E2606" i="1" s="1"/>
  <c r="B2607" i="1"/>
  <c r="E2607" i="1" s="1"/>
  <c r="B2608" i="1"/>
  <c r="E2608" i="1" s="1"/>
  <c r="B2609" i="1"/>
  <c r="E2609" i="1" s="1"/>
  <c r="B2610" i="1"/>
  <c r="E2610" i="1" s="1"/>
  <c r="B2611" i="1"/>
  <c r="E2611" i="1" s="1"/>
  <c r="B2612" i="1"/>
  <c r="E2612" i="1" s="1"/>
  <c r="B2613" i="1"/>
  <c r="E2613" i="1" s="1"/>
  <c r="B2614" i="1"/>
  <c r="E2614" i="1" s="1"/>
  <c r="B2615" i="1"/>
  <c r="E2615" i="1" s="1"/>
  <c r="B2616" i="1"/>
  <c r="E2616" i="1" s="1"/>
  <c r="B2617" i="1"/>
  <c r="E2617" i="1" s="1"/>
  <c r="B2618" i="1"/>
  <c r="E2618" i="1" s="1"/>
  <c r="B2619" i="1"/>
  <c r="E2619" i="1" s="1"/>
  <c r="B2620" i="1"/>
  <c r="E2620" i="1" s="1"/>
  <c r="B2621" i="1"/>
  <c r="E2621" i="1" s="1"/>
  <c r="B2622" i="1"/>
  <c r="E2622" i="1" s="1"/>
  <c r="B2623" i="1"/>
  <c r="E2623" i="1" s="1"/>
  <c r="B2624" i="1"/>
  <c r="E2624" i="1" s="1"/>
  <c r="B2625" i="1"/>
  <c r="E2625" i="1" s="1"/>
  <c r="B2626" i="1"/>
  <c r="E2626" i="1" s="1"/>
  <c r="B2627" i="1"/>
  <c r="E2627" i="1" s="1"/>
  <c r="B2628" i="1"/>
  <c r="E2628" i="1" s="1"/>
  <c r="B2629" i="1"/>
  <c r="E2629" i="1" s="1"/>
  <c r="B2630" i="1"/>
  <c r="E2630" i="1" s="1"/>
  <c r="B2631" i="1"/>
  <c r="E2631" i="1" s="1"/>
  <c r="B2632" i="1"/>
  <c r="E2632" i="1" s="1"/>
  <c r="B2633" i="1"/>
  <c r="E2633" i="1" s="1"/>
  <c r="B2634" i="1"/>
  <c r="E2634" i="1" s="1"/>
  <c r="B2635" i="1"/>
  <c r="E2635" i="1" s="1"/>
  <c r="B2636" i="1"/>
  <c r="E2636" i="1" s="1"/>
  <c r="B2637" i="1"/>
  <c r="E2637" i="1" s="1"/>
  <c r="B2638" i="1"/>
  <c r="E2638" i="1" s="1"/>
  <c r="B2639" i="1"/>
  <c r="E2639" i="1" s="1"/>
  <c r="B2640" i="1"/>
  <c r="E2640" i="1" s="1"/>
  <c r="B2641" i="1"/>
  <c r="E2641" i="1" s="1"/>
  <c r="B2642" i="1"/>
  <c r="E2642" i="1" s="1"/>
  <c r="B2643" i="1"/>
  <c r="E2643" i="1" s="1"/>
  <c r="B2644" i="1"/>
  <c r="E2644" i="1" s="1"/>
  <c r="B2645" i="1"/>
  <c r="E2645" i="1" s="1"/>
  <c r="B2646" i="1"/>
  <c r="E2646" i="1" s="1"/>
  <c r="B2647" i="1"/>
  <c r="E2647" i="1" s="1"/>
  <c r="B2648" i="1"/>
  <c r="E2648" i="1" s="1"/>
  <c r="B2649" i="1"/>
  <c r="E2649" i="1" s="1"/>
  <c r="B2650" i="1"/>
  <c r="E2650" i="1" s="1"/>
  <c r="B2651" i="1"/>
  <c r="E2651" i="1" s="1"/>
  <c r="B2652" i="1"/>
  <c r="E2652" i="1" s="1"/>
  <c r="B2653" i="1"/>
  <c r="E2653" i="1" s="1"/>
  <c r="B2654" i="1"/>
  <c r="E2654" i="1" s="1"/>
  <c r="B2655" i="1"/>
  <c r="E2655" i="1" s="1"/>
  <c r="B2656" i="1"/>
  <c r="E2656" i="1" s="1"/>
  <c r="B2657" i="1"/>
  <c r="E2657" i="1" s="1"/>
  <c r="B2658" i="1"/>
  <c r="E2658" i="1" s="1"/>
  <c r="B2659" i="1"/>
  <c r="E2659" i="1" s="1"/>
  <c r="B2660" i="1"/>
  <c r="E2660" i="1" s="1"/>
  <c r="B2661" i="1"/>
  <c r="E2661" i="1" s="1"/>
  <c r="B2662" i="1"/>
  <c r="E2662" i="1" s="1"/>
  <c r="B2663" i="1"/>
  <c r="E2663" i="1" s="1"/>
  <c r="B2664" i="1"/>
  <c r="E2664" i="1" s="1"/>
  <c r="B2665" i="1"/>
  <c r="E2665" i="1" s="1"/>
  <c r="B2666" i="1"/>
  <c r="E2666" i="1" s="1"/>
  <c r="B2667" i="1"/>
  <c r="E2667" i="1" s="1"/>
  <c r="B2668" i="1"/>
  <c r="E2668" i="1" s="1"/>
  <c r="B2669" i="1"/>
  <c r="E2669" i="1" s="1"/>
  <c r="B2670" i="1"/>
  <c r="E2670" i="1" s="1"/>
  <c r="B2671" i="1"/>
  <c r="E2671" i="1" s="1"/>
  <c r="B2672" i="1"/>
  <c r="E2672" i="1" s="1"/>
  <c r="B2673" i="1"/>
  <c r="E2673" i="1" s="1"/>
  <c r="B2674" i="1"/>
  <c r="E2674" i="1" s="1"/>
  <c r="B2675" i="1"/>
  <c r="E2675" i="1" s="1"/>
  <c r="B2676" i="1"/>
  <c r="E2676" i="1" s="1"/>
  <c r="B2677" i="1"/>
  <c r="E2677" i="1" s="1"/>
  <c r="B2678" i="1"/>
  <c r="E2678" i="1" s="1"/>
  <c r="B2679" i="1"/>
  <c r="E2679" i="1" s="1"/>
  <c r="B2680" i="1"/>
  <c r="E2680" i="1" s="1"/>
  <c r="B2681" i="1"/>
  <c r="E2681" i="1" s="1"/>
  <c r="B2682" i="1"/>
  <c r="E2682" i="1" s="1"/>
  <c r="B2683" i="1"/>
  <c r="E2683" i="1" s="1"/>
  <c r="B2684" i="1"/>
  <c r="E2684" i="1" s="1"/>
  <c r="B2685" i="1"/>
  <c r="E2685" i="1" s="1"/>
  <c r="B2686" i="1"/>
  <c r="E2686" i="1" s="1"/>
  <c r="B2687" i="1"/>
  <c r="E2687" i="1" s="1"/>
  <c r="B2688" i="1"/>
  <c r="E2688" i="1" s="1"/>
  <c r="B2689" i="1"/>
  <c r="E2689" i="1" s="1"/>
  <c r="B2690" i="1"/>
  <c r="E2690" i="1" s="1"/>
  <c r="B2691" i="1"/>
  <c r="E2691" i="1" s="1"/>
  <c r="B2692" i="1"/>
  <c r="E2692" i="1" s="1"/>
  <c r="B2693" i="1"/>
  <c r="E2693" i="1" s="1"/>
  <c r="B2694" i="1"/>
  <c r="E2694" i="1" s="1"/>
  <c r="B2695" i="1"/>
  <c r="E2695" i="1" s="1"/>
  <c r="B2696" i="1"/>
  <c r="E2696" i="1" s="1"/>
  <c r="B2697" i="1"/>
  <c r="E2697" i="1" s="1"/>
  <c r="B2698" i="1"/>
  <c r="E2698" i="1" s="1"/>
  <c r="B2699" i="1"/>
  <c r="E2699" i="1" s="1"/>
  <c r="B2700" i="1"/>
  <c r="E2700" i="1" s="1"/>
  <c r="B2701" i="1"/>
  <c r="E2701" i="1" s="1"/>
  <c r="B2702" i="1"/>
  <c r="E2702" i="1" s="1"/>
  <c r="B2703" i="1"/>
  <c r="E2703" i="1" s="1"/>
  <c r="B2704" i="1"/>
  <c r="E2704" i="1" s="1"/>
  <c r="B2705" i="1"/>
  <c r="E2705" i="1" s="1"/>
  <c r="B2706" i="1"/>
  <c r="E2706" i="1" s="1"/>
  <c r="B2707" i="1"/>
  <c r="E2707" i="1" s="1"/>
  <c r="B2708" i="1"/>
  <c r="E2708" i="1" s="1"/>
  <c r="B2709" i="1"/>
  <c r="E2709" i="1" s="1"/>
  <c r="B2710" i="1"/>
  <c r="E2710" i="1" s="1"/>
  <c r="B2711" i="1"/>
  <c r="E2711" i="1" s="1"/>
  <c r="B2712" i="1"/>
  <c r="E2712" i="1" s="1"/>
  <c r="B2713" i="1"/>
  <c r="E2713" i="1" s="1"/>
  <c r="B2714" i="1"/>
  <c r="E2714" i="1" s="1"/>
  <c r="B2715" i="1"/>
  <c r="E2715" i="1" s="1"/>
  <c r="B2716" i="1"/>
  <c r="E2716" i="1" s="1"/>
  <c r="B2717" i="1"/>
  <c r="E2717" i="1" s="1"/>
  <c r="B2718" i="1"/>
  <c r="E2718" i="1" s="1"/>
  <c r="B2719" i="1"/>
  <c r="E2719" i="1" s="1"/>
  <c r="B2720" i="1"/>
  <c r="E2720" i="1" s="1"/>
  <c r="B2721" i="1"/>
  <c r="E2721" i="1" s="1"/>
  <c r="B2722" i="1"/>
  <c r="E2722" i="1" s="1"/>
  <c r="B2723" i="1"/>
  <c r="E2723" i="1" s="1"/>
  <c r="B2724" i="1"/>
  <c r="E2724" i="1" s="1"/>
  <c r="B2725" i="1"/>
  <c r="E2725" i="1" s="1"/>
  <c r="B2726" i="1"/>
  <c r="E2726" i="1" s="1"/>
  <c r="B2727" i="1"/>
  <c r="E2727" i="1" s="1"/>
  <c r="B2728" i="1"/>
  <c r="E2728" i="1" s="1"/>
  <c r="B2729" i="1"/>
  <c r="E2729" i="1" s="1"/>
  <c r="B2730" i="1"/>
  <c r="E2730" i="1" s="1"/>
  <c r="B2731" i="1"/>
  <c r="E2731" i="1" s="1"/>
  <c r="B2732" i="1"/>
  <c r="E2732" i="1" s="1"/>
  <c r="B2733" i="1"/>
  <c r="E2733" i="1" s="1"/>
  <c r="B2734" i="1"/>
  <c r="E2734" i="1" s="1"/>
  <c r="B2735" i="1"/>
  <c r="E2735" i="1" s="1"/>
  <c r="B2736" i="1"/>
  <c r="E2736" i="1" s="1"/>
  <c r="B2737" i="1"/>
  <c r="E2737" i="1" s="1"/>
  <c r="B2738" i="1"/>
  <c r="E2738" i="1" s="1"/>
  <c r="B2739" i="1"/>
  <c r="E2739" i="1" s="1"/>
  <c r="B2740" i="1"/>
  <c r="E2740" i="1" s="1"/>
  <c r="B2741" i="1"/>
  <c r="E2741" i="1" s="1"/>
  <c r="B2742" i="1"/>
  <c r="E2742" i="1" s="1"/>
  <c r="B2743" i="1"/>
  <c r="E2743" i="1" s="1"/>
  <c r="B2744" i="1"/>
  <c r="E2744" i="1" s="1"/>
  <c r="B2745" i="1"/>
  <c r="E2745" i="1" s="1"/>
  <c r="B2746" i="1"/>
  <c r="E2746" i="1" s="1"/>
  <c r="B2747" i="1"/>
  <c r="E2747" i="1" s="1"/>
  <c r="B2748" i="1"/>
  <c r="E2748" i="1" s="1"/>
  <c r="B2749" i="1"/>
  <c r="E2749" i="1" s="1"/>
  <c r="B2750" i="1"/>
  <c r="E2750" i="1" s="1"/>
  <c r="B2751" i="1"/>
  <c r="E2751" i="1" s="1"/>
  <c r="B2752" i="1"/>
  <c r="E2752" i="1" s="1"/>
  <c r="B2753" i="1"/>
  <c r="E2753" i="1" s="1"/>
  <c r="B2754" i="1"/>
  <c r="E2754" i="1" s="1"/>
  <c r="B2755" i="1"/>
  <c r="E2755" i="1" s="1"/>
  <c r="B2756" i="1"/>
  <c r="E2756" i="1" s="1"/>
  <c r="B2757" i="1"/>
  <c r="E2757" i="1" s="1"/>
  <c r="B2758" i="1"/>
  <c r="E2758" i="1" s="1"/>
  <c r="B2759" i="1"/>
  <c r="E2759" i="1" s="1"/>
  <c r="B2760" i="1"/>
  <c r="E2760" i="1" s="1"/>
  <c r="B2761" i="1"/>
  <c r="E2761" i="1" s="1"/>
  <c r="B2762" i="1"/>
  <c r="E2762" i="1" s="1"/>
  <c r="B2763" i="1"/>
  <c r="E2763" i="1" s="1"/>
  <c r="B2764" i="1"/>
  <c r="E2764" i="1" s="1"/>
  <c r="B2765" i="1"/>
  <c r="E2765" i="1" s="1"/>
  <c r="B2766" i="1"/>
  <c r="E2766" i="1" s="1"/>
  <c r="B2767" i="1"/>
  <c r="E2767" i="1" s="1"/>
  <c r="B2768" i="1"/>
  <c r="E2768" i="1" s="1"/>
  <c r="B2769" i="1"/>
  <c r="E2769" i="1" s="1"/>
  <c r="B2770" i="1"/>
  <c r="E2770" i="1" s="1"/>
  <c r="B2771" i="1"/>
  <c r="E2771" i="1" s="1"/>
  <c r="B2772" i="1"/>
  <c r="E2772" i="1" s="1"/>
  <c r="B2773" i="1"/>
  <c r="E2773" i="1" s="1"/>
  <c r="B2774" i="1"/>
  <c r="E2774" i="1" s="1"/>
  <c r="B2775" i="1"/>
  <c r="E2775" i="1" s="1"/>
  <c r="B2776" i="1"/>
  <c r="E2776" i="1" s="1"/>
  <c r="B2777" i="1"/>
  <c r="E2777" i="1" s="1"/>
  <c r="B2778" i="1"/>
  <c r="E2778" i="1" s="1"/>
  <c r="B2779" i="1"/>
  <c r="E2779" i="1" s="1"/>
  <c r="B2780" i="1"/>
  <c r="E2780" i="1" s="1"/>
  <c r="B2781" i="1"/>
  <c r="E2781" i="1" s="1"/>
  <c r="B2782" i="1"/>
  <c r="E2782" i="1" s="1"/>
  <c r="B2783" i="1"/>
  <c r="E2783" i="1" s="1"/>
  <c r="B2784" i="1"/>
  <c r="E2784" i="1" s="1"/>
  <c r="B2785" i="1"/>
  <c r="E2785" i="1" s="1"/>
  <c r="B2786" i="1"/>
  <c r="E2786" i="1" s="1"/>
  <c r="B2787" i="1"/>
  <c r="E2787" i="1" s="1"/>
  <c r="B2788" i="1"/>
  <c r="E2788" i="1" s="1"/>
  <c r="B2789" i="1"/>
  <c r="E2789" i="1" s="1"/>
  <c r="B2790" i="1"/>
  <c r="E2790" i="1" s="1"/>
  <c r="B2791" i="1"/>
  <c r="E2791" i="1" s="1"/>
  <c r="B2792" i="1"/>
  <c r="E2792" i="1" s="1"/>
  <c r="B2793" i="1"/>
  <c r="E2793" i="1" s="1"/>
  <c r="B2794" i="1"/>
  <c r="E2794" i="1" s="1"/>
  <c r="B2795" i="1"/>
  <c r="E2795" i="1" s="1"/>
  <c r="B2796" i="1"/>
  <c r="E2796" i="1" s="1"/>
  <c r="B2797" i="1"/>
  <c r="E2797" i="1" s="1"/>
  <c r="B2798" i="1"/>
  <c r="E2798" i="1" s="1"/>
  <c r="B2799" i="1"/>
  <c r="E2799" i="1" s="1"/>
  <c r="B2800" i="1"/>
  <c r="E2800" i="1" s="1"/>
  <c r="B2801" i="1"/>
  <c r="E2801" i="1" s="1"/>
  <c r="B2802" i="1"/>
  <c r="E2802" i="1" s="1"/>
  <c r="B2803" i="1"/>
  <c r="E2803" i="1" s="1"/>
  <c r="B2804" i="1"/>
  <c r="E2804" i="1" s="1"/>
  <c r="B2805" i="1"/>
  <c r="E2805" i="1" s="1"/>
  <c r="B2806" i="1"/>
  <c r="E2806" i="1" s="1"/>
  <c r="B2807" i="1"/>
  <c r="E2807" i="1" s="1"/>
  <c r="B2808" i="1"/>
  <c r="E2808" i="1" s="1"/>
  <c r="B2809" i="1"/>
  <c r="E2809" i="1" s="1"/>
  <c r="B2810" i="1"/>
  <c r="E2810" i="1" s="1"/>
  <c r="B2811" i="1"/>
  <c r="E2811" i="1" s="1"/>
  <c r="B2812" i="1"/>
  <c r="E2812" i="1" s="1"/>
  <c r="B2813" i="1"/>
  <c r="E2813" i="1" s="1"/>
  <c r="B2814" i="1"/>
  <c r="E2814" i="1" s="1"/>
  <c r="B2815" i="1"/>
  <c r="E2815" i="1" s="1"/>
  <c r="B2816" i="1"/>
  <c r="E2816" i="1" s="1"/>
  <c r="B2817" i="1"/>
  <c r="E2817" i="1" s="1"/>
  <c r="B2818" i="1"/>
  <c r="E2818" i="1" s="1"/>
  <c r="B2819" i="1"/>
  <c r="E2819" i="1" s="1"/>
  <c r="B2820" i="1"/>
  <c r="E2820" i="1" s="1"/>
  <c r="B2821" i="1"/>
  <c r="E2821" i="1" s="1"/>
  <c r="B2822" i="1"/>
  <c r="E2822" i="1" s="1"/>
  <c r="B2823" i="1"/>
  <c r="E2823" i="1" s="1"/>
  <c r="B2824" i="1"/>
  <c r="E2824" i="1" s="1"/>
  <c r="B2825" i="1"/>
  <c r="E2825" i="1" s="1"/>
  <c r="B2826" i="1"/>
  <c r="E2826" i="1" s="1"/>
  <c r="B2827" i="1"/>
  <c r="E2827" i="1" s="1"/>
  <c r="B2828" i="1"/>
  <c r="E2828" i="1" s="1"/>
  <c r="B2829" i="1"/>
  <c r="E2829" i="1" s="1"/>
  <c r="B2830" i="1"/>
  <c r="E2830" i="1" s="1"/>
  <c r="B2831" i="1"/>
  <c r="E2831" i="1" s="1"/>
  <c r="B2832" i="1"/>
  <c r="E2832" i="1" s="1"/>
  <c r="B2833" i="1"/>
  <c r="E2833" i="1" s="1"/>
  <c r="B2834" i="1"/>
  <c r="E2834" i="1" s="1"/>
  <c r="B2835" i="1"/>
  <c r="E2835" i="1" s="1"/>
  <c r="B2836" i="1"/>
  <c r="E2836" i="1" s="1"/>
  <c r="B2837" i="1"/>
  <c r="E2837" i="1" s="1"/>
  <c r="B2838" i="1"/>
  <c r="E2838" i="1" s="1"/>
  <c r="B2839" i="1"/>
  <c r="E2839" i="1" s="1"/>
  <c r="B2840" i="1"/>
  <c r="E2840" i="1" s="1"/>
  <c r="B2841" i="1"/>
  <c r="E2841" i="1" s="1"/>
  <c r="B2842" i="1"/>
  <c r="E2842" i="1" s="1"/>
  <c r="B2843" i="1"/>
  <c r="E2843" i="1" s="1"/>
  <c r="B2844" i="1"/>
  <c r="E2844" i="1" s="1"/>
  <c r="B2845" i="1"/>
  <c r="E2845" i="1" s="1"/>
  <c r="B2846" i="1"/>
  <c r="E2846" i="1" s="1"/>
  <c r="B2847" i="1"/>
  <c r="E2847" i="1" s="1"/>
  <c r="B2848" i="1"/>
  <c r="E2848" i="1" s="1"/>
  <c r="B2849" i="1"/>
  <c r="E2849" i="1" s="1"/>
  <c r="B2850" i="1"/>
  <c r="E2850" i="1" s="1"/>
  <c r="B2851" i="1"/>
  <c r="E2851" i="1" s="1"/>
  <c r="B2852" i="1"/>
  <c r="E2852" i="1" s="1"/>
  <c r="B2853" i="1"/>
  <c r="E2853" i="1" s="1"/>
  <c r="B2854" i="1"/>
  <c r="E2854" i="1" s="1"/>
  <c r="B2855" i="1"/>
  <c r="E2855" i="1" s="1"/>
  <c r="B2856" i="1"/>
  <c r="E2856" i="1" s="1"/>
  <c r="B2857" i="1"/>
  <c r="E2857" i="1" s="1"/>
  <c r="B2858" i="1"/>
  <c r="E2858" i="1" s="1"/>
  <c r="B2859" i="1"/>
  <c r="E2859" i="1" s="1"/>
  <c r="B2860" i="1"/>
  <c r="E2860" i="1" s="1"/>
  <c r="B2861" i="1"/>
  <c r="E2861" i="1" s="1"/>
  <c r="B2862" i="1"/>
  <c r="E2862" i="1" s="1"/>
  <c r="B2863" i="1"/>
  <c r="E2863" i="1" s="1"/>
  <c r="B2864" i="1"/>
  <c r="E2864" i="1" s="1"/>
  <c r="B2865" i="1"/>
  <c r="E2865" i="1" s="1"/>
  <c r="B2866" i="1"/>
  <c r="E2866" i="1" s="1"/>
  <c r="B2867" i="1"/>
  <c r="E2867" i="1" s="1"/>
  <c r="B2868" i="1"/>
  <c r="E2868" i="1" s="1"/>
  <c r="B2869" i="1"/>
  <c r="E2869" i="1" s="1"/>
  <c r="B2870" i="1"/>
  <c r="E2870" i="1" s="1"/>
  <c r="B2871" i="1"/>
  <c r="E2871" i="1" s="1"/>
  <c r="B2872" i="1"/>
  <c r="E2872" i="1" s="1"/>
  <c r="B2873" i="1"/>
  <c r="E2873" i="1" s="1"/>
  <c r="B2874" i="1"/>
  <c r="E2874" i="1" s="1"/>
  <c r="B2875" i="1"/>
  <c r="E2875" i="1" s="1"/>
  <c r="B2876" i="1"/>
  <c r="E2876" i="1" s="1"/>
  <c r="B2877" i="1"/>
  <c r="E2877" i="1" s="1"/>
  <c r="B2878" i="1"/>
  <c r="E2878" i="1" s="1"/>
  <c r="B2879" i="1"/>
  <c r="E2879" i="1" s="1"/>
  <c r="B2880" i="1"/>
  <c r="E2880" i="1" s="1"/>
  <c r="B2881" i="1"/>
  <c r="E2881" i="1" s="1"/>
  <c r="B2882" i="1"/>
  <c r="E2882" i="1" s="1"/>
  <c r="B2883" i="1"/>
  <c r="E2883" i="1" s="1"/>
  <c r="B2884" i="1"/>
  <c r="E2884" i="1" s="1"/>
  <c r="B2885" i="1"/>
  <c r="E2885" i="1" s="1"/>
  <c r="B2886" i="1"/>
  <c r="E2886" i="1" s="1"/>
  <c r="B2887" i="1"/>
  <c r="E2887" i="1" s="1"/>
  <c r="B2888" i="1"/>
  <c r="E2888" i="1" s="1"/>
  <c r="B2889" i="1"/>
  <c r="E2889" i="1" s="1"/>
  <c r="B2890" i="1"/>
  <c r="E2890" i="1" s="1"/>
  <c r="B2891" i="1"/>
  <c r="E2891" i="1" s="1"/>
  <c r="B2892" i="1"/>
  <c r="E2892" i="1" s="1"/>
  <c r="B2893" i="1"/>
  <c r="E2893" i="1" s="1"/>
  <c r="B2894" i="1"/>
  <c r="E2894" i="1" s="1"/>
  <c r="B2895" i="1"/>
  <c r="E2895" i="1" s="1"/>
  <c r="B2896" i="1"/>
  <c r="E2896" i="1" s="1"/>
  <c r="B2897" i="1"/>
  <c r="E2897" i="1" s="1"/>
  <c r="B2898" i="1"/>
  <c r="E2898" i="1" s="1"/>
  <c r="B2899" i="1"/>
  <c r="E2899" i="1" s="1"/>
  <c r="B2900" i="1"/>
  <c r="E2900" i="1" s="1"/>
  <c r="B2901" i="1"/>
  <c r="E2901" i="1" s="1"/>
  <c r="B2902" i="1"/>
  <c r="E2902" i="1" s="1"/>
  <c r="B2903" i="1"/>
  <c r="E2903" i="1" s="1"/>
  <c r="B2904" i="1"/>
  <c r="E2904" i="1" s="1"/>
  <c r="B2905" i="1"/>
  <c r="E2905" i="1" s="1"/>
  <c r="B2906" i="1"/>
  <c r="E2906" i="1" s="1"/>
  <c r="B2907" i="1"/>
  <c r="E2907" i="1" s="1"/>
  <c r="B2908" i="1"/>
  <c r="E2908" i="1" s="1"/>
  <c r="B2909" i="1"/>
  <c r="E2909" i="1" s="1"/>
  <c r="B2910" i="1"/>
  <c r="E2910" i="1" s="1"/>
  <c r="B2911" i="1"/>
  <c r="E2911" i="1" s="1"/>
  <c r="B2912" i="1"/>
  <c r="E2912" i="1" s="1"/>
  <c r="B2913" i="1"/>
  <c r="E2913" i="1" s="1"/>
  <c r="B2914" i="1"/>
  <c r="E2914" i="1" s="1"/>
  <c r="B2915" i="1"/>
  <c r="E2915" i="1" s="1"/>
  <c r="B2916" i="1"/>
  <c r="E2916" i="1" s="1"/>
  <c r="B2917" i="1"/>
  <c r="E2917" i="1" s="1"/>
  <c r="B2918" i="1"/>
  <c r="E2918" i="1" s="1"/>
  <c r="B2919" i="1"/>
  <c r="E2919" i="1" s="1"/>
  <c r="B2920" i="1"/>
  <c r="E2920" i="1" s="1"/>
  <c r="B2921" i="1"/>
  <c r="E2921" i="1" s="1"/>
  <c r="B2922" i="1"/>
  <c r="E2922" i="1" s="1"/>
  <c r="B2923" i="1"/>
  <c r="E2923" i="1" s="1"/>
  <c r="B2924" i="1"/>
  <c r="E2924" i="1" s="1"/>
  <c r="B2925" i="1"/>
  <c r="E2925" i="1" s="1"/>
  <c r="B2926" i="1"/>
  <c r="E2926" i="1" s="1"/>
  <c r="B2927" i="1"/>
  <c r="E2927" i="1" s="1"/>
  <c r="B2928" i="1"/>
  <c r="E2928" i="1" s="1"/>
  <c r="B2929" i="1"/>
  <c r="E2929" i="1" s="1"/>
  <c r="B2930" i="1"/>
  <c r="E2930" i="1" s="1"/>
  <c r="B2931" i="1"/>
  <c r="E2931" i="1" s="1"/>
  <c r="B2932" i="1"/>
  <c r="E2932" i="1" s="1"/>
  <c r="B2933" i="1"/>
  <c r="E2933" i="1" s="1"/>
  <c r="B2934" i="1"/>
  <c r="E2934" i="1" s="1"/>
  <c r="B2935" i="1"/>
  <c r="E2935" i="1" s="1"/>
  <c r="B2936" i="1"/>
  <c r="E2936" i="1" s="1"/>
  <c r="B2937" i="1"/>
  <c r="E2937" i="1" s="1"/>
  <c r="B2938" i="1"/>
  <c r="E2938" i="1" s="1"/>
  <c r="B2939" i="1"/>
  <c r="E2939" i="1" s="1"/>
  <c r="B2940" i="1"/>
  <c r="E2940" i="1" s="1"/>
  <c r="B2941" i="1"/>
  <c r="E2941" i="1" s="1"/>
  <c r="B2942" i="1"/>
  <c r="E2942" i="1" s="1"/>
  <c r="B2943" i="1"/>
  <c r="E2943" i="1" s="1"/>
  <c r="B2944" i="1"/>
  <c r="E2944" i="1" s="1"/>
  <c r="B2945" i="1"/>
  <c r="E2945" i="1" s="1"/>
  <c r="B2946" i="1"/>
  <c r="E2946" i="1" s="1"/>
  <c r="B2947" i="1"/>
  <c r="E2947" i="1" s="1"/>
  <c r="B2948" i="1"/>
  <c r="E2948" i="1" s="1"/>
  <c r="B2949" i="1"/>
  <c r="E2949" i="1" s="1"/>
  <c r="B2950" i="1"/>
  <c r="E2950" i="1" s="1"/>
  <c r="B2951" i="1"/>
  <c r="E2951" i="1" s="1"/>
  <c r="B2952" i="1"/>
  <c r="E2952" i="1" s="1"/>
  <c r="B2953" i="1"/>
  <c r="E2953" i="1" s="1"/>
  <c r="B2954" i="1"/>
  <c r="E2954" i="1" s="1"/>
  <c r="B2955" i="1"/>
  <c r="E2955" i="1" s="1"/>
  <c r="B2956" i="1"/>
  <c r="E2956" i="1" s="1"/>
  <c r="B2957" i="1"/>
  <c r="E2957" i="1" s="1"/>
  <c r="B2958" i="1"/>
  <c r="E2958" i="1" s="1"/>
  <c r="B2959" i="1"/>
  <c r="E2959" i="1" s="1"/>
  <c r="B2960" i="1"/>
  <c r="E2960" i="1" s="1"/>
  <c r="B2961" i="1"/>
  <c r="E2961" i="1" s="1"/>
  <c r="B2962" i="1"/>
  <c r="E2962" i="1" s="1"/>
  <c r="B2963" i="1"/>
  <c r="E2963" i="1" s="1"/>
  <c r="B2964" i="1"/>
  <c r="E2964" i="1" s="1"/>
  <c r="B2965" i="1"/>
  <c r="E2965" i="1" s="1"/>
  <c r="B2966" i="1"/>
  <c r="E2966" i="1" s="1"/>
  <c r="B2967" i="1"/>
  <c r="E2967" i="1" s="1"/>
  <c r="B2968" i="1"/>
  <c r="E2968" i="1" s="1"/>
  <c r="B2969" i="1"/>
  <c r="E2969" i="1" s="1"/>
  <c r="B2970" i="1"/>
  <c r="E2970" i="1" s="1"/>
  <c r="B2971" i="1"/>
  <c r="E2971" i="1" s="1"/>
  <c r="B2972" i="1"/>
  <c r="E2972" i="1" s="1"/>
  <c r="B2973" i="1"/>
  <c r="E2973" i="1" s="1"/>
  <c r="B2974" i="1"/>
  <c r="E2974" i="1" s="1"/>
  <c r="B2975" i="1"/>
  <c r="E2975" i="1" s="1"/>
  <c r="B2976" i="1"/>
  <c r="E2976" i="1" s="1"/>
  <c r="B2977" i="1"/>
  <c r="E2977" i="1" s="1"/>
  <c r="B2978" i="1"/>
  <c r="E2978" i="1" s="1"/>
  <c r="B2979" i="1"/>
  <c r="E2979" i="1" s="1"/>
  <c r="B2980" i="1"/>
  <c r="E2980" i="1" s="1"/>
  <c r="B2981" i="1"/>
  <c r="E2981" i="1" s="1"/>
  <c r="B2982" i="1"/>
  <c r="E2982" i="1" s="1"/>
  <c r="B2983" i="1"/>
  <c r="E2983" i="1" s="1"/>
  <c r="B2984" i="1"/>
  <c r="E2984" i="1" s="1"/>
  <c r="B2985" i="1"/>
  <c r="E2985" i="1" s="1"/>
  <c r="B2986" i="1"/>
  <c r="E2986" i="1" s="1"/>
  <c r="B2987" i="1"/>
  <c r="E2987" i="1" s="1"/>
  <c r="B2988" i="1"/>
  <c r="E2988" i="1" s="1"/>
  <c r="B2989" i="1"/>
  <c r="E2989" i="1" s="1"/>
  <c r="B2990" i="1"/>
  <c r="E2990" i="1" s="1"/>
  <c r="B2991" i="1"/>
  <c r="E2991" i="1" s="1"/>
  <c r="B2992" i="1"/>
  <c r="E2992" i="1" s="1"/>
  <c r="B2993" i="1"/>
  <c r="E2993" i="1" s="1"/>
  <c r="B2994" i="1"/>
  <c r="E2994" i="1" s="1"/>
  <c r="B2995" i="1"/>
  <c r="E2995" i="1" s="1"/>
  <c r="B2996" i="1"/>
  <c r="E2996" i="1" s="1"/>
  <c r="B2997" i="1"/>
  <c r="E2997" i="1" s="1"/>
  <c r="B2998" i="1"/>
  <c r="E2998" i="1" s="1"/>
  <c r="B2999" i="1"/>
  <c r="E2999" i="1" s="1"/>
  <c r="B3000" i="1"/>
  <c r="E3000" i="1" s="1"/>
  <c r="B3001" i="1"/>
  <c r="E3001" i="1" s="1"/>
  <c r="B3002" i="1"/>
  <c r="E3002" i="1" s="1"/>
  <c r="B3003" i="1"/>
  <c r="E3003" i="1" s="1"/>
  <c r="B3004" i="1"/>
  <c r="E3004" i="1" s="1"/>
  <c r="B3005" i="1"/>
  <c r="E3005" i="1" s="1"/>
  <c r="B3006" i="1"/>
  <c r="E3006" i="1" s="1"/>
  <c r="B3007" i="1"/>
  <c r="E3007" i="1" s="1"/>
  <c r="B3008" i="1"/>
  <c r="E3008" i="1" s="1"/>
  <c r="B3009" i="1"/>
  <c r="E3009" i="1" s="1"/>
  <c r="B3010" i="1"/>
  <c r="E3010" i="1" s="1"/>
  <c r="B3011" i="1"/>
  <c r="E3011" i="1" s="1"/>
  <c r="B3012" i="1"/>
  <c r="E3012" i="1" s="1"/>
  <c r="B3013" i="1"/>
  <c r="E3013" i="1" s="1"/>
  <c r="B3014" i="1"/>
  <c r="E3014" i="1" s="1"/>
  <c r="B3015" i="1"/>
  <c r="E3015" i="1" s="1"/>
  <c r="B3016" i="1"/>
  <c r="E3016" i="1" s="1"/>
  <c r="B3017" i="1"/>
  <c r="E3017" i="1" s="1"/>
  <c r="B3018" i="1"/>
  <c r="E3018" i="1" s="1"/>
  <c r="B3019" i="1"/>
  <c r="E3019" i="1" s="1"/>
  <c r="B3020" i="1"/>
  <c r="E3020" i="1" s="1"/>
  <c r="B3021" i="1"/>
  <c r="E3021" i="1" s="1"/>
  <c r="B3022" i="1"/>
  <c r="E3022" i="1" s="1"/>
  <c r="B3023" i="1"/>
  <c r="E3023" i="1" s="1"/>
  <c r="B3024" i="1"/>
  <c r="E3024" i="1" s="1"/>
  <c r="B3025" i="1"/>
  <c r="E3025" i="1" s="1"/>
  <c r="B3026" i="1"/>
  <c r="E3026" i="1" s="1"/>
  <c r="B3027" i="1"/>
  <c r="E3027" i="1" s="1"/>
  <c r="B3028" i="1"/>
  <c r="E3028" i="1" s="1"/>
  <c r="B3029" i="1"/>
  <c r="E3029" i="1" s="1"/>
  <c r="B3030" i="1"/>
  <c r="E3030" i="1" s="1"/>
  <c r="B3031" i="1"/>
  <c r="E3031" i="1" s="1"/>
  <c r="B3032" i="1"/>
  <c r="E3032" i="1" s="1"/>
  <c r="B3033" i="1"/>
  <c r="E3033" i="1" s="1"/>
  <c r="B3034" i="1"/>
  <c r="E3034" i="1" s="1"/>
  <c r="B3035" i="1"/>
  <c r="E3035" i="1" s="1"/>
  <c r="B3036" i="1"/>
  <c r="E3036" i="1" s="1"/>
  <c r="B3037" i="1"/>
  <c r="E3037" i="1" s="1"/>
  <c r="B3038" i="1"/>
  <c r="E3038" i="1" s="1"/>
  <c r="B3039" i="1"/>
  <c r="E3039" i="1" s="1"/>
  <c r="B3040" i="1"/>
  <c r="E3040" i="1" s="1"/>
  <c r="B3041" i="1"/>
  <c r="E3041" i="1" s="1"/>
  <c r="B3042" i="1"/>
  <c r="E3042" i="1" s="1"/>
  <c r="B3043" i="1"/>
  <c r="E3043" i="1" s="1"/>
  <c r="B3044" i="1"/>
  <c r="E3044" i="1" s="1"/>
  <c r="B3045" i="1"/>
  <c r="E3045" i="1" s="1"/>
  <c r="B3046" i="1"/>
  <c r="E3046" i="1" s="1"/>
  <c r="B3047" i="1"/>
  <c r="E3047" i="1" s="1"/>
  <c r="B3048" i="1"/>
  <c r="E3048" i="1" s="1"/>
  <c r="B3049" i="1"/>
  <c r="E3049" i="1" s="1"/>
  <c r="B3050" i="1"/>
  <c r="E3050" i="1" s="1"/>
  <c r="B3051" i="1"/>
  <c r="E3051" i="1" s="1"/>
  <c r="B3052" i="1"/>
  <c r="E3052" i="1" s="1"/>
  <c r="B3053" i="1"/>
  <c r="E3053" i="1" s="1"/>
  <c r="B3054" i="1"/>
  <c r="E3054" i="1" s="1"/>
  <c r="B3055" i="1"/>
  <c r="E3055" i="1" s="1"/>
  <c r="B3056" i="1"/>
  <c r="E3056" i="1" s="1"/>
  <c r="B3057" i="1"/>
  <c r="E3057" i="1" s="1"/>
  <c r="B3058" i="1"/>
  <c r="E3058" i="1" s="1"/>
  <c r="B3059" i="1"/>
  <c r="E3059" i="1" s="1"/>
  <c r="B3060" i="1"/>
  <c r="E3060" i="1" s="1"/>
  <c r="B3061" i="1"/>
  <c r="E3061" i="1" s="1"/>
  <c r="B3062" i="1"/>
  <c r="E3062" i="1" s="1"/>
  <c r="B3063" i="1"/>
  <c r="E3063" i="1" s="1"/>
  <c r="B3064" i="1"/>
  <c r="E3064" i="1" s="1"/>
  <c r="B3065" i="1"/>
  <c r="E3065" i="1" s="1"/>
  <c r="B3066" i="1"/>
  <c r="E3066" i="1" s="1"/>
  <c r="B3067" i="1"/>
  <c r="E3067" i="1" s="1"/>
  <c r="B3068" i="1"/>
  <c r="E3068" i="1" s="1"/>
  <c r="B3069" i="1"/>
  <c r="E3069" i="1" s="1"/>
  <c r="B3070" i="1"/>
  <c r="E3070" i="1" s="1"/>
  <c r="B3071" i="1"/>
  <c r="E3071" i="1" s="1"/>
  <c r="B3072" i="1"/>
  <c r="E3072" i="1" s="1"/>
  <c r="B3073" i="1"/>
  <c r="E3073" i="1" s="1"/>
  <c r="B3074" i="1"/>
  <c r="E3074" i="1" s="1"/>
  <c r="B3075" i="1"/>
  <c r="E3075" i="1" s="1"/>
  <c r="B3076" i="1"/>
  <c r="E3076" i="1" s="1"/>
  <c r="B3077" i="1"/>
  <c r="E3077" i="1" s="1"/>
  <c r="B3078" i="1"/>
  <c r="E3078" i="1" s="1"/>
  <c r="B3079" i="1"/>
  <c r="E3079" i="1" s="1"/>
  <c r="B3080" i="1"/>
  <c r="E3080" i="1" s="1"/>
  <c r="B3081" i="1"/>
  <c r="E3081" i="1" s="1"/>
  <c r="B3082" i="1"/>
  <c r="E3082" i="1" s="1"/>
  <c r="B3083" i="1"/>
  <c r="E3083" i="1" s="1"/>
  <c r="B3084" i="1"/>
  <c r="E3084" i="1" s="1"/>
  <c r="B3085" i="1"/>
  <c r="E3085" i="1" s="1"/>
  <c r="B3086" i="1"/>
  <c r="E3086" i="1" s="1"/>
  <c r="B3087" i="1"/>
  <c r="E3087" i="1" s="1"/>
  <c r="B3088" i="1"/>
  <c r="E3088" i="1" s="1"/>
  <c r="B3089" i="1"/>
  <c r="E3089" i="1" s="1"/>
  <c r="B3090" i="1"/>
  <c r="E3090" i="1" s="1"/>
  <c r="B3091" i="1"/>
  <c r="E3091" i="1" s="1"/>
  <c r="B3092" i="1"/>
  <c r="E3092" i="1" s="1"/>
  <c r="B3093" i="1"/>
  <c r="E3093" i="1" s="1"/>
  <c r="B3094" i="1"/>
  <c r="E3094" i="1" s="1"/>
  <c r="B3095" i="1"/>
  <c r="E3095" i="1" s="1"/>
  <c r="B3096" i="1"/>
  <c r="E3096" i="1" s="1"/>
  <c r="B3097" i="1"/>
  <c r="E3097" i="1" s="1"/>
  <c r="B3098" i="1"/>
  <c r="E3098" i="1" s="1"/>
  <c r="B3099" i="1"/>
  <c r="E3099" i="1" s="1"/>
  <c r="B3100" i="1"/>
  <c r="E3100" i="1" s="1"/>
  <c r="B3101" i="1"/>
  <c r="E3101" i="1" s="1"/>
  <c r="B3102" i="1"/>
  <c r="E3102" i="1" s="1"/>
  <c r="B3103" i="1"/>
  <c r="E3103" i="1" s="1"/>
  <c r="B3104" i="1"/>
  <c r="E3104" i="1" s="1"/>
  <c r="B3105" i="1"/>
  <c r="E3105" i="1" s="1"/>
  <c r="B3106" i="1"/>
  <c r="E3106" i="1" s="1"/>
  <c r="B3107" i="1"/>
  <c r="E3107" i="1" s="1"/>
  <c r="B3108" i="1"/>
  <c r="E3108" i="1" s="1"/>
  <c r="B3109" i="1"/>
  <c r="E3109" i="1" s="1"/>
  <c r="B3110" i="1"/>
  <c r="E3110" i="1" s="1"/>
  <c r="B3111" i="1"/>
  <c r="E3111" i="1" s="1"/>
  <c r="B3112" i="1"/>
  <c r="E3112" i="1" s="1"/>
  <c r="B3113" i="1"/>
  <c r="E3113" i="1" s="1"/>
  <c r="B3114" i="1"/>
  <c r="E3114" i="1" s="1"/>
  <c r="B3115" i="1"/>
  <c r="E3115" i="1" s="1"/>
  <c r="B3116" i="1"/>
  <c r="E3116" i="1" s="1"/>
  <c r="B3117" i="1"/>
  <c r="E3117" i="1" s="1"/>
  <c r="B3118" i="1"/>
  <c r="E3118" i="1" s="1"/>
  <c r="B3119" i="1"/>
  <c r="E3119" i="1" s="1"/>
  <c r="B3120" i="1"/>
  <c r="E3120" i="1" s="1"/>
  <c r="B3121" i="1"/>
  <c r="E3121" i="1" s="1"/>
  <c r="B3122" i="1"/>
  <c r="E3122" i="1" s="1"/>
  <c r="B3123" i="1"/>
  <c r="E3123" i="1" s="1"/>
  <c r="B3124" i="1"/>
  <c r="E3124" i="1" s="1"/>
  <c r="B3125" i="1"/>
  <c r="E3125" i="1" s="1"/>
  <c r="B3126" i="1"/>
  <c r="E3126" i="1" s="1"/>
  <c r="B3127" i="1"/>
  <c r="E3127" i="1" s="1"/>
  <c r="B3128" i="1"/>
  <c r="E3128" i="1" s="1"/>
  <c r="B3129" i="1"/>
  <c r="E3129" i="1" s="1"/>
  <c r="B3130" i="1"/>
  <c r="E3130" i="1" s="1"/>
  <c r="B3131" i="1"/>
  <c r="E3131" i="1" s="1"/>
  <c r="B3132" i="1"/>
  <c r="E3132" i="1" s="1"/>
  <c r="B3133" i="1"/>
  <c r="E3133" i="1" s="1"/>
  <c r="B3134" i="1"/>
  <c r="E3134" i="1" s="1"/>
  <c r="B3135" i="1"/>
  <c r="E3135" i="1" s="1"/>
  <c r="B3136" i="1"/>
  <c r="E3136" i="1" s="1"/>
  <c r="B3137" i="1"/>
  <c r="E3137" i="1" s="1"/>
  <c r="B3138" i="1"/>
  <c r="E3138" i="1" s="1"/>
  <c r="B3139" i="1"/>
  <c r="E3139" i="1" s="1"/>
  <c r="B3140" i="1"/>
  <c r="E3140" i="1" s="1"/>
  <c r="B3141" i="1"/>
  <c r="E3141" i="1" s="1"/>
  <c r="B3142" i="1"/>
  <c r="E3142" i="1" s="1"/>
  <c r="B3143" i="1"/>
  <c r="E3143" i="1" s="1"/>
  <c r="B3144" i="1"/>
  <c r="E3144" i="1" s="1"/>
  <c r="B3145" i="1"/>
  <c r="E3145" i="1" s="1"/>
  <c r="B3146" i="1"/>
  <c r="E3146" i="1" s="1"/>
  <c r="B3147" i="1"/>
  <c r="E3147" i="1" s="1"/>
  <c r="B3148" i="1"/>
  <c r="E3148" i="1" s="1"/>
  <c r="B3149" i="1"/>
  <c r="E3149" i="1" s="1"/>
  <c r="B3150" i="1"/>
  <c r="E3150" i="1" s="1"/>
  <c r="B3151" i="1"/>
  <c r="E3151" i="1" s="1"/>
  <c r="B3152" i="1"/>
  <c r="E3152" i="1" s="1"/>
  <c r="B3153" i="1"/>
  <c r="E3153" i="1" s="1"/>
  <c r="B3154" i="1"/>
  <c r="E3154" i="1" s="1"/>
  <c r="B3155" i="1"/>
  <c r="E3155" i="1" s="1"/>
  <c r="B3156" i="1"/>
  <c r="E3156" i="1" s="1"/>
  <c r="B3157" i="1"/>
  <c r="E3157" i="1" s="1"/>
  <c r="B3158" i="1"/>
  <c r="E3158" i="1" s="1"/>
  <c r="B3159" i="1"/>
  <c r="E3159" i="1" s="1"/>
  <c r="B3160" i="1"/>
  <c r="E3160" i="1" s="1"/>
  <c r="B3161" i="1"/>
  <c r="E3161" i="1" s="1"/>
  <c r="B3162" i="1"/>
  <c r="E3162" i="1" s="1"/>
  <c r="B3163" i="1"/>
  <c r="E3163" i="1" s="1"/>
  <c r="B3164" i="1"/>
  <c r="E3164" i="1" s="1"/>
  <c r="B3165" i="1"/>
  <c r="E3165" i="1" s="1"/>
  <c r="B3166" i="1"/>
  <c r="E3166" i="1" s="1"/>
  <c r="B3167" i="1"/>
  <c r="E3167" i="1" s="1"/>
  <c r="B3168" i="1"/>
  <c r="E3168" i="1" s="1"/>
  <c r="B3169" i="1"/>
  <c r="E3169" i="1" s="1"/>
  <c r="B3170" i="1"/>
  <c r="E3170" i="1" s="1"/>
  <c r="B3171" i="1"/>
  <c r="E3171" i="1" s="1"/>
  <c r="B3172" i="1"/>
  <c r="E3172" i="1" s="1"/>
  <c r="B3173" i="1"/>
  <c r="E3173" i="1" s="1"/>
  <c r="B3174" i="1"/>
  <c r="E3174" i="1" s="1"/>
  <c r="B3175" i="1"/>
  <c r="E3175" i="1" s="1"/>
  <c r="B3176" i="1"/>
  <c r="E3176" i="1" s="1"/>
  <c r="B3177" i="1"/>
  <c r="E3177" i="1" s="1"/>
  <c r="B3178" i="1"/>
  <c r="E3178" i="1" s="1"/>
  <c r="B3179" i="1"/>
  <c r="E3179" i="1" s="1"/>
  <c r="B3180" i="1"/>
  <c r="E3180" i="1" s="1"/>
  <c r="B3181" i="1"/>
  <c r="E3181" i="1" s="1"/>
  <c r="B3182" i="1"/>
  <c r="E3182" i="1" s="1"/>
  <c r="B3183" i="1"/>
  <c r="E3183" i="1" s="1"/>
  <c r="B3184" i="1"/>
  <c r="E3184" i="1" s="1"/>
  <c r="B3185" i="1"/>
  <c r="E3185" i="1" s="1"/>
  <c r="B3186" i="1"/>
  <c r="E3186" i="1" s="1"/>
  <c r="B3187" i="1"/>
  <c r="E3187" i="1" s="1"/>
  <c r="B3188" i="1"/>
  <c r="E3188" i="1" s="1"/>
  <c r="B3189" i="1"/>
  <c r="E3189" i="1" s="1"/>
  <c r="B3190" i="1"/>
  <c r="E3190" i="1" s="1"/>
  <c r="B3191" i="1"/>
  <c r="E3191" i="1" s="1"/>
  <c r="B3192" i="1"/>
  <c r="E3192" i="1" s="1"/>
  <c r="B3193" i="1"/>
  <c r="E3193" i="1" s="1"/>
  <c r="B3194" i="1"/>
  <c r="E3194" i="1" s="1"/>
  <c r="B3195" i="1"/>
  <c r="E3195" i="1" s="1"/>
  <c r="B3196" i="1"/>
  <c r="E3196" i="1" s="1"/>
  <c r="B3197" i="1"/>
  <c r="E3197" i="1" s="1"/>
  <c r="B3198" i="1"/>
  <c r="E3198" i="1" s="1"/>
  <c r="B3199" i="1"/>
  <c r="E3199" i="1" s="1"/>
  <c r="B3200" i="1"/>
  <c r="E3200" i="1" s="1"/>
  <c r="B3201" i="1"/>
  <c r="E3201" i="1" s="1"/>
  <c r="B3202" i="1"/>
  <c r="E3202" i="1" s="1"/>
  <c r="B3203" i="1"/>
  <c r="E3203" i="1" s="1"/>
  <c r="B3204" i="1"/>
  <c r="E3204" i="1" s="1"/>
  <c r="B3205" i="1"/>
  <c r="E3205" i="1" s="1"/>
  <c r="B3206" i="1"/>
  <c r="E3206" i="1" s="1"/>
  <c r="B3207" i="1"/>
  <c r="E3207" i="1" s="1"/>
  <c r="B3208" i="1"/>
  <c r="E3208" i="1" s="1"/>
  <c r="B3209" i="1"/>
  <c r="E3209" i="1" s="1"/>
  <c r="B3210" i="1"/>
  <c r="E3210" i="1" s="1"/>
  <c r="B3211" i="1"/>
  <c r="E3211" i="1" s="1"/>
  <c r="B3212" i="1"/>
  <c r="E3212" i="1" s="1"/>
  <c r="B3213" i="1"/>
  <c r="E3213" i="1" s="1"/>
  <c r="B3214" i="1"/>
  <c r="E3214" i="1" s="1"/>
  <c r="B3215" i="1"/>
  <c r="E3215" i="1" s="1"/>
  <c r="B3216" i="1"/>
  <c r="E3216" i="1" s="1"/>
  <c r="B3217" i="1"/>
  <c r="E3217" i="1" s="1"/>
  <c r="B3218" i="1"/>
  <c r="E3218" i="1" s="1"/>
  <c r="B3219" i="1"/>
  <c r="E3219" i="1" s="1"/>
  <c r="B3220" i="1"/>
  <c r="E3220" i="1" s="1"/>
  <c r="B3221" i="1"/>
  <c r="E3221" i="1" s="1"/>
  <c r="B3222" i="1"/>
  <c r="E3222" i="1" s="1"/>
  <c r="B3223" i="1"/>
  <c r="E3223" i="1" s="1"/>
  <c r="B3224" i="1"/>
  <c r="E3224" i="1" s="1"/>
  <c r="B3225" i="1"/>
  <c r="E3225" i="1" s="1"/>
  <c r="B3226" i="1"/>
  <c r="E3226" i="1" s="1"/>
  <c r="B3227" i="1"/>
  <c r="E3227" i="1" s="1"/>
  <c r="B3228" i="1"/>
  <c r="E3228" i="1" s="1"/>
  <c r="B3229" i="1"/>
  <c r="E3229" i="1" s="1"/>
  <c r="B3230" i="1"/>
  <c r="E3230" i="1" s="1"/>
  <c r="B3231" i="1"/>
  <c r="E3231" i="1" s="1"/>
  <c r="B3232" i="1"/>
  <c r="E3232" i="1" s="1"/>
  <c r="B3233" i="1"/>
  <c r="E3233" i="1" s="1"/>
  <c r="B3234" i="1"/>
  <c r="E3234" i="1" s="1"/>
  <c r="B3235" i="1"/>
  <c r="E3235" i="1" s="1"/>
  <c r="B3236" i="1"/>
  <c r="E3236" i="1" s="1"/>
  <c r="B3237" i="1"/>
  <c r="E3237" i="1" s="1"/>
  <c r="B3238" i="1"/>
  <c r="E3238" i="1" s="1"/>
  <c r="B3239" i="1"/>
  <c r="E3239" i="1" s="1"/>
  <c r="B3240" i="1"/>
  <c r="E3240" i="1" s="1"/>
  <c r="B3241" i="1"/>
  <c r="E3241" i="1" s="1"/>
  <c r="B3242" i="1"/>
  <c r="E3242" i="1" s="1"/>
  <c r="B3243" i="1"/>
  <c r="E3243" i="1" s="1"/>
  <c r="B3244" i="1"/>
  <c r="E3244" i="1" s="1"/>
  <c r="B3245" i="1"/>
  <c r="E3245" i="1" s="1"/>
  <c r="B3246" i="1"/>
  <c r="E3246" i="1" s="1"/>
  <c r="B3247" i="1"/>
  <c r="E3247" i="1" s="1"/>
  <c r="B3248" i="1"/>
  <c r="E3248" i="1" s="1"/>
  <c r="B3249" i="1"/>
  <c r="E3249" i="1" s="1"/>
  <c r="B3250" i="1"/>
  <c r="E3250" i="1" s="1"/>
  <c r="B3251" i="1"/>
  <c r="E3251" i="1" s="1"/>
  <c r="B3252" i="1"/>
  <c r="E3252" i="1" s="1"/>
  <c r="B3253" i="1"/>
  <c r="E3253" i="1" s="1"/>
  <c r="B3254" i="1"/>
  <c r="E3254" i="1" s="1"/>
  <c r="B3255" i="1"/>
  <c r="E3255" i="1" s="1"/>
  <c r="B3256" i="1"/>
  <c r="E3256" i="1" s="1"/>
  <c r="B3257" i="1"/>
  <c r="E3257" i="1" s="1"/>
  <c r="B3258" i="1"/>
  <c r="E3258" i="1" s="1"/>
  <c r="B3259" i="1"/>
  <c r="E3259" i="1" s="1"/>
  <c r="B3260" i="1"/>
  <c r="E3260" i="1" s="1"/>
  <c r="B3261" i="1"/>
  <c r="E3261" i="1" s="1"/>
  <c r="B3262" i="1"/>
  <c r="E3262" i="1" s="1"/>
  <c r="B3263" i="1"/>
  <c r="E3263" i="1" s="1"/>
  <c r="B3264" i="1"/>
  <c r="E3264" i="1" s="1"/>
  <c r="B3265" i="1"/>
  <c r="E3265" i="1" s="1"/>
  <c r="B3266" i="1"/>
  <c r="E3266" i="1" s="1"/>
  <c r="B3267" i="1"/>
  <c r="E3267" i="1" s="1"/>
  <c r="B3268" i="1"/>
  <c r="E3268" i="1" s="1"/>
  <c r="B3269" i="1"/>
  <c r="E3269" i="1" s="1"/>
  <c r="B3270" i="1"/>
  <c r="E3270" i="1" s="1"/>
  <c r="B3271" i="1"/>
  <c r="E3271" i="1" s="1"/>
  <c r="B3272" i="1"/>
  <c r="E3272" i="1" s="1"/>
  <c r="B3273" i="1"/>
  <c r="E3273" i="1" s="1"/>
  <c r="B3274" i="1"/>
  <c r="E3274" i="1" s="1"/>
  <c r="B3275" i="1"/>
  <c r="E3275" i="1" s="1"/>
  <c r="B3276" i="1"/>
  <c r="E3276" i="1" s="1"/>
  <c r="B3277" i="1"/>
  <c r="E3277" i="1" s="1"/>
  <c r="B3278" i="1"/>
  <c r="E3278" i="1" s="1"/>
  <c r="B3279" i="1"/>
  <c r="E3279" i="1" s="1"/>
  <c r="B3280" i="1"/>
  <c r="E3280" i="1" s="1"/>
  <c r="B3281" i="1"/>
  <c r="E3281" i="1" s="1"/>
  <c r="B3282" i="1"/>
  <c r="E3282" i="1" s="1"/>
  <c r="B3283" i="1"/>
  <c r="E3283" i="1" s="1"/>
  <c r="B3284" i="1"/>
  <c r="E3284" i="1" s="1"/>
  <c r="B3285" i="1"/>
  <c r="E3285" i="1" s="1"/>
  <c r="B3286" i="1"/>
  <c r="E3286" i="1" s="1"/>
  <c r="B3287" i="1"/>
  <c r="E3287" i="1" s="1"/>
  <c r="B3288" i="1"/>
  <c r="E3288" i="1" s="1"/>
  <c r="B3289" i="1"/>
  <c r="E3289" i="1" s="1"/>
  <c r="B3290" i="1"/>
  <c r="E3290" i="1" s="1"/>
  <c r="B3291" i="1"/>
  <c r="E3291" i="1" s="1"/>
  <c r="B3292" i="1"/>
  <c r="E3292" i="1" s="1"/>
  <c r="B3293" i="1"/>
  <c r="E3293" i="1" s="1"/>
  <c r="B3294" i="1"/>
  <c r="E3294" i="1" s="1"/>
  <c r="B3295" i="1"/>
  <c r="E3295" i="1" s="1"/>
  <c r="B3296" i="1"/>
  <c r="E3296" i="1" s="1"/>
  <c r="B3297" i="1"/>
  <c r="E3297" i="1" s="1"/>
  <c r="B3298" i="1"/>
  <c r="E3298" i="1" s="1"/>
  <c r="B3299" i="1"/>
  <c r="E3299" i="1" s="1"/>
  <c r="B3300" i="1"/>
  <c r="E3300" i="1" s="1"/>
  <c r="B3301" i="1"/>
  <c r="E3301" i="1" s="1"/>
  <c r="B3302" i="1"/>
  <c r="E3302" i="1" s="1"/>
  <c r="B3303" i="1"/>
  <c r="E3303" i="1" s="1"/>
  <c r="B3304" i="1"/>
  <c r="E3304" i="1" s="1"/>
  <c r="B3305" i="1"/>
  <c r="E3305" i="1" s="1"/>
  <c r="B3306" i="1"/>
  <c r="E3306" i="1" s="1"/>
  <c r="B3307" i="1"/>
  <c r="E3307" i="1" s="1"/>
  <c r="B3308" i="1"/>
  <c r="E3308" i="1" s="1"/>
  <c r="B3309" i="1"/>
  <c r="E3309" i="1" s="1"/>
  <c r="B3310" i="1"/>
  <c r="E3310" i="1" s="1"/>
  <c r="B3311" i="1"/>
  <c r="E3311" i="1" s="1"/>
  <c r="B3312" i="1"/>
  <c r="E3312" i="1" s="1"/>
  <c r="B3313" i="1"/>
  <c r="E3313" i="1" s="1"/>
  <c r="B3314" i="1"/>
  <c r="E3314" i="1" s="1"/>
  <c r="B3315" i="1"/>
  <c r="E3315" i="1" s="1"/>
  <c r="B3316" i="1"/>
  <c r="E3316" i="1" s="1"/>
  <c r="B3317" i="1"/>
  <c r="E3317" i="1" s="1"/>
  <c r="B3318" i="1"/>
  <c r="E3318" i="1" s="1"/>
  <c r="B3319" i="1"/>
  <c r="E3319" i="1" s="1"/>
  <c r="B3320" i="1"/>
  <c r="E3320" i="1" s="1"/>
  <c r="B3321" i="1"/>
  <c r="E3321" i="1" s="1"/>
  <c r="B3322" i="1"/>
  <c r="E3322" i="1" s="1"/>
  <c r="B3323" i="1"/>
  <c r="E3323" i="1" s="1"/>
  <c r="B3324" i="1"/>
  <c r="E3324" i="1" s="1"/>
  <c r="B3325" i="1"/>
  <c r="E3325" i="1" s="1"/>
  <c r="B3326" i="1"/>
  <c r="E3326" i="1" s="1"/>
  <c r="B3327" i="1"/>
  <c r="E3327" i="1" s="1"/>
  <c r="B3328" i="1"/>
  <c r="E3328" i="1" s="1"/>
  <c r="B3329" i="1"/>
  <c r="E3329" i="1" s="1"/>
  <c r="B3330" i="1"/>
  <c r="E3330" i="1" s="1"/>
  <c r="B3331" i="1"/>
  <c r="E3331" i="1" s="1"/>
  <c r="B3332" i="1"/>
  <c r="E3332" i="1" s="1"/>
  <c r="B3333" i="1"/>
  <c r="E3333" i="1" s="1"/>
  <c r="B3334" i="1"/>
  <c r="E3334" i="1" s="1"/>
  <c r="B3335" i="1"/>
  <c r="E3335" i="1" s="1"/>
  <c r="B3336" i="1"/>
  <c r="E3336" i="1" s="1"/>
  <c r="B3337" i="1"/>
  <c r="E3337" i="1" s="1"/>
  <c r="B3338" i="1"/>
  <c r="E3338" i="1" s="1"/>
  <c r="B3339" i="1"/>
  <c r="E3339" i="1" s="1"/>
  <c r="B3340" i="1"/>
  <c r="E3340" i="1" s="1"/>
  <c r="B3341" i="1"/>
  <c r="E3341" i="1" s="1"/>
  <c r="B3342" i="1"/>
  <c r="E3342" i="1" s="1"/>
  <c r="B3343" i="1"/>
  <c r="E3343" i="1" s="1"/>
  <c r="B3344" i="1"/>
  <c r="E3344" i="1" s="1"/>
  <c r="B3345" i="1"/>
  <c r="E3345" i="1" s="1"/>
  <c r="B3346" i="1"/>
  <c r="E3346" i="1" s="1"/>
  <c r="B3347" i="1"/>
  <c r="E3347" i="1" s="1"/>
  <c r="B3348" i="1"/>
  <c r="E3348" i="1" s="1"/>
  <c r="B3349" i="1"/>
  <c r="E3349" i="1" s="1"/>
  <c r="B3350" i="1"/>
  <c r="E3350" i="1" s="1"/>
  <c r="B3351" i="1"/>
  <c r="E3351" i="1" s="1"/>
  <c r="B3352" i="1"/>
  <c r="E3352" i="1" s="1"/>
  <c r="B3353" i="1"/>
  <c r="E3353" i="1" s="1"/>
  <c r="B3354" i="1"/>
  <c r="E3354" i="1" s="1"/>
  <c r="B3355" i="1"/>
  <c r="E3355" i="1" s="1"/>
  <c r="B3356" i="1"/>
  <c r="E3356" i="1" s="1"/>
  <c r="B3357" i="1"/>
  <c r="E3357" i="1" s="1"/>
  <c r="B3358" i="1"/>
  <c r="E3358" i="1" s="1"/>
  <c r="B3359" i="1"/>
  <c r="E3359" i="1" s="1"/>
  <c r="B3360" i="1"/>
  <c r="E3360" i="1" s="1"/>
  <c r="B3361" i="1"/>
  <c r="E3361" i="1" s="1"/>
  <c r="B3362" i="1"/>
  <c r="E3362" i="1" s="1"/>
  <c r="B3363" i="1"/>
  <c r="E3363" i="1" s="1"/>
  <c r="B3364" i="1"/>
  <c r="E3364" i="1" s="1"/>
  <c r="B3365" i="1"/>
  <c r="E3365" i="1" s="1"/>
  <c r="B3366" i="1"/>
  <c r="E3366" i="1" s="1"/>
  <c r="B3367" i="1"/>
  <c r="E3367" i="1" s="1"/>
  <c r="B3368" i="1"/>
  <c r="E3368" i="1" s="1"/>
  <c r="B3369" i="1"/>
  <c r="E3369" i="1" s="1"/>
  <c r="B3370" i="1"/>
  <c r="E3370" i="1" s="1"/>
  <c r="B3371" i="1"/>
  <c r="E3371" i="1" s="1"/>
  <c r="B3372" i="1"/>
  <c r="E3372" i="1" s="1"/>
  <c r="B3373" i="1"/>
  <c r="E3373" i="1" s="1"/>
  <c r="B3374" i="1"/>
  <c r="E3374" i="1" s="1"/>
  <c r="B3375" i="1"/>
  <c r="E3375" i="1" s="1"/>
  <c r="B3376" i="1"/>
  <c r="E3376" i="1" s="1"/>
  <c r="B3377" i="1"/>
  <c r="E3377" i="1" s="1"/>
  <c r="B3378" i="1"/>
  <c r="E3378" i="1" s="1"/>
  <c r="B3379" i="1"/>
  <c r="E3379" i="1" s="1"/>
  <c r="B3380" i="1"/>
  <c r="E3380" i="1" s="1"/>
  <c r="B3381" i="1"/>
  <c r="E3381" i="1" s="1"/>
  <c r="B3382" i="1"/>
  <c r="E3382" i="1" s="1"/>
  <c r="B3383" i="1"/>
  <c r="E3383" i="1" s="1"/>
  <c r="B3384" i="1"/>
  <c r="E3384" i="1" s="1"/>
  <c r="B3385" i="1"/>
  <c r="E3385" i="1" s="1"/>
  <c r="B3386" i="1"/>
  <c r="E3386" i="1" s="1"/>
  <c r="B3387" i="1"/>
  <c r="E3387" i="1" s="1"/>
  <c r="B3388" i="1"/>
  <c r="E3388" i="1" s="1"/>
  <c r="B3389" i="1"/>
  <c r="E3389" i="1" s="1"/>
  <c r="B3390" i="1"/>
  <c r="E3390" i="1" s="1"/>
  <c r="B3391" i="1"/>
  <c r="E3391" i="1" s="1"/>
  <c r="B3392" i="1"/>
  <c r="E3392" i="1" s="1"/>
  <c r="B3393" i="1"/>
  <c r="E3393" i="1" s="1"/>
  <c r="B3394" i="1"/>
  <c r="E3394" i="1" s="1"/>
  <c r="B3395" i="1"/>
  <c r="E3395" i="1" s="1"/>
  <c r="B3396" i="1"/>
  <c r="E3396" i="1" s="1"/>
  <c r="B3397" i="1"/>
  <c r="E3397" i="1" s="1"/>
  <c r="B3398" i="1"/>
  <c r="E3398" i="1" s="1"/>
  <c r="B3399" i="1"/>
  <c r="E3399" i="1" s="1"/>
  <c r="B3400" i="1"/>
  <c r="E3400" i="1" s="1"/>
  <c r="B3401" i="1"/>
  <c r="E3401" i="1" s="1"/>
  <c r="B3402" i="1"/>
  <c r="E3402" i="1" s="1"/>
  <c r="B3403" i="1"/>
  <c r="E3403" i="1" s="1"/>
  <c r="B3404" i="1"/>
  <c r="E3404" i="1" s="1"/>
  <c r="B3405" i="1"/>
  <c r="E3405" i="1" s="1"/>
  <c r="B3406" i="1"/>
  <c r="E3406" i="1" s="1"/>
  <c r="B3407" i="1"/>
  <c r="E3407" i="1" s="1"/>
  <c r="B3408" i="1"/>
  <c r="E3408" i="1" s="1"/>
  <c r="B3409" i="1"/>
  <c r="E3409" i="1" s="1"/>
  <c r="B3410" i="1"/>
  <c r="E3410" i="1" s="1"/>
  <c r="B3411" i="1"/>
  <c r="E3411" i="1" s="1"/>
  <c r="B3412" i="1"/>
  <c r="E3412" i="1" s="1"/>
  <c r="B3413" i="1"/>
  <c r="E3413" i="1" s="1"/>
  <c r="B3414" i="1"/>
  <c r="E3414" i="1" s="1"/>
  <c r="B3415" i="1"/>
  <c r="E3415" i="1" s="1"/>
  <c r="B3416" i="1"/>
  <c r="E3416" i="1" s="1"/>
  <c r="B3417" i="1"/>
  <c r="E3417" i="1" s="1"/>
  <c r="B3418" i="1"/>
  <c r="E3418" i="1" s="1"/>
  <c r="B3419" i="1"/>
  <c r="E3419" i="1" s="1"/>
  <c r="B3420" i="1"/>
  <c r="E3420" i="1" s="1"/>
  <c r="B3421" i="1"/>
  <c r="E3421" i="1" s="1"/>
  <c r="B3422" i="1"/>
  <c r="E3422" i="1" s="1"/>
  <c r="B3423" i="1"/>
  <c r="E3423" i="1" s="1"/>
  <c r="B3424" i="1"/>
  <c r="E3424" i="1" s="1"/>
  <c r="B3425" i="1"/>
  <c r="E3425" i="1" s="1"/>
  <c r="B3426" i="1"/>
  <c r="E3426" i="1" s="1"/>
  <c r="B3427" i="1"/>
  <c r="E3427" i="1" s="1"/>
  <c r="B3428" i="1"/>
  <c r="E3428" i="1" s="1"/>
  <c r="B3429" i="1"/>
  <c r="E3429" i="1" s="1"/>
  <c r="B3430" i="1"/>
  <c r="E3430" i="1" s="1"/>
  <c r="B3431" i="1"/>
  <c r="E3431" i="1" s="1"/>
  <c r="B3432" i="1"/>
  <c r="E3432" i="1" s="1"/>
  <c r="B3433" i="1"/>
  <c r="E3433" i="1" s="1"/>
  <c r="B3434" i="1"/>
  <c r="E3434" i="1" s="1"/>
  <c r="B3435" i="1"/>
  <c r="E3435" i="1" s="1"/>
  <c r="B3436" i="1"/>
  <c r="E3436" i="1" s="1"/>
  <c r="B3437" i="1"/>
  <c r="E3437" i="1" s="1"/>
  <c r="B3438" i="1"/>
  <c r="E3438" i="1" s="1"/>
  <c r="B3439" i="1"/>
  <c r="E3439" i="1" s="1"/>
  <c r="B3440" i="1"/>
  <c r="E3440" i="1" s="1"/>
  <c r="B3441" i="1"/>
  <c r="E3441" i="1" s="1"/>
  <c r="B3442" i="1"/>
  <c r="E3442" i="1" s="1"/>
  <c r="B3443" i="1"/>
  <c r="E3443" i="1" s="1"/>
  <c r="B3444" i="1"/>
  <c r="E3444" i="1" s="1"/>
  <c r="B3445" i="1"/>
  <c r="E3445" i="1" s="1"/>
  <c r="B3446" i="1"/>
  <c r="E3446" i="1" s="1"/>
  <c r="B3447" i="1"/>
  <c r="E3447" i="1" s="1"/>
  <c r="B3448" i="1"/>
  <c r="E3448" i="1" s="1"/>
  <c r="B3449" i="1"/>
  <c r="E3449" i="1" s="1"/>
  <c r="B3450" i="1"/>
  <c r="E3450" i="1" s="1"/>
  <c r="B3451" i="1"/>
  <c r="E3451" i="1" s="1"/>
  <c r="B3452" i="1"/>
  <c r="E3452" i="1" s="1"/>
  <c r="B3453" i="1"/>
  <c r="E3453" i="1" s="1"/>
  <c r="B3454" i="1"/>
  <c r="E3454" i="1" s="1"/>
  <c r="B3455" i="1"/>
  <c r="E3455" i="1" s="1"/>
  <c r="B3456" i="1"/>
  <c r="E3456" i="1" s="1"/>
  <c r="B3457" i="1"/>
  <c r="E3457" i="1" s="1"/>
  <c r="B3458" i="1"/>
  <c r="E3458" i="1" s="1"/>
  <c r="B3459" i="1"/>
  <c r="E3459" i="1" s="1"/>
  <c r="B3460" i="1"/>
  <c r="E3460" i="1" s="1"/>
  <c r="B3461" i="1"/>
  <c r="E3461" i="1" s="1"/>
  <c r="B3462" i="1"/>
  <c r="E3462" i="1" s="1"/>
  <c r="B3463" i="1"/>
  <c r="E3463" i="1" s="1"/>
  <c r="B3464" i="1"/>
  <c r="E3464" i="1" s="1"/>
  <c r="B3465" i="1"/>
  <c r="E3465" i="1" s="1"/>
  <c r="B3466" i="1"/>
  <c r="E3466" i="1" s="1"/>
  <c r="B3467" i="1"/>
  <c r="E3467" i="1" s="1"/>
  <c r="B3468" i="1"/>
  <c r="E3468" i="1" s="1"/>
  <c r="B3469" i="1"/>
  <c r="E3469" i="1" s="1"/>
  <c r="B3470" i="1"/>
  <c r="E3470" i="1" s="1"/>
  <c r="B3471" i="1"/>
  <c r="E3471" i="1" s="1"/>
  <c r="B3472" i="1"/>
  <c r="E3472" i="1" s="1"/>
  <c r="B3473" i="1"/>
  <c r="E3473" i="1" s="1"/>
  <c r="B3474" i="1"/>
  <c r="E3474" i="1" s="1"/>
  <c r="B3475" i="1"/>
  <c r="E3475" i="1" s="1"/>
  <c r="B3476" i="1"/>
  <c r="E3476" i="1" s="1"/>
  <c r="B3477" i="1"/>
  <c r="E3477" i="1" s="1"/>
  <c r="B3478" i="1"/>
  <c r="E3478" i="1" s="1"/>
  <c r="B3479" i="1"/>
  <c r="E3479" i="1" s="1"/>
  <c r="B3480" i="1"/>
  <c r="E3480" i="1" s="1"/>
  <c r="B3481" i="1"/>
  <c r="E3481" i="1" s="1"/>
  <c r="B3482" i="1"/>
  <c r="E3482" i="1" s="1"/>
  <c r="B3483" i="1"/>
  <c r="E3483" i="1" s="1"/>
  <c r="B3484" i="1"/>
  <c r="E3484" i="1" s="1"/>
  <c r="B3485" i="1"/>
  <c r="E3485" i="1" s="1"/>
  <c r="B3486" i="1"/>
  <c r="E3486" i="1" s="1"/>
  <c r="B3487" i="1"/>
  <c r="E3487" i="1" s="1"/>
  <c r="B3488" i="1"/>
  <c r="E3488" i="1" s="1"/>
  <c r="B3489" i="1"/>
  <c r="E3489" i="1" s="1"/>
  <c r="B3490" i="1"/>
  <c r="E3490" i="1" s="1"/>
  <c r="B3491" i="1"/>
  <c r="E3491" i="1" s="1"/>
  <c r="B3492" i="1"/>
  <c r="E3492" i="1" s="1"/>
  <c r="B3493" i="1"/>
  <c r="E3493" i="1" s="1"/>
  <c r="B3494" i="1"/>
  <c r="E3494" i="1" s="1"/>
  <c r="B3495" i="1"/>
  <c r="E3495" i="1" s="1"/>
  <c r="B3496" i="1"/>
  <c r="E3496" i="1" s="1"/>
  <c r="B3497" i="1"/>
  <c r="E3497" i="1" s="1"/>
  <c r="B3498" i="1"/>
  <c r="E3498" i="1" s="1"/>
  <c r="B3499" i="1"/>
  <c r="E3499" i="1" s="1"/>
  <c r="B3500" i="1"/>
  <c r="E3500" i="1" s="1"/>
  <c r="B3501" i="1"/>
  <c r="E3501" i="1" s="1"/>
  <c r="B3502" i="1"/>
  <c r="E3502" i="1" s="1"/>
  <c r="B3503" i="1"/>
  <c r="E3503" i="1" s="1"/>
  <c r="B3504" i="1"/>
  <c r="E3504" i="1" s="1"/>
  <c r="B3505" i="1"/>
  <c r="E3505" i="1" s="1"/>
  <c r="B3506" i="1"/>
  <c r="E3506" i="1" s="1"/>
  <c r="B3507" i="1"/>
  <c r="E3507" i="1" s="1"/>
  <c r="B3508" i="1"/>
  <c r="E3508" i="1" s="1"/>
  <c r="B3509" i="1"/>
  <c r="E3509" i="1" s="1"/>
  <c r="B3510" i="1"/>
  <c r="E3510" i="1" s="1"/>
  <c r="B3511" i="1"/>
  <c r="E3511" i="1" s="1"/>
  <c r="B3512" i="1"/>
  <c r="E3512" i="1" s="1"/>
  <c r="B3513" i="1"/>
  <c r="E3513" i="1" s="1"/>
  <c r="B3514" i="1"/>
  <c r="E3514" i="1" s="1"/>
  <c r="B3515" i="1"/>
  <c r="E3515" i="1" s="1"/>
  <c r="B3516" i="1"/>
  <c r="E3516" i="1" s="1"/>
  <c r="B3517" i="1"/>
  <c r="E3517" i="1" s="1"/>
  <c r="B3518" i="1"/>
  <c r="E3518" i="1" s="1"/>
  <c r="B3519" i="1"/>
  <c r="E3519" i="1" s="1"/>
  <c r="B3520" i="1"/>
  <c r="E3520" i="1" s="1"/>
  <c r="B3521" i="1"/>
  <c r="E3521" i="1" s="1"/>
  <c r="B3522" i="1"/>
  <c r="E3522" i="1" s="1"/>
  <c r="B3523" i="1"/>
  <c r="E3523" i="1" s="1"/>
  <c r="B3524" i="1"/>
  <c r="E3524" i="1" s="1"/>
  <c r="B3525" i="1"/>
  <c r="E3525" i="1" s="1"/>
  <c r="B3526" i="1"/>
  <c r="E3526" i="1" s="1"/>
  <c r="B3527" i="1"/>
  <c r="E3527" i="1" s="1"/>
  <c r="B3528" i="1"/>
  <c r="E3528" i="1" s="1"/>
  <c r="B3529" i="1"/>
  <c r="E3529" i="1" s="1"/>
  <c r="B3530" i="1"/>
  <c r="E3530" i="1" s="1"/>
  <c r="B3531" i="1"/>
  <c r="E3531" i="1" s="1"/>
  <c r="B3532" i="1"/>
  <c r="E3532" i="1" s="1"/>
  <c r="B3533" i="1"/>
  <c r="E3533" i="1" s="1"/>
  <c r="B3534" i="1"/>
  <c r="E3534" i="1" s="1"/>
  <c r="B3535" i="1"/>
  <c r="E3535" i="1" s="1"/>
  <c r="B3536" i="1"/>
  <c r="E3536" i="1" s="1"/>
  <c r="B3537" i="1"/>
  <c r="E3537" i="1" s="1"/>
  <c r="B3538" i="1"/>
  <c r="E3538" i="1" s="1"/>
  <c r="B3539" i="1"/>
  <c r="E3539" i="1" s="1"/>
  <c r="B3540" i="1"/>
  <c r="E3540" i="1" s="1"/>
  <c r="B3541" i="1"/>
  <c r="E3541" i="1" s="1"/>
  <c r="B3542" i="1"/>
  <c r="E3542" i="1" s="1"/>
  <c r="B3543" i="1"/>
  <c r="E3543" i="1" s="1"/>
  <c r="B3544" i="1"/>
  <c r="E3544" i="1" s="1"/>
  <c r="B3545" i="1"/>
  <c r="E3545" i="1" s="1"/>
  <c r="B3546" i="1"/>
  <c r="E3546" i="1" s="1"/>
  <c r="B3547" i="1"/>
  <c r="E3547" i="1" s="1"/>
  <c r="B3548" i="1"/>
  <c r="E3548" i="1" s="1"/>
  <c r="B3549" i="1"/>
  <c r="E3549" i="1" s="1"/>
  <c r="B3550" i="1"/>
  <c r="E3550" i="1" s="1"/>
  <c r="B3551" i="1"/>
  <c r="E3551" i="1" s="1"/>
  <c r="B3552" i="1"/>
  <c r="E3552" i="1" s="1"/>
  <c r="B3553" i="1"/>
  <c r="E3553" i="1" s="1"/>
  <c r="B3554" i="1"/>
  <c r="E3554" i="1" s="1"/>
  <c r="B3555" i="1"/>
  <c r="E3555" i="1" s="1"/>
  <c r="B3556" i="1"/>
  <c r="E3556" i="1" s="1"/>
  <c r="B3557" i="1"/>
  <c r="E3557" i="1" s="1"/>
  <c r="B3558" i="1"/>
  <c r="E3558" i="1" s="1"/>
  <c r="B3559" i="1"/>
  <c r="E3559" i="1" s="1"/>
  <c r="B3560" i="1"/>
  <c r="E3560" i="1" s="1"/>
  <c r="B3561" i="1"/>
  <c r="E3561" i="1" s="1"/>
  <c r="B3562" i="1"/>
  <c r="E3562" i="1" s="1"/>
  <c r="B3563" i="1"/>
  <c r="E3563" i="1" s="1"/>
  <c r="B3564" i="1"/>
  <c r="E3564" i="1" s="1"/>
  <c r="B3565" i="1"/>
  <c r="E3565" i="1" s="1"/>
  <c r="B3566" i="1"/>
  <c r="E3566" i="1" s="1"/>
  <c r="B3567" i="1"/>
  <c r="E3567" i="1" s="1"/>
  <c r="B3568" i="1"/>
  <c r="E3568" i="1" s="1"/>
  <c r="B3569" i="1"/>
  <c r="E3569" i="1" s="1"/>
  <c r="B3570" i="1"/>
  <c r="E3570" i="1" s="1"/>
  <c r="B3571" i="1"/>
  <c r="E3571" i="1" s="1"/>
  <c r="B3572" i="1"/>
  <c r="E3572" i="1" s="1"/>
  <c r="B3573" i="1"/>
  <c r="E3573" i="1" s="1"/>
  <c r="B3574" i="1"/>
  <c r="E3574" i="1" s="1"/>
  <c r="B3575" i="1"/>
  <c r="E3575" i="1" s="1"/>
  <c r="B3576" i="1"/>
  <c r="E3576" i="1" s="1"/>
  <c r="B3577" i="1"/>
  <c r="E3577" i="1" s="1"/>
  <c r="B3578" i="1"/>
  <c r="E3578" i="1" s="1"/>
  <c r="B3579" i="1"/>
  <c r="E3579" i="1" s="1"/>
  <c r="B3580" i="1"/>
  <c r="E3580" i="1" s="1"/>
  <c r="B3581" i="1"/>
  <c r="E3581" i="1" s="1"/>
  <c r="B3582" i="1"/>
  <c r="E3582" i="1" s="1"/>
  <c r="B3583" i="1"/>
  <c r="E3583" i="1" s="1"/>
  <c r="B3584" i="1"/>
  <c r="E3584" i="1" s="1"/>
  <c r="B3585" i="1"/>
  <c r="E3585" i="1" s="1"/>
  <c r="B3586" i="1"/>
  <c r="E3586" i="1" s="1"/>
  <c r="B3587" i="1"/>
  <c r="E3587" i="1" s="1"/>
  <c r="B3588" i="1"/>
  <c r="E3588" i="1" s="1"/>
  <c r="B3589" i="1"/>
  <c r="E3589" i="1" s="1"/>
  <c r="B3590" i="1"/>
  <c r="E3590" i="1" s="1"/>
  <c r="B3591" i="1"/>
  <c r="E3591" i="1" s="1"/>
  <c r="B3592" i="1"/>
  <c r="E3592" i="1" s="1"/>
  <c r="B3593" i="1"/>
  <c r="E3593" i="1" s="1"/>
  <c r="B3594" i="1"/>
  <c r="E3594" i="1" s="1"/>
  <c r="B3595" i="1"/>
  <c r="E3595" i="1" s="1"/>
  <c r="B3596" i="1"/>
  <c r="E3596" i="1" s="1"/>
  <c r="B3597" i="1"/>
  <c r="E3597" i="1" s="1"/>
  <c r="B3598" i="1"/>
  <c r="E3598" i="1" s="1"/>
  <c r="B3599" i="1"/>
  <c r="E3599" i="1" s="1"/>
  <c r="B3600" i="1"/>
  <c r="E3600" i="1" s="1"/>
  <c r="B3601" i="1"/>
  <c r="E3601" i="1" s="1"/>
  <c r="B3602" i="1"/>
  <c r="E3602" i="1" s="1"/>
  <c r="B3603" i="1"/>
  <c r="E3603" i="1" s="1"/>
  <c r="B3604" i="1"/>
  <c r="E3604" i="1" s="1"/>
  <c r="B3605" i="1"/>
  <c r="E3605" i="1" s="1"/>
  <c r="B3606" i="1"/>
  <c r="E3606" i="1" s="1"/>
  <c r="B3607" i="1"/>
  <c r="E3607" i="1" s="1"/>
  <c r="B3608" i="1"/>
  <c r="E3608" i="1" s="1"/>
  <c r="B3609" i="1"/>
  <c r="E3609" i="1" s="1"/>
  <c r="B3610" i="1"/>
  <c r="E3610" i="1" s="1"/>
  <c r="B3611" i="1"/>
  <c r="E3611" i="1" s="1"/>
  <c r="B3612" i="1"/>
  <c r="E3612" i="1" s="1"/>
  <c r="B3613" i="1"/>
  <c r="E3613" i="1" s="1"/>
  <c r="B3614" i="1"/>
  <c r="E3614" i="1" s="1"/>
  <c r="B3615" i="1"/>
  <c r="E3615" i="1" s="1"/>
  <c r="B3616" i="1"/>
  <c r="E3616" i="1" s="1"/>
  <c r="B3617" i="1"/>
  <c r="E3617" i="1" s="1"/>
  <c r="B3618" i="1"/>
  <c r="E3618" i="1" s="1"/>
  <c r="B3619" i="1"/>
  <c r="E3619" i="1" s="1"/>
  <c r="B3620" i="1"/>
  <c r="E3620" i="1" s="1"/>
  <c r="B3621" i="1"/>
  <c r="E3621" i="1" s="1"/>
  <c r="B3622" i="1"/>
  <c r="E3622" i="1" s="1"/>
  <c r="B3623" i="1"/>
  <c r="E3623" i="1" s="1"/>
  <c r="B3624" i="1"/>
  <c r="E3624" i="1" s="1"/>
  <c r="B3625" i="1"/>
  <c r="E3625" i="1" s="1"/>
  <c r="B3626" i="1"/>
  <c r="E3626" i="1" s="1"/>
  <c r="B3627" i="1"/>
  <c r="E3627" i="1" s="1"/>
  <c r="B3628" i="1"/>
  <c r="E3628" i="1" s="1"/>
  <c r="B3629" i="1"/>
  <c r="E3629" i="1" s="1"/>
  <c r="B3630" i="1"/>
  <c r="E3630" i="1" s="1"/>
  <c r="B3631" i="1"/>
  <c r="E3631" i="1" s="1"/>
  <c r="B3632" i="1"/>
  <c r="E3632" i="1" s="1"/>
  <c r="B3633" i="1"/>
  <c r="E3633" i="1" s="1"/>
  <c r="B3634" i="1"/>
  <c r="E3634" i="1" s="1"/>
  <c r="B3635" i="1"/>
  <c r="E3635" i="1" s="1"/>
  <c r="B3636" i="1"/>
  <c r="E3636" i="1" s="1"/>
  <c r="B3637" i="1"/>
  <c r="E3637" i="1" s="1"/>
  <c r="B3638" i="1"/>
  <c r="E3638" i="1" s="1"/>
  <c r="B3639" i="1"/>
  <c r="E3639" i="1" s="1"/>
  <c r="B3640" i="1"/>
  <c r="E3640" i="1" s="1"/>
  <c r="B3641" i="1"/>
  <c r="E3641" i="1" s="1"/>
  <c r="B3642" i="1"/>
  <c r="E3642" i="1" s="1"/>
  <c r="B3643" i="1"/>
  <c r="E3643" i="1" s="1"/>
  <c r="B3644" i="1"/>
  <c r="E3644" i="1" s="1"/>
  <c r="B3645" i="1"/>
  <c r="E3645" i="1" s="1"/>
  <c r="B3646" i="1"/>
  <c r="E3646" i="1" s="1"/>
  <c r="B3647" i="1"/>
  <c r="E3647" i="1" s="1"/>
  <c r="B3648" i="1"/>
  <c r="E3648" i="1" s="1"/>
  <c r="B3649" i="1"/>
  <c r="E3649" i="1" s="1"/>
  <c r="B3650" i="1"/>
  <c r="E3650" i="1" s="1"/>
  <c r="B3651" i="1"/>
  <c r="E3651" i="1" s="1"/>
  <c r="B3652" i="1"/>
  <c r="E3652" i="1" s="1"/>
  <c r="B3653" i="1"/>
  <c r="E3653" i="1" s="1"/>
  <c r="B3654" i="1"/>
  <c r="E3654" i="1" s="1"/>
  <c r="B3655" i="1"/>
  <c r="E3655" i="1" s="1"/>
  <c r="B3656" i="1"/>
  <c r="E3656" i="1" s="1"/>
  <c r="B3657" i="1"/>
  <c r="E3657" i="1" s="1"/>
  <c r="B3658" i="1"/>
  <c r="E3658" i="1" s="1"/>
  <c r="B3659" i="1"/>
  <c r="E3659" i="1" s="1"/>
  <c r="B3660" i="1"/>
  <c r="E3660" i="1" s="1"/>
  <c r="B3661" i="1"/>
  <c r="E3661" i="1" s="1"/>
  <c r="B3662" i="1"/>
  <c r="E3662" i="1" s="1"/>
  <c r="B3663" i="1"/>
  <c r="E3663" i="1" s="1"/>
  <c r="B3664" i="1"/>
  <c r="E3664" i="1" s="1"/>
  <c r="B3665" i="1"/>
  <c r="E3665" i="1" s="1"/>
  <c r="B3666" i="1"/>
  <c r="E3666" i="1" s="1"/>
  <c r="B3667" i="1"/>
  <c r="E3667" i="1" s="1"/>
  <c r="B3668" i="1"/>
  <c r="E3668" i="1" s="1"/>
  <c r="B3669" i="1"/>
  <c r="E3669" i="1" s="1"/>
  <c r="B3670" i="1"/>
  <c r="E3670" i="1" s="1"/>
  <c r="B3671" i="1"/>
  <c r="E3671" i="1" s="1"/>
  <c r="B3672" i="1"/>
  <c r="E3672" i="1" s="1"/>
  <c r="B3673" i="1"/>
  <c r="E3673" i="1" s="1"/>
  <c r="B3674" i="1"/>
  <c r="E3674" i="1" s="1"/>
  <c r="B3675" i="1"/>
  <c r="E3675" i="1" s="1"/>
  <c r="B3676" i="1"/>
  <c r="E3676" i="1" s="1"/>
  <c r="B3677" i="1"/>
  <c r="E3677" i="1" s="1"/>
  <c r="B3678" i="1"/>
  <c r="E3678" i="1" s="1"/>
  <c r="B3679" i="1"/>
  <c r="E3679" i="1" s="1"/>
  <c r="B3680" i="1"/>
  <c r="E3680" i="1" s="1"/>
  <c r="B3681" i="1"/>
  <c r="E3681" i="1" s="1"/>
  <c r="B3682" i="1"/>
  <c r="E3682" i="1" s="1"/>
  <c r="B3683" i="1"/>
  <c r="E3683" i="1" s="1"/>
  <c r="B3684" i="1"/>
  <c r="E3684" i="1" s="1"/>
  <c r="B3685" i="1"/>
  <c r="E3685" i="1" s="1"/>
  <c r="B3686" i="1"/>
  <c r="E3686" i="1" s="1"/>
  <c r="B3687" i="1"/>
  <c r="E3687" i="1" s="1"/>
  <c r="B3688" i="1"/>
  <c r="E3688" i="1" s="1"/>
  <c r="B3689" i="1"/>
  <c r="E3689" i="1" s="1"/>
  <c r="B3690" i="1"/>
  <c r="E3690" i="1" s="1"/>
  <c r="B3691" i="1"/>
  <c r="E3691" i="1" s="1"/>
  <c r="B3692" i="1"/>
  <c r="E3692" i="1" s="1"/>
  <c r="B3693" i="1"/>
  <c r="E3693" i="1" s="1"/>
  <c r="B3694" i="1"/>
  <c r="E3694" i="1" s="1"/>
  <c r="B3695" i="1"/>
  <c r="E3695" i="1" s="1"/>
  <c r="B3696" i="1"/>
  <c r="E3696" i="1" s="1"/>
  <c r="B3697" i="1"/>
  <c r="E3697" i="1" s="1"/>
  <c r="B3698" i="1"/>
  <c r="E3698" i="1" s="1"/>
  <c r="B3699" i="1"/>
  <c r="E3699" i="1" s="1"/>
  <c r="B3700" i="1"/>
  <c r="E3700" i="1" s="1"/>
  <c r="B3701" i="1"/>
  <c r="E3701" i="1" s="1"/>
  <c r="B3702" i="1"/>
  <c r="E3702" i="1" s="1"/>
  <c r="B3703" i="1"/>
  <c r="E3703" i="1" s="1"/>
  <c r="B3704" i="1"/>
  <c r="E3704" i="1" s="1"/>
  <c r="B3705" i="1"/>
  <c r="E3705" i="1" s="1"/>
  <c r="B3706" i="1"/>
  <c r="E3706" i="1" s="1"/>
  <c r="B3707" i="1"/>
  <c r="E3707" i="1" s="1"/>
  <c r="B3708" i="1"/>
  <c r="E3708" i="1" s="1"/>
  <c r="B3709" i="1"/>
  <c r="E3709" i="1" s="1"/>
  <c r="B3710" i="1"/>
  <c r="E3710" i="1" s="1"/>
  <c r="B3711" i="1"/>
  <c r="E3711" i="1" s="1"/>
  <c r="B3712" i="1"/>
  <c r="E3712" i="1" s="1"/>
  <c r="B3713" i="1"/>
  <c r="E3713" i="1" s="1"/>
  <c r="B3714" i="1"/>
  <c r="E3714" i="1" s="1"/>
  <c r="B3715" i="1"/>
  <c r="E3715" i="1" s="1"/>
  <c r="B3716" i="1"/>
  <c r="E3716" i="1" s="1"/>
  <c r="B3717" i="1"/>
  <c r="E3717" i="1" s="1"/>
  <c r="B3718" i="1"/>
  <c r="E3718" i="1" s="1"/>
  <c r="B3719" i="1"/>
  <c r="E3719" i="1" s="1"/>
  <c r="B3720" i="1"/>
  <c r="E3720" i="1" s="1"/>
  <c r="B3721" i="1"/>
  <c r="E3721" i="1" s="1"/>
  <c r="B3722" i="1"/>
  <c r="E3722" i="1" s="1"/>
  <c r="B3723" i="1"/>
  <c r="E3723" i="1" s="1"/>
  <c r="B3724" i="1"/>
  <c r="E3724" i="1" s="1"/>
  <c r="B3725" i="1"/>
  <c r="E3725" i="1" s="1"/>
  <c r="B3726" i="1"/>
  <c r="E3726" i="1" s="1"/>
  <c r="B3727" i="1"/>
  <c r="E3727" i="1" s="1"/>
  <c r="B3728" i="1"/>
  <c r="E3728" i="1" s="1"/>
  <c r="B3729" i="1"/>
  <c r="E3729" i="1" s="1"/>
  <c r="B3730" i="1"/>
  <c r="E3730" i="1" s="1"/>
  <c r="B3731" i="1"/>
  <c r="E3731" i="1" s="1"/>
  <c r="B3732" i="1"/>
  <c r="E3732" i="1" s="1"/>
  <c r="B3733" i="1"/>
  <c r="E3733" i="1" s="1"/>
  <c r="B3734" i="1"/>
  <c r="E3734" i="1" s="1"/>
  <c r="B3735" i="1"/>
  <c r="E3735" i="1" s="1"/>
  <c r="B3736" i="1"/>
  <c r="E3736" i="1" s="1"/>
  <c r="B3737" i="1"/>
  <c r="E3737" i="1" s="1"/>
  <c r="B3738" i="1"/>
  <c r="E3738" i="1" s="1"/>
  <c r="B3739" i="1"/>
  <c r="E3739" i="1" s="1"/>
  <c r="B3740" i="1"/>
  <c r="E3740" i="1" s="1"/>
  <c r="B3741" i="1"/>
  <c r="E3741" i="1" s="1"/>
  <c r="B3742" i="1"/>
  <c r="E3742" i="1" s="1"/>
  <c r="B3743" i="1"/>
  <c r="E3743" i="1" s="1"/>
  <c r="B3744" i="1"/>
  <c r="E3744" i="1" s="1"/>
  <c r="B3745" i="1"/>
  <c r="E3745" i="1" s="1"/>
  <c r="B3746" i="1"/>
  <c r="E3746" i="1" s="1"/>
  <c r="B3747" i="1"/>
  <c r="E3747" i="1" s="1"/>
  <c r="B3748" i="1"/>
  <c r="E3748" i="1" s="1"/>
  <c r="B3749" i="1"/>
  <c r="E3749" i="1" s="1"/>
  <c r="B3750" i="1"/>
  <c r="E3750" i="1" s="1"/>
  <c r="B3751" i="1"/>
  <c r="E3751" i="1" s="1"/>
  <c r="B3752" i="1"/>
  <c r="E3752" i="1" s="1"/>
  <c r="B3753" i="1"/>
  <c r="E3753" i="1" s="1"/>
  <c r="B3754" i="1"/>
  <c r="E3754" i="1" s="1"/>
  <c r="B3755" i="1"/>
  <c r="E3755" i="1" s="1"/>
  <c r="B3756" i="1"/>
  <c r="E3756" i="1" s="1"/>
  <c r="B3757" i="1"/>
  <c r="E3757" i="1" s="1"/>
  <c r="B3758" i="1"/>
  <c r="E3758" i="1" s="1"/>
  <c r="B3759" i="1"/>
  <c r="E3759" i="1" s="1"/>
  <c r="B3760" i="1"/>
  <c r="E3760" i="1" s="1"/>
  <c r="B3761" i="1"/>
  <c r="E3761" i="1" s="1"/>
  <c r="B3762" i="1"/>
  <c r="E3762" i="1" s="1"/>
  <c r="B3763" i="1"/>
  <c r="E3763" i="1" s="1"/>
  <c r="B3764" i="1"/>
  <c r="E3764" i="1" s="1"/>
  <c r="B3765" i="1"/>
  <c r="E3765" i="1" s="1"/>
  <c r="B3766" i="1"/>
  <c r="E3766" i="1" s="1"/>
  <c r="B3767" i="1"/>
  <c r="E3767" i="1" s="1"/>
  <c r="B3768" i="1"/>
  <c r="E3768" i="1" s="1"/>
  <c r="B3769" i="1"/>
  <c r="E3769" i="1" s="1"/>
  <c r="B3770" i="1"/>
  <c r="E3770" i="1" s="1"/>
  <c r="B3771" i="1"/>
  <c r="E3771" i="1" s="1"/>
  <c r="B3772" i="1"/>
  <c r="E3772" i="1" s="1"/>
  <c r="B3773" i="1"/>
  <c r="E3773" i="1" s="1"/>
  <c r="B3774" i="1"/>
  <c r="E3774" i="1" s="1"/>
  <c r="B3775" i="1"/>
  <c r="E3775" i="1" s="1"/>
  <c r="B3776" i="1"/>
  <c r="E3776" i="1" s="1"/>
  <c r="B3777" i="1"/>
  <c r="E3777" i="1" s="1"/>
  <c r="B3778" i="1"/>
  <c r="E3778" i="1" s="1"/>
  <c r="B3779" i="1"/>
  <c r="E3779" i="1" s="1"/>
  <c r="B3780" i="1"/>
  <c r="E3780" i="1" s="1"/>
  <c r="B3781" i="1"/>
  <c r="E3781" i="1" s="1"/>
  <c r="B3782" i="1"/>
  <c r="E3782" i="1" s="1"/>
  <c r="B3783" i="1"/>
  <c r="E3783" i="1" s="1"/>
  <c r="B3784" i="1"/>
  <c r="E3784" i="1" s="1"/>
  <c r="B3785" i="1"/>
  <c r="E3785" i="1" s="1"/>
  <c r="B3786" i="1"/>
  <c r="E3786" i="1" s="1"/>
  <c r="B3787" i="1"/>
  <c r="E3787" i="1" s="1"/>
  <c r="B3788" i="1"/>
  <c r="E3788" i="1" s="1"/>
  <c r="B3789" i="1"/>
  <c r="E3789" i="1" s="1"/>
  <c r="B3790" i="1"/>
  <c r="E3790" i="1" s="1"/>
  <c r="B3791" i="1"/>
  <c r="E3791" i="1" s="1"/>
  <c r="B3792" i="1"/>
  <c r="E3792" i="1" s="1"/>
  <c r="B3793" i="1"/>
  <c r="E3793" i="1" s="1"/>
  <c r="B3794" i="1"/>
  <c r="E3794" i="1" s="1"/>
  <c r="B3795" i="1"/>
  <c r="E3795" i="1" s="1"/>
  <c r="B3796" i="1"/>
  <c r="E3796" i="1" s="1"/>
  <c r="B3797" i="1"/>
  <c r="E3797" i="1" s="1"/>
  <c r="B3798" i="1"/>
  <c r="E3798" i="1" s="1"/>
  <c r="B3799" i="1"/>
  <c r="E3799" i="1" s="1"/>
  <c r="B3800" i="1"/>
  <c r="E3800" i="1" s="1"/>
  <c r="B3801" i="1"/>
  <c r="E3801" i="1" s="1"/>
  <c r="B3802" i="1"/>
  <c r="E3802" i="1" s="1"/>
  <c r="B3803" i="1"/>
  <c r="E3803" i="1" s="1"/>
  <c r="B3804" i="1"/>
  <c r="E3804" i="1" s="1"/>
  <c r="B3805" i="1"/>
  <c r="E3805" i="1" s="1"/>
  <c r="B3806" i="1"/>
  <c r="E3806" i="1" s="1"/>
  <c r="B3807" i="1"/>
  <c r="E3807" i="1" s="1"/>
  <c r="B3808" i="1"/>
  <c r="E3808" i="1" s="1"/>
  <c r="B3809" i="1"/>
  <c r="E3809" i="1" s="1"/>
  <c r="B3810" i="1"/>
  <c r="E3810" i="1" s="1"/>
  <c r="B3811" i="1"/>
  <c r="E3811" i="1" s="1"/>
  <c r="B3812" i="1"/>
  <c r="E3812" i="1" s="1"/>
  <c r="B3813" i="1"/>
  <c r="E3813" i="1" s="1"/>
  <c r="B3814" i="1"/>
  <c r="E3814" i="1" s="1"/>
  <c r="B3815" i="1"/>
  <c r="E3815" i="1" s="1"/>
  <c r="B3816" i="1"/>
  <c r="E3816" i="1" s="1"/>
  <c r="B3817" i="1"/>
  <c r="E3817" i="1" s="1"/>
  <c r="B3818" i="1"/>
  <c r="E3818" i="1" s="1"/>
  <c r="B3819" i="1"/>
  <c r="E3819" i="1" s="1"/>
  <c r="B3820" i="1"/>
  <c r="E3820" i="1" s="1"/>
  <c r="B3821" i="1"/>
  <c r="E3821" i="1" s="1"/>
  <c r="B3822" i="1"/>
  <c r="E3822" i="1" s="1"/>
  <c r="B3823" i="1"/>
  <c r="E3823" i="1" s="1"/>
  <c r="B3824" i="1"/>
  <c r="E3824" i="1" s="1"/>
  <c r="B3825" i="1"/>
  <c r="E3825" i="1" s="1"/>
  <c r="B3826" i="1"/>
  <c r="E3826" i="1" s="1"/>
  <c r="B3827" i="1"/>
  <c r="E3827" i="1" s="1"/>
  <c r="B3828" i="1"/>
  <c r="E3828" i="1" s="1"/>
  <c r="B3829" i="1"/>
  <c r="E3829" i="1" s="1"/>
  <c r="B3830" i="1"/>
  <c r="E3830" i="1" s="1"/>
  <c r="B3831" i="1"/>
  <c r="E3831" i="1" s="1"/>
  <c r="B3832" i="1"/>
  <c r="E3832" i="1" s="1"/>
  <c r="B3833" i="1"/>
  <c r="E3833" i="1" s="1"/>
  <c r="B3834" i="1"/>
  <c r="E3834" i="1" s="1"/>
  <c r="B3835" i="1"/>
  <c r="E3835" i="1" s="1"/>
  <c r="B3836" i="1"/>
  <c r="E3836" i="1" s="1"/>
  <c r="B3837" i="1"/>
  <c r="E3837" i="1" s="1"/>
  <c r="B3838" i="1"/>
  <c r="E3838" i="1" s="1"/>
  <c r="B3839" i="1"/>
  <c r="E3839" i="1" s="1"/>
  <c r="B3840" i="1"/>
  <c r="E3840" i="1" s="1"/>
  <c r="B3841" i="1"/>
  <c r="E3841" i="1" s="1"/>
  <c r="B3842" i="1"/>
  <c r="E3842" i="1" s="1"/>
  <c r="B3843" i="1"/>
  <c r="E3843" i="1" s="1"/>
  <c r="B3844" i="1"/>
  <c r="E3844" i="1" s="1"/>
  <c r="B3845" i="1"/>
  <c r="E3845" i="1" s="1"/>
  <c r="B3846" i="1"/>
  <c r="E3846" i="1" s="1"/>
  <c r="B3847" i="1"/>
  <c r="E3847" i="1" s="1"/>
  <c r="B3848" i="1"/>
  <c r="E3848" i="1" s="1"/>
  <c r="B3849" i="1"/>
  <c r="E3849" i="1" s="1"/>
  <c r="B3850" i="1"/>
  <c r="E3850" i="1" s="1"/>
  <c r="B3851" i="1"/>
  <c r="E3851" i="1" s="1"/>
  <c r="B3852" i="1"/>
  <c r="E3852" i="1" s="1"/>
  <c r="B3853" i="1"/>
  <c r="E3853" i="1" s="1"/>
  <c r="B3854" i="1"/>
  <c r="E3854" i="1" s="1"/>
  <c r="B3855" i="1"/>
  <c r="E3855" i="1" s="1"/>
  <c r="B3856" i="1"/>
  <c r="E3856" i="1" s="1"/>
  <c r="B3857" i="1"/>
  <c r="E3857" i="1" s="1"/>
  <c r="B3858" i="1"/>
  <c r="E3858" i="1" s="1"/>
  <c r="B3859" i="1"/>
  <c r="E3859" i="1" s="1"/>
  <c r="B3860" i="1"/>
  <c r="E3860" i="1" s="1"/>
  <c r="B3861" i="1"/>
  <c r="E3861" i="1" s="1"/>
  <c r="B3862" i="1"/>
  <c r="E3862" i="1" s="1"/>
  <c r="B3863" i="1"/>
  <c r="E3863" i="1" s="1"/>
  <c r="B3864" i="1"/>
  <c r="E3864" i="1" s="1"/>
  <c r="B3865" i="1"/>
  <c r="E3865" i="1" s="1"/>
  <c r="B3866" i="1"/>
  <c r="E3866" i="1" s="1"/>
  <c r="B3867" i="1"/>
  <c r="E3867" i="1" s="1"/>
  <c r="B3868" i="1"/>
  <c r="E3868" i="1" s="1"/>
  <c r="B3869" i="1"/>
  <c r="E3869" i="1" s="1"/>
  <c r="B3870" i="1"/>
  <c r="E3870" i="1" s="1"/>
  <c r="B3871" i="1"/>
  <c r="E3871" i="1" s="1"/>
  <c r="B3872" i="1"/>
  <c r="E3872" i="1" s="1"/>
  <c r="B3873" i="1"/>
  <c r="E3873" i="1" s="1"/>
  <c r="B3874" i="1"/>
  <c r="E3874" i="1" s="1"/>
  <c r="B3875" i="1"/>
  <c r="E3875" i="1" s="1"/>
  <c r="B3876" i="1"/>
  <c r="E3876" i="1" s="1"/>
  <c r="B3877" i="1"/>
  <c r="E3877" i="1" s="1"/>
  <c r="B3878" i="1"/>
  <c r="E3878" i="1" s="1"/>
  <c r="B3879" i="1"/>
  <c r="E3879" i="1" s="1"/>
  <c r="B3880" i="1"/>
  <c r="E3880" i="1" s="1"/>
  <c r="B3881" i="1"/>
  <c r="E3881" i="1" s="1"/>
  <c r="B3882" i="1"/>
  <c r="E3882" i="1" s="1"/>
  <c r="B3883" i="1"/>
  <c r="E3883" i="1" s="1"/>
  <c r="B3884" i="1"/>
  <c r="E3884" i="1" s="1"/>
  <c r="B3885" i="1"/>
  <c r="E3885" i="1" s="1"/>
  <c r="B3886" i="1"/>
  <c r="E3886" i="1" s="1"/>
  <c r="B3887" i="1"/>
  <c r="E3887" i="1" s="1"/>
  <c r="B3888" i="1"/>
  <c r="E3888" i="1" s="1"/>
  <c r="B3889" i="1"/>
  <c r="E3889" i="1" s="1"/>
  <c r="B3890" i="1"/>
  <c r="E3890" i="1" s="1"/>
  <c r="B3891" i="1"/>
  <c r="E3891" i="1" s="1"/>
  <c r="B3892" i="1"/>
  <c r="E3892" i="1" s="1"/>
  <c r="B3893" i="1"/>
  <c r="E3893" i="1" s="1"/>
  <c r="B3894" i="1"/>
  <c r="E3894" i="1" s="1"/>
  <c r="B3895" i="1"/>
  <c r="E3895" i="1" s="1"/>
  <c r="B3896" i="1"/>
  <c r="E3896" i="1" s="1"/>
  <c r="B3897" i="1"/>
  <c r="E3897" i="1" s="1"/>
  <c r="B3898" i="1"/>
  <c r="E3898" i="1" s="1"/>
  <c r="B3899" i="1"/>
  <c r="E3899" i="1" s="1"/>
  <c r="B3900" i="1"/>
  <c r="E3900" i="1" s="1"/>
  <c r="B3901" i="1"/>
  <c r="E3901" i="1" s="1"/>
  <c r="B3902" i="1"/>
  <c r="E3902" i="1" s="1"/>
  <c r="B3903" i="1"/>
  <c r="E3903" i="1" s="1"/>
  <c r="B3904" i="1"/>
  <c r="E3904" i="1" s="1"/>
  <c r="B3905" i="1"/>
  <c r="E3905" i="1" s="1"/>
  <c r="B3906" i="1"/>
  <c r="E3906" i="1" s="1"/>
  <c r="B3907" i="1"/>
  <c r="E3907" i="1" s="1"/>
  <c r="B3908" i="1"/>
  <c r="E3908" i="1" s="1"/>
  <c r="B3909" i="1"/>
  <c r="E3909" i="1" s="1"/>
  <c r="B3910" i="1"/>
  <c r="E3910" i="1" s="1"/>
  <c r="B3911" i="1"/>
  <c r="E3911" i="1" s="1"/>
  <c r="B3912" i="1"/>
  <c r="E3912" i="1" s="1"/>
  <c r="B3913" i="1"/>
  <c r="E3913" i="1" s="1"/>
  <c r="B3914" i="1"/>
  <c r="E3914" i="1" s="1"/>
  <c r="B3915" i="1"/>
  <c r="E3915" i="1" s="1"/>
  <c r="B3916" i="1"/>
  <c r="E3916" i="1" s="1"/>
  <c r="B3917" i="1"/>
  <c r="E3917" i="1" s="1"/>
  <c r="B3918" i="1"/>
  <c r="E3918" i="1" s="1"/>
  <c r="B3919" i="1"/>
  <c r="E3919" i="1" s="1"/>
  <c r="B3920" i="1"/>
  <c r="E3920" i="1" s="1"/>
  <c r="B3921" i="1"/>
  <c r="E3921" i="1" s="1"/>
  <c r="B3922" i="1"/>
  <c r="E3922" i="1" s="1"/>
  <c r="B3923" i="1"/>
  <c r="E3923" i="1" s="1"/>
  <c r="B3924" i="1"/>
  <c r="E3924" i="1" s="1"/>
  <c r="B3925" i="1"/>
  <c r="E3925" i="1" s="1"/>
  <c r="B3926" i="1"/>
  <c r="E3926" i="1" s="1"/>
  <c r="B3927" i="1"/>
  <c r="E3927" i="1" s="1"/>
  <c r="B3928" i="1"/>
  <c r="E3928" i="1" s="1"/>
  <c r="B3929" i="1"/>
  <c r="E3929" i="1" s="1"/>
  <c r="B3930" i="1"/>
  <c r="E3930" i="1" s="1"/>
  <c r="B3931" i="1"/>
  <c r="E3931" i="1" s="1"/>
  <c r="B3932" i="1"/>
  <c r="E3932" i="1" s="1"/>
  <c r="B3933" i="1"/>
  <c r="E3933" i="1" s="1"/>
  <c r="B3934" i="1"/>
  <c r="E3934" i="1" s="1"/>
  <c r="B3935" i="1"/>
  <c r="E3935" i="1" s="1"/>
  <c r="B3936" i="1"/>
  <c r="E3936" i="1" s="1"/>
  <c r="B3937" i="1"/>
  <c r="E3937" i="1" s="1"/>
  <c r="B3938" i="1"/>
  <c r="E3938" i="1" s="1"/>
  <c r="B3939" i="1"/>
  <c r="E3939" i="1" s="1"/>
  <c r="B3940" i="1"/>
  <c r="E3940" i="1" s="1"/>
  <c r="B3941" i="1"/>
  <c r="E3941" i="1" s="1"/>
  <c r="B3942" i="1"/>
  <c r="E3942" i="1" s="1"/>
  <c r="B3943" i="1"/>
  <c r="E3943" i="1" s="1"/>
  <c r="B3944" i="1"/>
  <c r="E3944" i="1" s="1"/>
  <c r="B3945" i="1"/>
  <c r="E3945" i="1" s="1"/>
  <c r="B3946" i="1"/>
  <c r="E3946" i="1" s="1"/>
  <c r="B3947" i="1"/>
  <c r="E3947" i="1" s="1"/>
  <c r="B3948" i="1"/>
  <c r="E3948" i="1" s="1"/>
  <c r="B3949" i="1"/>
  <c r="E3949" i="1" s="1"/>
  <c r="B3950" i="1"/>
  <c r="E3950" i="1" s="1"/>
  <c r="B3951" i="1"/>
  <c r="E3951" i="1" s="1"/>
  <c r="B3952" i="1"/>
  <c r="E3952" i="1" s="1"/>
  <c r="B3953" i="1"/>
  <c r="E3953" i="1" s="1"/>
  <c r="B3954" i="1"/>
  <c r="E3954" i="1" s="1"/>
  <c r="B3955" i="1"/>
  <c r="E3955" i="1" s="1"/>
  <c r="B3956" i="1"/>
  <c r="E3956" i="1" s="1"/>
  <c r="B3957" i="1"/>
  <c r="E3957" i="1" s="1"/>
  <c r="B3958" i="1"/>
  <c r="E3958" i="1" s="1"/>
  <c r="B3959" i="1"/>
  <c r="E3959" i="1" s="1"/>
  <c r="B3960" i="1"/>
  <c r="E3960" i="1" s="1"/>
  <c r="B3961" i="1"/>
  <c r="E3961" i="1" s="1"/>
  <c r="B3962" i="1"/>
  <c r="E3962" i="1" s="1"/>
  <c r="B3963" i="1"/>
  <c r="E3963" i="1" s="1"/>
  <c r="B3964" i="1"/>
  <c r="E3964" i="1" s="1"/>
  <c r="B3965" i="1"/>
  <c r="E3965" i="1" s="1"/>
  <c r="B3966" i="1"/>
  <c r="E3966" i="1" s="1"/>
  <c r="B3967" i="1"/>
  <c r="E3967" i="1" s="1"/>
  <c r="B3968" i="1"/>
  <c r="E3968" i="1" s="1"/>
  <c r="B3969" i="1"/>
  <c r="E3969" i="1" s="1"/>
  <c r="B3970" i="1"/>
  <c r="E3970" i="1" s="1"/>
  <c r="B3971" i="1"/>
  <c r="E3971" i="1" s="1"/>
  <c r="B3972" i="1"/>
  <c r="E3972" i="1" s="1"/>
  <c r="B3973" i="1"/>
  <c r="E3973" i="1" s="1"/>
  <c r="B3974" i="1"/>
  <c r="E3974" i="1" s="1"/>
  <c r="B3975" i="1"/>
  <c r="E3975" i="1" s="1"/>
  <c r="B3976" i="1"/>
  <c r="E3976" i="1" s="1"/>
  <c r="B3977" i="1"/>
  <c r="E3977" i="1" s="1"/>
  <c r="B3978" i="1"/>
  <c r="E3978" i="1" s="1"/>
  <c r="B3979" i="1"/>
  <c r="E3979" i="1" s="1"/>
  <c r="B3980" i="1"/>
  <c r="E3980" i="1" s="1"/>
  <c r="B3981" i="1"/>
  <c r="E3981" i="1" s="1"/>
  <c r="B3982" i="1"/>
  <c r="E3982" i="1" s="1"/>
  <c r="B3983" i="1"/>
  <c r="E3983" i="1" s="1"/>
  <c r="B3984" i="1"/>
  <c r="E3984" i="1" s="1"/>
  <c r="B3985" i="1"/>
  <c r="E3985" i="1" s="1"/>
  <c r="B3986" i="1"/>
  <c r="E3986" i="1" s="1"/>
  <c r="B3987" i="1"/>
  <c r="E3987" i="1" s="1"/>
  <c r="B3988" i="1"/>
  <c r="E3988" i="1" s="1"/>
  <c r="B3989" i="1"/>
  <c r="E3989" i="1" s="1"/>
  <c r="B3990" i="1"/>
  <c r="E3990" i="1" s="1"/>
  <c r="B3991" i="1"/>
  <c r="E3991" i="1" s="1"/>
  <c r="B3992" i="1"/>
  <c r="E3992" i="1" s="1"/>
  <c r="B3993" i="1"/>
  <c r="E3993" i="1" s="1"/>
  <c r="B3994" i="1"/>
  <c r="E3994" i="1" s="1"/>
  <c r="B3995" i="1"/>
  <c r="E3995" i="1" s="1"/>
  <c r="B3996" i="1"/>
  <c r="E3996" i="1" s="1"/>
  <c r="B3997" i="1"/>
  <c r="E3997" i="1" s="1"/>
  <c r="B3998" i="1"/>
  <c r="E3998" i="1" s="1"/>
  <c r="B3999" i="1"/>
  <c r="E3999" i="1" s="1"/>
  <c r="B4000" i="1"/>
  <c r="E4000" i="1" s="1"/>
  <c r="B4001" i="1"/>
  <c r="E4001" i="1" s="1"/>
  <c r="B4002" i="1"/>
  <c r="E4002" i="1" s="1"/>
  <c r="B4003" i="1"/>
  <c r="E4003" i="1" s="1"/>
  <c r="B4004" i="1"/>
  <c r="E4004" i="1" s="1"/>
  <c r="B4005" i="1"/>
  <c r="E4005" i="1" s="1"/>
  <c r="B4006" i="1"/>
  <c r="E4006" i="1" s="1"/>
  <c r="B4007" i="1"/>
  <c r="E4007" i="1" s="1"/>
  <c r="B4008" i="1"/>
  <c r="E4008" i="1" s="1"/>
  <c r="B4009" i="1"/>
  <c r="E4009" i="1" s="1"/>
  <c r="B4010" i="1"/>
  <c r="E4010" i="1" s="1"/>
  <c r="B4011" i="1"/>
  <c r="E4011" i="1" s="1"/>
  <c r="B4012" i="1"/>
  <c r="E4012" i="1" s="1"/>
  <c r="B4013" i="1"/>
  <c r="E4013" i="1" s="1"/>
  <c r="B4014" i="1"/>
  <c r="E4014" i="1" s="1"/>
  <c r="B4015" i="1"/>
  <c r="E4015" i="1" s="1"/>
  <c r="B4016" i="1"/>
  <c r="E4016" i="1" s="1"/>
  <c r="B4017" i="1"/>
  <c r="E4017" i="1" s="1"/>
  <c r="B4018" i="1"/>
  <c r="E4018" i="1" s="1"/>
  <c r="B4019" i="1"/>
  <c r="E4019" i="1" s="1"/>
  <c r="B4020" i="1"/>
  <c r="E4020" i="1" s="1"/>
  <c r="B4021" i="1"/>
  <c r="E4021" i="1" s="1"/>
  <c r="B4022" i="1"/>
  <c r="E4022" i="1" s="1"/>
  <c r="B4023" i="1"/>
  <c r="E4023" i="1" s="1"/>
  <c r="B4024" i="1"/>
  <c r="E4024" i="1" s="1"/>
  <c r="B4025" i="1"/>
  <c r="E4025" i="1" s="1"/>
  <c r="B4026" i="1"/>
  <c r="E4026" i="1" s="1"/>
  <c r="B4027" i="1"/>
  <c r="E4027" i="1" s="1"/>
  <c r="B4028" i="1"/>
  <c r="E4028" i="1" s="1"/>
  <c r="B4029" i="1"/>
  <c r="E4029" i="1" s="1"/>
  <c r="B4030" i="1"/>
  <c r="E4030" i="1" s="1"/>
  <c r="B4031" i="1"/>
  <c r="E4031" i="1" s="1"/>
  <c r="B4032" i="1"/>
  <c r="E4032" i="1" s="1"/>
  <c r="B4033" i="1"/>
  <c r="E4033" i="1" s="1"/>
  <c r="B4034" i="1"/>
  <c r="E4034" i="1" s="1"/>
  <c r="B4035" i="1"/>
  <c r="E4035" i="1" s="1"/>
  <c r="B4036" i="1"/>
  <c r="E4036" i="1" s="1"/>
  <c r="B4037" i="1"/>
  <c r="E4037" i="1" s="1"/>
  <c r="B4038" i="1"/>
  <c r="E4038" i="1" s="1"/>
  <c r="B4039" i="1"/>
  <c r="E4039" i="1" s="1"/>
  <c r="B4040" i="1"/>
  <c r="E4040" i="1" s="1"/>
  <c r="B4041" i="1"/>
  <c r="E4041" i="1" s="1"/>
  <c r="B4042" i="1"/>
  <c r="E4042" i="1" s="1"/>
  <c r="B4043" i="1"/>
  <c r="E4043" i="1" s="1"/>
  <c r="B4044" i="1"/>
  <c r="E4044" i="1" s="1"/>
  <c r="B4045" i="1"/>
  <c r="E4045" i="1" s="1"/>
  <c r="B4046" i="1"/>
  <c r="E4046" i="1" s="1"/>
  <c r="B4047" i="1"/>
  <c r="E4047" i="1" s="1"/>
  <c r="B4048" i="1"/>
  <c r="E4048" i="1" s="1"/>
  <c r="B4049" i="1"/>
  <c r="E4049" i="1" s="1"/>
  <c r="B4050" i="1"/>
  <c r="E4050" i="1" s="1"/>
  <c r="B4051" i="1"/>
  <c r="E4051" i="1" s="1"/>
  <c r="B4052" i="1"/>
  <c r="E4052" i="1" s="1"/>
  <c r="B4053" i="1"/>
  <c r="E4053" i="1" s="1"/>
  <c r="B4054" i="1"/>
  <c r="E4054" i="1" s="1"/>
  <c r="B4055" i="1"/>
  <c r="E4055" i="1" s="1"/>
  <c r="B4056" i="1"/>
  <c r="E4056" i="1" s="1"/>
  <c r="B4057" i="1"/>
  <c r="E4057" i="1" s="1"/>
  <c r="B4058" i="1"/>
  <c r="E4058" i="1" s="1"/>
  <c r="B4059" i="1"/>
  <c r="E4059" i="1" s="1"/>
  <c r="B4060" i="1"/>
  <c r="E4060" i="1" s="1"/>
  <c r="B4061" i="1"/>
  <c r="E4061" i="1" s="1"/>
  <c r="B4062" i="1"/>
  <c r="E4062" i="1" s="1"/>
  <c r="B4063" i="1"/>
  <c r="E4063" i="1" s="1"/>
  <c r="B4064" i="1"/>
  <c r="E4064" i="1" s="1"/>
  <c r="B4065" i="1"/>
  <c r="E4065" i="1" s="1"/>
  <c r="B4066" i="1"/>
  <c r="E4066" i="1" s="1"/>
  <c r="B4067" i="1"/>
  <c r="E4067" i="1" s="1"/>
  <c r="B4068" i="1"/>
  <c r="E4068" i="1" s="1"/>
  <c r="B4069" i="1"/>
  <c r="E4069" i="1" s="1"/>
  <c r="B4070" i="1"/>
  <c r="E4070" i="1" s="1"/>
  <c r="B4071" i="1"/>
  <c r="E4071" i="1" s="1"/>
  <c r="B4072" i="1"/>
  <c r="E4072" i="1" s="1"/>
  <c r="B4073" i="1"/>
  <c r="E4073" i="1" s="1"/>
  <c r="B4074" i="1"/>
  <c r="E4074" i="1" s="1"/>
  <c r="B4075" i="1"/>
  <c r="E4075" i="1" s="1"/>
  <c r="B4076" i="1"/>
  <c r="E4076" i="1" s="1"/>
  <c r="B4077" i="1"/>
  <c r="E4077" i="1" s="1"/>
  <c r="B4078" i="1"/>
  <c r="E4078" i="1" s="1"/>
  <c r="B4079" i="1"/>
  <c r="E4079" i="1" s="1"/>
  <c r="B4080" i="1"/>
  <c r="E4080" i="1" s="1"/>
  <c r="B4081" i="1"/>
  <c r="E4081" i="1" s="1"/>
  <c r="B4082" i="1"/>
  <c r="E4082" i="1" s="1"/>
  <c r="B4083" i="1"/>
  <c r="E4083" i="1" s="1"/>
  <c r="B4084" i="1"/>
  <c r="E4084" i="1" s="1"/>
  <c r="B4085" i="1"/>
  <c r="E4085" i="1" s="1"/>
  <c r="B4086" i="1"/>
  <c r="E4086" i="1" s="1"/>
  <c r="B4087" i="1"/>
  <c r="E4087" i="1" s="1"/>
  <c r="B4088" i="1"/>
  <c r="E4088" i="1" s="1"/>
  <c r="B4089" i="1"/>
  <c r="E4089" i="1" s="1"/>
  <c r="B4090" i="1"/>
  <c r="E4090" i="1" s="1"/>
  <c r="B4091" i="1"/>
  <c r="E4091" i="1" s="1"/>
  <c r="B4092" i="1"/>
  <c r="E4092" i="1" s="1"/>
  <c r="B4093" i="1"/>
  <c r="E4093" i="1" s="1"/>
  <c r="B4094" i="1"/>
  <c r="E4094" i="1" s="1"/>
  <c r="B4095" i="1"/>
  <c r="E4095" i="1" s="1"/>
  <c r="B4096" i="1"/>
  <c r="E4096" i="1" s="1"/>
  <c r="B4097" i="1"/>
  <c r="E4097" i="1" s="1"/>
  <c r="B4098" i="1"/>
  <c r="E4098" i="1" s="1"/>
  <c r="B4099" i="1"/>
  <c r="E4099" i="1" s="1"/>
  <c r="B4100" i="1"/>
  <c r="E4100" i="1" s="1"/>
  <c r="B4101" i="1"/>
  <c r="E4101" i="1" s="1"/>
  <c r="B4102" i="1"/>
  <c r="E4102" i="1" s="1"/>
  <c r="B4103" i="1"/>
  <c r="E4103" i="1" s="1"/>
  <c r="B4104" i="1"/>
  <c r="E4104" i="1" s="1"/>
  <c r="B4105" i="1"/>
  <c r="E4105" i="1" s="1"/>
  <c r="B4106" i="1"/>
  <c r="E4106" i="1" s="1"/>
  <c r="B4107" i="1"/>
  <c r="E4107" i="1" s="1"/>
  <c r="B4108" i="1"/>
  <c r="E4108" i="1" s="1"/>
  <c r="B4109" i="1"/>
  <c r="E4109" i="1" s="1"/>
  <c r="B4110" i="1"/>
  <c r="E4110" i="1" s="1"/>
  <c r="B4111" i="1"/>
  <c r="E4111" i="1" s="1"/>
  <c r="B4112" i="1"/>
  <c r="E4112" i="1" s="1"/>
  <c r="B4113" i="1"/>
  <c r="E4113" i="1" s="1"/>
  <c r="B4114" i="1"/>
  <c r="E4114" i="1" s="1"/>
  <c r="B4115" i="1"/>
  <c r="E4115" i="1" s="1"/>
  <c r="B4116" i="1"/>
  <c r="E4116" i="1" s="1"/>
  <c r="B4117" i="1"/>
  <c r="E4117" i="1" s="1"/>
  <c r="B4118" i="1"/>
  <c r="E4118" i="1" s="1"/>
  <c r="B4119" i="1"/>
  <c r="E4119" i="1" s="1"/>
  <c r="B4120" i="1"/>
  <c r="E4120" i="1" s="1"/>
  <c r="B4121" i="1"/>
  <c r="E4121" i="1" s="1"/>
  <c r="B4122" i="1"/>
  <c r="E4122" i="1" s="1"/>
  <c r="B4123" i="1"/>
  <c r="E4123" i="1" s="1"/>
  <c r="B4124" i="1"/>
  <c r="E4124" i="1" s="1"/>
  <c r="B4125" i="1"/>
  <c r="E4125" i="1" s="1"/>
  <c r="B4126" i="1"/>
  <c r="E4126" i="1" s="1"/>
  <c r="B4127" i="1"/>
  <c r="E4127" i="1" s="1"/>
  <c r="B4128" i="1"/>
  <c r="E4128" i="1" s="1"/>
  <c r="B4129" i="1"/>
  <c r="E4129" i="1" s="1"/>
  <c r="B4130" i="1"/>
  <c r="E4130" i="1" s="1"/>
  <c r="B4131" i="1"/>
  <c r="E4131" i="1" s="1"/>
  <c r="B4132" i="1"/>
  <c r="E4132" i="1" s="1"/>
  <c r="B4133" i="1"/>
  <c r="E4133" i="1" s="1"/>
  <c r="B4134" i="1"/>
  <c r="E4134" i="1" s="1"/>
  <c r="B4135" i="1"/>
  <c r="E4135" i="1" s="1"/>
  <c r="B4136" i="1"/>
  <c r="E4136" i="1" s="1"/>
  <c r="B4137" i="1"/>
  <c r="E4137" i="1" s="1"/>
  <c r="B4138" i="1"/>
  <c r="E4138" i="1" s="1"/>
  <c r="B4139" i="1"/>
  <c r="E4139" i="1" s="1"/>
  <c r="B4140" i="1"/>
  <c r="E4140" i="1" s="1"/>
  <c r="B4141" i="1"/>
  <c r="E4141" i="1" s="1"/>
  <c r="B4142" i="1"/>
  <c r="E4142" i="1" s="1"/>
  <c r="B4143" i="1"/>
  <c r="E4143" i="1" s="1"/>
  <c r="B4144" i="1"/>
  <c r="E4144" i="1" s="1"/>
  <c r="B4145" i="1"/>
  <c r="E4145" i="1" s="1"/>
  <c r="B4146" i="1"/>
  <c r="E4146" i="1" s="1"/>
  <c r="B4147" i="1"/>
  <c r="E4147" i="1" s="1"/>
  <c r="B4148" i="1"/>
  <c r="E4148" i="1" s="1"/>
  <c r="B4149" i="1"/>
  <c r="E4149" i="1" s="1"/>
  <c r="B4150" i="1"/>
  <c r="E4150" i="1" s="1"/>
  <c r="B4151" i="1"/>
  <c r="E4151" i="1" s="1"/>
  <c r="B4152" i="1"/>
  <c r="E4152" i="1" s="1"/>
  <c r="B4153" i="1"/>
  <c r="E4153" i="1" s="1"/>
  <c r="B4154" i="1"/>
  <c r="E4154" i="1" s="1"/>
  <c r="B4155" i="1"/>
  <c r="E4155" i="1" s="1"/>
  <c r="B4156" i="1"/>
  <c r="E4156" i="1" s="1"/>
  <c r="B4157" i="1"/>
  <c r="E4157" i="1" s="1"/>
  <c r="B4158" i="1"/>
  <c r="E4158" i="1" s="1"/>
  <c r="B4159" i="1"/>
  <c r="E4159" i="1" s="1"/>
  <c r="B4160" i="1"/>
  <c r="E4160" i="1" s="1"/>
  <c r="B4161" i="1"/>
  <c r="E4161" i="1" s="1"/>
  <c r="B4162" i="1"/>
  <c r="E4162" i="1" s="1"/>
  <c r="B4163" i="1"/>
  <c r="E4163" i="1" s="1"/>
  <c r="B4164" i="1"/>
  <c r="E4164" i="1" s="1"/>
  <c r="B4165" i="1"/>
  <c r="E4165" i="1" s="1"/>
  <c r="B4166" i="1"/>
  <c r="E4166" i="1" s="1"/>
  <c r="B4167" i="1"/>
  <c r="E4167" i="1" s="1"/>
  <c r="B4168" i="1"/>
  <c r="E4168" i="1" s="1"/>
  <c r="B4169" i="1"/>
  <c r="E4169" i="1" s="1"/>
  <c r="B4170" i="1"/>
  <c r="E4170" i="1" s="1"/>
  <c r="B4171" i="1"/>
  <c r="E4171" i="1" s="1"/>
  <c r="B4172" i="1"/>
  <c r="E4172" i="1" s="1"/>
  <c r="B4173" i="1"/>
  <c r="E4173" i="1" s="1"/>
  <c r="B4174" i="1"/>
  <c r="E4174" i="1" s="1"/>
  <c r="B4175" i="1"/>
  <c r="E4175" i="1" s="1"/>
  <c r="B4176" i="1"/>
  <c r="E4176" i="1" s="1"/>
  <c r="B4177" i="1"/>
  <c r="E4177" i="1" s="1"/>
  <c r="B4178" i="1"/>
  <c r="E4178" i="1" s="1"/>
  <c r="B4179" i="1"/>
  <c r="E4179" i="1" s="1"/>
  <c r="B4180" i="1"/>
  <c r="E4180" i="1" s="1"/>
  <c r="B4181" i="1"/>
  <c r="E4181" i="1" s="1"/>
  <c r="B4182" i="1"/>
  <c r="E4182" i="1" s="1"/>
  <c r="B4183" i="1"/>
  <c r="E4183" i="1" s="1"/>
  <c r="B4184" i="1"/>
  <c r="E4184" i="1" s="1"/>
  <c r="B4185" i="1"/>
  <c r="E4185" i="1" s="1"/>
  <c r="B4186" i="1"/>
  <c r="E4186" i="1" s="1"/>
  <c r="B4187" i="1"/>
  <c r="E4187" i="1" s="1"/>
  <c r="B4188" i="1"/>
  <c r="E4188" i="1" s="1"/>
  <c r="B4189" i="1"/>
  <c r="E4189" i="1" s="1"/>
  <c r="B4190" i="1"/>
  <c r="E4190" i="1" s="1"/>
  <c r="B4191" i="1"/>
  <c r="E4191" i="1" s="1"/>
  <c r="B4192" i="1"/>
  <c r="E4192" i="1" s="1"/>
  <c r="B4193" i="1"/>
  <c r="E4193" i="1" s="1"/>
  <c r="B4194" i="1"/>
  <c r="E4194" i="1" s="1"/>
  <c r="B4195" i="1"/>
  <c r="E4195" i="1" s="1"/>
  <c r="B4196" i="1"/>
  <c r="E4196" i="1" s="1"/>
  <c r="B4197" i="1"/>
  <c r="E4197" i="1" s="1"/>
  <c r="B4198" i="1"/>
  <c r="E4198" i="1" s="1"/>
  <c r="B4199" i="1"/>
  <c r="E4199" i="1" s="1"/>
  <c r="B4200" i="1"/>
  <c r="E4200" i="1" s="1"/>
  <c r="B4201" i="1"/>
  <c r="E4201" i="1" s="1"/>
  <c r="B4202" i="1"/>
  <c r="E4202" i="1" s="1"/>
  <c r="B4203" i="1"/>
  <c r="E4203" i="1" s="1"/>
  <c r="B4204" i="1"/>
  <c r="E4204" i="1" s="1"/>
  <c r="B4205" i="1"/>
  <c r="E4205" i="1" s="1"/>
  <c r="B4206" i="1"/>
  <c r="E4206" i="1" s="1"/>
  <c r="B4207" i="1"/>
  <c r="E4207" i="1" s="1"/>
  <c r="B4208" i="1"/>
  <c r="E4208" i="1" s="1"/>
  <c r="B4209" i="1"/>
  <c r="E4209" i="1" s="1"/>
  <c r="B4210" i="1"/>
  <c r="E4210" i="1" s="1"/>
  <c r="B4211" i="1"/>
  <c r="E4211" i="1" s="1"/>
  <c r="B4212" i="1"/>
  <c r="E4212" i="1" s="1"/>
  <c r="B4213" i="1"/>
  <c r="E4213" i="1" s="1"/>
  <c r="B4214" i="1"/>
  <c r="E4214" i="1" s="1"/>
  <c r="B4215" i="1"/>
  <c r="E4215" i="1" s="1"/>
  <c r="B4216" i="1"/>
  <c r="E4216" i="1" s="1"/>
  <c r="B4217" i="1"/>
  <c r="E4217" i="1" s="1"/>
  <c r="B4218" i="1"/>
  <c r="E4218" i="1" s="1"/>
  <c r="B4219" i="1"/>
  <c r="E4219" i="1" s="1"/>
  <c r="B4220" i="1"/>
  <c r="E4220" i="1" s="1"/>
  <c r="B4221" i="1"/>
  <c r="E4221" i="1" s="1"/>
  <c r="B4222" i="1"/>
  <c r="E4222" i="1" s="1"/>
  <c r="B4223" i="1"/>
  <c r="E4223" i="1" s="1"/>
  <c r="B4224" i="1"/>
  <c r="E4224" i="1" s="1"/>
  <c r="B4225" i="1"/>
  <c r="E4225" i="1" s="1"/>
  <c r="B4226" i="1"/>
  <c r="E4226" i="1" s="1"/>
  <c r="B4227" i="1"/>
  <c r="E4227" i="1" s="1"/>
  <c r="B4228" i="1"/>
  <c r="E4228" i="1" s="1"/>
  <c r="B4229" i="1"/>
  <c r="E4229" i="1" s="1"/>
  <c r="B4230" i="1"/>
  <c r="E4230" i="1" s="1"/>
  <c r="B4231" i="1"/>
  <c r="E4231" i="1" s="1"/>
  <c r="B4232" i="1"/>
  <c r="E4232" i="1" s="1"/>
  <c r="B4233" i="1"/>
  <c r="E4233" i="1" s="1"/>
  <c r="B4234" i="1"/>
  <c r="E4234" i="1" s="1"/>
  <c r="B4235" i="1"/>
  <c r="E4235" i="1" s="1"/>
  <c r="B4236" i="1"/>
  <c r="E4236" i="1" s="1"/>
  <c r="B4237" i="1"/>
  <c r="E4237" i="1" s="1"/>
  <c r="B4238" i="1"/>
  <c r="E4238" i="1" s="1"/>
  <c r="B4239" i="1"/>
  <c r="E4239" i="1" s="1"/>
  <c r="B4240" i="1"/>
  <c r="E4240" i="1" s="1"/>
  <c r="B4241" i="1"/>
  <c r="E4241" i="1" s="1"/>
  <c r="B4242" i="1"/>
  <c r="E4242" i="1" s="1"/>
  <c r="B4243" i="1"/>
  <c r="E4243" i="1" s="1"/>
  <c r="B4244" i="1"/>
  <c r="E4244" i="1" s="1"/>
  <c r="B4245" i="1"/>
  <c r="E4245" i="1" s="1"/>
  <c r="B4246" i="1"/>
  <c r="E4246" i="1" s="1"/>
  <c r="B4247" i="1"/>
  <c r="E4247" i="1" s="1"/>
  <c r="B4248" i="1"/>
  <c r="E4248" i="1" s="1"/>
  <c r="B4249" i="1"/>
  <c r="E4249" i="1" s="1"/>
  <c r="B4250" i="1"/>
  <c r="E4250" i="1" s="1"/>
  <c r="B4251" i="1"/>
  <c r="E4251" i="1" s="1"/>
  <c r="B4252" i="1"/>
  <c r="E4252" i="1" s="1"/>
  <c r="B4253" i="1"/>
  <c r="E4253" i="1" s="1"/>
  <c r="B4254" i="1"/>
  <c r="E4254" i="1" s="1"/>
  <c r="B4255" i="1"/>
  <c r="E4255" i="1" s="1"/>
  <c r="B4256" i="1"/>
  <c r="E4256" i="1" s="1"/>
  <c r="B4257" i="1"/>
  <c r="E4257" i="1" s="1"/>
  <c r="B4258" i="1"/>
  <c r="E4258" i="1" s="1"/>
  <c r="B4259" i="1"/>
  <c r="E4259" i="1" s="1"/>
  <c r="B4260" i="1"/>
  <c r="E4260" i="1" s="1"/>
  <c r="B4261" i="1"/>
  <c r="E4261" i="1" s="1"/>
  <c r="B4262" i="1"/>
  <c r="E4262" i="1" s="1"/>
  <c r="B4263" i="1"/>
  <c r="E4263" i="1" s="1"/>
  <c r="B4264" i="1"/>
  <c r="E4264" i="1" s="1"/>
  <c r="B4265" i="1"/>
  <c r="E4265" i="1" s="1"/>
  <c r="B4266" i="1"/>
  <c r="E4266" i="1" s="1"/>
  <c r="B4267" i="1"/>
  <c r="E4267" i="1" s="1"/>
  <c r="B4268" i="1"/>
  <c r="E4268" i="1" s="1"/>
  <c r="B4269" i="1"/>
  <c r="E4269" i="1" s="1"/>
  <c r="B4270" i="1"/>
  <c r="E4270" i="1" s="1"/>
  <c r="B4271" i="1"/>
  <c r="E4271" i="1" s="1"/>
  <c r="B4272" i="1"/>
  <c r="E4272" i="1" s="1"/>
  <c r="B4273" i="1"/>
  <c r="E4273" i="1" s="1"/>
  <c r="B4274" i="1"/>
  <c r="E4274" i="1" s="1"/>
  <c r="B4275" i="1"/>
  <c r="E4275" i="1" s="1"/>
  <c r="B4276" i="1"/>
  <c r="E4276" i="1" s="1"/>
  <c r="B4277" i="1"/>
  <c r="E4277" i="1" s="1"/>
  <c r="B4278" i="1"/>
  <c r="E4278" i="1" s="1"/>
  <c r="B4279" i="1"/>
  <c r="E4279" i="1" s="1"/>
  <c r="B4280" i="1"/>
  <c r="E4280" i="1" s="1"/>
  <c r="B4281" i="1"/>
  <c r="E4281" i="1" s="1"/>
  <c r="B4282" i="1"/>
  <c r="E4282" i="1" s="1"/>
  <c r="B4283" i="1"/>
  <c r="E4283" i="1" s="1"/>
  <c r="B4284" i="1"/>
  <c r="E4284" i="1" s="1"/>
  <c r="B4285" i="1"/>
  <c r="E4285" i="1" s="1"/>
  <c r="B4286" i="1"/>
  <c r="E4286" i="1" s="1"/>
  <c r="B4287" i="1"/>
  <c r="E4287" i="1" s="1"/>
  <c r="B4288" i="1"/>
  <c r="E4288" i="1" s="1"/>
  <c r="B4289" i="1"/>
  <c r="E4289" i="1" s="1"/>
  <c r="B4290" i="1"/>
  <c r="E4290" i="1" s="1"/>
  <c r="B4291" i="1"/>
  <c r="E4291" i="1" s="1"/>
  <c r="B4292" i="1"/>
  <c r="E4292" i="1" s="1"/>
  <c r="B4293" i="1"/>
  <c r="E4293" i="1" s="1"/>
  <c r="B4294" i="1"/>
  <c r="E4294" i="1" s="1"/>
  <c r="B4295" i="1"/>
  <c r="E4295" i="1" s="1"/>
  <c r="B4296" i="1"/>
  <c r="E4296" i="1" s="1"/>
  <c r="B4297" i="1"/>
  <c r="E4297" i="1" s="1"/>
  <c r="B4298" i="1"/>
  <c r="E4298" i="1" s="1"/>
  <c r="B4299" i="1"/>
  <c r="E4299" i="1" s="1"/>
  <c r="B4300" i="1"/>
  <c r="E4300" i="1" s="1"/>
  <c r="B4301" i="1"/>
  <c r="E4301" i="1" s="1"/>
  <c r="B4302" i="1"/>
  <c r="E4302" i="1" s="1"/>
  <c r="B4303" i="1"/>
  <c r="E4303" i="1" s="1"/>
  <c r="B4304" i="1"/>
  <c r="E4304" i="1" s="1"/>
  <c r="B4305" i="1"/>
  <c r="E4305" i="1" s="1"/>
  <c r="B4306" i="1"/>
  <c r="E4306" i="1" s="1"/>
  <c r="B4307" i="1"/>
  <c r="E4307" i="1" s="1"/>
  <c r="B4308" i="1"/>
  <c r="E4308" i="1" s="1"/>
  <c r="B4309" i="1"/>
  <c r="E4309" i="1" s="1"/>
  <c r="B4310" i="1"/>
  <c r="E4310" i="1" s="1"/>
  <c r="B4311" i="1"/>
  <c r="E4311" i="1" s="1"/>
  <c r="B4312" i="1"/>
  <c r="E4312" i="1" s="1"/>
  <c r="B4313" i="1"/>
  <c r="E4313" i="1" s="1"/>
  <c r="B4314" i="1"/>
  <c r="E4314" i="1" s="1"/>
  <c r="B4315" i="1"/>
  <c r="E4315" i="1" s="1"/>
  <c r="B4316" i="1"/>
  <c r="E4316" i="1" s="1"/>
  <c r="B4317" i="1"/>
  <c r="E4317" i="1" s="1"/>
  <c r="B4318" i="1"/>
  <c r="E4318" i="1" s="1"/>
  <c r="B4319" i="1"/>
  <c r="E4319" i="1" s="1"/>
  <c r="B4320" i="1"/>
  <c r="E4320" i="1" s="1"/>
  <c r="B4321" i="1"/>
  <c r="E4321" i="1" s="1"/>
  <c r="B4322" i="1"/>
  <c r="E4322" i="1" s="1"/>
  <c r="B4323" i="1"/>
  <c r="E4323" i="1" s="1"/>
  <c r="B4324" i="1"/>
  <c r="E4324" i="1" s="1"/>
  <c r="B4325" i="1"/>
  <c r="E4325" i="1" s="1"/>
  <c r="B4326" i="1"/>
  <c r="E4326" i="1" s="1"/>
  <c r="B4327" i="1"/>
  <c r="E4327" i="1" s="1"/>
  <c r="B4328" i="1"/>
  <c r="E4328" i="1" s="1"/>
  <c r="B4329" i="1"/>
  <c r="E4329" i="1" s="1"/>
  <c r="B4330" i="1"/>
  <c r="E4330" i="1" s="1"/>
  <c r="B4331" i="1"/>
  <c r="E4331" i="1" s="1"/>
  <c r="B4332" i="1"/>
  <c r="E4332" i="1" s="1"/>
  <c r="B4333" i="1"/>
  <c r="E4333" i="1" s="1"/>
  <c r="B4334" i="1"/>
  <c r="E4334" i="1" s="1"/>
  <c r="B4335" i="1"/>
  <c r="E4335" i="1" s="1"/>
  <c r="B4336" i="1"/>
  <c r="E4336" i="1" s="1"/>
  <c r="B4337" i="1"/>
  <c r="E4337" i="1" s="1"/>
  <c r="B4338" i="1"/>
  <c r="E4338" i="1" s="1"/>
  <c r="B4339" i="1"/>
  <c r="E4339" i="1" s="1"/>
  <c r="B4340" i="1"/>
  <c r="E4340" i="1" s="1"/>
  <c r="B4341" i="1"/>
  <c r="E4341" i="1" s="1"/>
  <c r="B4342" i="1"/>
  <c r="E4342" i="1" s="1"/>
  <c r="B4343" i="1"/>
  <c r="E4343" i="1" s="1"/>
  <c r="B4344" i="1"/>
  <c r="E4344" i="1" s="1"/>
  <c r="B4345" i="1"/>
  <c r="E4345" i="1" s="1"/>
  <c r="B4346" i="1"/>
  <c r="E4346" i="1" s="1"/>
  <c r="B4347" i="1"/>
  <c r="E4347" i="1" s="1"/>
  <c r="B4348" i="1"/>
  <c r="E4348" i="1" s="1"/>
  <c r="B4349" i="1"/>
  <c r="E4349" i="1" s="1"/>
  <c r="B4350" i="1"/>
  <c r="E4350" i="1" s="1"/>
  <c r="B4351" i="1"/>
  <c r="E4351" i="1" s="1"/>
  <c r="B4352" i="1"/>
  <c r="E4352" i="1" s="1"/>
  <c r="B4353" i="1"/>
  <c r="E4353" i="1" s="1"/>
  <c r="B4354" i="1"/>
  <c r="E4354" i="1" s="1"/>
  <c r="B4355" i="1"/>
  <c r="E4355" i="1" s="1"/>
  <c r="B4356" i="1"/>
  <c r="E4356" i="1" s="1"/>
  <c r="B4357" i="1"/>
  <c r="E4357" i="1" s="1"/>
  <c r="B4358" i="1"/>
  <c r="E4358" i="1" s="1"/>
  <c r="B4359" i="1"/>
  <c r="E4359" i="1" s="1"/>
  <c r="B4360" i="1"/>
  <c r="E4360" i="1" s="1"/>
  <c r="B4361" i="1"/>
  <c r="E4361" i="1" s="1"/>
  <c r="B4362" i="1"/>
  <c r="E4362" i="1" s="1"/>
  <c r="B4363" i="1"/>
  <c r="E4363" i="1" s="1"/>
  <c r="B4364" i="1"/>
  <c r="E4364" i="1" s="1"/>
  <c r="B4365" i="1"/>
  <c r="E4365" i="1" s="1"/>
  <c r="B4366" i="1"/>
  <c r="E4366" i="1" s="1"/>
  <c r="B4367" i="1"/>
  <c r="E4367" i="1" s="1"/>
  <c r="B4368" i="1"/>
  <c r="E4368" i="1" s="1"/>
  <c r="B4369" i="1"/>
  <c r="E4369" i="1" s="1"/>
  <c r="B4370" i="1"/>
  <c r="E4370" i="1" s="1"/>
  <c r="B4371" i="1"/>
  <c r="E4371" i="1" s="1"/>
  <c r="B4372" i="1"/>
  <c r="E4372" i="1" s="1"/>
  <c r="B4373" i="1"/>
  <c r="E4373" i="1" s="1"/>
  <c r="B4374" i="1"/>
  <c r="E4374" i="1" s="1"/>
  <c r="B4375" i="1"/>
  <c r="E4375" i="1" s="1"/>
  <c r="B4376" i="1"/>
  <c r="E4376" i="1" s="1"/>
  <c r="B4377" i="1"/>
  <c r="E4377" i="1" s="1"/>
  <c r="B4378" i="1"/>
  <c r="E4378" i="1" s="1"/>
  <c r="B4379" i="1"/>
  <c r="E4379" i="1" s="1"/>
  <c r="B4380" i="1"/>
  <c r="E4380" i="1" s="1"/>
  <c r="B4381" i="1"/>
  <c r="E4381" i="1" s="1"/>
  <c r="B4382" i="1"/>
  <c r="E4382" i="1" s="1"/>
  <c r="B4383" i="1"/>
  <c r="E4383" i="1" s="1"/>
  <c r="B4384" i="1"/>
  <c r="E4384" i="1" s="1"/>
  <c r="B4385" i="1"/>
  <c r="E4385" i="1" s="1"/>
  <c r="B4386" i="1"/>
  <c r="E4386" i="1" s="1"/>
  <c r="B4387" i="1"/>
  <c r="E4387" i="1" s="1"/>
  <c r="B4388" i="1"/>
  <c r="E4388" i="1" s="1"/>
  <c r="B4389" i="1"/>
  <c r="E4389" i="1" s="1"/>
  <c r="B4390" i="1"/>
  <c r="E4390" i="1" s="1"/>
  <c r="B4391" i="1"/>
  <c r="E4391" i="1" s="1"/>
  <c r="B4392" i="1"/>
  <c r="E4392" i="1" s="1"/>
  <c r="B4393" i="1"/>
  <c r="E4393" i="1" s="1"/>
  <c r="B4394" i="1"/>
  <c r="E4394" i="1" s="1"/>
  <c r="B4395" i="1"/>
  <c r="E4395" i="1" s="1"/>
  <c r="B4396" i="1"/>
  <c r="E4396" i="1" s="1"/>
  <c r="B4397" i="1"/>
  <c r="E4397" i="1" s="1"/>
  <c r="B4398" i="1"/>
  <c r="E4398" i="1" s="1"/>
  <c r="B4399" i="1"/>
  <c r="E4399" i="1" s="1"/>
  <c r="B4400" i="1"/>
  <c r="E4400" i="1" s="1"/>
  <c r="B4401" i="1"/>
  <c r="E4401" i="1" s="1"/>
  <c r="B4402" i="1"/>
  <c r="E4402" i="1" s="1"/>
  <c r="B4403" i="1"/>
  <c r="E4403" i="1" s="1"/>
  <c r="B4404" i="1"/>
  <c r="E4404" i="1" s="1"/>
  <c r="B4405" i="1"/>
  <c r="E4405" i="1" s="1"/>
  <c r="B4406" i="1"/>
  <c r="E4406" i="1" s="1"/>
  <c r="B4407" i="1"/>
  <c r="E4407" i="1" s="1"/>
  <c r="B4408" i="1"/>
  <c r="E4408" i="1" s="1"/>
  <c r="B4409" i="1"/>
  <c r="E4409" i="1" s="1"/>
  <c r="B4410" i="1"/>
  <c r="E4410" i="1" s="1"/>
  <c r="B4411" i="1"/>
  <c r="E4411" i="1" s="1"/>
  <c r="B4412" i="1"/>
  <c r="E4412" i="1" s="1"/>
  <c r="B4413" i="1"/>
  <c r="E4413" i="1" s="1"/>
  <c r="B4414" i="1"/>
  <c r="E4414" i="1" s="1"/>
  <c r="B4415" i="1"/>
  <c r="E4415" i="1" s="1"/>
  <c r="B4416" i="1"/>
  <c r="E4416" i="1" s="1"/>
  <c r="B4417" i="1"/>
  <c r="E4417" i="1" s="1"/>
  <c r="B4418" i="1"/>
  <c r="E4418" i="1" s="1"/>
  <c r="B4419" i="1"/>
  <c r="E4419" i="1" s="1"/>
  <c r="B4420" i="1"/>
  <c r="E4420" i="1" s="1"/>
  <c r="B4421" i="1"/>
  <c r="E4421" i="1" s="1"/>
  <c r="B4422" i="1"/>
  <c r="E4422" i="1" s="1"/>
  <c r="B4423" i="1"/>
  <c r="E4423" i="1" s="1"/>
  <c r="B4424" i="1"/>
  <c r="E4424" i="1" s="1"/>
  <c r="B4425" i="1"/>
  <c r="E4425" i="1" s="1"/>
  <c r="B4426" i="1"/>
  <c r="E4426" i="1" s="1"/>
  <c r="B4427" i="1"/>
  <c r="E4427" i="1" s="1"/>
  <c r="B4428" i="1"/>
  <c r="E4428" i="1" s="1"/>
  <c r="B4429" i="1"/>
  <c r="E4429" i="1" s="1"/>
  <c r="B4430" i="1"/>
  <c r="E4430" i="1" s="1"/>
  <c r="B4431" i="1"/>
  <c r="E4431" i="1" s="1"/>
  <c r="B4432" i="1"/>
  <c r="E4432" i="1" s="1"/>
  <c r="B4433" i="1"/>
  <c r="E4433" i="1" s="1"/>
  <c r="B4434" i="1"/>
  <c r="E4434" i="1" s="1"/>
  <c r="B4435" i="1"/>
  <c r="E4435" i="1" s="1"/>
  <c r="B4436" i="1"/>
  <c r="E4436" i="1" s="1"/>
  <c r="B4437" i="1"/>
  <c r="E4437" i="1" s="1"/>
  <c r="B4438" i="1"/>
  <c r="E4438" i="1" s="1"/>
  <c r="B4439" i="1"/>
  <c r="E4439" i="1" s="1"/>
  <c r="B4440" i="1"/>
  <c r="E4440" i="1" s="1"/>
  <c r="B4441" i="1"/>
  <c r="E4441" i="1" s="1"/>
  <c r="B4442" i="1"/>
  <c r="E4442" i="1" s="1"/>
  <c r="B4443" i="1"/>
  <c r="E4443" i="1" s="1"/>
  <c r="B4444" i="1"/>
  <c r="E4444" i="1" s="1"/>
  <c r="B4445" i="1"/>
  <c r="E4445" i="1" s="1"/>
  <c r="B4446" i="1"/>
  <c r="E4446" i="1" s="1"/>
  <c r="B4447" i="1"/>
  <c r="E4447" i="1" s="1"/>
  <c r="B4448" i="1"/>
  <c r="E4448" i="1" s="1"/>
  <c r="B4449" i="1"/>
  <c r="E4449" i="1" s="1"/>
  <c r="B4450" i="1"/>
  <c r="E4450" i="1" s="1"/>
  <c r="B4451" i="1"/>
  <c r="E4451" i="1" s="1"/>
  <c r="B4452" i="1"/>
  <c r="E4452" i="1" s="1"/>
  <c r="B4453" i="1"/>
  <c r="E4453" i="1" s="1"/>
  <c r="B4454" i="1"/>
  <c r="E4454" i="1" s="1"/>
  <c r="B4455" i="1"/>
  <c r="E4455" i="1" s="1"/>
  <c r="B4456" i="1"/>
  <c r="E4456" i="1" s="1"/>
  <c r="B4457" i="1"/>
  <c r="E4457" i="1" s="1"/>
  <c r="B4458" i="1"/>
  <c r="E4458" i="1" s="1"/>
  <c r="B4459" i="1"/>
  <c r="E4459" i="1" s="1"/>
  <c r="B4460" i="1"/>
  <c r="E4460" i="1" s="1"/>
  <c r="B4461" i="1"/>
  <c r="E4461" i="1" s="1"/>
  <c r="B4462" i="1"/>
  <c r="E4462" i="1" s="1"/>
  <c r="B4463" i="1"/>
  <c r="E4463" i="1" s="1"/>
  <c r="B4464" i="1"/>
  <c r="E4464" i="1" s="1"/>
  <c r="B4465" i="1"/>
  <c r="E4465" i="1" s="1"/>
  <c r="B4466" i="1"/>
  <c r="E4466" i="1" s="1"/>
  <c r="B4467" i="1"/>
  <c r="E4467" i="1" s="1"/>
  <c r="B4468" i="1"/>
  <c r="E4468" i="1" s="1"/>
  <c r="B4469" i="1"/>
  <c r="E4469" i="1" s="1"/>
  <c r="B4470" i="1"/>
  <c r="E4470" i="1" s="1"/>
  <c r="B4471" i="1"/>
  <c r="E4471" i="1" s="1"/>
  <c r="B4472" i="1"/>
  <c r="E4472" i="1" s="1"/>
  <c r="B4473" i="1"/>
  <c r="E4473" i="1" s="1"/>
  <c r="B4474" i="1"/>
  <c r="E4474" i="1" s="1"/>
  <c r="B4475" i="1"/>
  <c r="E4475" i="1" s="1"/>
  <c r="B4476" i="1"/>
  <c r="E4476" i="1" s="1"/>
  <c r="B4477" i="1"/>
  <c r="E4477" i="1" s="1"/>
  <c r="B4478" i="1"/>
  <c r="E4478" i="1" s="1"/>
  <c r="B4479" i="1"/>
  <c r="E4479" i="1" s="1"/>
  <c r="B4480" i="1"/>
  <c r="E4480" i="1" s="1"/>
  <c r="B4481" i="1"/>
  <c r="E4481" i="1" s="1"/>
  <c r="B4482" i="1"/>
  <c r="E4482" i="1" s="1"/>
  <c r="B4483" i="1"/>
  <c r="E4483" i="1" s="1"/>
  <c r="B4484" i="1"/>
  <c r="E4484" i="1" s="1"/>
  <c r="B4485" i="1"/>
  <c r="E4485" i="1" s="1"/>
  <c r="B4486" i="1"/>
  <c r="E4486" i="1" s="1"/>
  <c r="B4487" i="1"/>
  <c r="E4487" i="1" s="1"/>
  <c r="B4488" i="1"/>
  <c r="E4488" i="1" s="1"/>
  <c r="B4489" i="1"/>
  <c r="E4489" i="1" s="1"/>
  <c r="B4490" i="1"/>
  <c r="E4490" i="1" s="1"/>
  <c r="B4491" i="1"/>
  <c r="E4491" i="1" s="1"/>
  <c r="B4492" i="1"/>
  <c r="E4492" i="1" s="1"/>
  <c r="B4493" i="1"/>
  <c r="E4493" i="1" s="1"/>
  <c r="B4494" i="1"/>
  <c r="E4494" i="1" s="1"/>
  <c r="B4495" i="1"/>
  <c r="E4495" i="1" s="1"/>
  <c r="B4496" i="1"/>
  <c r="E4496" i="1" s="1"/>
  <c r="B4497" i="1"/>
  <c r="E4497" i="1" s="1"/>
  <c r="B4498" i="1"/>
  <c r="E4498" i="1" s="1"/>
  <c r="B4499" i="1"/>
  <c r="E4499" i="1" s="1"/>
  <c r="B4500" i="1"/>
  <c r="E4500" i="1" s="1"/>
  <c r="B4501" i="1"/>
  <c r="E4501" i="1" s="1"/>
  <c r="B4502" i="1"/>
  <c r="E4502" i="1" s="1"/>
  <c r="B4503" i="1"/>
  <c r="E4503" i="1" s="1"/>
  <c r="B4504" i="1"/>
  <c r="E4504" i="1" s="1"/>
  <c r="B4505" i="1"/>
  <c r="E4505" i="1" s="1"/>
  <c r="B4506" i="1"/>
  <c r="E4506" i="1" s="1"/>
  <c r="B4507" i="1"/>
  <c r="E4507" i="1" s="1"/>
  <c r="B4508" i="1"/>
  <c r="E4508" i="1" s="1"/>
  <c r="B4509" i="1"/>
  <c r="E4509" i="1" s="1"/>
  <c r="B4510" i="1"/>
  <c r="E4510" i="1" s="1"/>
  <c r="B4511" i="1"/>
  <c r="E4511" i="1" s="1"/>
  <c r="B4512" i="1"/>
  <c r="E4512" i="1" s="1"/>
  <c r="B4513" i="1"/>
  <c r="E4513" i="1" s="1"/>
  <c r="B4514" i="1"/>
  <c r="E4514" i="1" s="1"/>
  <c r="B4515" i="1"/>
  <c r="E4515" i="1" s="1"/>
  <c r="B4516" i="1"/>
  <c r="E4516" i="1" s="1"/>
  <c r="B4517" i="1"/>
  <c r="E4517" i="1" s="1"/>
  <c r="B4518" i="1"/>
  <c r="E4518" i="1" s="1"/>
  <c r="B4519" i="1"/>
  <c r="E4519" i="1" s="1"/>
  <c r="B4520" i="1"/>
  <c r="E4520" i="1" s="1"/>
  <c r="B4521" i="1"/>
  <c r="E4521" i="1" s="1"/>
  <c r="B4522" i="1"/>
  <c r="E4522" i="1" s="1"/>
  <c r="B4523" i="1"/>
  <c r="E4523" i="1" s="1"/>
  <c r="B4524" i="1"/>
  <c r="E4524" i="1" s="1"/>
  <c r="B4525" i="1"/>
  <c r="E4525" i="1" s="1"/>
  <c r="B4526" i="1"/>
  <c r="E4526" i="1" s="1"/>
  <c r="B4527" i="1"/>
  <c r="E4527" i="1" s="1"/>
  <c r="B4528" i="1"/>
  <c r="E4528" i="1" s="1"/>
  <c r="B4529" i="1"/>
  <c r="E4529" i="1" s="1"/>
  <c r="B4530" i="1"/>
  <c r="E4530" i="1" s="1"/>
  <c r="B4531" i="1"/>
  <c r="E4531" i="1" s="1"/>
  <c r="B4532" i="1"/>
  <c r="E4532" i="1" s="1"/>
  <c r="B4533" i="1"/>
  <c r="E4533" i="1" s="1"/>
  <c r="B4534" i="1"/>
  <c r="E4534" i="1" s="1"/>
  <c r="B4535" i="1"/>
  <c r="E4535" i="1" s="1"/>
  <c r="B4536" i="1"/>
  <c r="E4536" i="1" s="1"/>
  <c r="B4537" i="1"/>
  <c r="E4537" i="1" s="1"/>
  <c r="B4538" i="1"/>
  <c r="E4538" i="1" s="1"/>
  <c r="B4539" i="1"/>
  <c r="E4539" i="1" s="1"/>
  <c r="B4540" i="1"/>
  <c r="E4540" i="1" s="1"/>
  <c r="B4541" i="1"/>
  <c r="E4541" i="1" s="1"/>
  <c r="B4542" i="1"/>
  <c r="E4542" i="1" s="1"/>
  <c r="B4543" i="1"/>
  <c r="E4543" i="1" s="1"/>
  <c r="B4544" i="1"/>
  <c r="E4544" i="1" s="1"/>
  <c r="B4545" i="1"/>
  <c r="E4545" i="1" s="1"/>
  <c r="B4546" i="1"/>
  <c r="E4546" i="1" s="1"/>
  <c r="B4547" i="1"/>
  <c r="E4547" i="1" s="1"/>
  <c r="B4548" i="1"/>
  <c r="E4548" i="1" s="1"/>
  <c r="B4549" i="1"/>
  <c r="E4549" i="1" s="1"/>
  <c r="B4550" i="1"/>
  <c r="E4550" i="1" s="1"/>
  <c r="B4551" i="1"/>
  <c r="E4551" i="1" s="1"/>
  <c r="B4552" i="1"/>
  <c r="E4552" i="1" s="1"/>
  <c r="B4553" i="1"/>
  <c r="E4553" i="1" s="1"/>
  <c r="B4554" i="1"/>
  <c r="E4554" i="1" s="1"/>
  <c r="B4555" i="1"/>
  <c r="E4555" i="1" s="1"/>
  <c r="B4556" i="1"/>
  <c r="E4556" i="1" s="1"/>
  <c r="B4557" i="1"/>
  <c r="E4557" i="1" s="1"/>
  <c r="B4558" i="1"/>
  <c r="E4558" i="1" s="1"/>
  <c r="B4559" i="1"/>
  <c r="E4559" i="1" s="1"/>
  <c r="B4560" i="1"/>
  <c r="E4560" i="1" s="1"/>
  <c r="B4561" i="1"/>
  <c r="E4561" i="1" s="1"/>
  <c r="B4562" i="1"/>
  <c r="E4562" i="1" s="1"/>
  <c r="B4563" i="1"/>
  <c r="E4563" i="1" s="1"/>
  <c r="B4564" i="1"/>
  <c r="E4564" i="1" s="1"/>
  <c r="B4565" i="1"/>
  <c r="E4565" i="1" s="1"/>
  <c r="B4566" i="1"/>
  <c r="E4566" i="1" s="1"/>
  <c r="B4567" i="1"/>
  <c r="E4567" i="1" s="1"/>
  <c r="B4568" i="1"/>
  <c r="E4568" i="1" s="1"/>
  <c r="B4569" i="1"/>
  <c r="E4569" i="1" s="1"/>
  <c r="B4570" i="1"/>
  <c r="E4570" i="1" s="1"/>
  <c r="B4571" i="1"/>
  <c r="E4571" i="1" s="1"/>
  <c r="B4572" i="1"/>
  <c r="E4572" i="1" s="1"/>
  <c r="B4573" i="1"/>
  <c r="E4573" i="1" s="1"/>
  <c r="B4574" i="1"/>
  <c r="E4574" i="1" s="1"/>
  <c r="B4575" i="1"/>
  <c r="E4575" i="1" s="1"/>
  <c r="B4576" i="1"/>
  <c r="E4576" i="1" s="1"/>
  <c r="B4577" i="1"/>
  <c r="E4577" i="1" s="1"/>
  <c r="B4578" i="1"/>
  <c r="E4578" i="1" s="1"/>
  <c r="B4579" i="1"/>
  <c r="E4579" i="1" s="1"/>
  <c r="B4580" i="1"/>
  <c r="E4580" i="1" s="1"/>
  <c r="B4581" i="1"/>
  <c r="E4581" i="1" s="1"/>
  <c r="B4582" i="1"/>
  <c r="E4582" i="1" s="1"/>
  <c r="B4583" i="1"/>
  <c r="E4583" i="1" s="1"/>
  <c r="B4584" i="1"/>
  <c r="E4584" i="1" s="1"/>
  <c r="B4585" i="1"/>
  <c r="E4585" i="1" s="1"/>
  <c r="B4586" i="1"/>
  <c r="E4586" i="1" s="1"/>
  <c r="B4587" i="1"/>
  <c r="E4587" i="1" s="1"/>
  <c r="B4588" i="1"/>
  <c r="E4588" i="1" s="1"/>
  <c r="B4589" i="1"/>
  <c r="E4589" i="1" s="1"/>
  <c r="B4590" i="1"/>
  <c r="E4590" i="1" s="1"/>
  <c r="B4591" i="1"/>
  <c r="E4591" i="1" s="1"/>
  <c r="B4592" i="1"/>
  <c r="E4592" i="1" s="1"/>
  <c r="B4593" i="1"/>
  <c r="E4593" i="1" s="1"/>
  <c r="B4594" i="1"/>
  <c r="E4594" i="1" s="1"/>
  <c r="B4595" i="1"/>
  <c r="E4595" i="1" s="1"/>
  <c r="B4596" i="1"/>
  <c r="E4596" i="1" s="1"/>
  <c r="B4597" i="1"/>
  <c r="E4597" i="1" s="1"/>
  <c r="B4598" i="1"/>
  <c r="E4598" i="1" s="1"/>
  <c r="B4599" i="1"/>
  <c r="E4599" i="1" s="1"/>
  <c r="B4600" i="1"/>
  <c r="E4600" i="1" s="1"/>
  <c r="B4601" i="1"/>
  <c r="E4601" i="1" s="1"/>
  <c r="B4602" i="1"/>
  <c r="E4602" i="1" s="1"/>
  <c r="B4603" i="1"/>
  <c r="E4603" i="1" s="1"/>
  <c r="B4604" i="1"/>
  <c r="E4604" i="1" s="1"/>
  <c r="B4605" i="1"/>
  <c r="E4605" i="1" s="1"/>
  <c r="B4606" i="1"/>
  <c r="E4606" i="1" s="1"/>
  <c r="B4607" i="1"/>
  <c r="E4607" i="1" s="1"/>
  <c r="B4608" i="1"/>
  <c r="E4608" i="1" s="1"/>
  <c r="B4609" i="1"/>
  <c r="E4609" i="1" s="1"/>
  <c r="B4610" i="1"/>
  <c r="E4610" i="1" s="1"/>
  <c r="B4611" i="1"/>
  <c r="E4611" i="1" s="1"/>
  <c r="B4612" i="1"/>
  <c r="E4612" i="1" s="1"/>
  <c r="B4613" i="1"/>
  <c r="E4613" i="1" s="1"/>
  <c r="B4614" i="1"/>
  <c r="E4614" i="1" s="1"/>
  <c r="B4615" i="1"/>
  <c r="E4615" i="1" s="1"/>
  <c r="B4616" i="1"/>
  <c r="E4616" i="1" s="1"/>
  <c r="B4617" i="1"/>
  <c r="E4617" i="1" s="1"/>
  <c r="B4618" i="1"/>
  <c r="E4618" i="1" s="1"/>
  <c r="B4619" i="1"/>
  <c r="E4619" i="1" s="1"/>
  <c r="B4620" i="1"/>
  <c r="E4620" i="1" s="1"/>
  <c r="B4621" i="1"/>
  <c r="E4621" i="1" s="1"/>
  <c r="B4622" i="1"/>
  <c r="E4622" i="1" s="1"/>
  <c r="B4623" i="1"/>
  <c r="E4623" i="1" s="1"/>
  <c r="B4624" i="1"/>
  <c r="E4624" i="1" s="1"/>
  <c r="B4625" i="1"/>
  <c r="E4625" i="1" s="1"/>
  <c r="B4626" i="1"/>
  <c r="E4626" i="1" s="1"/>
  <c r="B4627" i="1"/>
  <c r="E4627" i="1" s="1"/>
  <c r="B4628" i="1"/>
  <c r="E4628" i="1" s="1"/>
  <c r="B4629" i="1"/>
  <c r="E4629" i="1" s="1"/>
  <c r="B4630" i="1"/>
  <c r="E4630" i="1" s="1"/>
  <c r="B4631" i="1"/>
  <c r="E4631" i="1" s="1"/>
  <c r="B4632" i="1"/>
  <c r="E4632" i="1" s="1"/>
  <c r="B4633" i="1"/>
  <c r="E4633" i="1" s="1"/>
  <c r="B4634" i="1"/>
  <c r="E4634" i="1" s="1"/>
  <c r="B4635" i="1"/>
  <c r="E4635" i="1" s="1"/>
  <c r="B4636" i="1"/>
  <c r="E4636" i="1" s="1"/>
  <c r="B4637" i="1"/>
  <c r="E4637" i="1" s="1"/>
  <c r="B4638" i="1"/>
  <c r="E4638" i="1" s="1"/>
  <c r="B4639" i="1"/>
  <c r="E4639" i="1" s="1"/>
  <c r="B4640" i="1"/>
  <c r="E4640" i="1" s="1"/>
  <c r="B4641" i="1"/>
  <c r="E4641" i="1" s="1"/>
  <c r="B4642" i="1"/>
  <c r="E4642" i="1" s="1"/>
  <c r="B4643" i="1"/>
  <c r="E4643" i="1" s="1"/>
  <c r="B4644" i="1"/>
  <c r="E4644" i="1" s="1"/>
  <c r="B4645" i="1"/>
  <c r="E4645" i="1" s="1"/>
  <c r="B4646" i="1"/>
  <c r="E4646" i="1" s="1"/>
  <c r="B4647" i="1"/>
  <c r="E4647" i="1" s="1"/>
  <c r="B4648" i="1"/>
  <c r="E4648" i="1" s="1"/>
  <c r="B4649" i="1"/>
  <c r="E4649" i="1" s="1"/>
  <c r="B4650" i="1"/>
  <c r="E4650" i="1" s="1"/>
  <c r="B4651" i="1"/>
  <c r="E4651" i="1" s="1"/>
  <c r="B4652" i="1"/>
  <c r="E4652" i="1" s="1"/>
  <c r="B4653" i="1"/>
  <c r="E4653" i="1" s="1"/>
  <c r="B4654" i="1"/>
  <c r="E4654" i="1" s="1"/>
  <c r="B4655" i="1"/>
  <c r="E4655" i="1" s="1"/>
  <c r="B4656" i="1"/>
  <c r="E4656" i="1" s="1"/>
  <c r="B4657" i="1"/>
  <c r="E4657" i="1" s="1"/>
  <c r="B4658" i="1"/>
  <c r="E4658" i="1" s="1"/>
  <c r="B4659" i="1"/>
  <c r="E4659" i="1" s="1"/>
  <c r="B4660" i="1"/>
  <c r="E4660" i="1" s="1"/>
  <c r="B4661" i="1"/>
  <c r="E4661" i="1" s="1"/>
  <c r="B4662" i="1"/>
  <c r="E4662" i="1" s="1"/>
  <c r="B4663" i="1"/>
  <c r="E4663" i="1" s="1"/>
  <c r="B4664" i="1"/>
  <c r="E4664" i="1" s="1"/>
  <c r="B4665" i="1"/>
  <c r="E4665" i="1" s="1"/>
  <c r="B4666" i="1"/>
  <c r="E4666" i="1" s="1"/>
  <c r="B4667" i="1"/>
  <c r="E4667" i="1" s="1"/>
  <c r="B4668" i="1"/>
  <c r="E4668" i="1" s="1"/>
  <c r="B4669" i="1"/>
  <c r="E4669" i="1" s="1"/>
  <c r="B4670" i="1"/>
  <c r="E4670" i="1" s="1"/>
  <c r="B4671" i="1"/>
  <c r="E4671" i="1" s="1"/>
  <c r="B4672" i="1"/>
  <c r="E4672" i="1" s="1"/>
  <c r="B4673" i="1"/>
  <c r="E4673" i="1" s="1"/>
  <c r="B4674" i="1"/>
  <c r="E4674" i="1" s="1"/>
  <c r="B4675" i="1"/>
  <c r="E4675" i="1" s="1"/>
  <c r="B4676" i="1"/>
  <c r="E4676" i="1" s="1"/>
  <c r="B4677" i="1"/>
  <c r="E4677" i="1" s="1"/>
  <c r="B4678" i="1"/>
  <c r="E4678" i="1" s="1"/>
  <c r="B4679" i="1"/>
  <c r="E4679" i="1" s="1"/>
  <c r="B4680" i="1"/>
  <c r="E4680" i="1" s="1"/>
  <c r="B4681" i="1"/>
  <c r="E4681" i="1" s="1"/>
  <c r="B4682" i="1"/>
  <c r="E4682" i="1" s="1"/>
  <c r="B4683" i="1"/>
  <c r="E4683" i="1" s="1"/>
  <c r="B4684" i="1"/>
  <c r="E4684" i="1" s="1"/>
  <c r="B4685" i="1"/>
  <c r="E4685" i="1" s="1"/>
  <c r="B4686" i="1"/>
  <c r="E4686" i="1" s="1"/>
  <c r="B4687" i="1"/>
  <c r="E4687" i="1" s="1"/>
  <c r="B4688" i="1"/>
  <c r="E4688" i="1" s="1"/>
  <c r="B4689" i="1"/>
  <c r="E4689" i="1" s="1"/>
  <c r="B4690" i="1"/>
  <c r="E4690" i="1" s="1"/>
  <c r="B4691" i="1"/>
  <c r="E4691" i="1" s="1"/>
  <c r="B4692" i="1"/>
  <c r="E4692" i="1" s="1"/>
  <c r="B4693" i="1"/>
  <c r="E4693" i="1" s="1"/>
  <c r="B4694" i="1"/>
  <c r="E4694" i="1" s="1"/>
  <c r="B4695" i="1"/>
  <c r="E4695" i="1" s="1"/>
  <c r="B4696" i="1"/>
  <c r="E4696" i="1" s="1"/>
  <c r="B4697" i="1"/>
  <c r="E4697" i="1" s="1"/>
  <c r="B4698" i="1"/>
  <c r="E4698" i="1" s="1"/>
  <c r="B4699" i="1"/>
  <c r="E4699" i="1" s="1"/>
  <c r="B4700" i="1"/>
  <c r="E4700" i="1" s="1"/>
  <c r="B4701" i="1"/>
  <c r="E4701" i="1" s="1"/>
  <c r="B4702" i="1"/>
  <c r="E4702" i="1" s="1"/>
  <c r="B4703" i="1"/>
  <c r="E4703" i="1" s="1"/>
  <c r="B4704" i="1"/>
  <c r="E4704" i="1" s="1"/>
  <c r="B4705" i="1"/>
  <c r="E4705" i="1" s="1"/>
  <c r="B4706" i="1"/>
  <c r="E4706" i="1" s="1"/>
  <c r="B4707" i="1"/>
  <c r="E4707" i="1" s="1"/>
  <c r="B4708" i="1"/>
  <c r="E4708" i="1" s="1"/>
  <c r="B4709" i="1"/>
  <c r="E4709" i="1" s="1"/>
  <c r="B4710" i="1"/>
  <c r="E4710" i="1" s="1"/>
  <c r="B4711" i="1"/>
  <c r="E4711" i="1" s="1"/>
  <c r="B4712" i="1"/>
  <c r="E4712" i="1" s="1"/>
  <c r="B4713" i="1"/>
  <c r="E4713" i="1" s="1"/>
  <c r="B4714" i="1"/>
  <c r="E4714" i="1" s="1"/>
  <c r="B4715" i="1"/>
  <c r="E4715" i="1" s="1"/>
  <c r="B4716" i="1"/>
  <c r="E4716" i="1" s="1"/>
  <c r="B4717" i="1"/>
  <c r="E4717" i="1" s="1"/>
  <c r="B4718" i="1"/>
  <c r="E4718" i="1" s="1"/>
  <c r="B4719" i="1"/>
  <c r="E4719" i="1" s="1"/>
  <c r="B4720" i="1"/>
  <c r="E4720" i="1" s="1"/>
  <c r="B4721" i="1"/>
  <c r="E4721" i="1" s="1"/>
  <c r="B4722" i="1"/>
  <c r="E4722" i="1" s="1"/>
  <c r="B4723" i="1"/>
  <c r="E4723" i="1" s="1"/>
  <c r="B4724" i="1"/>
  <c r="E4724" i="1" s="1"/>
  <c r="B4725" i="1"/>
  <c r="E4725" i="1" s="1"/>
  <c r="B4726" i="1"/>
  <c r="E4726" i="1" s="1"/>
  <c r="B4727" i="1"/>
  <c r="E4727" i="1" s="1"/>
  <c r="B4728" i="1"/>
  <c r="E4728" i="1" s="1"/>
  <c r="B4729" i="1"/>
  <c r="E4729" i="1" s="1"/>
  <c r="B4730" i="1"/>
  <c r="E4730" i="1" s="1"/>
  <c r="B4731" i="1"/>
  <c r="E4731" i="1" s="1"/>
  <c r="B4732" i="1"/>
  <c r="E4732" i="1" s="1"/>
  <c r="B4733" i="1"/>
  <c r="E4733" i="1" s="1"/>
  <c r="B4734" i="1"/>
  <c r="E4734" i="1" s="1"/>
  <c r="B4735" i="1"/>
  <c r="E4735" i="1" s="1"/>
  <c r="B4736" i="1"/>
  <c r="E4736" i="1" s="1"/>
  <c r="B4737" i="1"/>
  <c r="E4737" i="1" s="1"/>
  <c r="B4738" i="1"/>
  <c r="E4738" i="1" s="1"/>
  <c r="B4739" i="1"/>
  <c r="E4739" i="1" s="1"/>
  <c r="B4740" i="1"/>
  <c r="E4740" i="1" s="1"/>
  <c r="B4741" i="1"/>
  <c r="E4741" i="1" s="1"/>
  <c r="B4742" i="1"/>
  <c r="E4742" i="1" s="1"/>
  <c r="B4743" i="1"/>
  <c r="E4743" i="1" s="1"/>
  <c r="B4744" i="1"/>
  <c r="E4744" i="1" s="1"/>
  <c r="B4745" i="1"/>
  <c r="E4745" i="1" s="1"/>
  <c r="B4746" i="1"/>
  <c r="E4746" i="1" s="1"/>
  <c r="B4747" i="1"/>
  <c r="E4747" i="1" s="1"/>
  <c r="B4748" i="1"/>
  <c r="E4748" i="1" s="1"/>
  <c r="B4749" i="1"/>
  <c r="E4749" i="1" s="1"/>
  <c r="B4750" i="1"/>
  <c r="E4750" i="1" s="1"/>
  <c r="B4751" i="1"/>
  <c r="E4751" i="1" s="1"/>
  <c r="B4752" i="1"/>
  <c r="E4752" i="1" s="1"/>
  <c r="B4753" i="1"/>
  <c r="E4753" i="1" s="1"/>
  <c r="B4754" i="1"/>
  <c r="E4754" i="1" s="1"/>
  <c r="B4755" i="1"/>
  <c r="E4755" i="1" s="1"/>
  <c r="B4756" i="1"/>
  <c r="E4756" i="1" s="1"/>
  <c r="B4757" i="1"/>
  <c r="E4757" i="1" s="1"/>
  <c r="B4758" i="1"/>
  <c r="E4758" i="1" s="1"/>
  <c r="B4759" i="1"/>
  <c r="E4759" i="1" s="1"/>
  <c r="B4760" i="1"/>
  <c r="E4760" i="1" s="1"/>
  <c r="B4761" i="1"/>
  <c r="E4761" i="1" s="1"/>
  <c r="B4762" i="1"/>
  <c r="E4762" i="1" s="1"/>
  <c r="B4763" i="1"/>
  <c r="E4763" i="1" s="1"/>
  <c r="B4764" i="1"/>
  <c r="E4764" i="1" s="1"/>
  <c r="B4765" i="1"/>
  <c r="E4765" i="1" s="1"/>
  <c r="B4766" i="1"/>
  <c r="E4766" i="1" s="1"/>
  <c r="B4767" i="1"/>
  <c r="E4767" i="1" s="1"/>
  <c r="B4768" i="1"/>
  <c r="E4768" i="1" s="1"/>
  <c r="B4769" i="1"/>
  <c r="E4769" i="1" s="1"/>
  <c r="B4770" i="1"/>
  <c r="E4770" i="1" s="1"/>
  <c r="B4771" i="1"/>
  <c r="E4771" i="1" s="1"/>
  <c r="B4772" i="1"/>
  <c r="E4772" i="1" s="1"/>
  <c r="B4773" i="1"/>
  <c r="E4773" i="1" s="1"/>
  <c r="B4774" i="1"/>
  <c r="E4774" i="1" s="1"/>
  <c r="B4775" i="1"/>
  <c r="E4775" i="1" s="1"/>
  <c r="B4776" i="1"/>
  <c r="E4776" i="1" s="1"/>
  <c r="B4777" i="1"/>
  <c r="E4777" i="1" s="1"/>
  <c r="B4778" i="1"/>
  <c r="E4778" i="1" s="1"/>
  <c r="B4779" i="1"/>
  <c r="E4779" i="1" s="1"/>
  <c r="B4780" i="1"/>
  <c r="E4780" i="1" s="1"/>
  <c r="B4781" i="1"/>
  <c r="E4781" i="1" s="1"/>
  <c r="B4782" i="1"/>
  <c r="E4782" i="1" s="1"/>
  <c r="B4783" i="1"/>
  <c r="E4783" i="1" s="1"/>
  <c r="B4784" i="1"/>
  <c r="E4784" i="1" s="1"/>
  <c r="B4785" i="1"/>
  <c r="E4785" i="1" s="1"/>
  <c r="B4786" i="1"/>
  <c r="E4786" i="1" s="1"/>
  <c r="B4787" i="1"/>
  <c r="E4787" i="1" s="1"/>
  <c r="B4788" i="1"/>
  <c r="E4788" i="1" s="1"/>
  <c r="B4789" i="1"/>
  <c r="E4789" i="1" s="1"/>
  <c r="B4790" i="1"/>
  <c r="E4790" i="1" s="1"/>
  <c r="B4791" i="1"/>
  <c r="E4791" i="1" s="1"/>
  <c r="B4792" i="1"/>
  <c r="E4792" i="1" s="1"/>
  <c r="B4793" i="1"/>
  <c r="E4793" i="1" s="1"/>
  <c r="B4794" i="1"/>
  <c r="E4794" i="1" s="1"/>
  <c r="B4795" i="1"/>
  <c r="E4795" i="1" s="1"/>
  <c r="B4796" i="1"/>
  <c r="E4796" i="1" s="1"/>
  <c r="B4797" i="1"/>
  <c r="E4797" i="1" s="1"/>
  <c r="B4798" i="1"/>
  <c r="E4798" i="1" s="1"/>
  <c r="B4799" i="1"/>
  <c r="E4799" i="1" s="1"/>
  <c r="B4800" i="1"/>
  <c r="E4800" i="1" s="1"/>
  <c r="B4801" i="1"/>
  <c r="E4801" i="1" s="1"/>
  <c r="B4802" i="1"/>
  <c r="E4802" i="1" s="1"/>
  <c r="B4803" i="1"/>
  <c r="E4803" i="1" s="1"/>
  <c r="B4804" i="1"/>
  <c r="E4804" i="1" s="1"/>
  <c r="B4805" i="1"/>
  <c r="E4805" i="1" s="1"/>
  <c r="B4806" i="1"/>
  <c r="E4806" i="1" s="1"/>
  <c r="B4807" i="1"/>
  <c r="E4807" i="1" s="1"/>
  <c r="B4808" i="1"/>
  <c r="E4808" i="1" s="1"/>
  <c r="B4809" i="1"/>
  <c r="E4809" i="1" s="1"/>
  <c r="B4810" i="1"/>
  <c r="E4810" i="1" s="1"/>
  <c r="B4811" i="1"/>
  <c r="E4811" i="1" s="1"/>
  <c r="B4812" i="1"/>
  <c r="E4812" i="1" s="1"/>
  <c r="B4813" i="1"/>
  <c r="E4813" i="1" s="1"/>
  <c r="B4814" i="1"/>
  <c r="E4814" i="1" s="1"/>
  <c r="B4815" i="1"/>
  <c r="E4815" i="1" s="1"/>
  <c r="B4816" i="1"/>
  <c r="E4816" i="1" s="1"/>
  <c r="B4817" i="1"/>
  <c r="E4817" i="1" s="1"/>
  <c r="B4818" i="1"/>
  <c r="E4818" i="1" s="1"/>
  <c r="B4819" i="1"/>
  <c r="E4819" i="1" s="1"/>
  <c r="B4820" i="1"/>
  <c r="E4820" i="1" s="1"/>
  <c r="B4821" i="1"/>
  <c r="E4821" i="1" s="1"/>
  <c r="B4822" i="1"/>
  <c r="E4822" i="1" s="1"/>
  <c r="B4823" i="1"/>
  <c r="E4823" i="1" s="1"/>
  <c r="B4824" i="1"/>
  <c r="E4824" i="1" s="1"/>
  <c r="B4825" i="1"/>
  <c r="E4825" i="1" s="1"/>
  <c r="B4826" i="1"/>
  <c r="E4826" i="1" s="1"/>
  <c r="B4827" i="1"/>
  <c r="E4827" i="1" s="1"/>
  <c r="B4828" i="1"/>
  <c r="E4828" i="1" s="1"/>
  <c r="B4829" i="1"/>
  <c r="E4829" i="1" s="1"/>
  <c r="B4830" i="1"/>
  <c r="E4830" i="1" s="1"/>
  <c r="B4831" i="1"/>
  <c r="E4831" i="1" s="1"/>
  <c r="B4832" i="1"/>
  <c r="E4832" i="1" s="1"/>
  <c r="B4833" i="1"/>
  <c r="E4833" i="1" s="1"/>
  <c r="B4834" i="1"/>
  <c r="E4834" i="1" s="1"/>
  <c r="B4835" i="1"/>
  <c r="E4835" i="1" s="1"/>
  <c r="B4836" i="1"/>
  <c r="E4836" i="1" s="1"/>
  <c r="B4837" i="1"/>
  <c r="E4837" i="1" s="1"/>
  <c r="B4838" i="1"/>
  <c r="E4838" i="1" s="1"/>
  <c r="B4839" i="1"/>
  <c r="E4839" i="1" s="1"/>
  <c r="B4840" i="1"/>
  <c r="E4840" i="1" s="1"/>
  <c r="B4841" i="1"/>
  <c r="E4841" i="1" s="1"/>
  <c r="B4842" i="1"/>
  <c r="E4842" i="1" s="1"/>
  <c r="B4843" i="1"/>
  <c r="E4843" i="1" s="1"/>
  <c r="B4844" i="1"/>
  <c r="E4844" i="1" s="1"/>
  <c r="B4845" i="1"/>
  <c r="E4845" i="1" s="1"/>
  <c r="B4846" i="1"/>
  <c r="E4846" i="1" s="1"/>
  <c r="B4847" i="1"/>
  <c r="E4847" i="1" s="1"/>
  <c r="B4848" i="1"/>
  <c r="E4848" i="1" s="1"/>
  <c r="B4849" i="1"/>
  <c r="E4849" i="1" s="1"/>
  <c r="B4850" i="1"/>
  <c r="E4850" i="1" s="1"/>
  <c r="B4851" i="1"/>
  <c r="E4851" i="1" s="1"/>
  <c r="B4852" i="1"/>
  <c r="E4852" i="1" s="1"/>
  <c r="B4853" i="1"/>
  <c r="E4853" i="1" s="1"/>
  <c r="B4854" i="1"/>
  <c r="E4854" i="1" s="1"/>
  <c r="B4855" i="1"/>
  <c r="E4855" i="1" s="1"/>
  <c r="B4856" i="1"/>
  <c r="E4856" i="1" s="1"/>
  <c r="B4857" i="1"/>
  <c r="E4857" i="1" s="1"/>
  <c r="B4858" i="1"/>
  <c r="E4858" i="1" s="1"/>
  <c r="B4859" i="1"/>
  <c r="E4859" i="1" s="1"/>
  <c r="B4860" i="1"/>
  <c r="E4860" i="1" s="1"/>
  <c r="B4861" i="1"/>
  <c r="E4861" i="1" s="1"/>
  <c r="B4862" i="1"/>
  <c r="E4862" i="1" s="1"/>
  <c r="B4863" i="1"/>
  <c r="E4863" i="1" s="1"/>
  <c r="B4864" i="1"/>
  <c r="E4864" i="1" s="1"/>
  <c r="B4865" i="1"/>
  <c r="E4865" i="1" s="1"/>
  <c r="B4866" i="1"/>
  <c r="E4866" i="1" s="1"/>
  <c r="B4867" i="1"/>
  <c r="E4867" i="1" s="1"/>
  <c r="B4868" i="1"/>
  <c r="E4868" i="1" s="1"/>
  <c r="B4869" i="1"/>
  <c r="E4869" i="1" s="1"/>
  <c r="B4870" i="1"/>
  <c r="E4870" i="1" s="1"/>
  <c r="B4871" i="1"/>
  <c r="E4871" i="1" s="1"/>
  <c r="B4872" i="1"/>
  <c r="E4872" i="1" s="1"/>
  <c r="B4873" i="1"/>
  <c r="E4873" i="1" s="1"/>
  <c r="B4874" i="1"/>
  <c r="E4874" i="1" s="1"/>
  <c r="B4875" i="1"/>
  <c r="E4875" i="1" s="1"/>
  <c r="B4876" i="1"/>
  <c r="E4876" i="1" s="1"/>
  <c r="B4877" i="1"/>
  <c r="E4877" i="1" s="1"/>
  <c r="B4878" i="1"/>
  <c r="E4878" i="1" s="1"/>
  <c r="B4879" i="1"/>
  <c r="E4879" i="1" s="1"/>
  <c r="B4880" i="1"/>
  <c r="E4880" i="1" s="1"/>
  <c r="B4881" i="1"/>
  <c r="E4881" i="1" s="1"/>
  <c r="B4882" i="1"/>
  <c r="E4882" i="1" s="1"/>
  <c r="B4883" i="1"/>
  <c r="E4883" i="1" s="1"/>
  <c r="B4884" i="1"/>
  <c r="E4884" i="1" s="1"/>
  <c r="B4885" i="1"/>
  <c r="E4885" i="1" s="1"/>
  <c r="B4886" i="1"/>
  <c r="E4886" i="1" s="1"/>
  <c r="B4887" i="1"/>
  <c r="E4887" i="1" s="1"/>
  <c r="B4888" i="1"/>
  <c r="E4888" i="1" s="1"/>
  <c r="B4889" i="1"/>
  <c r="E4889" i="1" s="1"/>
  <c r="B4890" i="1"/>
  <c r="E4890" i="1" s="1"/>
  <c r="B4891" i="1"/>
  <c r="E4891" i="1" s="1"/>
  <c r="B4892" i="1"/>
  <c r="E4892" i="1" s="1"/>
  <c r="B4893" i="1"/>
  <c r="E4893" i="1" s="1"/>
  <c r="B4894" i="1"/>
  <c r="E4894" i="1" s="1"/>
  <c r="B4895" i="1"/>
  <c r="E4895" i="1" s="1"/>
  <c r="B4896" i="1"/>
  <c r="E4896" i="1" s="1"/>
  <c r="B4897" i="1"/>
  <c r="E4897" i="1" s="1"/>
  <c r="B4898" i="1"/>
  <c r="E4898" i="1" s="1"/>
  <c r="B4899" i="1"/>
  <c r="E4899" i="1" s="1"/>
  <c r="B4900" i="1"/>
  <c r="E4900" i="1" s="1"/>
  <c r="B4901" i="1"/>
  <c r="E4901" i="1" s="1"/>
  <c r="B4902" i="1"/>
  <c r="E4902" i="1" s="1"/>
  <c r="B4903" i="1"/>
  <c r="E4903" i="1" s="1"/>
  <c r="B4904" i="1"/>
  <c r="E4904" i="1" s="1"/>
  <c r="B4905" i="1"/>
  <c r="E4905" i="1" s="1"/>
  <c r="B4906" i="1"/>
  <c r="E4906" i="1" s="1"/>
  <c r="B4907" i="1"/>
  <c r="E4907" i="1" s="1"/>
  <c r="B4908" i="1"/>
  <c r="E4908" i="1" s="1"/>
  <c r="B4909" i="1"/>
  <c r="E4909" i="1" s="1"/>
  <c r="B4910" i="1"/>
  <c r="E4910" i="1" s="1"/>
  <c r="B4911" i="1"/>
  <c r="E4911" i="1" s="1"/>
  <c r="B4912" i="1"/>
  <c r="E4912" i="1" s="1"/>
  <c r="B4913" i="1"/>
  <c r="E4913" i="1" s="1"/>
  <c r="B4914" i="1"/>
  <c r="E4914" i="1" s="1"/>
  <c r="B4915" i="1"/>
  <c r="E4915" i="1" s="1"/>
  <c r="B4916" i="1"/>
  <c r="E4916" i="1" s="1"/>
  <c r="B4917" i="1"/>
  <c r="E4917" i="1" s="1"/>
  <c r="B4918" i="1"/>
  <c r="E4918" i="1" s="1"/>
  <c r="B4919" i="1"/>
  <c r="E4919" i="1" s="1"/>
  <c r="B4920" i="1"/>
  <c r="E4920" i="1" s="1"/>
  <c r="B4921" i="1"/>
  <c r="E4921" i="1" s="1"/>
  <c r="B4922" i="1"/>
  <c r="E4922" i="1" s="1"/>
  <c r="B4923" i="1"/>
  <c r="E4923" i="1" s="1"/>
  <c r="B4924" i="1"/>
  <c r="E4924" i="1" s="1"/>
  <c r="B4925" i="1"/>
  <c r="E4925" i="1" s="1"/>
  <c r="B4926" i="1"/>
  <c r="E4926" i="1" s="1"/>
  <c r="B4927" i="1"/>
  <c r="E4927" i="1" s="1"/>
  <c r="B4928" i="1"/>
  <c r="E4928" i="1" s="1"/>
  <c r="B4929" i="1"/>
  <c r="E4929" i="1" s="1"/>
  <c r="B4930" i="1"/>
  <c r="E4930" i="1" s="1"/>
  <c r="B4931" i="1"/>
  <c r="E4931" i="1" s="1"/>
  <c r="B4932" i="1"/>
  <c r="E4932" i="1" s="1"/>
  <c r="B4933" i="1"/>
  <c r="E4933" i="1" s="1"/>
  <c r="B4934" i="1"/>
  <c r="E4934" i="1" s="1"/>
  <c r="B4935" i="1"/>
  <c r="E4935" i="1" s="1"/>
  <c r="B4936" i="1"/>
  <c r="E4936" i="1" s="1"/>
  <c r="B4937" i="1"/>
  <c r="E4937" i="1" s="1"/>
  <c r="B4938" i="1"/>
  <c r="E4938" i="1" s="1"/>
  <c r="B4939" i="1"/>
  <c r="E4939" i="1" s="1"/>
  <c r="B4940" i="1"/>
  <c r="E4940" i="1" s="1"/>
  <c r="B4941" i="1"/>
  <c r="E4941" i="1" s="1"/>
  <c r="B4942" i="1"/>
  <c r="E4942" i="1" s="1"/>
  <c r="B4943" i="1"/>
  <c r="E4943" i="1" s="1"/>
  <c r="B4944" i="1"/>
  <c r="E4944" i="1" s="1"/>
  <c r="B4945" i="1"/>
  <c r="E4945" i="1" s="1"/>
  <c r="B4946" i="1"/>
  <c r="E4946" i="1" s="1"/>
  <c r="B4947" i="1"/>
  <c r="E4947" i="1" s="1"/>
  <c r="B4948" i="1"/>
  <c r="E4948" i="1" s="1"/>
  <c r="B4949" i="1"/>
  <c r="E4949" i="1" s="1"/>
  <c r="B4950" i="1"/>
  <c r="E4950" i="1" s="1"/>
  <c r="B4951" i="1"/>
  <c r="E4951" i="1" s="1"/>
  <c r="B4952" i="1"/>
  <c r="E4952" i="1" s="1"/>
  <c r="B4953" i="1"/>
  <c r="E4953" i="1" s="1"/>
  <c r="B4954" i="1"/>
  <c r="E4954" i="1" s="1"/>
  <c r="B4955" i="1"/>
  <c r="E4955" i="1" s="1"/>
  <c r="B4956" i="1"/>
  <c r="E4956" i="1" s="1"/>
  <c r="B4957" i="1"/>
  <c r="E4957" i="1" s="1"/>
  <c r="B4958" i="1"/>
  <c r="E4958" i="1" s="1"/>
  <c r="B4959" i="1"/>
  <c r="E4959" i="1" s="1"/>
  <c r="B4960" i="1"/>
  <c r="E4960" i="1" s="1"/>
  <c r="B4961" i="1"/>
  <c r="E4961" i="1" s="1"/>
  <c r="B4962" i="1"/>
  <c r="E4962" i="1" s="1"/>
  <c r="B4963" i="1"/>
  <c r="E4963" i="1" s="1"/>
  <c r="B4964" i="1"/>
  <c r="E4964" i="1" s="1"/>
  <c r="B4965" i="1"/>
  <c r="E4965" i="1" s="1"/>
  <c r="B4966" i="1"/>
  <c r="E4966" i="1" s="1"/>
  <c r="B4967" i="1"/>
  <c r="E4967" i="1" s="1"/>
  <c r="B4968" i="1"/>
  <c r="E4968" i="1" s="1"/>
  <c r="B4969" i="1"/>
  <c r="E4969" i="1" s="1"/>
  <c r="B4970" i="1"/>
  <c r="E4970" i="1" s="1"/>
  <c r="B4971" i="1"/>
  <c r="E4971" i="1" s="1"/>
  <c r="B4972" i="1"/>
  <c r="E4972" i="1" s="1"/>
  <c r="B4973" i="1"/>
  <c r="E4973" i="1" s="1"/>
  <c r="B4974" i="1"/>
  <c r="E4974" i="1" s="1"/>
  <c r="B4975" i="1"/>
  <c r="E4975" i="1" s="1"/>
  <c r="B4976" i="1"/>
  <c r="E4976" i="1" s="1"/>
  <c r="B4977" i="1"/>
  <c r="E4977" i="1" s="1"/>
  <c r="B4978" i="1"/>
  <c r="E4978" i="1" s="1"/>
  <c r="B4979" i="1"/>
  <c r="E4979" i="1" s="1"/>
  <c r="B4980" i="1"/>
  <c r="E4980" i="1" s="1"/>
  <c r="B4981" i="1"/>
  <c r="E4981" i="1" s="1"/>
  <c r="B4982" i="1"/>
  <c r="E4982" i="1" s="1"/>
  <c r="B4983" i="1"/>
  <c r="E4983" i="1" s="1"/>
  <c r="B4984" i="1"/>
  <c r="E4984" i="1" s="1"/>
  <c r="B4985" i="1"/>
  <c r="E4985" i="1" s="1"/>
  <c r="B4986" i="1"/>
  <c r="E4986" i="1" s="1"/>
  <c r="B4987" i="1"/>
  <c r="E4987" i="1" s="1"/>
  <c r="B4988" i="1"/>
  <c r="E4988" i="1" s="1"/>
  <c r="B4989" i="1"/>
  <c r="E4989" i="1" s="1"/>
  <c r="B4990" i="1"/>
  <c r="E4990" i="1" s="1"/>
  <c r="B4991" i="1"/>
  <c r="E4991" i="1" s="1"/>
  <c r="B4992" i="1"/>
  <c r="E4992" i="1" s="1"/>
  <c r="B4993" i="1"/>
  <c r="E4993" i="1" s="1"/>
  <c r="B4994" i="1"/>
  <c r="E4994" i="1" s="1"/>
  <c r="B4995" i="1"/>
  <c r="E4995" i="1" s="1"/>
  <c r="B4996" i="1"/>
  <c r="E4996" i="1" s="1"/>
  <c r="B4997" i="1"/>
  <c r="E4997" i="1" s="1"/>
  <c r="B4998" i="1"/>
  <c r="E4998" i="1" s="1"/>
  <c r="B4999" i="1"/>
  <c r="E4999" i="1" s="1"/>
  <c r="B5000" i="1"/>
  <c r="E5000" i="1" s="1"/>
  <c r="B1" i="1"/>
  <c r="C206" i="1"/>
  <c r="C207" i="1"/>
  <c r="D216" i="1"/>
  <c r="C239" i="1"/>
  <c r="C396" i="1"/>
  <c r="C438" i="1"/>
  <c r="D480" i="1"/>
  <c r="C553" i="1"/>
  <c r="D558" i="1"/>
  <c r="D563" i="1"/>
  <c r="C580" i="1"/>
  <c r="C597" i="1"/>
  <c r="C602" i="1"/>
  <c r="D607" i="1"/>
  <c r="C624" i="1"/>
  <c r="C641" i="1"/>
  <c r="C650" i="1"/>
  <c r="D659" i="1"/>
  <c r="D674" i="1"/>
  <c r="C689" i="1"/>
  <c r="C790" i="1"/>
  <c r="D792" i="1"/>
  <c r="C794" i="1"/>
  <c r="D796" i="1"/>
  <c r="C806" i="1"/>
  <c r="D808" i="1"/>
  <c r="C810" i="1"/>
  <c r="C814" i="1"/>
  <c r="D816" i="1"/>
  <c r="D820" i="1"/>
  <c r="C826" i="1"/>
  <c r="C834" i="1"/>
  <c r="C842" i="1"/>
  <c r="C850" i="1"/>
  <c r="C858" i="1"/>
  <c r="C866" i="1"/>
  <c r="C874" i="1"/>
  <c r="D880" i="1"/>
  <c r="C882" i="1"/>
  <c r="D888" i="1"/>
  <c r="C890" i="1"/>
  <c r="D896" i="1"/>
  <c r="C898" i="1"/>
  <c r="D904" i="1"/>
  <c r="C906" i="1"/>
  <c r="D912" i="1"/>
  <c r="C914" i="1"/>
  <c r="D920" i="1"/>
  <c r="C922" i="1"/>
  <c r="D928" i="1"/>
  <c r="C930" i="1"/>
  <c r="D936" i="1"/>
  <c r="C938" i="1"/>
  <c r="D944" i="1"/>
  <c r="C946" i="1"/>
  <c r="D952" i="1"/>
  <c r="C954" i="1"/>
  <c r="D960" i="1"/>
  <c r="C962" i="1"/>
  <c r="D968" i="1"/>
  <c r="C970" i="1"/>
  <c r="D976" i="1"/>
  <c r="C978" i="1"/>
  <c r="D984" i="1"/>
  <c r="C986" i="1"/>
  <c r="D992" i="1"/>
  <c r="C994" i="1"/>
  <c r="D1000" i="1"/>
  <c r="C1002" i="1"/>
  <c r="D1008" i="1"/>
  <c r="C1010" i="1"/>
  <c r="D1011" i="1"/>
  <c r="D1016" i="1"/>
  <c r="C1018" i="1"/>
  <c r="D1024" i="1"/>
  <c r="C1026" i="1"/>
  <c r="D1032" i="1"/>
  <c r="C1034" i="1"/>
  <c r="D1040" i="1"/>
  <c r="C1042" i="1"/>
  <c r="D1048" i="1"/>
  <c r="C1050" i="1"/>
  <c r="D1056" i="1"/>
  <c r="C1058" i="1"/>
  <c r="D1064" i="1"/>
  <c r="C1066" i="1"/>
  <c r="D1072" i="1"/>
  <c r="C1074" i="1"/>
  <c r="D1080" i="1"/>
  <c r="C1082" i="1"/>
  <c r="D1088" i="1"/>
  <c r="C1090" i="1"/>
  <c r="D1096" i="1"/>
  <c r="C1098" i="1"/>
  <c r="D1104" i="1"/>
  <c r="C1106" i="1"/>
  <c r="D1112" i="1"/>
  <c r="C1114" i="1"/>
  <c r="D1120" i="1"/>
  <c r="C1122" i="1"/>
  <c r="D1128" i="1"/>
  <c r="C1130" i="1"/>
  <c r="D1136" i="1"/>
  <c r="C1138" i="1"/>
  <c r="D1144" i="1"/>
  <c r="C1146" i="1"/>
  <c r="D1152" i="1"/>
  <c r="C1154" i="1"/>
  <c r="D1160" i="1"/>
  <c r="C1162" i="1"/>
  <c r="D1168" i="1"/>
  <c r="C1170" i="1"/>
  <c r="D1176" i="1"/>
  <c r="C1178" i="1"/>
  <c r="D1184" i="1"/>
  <c r="C1186" i="1"/>
  <c r="D1192" i="1"/>
  <c r="C1194" i="1"/>
  <c r="D1200" i="1"/>
  <c r="C1202" i="1"/>
  <c r="D1208" i="1"/>
  <c r="C1210" i="1"/>
  <c r="D1216" i="1"/>
  <c r="C1218" i="1"/>
  <c r="D1224" i="1"/>
  <c r="C1226" i="1"/>
  <c r="D1232" i="1"/>
  <c r="C1234" i="1"/>
  <c r="D1240" i="1"/>
  <c r="C1242" i="1"/>
  <c r="D1248" i="1"/>
  <c r="C1250" i="1"/>
  <c r="D1256" i="1"/>
  <c r="C1258" i="1"/>
  <c r="D1264" i="1"/>
  <c r="C1266" i="1"/>
  <c r="D1272" i="1"/>
  <c r="C1274" i="1"/>
  <c r="C1280" i="1"/>
  <c r="D1282" i="1"/>
  <c r="C1288" i="1"/>
  <c r="D1290" i="1"/>
  <c r="C1296" i="1"/>
  <c r="D1298" i="1"/>
  <c r="C1304" i="1"/>
  <c r="D1306" i="1"/>
  <c r="C1312" i="1"/>
  <c r="D1314" i="1"/>
  <c r="C1320" i="1"/>
  <c r="D1322" i="1"/>
  <c r="C1328" i="1"/>
  <c r="D1330" i="1"/>
  <c r="C1336" i="1"/>
  <c r="D1338" i="1"/>
  <c r="C1340" i="1"/>
  <c r="D1350" i="1"/>
  <c r="C1352" i="1"/>
  <c r="D1354" i="1"/>
  <c r="C1356" i="1"/>
  <c r="D1366" i="1"/>
  <c r="C1368" i="1"/>
  <c r="D1370" i="1"/>
  <c r="C1372" i="1"/>
  <c r="D1382" i="1"/>
  <c r="C1384" i="1"/>
  <c r="D1386" i="1"/>
  <c r="C1388" i="1"/>
  <c r="D1398" i="1"/>
  <c r="C1400" i="1"/>
  <c r="D1402" i="1"/>
  <c r="C1404" i="1"/>
  <c r="D1414" i="1"/>
  <c r="C1416" i="1"/>
  <c r="D1418" i="1"/>
  <c r="C1420" i="1"/>
  <c r="D1430" i="1"/>
  <c r="C1432" i="1"/>
  <c r="D1434" i="1"/>
  <c r="C1436" i="1"/>
  <c r="D1446" i="1"/>
  <c r="C1448" i="1"/>
  <c r="D1450" i="1"/>
  <c r="C1452" i="1"/>
  <c r="D1470" i="1"/>
  <c r="C1472" i="1"/>
  <c r="D1486" i="1"/>
  <c r="C1488" i="1"/>
  <c r="C1496" i="1"/>
  <c r="C1504" i="1"/>
  <c r="C1512" i="1"/>
  <c r="C1520" i="1"/>
  <c r="C1528" i="1"/>
  <c r="C1536" i="1"/>
  <c r="C1544" i="1"/>
  <c r="C1552" i="1"/>
  <c r="C1560" i="1"/>
  <c r="C1568" i="1"/>
  <c r="C1576" i="1"/>
  <c r="C1584" i="1"/>
  <c r="C1592" i="1"/>
  <c r="D1596" i="1"/>
  <c r="C1602" i="1"/>
  <c r="C1608" i="1"/>
  <c r="D1612" i="1"/>
  <c r="C1618" i="1"/>
  <c r="C1624" i="1"/>
  <c r="D1628" i="1"/>
  <c r="C1634" i="1"/>
  <c r="C1640" i="1"/>
  <c r="D1644" i="1"/>
  <c r="C1650" i="1"/>
  <c r="C1656" i="1"/>
  <c r="D1660" i="1"/>
  <c r="C1666" i="1"/>
  <c r="C1672" i="1"/>
  <c r="D1676" i="1"/>
  <c r="C1682" i="1"/>
  <c r="C1688" i="1"/>
  <c r="D1692" i="1"/>
  <c r="C1698" i="1"/>
  <c r="C1704" i="1"/>
  <c r="D1708" i="1"/>
  <c r="C1714" i="1"/>
  <c r="C1720" i="1"/>
  <c r="D1724" i="1"/>
  <c r="C1730" i="1"/>
  <c r="C1736" i="1"/>
  <c r="D1740" i="1"/>
  <c r="C1746" i="1"/>
  <c r="C1752" i="1"/>
  <c r="D1756" i="1"/>
  <c r="C1762" i="1"/>
  <c r="C1768" i="1"/>
  <c r="D1772" i="1"/>
  <c r="C1778" i="1"/>
  <c r="C1784" i="1"/>
  <c r="D1788" i="1"/>
  <c r="D1792" i="1"/>
  <c r="C1796" i="1"/>
  <c r="D1800" i="1"/>
  <c r="C1804" i="1"/>
  <c r="D1808" i="1"/>
  <c r="C1812" i="1"/>
  <c r="D1816" i="1"/>
  <c r="C1820" i="1"/>
  <c r="D1824" i="1"/>
  <c r="C1828" i="1"/>
  <c r="D1832" i="1"/>
  <c r="C1836" i="1"/>
  <c r="D1840" i="1"/>
  <c r="C1844" i="1"/>
  <c r="D1848" i="1"/>
  <c r="C1852" i="1"/>
  <c r="D1856" i="1"/>
  <c r="C1860" i="1"/>
  <c r="D1864" i="1"/>
  <c r="C1868" i="1"/>
  <c r="D1872" i="1"/>
  <c r="D1880" i="1"/>
  <c r="D1888" i="1"/>
  <c r="D1896" i="1"/>
  <c r="D1904" i="1"/>
  <c r="D1912" i="1"/>
  <c r="D1920" i="1"/>
  <c r="C1928" i="1"/>
  <c r="D1932" i="1"/>
  <c r="C1938" i="1"/>
  <c r="C1944" i="1"/>
  <c r="D1948" i="1"/>
  <c r="C1954" i="1"/>
  <c r="C1960" i="1"/>
  <c r="D1964" i="1"/>
  <c r="C1970" i="1"/>
  <c r="C1976" i="1"/>
  <c r="D1980" i="1"/>
  <c r="C1986" i="1"/>
  <c r="C1992" i="1"/>
  <c r="C1996" i="1"/>
  <c r="C2002" i="1"/>
  <c r="C2012" i="1"/>
  <c r="D2022" i="1"/>
  <c r="C2034" i="1"/>
  <c r="C2044" i="1"/>
  <c r="D2054" i="1"/>
  <c r="C2066" i="1"/>
  <c r="C2076" i="1"/>
  <c r="C2092" i="1"/>
  <c r="C2114" i="1"/>
  <c r="D2134" i="1"/>
  <c r="C2156" i="1"/>
  <c r="C2188" i="1"/>
  <c r="D2230" i="1"/>
  <c r="C2274" i="1"/>
  <c r="C2316" i="1"/>
  <c r="D2358" i="1"/>
  <c r="D2422" i="1"/>
  <c r="C2508" i="1"/>
  <c r="C2599" i="1"/>
  <c r="D2601" i="1"/>
  <c r="D2650" i="1"/>
  <c r="C2709" i="1"/>
  <c r="C2718" i="1"/>
  <c r="C2736" i="1"/>
  <c r="D2747" i="1"/>
  <c r="D2783" i="1"/>
  <c r="D2794" i="1"/>
  <c r="C2805" i="1"/>
  <c r="D2826" i="1"/>
  <c r="D2847" i="1"/>
  <c r="D2858" i="1"/>
  <c r="C2869" i="1"/>
  <c r="D2890" i="1"/>
  <c r="D2911" i="1"/>
  <c r="D2922" i="1"/>
  <c r="C2933" i="1"/>
  <c r="D2954" i="1"/>
  <c r="D2975" i="1"/>
  <c r="D2986" i="1"/>
  <c r="C2997" i="1"/>
  <c r="D3018" i="1"/>
  <c r="D3039" i="1"/>
  <c r="D3050" i="1"/>
  <c r="C3061" i="1"/>
  <c r="D3082" i="1"/>
  <c r="D3103" i="1"/>
  <c r="D3114" i="1"/>
  <c r="C3125" i="1"/>
  <c r="D3146" i="1"/>
  <c r="D3167" i="1"/>
  <c r="D3199" i="1"/>
  <c r="C3221" i="1"/>
  <c r="C3253" i="1"/>
  <c r="D3274" i="1"/>
  <c r="D3295" i="1"/>
  <c r="D3327" i="1"/>
  <c r="C3349" i="1"/>
  <c r="C3381" i="1"/>
  <c r="D3386" i="1"/>
  <c r="D3391" i="1"/>
  <c r="D3423" i="1"/>
  <c r="C3437" i="1"/>
  <c r="C3469" i="1"/>
  <c r="C3472" i="1"/>
  <c r="D3475" i="1"/>
  <c r="D3507" i="1"/>
  <c r="C3521" i="1"/>
  <c r="C3566" i="1"/>
  <c r="D3607" i="1"/>
  <c r="C3609" i="1"/>
  <c r="D3650" i="1"/>
  <c r="C3678" i="1"/>
  <c r="C3711" i="1"/>
  <c r="C3743" i="1"/>
  <c r="D3763" i="1"/>
  <c r="C3785" i="1"/>
  <c r="C3807" i="1"/>
  <c r="D3827" i="1"/>
  <c r="C3849" i="1"/>
  <c r="C3871" i="1"/>
  <c r="D3891" i="1"/>
  <c r="C3913" i="1"/>
  <c r="C3935" i="1"/>
  <c r="C3954" i="1"/>
  <c r="D3969" i="1"/>
  <c r="C3970" i="1"/>
  <c r="C3971" i="1"/>
  <c r="C3986" i="1"/>
  <c r="D4001" i="1"/>
  <c r="C4002" i="1"/>
  <c r="C4003" i="1"/>
  <c r="D4016" i="1"/>
  <c r="C4038" i="1"/>
  <c r="C4060" i="1"/>
  <c r="D4080" i="1"/>
  <c r="C4102" i="1"/>
  <c r="C4124" i="1"/>
  <c r="D4144" i="1"/>
  <c r="D4170" i="1"/>
  <c r="D4185" i="1"/>
  <c r="D4186" i="1"/>
  <c r="C4187" i="1"/>
  <c r="C4202" i="1"/>
  <c r="D4230" i="1"/>
  <c r="D4245" i="1"/>
  <c r="C4246" i="1"/>
  <c r="C4247" i="1"/>
  <c r="C4262" i="1"/>
  <c r="C4291" i="1"/>
  <c r="D4293" i="1"/>
  <c r="D4322" i="1"/>
  <c r="D4337" i="1"/>
  <c r="C4338" i="1"/>
  <c r="C4339" i="1"/>
  <c r="D4352" i="1"/>
  <c r="D4365" i="1"/>
  <c r="C4368" i="1"/>
  <c r="C4371" i="1"/>
  <c r="C4384" i="1"/>
  <c r="D4397" i="1"/>
  <c r="D4400" i="1"/>
  <c r="C4403" i="1"/>
  <c r="C4416" i="1"/>
  <c r="D4429" i="1"/>
  <c r="D4430" i="1"/>
  <c r="C4431" i="1"/>
  <c r="C4446" i="1"/>
  <c r="C4475" i="1"/>
  <c r="D4477" i="1"/>
  <c r="C4503" i="1"/>
  <c r="D4509" i="1"/>
  <c r="C4535" i="1"/>
  <c r="D4541" i="1"/>
  <c r="C4563" i="1"/>
  <c r="D4573" i="1"/>
  <c r="C4595" i="1"/>
  <c r="D4605" i="1"/>
  <c r="C4623" i="1"/>
  <c r="C4633" i="1"/>
  <c r="D4647" i="1"/>
  <c r="C4657" i="1"/>
  <c r="D4667" i="1"/>
  <c r="C4681" i="1"/>
  <c r="C4689" i="1"/>
  <c r="D4691" i="1"/>
  <c r="D4699" i="1"/>
  <c r="C4713" i="1"/>
  <c r="C4721" i="1"/>
  <c r="D4722" i="1"/>
  <c r="D4723" i="1"/>
  <c r="D4731" i="1"/>
  <c r="C4741" i="1"/>
  <c r="C4749" i="1"/>
  <c r="D4751" i="1"/>
  <c r="D4759" i="1"/>
  <c r="C4773" i="1"/>
  <c r="C4781" i="1"/>
  <c r="D4783" i="1"/>
  <c r="D4791" i="1"/>
  <c r="C4805" i="1"/>
  <c r="D4819" i="1"/>
  <c r="D4827" i="1"/>
  <c r="C4829" i="1"/>
  <c r="C4837" i="1"/>
  <c r="D4859" i="1"/>
  <c r="C4869" i="1"/>
  <c r="D4887" i="1"/>
  <c r="C4893" i="1"/>
  <c r="D4911" i="1"/>
  <c r="C4925" i="1"/>
  <c r="C4935" i="1"/>
  <c r="D4941" i="1"/>
  <c r="D4949" i="1"/>
  <c r="C4959" i="1"/>
  <c r="C4969" i="1"/>
  <c r="C4971" i="1"/>
  <c r="D4979" i="1"/>
  <c r="C4985" i="1"/>
  <c r="C4987" i="1"/>
  <c r="D4995" i="1"/>
  <c r="C4998" i="1" l="1"/>
  <c r="D4970" i="1"/>
  <c r="C4308" i="1"/>
  <c r="C4292" i="1"/>
  <c r="C4276" i="1"/>
  <c r="D4216" i="1"/>
  <c r="C4156" i="1"/>
  <c r="C4134" i="1"/>
  <c r="D4112" i="1"/>
  <c r="C4092" i="1"/>
  <c r="C4070" i="1"/>
  <c r="D4048" i="1"/>
  <c r="C4028" i="1"/>
  <c r="D3666" i="1"/>
  <c r="C3630" i="1"/>
  <c r="C3608" i="1"/>
  <c r="D3586" i="1"/>
  <c r="C3544" i="1"/>
  <c r="D3514" i="1"/>
  <c r="C3430" i="1"/>
  <c r="D3338" i="1"/>
  <c r="D3210" i="1"/>
  <c r="C2740" i="1"/>
  <c r="D2726" i="1"/>
  <c r="C2716" i="1"/>
  <c r="C2678" i="1"/>
  <c r="C2626" i="1"/>
  <c r="C2600" i="1"/>
  <c r="D2554" i="1"/>
  <c r="C2466" i="1"/>
  <c r="C2380" i="1"/>
  <c r="C2338" i="1"/>
  <c r="D2294" i="1"/>
  <c r="C2252" i="1"/>
  <c r="C2210" i="1"/>
  <c r="D2166" i="1"/>
  <c r="C2146" i="1"/>
  <c r="C2124" i="1"/>
  <c r="D2102" i="1"/>
  <c r="C2082" i="1"/>
  <c r="D2070" i="1"/>
  <c r="C2060" i="1"/>
  <c r="C2050" i="1"/>
  <c r="D2038" i="1"/>
  <c r="C2028" i="1"/>
  <c r="C2018" i="1"/>
  <c r="D2006" i="1"/>
  <c r="E178" i="1"/>
  <c r="N178" i="1" s="1"/>
  <c r="E176" i="1"/>
  <c r="N176" i="1" s="1"/>
  <c r="E177" i="1"/>
  <c r="N177" i="1" s="1"/>
  <c r="C460" i="1"/>
  <c r="D416" i="1"/>
  <c r="D4994" i="1"/>
  <c r="D4986" i="1"/>
  <c r="C4962" i="1"/>
  <c r="D4928" i="1"/>
  <c r="C4740" i="1"/>
  <c r="C4730" i="1"/>
  <c r="C4672" i="1"/>
  <c r="D4664" i="1"/>
  <c r="C4660" i="1"/>
  <c r="D4656" i="1"/>
  <c r="C4652" i="1"/>
  <c r="D4648" i="1"/>
  <c r="C4644" i="1"/>
  <c r="D4640" i="1"/>
  <c r="D4630" i="1"/>
  <c r="C4626" i="1"/>
  <c r="C4608" i="1"/>
  <c r="D4544" i="1"/>
  <c r="C4484" i="1"/>
  <c r="C4140" i="1"/>
  <c r="D4128" i="1"/>
  <c r="C4108" i="1"/>
  <c r="D4104" i="1"/>
  <c r="D4096" i="1"/>
  <c r="C4076" i="1"/>
  <c r="D4064" i="1"/>
  <c r="D4056" i="1"/>
  <c r="C4052" i="1"/>
  <c r="C4044" i="1"/>
  <c r="D4040" i="1"/>
  <c r="C4036" i="1"/>
  <c r="D4032" i="1"/>
  <c r="D4024" i="1"/>
  <c r="C4020" i="1"/>
  <c r="C4010" i="1"/>
  <c r="C3994" i="1"/>
  <c r="C3990" i="1"/>
  <c r="C3982" i="1"/>
  <c r="C3978" i="1"/>
  <c r="C3974" i="1"/>
  <c r="C3966" i="1"/>
  <c r="C3962" i="1"/>
  <c r="C3958" i="1"/>
  <c r="C3950" i="1"/>
  <c r="D3946" i="1"/>
  <c r="C3942" i="1"/>
  <c r="D3938" i="1"/>
  <c r="C3934" i="1"/>
  <c r="D3930" i="1"/>
  <c r="C3926" i="1"/>
  <c r="D3922" i="1"/>
  <c r="C3918" i="1"/>
  <c r="D3914" i="1"/>
  <c r="C3910" i="1"/>
  <c r="D3906" i="1"/>
  <c r="C3902" i="1"/>
  <c r="D3898" i="1"/>
  <c r="C3894" i="1"/>
  <c r="D3890" i="1"/>
  <c r="C3886" i="1"/>
  <c r="D3882" i="1"/>
  <c r="C3878" i="1"/>
  <c r="D3874" i="1"/>
  <c r="C3870" i="1"/>
  <c r="D3866" i="1"/>
  <c r="C3862" i="1"/>
  <c r="D3858" i="1"/>
  <c r="C3854" i="1"/>
  <c r="D3850" i="1"/>
  <c r="C3846" i="1"/>
  <c r="D3842" i="1"/>
  <c r="C3838" i="1"/>
  <c r="D3834" i="1"/>
  <c r="C3830" i="1"/>
  <c r="D3826" i="1"/>
  <c r="C3822" i="1"/>
  <c r="D3818" i="1"/>
  <c r="C3814" i="1"/>
  <c r="D3810" i="1"/>
  <c r="C3806" i="1"/>
  <c r="D3802" i="1"/>
  <c r="C3798" i="1"/>
  <c r="D3794" i="1"/>
  <c r="C3790" i="1"/>
  <c r="D3786" i="1"/>
  <c r="C3782" i="1"/>
  <c r="D3778" i="1"/>
  <c r="C3774" i="1"/>
  <c r="D3770" i="1"/>
  <c r="C3766" i="1"/>
  <c r="D3762" i="1"/>
  <c r="C3758" i="1"/>
  <c r="D3754" i="1"/>
  <c r="C3750" i="1"/>
  <c r="D3746" i="1"/>
  <c r="C3742" i="1"/>
  <c r="D3738" i="1"/>
  <c r="C3734" i="1"/>
  <c r="D3730" i="1"/>
  <c r="C3726" i="1"/>
  <c r="D3722" i="1"/>
  <c r="C3718" i="1"/>
  <c r="D3714" i="1"/>
  <c r="C3710" i="1"/>
  <c r="D3706" i="1"/>
  <c r="C3702" i="1"/>
  <c r="D3698" i="1"/>
  <c r="C3694" i="1"/>
  <c r="D3690" i="1"/>
  <c r="C3686" i="1"/>
  <c r="D3682" i="1"/>
  <c r="D3674" i="1"/>
  <c r="C3670" i="1"/>
  <c r="C3662" i="1"/>
  <c r="D3658" i="1"/>
  <c r="C3654" i="1"/>
  <c r="C3646" i="1"/>
  <c r="D3642" i="1"/>
  <c r="C3638" i="1"/>
  <c r="D3634" i="1"/>
  <c r="D3626" i="1"/>
  <c r="C3622" i="1"/>
  <c r="D3618" i="1"/>
  <c r="C3614" i="1"/>
  <c r="D3610" i="1"/>
  <c r="C3606" i="1"/>
  <c r="D3602" i="1"/>
  <c r="C3598" i="1"/>
  <c r="D3594" i="1"/>
  <c r="C3590" i="1"/>
  <c r="C3582" i="1"/>
  <c r="D3578" i="1"/>
  <c r="C3574" i="1"/>
  <c r="D3570" i="1"/>
  <c r="D3562" i="1"/>
  <c r="C3558" i="1"/>
  <c r="D3554" i="1"/>
  <c r="C3550" i="1"/>
  <c r="D3546" i="1"/>
  <c r="C3542" i="1"/>
  <c r="D3538" i="1"/>
  <c r="C3534" i="1"/>
  <c r="D3530" i="1"/>
  <c r="C3526" i="1"/>
  <c r="C3510" i="1"/>
  <c r="D3498" i="1"/>
  <c r="C3494" i="1"/>
  <c r="D3482" i="1"/>
  <c r="C3478" i="1"/>
  <c r="D3466" i="1"/>
  <c r="C3462" i="1"/>
  <c r="D3450" i="1"/>
  <c r="C3446" i="1"/>
  <c r="D3434" i="1"/>
  <c r="D3418" i="1"/>
  <c r="C3414" i="1"/>
  <c r="D3402" i="1"/>
  <c r="C3398" i="1"/>
  <c r="C3382" i="1"/>
  <c r="D3370" i="1"/>
  <c r="C3366" i="1"/>
  <c r="D3354" i="1"/>
  <c r="D3346" i="1"/>
  <c r="D3330" i="1"/>
  <c r="D3322" i="1"/>
  <c r="D3314" i="1"/>
  <c r="D3306" i="1"/>
  <c r="D3298" i="1"/>
  <c r="D3290" i="1"/>
  <c r="D3282" i="1"/>
  <c r="D3266" i="1"/>
  <c r="D3258" i="1"/>
  <c r="D3250" i="1"/>
  <c r="D3242" i="1"/>
  <c r="D3234" i="1"/>
  <c r="D3226" i="1"/>
  <c r="D3218" i="1"/>
  <c r="D3202" i="1"/>
  <c r="D3194" i="1"/>
  <c r="D3186" i="1"/>
  <c r="D3178" i="1"/>
  <c r="D3170" i="1"/>
  <c r="D3162" i="1"/>
  <c r="D3154" i="1"/>
  <c r="D3138" i="1"/>
  <c r="D3130" i="1"/>
  <c r="D3122" i="1"/>
  <c r="D3106" i="1"/>
  <c r="D3098" i="1"/>
  <c r="D3090" i="1"/>
  <c r="D3074" i="1"/>
  <c r="D3066" i="1"/>
  <c r="D3058" i="1"/>
  <c r="D3042" i="1"/>
  <c r="D3034" i="1"/>
  <c r="D3026" i="1"/>
  <c r="D3010" i="1"/>
  <c r="D3002" i="1"/>
  <c r="D2994" i="1"/>
  <c r="D2978" i="1"/>
  <c r="D2970" i="1"/>
  <c r="D2962" i="1"/>
  <c r="D2946" i="1"/>
  <c r="D2938" i="1"/>
  <c r="D2930" i="1"/>
  <c r="D2914" i="1"/>
  <c r="D2906" i="1"/>
  <c r="D2898" i="1"/>
  <c r="D2882" i="1"/>
  <c r="D2874" i="1"/>
  <c r="D2866" i="1"/>
  <c r="D2850" i="1"/>
  <c r="D2842" i="1"/>
  <c r="D2834" i="1"/>
  <c r="D2818" i="1"/>
  <c r="D2810" i="1"/>
  <c r="D2802" i="1"/>
  <c r="D2786" i="1"/>
  <c r="D2778" i="1"/>
  <c r="D2758" i="1"/>
  <c r="C2750" i="1"/>
  <c r="D2686" i="1"/>
  <c r="D2670" i="1"/>
  <c r="D2660" i="1"/>
  <c r="C2642" i="1"/>
  <c r="D2634" i="1"/>
  <c r="D2618" i="1"/>
  <c r="C2610" i="1"/>
  <c r="D2602" i="1"/>
  <c r="C2594" i="1"/>
  <c r="D2586" i="1"/>
  <c r="C2562" i="1"/>
  <c r="C2530" i="1"/>
  <c r="D2518" i="1"/>
  <c r="C2514" i="1"/>
  <c r="D2502" i="1"/>
  <c r="C2498" i="1"/>
  <c r="D2486" i="1"/>
  <c r="C2482" i="1"/>
  <c r="D2470" i="1"/>
  <c r="D2454" i="1"/>
  <c r="C2450" i="1"/>
  <c r="D2438" i="1"/>
  <c r="C2434" i="1"/>
  <c r="C2418" i="1"/>
  <c r="D2406" i="1"/>
  <c r="C2402" i="1"/>
  <c r="D2390" i="1"/>
  <c r="C2386" i="1"/>
  <c r="D2374" i="1"/>
  <c r="C2370" i="1"/>
  <c r="C2354" i="1"/>
  <c r="D2342" i="1"/>
  <c r="D2326" i="1"/>
  <c r="C2322" i="1"/>
  <c r="D2310" i="1"/>
  <c r="C2306" i="1"/>
  <c r="C2290" i="1"/>
  <c r="D2278" i="1"/>
  <c r="D2262" i="1"/>
  <c r="C2258" i="1"/>
  <c r="D2246" i="1"/>
  <c r="C2242" i="1"/>
  <c r="C2226" i="1"/>
  <c r="D2214" i="1"/>
  <c r="D2198" i="1"/>
  <c r="C2194" i="1"/>
  <c r="D2182" i="1"/>
  <c r="C2178" i="1"/>
  <c r="C2162" i="1"/>
  <c r="D2150" i="1"/>
  <c r="C2130" i="1"/>
  <c r="D2118" i="1"/>
  <c r="C2098" i="1"/>
  <c r="D2086" i="1"/>
  <c r="D1396" i="1"/>
  <c r="D1392" i="1"/>
  <c r="D1380" i="1"/>
  <c r="D1376" i="1"/>
  <c r="D1364" i="1"/>
  <c r="D1360" i="1"/>
  <c r="C1346" i="1"/>
  <c r="C1342" i="1"/>
  <c r="C1334" i="1"/>
  <c r="C1326" i="1"/>
  <c r="C1318" i="1"/>
  <c r="C1310" i="1"/>
  <c r="C1302" i="1"/>
  <c r="C1294" i="1"/>
  <c r="C1286" i="1"/>
  <c r="D1284" i="1"/>
  <c r="D1276" i="1"/>
  <c r="C870" i="1"/>
  <c r="C862" i="1"/>
  <c r="C854" i="1"/>
  <c r="C846" i="1"/>
  <c r="C838" i="1"/>
  <c r="C830" i="1"/>
  <c r="D4629" i="1"/>
  <c r="C4627" i="1"/>
  <c r="C4619" i="1"/>
  <c r="C4615" i="1"/>
  <c r="D4613" i="1"/>
  <c r="D4609" i="1"/>
  <c r="D4601" i="1"/>
  <c r="C4599" i="1"/>
  <c r="C4591" i="1"/>
  <c r="C4587" i="1"/>
  <c r="D4581" i="1"/>
  <c r="D4577" i="1"/>
  <c r="D4569" i="1"/>
  <c r="C4567" i="1"/>
  <c r="C4559" i="1"/>
  <c r="C4555" i="1"/>
  <c r="D4549" i="1"/>
  <c r="D4545" i="1"/>
  <c r="C4531" i="1"/>
  <c r="C4527" i="1"/>
  <c r="C4523" i="1"/>
  <c r="D4521" i="1"/>
  <c r="D4517" i="1"/>
  <c r="D4513" i="1"/>
  <c r="C4499" i="1"/>
  <c r="C4495" i="1"/>
  <c r="C4491" i="1"/>
  <c r="D4489" i="1"/>
  <c r="D4485" i="1"/>
  <c r="D4481" i="1"/>
  <c r="C4471" i="1"/>
  <c r="C4467" i="1"/>
  <c r="C4463" i="1"/>
  <c r="D4457" i="1"/>
  <c r="D4453" i="1"/>
  <c r="D4449" i="1"/>
  <c r="C4443" i="1"/>
  <c r="C4439" i="1"/>
  <c r="C4435" i="1"/>
  <c r="D4425" i="1"/>
  <c r="D4421" i="1"/>
  <c r="D4417" i="1"/>
  <c r="C4415" i="1"/>
  <c r="C4411" i="1"/>
  <c r="C4407" i="1"/>
  <c r="D4393" i="1"/>
  <c r="D4389" i="1"/>
  <c r="D4385" i="1"/>
  <c r="C4383" i="1"/>
  <c r="C4379" i="1"/>
  <c r="C4375" i="1"/>
  <c r="D4361" i="1"/>
  <c r="D4357" i="1"/>
  <c r="D4353" i="1"/>
  <c r="C4351" i="1"/>
  <c r="C4347" i="1"/>
  <c r="C4343" i="1"/>
  <c r="D4333" i="1"/>
  <c r="D4329" i="1"/>
  <c r="D4325" i="1"/>
  <c r="C4319" i="1"/>
  <c r="C4315" i="1"/>
  <c r="C4311" i="1"/>
  <c r="D4305" i="1"/>
  <c r="D4301" i="1"/>
  <c r="D4297" i="1"/>
  <c r="C4287" i="1"/>
  <c r="C4283" i="1"/>
  <c r="C4279" i="1"/>
  <c r="D4273" i="1"/>
  <c r="D4269" i="1"/>
  <c r="D4265" i="1"/>
  <c r="C4259" i="1"/>
  <c r="C4255" i="1"/>
  <c r="C4251" i="1"/>
  <c r="D4241" i="1"/>
  <c r="D4237" i="1"/>
  <c r="D4233" i="1"/>
  <c r="C4227" i="1"/>
  <c r="C4223" i="1"/>
  <c r="C4219" i="1"/>
  <c r="D4213" i="1"/>
  <c r="D4209" i="1"/>
  <c r="D4205" i="1"/>
  <c r="C4199" i="1"/>
  <c r="C4195" i="1"/>
  <c r="C4191" i="1"/>
  <c r="D4181" i="1"/>
  <c r="D4177" i="1"/>
  <c r="D4173" i="1"/>
  <c r="C4167" i="1"/>
  <c r="C4163" i="1"/>
  <c r="C4159" i="1"/>
  <c r="D4153" i="1"/>
  <c r="D4149" i="1"/>
  <c r="D4145" i="1"/>
  <c r="C4143" i="1"/>
  <c r="C4139" i="1"/>
  <c r="C4135" i="1"/>
  <c r="D4133" i="1"/>
  <c r="D4129" i="1"/>
  <c r="D4125" i="1"/>
  <c r="C4123" i="1"/>
  <c r="C4119" i="1"/>
  <c r="C4115" i="1"/>
  <c r="D4109" i="1"/>
  <c r="D4105" i="1"/>
  <c r="C4099" i="1"/>
  <c r="C4095" i="1"/>
  <c r="D4089" i="1"/>
  <c r="D4085" i="1"/>
  <c r="D4081" i="1"/>
  <c r="C4079" i="1"/>
  <c r="C4075" i="1"/>
  <c r="C4071" i="1"/>
  <c r="D4069" i="1"/>
  <c r="D4065" i="1"/>
  <c r="D4061" i="1"/>
  <c r="C4059" i="1"/>
  <c r="C4055" i="1"/>
  <c r="C4051" i="1"/>
  <c r="D4045" i="1"/>
  <c r="D4041" i="1"/>
  <c r="C4035" i="1"/>
  <c r="C4031" i="1"/>
  <c r="D4025" i="1"/>
  <c r="D4021" i="1"/>
  <c r="D4017" i="1"/>
  <c r="C4015" i="1"/>
  <c r="C4011" i="1"/>
  <c r="C4007" i="1"/>
  <c r="D3997" i="1"/>
  <c r="D3993" i="1"/>
  <c r="D3989" i="1"/>
  <c r="C3983" i="1"/>
  <c r="C3979" i="1"/>
  <c r="C3975" i="1"/>
  <c r="D3965" i="1"/>
  <c r="D3961" i="1"/>
  <c r="D3957" i="1"/>
  <c r="C3951" i="1"/>
  <c r="D3939" i="1"/>
  <c r="D3923" i="1"/>
  <c r="C3919" i="1"/>
  <c r="D3907" i="1"/>
  <c r="C3903" i="1"/>
  <c r="C3887" i="1"/>
  <c r="D3875" i="1"/>
  <c r="D3859" i="1"/>
  <c r="C3855" i="1"/>
  <c r="D3843" i="1"/>
  <c r="C3839" i="1"/>
  <c r="C3823" i="1"/>
  <c r="D3811" i="1"/>
  <c r="D3795" i="1"/>
  <c r="C3791" i="1"/>
  <c r="D3779" i="1"/>
  <c r="C3775" i="1"/>
  <c r="C3759" i="1"/>
  <c r="D3747" i="1"/>
  <c r="D3731" i="1"/>
  <c r="C3727" i="1"/>
  <c r="D3715" i="1"/>
  <c r="D3699" i="1"/>
  <c r="C3695" i="1"/>
  <c r="C3685" i="1"/>
  <c r="C3681" i="1"/>
  <c r="D3675" i="1"/>
  <c r="D3671" i="1"/>
  <c r="D3667" i="1"/>
  <c r="C3665" i="1"/>
  <c r="C3661" i="1"/>
  <c r="C3657" i="1"/>
  <c r="C3653" i="1"/>
  <c r="D3647" i="1"/>
  <c r="D3643" i="1"/>
  <c r="D3639" i="1"/>
  <c r="D3635" i="1"/>
  <c r="D3631" i="1"/>
  <c r="C3629" i="1"/>
  <c r="C3625" i="1"/>
  <c r="C3621" i="1"/>
  <c r="C3617" i="1"/>
  <c r="C3613" i="1"/>
  <c r="D3603" i="1"/>
  <c r="D3599" i="1"/>
  <c r="D3595" i="1"/>
  <c r="D3591" i="1"/>
  <c r="D3587" i="1"/>
  <c r="C3585" i="1"/>
  <c r="C3581" i="1"/>
  <c r="C3577" i="1"/>
  <c r="C3573" i="1"/>
  <c r="C3569" i="1"/>
  <c r="D3563" i="1"/>
  <c r="D3559" i="1"/>
  <c r="D3555" i="1"/>
  <c r="D3551" i="1"/>
  <c r="D3547" i="1"/>
  <c r="C3541" i="1"/>
  <c r="C3537" i="1"/>
  <c r="C3533" i="1"/>
  <c r="C3529" i="1"/>
  <c r="C3525" i="1"/>
  <c r="C3517" i="1"/>
  <c r="D3511" i="1"/>
  <c r="D3503" i="1"/>
  <c r="D3499" i="1"/>
  <c r="D3495" i="1"/>
  <c r="D3491" i="1"/>
  <c r="D3487" i="1"/>
  <c r="D3483" i="1"/>
  <c r="D3479" i="1"/>
  <c r="C3465" i="1"/>
  <c r="C3461" i="1"/>
  <c r="C3457" i="1"/>
  <c r="C3453" i="1"/>
  <c r="C3449" i="1"/>
  <c r="C3445" i="1"/>
  <c r="C3441" i="1"/>
  <c r="C3433" i="1"/>
  <c r="D3427" i="1"/>
  <c r="D3419" i="1"/>
  <c r="D3415" i="1"/>
  <c r="D3411" i="1"/>
  <c r="D3407" i="1"/>
  <c r="D3403" i="1"/>
  <c r="D3399" i="1"/>
  <c r="D3395" i="1"/>
  <c r="D3387" i="1"/>
  <c r="C3385" i="1"/>
  <c r="C3377" i="1"/>
  <c r="C3373" i="1"/>
  <c r="C3369" i="1"/>
  <c r="C3365" i="1"/>
  <c r="C3361" i="1"/>
  <c r="C3357" i="1"/>
  <c r="C3353" i="1"/>
  <c r="C3345" i="1"/>
  <c r="C3341" i="1"/>
  <c r="D3335" i="1"/>
  <c r="D3331" i="1"/>
  <c r="D3323" i="1"/>
  <c r="D3319" i="1"/>
  <c r="D3315" i="1"/>
  <c r="D3311" i="1"/>
  <c r="D3307" i="1"/>
  <c r="D3303" i="1"/>
  <c r="D3299" i="1"/>
  <c r="D3291" i="1"/>
  <c r="D3287" i="1"/>
  <c r="D3283" i="1"/>
  <c r="D3279" i="1"/>
  <c r="D3275" i="1"/>
  <c r="C3273" i="1"/>
  <c r="C3269" i="1"/>
  <c r="C3265" i="1"/>
  <c r="C3261" i="1"/>
  <c r="C3257" i="1"/>
  <c r="C3249" i="1"/>
  <c r="C3245" i="1"/>
  <c r="C3241" i="1"/>
  <c r="C3237" i="1"/>
  <c r="C3233" i="1"/>
  <c r="C3229" i="1"/>
  <c r="C3225" i="1"/>
  <c r="C3217" i="1"/>
  <c r="C3213" i="1"/>
  <c r="D3207" i="1"/>
  <c r="D3203" i="1"/>
  <c r="D3195" i="1"/>
  <c r="D3191" i="1"/>
  <c r="D3187" i="1"/>
  <c r="D3183" i="1"/>
  <c r="D3179" i="1"/>
  <c r="D3175" i="1"/>
  <c r="D3171" i="1"/>
  <c r="D3163" i="1"/>
  <c r="D3159" i="1"/>
  <c r="D3155" i="1"/>
  <c r="D3151" i="1"/>
  <c r="D3147" i="1"/>
  <c r="C3145" i="1"/>
  <c r="C3141" i="1"/>
  <c r="C3137" i="1"/>
  <c r="C3133" i="1"/>
  <c r="C3129" i="1"/>
  <c r="C3121" i="1"/>
  <c r="C3117" i="1"/>
  <c r="D3111" i="1"/>
  <c r="D3107" i="1"/>
  <c r="D3099" i="1"/>
  <c r="D3095" i="1"/>
  <c r="D3091" i="1"/>
  <c r="D3087" i="1"/>
  <c r="D3083" i="1"/>
  <c r="C3081" i="1"/>
  <c r="C3077" i="1"/>
  <c r="C3073" i="1"/>
  <c r="C3069" i="1"/>
  <c r="C3065" i="1"/>
  <c r="C3057" i="1"/>
  <c r="C3053" i="1"/>
  <c r="D3047" i="1"/>
  <c r="D3043" i="1"/>
  <c r="D3035" i="1"/>
  <c r="D3031" i="1"/>
  <c r="D3027" i="1"/>
  <c r="D3023" i="1"/>
  <c r="D3019" i="1"/>
  <c r="C3017" i="1"/>
  <c r="C3013" i="1"/>
  <c r="C3009" i="1"/>
  <c r="C3005" i="1"/>
  <c r="C3001" i="1"/>
  <c r="C2993" i="1"/>
  <c r="C2989" i="1"/>
  <c r="D2983" i="1"/>
  <c r="D2979" i="1"/>
  <c r="D2971" i="1"/>
  <c r="D2967" i="1"/>
  <c r="D2963" i="1"/>
  <c r="D2959" i="1"/>
  <c r="D2955" i="1"/>
  <c r="C2953" i="1"/>
  <c r="C2949" i="1"/>
  <c r="C2945" i="1"/>
  <c r="C2941" i="1"/>
  <c r="C2937" i="1"/>
  <c r="C2929" i="1"/>
  <c r="C2925" i="1"/>
  <c r="D2919" i="1"/>
  <c r="D2915" i="1"/>
  <c r="D2907" i="1"/>
  <c r="D2903" i="1"/>
  <c r="D2899" i="1"/>
  <c r="D2895" i="1"/>
  <c r="D2891" i="1"/>
  <c r="C2889" i="1"/>
  <c r="C2885" i="1"/>
  <c r="C2881" i="1"/>
  <c r="C2877" i="1"/>
  <c r="C2873" i="1"/>
  <c r="C2865" i="1"/>
  <c r="C2861" i="1"/>
  <c r="D2855" i="1"/>
  <c r="D2851" i="1"/>
  <c r="D2843" i="1"/>
  <c r="D2839" i="1"/>
  <c r="D2835" i="1"/>
  <c r="D2831" i="1"/>
  <c r="D2827" i="1"/>
  <c r="C2825" i="1"/>
  <c r="C2821" i="1"/>
  <c r="C2817" i="1"/>
  <c r="C2813" i="1"/>
  <c r="C2809" i="1"/>
  <c r="C2801" i="1"/>
  <c r="C2797" i="1"/>
  <c r="D2791" i="1"/>
  <c r="D2787" i="1"/>
  <c r="D2779" i="1"/>
  <c r="D2775" i="1"/>
  <c r="C2767" i="1"/>
  <c r="D2761" i="1"/>
  <c r="D2757" i="1"/>
  <c r="C2753" i="1"/>
  <c r="D2743" i="1"/>
  <c r="D2731" i="1"/>
  <c r="D2727" i="1"/>
  <c r="C2725" i="1"/>
  <c r="D2719" i="1"/>
  <c r="C2713" i="1"/>
  <c r="D2703" i="1"/>
  <c r="C2699" i="1"/>
  <c r="C2695" i="1"/>
  <c r="C2691" i="1"/>
  <c r="C2687" i="1"/>
  <c r="C2683" i="1"/>
  <c r="C2679" i="1"/>
  <c r="D2677" i="1"/>
  <c r="D2673" i="1"/>
  <c r="D2669" i="1"/>
  <c r="D2665" i="1"/>
  <c r="D2661" i="1"/>
  <c r="D2657" i="1"/>
  <c r="D2653" i="1"/>
  <c r="C2647" i="1"/>
  <c r="C2643" i="1"/>
  <c r="C2639" i="1"/>
  <c r="C2635" i="1"/>
  <c r="C2631" i="1"/>
  <c r="C2627" i="1"/>
  <c r="D2625" i="1"/>
  <c r="D2621" i="1"/>
  <c r="D2617" i="1"/>
  <c r="D2613" i="1"/>
  <c r="D2609" i="1"/>
  <c r="D2605" i="1"/>
  <c r="C2595" i="1"/>
  <c r="C2591" i="1"/>
  <c r="C2587" i="1"/>
  <c r="C2581" i="1"/>
  <c r="C2573" i="1"/>
  <c r="C2565" i="1"/>
  <c r="C2557" i="1"/>
  <c r="D2551" i="1"/>
  <c r="D2543" i="1"/>
  <c r="D2535" i="1"/>
  <c r="D2527" i="1"/>
  <c r="D2519" i="1"/>
  <c r="D2511" i="1"/>
  <c r="C2505" i="1"/>
  <c r="C2497" i="1"/>
  <c r="C2489" i="1"/>
  <c r="C2481" i="1"/>
  <c r="C2473" i="1"/>
  <c r="D2459" i="1"/>
  <c r="D2451" i="1"/>
  <c r="D2443" i="1"/>
  <c r="D2435" i="1"/>
  <c r="D2427" i="1"/>
  <c r="C2417" i="1"/>
  <c r="C2409" i="1"/>
  <c r="C2401" i="1"/>
  <c r="C2393" i="1"/>
  <c r="C2385" i="1"/>
  <c r="D2375" i="1"/>
  <c r="D2367" i="1"/>
  <c r="D2359" i="1"/>
  <c r="C2357" i="1"/>
  <c r="C2349" i="1"/>
  <c r="C2341" i="1"/>
  <c r="D2335" i="1"/>
  <c r="D2327" i="1"/>
  <c r="D2319" i="1"/>
  <c r="C2313" i="1"/>
  <c r="C2305" i="1"/>
  <c r="C2297" i="1"/>
  <c r="D2291" i="1"/>
  <c r="D2283" i="1"/>
  <c r="D2275" i="1"/>
  <c r="C2273" i="1"/>
  <c r="C2265" i="1"/>
  <c r="C2257" i="1"/>
  <c r="D2247" i="1"/>
  <c r="D2239" i="1"/>
  <c r="D2231" i="1"/>
  <c r="C2229" i="1"/>
  <c r="C2221" i="1"/>
  <c r="C2213" i="1"/>
  <c r="D2207" i="1"/>
  <c r="D2199" i="1"/>
  <c r="D2191" i="1"/>
  <c r="C2185" i="1"/>
  <c r="C2177" i="1"/>
  <c r="C2169" i="1"/>
  <c r="D2163" i="1"/>
  <c r="C2149" i="1"/>
  <c r="D2143" i="1"/>
  <c r="D2135" i="1"/>
  <c r="C2133" i="1"/>
  <c r="C2125" i="1"/>
  <c r="D2123" i="1"/>
  <c r="D2115" i="1"/>
  <c r="C2113" i="1"/>
  <c r="C2105" i="1"/>
  <c r="D2099" i="1"/>
  <c r="C2085" i="1"/>
  <c r="D2079" i="1"/>
  <c r="C2073" i="1"/>
  <c r="D2067" i="1"/>
  <c r="C2065" i="1"/>
  <c r="D2055" i="1"/>
  <c r="C2053" i="1"/>
  <c r="D2047" i="1"/>
  <c r="C2041" i="1"/>
  <c r="D2035" i="1"/>
  <c r="C2033" i="1"/>
  <c r="D2023" i="1"/>
  <c r="C2021" i="1"/>
  <c r="D2015" i="1"/>
  <c r="C2009" i="1"/>
  <c r="D2003" i="1"/>
  <c r="C2001" i="1"/>
  <c r="D1971" i="1"/>
  <c r="C1969" i="1"/>
  <c r="D1939" i="1"/>
  <c r="C1937" i="1"/>
  <c r="C1921" i="1"/>
  <c r="D1919" i="1"/>
  <c r="C1905" i="1"/>
  <c r="D1903" i="1"/>
  <c r="C1889" i="1"/>
  <c r="D1887" i="1"/>
  <c r="C1873" i="1"/>
  <c r="C1865" i="1"/>
  <c r="C1857" i="1"/>
  <c r="C1849" i="1"/>
  <c r="C1841" i="1"/>
  <c r="C1833" i="1"/>
  <c r="C1825" i="1"/>
  <c r="C1817" i="1"/>
  <c r="C1809" i="1"/>
  <c r="C1801" i="1"/>
  <c r="C1793" i="1"/>
  <c r="D1785" i="1"/>
  <c r="C1783" i="1"/>
  <c r="D1773" i="1"/>
  <c r="C1771" i="1"/>
  <c r="D1765" i="1"/>
  <c r="C1759" i="1"/>
  <c r="D1753" i="1"/>
  <c r="C1751" i="1"/>
  <c r="D1741" i="1"/>
  <c r="C1739" i="1"/>
  <c r="D1733" i="1"/>
  <c r="C1727" i="1"/>
  <c r="D1721" i="1"/>
  <c r="C1719" i="1"/>
  <c r="D1709" i="1"/>
  <c r="C1707" i="1"/>
  <c r="D1701" i="1"/>
  <c r="C1695" i="1"/>
  <c r="D1689" i="1"/>
  <c r="C1687" i="1"/>
  <c r="D1677" i="1"/>
  <c r="C1675" i="1"/>
  <c r="D1669" i="1"/>
  <c r="C1663" i="1"/>
  <c r="D1657" i="1"/>
  <c r="C1655" i="1"/>
  <c r="D1645" i="1"/>
  <c r="C1643" i="1"/>
  <c r="D1637" i="1"/>
  <c r="C1631" i="1"/>
  <c r="D1625" i="1"/>
  <c r="C1623" i="1"/>
  <c r="D1613" i="1"/>
  <c r="C1611" i="1"/>
  <c r="D1605" i="1"/>
  <c r="C1599" i="1"/>
  <c r="D1593" i="1"/>
  <c r="C1591" i="1"/>
  <c r="D1577" i="1"/>
  <c r="C1575" i="1"/>
  <c r="D1561" i="1"/>
  <c r="C1559" i="1"/>
  <c r="D1545" i="1"/>
  <c r="C1543" i="1"/>
  <c r="D1529" i="1"/>
  <c r="C1527" i="1"/>
  <c r="D1513" i="1"/>
  <c r="C1511" i="1"/>
  <c r="D1497" i="1"/>
  <c r="C1495" i="1"/>
  <c r="D1461" i="1"/>
  <c r="C1405" i="1"/>
  <c r="D1397" i="1"/>
  <c r="C1341" i="1"/>
  <c r="D1335" i="1"/>
  <c r="C1323" i="1"/>
  <c r="D1319" i="1"/>
  <c r="C1307" i="1"/>
  <c r="D1303" i="1"/>
  <c r="C1291" i="1"/>
  <c r="D1287" i="1"/>
  <c r="D1267" i="1"/>
  <c r="D1235" i="1"/>
  <c r="D1203" i="1"/>
  <c r="D1171" i="1"/>
  <c r="D1139" i="1"/>
  <c r="D1107" i="1"/>
  <c r="D1075" i="1"/>
  <c r="D1043" i="1"/>
  <c r="D979" i="1"/>
  <c r="D947" i="1"/>
  <c r="D915" i="1"/>
  <c r="D883" i="1"/>
  <c r="D797" i="1"/>
  <c r="D747" i="1"/>
  <c r="C727" i="1"/>
  <c r="C513" i="1"/>
  <c r="C4982" i="1"/>
  <c r="C4890" i="1"/>
  <c r="D4828" i="1"/>
  <c r="C4782" i="1"/>
  <c r="C4991" i="1"/>
  <c r="C4975" i="1"/>
  <c r="D4963" i="1"/>
  <c r="C4955" i="1"/>
  <c r="D4945" i="1"/>
  <c r="D4937" i="1"/>
  <c r="C4931" i="1"/>
  <c r="D4919" i="1"/>
  <c r="C4901" i="1"/>
  <c r="D4879" i="1"/>
  <c r="C4861" i="1"/>
  <c r="D4851" i="1"/>
  <c r="D4936" i="1"/>
  <c r="C4922" i="1"/>
  <c r="D4860" i="1"/>
  <c r="C4750" i="1"/>
  <c r="C4690" i="1"/>
  <c r="C4552" i="1"/>
  <c r="C4538" i="1"/>
  <c r="C4522" i="1"/>
  <c r="D4506" i="1"/>
  <c r="C4490" i="1"/>
  <c r="D4476" i="1"/>
  <c r="C4460" i="1"/>
  <c r="C4952" i="1"/>
  <c r="C4906" i="1"/>
  <c r="C4874" i="1"/>
  <c r="D4844" i="1"/>
  <c r="C4812" i="1"/>
  <c r="D4798" i="1"/>
  <c r="D4766" i="1"/>
  <c r="C4736" i="1"/>
  <c r="C4706" i="1"/>
  <c r="C4674" i="1"/>
  <c r="C4662" i="1"/>
  <c r="C4628" i="1"/>
  <c r="C4614" i="1"/>
  <c r="D4600" i="1"/>
  <c r="C4584" i="1"/>
  <c r="C4568" i="1"/>
  <c r="C4927" i="1"/>
  <c r="C4923" i="1"/>
  <c r="D4921" i="1"/>
  <c r="D4917" i="1"/>
  <c r="D4913" i="1"/>
  <c r="D4909" i="1"/>
  <c r="C4903" i="1"/>
  <c r="C4899" i="1"/>
  <c r="C4895" i="1"/>
  <c r="C4891" i="1"/>
  <c r="D4889" i="1"/>
  <c r="D4885" i="1"/>
  <c r="D4881" i="1"/>
  <c r="D4877" i="1"/>
  <c r="C4871" i="1"/>
  <c r="C4867" i="1"/>
  <c r="C4863" i="1"/>
  <c r="D4857" i="1"/>
  <c r="D4853" i="1"/>
  <c r="D4849" i="1"/>
  <c r="D4845" i="1"/>
  <c r="C4843" i="1"/>
  <c r="C4839" i="1"/>
  <c r="C4835" i="1"/>
  <c r="C4831" i="1"/>
  <c r="D4825" i="1"/>
  <c r="D4821" i="1"/>
  <c r="D4817" i="1"/>
  <c r="D4813" i="1"/>
  <c r="C4811" i="1"/>
  <c r="C4807" i="1"/>
  <c r="C4803" i="1"/>
  <c r="C4799" i="1"/>
  <c r="D4797" i="1"/>
  <c r="D4793" i="1"/>
  <c r="D4789" i="1"/>
  <c r="D4785" i="1"/>
  <c r="C4779" i="1"/>
  <c r="C4775" i="1"/>
  <c r="C4771" i="1"/>
  <c r="C4767" i="1"/>
  <c r="D4765" i="1"/>
  <c r="D4761" i="1"/>
  <c r="D4757" i="1"/>
  <c r="D4753" i="1"/>
  <c r="C4747" i="1"/>
  <c r="C4743" i="1"/>
  <c r="C4739" i="1"/>
  <c r="D4733" i="1"/>
  <c r="D4729" i="1"/>
  <c r="D4725" i="1"/>
  <c r="C4719" i="1"/>
  <c r="C4715" i="1"/>
  <c r="C4711" i="1"/>
  <c r="C4707" i="1"/>
  <c r="D4705" i="1"/>
  <c r="D4701" i="1"/>
  <c r="D4697" i="1"/>
  <c r="D4693" i="1"/>
  <c r="C4687" i="1"/>
  <c r="C4683" i="1"/>
  <c r="C4679" i="1"/>
  <c r="C4675" i="1"/>
  <c r="D4673" i="1"/>
  <c r="D4669" i="1"/>
  <c r="D4665" i="1"/>
  <c r="C4659" i="1"/>
  <c r="C4655" i="1"/>
  <c r="D4649" i="1"/>
  <c r="D4645" i="1"/>
  <c r="D4641" i="1"/>
  <c r="C4639" i="1"/>
  <c r="C4635" i="1"/>
  <c r="C3929" i="1"/>
  <c r="C3897" i="1"/>
  <c r="C3865" i="1"/>
  <c r="C3833" i="1"/>
  <c r="C3801" i="1"/>
  <c r="C3769" i="1"/>
  <c r="C3737" i="1"/>
  <c r="C3721" i="1"/>
  <c r="C3705" i="1"/>
  <c r="C2771" i="1"/>
  <c r="C1871" i="1"/>
  <c r="C1863" i="1"/>
  <c r="C1855" i="1"/>
  <c r="C1847" i="1"/>
  <c r="C1839" i="1"/>
  <c r="C1831" i="1"/>
  <c r="C1823" i="1"/>
  <c r="C1815" i="1"/>
  <c r="C1807" i="1"/>
  <c r="C1799" i="1"/>
  <c r="C1791" i="1"/>
  <c r="C1483" i="1"/>
  <c r="C1443" i="1"/>
  <c r="C1403" i="1"/>
  <c r="C1401" i="1"/>
  <c r="C1399" i="1"/>
  <c r="C1379" i="1"/>
  <c r="C1359" i="1"/>
  <c r="C1339" i="1"/>
  <c r="C1337" i="1"/>
  <c r="C1321" i="1"/>
  <c r="C1305" i="1"/>
  <c r="C1289" i="1"/>
  <c r="C769" i="1"/>
  <c r="C333" i="1"/>
  <c r="C4999" i="1"/>
  <c r="D4997" i="1"/>
  <c r="D4993" i="1"/>
  <c r="C4989" i="1"/>
  <c r="C4983" i="1"/>
  <c r="D4981" i="1"/>
  <c r="C4977" i="1"/>
  <c r="C4973" i="1"/>
  <c r="D4965" i="1"/>
  <c r="D4961" i="1"/>
  <c r="C4957" i="1"/>
  <c r="C4953" i="1"/>
  <c r="D4951" i="1"/>
  <c r="D4947" i="1"/>
  <c r="D4943" i="1"/>
  <c r="D4939" i="1"/>
  <c r="C4933" i="1"/>
  <c r="C4929" i="1"/>
  <c r="D4915" i="1"/>
  <c r="D4907" i="1"/>
  <c r="C4905" i="1"/>
  <c r="C4897" i="1"/>
  <c r="D4883" i="1"/>
  <c r="D4875" i="1"/>
  <c r="C4873" i="1"/>
  <c r="C4865" i="1"/>
  <c r="D4855" i="1"/>
  <c r="D4847" i="1"/>
  <c r="C4841" i="1"/>
  <c r="C4833" i="1"/>
  <c r="D4823" i="1"/>
  <c r="D4815" i="1"/>
  <c r="C4809" i="1"/>
  <c r="C4801" i="1"/>
  <c r="D4795" i="1"/>
  <c r="D4787" i="1"/>
  <c r="C4777" i="1"/>
  <c r="C4769" i="1"/>
  <c r="D4763" i="1"/>
  <c r="D4755" i="1"/>
  <c r="C4745" i="1"/>
  <c r="C4737" i="1"/>
  <c r="D4735" i="1"/>
  <c r="D4727" i="1"/>
  <c r="C4717" i="1"/>
  <c r="C4709" i="1"/>
  <c r="D4703" i="1"/>
  <c r="D4695" i="1"/>
  <c r="C4685" i="1"/>
  <c r="C4677" i="1"/>
  <c r="D4671" i="1"/>
  <c r="D4663" i="1"/>
  <c r="C4661" i="1"/>
  <c r="C4653" i="1"/>
  <c r="D4651" i="1"/>
  <c r="D4643" i="1"/>
  <c r="C4637" i="1"/>
  <c r="C3945" i="1"/>
  <c r="C3881" i="1"/>
  <c r="C3817" i="1"/>
  <c r="C3753" i="1"/>
  <c r="C3689" i="1"/>
  <c r="C1423" i="1"/>
  <c r="C4631" i="1"/>
  <c r="C4629" i="1"/>
  <c r="D4627" i="1"/>
  <c r="D4625" i="1"/>
  <c r="D4623" i="1"/>
  <c r="D4621" i="1"/>
  <c r="D4619" i="1"/>
  <c r="D4617" i="1"/>
  <c r="D4615" i="1"/>
  <c r="C4613" i="1"/>
  <c r="C4611" i="1"/>
  <c r="C4609" i="1"/>
  <c r="C4607" i="1"/>
  <c r="C4605" i="1"/>
  <c r="C4603" i="1"/>
  <c r="C4601" i="1"/>
  <c r="D4599" i="1"/>
  <c r="D4597" i="1"/>
  <c r="D4595" i="1"/>
  <c r="D4593" i="1"/>
  <c r="D4591" i="1"/>
  <c r="D4589" i="1"/>
  <c r="D4587" i="1"/>
  <c r="D4585" i="1"/>
  <c r="C4583" i="1"/>
  <c r="C4581" i="1"/>
  <c r="C4579" i="1"/>
  <c r="C4577" i="1"/>
  <c r="C4575" i="1"/>
  <c r="C4573" i="1"/>
  <c r="C4571" i="1"/>
  <c r="C4569" i="1"/>
  <c r="D4567" i="1"/>
  <c r="D4565" i="1"/>
  <c r="D4563" i="1"/>
  <c r="D4561" i="1"/>
  <c r="D4559" i="1"/>
  <c r="D4557" i="1"/>
  <c r="D4555" i="1"/>
  <c r="D4553" i="1"/>
  <c r="C4551" i="1"/>
  <c r="C4549" i="1"/>
  <c r="C4547" i="1"/>
  <c r="C4545" i="1"/>
  <c r="C4543" i="1"/>
  <c r="C4541" i="1"/>
  <c r="C4539" i="1"/>
  <c r="D4537" i="1"/>
  <c r="D4535" i="1"/>
  <c r="D4533" i="1"/>
  <c r="D4531" i="1"/>
  <c r="D4529" i="1"/>
  <c r="D4527" i="1"/>
  <c r="D4525" i="1"/>
  <c r="D4523" i="1"/>
  <c r="C4521" i="1"/>
  <c r="C4519" i="1"/>
  <c r="C4517" i="1"/>
  <c r="C4515" i="1"/>
  <c r="C4513" i="1"/>
  <c r="C4511" i="1"/>
  <c r="C4509" i="1"/>
  <c r="C4507" i="1"/>
  <c r="D4505" i="1"/>
  <c r="D4503" i="1"/>
  <c r="D4501" i="1"/>
  <c r="D4499" i="1"/>
  <c r="D4497" i="1"/>
  <c r="D4495" i="1"/>
  <c r="D4493" i="1"/>
  <c r="D4491" i="1"/>
  <c r="C4489" i="1"/>
  <c r="C4487" i="1"/>
  <c r="C4485" i="1"/>
  <c r="C4483" i="1"/>
  <c r="C4481" i="1"/>
  <c r="C4479" i="1"/>
  <c r="C4477" i="1"/>
  <c r="D4475" i="1"/>
  <c r="D4473" i="1"/>
  <c r="D4471" i="1"/>
  <c r="D4469" i="1"/>
  <c r="D4467" i="1"/>
  <c r="D4465" i="1"/>
  <c r="D4463" i="1"/>
  <c r="D4461" i="1"/>
  <c r="C4459" i="1"/>
  <c r="C4457" i="1"/>
  <c r="C4455" i="1"/>
  <c r="C4453" i="1"/>
  <c r="C4451" i="1"/>
  <c r="C4449" i="1"/>
  <c r="C4447" i="1"/>
  <c r="D4445" i="1"/>
  <c r="D4443" i="1"/>
  <c r="D4441" i="1"/>
  <c r="D4439" i="1"/>
  <c r="D4437" i="1"/>
  <c r="D4435" i="1"/>
  <c r="D4433" i="1"/>
  <c r="D4431" i="1"/>
  <c r="C4429" i="1"/>
  <c r="C4427" i="1"/>
  <c r="C4425" i="1"/>
  <c r="C4423" i="1"/>
  <c r="C4421" i="1"/>
  <c r="C4419" i="1"/>
  <c r="C4417" i="1"/>
  <c r="D4415" i="1"/>
  <c r="D4413" i="1"/>
  <c r="D4411" i="1"/>
  <c r="D4409" i="1"/>
  <c r="D4407" i="1"/>
  <c r="D4405" i="1"/>
  <c r="D4403" i="1"/>
  <c r="D4401" i="1"/>
  <c r="C4399" i="1"/>
  <c r="C4397" i="1"/>
  <c r="C4395" i="1"/>
  <c r="C4393" i="1"/>
  <c r="C4391" i="1"/>
  <c r="C4389" i="1"/>
  <c r="C4387" i="1"/>
  <c r="C4385" i="1"/>
  <c r="D4383" i="1"/>
  <c r="D4381" i="1"/>
  <c r="D4379" i="1"/>
  <c r="D4377" i="1"/>
  <c r="D4375" i="1"/>
  <c r="D4373" i="1"/>
  <c r="D4371" i="1"/>
  <c r="D4369" i="1"/>
  <c r="C4367" i="1"/>
  <c r="C4365" i="1"/>
  <c r="C4363" i="1"/>
  <c r="C4361" i="1"/>
  <c r="C4359" i="1"/>
  <c r="C4357" i="1"/>
  <c r="C4355" i="1"/>
  <c r="C4353" i="1"/>
  <c r="D4351" i="1"/>
  <c r="D4349" i="1"/>
  <c r="D4347" i="1"/>
  <c r="D4345" i="1"/>
  <c r="D4343" i="1"/>
  <c r="D4341" i="1"/>
  <c r="D4339" i="1"/>
  <c r="C4337" i="1"/>
  <c r="C4335" i="1"/>
  <c r="C4333" i="1"/>
  <c r="C4331" i="1"/>
  <c r="C4329" i="1"/>
  <c r="C4327" i="1"/>
  <c r="C4325" i="1"/>
  <c r="C4323" i="1"/>
  <c r="D4321" i="1"/>
  <c r="D4319" i="1"/>
  <c r="D4317" i="1"/>
  <c r="D4315" i="1"/>
  <c r="D4313" i="1"/>
  <c r="D4311" i="1"/>
  <c r="D4309" i="1"/>
  <c r="C4307" i="1"/>
  <c r="C4305" i="1"/>
  <c r="C4303" i="1"/>
  <c r="C4301" i="1"/>
  <c r="C4299" i="1"/>
  <c r="C4297" i="1"/>
  <c r="C4295" i="1"/>
  <c r="C4293" i="1"/>
  <c r="D4291" i="1"/>
  <c r="D4289" i="1"/>
  <c r="D4287" i="1"/>
  <c r="D4285" i="1"/>
  <c r="D4283" i="1"/>
  <c r="D4281" i="1"/>
  <c r="D4279" i="1"/>
  <c r="D4277" i="1"/>
  <c r="C4275" i="1"/>
  <c r="C4273" i="1"/>
  <c r="C4271" i="1"/>
  <c r="C4269" i="1"/>
  <c r="C4267" i="1"/>
  <c r="C4265" i="1"/>
  <c r="C4263" i="1"/>
  <c r="D4261" i="1"/>
  <c r="D4259" i="1"/>
  <c r="D4257" i="1"/>
  <c r="D4255" i="1"/>
  <c r="D4253" i="1"/>
  <c r="D4251" i="1"/>
  <c r="D4249" i="1"/>
  <c r="D4247" i="1"/>
  <c r="C4245" i="1"/>
  <c r="C4243" i="1"/>
  <c r="C4241" i="1"/>
  <c r="C4239" i="1"/>
  <c r="C4237" i="1"/>
  <c r="C4235" i="1"/>
  <c r="C4233" i="1"/>
  <c r="C4231" i="1"/>
  <c r="D4229" i="1"/>
  <c r="D4227" i="1"/>
  <c r="D4225" i="1"/>
  <c r="D4223" i="1"/>
  <c r="D4221" i="1"/>
  <c r="D4219" i="1"/>
  <c r="D4217" i="1"/>
  <c r="C4215" i="1"/>
  <c r="C4213" i="1"/>
  <c r="C4211" i="1"/>
  <c r="C4209" i="1"/>
  <c r="C4207" i="1"/>
  <c r="C4205" i="1"/>
  <c r="C4203" i="1"/>
  <c r="D4201" i="1"/>
  <c r="D4199" i="1"/>
  <c r="D4197" i="1"/>
  <c r="D4195" i="1"/>
  <c r="D4193" i="1"/>
  <c r="D4191" i="1"/>
  <c r="D4189" i="1"/>
  <c r="D4187" i="1"/>
  <c r="C4185" i="1"/>
  <c r="C4183" i="1"/>
  <c r="C4181" i="1"/>
  <c r="C4179" i="1"/>
  <c r="C4177" i="1"/>
  <c r="C4175" i="1"/>
  <c r="C4173" i="1"/>
  <c r="C4171" i="1"/>
  <c r="D4169" i="1"/>
  <c r="D4167" i="1"/>
  <c r="D4165" i="1"/>
  <c r="D4163" i="1"/>
  <c r="D4161" i="1"/>
  <c r="D4159" i="1"/>
  <c r="D4157" i="1"/>
  <c r="C4155" i="1"/>
  <c r="C4153" i="1"/>
  <c r="C4151" i="1"/>
  <c r="C4149" i="1"/>
  <c r="C4147" i="1"/>
  <c r="C4145" i="1"/>
  <c r="D4143" i="1"/>
  <c r="D4141" i="1"/>
  <c r="D4139" i="1"/>
  <c r="D4137" i="1"/>
  <c r="D4135" i="1"/>
  <c r="C4133" i="1"/>
  <c r="C4131" i="1"/>
  <c r="C4129" i="1"/>
  <c r="C4127" i="1"/>
  <c r="C4125" i="1"/>
  <c r="D4123" i="1"/>
  <c r="D4121" i="1"/>
  <c r="D4119" i="1"/>
  <c r="D4117" i="1"/>
  <c r="D4115" i="1"/>
  <c r="D4113" i="1"/>
  <c r="C4111" i="1"/>
  <c r="C4109" i="1"/>
  <c r="C4107" i="1"/>
  <c r="C4105" i="1"/>
  <c r="C4103" i="1"/>
  <c r="D4101" i="1"/>
  <c r="D4099" i="1"/>
  <c r="D4097" i="1"/>
  <c r="D4095" i="1"/>
  <c r="D4093" i="1"/>
  <c r="C4091" i="1"/>
  <c r="C4089" i="1"/>
  <c r="C4087" i="1"/>
  <c r="C4085" i="1"/>
  <c r="C4083" i="1"/>
  <c r="C4081" i="1"/>
  <c r="D4079" i="1"/>
  <c r="D4077" i="1"/>
  <c r="D4075" i="1"/>
  <c r="D4073" i="1"/>
  <c r="D4071" i="1"/>
  <c r="C4069" i="1"/>
  <c r="C4067" i="1"/>
  <c r="C4065" i="1"/>
  <c r="C4063" i="1"/>
  <c r="C4061" i="1"/>
  <c r="D4059" i="1"/>
  <c r="D4057" i="1"/>
  <c r="D4055" i="1"/>
  <c r="D4053" i="1"/>
  <c r="D4051" i="1"/>
  <c r="D4049" i="1"/>
  <c r="C4047" i="1"/>
  <c r="C4045" i="1"/>
  <c r="C4043" i="1"/>
  <c r="C4041" i="1"/>
  <c r="C4039" i="1"/>
  <c r="D4037" i="1"/>
  <c r="D4035" i="1"/>
  <c r="D4033" i="1"/>
  <c r="D4031" i="1"/>
  <c r="D4029" i="1"/>
  <c r="C4027" i="1"/>
  <c r="C4025" i="1"/>
  <c r="C4023" i="1"/>
  <c r="C4021" i="1"/>
  <c r="C4019" i="1"/>
  <c r="C4017" i="1"/>
  <c r="D4015" i="1"/>
  <c r="D4013" i="1"/>
  <c r="D4011" i="1"/>
  <c r="D4009" i="1"/>
  <c r="D4007" i="1"/>
  <c r="D4005" i="1"/>
  <c r="D4003" i="1"/>
  <c r="C4001" i="1"/>
  <c r="C3999" i="1"/>
  <c r="C3997" i="1"/>
  <c r="C3995" i="1"/>
  <c r="C3993" i="1"/>
  <c r="C3991" i="1"/>
  <c r="C3989" i="1"/>
  <c r="C3987" i="1"/>
  <c r="D3985" i="1"/>
  <c r="D3983" i="1"/>
  <c r="D3981" i="1"/>
  <c r="D3979" i="1"/>
  <c r="D3977" i="1"/>
  <c r="D3975" i="1"/>
  <c r="D3973" i="1"/>
  <c r="D3971" i="1"/>
  <c r="C3969" i="1"/>
  <c r="C3967" i="1"/>
  <c r="C3965" i="1"/>
  <c r="C3963" i="1"/>
  <c r="C3961" i="1"/>
  <c r="C3959" i="1"/>
  <c r="C3957" i="1"/>
  <c r="C3955" i="1"/>
  <c r="D3953" i="1"/>
  <c r="D3951" i="1"/>
  <c r="C3949" i="1"/>
  <c r="C3947" i="1"/>
  <c r="D3943" i="1"/>
  <c r="C3941" i="1"/>
  <c r="C3939" i="1"/>
  <c r="D3935" i="1"/>
  <c r="C3933" i="1"/>
  <c r="C3931" i="1"/>
  <c r="D3927" i="1"/>
  <c r="C3925" i="1"/>
  <c r="C3923" i="1"/>
  <c r="D3919" i="1"/>
  <c r="C3917" i="1"/>
  <c r="C3915" i="1"/>
  <c r="D3911" i="1"/>
  <c r="C3909" i="1"/>
  <c r="C3907" i="1"/>
  <c r="D3903" i="1"/>
  <c r="C3901" i="1"/>
  <c r="C3899" i="1"/>
  <c r="D3895" i="1"/>
  <c r="C3893" i="1"/>
  <c r="C3891" i="1"/>
  <c r="D3887" i="1"/>
  <c r="C3885" i="1"/>
  <c r="C3883" i="1"/>
  <c r="D3879" i="1"/>
  <c r="C3877" i="1"/>
  <c r="C3875" i="1"/>
  <c r="D3871" i="1"/>
  <c r="C3869" i="1"/>
  <c r="C3867" i="1"/>
  <c r="D3863" i="1"/>
  <c r="C3861" i="1"/>
  <c r="C3859" i="1"/>
  <c r="D3855" i="1"/>
  <c r="C3853" i="1"/>
  <c r="C3851" i="1"/>
  <c r="D3847" i="1"/>
  <c r="C3845" i="1"/>
  <c r="C3843" i="1"/>
  <c r="D3839" i="1"/>
  <c r="C3837" i="1"/>
  <c r="C3835" i="1"/>
  <c r="D3831" i="1"/>
  <c r="C3829" i="1"/>
  <c r="C3827" i="1"/>
  <c r="D3823" i="1"/>
  <c r="C3821" i="1"/>
  <c r="C3819" i="1"/>
  <c r="D3815" i="1"/>
  <c r="C3813" i="1"/>
  <c r="C3811" i="1"/>
  <c r="D3807" i="1"/>
  <c r="C3805" i="1"/>
  <c r="C3803" i="1"/>
  <c r="D3799" i="1"/>
  <c r="C3797" i="1"/>
  <c r="C3795" i="1"/>
  <c r="D3791" i="1"/>
  <c r="C3789" i="1"/>
  <c r="C3787" i="1"/>
  <c r="D3783" i="1"/>
  <c r="C3781" i="1"/>
  <c r="C3779" i="1"/>
  <c r="D3775" i="1"/>
  <c r="C3773" i="1"/>
  <c r="C3771" i="1"/>
  <c r="D3767" i="1"/>
  <c r="C3765" i="1"/>
  <c r="C3763" i="1"/>
  <c r="D3759" i="1"/>
  <c r="C3757" i="1"/>
  <c r="C3755" i="1"/>
  <c r="D3751" i="1"/>
  <c r="C3749" i="1"/>
  <c r="C3747" i="1"/>
  <c r="D3743" i="1"/>
  <c r="C3741" i="1"/>
  <c r="C3739" i="1"/>
  <c r="D3735" i="1"/>
  <c r="C3733" i="1"/>
  <c r="C3731" i="1"/>
  <c r="D3727" i="1"/>
  <c r="C3725" i="1"/>
  <c r="C3723" i="1"/>
  <c r="D3719" i="1"/>
  <c r="C3717" i="1"/>
  <c r="C3715" i="1"/>
  <c r="D3711" i="1"/>
  <c r="C3709" i="1"/>
  <c r="C3707" i="1"/>
  <c r="D3703" i="1"/>
  <c r="C3701" i="1"/>
  <c r="C3699" i="1"/>
  <c r="D3695" i="1"/>
  <c r="C3693" i="1"/>
  <c r="C3691" i="1"/>
  <c r="D3687" i="1"/>
  <c r="D3685" i="1"/>
  <c r="D3683" i="1"/>
  <c r="D3681" i="1"/>
  <c r="D3679" i="1"/>
  <c r="C3677" i="1"/>
  <c r="C3675" i="1"/>
  <c r="C3673" i="1"/>
  <c r="C3671" i="1"/>
  <c r="C3669" i="1"/>
  <c r="C3667" i="1"/>
  <c r="D3665" i="1"/>
  <c r="D3663" i="1"/>
  <c r="D3661" i="1"/>
  <c r="D3659" i="1"/>
  <c r="D3657" i="1"/>
  <c r="D3655" i="1"/>
  <c r="D3653" i="1"/>
  <c r="D3651" i="1"/>
  <c r="C3649" i="1"/>
  <c r="C3647" i="1"/>
  <c r="C3645" i="1"/>
  <c r="C3643" i="1"/>
  <c r="C3641" i="1"/>
  <c r="C3639" i="1"/>
  <c r="C3637" i="1"/>
  <c r="C3635" i="1"/>
  <c r="C3633" i="1"/>
  <c r="C3631" i="1"/>
  <c r="D3629" i="1"/>
  <c r="D3627" i="1"/>
  <c r="D3625" i="1"/>
  <c r="D3623" i="1"/>
  <c r="D3621" i="1"/>
  <c r="D3619" i="1"/>
  <c r="D3617" i="1"/>
  <c r="D3615" i="1"/>
  <c r="D3613" i="1"/>
  <c r="D3611" i="1"/>
  <c r="D3609" i="1"/>
  <c r="C3607" i="1"/>
  <c r="C3605" i="1"/>
  <c r="C3603" i="1"/>
  <c r="C3601" i="1"/>
  <c r="C3599" i="1"/>
  <c r="C3597" i="1"/>
  <c r="C3595" i="1"/>
  <c r="C3593" i="1"/>
  <c r="C3591" i="1"/>
  <c r="C3589" i="1"/>
  <c r="C3587" i="1"/>
  <c r="D3585" i="1"/>
  <c r="D3583" i="1"/>
  <c r="D3581" i="1"/>
  <c r="D3579" i="1"/>
  <c r="D3577" i="1"/>
  <c r="D3575" i="1"/>
  <c r="D3573" i="1"/>
  <c r="D3571" i="1"/>
  <c r="D3569" i="1"/>
  <c r="D3567" i="1"/>
  <c r="C3565" i="1"/>
  <c r="C3563" i="1"/>
  <c r="C3561" i="1"/>
  <c r="C3559" i="1"/>
  <c r="C3557" i="1"/>
  <c r="C3555" i="1"/>
  <c r="C3553" i="1"/>
  <c r="C3551" i="1"/>
  <c r="C3549" i="1"/>
  <c r="C3547" i="1"/>
  <c r="C3545" i="1"/>
  <c r="D3543" i="1"/>
  <c r="D3541" i="1"/>
  <c r="D3539" i="1"/>
  <c r="D3537" i="1"/>
  <c r="D3535" i="1"/>
  <c r="D3533" i="1"/>
  <c r="D3531" i="1"/>
  <c r="D3529" i="1"/>
  <c r="D3527" i="1"/>
  <c r="D3525" i="1"/>
  <c r="D3523" i="1"/>
  <c r="D3521" i="1"/>
  <c r="D3519" i="1"/>
  <c r="D3517" i="1"/>
  <c r="D3515" i="1"/>
  <c r="C3513" i="1"/>
  <c r="C3511" i="1"/>
  <c r="C3509" i="1"/>
  <c r="C3507" i="1"/>
  <c r="C3505" i="1"/>
  <c r="C3503" i="1"/>
  <c r="C3501" i="1"/>
  <c r="C3499" i="1"/>
  <c r="C3497" i="1"/>
  <c r="C3495" i="1"/>
  <c r="C3493" i="1"/>
  <c r="C3491" i="1"/>
  <c r="C3489" i="1"/>
  <c r="C3487" i="1"/>
  <c r="C3485" i="1"/>
  <c r="C3483" i="1"/>
  <c r="C3481" i="1"/>
  <c r="C3479" i="1"/>
  <c r="C3477" i="1"/>
  <c r="C3475" i="1"/>
  <c r="C3473" i="1"/>
  <c r="D3471" i="1"/>
  <c r="D3469" i="1"/>
  <c r="D3467" i="1"/>
  <c r="D3465" i="1"/>
  <c r="D3463" i="1"/>
  <c r="D3461" i="1"/>
  <c r="D3459" i="1"/>
  <c r="D3457" i="1"/>
  <c r="D3455" i="1"/>
  <c r="D3453" i="1"/>
  <c r="D3451" i="1"/>
  <c r="D3449" i="1"/>
  <c r="D3447" i="1"/>
  <c r="D3445" i="1"/>
  <c r="D3443" i="1"/>
  <c r="D3441" i="1"/>
  <c r="D3439" i="1"/>
  <c r="D3437" i="1"/>
  <c r="D3435" i="1"/>
  <c r="D3433" i="1"/>
  <c r="D3431" i="1"/>
  <c r="C3429" i="1"/>
  <c r="C3427" i="1"/>
  <c r="C3425" i="1"/>
  <c r="C3423" i="1"/>
  <c r="C3421" i="1"/>
  <c r="C3419" i="1"/>
  <c r="C3417" i="1"/>
  <c r="C3415" i="1"/>
  <c r="C3413" i="1"/>
  <c r="C3411" i="1"/>
  <c r="C3409" i="1"/>
  <c r="C3407" i="1"/>
  <c r="C3405" i="1"/>
  <c r="C3403" i="1"/>
  <c r="C3401" i="1"/>
  <c r="C3399" i="1"/>
  <c r="C3397" i="1"/>
  <c r="C3395" i="1"/>
  <c r="C3393" i="1"/>
  <c r="C3391" i="1"/>
  <c r="C3389" i="1"/>
  <c r="C3387" i="1"/>
  <c r="D3385" i="1"/>
  <c r="D3383" i="1"/>
  <c r="D3381" i="1"/>
  <c r="D3379" i="1"/>
  <c r="D3377" i="1"/>
  <c r="D3375" i="1"/>
  <c r="D3373" i="1"/>
  <c r="D3371" i="1"/>
  <c r="D3369" i="1"/>
  <c r="D3367" i="1"/>
  <c r="D3365" i="1"/>
  <c r="D3363" i="1"/>
  <c r="D3361" i="1"/>
  <c r="D3359" i="1"/>
  <c r="D3357" i="1"/>
  <c r="D3355" i="1"/>
  <c r="D3353" i="1"/>
  <c r="D3351" i="1"/>
  <c r="D3349" i="1"/>
  <c r="D3347" i="1"/>
  <c r="D3345" i="1"/>
  <c r="D3343" i="1"/>
  <c r="D3341" i="1"/>
  <c r="D3339" i="1"/>
  <c r="C3337" i="1"/>
  <c r="C3335" i="1"/>
  <c r="C3333" i="1"/>
  <c r="C3331" i="1"/>
  <c r="C3329" i="1"/>
  <c r="C3327" i="1"/>
  <c r="C3325" i="1"/>
  <c r="C3323" i="1"/>
  <c r="C3321" i="1"/>
  <c r="C3319" i="1"/>
  <c r="C3317" i="1"/>
  <c r="C3315" i="1"/>
  <c r="C3313" i="1"/>
  <c r="C3311" i="1"/>
  <c r="C3309" i="1"/>
  <c r="C3307" i="1"/>
  <c r="C3305" i="1"/>
  <c r="C3303" i="1"/>
  <c r="C3301" i="1"/>
  <c r="C3299" i="1"/>
  <c r="C3297" i="1"/>
  <c r="C3295" i="1"/>
  <c r="C3293" i="1"/>
  <c r="C3291" i="1"/>
  <c r="C3289" i="1"/>
  <c r="C3287" i="1"/>
  <c r="C3285" i="1"/>
  <c r="C3283" i="1"/>
  <c r="C3281" i="1"/>
  <c r="C3279" i="1"/>
  <c r="C3277" i="1"/>
  <c r="C3275" i="1"/>
  <c r="D3273" i="1"/>
  <c r="D3271" i="1"/>
  <c r="D3269" i="1"/>
  <c r="D3267" i="1"/>
  <c r="D3265" i="1"/>
  <c r="D3263" i="1"/>
  <c r="D3261" i="1"/>
  <c r="D3259" i="1"/>
  <c r="D3257" i="1"/>
  <c r="D3255" i="1"/>
  <c r="D3253" i="1"/>
  <c r="D3251" i="1"/>
  <c r="D3249" i="1"/>
  <c r="D3247" i="1"/>
  <c r="D3245" i="1"/>
  <c r="D3243" i="1"/>
  <c r="D3241" i="1"/>
  <c r="D3239" i="1"/>
  <c r="D3237" i="1"/>
  <c r="D3235" i="1"/>
  <c r="D3233" i="1"/>
  <c r="D3231" i="1"/>
  <c r="D3229" i="1"/>
  <c r="D3227" i="1"/>
  <c r="D3225" i="1"/>
  <c r="D3223" i="1"/>
  <c r="D3221" i="1"/>
  <c r="D3219" i="1"/>
  <c r="D3217" i="1"/>
  <c r="D3215" i="1"/>
  <c r="D3213" i="1"/>
  <c r="D3211" i="1"/>
  <c r="C3209" i="1"/>
  <c r="C3207" i="1"/>
  <c r="C3205" i="1"/>
  <c r="C3203" i="1"/>
  <c r="C3201" i="1"/>
  <c r="C3199" i="1"/>
  <c r="C3197" i="1"/>
  <c r="C3195" i="1"/>
  <c r="C3193" i="1"/>
  <c r="C3191" i="1"/>
  <c r="C3189" i="1"/>
  <c r="C3187" i="1"/>
  <c r="C3185" i="1"/>
  <c r="C3183" i="1"/>
  <c r="C3181" i="1"/>
  <c r="C3179" i="1"/>
  <c r="C3177" i="1"/>
  <c r="C3175" i="1"/>
  <c r="C3173" i="1"/>
  <c r="C3171" i="1"/>
  <c r="C3169" i="1"/>
  <c r="C3167" i="1"/>
  <c r="C3165" i="1"/>
  <c r="C3163" i="1"/>
  <c r="C3161" i="1"/>
  <c r="C3159" i="1"/>
  <c r="C3157" i="1"/>
  <c r="C3155" i="1"/>
  <c r="C3153" i="1"/>
  <c r="C3151" i="1"/>
  <c r="C3149" i="1"/>
  <c r="C3147" i="1"/>
  <c r="D3145" i="1"/>
  <c r="D3143" i="1"/>
  <c r="D3141" i="1"/>
  <c r="D3139" i="1"/>
  <c r="D3137" i="1"/>
  <c r="D3135" i="1"/>
  <c r="D3133" i="1"/>
  <c r="D3131" i="1"/>
  <c r="D3129" i="1"/>
  <c r="D3127" i="1"/>
  <c r="D3125" i="1"/>
  <c r="D3123" i="1"/>
  <c r="D3121" i="1"/>
  <c r="D3119" i="1"/>
  <c r="D3117" i="1"/>
  <c r="D3115" i="1"/>
  <c r="C3113" i="1"/>
  <c r="C3111" i="1"/>
  <c r="C3109" i="1"/>
  <c r="C3107" i="1"/>
  <c r="C3105" i="1"/>
  <c r="C3103" i="1"/>
  <c r="C3101" i="1"/>
  <c r="C3099" i="1"/>
  <c r="C3097" i="1"/>
  <c r="C3095" i="1"/>
  <c r="C3093" i="1"/>
  <c r="C3091" i="1"/>
  <c r="C3089" i="1"/>
  <c r="C3087" i="1"/>
  <c r="C3085" i="1"/>
  <c r="C3083" i="1"/>
  <c r="D3081" i="1"/>
  <c r="D3079" i="1"/>
  <c r="D3077" i="1"/>
  <c r="D3075" i="1"/>
  <c r="D3073" i="1"/>
  <c r="D3071" i="1"/>
  <c r="D3069" i="1"/>
  <c r="D3067" i="1"/>
  <c r="D3065" i="1"/>
  <c r="D3063" i="1"/>
  <c r="D3061" i="1"/>
  <c r="D3059" i="1"/>
  <c r="D3057" i="1"/>
  <c r="D3055" i="1"/>
  <c r="D3053" i="1"/>
  <c r="D3051" i="1"/>
  <c r="C3049" i="1"/>
  <c r="C3047" i="1"/>
  <c r="C3045" i="1"/>
  <c r="C3043" i="1"/>
  <c r="C3041" i="1"/>
  <c r="C3039" i="1"/>
  <c r="C3037" i="1"/>
  <c r="C3035" i="1"/>
  <c r="C3033" i="1"/>
  <c r="C3031" i="1"/>
  <c r="C3029" i="1"/>
  <c r="C3027" i="1"/>
  <c r="C3025" i="1"/>
  <c r="C3023" i="1"/>
  <c r="C3021" i="1"/>
  <c r="C3019" i="1"/>
  <c r="D3017" i="1"/>
  <c r="D3015" i="1"/>
  <c r="D3013" i="1"/>
  <c r="D3011" i="1"/>
  <c r="D3009" i="1"/>
  <c r="D3007" i="1"/>
  <c r="D3005" i="1"/>
  <c r="D3003" i="1"/>
  <c r="D3001" i="1"/>
  <c r="D2999" i="1"/>
  <c r="D2997" i="1"/>
  <c r="D2995" i="1"/>
  <c r="D2993" i="1"/>
  <c r="D2991" i="1"/>
  <c r="D2989" i="1"/>
  <c r="D2987" i="1"/>
  <c r="C2985" i="1"/>
  <c r="C2983" i="1"/>
  <c r="C2981" i="1"/>
  <c r="C2979" i="1"/>
  <c r="C2977" i="1"/>
  <c r="C2975" i="1"/>
  <c r="C2973" i="1"/>
  <c r="C2971" i="1"/>
  <c r="C2969" i="1"/>
  <c r="C2967" i="1"/>
  <c r="C2965" i="1"/>
  <c r="C2963" i="1"/>
  <c r="C2961" i="1"/>
  <c r="C2959" i="1"/>
  <c r="C2957" i="1"/>
  <c r="C2955" i="1"/>
  <c r="D2953" i="1"/>
  <c r="D2951" i="1"/>
  <c r="D2949" i="1"/>
  <c r="D2947" i="1"/>
  <c r="D2945" i="1"/>
  <c r="D2943" i="1"/>
  <c r="D2941" i="1"/>
  <c r="D2939" i="1"/>
  <c r="D2937" i="1"/>
  <c r="D2935" i="1"/>
  <c r="D2933" i="1"/>
  <c r="D2931" i="1"/>
  <c r="D2929" i="1"/>
  <c r="D2927" i="1"/>
  <c r="D2925" i="1"/>
  <c r="D2923" i="1"/>
  <c r="C2921" i="1"/>
  <c r="C2919" i="1"/>
  <c r="C2917" i="1"/>
  <c r="C2915" i="1"/>
  <c r="C2913" i="1"/>
  <c r="C2911" i="1"/>
  <c r="C2909" i="1"/>
  <c r="C2907" i="1"/>
  <c r="C2905" i="1"/>
  <c r="C2903" i="1"/>
  <c r="C2901" i="1"/>
  <c r="C2899" i="1"/>
  <c r="C2897" i="1"/>
  <c r="C2895" i="1"/>
  <c r="C2893" i="1"/>
  <c r="C2891" i="1"/>
  <c r="D2889" i="1"/>
  <c r="D2887" i="1"/>
  <c r="D2885" i="1"/>
  <c r="D2883" i="1"/>
  <c r="D2881" i="1"/>
  <c r="D2879" i="1"/>
  <c r="D2877" i="1"/>
  <c r="D2875" i="1"/>
  <c r="D2873" i="1"/>
  <c r="D2871" i="1"/>
  <c r="D2869" i="1"/>
  <c r="D2867" i="1"/>
  <c r="D2865" i="1"/>
  <c r="D2863" i="1"/>
  <c r="D2861" i="1"/>
  <c r="D2859" i="1"/>
  <c r="C2857" i="1"/>
  <c r="C2855" i="1"/>
  <c r="C2853" i="1"/>
  <c r="C2851" i="1"/>
  <c r="C2849" i="1"/>
  <c r="C2847" i="1"/>
  <c r="C2845" i="1"/>
  <c r="C2843" i="1"/>
  <c r="C2841" i="1"/>
  <c r="C2839" i="1"/>
  <c r="C2837" i="1"/>
  <c r="C2835" i="1"/>
  <c r="C2833" i="1"/>
  <c r="C2831" i="1"/>
  <c r="C2829" i="1"/>
  <c r="C2827" i="1"/>
  <c r="D2825" i="1"/>
  <c r="D2823" i="1"/>
  <c r="D2821" i="1"/>
  <c r="D2819" i="1"/>
  <c r="D2817" i="1"/>
  <c r="D2815" i="1"/>
  <c r="D2813" i="1"/>
  <c r="D2811" i="1"/>
  <c r="D2809" i="1"/>
  <c r="D2807" i="1"/>
  <c r="D2805" i="1"/>
  <c r="D2803" i="1"/>
  <c r="D2801" i="1"/>
  <c r="D2799" i="1"/>
  <c r="D2797" i="1"/>
  <c r="D2795" i="1"/>
  <c r="C2793" i="1"/>
  <c r="C2791" i="1"/>
  <c r="C2789" i="1"/>
  <c r="C2787" i="1"/>
  <c r="C2785" i="1"/>
  <c r="C2783" i="1"/>
  <c r="C2781" i="1"/>
  <c r="C2779" i="1"/>
  <c r="C2777" i="1"/>
  <c r="C2775" i="1"/>
  <c r="C2773" i="1"/>
  <c r="D2769" i="1"/>
  <c r="D2767" i="1"/>
  <c r="C2765" i="1"/>
  <c r="C2763" i="1"/>
  <c r="C2761" i="1"/>
  <c r="C2759" i="1"/>
  <c r="C2757" i="1"/>
  <c r="D2753" i="1"/>
  <c r="D2751" i="1"/>
  <c r="C2749" i="1"/>
  <c r="C2747" i="1"/>
  <c r="C2745" i="1"/>
  <c r="C2743" i="1"/>
  <c r="C2741" i="1"/>
  <c r="C2739" i="1"/>
  <c r="C2737" i="1"/>
  <c r="D2735" i="1"/>
  <c r="C2733" i="1"/>
  <c r="C2731" i="1"/>
  <c r="C2729" i="1"/>
  <c r="C2727" i="1"/>
  <c r="D2725" i="1"/>
  <c r="C2723" i="1"/>
  <c r="C2721" i="1"/>
  <c r="C2719" i="1"/>
  <c r="C2717" i="1"/>
  <c r="D2715" i="1"/>
  <c r="D2713" i="1"/>
  <c r="D2711" i="1"/>
  <c r="D2709" i="1"/>
  <c r="C2707" i="1"/>
  <c r="C2705" i="1"/>
  <c r="C2703" i="1"/>
  <c r="D2699" i="1"/>
  <c r="D2697" i="1"/>
  <c r="D2695" i="1"/>
  <c r="D2693" i="1"/>
  <c r="D2691" i="1"/>
  <c r="D2689" i="1"/>
  <c r="D2687" i="1"/>
  <c r="D2685" i="1"/>
  <c r="D2683" i="1"/>
  <c r="D2681" i="1"/>
  <c r="D2679" i="1"/>
  <c r="C2677" i="1"/>
  <c r="C2675" i="1"/>
  <c r="C2673" i="1"/>
  <c r="C2671" i="1"/>
  <c r="C2669" i="1"/>
  <c r="C2667" i="1"/>
  <c r="C2665" i="1"/>
  <c r="C2663" i="1"/>
  <c r="C2661" i="1"/>
  <c r="C2659" i="1"/>
  <c r="C2657" i="1"/>
  <c r="C2655" i="1"/>
  <c r="C2653" i="1"/>
  <c r="C2651" i="1"/>
  <c r="D2649" i="1"/>
  <c r="D2647" i="1"/>
  <c r="D2645" i="1"/>
  <c r="D2643" i="1"/>
  <c r="D2641" i="1"/>
  <c r="D2639" i="1"/>
  <c r="D2637" i="1"/>
  <c r="D2635" i="1"/>
  <c r="D2633" i="1"/>
  <c r="D2631" i="1"/>
  <c r="D2629" i="1"/>
  <c r="D2627" i="1"/>
  <c r="C2625" i="1"/>
  <c r="C2623" i="1"/>
  <c r="C2621" i="1"/>
  <c r="C2619" i="1"/>
  <c r="C2617" i="1"/>
  <c r="C2615" i="1"/>
  <c r="C2613" i="1"/>
  <c r="C2611" i="1"/>
  <c r="C2609" i="1"/>
  <c r="C2607" i="1"/>
  <c r="C2605" i="1"/>
  <c r="C2603" i="1"/>
  <c r="C2601" i="1"/>
  <c r="D2599" i="1"/>
  <c r="D2597" i="1"/>
  <c r="D2595" i="1"/>
  <c r="D2593" i="1"/>
  <c r="D2591" i="1"/>
  <c r="D2589" i="1"/>
  <c r="D2587" i="1"/>
  <c r="D2585" i="1"/>
  <c r="D2583" i="1"/>
  <c r="C2583" i="1"/>
  <c r="D2581" i="1"/>
  <c r="D2579" i="1"/>
  <c r="C2579" i="1"/>
  <c r="D2577" i="1"/>
  <c r="D2575" i="1"/>
  <c r="C2575" i="1"/>
  <c r="D2573" i="1"/>
  <c r="D2571" i="1"/>
  <c r="C2571" i="1"/>
  <c r="D2569" i="1"/>
  <c r="D2567" i="1"/>
  <c r="C2567" i="1"/>
  <c r="D2565" i="1"/>
  <c r="D2563" i="1"/>
  <c r="C2563" i="1"/>
  <c r="D2561" i="1"/>
  <c r="D2559" i="1"/>
  <c r="C2559" i="1"/>
  <c r="D2557" i="1"/>
  <c r="D2555" i="1"/>
  <c r="C2555" i="1"/>
  <c r="C2553" i="1"/>
  <c r="D2553" i="1"/>
  <c r="C2551" i="1"/>
  <c r="C2549" i="1"/>
  <c r="D2549" i="1"/>
  <c r="C2547" i="1"/>
  <c r="C2545" i="1"/>
  <c r="D2545" i="1"/>
  <c r="C2543" i="1"/>
  <c r="C2541" i="1"/>
  <c r="D2541" i="1"/>
  <c r="C2539" i="1"/>
  <c r="C2537" i="1"/>
  <c r="D2537" i="1"/>
  <c r="C2535" i="1"/>
  <c r="C2533" i="1"/>
  <c r="D2533" i="1"/>
  <c r="C2531" i="1"/>
  <c r="C2529" i="1"/>
  <c r="D2529" i="1"/>
  <c r="C2527" i="1"/>
  <c r="C2525" i="1"/>
  <c r="D2525" i="1"/>
  <c r="C2523" i="1"/>
  <c r="C2521" i="1"/>
  <c r="D2521" i="1"/>
  <c r="C2519" i="1"/>
  <c r="C2517" i="1"/>
  <c r="D2517" i="1"/>
  <c r="C2515" i="1"/>
  <c r="C2513" i="1"/>
  <c r="D2513" i="1"/>
  <c r="C2511" i="1"/>
  <c r="C2509" i="1"/>
  <c r="D2509" i="1"/>
  <c r="D2507" i="1"/>
  <c r="C2507" i="1"/>
  <c r="D2505" i="1"/>
  <c r="D2503" i="1"/>
  <c r="C2503" i="1"/>
  <c r="D2501" i="1"/>
  <c r="D2499" i="1"/>
  <c r="C2499" i="1"/>
  <c r="D2497" i="1"/>
  <c r="D2495" i="1"/>
  <c r="C2495" i="1"/>
  <c r="D2493" i="1"/>
  <c r="D2491" i="1"/>
  <c r="C2491" i="1"/>
  <c r="D2489" i="1"/>
  <c r="D2487" i="1"/>
  <c r="C2487" i="1"/>
  <c r="D2485" i="1"/>
  <c r="D2483" i="1"/>
  <c r="C2483" i="1"/>
  <c r="D2481" i="1"/>
  <c r="D2479" i="1"/>
  <c r="C2479" i="1"/>
  <c r="D2477" i="1"/>
  <c r="D2475" i="1"/>
  <c r="C2475" i="1"/>
  <c r="D2473" i="1"/>
  <c r="D2471" i="1"/>
  <c r="C2471" i="1"/>
  <c r="D2469" i="1"/>
  <c r="D2467" i="1"/>
  <c r="C2467" i="1"/>
  <c r="C2465" i="1"/>
  <c r="D2465" i="1"/>
  <c r="C2463" i="1"/>
  <c r="C2461" i="1"/>
  <c r="D2461" i="1"/>
  <c r="C2459" i="1"/>
  <c r="C2457" i="1"/>
  <c r="D2457" i="1"/>
  <c r="C2455" i="1"/>
  <c r="C2453" i="1"/>
  <c r="D2453" i="1"/>
  <c r="C2451" i="1"/>
  <c r="C2449" i="1"/>
  <c r="D2449" i="1"/>
  <c r="C2447" i="1"/>
  <c r="C2445" i="1"/>
  <c r="D2445" i="1"/>
  <c r="C2443" i="1"/>
  <c r="C2441" i="1"/>
  <c r="D2441" i="1"/>
  <c r="C2439" i="1"/>
  <c r="C2437" i="1"/>
  <c r="D2437" i="1"/>
  <c r="C2435" i="1"/>
  <c r="C2433" i="1"/>
  <c r="D2433" i="1"/>
  <c r="C2431" i="1"/>
  <c r="C2429" i="1"/>
  <c r="D2429" i="1"/>
  <c r="C2427" i="1"/>
  <c r="C2425" i="1"/>
  <c r="D2425" i="1"/>
  <c r="C2423" i="1"/>
  <c r="D2421" i="1"/>
  <c r="D2419" i="1"/>
  <c r="C2419" i="1"/>
  <c r="D2417" i="1"/>
  <c r="D2415" i="1"/>
  <c r="C2415" i="1"/>
  <c r="D2413" i="1"/>
  <c r="D2411" i="1"/>
  <c r="C2411" i="1"/>
  <c r="D2409" i="1"/>
  <c r="D2407" i="1"/>
  <c r="C2407" i="1"/>
  <c r="D2405" i="1"/>
  <c r="D2403" i="1"/>
  <c r="C2403" i="1"/>
  <c r="D2401" i="1"/>
  <c r="D2399" i="1"/>
  <c r="C2399" i="1"/>
  <c r="D2397" i="1"/>
  <c r="D2395" i="1"/>
  <c r="C2395" i="1"/>
  <c r="D2393" i="1"/>
  <c r="D2391" i="1"/>
  <c r="C2391" i="1"/>
  <c r="D2389" i="1"/>
  <c r="D2387" i="1"/>
  <c r="C2387" i="1"/>
  <c r="D2385" i="1"/>
  <c r="D2383" i="1"/>
  <c r="C2383" i="1"/>
  <c r="D2381" i="1"/>
  <c r="C2379" i="1"/>
  <c r="C2377" i="1"/>
  <c r="D2377" i="1"/>
  <c r="C2375" i="1"/>
  <c r="C2373" i="1"/>
  <c r="D2373" i="1"/>
  <c r="C2371" i="1"/>
  <c r="C2369" i="1"/>
  <c r="D2369" i="1"/>
  <c r="C2367" i="1"/>
  <c r="C2365" i="1"/>
  <c r="D2365" i="1"/>
  <c r="C2363" i="1"/>
  <c r="C2361" i="1"/>
  <c r="D2361" i="1"/>
  <c r="C2359" i="1"/>
  <c r="D2357" i="1"/>
  <c r="D2355" i="1"/>
  <c r="C2355" i="1"/>
  <c r="D2353" i="1"/>
  <c r="D2351" i="1"/>
  <c r="C2351" i="1"/>
  <c r="D2349" i="1"/>
  <c r="D2347" i="1"/>
  <c r="C2347" i="1"/>
  <c r="D2345" i="1"/>
  <c r="D2343" i="1"/>
  <c r="C2343" i="1"/>
  <c r="D2341" i="1"/>
  <c r="D2339" i="1"/>
  <c r="C2339" i="1"/>
  <c r="C2337" i="1"/>
  <c r="D2337" i="1"/>
  <c r="C2335" i="1"/>
  <c r="C2333" i="1"/>
  <c r="D2333" i="1"/>
  <c r="C2331" i="1"/>
  <c r="C2329" i="1"/>
  <c r="D2329" i="1"/>
  <c r="C2327" i="1"/>
  <c r="C2325" i="1"/>
  <c r="D2325" i="1"/>
  <c r="C2323" i="1"/>
  <c r="C2321" i="1"/>
  <c r="D2321" i="1"/>
  <c r="C2319" i="1"/>
  <c r="C2317" i="1"/>
  <c r="D2317" i="1"/>
  <c r="D2315" i="1"/>
  <c r="C2315" i="1"/>
  <c r="D2313" i="1"/>
  <c r="D2311" i="1"/>
  <c r="C2311" i="1"/>
  <c r="D2309" i="1"/>
  <c r="D2307" i="1"/>
  <c r="C2307" i="1"/>
  <c r="D2305" i="1"/>
  <c r="D2303" i="1"/>
  <c r="C2303" i="1"/>
  <c r="D2301" i="1"/>
  <c r="D2299" i="1"/>
  <c r="C2299" i="1"/>
  <c r="D2297" i="1"/>
  <c r="D2295" i="1"/>
  <c r="C2295" i="1"/>
  <c r="C2293" i="1"/>
  <c r="D2293" i="1"/>
  <c r="C2291" i="1"/>
  <c r="C2289" i="1"/>
  <c r="D2289" i="1"/>
  <c r="C2287" i="1"/>
  <c r="C2285" i="1"/>
  <c r="D2285" i="1"/>
  <c r="C2283" i="1"/>
  <c r="C2281" i="1"/>
  <c r="D2281" i="1"/>
  <c r="C2279" i="1"/>
  <c r="C2277" i="1"/>
  <c r="D2277" i="1"/>
  <c r="C2275" i="1"/>
  <c r="D2273" i="1"/>
  <c r="D2271" i="1"/>
  <c r="C2271" i="1"/>
  <c r="D2269" i="1"/>
  <c r="D2267" i="1"/>
  <c r="C2267" i="1"/>
  <c r="D2265" i="1"/>
  <c r="D2263" i="1"/>
  <c r="C2263" i="1"/>
  <c r="D2261" i="1"/>
  <c r="D2259" i="1"/>
  <c r="C2259" i="1"/>
  <c r="D2257" i="1"/>
  <c r="D2255" i="1"/>
  <c r="C2255" i="1"/>
  <c r="D2253" i="1"/>
  <c r="C2251" i="1"/>
  <c r="C2249" i="1"/>
  <c r="D2249" i="1"/>
  <c r="C2247" i="1"/>
  <c r="C2245" i="1"/>
  <c r="D2245" i="1"/>
  <c r="C2243" i="1"/>
  <c r="C2241" i="1"/>
  <c r="D2241" i="1"/>
  <c r="C2239" i="1"/>
  <c r="C2237" i="1"/>
  <c r="D2237" i="1"/>
  <c r="C2235" i="1"/>
  <c r="C2233" i="1"/>
  <c r="D2233" i="1"/>
  <c r="C2231" i="1"/>
  <c r="D2229" i="1"/>
  <c r="D2227" i="1"/>
  <c r="C2227" i="1"/>
  <c r="D2225" i="1"/>
  <c r="D2223" i="1"/>
  <c r="C2223" i="1"/>
  <c r="D2221" i="1"/>
  <c r="D2219" i="1"/>
  <c r="C2219" i="1"/>
  <c r="D2217" i="1"/>
  <c r="D2215" i="1"/>
  <c r="C2215" i="1"/>
  <c r="D2213" i="1"/>
  <c r="D2211" i="1"/>
  <c r="C2211" i="1"/>
  <c r="C2209" i="1"/>
  <c r="D2209" i="1"/>
  <c r="C2207" i="1"/>
  <c r="C2205" i="1"/>
  <c r="D2205" i="1"/>
  <c r="C2203" i="1"/>
  <c r="C2201" i="1"/>
  <c r="D2201" i="1"/>
  <c r="C2199" i="1"/>
  <c r="C2197" i="1"/>
  <c r="D2197" i="1"/>
  <c r="C2195" i="1"/>
  <c r="C2193" i="1"/>
  <c r="D2193" i="1"/>
  <c r="C2191" i="1"/>
  <c r="C2189" i="1"/>
  <c r="D2189" i="1"/>
  <c r="D2187" i="1"/>
  <c r="C2187" i="1"/>
  <c r="D2185" i="1"/>
  <c r="D2183" i="1"/>
  <c r="C2183" i="1"/>
  <c r="D2181" i="1"/>
  <c r="D2179" i="1"/>
  <c r="C2179" i="1"/>
  <c r="D2177" i="1"/>
  <c r="D2175" i="1"/>
  <c r="C2175" i="1"/>
  <c r="D2173" i="1"/>
  <c r="D2171" i="1"/>
  <c r="C2171" i="1"/>
  <c r="D2169" i="1"/>
  <c r="D2167" i="1"/>
  <c r="C2167" i="1"/>
  <c r="C2165" i="1"/>
  <c r="D2165" i="1"/>
  <c r="C2163" i="1"/>
  <c r="C2161" i="1"/>
  <c r="D2161" i="1"/>
  <c r="C2159" i="1"/>
  <c r="C2157" i="1"/>
  <c r="D2157" i="1"/>
  <c r="D2155" i="1"/>
  <c r="C2155" i="1"/>
  <c r="D2153" i="1"/>
  <c r="D2151" i="1"/>
  <c r="C2151" i="1"/>
  <c r="D2149" i="1"/>
  <c r="D2147" i="1"/>
  <c r="C2147" i="1"/>
  <c r="C2145" i="1"/>
  <c r="D2145" i="1"/>
  <c r="C2143" i="1"/>
  <c r="C2141" i="1"/>
  <c r="D2141" i="1"/>
  <c r="C2139" i="1"/>
  <c r="C2137" i="1"/>
  <c r="D2137" i="1"/>
  <c r="C2135" i="1"/>
  <c r="D2133" i="1"/>
  <c r="D2131" i="1"/>
  <c r="C2131" i="1"/>
  <c r="D2129" i="1"/>
  <c r="D2127" i="1"/>
  <c r="C2127" i="1"/>
  <c r="D2125" i="1"/>
  <c r="C2123" i="1"/>
  <c r="C2121" i="1"/>
  <c r="D2121" i="1"/>
  <c r="C2119" i="1"/>
  <c r="C2117" i="1"/>
  <c r="D2117" i="1"/>
  <c r="C2115" i="1"/>
  <c r="D2113" i="1"/>
  <c r="D2111" i="1"/>
  <c r="C2111" i="1"/>
  <c r="D2109" i="1"/>
  <c r="D2107" i="1"/>
  <c r="C2107" i="1"/>
  <c r="D2105" i="1"/>
  <c r="D2103" i="1"/>
  <c r="C2103" i="1"/>
  <c r="C2101" i="1"/>
  <c r="D2101" i="1"/>
  <c r="C2099" i="1"/>
  <c r="C2097" i="1"/>
  <c r="D2097" i="1"/>
  <c r="C2095" i="1"/>
  <c r="C2093" i="1"/>
  <c r="D2093" i="1"/>
  <c r="D2091" i="1"/>
  <c r="C2091" i="1"/>
  <c r="D2089" i="1"/>
  <c r="D2087" i="1"/>
  <c r="C2087" i="1"/>
  <c r="D2085" i="1"/>
  <c r="D2083" i="1"/>
  <c r="C2083" i="1"/>
  <c r="C2081" i="1"/>
  <c r="D2081" i="1"/>
  <c r="C2079" i="1"/>
  <c r="C2077" i="1"/>
  <c r="D2077" i="1"/>
  <c r="D2075" i="1"/>
  <c r="C2075" i="1"/>
  <c r="D2073" i="1"/>
  <c r="D2071" i="1"/>
  <c r="C2071" i="1"/>
  <c r="C2069" i="1"/>
  <c r="D2069" i="1"/>
  <c r="C2067" i="1"/>
  <c r="D2065" i="1"/>
  <c r="D2063" i="1"/>
  <c r="C2063" i="1"/>
  <c r="D2061" i="1"/>
  <c r="C2059" i="1"/>
  <c r="C2057" i="1"/>
  <c r="D2057" i="1"/>
  <c r="C2055" i="1"/>
  <c r="D2053" i="1"/>
  <c r="D2051" i="1"/>
  <c r="C2051" i="1"/>
  <c r="C2049" i="1"/>
  <c r="D2049" i="1"/>
  <c r="C2047" i="1"/>
  <c r="C2045" i="1"/>
  <c r="D2045" i="1"/>
  <c r="D2043" i="1"/>
  <c r="C2043" i="1"/>
  <c r="D2041" i="1"/>
  <c r="D2039" i="1"/>
  <c r="C2039" i="1"/>
  <c r="C2037" i="1"/>
  <c r="D2037" i="1"/>
  <c r="C2035" i="1"/>
  <c r="D2033" i="1"/>
  <c r="D2031" i="1"/>
  <c r="C2031" i="1"/>
  <c r="D2029" i="1"/>
  <c r="C2027" i="1"/>
  <c r="C2025" i="1"/>
  <c r="D2025" i="1"/>
  <c r="C2023" i="1"/>
  <c r="D2021" i="1"/>
  <c r="D2019" i="1"/>
  <c r="C2019" i="1"/>
  <c r="C2017" i="1"/>
  <c r="D2017" i="1"/>
  <c r="C2015" i="1"/>
  <c r="C2013" i="1"/>
  <c r="D2013" i="1"/>
  <c r="D2011" i="1"/>
  <c r="C2011" i="1"/>
  <c r="D2009" i="1"/>
  <c r="D2007" i="1"/>
  <c r="C2007" i="1"/>
  <c r="C2005" i="1"/>
  <c r="D2005" i="1"/>
  <c r="C2003" i="1"/>
  <c r="D2001" i="1"/>
  <c r="D1999" i="1"/>
  <c r="C1999" i="1"/>
  <c r="D1997" i="1"/>
  <c r="C1995" i="1"/>
  <c r="C1993" i="1"/>
  <c r="D1993" i="1"/>
  <c r="D1991" i="1"/>
  <c r="C1991" i="1"/>
  <c r="D1989" i="1"/>
  <c r="D1987" i="1"/>
  <c r="C1987" i="1"/>
  <c r="C1985" i="1"/>
  <c r="D1985" i="1"/>
  <c r="C1983" i="1"/>
  <c r="C1981" i="1"/>
  <c r="D1981" i="1"/>
  <c r="D1979" i="1"/>
  <c r="C1979" i="1"/>
  <c r="D1977" i="1"/>
  <c r="C1975" i="1"/>
  <c r="C1973" i="1"/>
  <c r="D1973" i="1"/>
  <c r="C1971" i="1"/>
  <c r="D1969" i="1"/>
  <c r="D1967" i="1"/>
  <c r="C1967" i="1"/>
  <c r="D1965" i="1"/>
  <c r="C1963" i="1"/>
  <c r="C1961" i="1"/>
  <c r="D1961" i="1"/>
  <c r="D1959" i="1"/>
  <c r="C1959" i="1"/>
  <c r="D1957" i="1"/>
  <c r="D1955" i="1"/>
  <c r="C1955" i="1"/>
  <c r="C1953" i="1"/>
  <c r="D1953" i="1"/>
  <c r="C1951" i="1"/>
  <c r="C1949" i="1"/>
  <c r="D1949" i="1"/>
  <c r="D1947" i="1"/>
  <c r="C1947" i="1"/>
  <c r="D1945" i="1"/>
  <c r="C1943" i="1"/>
  <c r="C1941" i="1"/>
  <c r="D1941" i="1"/>
  <c r="C1939" i="1"/>
  <c r="D1937" i="1"/>
  <c r="D1935" i="1"/>
  <c r="C1935" i="1"/>
  <c r="D1933" i="1"/>
  <c r="C1931" i="1"/>
  <c r="C1929" i="1"/>
  <c r="D1929" i="1"/>
  <c r="D1927" i="1"/>
  <c r="C1927" i="1"/>
  <c r="D1925" i="1"/>
  <c r="D1923" i="1"/>
  <c r="C1923" i="1"/>
  <c r="D1921" i="1"/>
  <c r="C1919" i="1"/>
  <c r="C1917" i="1"/>
  <c r="D1917" i="1"/>
  <c r="C1915" i="1"/>
  <c r="C1913" i="1"/>
  <c r="D1913" i="1"/>
  <c r="D1911" i="1"/>
  <c r="C1911" i="1"/>
  <c r="D1909" i="1"/>
  <c r="D1907" i="1"/>
  <c r="C1907" i="1"/>
  <c r="D1905" i="1"/>
  <c r="C1903" i="1"/>
  <c r="C1901" i="1"/>
  <c r="D1901" i="1"/>
  <c r="C1899" i="1"/>
  <c r="C1897" i="1"/>
  <c r="D1897" i="1"/>
  <c r="D1895" i="1"/>
  <c r="C1895" i="1"/>
  <c r="D1893" i="1"/>
  <c r="D1891" i="1"/>
  <c r="C1891" i="1"/>
  <c r="D1889" i="1"/>
  <c r="C1887" i="1"/>
  <c r="C1885" i="1"/>
  <c r="D1885" i="1"/>
  <c r="C1883" i="1"/>
  <c r="C1881" i="1"/>
  <c r="D1881" i="1"/>
  <c r="D1879" i="1"/>
  <c r="C1879" i="1"/>
  <c r="D1877" i="1"/>
  <c r="D1875" i="1"/>
  <c r="C1875" i="1"/>
  <c r="D1873" i="1"/>
  <c r="D1869" i="1"/>
  <c r="C1869" i="1"/>
  <c r="C1867" i="1"/>
  <c r="D1865" i="1"/>
  <c r="D1861" i="1"/>
  <c r="C1861" i="1"/>
  <c r="C1859" i="1"/>
  <c r="D1857" i="1"/>
  <c r="D1853" i="1"/>
  <c r="C1853" i="1"/>
  <c r="C1851" i="1"/>
  <c r="D1849" i="1"/>
  <c r="D1845" i="1"/>
  <c r="C1845" i="1"/>
  <c r="C1843" i="1"/>
  <c r="D1841" i="1"/>
  <c r="D1837" i="1"/>
  <c r="C1837" i="1"/>
  <c r="C1835" i="1"/>
  <c r="D1833" i="1"/>
  <c r="D1829" i="1"/>
  <c r="C1829" i="1"/>
  <c r="C1827" i="1"/>
  <c r="D1825" i="1"/>
  <c r="D1821" i="1"/>
  <c r="C1821" i="1"/>
  <c r="C1819" i="1"/>
  <c r="D1817" i="1"/>
  <c r="D1813" i="1"/>
  <c r="C1813" i="1"/>
  <c r="C1811" i="1"/>
  <c r="D1809" i="1"/>
  <c r="D1805" i="1"/>
  <c r="C1805" i="1"/>
  <c r="C1803" i="1"/>
  <c r="D1801" i="1"/>
  <c r="D1797" i="1"/>
  <c r="C1797" i="1"/>
  <c r="C1795" i="1"/>
  <c r="D1793" i="1"/>
  <c r="D1789" i="1"/>
  <c r="C1789" i="1"/>
  <c r="C1787" i="1"/>
  <c r="D1787" i="1"/>
  <c r="C1785" i="1"/>
  <c r="D1783" i="1"/>
  <c r="D1781" i="1"/>
  <c r="C1781" i="1"/>
  <c r="D1779" i="1"/>
  <c r="C1777" i="1"/>
  <c r="C1775" i="1"/>
  <c r="D1775" i="1"/>
  <c r="C1773" i="1"/>
  <c r="D1771" i="1"/>
  <c r="D1769" i="1"/>
  <c r="C1769" i="1"/>
  <c r="C1767" i="1"/>
  <c r="D1767" i="1"/>
  <c r="C1765" i="1"/>
  <c r="C1763" i="1"/>
  <c r="D1763" i="1"/>
  <c r="D1761" i="1"/>
  <c r="C1761" i="1"/>
  <c r="D1759" i="1"/>
  <c r="D1757" i="1"/>
  <c r="C1757" i="1"/>
  <c r="C1755" i="1"/>
  <c r="D1755" i="1"/>
  <c r="C1753" i="1"/>
  <c r="D1751" i="1"/>
  <c r="D1749" i="1"/>
  <c r="C1749" i="1"/>
  <c r="D1747" i="1"/>
  <c r="C1745" i="1"/>
  <c r="C1743" i="1"/>
  <c r="D1743" i="1"/>
  <c r="C1741" i="1"/>
  <c r="D1739" i="1"/>
  <c r="D1737" i="1"/>
  <c r="C1737" i="1"/>
  <c r="C1735" i="1"/>
  <c r="D1735" i="1"/>
  <c r="C1733" i="1"/>
  <c r="C1731" i="1"/>
  <c r="D1731" i="1"/>
  <c r="D1729" i="1"/>
  <c r="C1729" i="1"/>
  <c r="D1727" i="1"/>
  <c r="D1725" i="1"/>
  <c r="C1725" i="1"/>
  <c r="C1723" i="1"/>
  <c r="D1723" i="1"/>
  <c r="C1721" i="1"/>
  <c r="D1719" i="1"/>
  <c r="D1717" i="1"/>
  <c r="C1717" i="1"/>
  <c r="D1715" i="1"/>
  <c r="C1713" i="1"/>
  <c r="C1711" i="1"/>
  <c r="D1711" i="1"/>
  <c r="C1709" i="1"/>
  <c r="D1707" i="1"/>
  <c r="D1705" i="1"/>
  <c r="C1705" i="1"/>
  <c r="C1703" i="1"/>
  <c r="D1703" i="1"/>
  <c r="C1701" i="1"/>
  <c r="C1699" i="1"/>
  <c r="D1699" i="1"/>
  <c r="D1697" i="1"/>
  <c r="C1697" i="1"/>
  <c r="D1695" i="1"/>
  <c r="D1693" i="1"/>
  <c r="C1693" i="1"/>
  <c r="C1691" i="1"/>
  <c r="D1691" i="1"/>
  <c r="C1689" i="1"/>
  <c r="D1687" i="1"/>
  <c r="D1685" i="1"/>
  <c r="C1685" i="1"/>
  <c r="D1683" i="1"/>
  <c r="C1681" i="1"/>
  <c r="C1679" i="1"/>
  <c r="D1679" i="1"/>
  <c r="C1677" i="1"/>
  <c r="D1675" i="1"/>
  <c r="D1673" i="1"/>
  <c r="C1673" i="1"/>
  <c r="C1671" i="1"/>
  <c r="D1671" i="1"/>
  <c r="C1669" i="1"/>
  <c r="C1667" i="1"/>
  <c r="D1667" i="1"/>
  <c r="D1665" i="1"/>
  <c r="C1665" i="1"/>
  <c r="D1663" i="1"/>
  <c r="D1661" i="1"/>
  <c r="C1661" i="1"/>
  <c r="C1659" i="1"/>
  <c r="D1659" i="1"/>
  <c r="C1657" i="1"/>
  <c r="D1655" i="1"/>
  <c r="D1653" i="1"/>
  <c r="C1653" i="1"/>
  <c r="D1651" i="1"/>
  <c r="C1649" i="1"/>
  <c r="C1647" i="1"/>
  <c r="D1647" i="1"/>
  <c r="C1645" i="1"/>
  <c r="D1643" i="1"/>
  <c r="D1641" i="1"/>
  <c r="C1641" i="1"/>
  <c r="C1639" i="1"/>
  <c r="D1639" i="1"/>
  <c r="C1637" i="1"/>
  <c r="C1635" i="1"/>
  <c r="D1635" i="1"/>
  <c r="D1633" i="1"/>
  <c r="C1633" i="1"/>
  <c r="D1631" i="1"/>
  <c r="D1629" i="1"/>
  <c r="C1629" i="1"/>
  <c r="C1627" i="1"/>
  <c r="D1627" i="1"/>
  <c r="C1625" i="1"/>
  <c r="D1623" i="1"/>
  <c r="D1621" i="1"/>
  <c r="C1621" i="1"/>
  <c r="D1619" i="1"/>
  <c r="C1617" i="1"/>
  <c r="C1615" i="1"/>
  <c r="D1615" i="1"/>
  <c r="C1613" i="1"/>
  <c r="D1611" i="1"/>
  <c r="D1609" i="1"/>
  <c r="C1609" i="1"/>
  <c r="C1607" i="1"/>
  <c r="D1607" i="1"/>
  <c r="C1605" i="1"/>
  <c r="C1603" i="1"/>
  <c r="D1603" i="1"/>
  <c r="D1601" i="1"/>
  <c r="C1601" i="1"/>
  <c r="D1599" i="1"/>
  <c r="D1597" i="1"/>
  <c r="C1597" i="1"/>
  <c r="C1595" i="1"/>
  <c r="D1595" i="1"/>
  <c r="C1593" i="1"/>
  <c r="D1591" i="1"/>
  <c r="D1589" i="1"/>
  <c r="C1589" i="1"/>
  <c r="D1587" i="1"/>
  <c r="D1585" i="1"/>
  <c r="C1585" i="1"/>
  <c r="C1583" i="1"/>
  <c r="D1583" i="1"/>
  <c r="C1581" i="1"/>
  <c r="C1579" i="1"/>
  <c r="D1579" i="1"/>
  <c r="C1577" i="1"/>
  <c r="D1575" i="1"/>
  <c r="D1573" i="1"/>
  <c r="C1573" i="1"/>
  <c r="D1571" i="1"/>
  <c r="D1569" i="1"/>
  <c r="C1569" i="1"/>
  <c r="C1567" i="1"/>
  <c r="D1567" i="1"/>
  <c r="C1565" i="1"/>
  <c r="C1563" i="1"/>
  <c r="D1563" i="1"/>
  <c r="C1561" i="1"/>
  <c r="D1559" i="1"/>
  <c r="D1557" i="1"/>
  <c r="C1557" i="1"/>
  <c r="D1555" i="1"/>
  <c r="D1553" i="1"/>
  <c r="C1553" i="1"/>
  <c r="C1551" i="1"/>
  <c r="D1551" i="1"/>
  <c r="C1549" i="1"/>
  <c r="C1547" i="1"/>
  <c r="D1547" i="1"/>
  <c r="C1545" i="1"/>
  <c r="D1543" i="1"/>
  <c r="D1541" i="1"/>
  <c r="C1541" i="1"/>
  <c r="D1539" i="1"/>
  <c r="D1537" i="1"/>
  <c r="C1537" i="1"/>
  <c r="C1535" i="1"/>
  <c r="D1535" i="1"/>
  <c r="C1533" i="1"/>
  <c r="C1531" i="1"/>
  <c r="D1531" i="1"/>
  <c r="C1529" i="1"/>
  <c r="D1527" i="1"/>
  <c r="D1525" i="1"/>
  <c r="C1525" i="1"/>
  <c r="D1523" i="1"/>
  <c r="D1521" i="1"/>
  <c r="C1521" i="1"/>
  <c r="C1519" i="1"/>
  <c r="D1519" i="1"/>
  <c r="C1517" i="1"/>
  <c r="C1515" i="1"/>
  <c r="D1515" i="1"/>
  <c r="C1513" i="1"/>
  <c r="D1511" i="1"/>
  <c r="D1509" i="1"/>
  <c r="C1509" i="1"/>
  <c r="D1507" i="1"/>
  <c r="D1505" i="1"/>
  <c r="C1505" i="1"/>
  <c r="C1503" i="1"/>
  <c r="D1503" i="1"/>
  <c r="C1501" i="1"/>
  <c r="C1499" i="1"/>
  <c r="D1499" i="1"/>
  <c r="C1497" i="1"/>
  <c r="D1495" i="1"/>
  <c r="D1493" i="1"/>
  <c r="C1493" i="1"/>
  <c r="D1491" i="1"/>
  <c r="D1489" i="1"/>
  <c r="C1489" i="1"/>
  <c r="C1487" i="1"/>
  <c r="C1485" i="1"/>
  <c r="D1485" i="1"/>
  <c r="C1479" i="1"/>
  <c r="C1477" i="1"/>
  <c r="D1477" i="1"/>
  <c r="C1469" i="1"/>
  <c r="C1467" i="1"/>
  <c r="C1463" i="1"/>
  <c r="C1461" i="1"/>
  <c r="C1459" i="1"/>
  <c r="C1457" i="1"/>
  <c r="D1453" i="1"/>
  <c r="C1453" i="1"/>
  <c r="C1451" i="1"/>
  <c r="C1449" i="1"/>
  <c r="C1447" i="1"/>
  <c r="C1445" i="1"/>
  <c r="D1445" i="1"/>
  <c r="C1441" i="1"/>
  <c r="C1439" i="1"/>
  <c r="D1437" i="1"/>
  <c r="C1429" i="1"/>
  <c r="C1427" i="1"/>
  <c r="C1425" i="1"/>
  <c r="D1421" i="1"/>
  <c r="C1421" i="1"/>
  <c r="C1419" i="1"/>
  <c r="C1417" i="1"/>
  <c r="C1415" i="1"/>
  <c r="C1413" i="1"/>
  <c r="D1413" i="1"/>
  <c r="C1409" i="1"/>
  <c r="C1407" i="1"/>
  <c r="D1405" i="1"/>
  <c r="C1397" i="1"/>
  <c r="C1395" i="1"/>
  <c r="C1393" i="1"/>
  <c r="D1389" i="1"/>
  <c r="C1389" i="1"/>
  <c r="C1387" i="1"/>
  <c r="C1385" i="1"/>
  <c r="C1383" i="1"/>
  <c r="C1381" i="1"/>
  <c r="D1381" i="1"/>
  <c r="C1377" i="1"/>
  <c r="C1375" i="1"/>
  <c r="D1373" i="1"/>
  <c r="C1365" i="1"/>
  <c r="C1363" i="1"/>
  <c r="C1361" i="1"/>
  <c r="D1357" i="1"/>
  <c r="C1357" i="1"/>
  <c r="C1355" i="1"/>
  <c r="C1353" i="1"/>
  <c r="C1351" i="1"/>
  <c r="C1349" i="1"/>
  <c r="D1349" i="1"/>
  <c r="C1345" i="1"/>
  <c r="C1343" i="1"/>
  <c r="D1341" i="1"/>
  <c r="C1335" i="1"/>
  <c r="C1333" i="1"/>
  <c r="D1331" i="1"/>
  <c r="C1327" i="1"/>
  <c r="C1325" i="1"/>
  <c r="D1323" i="1"/>
  <c r="C1319" i="1"/>
  <c r="C1317" i="1"/>
  <c r="D1315" i="1"/>
  <c r="C1311" i="1"/>
  <c r="C1309" i="1"/>
  <c r="D1307" i="1"/>
  <c r="C1303" i="1"/>
  <c r="C1301" i="1"/>
  <c r="D1299" i="1"/>
  <c r="C1295" i="1"/>
  <c r="C1293" i="1"/>
  <c r="D1291" i="1"/>
  <c r="C1287" i="1"/>
  <c r="C1285" i="1"/>
  <c r="D1283" i="1"/>
  <c r="C1281" i="1"/>
  <c r="D1279" i="1"/>
  <c r="C1279" i="1"/>
  <c r="C1277" i="1"/>
  <c r="C1275" i="1"/>
  <c r="D1275" i="1"/>
  <c r="C1273" i="1"/>
  <c r="D1271" i="1"/>
  <c r="C1271" i="1"/>
  <c r="C1269" i="1"/>
  <c r="C1267" i="1"/>
  <c r="C1265" i="1"/>
  <c r="D1263" i="1"/>
  <c r="C1263" i="1"/>
  <c r="C1261" i="1"/>
  <c r="C1259" i="1"/>
  <c r="D1259" i="1"/>
  <c r="C1257" i="1"/>
  <c r="D1255" i="1"/>
  <c r="C1255" i="1"/>
  <c r="C1253" i="1"/>
  <c r="C1251" i="1"/>
  <c r="C1249" i="1"/>
  <c r="D1247" i="1"/>
  <c r="C1247" i="1"/>
  <c r="C1245" i="1"/>
  <c r="C1243" i="1"/>
  <c r="D1243" i="1"/>
  <c r="C1241" i="1"/>
  <c r="D1239" i="1"/>
  <c r="C1239" i="1"/>
  <c r="C1237" i="1"/>
  <c r="C1235" i="1"/>
  <c r="C1233" i="1"/>
  <c r="D1231" i="1"/>
  <c r="C1231" i="1"/>
  <c r="C1229" i="1"/>
  <c r="C1227" i="1"/>
  <c r="D1227" i="1"/>
  <c r="C1225" i="1"/>
  <c r="D1223" i="1"/>
  <c r="C1223" i="1"/>
  <c r="C1221" i="1"/>
  <c r="C1219" i="1"/>
  <c r="C1217" i="1"/>
  <c r="D1215" i="1"/>
  <c r="C1215" i="1"/>
  <c r="C1213" i="1"/>
  <c r="C1211" i="1"/>
  <c r="D1211" i="1"/>
  <c r="C1209" i="1"/>
  <c r="D1207" i="1"/>
  <c r="C1207" i="1"/>
  <c r="C1205" i="1"/>
  <c r="C1203" i="1"/>
  <c r="C1201" i="1"/>
  <c r="D1199" i="1"/>
  <c r="C1199" i="1"/>
  <c r="C1197" i="1"/>
  <c r="C1195" i="1"/>
  <c r="D1195" i="1"/>
  <c r="C1193" i="1"/>
  <c r="D1191" i="1"/>
  <c r="C1191" i="1"/>
  <c r="C1189" i="1"/>
  <c r="C1187" i="1"/>
  <c r="C1185" i="1"/>
  <c r="D1183" i="1"/>
  <c r="C1183" i="1"/>
  <c r="C1181" i="1"/>
  <c r="C1179" i="1"/>
  <c r="D1179" i="1"/>
  <c r="C1177" i="1"/>
  <c r="D1175" i="1"/>
  <c r="C1175" i="1"/>
  <c r="C1173" i="1"/>
  <c r="C1171" i="1"/>
  <c r="C1169" i="1"/>
  <c r="D1167" i="1"/>
  <c r="C1167" i="1"/>
  <c r="C1165" i="1"/>
  <c r="C1163" i="1"/>
  <c r="D1163" i="1"/>
  <c r="C1161" i="1"/>
  <c r="D1159" i="1"/>
  <c r="C1159" i="1"/>
  <c r="C1157" i="1"/>
  <c r="C1155" i="1"/>
  <c r="C1153" i="1"/>
  <c r="D1151" i="1"/>
  <c r="C1151" i="1"/>
  <c r="C1149" i="1"/>
  <c r="C1147" i="1"/>
  <c r="D1147" i="1"/>
  <c r="C1145" i="1"/>
  <c r="D1143" i="1"/>
  <c r="C1143" i="1"/>
  <c r="C1141" i="1"/>
  <c r="C1139" i="1"/>
  <c r="C1137" i="1"/>
  <c r="D1135" i="1"/>
  <c r="C1135" i="1"/>
  <c r="C1133" i="1"/>
  <c r="C1131" i="1"/>
  <c r="D1131" i="1"/>
  <c r="C1129" i="1"/>
  <c r="D1127" i="1"/>
  <c r="C1127" i="1"/>
  <c r="C1125" i="1"/>
  <c r="C1123" i="1"/>
  <c r="C1121" i="1"/>
  <c r="D1119" i="1"/>
  <c r="C1119" i="1"/>
  <c r="C1117" i="1"/>
  <c r="C1115" i="1"/>
  <c r="D1115" i="1"/>
  <c r="C1113" i="1"/>
  <c r="D1111" i="1"/>
  <c r="C1111" i="1"/>
  <c r="C1109" i="1"/>
  <c r="C1107" i="1"/>
  <c r="C1105" i="1"/>
  <c r="D1103" i="1"/>
  <c r="C1103" i="1"/>
  <c r="C1101" i="1"/>
  <c r="C1099" i="1"/>
  <c r="D1099" i="1"/>
  <c r="C1097" i="1"/>
  <c r="D1095" i="1"/>
  <c r="C1095" i="1"/>
  <c r="C1093" i="1"/>
  <c r="C1091" i="1"/>
  <c r="C1089" i="1"/>
  <c r="D1087" i="1"/>
  <c r="C1087" i="1"/>
  <c r="C1085" i="1"/>
  <c r="C1083" i="1"/>
  <c r="D1083" i="1"/>
  <c r="C1081" i="1"/>
  <c r="D1079" i="1"/>
  <c r="C1079" i="1"/>
  <c r="C1077" i="1"/>
  <c r="C1075" i="1"/>
  <c r="C1073" i="1"/>
  <c r="D1071" i="1"/>
  <c r="C1071" i="1"/>
  <c r="C1069" i="1"/>
  <c r="C1067" i="1"/>
  <c r="D1067" i="1"/>
  <c r="C1065" i="1"/>
  <c r="D1063" i="1"/>
  <c r="C1063" i="1"/>
  <c r="C1061" i="1"/>
  <c r="C1059" i="1"/>
  <c r="C1057" i="1"/>
  <c r="D1055" i="1"/>
  <c r="C1055" i="1"/>
  <c r="C1053" i="1"/>
  <c r="C1051" i="1"/>
  <c r="D1051" i="1"/>
  <c r="C1049" i="1"/>
  <c r="D1047" i="1"/>
  <c r="C1047" i="1"/>
  <c r="C1045" i="1"/>
  <c r="C1043" i="1"/>
  <c r="C1041" i="1"/>
  <c r="D1039" i="1"/>
  <c r="C1039" i="1"/>
  <c r="C1037" i="1"/>
  <c r="C1035" i="1"/>
  <c r="D1035" i="1"/>
  <c r="C1033" i="1"/>
  <c r="D1031" i="1"/>
  <c r="C1031" i="1"/>
  <c r="C1029" i="1"/>
  <c r="C1027" i="1"/>
  <c r="C1025" i="1"/>
  <c r="D1023" i="1"/>
  <c r="C1023" i="1"/>
  <c r="C1021" i="1"/>
  <c r="C1019" i="1"/>
  <c r="D1019" i="1"/>
  <c r="C1017" i="1"/>
  <c r="D1015" i="1"/>
  <c r="C1015" i="1"/>
  <c r="C1013" i="1"/>
  <c r="C1011" i="1"/>
  <c r="C1009" i="1"/>
  <c r="D1007" i="1"/>
  <c r="C1007" i="1"/>
  <c r="C1005" i="1"/>
  <c r="C1003" i="1"/>
  <c r="D1003" i="1"/>
  <c r="C1001" i="1"/>
  <c r="D999" i="1"/>
  <c r="C999" i="1"/>
  <c r="C997" i="1"/>
  <c r="C995" i="1"/>
  <c r="C993" i="1"/>
  <c r="D991" i="1"/>
  <c r="C991" i="1"/>
  <c r="C989" i="1"/>
  <c r="C987" i="1"/>
  <c r="D987" i="1"/>
  <c r="C985" i="1"/>
  <c r="D983" i="1"/>
  <c r="C983" i="1"/>
  <c r="C981" i="1"/>
  <c r="C979" i="1"/>
  <c r="C977" i="1"/>
  <c r="D975" i="1"/>
  <c r="C975" i="1"/>
  <c r="C973" i="1"/>
  <c r="C971" i="1"/>
  <c r="D971" i="1"/>
  <c r="C969" i="1"/>
  <c r="D967" i="1"/>
  <c r="C967" i="1"/>
  <c r="C965" i="1"/>
  <c r="C963" i="1"/>
  <c r="C961" i="1"/>
  <c r="D959" i="1"/>
  <c r="C959" i="1"/>
  <c r="C957" i="1"/>
  <c r="C955" i="1"/>
  <c r="D955" i="1"/>
  <c r="C953" i="1"/>
  <c r="D951" i="1"/>
  <c r="C951" i="1"/>
  <c r="C949" i="1"/>
  <c r="C947" i="1"/>
  <c r="C945" i="1"/>
  <c r="D943" i="1"/>
  <c r="C943" i="1"/>
  <c r="C941" i="1"/>
  <c r="C939" i="1"/>
  <c r="D939" i="1"/>
  <c r="C937" i="1"/>
  <c r="D935" i="1"/>
  <c r="C935" i="1"/>
  <c r="C933" i="1"/>
  <c r="C931" i="1"/>
  <c r="C929" i="1"/>
  <c r="D927" i="1"/>
  <c r="C927" i="1"/>
  <c r="C925" i="1"/>
  <c r="C923" i="1"/>
  <c r="D923" i="1"/>
  <c r="C921" i="1"/>
  <c r="D919" i="1"/>
  <c r="C919" i="1"/>
  <c r="C917" i="1"/>
  <c r="C915" i="1"/>
  <c r="C913" i="1"/>
  <c r="D911" i="1"/>
  <c r="C911" i="1"/>
  <c r="C909" i="1"/>
  <c r="C907" i="1"/>
  <c r="D907" i="1"/>
  <c r="C905" i="1"/>
  <c r="D903" i="1"/>
  <c r="C903" i="1"/>
  <c r="C901" i="1"/>
  <c r="C899" i="1"/>
  <c r="C897" i="1"/>
  <c r="D895" i="1"/>
  <c r="C895" i="1"/>
  <c r="C893" i="1"/>
  <c r="C891" i="1"/>
  <c r="D891" i="1"/>
  <c r="C889" i="1"/>
  <c r="D887" i="1"/>
  <c r="C887" i="1"/>
  <c r="C885" i="1"/>
  <c r="C883" i="1"/>
  <c r="C881" i="1"/>
  <c r="D879" i="1"/>
  <c r="C879" i="1"/>
  <c r="C877" i="1"/>
  <c r="C875" i="1"/>
  <c r="D875" i="1"/>
  <c r="D871" i="1"/>
  <c r="C871" i="1"/>
  <c r="D867" i="1"/>
  <c r="C867" i="1"/>
  <c r="C863" i="1"/>
  <c r="D863" i="1"/>
  <c r="C859" i="1"/>
  <c r="D859" i="1"/>
  <c r="D855" i="1"/>
  <c r="C855" i="1"/>
  <c r="D851" i="1"/>
  <c r="C851" i="1"/>
  <c r="C847" i="1"/>
  <c r="D847" i="1"/>
  <c r="C843" i="1"/>
  <c r="D843" i="1"/>
  <c r="D839" i="1"/>
  <c r="C839" i="1"/>
  <c r="D835" i="1"/>
  <c r="C835" i="1"/>
  <c r="C831" i="1"/>
  <c r="D831" i="1"/>
  <c r="C827" i="1"/>
  <c r="D827" i="1"/>
  <c r="C823" i="1"/>
  <c r="C821" i="1"/>
  <c r="D821" i="1"/>
  <c r="C819" i="1"/>
  <c r="C815" i="1"/>
  <c r="D813" i="1"/>
  <c r="C813" i="1"/>
  <c r="C811" i="1"/>
  <c r="C809" i="1"/>
  <c r="C807" i="1"/>
  <c r="D805" i="1"/>
  <c r="C805" i="1"/>
  <c r="C803" i="1"/>
  <c r="C801" i="1"/>
  <c r="C799" i="1"/>
  <c r="C797" i="1"/>
  <c r="C795" i="1"/>
  <c r="C793" i="1"/>
  <c r="C791" i="1"/>
  <c r="D789" i="1"/>
  <c r="C789" i="1"/>
  <c r="C787" i="1"/>
  <c r="C785" i="1"/>
  <c r="D783" i="1"/>
  <c r="C783" i="1"/>
  <c r="C781" i="1"/>
  <c r="C779" i="1"/>
  <c r="C777" i="1"/>
  <c r="D775" i="1"/>
  <c r="C775" i="1"/>
  <c r="C773" i="1"/>
  <c r="C771" i="1"/>
  <c r="D771" i="1"/>
  <c r="D767" i="1"/>
  <c r="C767" i="1"/>
  <c r="C765" i="1"/>
  <c r="C763" i="1"/>
  <c r="D763" i="1"/>
  <c r="C761" i="1"/>
  <c r="D759" i="1"/>
  <c r="C757" i="1"/>
  <c r="C755" i="1"/>
  <c r="D755" i="1"/>
  <c r="C753" i="1"/>
  <c r="D751" i="1"/>
  <c r="C751" i="1"/>
  <c r="C749" i="1"/>
  <c r="C747" i="1"/>
  <c r="C745" i="1"/>
  <c r="D743" i="1"/>
  <c r="C743" i="1"/>
  <c r="C741" i="1"/>
  <c r="C739" i="1"/>
  <c r="D739" i="1"/>
  <c r="D735" i="1"/>
  <c r="C735" i="1"/>
  <c r="C733" i="1"/>
  <c r="C731" i="1"/>
  <c r="D731" i="1"/>
  <c r="C729" i="1"/>
  <c r="D727" i="1"/>
  <c r="C725" i="1"/>
  <c r="C723" i="1"/>
  <c r="D723" i="1"/>
  <c r="C721" i="1"/>
  <c r="D719" i="1"/>
  <c r="C719" i="1"/>
  <c r="C717" i="1"/>
  <c r="C715" i="1"/>
  <c r="D715" i="1"/>
  <c r="C713" i="1"/>
  <c r="D711" i="1"/>
  <c r="C711" i="1"/>
  <c r="C709" i="1"/>
  <c r="C707" i="1"/>
  <c r="C705" i="1"/>
  <c r="D703" i="1"/>
  <c r="C703" i="1"/>
  <c r="C701" i="1"/>
  <c r="C699" i="1"/>
  <c r="D699" i="1"/>
  <c r="C697" i="1"/>
  <c r="D695" i="1"/>
  <c r="C695" i="1"/>
  <c r="D693" i="1"/>
  <c r="C693" i="1"/>
  <c r="D691" i="1"/>
  <c r="C691" i="1"/>
  <c r="D689" i="1"/>
  <c r="D687" i="1"/>
  <c r="C687" i="1"/>
  <c r="D685" i="1"/>
  <c r="C685" i="1"/>
  <c r="D683" i="1"/>
  <c r="C683" i="1"/>
  <c r="D681" i="1"/>
  <c r="C681" i="1"/>
  <c r="D679" i="1"/>
  <c r="C679" i="1"/>
  <c r="D677" i="1"/>
  <c r="C677" i="1"/>
  <c r="D675" i="1"/>
  <c r="C675" i="1"/>
  <c r="C673" i="1"/>
  <c r="D673" i="1"/>
  <c r="C671" i="1"/>
  <c r="D671" i="1"/>
  <c r="C669" i="1"/>
  <c r="D669" i="1"/>
  <c r="C667" i="1"/>
  <c r="D667" i="1"/>
  <c r="C665" i="1"/>
  <c r="D665" i="1"/>
  <c r="C663" i="1"/>
  <c r="D663" i="1"/>
  <c r="C661" i="1"/>
  <c r="D661" i="1"/>
  <c r="C659" i="1"/>
  <c r="C657" i="1"/>
  <c r="D657" i="1"/>
  <c r="C655" i="1"/>
  <c r="D655" i="1"/>
  <c r="C653" i="1"/>
  <c r="D653" i="1"/>
  <c r="C651" i="1"/>
  <c r="D651" i="1"/>
  <c r="D649" i="1"/>
  <c r="C649" i="1"/>
  <c r="D647" i="1"/>
  <c r="C647" i="1"/>
  <c r="D645" i="1"/>
  <c r="C645" i="1"/>
  <c r="D643" i="1"/>
  <c r="C643" i="1"/>
  <c r="D641" i="1"/>
  <c r="D639" i="1"/>
  <c r="C639" i="1"/>
  <c r="D637" i="1"/>
  <c r="C637" i="1"/>
  <c r="D635" i="1"/>
  <c r="C635" i="1"/>
  <c r="D633" i="1"/>
  <c r="C633" i="1"/>
  <c r="D631" i="1"/>
  <c r="C631" i="1"/>
  <c r="D629" i="1"/>
  <c r="C629" i="1"/>
  <c r="D627" i="1"/>
  <c r="C627" i="1"/>
  <c r="D625" i="1"/>
  <c r="C623" i="1"/>
  <c r="C621" i="1"/>
  <c r="D621" i="1"/>
  <c r="C619" i="1"/>
  <c r="D619" i="1"/>
  <c r="C617" i="1"/>
  <c r="D617" i="1"/>
  <c r="C615" i="1"/>
  <c r="D615" i="1"/>
  <c r="C613" i="1"/>
  <c r="D613" i="1"/>
  <c r="C611" i="1"/>
  <c r="D611" i="1"/>
  <c r="C609" i="1"/>
  <c r="D609" i="1"/>
  <c r="C607" i="1"/>
  <c r="C605" i="1"/>
  <c r="D605" i="1"/>
  <c r="C603" i="1"/>
  <c r="D603" i="1"/>
  <c r="D601" i="1"/>
  <c r="C601" i="1"/>
  <c r="D599" i="1"/>
  <c r="C599" i="1"/>
  <c r="D597" i="1"/>
  <c r="D595" i="1"/>
  <c r="C595" i="1"/>
  <c r="D593" i="1"/>
  <c r="C593" i="1"/>
  <c r="D591" i="1"/>
  <c r="C591" i="1"/>
  <c r="D589" i="1"/>
  <c r="C589" i="1"/>
  <c r="D587" i="1"/>
  <c r="C587" i="1"/>
  <c r="D585" i="1"/>
  <c r="C585" i="1"/>
  <c r="D583" i="1"/>
  <c r="C583" i="1"/>
  <c r="D581" i="1"/>
  <c r="C579" i="1"/>
  <c r="C577" i="1"/>
  <c r="D577" i="1"/>
  <c r="C575" i="1"/>
  <c r="D575" i="1"/>
  <c r="C573" i="1"/>
  <c r="D573" i="1"/>
  <c r="C571" i="1"/>
  <c r="D571" i="1"/>
  <c r="C569" i="1"/>
  <c r="D569" i="1"/>
  <c r="C567" i="1"/>
  <c r="D567" i="1"/>
  <c r="C565" i="1"/>
  <c r="D565" i="1"/>
  <c r="C563" i="1"/>
  <c r="C561" i="1"/>
  <c r="D561" i="1"/>
  <c r="C559" i="1"/>
  <c r="D559" i="1"/>
  <c r="D557" i="1"/>
  <c r="C557" i="1"/>
  <c r="D555" i="1"/>
  <c r="C555" i="1"/>
  <c r="D553" i="1"/>
  <c r="D551" i="1"/>
  <c r="C551" i="1"/>
  <c r="D549" i="1"/>
  <c r="C549" i="1"/>
  <c r="D547" i="1"/>
  <c r="C547" i="1"/>
  <c r="D545" i="1"/>
  <c r="C545" i="1"/>
  <c r="C543" i="1"/>
  <c r="C541" i="1"/>
  <c r="D541" i="1"/>
  <c r="C539" i="1"/>
  <c r="D537" i="1"/>
  <c r="C537" i="1"/>
  <c r="C535" i="1"/>
  <c r="C533" i="1"/>
  <c r="C531" i="1"/>
  <c r="D529" i="1"/>
  <c r="C529" i="1"/>
  <c r="C527" i="1"/>
  <c r="C525" i="1"/>
  <c r="D525" i="1"/>
  <c r="C523" i="1"/>
  <c r="D521" i="1"/>
  <c r="C521" i="1"/>
  <c r="C519" i="1"/>
  <c r="C517" i="1"/>
  <c r="D517" i="1"/>
  <c r="C515" i="1"/>
  <c r="D513" i="1"/>
  <c r="C511" i="1"/>
  <c r="C509" i="1"/>
  <c r="D509" i="1"/>
  <c r="C507" i="1"/>
  <c r="D505" i="1"/>
  <c r="C505" i="1"/>
  <c r="C503" i="1"/>
  <c r="C501" i="1"/>
  <c r="D501" i="1"/>
  <c r="C499" i="1"/>
  <c r="D497" i="1"/>
  <c r="C497" i="1"/>
  <c r="C495" i="1"/>
  <c r="C493" i="1"/>
  <c r="D493" i="1"/>
  <c r="D489" i="1"/>
  <c r="C489" i="1"/>
  <c r="D487" i="1"/>
  <c r="C487" i="1"/>
  <c r="D485" i="1"/>
  <c r="C485" i="1"/>
  <c r="D483" i="1"/>
  <c r="C483" i="1"/>
  <c r="D481" i="1"/>
  <c r="C481" i="1"/>
  <c r="C479" i="1"/>
  <c r="D479" i="1"/>
  <c r="C477" i="1"/>
  <c r="D477" i="1"/>
  <c r="C475" i="1"/>
  <c r="D475" i="1"/>
  <c r="C473" i="1"/>
  <c r="D473" i="1"/>
  <c r="C471" i="1"/>
  <c r="D471" i="1"/>
  <c r="C469" i="1"/>
  <c r="C467" i="1"/>
  <c r="D467" i="1"/>
  <c r="C465" i="1"/>
  <c r="D465" i="1"/>
  <c r="C463" i="1"/>
  <c r="D463" i="1"/>
  <c r="C461" i="1"/>
  <c r="D461" i="1"/>
  <c r="D459" i="1"/>
  <c r="C459" i="1"/>
  <c r="D457" i="1"/>
  <c r="C457" i="1"/>
  <c r="D455" i="1"/>
  <c r="C455" i="1"/>
  <c r="D453" i="1"/>
  <c r="C453" i="1"/>
  <c r="D451" i="1"/>
  <c r="D449" i="1"/>
  <c r="C449" i="1"/>
  <c r="C447" i="1"/>
  <c r="D447" i="1"/>
  <c r="C445" i="1"/>
  <c r="D445" i="1"/>
  <c r="C443" i="1"/>
  <c r="D443" i="1"/>
  <c r="C441" i="1"/>
  <c r="D441" i="1"/>
  <c r="C439" i="1"/>
  <c r="D439" i="1"/>
  <c r="D437" i="1"/>
  <c r="C437" i="1"/>
  <c r="D435" i="1"/>
  <c r="C435" i="1"/>
  <c r="D433" i="1"/>
  <c r="C433" i="1"/>
  <c r="D431" i="1"/>
  <c r="C431" i="1"/>
  <c r="D429" i="1"/>
  <c r="C429" i="1"/>
  <c r="D427" i="1"/>
  <c r="C427" i="1"/>
  <c r="D425" i="1"/>
  <c r="C425" i="1"/>
  <c r="D423" i="1"/>
  <c r="D421" i="1"/>
  <c r="C421" i="1"/>
  <c r="D419" i="1"/>
  <c r="C419" i="1"/>
  <c r="D417" i="1"/>
  <c r="C417" i="1"/>
  <c r="C415" i="1"/>
  <c r="D415" i="1"/>
  <c r="C413" i="1"/>
  <c r="D413" i="1"/>
  <c r="C411" i="1"/>
  <c r="D411" i="1"/>
  <c r="C409" i="1"/>
  <c r="C407" i="1"/>
  <c r="D407" i="1"/>
  <c r="C405" i="1"/>
  <c r="D405" i="1"/>
  <c r="C403" i="1"/>
  <c r="D403" i="1"/>
  <c r="C401" i="1"/>
  <c r="D401" i="1"/>
  <c r="C399" i="1"/>
  <c r="D399" i="1"/>
  <c r="C397" i="1"/>
  <c r="D397" i="1"/>
  <c r="D395" i="1"/>
  <c r="C395" i="1"/>
  <c r="D393" i="1"/>
  <c r="C393" i="1"/>
  <c r="D391" i="1"/>
  <c r="C391" i="1"/>
  <c r="D389" i="1"/>
  <c r="C389" i="1"/>
  <c r="D387" i="1"/>
  <c r="C387" i="1"/>
  <c r="D385" i="1"/>
  <c r="C385" i="1"/>
  <c r="D383" i="1"/>
  <c r="D381" i="1"/>
  <c r="C381" i="1"/>
  <c r="D379" i="1"/>
  <c r="C379" i="1"/>
  <c r="D377" i="1"/>
  <c r="C377" i="1"/>
  <c r="D375" i="1"/>
  <c r="C375" i="1"/>
  <c r="C373" i="1"/>
  <c r="C369" i="1"/>
  <c r="D367" i="1"/>
  <c r="C367" i="1"/>
  <c r="C365" i="1"/>
  <c r="C361" i="1"/>
  <c r="D359" i="1"/>
  <c r="C359" i="1"/>
  <c r="C357" i="1"/>
  <c r="C353" i="1"/>
  <c r="D351" i="1"/>
  <c r="C351" i="1"/>
  <c r="C349" i="1"/>
  <c r="C347" i="1"/>
  <c r="C345" i="1"/>
  <c r="C343" i="1"/>
  <c r="D343" i="1"/>
  <c r="C341" i="1"/>
  <c r="D339" i="1"/>
  <c r="C339" i="1"/>
  <c r="C337" i="1"/>
  <c r="C335" i="1"/>
  <c r="D335" i="1"/>
  <c r="D331" i="1"/>
  <c r="C331" i="1"/>
  <c r="C329" i="1"/>
  <c r="C327" i="1"/>
  <c r="D327" i="1"/>
  <c r="C325" i="1"/>
  <c r="D323" i="1"/>
  <c r="C323" i="1"/>
  <c r="C321" i="1"/>
  <c r="C319" i="1"/>
  <c r="D319" i="1"/>
  <c r="C317" i="1"/>
  <c r="D315" i="1"/>
  <c r="C315" i="1"/>
  <c r="C313" i="1"/>
  <c r="C311" i="1"/>
  <c r="D311" i="1"/>
  <c r="C309" i="1"/>
  <c r="D307" i="1"/>
  <c r="C307" i="1"/>
  <c r="C305" i="1"/>
  <c r="C303" i="1"/>
  <c r="D303" i="1"/>
  <c r="C301" i="1"/>
  <c r="D299" i="1"/>
  <c r="C299" i="1"/>
  <c r="C297" i="1"/>
  <c r="C295" i="1"/>
  <c r="D295" i="1"/>
  <c r="C293" i="1"/>
  <c r="D291" i="1"/>
  <c r="C289" i="1"/>
  <c r="C287" i="1"/>
  <c r="D287" i="1"/>
  <c r="C285" i="1"/>
  <c r="D283" i="1"/>
  <c r="C283" i="1"/>
  <c r="C281" i="1"/>
  <c r="C279" i="1"/>
  <c r="D279" i="1"/>
  <c r="C277" i="1"/>
  <c r="D275" i="1"/>
  <c r="C275" i="1"/>
  <c r="C273" i="1"/>
  <c r="C271" i="1"/>
  <c r="D271" i="1"/>
  <c r="C269" i="1"/>
  <c r="D267" i="1"/>
  <c r="C267" i="1"/>
  <c r="C265" i="1"/>
  <c r="C263" i="1"/>
  <c r="D263" i="1"/>
  <c r="C261" i="1"/>
  <c r="D259" i="1"/>
  <c r="C259" i="1"/>
  <c r="C257" i="1"/>
  <c r="C255" i="1"/>
  <c r="D251" i="1"/>
  <c r="C249" i="1"/>
  <c r="C247" i="1"/>
  <c r="D243" i="1"/>
  <c r="C241" i="1"/>
  <c r="D235" i="1"/>
  <c r="C233" i="1"/>
  <c r="C231" i="1"/>
  <c r="C229" i="1"/>
  <c r="C215" i="1"/>
  <c r="C213" i="1"/>
  <c r="C211" i="1"/>
  <c r="C209" i="1"/>
  <c r="D4999" i="1"/>
  <c r="C4997" i="1"/>
  <c r="C4995" i="1"/>
  <c r="D4991" i="1"/>
  <c r="D4989" i="1"/>
  <c r="D4987" i="1"/>
  <c r="D4983" i="1"/>
  <c r="C4981" i="1"/>
  <c r="C4979" i="1"/>
  <c r="D4975" i="1"/>
  <c r="D4973" i="1"/>
  <c r="D4971" i="1"/>
  <c r="C4967" i="1"/>
  <c r="C4965" i="1"/>
  <c r="C4963" i="1"/>
  <c r="D4959" i="1"/>
  <c r="D4957" i="1"/>
  <c r="D4955" i="1"/>
  <c r="D4953" i="1"/>
  <c r="C4951" i="1"/>
  <c r="C4949" i="1"/>
  <c r="C4947" i="1"/>
  <c r="C4945" i="1"/>
  <c r="C4943" i="1"/>
  <c r="C4941" i="1"/>
  <c r="C4939" i="1"/>
  <c r="C4937" i="1"/>
  <c r="D4935" i="1"/>
  <c r="D4933" i="1"/>
  <c r="D4931" i="1"/>
  <c r="D4929" i="1"/>
  <c r="D4927" i="1"/>
  <c r="D4925" i="1"/>
  <c r="D4923" i="1"/>
  <c r="C4921" i="1"/>
  <c r="C4919" i="1"/>
  <c r="C4917" i="1"/>
  <c r="C4915" i="1"/>
  <c r="C4913" i="1"/>
  <c r="C4911" i="1"/>
  <c r="C4909" i="1"/>
  <c r="C4907" i="1"/>
  <c r="D4905" i="1"/>
  <c r="D4903" i="1"/>
  <c r="D4901" i="1"/>
  <c r="D4899" i="1"/>
  <c r="D4897" i="1"/>
  <c r="D4895" i="1"/>
  <c r="D4893" i="1"/>
  <c r="D4891" i="1"/>
  <c r="C4889" i="1"/>
  <c r="C4887" i="1"/>
  <c r="C4885" i="1"/>
  <c r="C4883" i="1"/>
  <c r="C4881" i="1"/>
  <c r="C4879" i="1"/>
  <c r="C4877" i="1"/>
  <c r="C4875" i="1"/>
  <c r="D4873" i="1"/>
  <c r="D4871" i="1"/>
  <c r="D4869" i="1"/>
  <c r="D4867" i="1"/>
  <c r="D4865" i="1"/>
  <c r="D4863" i="1"/>
  <c r="D4861" i="1"/>
  <c r="C4859" i="1"/>
  <c r="C4857" i="1"/>
  <c r="C4855" i="1"/>
  <c r="C4853" i="1"/>
  <c r="C4851" i="1"/>
  <c r="C4849" i="1"/>
  <c r="C4847" i="1"/>
  <c r="C4845" i="1"/>
  <c r="D4843" i="1"/>
  <c r="D4841" i="1"/>
  <c r="D4839" i="1"/>
  <c r="D4837" i="1"/>
  <c r="D4835" i="1"/>
  <c r="D4833" i="1"/>
  <c r="D4831" i="1"/>
  <c r="D4829" i="1"/>
  <c r="C4827" i="1"/>
  <c r="C4825" i="1"/>
  <c r="C4823" i="1"/>
  <c r="C4821" i="1"/>
  <c r="C4819" i="1"/>
  <c r="C4817" i="1"/>
  <c r="C4815" i="1"/>
  <c r="C4813" i="1"/>
  <c r="D4811" i="1"/>
  <c r="D4809" i="1"/>
  <c r="D4807" i="1"/>
  <c r="D4805" i="1"/>
  <c r="D4803" i="1"/>
  <c r="D4801" i="1"/>
  <c r="D4799" i="1"/>
  <c r="C4797" i="1"/>
  <c r="C4795" i="1"/>
  <c r="C4793" i="1"/>
  <c r="C4791" i="1"/>
  <c r="C4789" i="1"/>
  <c r="C4787" i="1"/>
  <c r="C4785" i="1"/>
  <c r="C4783" i="1"/>
  <c r="D4781" i="1"/>
  <c r="D4779" i="1"/>
  <c r="D4777" i="1"/>
  <c r="D4775" i="1"/>
  <c r="D4773" i="1"/>
  <c r="D4771" i="1"/>
  <c r="D4769" i="1"/>
  <c r="D4767" i="1"/>
  <c r="C4765" i="1"/>
  <c r="C4763" i="1"/>
  <c r="C4761" i="1"/>
  <c r="C4759" i="1"/>
  <c r="C4757" i="1"/>
  <c r="C4755" i="1"/>
  <c r="C4753" i="1"/>
  <c r="C4751" i="1"/>
  <c r="D4749" i="1"/>
  <c r="D4747" i="1"/>
  <c r="D4745" i="1"/>
  <c r="D4743" i="1"/>
  <c r="D4741" i="1"/>
  <c r="D4739" i="1"/>
  <c r="D4737" i="1"/>
  <c r="C4735" i="1"/>
  <c r="C4733" i="1"/>
  <c r="C4731" i="1"/>
  <c r="C4729" i="1"/>
  <c r="C4727" i="1"/>
  <c r="C4725" i="1"/>
  <c r="C4723" i="1"/>
  <c r="D4721" i="1"/>
  <c r="D4719" i="1"/>
  <c r="D4717" i="1"/>
  <c r="D4715" i="1"/>
  <c r="D4713" i="1"/>
  <c r="D4711" i="1"/>
  <c r="D4709" i="1"/>
  <c r="D4707" i="1"/>
  <c r="C4705" i="1"/>
  <c r="C4703" i="1"/>
  <c r="C4701" i="1"/>
  <c r="C4699" i="1"/>
  <c r="C4697" i="1"/>
  <c r="C4695" i="1"/>
  <c r="C4693" i="1"/>
  <c r="C4691" i="1"/>
  <c r="D4689" i="1"/>
  <c r="D4687" i="1"/>
  <c r="D4685" i="1"/>
  <c r="D4683" i="1"/>
  <c r="D4681" i="1"/>
  <c r="D4679" i="1"/>
  <c r="D4677" i="1"/>
  <c r="D4675" i="1"/>
  <c r="C4673" i="1"/>
  <c r="C4671" i="1"/>
  <c r="C4669" i="1"/>
  <c r="C4667" i="1"/>
  <c r="C4665" i="1"/>
  <c r="C4663" i="1"/>
  <c r="D4661" i="1"/>
  <c r="D4659" i="1"/>
  <c r="D4657" i="1"/>
  <c r="D4655" i="1"/>
  <c r="D4653" i="1"/>
  <c r="C4651" i="1"/>
  <c r="C4649" i="1"/>
  <c r="C4647" i="1"/>
  <c r="C4645" i="1"/>
  <c r="C4643" i="1"/>
  <c r="C4641" i="1"/>
  <c r="D4639" i="1"/>
  <c r="D4637" i="1"/>
  <c r="D4635" i="1"/>
  <c r="D4633" i="1"/>
  <c r="D4631" i="1"/>
  <c r="C4625" i="1"/>
  <c r="C4621" i="1"/>
  <c r="C4617" i="1"/>
  <c r="D4611" i="1"/>
  <c r="D4607" i="1"/>
  <c r="D4603" i="1"/>
  <c r="C4597" i="1"/>
  <c r="C4593" i="1"/>
  <c r="C4589" i="1"/>
  <c r="C4585" i="1"/>
  <c r="D4583" i="1"/>
  <c r="D4579" i="1"/>
  <c r="D4575" i="1"/>
  <c r="D4571" i="1"/>
  <c r="C4565" i="1"/>
  <c r="C4561" i="1"/>
  <c r="C4557" i="1"/>
  <c r="C4553" i="1"/>
  <c r="D4551" i="1"/>
  <c r="D4547" i="1"/>
  <c r="D4543" i="1"/>
  <c r="D4539" i="1"/>
  <c r="C4537" i="1"/>
  <c r="C4533" i="1"/>
  <c r="C4529" i="1"/>
  <c r="C4525" i="1"/>
  <c r="D4519" i="1"/>
  <c r="D4515" i="1"/>
  <c r="D4511" i="1"/>
  <c r="D4507" i="1"/>
  <c r="C4505" i="1"/>
  <c r="C4501" i="1"/>
  <c r="C4497" i="1"/>
  <c r="C4493" i="1"/>
  <c r="D4487" i="1"/>
  <c r="D4483" i="1"/>
  <c r="D4479" i="1"/>
  <c r="C4473" i="1"/>
  <c r="C4469" i="1"/>
  <c r="C4465" i="1"/>
  <c r="C4461" i="1"/>
  <c r="D4459" i="1"/>
  <c r="D4455" i="1"/>
  <c r="D4451" i="1"/>
  <c r="D4447" i="1"/>
  <c r="C4445" i="1"/>
  <c r="C4441" i="1"/>
  <c r="C4437" i="1"/>
  <c r="C4433" i="1"/>
  <c r="D4427" i="1"/>
  <c r="D4423" i="1"/>
  <c r="D4419" i="1"/>
  <c r="C4413" i="1"/>
  <c r="C4409" i="1"/>
  <c r="C4405" i="1"/>
  <c r="C4401" i="1"/>
  <c r="D4399" i="1"/>
  <c r="D4395" i="1"/>
  <c r="D4391" i="1"/>
  <c r="D4387" i="1"/>
  <c r="C4381" i="1"/>
  <c r="C4377" i="1"/>
  <c r="C4373" i="1"/>
  <c r="C4369" i="1"/>
  <c r="D4367" i="1"/>
  <c r="D4363" i="1"/>
  <c r="D4359" i="1"/>
  <c r="D4355" i="1"/>
  <c r="C4349" i="1"/>
  <c r="C4345" i="1"/>
  <c r="C4341" i="1"/>
  <c r="D4335" i="1"/>
  <c r="D4331" i="1"/>
  <c r="D4327" i="1"/>
  <c r="D4323" i="1"/>
  <c r="C4321" i="1"/>
  <c r="C4317" i="1"/>
  <c r="C4313" i="1"/>
  <c r="C4309" i="1"/>
  <c r="D4307" i="1"/>
  <c r="D4303" i="1"/>
  <c r="D4299" i="1"/>
  <c r="D4295" i="1"/>
  <c r="C4289" i="1"/>
  <c r="C4285" i="1"/>
  <c r="C4281" i="1"/>
  <c r="C4277" i="1"/>
  <c r="D4275" i="1"/>
  <c r="D4271" i="1"/>
  <c r="D4267" i="1"/>
  <c r="D4263" i="1"/>
  <c r="C4261" i="1"/>
  <c r="C4257" i="1"/>
  <c r="C4253" i="1"/>
  <c r="C4249" i="1"/>
  <c r="D4243" i="1"/>
  <c r="D4239" i="1"/>
  <c r="D4235" i="1"/>
  <c r="D4231" i="1"/>
  <c r="C4229" i="1"/>
  <c r="C4225" i="1"/>
  <c r="C4221" i="1"/>
  <c r="C4217" i="1"/>
  <c r="D4215" i="1"/>
  <c r="D4211" i="1"/>
  <c r="D4207" i="1"/>
  <c r="D4203" i="1"/>
  <c r="C4201" i="1"/>
  <c r="C4197" i="1"/>
  <c r="C4193" i="1"/>
  <c r="C4189" i="1"/>
  <c r="D4183" i="1"/>
  <c r="D4179" i="1"/>
  <c r="D4175" i="1"/>
  <c r="D4171" i="1"/>
  <c r="C4169" i="1"/>
  <c r="C4165" i="1"/>
  <c r="C4161" i="1"/>
  <c r="C4157" i="1"/>
  <c r="D4155" i="1"/>
  <c r="D4151" i="1"/>
  <c r="D4147" i="1"/>
  <c r="C4141" i="1"/>
  <c r="C4137" i="1"/>
  <c r="D4131" i="1"/>
  <c r="D4127" i="1"/>
  <c r="C4121" i="1"/>
  <c r="C4117" i="1"/>
  <c r="C4113" i="1"/>
  <c r="D4111" i="1"/>
  <c r="D4107" i="1"/>
  <c r="D4103" i="1"/>
  <c r="C4101" i="1"/>
  <c r="C4097" i="1"/>
  <c r="C4093" i="1"/>
  <c r="D4091" i="1"/>
  <c r="D4087" i="1"/>
  <c r="D4083" i="1"/>
  <c r="C4077" i="1"/>
  <c r="C4073" i="1"/>
  <c r="D4067" i="1"/>
  <c r="D4063" i="1"/>
  <c r="C4057" i="1"/>
  <c r="C4053" i="1"/>
  <c r="C4049" i="1"/>
  <c r="D4047" i="1"/>
  <c r="D4043" i="1"/>
  <c r="D4039" i="1"/>
  <c r="C4037" i="1"/>
  <c r="C4033" i="1"/>
  <c r="C4029" i="1"/>
  <c r="D4027" i="1"/>
  <c r="D4023" i="1"/>
  <c r="D4019" i="1"/>
  <c r="C4013" i="1"/>
  <c r="C4009" i="1"/>
  <c r="C4005" i="1"/>
  <c r="D3999" i="1"/>
  <c r="D3995" i="1"/>
  <c r="D3991" i="1"/>
  <c r="D3987" i="1"/>
  <c r="C3985" i="1"/>
  <c r="C3981" i="1"/>
  <c r="C3977" i="1"/>
  <c r="C3973" i="1"/>
  <c r="D3967" i="1"/>
  <c r="D3963" i="1"/>
  <c r="D3959" i="1"/>
  <c r="D3955" i="1"/>
  <c r="C3953" i="1"/>
  <c r="D3947" i="1"/>
  <c r="C3943" i="1"/>
  <c r="C3937" i="1"/>
  <c r="D3931" i="1"/>
  <c r="C3927" i="1"/>
  <c r="C3921" i="1"/>
  <c r="D3915" i="1"/>
  <c r="C3911" i="1"/>
  <c r="C3905" i="1"/>
  <c r="D3899" i="1"/>
  <c r="C3895" i="1"/>
  <c r="C3889" i="1"/>
  <c r="D3883" i="1"/>
  <c r="C3879" i="1"/>
  <c r="C3873" i="1"/>
  <c r="D3867" i="1"/>
  <c r="C3863" i="1"/>
  <c r="C3857" i="1"/>
  <c r="D3851" i="1"/>
  <c r="C3847" i="1"/>
  <c r="C3841" i="1"/>
  <c r="D3835" i="1"/>
  <c r="C3831" i="1"/>
  <c r="C3825" i="1"/>
  <c r="D3819" i="1"/>
  <c r="C3815" i="1"/>
  <c r="C3809" i="1"/>
  <c r="D3803" i="1"/>
  <c r="C3799" i="1"/>
  <c r="C3793" i="1"/>
  <c r="D3787" i="1"/>
  <c r="C3783" i="1"/>
  <c r="C3777" i="1"/>
  <c r="D3771" i="1"/>
  <c r="C3767" i="1"/>
  <c r="C3761" i="1"/>
  <c r="D3755" i="1"/>
  <c r="C3751" i="1"/>
  <c r="C3745" i="1"/>
  <c r="D3739" i="1"/>
  <c r="C3735" i="1"/>
  <c r="C3729" i="1"/>
  <c r="D3723" i="1"/>
  <c r="C3719" i="1"/>
  <c r="C3713" i="1"/>
  <c r="D3707" i="1"/>
  <c r="C3703" i="1"/>
  <c r="C3697" i="1"/>
  <c r="D3691" i="1"/>
  <c r="C3687" i="1"/>
  <c r="C3683" i="1"/>
  <c r="C3679" i="1"/>
  <c r="D3677" i="1"/>
  <c r="D3673" i="1"/>
  <c r="D3669" i="1"/>
  <c r="C3663" i="1"/>
  <c r="C3659" i="1"/>
  <c r="C3655" i="1"/>
  <c r="C3651" i="1"/>
  <c r="D3649" i="1"/>
  <c r="D3645" i="1"/>
  <c r="D3641" i="1"/>
  <c r="D3637" i="1"/>
  <c r="D3633" i="1"/>
  <c r="C3627" i="1"/>
  <c r="C3623" i="1"/>
  <c r="C3619" i="1"/>
  <c r="C3615" i="1"/>
  <c r="C3611" i="1"/>
  <c r="D3605" i="1"/>
  <c r="D3601" i="1"/>
  <c r="D3597" i="1"/>
  <c r="D3593" i="1"/>
  <c r="D3589" i="1"/>
  <c r="C3583" i="1"/>
  <c r="C3579" i="1"/>
  <c r="C3575" i="1"/>
  <c r="C3571" i="1"/>
  <c r="C3567" i="1"/>
  <c r="D3565" i="1"/>
  <c r="D3561" i="1"/>
  <c r="D3557" i="1"/>
  <c r="D3553" i="1"/>
  <c r="D3549" i="1"/>
  <c r="D3545" i="1"/>
  <c r="C3543" i="1"/>
  <c r="C3539" i="1"/>
  <c r="C3535" i="1"/>
  <c r="C3531" i="1"/>
  <c r="C3527" i="1"/>
  <c r="C3523" i="1"/>
  <c r="C3519" i="1"/>
  <c r="C3515" i="1"/>
  <c r="D3513" i="1"/>
  <c r="D3509" i="1"/>
  <c r="D3505" i="1"/>
  <c r="D3501" i="1"/>
  <c r="D3497" i="1"/>
  <c r="D3493" i="1"/>
  <c r="D3489" i="1"/>
  <c r="D3485" i="1"/>
  <c r="D3481" i="1"/>
  <c r="D3477" i="1"/>
  <c r="D3473" i="1"/>
  <c r="C3471" i="1"/>
  <c r="C3467" i="1"/>
  <c r="C3463" i="1"/>
  <c r="C3459" i="1"/>
  <c r="C3455" i="1"/>
  <c r="C3451" i="1"/>
  <c r="C3447" i="1"/>
  <c r="C3443" i="1"/>
  <c r="C3439" i="1"/>
  <c r="C3435" i="1"/>
  <c r="C3431" i="1"/>
  <c r="D3429" i="1"/>
  <c r="D3425" i="1"/>
  <c r="D3421" i="1"/>
  <c r="D3417" i="1"/>
  <c r="D3413" i="1"/>
  <c r="D3409" i="1"/>
  <c r="D3405" i="1"/>
  <c r="D3401" i="1"/>
  <c r="D3397" i="1"/>
  <c r="D3393" i="1"/>
  <c r="D3389" i="1"/>
  <c r="C3383" i="1"/>
  <c r="C3379" i="1"/>
  <c r="C3375" i="1"/>
  <c r="C3371" i="1"/>
  <c r="C3367" i="1"/>
  <c r="C3363" i="1"/>
  <c r="C3359" i="1"/>
  <c r="C3355" i="1"/>
  <c r="C3351" i="1"/>
  <c r="C3347" i="1"/>
  <c r="C3343" i="1"/>
  <c r="C3339" i="1"/>
  <c r="D3337" i="1"/>
  <c r="D3333" i="1"/>
  <c r="D3329" i="1"/>
  <c r="D3325" i="1"/>
  <c r="D3321" i="1"/>
  <c r="D3317" i="1"/>
  <c r="D3313" i="1"/>
  <c r="D3309" i="1"/>
  <c r="D3305" i="1"/>
  <c r="D3301" i="1"/>
  <c r="D3297" i="1"/>
  <c r="D3293" i="1"/>
  <c r="D3289" i="1"/>
  <c r="D3285" i="1"/>
  <c r="D3281" i="1"/>
  <c r="D3277" i="1"/>
  <c r="C3271" i="1"/>
  <c r="C3267" i="1"/>
  <c r="C3263" i="1"/>
  <c r="C3259" i="1"/>
  <c r="C3255" i="1"/>
  <c r="C3251" i="1"/>
  <c r="C3247" i="1"/>
  <c r="C3243" i="1"/>
  <c r="C3239" i="1"/>
  <c r="C3235" i="1"/>
  <c r="C3231" i="1"/>
  <c r="C3227" i="1"/>
  <c r="C3223" i="1"/>
  <c r="C3219" i="1"/>
  <c r="C3215" i="1"/>
  <c r="C3211" i="1"/>
  <c r="D3209" i="1"/>
  <c r="D3205" i="1"/>
  <c r="D3201" i="1"/>
  <c r="D3197" i="1"/>
  <c r="D3193" i="1"/>
  <c r="D3189" i="1"/>
  <c r="D3185" i="1"/>
  <c r="D3181" i="1"/>
  <c r="D3177" i="1"/>
  <c r="D3173" i="1"/>
  <c r="D3169" i="1"/>
  <c r="D3165" i="1"/>
  <c r="D3161" i="1"/>
  <c r="D3157" i="1"/>
  <c r="D3153" i="1"/>
  <c r="D3149" i="1"/>
  <c r="C3143" i="1"/>
  <c r="C3139" i="1"/>
  <c r="C3135" i="1"/>
  <c r="C3131" i="1"/>
  <c r="C3127" i="1"/>
  <c r="C3123" i="1"/>
  <c r="C3119" i="1"/>
  <c r="C3115" i="1"/>
  <c r="D3113" i="1"/>
  <c r="D3109" i="1"/>
  <c r="D3105" i="1"/>
  <c r="D3101" i="1"/>
  <c r="D3097" i="1"/>
  <c r="D3093" i="1"/>
  <c r="D3089" i="1"/>
  <c r="D3085" i="1"/>
  <c r="C3079" i="1"/>
  <c r="C3075" i="1"/>
  <c r="C3071" i="1"/>
  <c r="C3067" i="1"/>
  <c r="C3063" i="1"/>
  <c r="C3059" i="1"/>
  <c r="C3055" i="1"/>
  <c r="C3051" i="1"/>
  <c r="D3049" i="1"/>
  <c r="D3045" i="1"/>
  <c r="D3041" i="1"/>
  <c r="D3037" i="1"/>
  <c r="D3033" i="1"/>
  <c r="D3029" i="1"/>
  <c r="D3025" i="1"/>
  <c r="D3021" i="1"/>
  <c r="C3015" i="1"/>
  <c r="C3011" i="1"/>
  <c r="C3007" i="1"/>
  <c r="C3003" i="1"/>
  <c r="C2999" i="1"/>
  <c r="C2995" i="1"/>
  <c r="C2991" i="1"/>
  <c r="C2987" i="1"/>
  <c r="D2985" i="1"/>
  <c r="D2981" i="1"/>
  <c r="D2977" i="1"/>
  <c r="D2973" i="1"/>
  <c r="D2969" i="1"/>
  <c r="D2965" i="1"/>
  <c r="D2961" i="1"/>
  <c r="D2957" i="1"/>
  <c r="C2951" i="1"/>
  <c r="C2947" i="1"/>
  <c r="C2943" i="1"/>
  <c r="C2939" i="1"/>
  <c r="C2935" i="1"/>
  <c r="C2931" i="1"/>
  <c r="C2927" i="1"/>
  <c r="C2923" i="1"/>
  <c r="D2921" i="1"/>
  <c r="D2917" i="1"/>
  <c r="D2913" i="1"/>
  <c r="D2909" i="1"/>
  <c r="D2905" i="1"/>
  <c r="D2901" i="1"/>
  <c r="D2897" i="1"/>
  <c r="D2893" i="1"/>
  <c r="C2887" i="1"/>
  <c r="C2883" i="1"/>
  <c r="C2879" i="1"/>
  <c r="C2875" i="1"/>
  <c r="C2871" i="1"/>
  <c r="C2867" i="1"/>
  <c r="C2863" i="1"/>
  <c r="C2859" i="1"/>
  <c r="D2857" i="1"/>
  <c r="D2853" i="1"/>
  <c r="D2849" i="1"/>
  <c r="D2845" i="1"/>
  <c r="D2841" i="1"/>
  <c r="D2837" i="1"/>
  <c r="D2833" i="1"/>
  <c r="D2829" i="1"/>
  <c r="C2823" i="1"/>
  <c r="C2819" i="1"/>
  <c r="C2815" i="1"/>
  <c r="C2811" i="1"/>
  <c r="C2807" i="1"/>
  <c r="C2803" i="1"/>
  <c r="C2799" i="1"/>
  <c r="C2795" i="1"/>
  <c r="D2793" i="1"/>
  <c r="D2789" i="1"/>
  <c r="D2785" i="1"/>
  <c r="D2781" i="1"/>
  <c r="D2777" i="1"/>
  <c r="D2773" i="1"/>
  <c r="C2769" i="1"/>
  <c r="D2763" i="1"/>
  <c r="D2759" i="1"/>
  <c r="C2755" i="1"/>
  <c r="C2751" i="1"/>
  <c r="D2745" i="1"/>
  <c r="D2741" i="1"/>
  <c r="D2737" i="1"/>
  <c r="C2735" i="1"/>
  <c r="D2729" i="1"/>
  <c r="D2721" i="1"/>
  <c r="C2715" i="1"/>
  <c r="C2711" i="1"/>
  <c r="D2705" i="1"/>
  <c r="C2701" i="1"/>
  <c r="C2697" i="1"/>
  <c r="C2693" i="1"/>
  <c r="C2689" i="1"/>
  <c r="C2685" i="1"/>
  <c r="C2681" i="1"/>
  <c r="D2675" i="1"/>
  <c r="D2671" i="1"/>
  <c r="D2667" i="1"/>
  <c r="D2663" i="1"/>
  <c r="D2659" i="1"/>
  <c r="D2655" i="1"/>
  <c r="D2651" i="1"/>
  <c r="C2649" i="1"/>
  <c r="C2645" i="1"/>
  <c r="C2641" i="1"/>
  <c r="C2637" i="1"/>
  <c r="C2633" i="1"/>
  <c r="C2629" i="1"/>
  <c r="D2623" i="1"/>
  <c r="D2619" i="1"/>
  <c r="D2615" i="1"/>
  <c r="D2611" i="1"/>
  <c r="D2607" i="1"/>
  <c r="D2603" i="1"/>
  <c r="C2597" i="1"/>
  <c r="C2593" i="1"/>
  <c r="C2589" i="1"/>
  <c r="C2585" i="1"/>
  <c r="C2577" i="1"/>
  <c r="C2569" i="1"/>
  <c r="C2561" i="1"/>
  <c r="D2547" i="1"/>
  <c r="D2539" i="1"/>
  <c r="D2531" i="1"/>
  <c r="D2523" i="1"/>
  <c r="D2515" i="1"/>
  <c r="C2501" i="1"/>
  <c r="C2493" i="1"/>
  <c r="C2485" i="1"/>
  <c r="C2477" i="1"/>
  <c r="C2469" i="1"/>
  <c r="D2463" i="1"/>
  <c r="D2455" i="1"/>
  <c r="D2447" i="1"/>
  <c r="D2439" i="1"/>
  <c r="D2431" i="1"/>
  <c r="D2423" i="1"/>
  <c r="C2421" i="1"/>
  <c r="C2413" i="1"/>
  <c r="C2405" i="1"/>
  <c r="C2397" i="1"/>
  <c r="C2389" i="1"/>
  <c r="C2381" i="1"/>
  <c r="D2379" i="1"/>
  <c r="D2371" i="1"/>
  <c r="D2363" i="1"/>
  <c r="C2353" i="1"/>
  <c r="C2345" i="1"/>
  <c r="D2331" i="1"/>
  <c r="D2323" i="1"/>
  <c r="C2309" i="1"/>
  <c r="C2301" i="1"/>
  <c r="D2287" i="1"/>
  <c r="D2279" i="1"/>
  <c r="C2269" i="1"/>
  <c r="C2261" i="1"/>
  <c r="C2253" i="1"/>
  <c r="D2251" i="1"/>
  <c r="D2243" i="1"/>
  <c r="D2235" i="1"/>
  <c r="C2225" i="1"/>
  <c r="C2217" i="1"/>
  <c r="D2203" i="1"/>
  <c r="D2195" i="1"/>
  <c r="C2181" i="1"/>
  <c r="C2173" i="1"/>
  <c r="D2159" i="1"/>
  <c r="C2153" i="1"/>
  <c r="D2139" i="1"/>
  <c r="C2129" i="1"/>
  <c r="D2119" i="1"/>
  <c r="C2109" i="1"/>
  <c r="D2095" i="1"/>
  <c r="C2089" i="1"/>
  <c r="C2061" i="1"/>
  <c r="D2059" i="1"/>
  <c r="C2029" i="1"/>
  <c r="D2027" i="1"/>
  <c r="C1997" i="1"/>
  <c r="D1995" i="1"/>
  <c r="C1989" i="1"/>
  <c r="D1983" i="1"/>
  <c r="C1977" i="1"/>
  <c r="D1975" i="1"/>
  <c r="C1965" i="1"/>
  <c r="D1963" i="1"/>
  <c r="C1957" i="1"/>
  <c r="D1951" i="1"/>
  <c r="C1945" i="1"/>
  <c r="D1943" i="1"/>
  <c r="C1933" i="1"/>
  <c r="D1931" i="1"/>
  <c r="C1925" i="1"/>
  <c r="D1915" i="1"/>
  <c r="C1909" i="1"/>
  <c r="D1899" i="1"/>
  <c r="C1893" i="1"/>
  <c r="D1883" i="1"/>
  <c r="C1877" i="1"/>
  <c r="C1779" i="1"/>
  <c r="D1777" i="1"/>
  <c r="C1747" i="1"/>
  <c r="D1745" i="1"/>
  <c r="C1715" i="1"/>
  <c r="D1713" i="1"/>
  <c r="C1683" i="1"/>
  <c r="D1681" i="1"/>
  <c r="C1651" i="1"/>
  <c r="D1649" i="1"/>
  <c r="C1619" i="1"/>
  <c r="D1617" i="1"/>
  <c r="C1587" i="1"/>
  <c r="D1581" i="1"/>
  <c r="C1571" i="1"/>
  <c r="D1565" i="1"/>
  <c r="C1555" i="1"/>
  <c r="D1549" i="1"/>
  <c r="C1539" i="1"/>
  <c r="D1533" i="1"/>
  <c r="C1523" i="1"/>
  <c r="D1517" i="1"/>
  <c r="C1507" i="1"/>
  <c r="D1501" i="1"/>
  <c r="C1491" i="1"/>
  <c r="C1475" i="1"/>
  <c r="C1471" i="1"/>
  <c r="D1469" i="1"/>
  <c r="C1455" i="1"/>
  <c r="C1437" i="1"/>
  <c r="C1435" i="1"/>
  <c r="C1433" i="1"/>
  <c r="C1431" i="1"/>
  <c r="D1429" i="1"/>
  <c r="C1411" i="1"/>
  <c r="C1391" i="1"/>
  <c r="C1373" i="1"/>
  <c r="C1371" i="1"/>
  <c r="C1369" i="1"/>
  <c r="C1367" i="1"/>
  <c r="D1365" i="1"/>
  <c r="C1347" i="1"/>
  <c r="C1331" i="1"/>
  <c r="C1329" i="1"/>
  <c r="D1327" i="1"/>
  <c r="C1315" i="1"/>
  <c r="C1313" i="1"/>
  <c r="D1311" i="1"/>
  <c r="C1299" i="1"/>
  <c r="C1297" i="1"/>
  <c r="D1295" i="1"/>
  <c r="C1283" i="1"/>
  <c r="D1251" i="1"/>
  <c r="D1219" i="1"/>
  <c r="D1187" i="1"/>
  <c r="D1155" i="1"/>
  <c r="D1123" i="1"/>
  <c r="D1091" i="1"/>
  <c r="D1059" i="1"/>
  <c r="D1027" i="1"/>
  <c r="D995" i="1"/>
  <c r="D963" i="1"/>
  <c r="D931" i="1"/>
  <c r="D899" i="1"/>
  <c r="D779" i="1"/>
  <c r="C759" i="1"/>
  <c r="C737" i="1"/>
  <c r="D707" i="1"/>
  <c r="C625" i="1"/>
  <c r="D623" i="1"/>
  <c r="C581" i="1"/>
  <c r="D579" i="1"/>
  <c r="D533" i="1"/>
  <c r="C491" i="1"/>
  <c r="D469" i="1"/>
  <c r="C451" i="1"/>
  <c r="C423" i="1"/>
  <c r="D409" i="1"/>
  <c r="C383" i="1"/>
  <c r="C291" i="1"/>
  <c r="C4960" i="1"/>
  <c r="C4944" i="1"/>
  <c r="C4914" i="1"/>
  <c r="D4898" i="1"/>
  <c r="C4882" i="1"/>
  <c r="C4866" i="1"/>
  <c r="D4852" i="1"/>
  <c r="D4836" i="1"/>
  <c r="C4820" i="1"/>
  <c r="D4804" i="1"/>
  <c r="D4790" i="1"/>
  <c r="C4774" i="1"/>
  <c r="D4758" i="1"/>
  <c r="C4742" i="1"/>
  <c r="C4714" i="1"/>
  <c r="C4698" i="1"/>
  <c r="C4682" i="1"/>
  <c r="C4668" i="1"/>
  <c r="C4646" i="1"/>
  <c r="D4634" i="1"/>
  <c r="C4622" i="1"/>
  <c r="D4592" i="1"/>
  <c r="C4576" i="1"/>
  <c r="D4560" i="1"/>
  <c r="C4530" i="1"/>
  <c r="C4514" i="1"/>
  <c r="D4498" i="1"/>
  <c r="D4468" i="1"/>
  <c r="C4452" i="1"/>
  <c r="C4438" i="1"/>
  <c r="D4422" i="1"/>
  <c r="D4408" i="1"/>
  <c r="D4392" i="1"/>
  <c r="D4376" i="1"/>
  <c r="C4360" i="1"/>
  <c r="D4346" i="1"/>
  <c r="D4330" i="1"/>
  <c r="D4316" i="1"/>
  <c r="D4300" i="1"/>
  <c r="C4284" i="1"/>
  <c r="D4268" i="1"/>
  <c r="C4254" i="1"/>
  <c r="D4238" i="1"/>
  <c r="C4224" i="1"/>
  <c r="C4210" i="1"/>
  <c r="C4194" i="1"/>
  <c r="D4178" i="1"/>
  <c r="D4162" i="1"/>
  <c r="C4150" i="1"/>
  <c r="C4118" i="1"/>
  <c r="C4086" i="1"/>
  <c r="C4054" i="1"/>
  <c r="C4022" i="1"/>
  <c r="C3672" i="1"/>
  <c r="C3640" i="1"/>
  <c r="C3576" i="1"/>
  <c r="C3408" i="1"/>
  <c r="C2690" i="1"/>
  <c r="C2664" i="1"/>
  <c r="C2638" i="1"/>
  <c r="C2612" i="1"/>
  <c r="C2580" i="1"/>
  <c r="C2444" i="1"/>
  <c r="C3656" i="1"/>
  <c r="C3624" i="1"/>
  <c r="C3592" i="1"/>
  <c r="C3560" i="1"/>
  <c r="C3504" i="1"/>
  <c r="C3440" i="1"/>
  <c r="C3376" i="1"/>
  <c r="C2772" i="1"/>
  <c r="C2768" i="1"/>
  <c r="C2748" i="1"/>
  <c r="C2708" i="1"/>
  <c r="C2704" i="1"/>
  <c r="C2696" i="1"/>
  <c r="C2684" i="1"/>
  <c r="C2658" i="1"/>
  <c r="C2644" i="1"/>
  <c r="C2632" i="1"/>
  <c r="C2606" i="1"/>
  <c r="C2568" i="1"/>
  <c r="C2542" i="1"/>
  <c r="C2476" i="1"/>
  <c r="C2412" i="1"/>
  <c r="C2348" i="1"/>
  <c r="C2284" i="1"/>
  <c r="C2220" i="1"/>
  <c r="C5000" i="1"/>
  <c r="C4996" i="1"/>
  <c r="C4992" i="1"/>
  <c r="C4988" i="1"/>
  <c r="C4978" i="1"/>
  <c r="C4976" i="1"/>
  <c r="C4972" i="1"/>
  <c r="C4968" i="1"/>
  <c r="C4966" i="1"/>
  <c r="C4954" i="1"/>
  <c r="C4946" i="1"/>
  <c r="C4938" i="1"/>
  <c r="C4924" i="1"/>
  <c r="C4916" i="1"/>
  <c r="C4908" i="1"/>
  <c r="D4900" i="1"/>
  <c r="D4892" i="1"/>
  <c r="C4884" i="1"/>
  <c r="C4876" i="1"/>
  <c r="C4868" i="1"/>
  <c r="D4864" i="1"/>
  <c r="D4862" i="1"/>
  <c r="D4858" i="1"/>
  <c r="C4850" i="1"/>
  <c r="C4838" i="1"/>
  <c r="D4830" i="1"/>
  <c r="D4822" i="1"/>
  <c r="C4814" i="1"/>
  <c r="C4806" i="1"/>
  <c r="D4802" i="1"/>
  <c r="C4800" i="1"/>
  <c r="D4792" i="1"/>
  <c r="C4784" i="1"/>
  <c r="C4776" i="1"/>
  <c r="C4768" i="1"/>
  <c r="D4764" i="1"/>
  <c r="D4756" i="1"/>
  <c r="C4748" i="1"/>
  <c r="D4734" i="1"/>
  <c r="D4730" i="1"/>
  <c r="D4728" i="1"/>
  <c r="D4720" i="1"/>
  <c r="C4712" i="1"/>
  <c r="C4704" i="1"/>
  <c r="C4696" i="1"/>
  <c r="C4688" i="1"/>
  <c r="C4680" i="1"/>
  <c r="C4658" i="1"/>
  <c r="C4656" i="1"/>
  <c r="D4652" i="1"/>
  <c r="C4642" i="1"/>
  <c r="C4640" i="1"/>
  <c r="C4616" i="1"/>
  <c r="D4606" i="1"/>
  <c r="D4598" i="1"/>
  <c r="C4586" i="1"/>
  <c r="C4578" i="1"/>
  <c r="C4570" i="1"/>
  <c r="D4562" i="1"/>
  <c r="C4554" i="1"/>
  <c r="C4540" i="1"/>
  <c r="C4532" i="1"/>
  <c r="C4524" i="1"/>
  <c r="C4516" i="1"/>
  <c r="D4508" i="1"/>
  <c r="D4500" i="1"/>
  <c r="C4492" i="1"/>
  <c r="C4488" i="1"/>
  <c r="D4484" i="1"/>
  <c r="D4478" i="1"/>
  <c r="D4470" i="1"/>
  <c r="C4462" i="1"/>
  <c r="C4454" i="1"/>
  <c r="C4450" i="1"/>
  <c r="C4448" i="1"/>
  <c r="C4440" i="1"/>
  <c r="C4436" i="1"/>
  <c r="D4424" i="1"/>
  <c r="D4410" i="1"/>
  <c r="D4402" i="1"/>
  <c r="D4394" i="1"/>
  <c r="D4386" i="1"/>
  <c r="D4378" i="1"/>
  <c r="C4370" i="1"/>
  <c r="C4362" i="1"/>
  <c r="C4358" i="1"/>
  <c r="C4354" i="1"/>
  <c r="D4348" i="1"/>
  <c r="C4340" i="1"/>
  <c r="D4332" i="1"/>
  <c r="D4324" i="1"/>
  <c r="C4320" i="1"/>
  <c r="C4318" i="1"/>
  <c r="D4310" i="1"/>
  <c r="C4302" i="1"/>
  <c r="D4294" i="1"/>
  <c r="C4290" i="1"/>
  <c r="C4282" i="1"/>
  <c r="C4274" i="1"/>
  <c r="C4270" i="1"/>
  <c r="D4266" i="1"/>
  <c r="C4264" i="1"/>
  <c r="C4256" i="1"/>
  <c r="C4248" i="1"/>
  <c r="D4240" i="1"/>
  <c r="D4232" i="1"/>
  <c r="D4228" i="1"/>
  <c r="C4226" i="1"/>
  <c r="C4218" i="1"/>
  <c r="D4214" i="1"/>
  <c r="C4212" i="1"/>
  <c r="C4204" i="1"/>
  <c r="C4196" i="1"/>
  <c r="D4188" i="1"/>
  <c r="D4184" i="1"/>
  <c r="D4172" i="1"/>
  <c r="D4168" i="1"/>
  <c r="C4154" i="1"/>
  <c r="C4152" i="1"/>
  <c r="D4148" i="1"/>
  <c r="C4138" i="1"/>
  <c r="C4136" i="1"/>
  <c r="D4132" i="1"/>
  <c r="C4122" i="1"/>
  <c r="C4120" i="1"/>
  <c r="D4116" i="1"/>
  <c r="C4112" i="1"/>
  <c r="D4108" i="1"/>
  <c r="D4100" i="1"/>
  <c r="C4090" i="1"/>
  <c r="C4088" i="1"/>
  <c r="D4084" i="1"/>
  <c r="C4074" i="1"/>
  <c r="C4072" i="1"/>
  <c r="D4068" i="1"/>
  <c r="C4064" i="1"/>
  <c r="D4060" i="1"/>
  <c r="C4050" i="1"/>
  <c r="C4048" i="1"/>
  <c r="D4044" i="1"/>
  <c r="C4034" i="1"/>
  <c r="C4032" i="1"/>
  <c r="D4028" i="1"/>
  <c r="C4018" i="1"/>
  <c r="D4006" i="1"/>
  <c r="D3998" i="1"/>
  <c r="D3994" i="1"/>
  <c r="D3986" i="1"/>
  <c r="C4990" i="1"/>
  <c r="D4978" i="1"/>
  <c r="C4974" i="1"/>
  <c r="C4964" i="1"/>
  <c r="C4956" i="1"/>
  <c r="C4948" i="1"/>
  <c r="C4940" i="1"/>
  <c r="D4932" i="1"/>
  <c r="D4926" i="1"/>
  <c r="C4918" i="1"/>
  <c r="C4910" i="1"/>
  <c r="C4902" i="1"/>
  <c r="D4894" i="1"/>
  <c r="C4886" i="1"/>
  <c r="C4878" i="1"/>
  <c r="C4870" i="1"/>
  <c r="C4864" i="1"/>
  <c r="D4856" i="1"/>
  <c r="D4848" i="1"/>
  <c r="D4840" i="1"/>
  <c r="C4832" i="1"/>
  <c r="D4824" i="1"/>
  <c r="C4816" i="1"/>
  <c r="C4808" i="1"/>
  <c r="D4800" i="1"/>
  <c r="D4794" i="1"/>
  <c r="C4786" i="1"/>
  <c r="C4778" i="1"/>
  <c r="C4770" i="1"/>
  <c r="D4762" i="1"/>
  <c r="D4754" i="1"/>
  <c r="C4746" i="1"/>
  <c r="D4732" i="1"/>
  <c r="D4726" i="1"/>
  <c r="D4718" i="1"/>
  <c r="C4710" i="1"/>
  <c r="D4702" i="1"/>
  <c r="C4694" i="1"/>
  <c r="C4686" i="1"/>
  <c r="C4678" i="1"/>
  <c r="C4654" i="1"/>
  <c r="D4638" i="1"/>
  <c r="C4618" i="1"/>
  <c r="C4610" i="1"/>
  <c r="D4604" i="1"/>
  <c r="D4596" i="1"/>
  <c r="D4588" i="1"/>
  <c r="C4580" i="1"/>
  <c r="C4572" i="1"/>
  <c r="D4564" i="1"/>
  <c r="C4556" i="1"/>
  <c r="C4548" i="1"/>
  <c r="C4542" i="1"/>
  <c r="D4534" i="1"/>
  <c r="C4526" i="1"/>
  <c r="C4518" i="1"/>
  <c r="D4510" i="1"/>
  <c r="D4502" i="1"/>
  <c r="C4494" i="1"/>
  <c r="C4486" i="1"/>
  <c r="C4480" i="1"/>
  <c r="D4472" i="1"/>
  <c r="D4464" i="1"/>
  <c r="C4456" i="1"/>
  <c r="D4448" i="1"/>
  <c r="C4442" i="1"/>
  <c r="C4434" i="1"/>
  <c r="D4426" i="1"/>
  <c r="C4418" i="1"/>
  <c r="D4412" i="1"/>
  <c r="D4404" i="1"/>
  <c r="D4396" i="1"/>
  <c r="D4388" i="1"/>
  <c r="D4380" i="1"/>
  <c r="C4372" i="1"/>
  <c r="C4364" i="1"/>
  <c r="C4356" i="1"/>
  <c r="D4350" i="1"/>
  <c r="C4342" i="1"/>
  <c r="D4334" i="1"/>
  <c r="D4326" i="1"/>
  <c r="D4318" i="1"/>
  <c r="D4312" i="1"/>
  <c r="C4304" i="1"/>
  <c r="D4296" i="1"/>
  <c r="C4288" i="1"/>
  <c r="C4280" i="1"/>
  <c r="C4272" i="1"/>
  <c r="C4266" i="1"/>
  <c r="C4258" i="1"/>
  <c r="C4250" i="1"/>
  <c r="D4242" i="1"/>
  <c r="D4234" i="1"/>
  <c r="C4228" i="1"/>
  <c r="C4220" i="1"/>
  <c r="C4214" i="1"/>
  <c r="C4206" i="1"/>
  <c r="C4198" i="1"/>
  <c r="C4190" i="1"/>
  <c r="D4182" i="1"/>
  <c r="D4174" i="1"/>
  <c r="D4166" i="1"/>
  <c r="C4158" i="1"/>
  <c r="D4152" i="1"/>
  <c r="C4148" i="1"/>
  <c r="C4142" i="1"/>
  <c r="D4136" i="1"/>
  <c r="C4132" i="1"/>
  <c r="C4126" i="1"/>
  <c r="D4120" i="1"/>
  <c r="C4116" i="1"/>
  <c r="C4110" i="1"/>
  <c r="C4100" i="1"/>
  <c r="C4094" i="1"/>
  <c r="D4088" i="1"/>
  <c r="C4084" i="1"/>
  <c r="C4078" i="1"/>
  <c r="D4072" i="1"/>
  <c r="C4068" i="1"/>
  <c r="C4062" i="1"/>
  <c r="C4046" i="1"/>
  <c r="C4030" i="1"/>
  <c r="C4014" i="1"/>
  <c r="C4006" i="1"/>
  <c r="C3998" i="1"/>
  <c r="C3680" i="1"/>
  <c r="C3664" i="1"/>
  <c r="C3648" i="1"/>
  <c r="C3632" i="1"/>
  <c r="C3616" i="1"/>
  <c r="C3600" i="1"/>
  <c r="C3584" i="1"/>
  <c r="C3568" i="1"/>
  <c r="C3552" i="1"/>
  <c r="C3536" i="1"/>
  <c r="C3520" i="1"/>
  <c r="C3488" i="1"/>
  <c r="C3456" i="1"/>
  <c r="C3424" i="1"/>
  <c r="C3392" i="1"/>
  <c r="C3360" i="1"/>
  <c r="C4994" i="1"/>
  <c r="C4986" i="1"/>
  <c r="C4984" i="1"/>
  <c r="C4980" i="1"/>
  <c r="C4970" i="1"/>
  <c r="D4962" i="1"/>
  <c r="C4958" i="1"/>
  <c r="C4950" i="1"/>
  <c r="C4942" i="1"/>
  <c r="D4934" i="1"/>
  <c r="D4930" i="1"/>
  <c r="C4928" i="1"/>
  <c r="C4920" i="1"/>
  <c r="C4912" i="1"/>
  <c r="C4904" i="1"/>
  <c r="C4896" i="1"/>
  <c r="C4888" i="1"/>
  <c r="C4880" i="1"/>
  <c r="C4872" i="1"/>
  <c r="D4854" i="1"/>
  <c r="D4846" i="1"/>
  <c r="D4842" i="1"/>
  <c r="D4834" i="1"/>
  <c r="D4826" i="1"/>
  <c r="C4818" i="1"/>
  <c r="C4810" i="1"/>
  <c r="D4796" i="1"/>
  <c r="C4788" i="1"/>
  <c r="C4780" i="1"/>
  <c r="C4772" i="1"/>
  <c r="D4760" i="1"/>
  <c r="D4752" i="1"/>
  <c r="C4744" i="1"/>
  <c r="D4740" i="1"/>
  <c r="D4738" i="1"/>
  <c r="D4724" i="1"/>
  <c r="C4716" i="1"/>
  <c r="C4708" i="1"/>
  <c r="D4700" i="1"/>
  <c r="C4692" i="1"/>
  <c r="C4684" i="1"/>
  <c r="C4676" i="1"/>
  <c r="D4672" i="1"/>
  <c r="C4670" i="1"/>
  <c r="C4666" i="1"/>
  <c r="C4664" i="1"/>
  <c r="D4660" i="1"/>
  <c r="C4650" i="1"/>
  <c r="C4648" i="1"/>
  <c r="D4644" i="1"/>
  <c r="D4636" i="1"/>
  <c r="C4632" i="1"/>
  <c r="C4630" i="1"/>
  <c r="D4626" i="1"/>
  <c r="C4624" i="1"/>
  <c r="C4620" i="1"/>
  <c r="C4612" i="1"/>
  <c r="D4608" i="1"/>
  <c r="D4602" i="1"/>
  <c r="D4594" i="1"/>
  <c r="D4590" i="1"/>
  <c r="C4582" i="1"/>
  <c r="C4574" i="1"/>
  <c r="C4566" i="1"/>
  <c r="D4558" i="1"/>
  <c r="C4550" i="1"/>
  <c r="C4546" i="1"/>
  <c r="C4544" i="1"/>
  <c r="C4536" i="1"/>
  <c r="C4528" i="1"/>
  <c r="C4520" i="1"/>
  <c r="C4512" i="1"/>
  <c r="D4504" i="1"/>
  <c r="C4496" i="1"/>
  <c r="D4482" i="1"/>
  <c r="D4474" i="1"/>
  <c r="D4466" i="1"/>
  <c r="C4458" i="1"/>
  <c r="C4444" i="1"/>
  <c r="C4432" i="1"/>
  <c r="D4428" i="1"/>
  <c r="C4420" i="1"/>
  <c r="D4416" i="1"/>
  <c r="D4414" i="1"/>
  <c r="D4406" i="1"/>
  <c r="D4398" i="1"/>
  <c r="D4390" i="1"/>
  <c r="D4382" i="1"/>
  <c r="D4374" i="1"/>
  <c r="C4366" i="1"/>
  <c r="C4352" i="1"/>
  <c r="C4344" i="1"/>
  <c r="D4336" i="1"/>
  <c r="D4328" i="1"/>
  <c r="D4314" i="1"/>
  <c r="C4306" i="1"/>
  <c r="D4298" i="1"/>
  <c r="C4286" i="1"/>
  <c r="C4278" i="1"/>
  <c r="C4260" i="1"/>
  <c r="C4252" i="1"/>
  <c r="D4244" i="1"/>
  <c r="D4236" i="1"/>
  <c r="C4222" i="1"/>
  <c r="C4208" i="1"/>
  <c r="C4200" i="1"/>
  <c r="C4192" i="1"/>
  <c r="D4180" i="1"/>
  <c r="D4176" i="1"/>
  <c r="D4164" i="1"/>
  <c r="D4160" i="1"/>
  <c r="D4156" i="1"/>
  <c r="C4146" i="1"/>
  <c r="C4144" i="1"/>
  <c r="D4140" i="1"/>
  <c r="C4130" i="1"/>
  <c r="C4128" i="1"/>
  <c r="D4124" i="1"/>
  <c r="C4114" i="1"/>
  <c r="C4106" i="1"/>
  <c r="C4104" i="1"/>
  <c r="C4098" i="1"/>
  <c r="C4096" i="1"/>
  <c r="D4092" i="1"/>
  <c r="C4082" i="1"/>
  <c r="C4080" i="1"/>
  <c r="D4076" i="1"/>
  <c r="C4066" i="1"/>
  <c r="C4058" i="1"/>
  <c r="C4056" i="1"/>
  <c r="D4052" i="1"/>
  <c r="C4042" i="1"/>
  <c r="C4040" i="1"/>
  <c r="D4036" i="1"/>
  <c r="C4026" i="1"/>
  <c r="C4024" i="1"/>
  <c r="D4020" i="1"/>
  <c r="C4016" i="1"/>
  <c r="D4010" i="1"/>
  <c r="D4002" i="1"/>
  <c r="D3990" i="1"/>
  <c r="D3982" i="1"/>
  <c r="D3978" i="1"/>
  <c r="D3974" i="1"/>
  <c r="D3970" i="1"/>
  <c r="D3966" i="1"/>
  <c r="D3962" i="1"/>
  <c r="D3958" i="1"/>
  <c r="D3954" i="1"/>
  <c r="D3950" i="1"/>
  <c r="C3946" i="1"/>
  <c r="D3942" i="1"/>
  <c r="C3938" i="1"/>
  <c r="D3934" i="1"/>
  <c r="C3930" i="1"/>
  <c r="D3926" i="1"/>
  <c r="C3922" i="1"/>
  <c r="D3918" i="1"/>
  <c r="C3914" i="1"/>
  <c r="D3910" i="1"/>
  <c r="C3906" i="1"/>
  <c r="D3902" i="1"/>
  <c r="C3898" i="1"/>
  <c r="D3894" i="1"/>
  <c r="C3890" i="1"/>
  <c r="D3886" i="1"/>
  <c r="C3882" i="1"/>
  <c r="D3878" i="1"/>
  <c r="C3874" i="1"/>
  <c r="D3870" i="1"/>
  <c r="C3866" i="1"/>
  <c r="D3862" i="1"/>
  <c r="C3858" i="1"/>
  <c r="D3854" i="1"/>
  <c r="C3850" i="1"/>
  <c r="D3846" i="1"/>
  <c r="C3842" i="1"/>
  <c r="D3838" i="1"/>
  <c r="C3834" i="1"/>
  <c r="D3830" i="1"/>
  <c r="C3826" i="1"/>
  <c r="D3822" i="1"/>
  <c r="C3818" i="1"/>
  <c r="D3814" i="1"/>
  <c r="C3810" i="1"/>
  <c r="D3806" i="1"/>
  <c r="C3802" i="1"/>
  <c r="D3798" i="1"/>
  <c r="C3794" i="1"/>
  <c r="D3790" i="1"/>
  <c r="C3786" i="1"/>
  <c r="D3782" i="1"/>
  <c r="C3778" i="1"/>
  <c r="D3774" i="1"/>
  <c r="C3770" i="1"/>
  <c r="D3766" i="1"/>
  <c r="C3762" i="1"/>
  <c r="D3758" i="1"/>
  <c r="C3754" i="1"/>
  <c r="D3750" i="1"/>
  <c r="C3746" i="1"/>
  <c r="D3742" i="1"/>
  <c r="C3738" i="1"/>
  <c r="D3734" i="1"/>
  <c r="C3730" i="1"/>
  <c r="D3726" i="1"/>
  <c r="C3722" i="1"/>
  <c r="D3718" i="1"/>
  <c r="C3714" i="1"/>
  <c r="D3710" i="1"/>
  <c r="C3706" i="1"/>
  <c r="D3702" i="1"/>
  <c r="C3698" i="1"/>
  <c r="D3694" i="1"/>
  <c r="C3690" i="1"/>
  <c r="D3686" i="1"/>
  <c r="C3684" i="1"/>
  <c r="C3682" i="1"/>
  <c r="D3678" i="1"/>
  <c r="C3676" i="1"/>
  <c r="C3674" i="1"/>
  <c r="D3670" i="1"/>
  <c r="C3668" i="1"/>
  <c r="C3666" i="1"/>
  <c r="D3662" i="1"/>
  <c r="C3660" i="1"/>
  <c r="C3658" i="1"/>
  <c r="D3654" i="1"/>
  <c r="C3652" i="1"/>
  <c r="C3650" i="1"/>
  <c r="D3646" i="1"/>
  <c r="C3644" i="1"/>
  <c r="C3642" i="1"/>
  <c r="D3638" i="1"/>
  <c r="C3636" i="1"/>
  <c r="C3634" i="1"/>
  <c r="D3630" i="1"/>
  <c r="C3628" i="1"/>
  <c r="C3626" i="1"/>
  <c r="D3622" i="1"/>
  <c r="C3620" i="1"/>
  <c r="C3618" i="1"/>
  <c r="D3614" i="1"/>
  <c r="C3612" i="1"/>
  <c r="C3610" i="1"/>
  <c r="D3606" i="1"/>
  <c r="C3604" i="1"/>
  <c r="C3602" i="1"/>
  <c r="D3598" i="1"/>
  <c r="C3596" i="1"/>
  <c r="C3594" i="1"/>
  <c r="D3590" i="1"/>
  <c r="C3588" i="1"/>
  <c r="C3586" i="1"/>
  <c r="D3582" i="1"/>
  <c r="C3580" i="1"/>
  <c r="C3578" i="1"/>
  <c r="D3574" i="1"/>
  <c r="C3572" i="1"/>
  <c r="C3570" i="1"/>
  <c r="D3566" i="1"/>
  <c r="C3564" i="1"/>
  <c r="C3562" i="1"/>
  <c r="D3558" i="1"/>
  <c r="C3556" i="1"/>
  <c r="C3554" i="1"/>
  <c r="D3550" i="1"/>
  <c r="C3548" i="1"/>
  <c r="C3546" i="1"/>
  <c r="D3542" i="1"/>
  <c r="C3540" i="1"/>
  <c r="C3538" i="1"/>
  <c r="D3534" i="1"/>
  <c r="C3532" i="1"/>
  <c r="C3530" i="1"/>
  <c r="C3528" i="1"/>
  <c r="D3526" i="1"/>
  <c r="C3524" i="1"/>
  <c r="C3522" i="1"/>
  <c r="D3522" i="1"/>
  <c r="D3518" i="1"/>
  <c r="C3518" i="1"/>
  <c r="C3516" i="1"/>
  <c r="C3514" i="1"/>
  <c r="C3512" i="1"/>
  <c r="D3510" i="1"/>
  <c r="C3508" i="1"/>
  <c r="C3506" i="1"/>
  <c r="D3506" i="1"/>
  <c r="D3502" i="1"/>
  <c r="C3502" i="1"/>
  <c r="C3500" i="1"/>
  <c r="C3498" i="1"/>
  <c r="C3496" i="1"/>
  <c r="D3494" i="1"/>
  <c r="C3492" i="1"/>
  <c r="C3490" i="1"/>
  <c r="D3490" i="1"/>
  <c r="D3486" i="1"/>
  <c r="C3486" i="1"/>
  <c r="C3484" i="1"/>
  <c r="C3482" i="1"/>
  <c r="C3480" i="1"/>
  <c r="D3478" i="1"/>
  <c r="C3476" i="1"/>
  <c r="C3474" i="1"/>
  <c r="D3474" i="1"/>
  <c r="D3470" i="1"/>
  <c r="C3470" i="1"/>
  <c r="C3468" i="1"/>
  <c r="C3466" i="1"/>
  <c r="C3464" i="1"/>
  <c r="D3462" i="1"/>
  <c r="C3460" i="1"/>
  <c r="C3458" i="1"/>
  <c r="D3458" i="1"/>
  <c r="D3454" i="1"/>
  <c r="C3454" i="1"/>
  <c r="C3452" i="1"/>
  <c r="C3450" i="1"/>
  <c r="C3448" i="1"/>
  <c r="D3446" i="1"/>
  <c r="C3444" i="1"/>
  <c r="C3442" i="1"/>
  <c r="D3442" i="1"/>
  <c r="D3438" i="1"/>
  <c r="C3438" i="1"/>
  <c r="C3436" i="1"/>
  <c r="C3434" i="1"/>
  <c r="C3432" i="1"/>
  <c r="D3430" i="1"/>
  <c r="C3428" i="1"/>
  <c r="C3426" i="1"/>
  <c r="D3426" i="1"/>
  <c r="D3422" i="1"/>
  <c r="C3422" i="1"/>
  <c r="C3420" i="1"/>
  <c r="C3418" i="1"/>
  <c r="C3416" i="1"/>
  <c r="D3414" i="1"/>
  <c r="C3412" i="1"/>
  <c r="C3410" i="1"/>
  <c r="D3410" i="1"/>
  <c r="D3406" i="1"/>
  <c r="C3406" i="1"/>
  <c r="C3404" i="1"/>
  <c r="C3402" i="1"/>
  <c r="C3400" i="1"/>
  <c r="D3398" i="1"/>
  <c r="C3396" i="1"/>
  <c r="C3394" i="1"/>
  <c r="D3394" i="1"/>
  <c r="D3390" i="1"/>
  <c r="C3390" i="1"/>
  <c r="C3388" i="1"/>
  <c r="C3386" i="1"/>
  <c r="C3384" i="1"/>
  <c r="D3382" i="1"/>
  <c r="C3380" i="1"/>
  <c r="C3378" i="1"/>
  <c r="D3378" i="1"/>
  <c r="D3374" i="1"/>
  <c r="C3374" i="1"/>
  <c r="C3372" i="1"/>
  <c r="C3370" i="1"/>
  <c r="C3368" i="1"/>
  <c r="D3366" i="1"/>
  <c r="C3364" i="1"/>
  <c r="C3362" i="1"/>
  <c r="D3362" i="1"/>
  <c r="D3358" i="1"/>
  <c r="C3358" i="1"/>
  <c r="C3356" i="1"/>
  <c r="C3354" i="1"/>
  <c r="C3350" i="1"/>
  <c r="D3350" i="1"/>
  <c r="C3346" i="1"/>
  <c r="C3342" i="1"/>
  <c r="D3342" i="1"/>
  <c r="C3338" i="1"/>
  <c r="C3334" i="1"/>
  <c r="D3334" i="1"/>
  <c r="C3330" i="1"/>
  <c r="C3326" i="1"/>
  <c r="D3326" i="1"/>
  <c r="C3322" i="1"/>
  <c r="C3318" i="1"/>
  <c r="D3318" i="1"/>
  <c r="C3314" i="1"/>
  <c r="C3310" i="1"/>
  <c r="D3310" i="1"/>
  <c r="C3306" i="1"/>
  <c r="C3302" i="1"/>
  <c r="D3302" i="1"/>
  <c r="C3298" i="1"/>
  <c r="C3294" i="1"/>
  <c r="D3294" i="1"/>
  <c r="C3290" i="1"/>
  <c r="C3286" i="1"/>
  <c r="D3286" i="1"/>
  <c r="C3282" i="1"/>
  <c r="C3278" i="1"/>
  <c r="D3278" i="1"/>
  <c r="C3274" i="1"/>
  <c r="C3270" i="1"/>
  <c r="D3270" i="1"/>
  <c r="C3266" i="1"/>
  <c r="C3262" i="1"/>
  <c r="D3262" i="1"/>
  <c r="C3258" i="1"/>
  <c r="C3254" i="1"/>
  <c r="D3254" i="1"/>
  <c r="C3250" i="1"/>
  <c r="C3246" i="1"/>
  <c r="D3246" i="1"/>
  <c r="C3242" i="1"/>
  <c r="C3238" i="1"/>
  <c r="D3238" i="1"/>
  <c r="C3234" i="1"/>
  <c r="C3230" i="1"/>
  <c r="D3230" i="1"/>
  <c r="C3226" i="1"/>
  <c r="C3222" i="1"/>
  <c r="D3222" i="1"/>
  <c r="C3218" i="1"/>
  <c r="C3214" i="1"/>
  <c r="D3214" i="1"/>
  <c r="C3210" i="1"/>
  <c r="C3206" i="1"/>
  <c r="D3206" i="1"/>
  <c r="C3202" i="1"/>
  <c r="C3198" i="1"/>
  <c r="D3198" i="1"/>
  <c r="C3194" i="1"/>
  <c r="C3190" i="1"/>
  <c r="D3190" i="1"/>
  <c r="C3186" i="1"/>
  <c r="C3182" i="1"/>
  <c r="D3182" i="1"/>
  <c r="C3178" i="1"/>
  <c r="C3174" i="1"/>
  <c r="D3174" i="1"/>
  <c r="C3170" i="1"/>
  <c r="C3166" i="1"/>
  <c r="D3166" i="1"/>
  <c r="C3162" i="1"/>
  <c r="C3158" i="1"/>
  <c r="D3158" i="1"/>
  <c r="C3154" i="1"/>
  <c r="C3150" i="1"/>
  <c r="D3150" i="1"/>
  <c r="C3146" i="1"/>
  <c r="C3142" i="1"/>
  <c r="D3142" i="1"/>
  <c r="C3138" i="1"/>
  <c r="C3134" i="1"/>
  <c r="D3134" i="1"/>
  <c r="C3130" i="1"/>
  <c r="C3126" i="1"/>
  <c r="D3126" i="1"/>
  <c r="C3122" i="1"/>
  <c r="C3118" i="1"/>
  <c r="D3118" i="1"/>
  <c r="C3114" i="1"/>
  <c r="C3110" i="1"/>
  <c r="D3110" i="1"/>
  <c r="C3106" i="1"/>
  <c r="C3102" i="1"/>
  <c r="D3102" i="1"/>
  <c r="C3098" i="1"/>
  <c r="C3094" i="1"/>
  <c r="D3094" i="1"/>
  <c r="C3090" i="1"/>
  <c r="C3086" i="1"/>
  <c r="D3086" i="1"/>
  <c r="C3082" i="1"/>
  <c r="C3078" i="1"/>
  <c r="D3078" i="1"/>
  <c r="C3074" i="1"/>
  <c r="C3070" i="1"/>
  <c r="D3070" i="1"/>
  <c r="C3066" i="1"/>
  <c r="C3062" i="1"/>
  <c r="D3062" i="1"/>
  <c r="C3058" i="1"/>
  <c r="C3054" i="1"/>
  <c r="D3054" i="1"/>
  <c r="C3050" i="1"/>
  <c r="C3046" i="1"/>
  <c r="D3046" i="1"/>
  <c r="C3042" i="1"/>
  <c r="C3038" i="1"/>
  <c r="D3038" i="1"/>
  <c r="C3034" i="1"/>
  <c r="C3030" i="1"/>
  <c r="D3030" i="1"/>
  <c r="C3026" i="1"/>
  <c r="C3022" i="1"/>
  <c r="D3022" i="1"/>
  <c r="C3018" i="1"/>
  <c r="C3014" i="1"/>
  <c r="D3014" i="1"/>
  <c r="C3010" i="1"/>
  <c r="C3006" i="1"/>
  <c r="D3006" i="1"/>
  <c r="C3002" i="1"/>
  <c r="C2998" i="1"/>
  <c r="D2998" i="1"/>
  <c r="C2994" i="1"/>
  <c r="C2990" i="1"/>
  <c r="D2990" i="1"/>
  <c r="C2986" i="1"/>
  <c r="C2982" i="1"/>
  <c r="D2982" i="1"/>
  <c r="C2978" i="1"/>
  <c r="C2974" i="1"/>
  <c r="D2974" i="1"/>
  <c r="C2970" i="1"/>
  <c r="C2966" i="1"/>
  <c r="D2966" i="1"/>
  <c r="C2962" i="1"/>
  <c r="C2958" i="1"/>
  <c r="D2958" i="1"/>
  <c r="C2954" i="1"/>
  <c r="C2950" i="1"/>
  <c r="D2950" i="1"/>
  <c r="C2946" i="1"/>
  <c r="C2942" i="1"/>
  <c r="D2942" i="1"/>
  <c r="C2938" i="1"/>
  <c r="C2934" i="1"/>
  <c r="D2934" i="1"/>
  <c r="C2930" i="1"/>
  <c r="C2926" i="1"/>
  <c r="D2926" i="1"/>
  <c r="C2922" i="1"/>
  <c r="C2918" i="1"/>
  <c r="D2918" i="1"/>
  <c r="C2914" i="1"/>
  <c r="C2910" i="1"/>
  <c r="D2910" i="1"/>
  <c r="C2906" i="1"/>
  <c r="C2902" i="1"/>
  <c r="D2902" i="1"/>
  <c r="C2898" i="1"/>
  <c r="C2894" i="1"/>
  <c r="D2894" i="1"/>
  <c r="C2890" i="1"/>
  <c r="C2886" i="1"/>
  <c r="D2886" i="1"/>
  <c r="C2882" i="1"/>
  <c r="C2878" i="1"/>
  <c r="D2878" i="1"/>
  <c r="C2874" i="1"/>
  <c r="C2870" i="1"/>
  <c r="D2870" i="1"/>
  <c r="C2866" i="1"/>
  <c r="C2862" i="1"/>
  <c r="D2862" i="1"/>
  <c r="C2858" i="1"/>
  <c r="C2854" i="1"/>
  <c r="D2854" i="1"/>
  <c r="C2850" i="1"/>
  <c r="C2846" i="1"/>
  <c r="D2846" i="1"/>
  <c r="C2842" i="1"/>
  <c r="C2838" i="1"/>
  <c r="D2838" i="1"/>
  <c r="C2834" i="1"/>
  <c r="C2830" i="1"/>
  <c r="D2830" i="1"/>
  <c r="C2826" i="1"/>
  <c r="C2822" i="1"/>
  <c r="D2822" i="1"/>
  <c r="C2818" i="1"/>
  <c r="C2814" i="1"/>
  <c r="D2814" i="1"/>
  <c r="C2810" i="1"/>
  <c r="C2806" i="1"/>
  <c r="D2806" i="1"/>
  <c r="C2802" i="1"/>
  <c r="C2798" i="1"/>
  <c r="D2798" i="1"/>
  <c r="C2794" i="1"/>
  <c r="C2790" i="1"/>
  <c r="D2790" i="1"/>
  <c r="C2786" i="1"/>
  <c r="C2782" i="1"/>
  <c r="D2782" i="1"/>
  <c r="C2778" i="1"/>
  <c r="C2774" i="1"/>
  <c r="D2774" i="1"/>
  <c r="D2766" i="1"/>
  <c r="C2766" i="1"/>
  <c r="C2764" i="1"/>
  <c r="C2760" i="1"/>
  <c r="C2758" i="1"/>
  <c r="C2756" i="1"/>
  <c r="C2752" i="1"/>
  <c r="D2750" i="1"/>
  <c r="C2744" i="1"/>
  <c r="C2742" i="1"/>
  <c r="D2742" i="1"/>
  <c r="D2734" i="1"/>
  <c r="C2734" i="1"/>
  <c r="C2732" i="1"/>
  <c r="C2728" i="1"/>
  <c r="C2726" i="1"/>
  <c r="C2724" i="1"/>
  <c r="C2720" i="1"/>
  <c r="D2718" i="1"/>
  <c r="C2712" i="1"/>
  <c r="C2710" i="1"/>
  <c r="D2710" i="1"/>
  <c r="D2702" i="1"/>
  <c r="C2702" i="1"/>
  <c r="C2700" i="1"/>
  <c r="C2698" i="1"/>
  <c r="D2694" i="1"/>
  <c r="C2694" i="1"/>
  <c r="C2680" i="1"/>
  <c r="C2674" i="1"/>
  <c r="C2668" i="1"/>
  <c r="C2654" i="1"/>
  <c r="C2648" i="1"/>
  <c r="C2628" i="1"/>
  <c r="C2622" i="1"/>
  <c r="C2616" i="1"/>
  <c r="C2596" i="1"/>
  <c r="C2574" i="1"/>
  <c r="C2548" i="1"/>
  <c r="C2536" i="1"/>
  <c r="C2524" i="1"/>
  <c r="C2492" i="1"/>
  <c r="C2460" i="1"/>
  <c r="C2428" i="1"/>
  <c r="C2396" i="1"/>
  <c r="C2364" i="1"/>
  <c r="C2332" i="1"/>
  <c r="C2300" i="1"/>
  <c r="C2268" i="1"/>
  <c r="C2236" i="1"/>
  <c r="C2204" i="1"/>
  <c r="C2172" i="1"/>
  <c r="C2140" i="1"/>
  <c r="C2108" i="1"/>
  <c r="C2692" i="1"/>
  <c r="C2688" i="1"/>
  <c r="C2686" i="1"/>
  <c r="C2682" i="1"/>
  <c r="D2678" i="1"/>
  <c r="C2676" i="1"/>
  <c r="C2672" i="1"/>
  <c r="C2670" i="1"/>
  <c r="C2666" i="1"/>
  <c r="C2662" i="1"/>
  <c r="C2660" i="1"/>
  <c r="C2656" i="1"/>
  <c r="C2652" i="1"/>
  <c r="C2650" i="1"/>
  <c r="C2646" i="1"/>
  <c r="D2642" i="1"/>
  <c r="C2640" i="1"/>
  <c r="C2636" i="1"/>
  <c r="C2634" i="1"/>
  <c r="C2630" i="1"/>
  <c r="D2626" i="1"/>
  <c r="C2624" i="1"/>
  <c r="C2620" i="1"/>
  <c r="C2618" i="1"/>
  <c r="C2614" i="1"/>
  <c r="D2610" i="1"/>
  <c r="C2608" i="1"/>
  <c r="C2604" i="1"/>
  <c r="C2602" i="1"/>
  <c r="C2598" i="1"/>
  <c r="D2594" i="1"/>
  <c r="C2592" i="1"/>
  <c r="C2590" i="1"/>
  <c r="C2588" i="1"/>
  <c r="C2586" i="1"/>
  <c r="C2584" i="1"/>
  <c r="C2582" i="1"/>
  <c r="D2578" i="1"/>
  <c r="C2578" i="1"/>
  <c r="C2576" i="1"/>
  <c r="C2572" i="1"/>
  <c r="C2570" i="1"/>
  <c r="D2570" i="1"/>
  <c r="C2566" i="1"/>
  <c r="C2564" i="1"/>
  <c r="D2562" i="1"/>
  <c r="C2560" i="1"/>
  <c r="C2558" i="1"/>
  <c r="C2556" i="1"/>
  <c r="C2554" i="1"/>
  <c r="C2552" i="1"/>
  <c r="C2550" i="1"/>
  <c r="D2546" i="1"/>
  <c r="C2546" i="1"/>
  <c r="C2544" i="1"/>
  <c r="C2540" i="1"/>
  <c r="C2538" i="1"/>
  <c r="D2538" i="1"/>
  <c r="C2534" i="1"/>
  <c r="C2532" i="1"/>
  <c r="D2530" i="1"/>
  <c r="C2528" i="1"/>
  <c r="C2526" i="1"/>
  <c r="D2526" i="1"/>
  <c r="D2522" i="1"/>
  <c r="C2522" i="1"/>
  <c r="C2520" i="1"/>
  <c r="C2518" i="1"/>
  <c r="C2516" i="1"/>
  <c r="D2514" i="1"/>
  <c r="C2512" i="1"/>
  <c r="C2510" i="1"/>
  <c r="D2510" i="1"/>
  <c r="D2506" i="1"/>
  <c r="C2506" i="1"/>
  <c r="C2504" i="1"/>
  <c r="C2502" i="1"/>
  <c r="C2500" i="1"/>
  <c r="D2498" i="1"/>
  <c r="C2496" i="1"/>
  <c r="C2494" i="1"/>
  <c r="D2494" i="1"/>
  <c r="D2490" i="1"/>
  <c r="C2490" i="1"/>
  <c r="C2488" i="1"/>
  <c r="C2486" i="1"/>
  <c r="C2484" i="1"/>
  <c r="D2482" i="1"/>
  <c r="C2480" i="1"/>
  <c r="C2478" i="1"/>
  <c r="D2478" i="1"/>
  <c r="D2474" i="1"/>
  <c r="C2474" i="1"/>
  <c r="C2472" i="1"/>
  <c r="C2470" i="1"/>
  <c r="C2468" i="1"/>
  <c r="D2466" i="1"/>
  <c r="C2464" i="1"/>
  <c r="C2462" i="1"/>
  <c r="D2462" i="1"/>
  <c r="D2458" i="1"/>
  <c r="C2458" i="1"/>
  <c r="C2456" i="1"/>
  <c r="C2454" i="1"/>
  <c r="C2452" i="1"/>
  <c r="D2450" i="1"/>
  <c r="C2448" i="1"/>
  <c r="C2446" i="1"/>
  <c r="D2446" i="1"/>
  <c r="D2442" i="1"/>
  <c r="C2442" i="1"/>
  <c r="C2440" i="1"/>
  <c r="C2438" i="1"/>
  <c r="C2436" i="1"/>
  <c r="D2434" i="1"/>
  <c r="C2432" i="1"/>
  <c r="C2430" i="1"/>
  <c r="D2430" i="1"/>
  <c r="D2426" i="1"/>
  <c r="C2426" i="1"/>
  <c r="C2424" i="1"/>
  <c r="C2422" i="1"/>
  <c r="C2420" i="1"/>
  <c r="D2418" i="1"/>
  <c r="C2416" i="1"/>
  <c r="C2414" i="1"/>
  <c r="D2414" i="1"/>
  <c r="D2410" i="1"/>
  <c r="C2410" i="1"/>
  <c r="C2408" i="1"/>
  <c r="C2406" i="1"/>
  <c r="C2404" i="1"/>
  <c r="D2402" i="1"/>
  <c r="C2400" i="1"/>
  <c r="C2398" i="1"/>
  <c r="D2398" i="1"/>
  <c r="D2394" i="1"/>
  <c r="C2394" i="1"/>
  <c r="C2392" i="1"/>
  <c r="C2390" i="1"/>
  <c r="C2388" i="1"/>
  <c r="D2386" i="1"/>
  <c r="C2384" i="1"/>
  <c r="C2382" i="1"/>
  <c r="D2382" i="1"/>
  <c r="D2378" i="1"/>
  <c r="C2378" i="1"/>
  <c r="C2376" i="1"/>
  <c r="C2374" i="1"/>
  <c r="C2372" i="1"/>
  <c r="D2370" i="1"/>
  <c r="C2368" i="1"/>
  <c r="C2366" i="1"/>
  <c r="D2366" i="1"/>
  <c r="D2362" i="1"/>
  <c r="C2362" i="1"/>
  <c r="C2360" i="1"/>
  <c r="C2358" i="1"/>
  <c r="C2356" i="1"/>
  <c r="D2354" i="1"/>
  <c r="C2352" i="1"/>
  <c r="C2350" i="1"/>
  <c r="D2350" i="1"/>
  <c r="D2346" i="1"/>
  <c r="C2346" i="1"/>
  <c r="C2344" i="1"/>
  <c r="C2342" i="1"/>
  <c r="C2340" i="1"/>
  <c r="D2338" i="1"/>
  <c r="C2336" i="1"/>
  <c r="C2334" i="1"/>
  <c r="D2334" i="1"/>
  <c r="D2330" i="1"/>
  <c r="C2330" i="1"/>
  <c r="C2328" i="1"/>
  <c r="C2326" i="1"/>
  <c r="C2324" i="1"/>
  <c r="D2322" i="1"/>
  <c r="C2320" i="1"/>
  <c r="C2318" i="1"/>
  <c r="D2318" i="1"/>
  <c r="D2314" i="1"/>
  <c r="C2314" i="1"/>
  <c r="C2312" i="1"/>
  <c r="C2310" i="1"/>
  <c r="C2308" i="1"/>
  <c r="D2306" i="1"/>
  <c r="C2304" i="1"/>
  <c r="C2302" i="1"/>
  <c r="D2302" i="1"/>
  <c r="D2298" i="1"/>
  <c r="C2298" i="1"/>
  <c r="C2296" i="1"/>
  <c r="C2294" i="1"/>
  <c r="C2292" i="1"/>
  <c r="D2290" i="1"/>
  <c r="C2288" i="1"/>
  <c r="C2286" i="1"/>
  <c r="D2286" i="1"/>
  <c r="D2282" i="1"/>
  <c r="C2282" i="1"/>
  <c r="C2280" i="1"/>
  <c r="C2278" i="1"/>
  <c r="C2276" i="1"/>
  <c r="D2274" i="1"/>
  <c r="C2272" i="1"/>
  <c r="C2270" i="1"/>
  <c r="D2270" i="1"/>
  <c r="D2266" i="1"/>
  <c r="C2266" i="1"/>
  <c r="C2264" i="1"/>
  <c r="C2262" i="1"/>
  <c r="C2260" i="1"/>
  <c r="D2258" i="1"/>
  <c r="C2256" i="1"/>
  <c r="C2254" i="1"/>
  <c r="D2254" i="1"/>
  <c r="D2250" i="1"/>
  <c r="C2250" i="1"/>
  <c r="C2248" i="1"/>
  <c r="C2246" i="1"/>
  <c r="C2244" i="1"/>
  <c r="D2242" i="1"/>
  <c r="C2240" i="1"/>
  <c r="C2238" i="1"/>
  <c r="D2238" i="1"/>
  <c r="D2234" i="1"/>
  <c r="C2234" i="1"/>
  <c r="C2232" i="1"/>
  <c r="C2230" i="1"/>
  <c r="C2228" i="1"/>
  <c r="D2226" i="1"/>
  <c r="C2224" i="1"/>
  <c r="C2222" i="1"/>
  <c r="D2222" i="1"/>
  <c r="D2218" i="1"/>
  <c r="C2218" i="1"/>
  <c r="C2216" i="1"/>
  <c r="C2214" i="1"/>
  <c r="C2212" i="1"/>
  <c r="D2210" i="1"/>
  <c r="C2208" i="1"/>
  <c r="C2206" i="1"/>
  <c r="D2206" i="1"/>
  <c r="D2202" i="1"/>
  <c r="C2202" i="1"/>
  <c r="C2200" i="1"/>
  <c r="C2198" i="1"/>
  <c r="C2196" i="1"/>
  <c r="D2194" i="1"/>
  <c r="C2192" i="1"/>
  <c r="C2190" i="1"/>
  <c r="D2190" i="1"/>
  <c r="D2186" i="1"/>
  <c r="C2186" i="1"/>
  <c r="C2184" i="1"/>
  <c r="C2182" i="1"/>
  <c r="C2180" i="1"/>
  <c r="D2178" i="1"/>
  <c r="C2176" i="1"/>
  <c r="C2174" i="1"/>
  <c r="D2174" i="1"/>
  <c r="D2170" i="1"/>
  <c r="C2170" i="1"/>
  <c r="C2168" i="1"/>
  <c r="C2166" i="1"/>
  <c r="C2164" i="1"/>
  <c r="D2162" i="1"/>
  <c r="C2160" i="1"/>
  <c r="C2158" i="1"/>
  <c r="D2158" i="1"/>
  <c r="D2154" i="1"/>
  <c r="C2154" i="1"/>
  <c r="C2152" i="1"/>
  <c r="C2150" i="1"/>
  <c r="C2148" i="1"/>
  <c r="D2146" i="1"/>
  <c r="C2144" i="1"/>
  <c r="C2142" i="1"/>
  <c r="D2142" i="1"/>
  <c r="D2138" i="1"/>
  <c r="C2138" i="1"/>
  <c r="C2136" i="1"/>
  <c r="C2134" i="1"/>
  <c r="C2132" i="1"/>
  <c r="D2130" i="1"/>
  <c r="C2128" i="1"/>
  <c r="C2126" i="1"/>
  <c r="D2126" i="1"/>
  <c r="D2122" i="1"/>
  <c r="C2122" i="1"/>
  <c r="C2120" i="1"/>
  <c r="C2118" i="1"/>
  <c r="C2116" i="1"/>
  <c r="D2114" i="1"/>
  <c r="C2112" i="1"/>
  <c r="C2110" i="1"/>
  <c r="D2110" i="1"/>
  <c r="D2106" i="1"/>
  <c r="C2106" i="1"/>
  <c r="C2104" i="1"/>
  <c r="C2102" i="1"/>
  <c r="C2100" i="1"/>
  <c r="D2098" i="1"/>
  <c r="C2096" i="1"/>
  <c r="C2094" i="1"/>
  <c r="D2094" i="1"/>
  <c r="D2090" i="1"/>
  <c r="C2090" i="1"/>
  <c r="C2088" i="1"/>
  <c r="C2086" i="1"/>
  <c r="C2084" i="1"/>
  <c r="D2082" i="1"/>
  <c r="C2080" i="1"/>
  <c r="C2078" i="1"/>
  <c r="D2078" i="1"/>
  <c r="D2074" i="1"/>
  <c r="C2074" i="1"/>
  <c r="C2072" i="1"/>
  <c r="C2070" i="1"/>
  <c r="C2068" i="1"/>
  <c r="D2066" i="1"/>
  <c r="C2064" i="1"/>
  <c r="C2062" i="1"/>
  <c r="D2062" i="1"/>
  <c r="D2058" i="1"/>
  <c r="C2058" i="1"/>
  <c r="C2056" i="1"/>
  <c r="C2054" i="1"/>
  <c r="C2052" i="1"/>
  <c r="D2050" i="1"/>
  <c r="C2048" i="1"/>
  <c r="C2046" i="1"/>
  <c r="D2046" i="1"/>
  <c r="D2042" i="1"/>
  <c r="C2042" i="1"/>
  <c r="C2040" i="1"/>
  <c r="C2038" i="1"/>
  <c r="C2036" i="1"/>
  <c r="D2034" i="1"/>
  <c r="C2032" i="1"/>
  <c r="C2030" i="1"/>
  <c r="D2030" i="1"/>
  <c r="D2026" i="1"/>
  <c r="C2026" i="1"/>
  <c r="C2024" i="1"/>
  <c r="C2022" i="1"/>
  <c r="C2020" i="1"/>
  <c r="D2018" i="1"/>
  <c r="C2016" i="1"/>
  <c r="C2014" i="1"/>
  <c r="D2014" i="1"/>
  <c r="D2010" i="1"/>
  <c r="C2010" i="1"/>
  <c r="C2008" i="1"/>
  <c r="C2006" i="1"/>
  <c r="C2004" i="1"/>
  <c r="D2002" i="1"/>
  <c r="C2000" i="1"/>
  <c r="C1998" i="1"/>
  <c r="D1998" i="1"/>
  <c r="D1994" i="1"/>
  <c r="C1994" i="1"/>
  <c r="D1992" i="1"/>
  <c r="C1990" i="1"/>
  <c r="C1988" i="1"/>
  <c r="D1988" i="1"/>
  <c r="D1984" i="1"/>
  <c r="C1984" i="1"/>
  <c r="C1982" i="1"/>
  <c r="C1980" i="1"/>
  <c r="C1978" i="1"/>
  <c r="D1976" i="1"/>
  <c r="C1974" i="1"/>
  <c r="C1972" i="1"/>
  <c r="D1972" i="1"/>
  <c r="D1968" i="1"/>
  <c r="C1968" i="1"/>
  <c r="C1966" i="1"/>
  <c r="C1964" i="1"/>
  <c r="C1962" i="1"/>
  <c r="D1960" i="1"/>
  <c r="C1958" i="1"/>
  <c r="C1956" i="1"/>
  <c r="D1956" i="1"/>
  <c r="D1952" i="1"/>
  <c r="C1952" i="1"/>
  <c r="C1950" i="1"/>
  <c r="C1948" i="1"/>
  <c r="C1946" i="1"/>
  <c r="D1944" i="1"/>
  <c r="C1942" i="1"/>
  <c r="C1940" i="1"/>
  <c r="D1940" i="1"/>
  <c r="D1936" i="1"/>
  <c r="C1936" i="1"/>
  <c r="C1934" i="1"/>
  <c r="C1932" i="1"/>
  <c r="C1930" i="1"/>
  <c r="D1928" i="1"/>
  <c r="C1926" i="1"/>
  <c r="C1924" i="1"/>
  <c r="D1924" i="1"/>
  <c r="C1920" i="1"/>
  <c r="C1916" i="1"/>
  <c r="D1916" i="1"/>
  <c r="C1912" i="1"/>
  <c r="C1908" i="1"/>
  <c r="D1908" i="1"/>
  <c r="C1904" i="1"/>
  <c r="C1900" i="1"/>
  <c r="D1900" i="1"/>
  <c r="C1896" i="1"/>
  <c r="C1892" i="1"/>
  <c r="D1892" i="1"/>
  <c r="C1888" i="1"/>
  <c r="C1884" i="1"/>
  <c r="D1884" i="1"/>
  <c r="C1880" i="1"/>
  <c r="C1876" i="1"/>
  <c r="D1876" i="1"/>
  <c r="C1872" i="1"/>
  <c r="D1868" i="1"/>
  <c r="C1864" i="1"/>
  <c r="D1860" i="1"/>
  <c r="C1856" i="1"/>
  <c r="D1852" i="1"/>
  <c r="C1848" i="1"/>
  <c r="D1844" i="1"/>
  <c r="C1840" i="1"/>
  <c r="D1836" i="1"/>
  <c r="C1832" i="1"/>
  <c r="D1828" i="1"/>
  <c r="C1824" i="1"/>
  <c r="D1820" i="1"/>
  <c r="C1816" i="1"/>
  <c r="D1812" i="1"/>
  <c r="C1808" i="1"/>
  <c r="D1804" i="1"/>
  <c r="C1800" i="1"/>
  <c r="D1796" i="1"/>
  <c r="C1792" i="1"/>
  <c r="C1790" i="1"/>
  <c r="C1788" i="1"/>
  <c r="C1786" i="1"/>
  <c r="D1784" i="1"/>
  <c r="C1782" i="1"/>
  <c r="C1780" i="1"/>
  <c r="D1780" i="1"/>
  <c r="D1776" i="1"/>
  <c r="C1776" i="1"/>
  <c r="C1774" i="1"/>
  <c r="C1772" i="1"/>
  <c r="C1770" i="1"/>
  <c r="D1768" i="1"/>
  <c r="C1766" i="1"/>
  <c r="C1764" i="1"/>
  <c r="D1764" i="1"/>
  <c r="D1760" i="1"/>
  <c r="C1760" i="1"/>
  <c r="C1758" i="1"/>
  <c r="C1756" i="1"/>
  <c r="C1754" i="1"/>
  <c r="D1752" i="1"/>
  <c r="C1750" i="1"/>
  <c r="C1748" i="1"/>
  <c r="D1748" i="1"/>
  <c r="D1744" i="1"/>
  <c r="C1744" i="1"/>
  <c r="C1742" i="1"/>
  <c r="C1740" i="1"/>
  <c r="C1738" i="1"/>
  <c r="D1736" i="1"/>
  <c r="C1734" i="1"/>
  <c r="C1732" i="1"/>
  <c r="D1732" i="1"/>
  <c r="D1728" i="1"/>
  <c r="C1728" i="1"/>
  <c r="C1726" i="1"/>
  <c r="C1724" i="1"/>
  <c r="C1722" i="1"/>
  <c r="D1720" i="1"/>
  <c r="C1718" i="1"/>
  <c r="C1716" i="1"/>
  <c r="D1716" i="1"/>
  <c r="D1712" i="1"/>
  <c r="C1712" i="1"/>
  <c r="C1710" i="1"/>
  <c r="C1708" i="1"/>
  <c r="C1706" i="1"/>
  <c r="D1704" i="1"/>
  <c r="C1702" i="1"/>
  <c r="C1700" i="1"/>
  <c r="D1700" i="1"/>
  <c r="D1696" i="1"/>
  <c r="C1696" i="1"/>
  <c r="C1694" i="1"/>
  <c r="C1692" i="1"/>
  <c r="C1690" i="1"/>
  <c r="D1688" i="1"/>
  <c r="C1686" i="1"/>
  <c r="C1684" i="1"/>
  <c r="D1684" i="1"/>
  <c r="D1680" i="1"/>
  <c r="C1680" i="1"/>
  <c r="C1678" i="1"/>
  <c r="C1676" i="1"/>
  <c r="C1674" i="1"/>
  <c r="D1672" i="1"/>
  <c r="C1670" i="1"/>
  <c r="C1668" i="1"/>
  <c r="D1668" i="1"/>
  <c r="D1664" i="1"/>
  <c r="C1664" i="1"/>
  <c r="C1662" i="1"/>
  <c r="C1660" i="1"/>
  <c r="C1658" i="1"/>
  <c r="D1656" i="1"/>
  <c r="C1654" i="1"/>
  <c r="C1652" i="1"/>
  <c r="D1652" i="1"/>
  <c r="D1648" i="1"/>
  <c r="C1648" i="1"/>
  <c r="C1646" i="1"/>
  <c r="C1644" i="1"/>
  <c r="C1642" i="1"/>
  <c r="D1640" i="1"/>
  <c r="C1638" i="1"/>
  <c r="C1636" i="1"/>
  <c r="D1636" i="1"/>
  <c r="D1632" i="1"/>
  <c r="C1632" i="1"/>
  <c r="C1630" i="1"/>
  <c r="C1628" i="1"/>
  <c r="C1626" i="1"/>
  <c r="D1624" i="1"/>
  <c r="C1622" i="1"/>
  <c r="C1620" i="1"/>
  <c r="D1620" i="1"/>
  <c r="D1616" i="1"/>
  <c r="C1616" i="1"/>
  <c r="C1614" i="1"/>
  <c r="C1612" i="1"/>
  <c r="C1610" i="1"/>
  <c r="D1608" i="1"/>
  <c r="C1606" i="1"/>
  <c r="C1604" i="1"/>
  <c r="D1604" i="1"/>
  <c r="D1600" i="1"/>
  <c r="C1600" i="1"/>
  <c r="C1598" i="1"/>
  <c r="C1596" i="1"/>
  <c r="C1594" i="1"/>
  <c r="D1592" i="1"/>
  <c r="D1588" i="1"/>
  <c r="C1588" i="1"/>
  <c r="D1584" i="1"/>
  <c r="D1580" i="1"/>
  <c r="C1580" i="1"/>
  <c r="D1576" i="1"/>
  <c r="D1572" i="1"/>
  <c r="C1572" i="1"/>
  <c r="D1568" i="1"/>
  <c r="D1564" i="1"/>
  <c r="C1564" i="1"/>
  <c r="D1560" i="1"/>
  <c r="D1556" i="1"/>
  <c r="C1556" i="1"/>
  <c r="D1552" i="1"/>
  <c r="D1548" i="1"/>
  <c r="C1548" i="1"/>
  <c r="D1544" i="1"/>
  <c r="D1540" i="1"/>
  <c r="C1540" i="1"/>
  <c r="D1536" i="1"/>
  <c r="D1532" i="1"/>
  <c r="C1532" i="1"/>
  <c r="D1528" i="1"/>
  <c r="D1524" i="1"/>
  <c r="C1524" i="1"/>
  <c r="D1520" i="1"/>
  <c r="D1516" i="1"/>
  <c r="C1516" i="1"/>
  <c r="D1512" i="1"/>
  <c r="D1508" i="1"/>
  <c r="C1508" i="1"/>
  <c r="D1504" i="1"/>
  <c r="D1500" i="1"/>
  <c r="C1500" i="1"/>
  <c r="D1496" i="1"/>
  <c r="D1492" i="1"/>
  <c r="C1492" i="1"/>
  <c r="D1488" i="1"/>
  <c r="C1486" i="1"/>
  <c r="C1484" i="1"/>
  <c r="D1484" i="1"/>
  <c r="C1482" i="1"/>
  <c r="C1480" i="1"/>
  <c r="D1480" i="1"/>
  <c r="D1478" i="1"/>
  <c r="C1478" i="1"/>
  <c r="C1476" i="1"/>
  <c r="D1474" i="1"/>
  <c r="C1474" i="1"/>
  <c r="D1472" i="1"/>
  <c r="C1470" i="1"/>
  <c r="C1468" i="1"/>
  <c r="D1468" i="1"/>
  <c r="C1466" i="1"/>
  <c r="C1464" i="1"/>
  <c r="D1464" i="1"/>
  <c r="D1462" i="1"/>
  <c r="C1462" i="1"/>
  <c r="C1460" i="1"/>
  <c r="D1458" i="1"/>
  <c r="C1458" i="1"/>
  <c r="C1456" i="1"/>
  <c r="D1456" i="1"/>
  <c r="D1454" i="1"/>
  <c r="C1454" i="1"/>
  <c r="D1452" i="1"/>
  <c r="C1450" i="1"/>
  <c r="D1448" i="1"/>
  <c r="C1446" i="1"/>
  <c r="C1444" i="1"/>
  <c r="D1444" i="1"/>
  <c r="D1442" i="1"/>
  <c r="C1442" i="1"/>
  <c r="C1440" i="1"/>
  <c r="D1440" i="1"/>
  <c r="D1438" i="1"/>
  <c r="C1438" i="1"/>
  <c r="D1436" i="1"/>
  <c r="C1434" i="1"/>
  <c r="D1432" i="1"/>
  <c r="C1430" i="1"/>
  <c r="C1428" i="1"/>
  <c r="D1428" i="1"/>
  <c r="D1426" i="1"/>
  <c r="C1426" i="1"/>
  <c r="C1424" i="1"/>
  <c r="D1424" i="1"/>
  <c r="D1422" i="1"/>
  <c r="C1422" i="1"/>
  <c r="D1420" i="1"/>
  <c r="C1418" i="1"/>
  <c r="D1416" i="1"/>
  <c r="C1414" i="1"/>
  <c r="C1412" i="1"/>
  <c r="D1412" i="1"/>
  <c r="D1410" i="1"/>
  <c r="C1410" i="1"/>
  <c r="C1408" i="1"/>
  <c r="D1408" i="1"/>
  <c r="D1406" i="1"/>
  <c r="C1406" i="1"/>
  <c r="C1402" i="1"/>
  <c r="C1398" i="1"/>
  <c r="D1394" i="1"/>
  <c r="D1390" i="1"/>
  <c r="C1386" i="1"/>
  <c r="C1382" i="1"/>
  <c r="D1378" i="1"/>
  <c r="D1374" i="1"/>
  <c r="C1370" i="1"/>
  <c r="C1366" i="1"/>
  <c r="D1362" i="1"/>
  <c r="D1358" i="1"/>
  <c r="C1354" i="1"/>
  <c r="C1350" i="1"/>
  <c r="C1348" i="1"/>
  <c r="C1344" i="1"/>
  <c r="D1340" i="1"/>
  <c r="D1336" i="1"/>
  <c r="C1332" i="1"/>
  <c r="D1328" i="1"/>
  <c r="C1324" i="1"/>
  <c r="D1320" i="1"/>
  <c r="C1316" i="1"/>
  <c r="D1312" i="1"/>
  <c r="C1308" i="1"/>
  <c r="D1304" i="1"/>
  <c r="C1300" i="1"/>
  <c r="D1296" i="1"/>
  <c r="C1292" i="1"/>
  <c r="D1288" i="1"/>
  <c r="C1282" i="1"/>
  <c r="D1278" i="1"/>
  <c r="D1274" i="1"/>
  <c r="C1272" i="1"/>
  <c r="D1268" i="1"/>
  <c r="C1268" i="1"/>
  <c r="C1264" i="1"/>
  <c r="D1258" i="1"/>
  <c r="C1254" i="1"/>
  <c r="D1254" i="1"/>
  <c r="D1250" i="1"/>
  <c r="C1246" i="1"/>
  <c r="D1246" i="1"/>
  <c r="D1244" i="1"/>
  <c r="C1244" i="1"/>
  <c r="C1240" i="1"/>
  <c r="D1236" i="1"/>
  <c r="C1236" i="1"/>
  <c r="C1232" i="1"/>
  <c r="D1228" i="1"/>
  <c r="C1228" i="1"/>
  <c r="C1224" i="1"/>
  <c r="D1220" i="1"/>
  <c r="C1220" i="1"/>
  <c r="C1216" i="1"/>
  <c r="D1212" i="1"/>
  <c r="C1212" i="1"/>
  <c r="C1208" i="1"/>
  <c r="D1204" i="1"/>
  <c r="C1204" i="1"/>
  <c r="C1200" i="1"/>
  <c r="D1196" i="1"/>
  <c r="C1196" i="1"/>
  <c r="C1192" i="1"/>
  <c r="D1186" i="1"/>
  <c r="C1182" i="1"/>
  <c r="D1182" i="1"/>
  <c r="D1178" i="1"/>
  <c r="C1174" i="1"/>
  <c r="D1174" i="1"/>
  <c r="D1170" i="1"/>
  <c r="C1166" i="1"/>
  <c r="D1166" i="1"/>
  <c r="D1162" i="1"/>
  <c r="C1158" i="1"/>
  <c r="D1158" i="1"/>
  <c r="D1154" i="1"/>
  <c r="C1150" i="1"/>
  <c r="D1150" i="1"/>
  <c r="D1146" i="1"/>
  <c r="C1142" i="1"/>
  <c r="D1142" i="1"/>
  <c r="C1136" i="1"/>
  <c r="D1108" i="1"/>
  <c r="C1108" i="1"/>
  <c r="D1106" i="1"/>
  <c r="C1104" i="1"/>
  <c r="C1102" i="1"/>
  <c r="D1102" i="1"/>
  <c r="D1100" i="1"/>
  <c r="C1100" i="1"/>
  <c r="D1098" i="1"/>
  <c r="C1096" i="1"/>
  <c r="C1094" i="1"/>
  <c r="D1094" i="1"/>
  <c r="D1092" i="1"/>
  <c r="C1092" i="1"/>
  <c r="D1090" i="1"/>
  <c r="C1088" i="1"/>
  <c r="C1086" i="1"/>
  <c r="D1086" i="1"/>
  <c r="D1084" i="1"/>
  <c r="C1084" i="1"/>
  <c r="D1082" i="1"/>
  <c r="C1080" i="1"/>
  <c r="C1078" i="1"/>
  <c r="D1078" i="1"/>
  <c r="D1076" i="1"/>
  <c r="C1076" i="1"/>
  <c r="D1074" i="1"/>
  <c r="C1072" i="1"/>
  <c r="C1070" i="1"/>
  <c r="D1070" i="1"/>
  <c r="D1068" i="1"/>
  <c r="C1068" i="1"/>
  <c r="D1066" i="1"/>
  <c r="C1064" i="1"/>
  <c r="C1062" i="1"/>
  <c r="D1062" i="1"/>
  <c r="D1060" i="1"/>
  <c r="C1060" i="1"/>
  <c r="D1058" i="1"/>
  <c r="C1056" i="1"/>
  <c r="C1054" i="1"/>
  <c r="D1054" i="1"/>
  <c r="D1052" i="1"/>
  <c r="C1052" i="1"/>
  <c r="D1050" i="1"/>
  <c r="C1048" i="1"/>
  <c r="C1046" i="1"/>
  <c r="D1046" i="1"/>
  <c r="D1044" i="1"/>
  <c r="C1044" i="1"/>
  <c r="D1042" i="1"/>
  <c r="C1040" i="1"/>
  <c r="D800" i="1"/>
  <c r="C800" i="1"/>
  <c r="C798" i="1"/>
  <c r="D798" i="1"/>
  <c r="C796" i="1"/>
  <c r="D794" i="1"/>
  <c r="C792" i="1"/>
  <c r="D790" i="1"/>
  <c r="D788" i="1"/>
  <c r="C788" i="1"/>
  <c r="C786" i="1"/>
  <c r="D786" i="1"/>
  <c r="D784" i="1"/>
  <c r="C784" i="1"/>
  <c r="D782" i="1"/>
  <c r="C780" i="1"/>
  <c r="C778" i="1"/>
  <c r="D778" i="1"/>
  <c r="D776" i="1"/>
  <c r="C776" i="1"/>
  <c r="D774" i="1"/>
  <c r="C772" i="1"/>
  <c r="C770" i="1"/>
  <c r="D770" i="1"/>
  <c r="D768" i="1"/>
  <c r="C768" i="1"/>
  <c r="D766" i="1"/>
  <c r="C764" i="1"/>
  <c r="C762" i="1"/>
  <c r="D762" i="1"/>
  <c r="D760" i="1"/>
  <c r="C760" i="1"/>
  <c r="D758" i="1"/>
  <c r="C756" i="1"/>
  <c r="C754" i="1"/>
  <c r="D754" i="1"/>
  <c r="D752" i="1"/>
  <c r="C752" i="1"/>
  <c r="D750" i="1"/>
  <c r="C750" i="1"/>
  <c r="C748" i="1"/>
  <c r="D748" i="1"/>
  <c r="C746" i="1"/>
  <c r="D746" i="1"/>
  <c r="D744" i="1"/>
  <c r="C744" i="1"/>
  <c r="D742" i="1"/>
  <c r="C742" i="1"/>
  <c r="C740" i="1"/>
  <c r="D740" i="1"/>
  <c r="C738" i="1"/>
  <c r="D738" i="1"/>
  <c r="D736" i="1"/>
  <c r="C736" i="1"/>
  <c r="D734" i="1"/>
  <c r="C734" i="1"/>
  <c r="C732" i="1"/>
  <c r="D732" i="1"/>
  <c r="C730" i="1"/>
  <c r="D730" i="1"/>
  <c r="D728" i="1"/>
  <c r="C728" i="1"/>
  <c r="D726" i="1"/>
  <c r="C726" i="1"/>
  <c r="C724" i="1"/>
  <c r="D724" i="1"/>
  <c r="C722" i="1"/>
  <c r="D722" i="1"/>
  <c r="D720" i="1"/>
  <c r="C720" i="1"/>
  <c r="D718" i="1"/>
  <c r="C718" i="1"/>
  <c r="C716" i="1"/>
  <c r="D716" i="1"/>
  <c r="C714" i="1"/>
  <c r="D714" i="1"/>
  <c r="D712" i="1"/>
  <c r="C712" i="1"/>
  <c r="D710" i="1"/>
  <c r="C710" i="1"/>
  <c r="C708" i="1"/>
  <c r="D708" i="1"/>
  <c r="C706" i="1"/>
  <c r="D706" i="1"/>
  <c r="D704" i="1"/>
  <c r="C704" i="1"/>
  <c r="D702" i="1"/>
  <c r="C702" i="1"/>
  <c r="C700" i="1"/>
  <c r="D700" i="1"/>
  <c r="C698" i="1"/>
  <c r="D698" i="1"/>
  <c r="C696" i="1"/>
  <c r="C694" i="1"/>
  <c r="C692" i="1"/>
  <c r="C690" i="1"/>
  <c r="D690" i="1"/>
  <c r="C686" i="1"/>
  <c r="C684" i="1"/>
  <c r="D682" i="1"/>
  <c r="C682" i="1"/>
  <c r="C680" i="1"/>
  <c r="C678" i="1"/>
  <c r="C676" i="1"/>
  <c r="C674" i="1"/>
  <c r="C672" i="1"/>
  <c r="C670" i="1"/>
  <c r="C668" i="1"/>
  <c r="D666" i="1"/>
  <c r="C666" i="1"/>
  <c r="C664" i="1"/>
  <c r="C660" i="1"/>
  <c r="C658" i="1"/>
  <c r="D658" i="1"/>
  <c r="C656" i="1"/>
  <c r="C654" i="1"/>
  <c r="C652" i="1"/>
  <c r="D650" i="1"/>
  <c r="C648" i="1"/>
  <c r="C646" i="1"/>
  <c r="C644" i="1"/>
  <c r="C642" i="1"/>
  <c r="D642" i="1"/>
  <c r="C640" i="1"/>
  <c r="C638" i="1"/>
  <c r="D634" i="1"/>
  <c r="C634" i="1"/>
  <c r="C632" i="1"/>
  <c r="C630" i="1"/>
  <c r="C628" i="1"/>
  <c r="C626" i="1"/>
  <c r="D626" i="1"/>
  <c r="C622" i="1"/>
  <c r="C620" i="1"/>
  <c r="D618" i="1"/>
  <c r="C618" i="1"/>
  <c r="C616" i="1"/>
  <c r="C614" i="1"/>
  <c r="D614" i="1"/>
  <c r="D610" i="1"/>
  <c r="C610" i="1"/>
  <c r="C608" i="1"/>
  <c r="C606" i="1"/>
  <c r="D606" i="1"/>
  <c r="C604" i="1"/>
  <c r="D602" i="1"/>
  <c r="C600" i="1"/>
  <c r="C598" i="1"/>
  <c r="D598" i="1"/>
  <c r="C596" i="1"/>
  <c r="D594" i="1"/>
  <c r="C594" i="1"/>
  <c r="C592" i="1"/>
  <c r="C590" i="1"/>
  <c r="C588" i="1"/>
  <c r="D586" i="1"/>
  <c r="C586" i="1"/>
  <c r="C584" i="1"/>
  <c r="C582" i="1"/>
  <c r="D582" i="1"/>
  <c r="D578" i="1"/>
  <c r="C578" i="1"/>
  <c r="C576" i="1"/>
  <c r="C574" i="1"/>
  <c r="D574" i="1"/>
  <c r="C572" i="1"/>
  <c r="D570" i="1"/>
  <c r="C568" i="1"/>
  <c r="C566" i="1"/>
  <c r="D566" i="1"/>
  <c r="C564" i="1"/>
  <c r="D562" i="1"/>
  <c r="C562" i="1"/>
  <c r="C560" i="1"/>
  <c r="C558" i="1"/>
  <c r="C556" i="1"/>
  <c r="D554" i="1"/>
  <c r="C554" i="1"/>
  <c r="C552" i="1"/>
  <c r="C550" i="1"/>
  <c r="D550" i="1"/>
  <c r="D546" i="1"/>
  <c r="C546" i="1"/>
  <c r="C544" i="1"/>
  <c r="D540" i="1"/>
  <c r="C540" i="1"/>
  <c r="C536" i="1"/>
  <c r="D536" i="1"/>
  <c r="D532" i="1"/>
  <c r="C532" i="1"/>
  <c r="C528" i="1"/>
  <c r="D528" i="1"/>
  <c r="D524" i="1"/>
  <c r="C524" i="1"/>
  <c r="C520" i="1"/>
  <c r="D520" i="1"/>
  <c r="D516" i="1"/>
  <c r="C516" i="1"/>
  <c r="C512" i="1"/>
  <c r="D512" i="1"/>
  <c r="D508" i="1"/>
  <c r="C508" i="1"/>
  <c r="C504" i="1"/>
  <c r="D504" i="1"/>
  <c r="D500" i="1"/>
  <c r="C500" i="1"/>
  <c r="C496" i="1"/>
  <c r="D496" i="1"/>
  <c r="D492" i="1"/>
  <c r="C492" i="1"/>
  <c r="C488" i="1"/>
  <c r="D488" i="1"/>
  <c r="C486" i="1"/>
  <c r="D484" i="1"/>
  <c r="C484" i="1"/>
  <c r="C482" i="1"/>
  <c r="C480" i="1"/>
  <c r="C478" i="1"/>
  <c r="D476" i="1"/>
  <c r="C476" i="1"/>
  <c r="C474" i="1"/>
  <c r="C472" i="1"/>
  <c r="D472" i="1"/>
  <c r="D468" i="1"/>
  <c r="C468" i="1"/>
  <c r="C466" i="1"/>
  <c r="C464" i="1"/>
  <c r="D464" i="1"/>
  <c r="C462" i="1"/>
  <c r="D460" i="1"/>
  <c r="C458" i="1"/>
  <c r="C456" i="1"/>
  <c r="D456" i="1"/>
  <c r="C454" i="1"/>
  <c r="D452" i="1"/>
  <c r="C452" i="1"/>
  <c r="C450" i="1"/>
  <c r="C448" i="1"/>
  <c r="C446" i="1"/>
  <c r="D444" i="1"/>
  <c r="C444" i="1"/>
  <c r="C442" i="1"/>
  <c r="C440" i="1"/>
  <c r="D440" i="1"/>
  <c r="D436" i="1"/>
  <c r="C436" i="1"/>
  <c r="C434" i="1"/>
  <c r="C432" i="1"/>
  <c r="D432" i="1"/>
  <c r="C430" i="1"/>
  <c r="D428" i="1"/>
  <c r="C426" i="1"/>
  <c r="C424" i="1"/>
  <c r="D424" i="1"/>
  <c r="D420" i="1"/>
  <c r="C420" i="1"/>
  <c r="C416" i="1"/>
  <c r="D412" i="1"/>
  <c r="C412" i="1"/>
  <c r="C402" i="1"/>
  <c r="C398" i="1"/>
  <c r="C394" i="1"/>
  <c r="C390" i="1"/>
  <c r="D388" i="1"/>
  <c r="C388" i="1"/>
  <c r="C384" i="1"/>
  <c r="C380" i="1"/>
  <c r="D380" i="1"/>
  <c r="D370" i="1"/>
  <c r="C370" i="1"/>
  <c r="C366" i="1"/>
  <c r="D366" i="1"/>
  <c r="C362" i="1"/>
  <c r="D362" i="1"/>
  <c r="C358" i="1"/>
  <c r="D354" i="1"/>
  <c r="C354" i="1"/>
  <c r="C350" i="1"/>
  <c r="D350" i="1"/>
  <c r="D346" i="1"/>
  <c r="C346" i="1"/>
  <c r="C342" i="1"/>
  <c r="D342" i="1"/>
  <c r="D338" i="1"/>
  <c r="C338" i="1"/>
  <c r="C334" i="1"/>
  <c r="D334" i="1"/>
  <c r="D330" i="1"/>
  <c r="C330" i="1"/>
  <c r="C326" i="1"/>
  <c r="D326" i="1"/>
  <c r="D322" i="1"/>
  <c r="C322" i="1"/>
  <c r="C318" i="1"/>
  <c r="D318" i="1"/>
  <c r="D314" i="1"/>
  <c r="C314" i="1"/>
  <c r="C310" i="1"/>
  <c r="D310" i="1"/>
  <c r="D306" i="1"/>
  <c r="C306" i="1"/>
  <c r="C302" i="1"/>
  <c r="D302" i="1"/>
  <c r="D298" i="1"/>
  <c r="C298" i="1"/>
  <c r="C294" i="1"/>
  <c r="D294" i="1"/>
  <c r="D290" i="1"/>
  <c r="C290" i="1"/>
  <c r="C286" i="1"/>
  <c r="D286" i="1"/>
  <c r="D282" i="1"/>
  <c r="C282" i="1"/>
  <c r="C278" i="1"/>
  <c r="D278" i="1"/>
  <c r="D274" i="1"/>
  <c r="C274" i="1"/>
  <c r="C270" i="1"/>
  <c r="D270" i="1"/>
  <c r="D266" i="1"/>
  <c r="C266" i="1"/>
  <c r="C262" i="1"/>
  <c r="D262" i="1"/>
  <c r="D258" i="1"/>
  <c r="C258" i="1"/>
  <c r="C256" i="1"/>
  <c r="D256" i="1"/>
  <c r="D252" i="1"/>
  <c r="C252" i="1"/>
  <c r="D248" i="1"/>
  <c r="C248" i="1"/>
  <c r="C244" i="1"/>
  <c r="D244" i="1"/>
  <c r="C240" i="1"/>
  <c r="D240" i="1"/>
  <c r="D236" i="1"/>
  <c r="C236" i="1"/>
  <c r="C232" i="1"/>
  <c r="D228" i="1"/>
  <c r="C228" i="1"/>
  <c r="C224" i="1"/>
  <c r="C220" i="1"/>
  <c r="C216" i="1"/>
  <c r="C212" i="1"/>
  <c r="C208" i="1"/>
  <c r="C1394" i="1"/>
  <c r="C1390" i="1"/>
  <c r="C1378" i="1"/>
  <c r="C1374" i="1"/>
  <c r="C1362" i="1"/>
  <c r="C1358" i="1"/>
  <c r="D1348" i="1"/>
  <c r="D1344" i="1"/>
  <c r="D1332" i="1"/>
  <c r="D1324" i="1"/>
  <c r="D1316" i="1"/>
  <c r="D1308" i="1"/>
  <c r="D1300" i="1"/>
  <c r="D1292" i="1"/>
  <c r="C1278" i="1"/>
  <c r="C782" i="1"/>
  <c r="D780" i="1"/>
  <c r="C774" i="1"/>
  <c r="D772" i="1"/>
  <c r="C766" i="1"/>
  <c r="D764" i="1"/>
  <c r="C758" i="1"/>
  <c r="D756" i="1"/>
  <c r="C688" i="1"/>
  <c r="C662" i="1"/>
  <c r="C636" i="1"/>
  <c r="C612" i="1"/>
  <c r="D590" i="1"/>
  <c r="C570" i="1"/>
  <c r="C548" i="1"/>
  <c r="C470" i="1"/>
  <c r="D448" i="1"/>
  <c r="C428" i="1"/>
  <c r="C406" i="1"/>
  <c r="D384" i="1"/>
  <c r="D1404" i="1"/>
  <c r="D1400" i="1"/>
  <c r="C1396" i="1"/>
  <c r="C1392" i="1"/>
  <c r="D1388" i="1"/>
  <c r="D1384" i="1"/>
  <c r="C1380" i="1"/>
  <c r="C1376" i="1"/>
  <c r="D1372" i="1"/>
  <c r="D1368" i="1"/>
  <c r="C1364" i="1"/>
  <c r="C1360" i="1"/>
  <c r="D1356" i="1"/>
  <c r="D1352" i="1"/>
  <c r="D1346" i="1"/>
  <c r="D1342" i="1"/>
  <c r="C1338" i="1"/>
  <c r="D1334" i="1"/>
  <c r="C1330" i="1"/>
  <c r="D1326" i="1"/>
  <c r="C1322" i="1"/>
  <c r="D1318" i="1"/>
  <c r="C1314" i="1"/>
  <c r="D1310" i="1"/>
  <c r="C1306" i="1"/>
  <c r="D1302" i="1"/>
  <c r="C1298" i="1"/>
  <c r="D1294" i="1"/>
  <c r="C1290" i="1"/>
  <c r="D1286" i="1"/>
  <c r="C1284" i="1"/>
  <c r="D1280" i="1"/>
  <c r="C1276" i="1"/>
  <c r="C1270" i="1"/>
  <c r="D1270" i="1"/>
  <c r="D1266" i="1"/>
  <c r="C1262" i="1"/>
  <c r="D1262" i="1"/>
  <c r="D1260" i="1"/>
  <c r="C1260" i="1"/>
  <c r="C1256" i="1"/>
  <c r="D1252" i="1"/>
  <c r="C1252" i="1"/>
  <c r="C1248" i="1"/>
  <c r="D1242" i="1"/>
  <c r="C1238" i="1"/>
  <c r="D1238" i="1"/>
  <c r="D1234" i="1"/>
  <c r="C1230" i="1"/>
  <c r="D1230" i="1"/>
  <c r="D1226" i="1"/>
  <c r="C1222" i="1"/>
  <c r="D1222" i="1"/>
  <c r="D1218" i="1"/>
  <c r="C1214" i="1"/>
  <c r="D1214" i="1"/>
  <c r="D1210" i="1"/>
  <c r="C1206" i="1"/>
  <c r="D1206" i="1"/>
  <c r="D1202" i="1"/>
  <c r="C1198" i="1"/>
  <c r="D1198" i="1"/>
  <c r="D1194" i="1"/>
  <c r="C1190" i="1"/>
  <c r="D1190" i="1"/>
  <c r="D1188" i="1"/>
  <c r="C1188" i="1"/>
  <c r="C1184" i="1"/>
  <c r="D1180" i="1"/>
  <c r="C1180" i="1"/>
  <c r="C1176" i="1"/>
  <c r="D1172" i="1"/>
  <c r="C1172" i="1"/>
  <c r="C1168" i="1"/>
  <c r="D1164" i="1"/>
  <c r="C1164" i="1"/>
  <c r="C1160" i="1"/>
  <c r="D1156" i="1"/>
  <c r="C1156" i="1"/>
  <c r="C1152" i="1"/>
  <c r="D1148" i="1"/>
  <c r="C1148" i="1"/>
  <c r="C1144" i="1"/>
  <c r="D1140" i="1"/>
  <c r="C1140" i="1"/>
  <c r="D1138" i="1"/>
  <c r="C1134" i="1"/>
  <c r="D1134" i="1"/>
  <c r="D1132" i="1"/>
  <c r="C1132" i="1"/>
  <c r="D1130" i="1"/>
  <c r="C1128" i="1"/>
  <c r="C1126" i="1"/>
  <c r="D1126" i="1"/>
  <c r="D1124" i="1"/>
  <c r="C1124" i="1"/>
  <c r="D1122" i="1"/>
  <c r="C1120" i="1"/>
  <c r="C1118" i="1"/>
  <c r="D1118" i="1"/>
  <c r="D1116" i="1"/>
  <c r="C1116" i="1"/>
  <c r="D1114" i="1"/>
  <c r="C1112" i="1"/>
  <c r="C1110" i="1"/>
  <c r="D1110" i="1"/>
  <c r="C1038" i="1"/>
  <c r="D1038" i="1"/>
  <c r="D1036" i="1"/>
  <c r="C1036" i="1"/>
  <c r="D1034" i="1"/>
  <c r="C1032" i="1"/>
  <c r="C1030" i="1"/>
  <c r="D1030" i="1"/>
  <c r="D1028" i="1"/>
  <c r="C1028" i="1"/>
  <c r="D1026" i="1"/>
  <c r="C1024" i="1"/>
  <c r="C1022" i="1"/>
  <c r="D1022" i="1"/>
  <c r="D1020" i="1"/>
  <c r="C1020" i="1"/>
  <c r="D1018" i="1"/>
  <c r="C1016" i="1"/>
  <c r="C1014" i="1"/>
  <c r="D1014" i="1"/>
  <c r="D1012" i="1"/>
  <c r="C1012" i="1"/>
  <c r="D1010" i="1"/>
  <c r="C1008" i="1"/>
  <c r="C1006" i="1"/>
  <c r="D1006" i="1"/>
  <c r="D1004" i="1"/>
  <c r="C1004" i="1"/>
  <c r="D1002" i="1"/>
  <c r="C1000" i="1"/>
  <c r="C998" i="1"/>
  <c r="D998" i="1"/>
  <c r="D996" i="1"/>
  <c r="C996" i="1"/>
  <c r="D994" i="1"/>
  <c r="C992" i="1"/>
  <c r="C990" i="1"/>
  <c r="D990" i="1"/>
  <c r="D988" i="1"/>
  <c r="C988" i="1"/>
  <c r="D986" i="1"/>
  <c r="C984" i="1"/>
  <c r="C982" i="1"/>
  <c r="D982" i="1"/>
  <c r="D980" i="1"/>
  <c r="C980" i="1"/>
  <c r="D978" i="1"/>
  <c r="C976" i="1"/>
  <c r="C974" i="1"/>
  <c r="D974" i="1"/>
  <c r="D972" i="1"/>
  <c r="C972" i="1"/>
  <c r="D970" i="1"/>
  <c r="C968" i="1"/>
  <c r="C966" i="1"/>
  <c r="D966" i="1"/>
  <c r="D964" i="1"/>
  <c r="C964" i="1"/>
  <c r="D962" i="1"/>
  <c r="C960" i="1"/>
  <c r="C958" i="1"/>
  <c r="D958" i="1"/>
  <c r="D956" i="1"/>
  <c r="C956" i="1"/>
  <c r="D954" i="1"/>
  <c r="C952" i="1"/>
  <c r="C950" i="1"/>
  <c r="D950" i="1"/>
  <c r="D948" i="1"/>
  <c r="C948" i="1"/>
  <c r="D946" i="1"/>
  <c r="C944" i="1"/>
  <c r="C942" i="1"/>
  <c r="D942" i="1"/>
  <c r="D940" i="1"/>
  <c r="C940" i="1"/>
  <c r="D938" i="1"/>
  <c r="C936" i="1"/>
  <c r="C934" i="1"/>
  <c r="D934" i="1"/>
  <c r="D932" i="1"/>
  <c r="C932" i="1"/>
  <c r="D930" i="1"/>
  <c r="C928" i="1"/>
  <c r="C926" i="1"/>
  <c r="D926" i="1"/>
  <c r="D924" i="1"/>
  <c r="C924" i="1"/>
  <c r="D922" i="1"/>
  <c r="C920" i="1"/>
  <c r="C918" i="1"/>
  <c r="D918" i="1"/>
  <c r="D916" i="1"/>
  <c r="C916" i="1"/>
  <c r="D914" i="1"/>
  <c r="C912" i="1"/>
  <c r="C910" i="1"/>
  <c r="D910" i="1"/>
  <c r="D908" i="1"/>
  <c r="C908" i="1"/>
  <c r="D906" i="1"/>
  <c r="C904" i="1"/>
  <c r="C902" i="1"/>
  <c r="D902" i="1"/>
  <c r="D900" i="1"/>
  <c r="C900" i="1"/>
  <c r="D898" i="1"/>
  <c r="C896" i="1"/>
  <c r="C894" i="1"/>
  <c r="D894" i="1"/>
  <c r="D892" i="1"/>
  <c r="C892" i="1"/>
  <c r="D890" i="1"/>
  <c r="C888" i="1"/>
  <c r="C886" i="1"/>
  <c r="D886" i="1"/>
  <c r="D884" i="1"/>
  <c r="C884" i="1"/>
  <c r="D882" i="1"/>
  <c r="C880" i="1"/>
  <c r="C878" i="1"/>
  <c r="D878" i="1"/>
  <c r="D876" i="1"/>
  <c r="C876" i="1"/>
  <c r="D874" i="1"/>
  <c r="D872" i="1"/>
  <c r="C872" i="1"/>
  <c r="D870" i="1"/>
  <c r="D868" i="1"/>
  <c r="C868" i="1"/>
  <c r="D866" i="1"/>
  <c r="D864" i="1"/>
  <c r="C864" i="1"/>
  <c r="D862" i="1"/>
  <c r="D860" i="1"/>
  <c r="C860" i="1"/>
  <c r="D858" i="1"/>
  <c r="D856" i="1"/>
  <c r="C856" i="1"/>
  <c r="D854" i="1"/>
  <c r="D852" i="1"/>
  <c r="C852" i="1"/>
  <c r="D850" i="1"/>
  <c r="D848" i="1"/>
  <c r="C848" i="1"/>
  <c r="D846" i="1"/>
  <c r="D844" i="1"/>
  <c r="C844" i="1"/>
  <c r="D842" i="1"/>
  <c r="D840" i="1"/>
  <c r="C840" i="1"/>
  <c r="D838" i="1"/>
  <c r="D836" i="1"/>
  <c r="C836" i="1"/>
  <c r="D834" i="1"/>
  <c r="D832" i="1"/>
  <c r="C832" i="1"/>
  <c r="D830" i="1"/>
  <c r="D828" i="1"/>
  <c r="C828" i="1"/>
  <c r="D826" i="1"/>
  <c r="D824" i="1"/>
  <c r="C824" i="1"/>
  <c r="C822" i="1"/>
  <c r="D822" i="1"/>
  <c r="C820" i="1"/>
  <c r="C818" i="1"/>
  <c r="C816" i="1"/>
  <c r="D814" i="1"/>
  <c r="C812" i="1"/>
  <c r="D810" i="1"/>
  <c r="C808" i="1"/>
  <c r="D806" i="1"/>
  <c r="D804" i="1"/>
  <c r="C804" i="1"/>
  <c r="C802" i="1"/>
  <c r="D802" i="1"/>
  <c r="C422" i="1"/>
  <c r="C418" i="1"/>
  <c r="C414" i="1"/>
  <c r="C410" i="1"/>
  <c r="C408" i="1"/>
  <c r="D408" i="1"/>
  <c r="D404" i="1"/>
  <c r="C404" i="1"/>
  <c r="C400" i="1"/>
  <c r="D400" i="1"/>
  <c r="D396" i="1"/>
  <c r="C392" i="1"/>
  <c r="D392" i="1"/>
  <c r="C386" i="1"/>
  <c r="C382" i="1"/>
  <c r="C376" i="1"/>
  <c r="D376" i="1"/>
  <c r="D372" i="1"/>
  <c r="C372" i="1"/>
  <c r="C368" i="1"/>
  <c r="D368" i="1"/>
  <c r="C364" i="1"/>
  <c r="D360" i="1"/>
  <c r="C360" i="1"/>
  <c r="D356" i="1"/>
  <c r="C356" i="1"/>
  <c r="C352" i="1"/>
  <c r="D352" i="1"/>
  <c r="C348" i="1"/>
  <c r="C344" i="1"/>
  <c r="D344" i="1"/>
  <c r="D340" i="1"/>
  <c r="C340" i="1"/>
  <c r="C336" i="1"/>
  <c r="D336" i="1"/>
  <c r="D332" i="1"/>
  <c r="C332" i="1"/>
  <c r="C328" i="1"/>
  <c r="D328" i="1"/>
  <c r="D324" i="1"/>
  <c r="C324" i="1"/>
  <c r="C320" i="1"/>
  <c r="D320" i="1"/>
  <c r="D316" i="1"/>
  <c r="C316" i="1"/>
  <c r="C312" i="1"/>
  <c r="D312" i="1"/>
  <c r="D308" i="1"/>
  <c r="C308" i="1"/>
  <c r="C304" i="1"/>
  <c r="D304" i="1"/>
  <c r="D300" i="1"/>
  <c r="C300" i="1"/>
  <c r="C296" i="1"/>
  <c r="D296" i="1"/>
  <c r="D292" i="1"/>
  <c r="C292" i="1"/>
  <c r="C288" i="1"/>
  <c r="D288" i="1"/>
  <c r="D284" i="1"/>
  <c r="C284" i="1"/>
  <c r="C280" i="1"/>
  <c r="D280" i="1"/>
  <c r="D276" i="1"/>
  <c r="C276" i="1"/>
  <c r="C272" i="1"/>
  <c r="D272" i="1"/>
  <c r="D268" i="1"/>
  <c r="C268" i="1"/>
  <c r="C264" i="1"/>
  <c r="D264" i="1"/>
  <c r="D260" i="1"/>
  <c r="C260" i="1"/>
  <c r="D254" i="1"/>
  <c r="C254" i="1"/>
  <c r="C250" i="1"/>
  <c r="D250" i="1"/>
  <c r="C246" i="1"/>
  <c r="D246" i="1"/>
  <c r="D242" i="1"/>
  <c r="C242" i="1"/>
  <c r="D238" i="1"/>
  <c r="C238" i="1"/>
  <c r="C234" i="1"/>
  <c r="D234" i="1"/>
  <c r="C230" i="1"/>
  <c r="C226" i="1"/>
  <c r="C222" i="1"/>
  <c r="C218" i="1"/>
  <c r="C214" i="1"/>
  <c r="C210" i="1"/>
  <c r="D206" i="1"/>
  <c r="D255" i="1"/>
  <c r="C253" i="1"/>
  <c r="C251" i="1"/>
  <c r="D247" i="1"/>
  <c r="C245" i="1"/>
  <c r="C243" i="1"/>
  <c r="D239" i="1"/>
  <c r="C237" i="1"/>
  <c r="C235" i="1"/>
  <c r="C227" i="1"/>
  <c r="C225" i="1"/>
  <c r="C223" i="1"/>
  <c r="C221" i="1"/>
  <c r="C219" i="1"/>
  <c r="C217" i="1"/>
  <c r="C205" i="1"/>
  <c r="D208" i="1"/>
  <c r="D232" i="1"/>
  <c r="D224" i="1"/>
  <c r="D212" i="1"/>
  <c r="D220" i="1"/>
  <c r="D231" i="1"/>
  <c r="D230" i="1"/>
  <c r="D227" i="1"/>
  <c r="D226" i="1"/>
  <c r="D223" i="1"/>
  <c r="D222" i="1"/>
  <c r="D219" i="1"/>
  <c r="D218" i="1"/>
  <c r="D215" i="1"/>
  <c r="D214" i="1"/>
  <c r="D211" i="1"/>
  <c r="D210" i="1"/>
  <c r="D207" i="1"/>
  <c r="D4985" i="1"/>
  <c r="D4977" i="1"/>
  <c r="D4969" i="1"/>
  <c r="D4967" i="1"/>
  <c r="D4998" i="1"/>
  <c r="C4993" i="1"/>
  <c r="D4990" i="1"/>
  <c r="D4982" i="1"/>
  <c r="D4974" i="1"/>
  <c r="D4966" i="1"/>
  <c r="C4961" i="1"/>
  <c r="D4958" i="1"/>
  <c r="D4896" i="1"/>
  <c r="D4832" i="1"/>
  <c r="D4768" i="1"/>
  <c r="D4736" i="1"/>
  <c r="D4704" i="1"/>
  <c r="D4666" i="1"/>
  <c r="D4662" i="1"/>
  <c r="D4658" i="1"/>
  <c r="D4654" i="1"/>
  <c r="D4650" i="1"/>
  <c r="D4646" i="1"/>
  <c r="D4642" i="1"/>
  <c r="D4632" i="1"/>
  <c r="D4628" i="1"/>
  <c r="D4624" i="1"/>
  <c r="D4576" i="1"/>
  <c r="D4512" i="1"/>
  <c r="D4480" i="1"/>
  <c r="D4418" i="1"/>
  <c r="D4384" i="1"/>
  <c r="D4320" i="1"/>
  <c r="D4288" i="1"/>
  <c r="D4256" i="1"/>
  <c r="D4224" i="1"/>
  <c r="D4158" i="1"/>
  <c r="D4154" i="1"/>
  <c r="D4150" i="1"/>
  <c r="D4146" i="1"/>
  <c r="D4142" i="1"/>
  <c r="D4138" i="1"/>
  <c r="D4134" i="1"/>
  <c r="D4130" i="1"/>
  <c r="D4126" i="1"/>
  <c r="D4122" i="1"/>
  <c r="D4118" i="1"/>
  <c r="D4114" i="1"/>
  <c r="D4110" i="1"/>
  <c r="D4106" i="1"/>
  <c r="D4102" i="1"/>
  <c r="D4098" i="1"/>
  <c r="D4094" i="1"/>
  <c r="D4090" i="1"/>
  <c r="D4086" i="1"/>
  <c r="D4082" i="1"/>
  <c r="D4078" i="1"/>
  <c r="D4074" i="1"/>
  <c r="D4070" i="1"/>
  <c r="D4066" i="1"/>
  <c r="D4062" i="1"/>
  <c r="D4058" i="1"/>
  <c r="D4054" i="1"/>
  <c r="D4050" i="1"/>
  <c r="D4046" i="1"/>
  <c r="D4042" i="1"/>
  <c r="D4038" i="1"/>
  <c r="D4034" i="1"/>
  <c r="D4030" i="1"/>
  <c r="D4026" i="1"/>
  <c r="D4022" i="1"/>
  <c r="D4018" i="1"/>
  <c r="D4014" i="1"/>
  <c r="C4012" i="1"/>
  <c r="D4012" i="1"/>
  <c r="C4008" i="1"/>
  <c r="D4008" i="1"/>
  <c r="C4004" i="1"/>
  <c r="D4004" i="1"/>
  <c r="C4000" i="1"/>
  <c r="D4000" i="1"/>
  <c r="C3996" i="1"/>
  <c r="D3996" i="1"/>
  <c r="C3992" i="1"/>
  <c r="D3992" i="1"/>
  <c r="C3988" i="1"/>
  <c r="D3988" i="1"/>
  <c r="C3984" i="1"/>
  <c r="D3984" i="1"/>
  <c r="C3980" i="1"/>
  <c r="D3980" i="1"/>
  <c r="C3976" i="1"/>
  <c r="D3976" i="1"/>
  <c r="C3972" i="1"/>
  <c r="D3972" i="1"/>
  <c r="C3968" i="1"/>
  <c r="D3968" i="1"/>
  <c r="C3964" i="1"/>
  <c r="D3964" i="1"/>
  <c r="C3960" i="1"/>
  <c r="D3960" i="1"/>
  <c r="C3956" i="1"/>
  <c r="D3956" i="1"/>
  <c r="C3952" i="1"/>
  <c r="D3952" i="1"/>
  <c r="D3949" i="1"/>
  <c r="C3948" i="1"/>
  <c r="D3948" i="1"/>
  <c r="D3945" i="1"/>
  <c r="C3944" i="1"/>
  <c r="D3944" i="1"/>
  <c r="D3941" i="1"/>
  <c r="C3940" i="1"/>
  <c r="D3940" i="1"/>
  <c r="D3937" i="1"/>
  <c r="C3936" i="1"/>
  <c r="D3936" i="1"/>
  <c r="D3933" i="1"/>
  <c r="C3932" i="1"/>
  <c r="D3932" i="1"/>
  <c r="D3929" i="1"/>
  <c r="C3928" i="1"/>
  <c r="D3928" i="1"/>
  <c r="D3925" i="1"/>
  <c r="C3924" i="1"/>
  <c r="D3924" i="1"/>
  <c r="D3921" i="1"/>
  <c r="C3920" i="1"/>
  <c r="D3920" i="1"/>
  <c r="D3917" i="1"/>
  <c r="C3916" i="1"/>
  <c r="D3916" i="1"/>
  <c r="D3913" i="1"/>
  <c r="C3912" i="1"/>
  <c r="D3912" i="1"/>
  <c r="D3909" i="1"/>
  <c r="C3908" i="1"/>
  <c r="D3908" i="1"/>
  <c r="D3905" i="1"/>
  <c r="C3904" i="1"/>
  <c r="D3904" i="1"/>
  <c r="D3901" i="1"/>
  <c r="C3900" i="1"/>
  <c r="D3900" i="1"/>
  <c r="D3897" i="1"/>
  <c r="C3896" i="1"/>
  <c r="D3896" i="1"/>
  <c r="D3893" i="1"/>
  <c r="C3892" i="1"/>
  <c r="D3892" i="1"/>
  <c r="D3889" i="1"/>
  <c r="C3888" i="1"/>
  <c r="D3888" i="1"/>
  <c r="D3885" i="1"/>
  <c r="C3884" i="1"/>
  <c r="D3884" i="1"/>
  <c r="D3881" i="1"/>
  <c r="C3880" i="1"/>
  <c r="D3880" i="1"/>
  <c r="D3877" i="1"/>
  <c r="C3876" i="1"/>
  <c r="D3876" i="1"/>
  <c r="D3873" i="1"/>
  <c r="C3872" i="1"/>
  <c r="D3872" i="1"/>
  <c r="D3869" i="1"/>
  <c r="C3868" i="1"/>
  <c r="D3868" i="1"/>
  <c r="D3865" i="1"/>
  <c r="C3864" i="1"/>
  <c r="D3864" i="1"/>
  <c r="D3861" i="1"/>
  <c r="C3860" i="1"/>
  <c r="D3860" i="1"/>
  <c r="D3857" i="1"/>
  <c r="C3856" i="1"/>
  <c r="D3856" i="1"/>
  <c r="D3853" i="1"/>
  <c r="C3852" i="1"/>
  <c r="D3852" i="1"/>
  <c r="D3849" i="1"/>
  <c r="C3848" i="1"/>
  <c r="D3848" i="1"/>
  <c r="D3845" i="1"/>
  <c r="C3844" i="1"/>
  <c r="D3844" i="1"/>
  <c r="D3841" i="1"/>
  <c r="C3840" i="1"/>
  <c r="D3840" i="1"/>
  <c r="D3837" i="1"/>
  <c r="C3836" i="1"/>
  <c r="D3836" i="1"/>
  <c r="D3833" i="1"/>
  <c r="C3832" i="1"/>
  <c r="D3832" i="1"/>
  <c r="D3829" i="1"/>
  <c r="C3828" i="1"/>
  <c r="D3828" i="1"/>
  <c r="D3825" i="1"/>
  <c r="C3824" i="1"/>
  <c r="D3824" i="1"/>
  <c r="D3821" i="1"/>
  <c r="C3820" i="1"/>
  <c r="D3820" i="1"/>
  <c r="D3817" i="1"/>
  <c r="C3816" i="1"/>
  <c r="D3816" i="1"/>
  <c r="D3813" i="1"/>
  <c r="C3812" i="1"/>
  <c r="D3812" i="1"/>
  <c r="D3809" i="1"/>
  <c r="C3808" i="1"/>
  <c r="D3808" i="1"/>
  <c r="D3805" i="1"/>
  <c r="C3804" i="1"/>
  <c r="D3804" i="1"/>
  <c r="D3801" i="1"/>
  <c r="C3800" i="1"/>
  <c r="D3800" i="1"/>
  <c r="D3797" i="1"/>
  <c r="C3796" i="1"/>
  <c r="D3796" i="1"/>
  <c r="D3793" i="1"/>
  <c r="C3792" i="1"/>
  <c r="D3792" i="1"/>
  <c r="D3789" i="1"/>
  <c r="C3788" i="1"/>
  <c r="D3788" i="1"/>
  <c r="D3785" i="1"/>
  <c r="C3784" i="1"/>
  <c r="D3784" i="1"/>
  <c r="D3781" i="1"/>
  <c r="C3780" i="1"/>
  <c r="D3780" i="1"/>
  <c r="D3777" i="1"/>
  <c r="C3776" i="1"/>
  <c r="D3776" i="1"/>
  <c r="D3773" i="1"/>
  <c r="C3772" i="1"/>
  <c r="D3772" i="1"/>
  <c r="D3769" i="1"/>
  <c r="C3768" i="1"/>
  <c r="D3768" i="1"/>
  <c r="D3765" i="1"/>
  <c r="C3764" i="1"/>
  <c r="D3764" i="1"/>
  <c r="D3761" i="1"/>
  <c r="C3760" i="1"/>
  <c r="D3760" i="1"/>
  <c r="D3757" i="1"/>
  <c r="C3756" i="1"/>
  <c r="D3756" i="1"/>
  <c r="D3753" i="1"/>
  <c r="C3752" i="1"/>
  <c r="D3752" i="1"/>
  <c r="D3749" i="1"/>
  <c r="C3748" i="1"/>
  <c r="D3748" i="1"/>
  <c r="D3745" i="1"/>
  <c r="C3744" i="1"/>
  <c r="D3744" i="1"/>
  <c r="D3741" i="1"/>
  <c r="C3740" i="1"/>
  <c r="D3740" i="1"/>
  <c r="D3737" i="1"/>
  <c r="C3736" i="1"/>
  <c r="D3736" i="1"/>
  <c r="D3733" i="1"/>
  <c r="C3732" i="1"/>
  <c r="D3732" i="1"/>
  <c r="D3729" i="1"/>
  <c r="C3728" i="1"/>
  <c r="D3728" i="1"/>
  <c r="D3725" i="1"/>
  <c r="C3724" i="1"/>
  <c r="D3724" i="1"/>
  <c r="D3721" i="1"/>
  <c r="C3720" i="1"/>
  <c r="D3720" i="1"/>
  <c r="D3717" i="1"/>
  <c r="C3716" i="1"/>
  <c r="D3716" i="1"/>
  <c r="D3713" i="1"/>
  <c r="C3712" i="1"/>
  <c r="D3712" i="1"/>
  <c r="D3709" i="1"/>
  <c r="C3708" i="1"/>
  <c r="D3708" i="1"/>
  <c r="D3705" i="1"/>
  <c r="C3704" i="1"/>
  <c r="D3704" i="1"/>
  <c r="D3701" i="1"/>
  <c r="C3700" i="1"/>
  <c r="D3700" i="1"/>
  <c r="D3697" i="1"/>
  <c r="C3696" i="1"/>
  <c r="D3696" i="1"/>
  <c r="D3693" i="1"/>
  <c r="C3692" i="1"/>
  <c r="D3692" i="1"/>
  <c r="D3689" i="1"/>
  <c r="C3688" i="1"/>
  <c r="D3688" i="1"/>
  <c r="D3684" i="1"/>
  <c r="D3680" i="1"/>
  <c r="D3676" i="1"/>
  <c r="D3672" i="1"/>
  <c r="D3668" i="1"/>
  <c r="D3664" i="1"/>
  <c r="D3660" i="1"/>
  <c r="D3656" i="1"/>
  <c r="D3652" i="1"/>
  <c r="D3648" i="1"/>
  <c r="D3644" i="1"/>
  <c r="D3640" i="1"/>
  <c r="D3636" i="1"/>
  <c r="D3632" i="1"/>
  <c r="D3628" i="1"/>
  <c r="D3624" i="1"/>
  <c r="D3620" i="1"/>
  <c r="D3616" i="1"/>
  <c r="D3612" i="1"/>
  <c r="D3608" i="1"/>
  <c r="D3604" i="1"/>
  <c r="D3600" i="1"/>
  <c r="D3596" i="1"/>
  <c r="D3592" i="1"/>
  <c r="D3588" i="1"/>
  <c r="D3584" i="1"/>
  <c r="D3580" i="1"/>
  <c r="D3576" i="1"/>
  <c r="D3572" i="1"/>
  <c r="D3568" i="1"/>
  <c r="D3564" i="1"/>
  <c r="D3560" i="1"/>
  <c r="D3556" i="1"/>
  <c r="D3552" i="1"/>
  <c r="D3548" i="1"/>
  <c r="D3544" i="1"/>
  <c r="D3540" i="1"/>
  <c r="D3536" i="1"/>
  <c r="D3532" i="1"/>
  <c r="D3528" i="1"/>
  <c r="D3524" i="1"/>
  <c r="D3520" i="1"/>
  <c r="D3516" i="1"/>
  <c r="D3512" i="1"/>
  <c r="D3508" i="1"/>
  <c r="D3504" i="1"/>
  <c r="D3500" i="1"/>
  <c r="D3496" i="1"/>
  <c r="D3492" i="1"/>
  <c r="D3488" i="1"/>
  <c r="D3484" i="1"/>
  <c r="D3480" i="1"/>
  <c r="D3476" i="1"/>
  <c r="D3472" i="1"/>
  <c r="D3468" i="1"/>
  <c r="D3464" i="1"/>
  <c r="D3460" i="1"/>
  <c r="D3456" i="1"/>
  <c r="D3452" i="1"/>
  <c r="D3448" i="1"/>
  <c r="D3444" i="1"/>
  <c r="D3440" i="1"/>
  <c r="D3436" i="1"/>
  <c r="D3432" i="1"/>
  <c r="D3428" i="1"/>
  <c r="D3424" i="1"/>
  <c r="D3420" i="1"/>
  <c r="D3416" i="1"/>
  <c r="D3412" i="1"/>
  <c r="D3408" i="1"/>
  <c r="D3404" i="1"/>
  <c r="D3400" i="1"/>
  <c r="D3396" i="1"/>
  <c r="D3392" i="1"/>
  <c r="D3388" i="1"/>
  <c r="D3384" i="1"/>
  <c r="D3380" i="1"/>
  <c r="D3376" i="1"/>
  <c r="D3372" i="1"/>
  <c r="D3368" i="1"/>
  <c r="D3364" i="1"/>
  <c r="D3360" i="1"/>
  <c r="D3356" i="1"/>
  <c r="D2771" i="1"/>
  <c r="C2770" i="1"/>
  <c r="D2770" i="1"/>
  <c r="D2765" i="1"/>
  <c r="D2755" i="1"/>
  <c r="C2754" i="1"/>
  <c r="D2754" i="1"/>
  <c r="D2749" i="1"/>
  <c r="D2739" i="1"/>
  <c r="C2738" i="1"/>
  <c r="D2738" i="1"/>
  <c r="D2733" i="1"/>
  <c r="D2723" i="1"/>
  <c r="C2722" i="1"/>
  <c r="D2722" i="1"/>
  <c r="D2717" i="1"/>
  <c r="D2707" i="1"/>
  <c r="C2706" i="1"/>
  <c r="D2706" i="1"/>
  <c r="D2701" i="1"/>
  <c r="C3352" i="1"/>
  <c r="D3352" i="1"/>
  <c r="C3348" i="1"/>
  <c r="D3348" i="1"/>
  <c r="C3344" i="1"/>
  <c r="D3344" i="1"/>
  <c r="C3340" i="1"/>
  <c r="D3340" i="1"/>
  <c r="C3336" i="1"/>
  <c r="D3336" i="1"/>
  <c r="C3332" i="1"/>
  <c r="D3332" i="1"/>
  <c r="C3328" i="1"/>
  <c r="D3328" i="1"/>
  <c r="C3324" i="1"/>
  <c r="D3324" i="1"/>
  <c r="C3320" i="1"/>
  <c r="D3320" i="1"/>
  <c r="C3316" i="1"/>
  <c r="D3316" i="1"/>
  <c r="C3312" i="1"/>
  <c r="D3312" i="1"/>
  <c r="C3308" i="1"/>
  <c r="D3308" i="1"/>
  <c r="C3304" i="1"/>
  <c r="D3304" i="1"/>
  <c r="C3300" i="1"/>
  <c r="D3300" i="1"/>
  <c r="C3296" i="1"/>
  <c r="D3296" i="1"/>
  <c r="C3292" i="1"/>
  <c r="D3292" i="1"/>
  <c r="C3288" i="1"/>
  <c r="D3288" i="1"/>
  <c r="C3284" i="1"/>
  <c r="D3284" i="1"/>
  <c r="C3280" i="1"/>
  <c r="D3280" i="1"/>
  <c r="C3276" i="1"/>
  <c r="D3276" i="1"/>
  <c r="C3272" i="1"/>
  <c r="D3272" i="1"/>
  <c r="C3268" i="1"/>
  <c r="D3268" i="1"/>
  <c r="C3264" i="1"/>
  <c r="D3264" i="1"/>
  <c r="C3260" i="1"/>
  <c r="D3260" i="1"/>
  <c r="C3256" i="1"/>
  <c r="D3256" i="1"/>
  <c r="C3252" i="1"/>
  <c r="D3252" i="1"/>
  <c r="C3248" i="1"/>
  <c r="D3248" i="1"/>
  <c r="C3244" i="1"/>
  <c r="D3244" i="1"/>
  <c r="C3240" i="1"/>
  <c r="D3240" i="1"/>
  <c r="C3236" i="1"/>
  <c r="D3236" i="1"/>
  <c r="C3232" i="1"/>
  <c r="D3232" i="1"/>
  <c r="C3228" i="1"/>
  <c r="D3228" i="1"/>
  <c r="C3224" i="1"/>
  <c r="D3224" i="1"/>
  <c r="C3220" i="1"/>
  <c r="D3220" i="1"/>
  <c r="C3216" i="1"/>
  <c r="D3216" i="1"/>
  <c r="C3212" i="1"/>
  <c r="D3212" i="1"/>
  <c r="C3208" i="1"/>
  <c r="D3208" i="1"/>
  <c r="C3204" i="1"/>
  <c r="D3204" i="1"/>
  <c r="C3200" i="1"/>
  <c r="D3200" i="1"/>
  <c r="C3196" i="1"/>
  <c r="D3196" i="1"/>
  <c r="C3192" i="1"/>
  <c r="D3192" i="1"/>
  <c r="C3188" i="1"/>
  <c r="D3188" i="1"/>
  <c r="C3184" i="1"/>
  <c r="D3184" i="1"/>
  <c r="C3180" i="1"/>
  <c r="D3180" i="1"/>
  <c r="C3176" i="1"/>
  <c r="D3176" i="1"/>
  <c r="C3172" i="1"/>
  <c r="D3172" i="1"/>
  <c r="C3168" i="1"/>
  <c r="D3168" i="1"/>
  <c r="C3164" i="1"/>
  <c r="D3164" i="1"/>
  <c r="C3160" i="1"/>
  <c r="D3160" i="1"/>
  <c r="C3156" i="1"/>
  <c r="D3156" i="1"/>
  <c r="C3152" i="1"/>
  <c r="D3152" i="1"/>
  <c r="C3148" i="1"/>
  <c r="D3148" i="1"/>
  <c r="C3144" i="1"/>
  <c r="D3144" i="1"/>
  <c r="C3140" i="1"/>
  <c r="D3140" i="1"/>
  <c r="C3136" i="1"/>
  <c r="D3136" i="1"/>
  <c r="C3132" i="1"/>
  <c r="D3132" i="1"/>
  <c r="C3128" i="1"/>
  <c r="D3128" i="1"/>
  <c r="C3124" i="1"/>
  <c r="D3124" i="1"/>
  <c r="C3120" i="1"/>
  <c r="D3120" i="1"/>
  <c r="C3116" i="1"/>
  <c r="D3116" i="1"/>
  <c r="C3112" i="1"/>
  <c r="D3112" i="1"/>
  <c r="C3108" i="1"/>
  <c r="D3108" i="1"/>
  <c r="C3104" i="1"/>
  <c r="D3104" i="1"/>
  <c r="C3100" i="1"/>
  <c r="D3100" i="1"/>
  <c r="C3096" i="1"/>
  <c r="D3096" i="1"/>
  <c r="C3092" i="1"/>
  <c r="D3092" i="1"/>
  <c r="C3088" i="1"/>
  <c r="D3088" i="1"/>
  <c r="C3084" i="1"/>
  <c r="D3084" i="1"/>
  <c r="C3080" i="1"/>
  <c r="D3080" i="1"/>
  <c r="C3076" i="1"/>
  <c r="D3076" i="1"/>
  <c r="C3072" i="1"/>
  <c r="D3072" i="1"/>
  <c r="C3068" i="1"/>
  <c r="D3068" i="1"/>
  <c r="C3064" i="1"/>
  <c r="D3064" i="1"/>
  <c r="C3060" i="1"/>
  <c r="D3060" i="1"/>
  <c r="C3056" i="1"/>
  <c r="D3056" i="1"/>
  <c r="C3052" i="1"/>
  <c r="D3052" i="1"/>
  <c r="C3048" i="1"/>
  <c r="D3048" i="1"/>
  <c r="C3044" i="1"/>
  <c r="D3044" i="1"/>
  <c r="C3040" i="1"/>
  <c r="D3040" i="1"/>
  <c r="C3036" i="1"/>
  <c r="D3036" i="1"/>
  <c r="C3032" i="1"/>
  <c r="D3032" i="1"/>
  <c r="C3028" i="1"/>
  <c r="D3028" i="1"/>
  <c r="C3024" i="1"/>
  <c r="D3024" i="1"/>
  <c r="C3020" i="1"/>
  <c r="D3020" i="1"/>
  <c r="C3016" i="1"/>
  <c r="D3016" i="1"/>
  <c r="C3012" i="1"/>
  <c r="D3012" i="1"/>
  <c r="C3008" i="1"/>
  <c r="D3008" i="1"/>
  <c r="C3004" i="1"/>
  <c r="D3004" i="1"/>
  <c r="C3000" i="1"/>
  <c r="D3000" i="1"/>
  <c r="C2996" i="1"/>
  <c r="D2996" i="1"/>
  <c r="C2992" i="1"/>
  <c r="D2992" i="1"/>
  <c r="C2988" i="1"/>
  <c r="D2988" i="1"/>
  <c r="C2984" i="1"/>
  <c r="D2984" i="1"/>
  <c r="C2980" i="1"/>
  <c r="D2980" i="1"/>
  <c r="C2976" i="1"/>
  <c r="D2976" i="1"/>
  <c r="C2972" i="1"/>
  <c r="D2972" i="1"/>
  <c r="C2968" i="1"/>
  <c r="D2968" i="1"/>
  <c r="C2964" i="1"/>
  <c r="D2964" i="1"/>
  <c r="C2960" i="1"/>
  <c r="D2960" i="1"/>
  <c r="C2956" i="1"/>
  <c r="D2956" i="1"/>
  <c r="C2952" i="1"/>
  <c r="D2952" i="1"/>
  <c r="C2948" i="1"/>
  <c r="D2948" i="1"/>
  <c r="C2944" i="1"/>
  <c r="D2944" i="1"/>
  <c r="C2940" i="1"/>
  <c r="D2940" i="1"/>
  <c r="C2936" i="1"/>
  <c r="D2936" i="1"/>
  <c r="C2932" i="1"/>
  <c r="D2932" i="1"/>
  <c r="C2928" i="1"/>
  <c r="D2928" i="1"/>
  <c r="C2924" i="1"/>
  <c r="D2924" i="1"/>
  <c r="C2920" i="1"/>
  <c r="D2920" i="1"/>
  <c r="C2916" i="1"/>
  <c r="D2916" i="1"/>
  <c r="C2912" i="1"/>
  <c r="D2912" i="1"/>
  <c r="C2908" i="1"/>
  <c r="D2908" i="1"/>
  <c r="C2904" i="1"/>
  <c r="D2904" i="1"/>
  <c r="C2900" i="1"/>
  <c r="D2900" i="1"/>
  <c r="C2896" i="1"/>
  <c r="D2896" i="1"/>
  <c r="C2892" i="1"/>
  <c r="D2892" i="1"/>
  <c r="C2888" i="1"/>
  <c r="D2888" i="1"/>
  <c r="C2884" i="1"/>
  <c r="D2884" i="1"/>
  <c r="C2880" i="1"/>
  <c r="D2880" i="1"/>
  <c r="C2876" i="1"/>
  <c r="D2876" i="1"/>
  <c r="C2872" i="1"/>
  <c r="D2872" i="1"/>
  <c r="C2868" i="1"/>
  <c r="D2868" i="1"/>
  <c r="C2864" i="1"/>
  <c r="D2864" i="1"/>
  <c r="C2860" i="1"/>
  <c r="D2860" i="1"/>
  <c r="C2856" i="1"/>
  <c r="D2856" i="1"/>
  <c r="C2852" i="1"/>
  <c r="D2852" i="1"/>
  <c r="C2848" i="1"/>
  <c r="D2848" i="1"/>
  <c r="C2844" i="1"/>
  <c r="D2844" i="1"/>
  <c r="C2840" i="1"/>
  <c r="D2840" i="1"/>
  <c r="C2836" i="1"/>
  <c r="D2836" i="1"/>
  <c r="C2832" i="1"/>
  <c r="D2832" i="1"/>
  <c r="C2828" i="1"/>
  <c r="D2828" i="1"/>
  <c r="C2824" i="1"/>
  <c r="D2824" i="1"/>
  <c r="C2820" i="1"/>
  <c r="D2820" i="1"/>
  <c r="C2816" i="1"/>
  <c r="D2816" i="1"/>
  <c r="C2812" i="1"/>
  <c r="D2812" i="1"/>
  <c r="C2808" i="1"/>
  <c r="D2808" i="1"/>
  <c r="C2804" i="1"/>
  <c r="D2804" i="1"/>
  <c r="C2800" i="1"/>
  <c r="D2800" i="1"/>
  <c r="C2796" i="1"/>
  <c r="D2796" i="1"/>
  <c r="C2792" i="1"/>
  <c r="D2792" i="1"/>
  <c r="C2788" i="1"/>
  <c r="D2788" i="1"/>
  <c r="C2784" i="1"/>
  <c r="D2784" i="1"/>
  <c r="C2780" i="1"/>
  <c r="D2780" i="1"/>
  <c r="C2776" i="1"/>
  <c r="D2776" i="1"/>
  <c r="C2762" i="1"/>
  <c r="D2762" i="1"/>
  <c r="C2746" i="1"/>
  <c r="D2746" i="1"/>
  <c r="C2730" i="1"/>
  <c r="D2730" i="1"/>
  <c r="C2714" i="1"/>
  <c r="D2714" i="1"/>
  <c r="D1990" i="1"/>
  <c r="D1986" i="1"/>
  <c r="D1982" i="1"/>
  <c r="D1978" i="1"/>
  <c r="D1974" i="1"/>
  <c r="D1970" i="1"/>
  <c r="D1966" i="1"/>
  <c r="D1962" i="1"/>
  <c r="D1958" i="1"/>
  <c r="D1954" i="1"/>
  <c r="D1950" i="1"/>
  <c r="D1946" i="1"/>
  <c r="D1942" i="1"/>
  <c r="D1938" i="1"/>
  <c r="D1934" i="1"/>
  <c r="D1930" i="1"/>
  <c r="D1926" i="1"/>
  <c r="D2698" i="1"/>
  <c r="D2690" i="1"/>
  <c r="D2682" i="1"/>
  <c r="D2674" i="1"/>
  <c r="D2664" i="1"/>
  <c r="D2656" i="1"/>
  <c r="D2646" i="1"/>
  <c r="D2638" i="1"/>
  <c r="D2630" i="1"/>
  <c r="D2622" i="1"/>
  <c r="D2614" i="1"/>
  <c r="D2606" i="1"/>
  <c r="D2598" i="1"/>
  <c r="D2590" i="1"/>
  <c r="D2582" i="1"/>
  <c r="D2574" i="1"/>
  <c r="D2566" i="1"/>
  <c r="D2558" i="1"/>
  <c r="D2550" i="1"/>
  <c r="D2542" i="1"/>
  <c r="D2534" i="1"/>
  <c r="D2528" i="1"/>
  <c r="D2524" i="1"/>
  <c r="D2520" i="1"/>
  <c r="D2516" i="1"/>
  <c r="D2512" i="1"/>
  <c r="D2508" i="1"/>
  <c r="D2504" i="1"/>
  <c r="D2500" i="1"/>
  <c r="D2496" i="1"/>
  <c r="D2492" i="1"/>
  <c r="D2488" i="1"/>
  <c r="D2484" i="1"/>
  <c r="D2480" i="1"/>
  <c r="D2476" i="1"/>
  <c r="D2472" i="1"/>
  <c r="D2468" i="1"/>
  <c r="D2464" i="1"/>
  <c r="D2460" i="1"/>
  <c r="D2456" i="1"/>
  <c r="D2452" i="1"/>
  <c r="D2448" i="1"/>
  <c r="D2444" i="1"/>
  <c r="D2440" i="1"/>
  <c r="D2436" i="1"/>
  <c r="D2432" i="1"/>
  <c r="D2428" i="1"/>
  <c r="D2424" i="1"/>
  <c r="D2420" i="1"/>
  <c r="D2416" i="1"/>
  <c r="D2412" i="1"/>
  <c r="D2408" i="1"/>
  <c r="D2404" i="1"/>
  <c r="D2400" i="1"/>
  <c r="D2396" i="1"/>
  <c r="D2392" i="1"/>
  <c r="D2388" i="1"/>
  <c r="D2384" i="1"/>
  <c r="D2380" i="1"/>
  <c r="D2376" i="1"/>
  <c r="D2372" i="1"/>
  <c r="D2368" i="1"/>
  <c r="D2364" i="1"/>
  <c r="D2360" i="1"/>
  <c r="D2356" i="1"/>
  <c r="D2352" i="1"/>
  <c r="D2348" i="1"/>
  <c r="D2344" i="1"/>
  <c r="D2340" i="1"/>
  <c r="D2336" i="1"/>
  <c r="D2332" i="1"/>
  <c r="D2328" i="1"/>
  <c r="D2324" i="1"/>
  <c r="D2320" i="1"/>
  <c r="D2316" i="1"/>
  <c r="D2312" i="1"/>
  <c r="D2308" i="1"/>
  <c r="D2304" i="1"/>
  <c r="D2300" i="1"/>
  <c r="D2296" i="1"/>
  <c r="D2292" i="1"/>
  <c r="D2288" i="1"/>
  <c r="D2284" i="1"/>
  <c r="D2280" i="1"/>
  <c r="D2276" i="1"/>
  <c r="D2272" i="1"/>
  <c r="D2268" i="1"/>
  <c r="D2264" i="1"/>
  <c r="D2260" i="1"/>
  <c r="D2256" i="1"/>
  <c r="D2252" i="1"/>
  <c r="D2248" i="1"/>
  <c r="D2244" i="1"/>
  <c r="D2240" i="1"/>
  <c r="D2236" i="1"/>
  <c r="D2232" i="1"/>
  <c r="D2228" i="1"/>
  <c r="D2224" i="1"/>
  <c r="D2220" i="1"/>
  <c r="D2216" i="1"/>
  <c r="D2212" i="1"/>
  <c r="D2208" i="1"/>
  <c r="D2204" i="1"/>
  <c r="D2200" i="1"/>
  <c r="D2196" i="1"/>
  <c r="D2192" i="1"/>
  <c r="D2188" i="1"/>
  <c r="D2184" i="1"/>
  <c r="D2180" i="1"/>
  <c r="D2176" i="1"/>
  <c r="D2172" i="1"/>
  <c r="D2168" i="1"/>
  <c r="D2164" i="1"/>
  <c r="D2160" i="1"/>
  <c r="D2156" i="1"/>
  <c r="D2152" i="1"/>
  <c r="D2148" i="1"/>
  <c r="D2144" i="1"/>
  <c r="D2140" i="1"/>
  <c r="D2136" i="1"/>
  <c r="D2132" i="1"/>
  <c r="D2128" i="1"/>
  <c r="D2124" i="1"/>
  <c r="D2120" i="1"/>
  <c r="D2116" i="1"/>
  <c r="D2112" i="1"/>
  <c r="D2108" i="1"/>
  <c r="D2104" i="1"/>
  <c r="D2100" i="1"/>
  <c r="D2096" i="1"/>
  <c r="D2092" i="1"/>
  <c r="D2088" i="1"/>
  <c r="D2084" i="1"/>
  <c r="D2080" i="1"/>
  <c r="D2076" i="1"/>
  <c r="D2072" i="1"/>
  <c r="D2068" i="1"/>
  <c r="D2064" i="1"/>
  <c r="D2060" i="1"/>
  <c r="D2056" i="1"/>
  <c r="D2052" i="1"/>
  <c r="D2048" i="1"/>
  <c r="D2044" i="1"/>
  <c r="D2040" i="1"/>
  <c r="D2036" i="1"/>
  <c r="D2032" i="1"/>
  <c r="D2028" i="1"/>
  <c r="D2024" i="1"/>
  <c r="D2020" i="1"/>
  <c r="D2016" i="1"/>
  <c r="D2012" i="1"/>
  <c r="D2008" i="1"/>
  <c r="D2004" i="1"/>
  <c r="D2000" i="1"/>
  <c r="D1996" i="1"/>
  <c r="C1922" i="1"/>
  <c r="D1922" i="1"/>
  <c r="C1918" i="1"/>
  <c r="D1918" i="1"/>
  <c r="C1914" i="1"/>
  <c r="D1914" i="1"/>
  <c r="C1910" i="1"/>
  <c r="D1910" i="1"/>
  <c r="C1906" i="1"/>
  <c r="D1906" i="1"/>
  <c r="C1902" i="1"/>
  <c r="D1902" i="1"/>
  <c r="C1898" i="1"/>
  <c r="D1898" i="1"/>
  <c r="C1894" i="1"/>
  <c r="D1894" i="1"/>
  <c r="C1890" i="1"/>
  <c r="D1890" i="1"/>
  <c r="C1886" i="1"/>
  <c r="D1886" i="1"/>
  <c r="C1882" i="1"/>
  <c r="D1882" i="1"/>
  <c r="C1878" i="1"/>
  <c r="D1878" i="1"/>
  <c r="C1874" i="1"/>
  <c r="D1874" i="1"/>
  <c r="D1871" i="1"/>
  <c r="C1870" i="1"/>
  <c r="D1870" i="1"/>
  <c r="D1867" i="1"/>
  <c r="C1866" i="1"/>
  <c r="D1866" i="1"/>
  <c r="D1863" i="1"/>
  <c r="C1862" i="1"/>
  <c r="D1862" i="1"/>
  <c r="D1859" i="1"/>
  <c r="C1858" i="1"/>
  <c r="D1858" i="1"/>
  <c r="D1855" i="1"/>
  <c r="C1854" i="1"/>
  <c r="D1854" i="1"/>
  <c r="D1851" i="1"/>
  <c r="C1850" i="1"/>
  <c r="D1850" i="1"/>
  <c r="D1847" i="1"/>
  <c r="C1846" i="1"/>
  <c r="D1846" i="1"/>
  <c r="D1843" i="1"/>
  <c r="C1842" i="1"/>
  <c r="D1842" i="1"/>
  <c r="D1839" i="1"/>
  <c r="C1838" i="1"/>
  <c r="D1838" i="1"/>
  <c r="D1835" i="1"/>
  <c r="C1834" i="1"/>
  <c r="D1834" i="1"/>
  <c r="D1831" i="1"/>
  <c r="C1830" i="1"/>
  <c r="D1830" i="1"/>
  <c r="D1827" i="1"/>
  <c r="C1826" i="1"/>
  <c r="D1826" i="1"/>
  <c r="D1823" i="1"/>
  <c r="C1822" i="1"/>
  <c r="D1822" i="1"/>
  <c r="D1819" i="1"/>
  <c r="C1818" i="1"/>
  <c r="D1818" i="1"/>
  <c r="D1815" i="1"/>
  <c r="C1814" i="1"/>
  <c r="D1814" i="1"/>
  <c r="D1811" i="1"/>
  <c r="C1810" i="1"/>
  <c r="D1810" i="1"/>
  <c r="D1807" i="1"/>
  <c r="C1806" i="1"/>
  <c r="D1806" i="1"/>
  <c r="D1803" i="1"/>
  <c r="C1802" i="1"/>
  <c r="D1802" i="1"/>
  <c r="D1799" i="1"/>
  <c r="C1798" i="1"/>
  <c r="D1798" i="1"/>
  <c r="D1795" i="1"/>
  <c r="C1794" i="1"/>
  <c r="D1794" i="1"/>
  <c r="D1791" i="1"/>
  <c r="D1790" i="1"/>
  <c r="D1786" i="1"/>
  <c r="D1782" i="1"/>
  <c r="D1778" i="1"/>
  <c r="D1774" i="1"/>
  <c r="D1770" i="1"/>
  <c r="D1766" i="1"/>
  <c r="D1762" i="1"/>
  <c r="D1758" i="1"/>
  <c r="D1754" i="1"/>
  <c r="D1750" i="1"/>
  <c r="D1746" i="1"/>
  <c r="D1742" i="1"/>
  <c r="D1738" i="1"/>
  <c r="D1734" i="1"/>
  <c r="D1730" i="1"/>
  <c r="D1726" i="1"/>
  <c r="D1722" i="1"/>
  <c r="D1718" i="1"/>
  <c r="D1714" i="1"/>
  <c r="D1710" i="1"/>
  <c r="D1706" i="1"/>
  <c r="D1702" i="1"/>
  <c r="D1698" i="1"/>
  <c r="D1694" i="1"/>
  <c r="D1690" i="1"/>
  <c r="D1686" i="1"/>
  <c r="D1682" i="1"/>
  <c r="D1678" i="1"/>
  <c r="D1674" i="1"/>
  <c r="D1670" i="1"/>
  <c r="D1666" i="1"/>
  <c r="D1662" i="1"/>
  <c r="D1658" i="1"/>
  <c r="D1654" i="1"/>
  <c r="D1650" i="1"/>
  <c r="D1646" i="1"/>
  <c r="D1642" i="1"/>
  <c r="D1638" i="1"/>
  <c r="D1634" i="1"/>
  <c r="D1630" i="1"/>
  <c r="D1626" i="1"/>
  <c r="D1622" i="1"/>
  <c r="D1618" i="1"/>
  <c r="D1614" i="1"/>
  <c r="D1610" i="1"/>
  <c r="D1606" i="1"/>
  <c r="D1602" i="1"/>
  <c r="D1598" i="1"/>
  <c r="D1594" i="1"/>
  <c r="D1482" i="1"/>
  <c r="C1481" i="1"/>
  <c r="D1481" i="1"/>
  <c r="D1476" i="1"/>
  <c r="D1466" i="1"/>
  <c r="C1465" i="1"/>
  <c r="D1465" i="1"/>
  <c r="D1460" i="1"/>
  <c r="C1590" i="1"/>
  <c r="D1590" i="1"/>
  <c r="C1586" i="1"/>
  <c r="D1586" i="1"/>
  <c r="C1582" i="1"/>
  <c r="D1582" i="1"/>
  <c r="C1578" i="1"/>
  <c r="D1578" i="1"/>
  <c r="C1574" i="1"/>
  <c r="D1574" i="1"/>
  <c r="C1570" i="1"/>
  <c r="D1570" i="1"/>
  <c r="C1566" i="1"/>
  <c r="D1566" i="1"/>
  <c r="C1562" i="1"/>
  <c r="D1562" i="1"/>
  <c r="C1558" i="1"/>
  <c r="D1558" i="1"/>
  <c r="C1554" i="1"/>
  <c r="D1554" i="1"/>
  <c r="C1550" i="1"/>
  <c r="D1550" i="1"/>
  <c r="C1546" i="1"/>
  <c r="D1546" i="1"/>
  <c r="C1542" i="1"/>
  <c r="D1542" i="1"/>
  <c r="C1538" i="1"/>
  <c r="D1538" i="1"/>
  <c r="C1534" i="1"/>
  <c r="D1534" i="1"/>
  <c r="C1530" i="1"/>
  <c r="D1530" i="1"/>
  <c r="C1526" i="1"/>
  <c r="D1526" i="1"/>
  <c r="C1522" i="1"/>
  <c r="D1522" i="1"/>
  <c r="C1518" i="1"/>
  <c r="D1518" i="1"/>
  <c r="C1514" i="1"/>
  <c r="D1514" i="1"/>
  <c r="C1510" i="1"/>
  <c r="D1510" i="1"/>
  <c r="C1506" i="1"/>
  <c r="D1506" i="1"/>
  <c r="C1502" i="1"/>
  <c r="D1502" i="1"/>
  <c r="C1498" i="1"/>
  <c r="D1498" i="1"/>
  <c r="C1494" i="1"/>
  <c r="D1494" i="1"/>
  <c r="C1490" i="1"/>
  <c r="D1490" i="1"/>
  <c r="C1473" i="1"/>
  <c r="D1473" i="1"/>
  <c r="C873" i="1"/>
  <c r="D873" i="1"/>
  <c r="C869" i="1"/>
  <c r="D869" i="1"/>
  <c r="C865" i="1"/>
  <c r="D865" i="1"/>
  <c r="C861" i="1"/>
  <c r="D861" i="1"/>
  <c r="C857" i="1"/>
  <c r="D857" i="1"/>
  <c r="C853" i="1"/>
  <c r="D853" i="1"/>
  <c r="C849" i="1"/>
  <c r="D849" i="1"/>
  <c r="C845" i="1"/>
  <c r="D845" i="1"/>
  <c r="C841" i="1"/>
  <c r="D841" i="1"/>
  <c r="C837" i="1"/>
  <c r="D837" i="1"/>
  <c r="C833" i="1"/>
  <c r="D833" i="1"/>
  <c r="C829" i="1"/>
  <c r="D829" i="1"/>
  <c r="C825" i="1"/>
  <c r="D825" i="1"/>
  <c r="D1457" i="1"/>
  <c r="D1449" i="1"/>
  <c r="D1441" i="1"/>
  <c r="D1433" i="1"/>
  <c r="D1425" i="1"/>
  <c r="D1417" i="1"/>
  <c r="D1409" i="1"/>
  <c r="D1401" i="1"/>
  <c r="D1393" i="1"/>
  <c r="D1385" i="1"/>
  <c r="D1377" i="1"/>
  <c r="D1369" i="1"/>
  <c r="D1361" i="1"/>
  <c r="D1353" i="1"/>
  <c r="D1345" i="1"/>
  <c r="D1337" i="1"/>
  <c r="D1333" i="1"/>
  <c r="D1329" i="1"/>
  <c r="D1325" i="1"/>
  <c r="D1321" i="1"/>
  <c r="D1317" i="1"/>
  <c r="D1313" i="1"/>
  <c r="D1309" i="1"/>
  <c r="D1305" i="1"/>
  <c r="D1301" i="1"/>
  <c r="D1297" i="1"/>
  <c r="D1293" i="1"/>
  <c r="D1289" i="1"/>
  <c r="D1285" i="1"/>
  <c r="D1281" i="1"/>
  <c r="D1277" i="1"/>
  <c r="D1273" i="1"/>
  <c r="D1269" i="1"/>
  <c r="D1265" i="1"/>
  <c r="D1261" i="1"/>
  <c r="D1257" i="1"/>
  <c r="D1253" i="1"/>
  <c r="D1249" i="1"/>
  <c r="D1245" i="1"/>
  <c r="D1241" i="1"/>
  <c r="D1237" i="1"/>
  <c r="D1233" i="1"/>
  <c r="D1229" i="1"/>
  <c r="D1225" i="1"/>
  <c r="D1221" i="1"/>
  <c r="D1217" i="1"/>
  <c r="D1213" i="1"/>
  <c r="D1209" i="1"/>
  <c r="D1205" i="1"/>
  <c r="D1201" i="1"/>
  <c r="D1197" i="1"/>
  <c r="D1193" i="1"/>
  <c r="D1189" i="1"/>
  <c r="D1185" i="1"/>
  <c r="D1181" i="1"/>
  <c r="D1177" i="1"/>
  <c r="D1173" i="1"/>
  <c r="D1169" i="1"/>
  <c r="D1165" i="1"/>
  <c r="D1161" i="1"/>
  <c r="D1157" i="1"/>
  <c r="D1153" i="1"/>
  <c r="D1149" i="1"/>
  <c r="D1145" i="1"/>
  <c r="D1141" i="1"/>
  <c r="D1137" i="1"/>
  <c r="D1133" i="1"/>
  <c r="D1129" i="1"/>
  <c r="D1125" i="1"/>
  <c r="D1121" i="1"/>
  <c r="D1117" i="1"/>
  <c r="D1113" i="1"/>
  <c r="D1109" i="1"/>
  <c r="D1105" i="1"/>
  <c r="D1101" i="1"/>
  <c r="D1097" i="1"/>
  <c r="D1093" i="1"/>
  <c r="D1089" i="1"/>
  <c r="D1085" i="1"/>
  <c r="D1081" i="1"/>
  <c r="D1077" i="1"/>
  <c r="D1073" i="1"/>
  <c r="D1069" i="1"/>
  <c r="D1065" i="1"/>
  <c r="D1061" i="1"/>
  <c r="D1057" i="1"/>
  <c r="D1053" i="1"/>
  <c r="D1049" i="1"/>
  <c r="D1045" i="1"/>
  <c r="D1041" i="1"/>
  <c r="D1037" i="1"/>
  <c r="D1033" i="1"/>
  <c r="D1029" i="1"/>
  <c r="D1025" i="1"/>
  <c r="D1021" i="1"/>
  <c r="D1017" i="1"/>
  <c r="D1013" i="1"/>
  <c r="D1009" i="1"/>
  <c r="D1005" i="1"/>
  <c r="D1001" i="1"/>
  <c r="D997" i="1"/>
  <c r="D993" i="1"/>
  <c r="D989" i="1"/>
  <c r="D985" i="1"/>
  <c r="D981" i="1"/>
  <c r="D977" i="1"/>
  <c r="D973" i="1"/>
  <c r="D969" i="1"/>
  <c r="D965" i="1"/>
  <c r="D961" i="1"/>
  <c r="D957" i="1"/>
  <c r="D953" i="1"/>
  <c r="D949" i="1"/>
  <c r="D945" i="1"/>
  <c r="D941" i="1"/>
  <c r="D937" i="1"/>
  <c r="D933" i="1"/>
  <c r="D929" i="1"/>
  <c r="D925" i="1"/>
  <c r="D921" i="1"/>
  <c r="D917" i="1"/>
  <c r="D913" i="1"/>
  <c r="D909" i="1"/>
  <c r="D905" i="1"/>
  <c r="D901" i="1"/>
  <c r="D897" i="1"/>
  <c r="D893" i="1"/>
  <c r="D889" i="1"/>
  <c r="D885" i="1"/>
  <c r="D881" i="1"/>
  <c r="D877" i="1"/>
  <c r="D818" i="1"/>
  <c r="C817" i="1"/>
  <c r="D817" i="1"/>
  <c r="D812" i="1"/>
  <c r="D809" i="1"/>
  <c r="D801" i="1"/>
  <c r="D793" i="1"/>
  <c r="D785" i="1"/>
  <c r="D781" i="1"/>
  <c r="D777" i="1"/>
  <c r="D773" i="1"/>
  <c r="D769" i="1"/>
  <c r="D765" i="1"/>
  <c r="D761" i="1"/>
  <c r="D757" i="1"/>
  <c r="D753" i="1"/>
  <c r="D749" i="1"/>
  <c r="D745" i="1"/>
  <c r="D741" i="1"/>
  <c r="D737" i="1"/>
  <c r="D733" i="1"/>
  <c r="D729" i="1"/>
  <c r="D725" i="1"/>
  <c r="D721" i="1"/>
  <c r="D717" i="1"/>
  <c r="D713" i="1"/>
  <c r="D709" i="1"/>
  <c r="D705" i="1"/>
  <c r="D701" i="1"/>
  <c r="D697" i="1"/>
  <c r="D694" i="1"/>
  <c r="D686" i="1"/>
  <c r="D678" i="1"/>
  <c r="D670" i="1"/>
  <c r="D662" i="1"/>
  <c r="D654" i="1"/>
  <c r="D646" i="1"/>
  <c r="D638" i="1"/>
  <c r="D630" i="1"/>
  <c r="D622" i="1"/>
  <c r="D616" i="1"/>
  <c r="D612" i="1"/>
  <c r="D608" i="1"/>
  <c r="D604" i="1"/>
  <c r="D600" i="1"/>
  <c r="D596" i="1"/>
  <c r="D592" i="1"/>
  <c r="D588" i="1"/>
  <c r="D584" i="1"/>
  <c r="D580" i="1"/>
  <c r="D576" i="1"/>
  <c r="D572" i="1"/>
  <c r="D568" i="1"/>
  <c r="D564" i="1"/>
  <c r="D560" i="1"/>
  <c r="D556" i="1"/>
  <c r="D552" i="1"/>
  <c r="D548" i="1"/>
  <c r="D544" i="1"/>
  <c r="D543" i="1"/>
  <c r="C542" i="1"/>
  <c r="D542" i="1"/>
  <c r="D539" i="1"/>
  <c r="C538" i="1"/>
  <c r="D538" i="1"/>
  <c r="D535" i="1"/>
  <c r="C534" i="1"/>
  <c r="D534" i="1"/>
  <c r="D531" i="1"/>
  <c r="C530" i="1"/>
  <c r="D530" i="1"/>
  <c r="D527" i="1"/>
  <c r="C526" i="1"/>
  <c r="D526" i="1"/>
  <c r="D523" i="1"/>
  <c r="C522" i="1"/>
  <c r="D522" i="1"/>
  <c r="D519" i="1"/>
  <c r="C518" i="1"/>
  <c r="D518" i="1"/>
  <c r="D515" i="1"/>
  <c r="C514" i="1"/>
  <c r="D514" i="1"/>
  <c r="D511" i="1"/>
  <c r="C510" i="1"/>
  <c r="D510" i="1"/>
  <c r="D507" i="1"/>
  <c r="C506" i="1"/>
  <c r="D506" i="1"/>
  <c r="D503" i="1"/>
  <c r="C502" i="1"/>
  <c r="D502" i="1"/>
  <c r="D499" i="1"/>
  <c r="C498" i="1"/>
  <c r="D498" i="1"/>
  <c r="D495" i="1"/>
  <c r="C494" i="1"/>
  <c r="D494" i="1"/>
  <c r="D491" i="1"/>
  <c r="C490" i="1"/>
  <c r="D490" i="1"/>
  <c r="C378" i="1"/>
  <c r="D378" i="1"/>
  <c r="C374" i="1"/>
  <c r="D374" i="1"/>
  <c r="C371" i="1"/>
  <c r="D371" i="1"/>
  <c r="C355" i="1"/>
  <c r="D355" i="1"/>
  <c r="D486" i="1"/>
  <c r="D482" i="1"/>
  <c r="D478" i="1"/>
  <c r="D474" i="1"/>
  <c r="D470" i="1"/>
  <c r="D466" i="1"/>
  <c r="D462" i="1"/>
  <c r="D458" i="1"/>
  <c r="D454" i="1"/>
  <c r="D450" i="1"/>
  <c r="D446" i="1"/>
  <c r="D442" i="1"/>
  <c r="D438" i="1"/>
  <c r="D434" i="1"/>
  <c r="D430" i="1"/>
  <c r="D426" i="1"/>
  <c r="D422" i="1"/>
  <c r="D418" i="1"/>
  <c r="D414" i="1"/>
  <c r="D410" i="1"/>
  <c r="D406" i="1"/>
  <c r="D402" i="1"/>
  <c r="D398" i="1"/>
  <c r="D394" i="1"/>
  <c r="D390" i="1"/>
  <c r="D386" i="1"/>
  <c r="D382" i="1"/>
  <c r="D364" i="1"/>
  <c r="C363" i="1"/>
  <c r="D363" i="1"/>
  <c r="D358" i="1"/>
  <c r="D348" i="1"/>
  <c r="D347" i="1"/>
  <c r="D341" i="1"/>
  <c r="D337" i="1"/>
  <c r="D333" i="1"/>
  <c r="D329" i="1"/>
  <c r="D325" i="1"/>
  <c r="D321" i="1"/>
  <c r="D317" i="1"/>
  <c r="D313" i="1"/>
  <c r="D309" i="1"/>
  <c r="D305" i="1"/>
  <c r="D301" i="1"/>
  <c r="D297" i="1"/>
  <c r="D293" i="1"/>
  <c r="D289" i="1"/>
  <c r="D285" i="1"/>
  <c r="D281" i="1"/>
  <c r="D277" i="1"/>
  <c r="D273" i="1"/>
  <c r="D269" i="1"/>
  <c r="D265" i="1"/>
  <c r="D261" i="1"/>
  <c r="D257" i="1"/>
  <c r="D253" i="1"/>
  <c r="D249" i="1"/>
  <c r="D245" i="1"/>
  <c r="D241" i="1"/>
  <c r="D237" i="1"/>
  <c r="D233" i="1"/>
  <c r="D229" i="1"/>
  <c r="D225" i="1"/>
  <c r="D221" i="1"/>
  <c r="D217" i="1"/>
  <c r="D213" i="1"/>
  <c r="D209" i="1"/>
  <c r="D205" i="1"/>
  <c r="D5000" i="1"/>
  <c r="D4996" i="1"/>
  <c r="D4992" i="1"/>
  <c r="D4988" i="1"/>
  <c r="D4984" i="1"/>
  <c r="D4980" i="1"/>
  <c r="D4976" i="1"/>
  <c r="D4972" i="1"/>
  <c r="D4968" i="1"/>
  <c r="D4964" i="1"/>
  <c r="D4960" i="1"/>
  <c r="D4956" i="1"/>
  <c r="D4954" i="1"/>
  <c r="D4952" i="1"/>
  <c r="D4950" i="1"/>
  <c r="D4948" i="1"/>
  <c r="D4946" i="1"/>
  <c r="D4944" i="1"/>
  <c r="D4942" i="1"/>
  <c r="D4940" i="1"/>
  <c r="D4938" i="1"/>
  <c r="D4924" i="1"/>
  <c r="D4922" i="1"/>
  <c r="D4920" i="1"/>
  <c r="D4918" i="1"/>
  <c r="D4916" i="1"/>
  <c r="D4914" i="1"/>
  <c r="D4912" i="1"/>
  <c r="D4910" i="1"/>
  <c r="D4908" i="1"/>
  <c r="D4906" i="1"/>
  <c r="D4904" i="1"/>
  <c r="D4902" i="1"/>
  <c r="D4890" i="1"/>
  <c r="D4888" i="1"/>
  <c r="D4886" i="1"/>
  <c r="D4884" i="1"/>
  <c r="D4882" i="1"/>
  <c r="D4880" i="1"/>
  <c r="D4878" i="1"/>
  <c r="D4876" i="1"/>
  <c r="D4874" i="1"/>
  <c r="D4872" i="1"/>
  <c r="D4870" i="1"/>
  <c r="D4868" i="1"/>
  <c r="D4866" i="1"/>
  <c r="D4850" i="1"/>
  <c r="D4838" i="1"/>
  <c r="D4820" i="1"/>
  <c r="D4818" i="1"/>
  <c r="D4816" i="1"/>
  <c r="D4814" i="1"/>
  <c r="D4812" i="1"/>
  <c r="D4810" i="1"/>
  <c r="D4808" i="1"/>
  <c r="D4806" i="1"/>
  <c r="D4788" i="1"/>
  <c r="D4786" i="1"/>
  <c r="D4784" i="1"/>
  <c r="D4782" i="1"/>
  <c r="D4780" i="1"/>
  <c r="D4778" i="1"/>
  <c r="D4776" i="1"/>
  <c r="D4774" i="1"/>
  <c r="D4772" i="1"/>
  <c r="D4770" i="1"/>
  <c r="D4750" i="1"/>
  <c r="D4748" i="1"/>
  <c r="D4746" i="1"/>
  <c r="D4744" i="1"/>
  <c r="D4742" i="1"/>
  <c r="D4716" i="1"/>
  <c r="D4714" i="1"/>
  <c r="D4712" i="1"/>
  <c r="D4710" i="1"/>
  <c r="D4708" i="1"/>
  <c r="D4706" i="1"/>
  <c r="D4698" i="1"/>
  <c r="D4696" i="1"/>
  <c r="D4694" i="1"/>
  <c r="D4692" i="1"/>
  <c r="D4690" i="1"/>
  <c r="D4688" i="1"/>
  <c r="D4686" i="1"/>
  <c r="D4684" i="1"/>
  <c r="D4682" i="1"/>
  <c r="D4680" i="1"/>
  <c r="D4678" i="1"/>
  <c r="D4676" i="1"/>
  <c r="D4674" i="1"/>
  <c r="D4670" i="1"/>
  <c r="D4668" i="1"/>
  <c r="D4622" i="1"/>
  <c r="D4620" i="1"/>
  <c r="D4618" i="1"/>
  <c r="D4616" i="1"/>
  <c r="D4614" i="1"/>
  <c r="D4612" i="1"/>
  <c r="D4610" i="1"/>
  <c r="D4586" i="1"/>
  <c r="D4584" i="1"/>
  <c r="D4582" i="1"/>
  <c r="D4580" i="1"/>
  <c r="D4578" i="1"/>
  <c r="D4574" i="1"/>
  <c r="D4572" i="1"/>
  <c r="D4570" i="1"/>
  <c r="D4568" i="1"/>
  <c r="D4566" i="1"/>
  <c r="D4556" i="1"/>
  <c r="D4554" i="1"/>
  <c r="D4552" i="1"/>
  <c r="D4550" i="1"/>
  <c r="D4548" i="1"/>
  <c r="D4546" i="1"/>
  <c r="D4542" i="1"/>
  <c r="D4540" i="1"/>
  <c r="D4538" i="1"/>
  <c r="D4536" i="1"/>
  <c r="D4532" i="1"/>
  <c r="D4530" i="1"/>
  <c r="D4528" i="1"/>
  <c r="D4526" i="1"/>
  <c r="D4524" i="1"/>
  <c r="D4522" i="1"/>
  <c r="D4520" i="1"/>
  <c r="D4518" i="1"/>
  <c r="D4516" i="1"/>
  <c r="D4514" i="1"/>
  <c r="D4496" i="1"/>
  <c r="D4494" i="1"/>
  <c r="D4492" i="1"/>
  <c r="D4490" i="1"/>
  <c r="D4488" i="1"/>
  <c r="D4486" i="1"/>
  <c r="D4462" i="1"/>
  <c r="D4460" i="1"/>
  <c r="D4458" i="1"/>
  <c r="D4456" i="1"/>
  <c r="D4454" i="1"/>
  <c r="D4452" i="1"/>
  <c r="D4450" i="1"/>
  <c r="D4446" i="1"/>
  <c r="D4444" i="1"/>
  <c r="D4442" i="1"/>
  <c r="D4440" i="1"/>
  <c r="D4438" i="1"/>
  <c r="D4436" i="1"/>
  <c r="D4434" i="1"/>
  <c r="D4432" i="1"/>
  <c r="D4420" i="1"/>
  <c r="D4372" i="1"/>
  <c r="D4370" i="1"/>
  <c r="D4368" i="1"/>
  <c r="D4366" i="1"/>
  <c r="D4364" i="1"/>
  <c r="D4362" i="1"/>
  <c r="D4360" i="1"/>
  <c r="D4358" i="1"/>
  <c r="D4356" i="1"/>
  <c r="D4354" i="1"/>
  <c r="D4344" i="1"/>
  <c r="D4342" i="1"/>
  <c r="D4340" i="1"/>
  <c r="D4338" i="1"/>
  <c r="D4308" i="1"/>
  <c r="D4306" i="1"/>
  <c r="D4304" i="1"/>
  <c r="D4302" i="1"/>
  <c r="D4292" i="1"/>
  <c r="D4290" i="1"/>
  <c r="D4286" i="1"/>
  <c r="D4284" i="1"/>
  <c r="D4282" i="1"/>
  <c r="D4280" i="1"/>
  <c r="D4278" i="1"/>
  <c r="D4276" i="1"/>
  <c r="D4274" i="1"/>
  <c r="D4272" i="1"/>
  <c r="D4270" i="1"/>
  <c r="D4264" i="1"/>
  <c r="D4262" i="1"/>
  <c r="D4260" i="1"/>
  <c r="D4258" i="1"/>
  <c r="D4254" i="1"/>
  <c r="D4252" i="1"/>
  <c r="D4250" i="1"/>
  <c r="D4248" i="1"/>
  <c r="D4246" i="1"/>
  <c r="D4226" i="1"/>
  <c r="D4222" i="1"/>
  <c r="D4220" i="1"/>
  <c r="D4218" i="1"/>
  <c r="D4212" i="1"/>
  <c r="D4210" i="1"/>
  <c r="D4208" i="1"/>
  <c r="D4206" i="1"/>
  <c r="D4204" i="1"/>
  <c r="D4202" i="1"/>
  <c r="D4200" i="1"/>
  <c r="D4198" i="1"/>
  <c r="D4196" i="1"/>
  <c r="D4194" i="1"/>
  <c r="D4192" i="1"/>
  <c r="D4190" i="1"/>
  <c r="C4936" i="1"/>
  <c r="C4934" i="1"/>
  <c r="C4932" i="1"/>
  <c r="C4930" i="1"/>
  <c r="C4926" i="1"/>
  <c r="C4900" i="1"/>
  <c r="C4898" i="1"/>
  <c r="C4894" i="1"/>
  <c r="C4892" i="1"/>
  <c r="C4862" i="1"/>
  <c r="C4860" i="1"/>
  <c r="C4858" i="1"/>
  <c r="C4856" i="1"/>
  <c r="C4854" i="1"/>
  <c r="C4852" i="1"/>
  <c r="C4848" i="1"/>
  <c r="C4846" i="1"/>
  <c r="C4844" i="1"/>
  <c r="C4842" i="1"/>
  <c r="C4840" i="1"/>
  <c r="C4836" i="1"/>
  <c r="C4834" i="1"/>
  <c r="C4830" i="1"/>
  <c r="C4828" i="1"/>
  <c r="C4826" i="1"/>
  <c r="C4824" i="1"/>
  <c r="C4822" i="1"/>
  <c r="C4804" i="1"/>
  <c r="C4802" i="1"/>
  <c r="C4798" i="1"/>
  <c r="C4796" i="1"/>
  <c r="C4794" i="1"/>
  <c r="C4792" i="1"/>
  <c r="C4790" i="1"/>
  <c r="C4766" i="1"/>
  <c r="C4764" i="1"/>
  <c r="C4762" i="1"/>
  <c r="C4760" i="1"/>
  <c r="C4758" i="1"/>
  <c r="C4756" i="1"/>
  <c r="C4754" i="1"/>
  <c r="C4752" i="1"/>
  <c r="C4738" i="1"/>
  <c r="C4734" i="1"/>
  <c r="C4732" i="1"/>
  <c r="C4728" i="1"/>
  <c r="C4726" i="1"/>
  <c r="C4724" i="1"/>
  <c r="C4722" i="1"/>
  <c r="C4720" i="1"/>
  <c r="C4718" i="1"/>
  <c r="C4702" i="1"/>
  <c r="C4700" i="1"/>
  <c r="C4638" i="1"/>
  <c r="C4636" i="1"/>
  <c r="C4634" i="1"/>
  <c r="C4606" i="1"/>
  <c r="C4604" i="1"/>
  <c r="C4602" i="1"/>
  <c r="C4600" i="1"/>
  <c r="C4598" i="1"/>
  <c r="C4596" i="1"/>
  <c r="C4594" i="1"/>
  <c r="C4592" i="1"/>
  <c r="C4590" i="1"/>
  <c r="C4588" i="1"/>
  <c r="C4564" i="1"/>
  <c r="C4562" i="1"/>
  <c r="C4560" i="1"/>
  <c r="C4558" i="1"/>
  <c r="C4534" i="1"/>
  <c r="C4510" i="1"/>
  <c r="C4508" i="1"/>
  <c r="C4506" i="1"/>
  <c r="C4504" i="1"/>
  <c r="C4502" i="1"/>
  <c r="C4500" i="1"/>
  <c r="C4498" i="1"/>
  <c r="C4482" i="1"/>
  <c r="C4478" i="1"/>
  <c r="C4476" i="1"/>
  <c r="C4474" i="1"/>
  <c r="C4472" i="1"/>
  <c r="C4470" i="1"/>
  <c r="C4468" i="1"/>
  <c r="C4466" i="1"/>
  <c r="C4464" i="1"/>
  <c r="C4430" i="1"/>
  <c r="C4428" i="1"/>
  <c r="C4426" i="1"/>
  <c r="C4424" i="1"/>
  <c r="C4422" i="1"/>
  <c r="C4414" i="1"/>
  <c r="C4412" i="1"/>
  <c r="C4410" i="1"/>
  <c r="C4408" i="1"/>
  <c r="C4406" i="1"/>
  <c r="C4404" i="1"/>
  <c r="C4402" i="1"/>
  <c r="C4400" i="1"/>
  <c r="C4398" i="1"/>
  <c r="C4396" i="1"/>
  <c r="C4394" i="1"/>
  <c r="C4392" i="1"/>
  <c r="C4390" i="1"/>
  <c r="C4388" i="1"/>
  <c r="C4386" i="1"/>
  <c r="C4382" i="1"/>
  <c r="C4380" i="1"/>
  <c r="C4378" i="1"/>
  <c r="C4376" i="1"/>
  <c r="C4374" i="1"/>
  <c r="C4350" i="1"/>
  <c r="C4348" i="1"/>
  <c r="C4346" i="1"/>
  <c r="C4336" i="1"/>
  <c r="C4334" i="1"/>
  <c r="C4332" i="1"/>
  <c r="C4330" i="1"/>
  <c r="C4328" i="1"/>
  <c r="C4326" i="1"/>
  <c r="C4324" i="1"/>
  <c r="C4322" i="1"/>
  <c r="C4316" i="1"/>
  <c r="C4314" i="1"/>
  <c r="C4312" i="1"/>
  <c r="C4310" i="1"/>
  <c r="C4300" i="1"/>
  <c r="C4298" i="1"/>
  <c r="C4296" i="1"/>
  <c r="C4294" i="1"/>
  <c r="C4268" i="1"/>
  <c r="C4244" i="1"/>
  <c r="C4242" i="1"/>
  <c r="C4240" i="1"/>
  <c r="C4238" i="1"/>
  <c r="C4236" i="1"/>
  <c r="C4234" i="1"/>
  <c r="C4232" i="1"/>
  <c r="C4230" i="1"/>
  <c r="C4216" i="1"/>
  <c r="C4188" i="1"/>
  <c r="C4186" i="1"/>
  <c r="C4184" i="1"/>
  <c r="C4182" i="1"/>
  <c r="C4180" i="1"/>
  <c r="C4178" i="1"/>
  <c r="C4176" i="1"/>
  <c r="C4174" i="1"/>
  <c r="C4172" i="1"/>
  <c r="C4170" i="1"/>
  <c r="C4168" i="1"/>
  <c r="C4166" i="1"/>
  <c r="C4164" i="1"/>
  <c r="C4162" i="1"/>
  <c r="C4160" i="1"/>
  <c r="D2772" i="1"/>
  <c r="D2768" i="1"/>
  <c r="D2764" i="1"/>
  <c r="D2760" i="1"/>
  <c r="D2756" i="1"/>
  <c r="D2752" i="1"/>
  <c r="D2748" i="1"/>
  <c r="D2744" i="1"/>
  <c r="D2740" i="1"/>
  <c r="D2736" i="1"/>
  <c r="D2732" i="1"/>
  <c r="D2728" i="1"/>
  <c r="D2724" i="1"/>
  <c r="D2720" i="1"/>
  <c r="D2716" i="1"/>
  <c r="D2712" i="1"/>
  <c r="D2708" i="1"/>
  <c r="D2704" i="1"/>
  <c r="D2700" i="1"/>
  <c r="D2696" i="1"/>
  <c r="D2692" i="1"/>
  <c r="D2688" i="1"/>
  <c r="D2684" i="1"/>
  <c r="D2680" i="1"/>
  <c r="D2676" i="1"/>
  <c r="D2672" i="1"/>
  <c r="D2668" i="1"/>
  <c r="D2652" i="1"/>
  <c r="D2648" i="1"/>
  <c r="D2644" i="1"/>
  <c r="D2640" i="1"/>
  <c r="D2636" i="1"/>
  <c r="D2632" i="1"/>
  <c r="D2628" i="1"/>
  <c r="D2624" i="1"/>
  <c r="D2620" i="1"/>
  <c r="D2616" i="1"/>
  <c r="D2612" i="1"/>
  <c r="D2608" i="1"/>
  <c r="D2604" i="1"/>
  <c r="D2600" i="1"/>
  <c r="D2596" i="1"/>
  <c r="D2592" i="1"/>
  <c r="D2588" i="1"/>
  <c r="D2584" i="1"/>
  <c r="D2580" i="1"/>
  <c r="D2576" i="1"/>
  <c r="D2572" i="1"/>
  <c r="D2568" i="1"/>
  <c r="D2564" i="1"/>
  <c r="D2560" i="1"/>
  <c r="D2556" i="1"/>
  <c r="D2552" i="1"/>
  <c r="D2548" i="1"/>
  <c r="D2544" i="1"/>
  <c r="D2540" i="1"/>
  <c r="D2536" i="1"/>
  <c r="D2532" i="1"/>
  <c r="D2666" i="1"/>
  <c r="D2662" i="1"/>
  <c r="D2658" i="1"/>
  <c r="D2654" i="1"/>
  <c r="D1487" i="1"/>
  <c r="D1483" i="1"/>
  <c r="D1479" i="1"/>
  <c r="D1475" i="1"/>
  <c r="D1471" i="1"/>
  <c r="D1467" i="1"/>
  <c r="D1463" i="1"/>
  <c r="D1459" i="1"/>
  <c r="D1455" i="1"/>
  <c r="D1451" i="1"/>
  <c r="D1447" i="1"/>
  <c r="D1443" i="1"/>
  <c r="D1439" i="1"/>
  <c r="D1435" i="1"/>
  <c r="D1431" i="1"/>
  <c r="D1427" i="1"/>
  <c r="D1423" i="1"/>
  <c r="D1419" i="1"/>
  <c r="D1415" i="1"/>
  <c r="D1411" i="1"/>
  <c r="D1407" i="1"/>
  <c r="D1403" i="1"/>
  <c r="D1399" i="1"/>
  <c r="D1395" i="1"/>
  <c r="D1391" i="1"/>
  <c r="D1387" i="1"/>
  <c r="D1383" i="1"/>
  <c r="D1379" i="1"/>
  <c r="D1375" i="1"/>
  <c r="D1371" i="1"/>
  <c r="D1367" i="1"/>
  <c r="D1363" i="1"/>
  <c r="D1359" i="1"/>
  <c r="D1355" i="1"/>
  <c r="D1351" i="1"/>
  <c r="D1347" i="1"/>
  <c r="D1343" i="1"/>
  <c r="D1339" i="1"/>
  <c r="D823" i="1"/>
  <c r="D819" i="1"/>
  <c r="D815" i="1"/>
  <c r="D811" i="1"/>
  <c r="D807" i="1"/>
  <c r="D803" i="1"/>
  <c r="D799" i="1"/>
  <c r="D795" i="1"/>
  <c r="D791" i="1"/>
  <c r="D787" i="1"/>
  <c r="D696" i="1"/>
  <c r="D692" i="1"/>
  <c r="D688" i="1"/>
  <c r="D684" i="1"/>
  <c r="D680" i="1"/>
  <c r="D676" i="1"/>
  <c r="D672" i="1"/>
  <c r="D668" i="1"/>
  <c r="D664" i="1"/>
  <c r="D660" i="1"/>
  <c r="D656" i="1"/>
  <c r="D652" i="1"/>
  <c r="D648" i="1"/>
  <c r="D644" i="1"/>
  <c r="D640" i="1"/>
  <c r="D636" i="1"/>
  <c r="D632" i="1"/>
  <c r="D628" i="1"/>
  <c r="D624" i="1"/>
  <c r="D620" i="1"/>
  <c r="D373" i="1"/>
  <c r="D369" i="1"/>
  <c r="D365" i="1"/>
  <c r="D361" i="1"/>
  <c r="D357" i="1"/>
  <c r="D353" i="1"/>
  <c r="D349" i="1"/>
  <c r="D345" i="1"/>
  <c r="C194" i="1"/>
  <c r="C195" i="1"/>
  <c r="D195" i="1"/>
  <c r="C196" i="1"/>
  <c r="C197" i="1"/>
  <c r="C198" i="1"/>
  <c r="C199" i="1"/>
  <c r="C200" i="1"/>
  <c r="C201" i="1"/>
  <c r="C202" i="1"/>
  <c r="C203" i="1"/>
  <c r="C204" i="1"/>
  <c r="C185" i="1"/>
  <c r="C186" i="1"/>
  <c r="C187" i="1"/>
  <c r="C188" i="1"/>
  <c r="C189" i="1"/>
  <c r="C190" i="1"/>
  <c r="C191" i="1"/>
  <c r="C192" i="1"/>
  <c r="C193" i="1"/>
  <c r="D1" i="1"/>
  <c r="C2" i="1"/>
  <c r="C3" i="1"/>
  <c r="C4" i="1"/>
  <c r="C5" i="1"/>
  <c r="D6" i="1"/>
  <c r="C7" i="1"/>
  <c r="C8" i="1"/>
  <c r="C9" i="1"/>
  <c r="D10" i="1"/>
  <c r="C11" i="1"/>
  <c r="C12" i="1"/>
  <c r="C13" i="1"/>
  <c r="C14" i="1"/>
  <c r="C15" i="1"/>
  <c r="C16" i="1"/>
  <c r="C17" i="1"/>
  <c r="D18" i="1"/>
  <c r="C19" i="1"/>
  <c r="C20" i="1"/>
  <c r="C21" i="1"/>
  <c r="C22" i="1"/>
  <c r="C23" i="1"/>
  <c r="C24" i="1"/>
  <c r="C25" i="1"/>
  <c r="C26" i="1"/>
  <c r="C27" i="1"/>
  <c r="C28" i="1"/>
  <c r="C29" i="1"/>
  <c r="D30" i="1"/>
  <c r="C31" i="1"/>
  <c r="C32" i="1"/>
  <c r="C33" i="1"/>
  <c r="C34" i="1"/>
  <c r="C36" i="1"/>
  <c r="C37" i="1"/>
  <c r="D38" i="1"/>
  <c r="C40" i="1"/>
  <c r="C41" i="1"/>
  <c r="C42" i="1"/>
  <c r="C44" i="1"/>
  <c r="C45" i="1"/>
  <c r="D46" i="1"/>
  <c r="C48" i="1"/>
  <c r="C49" i="1"/>
  <c r="C50" i="1"/>
  <c r="C52" i="1"/>
  <c r="C53" i="1"/>
  <c r="D54" i="1"/>
  <c r="C56" i="1"/>
  <c r="C57" i="1"/>
  <c r="C58" i="1"/>
  <c r="C60" i="1"/>
  <c r="C61" i="1"/>
  <c r="D62" i="1"/>
  <c r="C64" i="1"/>
  <c r="C65" i="1"/>
  <c r="C66" i="1"/>
  <c r="C68" i="1"/>
  <c r="C69" i="1"/>
  <c r="D70" i="1"/>
  <c r="C72" i="1"/>
  <c r="C73" i="1"/>
  <c r="C74" i="1"/>
  <c r="C75" i="1"/>
  <c r="D76" i="1"/>
  <c r="C77" i="1"/>
  <c r="D78" i="1"/>
  <c r="C79" i="1"/>
  <c r="C80" i="1"/>
  <c r="C81" i="1"/>
  <c r="C82" i="1"/>
  <c r="C83" i="1"/>
  <c r="C84" i="1"/>
  <c r="C85" i="1"/>
  <c r="D86" i="1"/>
  <c r="C87" i="1"/>
  <c r="D88" i="1"/>
  <c r="C89" i="1"/>
  <c r="C90" i="1"/>
  <c r="C91" i="1"/>
  <c r="C92" i="1"/>
  <c r="C93" i="1"/>
  <c r="C94" i="1"/>
  <c r="C95" i="1"/>
  <c r="C96" i="1"/>
  <c r="D96" i="1"/>
  <c r="C97" i="1"/>
  <c r="C98" i="1"/>
  <c r="C99" i="1"/>
  <c r="C100" i="1"/>
  <c r="C101" i="1"/>
  <c r="C102" i="1"/>
  <c r="C103" i="1"/>
  <c r="C104" i="1"/>
  <c r="D104" i="1"/>
  <c r="C105" i="1"/>
  <c r="C106" i="1"/>
  <c r="C107" i="1"/>
  <c r="C108" i="1"/>
  <c r="C109" i="1"/>
  <c r="C110" i="1"/>
  <c r="C111" i="1"/>
  <c r="C112" i="1"/>
  <c r="C113" i="1"/>
  <c r="C114" i="1"/>
  <c r="C115" i="1"/>
  <c r="C116" i="1"/>
  <c r="C117" i="1"/>
  <c r="C118" i="1"/>
  <c r="C119" i="1"/>
  <c r="D120" i="1"/>
  <c r="C121" i="1"/>
  <c r="C122" i="1"/>
  <c r="C123" i="1"/>
  <c r="C124" i="1"/>
  <c r="C125" i="1"/>
  <c r="C126" i="1"/>
  <c r="C127" i="1"/>
  <c r="D128" i="1"/>
  <c r="C129" i="1"/>
  <c r="D130" i="1"/>
  <c r="C131" i="1"/>
  <c r="D132" i="1"/>
  <c r="C133" i="1"/>
  <c r="C134" i="1"/>
  <c r="C135" i="1"/>
  <c r="D136" i="1"/>
  <c r="C137" i="1"/>
  <c r="C138" i="1"/>
  <c r="C139" i="1"/>
  <c r="C140" i="1"/>
  <c r="D140" i="1"/>
  <c r="C141" i="1"/>
  <c r="C142" i="1"/>
  <c r="C143" i="1"/>
  <c r="C144" i="1"/>
  <c r="C145" i="1"/>
  <c r="C146" i="1"/>
  <c r="C147" i="1"/>
  <c r="C148" i="1"/>
  <c r="C149" i="1"/>
  <c r="D150" i="1"/>
  <c r="C151" i="1"/>
  <c r="C152" i="1"/>
  <c r="C153" i="1"/>
  <c r="C154" i="1"/>
  <c r="C155" i="1"/>
  <c r="D156" i="1"/>
  <c r="C157" i="1"/>
  <c r="C158" i="1"/>
  <c r="C159" i="1"/>
  <c r="D160" i="1"/>
  <c r="C161" i="1"/>
  <c r="C162" i="1"/>
  <c r="C163" i="1"/>
  <c r="D164" i="1"/>
  <c r="C165" i="1"/>
  <c r="C166" i="1"/>
  <c r="C167" i="1"/>
  <c r="C169" i="1"/>
  <c r="D170" i="1"/>
  <c r="C171" i="1"/>
  <c r="D172" i="1"/>
  <c r="C173" i="1"/>
  <c r="D174" i="1"/>
  <c r="C175" i="1"/>
  <c r="D176" i="1"/>
  <c r="D177" i="1"/>
  <c r="D178" i="1"/>
  <c r="C179" i="1"/>
  <c r="D180" i="1"/>
  <c r="D181" i="1"/>
  <c r="D182" i="1"/>
  <c r="C183" i="1"/>
  <c r="D184" i="1"/>
  <c r="C168" i="1"/>
  <c r="I1" i="1" a="1"/>
  <c r="I1" i="1" l="1"/>
  <c r="I5" i="1"/>
  <c r="I9" i="1"/>
  <c r="I13" i="1"/>
  <c r="I17" i="1"/>
  <c r="I21" i="1"/>
  <c r="I25" i="1"/>
  <c r="I29" i="1"/>
  <c r="I33" i="1"/>
  <c r="I37" i="1"/>
  <c r="I41" i="1"/>
  <c r="I45" i="1"/>
  <c r="I49" i="1"/>
  <c r="I53" i="1"/>
  <c r="I57" i="1"/>
  <c r="I61" i="1"/>
  <c r="I65" i="1"/>
  <c r="I69" i="1"/>
  <c r="I73" i="1"/>
  <c r="I77" i="1"/>
  <c r="I81" i="1"/>
  <c r="I85" i="1"/>
  <c r="I89" i="1"/>
  <c r="I93" i="1"/>
  <c r="I97" i="1"/>
  <c r="I101" i="1"/>
  <c r="I105" i="1"/>
  <c r="I109" i="1"/>
  <c r="I113" i="1"/>
  <c r="I117" i="1"/>
  <c r="I121" i="1"/>
  <c r="I125" i="1"/>
  <c r="I129" i="1"/>
  <c r="I133" i="1"/>
  <c r="I137" i="1"/>
  <c r="I141" i="1"/>
  <c r="I145" i="1"/>
  <c r="I149" i="1"/>
  <c r="I153" i="1"/>
  <c r="I157" i="1"/>
  <c r="I161" i="1"/>
  <c r="I165" i="1"/>
  <c r="I169" i="1"/>
  <c r="I6" i="1"/>
  <c r="I14" i="1"/>
  <c r="I22" i="1"/>
  <c r="I30" i="1"/>
  <c r="I38" i="1"/>
  <c r="I46" i="1"/>
  <c r="I54" i="1"/>
  <c r="I62" i="1"/>
  <c r="I70" i="1"/>
  <c r="I78" i="1"/>
  <c r="I86" i="1"/>
  <c r="I94" i="1"/>
  <c r="I102" i="1"/>
  <c r="I110" i="1"/>
  <c r="I118" i="1"/>
  <c r="I126" i="1"/>
  <c r="I134" i="1"/>
  <c r="I142" i="1"/>
  <c r="I150" i="1"/>
  <c r="I158" i="1"/>
  <c r="I166" i="1"/>
  <c r="I172" i="1"/>
  <c r="I176" i="1"/>
  <c r="I180" i="1"/>
  <c r="I184" i="1"/>
  <c r="I188" i="1"/>
  <c r="I192" i="1"/>
  <c r="I196" i="1"/>
  <c r="I200" i="1"/>
  <c r="I204" i="1"/>
  <c r="I208" i="1"/>
  <c r="I4" i="1"/>
  <c r="I12" i="1"/>
  <c r="I20" i="1"/>
  <c r="I28" i="1"/>
  <c r="I36" i="1"/>
  <c r="I44" i="1"/>
  <c r="I52" i="1"/>
  <c r="I60" i="1"/>
  <c r="I68" i="1"/>
  <c r="I76" i="1"/>
  <c r="I84" i="1"/>
  <c r="I92" i="1"/>
  <c r="I100" i="1"/>
  <c r="I108" i="1"/>
  <c r="I116" i="1"/>
  <c r="I124" i="1"/>
  <c r="I132" i="1"/>
  <c r="I140" i="1"/>
  <c r="I148" i="1"/>
  <c r="I156" i="1"/>
  <c r="I164" i="1"/>
  <c r="I171" i="1"/>
  <c r="I175" i="1"/>
  <c r="I179" i="1"/>
  <c r="I183" i="1"/>
  <c r="I187" i="1"/>
  <c r="I191" i="1"/>
  <c r="I195" i="1"/>
  <c r="I199" i="1"/>
  <c r="I203" i="1"/>
  <c r="I207" i="1"/>
  <c r="I211" i="1"/>
  <c r="I215" i="1"/>
  <c r="I219" i="1"/>
  <c r="I223" i="1"/>
  <c r="I227" i="1"/>
  <c r="I231" i="1"/>
  <c r="I235" i="1"/>
  <c r="I239" i="1"/>
  <c r="I243" i="1"/>
  <c r="I247" i="1"/>
  <c r="I251" i="1"/>
  <c r="I255" i="1"/>
  <c r="I259" i="1"/>
  <c r="I263" i="1"/>
  <c r="I267" i="1"/>
  <c r="I271" i="1"/>
  <c r="I275" i="1"/>
  <c r="I279" i="1"/>
  <c r="I283" i="1"/>
  <c r="I287" i="1"/>
  <c r="I291" i="1"/>
  <c r="I295" i="1"/>
  <c r="I299" i="1"/>
  <c r="I303" i="1"/>
  <c r="I307" i="1"/>
  <c r="I311" i="1"/>
  <c r="I315" i="1"/>
  <c r="I319" i="1"/>
  <c r="I323" i="1"/>
  <c r="I327" i="1"/>
  <c r="I331" i="1"/>
  <c r="I335" i="1"/>
  <c r="I339" i="1"/>
  <c r="I343" i="1"/>
  <c r="I347" i="1"/>
  <c r="I351" i="1"/>
  <c r="I355" i="1"/>
  <c r="I359" i="1"/>
  <c r="I363" i="1"/>
  <c r="I367" i="1"/>
  <c r="I371" i="1"/>
  <c r="I375" i="1"/>
  <c r="I379" i="1"/>
  <c r="I383" i="1"/>
  <c r="I387" i="1"/>
  <c r="I391" i="1"/>
  <c r="I395" i="1"/>
  <c r="I399" i="1"/>
  <c r="I403" i="1"/>
  <c r="I407" i="1"/>
  <c r="I411" i="1"/>
  <c r="I415" i="1"/>
  <c r="I419" i="1"/>
  <c r="I423" i="1"/>
  <c r="I212" i="1"/>
  <c r="I220" i="1"/>
  <c r="I228" i="1"/>
  <c r="I236" i="1"/>
  <c r="I244" i="1"/>
  <c r="I252" i="1"/>
  <c r="I260" i="1"/>
  <c r="I268" i="1"/>
  <c r="I276" i="1"/>
  <c r="I284" i="1"/>
  <c r="I292" i="1"/>
  <c r="I300" i="1"/>
  <c r="I308" i="1"/>
  <c r="I316" i="1"/>
  <c r="I324" i="1"/>
  <c r="I332" i="1"/>
  <c r="I340" i="1"/>
  <c r="I348" i="1"/>
  <c r="I356" i="1"/>
  <c r="I364" i="1"/>
  <c r="I372" i="1"/>
  <c r="I380" i="1"/>
  <c r="I388" i="1"/>
  <c r="I396" i="1"/>
  <c r="I404" i="1"/>
  <c r="I412" i="1"/>
  <c r="I420" i="1"/>
  <c r="I427" i="1"/>
  <c r="I431" i="1"/>
  <c r="I435" i="1"/>
  <c r="I439" i="1"/>
  <c r="I443" i="1"/>
  <c r="I447" i="1"/>
  <c r="I451" i="1"/>
  <c r="I455" i="1"/>
  <c r="I459" i="1"/>
  <c r="I463" i="1"/>
  <c r="I467" i="1"/>
  <c r="I471" i="1"/>
  <c r="I475" i="1"/>
  <c r="I479" i="1"/>
  <c r="I483" i="1"/>
  <c r="I487" i="1"/>
  <c r="I218" i="1"/>
  <c r="I226" i="1"/>
  <c r="I234" i="1"/>
  <c r="I242" i="1"/>
  <c r="I250" i="1"/>
  <c r="I258" i="1"/>
  <c r="I266" i="1"/>
  <c r="I274" i="1"/>
  <c r="I282" i="1"/>
  <c r="I290" i="1"/>
  <c r="I298" i="1"/>
  <c r="I306" i="1"/>
  <c r="I314" i="1"/>
  <c r="I322" i="1"/>
  <c r="I330" i="1"/>
  <c r="I338" i="1"/>
  <c r="I346" i="1"/>
  <c r="I354" i="1"/>
  <c r="I362" i="1"/>
  <c r="I370" i="1"/>
  <c r="I378" i="1"/>
  <c r="I386" i="1"/>
  <c r="I394" i="1"/>
  <c r="I402" i="1"/>
  <c r="I410" i="1"/>
  <c r="I418" i="1"/>
  <c r="I426" i="1"/>
  <c r="I430" i="1"/>
  <c r="I434" i="1"/>
  <c r="I438" i="1"/>
  <c r="I442" i="1"/>
  <c r="I446" i="1"/>
  <c r="I450" i="1"/>
  <c r="I454" i="1"/>
  <c r="I458" i="1"/>
  <c r="I462" i="1"/>
  <c r="I466" i="1"/>
  <c r="I470" i="1"/>
  <c r="I474" i="1"/>
  <c r="I478" i="1"/>
  <c r="I482" i="1"/>
  <c r="I486" i="1"/>
  <c r="I490" i="1"/>
  <c r="I494" i="1"/>
  <c r="I498" i="1"/>
  <c r="I502" i="1"/>
  <c r="I506" i="1"/>
  <c r="I510" i="1"/>
  <c r="I514" i="1"/>
  <c r="I518" i="1"/>
  <c r="I522" i="1"/>
  <c r="I526" i="1"/>
  <c r="I530" i="1"/>
  <c r="I534" i="1"/>
  <c r="I538" i="1"/>
  <c r="I542" i="1"/>
  <c r="I546" i="1"/>
  <c r="I550" i="1"/>
  <c r="I554" i="1"/>
  <c r="I558" i="1"/>
  <c r="I562" i="1"/>
  <c r="I566" i="1"/>
  <c r="I570" i="1"/>
  <c r="I574" i="1"/>
  <c r="I578" i="1"/>
  <c r="I582" i="1"/>
  <c r="I586" i="1"/>
  <c r="I590" i="1"/>
  <c r="I594" i="1"/>
  <c r="I598" i="1"/>
  <c r="I602" i="1"/>
  <c r="I606" i="1"/>
  <c r="I610" i="1"/>
  <c r="I614" i="1"/>
  <c r="I618" i="1"/>
  <c r="I622" i="1"/>
  <c r="I626" i="1"/>
  <c r="I630" i="1"/>
  <c r="I634" i="1"/>
  <c r="I638" i="1"/>
  <c r="I642" i="1"/>
  <c r="I646" i="1"/>
  <c r="I650" i="1"/>
  <c r="I654" i="1"/>
  <c r="I658" i="1"/>
  <c r="I662" i="1"/>
  <c r="I666" i="1"/>
  <c r="I670" i="1"/>
  <c r="I674" i="1"/>
  <c r="I678" i="1"/>
  <c r="I682" i="1"/>
  <c r="I686" i="1"/>
  <c r="I690" i="1"/>
  <c r="I694" i="1"/>
  <c r="I698" i="1"/>
  <c r="I702" i="1"/>
  <c r="I706" i="1"/>
  <c r="I710" i="1"/>
  <c r="I714" i="1"/>
  <c r="I718" i="1"/>
  <c r="I722" i="1"/>
  <c r="I726" i="1"/>
  <c r="I730" i="1"/>
  <c r="I734" i="1"/>
  <c r="I738" i="1"/>
  <c r="I742" i="1"/>
  <c r="I746" i="1"/>
  <c r="I750" i="1"/>
  <c r="I754" i="1"/>
  <c r="I758" i="1"/>
  <c r="I762" i="1"/>
  <c r="I766" i="1"/>
  <c r="I770" i="1"/>
  <c r="I774" i="1"/>
  <c r="I778" i="1"/>
  <c r="I782" i="1"/>
  <c r="I493" i="1"/>
  <c r="I501" i="1"/>
  <c r="I509" i="1"/>
  <c r="I517" i="1"/>
  <c r="I525" i="1"/>
  <c r="I533" i="1"/>
  <c r="I541" i="1"/>
  <c r="I549" i="1"/>
  <c r="I557" i="1"/>
  <c r="I565" i="1"/>
  <c r="I573" i="1"/>
  <c r="I581" i="1"/>
  <c r="I589" i="1"/>
  <c r="I597" i="1"/>
  <c r="I605" i="1"/>
  <c r="I613" i="1"/>
  <c r="I621" i="1"/>
  <c r="I629" i="1"/>
  <c r="I637" i="1"/>
  <c r="I645" i="1"/>
  <c r="I653" i="1"/>
  <c r="I661" i="1"/>
  <c r="I669" i="1"/>
  <c r="I677" i="1"/>
  <c r="I685" i="1"/>
  <c r="I693" i="1"/>
  <c r="I701" i="1"/>
  <c r="I709" i="1"/>
  <c r="I717" i="1"/>
  <c r="I725" i="1"/>
  <c r="I733" i="1"/>
  <c r="I741" i="1"/>
  <c r="I749" i="1"/>
  <c r="I757" i="1"/>
  <c r="I765" i="1"/>
  <c r="I773" i="1"/>
  <c r="I781" i="1"/>
  <c r="I786" i="1"/>
  <c r="I790" i="1"/>
  <c r="I794" i="1"/>
  <c r="I798" i="1"/>
  <c r="I802" i="1"/>
  <c r="I806" i="1"/>
  <c r="I810" i="1"/>
  <c r="I814" i="1"/>
  <c r="I818" i="1"/>
  <c r="I822" i="1"/>
  <c r="I826" i="1"/>
  <c r="I830" i="1"/>
  <c r="I834" i="1"/>
  <c r="I838" i="1"/>
  <c r="I842" i="1"/>
  <c r="I846" i="1"/>
  <c r="I850" i="1"/>
  <c r="I854" i="1"/>
  <c r="I858" i="1"/>
  <c r="I862" i="1"/>
  <c r="I866" i="1"/>
  <c r="I870" i="1"/>
  <c r="I874" i="1"/>
  <c r="I878" i="1"/>
  <c r="I882" i="1"/>
  <c r="I886" i="1"/>
  <c r="I890" i="1"/>
  <c r="I894" i="1"/>
  <c r="I898" i="1"/>
  <c r="I902" i="1"/>
  <c r="I906" i="1"/>
  <c r="I910" i="1"/>
  <c r="I914" i="1"/>
  <c r="I918" i="1"/>
  <c r="I922" i="1"/>
  <c r="I926" i="1"/>
  <c r="I930" i="1"/>
  <c r="I934" i="1"/>
  <c r="I938" i="1"/>
  <c r="I942" i="1"/>
  <c r="I946" i="1"/>
  <c r="I950" i="1"/>
  <c r="I954" i="1"/>
  <c r="I958" i="1"/>
  <c r="I962" i="1"/>
  <c r="I966" i="1"/>
  <c r="I970" i="1"/>
  <c r="I974" i="1"/>
  <c r="I495" i="1"/>
  <c r="I503" i="1"/>
  <c r="I511" i="1"/>
  <c r="I519" i="1"/>
  <c r="I527" i="1"/>
  <c r="I535" i="1"/>
  <c r="I543" i="1"/>
  <c r="I551" i="1"/>
  <c r="I559" i="1"/>
  <c r="I567" i="1"/>
  <c r="I575" i="1"/>
  <c r="I583" i="1"/>
  <c r="I591" i="1"/>
  <c r="I599" i="1"/>
  <c r="I607" i="1"/>
  <c r="I615" i="1"/>
  <c r="I623" i="1"/>
  <c r="I631" i="1"/>
  <c r="I639" i="1"/>
  <c r="I647" i="1"/>
  <c r="I655" i="1"/>
  <c r="I663" i="1"/>
  <c r="I671" i="1"/>
  <c r="I679" i="1"/>
  <c r="I687" i="1"/>
  <c r="I695" i="1"/>
  <c r="I703" i="1"/>
  <c r="I711" i="1"/>
  <c r="I719" i="1"/>
  <c r="I727" i="1"/>
  <c r="I735" i="1"/>
  <c r="I743" i="1"/>
  <c r="I751" i="1"/>
  <c r="I759" i="1"/>
  <c r="I767" i="1"/>
  <c r="I775" i="1"/>
  <c r="I783" i="1"/>
  <c r="I787" i="1"/>
  <c r="I791" i="1"/>
  <c r="I795" i="1"/>
  <c r="I799" i="1"/>
  <c r="I803" i="1"/>
  <c r="I807" i="1"/>
  <c r="I811" i="1"/>
  <c r="I815" i="1"/>
  <c r="I819" i="1"/>
  <c r="I823" i="1"/>
  <c r="I827" i="1"/>
  <c r="I831" i="1"/>
  <c r="I835" i="1"/>
  <c r="I839" i="1"/>
  <c r="I843" i="1"/>
  <c r="I847" i="1"/>
  <c r="I851" i="1"/>
  <c r="I855" i="1"/>
  <c r="I859" i="1"/>
  <c r="I863" i="1"/>
  <c r="I867" i="1"/>
  <c r="I871" i="1"/>
  <c r="I875" i="1"/>
  <c r="I879" i="1"/>
  <c r="I883" i="1"/>
  <c r="I887" i="1"/>
  <c r="I891" i="1"/>
  <c r="I895" i="1"/>
  <c r="I899" i="1"/>
  <c r="I903" i="1"/>
  <c r="I907" i="1"/>
  <c r="I911" i="1"/>
  <c r="I915" i="1"/>
  <c r="I919" i="1"/>
  <c r="I923" i="1"/>
  <c r="I927" i="1"/>
  <c r="I931" i="1"/>
  <c r="I935" i="1"/>
  <c r="I939" i="1"/>
  <c r="I943" i="1"/>
  <c r="I947" i="1"/>
  <c r="I951" i="1"/>
  <c r="I955" i="1"/>
  <c r="I959" i="1"/>
  <c r="I963" i="1"/>
  <c r="I967" i="1"/>
  <c r="I971" i="1"/>
  <c r="I975" i="1"/>
  <c r="I979" i="1"/>
  <c r="I983" i="1"/>
  <c r="I987" i="1"/>
  <c r="I991" i="1"/>
  <c r="I995" i="1"/>
  <c r="I999" i="1"/>
  <c r="I1003" i="1"/>
  <c r="I1007" i="1"/>
  <c r="I1011" i="1"/>
  <c r="I1015" i="1"/>
  <c r="I1019" i="1"/>
  <c r="I1023" i="1"/>
  <c r="I1027" i="1"/>
  <c r="I1031" i="1"/>
  <c r="I1035" i="1"/>
  <c r="I1039" i="1"/>
  <c r="I1043" i="1"/>
  <c r="I1047" i="1"/>
  <c r="I1051" i="1"/>
  <c r="I1055" i="1"/>
  <c r="I1059" i="1"/>
  <c r="I1063" i="1"/>
  <c r="I1067" i="1"/>
  <c r="I1071" i="1"/>
  <c r="I1075" i="1"/>
  <c r="I1079" i="1"/>
  <c r="I1083" i="1"/>
  <c r="I1087" i="1"/>
  <c r="I1091" i="1"/>
  <c r="I1095" i="1"/>
  <c r="I1099" i="1"/>
  <c r="I1103" i="1"/>
  <c r="I1107" i="1"/>
  <c r="I1111" i="1"/>
  <c r="I1115" i="1"/>
  <c r="I1119" i="1"/>
  <c r="I1123" i="1"/>
  <c r="I1127" i="1"/>
  <c r="I1131" i="1"/>
  <c r="I1135" i="1"/>
  <c r="I1139" i="1"/>
  <c r="I1143" i="1"/>
  <c r="I1147" i="1"/>
  <c r="I1151" i="1"/>
  <c r="I1155" i="1"/>
  <c r="I1159" i="1"/>
  <c r="I1163" i="1"/>
  <c r="I1167" i="1"/>
  <c r="I1171" i="1"/>
  <c r="I1175" i="1"/>
  <c r="I1179" i="1"/>
  <c r="I1183" i="1"/>
  <c r="I1187" i="1"/>
  <c r="I1191" i="1"/>
  <c r="I1195" i="1"/>
  <c r="I1199" i="1"/>
  <c r="I1203" i="1"/>
  <c r="I1207" i="1"/>
  <c r="I1211" i="1"/>
  <c r="I1215" i="1"/>
  <c r="I1219" i="1"/>
  <c r="I1223" i="1"/>
  <c r="I1227" i="1"/>
  <c r="I1231" i="1"/>
  <c r="I1235" i="1"/>
  <c r="I1239" i="1"/>
  <c r="I1243" i="1"/>
  <c r="I1247" i="1"/>
  <c r="I1251" i="1"/>
  <c r="I1255" i="1"/>
  <c r="I1259" i="1"/>
  <c r="I1263" i="1"/>
  <c r="I1267" i="1"/>
  <c r="I1271" i="1"/>
  <c r="I1275" i="1"/>
  <c r="I1279" i="1"/>
  <c r="I1283" i="1"/>
  <c r="I1287" i="1"/>
  <c r="I1291" i="1"/>
  <c r="I1295" i="1"/>
  <c r="I1299" i="1"/>
  <c r="I1303" i="1"/>
  <c r="I1307" i="1"/>
  <c r="I1311" i="1"/>
  <c r="I1315" i="1"/>
  <c r="I976" i="1"/>
  <c r="I984" i="1"/>
  <c r="I992" i="1"/>
  <c r="I1000" i="1"/>
  <c r="I1008" i="1"/>
  <c r="I1016" i="1"/>
  <c r="I1024" i="1"/>
  <c r="I1032" i="1"/>
  <c r="I1040" i="1"/>
  <c r="I1048" i="1"/>
  <c r="I1056" i="1"/>
  <c r="I1064" i="1"/>
  <c r="I1072" i="1"/>
  <c r="I1080" i="1"/>
  <c r="I1088" i="1"/>
  <c r="I1096" i="1"/>
  <c r="I1104" i="1"/>
  <c r="I1112" i="1"/>
  <c r="I1120" i="1"/>
  <c r="I1128" i="1"/>
  <c r="I1136" i="1"/>
  <c r="I1144" i="1"/>
  <c r="I1152" i="1"/>
  <c r="I1160" i="1"/>
  <c r="I1168" i="1"/>
  <c r="I1176" i="1"/>
  <c r="I1184" i="1"/>
  <c r="I1192" i="1"/>
  <c r="I1200" i="1"/>
  <c r="I1208" i="1"/>
  <c r="I1216" i="1"/>
  <c r="I1224" i="1"/>
  <c r="I1232" i="1"/>
  <c r="I1240" i="1"/>
  <c r="I1248" i="1"/>
  <c r="I1256" i="1"/>
  <c r="I1264" i="1"/>
  <c r="I1272" i="1"/>
  <c r="I1280" i="1"/>
  <c r="I1288" i="1"/>
  <c r="I1296" i="1"/>
  <c r="I1304" i="1"/>
  <c r="I1312" i="1"/>
  <c r="I1319" i="1"/>
  <c r="I3" i="1"/>
  <c r="I7" i="1"/>
  <c r="I11" i="1"/>
  <c r="I15" i="1"/>
  <c r="I19" i="1"/>
  <c r="I23" i="1"/>
  <c r="I27" i="1"/>
  <c r="I31" i="1"/>
  <c r="I35" i="1"/>
  <c r="I39" i="1"/>
  <c r="I43" i="1"/>
  <c r="I47" i="1"/>
  <c r="I51" i="1"/>
  <c r="I55" i="1"/>
  <c r="I59" i="1"/>
  <c r="I63" i="1"/>
  <c r="I67" i="1"/>
  <c r="I71" i="1"/>
  <c r="I75" i="1"/>
  <c r="I79" i="1"/>
  <c r="I83" i="1"/>
  <c r="I87" i="1"/>
  <c r="I91" i="1"/>
  <c r="I95" i="1"/>
  <c r="I99" i="1"/>
  <c r="I103" i="1"/>
  <c r="I107" i="1"/>
  <c r="I111" i="1"/>
  <c r="I115" i="1"/>
  <c r="I119" i="1"/>
  <c r="I123" i="1"/>
  <c r="I127" i="1"/>
  <c r="I131" i="1"/>
  <c r="I135" i="1"/>
  <c r="I139" i="1"/>
  <c r="I143" i="1"/>
  <c r="I147" i="1"/>
  <c r="I151" i="1"/>
  <c r="I155" i="1"/>
  <c r="I159" i="1"/>
  <c r="I163" i="1"/>
  <c r="I167" i="1"/>
  <c r="I2" i="1"/>
  <c r="I10" i="1"/>
  <c r="I18" i="1"/>
  <c r="I26" i="1"/>
  <c r="I34" i="1"/>
  <c r="I42" i="1"/>
  <c r="I50" i="1"/>
  <c r="I58" i="1"/>
  <c r="I66" i="1"/>
  <c r="I74" i="1"/>
  <c r="I82" i="1"/>
  <c r="I90" i="1"/>
  <c r="I98" i="1"/>
  <c r="I106" i="1"/>
  <c r="I114" i="1"/>
  <c r="I122" i="1"/>
  <c r="I130" i="1"/>
  <c r="I138" i="1"/>
  <c r="I146" i="1"/>
  <c r="I154" i="1"/>
  <c r="I162" i="1"/>
  <c r="I170" i="1"/>
  <c r="I174" i="1"/>
  <c r="I178" i="1"/>
  <c r="I182" i="1"/>
  <c r="I186" i="1"/>
  <c r="I190" i="1"/>
  <c r="I194" i="1"/>
  <c r="I198" i="1"/>
  <c r="I202" i="1"/>
  <c r="I206" i="1"/>
  <c r="I210" i="1"/>
  <c r="I8" i="1"/>
  <c r="I16" i="1"/>
  <c r="I24" i="1"/>
  <c r="I32" i="1"/>
  <c r="I40" i="1"/>
  <c r="I48" i="1"/>
  <c r="I56" i="1"/>
  <c r="I64" i="1"/>
  <c r="I72" i="1"/>
  <c r="I80" i="1"/>
  <c r="I88" i="1"/>
  <c r="I96" i="1"/>
  <c r="I104" i="1"/>
  <c r="I112" i="1"/>
  <c r="I120" i="1"/>
  <c r="I128" i="1"/>
  <c r="I136" i="1"/>
  <c r="I144" i="1"/>
  <c r="I152" i="1"/>
  <c r="I160" i="1"/>
  <c r="I168" i="1"/>
  <c r="I173" i="1"/>
  <c r="I177" i="1"/>
  <c r="I181" i="1"/>
  <c r="I185" i="1"/>
  <c r="I189" i="1"/>
  <c r="I193" i="1"/>
  <c r="I197" i="1"/>
  <c r="I201" i="1"/>
  <c r="I205" i="1"/>
  <c r="I209" i="1"/>
  <c r="I213" i="1"/>
  <c r="I217" i="1"/>
  <c r="I221" i="1"/>
  <c r="I225" i="1"/>
  <c r="I229" i="1"/>
  <c r="I233" i="1"/>
  <c r="I237" i="1"/>
  <c r="I241" i="1"/>
  <c r="I245" i="1"/>
  <c r="I249" i="1"/>
  <c r="I253" i="1"/>
  <c r="I257" i="1"/>
  <c r="I261" i="1"/>
  <c r="I265" i="1"/>
  <c r="I269" i="1"/>
  <c r="I273" i="1"/>
  <c r="I277" i="1"/>
  <c r="I281" i="1"/>
  <c r="I285" i="1"/>
  <c r="I289" i="1"/>
  <c r="I293" i="1"/>
  <c r="I297" i="1"/>
  <c r="I301" i="1"/>
  <c r="I305" i="1"/>
  <c r="I309" i="1"/>
  <c r="I313" i="1"/>
  <c r="I317" i="1"/>
  <c r="I321" i="1"/>
  <c r="I325" i="1"/>
  <c r="I329" i="1"/>
  <c r="I333" i="1"/>
  <c r="I337" i="1"/>
  <c r="I341" i="1"/>
  <c r="I345" i="1"/>
  <c r="I349" i="1"/>
  <c r="I353" i="1"/>
  <c r="I357" i="1"/>
  <c r="I361" i="1"/>
  <c r="I365" i="1"/>
  <c r="I369" i="1"/>
  <c r="I373" i="1"/>
  <c r="I377" i="1"/>
  <c r="I381" i="1"/>
  <c r="I385" i="1"/>
  <c r="I389" i="1"/>
  <c r="I393" i="1"/>
  <c r="I397" i="1"/>
  <c r="I401" i="1"/>
  <c r="I405" i="1"/>
  <c r="I409" i="1"/>
  <c r="I413" i="1"/>
  <c r="I417" i="1"/>
  <c r="I421" i="1"/>
  <c r="I425" i="1"/>
  <c r="I216" i="1"/>
  <c r="I224" i="1"/>
  <c r="I232" i="1"/>
  <c r="I240" i="1"/>
  <c r="I248" i="1"/>
  <c r="I256" i="1"/>
  <c r="I264" i="1"/>
  <c r="I272" i="1"/>
  <c r="I280" i="1"/>
  <c r="I288" i="1"/>
  <c r="I296" i="1"/>
  <c r="I304" i="1"/>
  <c r="I312" i="1"/>
  <c r="I320" i="1"/>
  <c r="I328" i="1"/>
  <c r="I336" i="1"/>
  <c r="I344" i="1"/>
  <c r="I352" i="1"/>
  <c r="I360" i="1"/>
  <c r="I368" i="1"/>
  <c r="I376" i="1"/>
  <c r="I384" i="1"/>
  <c r="I392" i="1"/>
  <c r="I400" i="1"/>
  <c r="I408" i="1"/>
  <c r="I416" i="1"/>
  <c r="I424" i="1"/>
  <c r="I429" i="1"/>
  <c r="I433" i="1"/>
  <c r="I437" i="1"/>
  <c r="I441" i="1"/>
  <c r="I445" i="1"/>
  <c r="I449" i="1"/>
  <c r="I453" i="1"/>
  <c r="I457" i="1"/>
  <c r="I461" i="1"/>
  <c r="I465" i="1"/>
  <c r="I469" i="1"/>
  <c r="I473" i="1"/>
  <c r="I477" i="1"/>
  <c r="I481" i="1"/>
  <c r="I485" i="1"/>
  <c r="I214" i="1"/>
  <c r="I222" i="1"/>
  <c r="I230" i="1"/>
  <c r="I238" i="1"/>
  <c r="I246" i="1"/>
  <c r="I254" i="1"/>
  <c r="I262" i="1"/>
  <c r="I270" i="1"/>
  <c r="I278" i="1"/>
  <c r="I286" i="1"/>
  <c r="I294" i="1"/>
  <c r="I302" i="1"/>
  <c r="I310" i="1"/>
  <c r="I318" i="1"/>
  <c r="I326" i="1"/>
  <c r="I334" i="1"/>
  <c r="I342" i="1"/>
  <c r="I350" i="1"/>
  <c r="I358" i="1"/>
  <c r="I366" i="1"/>
  <c r="I374" i="1"/>
  <c r="I382" i="1"/>
  <c r="I390" i="1"/>
  <c r="I398" i="1"/>
  <c r="I406" i="1"/>
  <c r="I414" i="1"/>
  <c r="I422" i="1"/>
  <c r="I428" i="1"/>
  <c r="I432" i="1"/>
  <c r="I436" i="1"/>
  <c r="I440" i="1"/>
  <c r="I444" i="1"/>
  <c r="I448" i="1"/>
  <c r="I452" i="1"/>
  <c r="I456" i="1"/>
  <c r="I460" i="1"/>
  <c r="I464" i="1"/>
  <c r="I468" i="1"/>
  <c r="I472" i="1"/>
  <c r="I476" i="1"/>
  <c r="I480" i="1"/>
  <c r="I484" i="1"/>
  <c r="I488" i="1"/>
  <c r="I492" i="1"/>
  <c r="I496" i="1"/>
  <c r="I500" i="1"/>
  <c r="I504" i="1"/>
  <c r="I508" i="1"/>
  <c r="I512" i="1"/>
  <c r="I516" i="1"/>
  <c r="I520" i="1"/>
  <c r="I524" i="1"/>
  <c r="I528" i="1"/>
  <c r="I532" i="1"/>
  <c r="I536" i="1"/>
  <c r="I540" i="1"/>
  <c r="I544" i="1"/>
  <c r="I548" i="1"/>
  <c r="I552" i="1"/>
  <c r="I556" i="1"/>
  <c r="I560" i="1"/>
  <c r="I564" i="1"/>
  <c r="I568" i="1"/>
  <c r="I572" i="1"/>
  <c r="I576" i="1"/>
  <c r="I580" i="1"/>
  <c r="I584" i="1"/>
  <c r="I588" i="1"/>
  <c r="I592" i="1"/>
  <c r="I596" i="1"/>
  <c r="I600" i="1"/>
  <c r="I604" i="1"/>
  <c r="I608" i="1"/>
  <c r="I612" i="1"/>
  <c r="I616" i="1"/>
  <c r="I620" i="1"/>
  <c r="I624" i="1"/>
  <c r="I628" i="1"/>
  <c r="I632" i="1"/>
  <c r="I636" i="1"/>
  <c r="I640" i="1"/>
  <c r="I644" i="1"/>
  <c r="I648" i="1"/>
  <c r="I652" i="1"/>
  <c r="I656" i="1"/>
  <c r="I660" i="1"/>
  <c r="I664" i="1"/>
  <c r="I668" i="1"/>
  <c r="I672" i="1"/>
  <c r="I676" i="1"/>
  <c r="I680" i="1"/>
  <c r="I684" i="1"/>
  <c r="I688" i="1"/>
  <c r="I692" i="1"/>
  <c r="I696" i="1"/>
  <c r="I700" i="1"/>
  <c r="I704" i="1"/>
  <c r="I708" i="1"/>
  <c r="I712" i="1"/>
  <c r="I716" i="1"/>
  <c r="I720" i="1"/>
  <c r="I724" i="1"/>
  <c r="I728" i="1"/>
  <c r="I732" i="1"/>
  <c r="I736" i="1"/>
  <c r="I740" i="1"/>
  <c r="I744" i="1"/>
  <c r="I748" i="1"/>
  <c r="I752" i="1"/>
  <c r="I756" i="1"/>
  <c r="I760" i="1"/>
  <c r="I764" i="1"/>
  <c r="I768" i="1"/>
  <c r="I772" i="1"/>
  <c r="I776" i="1"/>
  <c r="I780" i="1"/>
  <c r="I489" i="1"/>
  <c r="I497" i="1"/>
  <c r="I505" i="1"/>
  <c r="I513" i="1"/>
  <c r="I521" i="1"/>
  <c r="I529" i="1"/>
  <c r="I537" i="1"/>
  <c r="I545" i="1"/>
  <c r="I553" i="1"/>
  <c r="I561" i="1"/>
  <c r="I569" i="1"/>
  <c r="I577" i="1"/>
  <c r="I585" i="1"/>
  <c r="I593" i="1"/>
  <c r="I601" i="1"/>
  <c r="I609" i="1"/>
  <c r="I617" i="1"/>
  <c r="I625" i="1"/>
  <c r="I633" i="1"/>
  <c r="I641" i="1"/>
  <c r="I649" i="1"/>
  <c r="I657" i="1"/>
  <c r="I665" i="1"/>
  <c r="I673" i="1"/>
  <c r="I681" i="1"/>
  <c r="I689" i="1"/>
  <c r="I697" i="1"/>
  <c r="I705" i="1"/>
  <c r="I713" i="1"/>
  <c r="I721" i="1"/>
  <c r="I729" i="1"/>
  <c r="I737" i="1"/>
  <c r="I745" i="1"/>
  <c r="I753" i="1"/>
  <c r="I761" i="1"/>
  <c r="I769" i="1"/>
  <c r="I777" i="1"/>
  <c r="I784" i="1"/>
  <c r="I788" i="1"/>
  <c r="I792" i="1"/>
  <c r="I796" i="1"/>
  <c r="I800" i="1"/>
  <c r="I804" i="1"/>
  <c r="I808" i="1"/>
  <c r="I812" i="1"/>
  <c r="I816" i="1"/>
  <c r="I820" i="1"/>
  <c r="I824" i="1"/>
  <c r="I828" i="1"/>
  <c r="I832" i="1"/>
  <c r="I836" i="1"/>
  <c r="I840" i="1"/>
  <c r="I844" i="1"/>
  <c r="I848" i="1"/>
  <c r="I852" i="1"/>
  <c r="I856" i="1"/>
  <c r="I860" i="1"/>
  <c r="I864" i="1"/>
  <c r="I868" i="1"/>
  <c r="I872" i="1"/>
  <c r="I876" i="1"/>
  <c r="I880" i="1"/>
  <c r="I884" i="1"/>
  <c r="I888" i="1"/>
  <c r="I892" i="1"/>
  <c r="I896" i="1"/>
  <c r="I900" i="1"/>
  <c r="I904" i="1"/>
  <c r="I908" i="1"/>
  <c r="I912" i="1"/>
  <c r="I916" i="1"/>
  <c r="I920" i="1"/>
  <c r="I924" i="1"/>
  <c r="I928" i="1"/>
  <c r="I932" i="1"/>
  <c r="I936" i="1"/>
  <c r="I940" i="1"/>
  <c r="I944" i="1"/>
  <c r="I948" i="1"/>
  <c r="I952" i="1"/>
  <c r="I956" i="1"/>
  <c r="I960" i="1"/>
  <c r="I964" i="1"/>
  <c r="I968" i="1"/>
  <c r="I972" i="1"/>
  <c r="I491" i="1"/>
  <c r="I499" i="1"/>
  <c r="I507" i="1"/>
  <c r="I515" i="1"/>
  <c r="I523" i="1"/>
  <c r="I531" i="1"/>
  <c r="I539" i="1"/>
  <c r="I547" i="1"/>
  <c r="I555" i="1"/>
  <c r="I563" i="1"/>
  <c r="I571" i="1"/>
  <c r="I579" i="1"/>
  <c r="I587" i="1"/>
  <c r="I595" i="1"/>
  <c r="I603" i="1"/>
  <c r="I611" i="1"/>
  <c r="I619" i="1"/>
  <c r="I627" i="1"/>
  <c r="I635" i="1"/>
  <c r="I643" i="1"/>
  <c r="I651" i="1"/>
  <c r="I659" i="1"/>
  <c r="I667" i="1"/>
  <c r="I675" i="1"/>
  <c r="I683" i="1"/>
  <c r="I691" i="1"/>
  <c r="I699" i="1"/>
  <c r="I707" i="1"/>
  <c r="I715" i="1"/>
  <c r="I723" i="1"/>
  <c r="I731" i="1"/>
  <c r="I739" i="1"/>
  <c r="I747" i="1"/>
  <c r="I755" i="1"/>
  <c r="I763" i="1"/>
  <c r="I771" i="1"/>
  <c r="I779" i="1"/>
  <c r="I785" i="1"/>
  <c r="I789" i="1"/>
  <c r="I793" i="1"/>
  <c r="I797" i="1"/>
  <c r="I801" i="1"/>
  <c r="I805" i="1"/>
  <c r="I809" i="1"/>
  <c r="I813" i="1"/>
  <c r="I817" i="1"/>
  <c r="I821" i="1"/>
  <c r="I825" i="1"/>
  <c r="I829" i="1"/>
  <c r="I833" i="1"/>
  <c r="I837" i="1"/>
  <c r="I841" i="1"/>
  <c r="I845" i="1"/>
  <c r="I849" i="1"/>
  <c r="I853" i="1"/>
  <c r="I857" i="1"/>
  <c r="I861" i="1"/>
  <c r="I865" i="1"/>
  <c r="I869" i="1"/>
  <c r="I873" i="1"/>
  <c r="I877" i="1"/>
  <c r="I881" i="1"/>
  <c r="I885" i="1"/>
  <c r="I889" i="1"/>
  <c r="I893" i="1"/>
  <c r="I897" i="1"/>
  <c r="I901" i="1"/>
  <c r="I905" i="1"/>
  <c r="I909" i="1"/>
  <c r="I913" i="1"/>
  <c r="I917" i="1"/>
  <c r="I921" i="1"/>
  <c r="I925" i="1"/>
  <c r="I929" i="1"/>
  <c r="I933" i="1"/>
  <c r="I937" i="1"/>
  <c r="I941" i="1"/>
  <c r="I945" i="1"/>
  <c r="I949" i="1"/>
  <c r="I953" i="1"/>
  <c r="I957" i="1"/>
  <c r="I961" i="1"/>
  <c r="I965" i="1"/>
  <c r="I969" i="1"/>
  <c r="I973" i="1"/>
  <c r="I977" i="1"/>
  <c r="I981" i="1"/>
  <c r="I985" i="1"/>
  <c r="I989" i="1"/>
  <c r="I993" i="1"/>
  <c r="I997" i="1"/>
  <c r="I1001" i="1"/>
  <c r="I1005" i="1"/>
  <c r="I1009" i="1"/>
  <c r="I1013" i="1"/>
  <c r="I1017" i="1"/>
  <c r="I1021" i="1"/>
  <c r="I1025" i="1"/>
  <c r="I1029" i="1"/>
  <c r="I1033" i="1"/>
  <c r="I1037" i="1"/>
  <c r="I1041" i="1"/>
  <c r="I1045" i="1"/>
  <c r="I1049" i="1"/>
  <c r="I1053" i="1"/>
  <c r="I1057" i="1"/>
  <c r="I1061" i="1"/>
  <c r="I1065" i="1"/>
  <c r="I1069" i="1"/>
  <c r="I1073" i="1"/>
  <c r="I1077" i="1"/>
  <c r="I1081" i="1"/>
  <c r="I1085" i="1"/>
  <c r="I1089" i="1"/>
  <c r="I1093" i="1"/>
  <c r="I1097" i="1"/>
  <c r="I1101" i="1"/>
  <c r="I1105" i="1"/>
  <c r="I1109" i="1"/>
  <c r="I1113" i="1"/>
  <c r="I1117" i="1"/>
  <c r="I1121" i="1"/>
  <c r="I1125" i="1"/>
  <c r="I1129" i="1"/>
  <c r="I1133" i="1"/>
  <c r="I1137" i="1"/>
  <c r="I1141" i="1"/>
  <c r="I1145" i="1"/>
  <c r="I1149" i="1"/>
  <c r="I1153" i="1"/>
  <c r="I1157" i="1"/>
  <c r="I1161" i="1"/>
  <c r="I1165" i="1"/>
  <c r="I1169" i="1"/>
  <c r="I1173" i="1"/>
  <c r="I1177" i="1"/>
  <c r="I1181" i="1"/>
  <c r="I1185" i="1"/>
  <c r="I1189" i="1"/>
  <c r="I1193" i="1"/>
  <c r="I1197" i="1"/>
  <c r="I1201" i="1"/>
  <c r="I1205" i="1"/>
  <c r="I1209" i="1"/>
  <c r="I1213" i="1"/>
  <c r="I1217" i="1"/>
  <c r="I1221" i="1"/>
  <c r="I1225" i="1"/>
  <c r="I1229" i="1"/>
  <c r="I1233" i="1"/>
  <c r="I1237" i="1"/>
  <c r="I1241" i="1"/>
  <c r="I1245" i="1"/>
  <c r="I1249" i="1"/>
  <c r="I1253" i="1"/>
  <c r="I1257" i="1"/>
  <c r="I1261" i="1"/>
  <c r="I1265" i="1"/>
  <c r="I1269" i="1"/>
  <c r="I1273" i="1"/>
  <c r="I1277" i="1"/>
  <c r="I1281" i="1"/>
  <c r="I1285" i="1"/>
  <c r="I1289" i="1"/>
  <c r="I1293" i="1"/>
  <c r="I1297" i="1"/>
  <c r="I1301" i="1"/>
  <c r="I1305" i="1"/>
  <c r="I1309" i="1"/>
  <c r="I1313" i="1"/>
  <c r="I1317" i="1"/>
  <c r="I980" i="1"/>
  <c r="I988" i="1"/>
  <c r="I996" i="1"/>
  <c r="I1004" i="1"/>
  <c r="I1012" i="1"/>
  <c r="I1020" i="1"/>
  <c r="I1028" i="1"/>
  <c r="I1036" i="1"/>
  <c r="I1044" i="1"/>
  <c r="I1052" i="1"/>
  <c r="I1060" i="1"/>
  <c r="I1068" i="1"/>
  <c r="I1076" i="1"/>
  <c r="I1084" i="1"/>
  <c r="I1092" i="1"/>
  <c r="I1100" i="1"/>
  <c r="I1108" i="1"/>
  <c r="I1116" i="1"/>
  <c r="I1124" i="1"/>
  <c r="I1132" i="1"/>
  <c r="I1140" i="1"/>
  <c r="I1148" i="1"/>
  <c r="I1156" i="1"/>
  <c r="I1164" i="1"/>
  <c r="I1172" i="1"/>
  <c r="I1180" i="1"/>
  <c r="I1188" i="1"/>
  <c r="I1196" i="1"/>
  <c r="I1204" i="1"/>
  <c r="I1212" i="1"/>
  <c r="I1220" i="1"/>
  <c r="I1228" i="1"/>
  <c r="I1236" i="1"/>
  <c r="I1244" i="1"/>
  <c r="I1252" i="1"/>
  <c r="I1260" i="1"/>
  <c r="I1268" i="1"/>
  <c r="I1276" i="1"/>
  <c r="I1284" i="1"/>
  <c r="I1292" i="1"/>
  <c r="I1300" i="1"/>
  <c r="I1308" i="1"/>
  <c r="I1316" i="1"/>
  <c r="I1321" i="1"/>
  <c r="I1325" i="1"/>
  <c r="I1329" i="1"/>
  <c r="I1333" i="1"/>
  <c r="I1337" i="1"/>
  <c r="I1341" i="1"/>
  <c r="I1345" i="1"/>
  <c r="I1349" i="1"/>
  <c r="I1353" i="1"/>
  <c r="I1357" i="1"/>
  <c r="I1361" i="1"/>
  <c r="I1365" i="1"/>
  <c r="I1369" i="1"/>
  <c r="I1373" i="1"/>
  <c r="I1377" i="1"/>
  <c r="I1381" i="1"/>
  <c r="I1385" i="1"/>
  <c r="I1389" i="1"/>
  <c r="I1393" i="1"/>
  <c r="I1397" i="1"/>
  <c r="I1401" i="1"/>
  <c r="I1405" i="1"/>
  <c r="I1409" i="1"/>
  <c r="I1413" i="1"/>
  <c r="I1417" i="1"/>
  <c r="I1421" i="1"/>
  <c r="I1425" i="1"/>
  <c r="I1429" i="1"/>
  <c r="I1433" i="1"/>
  <c r="I1437" i="1"/>
  <c r="I1441" i="1"/>
  <c r="I1445" i="1"/>
  <c r="I1449" i="1"/>
  <c r="I1453" i="1"/>
  <c r="I1457" i="1"/>
  <c r="I1461" i="1"/>
  <c r="I978" i="1"/>
  <c r="I986" i="1"/>
  <c r="I994" i="1"/>
  <c r="I1002" i="1"/>
  <c r="I1010" i="1"/>
  <c r="I1018" i="1"/>
  <c r="I1026" i="1"/>
  <c r="I1034" i="1"/>
  <c r="I1042" i="1"/>
  <c r="I1050" i="1"/>
  <c r="I1058" i="1"/>
  <c r="I1066" i="1"/>
  <c r="I1074" i="1"/>
  <c r="I1082" i="1"/>
  <c r="I1090" i="1"/>
  <c r="I1098" i="1"/>
  <c r="I1106" i="1"/>
  <c r="I1114" i="1"/>
  <c r="I1122" i="1"/>
  <c r="I1130" i="1"/>
  <c r="I1138" i="1"/>
  <c r="I1146" i="1"/>
  <c r="I1154" i="1"/>
  <c r="I1162" i="1"/>
  <c r="I1170" i="1"/>
  <c r="I1178" i="1"/>
  <c r="I1186" i="1"/>
  <c r="I1194" i="1"/>
  <c r="I1202" i="1"/>
  <c r="I1210" i="1"/>
  <c r="I1323" i="1"/>
  <c r="I1331" i="1"/>
  <c r="I1339" i="1"/>
  <c r="I1347" i="1"/>
  <c r="I1355" i="1"/>
  <c r="I1363" i="1"/>
  <c r="I1371" i="1"/>
  <c r="I1379" i="1"/>
  <c r="I1387" i="1"/>
  <c r="I1395" i="1"/>
  <c r="I1403" i="1"/>
  <c r="I1411" i="1"/>
  <c r="I1419" i="1"/>
  <c r="I1427" i="1"/>
  <c r="I1435" i="1"/>
  <c r="I1443" i="1"/>
  <c r="I1451" i="1"/>
  <c r="I1459" i="1"/>
  <c r="I982" i="1"/>
  <c r="I998" i="1"/>
  <c r="I1014" i="1"/>
  <c r="I1030" i="1"/>
  <c r="I1046" i="1"/>
  <c r="I1062" i="1"/>
  <c r="I1078" i="1"/>
  <c r="I1094" i="1"/>
  <c r="I1110" i="1"/>
  <c r="I1126" i="1"/>
  <c r="I1142" i="1"/>
  <c r="I1158" i="1"/>
  <c r="I1174" i="1"/>
  <c r="I1190" i="1"/>
  <c r="I1206" i="1"/>
  <c r="I1218" i="1"/>
  <c r="I1226" i="1"/>
  <c r="I1234" i="1"/>
  <c r="I1242" i="1"/>
  <c r="I1250" i="1"/>
  <c r="I1258" i="1"/>
  <c r="I1266" i="1"/>
  <c r="I1274" i="1"/>
  <c r="I1282" i="1"/>
  <c r="I1290" i="1"/>
  <c r="I1298" i="1"/>
  <c r="I1306" i="1"/>
  <c r="I1314" i="1"/>
  <c r="I1320" i="1"/>
  <c r="I1324" i="1"/>
  <c r="I1328" i="1"/>
  <c r="I1332" i="1"/>
  <c r="I1336" i="1"/>
  <c r="I1340" i="1"/>
  <c r="I1344" i="1"/>
  <c r="I1348" i="1"/>
  <c r="I1352" i="1"/>
  <c r="I1356" i="1"/>
  <c r="I1360" i="1"/>
  <c r="I1364" i="1"/>
  <c r="I1368" i="1"/>
  <c r="I1372" i="1"/>
  <c r="I1376" i="1"/>
  <c r="I1380" i="1"/>
  <c r="I1384" i="1"/>
  <c r="I1388" i="1"/>
  <c r="I1392" i="1"/>
  <c r="I1396" i="1"/>
  <c r="I1400" i="1"/>
  <c r="I1404" i="1"/>
  <c r="I1408" i="1"/>
  <c r="I1412" i="1"/>
  <c r="I1416" i="1"/>
  <c r="I1420" i="1"/>
  <c r="I1424" i="1"/>
  <c r="I1428" i="1"/>
  <c r="I1432" i="1"/>
  <c r="I1436" i="1"/>
  <c r="I1440" i="1"/>
  <c r="I1444" i="1"/>
  <c r="I1448" i="1"/>
  <c r="I1452" i="1"/>
  <c r="I1456" i="1"/>
  <c r="I1460" i="1"/>
  <c r="I1464" i="1"/>
  <c r="I1468" i="1"/>
  <c r="I1472" i="1"/>
  <c r="I1476" i="1"/>
  <c r="I1480" i="1"/>
  <c r="I1484" i="1"/>
  <c r="I1488" i="1"/>
  <c r="I1492" i="1"/>
  <c r="I1496" i="1"/>
  <c r="I1500" i="1"/>
  <c r="I1504" i="1"/>
  <c r="I1508" i="1"/>
  <c r="I1512" i="1"/>
  <c r="I1516" i="1"/>
  <c r="I1520" i="1"/>
  <c r="I1524" i="1"/>
  <c r="I1528" i="1"/>
  <c r="I1532" i="1"/>
  <c r="I1536" i="1"/>
  <c r="I1540" i="1"/>
  <c r="I1544" i="1"/>
  <c r="I1548" i="1"/>
  <c r="I1552" i="1"/>
  <c r="I1556" i="1"/>
  <c r="I1560" i="1"/>
  <c r="I1564" i="1"/>
  <c r="I1568" i="1"/>
  <c r="I1572" i="1"/>
  <c r="I1576" i="1"/>
  <c r="I1580" i="1"/>
  <c r="I1584" i="1"/>
  <c r="I1588" i="1"/>
  <c r="I1592" i="1"/>
  <c r="I1596" i="1"/>
  <c r="I1600" i="1"/>
  <c r="I1604" i="1"/>
  <c r="I1608" i="1"/>
  <c r="I1612" i="1"/>
  <c r="I1616" i="1"/>
  <c r="I1620" i="1"/>
  <c r="I1624" i="1"/>
  <c r="I1628" i="1"/>
  <c r="I1632" i="1"/>
  <c r="I1636" i="1"/>
  <c r="I1640" i="1"/>
  <c r="I1644" i="1"/>
  <c r="I1648" i="1"/>
  <c r="I1652" i="1"/>
  <c r="I1656" i="1"/>
  <c r="I1660" i="1"/>
  <c r="I1664" i="1"/>
  <c r="I1668" i="1"/>
  <c r="I1672" i="1"/>
  <c r="I1676" i="1"/>
  <c r="I1680" i="1"/>
  <c r="I1684" i="1"/>
  <c r="I1688" i="1"/>
  <c r="I1692" i="1"/>
  <c r="I1696" i="1"/>
  <c r="I1700" i="1"/>
  <c r="I1704" i="1"/>
  <c r="I1708" i="1"/>
  <c r="I1712" i="1"/>
  <c r="I1716" i="1"/>
  <c r="I1720" i="1"/>
  <c r="I1724" i="1"/>
  <c r="I1728" i="1"/>
  <c r="I1732" i="1"/>
  <c r="I1736" i="1"/>
  <c r="I1740" i="1"/>
  <c r="I1744" i="1"/>
  <c r="I1748" i="1"/>
  <c r="I1752" i="1"/>
  <c r="I1756" i="1"/>
  <c r="I1760" i="1"/>
  <c r="I1764" i="1"/>
  <c r="I1768" i="1"/>
  <c r="I1772" i="1"/>
  <c r="I1776" i="1"/>
  <c r="I1780" i="1"/>
  <c r="I1784" i="1"/>
  <c r="I1788" i="1"/>
  <c r="I1792" i="1"/>
  <c r="I1796" i="1"/>
  <c r="I1800" i="1"/>
  <c r="I1804" i="1"/>
  <c r="I1808" i="1"/>
  <c r="I1812" i="1"/>
  <c r="I1816" i="1"/>
  <c r="I1820" i="1"/>
  <c r="I1824" i="1"/>
  <c r="I1828" i="1"/>
  <c r="I1469" i="1"/>
  <c r="I1477" i="1"/>
  <c r="I1485" i="1"/>
  <c r="I1493" i="1"/>
  <c r="I1501" i="1"/>
  <c r="I1509" i="1"/>
  <c r="I1517" i="1"/>
  <c r="I1525" i="1"/>
  <c r="I1533" i="1"/>
  <c r="I1541" i="1"/>
  <c r="I1549" i="1"/>
  <c r="I1557" i="1"/>
  <c r="I1565" i="1"/>
  <c r="I1573" i="1"/>
  <c r="I1581" i="1"/>
  <c r="I1589" i="1"/>
  <c r="I1597" i="1"/>
  <c r="I1605" i="1"/>
  <c r="I1613" i="1"/>
  <c r="I1621" i="1"/>
  <c r="I1629" i="1"/>
  <c r="I1637" i="1"/>
  <c r="I1645" i="1"/>
  <c r="I1653" i="1"/>
  <c r="I1661" i="1"/>
  <c r="I1669" i="1"/>
  <c r="I1677" i="1"/>
  <c r="I1685" i="1"/>
  <c r="I1693" i="1"/>
  <c r="I1701" i="1"/>
  <c r="I1709" i="1"/>
  <c r="I1717" i="1"/>
  <c r="I1725" i="1"/>
  <c r="I1733" i="1"/>
  <c r="I1741" i="1"/>
  <c r="I1749" i="1"/>
  <c r="I1757" i="1"/>
  <c r="I1765" i="1"/>
  <c r="I1773" i="1"/>
  <c r="I1781" i="1"/>
  <c r="I1789" i="1"/>
  <c r="I1797" i="1"/>
  <c r="I1805" i="1"/>
  <c r="I1813" i="1"/>
  <c r="I1821" i="1"/>
  <c r="I1829" i="1"/>
  <c r="I1833" i="1"/>
  <c r="I1837" i="1"/>
  <c r="I1841" i="1"/>
  <c r="I1845" i="1"/>
  <c r="I1849" i="1"/>
  <c r="I1853" i="1"/>
  <c r="I1857" i="1"/>
  <c r="I1861" i="1"/>
  <c r="I1865" i="1"/>
  <c r="I1869" i="1"/>
  <c r="I1873" i="1"/>
  <c r="I1877" i="1"/>
  <c r="I1881" i="1"/>
  <c r="I1885" i="1"/>
  <c r="I1889" i="1"/>
  <c r="I1893" i="1"/>
  <c r="I1897" i="1"/>
  <c r="I1901" i="1"/>
  <c r="I1905" i="1"/>
  <c r="I1909" i="1"/>
  <c r="I1913" i="1"/>
  <c r="I1917" i="1"/>
  <c r="I1921" i="1"/>
  <c r="I1925" i="1"/>
  <c r="I1929" i="1"/>
  <c r="I1933" i="1"/>
  <c r="I1937" i="1"/>
  <c r="I1941" i="1"/>
  <c r="I1945" i="1"/>
  <c r="I1949" i="1"/>
  <c r="I1953" i="1"/>
  <c r="I1957" i="1"/>
  <c r="I1961" i="1"/>
  <c r="I1965" i="1"/>
  <c r="I1969" i="1"/>
  <c r="I1973" i="1"/>
  <c r="I1977" i="1"/>
  <c r="I1981" i="1"/>
  <c r="I1985" i="1"/>
  <c r="I1989" i="1"/>
  <c r="I1993" i="1"/>
  <c r="I1997" i="1"/>
  <c r="I2001" i="1"/>
  <c r="I2005" i="1"/>
  <c r="I2009" i="1"/>
  <c r="I2013" i="1"/>
  <c r="I2017" i="1"/>
  <c r="I2021" i="1"/>
  <c r="I2025" i="1"/>
  <c r="I2029" i="1"/>
  <c r="I2033" i="1"/>
  <c r="I2037" i="1"/>
  <c r="I2041" i="1"/>
  <c r="I2045" i="1"/>
  <c r="I2049" i="1"/>
  <c r="I2053" i="1"/>
  <c r="I2057" i="1"/>
  <c r="I2061" i="1"/>
  <c r="I2065" i="1"/>
  <c r="I2069" i="1"/>
  <c r="I2073" i="1"/>
  <c r="I2077" i="1"/>
  <c r="I2081" i="1"/>
  <c r="I2085" i="1"/>
  <c r="I2089" i="1"/>
  <c r="I2093" i="1"/>
  <c r="I2097" i="1"/>
  <c r="I2101" i="1"/>
  <c r="I2105" i="1"/>
  <c r="I2109" i="1"/>
  <c r="I2113" i="1"/>
  <c r="I2117" i="1"/>
  <c r="I2121" i="1"/>
  <c r="I2125" i="1"/>
  <c r="I2129" i="1"/>
  <c r="I2133" i="1"/>
  <c r="I2137" i="1"/>
  <c r="I2141" i="1"/>
  <c r="I2145" i="1"/>
  <c r="I2149" i="1"/>
  <c r="I2153" i="1"/>
  <c r="I2157" i="1"/>
  <c r="I2161" i="1"/>
  <c r="I2165" i="1"/>
  <c r="I2169" i="1"/>
  <c r="I2173" i="1"/>
  <c r="I2177" i="1"/>
  <c r="I2181" i="1"/>
  <c r="I2185" i="1"/>
  <c r="I2189" i="1"/>
  <c r="I2193" i="1"/>
  <c r="I2197" i="1"/>
  <c r="I2201" i="1"/>
  <c r="I2205" i="1"/>
  <c r="I2209" i="1"/>
  <c r="I2213" i="1"/>
  <c r="I2217" i="1"/>
  <c r="I2221" i="1"/>
  <c r="I2225" i="1"/>
  <c r="I2229" i="1"/>
  <c r="I2233" i="1"/>
  <c r="I2237" i="1"/>
  <c r="I2241" i="1"/>
  <c r="I2245" i="1"/>
  <c r="I2249" i="1"/>
  <c r="I2253" i="1"/>
  <c r="I2257" i="1"/>
  <c r="I2261" i="1"/>
  <c r="I2265" i="1"/>
  <c r="I2269" i="1"/>
  <c r="I2273" i="1"/>
  <c r="I2277" i="1"/>
  <c r="I2281" i="1"/>
  <c r="I2285" i="1"/>
  <c r="I2289" i="1"/>
  <c r="I2293" i="1"/>
  <c r="I2297" i="1"/>
  <c r="I2301" i="1"/>
  <c r="I2305" i="1"/>
  <c r="I2309" i="1"/>
  <c r="I2313" i="1"/>
  <c r="I2317" i="1"/>
  <c r="I2321" i="1"/>
  <c r="I2325" i="1"/>
  <c r="I1467" i="1"/>
  <c r="I1475" i="1"/>
  <c r="I1483" i="1"/>
  <c r="I1491" i="1"/>
  <c r="I1499" i="1"/>
  <c r="I1507" i="1"/>
  <c r="I1515" i="1"/>
  <c r="I1523" i="1"/>
  <c r="I1531" i="1"/>
  <c r="I1539" i="1"/>
  <c r="I1547" i="1"/>
  <c r="I1555" i="1"/>
  <c r="I1563" i="1"/>
  <c r="I1571" i="1"/>
  <c r="I1579" i="1"/>
  <c r="I1587" i="1"/>
  <c r="I1595" i="1"/>
  <c r="I1603" i="1"/>
  <c r="I1611" i="1"/>
  <c r="I1619" i="1"/>
  <c r="I1627" i="1"/>
  <c r="I1635" i="1"/>
  <c r="I1643" i="1"/>
  <c r="I1651" i="1"/>
  <c r="I1659" i="1"/>
  <c r="I1667" i="1"/>
  <c r="I1675" i="1"/>
  <c r="I1683" i="1"/>
  <c r="I1691" i="1"/>
  <c r="I1699" i="1"/>
  <c r="I1707" i="1"/>
  <c r="I1715" i="1"/>
  <c r="I1723" i="1"/>
  <c r="I1731" i="1"/>
  <c r="I1739" i="1"/>
  <c r="I1747" i="1"/>
  <c r="I1755" i="1"/>
  <c r="I1763" i="1"/>
  <c r="I1771" i="1"/>
  <c r="I1779" i="1"/>
  <c r="I1787" i="1"/>
  <c r="I1795" i="1"/>
  <c r="I1803" i="1"/>
  <c r="I1811" i="1"/>
  <c r="I1819" i="1"/>
  <c r="I1827" i="1"/>
  <c r="I1832" i="1"/>
  <c r="I1836" i="1"/>
  <c r="I1840" i="1"/>
  <c r="I1844" i="1"/>
  <c r="I1848" i="1"/>
  <c r="I1852" i="1"/>
  <c r="I1856" i="1"/>
  <c r="I1860" i="1"/>
  <c r="I1864" i="1"/>
  <c r="I1868" i="1"/>
  <c r="I1872" i="1"/>
  <c r="I1876" i="1"/>
  <c r="I1880" i="1"/>
  <c r="I1884" i="1"/>
  <c r="I1888" i="1"/>
  <c r="I1892" i="1"/>
  <c r="I1896" i="1"/>
  <c r="I1900" i="1"/>
  <c r="I1904" i="1"/>
  <c r="I1908" i="1"/>
  <c r="I1912" i="1"/>
  <c r="I1916" i="1"/>
  <c r="I1920" i="1"/>
  <c r="I1924" i="1"/>
  <c r="I1928" i="1"/>
  <c r="I1932" i="1"/>
  <c r="I1936" i="1"/>
  <c r="I1940" i="1"/>
  <c r="I1944" i="1"/>
  <c r="I1948" i="1"/>
  <c r="I1952" i="1"/>
  <c r="I1956" i="1"/>
  <c r="I1960" i="1"/>
  <c r="I1964" i="1"/>
  <c r="I1968" i="1"/>
  <c r="I1972" i="1"/>
  <c r="I1976" i="1"/>
  <c r="I1980" i="1"/>
  <c r="I1984" i="1"/>
  <c r="I1988" i="1"/>
  <c r="I1992" i="1"/>
  <c r="I1996" i="1"/>
  <c r="I2000" i="1"/>
  <c r="I2004" i="1"/>
  <c r="I2008" i="1"/>
  <c r="I2012" i="1"/>
  <c r="I2016" i="1"/>
  <c r="I2020" i="1"/>
  <c r="I2024" i="1"/>
  <c r="I2028" i="1"/>
  <c r="I2032" i="1"/>
  <c r="I2036" i="1"/>
  <c r="I2040" i="1"/>
  <c r="I2044" i="1"/>
  <c r="I2048" i="1"/>
  <c r="I2052" i="1"/>
  <c r="I2056" i="1"/>
  <c r="I2060" i="1"/>
  <c r="I2064" i="1"/>
  <c r="I2068" i="1"/>
  <c r="I2072" i="1"/>
  <c r="I2076" i="1"/>
  <c r="I2080" i="1"/>
  <c r="I2084" i="1"/>
  <c r="I2088" i="1"/>
  <c r="I2092" i="1"/>
  <c r="I2096" i="1"/>
  <c r="I2100" i="1"/>
  <c r="I2104" i="1"/>
  <c r="I2108" i="1"/>
  <c r="I2112" i="1"/>
  <c r="I2116" i="1"/>
  <c r="I2120" i="1"/>
  <c r="I2124" i="1"/>
  <c r="I2128" i="1"/>
  <c r="I2132" i="1"/>
  <c r="I2136" i="1"/>
  <c r="I2140" i="1"/>
  <c r="I2144" i="1"/>
  <c r="I2148" i="1"/>
  <c r="I2152" i="1"/>
  <c r="I2156" i="1"/>
  <c r="I2160" i="1"/>
  <c r="I2164" i="1"/>
  <c r="I2168" i="1"/>
  <c r="I2172" i="1"/>
  <c r="I2176" i="1"/>
  <c r="I2180" i="1"/>
  <c r="I2184" i="1"/>
  <c r="I2188" i="1"/>
  <c r="I2192" i="1"/>
  <c r="I2196" i="1"/>
  <c r="I2200" i="1"/>
  <c r="I2204" i="1"/>
  <c r="I2208" i="1"/>
  <c r="I2212" i="1"/>
  <c r="I2216" i="1"/>
  <c r="I2220" i="1"/>
  <c r="I2224" i="1"/>
  <c r="I2228" i="1"/>
  <c r="I2232" i="1"/>
  <c r="I2236" i="1"/>
  <c r="I2240" i="1"/>
  <c r="I2244" i="1"/>
  <c r="I2248" i="1"/>
  <c r="I2252" i="1"/>
  <c r="I2256" i="1"/>
  <c r="I2260" i="1"/>
  <c r="I2264" i="1"/>
  <c r="I2268" i="1"/>
  <c r="I2272" i="1"/>
  <c r="I2276" i="1"/>
  <c r="I2280" i="1"/>
  <c r="I2284" i="1"/>
  <c r="I2288" i="1"/>
  <c r="I2292" i="1"/>
  <c r="I2296" i="1"/>
  <c r="I2300" i="1"/>
  <c r="I2304" i="1"/>
  <c r="I2308" i="1"/>
  <c r="I2312" i="1"/>
  <c r="I2316" i="1"/>
  <c r="I2320" i="1"/>
  <c r="I2324" i="1"/>
  <c r="I2328" i="1"/>
  <c r="I2332" i="1"/>
  <c r="I2336" i="1"/>
  <c r="I2340" i="1"/>
  <c r="I2344" i="1"/>
  <c r="I2348" i="1"/>
  <c r="I2352" i="1"/>
  <c r="I2356" i="1"/>
  <c r="I2360" i="1"/>
  <c r="I2364" i="1"/>
  <c r="I2368" i="1"/>
  <c r="I2372" i="1"/>
  <c r="I2376" i="1"/>
  <c r="I2380" i="1"/>
  <c r="I2384" i="1"/>
  <c r="I2388" i="1"/>
  <c r="I2392" i="1"/>
  <c r="I2396" i="1"/>
  <c r="I2400" i="1"/>
  <c r="I2404" i="1"/>
  <c r="I2408" i="1"/>
  <c r="I2412" i="1"/>
  <c r="I2416" i="1"/>
  <c r="I2420" i="1"/>
  <c r="I2424" i="1"/>
  <c r="I2428" i="1"/>
  <c r="I2432" i="1"/>
  <c r="I2436" i="1"/>
  <c r="I2440" i="1"/>
  <c r="I2444" i="1"/>
  <c r="I2448" i="1"/>
  <c r="I2452" i="1"/>
  <c r="I2456" i="1"/>
  <c r="I2460" i="1"/>
  <c r="I2464" i="1"/>
  <c r="I2468" i="1"/>
  <c r="I2472" i="1"/>
  <c r="I2476" i="1"/>
  <c r="I2480" i="1"/>
  <c r="I2484" i="1"/>
  <c r="I2488" i="1"/>
  <c r="I2492" i="1"/>
  <c r="I2496" i="1"/>
  <c r="I2500" i="1"/>
  <c r="I2504" i="1"/>
  <c r="I2508" i="1"/>
  <c r="I2512" i="1"/>
  <c r="I2516" i="1"/>
  <c r="I2520" i="1"/>
  <c r="I2524" i="1"/>
  <c r="I2528" i="1"/>
  <c r="I2532" i="1"/>
  <c r="I2536" i="1"/>
  <c r="I2540" i="1"/>
  <c r="I2544" i="1"/>
  <c r="I2548" i="1"/>
  <c r="I2552" i="1"/>
  <c r="I2556" i="1"/>
  <c r="I2560" i="1"/>
  <c r="I2564" i="1"/>
  <c r="I2568" i="1"/>
  <c r="I2572" i="1"/>
  <c r="I2576" i="1"/>
  <c r="I2580" i="1"/>
  <c r="I2584" i="1"/>
  <c r="I2588" i="1"/>
  <c r="I2592" i="1"/>
  <c r="I2596" i="1"/>
  <c r="I2600" i="1"/>
  <c r="I2604" i="1"/>
  <c r="I2608" i="1"/>
  <c r="I2612" i="1"/>
  <c r="I2616" i="1"/>
  <c r="I2620" i="1"/>
  <c r="I2624" i="1"/>
  <c r="I2628" i="1"/>
  <c r="I2632" i="1"/>
  <c r="I2636" i="1"/>
  <c r="I2640" i="1"/>
  <c r="I2644" i="1"/>
  <c r="I2648" i="1"/>
  <c r="I2652" i="1"/>
  <c r="I2656" i="1"/>
  <c r="I2660" i="1"/>
  <c r="I2664" i="1"/>
  <c r="I2668" i="1"/>
  <c r="I2672" i="1"/>
  <c r="I2676" i="1"/>
  <c r="I2680" i="1"/>
  <c r="I2684" i="1"/>
  <c r="I2688" i="1"/>
  <c r="I2692" i="1"/>
  <c r="I2696" i="1"/>
  <c r="I2700" i="1"/>
  <c r="I2704" i="1"/>
  <c r="I2708" i="1"/>
  <c r="I2712" i="1"/>
  <c r="I2716" i="1"/>
  <c r="I2333" i="1"/>
  <c r="I2341" i="1"/>
  <c r="I2349" i="1"/>
  <c r="I2357" i="1"/>
  <c r="I2365" i="1"/>
  <c r="I2373" i="1"/>
  <c r="I2381" i="1"/>
  <c r="I2389" i="1"/>
  <c r="I2397" i="1"/>
  <c r="I2405" i="1"/>
  <c r="I2413" i="1"/>
  <c r="I2421" i="1"/>
  <c r="I2429" i="1"/>
  <c r="I2437" i="1"/>
  <c r="I2445" i="1"/>
  <c r="I2453" i="1"/>
  <c r="I2461" i="1"/>
  <c r="I2469" i="1"/>
  <c r="I2477" i="1"/>
  <c r="I2485" i="1"/>
  <c r="I2493" i="1"/>
  <c r="I2501" i="1"/>
  <c r="I2509" i="1"/>
  <c r="I2517" i="1"/>
  <c r="I2525" i="1"/>
  <c r="I2533" i="1"/>
  <c r="I2541" i="1"/>
  <c r="I2549" i="1"/>
  <c r="I2557" i="1"/>
  <c r="I2565" i="1"/>
  <c r="I2573" i="1"/>
  <c r="I2581" i="1"/>
  <c r="I2589" i="1"/>
  <c r="I2597" i="1"/>
  <c r="I2605" i="1"/>
  <c r="I2613" i="1"/>
  <c r="I2621" i="1"/>
  <c r="I2629" i="1"/>
  <c r="I2637" i="1"/>
  <c r="I2645" i="1"/>
  <c r="I2653" i="1"/>
  <c r="I2661" i="1"/>
  <c r="I2669" i="1"/>
  <c r="I2677" i="1"/>
  <c r="I2685" i="1"/>
  <c r="I2693" i="1"/>
  <c r="I2701" i="1"/>
  <c r="I2709" i="1"/>
  <c r="I2717" i="1"/>
  <c r="I2721" i="1"/>
  <c r="I2725" i="1"/>
  <c r="I2729" i="1"/>
  <c r="I2733" i="1"/>
  <c r="I2737" i="1"/>
  <c r="I2741" i="1"/>
  <c r="I2745" i="1"/>
  <c r="I2749" i="1"/>
  <c r="I2753" i="1"/>
  <c r="I2757" i="1"/>
  <c r="I2761" i="1"/>
  <c r="I2765" i="1"/>
  <c r="I2769" i="1"/>
  <c r="I2773" i="1"/>
  <c r="I2777" i="1"/>
  <c r="I2781" i="1"/>
  <c r="I2785" i="1"/>
  <c r="I2789" i="1"/>
  <c r="I2793" i="1"/>
  <c r="I2797" i="1"/>
  <c r="I2801" i="1"/>
  <c r="I2805" i="1"/>
  <c r="I2809" i="1"/>
  <c r="I2813" i="1"/>
  <c r="I2817" i="1"/>
  <c r="I2821" i="1"/>
  <c r="I2825" i="1"/>
  <c r="I2829" i="1"/>
  <c r="I2833" i="1"/>
  <c r="I2837" i="1"/>
  <c r="I2841" i="1"/>
  <c r="I2845" i="1"/>
  <c r="I2849" i="1"/>
  <c r="I2853" i="1"/>
  <c r="I2857" i="1"/>
  <c r="I2861" i="1"/>
  <c r="I2865" i="1"/>
  <c r="I2869" i="1"/>
  <c r="I2873" i="1"/>
  <c r="I2877" i="1"/>
  <c r="I2881" i="1"/>
  <c r="I2885" i="1"/>
  <c r="I2889" i="1"/>
  <c r="I2893" i="1"/>
  <c r="I2897" i="1"/>
  <c r="I2901" i="1"/>
  <c r="I2905" i="1"/>
  <c r="I2909" i="1"/>
  <c r="I2913" i="1"/>
  <c r="I2917" i="1"/>
  <c r="I2921" i="1"/>
  <c r="I2925" i="1"/>
  <c r="I2929" i="1"/>
  <c r="I2933" i="1"/>
  <c r="I2937" i="1"/>
  <c r="I2941" i="1"/>
  <c r="I2945" i="1"/>
  <c r="I2949" i="1"/>
  <c r="I2953" i="1"/>
  <c r="I2957" i="1"/>
  <c r="I2961" i="1"/>
  <c r="I2965" i="1"/>
  <c r="I2969" i="1"/>
  <c r="I2973" i="1"/>
  <c r="I2977" i="1"/>
  <c r="I2981" i="1"/>
  <c r="I2985" i="1"/>
  <c r="I2989" i="1"/>
  <c r="I2993" i="1"/>
  <c r="I2997" i="1"/>
  <c r="I3001" i="1"/>
  <c r="I3005" i="1"/>
  <c r="I3009" i="1"/>
  <c r="I3013" i="1"/>
  <c r="I3017" i="1"/>
  <c r="I3021" i="1"/>
  <c r="I3025" i="1"/>
  <c r="I3029" i="1"/>
  <c r="I3033" i="1"/>
  <c r="I3037" i="1"/>
  <c r="I3041" i="1"/>
  <c r="I3045" i="1"/>
  <c r="I3049" i="1"/>
  <c r="I3053" i="1"/>
  <c r="I3057" i="1"/>
  <c r="I3061" i="1"/>
  <c r="I3065" i="1"/>
  <c r="I3069" i="1"/>
  <c r="I3073" i="1"/>
  <c r="I3077" i="1"/>
  <c r="I3081" i="1"/>
  <c r="I3085" i="1"/>
  <c r="I3089" i="1"/>
  <c r="I3093" i="1"/>
  <c r="I3097" i="1"/>
  <c r="I3101" i="1"/>
  <c r="I3105" i="1"/>
  <c r="I3109" i="1"/>
  <c r="I3113" i="1"/>
  <c r="I3117" i="1"/>
  <c r="I3121" i="1"/>
  <c r="I3125" i="1"/>
  <c r="I3129" i="1"/>
  <c r="I3133" i="1"/>
  <c r="I3137" i="1"/>
  <c r="I3141" i="1"/>
  <c r="I3145" i="1"/>
  <c r="I3149" i="1"/>
  <c r="I3153" i="1"/>
  <c r="I3157" i="1"/>
  <c r="I3161" i="1"/>
  <c r="I3165" i="1"/>
  <c r="I3169" i="1"/>
  <c r="I3173" i="1"/>
  <c r="I3177" i="1"/>
  <c r="I3181" i="1"/>
  <c r="I3185" i="1"/>
  <c r="I3189" i="1"/>
  <c r="I3193" i="1"/>
  <c r="I3197" i="1"/>
  <c r="I3201" i="1"/>
  <c r="I3205" i="1"/>
  <c r="I3209" i="1"/>
  <c r="I3213" i="1"/>
  <c r="I3217" i="1"/>
  <c r="I3221" i="1"/>
  <c r="I3225" i="1"/>
  <c r="I3229" i="1"/>
  <c r="I3233" i="1"/>
  <c r="I3237" i="1"/>
  <c r="I3241" i="1"/>
  <c r="I3245" i="1"/>
  <c r="I3249" i="1"/>
  <c r="I3253" i="1"/>
  <c r="I3257" i="1"/>
  <c r="I3261" i="1"/>
  <c r="I3265" i="1"/>
  <c r="I3269" i="1"/>
  <c r="I3273" i="1"/>
  <c r="I3277" i="1"/>
  <c r="I3281" i="1"/>
  <c r="I3285" i="1"/>
  <c r="I3289" i="1"/>
  <c r="I3293" i="1"/>
  <c r="I3297" i="1"/>
  <c r="I3301" i="1"/>
  <c r="I3305" i="1"/>
  <c r="I3309" i="1"/>
  <c r="I3313" i="1"/>
  <c r="I3317" i="1"/>
  <c r="I3321" i="1"/>
  <c r="I3325" i="1"/>
  <c r="I3329" i="1"/>
  <c r="I3333" i="1"/>
  <c r="I3337" i="1"/>
  <c r="I3341" i="1"/>
  <c r="I3345" i="1"/>
  <c r="I3349" i="1"/>
  <c r="I3353" i="1"/>
  <c r="I3357" i="1"/>
  <c r="I3361" i="1"/>
  <c r="I3365" i="1"/>
  <c r="I3369" i="1"/>
  <c r="I3373" i="1"/>
  <c r="I3377" i="1"/>
  <c r="I3381" i="1"/>
  <c r="I3385" i="1"/>
  <c r="I3389" i="1"/>
  <c r="I3393" i="1"/>
  <c r="I3397" i="1"/>
  <c r="I3401" i="1"/>
  <c r="I2331" i="1"/>
  <c r="I2339" i="1"/>
  <c r="I2347" i="1"/>
  <c r="I2355" i="1"/>
  <c r="I2363" i="1"/>
  <c r="I2371" i="1"/>
  <c r="I2379" i="1"/>
  <c r="I2387" i="1"/>
  <c r="I2395" i="1"/>
  <c r="I2403" i="1"/>
  <c r="I2411" i="1"/>
  <c r="I2419" i="1"/>
  <c r="I2427" i="1"/>
  <c r="I2435" i="1"/>
  <c r="I2443" i="1"/>
  <c r="I2451" i="1"/>
  <c r="I2459" i="1"/>
  <c r="I2467" i="1"/>
  <c r="I2475" i="1"/>
  <c r="I2483" i="1"/>
  <c r="I2491" i="1"/>
  <c r="I2499" i="1"/>
  <c r="I2507" i="1"/>
  <c r="I2515" i="1"/>
  <c r="I2523" i="1"/>
  <c r="I2531" i="1"/>
  <c r="I2539" i="1"/>
  <c r="I2547" i="1"/>
  <c r="I2555" i="1"/>
  <c r="I2563" i="1"/>
  <c r="I2571" i="1"/>
  <c r="I2579" i="1"/>
  <c r="I2587" i="1"/>
  <c r="I2595" i="1"/>
  <c r="I2603" i="1"/>
  <c r="I2611" i="1"/>
  <c r="I2619" i="1"/>
  <c r="I2627" i="1"/>
  <c r="I2635" i="1"/>
  <c r="I2643" i="1"/>
  <c r="I2651" i="1"/>
  <c r="I2659" i="1"/>
  <c r="I2667" i="1"/>
  <c r="I2675" i="1"/>
  <c r="I2683" i="1"/>
  <c r="I2691" i="1"/>
  <c r="I2699" i="1"/>
  <c r="I2707" i="1"/>
  <c r="I2715" i="1"/>
  <c r="I2720" i="1"/>
  <c r="I2724" i="1"/>
  <c r="I2728" i="1"/>
  <c r="I2732" i="1"/>
  <c r="I2736" i="1"/>
  <c r="I2740" i="1"/>
  <c r="I2744" i="1"/>
  <c r="I2748" i="1"/>
  <c r="I2752" i="1"/>
  <c r="I2756" i="1"/>
  <c r="I2760" i="1"/>
  <c r="I2764" i="1"/>
  <c r="I2768" i="1"/>
  <c r="I2772" i="1"/>
  <c r="I2776" i="1"/>
  <c r="I2780" i="1"/>
  <c r="I2784" i="1"/>
  <c r="I2788" i="1"/>
  <c r="I2792" i="1"/>
  <c r="I2796" i="1"/>
  <c r="I2800" i="1"/>
  <c r="I2804" i="1"/>
  <c r="I2808" i="1"/>
  <c r="I2812" i="1"/>
  <c r="I2816" i="1"/>
  <c r="I2820" i="1"/>
  <c r="I2824" i="1"/>
  <c r="I2828" i="1"/>
  <c r="I2832" i="1"/>
  <c r="I2836" i="1"/>
  <c r="I2840" i="1"/>
  <c r="I2844" i="1"/>
  <c r="I2848" i="1"/>
  <c r="I2852" i="1"/>
  <c r="I2856" i="1"/>
  <c r="I2860" i="1"/>
  <c r="I2864" i="1"/>
  <c r="I2868" i="1"/>
  <c r="I2872" i="1"/>
  <c r="I2876" i="1"/>
  <c r="I2880" i="1"/>
  <c r="I2884" i="1"/>
  <c r="I2888" i="1"/>
  <c r="I2892" i="1"/>
  <c r="I2896" i="1"/>
  <c r="I2900" i="1"/>
  <c r="I2904" i="1"/>
  <c r="I2908" i="1"/>
  <c r="I2912" i="1"/>
  <c r="I2916" i="1"/>
  <c r="I2920" i="1"/>
  <c r="I2924" i="1"/>
  <c r="I2928" i="1"/>
  <c r="I2932" i="1"/>
  <c r="I2936" i="1"/>
  <c r="I2940" i="1"/>
  <c r="I2944" i="1"/>
  <c r="I2948" i="1"/>
  <c r="I2952" i="1"/>
  <c r="I2956" i="1"/>
  <c r="I2960" i="1"/>
  <c r="I2964" i="1"/>
  <c r="I2968" i="1"/>
  <c r="I2972" i="1"/>
  <c r="I2976" i="1"/>
  <c r="I2980" i="1"/>
  <c r="I2984" i="1"/>
  <c r="I2988" i="1"/>
  <c r="I2992" i="1"/>
  <c r="I2996" i="1"/>
  <c r="I3000" i="1"/>
  <c r="I3004" i="1"/>
  <c r="I3008" i="1"/>
  <c r="I3012" i="1"/>
  <c r="I3016" i="1"/>
  <c r="I3020" i="1"/>
  <c r="I3024" i="1"/>
  <c r="I3028" i="1"/>
  <c r="I3032" i="1"/>
  <c r="I3036" i="1"/>
  <c r="I3040" i="1"/>
  <c r="I3044" i="1"/>
  <c r="I3048" i="1"/>
  <c r="I3052" i="1"/>
  <c r="I3056" i="1"/>
  <c r="I3060" i="1"/>
  <c r="I3064" i="1"/>
  <c r="I3068" i="1"/>
  <c r="I3072" i="1"/>
  <c r="I3076" i="1"/>
  <c r="I3080" i="1"/>
  <c r="I3084" i="1"/>
  <c r="I3088" i="1"/>
  <c r="I3092" i="1"/>
  <c r="I3096" i="1"/>
  <c r="I3100" i="1"/>
  <c r="I3104" i="1"/>
  <c r="I3108" i="1"/>
  <c r="I3112" i="1"/>
  <c r="I3116" i="1"/>
  <c r="I3120" i="1"/>
  <c r="I3124" i="1"/>
  <c r="I3128" i="1"/>
  <c r="I3132" i="1"/>
  <c r="I3136" i="1"/>
  <c r="I3140" i="1"/>
  <c r="I3144" i="1"/>
  <c r="I3148" i="1"/>
  <c r="I3152" i="1"/>
  <c r="I3156" i="1"/>
  <c r="I3160" i="1"/>
  <c r="I3164" i="1"/>
  <c r="I3168" i="1"/>
  <c r="I3172" i="1"/>
  <c r="I3176" i="1"/>
  <c r="I3180" i="1"/>
  <c r="I3184" i="1"/>
  <c r="I3188" i="1"/>
  <c r="I3192" i="1"/>
  <c r="I3196" i="1"/>
  <c r="I3200" i="1"/>
  <c r="I3204" i="1"/>
  <c r="I3208" i="1"/>
  <c r="I3212" i="1"/>
  <c r="I3216" i="1"/>
  <c r="I3220" i="1"/>
  <c r="I3224" i="1"/>
  <c r="I3228" i="1"/>
  <c r="I3232" i="1"/>
  <c r="I3236" i="1"/>
  <c r="I3240" i="1"/>
  <c r="I3244" i="1"/>
  <c r="I3248" i="1"/>
  <c r="I3252" i="1"/>
  <c r="I3256" i="1"/>
  <c r="I3260" i="1"/>
  <c r="I3264" i="1"/>
  <c r="I3268" i="1"/>
  <c r="I3272" i="1"/>
  <c r="I3276" i="1"/>
  <c r="I3280" i="1"/>
  <c r="I3284" i="1"/>
  <c r="I3288" i="1"/>
  <c r="I3292" i="1"/>
  <c r="I3296" i="1"/>
  <c r="I3300" i="1"/>
  <c r="I3304" i="1"/>
  <c r="I3308" i="1"/>
  <c r="I3312" i="1"/>
  <c r="I3316" i="1"/>
  <c r="I3320" i="1"/>
  <c r="I3324" i="1"/>
  <c r="I3328" i="1"/>
  <c r="I3332" i="1"/>
  <c r="I3336" i="1"/>
  <c r="I3340" i="1"/>
  <c r="I3344" i="1"/>
  <c r="I3348" i="1"/>
  <c r="I3352" i="1"/>
  <c r="I3356" i="1"/>
  <c r="I3360" i="1"/>
  <c r="I3364" i="1"/>
  <c r="I3368" i="1"/>
  <c r="I3372" i="1"/>
  <c r="I3376" i="1"/>
  <c r="I3380" i="1"/>
  <c r="I3384" i="1"/>
  <c r="I3388" i="1"/>
  <c r="I3392" i="1"/>
  <c r="I3396" i="1"/>
  <c r="I3400" i="1"/>
  <c r="I3404" i="1"/>
  <c r="I3408" i="1"/>
  <c r="I3412" i="1"/>
  <c r="I3416" i="1"/>
  <c r="I3420" i="1"/>
  <c r="I3424" i="1"/>
  <c r="I3428" i="1"/>
  <c r="I3432" i="1"/>
  <c r="I3436" i="1"/>
  <c r="I3440" i="1"/>
  <c r="I3444" i="1"/>
  <c r="I3448" i="1"/>
  <c r="I3452" i="1"/>
  <c r="I3456" i="1"/>
  <c r="I3460" i="1"/>
  <c r="I3464" i="1"/>
  <c r="I3468" i="1"/>
  <c r="I3472" i="1"/>
  <c r="I3476" i="1"/>
  <c r="I3480" i="1"/>
  <c r="I3484" i="1"/>
  <c r="I3488" i="1"/>
  <c r="I3492" i="1"/>
  <c r="I3496" i="1"/>
  <c r="I3500" i="1"/>
  <c r="I3504" i="1"/>
  <c r="I3508" i="1"/>
  <c r="I3512" i="1"/>
  <c r="I3516" i="1"/>
  <c r="I3520" i="1"/>
  <c r="I3524" i="1"/>
  <c r="I3528" i="1"/>
  <c r="I3532" i="1"/>
  <c r="I3536" i="1"/>
  <c r="I3540" i="1"/>
  <c r="I3544" i="1"/>
  <c r="I3548" i="1"/>
  <c r="I3552" i="1"/>
  <c r="I3556" i="1"/>
  <c r="I3560" i="1"/>
  <c r="I3564" i="1"/>
  <c r="I3568" i="1"/>
  <c r="I3572" i="1"/>
  <c r="I3576" i="1"/>
  <c r="I3580" i="1"/>
  <c r="I3584" i="1"/>
  <c r="I3588" i="1"/>
  <c r="I3592" i="1"/>
  <c r="I3596" i="1"/>
  <c r="I3600" i="1"/>
  <c r="I3604" i="1"/>
  <c r="I3608" i="1"/>
  <c r="I3612" i="1"/>
  <c r="I3616" i="1"/>
  <c r="I3620" i="1"/>
  <c r="I3624" i="1"/>
  <c r="I3628" i="1"/>
  <c r="I3632" i="1"/>
  <c r="I3636" i="1"/>
  <c r="I3640" i="1"/>
  <c r="I3644" i="1"/>
  <c r="I3648" i="1"/>
  <c r="I3652" i="1"/>
  <c r="I3656" i="1"/>
  <c r="I3660" i="1"/>
  <c r="I3664" i="1"/>
  <c r="I3668" i="1"/>
  <c r="I3672" i="1"/>
  <c r="I3676" i="1"/>
  <c r="I3680" i="1"/>
  <c r="I3684" i="1"/>
  <c r="I3688" i="1"/>
  <c r="I3692" i="1"/>
  <c r="I3696" i="1"/>
  <c r="I3700" i="1"/>
  <c r="I3704" i="1"/>
  <c r="I3708" i="1"/>
  <c r="I3712" i="1"/>
  <c r="I3716" i="1"/>
  <c r="I3720" i="1"/>
  <c r="I3724" i="1"/>
  <c r="I3728" i="1"/>
  <c r="I3732" i="1"/>
  <c r="I3736" i="1"/>
  <c r="I3740" i="1"/>
  <c r="I3744" i="1"/>
  <c r="I3748" i="1"/>
  <c r="I3752" i="1"/>
  <c r="I3756" i="1"/>
  <c r="I3760" i="1"/>
  <c r="I3764" i="1"/>
  <c r="I3768" i="1"/>
  <c r="I3772" i="1"/>
  <c r="I3776" i="1"/>
  <c r="I3780" i="1"/>
  <c r="I3784" i="1"/>
  <c r="I3788" i="1"/>
  <c r="I3792" i="1"/>
  <c r="I3796" i="1"/>
  <c r="I3800" i="1"/>
  <c r="I3804" i="1"/>
  <c r="I3808" i="1"/>
  <c r="I3812" i="1"/>
  <c r="I3816" i="1"/>
  <c r="I3820" i="1"/>
  <c r="I3824" i="1"/>
  <c r="I3828" i="1"/>
  <c r="I3832" i="1"/>
  <c r="I3836" i="1"/>
  <c r="I3840" i="1"/>
  <c r="I3844" i="1"/>
  <c r="I3848" i="1"/>
  <c r="I3852" i="1"/>
  <c r="I3856" i="1"/>
  <c r="I3860" i="1"/>
  <c r="I3864" i="1"/>
  <c r="I3868" i="1"/>
  <c r="I3872" i="1"/>
  <c r="I3876" i="1"/>
  <c r="I3880" i="1"/>
  <c r="I3884" i="1"/>
  <c r="I3405" i="1"/>
  <c r="I3413" i="1"/>
  <c r="I3421" i="1"/>
  <c r="I3429" i="1"/>
  <c r="I3437" i="1"/>
  <c r="I3445" i="1"/>
  <c r="I3453" i="1"/>
  <c r="I3461" i="1"/>
  <c r="I3469" i="1"/>
  <c r="I3477" i="1"/>
  <c r="I3485" i="1"/>
  <c r="I3493" i="1"/>
  <c r="I3501" i="1"/>
  <c r="I3509" i="1"/>
  <c r="I3517" i="1"/>
  <c r="I3525" i="1"/>
  <c r="I3533" i="1"/>
  <c r="I3541" i="1"/>
  <c r="I3549" i="1"/>
  <c r="I3557" i="1"/>
  <c r="I3565" i="1"/>
  <c r="I3573" i="1"/>
  <c r="I3581" i="1"/>
  <c r="I3589" i="1"/>
  <c r="I3597" i="1"/>
  <c r="I3605" i="1"/>
  <c r="I3613" i="1"/>
  <c r="I3621" i="1"/>
  <c r="I3629" i="1"/>
  <c r="I3637" i="1"/>
  <c r="I3645" i="1"/>
  <c r="I3653" i="1"/>
  <c r="I3661" i="1"/>
  <c r="I3669" i="1"/>
  <c r="I3677" i="1"/>
  <c r="I3685" i="1"/>
  <c r="I3693" i="1"/>
  <c r="I3701" i="1"/>
  <c r="I3709" i="1"/>
  <c r="I3717" i="1"/>
  <c r="I3725" i="1"/>
  <c r="I3733" i="1"/>
  <c r="I3741" i="1"/>
  <c r="I3749" i="1"/>
  <c r="I3757" i="1"/>
  <c r="I3765" i="1"/>
  <c r="I3773" i="1"/>
  <c r="I3781" i="1"/>
  <c r="I3789" i="1"/>
  <c r="I3797" i="1"/>
  <c r="I3805" i="1"/>
  <c r="I3813" i="1"/>
  <c r="I3821" i="1"/>
  <c r="I3829" i="1"/>
  <c r="I3837" i="1"/>
  <c r="I3845" i="1"/>
  <c r="I3853" i="1"/>
  <c r="I3861" i="1"/>
  <c r="I3869" i="1"/>
  <c r="I3877" i="1"/>
  <c r="I3885" i="1"/>
  <c r="I3890" i="1"/>
  <c r="I3894" i="1"/>
  <c r="I3898" i="1"/>
  <c r="I3902" i="1"/>
  <c r="I3906" i="1"/>
  <c r="I3910" i="1"/>
  <c r="I3914" i="1"/>
  <c r="I3918" i="1"/>
  <c r="I3922" i="1"/>
  <c r="I3926" i="1"/>
  <c r="I3930" i="1"/>
  <c r="I3934" i="1"/>
  <c r="I3938" i="1"/>
  <c r="I3942" i="1"/>
  <c r="I3946" i="1"/>
  <c r="I3950" i="1"/>
  <c r="I3954" i="1"/>
  <c r="I3958" i="1"/>
  <c r="I3962" i="1"/>
  <c r="I3966" i="1"/>
  <c r="I3970" i="1"/>
  <c r="I3974" i="1"/>
  <c r="I3978" i="1"/>
  <c r="I3982" i="1"/>
  <c r="I3986" i="1"/>
  <c r="I3990" i="1"/>
  <c r="I3994" i="1"/>
  <c r="I3998" i="1"/>
  <c r="I4002" i="1"/>
  <c r="I4006" i="1"/>
  <c r="I4010" i="1"/>
  <c r="I4014" i="1"/>
  <c r="I4018" i="1"/>
  <c r="I4022" i="1"/>
  <c r="I4026" i="1"/>
  <c r="I4030" i="1"/>
  <c r="I4034" i="1"/>
  <c r="I4038" i="1"/>
  <c r="I4042" i="1"/>
  <c r="I4046" i="1"/>
  <c r="I4050" i="1"/>
  <c r="I4054" i="1"/>
  <c r="I4058" i="1"/>
  <c r="I4062" i="1"/>
  <c r="I4066" i="1"/>
  <c r="I4070" i="1"/>
  <c r="I4074" i="1"/>
  <c r="I4078" i="1"/>
  <c r="I4082" i="1"/>
  <c r="I4086" i="1"/>
  <c r="I4090" i="1"/>
  <c r="I4094" i="1"/>
  <c r="I4098" i="1"/>
  <c r="I4102" i="1"/>
  <c r="I4106" i="1"/>
  <c r="I4110" i="1"/>
  <c r="I4114" i="1"/>
  <c r="I4118" i="1"/>
  <c r="I4122" i="1"/>
  <c r="I4126" i="1"/>
  <c r="I4130" i="1"/>
  <c r="I4134" i="1"/>
  <c r="I4138" i="1"/>
  <c r="I4142" i="1"/>
  <c r="I4146" i="1"/>
  <c r="I4150" i="1"/>
  <c r="I4154" i="1"/>
  <c r="I4158" i="1"/>
  <c r="I4162" i="1"/>
  <c r="I4166" i="1"/>
  <c r="I4170" i="1"/>
  <c r="I4174" i="1"/>
  <c r="I4178" i="1"/>
  <c r="I4182" i="1"/>
  <c r="I4186" i="1"/>
  <c r="I4190" i="1"/>
  <c r="I4194" i="1"/>
  <c r="I4198" i="1"/>
  <c r="I4202" i="1"/>
  <c r="I4206" i="1"/>
  <c r="I4210" i="1"/>
  <c r="I4214" i="1"/>
  <c r="I4218" i="1"/>
  <c r="I4222" i="1"/>
  <c r="I4226" i="1"/>
  <c r="I4230" i="1"/>
  <c r="I4234" i="1"/>
  <c r="I4238" i="1"/>
  <c r="I4242" i="1"/>
  <c r="I4246" i="1"/>
  <c r="I4250" i="1"/>
  <c r="I4254" i="1"/>
  <c r="I4258" i="1"/>
  <c r="I4262" i="1"/>
  <c r="I4266" i="1"/>
  <c r="I4270" i="1"/>
  <c r="I4274" i="1"/>
  <c r="I4278" i="1"/>
  <c r="I4282" i="1"/>
  <c r="I4286" i="1"/>
  <c r="I4290" i="1"/>
  <c r="I4294" i="1"/>
  <c r="I4298" i="1"/>
  <c r="I4302" i="1"/>
  <c r="I4306" i="1"/>
  <c r="I4310" i="1"/>
  <c r="I4314" i="1"/>
  <c r="I4318" i="1"/>
  <c r="I4322" i="1"/>
  <c r="I4326" i="1"/>
  <c r="I4330" i="1"/>
  <c r="I4334" i="1"/>
  <c r="I4338" i="1"/>
  <c r="I4342" i="1"/>
  <c r="I4346" i="1"/>
  <c r="I4350" i="1"/>
  <c r="I4354" i="1"/>
  <c r="I4358" i="1"/>
  <c r="I4362" i="1"/>
  <c r="I4366" i="1"/>
  <c r="I4370" i="1"/>
  <c r="I4374" i="1"/>
  <c r="I4378" i="1"/>
  <c r="I4382" i="1"/>
  <c r="I4386" i="1"/>
  <c r="I4390" i="1"/>
  <c r="I4394" i="1"/>
  <c r="I4398" i="1"/>
  <c r="I4402" i="1"/>
  <c r="I4406" i="1"/>
  <c r="I4410" i="1"/>
  <c r="I1327" i="1"/>
  <c r="I1335" i="1"/>
  <c r="I1343" i="1"/>
  <c r="I1351" i="1"/>
  <c r="I1359" i="1"/>
  <c r="I1367" i="1"/>
  <c r="I1375" i="1"/>
  <c r="I1383" i="1"/>
  <c r="I1391" i="1"/>
  <c r="I1399" i="1"/>
  <c r="I1407" i="1"/>
  <c r="I1415" i="1"/>
  <c r="I1423" i="1"/>
  <c r="I1431" i="1"/>
  <c r="I1439" i="1"/>
  <c r="I1447" i="1"/>
  <c r="I1455" i="1"/>
  <c r="I1463" i="1"/>
  <c r="I990" i="1"/>
  <c r="I1006" i="1"/>
  <c r="I1022" i="1"/>
  <c r="I1038" i="1"/>
  <c r="I1054" i="1"/>
  <c r="I1070" i="1"/>
  <c r="I1086" i="1"/>
  <c r="I1102" i="1"/>
  <c r="I1118" i="1"/>
  <c r="I1134" i="1"/>
  <c r="I1150" i="1"/>
  <c r="I1166" i="1"/>
  <c r="I1182" i="1"/>
  <c r="I1198" i="1"/>
  <c r="I1214" i="1"/>
  <c r="I1222" i="1"/>
  <c r="I1230" i="1"/>
  <c r="I1238" i="1"/>
  <c r="I1246" i="1"/>
  <c r="I1254" i="1"/>
  <c r="I1262" i="1"/>
  <c r="I1270" i="1"/>
  <c r="I1278" i="1"/>
  <c r="I1286" i="1"/>
  <c r="I1294" i="1"/>
  <c r="I1302" i="1"/>
  <c r="I1310" i="1"/>
  <c r="I1318" i="1"/>
  <c r="I1322" i="1"/>
  <c r="I1326" i="1"/>
  <c r="I1330" i="1"/>
  <c r="I1334" i="1"/>
  <c r="I1338" i="1"/>
  <c r="I1342" i="1"/>
  <c r="I1346" i="1"/>
  <c r="I1350" i="1"/>
  <c r="I1354" i="1"/>
  <c r="I1358" i="1"/>
  <c r="I1362" i="1"/>
  <c r="I1366" i="1"/>
  <c r="I1370" i="1"/>
  <c r="I1374" i="1"/>
  <c r="I1378" i="1"/>
  <c r="I1382" i="1"/>
  <c r="I1386" i="1"/>
  <c r="I1390" i="1"/>
  <c r="I1394" i="1"/>
  <c r="I1398" i="1"/>
  <c r="I1402" i="1"/>
  <c r="I1406" i="1"/>
  <c r="I1410" i="1"/>
  <c r="I1414" i="1"/>
  <c r="I1418" i="1"/>
  <c r="I1422" i="1"/>
  <c r="I1426" i="1"/>
  <c r="I1430" i="1"/>
  <c r="I1434" i="1"/>
  <c r="I1438" i="1"/>
  <c r="I1442" i="1"/>
  <c r="I1446" i="1"/>
  <c r="I1450" i="1"/>
  <c r="I1454" i="1"/>
  <c r="I1458" i="1"/>
  <c r="I1462" i="1"/>
  <c r="I1466" i="1"/>
  <c r="I1470" i="1"/>
  <c r="I1474" i="1"/>
  <c r="I1478" i="1"/>
  <c r="I1482" i="1"/>
  <c r="I1486" i="1"/>
  <c r="I1490" i="1"/>
  <c r="I1494" i="1"/>
  <c r="I1498" i="1"/>
  <c r="I1502" i="1"/>
  <c r="I1506" i="1"/>
  <c r="I1510" i="1"/>
  <c r="I1514" i="1"/>
  <c r="I1518" i="1"/>
  <c r="I1522" i="1"/>
  <c r="I1526" i="1"/>
  <c r="I1530" i="1"/>
  <c r="I1534" i="1"/>
  <c r="I1538" i="1"/>
  <c r="I1542" i="1"/>
  <c r="I1546" i="1"/>
  <c r="I1550" i="1"/>
  <c r="I1554" i="1"/>
  <c r="I1558" i="1"/>
  <c r="I1562" i="1"/>
  <c r="I1566" i="1"/>
  <c r="I1570" i="1"/>
  <c r="I1574" i="1"/>
  <c r="I1578" i="1"/>
  <c r="I1582" i="1"/>
  <c r="I1586" i="1"/>
  <c r="I1590" i="1"/>
  <c r="I1594" i="1"/>
  <c r="I1598" i="1"/>
  <c r="I1602" i="1"/>
  <c r="I1606" i="1"/>
  <c r="I1610" i="1"/>
  <c r="I1614" i="1"/>
  <c r="I1618" i="1"/>
  <c r="I1622" i="1"/>
  <c r="I1626" i="1"/>
  <c r="I1630" i="1"/>
  <c r="I1634" i="1"/>
  <c r="I1638" i="1"/>
  <c r="I1642" i="1"/>
  <c r="I1646" i="1"/>
  <c r="I1650" i="1"/>
  <c r="I1654" i="1"/>
  <c r="I1658" i="1"/>
  <c r="I1662" i="1"/>
  <c r="I1666" i="1"/>
  <c r="I1670" i="1"/>
  <c r="I1674" i="1"/>
  <c r="I1678" i="1"/>
  <c r="I1682" i="1"/>
  <c r="I1686" i="1"/>
  <c r="I1690" i="1"/>
  <c r="I1694" i="1"/>
  <c r="I1698" i="1"/>
  <c r="I1702" i="1"/>
  <c r="I1706" i="1"/>
  <c r="I1710" i="1"/>
  <c r="I1714" i="1"/>
  <c r="I1718" i="1"/>
  <c r="I1722" i="1"/>
  <c r="I1726" i="1"/>
  <c r="I1730" i="1"/>
  <c r="I1734" i="1"/>
  <c r="I1738" i="1"/>
  <c r="I1742" i="1"/>
  <c r="I1746" i="1"/>
  <c r="I1750" i="1"/>
  <c r="I1754" i="1"/>
  <c r="I1758" i="1"/>
  <c r="I1762" i="1"/>
  <c r="I1766" i="1"/>
  <c r="I1770" i="1"/>
  <c r="I1774" i="1"/>
  <c r="I1778" i="1"/>
  <c r="I1782" i="1"/>
  <c r="I1786" i="1"/>
  <c r="I1790" i="1"/>
  <c r="I1794" i="1"/>
  <c r="I1798" i="1"/>
  <c r="I1802" i="1"/>
  <c r="I1806" i="1"/>
  <c r="I1810" i="1"/>
  <c r="I1814" i="1"/>
  <c r="I1818" i="1"/>
  <c r="I1822" i="1"/>
  <c r="I1826" i="1"/>
  <c r="I1465" i="1"/>
  <c r="I1473" i="1"/>
  <c r="I1481" i="1"/>
  <c r="I1489" i="1"/>
  <c r="I1497" i="1"/>
  <c r="I1505" i="1"/>
  <c r="I1513" i="1"/>
  <c r="I1521" i="1"/>
  <c r="I1529" i="1"/>
  <c r="I1537" i="1"/>
  <c r="I1545" i="1"/>
  <c r="I1553" i="1"/>
  <c r="I1561" i="1"/>
  <c r="I1569" i="1"/>
  <c r="I1577" i="1"/>
  <c r="I1585" i="1"/>
  <c r="I1593" i="1"/>
  <c r="I1601" i="1"/>
  <c r="I1609" i="1"/>
  <c r="I1617" i="1"/>
  <c r="I1625" i="1"/>
  <c r="I1633" i="1"/>
  <c r="I1641" i="1"/>
  <c r="I1649" i="1"/>
  <c r="I1657" i="1"/>
  <c r="I1665" i="1"/>
  <c r="I1673" i="1"/>
  <c r="I1681" i="1"/>
  <c r="I1689" i="1"/>
  <c r="I1697" i="1"/>
  <c r="I1705" i="1"/>
  <c r="I1713" i="1"/>
  <c r="I1721" i="1"/>
  <c r="I1729" i="1"/>
  <c r="I1737" i="1"/>
  <c r="I1745" i="1"/>
  <c r="I1753" i="1"/>
  <c r="I1761" i="1"/>
  <c r="I1769" i="1"/>
  <c r="I1777" i="1"/>
  <c r="I1785" i="1"/>
  <c r="I1793" i="1"/>
  <c r="I1801" i="1"/>
  <c r="I1809" i="1"/>
  <c r="I1817" i="1"/>
  <c r="I1825" i="1"/>
  <c r="I1831" i="1"/>
  <c r="I1835" i="1"/>
  <c r="I1839" i="1"/>
  <c r="I1843" i="1"/>
  <c r="I1847" i="1"/>
  <c r="I1851" i="1"/>
  <c r="I1855" i="1"/>
  <c r="I1859" i="1"/>
  <c r="I1863" i="1"/>
  <c r="I1867" i="1"/>
  <c r="I1871" i="1"/>
  <c r="I1875" i="1"/>
  <c r="I1879" i="1"/>
  <c r="I1883" i="1"/>
  <c r="I1887" i="1"/>
  <c r="I1891" i="1"/>
  <c r="I1895" i="1"/>
  <c r="I1899" i="1"/>
  <c r="I1903" i="1"/>
  <c r="I1907" i="1"/>
  <c r="I1911" i="1"/>
  <c r="I1915" i="1"/>
  <c r="I1919" i="1"/>
  <c r="I1923" i="1"/>
  <c r="I1927" i="1"/>
  <c r="I1931" i="1"/>
  <c r="I1935" i="1"/>
  <c r="I1939" i="1"/>
  <c r="I1943" i="1"/>
  <c r="I1947" i="1"/>
  <c r="I1951" i="1"/>
  <c r="I1955" i="1"/>
  <c r="I1959" i="1"/>
  <c r="I1963" i="1"/>
  <c r="I1967" i="1"/>
  <c r="I1971" i="1"/>
  <c r="I1975" i="1"/>
  <c r="I1979" i="1"/>
  <c r="I1983" i="1"/>
  <c r="I1987" i="1"/>
  <c r="I1991" i="1"/>
  <c r="I1995" i="1"/>
  <c r="I1999" i="1"/>
  <c r="I2003" i="1"/>
  <c r="I2007" i="1"/>
  <c r="I2011" i="1"/>
  <c r="I2015" i="1"/>
  <c r="I2019" i="1"/>
  <c r="I2023" i="1"/>
  <c r="I2027" i="1"/>
  <c r="I2031" i="1"/>
  <c r="I2035" i="1"/>
  <c r="I2039" i="1"/>
  <c r="I2043" i="1"/>
  <c r="I2047" i="1"/>
  <c r="I2051" i="1"/>
  <c r="I2055" i="1"/>
  <c r="I2059" i="1"/>
  <c r="I2063" i="1"/>
  <c r="I2067" i="1"/>
  <c r="I2071" i="1"/>
  <c r="I2075" i="1"/>
  <c r="I2079" i="1"/>
  <c r="I2083" i="1"/>
  <c r="I2087" i="1"/>
  <c r="I2091" i="1"/>
  <c r="I2095" i="1"/>
  <c r="I2099" i="1"/>
  <c r="I2103" i="1"/>
  <c r="I2107" i="1"/>
  <c r="I2111" i="1"/>
  <c r="I2115" i="1"/>
  <c r="I2119" i="1"/>
  <c r="I2123" i="1"/>
  <c r="I2127" i="1"/>
  <c r="I2131" i="1"/>
  <c r="I2135" i="1"/>
  <c r="I2139" i="1"/>
  <c r="I2143" i="1"/>
  <c r="I2147" i="1"/>
  <c r="I2151" i="1"/>
  <c r="I2155" i="1"/>
  <c r="I2159" i="1"/>
  <c r="I2163" i="1"/>
  <c r="I2167" i="1"/>
  <c r="I2171" i="1"/>
  <c r="I2175" i="1"/>
  <c r="I2179" i="1"/>
  <c r="I2183" i="1"/>
  <c r="I2187" i="1"/>
  <c r="I2191" i="1"/>
  <c r="I2195" i="1"/>
  <c r="I2199" i="1"/>
  <c r="I2203" i="1"/>
  <c r="I2207" i="1"/>
  <c r="I2211" i="1"/>
  <c r="I2215" i="1"/>
  <c r="I2219" i="1"/>
  <c r="I2223" i="1"/>
  <c r="I2227" i="1"/>
  <c r="I2231" i="1"/>
  <c r="I2235" i="1"/>
  <c r="I2239" i="1"/>
  <c r="I2243" i="1"/>
  <c r="I2247" i="1"/>
  <c r="I2251" i="1"/>
  <c r="I2255" i="1"/>
  <c r="I2259" i="1"/>
  <c r="I2263" i="1"/>
  <c r="I2267" i="1"/>
  <c r="I2271" i="1"/>
  <c r="I2275" i="1"/>
  <c r="I2279" i="1"/>
  <c r="I2283" i="1"/>
  <c r="I2287" i="1"/>
  <c r="I2291" i="1"/>
  <c r="I2295" i="1"/>
  <c r="I2299" i="1"/>
  <c r="I2303" i="1"/>
  <c r="I2307" i="1"/>
  <c r="I2311" i="1"/>
  <c r="I2315" i="1"/>
  <c r="I2319" i="1"/>
  <c r="I2323" i="1"/>
  <c r="I2327" i="1"/>
  <c r="I1471" i="1"/>
  <c r="I1479" i="1"/>
  <c r="I1487" i="1"/>
  <c r="I1495" i="1"/>
  <c r="I1503" i="1"/>
  <c r="I1511" i="1"/>
  <c r="I1519" i="1"/>
  <c r="I1527" i="1"/>
  <c r="I1535" i="1"/>
  <c r="I1543" i="1"/>
  <c r="I1551" i="1"/>
  <c r="I1559" i="1"/>
  <c r="I1567" i="1"/>
  <c r="I1575" i="1"/>
  <c r="I1583" i="1"/>
  <c r="I1591" i="1"/>
  <c r="I1599" i="1"/>
  <c r="I1607" i="1"/>
  <c r="I1615" i="1"/>
  <c r="I1623" i="1"/>
  <c r="I1631" i="1"/>
  <c r="I1639" i="1"/>
  <c r="I1647" i="1"/>
  <c r="I1655" i="1"/>
  <c r="I1663" i="1"/>
  <c r="I1671" i="1"/>
  <c r="I1679" i="1"/>
  <c r="I1687" i="1"/>
  <c r="I1695" i="1"/>
  <c r="I1703" i="1"/>
  <c r="I1711" i="1"/>
  <c r="I1719" i="1"/>
  <c r="I1727" i="1"/>
  <c r="I1735" i="1"/>
  <c r="I1743" i="1"/>
  <c r="I1751" i="1"/>
  <c r="I1759" i="1"/>
  <c r="I1767" i="1"/>
  <c r="I1775" i="1"/>
  <c r="I1783" i="1"/>
  <c r="I1791" i="1"/>
  <c r="I1799" i="1"/>
  <c r="I1807" i="1"/>
  <c r="I1815" i="1"/>
  <c r="I1823" i="1"/>
  <c r="I1830" i="1"/>
  <c r="I1834" i="1"/>
  <c r="I1838" i="1"/>
  <c r="I1842" i="1"/>
  <c r="I1846" i="1"/>
  <c r="I1850" i="1"/>
  <c r="I1854" i="1"/>
  <c r="I1858" i="1"/>
  <c r="I1862" i="1"/>
  <c r="I1866" i="1"/>
  <c r="I1870" i="1"/>
  <c r="I1874" i="1"/>
  <c r="I1878" i="1"/>
  <c r="I1882" i="1"/>
  <c r="I1886" i="1"/>
  <c r="I1890" i="1"/>
  <c r="I1894" i="1"/>
  <c r="I1898" i="1"/>
  <c r="I1902" i="1"/>
  <c r="I1906" i="1"/>
  <c r="I1910" i="1"/>
  <c r="I1914" i="1"/>
  <c r="I1918" i="1"/>
  <c r="I1922" i="1"/>
  <c r="I1926" i="1"/>
  <c r="I1930" i="1"/>
  <c r="I1934" i="1"/>
  <c r="I1938" i="1"/>
  <c r="I1942" i="1"/>
  <c r="I1946" i="1"/>
  <c r="I1950" i="1"/>
  <c r="I1954" i="1"/>
  <c r="I1958" i="1"/>
  <c r="I1962" i="1"/>
  <c r="I1966" i="1"/>
  <c r="I1970" i="1"/>
  <c r="I1974" i="1"/>
  <c r="I1978" i="1"/>
  <c r="I1982" i="1"/>
  <c r="I1986" i="1"/>
  <c r="I1990" i="1"/>
  <c r="I1994" i="1"/>
  <c r="I1998" i="1"/>
  <c r="I2002" i="1"/>
  <c r="I2006" i="1"/>
  <c r="I2010" i="1"/>
  <c r="I2014" i="1"/>
  <c r="I2018" i="1"/>
  <c r="I2022" i="1"/>
  <c r="I2026" i="1"/>
  <c r="I2030" i="1"/>
  <c r="I2034" i="1"/>
  <c r="I2038" i="1"/>
  <c r="I2042" i="1"/>
  <c r="I2046" i="1"/>
  <c r="I2050" i="1"/>
  <c r="I2054" i="1"/>
  <c r="I2058" i="1"/>
  <c r="I2062" i="1"/>
  <c r="I2066" i="1"/>
  <c r="I2070" i="1"/>
  <c r="I2074" i="1"/>
  <c r="I2078" i="1"/>
  <c r="I2082" i="1"/>
  <c r="I2086" i="1"/>
  <c r="I2090" i="1"/>
  <c r="I2094" i="1"/>
  <c r="I2098" i="1"/>
  <c r="I2102" i="1"/>
  <c r="I2106" i="1"/>
  <c r="I2110" i="1"/>
  <c r="I2114" i="1"/>
  <c r="I2118" i="1"/>
  <c r="I2122" i="1"/>
  <c r="I2126" i="1"/>
  <c r="I2130" i="1"/>
  <c r="I2134" i="1"/>
  <c r="I2138" i="1"/>
  <c r="I2142" i="1"/>
  <c r="I2146" i="1"/>
  <c r="I2150" i="1"/>
  <c r="I2154" i="1"/>
  <c r="I2158" i="1"/>
  <c r="I2162" i="1"/>
  <c r="I2166" i="1"/>
  <c r="I2170" i="1"/>
  <c r="I2174" i="1"/>
  <c r="I2178" i="1"/>
  <c r="I2182" i="1"/>
  <c r="I2186" i="1"/>
  <c r="I2190" i="1"/>
  <c r="I2194" i="1"/>
  <c r="I2198" i="1"/>
  <c r="I2202" i="1"/>
  <c r="I2206" i="1"/>
  <c r="I2210" i="1"/>
  <c r="I2214" i="1"/>
  <c r="I2218" i="1"/>
  <c r="I2222" i="1"/>
  <c r="I2226" i="1"/>
  <c r="I2230" i="1"/>
  <c r="I2234" i="1"/>
  <c r="I2238" i="1"/>
  <c r="I2242" i="1"/>
  <c r="I2246" i="1"/>
  <c r="I2250" i="1"/>
  <c r="I2254" i="1"/>
  <c r="I2258" i="1"/>
  <c r="I2262" i="1"/>
  <c r="I2266" i="1"/>
  <c r="I2270" i="1"/>
  <c r="I2274" i="1"/>
  <c r="I2278" i="1"/>
  <c r="I2282" i="1"/>
  <c r="I2286" i="1"/>
  <c r="I2290" i="1"/>
  <c r="I2294" i="1"/>
  <c r="I2298" i="1"/>
  <c r="I2302" i="1"/>
  <c r="I2306" i="1"/>
  <c r="I2310" i="1"/>
  <c r="I2314" i="1"/>
  <c r="I2318" i="1"/>
  <c r="I2322" i="1"/>
  <c r="I2326" i="1"/>
  <c r="I2330" i="1"/>
  <c r="I2334" i="1"/>
  <c r="I2338" i="1"/>
  <c r="I2342" i="1"/>
  <c r="I2346" i="1"/>
  <c r="I2350" i="1"/>
  <c r="I2354" i="1"/>
  <c r="I2358" i="1"/>
  <c r="I2362" i="1"/>
  <c r="I2366" i="1"/>
  <c r="I2370" i="1"/>
  <c r="I2374" i="1"/>
  <c r="I2378" i="1"/>
  <c r="I2382" i="1"/>
  <c r="I2386" i="1"/>
  <c r="I2390" i="1"/>
  <c r="I2394" i="1"/>
  <c r="I2398" i="1"/>
  <c r="I2402" i="1"/>
  <c r="I2406" i="1"/>
  <c r="I2410" i="1"/>
  <c r="I2414" i="1"/>
  <c r="I2418" i="1"/>
  <c r="I2422" i="1"/>
  <c r="I2426" i="1"/>
  <c r="I2430" i="1"/>
  <c r="I2434" i="1"/>
  <c r="I2438" i="1"/>
  <c r="I2442" i="1"/>
  <c r="I2446" i="1"/>
  <c r="I2450" i="1"/>
  <c r="I2454" i="1"/>
  <c r="I2458" i="1"/>
  <c r="I2462" i="1"/>
  <c r="I2466" i="1"/>
  <c r="I2470" i="1"/>
  <c r="I2474" i="1"/>
  <c r="I2478" i="1"/>
  <c r="I2482" i="1"/>
  <c r="I2486" i="1"/>
  <c r="I2490" i="1"/>
  <c r="I2494" i="1"/>
  <c r="I2498" i="1"/>
  <c r="I2502" i="1"/>
  <c r="I2506" i="1"/>
  <c r="I2510" i="1"/>
  <c r="I2514" i="1"/>
  <c r="I2518" i="1"/>
  <c r="I2522" i="1"/>
  <c r="I2526" i="1"/>
  <c r="I2530" i="1"/>
  <c r="I2534" i="1"/>
  <c r="I2538" i="1"/>
  <c r="I2542" i="1"/>
  <c r="I2546" i="1"/>
  <c r="I2550" i="1"/>
  <c r="I2554" i="1"/>
  <c r="I2558" i="1"/>
  <c r="I2562" i="1"/>
  <c r="I2566" i="1"/>
  <c r="I2570" i="1"/>
  <c r="I2574" i="1"/>
  <c r="I2578" i="1"/>
  <c r="I2582" i="1"/>
  <c r="I2586" i="1"/>
  <c r="I2590" i="1"/>
  <c r="I2594" i="1"/>
  <c r="I2598" i="1"/>
  <c r="I2602" i="1"/>
  <c r="I2606" i="1"/>
  <c r="I2610" i="1"/>
  <c r="I2614" i="1"/>
  <c r="I2618" i="1"/>
  <c r="I2622" i="1"/>
  <c r="I2626" i="1"/>
  <c r="I2630" i="1"/>
  <c r="I2634" i="1"/>
  <c r="I2638" i="1"/>
  <c r="I2642" i="1"/>
  <c r="I2646" i="1"/>
  <c r="I2650" i="1"/>
  <c r="I2654" i="1"/>
  <c r="I2658" i="1"/>
  <c r="I2662" i="1"/>
  <c r="I2666" i="1"/>
  <c r="I2670" i="1"/>
  <c r="I2674" i="1"/>
  <c r="I2678" i="1"/>
  <c r="I2682" i="1"/>
  <c r="I2686" i="1"/>
  <c r="I2690" i="1"/>
  <c r="I2694" i="1"/>
  <c r="I2698" i="1"/>
  <c r="I2702" i="1"/>
  <c r="I2706" i="1"/>
  <c r="I2710" i="1"/>
  <c r="I2714" i="1"/>
  <c r="I2329" i="1"/>
  <c r="I2337" i="1"/>
  <c r="I2345" i="1"/>
  <c r="I2353" i="1"/>
  <c r="I2361" i="1"/>
  <c r="I2369" i="1"/>
  <c r="I2377" i="1"/>
  <c r="I2385" i="1"/>
  <c r="I2393" i="1"/>
  <c r="I2401" i="1"/>
  <c r="I2409" i="1"/>
  <c r="I2417" i="1"/>
  <c r="I2425" i="1"/>
  <c r="I2433" i="1"/>
  <c r="I2441" i="1"/>
  <c r="I2449" i="1"/>
  <c r="I2457" i="1"/>
  <c r="I2465" i="1"/>
  <c r="I2473" i="1"/>
  <c r="I2481" i="1"/>
  <c r="I2489" i="1"/>
  <c r="I2497" i="1"/>
  <c r="I2505" i="1"/>
  <c r="I2513" i="1"/>
  <c r="I2521" i="1"/>
  <c r="I2529" i="1"/>
  <c r="I2537" i="1"/>
  <c r="I2545" i="1"/>
  <c r="I2553" i="1"/>
  <c r="I2561" i="1"/>
  <c r="I2569" i="1"/>
  <c r="I2577" i="1"/>
  <c r="I2585" i="1"/>
  <c r="I2593" i="1"/>
  <c r="I2601" i="1"/>
  <c r="I2609" i="1"/>
  <c r="I2617" i="1"/>
  <c r="I2625" i="1"/>
  <c r="I2633" i="1"/>
  <c r="I2641" i="1"/>
  <c r="I2649" i="1"/>
  <c r="I2657" i="1"/>
  <c r="I2665" i="1"/>
  <c r="I2673" i="1"/>
  <c r="I2681" i="1"/>
  <c r="I2689" i="1"/>
  <c r="I2697" i="1"/>
  <c r="I2705" i="1"/>
  <c r="I2713" i="1"/>
  <c r="I2719" i="1"/>
  <c r="I2723" i="1"/>
  <c r="I2727" i="1"/>
  <c r="I2731" i="1"/>
  <c r="I2735" i="1"/>
  <c r="I2739" i="1"/>
  <c r="I2743" i="1"/>
  <c r="I2747" i="1"/>
  <c r="I2751" i="1"/>
  <c r="I2755" i="1"/>
  <c r="I2759" i="1"/>
  <c r="I2763" i="1"/>
  <c r="I2767" i="1"/>
  <c r="I2771" i="1"/>
  <c r="I2775" i="1"/>
  <c r="I2779" i="1"/>
  <c r="I2783" i="1"/>
  <c r="I2787" i="1"/>
  <c r="I2791" i="1"/>
  <c r="I2795" i="1"/>
  <c r="I2799" i="1"/>
  <c r="I2803" i="1"/>
  <c r="I2807" i="1"/>
  <c r="I2811" i="1"/>
  <c r="I2815" i="1"/>
  <c r="I2819" i="1"/>
  <c r="I2823" i="1"/>
  <c r="I2827" i="1"/>
  <c r="I2831" i="1"/>
  <c r="I2835" i="1"/>
  <c r="I2839" i="1"/>
  <c r="I2843" i="1"/>
  <c r="I2847" i="1"/>
  <c r="I2851" i="1"/>
  <c r="I2855" i="1"/>
  <c r="I2859" i="1"/>
  <c r="I2863" i="1"/>
  <c r="I2867" i="1"/>
  <c r="I2871" i="1"/>
  <c r="I2875" i="1"/>
  <c r="I2879" i="1"/>
  <c r="I2883" i="1"/>
  <c r="I2887" i="1"/>
  <c r="I2891" i="1"/>
  <c r="I2895" i="1"/>
  <c r="I2899" i="1"/>
  <c r="I2903" i="1"/>
  <c r="I2907" i="1"/>
  <c r="I2911" i="1"/>
  <c r="I2915" i="1"/>
  <c r="I2919" i="1"/>
  <c r="I2923" i="1"/>
  <c r="I2927" i="1"/>
  <c r="I2931" i="1"/>
  <c r="I2935" i="1"/>
  <c r="I2939" i="1"/>
  <c r="I2943" i="1"/>
  <c r="I2947" i="1"/>
  <c r="I2951" i="1"/>
  <c r="I2955" i="1"/>
  <c r="I2959" i="1"/>
  <c r="I2963" i="1"/>
  <c r="I2967" i="1"/>
  <c r="I2971" i="1"/>
  <c r="I2975" i="1"/>
  <c r="I2979" i="1"/>
  <c r="I2983" i="1"/>
  <c r="I2987" i="1"/>
  <c r="I2991" i="1"/>
  <c r="I2995" i="1"/>
  <c r="I2999" i="1"/>
  <c r="I3003" i="1"/>
  <c r="I3007" i="1"/>
  <c r="I3011" i="1"/>
  <c r="I3015" i="1"/>
  <c r="I3019" i="1"/>
  <c r="I3023" i="1"/>
  <c r="I3027" i="1"/>
  <c r="I3031" i="1"/>
  <c r="I3035" i="1"/>
  <c r="I3039" i="1"/>
  <c r="I3043" i="1"/>
  <c r="I3047" i="1"/>
  <c r="I3051" i="1"/>
  <c r="I3055" i="1"/>
  <c r="I3059" i="1"/>
  <c r="I3063" i="1"/>
  <c r="I3067" i="1"/>
  <c r="I3071" i="1"/>
  <c r="I3075" i="1"/>
  <c r="I3079" i="1"/>
  <c r="I3083" i="1"/>
  <c r="I3087" i="1"/>
  <c r="I3091" i="1"/>
  <c r="I3095" i="1"/>
  <c r="I3099" i="1"/>
  <c r="I3103" i="1"/>
  <c r="I3107" i="1"/>
  <c r="I3111" i="1"/>
  <c r="I3115" i="1"/>
  <c r="I3119" i="1"/>
  <c r="I3123" i="1"/>
  <c r="I3127" i="1"/>
  <c r="I3131" i="1"/>
  <c r="I3135" i="1"/>
  <c r="I3139" i="1"/>
  <c r="I3143" i="1"/>
  <c r="I3147" i="1"/>
  <c r="I3151" i="1"/>
  <c r="I3155" i="1"/>
  <c r="I3159" i="1"/>
  <c r="I3163" i="1"/>
  <c r="I3167" i="1"/>
  <c r="I3171" i="1"/>
  <c r="I3175" i="1"/>
  <c r="I3179" i="1"/>
  <c r="I3183" i="1"/>
  <c r="I3187" i="1"/>
  <c r="I3191" i="1"/>
  <c r="I3195" i="1"/>
  <c r="I3199" i="1"/>
  <c r="I3203" i="1"/>
  <c r="I3207" i="1"/>
  <c r="I3211" i="1"/>
  <c r="I3215" i="1"/>
  <c r="I3219" i="1"/>
  <c r="I3223" i="1"/>
  <c r="I3227" i="1"/>
  <c r="I3231" i="1"/>
  <c r="I3235" i="1"/>
  <c r="I3239" i="1"/>
  <c r="I3243" i="1"/>
  <c r="I3247" i="1"/>
  <c r="I3251" i="1"/>
  <c r="I3255" i="1"/>
  <c r="I3259" i="1"/>
  <c r="I3263" i="1"/>
  <c r="I3267" i="1"/>
  <c r="I3271" i="1"/>
  <c r="I3275" i="1"/>
  <c r="I3279" i="1"/>
  <c r="I3283" i="1"/>
  <c r="I3287" i="1"/>
  <c r="I3291" i="1"/>
  <c r="I3295" i="1"/>
  <c r="I3299" i="1"/>
  <c r="I3303" i="1"/>
  <c r="I3307" i="1"/>
  <c r="I3311" i="1"/>
  <c r="I3315" i="1"/>
  <c r="I3319" i="1"/>
  <c r="I3323" i="1"/>
  <c r="I3327" i="1"/>
  <c r="I3331" i="1"/>
  <c r="I3335" i="1"/>
  <c r="I3339" i="1"/>
  <c r="I3343" i="1"/>
  <c r="I3347" i="1"/>
  <c r="I3351" i="1"/>
  <c r="I3355" i="1"/>
  <c r="I3359" i="1"/>
  <c r="I3363" i="1"/>
  <c r="I3367" i="1"/>
  <c r="I3371" i="1"/>
  <c r="I3375" i="1"/>
  <c r="I3379" i="1"/>
  <c r="I3383" i="1"/>
  <c r="I3387" i="1"/>
  <c r="I3391" i="1"/>
  <c r="I3395" i="1"/>
  <c r="I3399" i="1"/>
  <c r="I3403" i="1"/>
  <c r="I2335" i="1"/>
  <c r="I2343" i="1"/>
  <c r="I2351" i="1"/>
  <c r="I2359" i="1"/>
  <c r="I2367" i="1"/>
  <c r="I2375" i="1"/>
  <c r="I2383" i="1"/>
  <c r="I2391" i="1"/>
  <c r="I2399" i="1"/>
  <c r="I2407" i="1"/>
  <c r="I2415" i="1"/>
  <c r="I2423" i="1"/>
  <c r="I2431" i="1"/>
  <c r="I2439" i="1"/>
  <c r="I2447" i="1"/>
  <c r="I2455" i="1"/>
  <c r="I2463" i="1"/>
  <c r="I2471" i="1"/>
  <c r="I2479" i="1"/>
  <c r="I2487" i="1"/>
  <c r="I2495" i="1"/>
  <c r="I2503" i="1"/>
  <c r="I2511" i="1"/>
  <c r="I2519" i="1"/>
  <c r="I2527" i="1"/>
  <c r="I2535" i="1"/>
  <c r="I2543" i="1"/>
  <c r="I2551" i="1"/>
  <c r="I2559" i="1"/>
  <c r="I2567" i="1"/>
  <c r="I2575" i="1"/>
  <c r="I2583" i="1"/>
  <c r="I2591" i="1"/>
  <c r="I2599" i="1"/>
  <c r="I2607" i="1"/>
  <c r="I2615" i="1"/>
  <c r="I2623" i="1"/>
  <c r="I2631" i="1"/>
  <c r="I2639" i="1"/>
  <c r="I2647" i="1"/>
  <c r="I2655" i="1"/>
  <c r="I2663" i="1"/>
  <c r="I2671" i="1"/>
  <c r="I2679" i="1"/>
  <c r="I2687" i="1"/>
  <c r="I2695" i="1"/>
  <c r="I2703" i="1"/>
  <c r="I2711" i="1"/>
  <c r="I2718" i="1"/>
  <c r="I2722" i="1"/>
  <c r="I2726" i="1"/>
  <c r="I2730" i="1"/>
  <c r="I2734" i="1"/>
  <c r="I2738" i="1"/>
  <c r="I2742" i="1"/>
  <c r="I2746" i="1"/>
  <c r="I2750" i="1"/>
  <c r="I2754" i="1"/>
  <c r="I2758" i="1"/>
  <c r="I2762" i="1"/>
  <c r="I2766" i="1"/>
  <c r="I2770" i="1"/>
  <c r="I2774" i="1"/>
  <c r="I2778" i="1"/>
  <c r="I2782" i="1"/>
  <c r="I2786" i="1"/>
  <c r="I2790" i="1"/>
  <c r="I2794" i="1"/>
  <c r="I2798" i="1"/>
  <c r="I2802" i="1"/>
  <c r="I2806" i="1"/>
  <c r="I2810" i="1"/>
  <c r="I2814" i="1"/>
  <c r="I2818" i="1"/>
  <c r="I2822" i="1"/>
  <c r="I2826" i="1"/>
  <c r="I2830" i="1"/>
  <c r="I2834" i="1"/>
  <c r="I2838" i="1"/>
  <c r="I2842" i="1"/>
  <c r="I2846" i="1"/>
  <c r="I2850" i="1"/>
  <c r="I2854" i="1"/>
  <c r="I2858" i="1"/>
  <c r="I2862" i="1"/>
  <c r="I2866" i="1"/>
  <c r="I2870" i="1"/>
  <c r="I2874" i="1"/>
  <c r="I2878" i="1"/>
  <c r="I2882" i="1"/>
  <c r="I2886" i="1"/>
  <c r="I2890" i="1"/>
  <c r="I2894" i="1"/>
  <c r="I2898" i="1"/>
  <c r="I2902" i="1"/>
  <c r="I2906" i="1"/>
  <c r="I2910" i="1"/>
  <c r="I2914" i="1"/>
  <c r="I2918" i="1"/>
  <c r="I2922" i="1"/>
  <c r="I2926" i="1"/>
  <c r="I2930" i="1"/>
  <c r="I2934" i="1"/>
  <c r="I2938" i="1"/>
  <c r="I2942" i="1"/>
  <c r="I2946" i="1"/>
  <c r="I2950" i="1"/>
  <c r="I2954" i="1"/>
  <c r="I2958" i="1"/>
  <c r="I2962" i="1"/>
  <c r="I2966" i="1"/>
  <c r="I2970" i="1"/>
  <c r="I2974" i="1"/>
  <c r="I2978" i="1"/>
  <c r="I2982" i="1"/>
  <c r="I2986" i="1"/>
  <c r="I2990" i="1"/>
  <c r="I2994" i="1"/>
  <c r="I2998" i="1"/>
  <c r="I3002" i="1"/>
  <c r="I3006" i="1"/>
  <c r="I3010" i="1"/>
  <c r="I3014" i="1"/>
  <c r="I3018" i="1"/>
  <c r="I3022" i="1"/>
  <c r="I3026" i="1"/>
  <c r="I3030" i="1"/>
  <c r="I3034" i="1"/>
  <c r="I3038" i="1"/>
  <c r="I3042" i="1"/>
  <c r="I3046" i="1"/>
  <c r="I3050" i="1"/>
  <c r="I3054" i="1"/>
  <c r="I3058" i="1"/>
  <c r="I3062" i="1"/>
  <c r="I3066" i="1"/>
  <c r="I3070" i="1"/>
  <c r="I3074" i="1"/>
  <c r="I3078" i="1"/>
  <c r="I3082" i="1"/>
  <c r="I3086" i="1"/>
  <c r="I3090" i="1"/>
  <c r="I3094" i="1"/>
  <c r="I3098" i="1"/>
  <c r="I3102" i="1"/>
  <c r="I3106" i="1"/>
  <c r="I3110" i="1"/>
  <c r="I3114" i="1"/>
  <c r="I3118" i="1"/>
  <c r="I3122" i="1"/>
  <c r="I3126" i="1"/>
  <c r="I3130" i="1"/>
  <c r="I3134" i="1"/>
  <c r="I3138" i="1"/>
  <c r="I3142" i="1"/>
  <c r="I3146" i="1"/>
  <c r="I3150" i="1"/>
  <c r="I3154" i="1"/>
  <c r="I3158" i="1"/>
  <c r="I3162" i="1"/>
  <c r="I3166" i="1"/>
  <c r="I3170" i="1"/>
  <c r="I3174" i="1"/>
  <c r="I3178" i="1"/>
  <c r="I3182" i="1"/>
  <c r="I3186" i="1"/>
  <c r="I3190" i="1"/>
  <c r="I3194" i="1"/>
  <c r="I3198" i="1"/>
  <c r="I3202" i="1"/>
  <c r="I3206" i="1"/>
  <c r="I3210" i="1"/>
  <c r="I3214" i="1"/>
  <c r="I3218" i="1"/>
  <c r="I3222" i="1"/>
  <c r="I3226" i="1"/>
  <c r="I3230" i="1"/>
  <c r="I3234" i="1"/>
  <c r="I3238" i="1"/>
  <c r="I3242" i="1"/>
  <c r="I3246" i="1"/>
  <c r="I3250" i="1"/>
  <c r="I3254" i="1"/>
  <c r="I3258" i="1"/>
  <c r="I3262" i="1"/>
  <c r="I3266" i="1"/>
  <c r="I3270" i="1"/>
  <c r="I3274" i="1"/>
  <c r="I3278" i="1"/>
  <c r="I3282" i="1"/>
  <c r="I3286" i="1"/>
  <c r="I3290" i="1"/>
  <c r="I3294" i="1"/>
  <c r="I3298" i="1"/>
  <c r="I3302" i="1"/>
  <c r="I3306" i="1"/>
  <c r="I3310" i="1"/>
  <c r="I3314" i="1"/>
  <c r="I3318" i="1"/>
  <c r="I3322" i="1"/>
  <c r="I3326" i="1"/>
  <c r="I3330" i="1"/>
  <c r="I3334" i="1"/>
  <c r="I3338" i="1"/>
  <c r="I3342" i="1"/>
  <c r="I3346" i="1"/>
  <c r="I3350" i="1"/>
  <c r="I3354" i="1"/>
  <c r="I3358" i="1"/>
  <c r="I3362" i="1"/>
  <c r="I3366" i="1"/>
  <c r="I3370" i="1"/>
  <c r="I3374" i="1"/>
  <c r="I3378" i="1"/>
  <c r="I3382" i="1"/>
  <c r="I3386" i="1"/>
  <c r="I3390" i="1"/>
  <c r="I3394" i="1"/>
  <c r="I3398" i="1"/>
  <c r="I3402" i="1"/>
  <c r="I3406" i="1"/>
  <c r="I3410" i="1"/>
  <c r="I3414" i="1"/>
  <c r="I3418" i="1"/>
  <c r="I3422" i="1"/>
  <c r="I3426" i="1"/>
  <c r="I3430" i="1"/>
  <c r="I3434" i="1"/>
  <c r="I3438" i="1"/>
  <c r="I3442" i="1"/>
  <c r="I3446" i="1"/>
  <c r="I3450" i="1"/>
  <c r="I3454" i="1"/>
  <c r="I3458" i="1"/>
  <c r="I3462" i="1"/>
  <c r="I3466" i="1"/>
  <c r="I3470" i="1"/>
  <c r="I3474" i="1"/>
  <c r="I3478" i="1"/>
  <c r="I3482" i="1"/>
  <c r="I3486" i="1"/>
  <c r="I3490" i="1"/>
  <c r="I3494" i="1"/>
  <c r="I3498" i="1"/>
  <c r="I3502" i="1"/>
  <c r="I3506" i="1"/>
  <c r="I3510" i="1"/>
  <c r="I3514" i="1"/>
  <c r="I3518" i="1"/>
  <c r="I3522" i="1"/>
  <c r="I3526" i="1"/>
  <c r="I3530" i="1"/>
  <c r="I3534" i="1"/>
  <c r="I3538" i="1"/>
  <c r="I3542" i="1"/>
  <c r="I3546" i="1"/>
  <c r="I3550" i="1"/>
  <c r="I3554" i="1"/>
  <c r="I3558" i="1"/>
  <c r="I3562" i="1"/>
  <c r="I3566" i="1"/>
  <c r="I3570" i="1"/>
  <c r="I3574" i="1"/>
  <c r="I3578" i="1"/>
  <c r="I3582" i="1"/>
  <c r="I3586" i="1"/>
  <c r="I3590" i="1"/>
  <c r="I3594" i="1"/>
  <c r="I3598" i="1"/>
  <c r="I3602" i="1"/>
  <c r="I3606" i="1"/>
  <c r="I3610" i="1"/>
  <c r="I3614" i="1"/>
  <c r="I3618" i="1"/>
  <c r="I3622" i="1"/>
  <c r="I3626" i="1"/>
  <c r="I3630" i="1"/>
  <c r="I3634" i="1"/>
  <c r="I3638" i="1"/>
  <c r="I3642" i="1"/>
  <c r="I3646" i="1"/>
  <c r="I3650" i="1"/>
  <c r="I3654" i="1"/>
  <c r="I3658" i="1"/>
  <c r="I3662" i="1"/>
  <c r="I3666" i="1"/>
  <c r="I3670" i="1"/>
  <c r="I3674" i="1"/>
  <c r="I3678" i="1"/>
  <c r="I3682" i="1"/>
  <c r="I3686" i="1"/>
  <c r="I3690" i="1"/>
  <c r="I3694" i="1"/>
  <c r="I3698" i="1"/>
  <c r="I3702" i="1"/>
  <c r="I3706" i="1"/>
  <c r="I3710" i="1"/>
  <c r="I3714" i="1"/>
  <c r="I3718" i="1"/>
  <c r="I3722" i="1"/>
  <c r="I3726" i="1"/>
  <c r="I3730" i="1"/>
  <c r="I3734" i="1"/>
  <c r="I3738" i="1"/>
  <c r="I3742" i="1"/>
  <c r="I3746" i="1"/>
  <c r="I3750" i="1"/>
  <c r="I3754" i="1"/>
  <c r="I3758" i="1"/>
  <c r="I3762" i="1"/>
  <c r="I3766" i="1"/>
  <c r="I3770" i="1"/>
  <c r="I3774" i="1"/>
  <c r="I3778" i="1"/>
  <c r="I3782" i="1"/>
  <c r="I3786" i="1"/>
  <c r="I3790" i="1"/>
  <c r="I3794" i="1"/>
  <c r="I3798" i="1"/>
  <c r="I3802" i="1"/>
  <c r="I3806" i="1"/>
  <c r="I3810" i="1"/>
  <c r="I3814" i="1"/>
  <c r="I3818" i="1"/>
  <c r="I3822" i="1"/>
  <c r="I3826" i="1"/>
  <c r="I3830" i="1"/>
  <c r="I3834" i="1"/>
  <c r="I3838" i="1"/>
  <c r="I3842" i="1"/>
  <c r="I3846" i="1"/>
  <c r="I3850" i="1"/>
  <c r="I3854" i="1"/>
  <c r="I3858" i="1"/>
  <c r="I3862" i="1"/>
  <c r="I3866" i="1"/>
  <c r="I3870" i="1"/>
  <c r="I3874" i="1"/>
  <c r="I3878" i="1"/>
  <c r="I3882" i="1"/>
  <c r="I3886" i="1"/>
  <c r="I3409" i="1"/>
  <c r="I3417" i="1"/>
  <c r="I3425" i="1"/>
  <c r="I3433" i="1"/>
  <c r="I3441" i="1"/>
  <c r="I3449" i="1"/>
  <c r="I3457" i="1"/>
  <c r="I3465" i="1"/>
  <c r="I3473" i="1"/>
  <c r="I3481" i="1"/>
  <c r="I3489" i="1"/>
  <c r="I3497" i="1"/>
  <c r="I3505" i="1"/>
  <c r="I3513" i="1"/>
  <c r="I3521" i="1"/>
  <c r="I3529" i="1"/>
  <c r="I3537" i="1"/>
  <c r="I3545" i="1"/>
  <c r="I3553" i="1"/>
  <c r="I3561" i="1"/>
  <c r="I3569" i="1"/>
  <c r="I3577" i="1"/>
  <c r="I3585" i="1"/>
  <c r="I3593" i="1"/>
  <c r="I3601" i="1"/>
  <c r="I3609" i="1"/>
  <c r="I3617" i="1"/>
  <c r="I3625" i="1"/>
  <c r="I3633" i="1"/>
  <c r="I3641" i="1"/>
  <c r="I3649" i="1"/>
  <c r="I3657" i="1"/>
  <c r="I3665" i="1"/>
  <c r="I3673" i="1"/>
  <c r="I3681" i="1"/>
  <c r="I3689" i="1"/>
  <c r="I3697" i="1"/>
  <c r="I3705" i="1"/>
  <c r="I3713" i="1"/>
  <c r="I3721" i="1"/>
  <c r="I3729" i="1"/>
  <c r="I3737" i="1"/>
  <c r="I3745" i="1"/>
  <c r="I3753" i="1"/>
  <c r="I3761" i="1"/>
  <c r="I3769" i="1"/>
  <c r="I3777" i="1"/>
  <c r="I3785" i="1"/>
  <c r="I3793" i="1"/>
  <c r="I3801" i="1"/>
  <c r="I3809" i="1"/>
  <c r="I3817" i="1"/>
  <c r="I3825" i="1"/>
  <c r="I3833" i="1"/>
  <c r="I3841" i="1"/>
  <c r="I3849" i="1"/>
  <c r="I3857" i="1"/>
  <c r="I3865" i="1"/>
  <c r="I3873" i="1"/>
  <c r="I3881" i="1"/>
  <c r="I3888" i="1"/>
  <c r="I3892" i="1"/>
  <c r="I3896" i="1"/>
  <c r="I3900" i="1"/>
  <c r="I3904" i="1"/>
  <c r="I3908" i="1"/>
  <c r="I3912" i="1"/>
  <c r="I3916" i="1"/>
  <c r="I3920" i="1"/>
  <c r="I3924" i="1"/>
  <c r="I3928" i="1"/>
  <c r="I3932" i="1"/>
  <c r="I3936" i="1"/>
  <c r="I3940" i="1"/>
  <c r="I3944" i="1"/>
  <c r="I3948" i="1"/>
  <c r="I3952" i="1"/>
  <c r="I3956" i="1"/>
  <c r="I3960" i="1"/>
  <c r="I3964" i="1"/>
  <c r="I3968" i="1"/>
  <c r="I3972" i="1"/>
  <c r="I3976" i="1"/>
  <c r="I3980" i="1"/>
  <c r="I3984" i="1"/>
  <c r="I3988" i="1"/>
  <c r="I3992" i="1"/>
  <c r="I3996" i="1"/>
  <c r="I4000" i="1"/>
  <c r="I4004" i="1"/>
  <c r="I4008" i="1"/>
  <c r="I4012" i="1"/>
  <c r="I4016" i="1"/>
  <c r="I4020" i="1"/>
  <c r="I4024" i="1"/>
  <c r="I4028" i="1"/>
  <c r="I4032" i="1"/>
  <c r="I4036" i="1"/>
  <c r="I4040" i="1"/>
  <c r="I4044" i="1"/>
  <c r="I4048" i="1"/>
  <c r="I4052" i="1"/>
  <c r="I4056" i="1"/>
  <c r="I4060" i="1"/>
  <c r="I4064" i="1"/>
  <c r="I4068" i="1"/>
  <c r="I4072" i="1"/>
  <c r="I4076" i="1"/>
  <c r="I4080" i="1"/>
  <c r="I4084" i="1"/>
  <c r="I4088" i="1"/>
  <c r="I4092" i="1"/>
  <c r="I4096" i="1"/>
  <c r="I4100" i="1"/>
  <c r="I4104" i="1"/>
  <c r="I4108" i="1"/>
  <c r="I4112" i="1"/>
  <c r="I4116" i="1"/>
  <c r="I4120" i="1"/>
  <c r="I4124" i="1"/>
  <c r="I4128" i="1"/>
  <c r="I4132" i="1"/>
  <c r="I4136" i="1"/>
  <c r="I4140" i="1"/>
  <c r="I4144" i="1"/>
  <c r="I4148" i="1"/>
  <c r="I4152" i="1"/>
  <c r="I4156" i="1"/>
  <c r="I4160" i="1"/>
  <c r="I4164" i="1"/>
  <c r="I4168" i="1"/>
  <c r="I4172" i="1"/>
  <c r="I4176" i="1"/>
  <c r="I4180" i="1"/>
  <c r="I4184" i="1"/>
  <c r="I4188" i="1"/>
  <c r="I4192" i="1"/>
  <c r="I4196" i="1"/>
  <c r="I4200" i="1"/>
  <c r="I4204" i="1"/>
  <c r="I4208" i="1"/>
  <c r="I4212" i="1"/>
  <c r="I4216" i="1"/>
  <c r="I4220" i="1"/>
  <c r="I4224" i="1"/>
  <c r="I4228" i="1"/>
  <c r="I4232" i="1"/>
  <c r="I4236" i="1"/>
  <c r="I4240" i="1"/>
  <c r="I4244" i="1"/>
  <c r="I4248" i="1"/>
  <c r="I4252" i="1"/>
  <c r="I4256" i="1"/>
  <c r="I4260" i="1"/>
  <c r="I4264" i="1"/>
  <c r="I4268" i="1"/>
  <c r="I4272" i="1"/>
  <c r="I4276" i="1"/>
  <c r="I4280" i="1"/>
  <c r="I4284" i="1"/>
  <c r="I4288" i="1"/>
  <c r="I4292" i="1"/>
  <c r="I4296" i="1"/>
  <c r="I4300" i="1"/>
  <c r="I4304" i="1"/>
  <c r="I4308" i="1"/>
  <c r="I4312" i="1"/>
  <c r="I4316" i="1"/>
  <c r="I4320" i="1"/>
  <c r="I4324" i="1"/>
  <c r="I4328" i="1"/>
  <c r="I4332" i="1"/>
  <c r="I4336" i="1"/>
  <c r="I4340" i="1"/>
  <c r="I4344" i="1"/>
  <c r="I4348" i="1"/>
  <c r="I4352" i="1"/>
  <c r="I4356" i="1"/>
  <c r="I4360" i="1"/>
  <c r="I4364" i="1"/>
  <c r="I4368" i="1"/>
  <c r="I4372" i="1"/>
  <c r="I4376" i="1"/>
  <c r="I4380" i="1"/>
  <c r="I4384" i="1"/>
  <c r="I4388" i="1"/>
  <c r="I4392" i="1"/>
  <c r="I4396" i="1"/>
  <c r="I4400" i="1"/>
  <c r="I4404" i="1"/>
  <c r="I4408" i="1"/>
  <c r="I4412" i="1"/>
  <c r="I4414" i="1"/>
  <c r="I4418" i="1"/>
  <c r="I4422" i="1"/>
  <c r="I4426" i="1"/>
  <c r="I4430" i="1"/>
  <c r="I4434" i="1"/>
  <c r="I4438" i="1"/>
  <c r="I4442" i="1"/>
  <c r="I4446" i="1"/>
  <c r="I4450" i="1"/>
  <c r="I4454" i="1"/>
  <c r="I4458" i="1"/>
  <c r="I4462" i="1"/>
  <c r="I4466" i="1"/>
  <c r="I4470" i="1"/>
  <c r="I4474" i="1"/>
  <c r="I4478" i="1"/>
  <c r="I4482" i="1"/>
  <c r="I4486" i="1"/>
  <c r="I4490" i="1"/>
  <c r="I4494" i="1"/>
  <c r="I4498" i="1"/>
  <c r="I4502" i="1"/>
  <c r="I4506" i="1"/>
  <c r="I4510" i="1"/>
  <c r="I4514" i="1"/>
  <c r="I4518" i="1"/>
  <c r="I4522" i="1"/>
  <c r="I4526" i="1"/>
  <c r="I4530" i="1"/>
  <c r="I4534" i="1"/>
  <c r="I4538" i="1"/>
  <c r="I4542" i="1"/>
  <c r="I4546" i="1"/>
  <c r="I4550" i="1"/>
  <c r="I4554" i="1"/>
  <c r="I4558" i="1"/>
  <c r="I4562" i="1"/>
  <c r="I4566" i="1"/>
  <c r="I4570" i="1"/>
  <c r="I4574" i="1"/>
  <c r="I4578" i="1"/>
  <c r="I4582" i="1"/>
  <c r="I4586" i="1"/>
  <c r="I4590" i="1"/>
  <c r="I4594" i="1"/>
  <c r="I4598" i="1"/>
  <c r="I4602" i="1"/>
  <c r="I4606" i="1"/>
  <c r="I4610" i="1"/>
  <c r="I4614" i="1"/>
  <c r="I4618" i="1"/>
  <c r="I4622" i="1"/>
  <c r="I4626" i="1"/>
  <c r="I4630" i="1"/>
  <c r="I4634" i="1"/>
  <c r="I4638" i="1"/>
  <c r="I4642" i="1"/>
  <c r="I4646" i="1"/>
  <c r="I4650" i="1"/>
  <c r="I4654" i="1"/>
  <c r="I4658" i="1"/>
  <c r="I4662" i="1"/>
  <c r="I4666" i="1"/>
  <c r="I4670" i="1"/>
  <c r="I4674" i="1"/>
  <c r="I4678" i="1"/>
  <c r="I4682" i="1"/>
  <c r="I4686" i="1"/>
  <c r="I4690" i="1"/>
  <c r="I4694" i="1"/>
  <c r="I4698" i="1"/>
  <c r="I4702" i="1"/>
  <c r="I4706" i="1"/>
  <c r="I4710" i="1"/>
  <c r="I4714" i="1"/>
  <c r="I4718" i="1"/>
  <c r="I4722" i="1"/>
  <c r="I4726" i="1"/>
  <c r="I4730" i="1"/>
  <c r="I4734" i="1"/>
  <c r="I4738" i="1"/>
  <c r="I4742" i="1"/>
  <c r="I4746" i="1"/>
  <c r="I4750" i="1"/>
  <c r="I4754" i="1"/>
  <c r="I4758" i="1"/>
  <c r="I4762" i="1"/>
  <c r="I4766" i="1"/>
  <c r="I4770" i="1"/>
  <c r="I4774" i="1"/>
  <c r="I4778" i="1"/>
  <c r="I4782" i="1"/>
  <c r="I4786" i="1"/>
  <c r="I4790" i="1"/>
  <c r="I4794" i="1"/>
  <c r="I4798" i="1"/>
  <c r="I4802" i="1"/>
  <c r="I4806" i="1"/>
  <c r="I4810" i="1"/>
  <c r="I4814" i="1"/>
  <c r="I4818" i="1"/>
  <c r="I4822" i="1"/>
  <c r="I4826" i="1"/>
  <c r="I4830" i="1"/>
  <c r="I4834" i="1"/>
  <c r="I4838" i="1"/>
  <c r="I4842" i="1"/>
  <c r="I4846" i="1"/>
  <c r="I4850" i="1"/>
  <c r="I4854" i="1"/>
  <c r="I4858" i="1"/>
  <c r="I4862" i="1"/>
  <c r="I4866" i="1"/>
  <c r="I4870" i="1"/>
  <c r="I4874" i="1"/>
  <c r="I4878" i="1"/>
  <c r="I4882" i="1"/>
  <c r="I4886" i="1"/>
  <c r="I4890" i="1"/>
  <c r="I4894" i="1"/>
  <c r="I4898" i="1"/>
  <c r="I4902" i="1"/>
  <c r="I4906" i="1"/>
  <c r="I4910" i="1"/>
  <c r="I4914" i="1"/>
  <c r="I4918" i="1"/>
  <c r="I4922" i="1"/>
  <c r="I4926" i="1"/>
  <c r="I4930" i="1"/>
  <c r="I4934" i="1"/>
  <c r="I4938" i="1"/>
  <c r="I4942" i="1"/>
  <c r="I4946" i="1"/>
  <c r="I4950" i="1"/>
  <c r="I4954" i="1"/>
  <c r="I4958" i="1"/>
  <c r="I4962" i="1"/>
  <c r="I4966" i="1"/>
  <c r="I4970" i="1"/>
  <c r="I4974" i="1"/>
  <c r="I4978" i="1"/>
  <c r="I4982" i="1"/>
  <c r="I4986" i="1"/>
  <c r="I4990" i="1"/>
  <c r="I4994" i="1"/>
  <c r="I4998" i="1"/>
  <c r="I3407" i="1"/>
  <c r="I3415" i="1"/>
  <c r="I3423" i="1"/>
  <c r="I3431" i="1"/>
  <c r="I3439" i="1"/>
  <c r="I3447" i="1"/>
  <c r="I3455" i="1"/>
  <c r="I3463" i="1"/>
  <c r="I3471" i="1"/>
  <c r="I3479" i="1"/>
  <c r="I3487" i="1"/>
  <c r="I3495" i="1"/>
  <c r="I3503" i="1"/>
  <c r="I3511" i="1"/>
  <c r="I3519" i="1"/>
  <c r="I3527" i="1"/>
  <c r="I3535" i="1"/>
  <c r="I3543" i="1"/>
  <c r="I3551" i="1"/>
  <c r="I3559" i="1"/>
  <c r="I3567" i="1"/>
  <c r="I3575" i="1"/>
  <c r="I3583" i="1"/>
  <c r="I3591" i="1"/>
  <c r="I3599" i="1"/>
  <c r="I3607" i="1"/>
  <c r="I3615" i="1"/>
  <c r="I3623" i="1"/>
  <c r="I3631" i="1"/>
  <c r="I3639" i="1"/>
  <c r="I3647" i="1"/>
  <c r="I3655" i="1"/>
  <c r="I3663" i="1"/>
  <c r="I3671" i="1"/>
  <c r="I3679" i="1"/>
  <c r="I3687" i="1"/>
  <c r="I3695" i="1"/>
  <c r="I3703" i="1"/>
  <c r="I3711" i="1"/>
  <c r="I3719" i="1"/>
  <c r="I3727" i="1"/>
  <c r="I3735" i="1"/>
  <c r="I3743" i="1"/>
  <c r="I3751" i="1"/>
  <c r="I3759" i="1"/>
  <c r="I3767" i="1"/>
  <c r="I3775" i="1"/>
  <c r="I3783" i="1"/>
  <c r="I3791" i="1"/>
  <c r="I3799" i="1"/>
  <c r="I3807" i="1"/>
  <c r="I3815" i="1"/>
  <c r="I3823" i="1"/>
  <c r="I3831" i="1"/>
  <c r="I3839" i="1"/>
  <c r="I3847" i="1"/>
  <c r="I3855" i="1"/>
  <c r="I3863" i="1"/>
  <c r="I3871" i="1"/>
  <c r="I3879" i="1"/>
  <c r="I3887" i="1"/>
  <c r="I3891" i="1"/>
  <c r="I3895" i="1"/>
  <c r="I3899" i="1"/>
  <c r="I3903" i="1"/>
  <c r="I3907" i="1"/>
  <c r="I3911" i="1"/>
  <c r="I3915" i="1"/>
  <c r="I3919" i="1"/>
  <c r="I3923" i="1"/>
  <c r="I3927" i="1"/>
  <c r="I3931" i="1"/>
  <c r="I3935" i="1"/>
  <c r="I3939" i="1"/>
  <c r="I3943" i="1"/>
  <c r="I3947" i="1"/>
  <c r="I3951" i="1"/>
  <c r="I3955" i="1"/>
  <c r="I3959" i="1"/>
  <c r="I3963" i="1"/>
  <c r="I3967" i="1"/>
  <c r="I3971" i="1"/>
  <c r="I3975" i="1"/>
  <c r="I3979" i="1"/>
  <c r="I3983" i="1"/>
  <c r="I3987" i="1"/>
  <c r="I3991" i="1"/>
  <c r="I3995" i="1"/>
  <c r="I3999" i="1"/>
  <c r="I4003" i="1"/>
  <c r="I4007" i="1"/>
  <c r="I4011" i="1"/>
  <c r="I4015" i="1"/>
  <c r="I4019" i="1"/>
  <c r="I4023" i="1"/>
  <c r="I4027" i="1"/>
  <c r="I4031" i="1"/>
  <c r="I4035" i="1"/>
  <c r="I4039" i="1"/>
  <c r="I4043" i="1"/>
  <c r="I4047" i="1"/>
  <c r="I4051" i="1"/>
  <c r="I4055" i="1"/>
  <c r="I4059" i="1"/>
  <c r="I4063" i="1"/>
  <c r="I4067" i="1"/>
  <c r="I4071" i="1"/>
  <c r="I4075" i="1"/>
  <c r="I4079" i="1"/>
  <c r="I4083" i="1"/>
  <c r="I4087" i="1"/>
  <c r="I4091" i="1"/>
  <c r="I4095" i="1"/>
  <c r="I4099" i="1"/>
  <c r="I4103" i="1"/>
  <c r="I4107" i="1"/>
  <c r="I4111" i="1"/>
  <c r="I4115" i="1"/>
  <c r="I4119" i="1"/>
  <c r="I4123" i="1"/>
  <c r="I4127" i="1"/>
  <c r="I4131" i="1"/>
  <c r="I4135" i="1"/>
  <c r="I4139" i="1"/>
  <c r="I4143" i="1"/>
  <c r="I4147" i="1"/>
  <c r="I4151" i="1"/>
  <c r="I4155" i="1"/>
  <c r="I4159" i="1"/>
  <c r="I4163" i="1"/>
  <c r="I4167" i="1"/>
  <c r="I4171" i="1"/>
  <c r="I4175" i="1"/>
  <c r="I4179" i="1"/>
  <c r="I4183" i="1"/>
  <c r="I4187" i="1"/>
  <c r="I4191" i="1"/>
  <c r="I4195" i="1"/>
  <c r="I4199" i="1"/>
  <c r="I4203" i="1"/>
  <c r="I4207" i="1"/>
  <c r="I4211" i="1"/>
  <c r="I4215" i="1"/>
  <c r="I4219" i="1"/>
  <c r="I4223" i="1"/>
  <c r="I4227" i="1"/>
  <c r="I4231" i="1"/>
  <c r="I4235" i="1"/>
  <c r="I4239" i="1"/>
  <c r="I4243" i="1"/>
  <c r="I4247" i="1"/>
  <c r="I4251" i="1"/>
  <c r="I4255" i="1"/>
  <c r="I4259" i="1"/>
  <c r="I4263" i="1"/>
  <c r="I4267" i="1"/>
  <c r="I4271" i="1"/>
  <c r="I4275" i="1"/>
  <c r="I4279" i="1"/>
  <c r="I4283" i="1"/>
  <c r="I4287" i="1"/>
  <c r="I4291" i="1"/>
  <c r="I4295" i="1"/>
  <c r="I4299" i="1"/>
  <c r="I4303" i="1"/>
  <c r="I4307" i="1"/>
  <c r="I4311" i="1"/>
  <c r="I4315" i="1"/>
  <c r="I4319" i="1"/>
  <c r="I4323" i="1"/>
  <c r="I4327" i="1"/>
  <c r="I4331" i="1"/>
  <c r="I4335" i="1"/>
  <c r="I4339" i="1"/>
  <c r="I4343" i="1"/>
  <c r="I4347" i="1"/>
  <c r="I4351" i="1"/>
  <c r="I4355" i="1"/>
  <c r="I4359" i="1"/>
  <c r="I4363" i="1"/>
  <c r="I4367" i="1"/>
  <c r="I4371" i="1"/>
  <c r="I4375" i="1"/>
  <c r="I4379" i="1"/>
  <c r="I4383" i="1"/>
  <c r="I4387" i="1"/>
  <c r="I4391" i="1"/>
  <c r="I4395" i="1"/>
  <c r="I4399" i="1"/>
  <c r="I4403" i="1"/>
  <c r="I4407" i="1"/>
  <c r="I4411" i="1"/>
  <c r="I4415" i="1"/>
  <c r="I4419" i="1"/>
  <c r="I4423" i="1"/>
  <c r="I4427" i="1"/>
  <c r="I4431" i="1"/>
  <c r="I4435" i="1"/>
  <c r="I4439" i="1"/>
  <c r="I4443" i="1"/>
  <c r="I4447" i="1"/>
  <c r="I4451" i="1"/>
  <c r="I4455" i="1"/>
  <c r="I4459" i="1"/>
  <c r="I4463" i="1"/>
  <c r="I4467" i="1"/>
  <c r="I4471" i="1"/>
  <c r="I4475" i="1"/>
  <c r="I4479" i="1"/>
  <c r="I4483" i="1"/>
  <c r="I4487" i="1"/>
  <c r="I4491" i="1"/>
  <c r="I4495" i="1"/>
  <c r="I4499" i="1"/>
  <c r="I4503" i="1"/>
  <c r="I4507" i="1"/>
  <c r="I4511" i="1"/>
  <c r="I4515" i="1"/>
  <c r="I4519" i="1"/>
  <c r="I4523" i="1"/>
  <c r="I4527" i="1"/>
  <c r="I4531" i="1"/>
  <c r="I4535" i="1"/>
  <c r="I4539" i="1"/>
  <c r="I4543" i="1"/>
  <c r="I4547" i="1"/>
  <c r="I4551" i="1"/>
  <c r="I4555" i="1"/>
  <c r="I4559" i="1"/>
  <c r="I4563" i="1"/>
  <c r="I4567" i="1"/>
  <c r="I4571" i="1"/>
  <c r="I4575" i="1"/>
  <c r="I4579" i="1"/>
  <c r="I4583" i="1"/>
  <c r="I4587" i="1"/>
  <c r="I4591" i="1"/>
  <c r="I4595" i="1"/>
  <c r="I4599" i="1"/>
  <c r="I4603" i="1"/>
  <c r="I4607" i="1"/>
  <c r="I4611" i="1"/>
  <c r="I4615" i="1"/>
  <c r="I4619" i="1"/>
  <c r="I4623" i="1"/>
  <c r="I4627" i="1"/>
  <c r="I4631" i="1"/>
  <c r="I4635" i="1"/>
  <c r="I4639" i="1"/>
  <c r="I4643" i="1"/>
  <c r="I4647" i="1"/>
  <c r="I4651" i="1"/>
  <c r="I4655" i="1"/>
  <c r="I4659" i="1"/>
  <c r="I4663" i="1"/>
  <c r="I4667" i="1"/>
  <c r="I4671" i="1"/>
  <c r="I4675" i="1"/>
  <c r="I4679" i="1"/>
  <c r="I4683" i="1"/>
  <c r="I4687" i="1"/>
  <c r="I4691" i="1"/>
  <c r="I4695" i="1"/>
  <c r="I4699" i="1"/>
  <c r="I4703" i="1"/>
  <c r="I4707" i="1"/>
  <c r="I4711" i="1"/>
  <c r="I4715" i="1"/>
  <c r="I4719" i="1"/>
  <c r="I4723" i="1"/>
  <c r="I4727" i="1"/>
  <c r="I4731" i="1"/>
  <c r="I4735" i="1"/>
  <c r="I4739" i="1"/>
  <c r="I4743" i="1"/>
  <c r="I4747" i="1"/>
  <c r="I4751" i="1"/>
  <c r="I4755" i="1"/>
  <c r="I4759" i="1"/>
  <c r="I4763" i="1"/>
  <c r="I4767" i="1"/>
  <c r="I4771" i="1"/>
  <c r="I4775" i="1"/>
  <c r="I4779" i="1"/>
  <c r="I4783" i="1"/>
  <c r="I4787" i="1"/>
  <c r="I4791" i="1"/>
  <c r="I4795" i="1"/>
  <c r="I4799" i="1"/>
  <c r="I4803" i="1"/>
  <c r="I4807" i="1"/>
  <c r="I4811" i="1"/>
  <c r="I4815" i="1"/>
  <c r="I4819" i="1"/>
  <c r="I4823" i="1"/>
  <c r="I4827" i="1"/>
  <c r="I4831" i="1"/>
  <c r="I4835" i="1"/>
  <c r="I4839" i="1"/>
  <c r="I4843" i="1"/>
  <c r="I4847" i="1"/>
  <c r="I4851" i="1"/>
  <c r="I4855" i="1"/>
  <c r="I4859" i="1"/>
  <c r="I4863" i="1"/>
  <c r="I4867" i="1"/>
  <c r="I4871" i="1"/>
  <c r="I4875" i="1"/>
  <c r="I4879" i="1"/>
  <c r="I4883" i="1"/>
  <c r="I4887" i="1"/>
  <c r="I4891" i="1"/>
  <c r="I4895" i="1"/>
  <c r="I4899" i="1"/>
  <c r="I4903" i="1"/>
  <c r="I4907" i="1"/>
  <c r="I4911" i="1"/>
  <c r="I4915" i="1"/>
  <c r="I4919" i="1"/>
  <c r="I4923" i="1"/>
  <c r="I4927" i="1"/>
  <c r="I4931" i="1"/>
  <c r="I4935" i="1"/>
  <c r="I4939" i="1"/>
  <c r="I4943" i="1"/>
  <c r="I4947" i="1"/>
  <c r="I4951" i="1"/>
  <c r="I4955" i="1"/>
  <c r="I4959" i="1"/>
  <c r="I4963" i="1"/>
  <c r="I4967" i="1"/>
  <c r="I4971" i="1"/>
  <c r="I4975" i="1"/>
  <c r="I4979" i="1"/>
  <c r="I4983" i="1"/>
  <c r="I4987" i="1"/>
  <c r="I4991" i="1"/>
  <c r="I4995" i="1"/>
  <c r="I4999" i="1"/>
  <c r="I4416" i="1"/>
  <c r="I4420" i="1"/>
  <c r="I4424" i="1"/>
  <c r="I4428" i="1"/>
  <c r="I4432" i="1"/>
  <c r="I4436" i="1"/>
  <c r="I4440" i="1"/>
  <c r="I4444" i="1"/>
  <c r="I4448" i="1"/>
  <c r="I4452" i="1"/>
  <c r="I4456" i="1"/>
  <c r="I4460" i="1"/>
  <c r="I4464" i="1"/>
  <c r="I4468" i="1"/>
  <c r="I4472" i="1"/>
  <c r="I4476" i="1"/>
  <c r="I4480" i="1"/>
  <c r="I4484" i="1"/>
  <c r="I4488" i="1"/>
  <c r="I4492" i="1"/>
  <c r="I4496" i="1"/>
  <c r="I4500" i="1"/>
  <c r="I4504" i="1"/>
  <c r="I4508" i="1"/>
  <c r="I4512" i="1"/>
  <c r="I4516" i="1"/>
  <c r="I4520" i="1"/>
  <c r="I4524" i="1"/>
  <c r="I4528" i="1"/>
  <c r="I4532" i="1"/>
  <c r="I4536" i="1"/>
  <c r="I4540" i="1"/>
  <c r="I4544" i="1"/>
  <c r="I4548" i="1"/>
  <c r="I4552" i="1"/>
  <c r="I4556" i="1"/>
  <c r="I4560" i="1"/>
  <c r="I4564" i="1"/>
  <c r="I4568" i="1"/>
  <c r="I4572" i="1"/>
  <c r="I4576" i="1"/>
  <c r="I4580" i="1"/>
  <c r="I4584" i="1"/>
  <c r="I4588" i="1"/>
  <c r="I4592" i="1"/>
  <c r="I4596" i="1"/>
  <c r="I4600" i="1"/>
  <c r="I4604" i="1"/>
  <c r="I4608" i="1"/>
  <c r="I4612" i="1"/>
  <c r="I4616" i="1"/>
  <c r="I4620" i="1"/>
  <c r="I4624" i="1"/>
  <c r="I4628" i="1"/>
  <c r="I4632" i="1"/>
  <c r="I4636" i="1"/>
  <c r="I4640" i="1"/>
  <c r="I4644" i="1"/>
  <c r="I4648" i="1"/>
  <c r="I4652" i="1"/>
  <c r="I4656" i="1"/>
  <c r="I4660" i="1"/>
  <c r="I4664" i="1"/>
  <c r="I4668" i="1"/>
  <c r="I4672" i="1"/>
  <c r="I4676" i="1"/>
  <c r="I4680" i="1"/>
  <c r="I4684" i="1"/>
  <c r="I4688" i="1"/>
  <c r="I4692" i="1"/>
  <c r="I4696" i="1"/>
  <c r="I4700" i="1"/>
  <c r="I4704" i="1"/>
  <c r="I4708" i="1"/>
  <c r="I4712" i="1"/>
  <c r="I4716" i="1"/>
  <c r="I4720" i="1"/>
  <c r="I4724" i="1"/>
  <c r="I4728" i="1"/>
  <c r="I4732" i="1"/>
  <c r="I4736" i="1"/>
  <c r="I4740" i="1"/>
  <c r="I4744" i="1"/>
  <c r="I4748" i="1"/>
  <c r="I4752" i="1"/>
  <c r="I4756" i="1"/>
  <c r="I4760" i="1"/>
  <c r="I4764" i="1"/>
  <c r="I4768" i="1"/>
  <c r="I4772" i="1"/>
  <c r="I4776" i="1"/>
  <c r="I4780" i="1"/>
  <c r="I4784" i="1"/>
  <c r="I4788" i="1"/>
  <c r="I4792" i="1"/>
  <c r="I4796" i="1"/>
  <c r="I4800" i="1"/>
  <c r="I4804" i="1"/>
  <c r="I4808" i="1"/>
  <c r="I4812" i="1"/>
  <c r="I4816" i="1"/>
  <c r="I4820" i="1"/>
  <c r="I4824" i="1"/>
  <c r="I4828" i="1"/>
  <c r="I4832" i="1"/>
  <c r="I4836" i="1"/>
  <c r="I4840" i="1"/>
  <c r="I4844" i="1"/>
  <c r="I4848" i="1"/>
  <c r="I4852" i="1"/>
  <c r="I4856" i="1"/>
  <c r="I4860" i="1"/>
  <c r="I4864" i="1"/>
  <c r="I4868" i="1"/>
  <c r="I4872" i="1"/>
  <c r="I4876" i="1"/>
  <c r="I4880" i="1"/>
  <c r="I4884" i="1"/>
  <c r="I4888" i="1"/>
  <c r="I4892" i="1"/>
  <c r="I4896" i="1"/>
  <c r="I4900" i="1"/>
  <c r="I4904" i="1"/>
  <c r="I4908" i="1"/>
  <c r="I4912" i="1"/>
  <c r="I4916" i="1"/>
  <c r="I4920" i="1"/>
  <c r="I4924" i="1"/>
  <c r="I4928" i="1"/>
  <c r="I4932" i="1"/>
  <c r="I4936" i="1"/>
  <c r="I4940" i="1"/>
  <c r="I4944" i="1"/>
  <c r="I4948" i="1"/>
  <c r="I4952" i="1"/>
  <c r="I4956" i="1"/>
  <c r="I4960" i="1"/>
  <c r="I4964" i="1"/>
  <c r="I4968" i="1"/>
  <c r="I4972" i="1"/>
  <c r="I4976" i="1"/>
  <c r="I4980" i="1"/>
  <c r="I4984" i="1"/>
  <c r="I4988" i="1"/>
  <c r="I4992" i="1"/>
  <c r="I4996" i="1"/>
  <c r="I5000" i="1"/>
  <c r="I3411" i="1"/>
  <c r="I3419" i="1"/>
  <c r="I3427" i="1"/>
  <c r="I3435" i="1"/>
  <c r="I3443" i="1"/>
  <c r="I3451" i="1"/>
  <c r="I3459" i="1"/>
  <c r="I3467" i="1"/>
  <c r="I3475" i="1"/>
  <c r="I3483" i="1"/>
  <c r="I3491" i="1"/>
  <c r="I3499" i="1"/>
  <c r="I3507" i="1"/>
  <c r="I3515" i="1"/>
  <c r="I3523" i="1"/>
  <c r="I3531" i="1"/>
  <c r="I3539" i="1"/>
  <c r="I3547" i="1"/>
  <c r="I3555" i="1"/>
  <c r="I3563" i="1"/>
  <c r="I3571" i="1"/>
  <c r="I3579" i="1"/>
  <c r="I3587" i="1"/>
  <c r="I3595" i="1"/>
  <c r="I3603" i="1"/>
  <c r="I3611" i="1"/>
  <c r="I3619" i="1"/>
  <c r="I3627" i="1"/>
  <c r="I3635" i="1"/>
  <c r="I3643" i="1"/>
  <c r="I3651" i="1"/>
  <c r="I3659" i="1"/>
  <c r="I3667" i="1"/>
  <c r="I3675" i="1"/>
  <c r="I3683" i="1"/>
  <c r="I3691" i="1"/>
  <c r="I3699" i="1"/>
  <c r="I3707" i="1"/>
  <c r="I3715" i="1"/>
  <c r="I3723" i="1"/>
  <c r="I3731" i="1"/>
  <c r="I3739" i="1"/>
  <c r="I3747" i="1"/>
  <c r="I3755" i="1"/>
  <c r="I3763" i="1"/>
  <c r="I3771" i="1"/>
  <c r="I3779" i="1"/>
  <c r="I3787" i="1"/>
  <c r="I3795" i="1"/>
  <c r="I3803" i="1"/>
  <c r="I3811" i="1"/>
  <c r="I3819" i="1"/>
  <c r="I3827" i="1"/>
  <c r="I3835" i="1"/>
  <c r="I3843" i="1"/>
  <c r="I3851" i="1"/>
  <c r="I3859" i="1"/>
  <c r="I3867" i="1"/>
  <c r="I3875" i="1"/>
  <c r="I3883" i="1"/>
  <c r="I3889" i="1"/>
  <c r="I3893" i="1"/>
  <c r="I3897" i="1"/>
  <c r="I3901" i="1"/>
  <c r="I3905" i="1"/>
  <c r="I3909" i="1"/>
  <c r="I3913" i="1"/>
  <c r="I3917" i="1"/>
  <c r="I3921" i="1"/>
  <c r="I3925" i="1"/>
  <c r="I3929" i="1"/>
  <c r="I3933" i="1"/>
  <c r="I3937" i="1"/>
  <c r="I3941" i="1"/>
  <c r="I3945" i="1"/>
  <c r="I3949" i="1"/>
  <c r="I3953" i="1"/>
  <c r="I3957" i="1"/>
  <c r="I3961" i="1"/>
  <c r="I3965" i="1"/>
  <c r="I3969" i="1"/>
  <c r="I3973" i="1"/>
  <c r="I3977" i="1"/>
  <c r="I3981" i="1"/>
  <c r="I3985" i="1"/>
  <c r="I3989" i="1"/>
  <c r="I3993" i="1"/>
  <c r="I3997" i="1"/>
  <c r="I4001" i="1"/>
  <c r="I4005" i="1"/>
  <c r="I4009" i="1"/>
  <c r="I4013" i="1"/>
  <c r="I4017" i="1"/>
  <c r="I4021" i="1"/>
  <c r="I4025" i="1"/>
  <c r="I4029" i="1"/>
  <c r="I4033" i="1"/>
  <c r="I4037" i="1"/>
  <c r="I4041" i="1"/>
  <c r="I4045" i="1"/>
  <c r="I4049" i="1"/>
  <c r="I4053" i="1"/>
  <c r="I4057" i="1"/>
  <c r="I4061" i="1"/>
  <c r="I4065" i="1"/>
  <c r="I4069" i="1"/>
  <c r="I4073" i="1"/>
  <c r="I4077" i="1"/>
  <c r="I4081" i="1"/>
  <c r="I4085" i="1"/>
  <c r="I4089" i="1"/>
  <c r="I4093" i="1"/>
  <c r="I4097" i="1"/>
  <c r="I4101" i="1"/>
  <c r="I4105" i="1"/>
  <c r="I4109" i="1"/>
  <c r="I4113" i="1"/>
  <c r="I4117" i="1"/>
  <c r="I4121" i="1"/>
  <c r="I4125" i="1"/>
  <c r="I4129" i="1"/>
  <c r="I4133" i="1"/>
  <c r="I4137" i="1"/>
  <c r="I4141" i="1"/>
  <c r="I4145" i="1"/>
  <c r="I4149" i="1"/>
  <c r="I4153" i="1"/>
  <c r="I4157" i="1"/>
  <c r="I4161" i="1"/>
  <c r="I4165" i="1"/>
  <c r="I4169" i="1"/>
  <c r="I4173" i="1"/>
  <c r="I4177" i="1"/>
  <c r="I4181" i="1"/>
  <c r="I4185" i="1"/>
  <c r="I4189" i="1"/>
  <c r="I4193" i="1"/>
  <c r="I4197" i="1"/>
  <c r="I4201" i="1"/>
  <c r="I4205" i="1"/>
  <c r="I4209" i="1"/>
  <c r="I4213" i="1"/>
  <c r="I4217" i="1"/>
  <c r="I4221" i="1"/>
  <c r="I4225" i="1"/>
  <c r="I4229" i="1"/>
  <c r="I4233" i="1"/>
  <c r="I4237" i="1"/>
  <c r="I4241" i="1"/>
  <c r="I4245" i="1"/>
  <c r="I4249" i="1"/>
  <c r="I4253" i="1"/>
  <c r="I4257" i="1"/>
  <c r="I4261" i="1"/>
  <c r="I4265" i="1"/>
  <c r="I4269" i="1"/>
  <c r="I4273" i="1"/>
  <c r="I4277" i="1"/>
  <c r="I4281" i="1"/>
  <c r="I4285" i="1"/>
  <c r="I4289" i="1"/>
  <c r="I4293" i="1"/>
  <c r="I4297" i="1"/>
  <c r="I4301" i="1"/>
  <c r="I4305" i="1"/>
  <c r="I4309" i="1"/>
  <c r="I4313" i="1"/>
  <c r="I4317" i="1"/>
  <c r="I4321" i="1"/>
  <c r="I4325" i="1"/>
  <c r="I4329" i="1"/>
  <c r="I4333" i="1"/>
  <c r="I4337" i="1"/>
  <c r="I4341" i="1"/>
  <c r="I4345" i="1"/>
  <c r="I4349" i="1"/>
  <c r="I4353" i="1"/>
  <c r="I4357" i="1"/>
  <c r="I4361" i="1"/>
  <c r="I4365" i="1"/>
  <c r="I4369" i="1"/>
  <c r="I4373" i="1"/>
  <c r="I4377" i="1"/>
  <c r="I4381" i="1"/>
  <c r="I4385" i="1"/>
  <c r="I4389" i="1"/>
  <c r="I4393" i="1"/>
  <c r="I4397" i="1"/>
  <c r="I4401" i="1"/>
  <c r="I4405" i="1"/>
  <c r="I4409" i="1"/>
  <c r="I4413" i="1"/>
  <c r="I4417" i="1"/>
  <c r="I4421" i="1"/>
  <c r="I4425" i="1"/>
  <c r="I4429" i="1"/>
  <c r="I4433" i="1"/>
  <c r="I4437" i="1"/>
  <c r="I4441" i="1"/>
  <c r="I4445" i="1"/>
  <c r="I4449" i="1"/>
  <c r="I4453" i="1"/>
  <c r="I4457" i="1"/>
  <c r="I4461" i="1"/>
  <c r="I4465" i="1"/>
  <c r="I4469" i="1"/>
  <c r="I4473" i="1"/>
  <c r="I4477" i="1"/>
  <c r="I4481" i="1"/>
  <c r="I4485" i="1"/>
  <c r="I4489" i="1"/>
  <c r="I4493" i="1"/>
  <c r="I4497" i="1"/>
  <c r="I4501" i="1"/>
  <c r="I4505" i="1"/>
  <c r="I4509" i="1"/>
  <c r="I4513" i="1"/>
  <c r="I4517" i="1"/>
  <c r="I4521" i="1"/>
  <c r="I4525" i="1"/>
  <c r="I4529" i="1"/>
  <c r="I4533" i="1"/>
  <c r="I4537" i="1"/>
  <c r="I4541" i="1"/>
  <c r="I4545" i="1"/>
  <c r="I4549" i="1"/>
  <c r="I4553" i="1"/>
  <c r="I4557" i="1"/>
  <c r="I4561" i="1"/>
  <c r="I4565" i="1"/>
  <c r="I4569" i="1"/>
  <c r="I4573" i="1"/>
  <c r="I4577" i="1"/>
  <c r="I4581" i="1"/>
  <c r="I4585" i="1"/>
  <c r="I4589" i="1"/>
  <c r="I4593" i="1"/>
  <c r="I4597" i="1"/>
  <c r="I4601" i="1"/>
  <c r="I4605" i="1"/>
  <c r="I4609" i="1"/>
  <c r="I4613" i="1"/>
  <c r="I4617" i="1"/>
  <c r="I4621" i="1"/>
  <c r="I4625" i="1"/>
  <c r="I4629" i="1"/>
  <c r="I4633" i="1"/>
  <c r="I4637" i="1"/>
  <c r="I4641" i="1"/>
  <c r="I4645" i="1"/>
  <c r="I4649" i="1"/>
  <c r="I4653" i="1"/>
  <c r="I4657" i="1"/>
  <c r="I4661" i="1"/>
  <c r="I4665" i="1"/>
  <c r="I4669" i="1"/>
  <c r="I4673" i="1"/>
  <c r="I4677" i="1"/>
  <c r="I4681" i="1"/>
  <c r="I4685" i="1"/>
  <c r="I4689" i="1"/>
  <c r="I4693" i="1"/>
  <c r="I4697" i="1"/>
  <c r="I4701" i="1"/>
  <c r="I4705" i="1"/>
  <c r="I4709" i="1"/>
  <c r="I4713" i="1"/>
  <c r="I4717" i="1"/>
  <c r="I4721" i="1"/>
  <c r="I4725" i="1"/>
  <c r="I4729" i="1"/>
  <c r="I4733" i="1"/>
  <c r="I4737" i="1"/>
  <c r="I4741" i="1"/>
  <c r="I4745" i="1"/>
  <c r="I4749" i="1"/>
  <c r="I4753" i="1"/>
  <c r="I4757" i="1"/>
  <c r="I4761" i="1"/>
  <c r="I4765" i="1"/>
  <c r="I4769" i="1"/>
  <c r="I4773" i="1"/>
  <c r="I4777" i="1"/>
  <c r="I4781" i="1"/>
  <c r="I4785" i="1"/>
  <c r="I4789" i="1"/>
  <c r="I4793" i="1"/>
  <c r="I4797" i="1"/>
  <c r="I4801" i="1"/>
  <c r="I4805" i="1"/>
  <c r="I4809" i="1"/>
  <c r="I4813" i="1"/>
  <c r="I4817" i="1"/>
  <c r="I4821" i="1"/>
  <c r="I4825" i="1"/>
  <c r="I4829" i="1"/>
  <c r="I4833" i="1"/>
  <c r="I4837" i="1"/>
  <c r="I4841" i="1"/>
  <c r="I4845" i="1"/>
  <c r="I4849" i="1"/>
  <c r="I4853" i="1"/>
  <c r="I4857" i="1"/>
  <c r="I4861" i="1"/>
  <c r="I4865" i="1"/>
  <c r="I4869" i="1"/>
  <c r="I4873" i="1"/>
  <c r="I4877" i="1"/>
  <c r="I4881" i="1"/>
  <c r="I4885" i="1"/>
  <c r="I4889" i="1"/>
  <c r="I4893" i="1"/>
  <c r="I4897" i="1"/>
  <c r="I4901" i="1"/>
  <c r="I4905" i="1"/>
  <c r="I4909" i="1"/>
  <c r="I4913" i="1"/>
  <c r="I4917" i="1"/>
  <c r="I4921" i="1"/>
  <c r="I4925" i="1"/>
  <c r="I4929" i="1"/>
  <c r="I4933" i="1"/>
  <c r="I4937" i="1"/>
  <c r="I4941" i="1"/>
  <c r="I4945" i="1"/>
  <c r="I4949" i="1"/>
  <c r="I4953" i="1"/>
  <c r="I4957" i="1"/>
  <c r="I4961" i="1"/>
  <c r="I4965" i="1"/>
  <c r="I4969" i="1"/>
  <c r="I4973" i="1"/>
  <c r="I4977" i="1"/>
  <c r="I4981" i="1"/>
  <c r="I4985" i="1"/>
  <c r="I4989" i="1"/>
  <c r="I4993" i="1"/>
  <c r="I4997" i="1"/>
  <c r="D148" i="1"/>
  <c r="D112" i="1"/>
  <c r="D98" i="1"/>
  <c r="D95" i="1"/>
  <c r="D84" i="1"/>
  <c r="D199" i="1"/>
  <c r="D146" i="1"/>
  <c r="D138" i="1"/>
  <c r="D108" i="1"/>
  <c r="D100" i="1"/>
  <c r="D80" i="1"/>
  <c r="C182" i="1"/>
  <c r="C174" i="1"/>
  <c r="C178" i="1"/>
  <c r="C170" i="1"/>
  <c r="D162" i="1"/>
  <c r="D145" i="1"/>
  <c r="D142" i="1"/>
  <c r="D137" i="1"/>
  <c r="D116" i="1"/>
  <c r="D111" i="1"/>
  <c r="D110" i="1"/>
  <c r="D107" i="1"/>
  <c r="D106" i="1"/>
  <c r="D103" i="1"/>
  <c r="D102" i="1"/>
  <c r="D99" i="1"/>
  <c r="D83" i="1"/>
  <c r="D82" i="1"/>
  <c r="D79" i="1"/>
  <c r="D154" i="1"/>
  <c r="D124" i="1"/>
  <c r="D92" i="1"/>
  <c r="D72" i="1"/>
  <c r="D66" i="1"/>
  <c r="D58" i="1"/>
  <c r="D50" i="1"/>
  <c r="D42" i="1"/>
  <c r="D34" i="1"/>
  <c r="D26" i="1"/>
  <c r="D22" i="1"/>
  <c r="D14" i="1"/>
  <c r="D2" i="1"/>
  <c r="D190" i="1"/>
  <c r="D186" i="1"/>
  <c r="D203" i="1"/>
  <c r="C184" i="1"/>
  <c r="C180" i="1"/>
  <c r="C176" i="1"/>
  <c r="C172" i="1"/>
  <c r="C164" i="1"/>
  <c r="D161" i="1"/>
  <c r="D158" i="1"/>
  <c r="C156" i="1"/>
  <c r="D153" i="1"/>
  <c r="C128" i="1"/>
  <c r="D127" i="1"/>
  <c r="D126" i="1"/>
  <c r="D123" i="1"/>
  <c r="D122" i="1"/>
  <c r="C120" i="1"/>
  <c r="D119" i="1"/>
  <c r="D118" i="1"/>
  <c r="D115" i="1"/>
  <c r="D91" i="1"/>
  <c r="D90" i="1"/>
  <c r="C88" i="1"/>
  <c r="D87" i="1"/>
  <c r="C76" i="1"/>
  <c r="D75" i="1"/>
  <c r="D74" i="1"/>
  <c r="C70" i="1"/>
  <c r="D69" i="1"/>
  <c r="D68" i="1"/>
  <c r="D65" i="1"/>
  <c r="D64" i="1"/>
  <c r="C62" i="1"/>
  <c r="D61" i="1"/>
  <c r="D60" i="1"/>
  <c r="D57" i="1"/>
  <c r="D56" i="1"/>
  <c r="C54" i="1"/>
  <c r="D53" i="1"/>
  <c r="D52" i="1"/>
  <c r="D49" i="1"/>
  <c r="D48" i="1"/>
  <c r="C46" i="1"/>
  <c r="D45" i="1"/>
  <c r="D44" i="1"/>
  <c r="D41" i="1"/>
  <c r="D40" i="1"/>
  <c r="C38" i="1"/>
  <c r="D37" i="1"/>
  <c r="D36" i="1"/>
  <c r="D33" i="1"/>
  <c r="D32" i="1"/>
  <c r="C30" i="1"/>
  <c r="D29" i="1"/>
  <c r="D28" i="1"/>
  <c r="D25" i="1"/>
  <c r="D24" i="1"/>
  <c r="D21" i="1"/>
  <c r="D20" i="1"/>
  <c r="C18" i="1"/>
  <c r="D17" i="1"/>
  <c r="D16" i="1"/>
  <c r="D13" i="1"/>
  <c r="D12" i="1"/>
  <c r="C10" i="1"/>
  <c r="D9" i="1"/>
  <c r="D8" i="1"/>
  <c r="C6" i="1"/>
  <c r="D5" i="1"/>
  <c r="D4" i="1"/>
  <c r="D193" i="1"/>
  <c r="D192" i="1"/>
  <c r="D189" i="1"/>
  <c r="D188" i="1"/>
  <c r="D185" i="1"/>
  <c r="D202" i="1"/>
  <c r="D201" i="1"/>
  <c r="D198" i="1"/>
  <c r="D197" i="1"/>
  <c r="D194" i="1"/>
  <c r="D168" i="1"/>
  <c r="D183" i="1"/>
  <c r="D179" i="1"/>
  <c r="D175" i="1"/>
  <c r="D173" i="1"/>
  <c r="D171" i="1"/>
  <c r="D169" i="1"/>
  <c r="D166" i="1"/>
  <c r="D152" i="1"/>
  <c r="D144" i="1"/>
  <c r="D134" i="1"/>
  <c r="D114" i="1"/>
  <c r="D94" i="1"/>
  <c r="C67" i="1"/>
  <c r="D67" i="1"/>
  <c r="C181" i="1"/>
  <c r="C177" i="1"/>
  <c r="D165" i="1"/>
  <c r="C160" i="1"/>
  <c r="D157" i="1"/>
  <c r="C150" i="1"/>
  <c r="D149" i="1"/>
  <c r="D141" i="1"/>
  <c r="C136" i="1"/>
  <c r="C132" i="1"/>
  <c r="C130" i="1"/>
  <c r="D129" i="1"/>
  <c r="D125" i="1"/>
  <c r="D121" i="1"/>
  <c r="D117" i="1"/>
  <c r="D113" i="1"/>
  <c r="D109" i="1"/>
  <c r="D105" i="1"/>
  <c r="D101" i="1"/>
  <c r="D97" i="1"/>
  <c r="D93" i="1"/>
  <c r="D89" i="1"/>
  <c r="C86" i="1"/>
  <c r="D85" i="1"/>
  <c r="D81" i="1"/>
  <c r="C78" i="1"/>
  <c r="D77" i="1"/>
  <c r="D73" i="1"/>
  <c r="C71" i="1"/>
  <c r="D71" i="1"/>
  <c r="C63" i="1"/>
  <c r="D63" i="1"/>
  <c r="C59" i="1"/>
  <c r="D59" i="1"/>
  <c r="C55" i="1"/>
  <c r="D55" i="1"/>
  <c r="C51" i="1"/>
  <c r="D51" i="1"/>
  <c r="C47" i="1"/>
  <c r="D47" i="1"/>
  <c r="C43" i="1"/>
  <c r="D43" i="1"/>
  <c r="C39" i="1"/>
  <c r="D39" i="1"/>
  <c r="C35" i="1"/>
  <c r="D35" i="1"/>
  <c r="D31" i="1"/>
  <c r="D27" i="1"/>
  <c r="D23" i="1"/>
  <c r="D19" i="1"/>
  <c r="D15" i="1"/>
  <c r="D11" i="1"/>
  <c r="D7" i="1"/>
  <c r="D3" i="1"/>
  <c r="C1" i="1"/>
  <c r="D191" i="1"/>
  <c r="D187" i="1"/>
  <c r="D204" i="1"/>
  <c r="D200" i="1"/>
  <c r="D196" i="1"/>
  <c r="D167" i="1"/>
  <c r="D163" i="1"/>
  <c r="D159" i="1"/>
  <c r="D155" i="1"/>
  <c r="D151" i="1"/>
  <c r="D147" i="1"/>
  <c r="D143" i="1"/>
  <c r="D139" i="1"/>
  <c r="D135" i="1"/>
  <c r="D133" i="1"/>
  <c r="D131" i="1"/>
  <c r="H1" i="1" a="1"/>
  <c r="G1" i="1" a="1"/>
  <c r="H3" i="1" l="1"/>
  <c r="H7" i="1"/>
  <c r="H11" i="1"/>
  <c r="H15" i="1"/>
  <c r="H19" i="1"/>
  <c r="H23" i="1"/>
  <c r="H27" i="1"/>
  <c r="H31" i="1"/>
  <c r="H35" i="1"/>
  <c r="H39" i="1"/>
  <c r="H43" i="1"/>
  <c r="H47" i="1"/>
  <c r="H51" i="1"/>
  <c r="H55" i="1"/>
  <c r="H59" i="1"/>
  <c r="H63" i="1"/>
  <c r="H67" i="1"/>
  <c r="H71" i="1"/>
  <c r="H75" i="1"/>
  <c r="H79" i="1"/>
  <c r="H83" i="1"/>
  <c r="H87" i="1"/>
  <c r="H91" i="1"/>
  <c r="H95" i="1"/>
  <c r="H99" i="1"/>
  <c r="H103" i="1"/>
  <c r="H107" i="1"/>
  <c r="H111" i="1"/>
  <c r="H115" i="1"/>
  <c r="H119" i="1"/>
  <c r="H123" i="1"/>
  <c r="H127" i="1"/>
  <c r="H131" i="1"/>
  <c r="H135" i="1"/>
  <c r="H139" i="1"/>
  <c r="H143" i="1"/>
  <c r="H147" i="1"/>
  <c r="H151" i="1"/>
  <c r="H155" i="1"/>
  <c r="H159" i="1"/>
  <c r="H163" i="1"/>
  <c r="H167" i="1"/>
  <c r="H2" i="1"/>
  <c r="H10" i="1"/>
  <c r="H18" i="1"/>
  <c r="H26" i="1"/>
  <c r="H34" i="1"/>
  <c r="H42" i="1"/>
  <c r="H50" i="1"/>
  <c r="H58" i="1"/>
  <c r="H66" i="1"/>
  <c r="H74" i="1"/>
  <c r="H82" i="1"/>
  <c r="H90" i="1"/>
  <c r="H98" i="1"/>
  <c r="H106" i="1"/>
  <c r="H114" i="1"/>
  <c r="H122" i="1"/>
  <c r="H130" i="1"/>
  <c r="H138" i="1"/>
  <c r="H146" i="1"/>
  <c r="H154" i="1"/>
  <c r="H162" i="1"/>
  <c r="H170" i="1"/>
  <c r="H174" i="1"/>
  <c r="H178" i="1"/>
  <c r="H182" i="1"/>
  <c r="H186" i="1"/>
  <c r="H8" i="1"/>
  <c r="H16" i="1"/>
  <c r="H24" i="1"/>
  <c r="H32" i="1"/>
  <c r="H40" i="1"/>
  <c r="H48" i="1"/>
  <c r="H56" i="1"/>
  <c r="H64" i="1"/>
  <c r="H72" i="1"/>
  <c r="H80" i="1"/>
  <c r="H88" i="1"/>
  <c r="H96" i="1"/>
  <c r="H104" i="1"/>
  <c r="H112" i="1"/>
  <c r="H120" i="1"/>
  <c r="H128" i="1"/>
  <c r="H136" i="1"/>
  <c r="H144" i="1"/>
  <c r="H152" i="1"/>
  <c r="H160" i="1"/>
  <c r="H168" i="1"/>
  <c r="H173" i="1"/>
  <c r="H177" i="1"/>
  <c r="H181" i="1"/>
  <c r="H185" i="1"/>
  <c r="H189" i="1"/>
  <c r="H193" i="1"/>
  <c r="H197" i="1"/>
  <c r="H201" i="1"/>
  <c r="H205" i="1"/>
  <c r="H209" i="1"/>
  <c r="H213" i="1"/>
  <c r="H217" i="1"/>
  <c r="H221" i="1"/>
  <c r="H225" i="1"/>
  <c r="H229" i="1"/>
  <c r="H233" i="1"/>
  <c r="H237" i="1"/>
  <c r="H241" i="1"/>
  <c r="H245" i="1"/>
  <c r="H249" i="1"/>
  <c r="H253" i="1"/>
  <c r="H257" i="1"/>
  <c r="H261" i="1"/>
  <c r="H265" i="1"/>
  <c r="H269" i="1"/>
  <c r="H273" i="1"/>
  <c r="H277" i="1"/>
  <c r="H281" i="1"/>
  <c r="H285" i="1"/>
  <c r="H289" i="1"/>
  <c r="H293" i="1"/>
  <c r="H297" i="1"/>
  <c r="H301" i="1"/>
  <c r="H305" i="1"/>
  <c r="H309" i="1"/>
  <c r="H313" i="1"/>
  <c r="H317" i="1"/>
  <c r="H321" i="1"/>
  <c r="H325" i="1"/>
  <c r="H329" i="1"/>
  <c r="H333" i="1"/>
  <c r="H337" i="1"/>
  <c r="H341" i="1"/>
  <c r="H345" i="1"/>
  <c r="H349" i="1"/>
  <c r="H353" i="1"/>
  <c r="H357" i="1"/>
  <c r="H361" i="1"/>
  <c r="H365" i="1"/>
  <c r="H369" i="1"/>
  <c r="H373" i="1"/>
  <c r="H377" i="1"/>
  <c r="H381" i="1"/>
  <c r="H385" i="1"/>
  <c r="H389" i="1"/>
  <c r="H393" i="1"/>
  <c r="H397" i="1"/>
  <c r="H401" i="1"/>
  <c r="H405" i="1"/>
  <c r="H409" i="1"/>
  <c r="H413" i="1"/>
  <c r="H417" i="1"/>
  <c r="H421" i="1"/>
  <c r="H425" i="1"/>
  <c r="H192" i="1"/>
  <c r="H200" i="1"/>
  <c r="H208" i="1"/>
  <c r="H216" i="1"/>
  <c r="H224" i="1"/>
  <c r="H232" i="1"/>
  <c r="H240" i="1"/>
  <c r="H248" i="1"/>
  <c r="H256" i="1"/>
  <c r="H264" i="1"/>
  <c r="H272" i="1"/>
  <c r="H280" i="1"/>
  <c r="H288" i="1"/>
  <c r="H296" i="1"/>
  <c r="H304" i="1"/>
  <c r="H312" i="1"/>
  <c r="H320" i="1"/>
  <c r="H328" i="1"/>
  <c r="H336" i="1"/>
  <c r="H344" i="1"/>
  <c r="H352" i="1"/>
  <c r="H360" i="1"/>
  <c r="H368" i="1"/>
  <c r="H376" i="1"/>
  <c r="H384" i="1"/>
  <c r="H392" i="1"/>
  <c r="H400" i="1"/>
  <c r="H408" i="1"/>
  <c r="H416" i="1"/>
  <c r="H424" i="1"/>
  <c r="H429" i="1"/>
  <c r="H433" i="1"/>
  <c r="H437" i="1"/>
  <c r="H441" i="1"/>
  <c r="H445" i="1"/>
  <c r="H449" i="1"/>
  <c r="H453" i="1"/>
  <c r="H457" i="1"/>
  <c r="H461" i="1"/>
  <c r="H465" i="1"/>
  <c r="H469" i="1"/>
  <c r="H473" i="1"/>
  <c r="H190" i="1"/>
  <c r="H198" i="1"/>
  <c r="H206" i="1"/>
  <c r="H214" i="1"/>
  <c r="H222" i="1"/>
  <c r="H230" i="1"/>
  <c r="H238" i="1"/>
  <c r="H246" i="1"/>
  <c r="H254" i="1"/>
  <c r="H262" i="1"/>
  <c r="H270" i="1"/>
  <c r="H278" i="1"/>
  <c r="H286" i="1"/>
  <c r="H294" i="1"/>
  <c r="H302" i="1"/>
  <c r="H310" i="1"/>
  <c r="H318" i="1"/>
  <c r="H326" i="1"/>
  <c r="H334" i="1"/>
  <c r="H342" i="1"/>
  <c r="H350" i="1"/>
  <c r="H358" i="1"/>
  <c r="H366" i="1"/>
  <c r="H374" i="1"/>
  <c r="H382" i="1"/>
  <c r="H390" i="1"/>
  <c r="H398" i="1"/>
  <c r="H406" i="1"/>
  <c r="H414" i="1"/>
  <c r="H422" i="1"/>
  <c r="H428" i="1"/>
  <c r="H432" i="1"/>
  <c r="H436" i="1"/>
  <c r="H440" i="1"/>
  <c r="H444" i="1"/>
  <c r="H448" i="1"/>
  <c r="H452" i="1"/>
  <c r="H456" i="1"/>
  <c r="H460" i="1"/>
  <c r="H464" i="1"/>
  <c r="H468" i="1"/>
  <c r="H472" i="1"/>
  <c r="H476" i="1"/>
  <c r="H480" i="1"/>
  <c r="H484" i="1"/>
  <c r="H488" i="1"/>
  <c r="H492" i="1"/>
  <c r="H496" i="1"/>
  <c r="H500" i="1"/>
  <c r="H504" i="1"/>
  <c r="H508" i="1"/>
  <c r="H512" i="1"/>
  <c r="H516" i="1"/>
  <c r="H520" i="1"/>
  <c r="H524" i="1"/>
  <c r="H528" i="1"/>
  <c r="H532" i="1"/>
  <c r="H536" i="1"/>
  <c r="H540" i="1"/>
  <c r="H544" i="1"/>
  <c r="H548" i="1"/>
  <c r="H552" i="1"/>
  <c r="H556" i="1"/>
  <c r="H560" i="1"/>
  <c r="H564" i="1"/>
  <c r="H568" i="1"/>
  <c r="H572" i="1"/>
  <c r="H576" i="1"/>
  <c r="H580" i="1"/>
  <c r="H584" i="1"/>
  <c r="H588" i="1"/>
  <c r="H592" i="1"/>
  <c r="H596" i="1"/>
  <c r="H600" i="1"/>
  <c r="H604" i="1"/>
  <c r="H608" i="1"/>
  <c r="H612" i="1"/>
  <c r="H616" i="1"/>
  <c r="H620" i="1"/>
  <c r="H624" i="1"/>
  <c r="H628" i="1"/>
  <c r="H632" i="1"/>
  <c r="H636" i="1"/>
  <c r="H640" i="1"/>
  <c r="H644" i="1"/>
  <c r="H648" i="1"/>
  <c r="H652" i="1"/>
  <c r="H656" i="1"/>
  <c r="H660" i="1"/>
  <c r="H664" i="1"/>
  <c r="H668" i="1"/>
  <c r="H672" i="1"/>
  <c r="H676" i="1"/>
  <c r="H680" i="1"/>
  <c r="H684" i="1"/>
  <c r="H688" i="1"/>
  <c r="H692" i="1"/>
  <c r="H696" i="1"/>
  <c r="H700" i="1"/>
  <c r="H704" i="1"/>
  <c r="H708" i="1"/>
  <c r="H712" i="1"/>
  <c r="H716" i="1"/>
  <c r="H720" i="1"/>
  <c r="H724" i="1"/>
  <c r="H728" i="1"/>
  <c r="H732" i="1"/>
  <c r="H736" i="1"/>
  <c r="H740" i="1"/>
  <c r="H744" i="1"/>
  <c r="H748" i="1"/>
  <c r="H752" i="1"/>
  <c r="H756" i="1"/>
  <c r="H760" i="1"/>
  <c r="H764" i="1"/>
  <c r="H768" i="1"/>
  <c r="H772" i="1"/>
  <c r="H776" i="1"/>
  <c r="H780" i="1"/>
  <c r="H784" i="1"/>
  <c r="H788" i="1"/>
  <c r="H477" i="1"/>
  <c r="H485" i="1"/>
  <c r="H493" i="1"/>
  <c r="H501" i="1"/>
  <c r="H509" i="1"/>
  <c r="H517" i="1"/>
  <c r="H525" i="1"/>
  <c r="H533" i="1"/>
  <c r="H541" i="1"/>
  <c r="H549" i="1"/>
  <c r="H557" i="1"/>
  <c r="H565" i="1"/>
  <c r="H573" i="1"/>
  <c r="H581" i="1"/>
  <c r="H589" i="1"/>
  <c r="H597" i="1"/>
  <c r="H605" i="1"/>
  <c r="H613" i="1"/>
  <c r="H621" i="1"/>
  <c r="H629" i="1"/>
  <c r="H637" i="1"/>
  <c r="H645" i="1"/>
  <c r="H653" i="1"/>
  <c r="H661" i="1"/>
  <c r="H669" i="1"/>
  <c r="H677" i="1"/>
  <c r="H685" i="1"/>
  <c r="H693" i="1"/>
  <c r="H701" i="1"/>
  <c r="H709" i="1"/>
  <c r="H717" i="1"/>
  <c r="H725" i="1"/>
  <c r="H733" i="1"/>
  <c r="H741" i="1"/>
  <c r="H749" i="1"/>
  <c r="H757" i="1"/>
  <c r="H765" i="1"/>
  <c r="H773" i="1"/>
  <c r="H781" i="1"/>
  <c r="H789" i="1"/>
  <c r="H794" i="1"/>
  <c r="H798" i="1"/>
  <c r="H802" i="1"/>
  <c r="H806" i="1"/>
  <c r="H810" i="1"/>
  <c r="H814" i="1"/>
  <c r="H818" i="1"/>
  <c r="H822" i="1"/>
  <c r="H826" i="1"/>
  <c r="H830" i="1"/>
  <c r="H834" i="1"/>
  <c r="H838" i="1"/>
  <c r="H842" i="1"/>
  <c r="H846" i="1"/>
  <c r="H850" i="1"/>
  <c r="H854" i="1"/>
  <c r="H858" i="1"/>
  <c r="H862" i="1"/>
  <c r="H866" i="1"/>
  <c r="H870" i="1"/>
  <c r="H874" i="1"/>
  <c r="H878" i="1"/>
  <c r="H882" i="1"/>
  <c r="H886" i="1"/>
  <c r="H890" i="1"/>
  <c r="H894" i="1"/>
  <c r="H898" i="1"/>
  <c r="H902" i="1"/>
  <c r="H906" i="1"/>
  <c r="H910" i="1"/>
  <c r="H914" i="1"/>
  <c r="H918" i="1"/>
  <c r="H922" i="1"/>
  <c r="H926" i="1"/>
  <c r="H930" i="1"/>
  <c r="H934" i="1"/>
  <c r="H938" i="1"/>
  <c r="H942" i="1"/>
  <c r="H946" i="1"/>
  <c r="H950" i="1"/>
  <c r="H954" i="1"/>
  <c r="H958" i="1"/>
  <c r="H962" i="1"/>
  <c r="H966" i="1"/>
  <c r="H970" i="1"/>
  <c r="H479" i="1"/>
  <c r="H487" i="1"/>
  <c r="H495" i="1"/>
  <c r="H503" i="1"/>
  <c r="H511" i="1"/>
  <c r="H519" i="1"/>
  <c r="H527" i="1"/>
  <c r="H535" i="1"/>
  <c r="H543" i="1"/>
  <c r="H551" i="1"/>
  <c r="H559" i="1"/>
  <c r="H567" i="1"/>
  <c r="H575" i="1"/>
  <c r="H583" i="1"/>
  <c r="H591" i="1"/>
  <c r="H599" i="1"/>
  <c r="H607" i="1"/>
  <c r="H615" i="1"/>
  <c r="H623" i="1"/>
  <c r="H631" i="1"/>
  <c r="H639" i="1"/>
  <c r="H647" i="1"/>
  <c r="H655" i="1"/>
  <c r="H663" i="1"/>
  <c r="H671" i="1"/>
  <c r="H679" i="1"/>
  <c r="H687" i="1"/>
  <c r="H695" i="1"/>
  <c r="H703" i="1"/>
  <c r="H711" i="1"/>
  <c r="H719" i="1"/>
  <c r="H727" i="1"/>
  <c r="H735" i="1"/>
  <c r="H743" i="1"/>
  <c r="H751" i="1"/>
  <c r="H759" i="1"/>
  <c r="H767" i="1"/>
  <c r="H775" i="1"/>
  <c r="H783" i="1"/>
  <c r="H791" i="1"/>
  <c r="H795" i="1"/>
  <c r="H799" i="1"/>
  <c r="H803" i="1"/>
  <c r="H807" i="1"/>
  <c r="H811" i="1"/>
  <c r="H815" i="1"/>
  <c r="H819" i="1"/>
  <c r="H823" i="1"/>
  <c r="H827" i="1"/>
  <c r="H831" i="1"/>
  <c r="H835" i="1"/>
  <c r="H839" i="1"/>
  <c r="H843" i="1"/>
  <c r="H847" i="1"/>
  <c r="H851" i="1"/>
  <c r="H855" i="1"/>
  <c r="H859" i="1"/>
  <c r="H863" i="1"/>
  <c r="H867" i="1"/>
  <c r="H871" i="1"/>
  <c r="H875" i="1"/>
  <c r="H879" i="1"/>
  <c r="H883" i="1"/>
  <c r="H887" i="1"/>
  <c r="H891" i="1"/>
  <c r="H895" i="1"/>
  <c r="H899" i="1"/>
  <c r="H903" i="1"/>
  <c r="H907" i="1"/>
  <c r="H911" i="1"/>
  <c r="H915" i="1"/>
  <c r="H919" i="1"/>
  <c r="H923" i="1"/>
  <c r="H927" i="1"/>
  <c r="H931" i="1"/>
  <c r="H935" i="1"/>
  <c r="H939" i="1"/>
  <c r="H943" i="1"/>
  <c r="H947" i="1"/>
  <c r="H951" i="1"/>
  <c r="H955" i="1"/>
  <c r="H959" i="1"/>
  <c r="H963" i="1"/>
  <c r="H967" i="1"/>
  <c r="H971" i="1"/>
  <c r="H975" i="1"/>
  <c r="H979" i="1"/>
  <c r="H983" i="1"/>
  <c r="H987" i="1"/>
  <c r="H991" i="1"/>
  <c r="H995" i="1"/>
  <c r="H999" i="1"/>
  <c r="H1003" i="1"/>
  <c r="H1007" i="1"/>
  <c r="H1011" i="1"/>
  <c r="H1015" i="1"/>
  <c r="H1019" i="1"/>
  <c r="H1023" i="1"/>
  <c r="H1027" i="1"/>
  <c r="H1031" i="1"/>
  <c r="H1035" i="1"/>
  <c r="H1039" i="1"/>
  <c r="H1043" i="1"/>
  <c r="H1047" i="1"/>
  <c r="H1051" i="1"/>
  <c r="H1055" i="1"/>
  <c r="H1059" i="1"/>
  <c r="H1063" i="1"/>
  <c r="H1067" i="1"/>
  <c r="H1071" i="1"/>
  <c r="H1075" i="1"/>
  <c r="H1079" i="1"/>
  <c r="H1083" i="1"/>
  <c r="H1087" i="1"/>
  <c r="H1091" i="1"/>
  <c r="H1095" i="1"/>
  <c r="H1099" i="1"/>
  <c r="H1103" i="1"/>
  <c r="H1107" i="1"/>
  <c r="H1111" i="1"/>
  <c r="H1115" i="1"/>
  <c r="H1119" i="1"/>
  <c r="H1123" i="1"/>
  <c r="H1127" i="1"/>
  <c r="H1131" i="1"/>
  <c r="H1135" i="1"/>
  <c r="H1139" i="1"/>
  <c r="H1143" i="1"/>
  <c r="H1147" i="1"/>
  <c r="H1151" i="1"/>
  <c r="H1155" i="1"/>
  <c r="H1159" i="1"/>
  <c r="H1163" i="1"/>
  <c r="H1167" i="1"/>
  <c r="H1171" i="1"/>
  <c r="H1175" i="1"/>
  <c r="H1179" i="1"/>
  <c r="H1183" i="1"/>
  <c r="H1187" i="1"/>
  <c r="H1191" i="1"/>
  <c r="H1195" i="1"/>
  <c r="H1199" i="1"/>
  <c r="H1203" i="1"/>
  <c r="H1207" i="1"/>
  <c r="H1211" i="1"/>
  <c r="H1215" i="1"/>
  <c r="H1219" i="1"/>
  <c r="H1223" i="1"/>
  <c r="H1227" i="1"/>
  <c r="H1231" i="1"/>
  <c r="H1235" i="1"/>
  <c r="H1239" i="1"/>
  <c r="H1243" i="1"/>
  <c r="H1247" i="1"/>
  <c r="H1251" i="1"/>
  <c r="H1255" i="1"/>
  <c r="H1259" i="1"/>
  <c r="H1263" i="1"/>
  <c r="H1267" i="1"/>
  <c r="H1271" i="1"/>
  <c r="H1275" i="1"/>
  <c r="H1279" i="1"/>
  <c r="H1283" i="1"/>
  <c r="H1287" i="1"/>
  <c r="H1291" i="1"/>
  <c r="H978" i="1"/>
  <c r="H986" i="1"/>
  <c r="H994" i="1"/>
  <c r="H1002" i="1"/>
  <c r="H1010" i="1"/>
  <c r="H1018" i="1"/>
  <c r="H1026" i="1"/>
  <c r="H1034" i="1"/>
  <c r="H1042" i="1"/>
  <c r="H1050" i="1"/>
  <c r="H1058" i="1"/>
  <c r="H1066" i="1"/>
  <c r="H1074" i="1"/>
  <c r="H1082" i="1"/>
  <c r="H1090" i="1"/>
  <c r="H1098" i="1"/>
  <c r="H1106" i="1"/>
  <c r="H1114" i="1"/>
  <c r="H1122" i="1"/>
  <c r="H1130" i="1"/>
  <c r="H1138" i="1"/>
  <c r="H1146" i="1"/>
  <c r="H1154" i="1"/>
  <c r="H1162" i="1"/>
  <c r="H1170" i="1"/>
  <c r="H1178" i="1"/>
  <c r="H1186" i="1"/>
  <c r="H1194" i="1"/>
  <c r="H1202" i="1"/>
  <c r="H1210" i="1"/>
  <c r="H1218" i="1"/>
  <c r="H1226" i="1"/>
  <c r="H1234" i="1"/>
  <c r="H1242" i="1"/>
  <c r="H1250" i="1"/>
  <c r="H1258" i="1"/>
  <c r="H1266" i="1"/>
  <c r="H1274" i="1"/>
  <c r="H1282" i="1"/>
  <c r="H1290" i="1"/>
  <c r="H1295" i="1"/>
  <c r="H1299" i="1"/>
  <c r="H1303" i="1"/>
  <c r="H1307" i="1"/>
  <c r="H1311" i="1"/>
  <c r="H1315" i="1"/>
  <c r="H1319" i="1"/>
  <c r="H1323" i="1"/>
  <c r="H1327" i="1"/>
  <c r="H1331" i="1"/>
  <c r="H1335" i="1"/>
  <c r="H1339" i="1"/>
  <c r="H1343" i="1"/>
  <c r="H1347" i="1"/>
  <c r="H1351" i="1"/>
  <c r="H1355" i="1"/>
  <c r="H1359" i="1"/>
  <c r="H1363" i="1"/>
  <c r="H1367" i="1"/>
  <c r="H1371" i="1"/>
  <c r="H1375" i="1"/>
  <c r="H1379" i="1"/>
  <c r="H1383" i="1"/>
  <c r="H1387" i="1"/>
  <c r="H1391" i="1"/>
  <c r="H1395" i="1"/>
  <c r="H1399" i="1"/>
  <c r="H1403" i="1"/>
  <c r="H1407" i="1"/>
  <c r="H1411" i="1"/>
  <c r="H1415" i="1"/>
  <c r="H1419" i="1"/>
  <c r="H1423" i="1"/>
  <c r="H1427" i="1"/>
  <c r="H1431" i="1"/>
  <c r="H1435" i="1"/>
  <c r="H1439" i="1"/>
  <c r="H1443" i="1"/>
  <c r="H1447" i="1"/>
  <c r="H1451" i="1"/>
  <c r="H1455" i="1"/>
  <c r="H1459" i="1"/>
  <c r="H1463" i="1"/>
  <c r="H1467" i="1"/>
  <c r="H1471" i="1"/>
  <c r="H1475" i="1"/>
  <c r="H1479" i="1"/>
  <c r="H1483" i="1"/>
  <c r="H1487" i="1"/>
  <c r="H1491" i="1"/>
  <c r="H1495" i="1"/>
  <c r="H1499" i="1"/>
  <c r="H1503" i="1"/>
  <c r="H980" i="1"/>
  <c r="H988" i="1"/>
  <c r="H996" i="1"/>
  <c r="H1004" i="1"/>
  <c r="H1012" i="1"/>
  <c r="H1020" i="1"/>
  <c r="H1028" i="1"/>
  <c r="H1036" i="1"/>
  <c r="H1044" i="1"/>
  <c r="H1052" i="1"/>
  <c r="H1060" i="1"/>
  <c r="H1068" i="1"/>
  <c r="H1076" i="1"/>
  <c r="H1084" i="1"/>
  <c r="H1092" i="1"/>
  <c r="H1100" i="1"/>
  <c r="H1108" i="1"/>
  <c r="H1116" i="1"/>
  <c r="H1124" i="1"/>
  <c r="H1132" i="1"/>
  <c r="H1140" i="1"/>
  <c r="H1148" i="1"/>
  <c r="H1156" i="1"/>
  <c r="H1164" i="1"/>
  <c r="H1172" i="1"/>
  <c r="H1180" i="1"/>
  <c r="H1188" i="1"/>
  <c r="H1196" i="1"/>
  <c r="H1204" i="1"/>
  <c r="H1212" i="1"/>
  <c r="H1220" i="1"/>
  <c r="H1228" i="1"/>
  <c r="H1236" i="1"/>
  <c r="H1244" i="1"/>
  <c r="H1252" i="1"/>
  <c r="H1260" i="1"/>
  <c r="H1268" i="1"/>
  <c r="H1276" i="1"/>
  <c r="H1284" i="1"/>
  <c r="H1292" i="1"/>
  <c r="H1296" i="1"/>
  <c r="H1300" i="1"/>
  <c r="H1304" i="1"/>
  <c r="H1308" i="1"/>
  <c r="H1312" i="1"/>
  <c r="H1316" i="1"/>
  <c r="H1320" i="1"/>
  <c r="H1324" i="1"/>
  <c r="H1328" i="1"/>
  <c r="H1332" i="1"/>
  <c r="H1336" i="1"/>
  <c r="H1340" i="1"/>
  <c r="H1344" i="1"/>
  <c r="H1348" i="1"/>
  <c r="H1352" i="1"/>
  <c r="H1356" i="1"/>
  <c r="H1360" i="1"/>
  <c r="H1364" i="1"/>
  <c r="H1368" i="1"/>
  <c r="H1372" i="1"/>
  <c r="H1376" i="1"/>
  <c r="H1380" i="1"/>
  <c r="H1384" i="1"/>
  <c r="H1388" i="1"/>
  <c r="H1392" i="1"/>
  <c r="H1396" i="1"/>
  <c r="H1400" i="1"/>
  <c r="H1404" i="1"/>
  <c r="H1408" i="1"/>
  <c r="H1412" i="1"/>
  <c r="H1416" i="1"/>
  <c r="H1420" i="1"/>
  <c r="H1424" i="1"/>
  <c r="H1428" i="1"/>
  <c r="H1432" i="1"/>
  <c r="H1436" i="1"/>
  <c r="H1440" i="1"/>
  <c r="H1444" i="1"/>
  <c r="H1448" i="1"/>
  <c r="H1452" i="1"/>
  <c r="H1456" i="1"/>
  <c r="H1460" i="1"/>
  <c r="H1464" i="1"/>
  <c r="H1468" i="1"/>
  <c r="H1472" i="1"/>
  <c r="H1476" i="1"/>
  <c r="H1480" i="1"/>
  <c r="H1484" i="1"/>
  <c r="H1488" i="1"/>
  <c r="H1492" i="1"/>
  <c r="H1496" i="1"/>
  <c r="H1500" i="1"/>
  <c r="H1504" i="1"/>
  <c r="H1508" i="1"/>
  <c r="H1512" i="1"/>
  <c r="H1516" i="1"/>
  <c r="H1520" i="1"/>
  <c r="H1524" i="1"/>
  <c r="H1528" i="1"/>
  <c r="H1532" i="1"/>
  <c r="H1536" i="1"/>
  <c r="H1540" i="1"/>
  <c r="H1544" i="1"/>
  <c r="H1548" i="1"/>
  <c r="H1552" i="1"/>
  <c r="H1556" i="1"/>
  <c r="H1560" i="1"/>
  <c r="H1564" i="1"/>
  <c r="H1568" i="1"/>
  <c r="H1572" i="1"/>
  <c r="H1576" i="1"/>
  <c r="H1580" i="1"/>
  <c r="H1584" i="1"/>
  <c r="H1588" i="1"/>
  <c r="H1592" i="1"/>
  <c r="H1596" i="1"/>
  <c r="H1600" i="1"/>
  <c r="H1604" i="1"/>
  <c r="H1608" i="1"/>
  <c r="H1612" i="1"/>
  <c r="H1616" i="1"/>
  <c r="H1620" i="1"/>
  <c r="H1624" i="1"/>
  <c r="H1628" i="1"/>
  <c r="H1632" i="1"/>
  <c r="H1636" i="1"/>
  <c r="H1640" i="1"/>
  <c r="H1644" i="1"/>
  <c r="H1648" i="1"/>
  <c r="H1652" i="1"/>
  <c r="H1656" i="1"/>
  <c r="H1660" i="1"/>
  <c r="H1664" i="1"/>
  <c r="H1668" i="1"/>
  <c r="H1672" i="1"/>
  <c r="H1676" i="1"/>
  <c r="H1680" i="1"/>
  <c r="H1684" i="1"/>
  <c r="H1688" i="1"/>
  <c r="H1692" i="1"/>
  <c r="H1696" i="1"/>
  <c r="H1700" i="1"/>
  <c r="H1704" i="1"/>
  <c r="H1708" i="1"/>
  <c r="H1712" i="1"/>
  <c r="H1716" i="1"/>
  <c r="H1720" i="1"/>
  <c r="H1724" i="1"/>
  <c r="H1728" i="1"/>
  <c r="H1732" i="1"/>
  <c r="H1736" i="1"/>
  <c r="H1740" i="1"/>
  <c r="H1744" i="1"/>
  <c r="H1748" i="1"/>
  <c r="H1752" i="1"/>
  <c r="H1756" i="1"/>
  <c r="H1760" i="1"/>
  <c r="H1764" i="1"/>
  <c r="H1768" i="1"/>
  <c r="H1772" i="1"/>
  <c r="H1776" i="1"/>
  <c r="H1780" i="1"/>
  <c r="H1784" i="1"/>
  <c r="H1788" i="1"/>
  <c r="H1792" i="1"/>
  <c r="H1796" i="1"/>
  <c r="H1800" i="1"/>
  <c r="H1804" i="1"/>
  <c r="H1808" i="1"/>
  <c r="H1812" i="1"/>
  <c r="H1505" i="1"/>
  <c r="H1513" i="1"/>
  <c r="H1521" i="1"/>
  <c r="H1529" i="1"/>
  <c r="H1537" i="1"/>
  <c r="H1545" i="1"/>
  <c r="H1553" i="1"/>
  <c r="H1561" i="1"/>
  <c r="H1569" i="1"/>
  <c r="H1577" i="1"/>
  <c r="H1585" i="1"/>
  <c r="H1593" i="1"/>
  <c r="H1601" i="1"/>
  <c r="H1609" i="1"/>
  <c r="H1617" i="1"/>
  <c r="H1625" i="1"/>
  <c r="H1633" i="1"/>
  <c r="H1641" i="1"/>
  <c r="H1649" i="1"/>
  <c r="H1657" i="1"/>
  <c r="H1665" i="1"/>
  <c r="H1673" i="1"/>
  <c r="H1681" i="1"/>
  <c r="H1689" i="1"/>
  <c r="H1697" i="1"/>
  <c r="H1705" i="1"/>
  <c r="H1713" i="1"/>
  <c r="H1721" i="1"/>
  <c r="H1729" i="1"/>
  <c r="H1737" i="1"/>
  <c r="H1745" i="1"/>
  <c r="H1753" i="1"/>
  <c r="H1761" i="1"/>
  <c r="H1769" i="1"/>
  <c r="H1777" i="1"/>
  <c r="H1785" i="1"/>
  <c r="H1793" i="1"/>
  <c r="H1801" i="1"/>
  <c r="H1809" i="1"/>
  <c r="H1816" i="1"/>
  <c r="H1820" i="1"/>
  <c r="H1824" i="1"/>
  <c r="H1828" i="1"/>
  <c r="H1832" i="1"/>
  <c r="H1836" i="1"/>
  <c r="H1840" i="1"/>
  <c r="H1844" i="1"/>
  <c r="H1848" i="1"/>
  <c r="H1852" i="1"/>
  <c r="H1856" i="1"/>
  <c r="H1860" i="1"/>
  <c r="H1864" i="1"/>
  <c r="H1868" i="1"/>
  <c r="H1872" i="1"/>
  <c r="H1876" i="1"/>
  <c r="H1880" i="1"/>
  <c r="H1884" i="1"/>
  <c r="H1888" i="1"/>
  <c r="H1892" i="1"/>
  <c r="H1896" i="1"/>
  <c r="H1900" i="1"/>
  <c r="H1904" i="1"/>
  <c r="H1908" i="1"/>
  <c r="H1912" i="1"/>
  <c r="H1916" i="1"/>
  <c r="H1920" i="1"/>
  <c r="H1924" i="1"/>
  <c r="H1928" i="1"/>
  <c r="H1932" i="1"/>
  <c r="H1936" i="1"/>
  <c r="H1940" i="1"/>
  <c r="H1944" i="1"/>
  <c r="H1948" i="1"/>
  <c r="H1952" i="1"/>
  <c r="H1956" i="1"/>
  <c r="H1960" i="1"/>
  <c r="H1964" i="1"/>
  <c r="H1968" i="1"/>
  <c r="H1972" i="1"/>
  <c r="H1976" i="1"/>
  <c r="H1980" i="1"/>
  <c r="H1984" i="1"/>
  <c r="H1988" i="1"/>
  <c r="H1992" i="1"/>
  <c r="H1996" i="1"/>
  <c r="H2000" i="1"/>
  <c r="H2004" i="1"/>
  <c r="H2008" i="1"/>
  <c r="H2012" i="1"/>
  <c r="H2016" i="1"/>
  <c r="H2020" i="1"/>
  <c r="H2024" i="1"/>
  <c r="H2028" i="1"/>
  <c r="H2032" i="1"/>
  <c r="H2036" i="1"/>
  <c r="H2040" i="1"/>
  <c r="H2044" i="1"/>
  <c r="H2048" i="1"/>
  <c r="H2052" i="1"/>
  <c r="H2056" i="1"/>
  <c r="H2060" i="1"/>
  <c r="H2064" i="1"/>
  <c r="H2068" i="1"/>
  <c r="H2072" i="1"/>
  <c r="H2076" i="1"/>
  <c r="H2080" i="1"/>
  <c r="H2084" i="1"/>
  <c r="H2088" i="1"/>
  <c r="H2092" i="1"/>
  <c r="H2096" i="1"/>
  <c r="H2100" i="1"/>
  <c r="H2104" i="1"/>
  <c r="H2108" i="1"/>
  <c r="H2112" i="1"/>
  <c r="H2116" i="1"/>
  <c r="H2120" i="1"/>
  <c r="H2124" i="1"/>
  <c r="H2128" i="1"/>
  <c r="H2132" i="1"/>
  <c r="H2136" i="1"/>
  <c r="H2140" i="1"/>
  <c r="H2144" i="1"/>
  <c r="H2148" i="1"/>
  <c r="H2152" i="1"/>
  <c r="H2156" i="1"/>
  <c r="H2160" i="1"/>
  <c r="H2164" i="1"/>
  <c r="H2168" i="1"/>
  <c r="H2172" i="1"/>
  <c r="H2176" i="1"/>
  <c r="H2180" i="1"/>
  <c r="H2184" i="1"/>
  <c r="H2188" i="1"/>
  <c r="H2192" i="1"/>
  <c r="H2196" i="1"/>
  <c r="H2200" i="1"/>
  <c r="H2204" i="1"/>
  <c r="H2208" i="1"/>
  <c r="H2212" i="1"/>
  <c r="H2216" i="1"/>
  <c r="H2220" i="1"/>
  <c r="H2224" i="1"/>
  <c r="H2228" i="1"/>
  <c r="H2232" i="1"/>
  <c r="H2236" i="1"/>
  <c r="H2240" i="1"/>
  <c r="H2244" i="1"/>
  <c r="H2248" i="1"/>
  <c r="H2252" i="1"/>
  <c r="H2256" i="1"/>
  <c r="H2260" i="1"/>
  <c r="H2264" i="1"/>
  <c r="H2268" i="1"/>
  <c r="H2272" i="1"/>
  <c r="H2276" i="1"/>
  <c r="H2280" i="1"/>
  <c r="H2284" i="1"/>
  <c r="H2288" i="1"/>
  <c r="H2292" i="1"/>
  <c r="H2296" i="1"/>
  <c r="H2300" i="1"/>
  <c r="H2304" i="1"/>
  <c r="H2308" i="1"/>
  <c r="H2312" i="1"/>
  <c r="H2316" i="1"/>
  <c r="H2320" i="1"/>
  <c r="H2324" i="1"/>
  <c r="H2328" i="1"/>
  <c r="H2332" i="1"/>
  <c r="H2336" i="1"/>
  <c r="H2340" i="1"/>
  <c r="H1511" i="1"/>
  <c r="H1519" i="1"/>
  <c r="H1527" i="1"/>
  <c r="H1535" i="1"/>
  <c r="H1543" i="1"/>
  <c r="H1551" i="1"/>
  <c r="H1559" i="1"/>
  <c r="H1567" i="1"/>
  <c r="H1575" i="1"/>
  <c r="H1583" i="1"/>
  <c r="H1591" i="1"/>
  <c r="H1599" i="1"/>
  <c r="H1607" i="1"/>
  <c r="H1615" i="1"/>
  <c r="H1623" i="1"/>
  <c r="H1631" i="1"/>
  <c r="H1639" i="1"/>
  <c r="H1647" i="1"/>
  <c r="H1655" i="1"/>
  <c r="H1663" i="1"/>
  <c r="H1671" i="1"/>
  <c r="H1679" i="1"/>
  <c r="H1687" i="1"/>
  <c r="H1695" i="1"/>
  <c r="H1703" i="1"/>
  <c r="H1711" i="1"/>
  <c r="H1719" i="1"/>
  <c r="H1727" i="1"/>
  <c r="H1735" i="1"/>
  <c r="H1743" i="1"/>
  <c r="H1751" i="1"/>
  <c r="H1759" i="1"/>
  <c r="H1767" i="1"/>
  <c r="H1775" i="1"/>
  <c r="H1783" i="1"/>
  <c r="H1791" i="1"/>
  <c r="H1799" i="1"/>
  <c r="H1807" i="1"/>
  <c r="H1815" i="1"/>
  <c r="H1819" i="1"/>
  <c r="H1823" i="1"/>
  <c r="H1827" i="1"/>
  <c r="H1831" i="1"/>
  <c r="H1835" i="1"/>
  <c r="H1839" i="1"/>
  <c r="H1843" i="1"/>
  <c r="H1847" i="1"/>
  <c r="H1851" i="1"/>
  <c r="H1855" i="1"/>
  <c r="H1859" i="1"/>
  <c r="H1863" i="1"/>
  <c r="H1867" i="1"/>
  <c r="H1871" i="1"/>
  <c r="H1875" i="1"/>
  <c r="H1879" i="1"/>
  <c r="H1883" i="1"/>
  <c r="H1887" i="1"/>
  <c r="H1891" i="1"/>
  <c r="H1895" i="1"/>
  <c r="H1899" i="1"/>
  <c r="H1903" i="1"/>
  <c r="H1907" i="1"/>
  <c r="H1911" i="1"/>
  <c r="H1915" i="1"/>
  <c r="H1919" i="1"/>
  <c r="H1923" i="1"/>
  <c r="H1927" i="1"/>
  <c r="H1931" i="1"/>
  <c r="H1935" i="1"/>
  <c r="H1939" i="1"/>
  <c r="H1943" i="1"/>
  <c r="H1947" i="1"/>
  <c r="H1951" i="1"/>
  <c r="H1955" i="1"/>
  <c r="H1959" i="1"/>
  <c r="H1963" i="1"/>
  <c r="H1967" i="1"/>
  <c r="H1971" i="1"/>
  <c r="H1975" i="1"/>
  <c r="H1979" i="1"/>
  <c r="H1983" i="1"/>
  <c r="H1987" i="1"/>
  <c r="H1991" i="1"/>
  <c r="H1995" i="1"/>
  <c r="H1999" i="1"/>
  <c r="H2003" i="1"/>
  <c r="H2007" i="1"/>
  <c r="H2011" i="1"/>
  <c r="H2015" i="1"/>
  <c r="H2019" i="1"/>
  <c r="H2023" i="1"/>
  <c r="H2027" i="1"/>
  <c r="H2031" i="1"/>
  <c r="H2035" i="1"/>
  <c r="H2039" i="1"/>
  <c r="H2043" i="1"/>
  <c r="H2047" i="1"/>
  <c r="H2051" i="1"/>
  <c r="H2055" i="1"/>
  <c r="H2059" i="1"/>
  <c r="H2063" i="1"/>
  <c r="H2067" i="1"/>
  <c r="H2071" i="1"/>
  <c r="H2075" i="1"/>
  <c r="H2079" i="1"/>
  <c r="H2083" i="1"/>
  <c r="H2087" i="1"/>
  <c r="H2091" i="1"/>
  <c r="H2095" i="1"/>
  <c r="H2099" i="1"/>
  <c r="H2103" i="1"/>
  <c r="H2107" i="1"/>
  <c r="H2111" i="1"/>
  <c r="H2115" i="1"/>
  <c r="H2119" i="1"/>
  <c r="H2123" i="1"/>
  <c r="H2127" i="1"/>
  <c r="H2131" i="1"/>
  <c r="H2135" i="1"/>
  <c r="H2139" i="1"/>
  <c r="H2143" i="1"/>
  <c r="H2147" i="1"/>
  <c r="H2151" i="1"/>
  <c r="H2155" i="1"/>
  <c r="H2159" i="1"/>
  <c r="H2163" i="1"/>
  <c r="H2167" i="1"/>
  <c r="H2171" i="1"/>
  <c r="H2175" i="1"/>
  <c r="H2179" i="1"/>
  <c r="H2183" i="1"/>
  <c r="H2187" i="1"/>
  <c r="H2191" i="1"/>
  <c r="H2195" i="1"/>
  <c r="H2199" i="1"/>
  <c r="H2203" i="1"/>
  <c r="H2207" i="1"/>
  <c r="H2211" i="1"/>
  <c r="H2215" i="1"/>
  <c r="H2219" i="1"/>
  <c r="H2223" i="1"/>
  <c r="H2227" i="1"/>
  <c r="H2231" i="1"/>
  <c r="H2235" i="1"/>
  <c r="H2239" i="1"/>
  <c r="H2243" i="1"/>
  <c r="H2247" i="1"/>
  <c r="H2251" i="1"/>
  <c r="H2255" i="1"/>
  <c r="H2259" i="1"/>
  <c r="H2263" i="1"/>
  <c r="H2267" i="1"/>
  <c r="H2271" i="1"/>
  <c r="H2275" i="1"/>
  <c r="H2279" i="1"/>
  <c r="H2283" i="1"/>
  <c r="H2287" i="1"/>
  <c r="H2291" i="1"/>
  <c r="H2295" i="1"/>
  <c r="H2299" i="1"/>
  <c r="H2303" i="1"/>
  <c r="H2307" i="1"/>
  <c r="H2311" i="1"/>
  <c r="H2315" i="1"/>
  <c r="H2319" i="1"/>
  <c r="H2323" i="1"/>
  <c r="H2327" i="1"/>
  <c r="H2331" i="1"/>
  <c r="H2335" i="1"/>
  <c r="H2339" i="1"/>
  <c r="H2343" i="1"/>
  <c r="H2347" i="1"/>
  <c r="H2351" i="1"/>
  <c r="H2355" i="1"/>
  <c r="H2359" i="1"/>
  <c r="H2363" i="1"/>
  <c r="H2367" i="1"/>
  <c r="H2371" i="1"/>
  <c r="H2375" i="1"/>
  <c r="H2379" i="1"/>
  <c r="H2383" i="1"/>
  <c r="H2387" i="1"/>
  <c r="H2391" i="1"/>
  <c r="H2395" i="1"/>
  <c r="H2399" i="1"/>
  <c r="H2403" i="1"/>
  <c r="H2407" i="1"/>
  <c r="H2411" i="1"/>
  <c r="H2415" i="1"/>
  <c r="H2419" i="1"/>
  <c r="H2423" i="1"/>
  <c r="H2427" i="1"/>
  <c r="H2431" i="1"/>
  <c r="H2435" i="1"/>
  <c r="H2439" i="1"/>
  <c r="H2443" i="1"/>
  <c r="H2447" i="1"/>
  <c r="H2451" i="1"/>
  <c r="H2455" i="1"/>
  <c r="H2459" i="1"/>
  <c r="H2463" i="1"/>
  <c r="H2467" i="1"/>
  <c r="H2471" i="1"/>
  <c r="H2475" i="1"/>
  <c r="H2479" i="1"/>
  <c r="H2483" i="1"/>
  <c r="H2487" i="1"/>
  <c r="H2491" i="1"/>
  <c r="H2495" i="1"/>
  <c r="H2499" i="1"/>
  <c r="H2503" i="1"/>
  <c r="H2507" i="1"/>
  <c r="H2511" i="1"/>
  <c r="H2515" i="1"/>
  <c r="H2519" i="1"/>
  <c r="H2523" i="1"/>
  <c r="H2527" i="1"/>
  <c r="H2531" i="1"/>
  <c r="H2535" i="1"/>
  <c r="H2539" i="1"/>
  <c r="H2543" i="1"/>
  <c r="H2547" i="1"/>
  <c r="H2551" i="1"/>
  <c r="H2555" i="1"/>
  <c r="H2559" i="1"/>
  <c r="H2563" i="1"/>
  <c r="H2567" i="1"/>
  <c r="H2571" i="1"/>
  <c r="H2575" i="1"/>
  <c r="H2579" i="1"/>
  <c r="H2583" i="1"/>
  <c r="H2587" i="1"/>
  <c r="H2591" i="1"/>
  <c r="H2346" i="1"/>
  <c r="H2354" i="1"/>
  <c r="H2362" i="1"/>
  <c r="H2370" i="1"/>
  <c r="H2378" i="1"/>
  <c r="H2386" i="1"/>
  <c r="H2394" i="1"/>
  <c r="H2402" i="1"/>
  <c r="H2410" i="1"/>
  <c r="H2418" i="1"/>
  <c r="H2426" i="1"/>
  <c r="H2434" i="1"/>
  <c r="H2442" i="1"/>
  <c r="H2450" i="1"/>
  <c r="H2458" i="1"/>
  <c r="H2466" i="1"/>
  <c r="H2474" i="1"/>
  <c r="H2482" i="1"/>
  <c r="H2490" i="1"/>
  <c r="H2498" i="1"/>
  <c r="H2506" i="1"/>
  <c r="H2514" i="1"/>
  <c r="H2522" i="1"/>
  <c r="H2530" i="1"/>
  <c r="H2538" i="1"/>
  <c r="H2546" i="1"/>
  <c r="H2554" i="1"/>
  <c r="H2562" i="1"/>
  <c r="H2570" i="1"/>
  <c r="H2578" i="1"/>
  <c r="H2586" i="1"/>
  <c r="H2593" i="1"/>
  <c r="H2597" i="1"/>
  <c r="H2601" i="1"/>
  <c r="H2605" i="1"/>
  <c r="H2609" i="1"/>
  <c r="H2613" i="1"/>
  <c r="H2617" i="1"/>
  <c r="H2621" i="1"/>
  <c r="H2625" i="1"/>
  <c r="H2629" i="1"/>
  <c r="H2633" i="1"/>
  <c r="H2637" i="1"/>
  <c r="H2641" i="1"/>
  <c r="H2645" i="1"/>
  <c r="H2649" i="1"/>
  <c r="H2653" i="1"/>
  <c r="H2657" i="1"/>
  <c r="H2661" i="1"/>
  <c r="H2665" i="1"/>
  <c r="H2669" i="1"/>
  <c r="H2673" i="1"/>
  <c r="H2677" i="1"/>
  <c r="H2681" i="1"/>
  <c r="H2685" i="1"/>
  <c r="H2689" i="1"/>
  <c r="H2693" i="1"/>
  <c r="H2697" i="1"/>
  <c r="H2701" i="1"/>
  <c r="H2705" i="1"/>
  <c r="H2709" i="1"/>
  <c r="H2713" i="1"/>
  <c r="H2717" i="1"/>
  <c r="H2721" i="1"/>
  <c r="H2725" i="1"/>
  <c r="H2729" i="1"/>
  <c r="H2733" i="1"/>
  <c r="H2737" i="1"/>
  <c r="H2741" i="1"/>
  <c r="H2745" i="1"/>
  <c r="H2749" i="1"/>
  <c r="H2753" i="1"/>
  <c r="H2757" i="1"/>
  <c r="H2761" i="1"/>
  <c r="H2765" i="1"/>
  <c r="H2769" i="1"/>
  <c r="H2773" i="1"/>
  <c r="H2777" i="1"/>
  <c r="H2781" i="1"/>
  <c r="H2785" i="1"/>
  <c r="H2789" i="1"/>
  <c r="H2793" i="1"/>
  <c r="H2797" i="1"/>
  <c r="H2801" i="1"/>
  <c r="H2805" i="1"/>
  <c r="H2809" i="1"/>
  <c r="H2813" i="1"/>
  <c r="H2817" i="1"/>
  <c r="H2821" i="1"/>
  <c r="H2825" i="1"/>
  <c r="H2829" i="1"/>
  <c r="H2833" i="1"/>
  <c r="H2837" i="1"/>
  <c r="H2841" i="1"/>
  <c r="H2845" i="1"/>
  <c r="H2849" i="1"/>
  <c r="H2853" i="1"/>
  <c r="H2857" i="1"/>
  <c r="H2861" i="1"/>
  <c r="H2865" i="1"/>
  <c r="H2869" i="1"/>
  <c r="H2873" i="1"/>
  <c r="H2877" i="1"/>
  <c r="H2881" i="1"/>
  <c r="H2885" i="1"/>
  <c r="H2889" i="1"/>
  <c r="H2893" i="1"/>
  <c r="H2897" i="1"/>
  <c r="H2901" i="1"/>
  <c r="H2905" i="1"/>
  <c r="H2909" i="1"/>
  <c r="H2913" i="1"/>
  <c r="H2917" i="1"/>
  <c r="H2921" i="1"/>
  <c r="H2925" i="1"/>
  <c r="H2929" i="1"/>
  <c r="H2933" i="1"/>
  <c r="H2937" i="1"/>
  <c r="H2941" i="1"/>
  <c r="H2945" i="1"/>
  <c r="H2949" i="1"/>
  <c r="H2953" i="1"/>
  <c r="H2957" i="1"/>
  <c r="H2961" i="1"/>
  <c r="H2965" i="1"/>
  <c r="H2969" i="1"/>
  <c r="H2973" i="1"/>
  <c r="H2977" i="1"/>
  <c r="H2981" i="1"/>
  <c r="H2985" i="1"/>
  <c r="H2989" i="1"/>
  <c r="H2993" i="1"/>
  <c r="H5" i="1"/>
  <c r="H13" i="1"/>
  <c r="H21" i="1"/>
  <c r="H29" i="1"/>
  <c r="H37" i="1"/>
  <c r="H45" i="1"/>
  <c r="H53" i="1"/>
  <c r="H61" i="1"/>
  <c r="H69" i="1"/>
  <c r="H77" i="1"/>
  <c r="H85" i="1"/>
  <c r="H93" i="1"/>
  <c r="H101" i="1"/>
  <c r="H109" i="1"/>
  <c r="H117" i="1"/>
  <c r="H125" i="1"/>
  <c r="H133" i="1"/>
  <c r="H141" i="1"/>
  <c r="H149" i="1"/>
  <c r="H157" i="1"/>
  <c r="H165" i="1"/>
  <c r="H6" i="1"/>
  <c r="H22" i="1"/>
  <c r="H38" i="1"/>
  <c r="H54" i="1"/>
  <c r="H70" i="1"/>
  <c r="H86" i="1"/>
  <c r="H102" i="1"/>
  <c r="H118" i="1"/>
  <c r="H134" i="1"/>
  <c r="H150" i="1"/>
  <c r="H166" i="1"/>
  <c r="H176" i="1"/>
  <c r="H184" i="1"/>
  <c r="H12" i="1"/>
  <c r="H28" i="1"/>
  <c r="H44" i="1"/>
  <c r="H60" i="1"/>
  <c r="H76" i="1"/>
  <c r="H92" i="1"/>
  <c r="H108" i="1"/>
  <c r="H124" i="1"/>
  <c r="H140" i="1"/>
  <c r="H156" i="1"/>
  <c r="H171" i="1"/>
  <c r="H179" i="1"/>
  <c r="H187" i="1"/>
  <c r="H195" i="1"/>
  <c r="H203" i="1"/>
  <c r="H211" i="1"/>
  <c r="H219" i="1"/>
  <c r="H227" i="1"/>
  <c r="H235" i="1"/>
  <c r="H243" i="1"/>
  <c r="H251" i="1"/>
  <c r="H259" i="1"/>
  <c r="H267" i="1"/>
  <c r="H275" i="1"/>
  <c r="H283" i="1"/>
  <c r="H291" i="1"/>
  <c r="H299" i="1"/>
  <c r="H307" i="1"/>
  <c r="H315" i="1"/>
  <c r="H323" i="1"/>
  <c r="H331" i="1"/>
  <c r="H339" i="1"/>
  <c r="H347" i="1"/>
  <c r="H355" i="1"/>
  <c r="H363" i="1"/>
  <c r="H371" i="1"/>
  <c r="H379" i="1"/>
  <c r="H387" i="1"/>
  <c r="H395" i="1"/>
  <c r="H403" i="1"/>
  <c r="H411" i="1"/>
  <c r="H419" i="1"/>
  <c r="H188" i="1"/>
  <c r="H204" i="1"/>
  <c r="H220" i="1"/>
  <c r="H236" i="1"/>
  <c r="H252" i="1"/>
  <c r="H268" i="1"/>
  <c r="H284" i="1"/>
  <c r="H300" i="1"/>
  <c r="H316" i="1"/>
  <c r="H332" i="1"/>
  <c r="H348" i="1"/>
  <c r="H364" i="1"/>
  <c r="H380" i="1"/>
  <c r="H396" i="1"/>
  <c r="H412" i="1"/>
  <c r="H427" i="1"/>
  <c r="H435" i="1"/>
  <c r="H443" i="1"/>
  <c r="H451" i="1"/>
  <c r="H459" i="1"/>
  <c r="H467" i="1"/>
  <c r="H475" i="1"/>
  <c r="H202" i="1"/>
  <c r="H218" i="1"/>
  <c r="H234" i="1"/>
  <c r="H250" i="1"/>
  <c r="H266" i="1"/>
  <c r="H282" i="1"/>
  <c r="H298" i="1"/>
  <c r="H314" i="1"/>
  <c r="H330" i="1"/>
  <c r="H346" i="1"/>
  <c r="H362" i="1"/>
  <c r="H378" i="1"/>
  <c r="H394" i="1"/>
  <c r="H410" i="1"/>
  <c r="H426" i="1"/>
  <c r="H434" i="1"/>
  <c r="H442" i="1"/>
  <c r="H450" i="1"/>
  <c r="H458" i="1"/>
  <c r="H466" i="1"/>
  <c r="H474" i="1"/>
  <c r="H482" i="1"/>
  <c r="H490" i="1"/>
  <c r="H498" i="1"/>
  <c r="H506" i="1"/>
  <c r="H514" i="1"/>
  <c r="H522" i="1"/>
  <c r="H530" i="1"/>
  <c r="H538" i="1"/>
  <c r="H546" i="1"/>
  <c r="H554" i="1"/>
  <c r="H562" i="1"/>
  <c r="H570" i="1"/>
  <c r="H578" i="1"/>
  <c r="H586" i="1"/>
  <c r="H594" i="1"/>
  <c r="H602" i="1"/>
  <c r="H610" i="1"/>
  <c r="H618" i="1"/>
  <c r="H626" i="1"/>
  <c r="H634" i="1"/>
  <c r="H642" i="1"/>
  <c r="H650" i="1"/>
  <c r="H658" i="1"/>
  <c r="H666" i="1"/>
  <c r="H674" i="1"/>
  <c r="H682" i="1"/>
  <c r="H690" i="1"/>
  <c r="H698" i="1"/>
  <c r="H706" i="1"/>
  <c r="H714" i="1"/>
  <c r="H722" i="1"/>
  <c r="H730" i="1"/>
  <c r="H738" i="1"/>
  <c r="H746" i="1"/>
  <c r="H754" i="1"/>
  <c r="H762" i="1"/>
  <c r="H770" i="1"/>
  <c r="H778" i="1"/>
  <c r="H786" i="1"/>
  <c r="H481" i="1"/>
  <c r="H497" i="1"/>
  <c r="H513" i="1"/>
  <c r="H529" i="1"/>
  <c r="H545" i="1"/>
  <c r="H561" i="1"/>
  <c r="H577" i="1"/>
  <c r="H593" i="1"/>
  <c r="H609" i="1"/>
  <c r="H625" i="1"/>
  <c r="H641" i="1"/>
  <c r="H657" i="1"/>
  <c r="H673" i="1"/>
  <c r="H689" i="1"/>
  <c r="H705" i="1"/>
  <c r="H721" i="1"/>
  <c r="H737" i="1"/>
  <c r="H753" i="1"/>
  <c r="H769" i="1"/>
  <c r="H785" i="1"/>
  <c r="H796" i="1"/>
  <c r="H804" i="1"/>
  <c r="H812" i="1"/>
  <c r="H820" i="1"/>
  <c r="H828" i="1"/>
  <c r="H836" i="1"/>
  <c r="H844" i="1"/>
  <c r="H852" i="1"/>
  <c r="H860" i="1"/>
  <c r="H868" i="1"/>
  <c r="H876" i="1"/>
  <c r="H884" i="1"/>
  <c r="H892" i="1"/>
  <c r="H900" i="1"/>
  <c r="H908" i="1"/>
  <c r="H916" i="1"/>
  <c r="H924" i="1"/>
  <c r="H932" i="1"/>
  <c r="H940" i="1"/>
  <c r="H948" i="1"/>
  <c r="H956" i="1"/>
  <c r="H964" i="1"/>
  <c r="H972" i="1"/>
  <c r="H491" i="1"/>
  <c r="H507" i="1"/>
  <c r="H523" i="1"/>
  <c r="H539" i="1"/>
  <c r="H555" i="1"/>
  <c r="H571" i="1"/>
  <c r="H587" i="1"/>
  <c r="H603" i="1"/>
  <c r="H619" i="1"/>
  <c r="H635" i="1"/>
  <c r="H651" i="1"/>
  <c r="H667" i="1"/>
  <c r="H683" i="1"/>
  <c r="H699" i="1"/>
  <c r="H715" i="1"/>
  <c r="H731" i="1"/>
  <c r="H747" i="1"/>
  <c r="H763" i="1"/>
  <c r="H779" i="1"/>
  <c r="H793" i="1"/>
  <c r="H801" i="1"/>
  <c r="H809" i="1"/>
  <c r="H817" i="1"/>
  <c r="H825" i="1"/>
  <c r="H833" i="1"/>
  <c r="H841" i="1"/>
  <c r="H849" i="1"/>
  <c r="H857" i="1"/>
  <c r="H865" i="1"/>
  <c r="H873" i="1"/>
  <c r="H881" i="1"/>
  <c r="H889" i="1"/>
  <c r="H897" i="1"/>
  <c r="H905" i="1"/>
  <c r="H913" i="1"/>
  <c r="H921" i="1"/>
  <c r="H929" i="1"/>
  <c r="H937" i="1"/>
  <c r="H945" i="1"/>
  <c r="H953" i="1"/>
  <c r="H961" i="1"/>
  <c r="H969" i="1"/>
  <c r="H977" i="1"/>
  <c r="H985" i="1"/>
  <c r="H993" i="1"/>
  <c r="H1001" i="1"/>
  <c r="H1009" i="1"/>
  <c r="H1017" i="1"/>
  <c r="H1025" i="1"/>
  <c r="H1033" i="1"/>
  <c r="H1041" i="1"/>
  <c r="H1049" i="1"/>
  <c r="H1057" i="1"/>
  <c r="H1065" i="1"/>
  <c r="H1073" i="1"/>
  <c r="H1081" i="1"/>
  <c r="H1089" i="1"/>
  <c r="H1097" i="1"/>
  <c r="H1105" i="1"/>
  <c r="H1113" i="1"/>
  <c r="H1121" i="1"/>
  <c r="H1129" i="1"/>
  <c r="H1137" i="1"/>
  <c r="H1145" i="1"/>
  <c r="H1153" i="1"/>
  <c r="H1161" i="1"/>
  <c r="H1169" i="1"/>
  <c r="H1177" i="1"/>
  <c r="H1185" i="1"/>
  <c r="H1193" i="1"/>
  <c r="H1201" i="1"/>
  <c r="H1209" i="1"/>
  <c r="H1217" i="1"/>
  <c r="H1225" i="1"/>
  <c r="H1233" i="1"/>
  <c r="H1241" i="1"/>
  <c r="H1249" i="1"/>
  <c r="H1257" i="1"/>
  <c r="H1265" i="1"/>
  <c r="H1273" i="1"/>
  <c r="H1281" i="1"/>
  <c r="H1289" i="1"/>
  <c r="H982" i="1"/>
  <c r="H998" i="1"/>
  <c r="H1014" i="1"/>
  <c r="H1030" i="1"/>
  <c r="H1046" i="1"/>
  <c r="H1062" i="1"/>
  <c r="H1078" i="1"/>
  <c r="H1094" i="1"/>
  <c r="H1110" i="1"/>
  <c r="H1126" i="1"/>
  <c r="H1142" i="1"/>
  <c r="H1158" i="1"/>
  <c r="H1174" i="1"/>
  <c r="H1190" i="1"/>
  <c r="H1206" i="1"/>
  <c r="H1222" i="1"/>
  <c r="H1238" i="1"/>
  <c r="H1254" i="1"/>
  <c r="H1270" i="1"/>
  <c r="H1286" i="1"/>
  <c r="H1297" i="1"/>
  <c r="H1305" i="1"/>
  <c r="H1313" i="1"/>
  <c r="H1321" i="1"/>
  <c r="H1329" i="1"/>
  <c r="H1337" i="1"/>
  <c r="H1345" i="1"/>
  <c r="H1353" i="1"/>
  <c r="H1361" i="1"/>
  <c r="H1369" i="1"/>
  <c r="H1377" i="1"/>
  <c r="H1385" i="1"/>
  <c r="H1393" i="1"/>
  <c r="H1401" i="1"/>
  <c r="H1409" i="1"/>
  <c r="H1417" i="1"/>
  <c r="H1425" i="1"/>
  <c r="H1433" i="1"/>
  <c r="H1441" i="1"/>
  <c r="H1449" i="1"/>
  <c r="H1457" i="1"/>
  <c r="H1465" i="1"/>
  <c r="H1473" i="1"/>
  <c r="H1481" i="1"/>
  <c r="H1489" i="1"/>
  <c r="H1497" i="1"/>
  <c r="H976" i="1"/>
  <c r="H992" i="1"/>
  <c r="H1008" i="1"/>
  <c r="H1024" i="1"/>
  <c r="H1040" i="1"/>
  <c r="H1056" i="1"/>
  <c r="H1072" i="1"/>
  <c r="H1088" i="1"/>
  <c r="H1104" i="1"/>
  <c r="H1120" i="1"/>
  <c r="H1136" i="1"/>
  <c r="H1152" i="1"/>
  <c r="H1168" i="1"/>
  <c r="H1184" i="1"/>
  <c r="H1200" i="1"/>
  <c r="H1216" i="1"/>
  <c r="H1232" i="1"/>
  <c r="H1248" i="1"/>
  <c r="H1264" i="1"/>
  <c r="H1280" i="1"/>
  <c r="H1294" i="1"/>
  <c r="H1302" i="1"/>
  <c r="H1310" i="1"/>
  <c r="H1318" i="1"/>
  <c r="H1326" i="1"/>
  <c r="H1334" i="1"/>
  <c r="H1342" i="1"/>
  <c r="H1350" i="1"/>
  <c r="H1358" i="1"/>
  <c r="H1366" i="1"/>
  <c r="H1374" i="1"/>
  <c r="H1382" i="1"/>
  <c r="H1390" i="1"/>
  <c r="H1398" i="1"/>
  <c r="H1406" i="1"/>
  <c r="H1414" i="1"/>
  <c r="H1422" i="1"/>
  <c r="H1430" i="1"/>
  <c r="H1438" i="1"/>
  <c r="H1446" i="1"/>
  <c r="H1454" i="1"/>
  <c r="H1462" i="1"/>
  <c r="H1470" i="1"/>
  <c r="H1478" i="1"/>
  <c r="H1486" i="1"/>
  <c r="H1494" i="1"/>
  <c r="H1502" i="1"/>
  <c r="H1510" i="1"/>
  <c r="H1518" i="1"/>
  <c r="H1526" i="1"/>
  <c r="H1534" i="1"/>
  <c r="H1542" i="1"/>
  <c r="H1550" i="1"/>
  <c r="H1558" i="1"/>
  <c r="H1566" i="1"/>
  <c r="H1574" i="1"/>
  <c r="H1582" i="1"/>
  <c r="H1590" i="1"/>
  <c r="H1598" i="1"/>
  <c r="H1606" i="1"/>
  <c r="H1614" i="1"/>
  <c r="H1622" i="1"/>
  <c r="H1630" i="1"/>
  <c r="H1638" i="1"/>
  <c r="H1646" i="1"/>
  <c r="H1654" i="1"/>
  <c r="H1662" i="1"/>
  <c r="H1670" i="1"/>
  <c r="H1678" i="1"/>
  <c r="H1686" i="1"/>
  <c r="H1694" i="1"/>
  <c r="H1702" i="1"/>
  <c r="H1710" i="1"/>
  <c r="H1718" i="1"/>
  <c r="H1726" i="1"/>
  <c r="H1734" i="1"/>
  <c r="H1742" i="1"/>
  <c r="H1750" i="1"/>
  <c r="H1758" i="1"/>
  <c r="H1766" i="1"/>
  <c r="H1774" i="1"/>
  <c r="H1782" i="1"/>
  <c r="H1790" i="1"/>
  <c r="H1798" i="1"/>
  <c r="H1806" i="1"/>
  <c r="H1814" i="1"/>
  <c r="H1517" i="1"/>
  <c r="H1533" i="1"/>
  <c r="H1549" i="1"/>
  <c r="H1565" i="1"/>
  <c r="H1581" i="1"/>
  <c r="H1597" i="1"/>
  <c r="H1613" i="1"/>
  <c r="H1629" i="1"/>
  <c r="H1645" i="1"/>
  <c r="H1661" i="1"/>
  <c r="H1677" i="1"/>
  <c r="H1693" i="1"/>
  <c r="H1709" i="1"/>
  <c r="H1725" i="1"/>
  <c r="H1741" i="1"/>
  <c r="H1757" i="1"/>
  <c r="H1773" i="1"/>
  <c r="H1789" i="1"/>
  <c r="H1805" i="1"/>
  <c r="H1818" i="1"/>
  <c r="H1826" i="1"/>
  <c r="H1834" i="1"/>
  <c r="H1842" i="1"/>
  <c r="H1850" i="1"/>
  <c r="H1858" i="1"/>
  <c r="H1866" i="1"/>
  <c r="H1874" i="1"/>
  <c r="H1882" i="1"/>
  <c r="H1890" i="1"/>
  <c r="H1898" i="1"/>
  <c r="H1906" i="1"/>
  <c r="H1914" i="1"/>
  <c r="H1922" i="1"/>
  <c r="H1930" i="1"/>
  <c r="H1938" i="1"/>
  <c r="H1946" i="1"/>
  <c r="H1954" i="1"/>
  <c r="H1962" i="1"/>
  <c r="H1970" i="1"/>
  <c r="H1978" i="1"/>
  <c r="H1986" i="1"/>
  <c r="H1994" i="1"/>
  <c r="H2002" i="1"/>
  <c r="H2010" i="1"/>
  <c r="H2018" i="1"/>
  <c r="H2026" i="1"/>
  <c r="H2034" i="1"/>
  <c r="H2042" i="1"/>
  <c r="H2050" i="1"/>
  <c r="H2058" i="1"/>
  <c r="H2066" i="1"/>
  <c r="H2074" i="1"/>
  <c r="H2082" i="1"/>
  <c r="H2090" i="1"/>
  <c r="H2098" i="1"/>
  <c r="H2106" i="1"/>
  <c r="H2114" i="1"/>
  <c r="H2122" i="1"/>
  <c r="H2130" i="1"/>
  <c r="H2138" i="1"/>
  <c r="H2146" i="1"/>
  <c r="H2154" i="1"/>
  <c r="H2162" i="1"/>
  <c r="H2170" i="1"/>
  <c r="H2178" i="1"/>
  <c r="H2186" i="1"/>
  <c r="H2194" i="1"/>
  <c r="H2202" i="1"/>
  <c r="H2210" i="1"/>
  <c r="H2218" i="1"/>
  <c r="H2226" i="1"/>
  <c r="H2234" i="1"/>
  <c r="H2242" i="1"/>
  <c r="H2250" i="1"/>
  <c r="H2258" i="1"/>
  <c r="H2266" i="1"/>
  <c r="H2274" i="1"/>
  <c r="H2282" i="1"/>
  <c r="H2290" i="1"/>
  <c r="H2298" i="1"/>
  <c r="H2306" i="1"/>
  <c r="H2314" i="1"/>
  <c r="H2322" i="1"/>
  <c r="H2330" i="1"/>
  <c r="H2338" i="1"/>
  <c r="H1515" i="1"/>
  <c r="H1531" i="1"/>
  <c r="H1547" i="1"/>
  <c r="H1563" i="1"/>
  <c r="H1579" i="1"/>
  <c r="H1595" i="1"/>
  <c r="H1611" i="1"/>
  <c r="H1627" i="1"/>
  <c r="H1643" i="1"/>
  <c r="H1659" i="1"/>
  <c r="H1675" i="1"/>
  <c r="H1691" i="1"/>
  <c r="H1707" i="1"/>
  <c r="H1723" i="1"/>
  <c r="H1739" i="1"/>
  <c r="H1755" i="1"/>
  <c r="H1771" i="1"/>
  <c r="H1787" i="1"/>
  <c r="H1803" i="1"/>
  <c r="H1817" i="1"/>
  <c r="H1825" i="1"/>
  <c r="H1833" i="1"/>
  <c r="H1841" i="1"/>
  <c r="H1849" i="1"/>
  <c r="H1857" i="1"/>
  <c r="H1865" i="1"/>
  <c r="H1873" i="1"/>
  <c r="H1881" i="1"/>
  <c r="H1889" i="1"/>
  <c r="H1897" i="1"/>
  <c r="H1905" i="1"/>
  <c r="H1913" i="1"/>
  <c r="H1921" i="1"/>
  <c r="H1929" i="1"/>
  <c r="H1937" i="1"/>
  <c r="H1945" i="1"/>
  <c r="H1953" i="1"/>
  <c r="H1961" i="1"/>
  <c r="H1969" i="1"/>
  <c r="H1977" i="1"/>
  <c r="H1985" i="1"/>
  <c r="H1993" i="1"/>
  <c r="H2001" i="1"/>
  <c r="H2009" i="1"/>
  <c r="H2017" i="1"/>
  <c r="H2025" i="1"/>
  <c r="H2033" i="1"/>
  <c r="H2041" i="1"/>
  <c r="H2049" i="1"/>
  <c r="H2057" i="1"/>
  <c r="H2065" i="1"/>
  <c r="H2073" i="1"/>
  <c r="H2081" i="1"/>
  <c r="H2089" i="1"/>
  <c r="H2097" i="1"/>
  <c r="H2105" i="1"/>
  <c r="H2113" i="1"/>
  <c r="H2121" i="1"/>
  <c r="H2129" i="1"/>
  <c r="H2137" i="1"/>
  <c r="H2145" i="1"/>
  <c r="H2153" i="1"/>
  <c r="H2161" i="1"/>
  <c r="H2169" i="1"/>
  <c r="H2177" i="1"/>
  <c r="H2185" i="1"/>
  <c r="H2193" i="1"/>
  <c r="H2201" i="1"/>
  <c r="H2209" i="1"/>
  <c r="H2217" i="1"/>
  <c r="H2225" i="1"/>
  <c r="H2233" i="1"/>
  <c r="H2241" i="1"/>
  <c r="H2249" i="1"/>
  <c r="H2257" i="1"/>
  <c r="H2265" i="1"/>
  <c r="H2273" i="1"/>
  <c r="H2281" i="1"/>
  <c r="H2289" i="1"/>
  <c r="H2297" i="1"/>
  <c r="H2305" i="1"/>
  <c r="H2313" i="1"/>
  <c r="H2321" i="1"/>
  <c r="H2329" i="1"/>
  <c r="H2337" i="1"/>
  <c r="H2345" i="1"/>
  <c r="H2353" i="1"/>
  <c r="H2361" i="1"/>
  <c r="H2369" i="1"/>
  <c r="H2377" i="1"/>
  <c r="H2385" i="1"/>
  <c r="H2393" i="1"/>
  <c r="H2401" i="1"/>
  <c r="H2409" i="1"/>
  <c r="H2417" i="1"/>
  <c r="H2425" i="1"/>
  <c r="H2433" i="1"/>
  <c r="H2441" i="1"/>
  <c r="H2449" i="1"/>
  <c r="H2457" i="1"/>
  <c r="H2465" i="1"/>
  <c r="H2473" i="1"/>
  <c r="H2481" i="1"/>
  <c r="H2489" i="1"/>
  <c r="H2497" i="1"/>
  <c r="H2505" i="1"/>
  <c r="H2513" i="1"/>
  <c r="H2521" i="1"/>
  <c r="H2529" i="1"/>
  <c r="H2537" i="1"/>
  <c r="H2545" i="1"/>
  <c r="H2553" i="1"/>
  <c r="H2561" i="1"/>
  <c r="H2569" i="1"/>
  <c r="H2577" i="1"/>
  <c r="H2585" i="1"/>
  <c r="H2342" i="1"/>
  <c r="H2358" i="1"/>
  <c r="H2374" i="1"/>
  <c r="H2390" i="1"/>
  <c r="H2406" i="1"/>
  <c r="H2422" i="1"/>
  <c r="H2438" i="1"/>
  <c r="H2454" i="1"/>
  <c r="H2470" i="1"/>
  <c r="H2486" i="1"/>
  <c r="H2502" i="1"/>
  <c r="H2518" i="1"/>
  <c r="H2534" i="1"/>
  <c r="H2550" i="1"/>
  <c r="H2566" i="1"/>
  <c r="H2582" i="1"/>
  <c r="H2595" i="1"/>
  <c r="H2603" i="1"/>
  <c r="H2611" i="1"/>
  <c r="H2619" i="1"/>
  <c r="H2627" i="1"/>
  <c r="H2635" i="1"/>
  <c r="H2643" i="1"/>
  <c r="H2651" i="1"/>
  <c r="H2659" i="1"/>
  <c r="H2667" i="1"/>
  <c r="H2675" i="1"/>
  <c r="H2683" i="1"/>
  <c r="H2691" i="1"/>
  <c r="H2699" i="1"/>
  <c r="H2707" i="1"/>
  <c r="H2715" i="1"/>
  <c r="H2723" i="1"/>
  <c r="H2731" i="1"/>
  <c r="H2739" i="1"/>
  <c r="H2747" i="1"/>
  <c r="H2755" i="1"/>
  <c r="H2763" i="1"/>
  <c r="H2771" i="1"/>
  <c r="H2779" i="1"/>
  <c r="H2787" i="1"/>
  <c r="H2795" i="1"/>
  <c r="H2803" i="1"/>
  <c r="H2811" i="1"/>
  <c r="H2819" i="1"/>
  <c r="H2827" i="1"/>
  <c r="H2835" i="1"/>
  <c r="H2843" i="1"/>
  <c r="H2851" i="1"/>
  <c r="H2859" i="1"/>
  <c r="H2867" i="1"/>
  <c r="H2875" i="1"/>
  <c r="H2883" i="1"/>
  <c r="H2891" i="1"/>
  <c r="H2899" i="1"/>
  <c r="H2907" i="1"/>
  <c r="H2915" i="1"/>
  <c r="H2923" i="1"/>
  <c r="H2931" i="1"/>
  <c r="H2939" i="1"/>
  <c r="H2947" i="1"/>
  <c r="H2955" i="1"/>
  <c r="H2963" i="1"/>
  <c r="H2971" i="1"/>
  <c r="H2979" i="1"/>
  <c r="H2987" i="1"/>
  <c r="H2995" i="1"/>
  <c r="H2999" i="1"/>
  <c r="H3003" i="1"/>
  <c r="H3007" i="1"/>
  <c r="H3011" i="1"/>
  <c r="H3015" i="1"/>
  <c r="H3019" i="1"/>
  <c r="H3023" i="1"/>
  <c r="H3027" i="1"/>
  <c r="H3031" i="1"/>
  <c r="H3035" i="1"/>
  <c r="H3039" i="1"/>
  <c r="H3043" i="1"/>
  <c r="H3047" i="1"/>
  <c r="H3051" i="1"/>
  <c r="H3055" i="1"/>
  <c r="H3059" i="1"/>
  <c r="H3063" i="1"/>
  <c r="H3067" i="1"/>
  <c r="H3071" i="1"/>
  <c r="H3075" i="1"/>
  <c r="H3079" i="1"/>
  <c r="H3083" i="1"/>
  <c r="H3087" i="1"/>
  <c r="H3091" i="1"/>
  <c r="H3095" i="1"/>
  <c r="H3099" i="1"/>
  <c r="H3103" i="1"/>
  <c r="H3107" i="1"/>
  <c r="H3111" i="1"/>
  <c r="H3115" i="1"/>
  <c r="H3119" i="1"/>
  <c r="H3123" i="1"/>
  <c r="H3127" i="1"/>
  <c r="H3131" i="1"/>
  <c r="H3135" i="1"/>
  <c r="H3139" i="1"/>
  <c r="H3143" i="1"/>
  <c r="H3147" i="1"/>
  <c r="H3151" i="1"/>
  <c r="H3155" i="1"/>
  <c r="H3159" i="1"/>
  <c r="H3163" i="1"/>
  <c r="H3167" i="1"/>
  <c r="H3171" i="1"/>
  <c r="H3175" i="1"/>
  <c r="H3179" i="1"/>
  <c r="H3183" i="1"/>
  <c r="H3187" i="1"/>
  <c r="H3191" i="1"/>
  <c r="H3195" i="1"/>
  <c r="H3199" i="1"/>
  <c r="H3203" i="1"/>
  <c r="H3207" i="1"/>
  <c r="H3211" i="1"/>
  <c r="H3215" i="1"/>
  <c r="H3219" i="1"/>
  <c r="H3223" i="1"/>
  <c r="H3227" i="1"/>
  <c r="H3231" i="1"/>
  <c r="H3235" i="1"/>
  <c r="H3239" i="1"/>
  <c r="H3243" i="1"/>
  <c r="H3247" i="1"/>
  <c r="H3251" i="1"/>
  <c r="H3255" i="1"/>
  <c r="H3259" i="1"/>
  <c r="H3263" i="1"/>
  <c r="H3267" i="1"/>
  <c r="H3271" i="1"/>
  <c r="H3275" i="1"/>
  <c r="H3279" i="1"/>
  <c r="H3283" i="1"/>
  <c r="H3287" i="1"/>
  <c r="H3291" i="1"/>
  <c r="H3295" i="1"/>
  <c r="H3299" i="1"/>
  <c r="H3303" i="1"/>
  <c r="H3307" i="1"/>
  <c r="H3311" i="1"/>
  <c r="H3315" i="1"/>
  <c r="H3319" i="1"/>
  <c r="H3323" i="1"/>
  <c r="H3327" i="1"/>
  <c r="H3331" i="1"/>
  <c r="H3335" i="1"/>
  <c r="H3339" i="1"/>
  <c r="H3343" i="1"/>
  <c r="H3347" i="1"/>
  <c r="H3351" i="1"/>
  <c r="H3355" i="1"/>
  <c r="H3359" i="1"/>
  <c r="H3363" i="1"/>
  <c r="H3367" i="1"/>
  <c r="H3371" i="1"/>
  <c r="H3375" i="1"/>
  <c r="H3379" i="1"/>
  <c r="H3383" i="1"/>
  <c r="H3387" i="1"/>
  <c r="H3391" i="1"/>
  <c r="H3395" i="1"/>
  <c r="H3399" i="1"/>
  <c r="H3403" i="1"/>
  <c r="H3407" i="1"/>
  <c r="H3411" i="1"/>
  <c r="H3415" i="1"/>
  <c r="H3419" i="1"/>
  <c r="H3423" i="1"/>
  <c r="H3427" i="1"/>
  <c r="H3431" i="1"/>
  <c r="H3435" i="1"/>
  <c r="H3439" i="1"/>
  <c r="H3443" i="1"/>
  <c r="H3447" i="1"/>
  <c r="H3451" i="1"/>
  <c r="H3455" i="1"/>
  <c r="H3459" i="1"/>
  <c r="H3463" i="1"/>
  <c r="H3467" i="1"/>
  <c r="H3471" i="1"/>
  <c r="H3475" i="1"/>
  <c r="H3479" i="1"/>
  <c r="H3483" i="1"/>
  <c r="H3487" i="1"/>
  <c r="H3491" i="1"/>
  <c r="H3495" i="1"/>
  <c r="H3499" i="1"/>
  <c r="H3503" i="1"/>
  <c r="H3507" i="1"/>
  <c r="H3511" i="1"/>
  <c r="H3515" i="1"/>
  <c r="H2348" i="1"/>
  <c r="H2356" i="1"/>
  <c r="H2364" i="1"/>
  <c r="H2372" i="1"/>
  <c r="H2380" i="1"/>
  <c r="H2388" i="1"/>
  <c r="H2396" i="1"/>
  <c r="H2404" i="1"/>
  <c r="H2412" i="1"/>
  <c r="H2420" i="1"/>
  <c r="H2428" i="1"/>
  <c r="H2436" i="1"/>
  <c r="H2444" i="1"/>
  <c r="H2452" i="1"/>
  <c r="H2460" i="1"/>
  <c r="H2468" i="1"/>
  <c r="H2476" i="1"/>
  <c r="H2484" i="1"/>
  <c r="H2492" i="1"/>
  <c r="H2500" i="1"/>
  <c r="H2508" i="1"/>
  <c r="H2516" i="1"/>
  <c r="H2524" i="1"/>
  <c r="H2532" i="1"/>
  <c r="H2540" i="1"/>
  <c r="H2548" i="1"/>
  <c r="H2556" i="1"/>
  <c r="H2564" i="1"/>
  <c r="H2572" i="1"/>
  <c r="H2580" i="1"/>
  <c r="H2588" i="1"/>
  <c r="H2594" i="1"/>
  <c r="H2598" i="1"/>
  <c r="H2602" i="1"/>
  <c r="H2606" i="1"/>
  <c r="H2610" i="1"/>
  <c r="H2614" i="1"/>
  <c r="H2618" i="1"/>
  <c r="H2622" i="1"/>
  <c r="H2626" i="1"/>
  <c r="H2630" i="1"/>
  <c r="H2634" i="1"/>
  <c r="H2638" i="1"/>
  <c r="H2642" i="1"/>
  <c r="H2646" i="1"/>
  <c r="H2650" i="1"/>
  <c r="H2654" i="1"/>
  <c r="H2658" i="1"/>
  <c r="H2662" i="1"/>
  <c r="H2666" i="1"/>
  <c r="H2670" i="1"/>
  <c r="H2674" i="1"/>
  <c r="H2678" i="1"/>
  <c r="H2682" i="1"/>
  <c r="H2686" i="1"/>
  <c r="H2690" i="1"/>
  <c r="H2694" i="1"/>
  <c r="H2698" i="1"/>
  <c r="H2702" i="1"/>
  <c r="H2706" i="1"/>
  <c r="H2710" i="1"/>
  <c r="H2714" i="1"/>
  <c r="H2718" i="1"/>
  <c r="H2722" i="1"/>
  <c r="H2726" i="1"/>
  <c r="H2730" i="1"/>
  <c r="H2734" i="1"/>
  <c r="H2738" i="1"/>
  <c r="H2742" i="1"/>
  <c r="H2746" i="1"/>
  <c r="H2750" i="1"/>
  <c r="H2754" i="1"/>
  <c r="H2758" i="1"/>
  <c r="H2762" i="1"/>
  <c r="H2766" i="1"/>
  <c r="H2770" i="1"/>
  <c r="H2774" i="1"/>
  <c r="H2778" i="1"/>
  <c r="H2782" i="1"/>
  <c r="H2786" i="1"/>
  <c r="H2790" i="1"/>
  <c r="H2794" i="1"/>
  <c r="H2798" i="1"/>
  <c r="H2802" i="1"/>
  <c r="H2806" i="1"/>
  <c r="H2810" i="1"/>
  <c r="H2814" i="1"/>
  <c r="H2818" i="1"/>
  <c r="H2822" i="1"/>
  <c r="H2826" i="1"/>
  <c r="H2830" i="1"/>
  <c r="H2834" i="1"/>
  <c r="H2838" i="1"/>
  <c r="H2842" i="1"/>
  <c r="H2846" i="1"/>
  <c r="H2850" i="1"/>
  <c r="H2854" i="1"/>
  <c r="H2858" i="1"/>
  <c r="H2862" i="1"/>
  <c r="H2866" i="1"/>
  <c r="H2870" i="1"/>
  <c r="H2874" i="1"/>
  <c r="H2878" i="1"/>
  <c r="H2882" i="1"/>
  <c r="H2886" i="1"/>
  <c r="H2890" i="1"/>
  <c r="H2894" i="1"/>
  <c r="H2898" i="1"/>
  <c r="H2902" i="1"/>
  <c r="H2906" i="1"/>
  <c r="H2910" i="1"/>
  <c r="H2914" i="1"/>
  <c r="H2918" i="1"/>
  <c r="H2922" i="1"/>
  <c r="H2926" i="1"/>
  <c r="H2930" i="1"/>
  <c r="H2934" i="1"/>
  <c r="H2938" i="1"/>
  <c r="H2942" i="1"/>
  <c r="H2946" i="1"/>
  <c r="H2950" i="1"/>
  <c r="H2954" i="1"/>
  <c r="H2958" i="1"/>
  <c r="H2962" i="1"/>
  <c r="H2966" i="1"/>
  <c r="H2970" i="1"/>
  <c r="H2974" i="1"/>
  <c r="H2978" i="1"/>
  <c r="H2982" i="1"/>
  <c r="H2986" i="1"/>
  <c r="H2990" i="1"/>
  <c r="H2994" i="1"/>
  <c r="H2998" i="1"/>
  <c r="H3002" i="1"/>
  <c r="H3006" i="1"/>
  <c r="H3010" i="1"/>
  <c r="H3014" i="1"/>
  <c r="H3018" i="1"/>
  <c r="H3022" i="1"/>
  <c r="H3026" i="1"/>
  <c r="H3030" i="1"/>
  <c r="H3034" i="1"/>
  <c r="H3038" i="1"/>
  <c r="H3042" i="1"/>
  <c r="H3046" i="1"/>
  <c r="H3050" i="1"/>
  <c r="H3054" i="1"/>
  <c r="H3058" i="1"/>
  <c r="H3062" i="1"/>
  <c r="H3066" i="1"/>
  <c r="H3070" i="1"/>
  <c r="H3074" i="1"/>
  <c r="H3078" i="1"/>
  <c r="H3082" i="1"/>
  <c r="H3086" i="1"/>
  <c r="H3090" i="1"/>
  <c r="H3094" i="1"/>
  <c r="H3098" i="1"/>
  <c r="H3102" i="1"/>
  <c r="H3106" i="1"/>
  <c r="H3110" i="1"/>
  <c r="H3114" i="1"/>
  <c r="H3118" i="1"/>
  <c r="H3122" i="1"/>
  <c r="H3126" i="1"/>
  <c r="H3130" i="1"/>
  <c r="H3134" i="1"/>
  <c r="H3138" i="1"/>
  <c r="H3142" i="1"/>
  <c r="H3146" i="1"/>
  <c r="H3150" i="1"/>
  <c r="H3154" i="1"/>
  <c r="H3158" i="1"/>
  <c r="H3162" i="1"/>
  <c r="H3166" i="1"/>
  <c r="H3170" i="1"/>
  <c r="H3174" i="1"/>
  <c r="H3178" i="1"/>
  <c r="H3182" i="1"/>
  <c r="H3186" i="1"/>
  <c r="H3190" i="1"/>
  <c r="H3194" i="1"/>
  <c r="H3198" i="1"/>
  <c r="H3202" i="1"/>
  <c r="H3206" i="1"/>
  <c r="H3210" i="1"/>
  <c r="H3214" i="1"/>
  <c r="H3218" i="1"/>
  <c r="H3222" i="1"/>
  <c r="H3226" i="1"/>
  <c r="H3230" i="1"/>
  <c r="H3234" i="1"/>
  <c r="H3238" i="1"/>
  <c r="H3242" i="1"/>
  <c r="H3246" i="1"/>
  <c r="H3250" i="1"/>
  <c r="H3254" i="1"/>
  <c r="H3258" i="1"/>
  <c r="H3262" i="1"/>
  <c r="H3266" i="1"/>
  <c r="H3270" i="1"/>
  <c r="H3274" i="1"/>
  <c r="H3278" i="1"/>
  <c r="H3282" i="1"/>
  <c r="H3286" i="1"/>
  <c r="H3290" i="1"/>
  <c r="H3294" i="1"/>
  <c r="H3298" i="1"/>
  <c r="H3302" i="1"/>
  <c r="H3306" i="1"/>
  <c r="H3310" i="1"/>
  <c r="H3314" i="1"/>
  <c r="H3318" i="1"/>
  <c r="H3322" i="1"/>
  <c r="H3326" i="1"/>
  <c r="H3330" i="1"/>
  <c r="H3334" i="1"/>
  <c r="H3338" i="1"/>
  <c r="H3342" i="1"/>
  <c r="H3346" i="1"/>
  <c r="H3350" i="1"/>
  <c r="H3354" i="1"/>
  <c r="H3358" i="1"/>
  <c r="H3362" i="1"/>
  <c r="H3366" i="1"/>
  <c r="H3370" i="1"/>
  <c r="H3374" i="1"/>
  <c r="H3378" i="1"/>
  <c r="H3382" i="1"/>
  <c r="H3386" i="1"/>
  <c r="H3390" i="1"/>
  <c r="H3394" i="1"/>
  <c r="H3398" i="1"/>
  <c r="H3402" i="1"/>
  <c r="H3406" i="1"/>
  <c r="H3410" i="1"/>
  <c r="H3414" i="1"/>
  <c r="H3418" i="1"/>
  <c r="H3422" i="1"/>
  <c r="H3426" i="1"/>
  <c r="H3430" i="1"/>
  <c r="H3434" i="1"/>
  <c r="H3438" i="1"/>
  <c r="H3442" i="1"/>
  <c r="H3446" i="1"/>
  <c r="H3450" i="1"/>
  <c r="H3454" i="1"/>
  <c r="H3458" i="1"/>
  <c r="H3462" i="1"/>
  <c r="H3466" i="1"/>
  <c r="H3470" i="1"/>
  <c r="H3474" i="1"/>
  <c r="H3478" i="1"/>
  <c r="H3482" i="1"/>
  <c r="H3486" i="1"/>
  <c r="H3490" i="1"/>
  <c r="H3494" i="1"/>
  <c r="H3498" i="1"/>
  <c r="H3502" i="1"/>
  <c r="H3506" i="1"/>
  <c r="H3510" i="1"/>
  <c r="H3514" i="1"/>
  <c r="H3518" i="1"/>
  <c r="H3522" i="1"/>
  <c r="H3526" i="1"/>
  <c r="H3530" i="1"/>
  <c r="H3534" i="1"/>
  <c r="H3538" i="1"/>
  <c r="H3542" i="1"/>
  <c r="H3546" i="1"/>
  <c r="H3550" i="1"/>
  <c r="H3554" i="1"/>
  <c r="H3558" i="1"/>
  <c r="H3562" i="1"/>
  <c r="H3566" i="1"/>
  <c r="H3570" i="1"/>
  <c r="H3574" i="1"/>
  <c r="H3578" i="1"/>
  <c r="H3582" i="1"/>
  <c r="H3586" i="1"/>
  <c r="H3590" i="1"/>
  <c r="H3594" i="1"/>
  <c r="H3598" i="1"/>
  <c r="H3602" i="1"/>
  <c r="H3606" i="1"/>
  <c r="H3610" i="1"/>
  <c r="H3614" i="1"/>
  <c r="H3618" i="1"/>
  <c r="H3622" i="1"/>
  <c r="H3626" i="1"/>
  <c r="H3630" i="1"/>
  <c r="H3634" i="1"/>
  <c r="H3638" i="1"/>
  <c r="H3642" i="1"/>
  <c r="H3646" i="1"/>
  <c r="H3650" i="1"/>
  <c r="H3654" i="1"/>
  <c r="H3658" i="1"/>
  <c r="H3662" i="1"/>
  <c r="H3666" i="1"/>
  <c r="H3670" i="1"/>
  <c r="H3674" i="1"/>
  <c r="H3678" i="1"/>
  <c r="H3682" i="1"/>
  <c r="H3686" i="1"/>
  <c r="H3690" i="1"/>
  <c r="H3694" i="1"/>
  <c r="H3698" i="1"/>
  <c r="H3702" i="1"/>
  <c r="H3706" i="1"/>
  <c r="H3710" i="1"/>
  <c r="H3714" i="1"/>
  <c r="H3718" i="1"/>
  <c r="H3722" i="1"/>
  <c r="H3726" i="1"/>
  <c r="H3730" i="1"/>
  <c r="H3734" i="1"/>
  <c r="H3738" i="1"/>
  <c r="H3742" i="1"/>
  <c r="H3746" i="1"/>
  <c r="H3750" i="1"/>
  <c r="H3754" i="1"/>
  <c r="H3758" i="1"/>
  <c r="H3762" i="1"/>
  <c r="H3766" i="1"/>
  <c r="H3770" i="1"/>
  <c r="H3774" i="1"/>
  <c r="H3778" i="1"/>
  <c r="H3782" i="1"/>
  <c r="H3786" i="1"/>
  <c r="H3790" i="1"/>
  <c r="H3794" i="1"/>
  <c r="H3798" i="1"/>
  <c r="H3802" i="1"/>
  <c r="H3806" i="1"/>
  <c r="H3810" i="1"/>
  <c r="H3814" i="1"/>
  <c r="H3818" i="1"/>
  <c r="H3822" i="1"/>
  <c r="H3826" i="1"/>
  <c r="H3830" i="1"/>
  <c r="H3521" i="1"/>
  <c r="H3529" i="1"/>
  <c r="H3537" i="1"/>
  <c r="H3545" i="1"/>
  <c r="H3553" i="1"/>
  <c r="H3561" i="1"/>
  <c r="H3569" i="1"/>
  <c r="H3577" i="1"/>
  <c r="H3585" i="1"/>
  <c r="H3593" i="1"/>
  <c r="H3601" i="1"/>
  <c r="H3609" i="1"/>
  <c r="H3617" i="1"/>
  <c r="H3625" i="1"/>
  <c r="H3633" i="1"/>
  <c r="H3641" i="1"/>
  <c r="H3649" i="1"/>
  <c r="H3657" i="1"/>
  <c r="H3665" i="1"/>
  <c r="H3673" i="1"/>
  <c r="H3681" i="1"/>
  <c r="H3689" i="1"/>
  <c r="H3697" i="1"/>
  <c r="H3705" i="1"/>
  <c r="H3713" i="1"/>
  <c r="H3721" i="1"/>
  <c r="H3729" i="1"/>
  <c r="H3737" i="1"/>
  <c r="H3745" i="1"/>
  <c r="H3753" i="1"/>
  <c r="H3761" i="1"/>
  <c r="H3769" i="1"/>
  <c r="H3777" i="1"/>
  <c r="H3785" i="1"/>
  <c r="H3793" i="1"/>
  <c r="H3801" i="1"/>
  <c r="H3809" i="1"/>
  <c r="H3817" i="1"/>
  <c r="H3825" i="1"/>
  <c r="H3832" i="1"/>
  <c r="H3836" i="1"/>
  <c r="H3840" i="1"/>
  <c r="H3844" i="1"/>
  <c r="H3848" i="1"/>
  <c r="H3852" i="1"/>
  <c r="H3856" i="1"/>
  <c r="H3860" i="1"/>
  <c r="H3864" i="1"/>
  <c r="H3868" i="1"/>
  <c r="H3872" i="1"/>
  <c r="H3876" i="1"/>
  <c r="H3880" i="1"/>
  <c r="H3884" i="1"/>
  <c r="H3888" i="1"/>
  <c r="H3892" i="1"/>
  <c r="H3896" i="1"/>
  <c r="H3900" i="1"/>
  <c r="H3904" i="1"/>
  <c r="H3908" i="1"/>
  <c r="H3912" i="1"/>
  <c r="H3916" i="1"/>
  <c r="H3920" i="1"/>
  <c r="H3924" i="1"/>
  <c r="H3928" i="1"/>
  <c r="H3932" i="1"/>
  <c r="H3936" i="1"/>
  <c r="H3940" i="1"/>
  <c r="H3944" i="1"/>
  <c r="H3948" i="1"/>
  <c r="H3952" i="1"/>
  <c r="H3956" i="1"/>
  <c r="H3960" i="1"/>
  <c r="H3964" i="1"/>
  <c r="H3968" i="1"/>
  <c r="H3972" i="1"/>
  <c r="H3976" i="1"/>
  <c r="H3980" i="1"/>
  <c r="H3984" i="1"/>
  <c r="H3988" i="1"/>
  <c r="H3992" i="1"/>
  <c r="H3996" i="1"/>
  <c r="H4000" i="1"/>
  <c r="H4004" i="1"/>
  <c r="H4008" i="1"/>
  <c r="H4012" i="1"/>
  <c r="H4016" i="1"/>
  <c r="H4020" i="1"/>
  <c r="H4024" i="1"/>
  <c r="H4028" i="1"/>
  <c r="H4032" i="1"/>
  <c r="H4036" i="1"/>
  <c r="H4040" i="1"/>
  <c r="H4044" i="1"/>
  <c r="H4048" i="1"/>
  <c r="H4052" i="1"/>
  <c r="H4056" i="1"/>
  <c r="H4060" i="1"/>
  <c r="H4064" i="1"/>
  <c r="H4068" i="1"/>
  <c r="H4072" i="1"/>
  <c r="H4076" i="1"/>
  <c r="H4080" i="1"/>
  <c r="H4084" i="1"/>
  <c r="H4088" i="1"/>
  <c r="H4092" i="1"/>
  <c r="H4096" i="1"/>
  <c r="H4100" i="1"/>
  <c r="H4104" i="1"/>
  <c r="H4108" i="1"/>
  <c r="H4112" i="1"/>
  <c r="H4116" i="1"/>
  <c r="H4120" i="1"/>
  <c r="H4124" i="1"/>
  <c r="H4128" i="1"/>
  <c r="H4132" i="1"/>
  <c r="H4136" i="1"/>
  <c r="H4140" i="1"/>
  <c r="H4144" i="1"/>
  <c r="H4148" i="1"/>
  <c r="H4152" i="1"/>
  <c r="H4156" i="1"/>
  <c r="H4160" i="1"/>
  <c r="H4164" i="1"/>
  <c r="H4168" i="1"/>
  <c r="H4172" i="1"/>
  <c r="H4176" i="1"/>
  <c r="H4180" i="1"/>
  <c r="H4184" i="1"/>
  <c r="H4188" i="1"/>
  <c r="H4192" i="1"/>
  <c r="H4196" i="1"/>
  <c r="H4200" i="1"/>
  <c r="H4204" i="1"/>
  <c r="H4208" i="1"/>
  <c r="H4212" i="1"/>
  <c r="H4216" i="1"/>
  <c r="H4220" i="1"/>
  <c r="H4224" i="1"/>
  <c r="H4228" i="1"/>
  <c r="H4232" i="1"/>
  <c r="H4236" i="1"/>
  <c r="H4240" i="1"/>
  <c r="H4244" i="1"/>
  <c r="H4248" i="1"/>
  <c r="H4252" i="1"/>
  <c r="H4256" i="1"/>
  <c r="H4260" i="1"/>
  <c r="H4264" i="1"/>
  <c r="H4268" i="1"/>
  <c r="H4272" i="1"/>
  <c r="H4276" i="1"/>
  <c r="H4280" i="1"/>
  <c r="H4284" i="1"/>
  <c r="H4288" i="1"/>
  <c r="H4292" i="1"/>
  <c r="H4296" i="1"/>
  <c r="H4300" i="1"/>
  <c r="H4304" i="1"/>
  <c r="H4308" i="1"/>
  <c r="H4312" i="1"/>
  <c r="H4316" i="1"/>
  <c r="H4320" i="1"/>
  <c r="H4324" i="1"/>
  <c r="H4328" i="1"/>
  <c r="H4332" i="1"/>
  <c r="H4336" i="1"/>
  <c r="H4340" i="1"/>
  <c r="H4344" i="1"/>
  <c r="H4348" i="1"/>
  <c r="H4352" i="1"/>
  <c r="H4356" i="1"/>
  <c r="H4360" i="1"/>
  <c r="H4364" i="1"/>
  <c r="H4368" i="1"/>
  <c r="H4372" i="1"/>
  <c r="H4376" i="1"/>
  <c r="H4380" i="1"/>
  <c r="H4384" i="1"/>
  <c r="H4388" i="1"/>
  <c r="H4392" i="1"/>
  <c r="H4396" i="1"/>
  <c r="H4400" i="1"/>
  <c r="H4404" i="1"/>
  <c r="H4408" i="1"/>
  <c r="H4412" i="1"/>
  <c r="H4416" i="1"/>
  <c r="H4420" i="1"/>
  <c r="H4424" i="1"/>
  <c r="H4428" i="1"/>
  <c r="H4432" i="1"/>
  <c r="H4436" i="1"/>
  <c r="H4440" i="1"/>
  <c r="H4444" i="1"/>
  <c r="H4448" i="1"/>
  <c r="H4452" i="1"/>
  <c r="H4456" i="1"/>
  <c r="H4460" i="1"/>
  <c r="H4464" i="1"/>
  <c r="H4468" i="1"/>
  <c r="H4472" i="1"/>
  <c r="H4476" i="1"/>
  <c r="H4480" i="1"/>
  <c r="H4484" i="1"/>
  <c r="H4488" i="1"/>
  <c r="H4492" i="1"/>
  <c r="H4496" i="1"/>
  <c r="H4500" i="1"/>
  <c r="H4504" i="1"/>
  <c r="H4508" i="1"/>
  <c r="H4512" i="1"/>
  <c r="H4516" i="1"/>
  <c r="H4520" i="1"/>
  <c r="H4524" i="1"/>
  <c r="H4528" i="1"/>
  <c r="H4532" i="1"/>
  <c r="H4536" i="1"/>
  <c r="H4540" i="1"/>
  <c r="H4544" i="1"/>
  <c r="H4548" i="1"/>
  <c r="H4552" i="1"/>
  <c r="H4556" i="1"/>
  <c r="H4560" i="1"/>
  <c r="H4564" i="1"/>
  <c r="H4568" i="1"/>
  <c r="H4572" i="1"/>
  <c r="H4576" i="1"/>
  <c r="H4580" i="1"/>
  <c r="H4584" i="1"/>
  <c r="H4588" i="1"/>
  <c r="H4592" i="1"/>
  <c r="H4596" i="1"/>
  <c r="H4600" i="1"/>
  <c r="H4604" i="1"/>
  <c r="H4608" i="1"/>
  <c r="H4612" i="1"/>
  <c r="H4616" i="1"/>
  <c r="H4620" i="1"/>
  <c r="H4624" i="1"/>
  <c r="H4628" i="1"/>
  <c r="H4632" i="1"/>
  <c r="H4636" i="1"/>
  <c r="H4640" i="1"/>
  <c r="H4644" i="1"/>
  <c r="H4648" i="1"/>
  <c r="H4652" i="1"/>
  <c r="H4656" i="1"/>
  <c r="H4660" i="1"/>
  <c r="H4664" i="1"/>
  <c r="H4668" i="1"/>
  <c r="H4672" i="1"/>
  <c r="H4676" i="1"/>
  <c r="H4680" i="1"/>
  <c r="H4684" i="1"/>
  <c r="H4688" i="1"/>
  <c r="H4692" i="1"/>
  <c r="H4696" i="1"/>
  <c r="H4700" i="1"/>
  <c r="H4704" i="1"/>
  <c r="H4708" i="1"/>
  <c r="H4712" i="1"/>
  <c r="H4716" i="1"/>
  <c r="H4720" i="1"/>
  <c r="H4724" i="1"/>
  <c r="H4728" i="1"/>
  <c r="H4732" i="1"/>
  <c r="H4736" i="1"/>
  <c r="H4740" i="1"/>
  <c r="H4744" i="1"/>
  <c r="H4748" i="1"/>
  <c r="H4752" i="1"/>
  <c r="H4756" i="1"/>
  <c r="H4760" i="1"/>
  <c r="H4764" i="1"/>
  <c r="H4768" i="1"/>
  <c r="H4772" i="1"/>
  <c r="H4776" i="1"/>
  <c r="H4780" i="1"/>
  <c r="H4784" i="1"/>
  <c r="H4788" i="1"/>
  <c r="H4792" i="1"/>
  <c r="H4796" i="1"/>
  <c r="H4800" i="1"/>
  <c r="H4804" i="1"/>
  <c r="H4808" i="1"/>
  <c r="H4812" i="1"/>
  <c r="H4816" i="1"/>
  <c r="H4820" i="1"/>
  <c r="H4824" i="1"/>
  <c r="H4828" i="1"/>
  <c r="H4832" i="1"/>
  <c r="H4836" i="1"/>
  <c r="H4840" i="1"/>
  <c r="H4844" i="1"/>
  <c r="H4848" i="1"/>
  <c r="H4852" i="1"/>
  <c r="H4856" i="1"/>
  <c r="H4860" i="1"/>
  <c r="H4864" i="1"/>
  <c r="H4868" i="1"/>
  <c r="H4872" i="1"/>
  <c r="H4876" i="1"/>
  <c r="H4880" i="1"/>
  <c r="H4884" i="1"/>
  <c r="H4888" i="1"/>
  <c r="H4892" i="1"/>
  <c r="H4896" i="1"/>
  <c r="H4900" i="1"/>
  <c r="H4904" i="1"/>
  <c r="H4908" i="1"/>
  <c r="H4912" i="1"/>
  <c r="H4916" i="1"/>
  <c r="H4920" i="1"/>
  <c r="H4924" i="1"/>
  <c r="H4928" i="1"/>
  <c r="H4932" i="1"/>
  <c r="H4936" i="1"/>
  <c r="H4940" i="1"/>
  <c r="H4944" i="1"/>
  <c r="H4948" i="1"/>
  <c r="H4952" i="1"/>
  <c r="H4956" i="1"/>
  <c r="H4960" i="1"/>
  <c r="H4964" i="1"/>
  <c r="H4968" i="1"/>
  <c r="H4972" i="1"/>
  <c r="H4976" i="1"/>
  <c r="H4980" i="1"/>
  <c r="H4984" i="1"/>
  <c r="H4988" i="1"/>
  <c r="H4992" i="1"/>
  <c r="H4996" i="1"/>
  <c r="H5000" i="1"/>
  <c r="H3523" i="1"/>
  <c r="H3531" i="1"/>
  <c r="H3539" i="1"/>
  <c r="H3547" i="1"/>
  <c r="H3555" i="1"/>
  <c r="H3563" i="1"/>
  <c r="H3571" i="1"/>
  <c r="H3579" i="1"/>
  <c r="H3587" i="1"/>
  <c r="H3595" i="1"/>
  <c r="H3603" i="1"/>
  <c r="H3611" i="1"/>
  <c r="H3619" i="1"/>
  <c r="H3627" i="1"/>
  <c r="H3635" i="1"/>
  <c r="H3643" i="1"/>
  <c r="H3651" i="1"/>
  <c r="H3659" i="1"/>
  <c r="H3667" i="1"/>
  <c r="H3675" i="1"/>
  <c r="H3683" i="1"/>
  <c r="H3691" i="1"/>
  <c r="H3699" i="1"/>
  <c r="H3707" i="1"/>
  <c r="H3715" i="1"/>
  <c r="H3723" i="1"/>
  <c r="H3731" i="1"/>
  <c r="H3739" i="1"/>
  <c r="H3747" i="1"/>
  <c r="H3755" i="1"/>
  <c r="H3763" i="1"/>
  <c r="H3771" i="1"/>
  <c r="H3779" i="1"/>
  <c r="H3787" i="1"/>
  <c r="H3795" i="1"/>
  <c r="H3803" i="1"/>
  <c r="H3811" i="1"/>
  <c r="H3819" i="1"/>
  <c r="H3827" i="1"/>
  <c r="H3833" i="1"/>
  <c r="H3837" i="1"/>
  <c r="H3841" i="1"/>
  <c r="H3845" i="1"/>
  <c r="H3849" i="1"/>
  <c r="H3853" i="1"/>
  <c r="H3857" i="1"/>
  <c r="H3861" i="1"/>
  <c r="H3865" i="1"/>
  <c r="H3869" i="1"/>
  <c r="H3873" i="1"/>
  <c r="H3877" i="1"/>
  <c r="H3881" i="1"/>
  <c r="H3885" i="1"/>
  <c r="H3889" i="1"/>
  <c r="H3893" i="1"/>
  <c r="H3897" i="1"/>
  <c r="H3901" i="1"/>
  <c r="H3905" i="1"/>
  <c r="H3909" i="1"/>
  <c r="H3913" i="1"/>
  <c r="H3917" i="1"/>
  <c r="H3921" i="1"/>
  <c r="H3925" i="1"/>
  <c r="H3929" i="1"/>
  <c r="H3933" i="1"/>
  <c r="H3937" i="1"/>
  <c r="H3941" i="1"/>
  <c r="H3945" i="1"/>
  <c r="H3949" i="1"/>
  <c r="H3953" i="1"/>
  <c r="H3957" i="1"/>
  <c r="H3961" i="1"/>
  <c r="H3965" i="1"/>
  <c r="H3969" i="1"/>
  <c r="H3973" i="1"/>
  <c r="H3977" i="1"/>
  <c r="H3981" i="1"/>
  <c r="H3985" i="1"/>
  <c r="H3989" i="1"/>
  <c r="H3993" i="1"/>
  <c r="H3997" i="1"/>
  <c r="H4001" i="1"/>
  <c r="H4005" i="1"/>
  <c r="H4009" i="1"/>
  <c r="H4013" i="1"/>
  <c r="H4017" i="1"/>
  <c r="H4021" i="1"/>
  <c r="H4025" i="1"/>
  <c r="H4029" i="1"/>
  <c r="H4033" i="1"/>
  <c r="H4037" i="1"/>
  <c r="H4041" i="1"/>
  <c r="H4045" i="1"/>
  <c r="H4049" i="1"/>
  <c r="H4053" i="1"/>
  <c r="H4057" i="1"/>
  <c r="H4061" i="1"/>
  <c r="H4065" i="1"/>
  <c r="H4069" i="1"/>
  <c r="H4073" i="1"/>
  <c r="H4077" i="1"/>
  <c r="H4081" i="1"/>
  <c r="H4085" i="1"/>
  <c r="H4089" i="1"/>
  <c r="H4093" i="1"/>
  <c r="H4097" i="1"/>
  <c r="H4101" i="1"/>
  <c r="H4105" i="1"/>
  <c r="H4109" i="1"/>
  <c r="H4113" i="1"/>
  <c r="H4117" i="1"/>
  <c r="H4121" i="1"/>
  <c r="H4125" i="1"/>
  <c r="H4129" i="1"/>
  <c r="H4133" i="1"/>
  <c r="H4137" i="1"/>
  <c r="H4141" i="1"/>
  <c r="H4145" i="1"/>
  <c r="H4149" i="1"/>
  <c r="H4153" i="1"/>
  <c r="H4157" i="1"/>
  <c r="H4161" i="1"/>
  <c r="H4165" i="1"/>
  <c r="H4169" i="1"/>
  <c r="H4173" i="1"/>
  <c r="H4177" i="1"/>
  <c r="H4181" i="1"/>
  <c r="H4185" i="1"/>
  <c r="H4189" i="1"/>
  <c r="H4193" i="1"/>
  <c r="H4197" i="1"/>
  <c r="H4201" i="1"/>
  <c r="H4205" i="1"/>
  <c r="H4209" i="1"/>
  <c r="H4213" i="1"/>
  <c r="H4217" i="1"/>
  <c r="H4221" i="1"/>
  <c r="H4225" i="1"/>
  <c r="H4229" i="1"/>
  <c r="H4233" i="1"/>
  <c r="H4237" i="1"/>
  <c r="H4241" i="1"/>
  <c r="H4245" i="1"/>
  <c r="H4249" i="1"/>
  <c r="H4253" i="1"/>
  <c r="H4257" i="1"/>
  <c r="H4261" i="1"/>
  <c r="H4265" i="1"/>
  <c r="H4269" i="1"/>
  <c r="H4273" i="1"/>
  <c r="H4277" i="1"/>
  <c r="H4281" i="1"/>
  <c r="H4285" i="1"/>
  <c r="H4289" i="1"/>
  <c r="H4293" i="1"/>
  <c r="H4297" i="1"/>
  <c r="H4301" i="1"/>
  <c r="H4305" i="1"/>
  <c r="H4309" i="1"/>
  <c r="H4313" i="1"/>
  <c r="H4317" i="1"/>
  <c r="H4321" i="1"/>
  <c r="H4325" i="1"/>
  <c r="H4329" i="1"/>
  <c r="H4333" i="1"/>
  <c r="H4337" i="1"/>
  <c r="H4341" i="1"/>
  <c r="H4345" i="1"/>
  <c r="H4349" i="1"/>
  <c r="H4353" i="1"/>
  <c r="H4357" i="1"/>
  <c r="H4361" i="1"/>
  <c r="H4365" i="1"/>
  <c r="H4369" i="1"/>
  <c r="H4373" i="1"/>
  <c r="H4377" i="1"/>
  <c r="H4381" i="1"/>
  <c r="H4385" i="1"/>
  <c r="H4389" i="1"/>
  <c r="H4393" i="1"/>
  <c r="H4397" i="1"/>
  <c r="H4401" i="1"/>
  <c r="H4405" i="1"/>
  <c r="H4409" i="1"/>
  <c r="H4413" i="1"/>
  <c r="H4417" i="1"/>
  <c r="H4421" i="1"/>
  <c r="H4425" i="1"/>
  <c r="H4429" i="1"/>
  <c r="H4433" i="1"/>
  <c r="H4437" i="1"/>
  <c r="H4441" i="1"/>
  <c r="H4445" i="1"/>
  <c r="H4449" i="1"/>
  <c r="H4453" i="1"/>
  <c r="H4457" i="1"/>
  <c r="H4461" i="1"/>
  <c r="H4465" i="1"/>
  <c r="H4469" i="1"/>
  <c r="H4473" i="1"/>
  <c r="H4477" i="1"/>
  <c r="H4481" i="1"/>
  <c r="H4485" i="1"/>
  <c r="H4489" i="1"/>
  <c r="H4493" i="1"/>
  <c r="H4497" i="1"/>
  <c r="H4501" i="1"/>
  <c r="H4505" i="1"/>
  <c r="H4509" i="1"/>
  <c r="H4513" i="1"/>
  <c r="H4517" i="1"/>
  <c r="H4521" i="1"/>
  <c r="H4525" i="1"/>
  <c r="H4529" i="1"/>
  <c r="H4533" i="1"/>
  <c r="H4537" i="1"/>
  <c r="H4541" i="1"/>
  <c r="H4545" i="1"/>
  <c r="H4549" i="1"/>
  <c r="H4553" i="1"/>
  <c r="H4557" i="1"/>
  <c r="H4561" i="1"/>
  <c r="H4565" i="1"/>
  <c r="H4569" i="1"/>
  <c r="H4573" i="1"/>
  <c r="H4577" i="1"/>
  <c r="H4581" i="1"/>
  <c r="H4585" i="1"/>
  <c r="H4589" i="1"/>
  <c r="H4593" i="1"/>
  <c r="H4597" i="1"/>
  <c r="H4601" i="1"/>
  <c r="H4605" i="1"/>
  <c r="H4609" i="1"/>
  <c r="H4613" i="1"/>
  <c r="H4617" i="1"/>
  <c r="H4621" i="1"/>
  <c r="H4625" i="1"/>
  <c r="H4629" i="1"/>
  <c r="H4633" i="1"/>
  <c r="H4637" i="1"/>
  <c r="H4641" i="1"/>
  <c r="H4645" i="1"/>
  <c r="H4649" i="1"/>
  <c r="H4653" i="1"/>
  <c r="H4657" i="1"/>
  <c r="H4661" i="1"/>
  <c r="H4665" i="1"/>
  <c r="H4669" i="1"/>
  <c r="H4673" i="1"/>
  <c r="H4677" i="1"/>
  <c r="H4681" i="1"/>
  <c r="H4685" i="1"/>
  <c r="H4689" i="1"/>
  <c r="H4693" i="1"/>
  <c r="H4697" i="1"/>
  <c r="H4701" i="1"/>
  <c r="H4705" i="1"/>
  <c r="H4709" i="1"/>
  <c r="H4713" i="1"/>
  <c r="H4717" i="1"/>
  <c r="H4721" i="1"/>
  <c r="H4725" i="1"/>
  <c r="H4729" i="1"/>
  <c r="H4733" i="1"/>
  <c r="H4737" i="1"/>
  <c r="H4741" i="1"/>
  <c r="H4745" i="1"/>
  <c r="H4749" i="1"/>
  <c r="H4753" i="1"/>
  <c r="H4757" i="1"/>
  <c r="H4761" i="1"/>
  <c r="H4765" i="1"/>
  <c r="H4769" i="1"/>
  <c r="H4773" i="1"/>
  <c r="H4777" i="1"/>
  <c r="H4781" i="1"/>
  <c r="H4785" i="1"/>
  <c r="H4789" i="1"/>
  <c r="H4793" i="1"/>
  <c r="H4797" i="1"/>
  <c r="H4801" i="1"/>
  <c r="H4805" i="1"/>
  <c r="H4809" i="1"/>
  <c r="H4813" i="1"/>
  <c r="H4817" i="1"/>
  <c r="H4821" i="1"/>
  <c r="H4825" i="1"/>
  <c r="H4829" i="1"/>
  <c r="H4833" i="1"/>
  <c r="H4837" i="1"/>
  <c r="H4841" i="1"/>
  <c r="H4845" i="1"/>
  <c r="H4849" i="1"/>
  <c r="H4853" i="1"/>
  <c r="H4857" i="1"/>
  <c r="H4861" i="1"/>
  <c r="H4865" i="1"/>
  <c r="H4869" i="1"/>
  <c r="H4873" i="1"/>
  <c r="H4877" i="1"/>
  <c r="H4881" i="1"/>
  <c r="H4885" i="1"/>
  <c r="H4889" i="1"/>
  <c r="H4893" i="1"/>
  <c r="H4897" i="1"/>
  <c r="H4901" i="1"/>
  <c r="H4905" i="1"/>
  <c r="H4909" i="1"/>
  <c r="H4913" i="1"/>
  <c r="H4917" i="1"/>
  <c r="H4921" i="1"/>
  <c r="H4925" i="1"/>
  <c r="H4929" i="1"/>
  <c r="H4933" i="1"/>
  <c r="H4937" i="1"/>
  <c r="H4941" i="1"/>
  <c r="H4945" i="1"/>
  <c r="H4949" i="1"/>
  <c r="H4953" i="1"/>
  <c r="H4957" i="1"/>
  <c r="H4961" i="1"/>
  <c r="H4965" i="1"/>
  <c r="H4969" i="1"/>
  <c r="H4973" i="1"/>
  <c r="H4977" i="1"/>
  <c r="H4981" i="1"/>
  <c r="H4985" i="1"/>
  <c r="H4989" i="1"/>
  <c r="H4993" i="1"/>
  <c r="H4997" i="1"/>
  <c r="H1" i="1"/>
  <c r="Q4" i="3" s="1"/>
  <c r="H9" i="1"/>
  <c r="H17" i="1"/>
  <c r="H25" i="1"/>
  <c r="H33" i="1"/>
  <c r="H41" i="1"/>
  <c r="H49" i="1"/>
  <c r="H57" i="1"/>
  <c r="H65" i="1"/>
  <c r="H73" i="1"/>
  <c r="H81" i="1"/>
  <c r="H89" i="1"/>
  <c r="H97" i="1"/>
  <c r="H105" i="1"/>
  <c r="H113" i="1"/>
  <c r="H121" i="1"/>
  <c r="H129" i="1"/>
  <c r="H137" i="1"/>
  <c r="H145" i="1"/>
  <c r="H153" i="1"/>
  <c r="H161" i="1"/>
  <c r="H169" i="1"/>
  <c r="H14" i="1"/>
  <c r="H30" i="1"/>
  <c r="H46" i="1"/>
  <c r="H62" i="1"/>
  <c r="H78" i="1"/>
  <c r="H94" i="1"/>
  <c r="H110" i="1"/>
  <c r="H126" i="1"/>
  <c r="H142" i="1"/>
  <c r="H158" i="1"/>
  <c r="H172" i="1"/>
  <c r="H180" i="1"/>
  <c r="H4" i="1"/>
  <c r="H20" i="1"/>
  <c r="H36" i="1"/>
  <c r="H52" i="1"/>
  <c r="H68" i="1"/>
  <c r="H84" i="1"/>
  <c r="H100" i="1"/>
  <c r="H116" i="1"/>
  <c r="H132" i="1"/>
  <c r="H148" i="1"/>
  <c r="H164" i="1"/>
  <c r="H175" i="1"/>
  <c r="H183" i="1"/>
  <c r="H191" i="1"/>
  <c r="H199" i="1"/>
  <c r="H207" i="1"/>
  <c r="H215" i="1"/>
  <c r="H223" i="1"/>
  <c r="H231" i="1"/>
  <c r="H239" i="1"/>
  <c r="H247" i="1"/>
  <c r="H255" i="1"/>
  <c r="H263" i="1"/>
  <c r="H271" i="1"/>
  <c r="H279" i="1"/>
  <c r="H287" i="1"/>
  <c r="H295" i="1"/>
  <c r="H303" i="1"/>
  <c r="H311" i="1"/>
  <c r="H319" i="1"/>
  <c r="H327" i="1"/>
  <c r="H335" i="1"/>
  <c r="H343" i="1"/>
  <c r="H351" i="1"/>
  <c r="H359" i="1"/>
  <c r="H367" i="1"/>
  <c r="H375" i="1"/>
  <c r="H383" i="1"/>
  <c r="H391" i="1"/>
  <c r="H399" i="1"/>
  <c r="H407" i="1"/>
  <c r="H415" i="1"/>
  <c r="H423" i="1"/>
  <c r="H196" i="1"/>
  <c r="H212" i="1"/>
  <c r="H228" i="1"/>
  <c r="H244" i="1"/>
  <c r="H260" i="1"/>
  <c r="H276" i="1"/>
  <c r="H292" i="1"/>
  <c r="H308" i="1"/>
  <c r="H324" i="1"/>
  <c r="H340" i="1"/>
  <c r="H356" i="1"/>
  <c r="H372" i="1"/>
  <c r="H388" i="1"/>
  <c r="H404" i="1"/>
  <c r="H420" i="1"/>
  <c r="H431" i="1"/>
  <c r="H439" i="1"/>
  <c r="H447" i="1"/>
  <c r="H455" i="1"/>
  <c r="H463" i="1"/>
  <c r="H471" i="1"/>
  <c r="H194" i="1"/>
  <c r="H210" i="1"/>
  <c r="H226" i="1"/>
  <c r="H242" i="1"/>
  <c r="H258" i="1"/>
  <c r="H274" i="1"/>
  <c r="H290" i="1"/>
  <c r="H306" i="1"/>
  <c r="H322" i="1"/>
  <c r="H338" i="1"/>
  <c r="H354" i="1"/>
  <c r="H370" i="1"/>
  <c r="H386" i="1"/>
  <c r="H402" i="1"/>
  <c r="H418" i="1"/>
  <c r="H430" i="1"/>
  <c r="H438" i="1"/>
  <c r="H446" i="1"/>
  <c r="H454" i="1"/>
  <c r="H462" i="1"/>
  <c r="H470" i="1"/>
  <c r="H478" i="1"/>
  <c r="H486" i="1"/>
  <c r="H494" i="1"/>
  <c r="H502" i="1"/>
  <c r="H510" i="1"/>
  <c r="H518" i="1"/>
  <c r="H526" i="1"/>
  <c r="H534" i="1"/>
  <c r="H542" i="1"/>
  <c r="H550" i="1"/>
  <c r="H558" i="1"/>
  <c r="H566" i="1"/>
  <c r="H574" i="1"/>
  <c r="H582" i="1"/>
  <c r="H590" i="1"/>
  <c r="H598" i="1"/>
  <c r="H606" i="1"/>
  <c r="H614" i="1"/>
  <c r="H622" i="1"/>
  <c r="H630" i="1"/>
  <c r="H638" i="1"/>
  <c r="H646" i="1"/>
  <c r="H654" i="1"/>
  <c r="H662" i="1"/>
  <c r="H670" i="1"/>
  <c r="H678" i="1"/>
  <c r="H686" i="1"/>
  <c r="H694" i="1"/>
  <c r="H702" i="1"/>
  <c r="H710" i="1"/>
  <c r="H718" i="1"/>
  <c r="H726" i="1"/>
  <c r="H734" i="1"/>
  <c r="H742" i="1"/>
  <c r="H750" i="1"/>
  <c r="H758" i="1"/>
  <c r="H766" i="1"/>
  <c r="H774" i="1"/>
  <c r="H782" i="1"/>
  <c r="H790" i="1"/>
  <c r="H489" i="1"/>
  <c r="H505" i="1"/>
  <c r="H521" i="1"/>
  <c r="H537" i="1"/>
  <c r="H553" i="1"/>
  <c r="H569" i="1"/>
  <c r="H585" i="1"/>
  <c r="H601" i="1"/>
  <c r="H617" i="1"/>
  <c r="H633" i="1"/>
  <c r="H649" i="1"/>
  <c r="H665" i="1"/>
  <c r="H681" i="1"/>
  <c r="H697" i="1"/>
  <c r="H713" i="1"/>
  <c r="H729" i="1"/>
  <c r="H745" i="1"/>
  <c r="H761" i="1"/>
  <c r="H777" i="1"/>
  <c r="H792" i="1"/>
  <c r="H800" i="1"/>
  <c r="H808" i="1"/>
  <c r="H816" i="1"/>
  <c r="H824" i="1"/>
  <c r="H832" i="1"/>
  <c r="H840" i="1"/>
  <c r="H848" i="1"/>
  <c r="H856" i="1"/>
  <c r="H864" i="1"/>
  <c r="H872" i="1"/>
  <c r="H880" i="1"/>
  <c r="H888" i="1"/>
  <c r="H896" i="1"/>
  <c r="H904" i="1"/>
  <c r="H912" i="1"/>
  <c r="H920" i="1"/>
  <c r="H928" i="1"/>
  <c r="H936" i="1"/>
  <c r="H944" i="1"/>
  <c r="H952" i="1"/>
  <c r="H960" i="1"/>
  <c r="H968" i="1"/>
  <c r="H483" i="1"/>
  <c r="H499" i="1"/>
  <c r="H515" i="1"/>
  <c r="H531" i="1"/>
  <c r="H547" i="1"/>
  <c r="H563" i="1"/>
  <c r="H579" i="1"/>
  <c r="H595" i="1"/>
  <c r="H611" i="1"/>
  <c r="H627" i="1"/>
  <c r="H643" i="1"/>
  <c r="H659" i="1"/>
  <c r="H675" i="1"/>
  <c r="H691" i="1"/>
  <c r="H707" i="1"/>
  <c r="H723" i="1"/>
  <c r="H739" i="1"/>
  <c r="H755" i="1"/>
  <c r="H771" i="1"/>
  <c r="H787" i="1"/>
  <c r="H797" i="1"/>
  <c r="H805" i="1"/>
  <c r="H813" i="1"/>
  <c r="H821" i="1"/>
  <c r="H829" i="1"/>
  <c r="H837" i="1"/>
  <c r="H845" i="1"/>
  <c r="H853" i="1"/>
  <c r="H861" i="1"/>
  <c r="H869" i="1"/>
  <c r="H877" i="1"/>
  <c r="H885" i="1"/>
  <c r="H893" i="1"/>
  <c r="H901" i="1"/>
  <c r="H909" i="1"/>
  <c r="H917" i="1"/>
  <c r="H925" i="1"/>
  <c r="H933" i="1"/>
  <c r="H941" i="1"/>
  <c r="H949" i="1"/>
  <c r="H957" i="1"/>
  <c r="H965" i="1"/>
  <c r="H973" i="1"/>
  <c r="H981" i="1"/>
  <c r="H989" i="1"/>
  <c r="H997" i="1"/>
  <c r="H1005" i="1"/>
  <c r="H1013" i="1"/>
  <c r="H1021" i="1"/>
  <c r="H1029" i="1"/>
  <c r="H1037" i="1"/>
  <c r="H1045" i="1"/>
  <c r="H1053" i="1"/>
  <c r="H1061" i="1"/>
  <c r="H1069" i="1"/>
  <c r="H1077" i="1"/>
  <c r="H1085" i="1"/>
  <c r="H1093" i="1"/>
  <c r="H1101" i="1"/>
  <c r="H1109" i="1"/>
  <c r="H1117" i="1"/>
  <c r="H1125" i="1"/>
  <c r="H1133" i="1"/>
  <c r="H1141" i="1"/>
  <c r="H1149" i="1"/>
  <c r="H1157" i="1"/>
  <c r="H1165" i="1"/>
  <c r="H1173" i="1"/>
  <c r="H1181" i="1"/>
  <c r="H1189" i="1"/>
  <c r="H1197" i="1"/>
  <c r="H1205" i="1"/>
  <c r="H1213" i="1"/>
  <c r="H1221" i="1"/>
  <c r="H1229" i="1"/>
  <c r="H1237" i="1"/>
  <c r="H1245" i="1"/>
  <c r="H1253" i="1"/>
  <c r="H1261" i="1"/>
  <c r="H1269" i="1"/>
  <c r="H1277" i="1"/>
  <c r="H1285" i="1"/>
  <c r="H974" i="1"/>
  <c r="H990" i="1"/>
  <c r="H1006" i="1"/>
  <c r="H1022" i="1"/>
  <c r="H1038" i="1"/>
  <c r="H1054" i="1"/>
  <c r="H1070" i="1"/>
  <c r="H1086" i="1"/>
  <c r="H1102" i="1"/>
  <c r="H1118" i="1"/>
  <c r="H1134" i="1"/>
  <c r="H1150" i="1"/>
  <c r="H1166" i="1"/>
  <c r="H1182" i="1"/>
  <c r="H1198" i="1"/>
  <c r="H1214" i="1"/>
  <c r="H1230" i="1"/>
  <c r="H1246" i="1"/>
  <c r="H1262" i="1"/>
  <c r="H1278" i="1"/>
  <c r="H1293" i="1"/>
  <c r="H1301" i="1"/>
  <c r="H1309" i="1"/>
  <c r="H1317" i="1"/>
  <c r="H1325" i="1"/>
  <c r="H1333" i="1"/>
  <c r="H1341" i="1"/>
  <c r="H1349" i="1"/>
  <c r="H1357" i="1"/>
  <c r="H1365" i="1"/>
  <c r="H1373" i="1"/>
  <c r="H1381" i="1"/>
  <c r="H1389" i="1"/>
  <c r="H1397" i="1"/>
  <c r="H1405" i="1"/>
  <c r="H1413" i="1"/>
  <c r="H1421" i="1"/>
  <c r="H1429" i="1"/>
  <c r="H1437" i="1"/>
  <c r="H1445" i="1"/>
  <c r="H1453" i="1"/>
  <c r="H1461" i="1"/>
  <c r="H1469" i="1"/>
  <c r="H1477" i="1"/>
  <c r="H1485" i="1"/>
  <c r="H1493" i="1"/>
  <c r="H1501" i="1"/>
  <c r="H984" i="1"/>
  <c r="H1000" i="1"/>
  <c r="H1016" i="1"/>
  <c r="H1032" i="1"/>
  <c r="H1048" i="1"/>
  <c r="H1064" i="1"/>
  <c r="H1080" i="1"/>
  <c r="H1096" i="1"/>
  <c r="H1112" i="1"/>
  <c r="H1128" i="1"/>
  <c r="H1144" i="1"/>
  <c r="H1160" i="1"/>
  <c r="H1176" i="1"/>
  <c r="H1192" i="1"/>
  <c r="H1208" i="1"/>
  <c r="H1224" i="1"/>
  <c r="H1240" i="1"/>
  <c r="H1256" i="1"/>
  <c r="H1272" i="1"/>
  <c r="H1288" i="1"/>
  <c r="H1298" i="1"/>
  <c r="H1306" i="1"/>
  <c r="H1314" i="1"/>
  <c r="H1322" i="1"/>
  <c r="H1330" i="1"/>
  <c r="H1338" i="1"/>
  <c r="H1346" i="1"/>
  <c r="H1354" i="1"/>
  <c r="H1362" i="1"/>
  <c r="H1370" i="1"/>
  <c r="H1378" i="1"/>
  <c r="H1386" i="1"/>
  <c r="H1394" i="1"/>
  <c r="H1402" i="1"/>
  <c r="H1410" i="1"/>
  <c r="H1418" i="1"/>
  <c r="H1426" i="1"/>
  <c r="H1434" i="1"/>
  <c r="H1442" i="1"/>
  <c r="H1450" i="1"/>
  <c r="H1458" i="1"/>
  <c r="H1466" i="1"/>
  <c r="H1474" i="1"/>
  <c r="H1482" i="1"/>
  <c r="H1490" i="1"/>
  <c r="H1498" i="1"/>
  <c r="H1506" i="1"/>
  <c r="H1514" i="1"/>
  <c r="H1522" i="1"/>
  <c r="H1530" i="1"/>
  <c r="H1538" i="1"/>
  <c r="H1546" i="1"/>
  <c r="H1554" i="1"/>
  <c r="H1562" i="1"/>
  <c r="H1570" i="1"/>
  <c r="H1578" i="1"/>
  <c r="H1586" i="1"/>
  <c r="H1594" i="1"/>
  <c r="H1602" i="1"/>
  <c r="H1610" i="1"/>
  <c r="H1618" i="1"/>
  <c r="H1626" i="1"/>
  <c r="H1634" i="1"/>
  <c r="H1642" i="1"/>
  <c r="H1650" i="1"/>
  <c r="H1658" i="1"/>
  <c r="H1666" i="1"/>
  <c r="H1674" i="1"/>
  <c r="H1682" i="1"/>
  <c r="H1690" i="1"/>
  <c r="H1698" i="1"/>
  <c r="H1706" i="1"/>
  <c r="H1714" i="1"/>
  <c r="H1722" i="1"/>
  <c r="H1730" i="1"/>
  <c r="H1738" i="1"/>
  <c r="H1746" i="1"/>
  <c r="H1754" i="1"/>
  <c r="H1762" i="1"/>
  <c r="H1770" i="1"/>
  <c r="H1778" i="1"/>
  <c r="H1786" i="1"/>
  <c r="H1794" i="1"/>
  <c r="H1802" i="1"/>
  <c r="H1810" i="1"/>
  <c r="H1509" i="1"/>
  <c r="H1525" i="1"/>
  <c r="H1541" i="1"/>
  <c r="H1557" i="1"/>
  <c r="H1573" i="1"/>
  <c r="H1589" i="1"/>
  <c r="H1605" i="1"/>
  <c r="H1621" i="1"/>
  <c r="H1637" i="1"/>
  <c r="H1653" i="1"/>
  <c r="H1669" i="1"/>
  <c r="H1685" i="1"/>
  <c r="H1701" i="1"/>
  <c r="H1717" i="1"/>
  <c r="H1733" i="1"/>
  <c r="H1749" i="1"/>
  <c r="H1765" i="1"/>
  <c r="H1781" i="1"/>
  <c r="H1797" i="1"/>
  <c r="H1813" i="1"/>
  <c r="H1822" i="1"/>
  <c r="H1830" i="1"/>
  <c r="H1838" i="1"/>
  <c r="H1846" i="1"/>
  <c r="H1854" i="1"/>
  <c r="H1862" i="1"/>
  <c r="H1870" i="1"/>
  <c r="H1878" i="1"/>
  <c r="H1886" i="1"/>
  <c r="H1894" i="1"/>
  <c r="H1902" i="1"/>
  <c r="H1910" i="1"/>
  <c r="H1918" i="1"/>
  <c r="H1926" i="1"/>
  <c r="H1934" i="1"/>
  <c r="H1942" i="1"/>
  <c r="H1950" i="1"/>
  <c r="H1958" i="1"/>
  <c r="H1966" i="1"/>
  <c r="H1974" i="1"/>
  <c r="H1982" i="1"/>
  <c r="H1990" i="1"/>
  <c r="H1998" i="1"/>
  <c r="H2006" i="1"/>
  <c r="H2014" i="1"/>
  <c r="H2022" i="1"/>
  <c r="H2030" i="1"/>
  <c r="H2038" i="1"/>
  <c r="H2046" i="1"/>
  <c r="H2054" i="1"/>
  <c r="H2062" i="1"/>
  <c r="H2070" i="1"/>
  <c r="H2078" i="1"/>
  <c r="H2086" i="1"/>
  <c r="H2094" i="1"/>
  <c r="H2102" i="1"/>
  <c r="H2110" i="1"/>
  <c r="H2118" i="1"/>
  <c r="H2126" i="1"/>
  <c r="H2134" i="1"/>
  <c r="H2142" i="1"/>
  <c r="H2150" i="1"/>
  <c r="H2158" i="1"/>
  <c r="H2166" i="1"/>
  <c r="H2174" i="1"/>
  <c r="H2182" i="1"/>
  <c r="H2190" i="1"/>
  <c r="H2198" i="1"/>
  <c r="H2206" i="1"/>
  <c r="H2214" i="1"/>
  <c r="H2222" i="1"/>
  <c r="H2230" i="1"/>
  <c r="H2238" i="1"/>
  <c r="H2246" i="1"/>
  <c r="H2254" i="1"/>
  <c r="H2262" i="1"/>
  <c r="H2270" i="1"/>
  <c r="H2278" i="1"/>
  <c r="H2286" i="1"/>
  <c r="H2294" i="1"/>
  <c r="H2302" i="1"/>
  <c r="H2310" i="1"/>
  <c r="H2318" i="1"/>
  <c r="H2326" i="1"/>
  <c r="H2334" i="1"/>
  <c r="H1507" i="1"/>
  <c r="H1523" i="1"/>
  <c r="H1539" i="1"/>
  <c r="H1555" i="1"/>
  <c r="H1571" i="1"/>
  <c r="H1587" i="1"/>
  <c r="H1603" i="1"/>
  <c r="H1619" i="1"/>
  <c r="H1635" i="1"/>
  <c r="H1651" i="1"/>
  <c r="H1667" i="1"/>
  <c r="H1683" i="1"/>
  <c r="H1699" i="1"/>
  <c r="H1715" i="1"/>
  <c r="H1731" i="1"/>
  <c r="H1747" i="1"/>
  <c r="H1763" i="1"/>
  <c r="H1779" i="1"/>
  <c r="H1795" i="1"/>
  <c r="H1811" i="1"/>
  <c r="H1821" i="1"/>
  <c r="H1829" i="1"/>
  <c r="H1837" i="1"/>
  <c r="H1845" i="1"/>
  <c r="H1853" i="1"/>
  <c r="H1861" i="1"/>
  <c r="H1869" i="1"/>
  <c r="H1877" i="1"/>
  <c r="H1885" i="1"/>
  <c r="H1893" i="1"/>
  <c r="H1901" i="1"/>
  <c r="H1909" i="1"/>
  <c r="H1917" i="1"/>
  <c r="H1925" i="1"/>
  <c r="H1933" i="1"/>
  <c r="H1941" i="1"/>
  <c r="H1949" i="1"/>
  <c r="H1957" i="1"/>
  <c r="H1965" i="1"/>
  <c r="H1973" i="1"/>
  <c r="H1981" i="1"/>
  <c r="H1989" i="1"/>
  <c r="H1997" i="1"/>
  <c r="H2005" i="1"/>
  <c r="H2013" i="1"/>
  <c r="H2021" i="1"/>
  <c r="H2029" i="1"/>
  <c r="H2037" i="1"/>
  <c r="H2045" i="1"/>
  <c r="H2053" i="1"/>
  <c r="H2061" i="1"/>
  <c r="H2069" i="1"/>
  <c r="H2077" i="1"/>
  <c r="H2085" i="1"/>
  <c r="H2093" i="1"/>
  <c r="H2101" i="1"/>
  <c r="H2109" i="1"/>
  <c r="H2117" i="1"/>
  <c r="H2125" i="1"/>
  <c r="H2133" i="1"/>
  <c r="H2141" i="1"/>
  <c r="H2149" i="1"/>
  <c r="H2157" i="1"/>
  <c r="H2165" i="1"/>
  <c r="H2173" i="1"/>
  <c r="H2181" i="1"/>
  <c r="H2189" i="1"/>
  <c r="H2197" i="1"/>
  <c r="H2205" i="1"/>
  <c r="H2213" i="1"/>
  <c r="H2221" i="1"/>
  <c r="H2229" i="1"/>
  <c r="H2237" i="1"/>
  <c r="H2245" i="1"/>
  <c r="H2253" i="1"/>
  <c r="H2261" i="1"/>
  <c r="H2269" i="1"/>
  <c r="H2277" i="1"/>
  <c r="H2285" i="1"/>
  <c r="H2293" i="1"/>
  <c r="H2301" i="1"/>
  <c r="H2309" i="1"/>
  <c r="H2317" i="1"/>
  <c r="H2325" i="1"/>
  <c r="H2333" i="1"/>
  <c r="H2341" i="1"/>
  <c r="H2349" i="1"/>
  <c r="H2357" i="1"/>
  <c r="H2365" i="1"/>
  <c r="H2373" i="1"/>
  <c r="H2381" i="1"/>
  <c r="H2389" i="1"/>
  <c r="H2397" i="1"/>
  <c r="H2405" i="1"/>
  <c r="H2413" i="1"/>
  <c r="H2421" i="1"/>
  <c r="H2429" i="1"/>
  <c r="H2437" i="1"/>
  <c r="H2445" i="1"/>
  <c r="H2453" i="1"/>
  <c r="H2461" i="1"/>
  <c r="H2469" i="1"/>
  <c r="H2477" i="1"/>
  <c r="H2485" i="1"/>
  <c r="H2493" i="1"/>
  <c r="H2501" i="1"/>
  <c r="H2509" i="1"/>
  <c r="H2517" i="1"/>
  <c r="H2525" i="1"/>
  <c r="H2533" i="1"/>
  <c r="H2541" i="1"/>
  <c r="H2549" i="1"/>
  <c r="H2557" i="1"/>
  <c r="H2565" i="1"/>
  <c r="H2573" i="1"/>
  <c r="H2581" i="1"/>
  <c r="H2589" i="1"/>
  <c r="H2350" i="1"/>
  <c r="H2366" i="1"/>
  <c r="H2382" i="1"/>
  <c r="H2398" i="1"/>
  <c r="H2414" i="1"/>
  <c r="H2430" i="1"/>
  <c r="H2446" i="1"/>
  <c r="H2462" i="1"/>
  <c r="H2478" i="1"/>
  <c r="H2494" i="1"/>
  <c r="H2510" i="1"/>
  <c r="H2526" i="1"/>
  <c r="H2542" i="1"/>
  <c r="H2558" i="1"/>
  <c r="H2574" i="1"/>
  <c r="H2590" i="1"/>
  <c r="H2599" i="1"/>
  <c r="H2607" i="1"/>
  <c r="H2615" i="1"/>
  <c r="H2623" i="1"/>
  <c r="H2631" i="1"/>
  <c r="H2639" i="1"/>
  <c r="H2647" i="1"/>
  <c r="H2655" i="1"/>
  <c r="H2663" i="1"/>
  <c r="H2671" i="1"/>
  <c r="H2679" i="1"/>
  <c r="H2687" i="1"/>
  <c r="H2695" i="1"/>
  <c r="H2703" i="1"/>
  <c r="H2711" i="1"/>
  <c r="H2719" i="1"/>
  <c r="H2727" i="1"/>
  <c r="H2735" i="1"/>
  <c r="H2743" i="1"/>
  <c r="H2751" i="1"/>
  <c r="H2759" i="1"/>
  <c r="H2767" i="1"/>
  <c r="H2775" i="1"/>
  <c r="H2783" i="1"/>
  <c r="H2791" i="1"/>
  <c r="H2799" i="1"/>
  <c r="H2807" i="1"/>
  <c r="H2815" i="1"/>
  <c r="H2823" i="1"/>
  <c r="H2831" i="1"/>
  <c r="H2839" i="1"/>
  <c r="H2847" i="1"/>
  <c r="H2855" i="1"/>
  <c r="H2863" i="1"/>
  <c r="H2871" i="1"/>
  <c r="H2879" i="1"/>
  <c r="H2887" i="1"/>
  <c r="H2895" i="1"/>
  <c r="H2903" i="1"/>
  <c r="H2911" i="1"/>
  <c r="H2919" i="1"/>
  <c r="H2927" i="1"/>
  <c r="H2935" i="1"/>
  <c r="H2943" i="1"/>
  <c r="H2951" i="1"/>
  <c r="H2959" i="1"/>
  <c r="H2967" i="1"/>
  <c r="H2975" i="1"/>
  <c r="H2983" i="1"/>
  <c r="H2997" i="1"/>
  <c r="H3005" i="1"/>
  <c r="H3013" i="1"/>
  <c r="H3021" i="1"/>
  <c r="H3029" i="1"/>
  <c r="H3037" i="1"/>
  <c r="H3045" i="1"/>
  <c r="H3053" i="1"/>
  <c r="H3061" i="1"/>
  <c r="H3069" i="1"/>
  <c r="H3077" i="1"/>
  <c r="H3085" i="1"/>
  <c r="H3093" i="1"/>
  <c r="H3101" i="1"/>
  <c r="H3109" i="1"/>
  <c r="H3117" i="1"/>
  <c r="H3125" i="1"/>
  <c r="H3133" i="1"/>
  <c r="H3141" i="1"/>
  <c r="H3149" i="1"/>
  <c r="H3157" i="1"/>
  <c r="H3165" i="1"/>
  <c r="H3173" i="1"/>
  <c r="H3181" i="1"/>
  <c r="H3189" i="1"/>
  <c r="H3197" i="1"/>
  <c r="H3205" i="1"/>
  <c r="H3213" i="1"/>
  <c r="H3221" i="1"/>
  <c r="H3229" i="1"/>
  <c r="H3237" i="1"/>
  <c r="H3245" i="1"/>
  <c r="H3253" i="1"/>
  <c r="H3261" i="1"/>
  <c r="H3269" i="1"/>
  <c r="H3277" i="1"/>
  <c r="H3285" i="1"/>
  <c r="H3293" i="1"/>
  <c r="H3301" i="1"/>
  <c r="H3309" i="1"/>
  <c r="H3317" i="1"/>
  <c r="H3325" i="1"/>
  <c r="H3333" i="1"/>
  <c r="H3341" i="1"/>
  <c r="H3349" i="1"/>
  <c r="H3357" i="1"/>
  <c r="H3365" i="1"/>
  <c r="H3373" i="1"/>
  <c r="H3381" i="1"/>
  <c r="H3389" i="1"/>
  <c r="H3397" i="1"/>
  <c r="H3405" i="1"/>
  <c r="H3413" i="1"/>
  <c r="H3421" i="1"/>
  <c r="H3429" i="1"/>
  <c r="H3437" i="1"/>
  <c r="H3445" i="1"/>
  <c r="H3453" i="1"/>
  <c r="H3461" i="1"/>
  <c r="H3469" i="1"/>
  <c r="H3477" i="1"/>
  <c r="H3485" i="1"/>
  <c r="H3493" i="1"/>
  <c r="H3501" i="1"/>
  <c r="H3509" i="1"/>
  <c r="H2344" i="1"/>
  <c r="H2360" i="1"/>
  <c r="H2376" i="1"/>
  <c r="H2392" i="1"/>
  <c r="H2408" i="1"/>
  <c r="H2424" i="1"/>
  <c r="H2440" i="1"/>
  <c r="H2456" i="1"/>
  <c r="H2472" i="1"/>
  <c r="H2488" i="1"/>
  <c r="H2504" i="1"/>
  <c r="H2520" i="1"/>
  <c r="H2536" i="1"/>
  <c r="H2552" i="1"/>
  <c r="H2568" i="1"/>
  <c r="H2584" i="1"/>
  <c r="H2596" i="1"/>
  <c r="H2604" i="1"/>
  <c r="H2612" i="1"/>
  <c r="H2620" i="1"/>
  <c r="H2628" i="1"/>
  <c r="H2636" i="1"/>
  <c r="H2644" i="1"/>
  <c r="H2652" i="1"/>
  <c r="H2660" i="1"/>
  <c r="H2668" i="1"/>
  <c r="H2676" i="1"/>
  <c r="H2684" i="1"/>
  <c r="H2692" i="1"/>
  <c r="H2700" i="1"/>
  <c r="H2708" i="1"/>
  <c r="H2716" i="1"/>
  <c r="H2724" i="1"/>
  <c r="H2732" i="1"/>
  <c r="H2740" i="1"/>
  <c r="H2748" i="1"/>
  <c r="H2756" i="1"/>
  <c r="H2764" i="1"/>
  <c r="H2772" i="1"/>
  <c r="H2780" i="1"/>
  <c r="H2788" i="1"/>
  <c r="H2796" i="1"/>
  <c r="H2804" i="1"/>
  <c r="H2812" i="1"/>
  <c r="H2820" i="1"/>
  <c r="H2828" i="1"/>
  <c r="H2836" i="1"/>
  <c r="H2844" i="1"/>
  <c r="H2852" i="1"/>
  <c r="H2860" i="1"/>
  <c r="H2868" i="1"/>
  <c r="H2876" i="1"/>
  <c r="H2884" i="1"/>
  <c r="H2892" i="1"/>
  <c r="H2900" i="1"/>
  <c r="H2908" i="1"/>
  <c r="H2916" i="1"/>
  <c r="H2924" i="1"/>
  <c r="H2932" i="1"/>
  <c r="H2940" i="1"/>
  <c r="H2948" i="1"/>
  <c r="H2956" i="1"/>
  <c r="H2964" i="1"/>
  <c r="H2972" i="1"/>
  <c r="H2980" i="1"/>
  <c r="H2988" i="1"/>
  <c r="H2996" i="1"/>
  <c r="H3004" i="1"/>
  <c r="H3012" i="1"/>
  <c r="H3020" i="1"/>
  <c r="H3028" i="1"/>
  <c r="H3036" i="1"/>
  <c r="H3044" i="1"/>
  <c r="H3052" i="1"/>
  <c r="H3060" i="1"/>
  <c r="H3068" i="1"/>
  <c r="H3076" i="1"/>
  <c r="H3084" i="1"/>
  <c r="H3092" i="1"/>
  <c r="H3100" i="1"/>
  <c r="H3108" i="1"/>
  <c r="H3116" i="1"/>
  <c r="H3124" i="1"/>
  <c r="H3132" i="1"/>
  <c r="H3140" i="1"/>
  <c r="H3148" i="1"/>
  <c r="H3156" i="1"/>
  <c r="H3164" i="1"/>
  <c r="H3172" i="1"/>
  <c r="H3180" i="1"/>
  <c r="H3188" i="1"/>
  <c r="H3196" i="1"/>
  <c r="H3204" i="1"/>
  <c r="H3212" i="1"/>
  <c r="H3220" i="1"/>
  <c r="H3228" i="1"/>
  <c r="H3236" i="1"/>
  <c r="H3244" i="1"/>
  <c r="H3252" i="1"/>
  <c r="H3260" i="1"/>
  <c r="H3268" i="1"/>
  <c r="H3276" i="1"/>
  <c r="H3284" i="1"/>
  <c r="H3292" i="1"/>
  <c r="H3300" i="1"/>
  <c r="H3308" i="1"/>
  <c r="H3316" i="1"/>
  <c r="H3324" i="1"/>
  <c r="H3332" i="1"/>
  <c r="H3340" i="1"/>
  <c r="H3348" i="1"/>
  <c r="H3356" i="1"/>
  <c r="H3364" i="1"/>
  <c r="H3372" i="1"/>
  <c r="H3380" i="1"/>
  <c r="H3388" i="1"/>
  <c r="H3396" i="1"/>
  <c r="H3404" i="1"/>
  <c r="H3412" i="1"/>
  <c r="H3420" i="1"/>
  <c r="H3428" i="1"/>
  <c r="H3436" i="1"/>
  <c r="H3444" i="1"/>
  <c r="H3452" i="1"/>
  <c r="H3460" i="1"/>
  <c r="H3468" i="1"/>
  <c r="H3476" i="1"/>
  <c r="H3484" i="1"/>
  <c r="H3492" i="1"/>
  <c r="H3500" i="1"/>
  <c r="H3508" i="1"/>
  <c r="H3516" i="1"/>
  <c r="H3524" i="1"/>
  <c r="H3532" i="1"/>
  <c r="H3540" i="1"/>
  <c r="H3548" i="1"/>
  <c r="H3556" i="1"/>
  <c r="H3564" i="1"/>
  <c r="H3572" i="1"/>
  <c r="H3580" i="1"/>
  <c r="H3588" i="1"/>
  <c r="H3596" i="1"/>
  <c r="H3604" i="1"/>
  <c r="H3612" i="1"/>
  <c r="H3620" i="1"/>
  <c r="H3628" i="1"/>
  <c r="H3636" i="1"/>
  <c r="H3644" i="1"/>
  <c r="H3652" i="1"/>
  <c r="H3660" i="1"/>
  <c r="H3668" i="1"/>
  <c r="H3676" i="1"/>
  <c r="H3684" i="1"/>
  <c r="H3692" i="1"/>
  <c r="H3700" i="1"/>
  <c r="H3708" i="1"/>
  <c r="H3716" i="1"/>
  <c r="H3724" i="1"/>
  <c r="H3732" i="1"/>
  <c r="H3740" i="1"/>
  <c r="H3748" i="1"/>
  <c r="H3756" i="1"/>
  <c r="H3764" i="1"/>
  <c r="H3772" i="1"/>
  <c r="H3780" i="1"/>
  <c r="H3788" i="1"/>
  <c r="H3796" i="1"/>
  <c r="H3804" i="1"/>
  <c r="H3812" i="1"/>
  <c r="H3820" i="1"/>
  <c r="H3828" i="1"/>
  <c r="H3525" i="1"/>
  <c r="H3541" i="1"/>
  <c r="H3557" i="1"/>
  <c r="H3573" i="1"/>
  <c r="H3589" i="1"/>
  <c r="H3605" i="1"/>
  <c r="H3621" i="1"/>
  <c r="H3637" i="1"/>
  <c r="H3653" i="1"/>
  <c r="H3669" i="1"/>
  <c r="H3685" i="1"/>
  <c r="H3701" i="1"/>
  <c r="H3717" i="1"/>
  <c r="H3733" i="1"/>
  <c r="H3749" i="1"/>
  <c r="H3765" i="1"/>
  <c r="H3781" i="1"/>
  <c r="H3797" i="1"/>
  <c r="H3813" i="1"/>
  <c r="H3829" i="1"/>
  <c r="H3838" i="1"/>
  <c r="H3846" i="1"/>
  <c r="H3854" i="1"/>
  <c r="H3862" i="1"/>
  <c r="H3870" i="1"/>
  <c r="H3878" i="1"/>
  <c r="H3886" i="1"/>
  <c r="H3894" i="1"/>
  <c r="H3902" i="1"/>
  <c r="H3910" i="1"/>
  <c r="H3918" i="1"/>
  <c r="H3926" i="1"/>
  <c r="H3934" i="1"/>
  <c r="H3942" i="1"/>
  <c r="H3950" i="1"/>
  <c r="H3958" i="1"/>
  <c r="H3966" i="1"/>
  <c r="H3974" i="1"/>
  <c r="H3982" i="1"/>
  <c r="H3990" i="1"/>
  <c r="H3998" i="1"/>
  <c r="H4006" i="1"/>
  <c r="H4014" i="1"/>
  <c r="H4022" i="1"/>
  <c r="H4030" i="1"/>
  <c r="H4038" i="1"/>
  <c r="H4046" i="1"/>
  <c r="H4054" i="1"/>
  <c r="H4062" i="1"/>
  <c r="H4070" i="1"/>
  <c r="H4078" i="1"/>
  <c r="H4086" i="1"/>
  <c r="H4094" i="1"/>
  <c r="H4102" i="1"/>
  <c r="H4110" i="1"/>
  <c r="H4118" i="1"/>
  <c r="H4126" i="1"/>
  <c r="H4134" i="1"/>
  <c r="H4142" i="1"/>
  <c r="H4150" i="1"/>
  <c r="H4158" i="1"/>
  <c r="H4166" i="1"/>
  <c r="H4174" i="1"/>
  <c r="H4182" i="1"/>
  <c r="H4190" i="1"/>
  <c r="H4198" i="1"/>
  <c r="H4206" i="1"/>
  <c r="H4214" i="1"/>
  <c r="H4222" i="1"/>
  <c r="H4230" i="1"/>
  <c r="H4238" i="1"/>
  <c r="H4246" i="1"/>
  <c r="H4254" i="1"/>
  <c r="H4262" i="1"/>
  <c r="H4270" i="1"/>
  <c r="H4278" i="1"/>
  <c r="H4286" i="1"/>
  <c r="H4294" i="1"/>
  <c r="H4302" i="1"/>
  <c r="H4310" i="1"/>
  <c r="H4318" i="1"/>
  <c r="H4326" i="1"/>
  <c r="H4334" i="1"/>
  <c r="H4342" i="1"/>
  <c r="H4350" i="1"/>
  <c r="H4358" i="1"/>
  <c r="H4366" i="1"/>
  <c r="H4374" i="1"/>
  <c r="H4382" i="1"/>
  <c r="H4390" i="1"/>
  <c r="H4398" i="1"/>
  <c r="H4406" i="1"/>
  <c r="H4414" i="1"/>
  <c r="H4422" i="1"/>
  <c r="H4430" i="1"/>
  <c r="H4438" i="1"/>
  <c r="H4446" i="1"/>
  <c r="H4454" i="1"/>
  <c r="H4462" i="1"/>
  <c r="H4470" i="1"/>
  <c r="H4478" i="1"/>
  <c r="H4486" i="1"/>
  <c r="H4494" i="1"/>
  <c r="H4502" i="1"/>
  <c r="H4510" i="1"/>
  <c r="H4518" i="1"/>
  <c r="H4526" i="1"/>
  <c r="H4534" i="1"/>
  <c r="H4542" i="1"/>
  <c r="H4550" i="1"/>
  <c r="H4558" i="1"/>
  <c r="H4566" i="1"/>
  <c r="H4574" i="1"/>
  <c r="H4582" i="1"/>
  <c r="H4590" i="1"/>
  <c r="H4598" i="1"/>
  <c r="H4606" i="1"/>
  <c r="H4614" i="1"/>
  <c r="H4622" i="1"/>
  <c r="H4630" i="1"/>
  <c r="H4638" i="1"/>
  <c r="H4646" i="1"/>
  <c r="H4654" i="1"/>
  <c r="H4662" i="1"/>
  <c r="H4670" i="1"/>
  <c r="H4678" i="1"/>
  <c r="H4686" i="1"/>
  <c r="H4694" i="1"/>
  <c r="H4702" i="1"/>
  <c r="H4710" i="1"/>
  <c r="H4718" i="1"/>
  <c r="H4726" i="1"/>
  <c r="H4734" i="1"/>
  <c r="H4742" i="1"/>
  <c r="H4750" i="1"/>
  <c r="H4758" i="1"/>
  <c r="H4766" i="1"/>
  <c r="H4774" i="1"/>
  <c r="H4782" i="1"/>
  <c r="H4790" i="1"/>
  <c r="H4798" i="1"/>
  <c r="H4806" i="1"/>
  <c r="H4814" i="1"/>
  <c r="H4822" i="1"/>
  <c r="H4830" i="1"/>
  <c r="H4838" i="1"/>
  <c r="H4846" i="1"/>
  <c r="H4854" i="1"/>
  <c r="H4862" i="1"/>
  <c r="H4870" i="1"/>
  <c r="H4878" i="1"/>
  <c r="H4886" i="1"/>
  <c r="H4894" i="1"/>
  <c r="H4902" i="1"/>
  <c r="H4910" i="1"/>
  <c r="H4918" i="1"/>
  <c r="H4926" i="1"/>
  <c r="H4934" i="1"/>
  <c r="H4942" i="1"/>
  <c r="H4950" i="1"/>
  <c r="H4958" i="1"/>
  <c r="H4966" i="1"/>
  <c r="H4974" i="1"/>
  <c r="H4982" i="1"/>
  <c r="H4990" i="1"/>
  <c r="H4998" i="1"/>
  <c r="H3527" i="1"/>
  <c r="H3543" i="1"/>
  <c r="H3559" i="1"/>
  <c r="H3575" i="1"/>
  <c r="H3591" i="1"/>
  <c r="H3607" i="1"/>
  <c r="H3623" i="1"/>
  <c r="H3639" i="1"/>
  <c r="H3655" i="1"/>
  <c r="H3671" i="1"/>
  <c r="H3687" i="1"/>
  <c r="H3703" i="1"/>
  <c r="H3719" i="1"/>
  <c r="H3735" i="1"/>
  <c r="H3751" i="1"/>
  <c r="H3767" i="1"/>
  <c r="H3783" i="1"/>
  <c r="H3799" i="1"/>
  <c r="H3815" i="1"/>
  <c r="H3831" i="1"/>
  <c r="H3839" i="1"/>
  <c r="H3847" i="1"/>
  <c r="H3855" i="1"/>
  <c r="H3863" i="1"/>
  <c r="H3871" i="1"/>
  <c r="H3879" i="1"/>
  <c r="H3887" i="1"/>
  <c r="H3895" i="1"/>
  <c r="H3903" i="1"/>
  <c r="H3911" i="1"/>
  <c r="H3919" i="1"/>
  <c r="H3927" i="1"/>
  <c r="H3935" i="1"/>
  <c r="H3943" i="1"/>
  <c r="H3951" i="1"/>
  <c r="H3959" i="1"/>
  <c r="H3967" i="1"/>
  <c r="H3975" i="1"/>
  <c r="H3983" i="1"/>
  <c r="H3991" i="1"/>
  <c r="H3999" i="1"/>
  <c r="H4007" i="1"/>
  <c r="H4015" i="1"/>
  <c r="H4023" i="1"/>
  <c r="H4031" i="1"/>
  <c r="H4039" i="1"/>
  <c r="H4047" i="1"/>
  <c r="H4055" i="1"/>
  <c r="H4063" i="1"/>
  <c r="H4071" i="1"/>
  <c r="H4079" i="1"/>
  <c r="H4087" i="1"/>
  <c r="H4095" i="1"/>
  <c r="H4103" i="1"/>
  <c r="H4111" i="1"/>
  <c r="H4119" i="1"/>
  <c r="H4127" i="1"/>
  <c r="H4135" i="1"/>
  <c r="H4143" i="1"/>
  <c r="H4151" i="1"/>
  <c r="H4159" i="1"/>
  <c r="H4167" i="1"/>
  <c r="H4175" i="1"/>
  <c r="H4183" i="1"/>
  <c r="H4191" i="1"/>
  <c r="H4199" i="1"/>
  <c r="H4207" i="1"/>
  <c r="H4215" i="1"/>
  <c r="H4223" i="1"/>
  <c r="H4231" i="1"/>
  <c r="H4239" i="1"/>
  <c r="H4247" i="1"/>
  <c r="H4255" i="1"/>
  <c r="H4263" i="1"/>
  <c r="H4271" i="1"/>
  <c r="H4279" i="1"/>
  <c r="H4287" i="1"/>
  <c r="H4295" i="1"/>
  <c r="H4303" i="1"/>
  <c r="H4311" i="1"/>
  <c r="H4319" i="1"/>
  <c r="H4327" i="1"/>
  <c r="H4335" i="1"/>
  <c r="H4343" i="1"/>
  <c r="H4351" i="1"/>
  <c r="H4359" i="1"/>
  <c r="H4367" i="1"/>
  <c r="H4375" i="1"/>
  <c r="H4383" i="1"/>
  <c r="H4391" i="1"/>
  <c r="H4399" i="1"/>
  <c r="H4407" i="1"/>
  <c r="H4415" i="1"/>
  <c r="H4423" i="1"/>
  <c r="H4431" i="1"/>
  <c r="H4439" i="1"/>
  <c r="H4447" i="1"/>
  <c r="H4455" i="1"/>
  <c r="H4463" i="1"/>
  <c r="H4471" i="1"/>
  <c r="H4479" i="1"/>
  <c r="H4487" i="1"/>
  <c r="H4495" i="1"/>
  <c r="H4503" i="1"/>
  <c r="H4511" i="1"/>
  <c r="H4519" i="1"/>
  <c r="H4527" i="1"/>
  <c r="H4535" i="1"/>
  <c r="H4543" i="1"/>
  <c r="H4551" i="1"/>
  <c r="H4559" i="1"/>
  <c r="H4567" i="1"/>
  <c r="H4575" i="1"/>
  <c r="H4583" i="1"/>
  <c r="H4591" i="1"/>
  <c r="H4599" i="1"/>
  <c r="H4607" i="1"/>
  <c r="H4615" i="1"/>
  <c r="H4623" i="1"/>
  <c r="H4631" i="1"/>
  <c r="H4639" i="1"/>
  <c r="H4647" i="1"/>
  <c r="H4655" i="1"/>
  <c r="H4663" i="1"/>
  <c r="H4671" i="1"/>
  <c r="H4679" i="1"/>
  <c r="H4687" i="1"/>
  <c r="H4695" i="1"/>
  <c r="H4703" i="1"/>
  <c r="H4711" i="1"/>
  <c r="H4719" i="1"/>
  <c r="H4727" i="1"/>
  <c r="H4735" i="1"/>
  <c r="H4743" i="1"/>
  <c r="H4751" i="1"/>
  <c r="H4759" i="1"/>
  <c r="H4767" i="1"/>
  <c r="H4775" i="1"/>
  <c r="H4783" i="1"/>
  <c r="H4791" i="1"/>
  <c r="H4799" i="1"/>
  <c r="H4807" i="1"/>
  <c r="H4815" i="1"/>
  <c r="H4823" i="1"/>
  <c r="H4831" i="1"/>
  <c r="H4839" i="1"/>
  <c r="H4847" i="1"/>
  <c r="H4855" i="1"/>
  <c r="H4863" i="1"/>
  <c r="H4871" i="1"/>
  <c r="H4879" i="1"/>
  <c r="H4887" i="1"/>
  <c r="H4895" i="1"/>
  <c r="H4903" i="1"/>
  <c r="H4911" i="1"/>
  <c r="H4919" i="1"/>
  <c r="H4927" i="1"/>
  <c r="H4935" i="1"/>
  <c r="H4943" i="1"/>
  <c r="H4951" i="1"/>
  <c r="H4959" i="1"/>
  <c r="H4967" i="1"/>
  <c r="H4975" i="1"/>
  <c r="H4983" i="1"/>
  <c r="H4991" i="1"/>
  <c r="H4999" i="1"/>
  <c r="H2991" i="1"/>
  <c r="H3001" i="1"/>
  <c r="H3009" i="1"/>
  <c r="H3017" i="1"/>
  <c r="H3025" i="1"/>
  <c r="H3033" i="1"/>
  <c r="H3041" i="1"/>
  <c r="H3049" i="1"/>
  <c r="H3057" i="1"/>
  <c r="H3065" i="1"/>
  <c r="H3073" i="1"/>
  <c r="H3081" i="1"/>
  <c r="H3089" i="1"/>
  <c r="H3097" i="1"/>
  <c r="H3105" i="1"/>
  <c r="H3113" i="1"/>
  <c r="H3121" i="1"/>
  <c r="H3129" i="1"/>
  <c r="H3137" i="1"/>
  <c r="H3145" i="1"/>
  <c r="H3153" i="1"/>
  <c r="H3161" i="1"/>
  <c r="H3169" i="1"/>
  <c r="H3177" i="1"/>
  <c r="H3185" i="1"/>
  <c r="H3193" i="1"/>
  <c r="H3201" i="1"/>
  <c r="H3209" i="1"/>
  <c r="H3217" i="1"/>
  <c r="H3225" i="1"/>
  <c r="H3233" i="1"/>
  <c r="H3241" i="1"/>
  <c r="H3249" i="1"/>
  <c r="H3257" i="1"/>
  <c r="H3265" i="1"/>
  <c r="H3273" i="1"/>
  <c r="H3281" i="1"/>
  <c r="H3289" i="1"/>
  <c r="H3297" i="1"/>
  <c r="H3305" i="1"/>
  <c r="H3313" i="1"/>
  <c r="H3321" i="1"/>
  <c r="H3329" i="1"/>
  <c r="H3337" i="1"/>
  <c r="H3345" i="1"/>
  <c r="H3353" i="1"/>
  <c r="H3361" i="1"/>
  <c r="H3369" i="1"/>
  <c r="H3377" i="1"/>
  <c r="H3385" i="1"/>
  <c r="H3393" i="1"/>
  <c r="H3401" i="1"/>
  <c r="H3409" i="1"/>
  <c r="H3417" i="1"/>
  <c r="H3425" i="1"/>
  <c r="H3433" i="1"/>
  <c r="H3441" i="1"/>
  <c r="H3449" i="1"/>
  <c r="H3457" i="1"/>
  <c r="H3465" i="1"/>
  <c r="H3473" i="1"/>
  <c r="H3481" i="1"/>
  <c r="H3489" i="1"/>
  <c r="H3497" i="1"/>
  <c r="H3505" i="1"/>
  <c r="H3513" i="1"/>
  <c r="H2352" i="1"/>
  <c r="H2368" i="1"/>
  <c r="H2384" i="1"/>
  <c r="H2400" i="1"/>
  <c r="H2416" i="1"/>
  <c r="H2432" i="1"/>
  <c r="H2448" i="1"/>
  <c r="H2464" i="1"/>
  <c r="H2480" i="1"/>
  <c r="H2496" i="1"/>
  <c r="H2512" i="1"/>
  <c r="H2528" i="1"/>
  <c r="H2544" i="1"/>
  <c r="H2560" i="1"/>
  <c r="H2576" i="1"/>
  <c r="H2592" i="1"/>
  <c r="H2600" i="1"/>
  <c r="H2608" i="1"/>
  <c r="H2616" i="1"/>
  <c r="H2624" i="1"/>
  <c r="H2632" i="1"/>
  <c r="H2640" i="1"/>
  <c r="H2648" i="1"/>
  <c r="H2656" i="1"/>
  <c r="H2664" i="1"/>
  <c r="H2672" i="1"/>
  <c r="H2680" i="1"/>
  <c r="H2688" i="1"/>
  <c r="H2696" i="1"/>
  <c r="H2704" i="1"/>
  <c r="H2712" i="1"/>
  <c r="H2720" i="1"/>
  <c r="H2728" i="1"/>
  <c r="H2736" i="1"/>
  <c r="H2744" i="1"/>
  <c r="H2752" i="1"/>
  <c r="H2760" i="1"/>
  <c r="H2768" i="1"/>
  <c r="H2776" i="1"/>
  <c r="H2784" i="1"/>
  <c r="H2792" i="1"/>
  <c r="H2800" i="1"/>
  <c r="H2808" i="1"/>
  <c r="H2816" i="1"/>
  <c r="H2824" i="1"/>
  <c r="H2832" i="1"/>
  <c r="H2840" i="1"/>
  <c r="H2848" i="1"/>
  <c r="H2856" i="1"/>
  <c r="H2864" i="1"/>
  <c r="H2872" i="1"/>
  <c r="H2880" i="1"/>
  <c r="H2888" i="1"/>
  <c r="H2896" i="1"/>
  <c r="H2904" i="1"/>
  <c r="H2912" i="1"/>
  <c r="H2920" i="1"/>
  <c r="H2928" i="1"/>
  <c r="H2936" i="1"/>
  <c r="H2944" i="1"/>
  <c r="H2952" i="1"/>
  <c r="H2960" i="1"/>
  <c r="H2968" i="1"/>
  <c r="H2976" i="1"/>
  <c r="H2984" i="1"/>
  <c r="H2992" i="1"/>
  <c r="H3000" i="1"/>
  <c r="H3008" i="1"/>
  <c r="H3016" i="1"/>
  <c r="H3024" i="1"/>
  <c r="H3032" i="1"/>
  <c r="H3040" i="1"/>
  <c r="H3048" i="1"/>
  <c r="H3056" i="1"/>
  <c r="H3064" i="1"/>
  <c r="H3072" i="1"/>
  <c r="H3080" i="1"/>
  <c r="H3088" i="1"/>
  <c r="H3096" i="1"/>
  <c r="H3104" i="1"/>
  <c r="H3112" i="1"/>
  <c r="H3120" i="1"/>
  <c r="H3128" i="1"/>
  <c r="H3136" i="1"/>
  <c r="H3144" i="1"/>
  <c r="H3152" i="1"/>
  <c r="H3160" i="1"/>
  <c r="H3168" i="1"/>
  <c r="H3176" i="1"/>
  <c r="H3184" i="1"/>
  <c r="H3192" i="1"/>
  <c r="H3200" i="1"/>
  <c r="H3208" i="1"/>
  <c r="H3216" i="1"/>
  <c r="H3224" i="1"/>
  <c r="H3232" i="1"/>
  <c r="H3240" i="1"/>
  <c r="H3248" i="1"/>
  <c r="H3256" i="1"/>
  <c r="H3264" i="1"/>
  <c r="H3272" i="1"/>
  <c r="H3280" i="1"/>
  <c r="H3288" i="1"/>
  <c r="H3296" i="1"/>
  <c r="H3304" i="1"/>
  <c r="H3312" i="1"/>
  <c r="H3320" i="1"/>
  <c r="H3328" i="1"/>
  <c r="H3336" i="1"/>
  <c r="H3344" i="1"/>
  <c r="H3352" i="1"/>
  <c r="H3360" i="1"/>
  <c r="H3368" i="1"/>
  <c r="H3376" i="1"/>
  <c r="H3384" i="1"/>
  <c r="H3392" i="1"/>
  <c r="H3400" i="1"/>
  <c r="H3408" i="1"/>
  <c r="H3416" i="1"/>
  <c r="H3424" i="1"/>
  <c r="H3432" i="1"/>
  <c r="H3440" i="1"/>
  <c r="H3448" i="1"/>
  <c r="H3456" i="1"/>
  <c r="H3464" i="1"/>
  <c r="H3472" i="1"/>
  <c r="H3480" i="1"/>
  <c r="H3488" i="1"/>
  <c r="H3496" i="1"/>
  <c r="H3504" i="1"/>
  <c r="H3512" i="1"/>
  <c r="H3520" i="1"/>
  <c r="H3528" i="1"/>
  <c r="H3536" i="1"/>
  <c r="H3544" i="1"/>
  <c r="H3552" i="1"/>
  <c r="H3560" i="1"/>
  <c r="H3568" i="1"/>
  <c r="H3576" i="1"/>
  <c r="H3584" i="1"/>
  <c r="H3592" i="1"/>
  <c r="H3600" i="1"/>
  <c r="H3608" i="1"/>
  <c r="H3616" i="1"/>
  <c r="H3624" i="1"/>
  <c r="H3632" i="1"/>
  <c r="H3640" i="1"/>
  <c r="H3648" i="1"/>
  <c r="H3656" i="1"/>
  <c r="H3664" i="1"/>
  <c r="H3672" i="1"/>
  <c r="H3680" i="1"/>
  <c r="H3688" i="1"/>
  <c r="H3696" i="1"/>
  <c r="H3704" i="1"/>
  <c r="H3712" i="1"/>
  <c r="H3720" i="1"/>
  <c r="H3728" i="1"/>
  <c r="H3736" i="1"/>
  <c r="H3744" i="1"/>
  <c r="H3752" i="1"/>
  <c r="H3760" i="1"/>
  <c r="H3768" i="1"/>
  <c r="H3776" i="1"/>
  <c r="H3784" i="1"/>
  <c r="H3792" i="1"/>
  <c r="H3800" i="1"/>
  <c r="H3808" i="1"/>
  <c r="H3816" i="1"/>
  <c r="H3824" i="1"/>
  <c r="H3517" i="1"/>
  <c r="H3533" i="1"/>
  <c r="H3549" i="1"/>
  <c r="H3565" i="1"/>
  <c r="H3581" i="1"/>
  <c r="H3597" i="1"/>
  <c r="H3613" i="1"/>
  <c r="H3629" i="1"/>
  <c r="H3645" i="1"/>
  <c r="H3661" i="1"/>
  <c r="H3677" i="1"/>
  <c r="H3693" i="1"/>
  <c r="H3709" i="1"/>
  <c r="H3725" i="1"/>
  <c r="H3741" i="1"/>
  <c r="H3757" i="1"/>
  <c r="H3773" i="1"/>
  <c r="H3789" i="1"/>
  <c r="H3805" i="1"/>
  <c r="H3821" i="1"/>
  <c r="H3834" i="1"/>
  <c r="H3842" i="1"/>
  <c r="H3850" i="1"/>
  <c r="H3858" i="1"/>
  <c r="H3866" i="1"/>
  <c r="H3874" i="1"/>
  <c r="H3882" i="1"/>
  <c r="H3890" i="1"/>
  <c r="H3898" i="1"/>
  <c r="H3906" i="1"/>
  <c r="H3914" i="1"/>
  <c r="H3922" i="1"/>
  <c r="H3930" i="1"/>
  <c r="H3938" i="1"/>
  <c r="H3946" i="1"/>
  <c r="H3954" i="1"/>
  <c r="H3962" i="1"/>
  <c r="H3970" i="1"/>
  <c r="H3978" i="1"/>
  <c r="H3986" i="1"/>
  <c r="H3994" i="1"/>
  <c r="H4002" i="1"/>
  <c r="H4010" i="1"/>
  <c r="H4018" i="1"/>
  <c r="H4026" i="1"/>
  <c r="H4034" i="1"/>
  <c r="H4042" i="1"/>
  <c r="H4050" i="1"/>
  <c r="H4058" i="1"/>
  <c r="H4066" i="1"/>
  <c r="H4074" i="1"/>
  <c r="H4082" i="1"/>
  <c r="H4090" i="1"/>
  <c r="H4098" i="1"/>
  <c r="H4106" i="1"/>
  <c r="H4114" i="1"/>
  <c r="H4122" i="1"/>
  <c r="H4130" i="1"/>
  <c r="H4138" i="1"/>
  <c r="H4146" i="1"/>
  <c r="H4154" i="1"/>
  <c r="H4162" i="1"/>
  <c r="H4170" i="1"/>
  <c r="H4178" i="1"/>
  <c r="H4186" i="1"/>
  <c r="H4194" i="1"/>
  <c r="H4202" i="1"/>
  <c r="H4210" i="1"/>
  <c r="H4218" i="1"/>
  <c r="H4226" i="1"/>
  <c r="H4234" i="1"/>
  <c r="H4242" i="1"/>
  <c r="H4250" i="1"/>
  <c r="H4258" i="1"/>
  <c r="H4266" i="1"/>
  <c r="H4274" i="1"/>
  <c r="H4282" i="1"/>
  <c r="H4290" i="1"/>
  <c r="H4298" i="1"/>
  <c r="H4306" i="1"/>
  <c r="H4314" i="1"/>
  <c r="H4322" i="1"/>
  <c r="H4330" i="1"/>
  <c r="H4338" i="1"/>
  <c r="H4346" i="1"/>
  <c r="H4354" i="1"/>
  <c r="H4362" i="1"/>
  <c r="H4370" i="1"/>
  <c r="H4378" i="1"/>
  <c r="H4386" i="1"/>
  <c r="H4394" i="1"/>
  <c r="H4402" i="1"/>
  <c r="H4410" i="1"/>
  <c r="H4418" i="1"/>
  <c r="H4426" i="1"/>
  <c r="H4434" i="1"/>
  <c r="H4442" i="1"/>
  <c r="H4450" i="1"/>
  <c r="H4458" i="1"/>
  <c r="H4466" i="1"/>
  <c r="H4474" i="1"/>
  <c r="H4482" i="1"/>
  <c r="H4490" i="1"/>
  <c r="H4498" i="1"/>
  <c r="H4506" i="1"/>
  <c r="H4514" i="1"/>
  <c r="H4522" i="1"/>
  <c r="H4530" i="1"/>
  <c r="H4538" i="1"/>
  <c r="H4546" i="1"/>
  <c r="H4554" i="1"/>
  <c r="H4562" i="1"/>
  <c r="H4570" i="1"/>
  <c r="H4578" i="1"/>
  <c r="H4586" i="1"/>
  <c r="H4594" i="1"/>
  <c r="H4602" i="1"/>
  <c r="H4610" i="1"/>
  <c r="H4618" i="1"/>
  <c r="H4626" i="1"/>
  <c r="H4634" i="1"/>
  <c r="H4642" i="1"/>
  <c r="H4650" i="1"/>
  <c r="H4658" i="1"/>
  <c r="H4666" i="1"/>
  <c r="H4674" i="1"/>
  <c r="H4682" i="1"/>
  <c r="H4690" i="1"/>
  <c r="H4698" i="1"/>
  <c r="H4706" i="1"/>
  <c r="H4714" i="1"/>
  <c r="H4722" i="1"/>
  <c r="H4730" i="1"/>
  <c r="H4738" i="1"/>
  <c r="H4746" i="1"/>
  <c r="H4754" i="1"/>
  <c r="H4762" i="1"/>
  <c r="H4770" i="1"/>
  <c r="H4778" i="1"/>
  <c r="H4786" i="1"/>
  <c r="H4794" i="1"/>
  <c r="H4802" i="1"/>
  <c r="H4810" i="1"/>
  <c r="H4818" i="1"/>
  <c r="H4826" i="1"/>
  <c r="H4834" i="1"/>
  <c r="H4842" i="1"/>
  <c r="H4850" i="1"/>
  <c r="H4858" i="1"/>
  <c r="H4866" i="1"/>
  <c r="H4874" i="1"/>
  <c r="H4882" i="1"/>
  <c r="H4890" i="1"/>
  <c r="H4898" i="1"/>
  <c r="H4906" i="1"/>
  <c r="H4914" i="1"/>
  <c r="H4922" i="1"/>
  <c r="H4930" i="1"/>
  <c r="H4938" i="1"/>
  <c r="H4946" i="1"/>
  <c r="H4954" i="1"/>
  <c r="H4962" i="1"/>
  <c r="H4970" i="1"/>
  <c r="H4978" i="1"/>
  <c r="H4986" i="1"/>
  <c r="H4994" i="1"/>
  <c r="H3519" i="1"/>
  <c r="H3535" i="1"/>
  <c r="H3551" i="1"/>
  <c r="H3567" i="1"/>
  <c r="H3583" i="1"/>
  <c r="H3599" i="1"/>
  <c r="H3615" i="1"/>
  <c r="H3631" i="1"/>
  <c r="H3647" i="1"/>
  <c r="H3663" i="1"/>
  <c r="H3679" i="1"/>
  <c r="H3695" i="1"/>
  <c r="H3711" i="1"/>
  <c r="H3727" i="1"/>
  <c r="H3743" i="1"/>
  <c r="H3759" i="1"/>
  <c r="H3775" i="1"/>
  <c r="H3791" i="1"/>
  <c r="H3807" i="1"/>
  <c r="H3823" i="1"/>
  <c r="H3835" i="1"/>
  <c r="H3843" i="1"/>
  <c r="H3851" i="1"/>
  <c r="H3859" i="1"/>
  <c r="H3867" i="1"/>
  <c r="H3875" i="1"/>
  <c r="H3883" i="1"/>
  <c r="H3891" i="1"/>
  <c r="H3899" i="1"/>
  <c r="H3907" i="1"/>
  <c r="H3915" i="1"/>
  <c r="H3923" i="1"/>
  <c r="H3931" i="1"/>
  <c r="H3939" i="1"/>
  <c r="H3947" i="1"/>
  <c r="H3955" i="1"/>
  <c r="H3963" i="1"/>
  <c r="H3971" i="1"/>
  <c r="H3979" i="1"/>
  <c r="H3987" i="1"/>
  <c r="H3995" i="1"/>
  <c r="H4003" i="1"/>
  <c r="H4011" i="1"/>
  <c r="H4019" i="1"/>
  <c r="H4027" i="1"/>
  <c r="H4035" i="1"/>
  <c r="H4043" i="1"/>
  <c r="H4051" i="1"/>
  <c r="H4059" i="1"/>
  <c r="H4067" i="1"/>
  <c r="H4075" i="1"/>
  <c r="H4083" i="1"/>
  <c r="H4091" i="1"/>
  <c r="H4099" i="1"/>
  <c r="H4107" i="1"/>
  <c r="H4115" i="1"/>
  <c r="H4123" i="1"/>
  <c r="H4131" i="1"/>
  <c r="H4139" i="1"/>
  <c r="H4147" i="1"/>
  <c r="H4155" i="1"/>
  <c r="H4163" i="1"/>
  <c r="H4171" i="1"/>
  <c r="H4179" i="1"/>
  <c r="H4187" i="1"/>
  <c r="H4195" i="1"/>
  <c r="H4203" i="1"/>
  <c r="H4211" i="1"/>
  <c r="H4219" i="1"/>
  <c r="H4227" i="1"/>
  <c r="H4235" i="1"/>
  <c r="H4243" i="1"/>
  <c r="H4251" i="1"/>
  <c r="H4259" i="1"/>
  <c r="H4267" i="1"/>
  <c r="H4275" i="1"/>
  <c r="H4283" i="1"/>
  <c r="H4291" i="1"/>
  <c r="H4299" i="1"/>
  <c r="H4307" i="1"/>
  <c r="H4315" i="1"/>
  <c r="H4323" i="1"/>
  <c r="H4331" i="1"/>
  <c r="H4339" i="1"/>
  <c r="H4347" i="1"/>
  <c r="H4355" i="1"/>
  <c r="H4363" i="1"/>
  <c r="H4371" i="1"/>
  <c r="H4379" i="1"/>
  <c r="H4387" i="1"/>
  <c r="H4395" i="1"/>
  <c r="H4403" i="1"/>
  <c r="H4411" i="1"/>
  <c r="H4419" i="1"/>
  <c r="H4427" i="1"/>
  <c r="H4435" i="1"/>
  <c r="H4443" i="1"/>
  <c r="H4451" i="1"/>
  <c r="H4459" i="1"/>
  <c r="H4467" i="1"/>
  <c r="H4475" i="1"/>
  <c r="H4483" i="1"/>
  <c r="H4491" i="1"/>
  <c r="H4499" i="1"/>
  <c r="H4507" i="1"/>
  <c r="H4515" i="1"/>
  <c r="H4523" i="1"/>
  <c r="H4531" i="1"/>
  <c r="H4539" i="1"/>
  <c r="H4547" i="1"/>
  <c r="H4555" i="1"/>
  <c r="H4563" i="1"/>
  <c r="H4571" i="1"/>
  <c r="H4579" i="1"/>
  <c r="H4587" i="1"/>
  <c r="H4595" i="1"/>
  <c r="H4603" i="1"/>
  <c r="H4611" i="1"/>
  <c r="H4619" i="1"/>
  <c r="H4627" i="1"/>
  <c r="H4635" i="1"/>
  <c r="H4643" i="1"/>
  <c r="H4651" i="1"/>
  <c r="H4659" i="1"/>
  <c r="H4667" i="1"/>
  <c r="H4675" i="1"/>
  <c r="H4683" i="1"/>
  <c r="H4691" i="1"/>
  <c r="H4699" i="1"/>
  <c r="H4707" i="1"/>
  <c r="H4715" i="1"/>
  <c r="H4723" i="1"/>
  <c r="H4731" i="1"/>
  <c r="H4739" i="1"/>
  <c r="H4747" i="1"/>
  <c r="H4755" i="1"/>
  <c r="H4763" i="1"/>
  <c r="H4771" i="1"/>
  <c r="H4779" i="1"/>
  <c r="H4787" i="1"/>
  <c r="H4795" i="1"/>
  <c r="H4803" i="1"/>
  <c r="H4811" i="1"/>
  <c r="H4819" i="1"/>
  <c r="H4827" i="1"/>
  <c r="H4835" i="1"/>
  <c r="H4843" i="1"/>
  <c r="H4851" i="1"/>
  <c r="H4859" i="1"/>
  <c r="H4867" i="1"/>
  <c r="H4875" i="1"/>
  <c r="H4883" i="1"/>
  <c r="H4891" i="1"/>
  <c r="H4899" i="1"/>
  <c r="H4907" i="1"/>
  <c r="H4915" i="1"/>
  <c r="H4923" i="1"/>
  <c r="H4931" i="1"/>
  <c r="H4939" i="1"/>
  <c r="H4947" i="1"/>
  <c r="H4955" i="1"/>
  <c r="H4963" i="1"/>
  <c r="H4971" i="1"/>
  <c r="H4979" i="1"/>
  <c r="H4987" i="1"/>
  <c r="H4995" i="1"/>
  <c r="G1" i="1"/>
  <c r="G5" i="1"/>
  <c r="G9" i="1"/>
  <c r="G13" i="1"/>
  <c r="G17" i="1"/>
  <c r="G21" i="1"/>
  <c r="G25" i="1"/>
  <c r="G29" i="1"/>
  <c r="G33" i="1"/>
  <c r="G37" i="1"/>
  <c r="G41" i="1"/>
  <c r="G45" i="1"/>
  <c r="G49" i="1"/>
  <c r="G53" i="1"/>
  <c r="G57" i="1"/>
  <c r="G61" i="1"/>
  <c r="G65" i="1"/>
  <c r="G69" i="1"/>
  <c r="G73" i="1"/>
  <c r="G77" i="1"/>
  <c r="G81" i="1"/>
  <c r="G85" i="1"/>
  <c r="G89" i="1"/>
  <c r="G93" i="1"/>
  <c r="G97" i="1"/>
  <c r="G101" i="1"/>
  <c r="G105" i="1"/>
  <c r="G109" i="1"/>
  <c r="G113" i="1"/>
  <c r="G117" i="1"/>
  <c r="G121" i="1"/>
  <c r="G125" i="1"/>
  <c r="G129" i="1"/>
  <c r="G133" i="1"/>
  <c r="G137" i="1"/>
  <c r="G141" i="1"/>
  <c r="G145" i="1"/>
  <c r="G149" i="1"/>
  <c r="G153" i="1"/>
  <c r="G157" i="1"/>
  <c r="G161" i="1"/>
  <c r="G165" i="1"/>
  <c r="G169" i="1"/>
  <c r="G6" i="1"/>
  <c r="G14" i="1"/>
  <c r="G22" i="1"/>
  <c r="G30" i="1"/>
  <c r="G38" i="1"/>
  <c r="G46" i="1"/>
  <c r="G54" i="1"/>
  <c r="G62" i="1"/>
  <c r="G70" i="1"/>
  <c r="G78" i="1"/>
  <c r="G86" i="1"/>
  <c r="G94" i="1"/>
  <c r="G102" i="1"/>
  <c r="G110" i="1"/>
  <c r="G118" i="1"/>
  <c r="G126" i="1"/>
  <c r="G134" i="1"/>
  <c r="G142" i="1"/>
  <c r="G150" i="1"/>
  <c r="G158" i="1"/>
  <c r="G166" i="1"/>
  <c r="G172" i="1"/>
  <c r="G176" i="1"/>
  <c r="G180" i="1"/>
  <c r="G184" i="1"/>
  <c r="G188" i="1"/>
  <c r="G192" i="1"/>
  <c r="G196" i="1"/>
  <c r="G200" i="1"/>
  <c r="G204" i="1"/>
  <c r="G208" i="1"/>
  <c r="G212" i="1"/>
  <c r="G216" i="1"/>
  <c r="G220" i="1"/>
  <c r="G224" i="1"/>
  <c r="G8" i="1"/>
  <c r="G16" i="1"/>
  <c r="G24" i="1"/>
  <c r="G32" i="1"/>
  <c r="G40" i="1"/>
  <c r="G48" i="1"/>
  <c r="G56" i="1"/>
  <c r="G64" i="1"/>
  <c r="G72" i="1"/>
  <c r="G80" i="1"/>
  <c r="G88" i="1"/>
  <c r="G96" i="1"/>
  <c r="G104" i="1"/>
  <c r="G112" i="1"/>
  <c r="G120" i="1"/>
  <c r="G128" i="1"/>
  <c r="G136" i="1"/>
  <c r="G144" i="1"/>
  <c r="G152" i="1"/>
  <c r="G160" i="1"/>
  <c r="G168" i="1"/>
  <c r="G173" i="1"/>
  <c r="G177" i="1"/>
  <c r="G181" i="1"/>
  <c r="G185" i="1"/>
  <c r="G189" i="1"/>
  <c r="G193" i="1"/>
  <c r="G197" i="1"/>
  <c r="G201" i="1"/>
  <c r="G205" i="1"/>
  <c r="G209" i="1"/>
  <c r="G213" i="1"/>
  <c r="G217" i="1"/>
  <c r="G221" i="1"/>
  <c r="G225" i="1"/>
  <c r="G229" i="1"/>
  <c r="G233" i="1"/>
  <c r="G237" i="1"/>
  <c r="G241" i="1"/>
  <c r="G245" i="1"/>
  <c r="G249" i="1"/>
  <c r="G253" i="1"/>
  <c r="G257" i="1"/>
  <c r="G261" i="1"/>
  <c r="G265" i="1"/>
  <c r="G269" i="1"/>
  <c r="G273" i="1"/>
  <c r="G277" i="1"/>
  <c r="G281" i="1"/>
  <c r="G285" i="1"/>
  <c r="G289" i="1"/>
  <c r="G293" i="1"/>
  <c r="G297" i="1"/>
  <c r="G301" i="1"/>
  <c r="G305" i="1"/>
  <c r="G309" i="1"/>
  <c r="G313" i="1"/>
  <c r="G317" i="1"/>
  <c r="G321" i="1"/>
  <c r="G325" i="1"/>
  <c r="G329" i="1"/>
  <c r="G333" i="1"/>
  <c r="G337" i="1"/>
  <c r="G341" i="1"/>
  <c r="G345" i="1"/>
  <c r="G349" i="1"/>
  <c r="G353" i="1"/>
  <c r="G357" i="1"/>
  <c r="G361" i="1"/>
  <c r="G365" i="1"/>
  <c r="G369" i="1"/>
  <c r="G373" i="1"/>
  <c r="G377" i="1"/>
  <c r="G381" i="1"/>
  <c r="G385" i="1"/>
  <c r="G389" i="1"/>
  <c r="G393" i="1"/>
  <c r="G397" i="1"/>
  <c r="G401" i="1"/>
  <c r="G405" i="1"/>
  <c r="G409" i="1"/>
  <c r="G413" i="1"/>
  <c r="G417" i="1"/>
  <c r="G421" i="1"/>
  <c r="G425" i="1"/>
  <c r="G230" i="1"/>
  <c r="G238" i="1"/>
  <c r="G246" i="1"/>
  <c r="G254" i="1"/>
  <c r="G262" i="1"/>
  <c r="G270" i="1"/>
  <c r="G278" i="1"/>
  <c r="G286" i="1"/>
  <c r="G294" i="1"/>
  <c r="G302" i="1"/>
  <c r="G310" i="1"/>
  <c r="G318" i="1"/>
  <c r="G326" i="1"/>
  <c r="G334" i="1"/>
  <c r="G342" i="1"/>
  <c r="G350" i="1"/>
  <c r="G358" i="1"/>
  <c r="G366" i="1"/>
  <c r="G374" i="1"/>
  <c r="G382" i="1"/>
  <c r="G390" i="1"/>
  <c r="G398" i="1"/>
  <c r="G406" i="1"/>
  <c r="G414" i="1"/>
  <c r="G422" i="1"/>
  <c r="G428" i="1"/>
  <c r="G432" i="1"/>
  <c r="G436" i="1"/>
  <c r="G440" i="1"/>
  <c r="G444" i="1"/>
  <c r="G448" i="1"/>
  <c r="G452" i="1"/>
  <c r="G456" i="1"/>
  <c r="G460" i="1"/>
  <c r="G464" i="1"/>
  <c r="G468" i="1"/>
  <c r="G472" i="1"/>
  <c r="G476" i="1"/>
  <c r="G480" i="1"/>
  <c r="G484" i="1"/>
  <c r="G488" i="1"/>
  <c r="G492" i="1"/>
  <c r="G228" i="1"/>
  <c r="G236" i="1"/>
  <c r="G244" i="1"/>
  <c r="G252" i="1"/>
  <c r="G260" i="1"/>
  <c r="G268" i="1"/>
  <c r="G276" i="1"/>
  <c r="G284" i="1"/>
  <c r="G292" i="1"/>
  <c r="G300" i="1"/>
  <c r="G308" i="1"/>
  <c r="G316" i="1"/>
  <c r="G324" i="1"/>
  <c r="G332" i="1"/>
  <c r="G340" i="1"/>
  <c r="G348" i="1"/>
  <c r="G356" i="1"/>
  <c r="G364" i="1"/>
  <c r="G372" i="1"/>
  <c r="G380" i="1"/>
  <c r="G388" i="1"/>
  <c r="G396" i="1"/>
  <c r="G404" i="1"/>
  <c r="G412" i="1"/>
  <c r="G420" i="1"/>
  <c r="G427" i="1"/>
  <c r="G431" i="1"/>
  <c r="G435" i="1"/>
  <c r="G439" i="1"/>
  <c r="G443" i="1"/>
  <c r="G447" i="1"/>
  <c r="G451" i="1"/>
  <c r="G455" i="1"/>
  <c r="G459" i="1"/>
  <c r="G463" i="1"/>
  <c r="G467" i="1"/>
  <c r="G471" i="1"/>
  <c r="G475" i="1"/>
  <c r="G479" i="1"/>
  <c r="G483" i="1"/>
  <c r="G487" i="1"/>
  <c r="G491" i="1"/>
  <c r="G495" i="1"/>
  <c r="G499" i="1"/>
  <c r="G503" i="1"/>
  <c r="G507" i="1"/>
  <c r="G511" i="1"/>
  <c r="G515" i="1"/>
  <c r="G519" i="1"/>
  <c r="G523" i="1"/>
  <c r="G527" i="1"/>
  <c r="G531" i="1"/>
  <c r="G535" i="1"/>
  <c r="G539" i="1"/>
  <c r="G543" i="1"/>
  <c r="G547" i="1"/>
  <c r="G551" i="1"/>
  <c r="G555" i="1"/>
  <c r="G559" i="1"/>
  <c r="G563" i="1"/>
  <c r="G567" i="1"/>
  <c r="G571" i="1"/>
  <c r="G575" i="1"/>
  <c r="G579" i="1"/>
  <c r="G583" i="1"/>
  <c r="G587" i="1"/>
  <c r="G591" i="1"/>
  <c r="G595" i="1"/>
  <c r="G599" i="1"/>
  <c r="G603" i="1"/>
  <c r="G607" i="1"/>
  <c r="G611" i="1"/>
  <c r="G615" i="1"/>
  <c r="G619" i="1"/>
  <c r="G623" i="1"/>
  <c r="G627" i="1"/>
  <c r="G631" i="1"/>
  <c r="G635" i="1"/>
  <c r="G639" i="1"/>
  <c r="G643" i="1"/>
  <c r="G647" i="1"/>
  <c r="G651" i="1"/>
  <c r="G655" i="1"/>
  <c r="G659" i="1"/>
  <c r="G663" i="1"/>
  <c r="G667" i="1"/>
  <c r="G671" i="1"/>
  <c r="G675" i="1"/>
  <c r="G679" i="1"/>
  <c r="G683" i="1"/>
  <c r="G687" i="1"/>
  <c r="G691" i="1"/>
  <c r="G695" i="1"/>
  <c r="G699" i="1"/>
  <c r="G703" i="1"/>
  <c r="G707" i="1"/>
  <c r="G711" i="1"/>
  <c r="G715" i="1"/>
  <c r="G719" i="1"/>
  <c r="G723" i="1"/>
  <c r="G727" i="1"/>
  <c r="G731" i="1"/>
  <c r="G735" i="1"/>
  <c r="G739" i="1"/>
  <c r="G743" i="1"/>
  <c r="G747" i="1"/>
  <c r="G751" i="1"/>
  <c r="G755" i="1"/>
  <c r="G759" i="1"/>
  <c r="G763" i="1"/>
  <c r="G767" i="1"/>
  <c r="G771" i="1"/>
  <c r="G775" i="1"/>
  <c r="G500" i="1"/>
  <c r="G508" i="1"/>
  <c r="G516" i="1"/>
  <c r="G524" i="1"/>
  <c r="G532" i="1"/>
  <c r="G540" i="1"/>
  <c r="G548" i="1"/>
  <c r="G556" i="1"/>
  <c r="G564" i="1"/>
  <c r="G572" i="1"/>
  <c r="G580" i="1"/>
  <c r="G588" i="1"/>
  <c r="G596" i="1"/>
  <c r="G604" i="1"/>
  <c r="G612" i="1"/>
  <c r="G620" i="1"/>
  <c r="G628" i="1"/>
  <c r="G636" i="1"/>
  <c r="G644" i="1"/>
  <c r="G652" i="1"/>
  <c r="G660" i="1"/>
  <c r="G668" i="1"/>
  <c r="G676" i="1"/>
  <c r="G684" i="1"/>
  <c r="G692" i="1"/>
  <c r="G700" i="1"/>
  <c r="G708" i="1"/>
  <c r="G716" i="1"/>
  <c r="G724" i="1"/>
  <c r="G732" i="1"/>
  <c r="G740" i="1"/>
  <c r="G748" i="1"/>
  <c r="G756" i="1"/>
  <c r="G764" i="1"/>
  <c r="G772" i="1"/>
  <c r="G778" i="1"/>
  <c r="G782" i="1"/>
  <c r="G786" i="1"/>
  <c r="G790" i="1"/>
  <c r="G794" i="1"/>
  <c r="G798" i="1"/>
  <c r="G802" i="1"/>
  <c r="G806" i="1"/>
  <c r="G810" i="1"/>
  <c r="G814" i="1"/>
  <c r="G818" i="1"/>
  <c r="G822" i="1"/>
  <c r="G826" i="1"/>
  <c r="G830" i="1"/>
  <c r="G834" i="1"/>
  <c r="G838" i="1"/>
  <c r="G842" i="1"/>
  <c r="G846" i="1"/>
  <c r="G850" i="1"/>
  <c r="G854" i="1"/>
  <c r="G858" i="1"/>
  <c r="G862" i="1"/>
  <c r="G866" i="1"/>
  <c r="G870" i="1"/>
  <c r="G874" i="1"/>
  <c r="G878" i="1"/>
  <c r="G882" i="1"/>
  <c r="G886" i="1"/>
  <c r="G890" i="1"/>
  <c r="G894" i="1"/>
  <c r="G898" i="1"/>
  <c r="G902" i="1"/>
  <c r="G906" i="1"/>
  <c r="G910" i="1"/>
  <c r="G914" i="1"/>
  <c r="G918" i="1"/>
  <c r="G922" i="1"/>
  <c r="G926" i="1"/>
  <c r="G930" i="1"/>
  <c r="G934" i="1"/>
  <c r="G938" i="1"/>
  <c r="G942" i="1"/>
  <c r="G946" i="1"/>
  <c r="G950" i="1"/>
  <c r="G954" i="1"/>
  <c r="G958" i="1"/>
  <c r="G962" i="1"/>
  <c r="G966" i="1"/>
  <c r="G970" i="1"/>
  <c r="G974" i="1"/>
  <c r="G502" i="1"/>
  <c r="G510" i="1"/>
  <c r="G518" i="1"/>
  <c r="G526" i="1"/>
  <c r="G534" i="1"/>
  <c r="G542" i="1"/>
  <c r="G550" i="1"/>
  <c r="G558" i="1"/>
  <c r="G566" i="1"/>
  <c r="G574" i="1"/>
  <c r="G582" i="1"/>
  <c r="G590" i="1"/>
  <c r="G598" i="1"/>
  <c r="G606" i="1"/>
  <c r="G614" i="1"/>
  <c r="G622" i="1"/>
  <c r="G630" i="1"/>
  <c r="G638" i="1"/>
  <c r="G646" i="1"/>
  <c r="G654" i="1"/>
  <c r="G662" i="1"/>
  <c r="G670" i="1"/>
  <c r="G678" i="1"/>
  <c r="G686" i="1"/>
  <c r="G694" i="1"/>
  <c r="G702" i="1"/>
  <c r="G710" i="1"/>
  <c r="G718" i="1"/>
  <c r="G726" i="1"/>
  <c r="G734" i="1"/>
  <c r="G742" i="1"/>
  <c r="G750" i="1"/>
  <c r="G758" i="1"/>
  <c r="G766" i="1"/>
  <c r="G774" i="1"/>
  <c r="G779" i="1"/>
  <c r="G783" i="1"/>
  <c r="G787" i="1"/>
  <c r="G791" i="1"/>
  <c r="G795" i="1"/>
  <c r="G799" i="1"/>
  <c r="G803" i="1"/>
  <c r="G807" i="1"/>
  <c r="G811" i="1"/>
  <c r="G815" i="1"/>
  <c r="G819" i="1"/>
  <c r="G823" i="1"/>
  <c r="G827" i="1"/>
  <c r="G831" i="1"/>
  <c r="G835" i="1"/>
  <c r="G839" i="1"/>
  <c r="G843" i="1"/>
  <c r="G847" i="1"/>
  <c r="G851" i="1"/>
  <c r="G855" i="1"/>
  <c r="G859" i="1"/>
  <c r="G863" i="1"/>
  <c r="G867" i="1"/>
  <c r="G871" i="1"/>
  <c r="G875" i="1"/>
  <c r="G879" i="1"/>
  <c r="G883" i="1"/>
  <c r="G887" i="1"/>
  <c r="G891" i="1"/>
  <c r="G895" i="1"/>
  <c r="G899" i="1"/>
  <c r="G903" i="1"/>
  <c r="G907" i="1"/>
  <c r="G911" i="1"/>
  <c r="G915" i="1"/>
  <c r="G919" i="1"/>
  <c r="G923" i="1"/>
  <c r="G927" i="1"/>
  <c r="G931" i="1"/>
  <c r="G935" i="1"/>
  <c r="G939" i="1"/>
  <c r="G943" i="1"/>
  <c r="G947" i="1"/>
  <c r="G951" i="1"/>
  <c r="G955" i="1"/>
  <c r="G959" i="1"/>
  <c r="G963" i="1"/>
  <c r="G967" i="1"/>
  <c r="G971" i="1"/>
  <c r="G975" i="1"/>
  <c r="G979" i="1"/>
  <c r="G983" i="1"/>
  <c r="G987" i="1"/>
  <c r="G991" i="1"/>
  <c r="G995" i="1"/>
  <c r="G999" i="1"/>
  <c r="G1003" i="1"/>
  <c r="G1007" i="1"/>
  <c r="G1011" i="1"/>
  <c r="G1015" i="1"/>
  <c r="G1019" i="1"/>
  <c r="G1023" i="1"/>
  <c r="G1027" i="1"/>
  <c r="G1031" i="1"/>
  <c r="G1035" i="1"/>
  <c r="G1039" i="1"/>
  <c r="G1043" i="1"/>
  <c r="G1047" i="1"/>
  <c r="G1051" i="1"/>
  <c r="G1055" i="1"/>
  <c r="G1059" i="1"/>
  <c r="G1063" i="1"/>
  <c r="G1067" i="1"/>
  <c r="G1071" i="1"/>
  <c r="G1075" i="1"/>
  <c r="G1079" i="1"/>
  <c r="G1083" i="1"/>
  <c r="G1087" i="1"/>
  <c r="G1091" i="1"/>
  <c r="G1095" i="1"/>
  <c r="G1099" i="1"/>
  <c r="G1103" i="1"/>
  <c r="G1107" i="1"/>
  <c r="G1111" i="1"/>
  <c r="G1115" i="1"/>
  <c r="G1119" i="1"/>
  <c r="G1123" i="1"/>
  <c r="G1127" i="1"/>
  <c r="G1131" i="1"/>
  <c r="G1135" i="1"/>
  <c r="G1139" i="1"/>
  <c r="G1143" i="1"/>
  <c r="G1147" i="1"/>
  <c r="G1151" i="1"/>
  <c r="G1155" i="1"/>
  <c r="G1159" i="1"/>
  <c r="G1163" i="1"/>
  <c r="G1167" i="1"/>
  <c r="G1171" i="1"/>
  <c r="G1175" i="1"/>
  <c r="G1179" i="1"/>
  <c r="G1183" i="1"/>
  <c r="G1187" i="1"/>
  <c r="G1191" i="1"/>
  <c r="G1195" i="1"/>
  <c r="G1199" i="1"/>
  <c r="G1203" i="1"/>
  <c r="G1207" i="1"/>
  <c r="G1211" i="1"/>
  <c r="G1215" i="1"/>
  <c r="G1219" i="1"/>
  <c r="G1223" i="1"/>
  <c r="G1227" i="1"/>
  <c r="G976" i="1"/>
  <c r="G984" i="1"/>
  <c r="G992" i="1"/>
  <c r="G1000" i="1"/>
  <c r="G1008" i="1"/>
  <c r="G1016" i="1"/>
  <c r="G1024" i="1"/>
  <c r="G1032" i="1"/>
  <c r="G1040" i="1"/>
  <c r="G1048" i="1"/>
  <c r="G1056" i="1"/>
  <c r="G1064" i="1"/>
  <c r="G1072" i="1"/>
  <c r="G1080" i="1"/>
  <c r="G1088" i="1"/>
  <c r="G1096" i="1"/>
  <c r="G1104" i="1"/>
  <c r="G1112" i="1"/>
  <c r="G1120" i="1"/>
  <c r="G1128" i="1"/>
  <c r="G1136" i="1"/>
  <c r="G1144" i="1"/>
  <c r="G1152" i="1"/>
  <c r="G1160" i="1"/>
  <c r="G1168" i="1"/>
  <c r="G1176" i="1"/>
  <c r="G1184" i="1"/>
  <c r="G1192" i="1"/>
  <c r="G1200" i="1"/>
  <c r="G1208" i="1"/>
  <c r="G1216" i="1"/>
  <c r="G1224" i="1"/>
  <c r="G1231" i="1"/>
  <c r="G1235" i="1"/>
  <c r="G1239" i="1"/>
  <c r="G1243" i="1"/>
  <c r="G1247" i="1"/>
  <c r="G1251" i="1"/>
  <c r="G1255" i="1"/>
  <c r="G1259" i="1"/>
  <c r="G1263" i="1"/>
  <c r="G1267" i="1"/>
  <c r="G1271" i="1"/>
  <c r="G1275" i="1"/>
  <c r="G1279" i="1"/>
  <c r="G1283" i="1"/>
  <c r="G1287" i="1"/>
  <c r="G1291" i="1"/>
  <c r="G1295" i="1"/>
  <c r="G1299" i="1"/>
  <c r="G1303" i="1"/>
  <c r="G1307" i="1"/>
  <c r="G1311" i="1"/>
  <c r="G1315" i="1"/>
  <c r="G1319" i="1"/>
  <c r="G1323" i="1"/>
  <c r="G1327" i="1"/>
  <c r="G1331" i="1"/>
  <c r="G1335" i="1"/>
  <c r="G1339" i="1"/>
  <c r="G1343" i="1"/>
  <c r="G1347" i="1"/>
  <c r="G1351" i="1"/>
  <c r="G1355" i="1"/>
  <c r="G1359" i="1"/>
  <c r="G1363" i="1"/>
  <c r="G1367" i="1"/>
  <c r="G1371" i="1"/>
  <c r="G1375" i="1"/>
  <c r="G1379" i="1"/>
  <c r="G1383" i="1"/>
  <c r="G1387" i="1"/>
  <c r="G1391" i="1"/>
  <c r="G1395" i="1"/>
  <c r="G1399" i="1"/>
  <c r="G1403" i="1"/>
  <c r="G1407" i="1"/>
  <c r="G1411" i="1"/>
  <c r="G1415" i="1"/>
  <c r="G1419" i="1"/>
  <c r="G1423" i="1"/>
  <c r="G1427" i="1"/>
  <c r="G1431" i="1"/>
  <c r="G1435" i="1"/>
  <c r="G1439" i="1"/>
  <c r="G1443" i="1"/>
  <c r="G1447" i="1"/>
  <c r="G1451" i="1"/>
  <c r="G1455" i="1"/>
  <c r="G978" i="1"/>
  <c r="G986" i="1"/>
  <c r="G994" i="1"/>
  <c r="G1002" i="1"/>
  <c r="G1010" i="1"/>
  <c r="G1018" i="1"/>
  <c r="G1026" i="1"/>
  <c r="G1034" i="1"/>
  <c r="G1042" i="1"/>
  <c r="G1050" i="1"/>
  <c r="G1058" i="1"/>
  <c r="G1066" i="1"/>
  <c r="G1074" i="1"/>
  <c r="G1082" i="1"/>
  <c r="G1090" i="1"/>
  <c r="G1098" i="1"/>
  <c r="G1106" i="1"/>
  <c r="G1114" i="1"/>
  <c r="G1122" i="1"/>
  <c r="G1130" i="1"/>
  <c r="G1138" i="1"/>
  <c r="G1146" i="1"/>
  <c r="G1154" i="1"/>
  <c r="G1162" i="1"/>
  <c r="G1170" i="1"/>
  <c r="G1178" i="1"/>
  <c r="G1186" i="1"/>
  <c r="G1194" i="1"/>
  <c r="G1202" i="1"/>
  <c r="G1210" i="1"/>
  <c r="G1218" i="1"/>
  <c r="G1226" i="1"/>
  <c r="G1232" i="1"/>
  <c r="G1236" i="1"/>
  <c r="G1240" i="1"/>
  <c r="G1244" i="1"/>
  <c r="G1248" i="1"/>
  <c r="G1252" i="1"/>
  <c r="G1256" i="1"/>
  <c r="G1260" i="1"/>
  <c r="G1264" i="1"/>
  <c r="G1268" i="1"/>
  <c r="G1272" i="1"/>
  <c r="G1276" i="1"/>
  <c r="G1280" i="1"/>
  <c r="G1284" i="1"/>
  <c r="G1288" i="1"/>
  <c r="G1292" i="1"/>
  <c r="G1296" i="1"/>
  <c r="G1300" i="1"/>
  <c r="G1304" i="1"/>
  <c r="G1308" i="1"/>
  <c r="G1312" i="1"/>
  <c r="G1316" i="1"/>
  <c r="G1320" i="1"/>
  <c r="G1324" i="1"/>
  <c r="G1328" i="1"/>
  <c r="G1332" i="1"/>
  <c r="G1336" i="1"/>
  <c r="G1340" i="1"/>
  <c r="G1344" i="1"/>
  <c r="G1348" i="1"/>
  <c r="G1352" i="1"/>
  <c r="G1356" i="1"/>
  <c r="G1360" i="1"/>
  <c r="G1364" i="1"/>
  <c r="G1368" i="1"/>
  <c r="G1372" i="1"/>
  <c r="G1376" i="1"/>
  <c r="G1380" i="1"/>
  <c r="G1384" i="1"/>
  <c r="G1388" i="1"/>
  <c r="G1392" i="1"/>
  <c r="G1396" i="1"/>
  <c r="G1400" i="1"/>
  <c r="G1404" i="1"/>
  <c r="G1408" i="1"/>
  <c r="G1412" i="1"/>
  <c r="G1416" i="1"/>
  <c r="G1420" i="1"/>
  <c r="G1424" i="1"/>
  <c r="G1428" i="1"/>
  <c r="G1432" i="1"/>
  <c r="G1436" i="1"/>
  <c r="G1440" i="1"/>
  <c r="G1444" i="1"/>
  <c r="G1448" i="1"/>
  <c r="G1452" i="1"/>
  <c r="G1456" i="1"/>
  <c r="G1460" i="1"/>
  <c r="G1464" i="1"/>
  <c r="G1468" i="1"/>
  <c r="G1472" i="1"/>
  <c r="G1476" i="1"/>
  <c r="G1480" i="1"/>
  <c r="G1484" i="1"/>
  <c r="G1488" i="1"/>
  <c r="G1492" i="1"/>
  <c r="G1496" i="1"/>
  <c r="G1500" i="1"/>
  <c r="G1504" i="1"/>
  <c r="G1508" i="1"/>
  <c r="G1512" i="1"/>
  <c r="G1516" i="1"/>
  <c r="G1520" i="1"/>
  <c r="G1524" i="1"/>
  <c r="G1528" i="1"/>
  <c r="G1532" i="1"/>
  <c r="G1536" i="1"/>
  <c r="G1540" i="1"/>
  <c r="G1544" i="1"/>
  <c r="G1548" i="1"/>
  <c r="G1552" i="1"/>
  <c r="G1556" i="1"/>
  <c r="G1560" i="1"/>
  <c r="G1564" i="1"/>
  <c r="G1568" i="1"/>
  <c r="G1572" i="1"/>
  <c r="G1576" i="1"/>
  <c r="G1580" i="1"/>
  <c r="G1584" i="1"/>
  <c r="G1588" i="1"/>
  <c r="G1592" i="1"/>
  <c r="G1596" i="1"/>
  <c r="G1600" i="1"/>
  <c r="G1604" i="1"/>
  <c r="G1608" i="1"/>
  <c r="G1612" i="1"/>
  <c r="G1616" i="1"/>
  <c r="G1620" i="1"/>
  <c r="G1624" i="1"/>
  <c r="G1628" i="1"/>
  <c r="G1632" i="1"/>
  <c r="G1636" i="1"/>
  <c r="G1640" i="1"/>
  <c r="G1644" i="1"/>
  <c r="G1648" i="1"/>
  <c r="G1652" i="1"/>
  <c r="G1656" i="1"/>
  <c r="G1660" i="1"/>
  <c r="G1664" i="1"/>
  <c r="G1668" i="1"/>
  <c r="G1672" i="1"/>
  <c r="G1676" i="1"/>
  <c r="G1680" i="1"/>
  <c r="G1684" i="1"/>
  <c r="G1688" i="1"/>
  <c r="G1692" i="1"/>
  <c r="G1696" i="1"/>
  <c r="G1700" i="1"/>
  <c r="G1704" i="1"/>
  <c r="G1708" i="1"/>
  <c r="G1712" i="1"/>
  <c r="G1716" i="1"/>
  <c r="G1720" i="1"/>
  <c r="G1724" i="1"/>
  <c r="G1728" i="1"/>
  <c r="G1732" i="1"/>
  <c r="G1736" i="1"/>
  <c r="G1740" i="1"/>
  <c r="G1744" i="1"/>
  <c r="G1748" i="1"/>
  <c r="G1752" i="1"/>
  <c r="G1756" i="1"/>
  <c r="G1760" i="1"/>
  <c r="G1764" i="1"/>
  <c r="G1768" i="1"/>
  <c r="G1772" i="1"/>
  <c r="G1776" i="1"/>
  <c r="G1780" i="1"/>
  <c r="G1784" i="1"/>
  <c r="G1463" i="1"/>
  <c r="G1471" i="1"/>
  <c r="G1479" i="1"/>
  <c r="G1487" i="1"/>
  <c r="G1495" i="1"/>
  <c r="G1503" i="1"/>
  <c r="G1511" i="1"/>
  <c r="G1519" i="1"/>
  <c r="G1527" i="1"/>
  <c r="G1535" i="1"/>
  <c r="G1543" i="1"/>
  <c r="G1551" i="1"/>
  <c r="G1559" i="1"/>
  <c r="G1567" i="1"/>
  <c r="G1575" i="1"/>
  <c r="G1583" i="1"/>
  <c r="G1591" i="1"/>
  <c r="G1599" i="1"/>
  <c r="G1607" i="1"/>
  <c r="G1615" i="1"/>
  <c r="G1623" i="1"/>
  <c r="G1631" i="1"/>
  <c r="G1639" i="1"/>
  <c r="G1647" i="1"/>
  <c r="G1655" i="1"/>
  <c r="G1663" i="1"/>
  <c r="G1671" i="1"/>
  <c r="G1679" i="1"/>
  <c r="G1687" i="1"/>
  <c r="G1695" i="1"/>
  <c r="G1703" i="1"/>
  <c r="G1711" i="1"/>
  <c r="G1719" i="1"/>
  <c r="G1727" i="1"/>
  <c r="G1735" i="1"/>
  <c r="G1743" i="1"/>
  <c r="G1751" i="1"/>
  <c r="G1759" i="1"/>
  <c r="G1767" i="1"/>
  <c r="G1775" i="1"/>
  <c r="G1783" i="1"/>
  <c r="G1788" i="1"/>
  <c r="G1792" i="1"/>
  <c r="G1796" i="1"/>
  <c r="G1800" i="1"/>
  <c r="G1804" i="1"/>
  <c r="G1808" i="1"/>
  <c r="G1812" i="1"/>
  <c r="G1816" i="1"/>
  <c r="G1820" i="1"/>
  <c r="G1824" i="1"/>
  <c r="G1828" i="1"/>
  <c r="G1832" i="1"/>
  <c r="G1836" i="1"/>
  <c r="G1840" i="1"/>
  <c r="G1844" i="1"/>
  <c r="G1848" i="1"/>
  <c r="G1852" i="1"/>
  <c r="G1856" i="1"/>
  <c r="G1860" i="1"/>
  <c r="G1864" i="1"/>
  <c r="G1868" i="1"/>
  <c r="G1872" i="1"/>
  <c r="G1876" i="1"/>
  <c r="G1880" i="1"/>
  <c r="G1884" i="1"/>
  <c r="G1888" i="1"/>
  <c r="G1892" i="1"/>
  <c r="G1896" i="1"/>
  <c r="G1900" i="1"/>
  <c r="G1904" i="1"/>
  <c r="G1908" i="1"/>
  <c r="G1912" i="1"/>
  <c r="G1916" i="1"/>
  <c r="G1920" i="1"/>
  <c r="G1924" i="1"/>
  <c r="G1928" i="1"/>
  <c r="G1932" i="1"/>
  <c r="G1936" i="1"/>
  <c r="G1940" i="1"/>
  <c r="G1944" i="1"/>
  <c r="G1948" i="1"/>
  <c r="G1952" i="1"/>
  <c r="G1956" i="1"/>
  <c r="G1960" i="1"/>
  <c r="G1964" i="1"/>
  <c r="G1968" i="1"/>
  <c r="G1972" i="1"/>
  <c r="G1976" i="1"/>
  <c r="G1980" i="1"/>
  <c r="G1984" i="1"/>
  <c r="G1988" i="1"/>
  <c r="G1992" i="1"/>
  <c r="G1996" i="1"/>
  <c r="G2000" i="1"/>
  <c r="G2004" i="1"/>
  <c r="G2008" i="1"/>
  <c r="G2012" i="1"/>
  <c r="G2016" i="1"/>
  <c r="G2020" i="1"/>
  <c r="G2024" i="1"/>
  <c r="G2028" i="1"/>
  <c r="G2032" i="1"/>
  <c r="G2036" i="1"/>
  <c r="G2040" i="1"/>
  <c r="G2044" i="1"/>
  <c r="G2048" i="1"/>
  <c r="G2052" i="1"/>
  <c r="G2056" i="1"/>
  <c r="G2060" i="1"/>
  <c r="G2064" i="1"/>
  <c r="G2068" i="1"/>
  <c r="G2072" i="1"/>
  <c r="G2076" i="1"/>
  <c r="G2080" i="1"/>
  <c r="G2084" i="1"/>
  <c r="G2088" i="1"/>
  <c r="G2092" i="1"/>
  <c r="G2096" i="1"/>
  <c r="G2100" i="1"/>
  <c r="G2104" i="1"/>
  <c r="G2108" i="1"/>
  <c r="G2112" i="1"/>
  <c r="G2116" i="1"/>
  <c r="G2120" i="1"/>
  <c r="G2124" i="1"/>
  <c r="G2128" i="1"/>
  <c r="G2132" i="1"/>
  <c r="G2136" i="1"/>
  <c r="G2140" i="1"/>
  <c r="G2144" i="1"/>
  <c r="G2148" i="1"/>
  <c r="G2152" i="1"/>
  <c r="G2156" i="1"/>
  <c r="G2160" i="1"/>
  <c r="G2164" i="1"/>
  <c r="G2168" i="1"/>
  <c r="G2172" i="1"/>
  <c r="G2176" i="1"/>
  <c r="G2180" i="1"/>
  <c r="G2184" i="1"/>
  <c r="G2188" i="1"/>
  <c r="G2192" i="1"/>
  <c r="G2196" i="1"/>
  <c r="G2200" i="1"/>
  <c r="G2204" i="1"/>
  <c r="G2208" i="1"/>
  <c r="G2212" i="1"/>
  <c r="G2216" i="1"/>
  <c r="G2220" i="1"/>
  <c r="G2224" i="1"/>
  <c r="G2228" i="1"/>
  <c r="G2232" i="1"/>
  <c r="G2236" i="1"/>
  <c r="G2240" i="1"/>
  <c r="G2244" i="1"/>
  <c r="G2248" i="1"/>
  <c r="G2252" i="1"/>
  <c r="G2256" i="1"/>
  <c r="G2260" i="1"/>
  <c r="G2264" i="1"/>
  <c r="G2268" i="1"/>
  <c r="G2272" i="1"/>
  <c r="G2276" i="1"/>
  <c r="G2280" i="1"/>
  <c r="G2284" i="1"/>
  <c r="G2288" i="1"/>
  <c r="G2292" i="1"/>
  <c r="G2296" i="1"/>
  <c r="G2300" i="1"/>
  <c r="G1461" i="1"/>
  <c r="G1469" i="1"/>
  <c r="G1477" i="1"/>
  <c r="G1485" i="1"/>
  <c r="G1493" i="1"/>
  <c r="G1501" i="1"/>
  <c r="G1509" i="1"/>
  <c r="G1517" i="1"/>
  <c r="G1525" i="1"/>
  <c r="G1533" i="1"/>
  <c r="G1541" i="1"/>
  <c r="G1549" i="1"/>
  <c r="G1557" i="1"/>
  <c r="G1565" i="1"/>
  <c r="G1573" i="1"/>
  <c r="G1581" i="1"/>
  <c r="G1589" i="1"/>
  <c r="G1597" i="1"/>
  <c r="G1605" i="1"/>
  <c r="G1613" i="1"/>
  <c r="G1621" i="1"/>
  <c r="G1629" i="1"/>
  <c r="G1637" i="1"/>
  <c r="G1645" i="1"/>
  <c r="G1653" i="1"/>
  <c r="G1661" i="1"/>
  <c r="G1669" i="1"/>
  <c r="G1677" i="1"/>
  <c r="G1685" i="1"/>
  <c r="G1693" i="1"/>
  <c r="G1701" i="1"/>
  <c r="G1709" i="1"/>
  <c r="G1717" i="1"/>
  <c r="G1725" i="1"/>
  <c r="G1733" i="1"/>
  <c r="G1741" i="1"/>
  <c r="G1749" i="1"/>
  <c r="G1757" i="1"/>
  <c r="G1765" i="1"/>
  <c r="G1773" i="1"/>
  <c r="G1781" i="1"/>
  <c r="G1787" i="1"/>
  <c r="G1791" i="1"/>
  <c r="G1795" i="1"/>
  <c r="G1799" i="1"/>
  <c r="G1803" i="1"/>
  <c r="G1807" i="1"/>
  <c r="G1811" i="1"/>
  <c r="G1815" i="1"/>
  <c r="G1819" i="1"/>
  <c r="G1823" i="1"/>
  <c r="G1827" i="1"/>
  <c r="G1831" i="1"/>
  <c r="G1835" i="1"/>
  <c r="G1839" i="1"/>
  <c r="G1843" i="1"/>
  <c r="G1847" i="1"/>
  <c r="G1851" i="1"/>
  <c r="G1855" i="1"/>
  <c r="G1859" i="1"/>
  <c r="G1863" i="1"/>
  <c r="G1867" i="1"/>
  <c r="G1871" i="1"/>
  <c r="G1875" i="1"/>
  <c r="G1879" i="1"/>
  <c r="G1883" i="1"/>
  <c r="G1887" i="1"/>
  <c r="G1891" i="1"/>
  <c r="G1895" i="1"/>
  <c r="G1899" i="1"/>
  <c r="G1903" i="1"/>
  <c r="G1907" i="1"/>
  <c r="G1911" i="1"/>
  <c r="G1915" i="1"/>
  <c r="G1919" i="1"/>
  <c r="G1923" i="1"/>
  <c r="G1927" i="1"/>
  <c r="G1931" i="1"/>
  <c r="G1935" i="1"/>
  <c r="G1939" i="1"/>
  <c r="G1943" i="1"/>
  <c r="G1947" i="1"/>
  <c r="G1951" i="1"/>
  <c r="G1955" i="1"/>
  <c r="G1959" i="1"/>
  <c r="G1963" i="1"/>
  <c r="G1967" i="1"/>
  <c r="G1971" i="1"/>
  <c r="G1975" i="1"/>
  <c r="G1979" i="1"/>
  <c r="G1983" i="1"/>
  <c r="G1987" i="1"/>
  <c r="G1991" i="1"/>
  <c r="G1995" i="1"/>
  <c r="G1999" i="1"/>
  <c r="G2003" i="1"/>
  <c r="G2007" i="1"/>
  <c r="G2011" i="1"/>
  <c r="G2015" i="1"/>
  <c r="G2019" i="1"/>
  <c r="G2023" i="1"/>
  <c r="G2027" i="1"/>
  <c r="G2031" i="1"/>
  <c r="G2035" i="1"/>
  <c r="G2039" i="1"/>
  <c r="G2043" i="1"/>
  <c r="G2047" i="1"/>
  <c r="G2051" i="1"/>
  <c r="G2055" i="1"/>
  <c r="G2059" i="1"/>
  <c r="G2063" i="1"/>
  <c r="G2067" i="1"/>
  <c r="G2071" i="1"/>
  <c r="G2075" i="1"/>
  <c r="G2079" i="1"/>
  <c r="G2083" i="1"/>
  <c r="G2087" i="1"/>
  <c r="G2091" i="1"/>
  <c r="G2095" i="1"/>
  <c r="G2099" i="1"/>
  <c r="G2103" i="1"/>
  <c r="G2107" i="1"/>
  <c r="G2111" i="1"/>
  <c r="G2115" i="1"/>
  <c r="G2119" i="1"/>
  <c r="G2123" i="1"/>
  <c r="G2127" i="1"/>
  <c r="G2131" i="1"/>
  <c r="G2135" i="1"/>
  <c r="G2139" i="1"/>
  <c r="G2143" i="1"/>
  <c r="G2147" i="1"/>
  <c r="G2151" i="1"/>
  <c r="G2155" i="1"/>
  <c r="G2159" i="1"/>
  <c r="G2163" i="1"/>
  <c r="G2167" i="1"/>
  <c r="G2171" i="1"/>
  <c r="G2175" i="1"/>
  <c r="G2179" i="1"/>
  <c r="G2183" i="1"/>
  <c r="G2187" i="1"/>
  <c r="G2191" i="1"/>
  <c r="G2195" i="1"/>
  <c r="G2199" i="1"/>
  <c r="G2203" i="1"/>
  <c r="G2207" i="1"/>
  <c r="G2211" i="1"/>
  <c r="G2215" i="1"/>
  <c r="G2219" i="1"/>
  <c r="G2223" i="1"/>
  <c r="G2227" i="1"/>
  <c r="G2231" i="1"/>
  <c r="G2235" i="1"/>
  <c r="G2239" i="1"/>
  <c r="G2243" i="1"/>
  <c r="G2247" i="1"/>
  <c r="G2251" i="1"/>
  <c r="G2255" i="1"/>
  <c r="G2259" i="1"/>
  <c r="G2263" i="1"/>
  <c r="G2267" i="1"/>
  <c r="G2271" i="1"/>
  <c r="G2275" i="1"/>
  <c r="G2279" i="1"/>
  <c r="G2283" i="1"/>
  <c r="G2287" i="1"/>
  <c r="G2291" i="1"/>
  <c r="G2295" i="1"/>
  <c r="G2299" i="1"/>
  <c r="G2303" i="1"/>
  <c r="G2307" i="1"/>
  <c r="G2311" i="1"/>
  <c r="G2315" i="1"/>
  <c r="G2319" i="1"/>
  <c r="G2323" i="1"/>
  <c r="G2327" i="1"/>
  <c r="G2331" i="1"/>
  <c r="G2335" i="1"/>
  <c r="G2339" i="1"/>
  <c r="G2343" i="1"/>
  <c r="G2347" i="1"/>
  <c r="G2351" i="1"/>
  <c r="G2355" i="1"/>
  <c r="G2359" i="1"/>
  <c r="G2363" i="1"/>
  <c r="G2367" i="1"/>
  <c r="G2371" i="1"/>
  <c r="G2375" i="1"/>
  <c r="G2379" i="1"/>
  <c r="G2383" i="1"/>
  <c r="G2387" i="1"/>
  <c r="G2391" i="1"/>
  <c r="G2395" i="1"/>
  <c r="G2399" i="1"/>
  <c r="G2403" i="1"/>
  <c r="G2407" i="1"/>
  <c r="G2411" i="1"/>
  <c r="G2415" i="1"/>
  <c r="G2419" i="1"/>
  <c r="G2423" i="1"/>
  <c r="G2427" i="1"/>
  <c r="G2431" i="1"/>
  <c r="G2435" i="1"/>
  <c r="G2439" i="1"/>
  <c r="G2443" i="1"/>
  <c r="G2447" i="1"/>
  <c r="G2451" i="1"/>
  <c r="G2455" i="1"/>
  <c r="G2459" i="1"/>
  <c r="G2463" i="1"/>
  <c r="G2467" i="1"/>
  <c r="G2471" i="1"/>
  <c r="G2475" i="1"/>
  <c r="G2479" i="1"/>
  <c r="G2483" i="1"/>
  <c r="G2487" i="1"/>
  <c r="G2491" i="1"/>
  <c r="G2495" i="1"/>
  <c r="G2499" i="1"/>
  <c r="G2503" i="1"/>
  <c r="G2507" i="1"/>
  <c r="G2511" i="1"/>
  <c r="G2515" i="1"/>
  <c r="G2519" i="1"/>
  <c r="G2523" i="1"/>
  <c r="G2527" i="1"/>
  <c r="G2531" i="1"/>
  <c r="G2535" i="1"/>
  <c r="G2539" i="1"/>
  <c r="G2543" i="1"/>
  <c r="G2547" i="1"/>
  <c r="G2551" i="1"/>
  <c r="G2555" i="1"/>
  <c r="G2559" i="1"/>
  <c r="G2563" i="1"/>
  <c r="G2567" i="1"/>
  <c r="G2571" i="1"/>
  <c r="G2575" i="1"/>
  <c r="G2579" i="1"/>
  <c r="G2583" i="1"/>
  <c r="G2587" i="1"/>
  <c r="G2591" i="1"/>
  <c r="G2595" i="1"/>
  <c r="G2304" i="1"/>
  <c r="G2312" i="1"/>
  <c r="G2320" i="1"/>
  <c r="G2328" i="1"/>
  <c r="G2336" i="1"/>
  <c r="G2344" i="1"/>
  <c r="G2352" i="1"/>
  <c r="G2360" i="1"/>
  <c r="G2368" i="1"/>
  <c r="G2376" i="1"/>
  <c r="G2384" i="1"/>
  <c r="G2392" i="1"/>
  <c r="G2400" i="1"/>
  <c r="G2408" i="1"/>
  <c r="G2416" i="1"/>
  <c r="G2424" i="1"/>
  <c r="G2432" i="1"/>
  <c r="G2440" i="1"/>
  <c r="G2448" i="1"/>
  <c r="G2456" i="1"/>
  <c r="G2464" i="1"/>
  <c r="G2472" i="1"/>
  <c r="G2480" i="1"/>
  <c r="G2488" i="1"/>
  <c r="G2496" i="1"/>
  <c r="G2504" i="1"/>
  <c r="G2512" i="1"/>
  <c r="G2520" i="1"/>
  <c r="G2528" i="1"/>
  <c r="G2536" i="1"/>
  <c r="G2544" i="1"/>
  <c r="G2552" i="1"/>
  <c r="G2560" i="1"/>
  <c r="G2568" i="1"/>
  <c r="G2576" i="1"/>
  <c r="G2584" i="1"/>
  <c r="G2592" i="1"/>
  <c r="G2599" i="1"/>
  <c r="G2603" i="1"/>
  <c r="G2607" i="1"/>
  <c r="G2611" i="1"/>
  <c r="G2615" i="1"/>
  <c r="G2619" i="1"/>
  <c r="G2623" i="1"/>
  <c r="G2627" i="1"/>
  <c r="G2631" i="1"/>
  <c r="G2635" i="1"/>
  <c r="G2639" i="1"/>
  <c r="G2643" i="1"/>
  <c r="G2647" i="1"/>
  <c r="G2651" i="1"/>
  <c r="G2655" i="1"/>
  <c r="G2659" i="1"/>
  <c r="G2663" i="1"/>
  <c r="G2667" i="1"/>
  <c r="G2671" i="1"/>
  <c r="G2675" i="1"/>
  <c r="G2679" i="1"/>
  <c r="G2683" i="1"/>
  <c r="G2687" i="1"/>
  <c r="G2691" i="1"/>
  <c r="G2695" i="1"/>
  <c r="G2699" i="1"/>
  <c r="G2703" i="1"/>
  <c r="G2707" i="1"/>
  <c r="G2711" i="1"/>
  <c r="G2715" i="1"/>
  <c r="G2719" i="1"/>
  <c r="G2723" i="1"/>
  <c r="G2727" i="1"/>
  <c r="G2731" i="1"/>
  <c r="G2735" i="1"/>
  <c r="G2739" i="1"/>
  <c r="G2743" i="1"/>
  <c r="G2747" i="1"/>
  <c r="G2751" i="1"/>
  <c r="G2755" i="1"/>
  <c r="G2759" i="1"/>
  <c r="G2763" i="1"/>
  <c r="G2767" i="1"/>
  <c r="G2771" i="1"/>
  <c r="G2775" i="1"/>
  <c r="G2779" i="1"/>
  <c r="G2783" i="1"/>
  <c r="G2787" i="1"/>
  <c r="G2791" i="1"/>
  <c r="G2795" i="1"/>
  <c r="G2799" i="1"/>
  <c r="G2803" i="1"/>
  <c r="G2807" i="1"/>
  <c r="G2811" i="1"/>
  <c r="G2815" i="1"/>
  <c r="G2819" i="1"/>
  <c r="G2823" i="1"/>
  <c r="G2827" i="1"/>
  <c r="G2831" i="1"/>
  <c r="G2835" i="1"/>
  <c r="G2839" i="1"/>
  <c r="G2843" i="1"/>
  <c r="G2847" i="1"/>
  <c r="G2851" i="1"/>
  <c r="G2855" i="1"/>
  <c r="G2859" i="1"/>
  <c r="G2863" i="1"/>
  <c r="G2867" i="1"/>
  <c r="G2871" i="1"/>
  <c r="G2875" i="1"/>
  <c r="G2879" i="1"/>
  <c r="G2883" i="1"/>
  <c r="G2887" i="1"/>
  <c r="G2891" i="1"/>
  <c r="G2895" i="1"/>
  <c r="G2899" i="1"/>
  <c r="G2903" i="1"/>
  <c r="G2907" i="1"/>
  <c r="G2911" i="1"/>
  <c r="G2915" i="1"/>
  <c r="G2919" i="1"/>
  <c r="G2923" i="1"/>
  <c r="G2927" i="1"/>
  <c r="G2931" i="1"/>
  <c r="G2935" i="1"/>
  <c r="G2939" i="1"/>
  <c r="G2943" i="1"/>
  <c r="G2947" i="1"/>
  <c r="G2951" i="1"/>
  <c r="G2955" i="1"/>
  <c r="G2959" i="1"/>
  <c r="G2963" i="1"/>
  <c r="G2967" i="1"/>
  <c r="G2971" i="1"/>
  <c r="G2975" i="1"/>
  <c r="G2979" i="1"/>
  <c r="G2983" i="1"/>
  <c r="G2987" i="1"/>
  <c r="G2991" i="1"/>
  <c r="G2995" i="1"/>
  <c r="G2999" i="1"/>
  <c r="G3003" i="1"/>
  <c r="G3007" i="1"/>
  <c r="G3" i="1"/>
  <c r="G7" i="1"/>
  <c r="G11" i="1"/>
  <c r="G15" i="1"/>
  <c r="G19" i="1"/>
  <c r="G23" i="1"/>
  <c r="G27" i="1"/>
  <c r="G31" i="1"/>
  <c r="G35" i="1"/>
  <c r="G39" i="1"/>
  <c r="G43" i="1"/>
  <c r="G47" i="1"/>
  <c r="G51" i="1"/>
  <c r="G55" i="1"/>
  <c r="G59" i="1"/>
  <c r="G63" i="1"/>
  <c r="G67" i="1"/>
  <c r="G71" i="1"/>
  <c r="G75" i="1"/>
  <c r="G79" i="1"/>
  <c r="G83" i="1"/>
  <c r="G87" i="1"/>
  <c r="G91" i="1"/>
  <c r="G95" i="1"/>
  <c r="G99" i="1"/>
  <c r="G103" i="1"/>
  <c r="G107" i="1"/>
  <c r="G111" i="1"/>
  <c r="G115" i="1"/>
  <c r="G119" i="1"/>
  <c r="G123" i="1"/>
  <c r="G127" i="1"/>
  <c r="G131" i="1"/>
  <c r="G135" i="1"/>
  <c r="G139" i="1"/>
  <c r="G143" i="1"/>
  <c r="G147" i="1"/>
  <c r="G151" i="1"/>
  <c r="G155" i="1"/>
  <c r="G159" i="1"/>
  <c r="G163" i="1"/>
  <c r="G167" i="1"/>
  <c r="G2" i="1"/>
  <c r="G10" i="1"/>
  <c r="G18" i="1"/>
  <c r="G26" i="1"/>
  <c r="G34" i="1"/>
  <c r="G42" i="1"/>
  <c r="G50" i="1"/>
  <c r="G58" i="1"/>
  <c r="G66" i="1"/>
  <c r="G74" i="1"/>
  <c r="G82" i="1"/>
  <c r="G90" i="1"/>
  <c r="G98" i="1"/>
  <c r="G106" i="1"/>
  <c r="G114" i="1"/>
  <c r="G122" i="1"/>
  <c r="G130" i="1"/>
  <c r="G138" i="1"/>
  <c r="G146" i="1"/>
  <c r="G154" i="1"/>
  <c r="G162" i="1"/>
  <c r="G170" i="1"/>
  <c r="G174" i="1"/>
  <c r="G178" i="1"/>
  <c r="G182" i="1"/>
  <c r="G186" i="1"/>
  <c r="G190" i="1"/>
  <c r="G194" i="1"/>
  <c r="G198" i="1"/>
  <c r="G202" i="1"/>
  <c r="G206" i="1"/>
  <c r="G210" i="1"/>
  <c r="G214" i="1"/>
  <c r="G218" i="1"/>
  <c r="G222" i="1"/>
  <c r="G4" i="1"/>
  <c r="G12" i="1"/>
  <c r="G20" i="1"/>
  <c r="G28" i="1"/>
  <c r="G36" i="1"/>
  <c r="G44" i="1"/>
  <c r="G52" i="1"/>
  <c r="G60" i="1"/>
  <c r="G68" i="1"/>
  <c r="G76" i="1"/>
  <c r="G84" i="1"/>
  <c r="G92" i="1"/>
  <c r="G100" i="1"/>
  <c r="G108" i="1"/>
  <c r="G116" i="1"/>
  <c r="G124" i="1"/>
  <c r="G132" i="1"/>
  <c r="G140" i="1"/>
  <c r="G148" i="1"/>
  <c r="G156" i="1"/>
  <c r="G164" i="1"/>
  <c r="G171" i="1"/>
  <c r="G175" i="1"/>
  <c r="G179" i="1"/>
  <c r="G183" i="1"/>
  <c r="G187" i="1"/>
  <c r="G191" i="1"/>
  <c r="G195" i="1"/>
  <c r="G199" i="1"/>
  <c r="G203" i="1"/>
  <c r="G207" i="1"/>
  <c r="G211" i="1"/>
  <c r="G215" i="1"/>
  <c r="G219" i="1"/>
  <c r="G223" i="1"/>
  <c r="G227" i="1"/>
  <c r="G231" i="1"/>
  <c r="G235" i="1"/>
  <c r="G239" i="1"/>
  <c r="G243" i="1"/>
  <c r="G247" i="1"/>
  <c r="G251" i="1"/>
  <c r="G255" i="1"/>
  <c r="G259" i="1"/>
  <c r="G263" i="1"/>
  <c r="G267" i="1"/>
  <c r="G271" i="1"/>
  <c r="G275" i="1"/>
  <c r="G279" i="1"/>
  <c r="G283" i="1"/>
  <c r="G287" i="1"/>
  <c r="G291" i="1"/>
  <c r="G295" i="1"/>
  <c r="G299" i="1"/>
  <c r="G303" i="1"/>
  <c r="G307" i="1"/>
  <c r="G311" i="1"/>
  <c r="G315" i="1"/>
  <c r="G319" i="1"/>
  <c r="G323" i="1"/>
  <c r="G327" i="1"/>
  <c r="G331" i="1"/>
  <c r="G335" i="1"/>
  <c r="G339" i="1"/>
  <c r="G343" i="1"/>
  <c r="G347" i="1"/>
  <c r="G351" i="1"/>
  <c r="G355" i="1"/>
  <c r="G359" i="1"/>
  <c r="G363" i="1"/>
  <c r="G367" i="1"/>
  <c r="G371" i="1"/>
  <c r="G375" i="1"/>
  <c r="G379" i="1"/>
  <c r="G383" i="1"/>
  <c r="G387" i="1"/>
  <c r="G391" i="1"/>
  <c r="G395" i="1"/>
  <c r="G399" i="1"/>
  <c r="G403" i="1"/>
  <c r="G407" i="1"/>
  <c r="G411" i="1"/>
  <c r="G415" i="1"/>
  <c r="G419" i="1"/>
  <c r="G423" i="1"/>
  <c r="G226" i="1"/>
  <c r="G234" i="1"/>
  <c r="G242" i="1"/>
  <c r="G250" i="1"/>
  <c r="G258" i="1"/>
  <c r="G266" i="1"/>
  <c r="G274" i="1"/>
  <c r="G282" i="1"/>
  <c r="G290" i="1"/>
  <c r="G298" i="1"/>
  <c r="G306" i="1"/>
  <c r="G314" i="1"/>
  <c r="G322" i="1"/>
  <c r="G330" i="1"/>
  <c r="G338" i="1"/>
  <c r="G346" i="1"/>
  <c r="G354" i="1"/>
  <c r="G362" i="1"/>
  <c r="G370" i="1"/>
  <c r="G378" i="1"/>
  <c r="G386" i="1"/>
  <c r="G394" i="1"/>
  <c r="G402" i="1"/>
  <c r="G410" i="1"/>
  <c r="G418" i="1"/>
  <c r="G426" i="1"/>
  <c r="G430" i="1"/>
  <c r="G434" i="1"/>
  <c r="G438" i="1"/>
  <c r="G442" i="1"/>
  <c r="G446" i="1"/>
  <c r="G450" i="1"/>
  <c r="G454" i="1"/>
  <c r="G458" i="1"/>
  <c r="G462" i="1"/>
  <c r="G466" i="1"/>
  <c r="G470" i="1"/>
  <c r="G474" i="1"/>
  <c r="G478" i="1"/>
  <c r="G482" i="1"/>
  <c r="G486" i="1"/>
  <c r="G490" i="1"/>
  <c r="G494" i="1"/>
  <c r="G232" i="1"/>
  <c r="G240" i="1"/>
  <c r="G248" i="1"/>
  <c r="G256" i="1"/>
  <c r="G264" i="1"/>
  <c r="G272" i="1"/>
  <c r="G280" i="1"/>
  <c r="G288" i="1"/>
  <c r="G296" i="1"/>
  <c r="G304" i="1"/>
  <c r="G312" i="1"/>
  <c r="G320" i="1"/>
  <c r="G328" i="1"/>
  <c r="G336" i="1"/>
  <c r="G344" i="1"/>
  <c r="G352" i="1"/>
  <c r="G360" i="1"/>
  <c r="G368" i="1"/>
  <c r="G376" i="1"/>
  <c r="G384" i="1"/>
  <c r="G392" i="1"/>
  <c r="G400" i="1"/>
  <c r="G408" i="1"/>
  <c r="G416" i="1"/>
  <c r="G424" i="1"/>
  <c r="G429" i="1"/>
  <c r="G433" i="1"/>
  <c r="G437" i="1"/>
  <c r="G441" i="1"/>
  <c r="G445" i="1"/>
  <c r="G449" i="1"/>
  <c r="G453" i="1"/>
  <c r="G457" i="1"/>
  <c r="G461" i="1"/>
  <c r="G465" i="1"/>
  <c r="G469" i="1"/>
  <c r="G473" i="1"/>
  <c r="G477" i="1"/>
  <c r="G481" i="1"/>
  <c r="G485" i="1"/>
  <c r="G489" i="1"/>
  <c r="G493" i="1"/>
  <c r="G497" i="1"/>
  <c r="G501" i="1"/>
  <c r="G505" i="1"/>
  <c r="G509" i="1"/>
  <c r="G513" i="1"/>
  <c r="G517" i="1"/>
  <c r="G521" i="1"/>
  <c r="G525" i="1"/>
  <c r="G529" i="1"/>
  <c r="G533" i="1"/>
  <c r="G537" i="1"/>
  <c r="G541" i="1"/>
  <c r="G545" i="1"/>
  <c r="G549" i="1"/>
  <c r="G553" i="1"/>
  <c r="G557" i="1"/>
  <c r="G561" i="1"/>
  <c r="G565" i="1"/>
  <c r="G569" i="1"/>
  <c r="G573" i="1"/>
  <c r="G577" i="1"/>
  <c r="G581" i="1"/>
  <c r="G585" i="1"/>
  <c r="G589" i="1"/>
  <c r="G593" i="1"/>
  <c r="G597" i="1"/>
  <c r="G601" i="1"/>
  <c r="G605" i="1"/>
  <c r="G609" i="1"/>
  <c r="G613" i="1"/>
  <c r="G617" i="1"/>
  <c r="G621" i="1"/>
  <c r="G625" i="1"/>
  <c r="G629" i="1"/>
  <c r="G633" i="1"/>
  <c r="G637" i="1"/>
  <c r="G641" i="1"/>
  <c r="G645" i="1"/>
  <c r="G649" i="1"/>
  <c r="G653" i="1"/>
  <c r="G657" i="1"/>
  <c r="G661" i="1"/>
  <c r="G665" i="1"/>
  <c r="G669" i="1"/>
  <c r="G673" i="1"/>
  <c r="G677" i="1"/>
  <c r="G681" i="1"/>
  <c r="G685" i="1"/>
  <c r="G689" i="1"/>
  <c r="G693" i="1"/>
  <c r="G697" i="1"/>
  <c r="G701" i="1"/>
  <c r="G705" i="1"/>
  <c r="G709" i="1"/>
  <c r="G713" i="1"/>
  <c r="G717" i="1"/>
  <c r="G721" i="1"/>
  <c r="G725" i="1"/>
  <c r="G729" i="1"/>
  <c r="G733" i="1"/>
  <c r="G737" i="1"/>
  <c r="G741" i="1"/>
  <c r="G745" i="1"/>
  <c r="G749" i="1"/>
  <c r="G753" i="1"/>
  <c r="G757" i="1"/>
  <c r="G761" i="1"/>
  <c r="G765" i="1"/>
  <c r="G769" i="1"/>
  <c r="G773" i="1"/>
  <c r="G496" i="1"/>
  <c r="G504" i="1"/>
  <c r="G512" i="1"/>
  <c r="G520" i="1"/>
  <c r="G528" i="1"/>
  <c r="G536" i="1"/>
  <c r="G544" i="1"/>
  <c r="G552" i="1"/>
  <c r="G560" i="1"/>
  <c r="G568" i="1"/>
  <c r="G576" i="1"/>
  <c r="G584" i="1"/>
  <c r="G592" i="1"/>
  <c r="G600" i="1"/>
  <c r="G608" i="1"/>
  <c r="G616" i="1"/>
  <c r="G624" i="1"/>
  <c r="G632" i="1"/>
  <c r="G640" i="1"/>
  <c r="G648" i="1"/>
  <c r="G656" i="1"/>
  <c r="G664" i="1"/>
  <c r="G672" i="1"/>
  <c r="G680" i="1"/>
  <c r="G688" i="1"/>
  <c r="G696" i="1"/>
  <c r="G704" i="1"/>
  <c r="G712" i="1"/>
  <c r="G720" i="1"/>
  <c r="G728" i="1"/>
  <c r="G736" i="1"/>
  <c r="G744" i="1"/>
  <c r="G752" i="1"/>
  <c r="G760" i="1"/>
  <c r="G768" i="1"/>
  <c r="G776" i="1"/>
  <c r="G780" i="1"/>
  <c r="G784" i="1"/>
  <c r="G788" i="1"/>
  <c r="G792" i="1"/>
  <c r="G796" i="1"/>
  <c r="G800" i="1"/>
  <c r="G804" i="1"/>
  <c r="G808" i="1"/>
  <c r="G812" i="1"/>
  <c r="G816" i="1"/>
  <c r="G820" i="1"/>
  <c r="G824" i="1"/>
  <c r="G828" i="1"/>
  <c r="G832" i="1"/>
  <c r="G836" i="1"/>
  <c r="G840" i="1"/>
  <c r="G844" i="1"/>
  <c r="G848" i="1"/>
  <c r="G852" i="1"/>
  <c r="G856" i="1"/>
  <c r="G860" i="1"/>
  <c r="G864" i="1"/>
  <c r="G868" i="1"/>
  <c r="G872" i="1"/>
  <c r="G876" i="1"/>
  <c r="G880" i="1"/>
  <c r="G884" i="1"/>
  <c r="G888" i="1"/>
  <c r="G892" i="1"/>
  <c r="G896" i="1"/>
  <c r="G900" i="1"/>
  <c r="G904" i="1"/>
  <c r="G908" i="1"/>
  <c r="G912" i="1"/>
  <c r="G916" i="1"/>
  <c r="G920" i="1"/>
  <c r="G924" i="1"/>
  <c r="G928" i="1"/>
  <c r="G932" i="1"/>
  <c r="G936" i="1"/>
  <c r="G940" i="1"/>
  <c r="G944" i="1"/>
  <c r="G948" i="1"/>
  <c r="G952" i="1"/>
  <c r="G956" i="1"/>
  <c r="G960" i="1"/>
  <c r="G964" i="1"/>
  <c r="G968" i="1"/>
  <c r="G972" i="1"/>
  <c r="G498" i="1"/>
  <c r="G506" i="1"/>
  <c r="G514" i="1"/>
  <c r="G522" i="1"/>
  <c r="G530" i="1"/>
  <c r="G538" i="1"/>
  <c r="G546" i="1"/>
  <c r="G554" i="1"/>
  <c r="G562" i="1"/>
  <c r="G570" i="1"/>
  <c r="G578" i="1"/>
  <c r="G586" i="1"/>
  <c r="G594" i="1"/>
  <c r="G602" i="1"/>
  <c r="G610" i="1"/>
  <c r="G618" i="1"/>
  <c r="G626" i="1"/>
  <c r="G634" i="1"/>
  <c r="G642" i="1"/>
  <c r="G650" i="1"/>
  <c r="G658" i="1"/>
  <c r="G666" i="1"/>
  <c r="G674" i="1"/>
  <c r="G682" i="1"/>
  <c r="G690" i="1"/>
  <c r="G698" i="1"/>
  <c r="G706" i="1"/>
  <c r="G714" i="1"/>
  <c r="G722" i="1"/>
  <c r="G730" i="1"/>
  <c r="G738" i="1"/>
  <c r="G746" i="1"/>
  <c r="G754" i="1"/>
  <c r="G762" i="1"/>
  <c r="G770" i="1"/>
  <c r="G777" i="1"/>
  <c r="G781" i="1"/>
  <c r="G785" i="1"/>
  <c r="G789" i="1"/>
  <c r="G793" i="1"/>
  <c r="G797" i="1"/>
  <c r="G801" i="1"/>
  <c r="G805" i="1"/>
  <c r="G809" i="1"/>
  <c r="G813" i="1"/>
  <c r="G817" i="1"/>
  <c r="G821" i="1"/>
  <c r="G825" i="1"/>
  <c r="G829" i="1"/>
  <c r="G833" i="1"/>
  <c r="G837" i="1"/>
  <c r="G841" i="1"/>
  <c r="G845" i="1"/>
  <c r="G849" i="1"/>
  <c r="G853" i="1"/>
  <c r="G857" i="1"/>
  <c r="G861" i="1"/>
  <c r="G865" i="1"/>
  <c r="G869" i="1"/>
  <c r="G873" i="1"/>
  <c r="G877" i="1"/>
  <c r="G881" i="1"/>
  <c r="G885" i="1"/>
  <c r="G889" i="1"/>
  <c r="G893" i="1"/>
  <c r="G897" i="1"/>
  <c r="G901" i="1"/>
  <c r="G905" i="1"/>
  <c r="G909" i="1"/>
  <c r="G913" i="1"/>
  <c r="G917" i="1"/>
  <c r="G921" i="1"/>
  <c r="G925" i="1"/>
  <c r="G929" i="1"/>
  <c r="G933" i="1"/>
  <c r="G937" i="1"/>
  <c r="G941" i="1"/>
  <c r="G945" i="1"/>
  <c r="G949" i="1"/>
  <c r="G953" i="1"/>
  <c r="G957" i="1"/>
  <c r="G961" i="1"/>
  <c r="G965" i="1"/>
  <c r="G969" i="1"/>
  <c r="G973" i="1"/>
  <c r="G977" i="1"/>
  <c r="G981" i="1"/>
  <c r="G985" i="1"/>
  <c r="G989" i="1"/>
  <c r="G993" i="1"/>
  <c r="G997" i="1"/>
  <c r="G1001" i="1"/>
  <c r="G1005" i="1"/>
  <c r="G1009" i="1"/>
  <c r="G1013" i="1"/>
  <c r="G1017" i="1"/>
  <c r="G1021" i="1"/>
  <c r="G1025" i="1"/>
  <c r="G1029" i="1"/>
  <c r="G1033" i="1"/>
  <c r="G1037" i="1"/>
  <c r="G1041" i="1"/>
  <c r="G1045" i="1"/>
  <c r="G1049" i="1"/>
  <c r="G1053" i="1"/>
  <c r="G1057" i="1"/>
  <c r="G1061" i="1"/>
  <c r="G1065" i="1"/>
  <c r="G1069" i="1"/>
  <c r="G1073" i="1"/>
  <c r="G1077" i="1"/>
  <c r="G1081" i="1"/>
  <c r="G1085" i="1"/>
  <c r="G1089" i="1"/>
  <c r="G1093" i="1"/>
  <c r="G1097" i="1"/>
  <c r="G1101" i="1"/>
  <c r="G1105" i="1"/>
  <c r="G1109" i="1"/>
  <c r="G1113" i="1"/>
  <c r="G1117" i="1"/>
  <c r="G1121" i="1"/>
  <c r="G1125" i="1"/>
  <c r="G1129" i="1"/>
  <c r="G1133" i="1"/>
  <c r="G1137" i="1"/>
  <c r="G1141" i="1"/>
  <c r="G1145" i="1"/>
  <c r="G1149" i="1"/>
  <c r="G1153" i="1"/>
  <c r="G1157" i="1"/>
  <c r="G1161" i="1"/>
  <c r="G1165" i="1"/>
  <c r="G1169" i="1"/>
  <c r="G1173" i="1"/>
  <c r="G1177" i="1"/>
  <c r="G1181" i="1"/>
  <c r="G1185" i="1"/>
  <c r="G1189" i="1"/>
  <c r="G1193" i="1"/>
  <c r="G1197" i="1"/>
  <c r="G1201" i="1"/>
  <c r="G1205" i="1"/>
  <c r="G1209" i="1"/>
  <c r="G1213" i="1"/>
  <c r="G1217" i="1"/>
  <c r="G1221" i="1"/>
  <c r="G1225" i="1"/>
  <c r="G1229" i="1"/>
  <c r="G980" i="1"/>
  <c r="G988" i="1"/>
  <c r="G996" i="1"/>
  <c r="G1004" i="1"/>
  <c r="G1012" i="1"/>
  <c r="G1020" i="1"/>
  <c r="G1028" i="1"/>
  <c r="G1036" i="1"/>
  <c r="G1044" i="1"/>
  <c r="G1052" i="1"/>
  <c r="G1060" i="1"/>
  <c r="G1068" i="1"/>
  <c r="G1076" i="1"/>
  <c r="G1084" i="1"/>
  <c r="G1092" i="1"/>
  <c r="G1100" i="1"/>
  <c r="G1108" i="1"/>
  <c r="G1116" i="1"/>
  <c r="G1124" i="1"/>
  <c r="G1132" i="1"/>
  <c r="G1140" i="1"/>
  <c r="G1148" i="1"/>
  <c r="G1156" i="1"/>
  <c r="G1164" i="1"/>
  <c r="G1172" i="1"/>
  <c r="G1180" i="1"/>
  <c r="G1188" i="1"/>
  <c r="G1196" i="1"/>
  <c r="G1204" i="1"/>
  <c r="G1212" i="1"/>
  <c r="G1220" i="1"/>
  <c r="G1228" i="1"/>
  <c r="G1233" i="1"/>
  <c r="G1237" i="1"/>
  <c r="G1241" i="1"/>
  <c r="G1245" i="1"/>
  <c r="G1249" i="1"/>
  <c r="G1253" i="1"/>
  <c r="G1257" i="1"/>
  <c r="G1261" i="1"/>
  <c r="G1265" i="1"/>
  <c r="G1269" i="1"/>
  <c r="G1273" i="1"/>
  <c r="G1277" i="1"/>
  <c r="G1281" i="1"/>
  <c r="G1285" i="1"/>
  <c r="G1289" i="1"/>
  <c r="G1293" i="1"/>
  <c r="G1297" i="1"/>
  <c r="G1301" i="1"/>
  <c r="G1305" i="1"/>
  <c r="G1309" i="1"/>
  <c r="G1313" i="1"/>
  <c r="G1317" i="1"/>
  <c r="G1321" i="1"/>
  <c r="G1325" i="1"/>
  <c r="G1329" i="1"/>
  <c r="G1333" i="1"/>
  <c r="G1337" i="1"/>
  <c r="G1341" i="1"/>
  <c r="G1345" i="1"/>
  <c r="G1349" i="1"/>
  <c r="G1353" i="1"/>
  <c r="G1357" i="1"/>
  <c r="G1361" i="1"/>
  <c r="G1365" i="1"/>
  <c r="G1369" i="1"/>
  <c r="G1373" i="1"/>
  <c r="G1377" i="1"/>
  <c r="G1381" i="1"/>
  <c r="G1385" i="1"/>
  <c r="G1389" i="1"/>
  <c r="G1393" i="1"/>
  <c r="G1397" i="1"/>
  <c r="G1401" i="1"/>
  <c r="G1405" i="1"/>
  <c r="G1409" i="1"/>
  <c r="G1413" i="1"/>
  <c r="G1417" i="1"/>
  <c r="G1421" i="1"/>
  <c r="G1425" i="1"/>
  <c r="G1429" i="1"/>
  <c r="G1433" i="1"/>
  <c r="G1437" i="1"/>
  <c r="G1441" i="1"/>
  <c r="G1445" i="1"/>
  <c r="G1449" i="1"/>
  <c r="G1453" i="1"/>
  <c r="G1457" i="1"/>
  <c r="G982" i="1"/>
  <c r="G990" i="1"/>
  <c r="G998" i="1"/>
  <c r="G1006" i="1"/>
  <c r="G1014" i="1"/>
  <c r="G1022" i="1"/>
  <c r="G1030" i="1"/>
  <c r="G1038" i="1"/>
  <c r="G1046" i="1"/>
  <c r="G1054" i="1"/>
  <c r="G1062" i="1"/>
  <c r="G1070" i="1"/>
  <c r="G1078" i="1"/>
  <c r="G1086" i="1"/>
  <c r="G1094" i="1"/>
  <c r="G1102" i="1"/>
  <c r="G1110" i="1"/>
  <c r="G1118" i="1"/>
  <c r="G1126" i="1"/>
  <c r="G1134" i="1"/>
  <c r="G1142" i="1"/>
  <c r="G1150" i="1"/>
  <c r="G1158" i="1"/>
  <c r="G1166" i="1"/>
  <c r="G1174" i="1"/>
  <c r="G1182" i="1"/>
  <c r="G1190" i="1"/>
  <c r="G1198" i="1"/>
  <c r="G1206" i="1"/>
  <c r="G1214" i="1"/>
  <c r="G1222" i="1"/>
  <c r="G1230" i="1"/>
  <c r="G1234" i="1"/>
  <c r="G1238" i="1"/>
  <c r="G1242" i="1"/>
  <c r="G1246" i="1"/>
  <c r="G1250" i="1"/>
  <c r="G1254" i="1"/>
  <c r="G1258" i="1"/>
  <c r="G1262" i="1"/>
  <c r="G1266" i="1"/>
  <c r="G1270" i="1"/>
  <c r="G1274" i="1"/>
  <c r="G1278" i="1"/>
  <c r="G1282" i="1"/>
  <c r="G1286" i="1"/>
  <c r="G1290" i="1"/>
  <c r="G1294" i="1"/>
  <c r="G1298" i="1"/>
  <c r="G1302" i="1"/>
  <c r="G1306" i="1"/>
  <c r="G1310" i="1"/>
  <c r="G1314" i="1"/>
  <c r="G1318" i="1"/>
  <c r="G1322" i="1"/>
  <c r="G1326" i="1"/>
  <c r="G1330" i="1"/>
  <c r="G1334" i="1"/>
  <c r="G1338" i="1"/>
  <c r="G1342" i="1"/>
  <c r="G1346" i="1"/>
  <c r="G1350" i="1"/>
  <c r="G1354" i="1"/>
  <c r="G1358" i="1"/>
  <c r="G1362" i="1"/>
  <c r="G1366" i="1"/>
  <c r="G1370" i="1"/>
  <c r="G1374" i="1"/>
  <c r="G1378" i="1"/>
  <c r="G1382" i="1"/>
  <c r="G1386" i="1"/>
  <c r="G1390" i="1"/>
  <c r="G1394" i="1"/>
  <c r="G1398" i="1"/>
  <c r="G1402" i="1"/>
  <c r="G1406" i="1"/>
  <c r="G1410" i="1"/>
  <c r="G1414" i="1"/>
  <c r="G1418" i="1"/>
  <c r="G1422" i="1"/>
  <c r="G1426" i="1"/>
  <c r="G1430" i="1"/>
  <c r="G1434" i="1"/>
  <c r="G1438" i="1"/>
  <c r="G1442" i="1"/>
  <c r="G1446" i="1"/>
  <c r="G1450" i="1"/>
  <c r="G1454" i="1"/>
  <c r="G1458" i="1"/>
  <c r="G1462" i="1"/>
  <c r="G1466" i="1"/>
  <c r="G1470" i="1"/>
  <c r="G1474" i="1"/>
  <c r="G1478" i="1"/>
  <c r="G1482" i="1"/>
  <c r="G1486" i="1"/>
  <c r="G1490" i="1"/>
  <c r="G1494" i="1"/>
  <c r="G1498" i="1"/>
  <c r="G1502" i="1"/>
  <c r="G1506" i="1"/>
  <c r="G1510" i="1"/>
  <c r="G1514" i="1"/>
  <c r="G1518" i="1"/>
  <c r="G1522" i="1"/>
  <c r="G1526" i="1"/>
  <c r="G1530" i="1"/>
  <c r="G1534" i="1"/>
  <c r="G1538" i="1"/>
  <c r="G1542" i="1"/>
  <c r="G1546" i="1"/>
  <c r="G1550" i="1"/>
  <c r="G1554" i="1"/>
  <c r="G1558" i="1"/>
  <c r="G1562" i="1"/>
  <c r="G1566" i="1"/>
  <c r="G1570" i="1"/>
  <c r="G1574" i="1"/>
  <c r="G1578" i="1"/>
  <c r="G1582" i="1"/>
  <c r="G1586" i="1"/>
  <c r="G1590" i="1"/>
  <c r="G1594" i="1"/>
  <c r="G1598" i="1"/>
  <c r="G1602" i="1"/>
  <c r="G1606" i="1"/>
  <c r="G1610" i="1"/>
  <c r="G1614" i="1"/>
  <c r="G1618" i="1"/>
  <c r="G1622" i="1"/>
  <c r="G1626" i="1"/>
  <c r="G1630" i="1"/>
  <c r="G1634" i="1"/>
  <c r="G1638" i="1"/>
  <c r="G1642" i="1"/>
  <c r="G1646" i="1"/>
  <c r="G1650" i="1"/>
  <c r="G1654" i="1"/>
  <c r="G1658" i="1"/>
  <c r="G1662" i="1"/>
  <c r="G1666" i="1"/>
  <c r="G1670" i="1"/>
  <c r="G1674" i="1"/>
  <c r="G1678" i="1"/>
  <c r="G1682" i="1"/>
  <c r="G1686" i="1"/>
  <c r="G1690" i="1"/>
  <c r="G1694" i="1"/>
  <c r="G1698" i="1"/>
  <c r="G1702" i="1"/>
  <c r="G1706" i="1"/>
  <c r="G1710" i="1"/>
  <c r="G1714" i="1"/>
  <c r="G1718" i="1"/>
  <c r="G1722" i="1"/>
  <c r="G1726" i="1"/>
  <c r="G1730" i="1"/>
  <c r="G1734" i="1"/>
  <c r="G1738" i="1"/>
  <c r="G1742" i="1"/>
  <c r="G1746" i="1"/>
  <c r="G1750" i="1"/>
  <c r="G1754" i="1"/>
  <c r="G1758" i="1"/>
  <c r="G1762" i="1"/>
  <c r="G1766" i="1"/>
  <c r="G1770" i="1"/>
  <c r="G1774" i="1"/>
  <c r="G1778" i="1"/>
  <c r="G1782" i="1"/>
  <c r="G1459" i="1"/>
  <c r="G1467" i="1"/>
  <c r="G1475" i="1"/>
  <c r="G1483" i="1"/>
  <c r="G1491" i="1"/>
  <c r="G1499" i="1"/>
  <c r="G1507" i="1"/>
  <c r="G1515" i="1"/>
  <c r="G1523" i="1"/>
  <c r="G1531" i="1"/>
  <c r="G1539" i="1"/>
  <c r="G1547" i="1"/>
  <c r="G1555" i="1"/>
  <c r="G1563" i="1"/>
  <c r="G1571" i="1"/>
  <c r="G1579" i="1"/>
  <c r="G1587" i="1"/>
  <c r="G1595" i="1"/>
  <c r="G1603" i="1"/>
  <c r="G1611" i="1"/>
  <c r="G1619" i="1"/>
  <c r="G1627" i="1"/>
  <c r="G1635" i="1"/>
  <c r="G1643" i="1"/>
  <c r="G1651" i="1"/>
  <c r="G1659" i="1"/>
  <c r="G1667" i="1"/>
  <c r="G1675" i="1"/>
  <c r="G1683" i="1"/>
  <c r="G1691" i="1"/>
  <c r="G1699" i="1"/>
  <c r="G1707" i="1"/>
  <c r="G1715" i="1"/>
  <c r="G1723" i="1"/>
  <c r="G1731" i="1"/>
  <c r="G1739" i="1"/>
  <c r="G1747" i="1"/>
  <c r="G1755" i="1"/>
  <c r="G1763" i="1"/>
  <c r="G1771" i="1"/>
  <c r="G1779" i="1"/>
  <c r="G1786" i="1"/>
  <c r="G1790" i="1"/>
  <c r="G1794" i="1"/>
  <c r="G1798" i="1"/>
  <c r="G1802" i="1"/>
  <c r="G1806" i="1"/>
  <c r="G1810" i="1"/>
  <c r="G1814" i="1"/>
  <c r="G1818" i="1"/>
  <c r="G1822" i="1"/>
  <c r="G1826" i="1"/>
  <c r="G1830" i="1"/>
  <c r="G1834" i="1"/>
  <c r="G1838" i="1"/>
  <c r="G1842" i="1"/>
  <c r="G1846" i="1"/>
  <c r="G1850" i="1"/>
  <c r="G1854" i="1"/>
  <c r="G1858" i="1"/>
  <c r="G1862" i="1"/>
  <c r="G1866" i="1"/>
  <c r="G1870" i="1"/>
  <c r="G1874" i="1"/>
  <c r="G1878" i="1"/>
  <c r="G1882" i="1"/>
  <c r="G1886" i="1"/>
  <c r="G1890" i="1"/>
  <c r="G1894" i="1"/>
  <c r="G1898" i="1"/>
  <c r="G1902" i="1"/>
  <c r="G1906" i="1"/>
  <c r="G1910" i="1"/>
  <c r="G1914" i="1"/>
  <c r="G1918" i="1"/>
  <c r="G1922" i="1"/>
  <c r="G1926" i="1"/>
  <c r="G1930" i="1"/>
  <c r="G1934" i="1"/>
  <c r="G1938" i="1"/>
  <c r="G1942" i="1"/>
  <c r="G1946" i="1"/>
  <c r="G1950" i="1"/>
  <c r="G1954" i="1"/>
  <c r="G1958" i="1"/>
  <c r="G1962" i="1"/>
  <c r="G1966" i="1"/>
  <c r="G1970" i="1"/>
  <c r="G1974" i="1"/>
  <c r="G1978" i="1"/>
  <c r="G1982" i="1"/>
  <c r="G1986" i="1"/>
  <c r="G1990" i="1"/>
  <c r="G1994" i="1"/>
  <c r="G1998" i="1"/>
  <c r="G2002" i="1"/>
  <c r="G2006" i="1"/>
  <c r="G2010" i="1"/>
  <c r="G2014" i="1"/>
  <c r="G2018" i="1"/>
  <c r="G2022" i="1"/>
  <c r="G2026" i="1"/>
  <c r="G2030" i="1"/>
  <c r="G2034" i="1"/>
  <c r="G2038" i="1"/>
  <c r="G2042" i="1"/>
  <c r="G2046" i="1"/>
  <c r="G2050" i="1"/>
  <c r="G2054" i="1"/>
  <c r="G2058" i="1"/>
  <c r="G2062" i="1"/>
  <c r="G2066" i="1"/>
  <c r="G2070" i="1"/>
  <c r="G2074" i="1"/>
  <c r="G2078" i="1"/>
  <c r="G2082" i="1"/>
  <c r="G2086" i="1"/>
  <c r="G2090" i="1"/>
  <c r="G2094" i="1"/>
  <c r="G2098" i="1"/>
  <c r="G2102" i="1"/>
  <c r="G2106" i="1"/>
  <c r="G2110" i="1"/>
  <c r="G2114" i="1"/>
  <c r="G2118" i="1"/>
  <c r="G2122" i="1"/>
  <c r="G2126" i="1"/>
  <c r="G2130" i="1"/>
  <c r="G2134" i="1"/>
  <c r="G2138" i="1"/>
  <c r="G2142" i="1"/>
  <c r="G2146" i="1"/>
  <c r="G2150" i="1"/>
  <c r="G2154" i="1"/>
  <c r="G2158" i="1"/>
  <c r="G2162" i="1"/>
  <c r="G2166" i="1"/>
  <c r="G2170" i="1"/>
  <c r="G2174" i="1"/>
  <c r="G2178" i="1"/>
  <c r="G2182" i="1"/>
  <c r="G2186" i="1"/>
  <c r="G2190" i="1"/>
  <c r="G2194" i="1"/>
  <c r="G2198" i="1"/>
  <c r="G2202" i="1"/>
  <c r="G2206" i="1"/>
  <c r="G2210" i="1"/>
  <c r="G2214" i="1"/>
  <c r="G2218" i="1"/>
  <c r="G2222" i="1"/>
  <c r="G2226" i="1"/>
  <c r="G2230" i="1"/>
  <c r="G2234" i="1"/>
  <c r="G2238" i="1"/>
  <c r="G2242" i="1"/>
  <c r="G2246" i="1"/>
  <c r="G2250" i="1"/>
  <c r="G2254" i="1"/>
  <c r="G2258" i="1"/>
  <c r="G2262" i="1"/>
  <c r="G2266" i="1"/>
  <c r="G2270" i="1"/>
  <c r="G2274" i="1"/>
  <c r="G2278" i="1"/>
  <c r="G2282" i="1"/>
  <c r="G2286" i="1"/>
  <c r="G2290" i="1"/>
  <c r="G2294" i="1"/>
  <c r="G2298" i="1"/>
  <c r="G2302" i="1"/>
  <c r="G1465" i="1"/>
  <c r="G1473" i="1"/>
  <c r="G1481" i="1"/>
  <c r="G1489" i="1"/>
  <c r="G1497" i="1"/>
  <c r="G1505" i="1"/>
  <c r="G1513" i="1"/>
  <c r="G1521" i="1"/>
  <c r="G1529" i="1"/>
  <c r="G1537" i="1"/>
  <c r="G1545" i="1"/>
  <c r="G1553" i="1"/>
  <c r="G1561" i="1"/>
  <c r="G1569" i="1"/>
  <c r="G1577" i="1"/>
  <c r="G1585" i="1"/>
  <c r="G1593" i="1"/>
  <c r="G1601" i="1"/>
  <c r="G1609" i="1"/>
  <c r="G1617" i="1"/>
  <c r="G1625" i="1"/>
  <c r="G1633" i="1"/>
  <c r="G1641" i="1"/>
  <c r="G1649" i="1"/>
  <c r="G1657" i="1"/>
  <c r="G1665" i="1"/>
  <c r="G1673" i="1"/>
  <c r="G1681" i="1"/>
  <c r="G1689" i="1"/>
  <c r="G1697" i="1"/>
  <c r="G1705" i="1"/>
  <c r="G1713" i="1"/>
  <c r="G1721" i="1"/>
  <c r="G1729" i="1"/>
  <c r="G1737" i="1"/>
  <c r="G1745" i="1"/>
  <c r="G1753" i="1"/>
  <c r="G1761" i="1"/>
  <c r="G1769" i="1"/>
  <c r="G1777" i="1"/>
  <c r="G1785" i="1"/>
  <c r="G1789" i="1"/>
  <c r="G1793" i="1"/>
  <c r="G1797" i="1"/>
  <c r="G1801" i="1"/>
  <c r="G1805" i="1"/>
  <c r="G1809" i="1"/>
  <c r="G1813" i="1"/>
  <c r="G1817" i="1"/>
  <c r="G1821" i="1"/>
  <c r="G1825" i="1"/>
  <c r="G1829" i="1"/>
  <c r="G1833" i="1"/>
  <c r="G1837" i="1"/>
  <c r="G1841" i="1"/>
  <c r="G1845" i="1"/>
  <c r="G1849" i="1"/>
  <c r="G1853" i="1"/>
  <c r="G1857" i="1"/>
  <c r="G1861" i="1"/>
  <c r="G1865" i="1"/>
  <c r="G1869" i="1"/>
  <c r="G1873" i="1"/>
  <c r="G1877" i="1"/>
  <c r="G1881" i="1"/>
  <c r="G1885" i="1"/>
  <c r="G1889" i="1"/>
  <c r="G1893" i="1"/>
  <c r="G1897" i="1"/>
  <c r="G1901" i="1"/>
  <c r="G1905" i="1"/>
  <c r="G1909" i="1"/>
  <c r="G1913" i="1"/>
  <c r="G1917" i="1"/>
  <c r="G1921" i="1"/>
  <c r="G1925" i="1"/>
  <c r="G1929" i="1"/>
  <c r="G1933" i="1"/>
  <c r="G1937" i="1"/>
  <c r="G1941" i="1"/>
  <c r="G1945" i="1"/>
  <c r="G1949" i="1"/>
  <c r="G1953" i="1"/>
  <c r="G1957" i="1"/>
  <c r="G1961" i="1"/>
  <c r="G1965" i="1"/>
  <c r="G1969" i="1"/>
  <c r="G1973" i="1"/>
  <c r="G1977" i="1"/>
  <c r="G1981" i="1"/>
  <c r="G1985" i="1"/>
  <c r="G1989" i="1"/>
  <c r="G1993" i="1"/>
  <c r="G1997" i="1"/>
  <c r="G2001" i="1"/>
  <c r="G2005" i="1"/>
  <c r="G2009" i="1"/>
  <c r="G2013" i="1"/>
  <c r="G2017" i="1"/>
  <c r="G2021" i="1"/>
  <c r="G2025" i="1"/>
  <c r="G2029" i="1"/>
  <c r="G2033" i="1"/>
  <c r="G2037" i="1"/>
  <c r="G2041" i="1"/>
  <c r="G2045" i="1"/>
  <c r="G2049" i="1"/>
  <c r="G2053" i="1"/>
  <c r="G2057" i="1"/>
  <c r="G2061" i="1"/>
  <c r="G2065" i="1"/>
  <c r="G2069" i="1"/>
  <c r="G2073" i="1"/>
  <c r="G2077" i="1"/>
  <c r="G2081" i="1"/>
  <c r="G2085" i="1"/>
  <c r="G2089" i="1"/>
  <c r="G2093" i="1"/>
  <c r="G2097" i="1"/>
  <c r="G2101" i="1"/>
  <c r="G2105" i="1"/>
  <c r="G2109" i="1"/>
  <c r="G2113" i="1"/>
  <c r="G2117" i="1"/>
  <c r="G2121" i="1"/>
  <c r="G2125" i="1"/>
  <c r="G2129" i="1"/>
  <c r="G2133" i="1"/>
  <c r="G2137" i="1"/>
  <c r="G2141" i="1"/>
  <c r="G2145" i="1"/>
  <c r="G2149" i="1"/>
  <c r="G2153" i="1"/>
  <c r="G2157" i="1"/>
  <c r="G2161" i="1"/>
  <c r="G2165" i="1"/>
  <c r="G2169" i="1"/>
  <c r="G2173" i="1"/>
  <c r="G2177" i="1"/>
  <c r="G2181" i="1"/>
  <c r="G2185" i="1"/>
  <c r="G2189" i="1"/>
  <c r="G2193" i="1"/>
  <c r="G2197" i="1"/>
  <c r="G2201" i="1"/>
  <c r="G2205" i="1"/>
  <c r="G2209" i="1"/>
  <c r="G2213" i="1"/>
  <c r="G2217" i="1"/>
  <c r="G2221" i="1"/>
  <c r="G2225" i="1"/>
  <c r="G2229" i="1"/>
  <c r="G2233" i="1"/>
  <c r="G2237" i="1"/>
  <c r="G2241" i="1"/>
  <c r="G2245" i="1"/>
  <c r="G2249" i="1"/>
  <c r="G2253" i="1"/>
  <c r="G2257" i="1"/>
  <c r="G2261" i="1"/>
  <c r="G2265" i="1"/>
  <c r="G2269" i="1"/>
  <c r="G2273" i="1"/>
  <c r="G2277" i="1"/>
  <c r="G2281" i="1"/>
  <c r="G2285" i="1"/>
  <c r="G2289" i="1"/>
  <c r="G2293" i="1"/>
  <c r="G2297" i="1"/>
  <c r="G2301" i="1"/>
  <c r="G2305" i="1"/>
  <c r="G2309" i="1"/>
  <c r="G2313" i="1"/>
  <c r="G2317" i="1"/>
  <c r="G2321" i="1"/>
  <c r="G2325" i="1"/>
  <c r="G2329" i="1"/>
  <c r="G2333" i="1"/>
  <c r="G2337" i="1"/>
  <c r="G2341" i="1"/>
  <c r="G2345" i="1"/>
  <c r="G2349" i="1"/>
  <c r="G2353" i="1"/>
  <c r="G2357" i="1"/>
  <c r="G2361" i="1"/>
  <c r="G2365" i="1"/>
  <c r="G2369" i="1"/>
  <c r="G2373" i="1"/>
  <c r="G2377" i="1"/>
  <c r="G2381" i="1"/>
  <c r="G2385" i="1"/>
  <c r="G2389" i="1"/>
  <c r="G2393" i="1"/>
  <c r="G2397" i="1"/>
  <c r="G2401" i="1"/>
  <c r="G2405" i="1"/>
  <c r="G2409" i="1"/>
  <c r="G2413" i="1"/>
  <c r="G2417" i="1"/>
  <c r="G2421" i="1"/>
  <c r="G2425" i="1"/>
  <c r="G2429" i="1"/>
  <c r="G2433" i="1"/>
  <c r="G2437" i="1"/>
  <c r="G2441" i="1"/>
  <c r="G2445" i="1"/>
  <c r="G2449" i="1"/>
  <c r="G2453" i="1"/>
  <c r="G2457" i="1"/>
  <c r="G2461" i="1"/>
  <c r="G2465" i="1"/>
  <c r="G2469" i="1"/>
  <c r="G2473" i="1"/>
  <c r="G2477" i="1"/>
  <c r="G2481" i="1"/>
  <c r="G2485" i="1"/>
  <c r="G2489" i="1"/>
  <c r="G2493" i="1"/>
  <c r="G2497" i="1"/>
  <c r="G2501" i="1"/>
  <c r="G2505" i="1"/>
  <c r="G2509" i="1"/>
  <c r="G2513" i="1"/>
  <c r="G2517" i="1"/>
  <c r="G2521" i="1"/>
  <c r="G2525" i="1"/>
  <c r="G2529" i="1"/>
  <c r="G2533" i="1"/>
  <c r="G2537" i="1"/>
  <c r="G2541" i="1"/>
  <c r="G2545" i="1"/>
  <c r="G2549" i="1"/>
  <c r="G2553" i="1"/>
  <c r="G2557" i="1"/>
  <c r="G2561" i="1"/>
  <c r="G2565" i="1"/>
  <c r="G2569" i="1"/>
  <c r="G2573" i="1"/>
  <c r="G2577" i="1"/>
  <c r="G2581" i="1"/>
  <c r="G2585" i="1"/>
  <c r="G2589" i="1"/>
  <c r="G2593" i="1"/>
  <c r="G2597" i="1"/>
  <c r="G2308" i="1"/>
  <c r="G2316" i="1"/>
  <c r="G2324" i="1"/>
  <c r="G2332" i="1"/>
  <c r="G2340" i="1"/>
  <c r="G2348" i="1"/>
  <c r="G2356" i="1"/>
  <c r="G2364" i="1"/>
  <c r="G2372" i="1"/>
  <c r="G2380" i="1"/>
  <c r="G2388" i="1"/>
  <c r="G2396" i="1"/>
  <c r="G2404" i="1"/>
  <c r="G2412" i="1"/>
  <c r="G2420" i="1"/>
  <c r="G2428" i="1"/>
  <c r="G2436" i="1"/>
  <c r="G2444" i="1"/>
  <c r="G2452" i="1"/>
  <c r="G2460" i="1"/>
  <c r="G2468" i="1"/>
  <c r="G2476" i="1"/>
  <c r="G2484" i="1"/>
  <c r="G2492" i="1"/>
  <c r="G2500" i="1"/>
  <c r="G2508" i="1"/>
  <c r="G2516" i="1"/>
  <c r="G2524" i="1"/>
  <c r="G2532" i="1"/>
  <c r="G2540" i="1"/>
  <c r="G2548" i="1"/>
  <c r="G2556" i="1"/>
  <c r="G2564" i="1"/>
  <c r="G2572" i="1"/>
  <c r="G2580" i="1"/>
  <c r="G2588" i="1"/>
  <c r="G2596" i="1"/>
  <c r="G2601" i="1"/>
  <c r="G2605" i="1"/>
  <c r="G2609" i="1"/>
  <c r="G2613" i="1"/>
  <c r="G2617" i="1"/>
  <c r="G2621" i="1"/>
  <c r="G2625" i="1"/>
  <c r="G2629" i="1"/>
  <c r="G2633" i="1"/>
  <c r="G2637" i="1"/>
  <c r="G2641" i="1"/>
  <c r="G2645" i="1"/>
  <c r="G2649" i="1"/>
  <c r="G2653" i="1"/>
  <c r="G2657" i="1"/>
  <c r="G2661" i="1"/>
  <c r="G2665" i="1"/>
  <c r="G2669" i="1"/>
  <c r="G2673" i="1"/>
  <c r="G2677" i="1"/>
  <c r="G2681" i="1"/>
  <c r="G2685" i="1"/>
  <c r="G2689" i="1"/>
  <c r="G2693" i="1"/>
  <c r="G2697" i="1"/>
  <c r="G2701" i="1"/>
  <c r="G2705" i="1"/>
  <c r="G2709" i="1"/>
  <c r="G2713" i="1"/>
  <c r="G2717" i="1"/>
  <c r="G2721" i="1"/>
  <c r="G2725" i="1"/>
  <c r="G2729" i="1"/>
  <c r="G2733" i="1"/>
  <c r="G2737" i="1"/>
  <c r="G2741" i="1"/>
  <c r="G2745" i="1"/>
  <c r="G2749" i="1"/>
  <c r="G2753" i="1"/>
  <c r="G2757" i="1"/>
  <c r="G2761" i="1"/>
  <c r="G2765" i="1"/>
  <c r="G2769" i="1"/>
  <c r="G2773" i="1"/>
  <c r="G2777" i="1"/>
  <c r="G2781" i="1"/>
  <c r="G2785" i="1"/>
  <c r="G2789" i="1"/>
  <c r="G2793" i="1"/>
  <c r="G2797" i="1"/>
  <c r="G2801" i="1"/>
  <c r="G2805" i="1"/>
  <c r="G2809" i="1"/>
  <c r="G2813" i="1"/>
  <c r="G2817" i="1"/>
  <c r="G2821" i="1"/>
  <c r="G2825" i="1"/>
  <c r="G2829" i="1"/>
  <c r="G2833" i="1"/>
  <c r="G2837" i="1"/>
  <c r="G2841" i="1"/>
  <c r="G2845" i="1"/>
  <c r="G2849" i="1"/>
  <c r="G2853" i="1"/>
  <c r="G2857" i="1"/>
  <c r="G2861" i="1"/>
  <c r="G2865" i="1"/>
  <c r="G2869" i="1"/>
  <c r="G2873" i="1"/>
  <c r="G2877" i="1"/>
  <c r="G2881" i="1"/>
  <c r="G2885" i="1"/>
  <c r="G2889" i="1"/>
  <c r="G2893" i="1"/>
  <c r="G2897" i="1"/>
  <c r="G2901" i="1"/>
  <c r="G2905" i="1"/>
  <c r="G2909" i="1"/>
  <c r="G2913" i="1"/>
  <c r="G2917" i="1"/>
  <c r="G2921" i="1"/>
  <c r="G2925" i="1"/>
  <c r="G2929" i="1"/>
  <c r="G2933" i="1"/>
  <c r="G2937" i="1"/>
  <c r="G2941" i="1"/>
  <c r="G2945" i="1"/>
  <c r="G2949" i="1"/>
  <c r="G2953" i="1"/>
  <c r="G2957" i="1"/>
  <c r="G2961" i="1"/>
  <c r="G2965" i="1"/>
  <c r="G2969" i="1"/>
  <c r="G2973" i="1"/>
  <c r="G2977" i="1"/>
  <c r="G2981" i="1"/>
  <c r="G2985" i="1"/>
  <c r="G2989" i="1"/>
  <c r="G2993" i="1"/>
  <c r="G2997" i="1"/>
  <c r="G3001" i="1"/>
  <c r="G3005" i="1"/>
  <c r="G3009" i="1"/>
  <c r="G3011" i="1"/>
  <c r="G3015" i="1"/>
  <c r="G3019" i="1"/>
  <c r="G3023" i="1"/>
  <c r="G3027" i="1"/>
  <c r="G3031" i="1"/>
  <c r="G3035" i="1"/>
  <c r="G3039" i="1"/>
  <c r="G3043" i="1"/>
  <c r="G3047" i="1"/>
  <c r="G3051" i="1"/>
  <c r="G3055" i="1"/>
  <c r="G3059" i="1"/>
  <c r="G3063" i="1"/>
  <c r="G3067" i="1"/>
  <c r="G3071" i="1"/>
  <c r="G3075" i="1"/>
  <c r="G3079" i="1"/>
  <c r="G3083" i="1"/>
  <c r="G3087" i="1"/>
  <c r="G3091" i="1"/>
  <c r="G3095" i="1"/>
  <c r="G3099" i="1"/>
  <c r="G3103" i="1"/>
  <c r="G3107" i="1"/>
  <c r="G3111" i="1"/>
  <c r="G3115" i="1"/>
  <c r="G3119" i="1"/>
  <c r="G3123" i="1"/>
  <c r="G3127" i="1"/>
  <c r="G3131" i="1"/>
  <c r="G3135" i="1"/>
  <c r="G3139" i="1"/>
  <c r="G3143" i="1"/>
  <c r="G3147" i="1"/>
  <c r="G3151" i="1"/>
  <c r="G3155" i="1"/>
  <c r="G3159" i="1"/>
  <c r="G3163" i="1"/>
  <c r="G3167" i="1"/>
  <c r="G3171" i="1"/>
  <c r="G3175" i="1"/>
  <c r="G3179" i="1"/>
  <c r="G3183" i="1"/>
  <c r="G3187" i="1"/>
  <c r="G3191" i="1"/>
  <c r="G3195" i="1"/>
  <c r="G3199" i="1"/>
  <c r="G3203" i="1"/>
  <c r="G3207" i="1"/>
  <c r="G3211" i="1"/>
  <c r="G3215" i="1"/>
  <c r="G3219" i="1"/>
  <c r="G3223" i="1"/>
  <c r="G3227" i="1"/>
  <c r="G3231" i="1"/>
  <c r="G3235" i="1"/>
  <c r="G3239" i="1"/>
  <c r="G3243" i="1"/>
  <c r="G3247" i="1"/>
  <c r="G3251" i="1"/>
  <c r="G3255" i="1"/>
  <c r="G3259" i="1"/>
  <c r="G3263" i="1"/>
  <c r="G3267" i="1"/>
  <c r="G3271" i="1"/>
  <c r="G3275" i="1"/>
  <c r="G3279" i="1"/>
  <c r="G3283" i="1"/>
  <c r="G3287" i="1"/>
  <c r="G3291" i="1"/>
  <c r="G3295" i="1"/>
  <c r="G3299" i="1"/>
  <c r="G3303" i="1"/>
  <c r="G3307" i="1"/>
  <c r="G3311" i="1"/>
  <c r="G3315" i="1"/>
  <c r="G3319" i="1"/>
  <c r="G3323" i="1"/>
  <c r="G3327" i="1"/>
  <c r="G3331" i="1"/>
  <c r="G3335" i="1"/>
  <c r="G3339" i="1"/>
  <c r="G3343" i="1"/>
  <c r="G3347" i="1"/>
  <c r="G3351" i="1"/>
  <c r="G3355" i="1"/>
  <c r="G3359" i="1"/>
  <c r="G3363" i="1"/>
  <c r="G3367" i="1"/>
  <c r="G3371" i="1"/>
  <c r="G3375" i="1"/>
  <c r="G3379" i="1"/>
  <c r="G3383" i="1"/>
  <c r="G3387" i="1"/>
  <c r="G3391" i="1"/>
  <c r="G3395" i="1"/>
  <c r="G3399" i="1"/>
  <c r="G3403" i="1"/>
  <c r="G3407" i="1"/>
  <c r="G3411" i="1"/>
  <c r="G3415" i="1"/>
  <c r="G3419" i="1"/>
  <c r="G3423" i="1"/>
  <c r="G3427" i="1"/>
  <c r="G3431" i="1"/>
  <c r="G3435" i="1"/>
  <c r="G3439" i="1"/>
  <c r="G3443" i="1"/>
  <c r="G3447" i="1"/>
  <c r="G3451" i="1"/>
  <c r="G2310" i="1"/>
  <c r="G2318" i="1"/>
  <c r="G2326" i="1"/>
  <c r="G2334" i="1"/>
  <c r="G2342" i="1"/>
  <c r="G2350" i="1"/>
  <c r="G2358" i="1"/>
  <c r="G2366" i="1"/>
  <c r="G2374" i="1"/>
  <c r="G2382" i="1"/>
  <c r="G2390" i="1"/>
  <c r="G2398" i="1"/>
  <c r="G2406" i="1"/>
  <c r="G2414" i="1"/>
  <c r="G2422" i="1"/>
  <c r="G2430" i="1"/>
  <c r="G2438" i="1"/>
  <c r="G2446" i="1"/>
  <c r="G2454" i="1"/>
  <c r="G2462" i="1"/>
  <c r="G2470" i="1"/>
  <c r="G2478" i="1"/>
  <c r="G2486" i="1"/>
  <c r="G2494" i="1"/>
  <c r="G2502" i="1"/>
  <c r="G2510" i="1"/>
  <c r="G2518" i="1"/>
  <c r="G2526" i="1"/>
  <c r="G2534" i="1"/>
  <c r="G2542" i="1"/>
  <c r="G2550" i="1"/>
  <c r="G2558" i="1"/>
  <c r="G2566" i="1"/>
  <c r="G2574" i="1"/>
  <c r="G2582" i="1"/>
  <c r="G2590" i="1"/>
  <c r="G2598" i="1"/>
  <c r="G2602" i="1"/>
  <c r="G2606" i="1"/>
  <c r="G2610" i="1"/>
  <c r="G2614" i="1"/>
  <c r="G2618" i="1"/>
  <c r="G2622" i="1"/>
  <c r="G2626" i="1"/>
  <c r="G2630" i="1"/>
  <c r="G2634" i="1"/>
  <c r="G2638" i="1"/>
  <c r="G2642" i="1"/>
  <c r="G2646" i="1"/>
  <c r="G2650" i="1"/>
  <c r="G2654" i="1"/>
  <c r="G2658" i="1"/>
  <c r="G2662" i="1"/>
  <c r="G2666" i="1"/>
  <c r="G2670" i="1"/>
  <c r="G2674" i="1"/>
  <c r="G2678" i="1"/>
  <c r="G2682" i="1"/>
  <c r="G2686" i="1"/>
  <c r="G2690" i="1"/>
  <c r="G2694" i="1"/>
  <c r="G2698" i="1"/>
  <c r="G2702" i="1"/>
  <c r="G2706" i="1"/>
  <c r="G2710" i="1"/>
  <c r="G2714" i="1"/>
  <c r="G2718" i="1"/>
  <c r="G2722" i="1"/>
  <c r="G2726" i="1"/>
  <c r="G2730" i="1"/>
  <c r="G2734" i="1"/>
  <c r="G2738" i="1"/>
  <c r="G2742" i="1"/>
  <c r="G2746" i="1"/>
  <c r="G2750" i="1"/>
  <c r="G2754" i="1"/>
  <c r="G2758" i="1"/>
  <c r="G2762" i="1"/>
  <c r="G2766" i="1"/>
  <c r="G2770" i="1"/>
  <c r="G2774" i="1"/>
  <c r="G2778" i="1"/>
  <c r="G2782" i="1"/>
  <c r="G2786" i="1"/>
  <c r="G2790" i="1"/>
  <c r="G2794" i="1"/>
  <c r="G2798" i="1"/>
  <c r="G2802" i="1"/>
  <c r="G2806" i="1"/>
  <c r="G2810" i="1"/>
  <c r="G2814" i="1"/>
  <c r="G2818" i="1"/>
  <c r="G2822" i="1"/>
  <c r="G2826" i="1"/>
  <c r="G2830" i="1"/>
  <c r="G2834" i="1"/>
  <c r="G2838" i="1"/>
  <c r="G2842" i="1"/>
  <c r="G2846" i="1"/>
  <c r="G2850" i="1"/>
  <c r="G2854" i="1"/>
  <c r="G2858" i="1"/>
  <c r="G2862" i="1"/>
  <c r="G2866" i="1"/>
  <c r="G2870" i="1"/>
  <c r="G2874" i="1"/>
  <c r="G2878" i="1"/>
  <c r="G2882" i="1"/>
  <c r="G2886" i="1"/>
  <c r="G2890" i="1"/>
  <c r="G2894" i="1"/>
  <c r="G2898" i="1"/>
  <c r="G2902" i="1"/>
  <c r="G2906" i="1"/>
  <c r="G2910" i="1"/>
  <c r="G2914" i="1"/>
  <c r="G2918" i="1"/>
  <c r="G2922" i="1"/>
  <c r="G2926" i="1"/>
  <c r="G2930" i="1"/>
  <c r="G2934" i="1"/>
  <c r="G2938" i="1"/>
  <c r="G2942" i="1"/>
  <c r="G2946" i="1"/>
  <c r="G2950" i="1"/>
  <c r="G2954" i="1"/>
  <c r="G2958" i="1"/>
  <c r="G2962" i="1"/>
  <c r="G2966" i="1"/>
  <c r="G2970" i="1"/>
  <c r="G2974" i="1"/>
  <c r="G2978" i="1"/>
  <c r="G2982" i="1"/>
  <c r="G2986" i="1"/>
  <c r="G2990" i="1"/>
  <c r="G2994" i="1"/>
  <c r="G2998" i="1"/>
  <c r="G3002" i="1"/>
  <c r="G3006" i="1"/>
  <c r="G3010" i="1"/>
  <c r="G3014" i="1"/>
  <c r="G3018" i="1"/>
  <c r="G3022" i="1"/>
  <c r="G3026" i="1"/>
  <c r="G3030" i="1"/>
  <c r="G3034" i="1"/>
  <c r="G3038" i="1"/>
  <c r="G3042" i="1"/>
  <c r="G3046" i="1"/>
  <c r="G3050" i="1"/>
  <c r="G3054" i="1"/>
  <c r="G3058" i="1"/>
  <c r="G3062" i="1"/>
  <c r="G3066" i="1"/>
  <c r="G3070" i="1"/>
  <c r="G3074" i="1"/>
  <c r="G3078" i="1"/>
  <c r="G3082" i="1"/>
  <c r="G3086" i="1"/>
  <c r="G3090" i="1"/>
  <c r="G3094" i="1"/>
  <c r="G3098" i="1"/>
  <c r="G3102" i="1"/>
  <c r="G3106" i="1"/>
  <c r="G3110" i="1"/>
  <c r="G3114" i="1"/>
  <c r="G3118" i="1"/>
  <c r="G3122" i="1"/>
  <c r="G3126" i="1"/>
  <c r="G3130" i="1"/>
  <c r="G3134" i="1"/>
  <c r="G3138" i="1"/>
  <c r="G3142" i="1"/>
  <c r="G3146" i="1"/>
  <c r="G3150" i="1"/>
  <c r="G3154" i="1"/>
  <c r="G3158" i="1"/>
  <c r="G3162" i="1"/>
  <c r="G3166" i="1"/>
  <c r="G3170" i="1"/>
  <c r="G3174" i="1"/>
  <c r="G3178" i="1"/>
  <c r="G3182" i="1"/>
  <c r="G3186" i="1"/>
  <c r="G3190" i="1"/>
  <c r="G3194" i="1"/>
  <c r="G3198" i="1"/>
  <c r="G3202" i="1"/>
  <c r="G3206" i="1"/>
  <c r="G3210" i="1"/>
  <c r="G3214" i="1"/>
  <c r="G3218" i="1"/>
  <c r="G3222" i="1"/>
  <c r="G3226" i="1"/>
  <c r="G3230" i="1"/>
  <c r="G3234" i="1"/>
  <c r="G3238" i="1"/>
  <c r="G3242" i="1"/>
  <c r="G3246" i="1"/>
  <c r="G3250" i="1"/>
  <c r="G3254" i="1"/>
  <c r="G3258" i="1"/>
  <c r="G3262" i="1"/>
  <c r="G3266" i="1"/>
  <c r="G3270" i="1"/>
  <c r="G3274" i="1"/>
  <c r="G3278" i="1"/>
  <c r="G3282" i="1"/>
  <c r="G3286" i="1"/>
  <c r="G3290" i="1"/>
  <c r="G3294" i="1"/>
  <c r="G3298" i="1"/>
  <c r="G3302" i="1"/>
  <c r="G3306" i="1"/>
  <c r="G3310" i="1"/>
  <c r="G3314" i="1"/>
  <c r="G3318" i="1"/>
  <c r="G3322" i="1"/>
  <c r="G3326" i="1"/>
  <c r="G3330" i="1"/>
  <c r="G3334" i="1"/>
  <c r="G3338" i="1"/>
  <c r="G3342" i="1"/>
  <c r="G3346" i="1"/>
  <c r="G3350" i="1"/>
  <c r="G3354" i="1"/>
  <c r="G3358" i="1"/>
  <c r="G3362" i="1"/>
  <c r="G3366" i="1"/>
  <c r="G3370" i="1"/>
  <c r="G3374" i="1"/>
  <c r="G3378" i="1"/>
  <c r="G3382" i="1"/>
  <c r="G3386" i="1"/>
  <c r="G3390" i="1"/>
  <c r="G3394" i="1"/>
  <c r="G3398" i="1"/>
  <c r="G3402" i="1"/>
  <c r="G3406" i="1"/>
  <c r="G3410" i="1"/>
  <c r="G3414" i="1"/>
  <c r="G3418" i="1"/>
  <c r="G3422" i="1"/>
  <c r="G3426" i="1"/>
  <c r="G3430" i="1"/>
  <c r="G3434" i="1"/>
  <c r="G3438" i="1"/>
  <c r="G3442" i="1"/>
  <c r="G3446" i="1"/>
  <c r="G3450" i="1"/>
  <c r="G3454" i="1"/>
  <c r="G3458" i="1"/>
  <c r="G3462" i="1"/>
  <c r="G3466" i="1"/>
  <c r="G3470" i="1"/>
  <c r="G3474" i="1"/>
  <c r="G3478" i="1"/>
  <c r="G3482" i="1"/>
  <c r="G3486" i="1"/>
  <c r="G3490" i="1"/>
  <c r="G3494" i="1"/>
  <c r="G3498" i="1"/>
  <c r="G3502" i="1"/>
  <c r="G3506" i="1"/>
  <c r="G3510" i="1"/>
  <c r="G3514" i="1"/>
  <c r="G3518" i="1"/>
  <c r="G3522" i="1"/>
  <c r="G3526" i="1"/>
  <c r="G3530" i="1"/>
  <c r="G3534" i="1"/>
  <c r="G3538" i="1"/>
  <c r="G3542" i="1"/>
  <c r="G3546" i="1"/>
  <c r="G3550" i="1"/>
  <c r="G3554" i="1"/>
  <c r="G3558" i="1"/>
  <c r="G3562" i="1"/>
  <c r="G3566" i="1"/>
  <c r="G3570" i="1"/>
  <c r="G3574" i="1"/>
  <c r="G3578" i="1"/>
  <c r="G3582" i="1"/>
  <c r="G3586" i="1"/>
  <c r="G3590" i="1"/>
  <c r="G3594" i="1"/>
  <c r="G3598" i="1"/>
  <c r="G3602" i="1"/>
  <c r="G3606" i="1"/>
  <c r="G3610" i="1"/>
  <c r="G3614" i="1"/>
  <c r="G3618" i="1"/>
  <c r="G3622" i="1"/>
  <c r="G3626" i="1"/>
  <c r="G3630" i="1"/>
  <c r="G3634" i="1"/>
  <c r="G3638" i="1"/>
  <c r="G3642" i="1"/>
  <c r="G3646" i="1"/>
  <c r="G3650" i="1"/>
  <c r="G3654" i="1"/>
  <c r="G3658" i="1"/>
  <c r="G3662" i="1"/>
  <c r="G3666" i="1"/>
  <c r="G3670" i="1"/>
  <c r="G3674" i="1"/>
  <c r="G3678" i="1"/>
  <c r="G3682" i="1"/>
  <c r="G3686" i="1"/>
  <c r="G3690" i="1"/>
  <c r="G3694" i="1"/>
  <c r="G3698" i="1"/>
  <c r="G3702" i="1"/>
  <c r="G3706" i="1"/>
  <c r="G3710" i="1"/>
  <c r="G3714" i="1"/>
  <c r="G3718" i="1"/>
  <c r="G3722" i="1"/>
  <c r="G3726" i="1"/>
  <c r="G3730" i="1"/>
  <c r="G3734" i="1"/>
  <c r="G3738" i="1"/>
  <c r="G3742" i="1"/>
  <c r="G3746" i="1"/>
  <c r="G3750" i="1"/>
  <c r="G3754" i="1"/>
  <c r="G3758" i="1"/>
  <c r="G3762" i="1"/>
  <c r="G3766" i="1"/>
  <c r="G3770" i="1"/>
  <c r="G3774" i="1"/>
  <c r="G3778" i="1"/>
  <c r="G3782" i="1"/>
  <c r="G3786" i="1"/>
  <c r="G3790" i="1"/>
  <c r="G3794" i="1"/>
  <c r="G3798" i="1"/>
  <c r="G3802" i="1"/>
  <c r="G3806" i="1"/>
  <c r="G3810" i="1"/>
  <c r="G3814" i="1"/>
  <c r="G3457" i="1"/>
  <c r="G3465" i="1"/>
  <c r="G3473" i="1"/>
  <c r="G3481" i="1"/>
  <c r="G3489" i="1"/>
  <c r="G3497" i="1"/>
  <c r="G3505" i="1"/>
  <c r="G3513" i="1"/>
  <c r="G3521" i="1"/>
  <c r="G3529" i="1"/>
  <c r="G3537" i="1"/>
  <c r="G3545" i="1"/>
  <c r="G3553" i="1"/>
  <c r="G3561" i="1"/>
  <c r="G3569" i="1"/>
  <c r="G3577" i="1"/>
  <c r="G3585" i="1"/>
  <c r="G3593" i="1"/>
  <c r="G3601" i="1"/>
  <c r="G3609" i="1"/>
  <c r="G3617" i="1"/>
  <c r="G3625" i="1"/>
  <c r="G3633" i="1"/>
  <c r="G3641" i="1"/>
  <c r="G3649" i="1"/>
  <c r="G3657" i="1"/>
  <c r="G3665" i="1"/>
  <c r="G3673" i="1"/>
  <c r="G3681" i="1"/>
  <c r="G3689" i="1"/>
  <c r="G3697" i="1"/>
  <c r="G3705" i="1"/>
  <c r="G3713" i="1"/>
  <c r="G3721" i="1"/>
  <c r="G3729" i="1"/>
  <c r="G3737" i="1"/>
  <c r="G3745" i="1"/>
  <c r="G3753" i="1"/>
  <c r="G3761" i="1"/>
  <c r="G3769" i="1"/>
  <c r="G3777" i="1"/>
  <c r="G3785" i="1"/>
  <c r="G3793" i="1"/>
  <c r="G3801" i="1"/>
  <c r="G3809" i="1"/>
  <c r="G3816" i="1"/>
  <c r="G3820" i="1"/>
  <c r="G3824" i="1"/>
  <c r="G3828" i="1"/>
  <c r="G3832" i="1"/>
  <c r="G3836" i="1"/>
  <c r="G3840" i="1"/>
  <c r="G3844" i="1"/>
  <c r="G3848" i="1"/>
  <c r="G3852" i="1"/>
  <c r="G3856" i="1"/>
  <c r="G3860" i="1"/>
  <c r="G3864" i="1"/>
  <c r="G3868" i="1"/>
  <c r="G3872" i="1"/>
  <c r="G3876" i="1"/>
  <c r="G3880" i="1"/>
  <c r="G3884" i="1"/>
  <c r="G3888" i="1"/>
  <c r="G3892" i="1"/>
  <c r="G3896" i="1"/>
  <c r="G3900" i="1"/>
  <c r="G3904" i="1"/>
  <c r="G3908" i="1"/>
  <c r="G3912" i="1"/>
  <c r="G3916" i="1"/>
  <c r="G3920" i="1"/>
  <c r="G3924" i="1"/>
  <c r="G3928" i="1"/>
  <c r="G3932" i="1"/>
  <c r="G3936" i="1"/>
  <c r="G3940" i="1"/>
  <c r="G3944" i="1"/>
  <c r="G3948" i="1"/>
  <c r="G3952" i="1"/>
  <c r="G3956" i="1"/>
  <c r="G3960" i="1"/>
  <c r="G3964" i="1"/>
  <c r="G3968" i="1"/>
  <c r="G3972" i="1"/>
  <c r="G3976" i="1"/>
  <c r="G3980" i="1"/>
  <c r="G3984" i="1"/>
  <c r="G3988" i="1"/>
  <c r="G3992" i="1"/>
  <c r="G3996" i="1"/>
  <c r="G4000" i="1"/>
  <c r="G4004" i="1"/>
  <c r="G4008" i="1"/>
  <c r="G4012" i="1"/>
  <c r="G4016" i="1"/>
  <c r="G4020" i="1"/>
  <c r="G4024" i="1"/>
  <c r="G4028" i="1"/>
  <c r="G4032" i="1"/>
  <c r="G4036" i="1"/>
  <c r="G4040" i="1"/>
  <c r="G4044" i="1"/>
  <c r="G4048" i="1"/>
  <c r="G4052" i="1"/>
  <c r="G4056" i="1"/>
  <c r="G4060" i="1"/>
  <c r="G4064" i="1"/>
  <c r="G4068" i="1"/>
  <c r="G4072" i="1"/>
  <c r="G4076" i="1"/>
  <c r="G4080" i="1"/>
  <c r="G4084" i="1"/>
  <c r="G4088" i="1"/>
  <c r="G4092" i="1"/>
  <c r="G4096" i="1"/>
  <c r="G4100" i="1"/>
  <c r="G4104" i="1"/>
  <c r="G4108" i="1"/>
  <c r="G4112" i="1"/>
  <c r="G4116" i="1"/>
  <c r="G4120" i="1"/>
  <c r="G4124" i="1"/>
  <c r="G4128" i="1"/>
  <c r="G4132" i="1"/>
  <c r="G4136" i="1"/>
  <c r="G4140" i="1"/>
  <c r="G4144" i="1"/>
  <c r="G4148" i="1"/>
  <c r="G4152" i="1"/>
  <c r="G4156" i="1"/>
  <c r="G4160" i="1"/>
  <c r="G4164" i="1"/>
  <c r="G4168" i="1"/>
  <c r="G4172" i="1"/>
  <c r="G4176" i="1"/>
  <c r="G4180" i="1"/>
  <c r="G4184" i="1"/>
  <c r="G4188" i="1"/>
  <c r="G4192" i="1"/>
  <c r="G4196" i="1"/>
  <c r="G4200" i="1"/>
  <c r="G4204" i="1"/>
  <c r="G4208" i="1"/>
  <c r="G4212" i="1"/>
  <c r="G4216" i="1"/>
  <c r="G4220" i="1"/>
  <c r="G4224" i="1"/>
  <c r="G4228" i="1"/>
  <c r="G4232" i="1"/>
  <c r="G4236" i="1"/>
  <c r="G4240" i="1"/>
  <c r="G4244" i="1"/>
  <c r="G4248" i="1"/>
  <c r="G4252" i="1"/>
  <c r="G4256" i="1"/>
  <c r="G4260" i="1"/>
  <c r="G4264" i="1"/>
  <c r="G4268" i="1"/>
  <c r="G4272" i="1"/>
  <c r="G4276" i="1"/>
  <c r="G4280" i="1"/>
  <c r="G4284" i="1"/>
  <c r="G4288" i="1"/>
  <c r="G4292" i="1"/>
  <c r="G4296" i="1"/>
  <c r="G4300" i="1"/>
  <c r="G4304" i="1"/>
  <c r="G4308" i="1"/>
  <c r="G4312" i="1"/>
  <c r="G4316" i="1"/>
  <c r="G4320" i="1"/>
  <c r="G4324" i="1"/>
  <c r="G4328" i="1"/>
  <c r="G4332" i="1"/>
  <c r="G4336" i="1"/>
  <c r="G4340" i="1"/>
  <c r="G4344" i="1"/>
  <c r="G4348" i="1"/>
  <c r="G4352" i="1"/>
  <c r="G4356" i="1"/>
  <c r="G4360" i="1"/>
  <c r="G4364" i="1"/>
  <c r="G4368" i="1"/>
  <c r="G4372" i="1"/>
  <c r="G4376" i="1"/>
  <c r="G4380" i="1"/>
  <c r="G4384" i="1"/>
  <c r="G4388" i="1"/>
  <c r="G4392" i="1"/>
  <c r="G4396" i="1"/>
  <c r="G4400" i="1"/>
  <c r="G4404" i="1"/>
  <c r="G4408" i="1"/>
  <c r="G4412" i="1"/>
  <c r="G4416" i="1"/>
  <c r="G4420" i="1"/>
  <c r="G4424" i="1"/>
  <c r="G4428" i="1"/>
  <c r="G4432" i="1"/>
  <c r="G4436" i="1"/>
  <c r="G4440" i="1"/>
  <c r="G4444" i="1"/>
  <c r="G4448" i="1"/>
  <c r="G4452" i="1"/>
  <c r="G4456" i="1"/>
  <c r="G4460" i="1"/>
  <c r="G4464" i="1"/>
  <c r="G4468" i="1"/>
  <c r="G4472" i="1"/>
  <c r="G4476" i="1"/>
  <c r="G4480" i="1"/>
  <c r="G4484" i="1"/>
  <c r="G4488" i="1"/>
  <c r="G4492" i="1"/>
  <c r="G4496" i="1"/>
  <c r="G4500" i="1"/>
  <c r="G4504" i="1"/>
  <c r="G4508" i="1"/>
  <c r="G4512" i="1"/>
  <c r="G4516" i="1"/>
  <c r="G4520" i="1"/>
  <c r="G4524" i="1"/>
  <c r="G4528" i="1"/>
  <c r="G4532" i="1"/>
  <c r="G4536" i="1"/>
  <c r="G4540" i="1"/>
  <c r="G4544" i="1"/>
  <c r="G4548" i="1"/>
  <c r="G4552" i="1"/>
  <c r="G4556" i="1"/>
  <c r="G4560" i="1"/>
  <c r="G4564" i="1"/>
  <c r="G4568" i="1"/>
  <c r="G4572" i="1"/>
  <c r="G4576" i="1"/>
  <c r="G4580" i="1"/>
  <c r="G4584" i="1"/>
  <c r="G4588" i="1"/>
  <c r="G4592" i="1"/>
  <c r="G4596" i="1"/>
  <c r="G4600" i="1"/>
  <c r="G4604" i="1"/>
  <c r="G4608" i="1"/>
  <c r="G4612" i="1"/>
  <c r="G4616" i="1"/>
  <c r="G4620" i="1"/>
  <c r="G4624" i="1"/>
  <c r="G4628" i="1"/>
  <c r="G4632" i="1"/>
  <c r="G4636" i="1"/>
  <c r="G4640" i="1"/>
  <c r="G4644" i="1"/>
  <c r="G4648" i="1"/>
  <c r="G4652" i="1"/>
  <c r="G4656" i="1"/>
  <c r="G4660" i="1"/>
  <c r="G4664" i="1"/>
  <c r="G4668" i="1"/>
  <c r="G4672" i="1"/>
  <c r="G4676" i="1"/>
  <c r="G4680" i="1"/>
  <c r="G4684" i="1"/>
  <c r="G4688" i="1"/>
  <c r="G4692" i="1"/>
  <c r="G4696" i="1"/>
  <c r="G4700" i="1"/>
  <c r="G4706" i="1"/>
  <c r="G4710" i="1"/>
  <c r="G4714" i="1"/>
  <c r="G4720" i="1"/>
  <c r="G4728" i="1"/>
  <c r="G4736" i="1"/>
  <c r="G4742" i="1"/>
  <c r="G4750" i="1"/>
  <c r="G4758" i="1"/>
  <c r="G4766" i="1"/>
  <c r="G4774" i="1"/>
  <c r="G4782" i="1"/>
  <c r="G4790" i="1"/>
  <c r="G4800" i="1"/>
  <c r="G4808" i="1"/>
  <c r="G4818" i="1"/>
  <c r="G4830" i="1"/>
  <c r="G4838" i="1"/>
  <c r="G4846" i="1"/>
  <c r="G4854" i="1"/>
  <c r="G4864" i="1"/>
  <c r="G4874" i="1"/>
  <c r="G4884" i="1"/>
  <c r="G4892" i="1"/>
  <c r="G4900" i="1"/>
  <c r="G4908" i="1"/>
  <c r="G4916" i="1"/>
  <c r="G4924" i="1"/>
  <c r="G4932" i="1"/>
  <c r="G4942" i="1"/>
  <c r="G4950" i="1"/>
  <c r="G4962" i="1"/>
  <c r="G4970" i="1"/>
  <c r="G4982" i="1"/>
  <c r="G4990" i="1"/>
  <c r="G5000" i="1"/>
  <c r="G3459" i="1"/>
  <c r="G3467" i="1"/>
  <c r="G3475" i="1"/>
  <c r="G3483" i="1"/>
  <c r="G3491" i="1"/>
  <c r="G3499" i="1"/>
  <c r="G3507" i="1"/>
  <c r="G3515" i="1"/>
  <c r="G3523" i="1"/>
  <c r="G3531" i="1"/>
  <c r="G3539" i="1"/>
  <c r="G3547" i="1"/>
  <c r="G3555" i="1"/>
  <c r="G3563" i="1"/>
  <c r="G3571" i="1"/>
  <c r="G3579" i="1"/>
  <c r="G3587" i="1"/>
  <c r="G3595" i="1"/>
  <c r="G3603" i="1"/>
  <c r="G3611" i="1"/>
  <c r="G3619" i="1"/>
  <c r="G3627" i="1"/>
  <c r="G3635" i="1"/>
  <c r="G3643" i="1"/>
  <c r="G3651" i="1"/>
  <c r="G3659" i="1"/>
  <c r="G3667" i="1"/>
  <c r="G3675" i="1"/>
  <c r="G3683" i="1"/>
  <c r="G3691" i="1"/>
  <c r="G3699" i="1"/>
  <c r="G3707" i="1"/>
  <c r="G3715" i="1"/>
  <c r="G3723" i="1"/>
  <c r="G3731" i="1"/>
  <c r="G3739" i="1"/>
  <c r="G3747" i="1"/>
  <c r="G3755" i="1"/>
  <c r="G3763" i="1"/>
  <c r="G3771" i="1"/>
  <c r="G3779" i="1"/>
  <c r="G3787" i="1"/>
  <c r="G3795" i="1"/>
  <c r="G3803" i="1"/>
  <c r="G3811" i="1"/>
  <c r="G3817" i="1"/>
  <c r="G3821" i="1"/>
  <c r="G3825" i="1"/>
  <c r="G3829" i="1"/>
  <c r="G3833" i="1"/>
  <c r="G3837" i="1"/>
  <c r="G3841" i="1"/>
  <c r="G3845" i="1"/>
  <c r="G3849" i="1"/>
  <c r="G3853" i="1"/>
  <c r="G3857" i="1"/>
  <c r="G3861" i="1"/>
  <c r="G3865" i="1"/>
  <c r="G3869" i="1"/>
  <c r="G3873" i="1"/>
  <c r="G3877" i="1"/>
  <c r="G3881" i="1"/>
  <c r="G3885" i="1"/>
  <c r="G3889" i="1"/>
  <c r="G3893" i="1"/>
  <c r="G3897" i="1"/>
  <c r="G3901" i="1"/>
  <c r="G3905" i="1"/>
  <c r="G3909" i="1"/>
  <c r="G3913" i="1"/>
  <c r="G3917" i="1"/>
  <c r="G3921" i="1"/>
  <c r="G3925" i="1"/>
  <c r="G3929" i="1"/>
  <c r="G3933" i="1"/>
  <c r="G3937" i="1"/>
  <c r="G3941" i="1"/>
  <c r="G3945" i="1"/>
  <c r="G3949" i="1"/>
  <c r="G3953" i="1"/>
  <c r="G3957" i="1"/>
  <c r="G3961" i="1"/>
  <c r="G3965" i="1"/>
  <c r="G3969" i="1"/>
  <c r="G3973" i="1"/>
  <c r="G3977" i="1"/>
  <c r="G3981" i="1"/>
  <c r="G3985" i="1"/>
  <c r="G3989" i="1"/>
  <c r="G3993" i="1"/>
  <c r="G3997" i="1"/>
  <c r="G4001" i="1"/>
  <c r="G4005" i="1"/>
  <c r="G4009" i="1"/>
  <c r="G4013" i="1"/>
  <c r="G4017" i="1"/>
  <c r="G4021" i="1"/>
  <c r="G4025" i="1"/>
  <c r="G4029" i="1"/>
  <c r="G4033" i="1"/>
  <c r="G4037" i="1"/>
  <c r="G4041" i="1"/>
  <c r="G4045" i="1"/>
  <c r="G4049" i="1"/>
  <c r="G4053" i="1"/>
  <c r="G4057" i="1"/>
  <c r="G4061" i="1"/>
  <c r="G4065" i="1"/>
  <c r="G4069" i="1"/>
  <c r="G4073" i="1"/>
  <c r="G4077" i="1"/>
  <c r="G4081" i="1"/>
  <c r="G4085" i="1"/>
  <c r="G4089" i="1"/>
  <c r="G4093" i="1"/>
  <c r="G4097" i="1"/>
  <c r="G4101" i="1"/>
  <c r="G4105" i="1"/>
  <c r="G4109" i="1"/>
  <c r="G4113" i="1"/>
  <c r="G4117" i="1"/>
  <c r="G4121" i="1"/>
  <c r="G4125" i="1"/>
  <c r="G4129" i="1"/>
  <c r="G4133" i="1"/>
  <c r="G4137" i="1"/>
  <c r="G4141" i="1"/>
  <c r="G4145" i="1"/>
  <c r="G4149" i="1"/>
  <c r="G4153" i="1"/>
  <c r="G4157" i="1"/>
  <c r="G4161" i="1"/>
  <c r="G4165" i="1"/>
  <c r="G4169" i="1"/>
  <c r="G4173" i="1"/>
  <c r="G4177" i="1"/>
  <c r="G4181" i="1"/>
  <c r="G4185" i="1"/>
  <c r="G4189" i="1"/>
  <c r="G4193" i="1"/>
  <c r="G4197" i="1"/>
  <c r="G4201" i="1"/>
  <c r="G4205" i="1"/>
  <c r="G4209" i="1"/>
  <c r="G4213" i="1"/>
  <c r="G4217" i="1"/>
  <c r="G4221" i="1"/>
  <c r="G4225" i="1"/>
  <c r="G4229" i="1"/>
  <c r="G4233" i="1"/>
  <c r="G4237" i="1"/>
  <c r="G4241" i="1"/>
  <c r="G4245" i="1"/>
  <c r="G4249" i="1"/>
  <c r="G4253" i="1"/>
  <c r="G4257" i="1"/>
  <c r="G4261" i="1"/>
  <c r="G4265" i="1"/>
  <c r="G4269" i="1"/>
  <c r="G4273" i="1"/>
  <c r="G4277" i="1"/>
  <c r="G4281" i="1"/>
  <c r="G4285" i="1"/>
  <c r="G4289" i="1"/>
  <c r="G4293" i="1"/>
  <c r="G4297" i="1"/>
  <c r="G4301" i="1"/>
  <c r="G4305" i="1"/>
  <c r="G4309" i="1"/>
  <c r="G4313" i="1"/>
  <c r="G4317" i="1"/>
  <c r="G4321" i="1"/>
  <c r="G4325" i="1"/>
  <c r="G4329" i="1"/>
  <c r="G4333" i="1"/>
  <c r="G4337" i="1"/>
  <c r="G4341" i="1"/>
  <c r="G4345" i="1"/>
  <c r="G4349" i="1"/>
  <c r="G4353" i="1"/>
  <c r="G4357" i="1"/>
  <c r="G4361" i="1"/>
  <c r="G4365" i="1"/>
  <c r="G4369" i="1"/>
  <c r="G4373" i="1"/>
  <c r="G4377" i="1"/>
  <c r="G4381" i="1"/>
  <c r="G4385" i="1"/>
  <c r="G4389" i="1"/>
  <c r="G4393" i="1"/>
  <c r="G4397" i="1"/>
  <c r="G4401" i="1"/>
  <c r="G4405" i="1"/>
  <c r="G4409" i="1"/>
  <c r="G4413" i="1"/>
  <c r="G4417" i="1"/>
  <c r="G4421" i="1"/>
  <c r="G4425" i="1"/>
  <c r="G4429" i="1"/>
  <c r="G4433" i="1"/>
  <c r="G4437" i="1"/>
  <c r="G4441" i="1"/>
  <c r="G4445" i="1"/>
  <c r="G4449" i="1"/>
  <c r="G4453" i="1"/>
  <c r="G4457" i="1"/>
  <c r="G4461" i="1"/>
  <c r="G4465" i="1"/>
  <c r="G4469" i="1"/>
  <c r="G4473" i="1"/>
  <c r="G4477" i="1"/>
  <c r="G4481" i="1"/>
  <c r="G4485" i="1"/>
  <c r="G4489" i="1"/>
  <c r="G4493" i="1"/>
  <c r="G4497" i="1"/>
  <c r="G4501" i="1"/>
  <c r="G4505" i="1"/>
  <c r="G4509" i="1"/>
  <c r="G4513" i="1"/>
  <c r="G4517" i="1"/>
  <c r="G4521" i="1"/>
  <c r="G4525" i="1"/>
  <c r="G4529" i="1"/>
  <c r="G4533" i="1"/>
  <c r="G4537" i="1"/>
  <c r="G4541" i="1"/>
  <c r="G4545" i="1"/>
  <c r="G4549" i="1"/>
  <c r="G4553" i="1"/>
  <c r="G4557" i="1"/>
  <c r="G4561" i="1"/>
  <c r="G4565" i="1"/>
  <c r="G4569" i="1"/>
  <c r="G4573" i="1"/>
  <c r="G4577" i="1"/>
  <c r="G4581" i="1"/>
  <c r="G4585" i="1"/>
  <c r="G4589" i="1"/>
  <c r="G4593" i="1"/>
  <c r="G4597" i="1"/>
  <c r="G4601" i="1"/>
  <c r="G4605" i="1"/>
  <c r="G4609" i="1"/>
  <c r="G4613" i="1"/>
  <c r="G4617" i="1"/>
  <c r="G4621" i="1"/>
  <c r="G4625" i="1"/>
  <c r="G4629" i="1"/>
  <c r="G4633" i="1"/>
  <c r="G4637" i="1"/>
  <c r="G4641" i="1"/>
  <c r="G4645" i="1"/>
  <c r="G4649" i="1"/>
  <c r="G4653" i="1"/>
  <c r="G4657" i="1"/>
  <c r="G4661" i="1"/>
  <c r="G4665" i="1"/>
  <c r="G4669" i="1"/>
  <c r="G4673" i="1"/>
  <c r="G4677" i="1"/>
  <c r="G4681" i="1"/>
  <c r="G4685" i="1"/>
  <c r="G4689" i="1"/>
  <c r="G4693" i="1"/>
  <c r="G4697" i="1"/>
  <c r="G4701" i="1"/>
  <c r="G4705" i="1"/>
  <c r="G4709" i="1"/>
  <c r="G4713" i="1"/>
  <c r="G4717" i="1"/>
  <c r="G4721" i="1"/>
  <c r="G4725" i="1"/>
  <c r="G4729" i="1"/>
  <c r="G4733" i="1"/>
  <c r="G4737" i="1"/>
  <c r="G4741" i="1"/>
  <c r="G4745" i="1"/>
  <c r="G4749" i="1"/>
  <c r="G4753" i="1"/>
  <c r="G4757" i="1"/>
  <c r="G4761" i="1"/>
  <c r="G4765" i="1"/>
  <c r="G4769" i="1"/>
  <c r="G4773" i="1"/>
  <c r="G4777" i="1"/>
  <c r="G4781" i="1"/>
  <c r="G4785" i="1"/>
  <c r="G4789" i="1"/>
  <c r="G4793" i="1"/>
  <c r="G4797" i="1"/>
  <c r="G4801" i="1"/>
  <c r="G4805" i="1"/>
  <c r="G4809" i="1"/>
  <c r="G4813" i="1"/>
  <c r="G4817" i="1"/>
  <c r="G4821" i="1"/>
  <c r="G4825" i="1"/>
  <c r="G4829" i="1"/>
  <c r="G4833" i="1"/>
  <c r="G4837" i="1"/>
  <c r="G4841" i="1"/>
  <c r="G4845" i="1"/>
  <c r="G4849" i="1"/>
  <c r="G4853" i="1"/>
  <c r="G4857" i="1"/>
  <c r="G4861" i="1"/>
  <c r="G4865" i="1"/>
  <c r="G4869" i="1"/>
  <c r="G4873" i="1"/>
  <c r="G4877" i="1"/>
  <c r="G4881" i="1"/>
  <c r="G4885" i="1"/>
  <c r="G4889" i="1"/>
  <c r="G4893" i="1"/>
  <c r="G4897" i="1"/>
  <c r="G4901" i="1"/>
  <c r="G4905" i="1"/>
  <c r="G4909" i="1"/>
  <c r="G4913" i="1"/>
  <c r="G4917" i="1"/>
  <c r="G4921" i="1"/>
  <c r="G4925" i="1"/>
  <c r="G4929" i="1"/>
  <c r="G4933" i="1"/>
  <c r="G4937" i="1"/>
  <c r="G4941" i="1"/>
  <c r="G4945" i="1"/>
  <c r="G4949" i="1"/>
  <c r="G4953" i="1"/>
  <c r="G4957" i="1"/>
  <c r="G4961" i="1"/>
  <c r="G4965" i="1"/>
  <c r="G4969" i="1"/>
  <c r="G4973" i="1"/>
  <c r="G4977" i="1"/>
  <c r="G4981" i="1"/>
  <c r="G4985" i="1"/>
  <c r="G4989" i="1"/>
  <c r="G4993" i="1"/>
  <c r="G4997" i="1"/>
  <c r="G4702" i="1"/>
  <c r="G4722" i="1"/>
  <c r="G4730" i="1"/>
  <c r="G4740" i="1"/>
  <c r="G4748" i="1"/>
  <c r="G4756" i="1"/>
  <c r="G4764" i="1"/>
  <c r="G4772" i="1"/>
  <c r="G4780" i="1"/>
  <c r="G4788" i="1"/>
  <c r="G4796" i="1"/>
  <c r="G4802" i="1"/>
  <c r="G4810" i="1"/>
  <c r="G4816" i="1"/>
  <c r="G4822" i="1"/>
  <c r="G4828" i="1"/>
  <c r="G4836" i="1"/>
  <c r="G4844" i="1"/>
  <c r="G4852" i="1"/>
  <c r="G4860" i="1"/>
  <c r="G4866" i="1"/>
  <c r="G4872" i="1"/>
  <c r="G4880" i="1"/>
  <c r="G4886" i="1"/>
  <c r="G4894" i="1"/>
  <c r="G4902" i="1"/>
  <c r="G4910" i="1"/>
  <c r="G4918" i="1"/>
  <c r="G4926" i="1"/>
  <c r="G4934" i="1"/>
  <c r="G4940" i="1"/>
  <c r="G4948" i="1"/>
  <c r="G4954" i="1"/>
  <c r="G4960" i="1"/>
  <c r="G4968" i="1"/>
  <c r="G4974" i="1"/>
  <c r="G4980" i="1"/>
  <c r="G4988" i="1"/>
  <c r="G4994" i="1"/>
  <c r="G3013" i="1"/>
  <c r="G3017" i="1"/>
  <c r="G3021" i="1"/>
  <c r="G3025" i="1"/>
  <c r="G3029" i="1"/>
  <c r="G3033" i="1"/>
  <c r="G3037" i="1"/>
  <c r="G3041" i="1"/>
  <c r="G3045" i="1"/>
  <c r="G3049" i="1"/>
  <c r="G3053" i="1"/>
  <c r="G3057" i="1"/>
  <c r="G3061" i="1"/>
  <c r="G3065" i="1"/>
  <c r="G3069" i="1"/>
  <c r="G3073" i="1"/>
  <c r="G3077" i="1"/>
  <c r="G3081" i="1"/>
  <c r="G3085" i="1"/>
  <c r="G3089" i="1"/>
  <c r="G3093" i="1"/>
  <c r="G3097" i="1"/>
  <c r="G3101" i="1"/>
  <c r="G3105" i="1"/>
  <c r="G3109" i="1"/>
  <c r="G3113" i="1"/>
  <c r="G3117" i="1"/>
  <c r="G3121" i="1"/>
  <c r="G3125" i="1"/>
  <c r="G3129" i="1"/>
  <c r="G3133" i="1"/>
  <c r="G3137" i="1"/>
  <c r="G3141" i="1"/>
  <c r="G3145" i="1"/>
  <c r="G3149" i="1"/>
  <c r="G3153" i="1"/>
  <c r="G3157" i="1"/>
  <c r="G3161" i="1"/>
  <c r="G3165" i="1"/>
  <c r="G3169" i="1"/>
  <c r="G3173" i="1"/>
  <c r="G3177" i="1"/>
  <c r="G3181" i="1"/>
  <c r="G3185" i="1"/>
  <c r="G3189" i="1"/>
  <c r="G3193" i="1"/>
  <c r="G3197" i="1"/>
  <c r="G3201" i="1"/>
  <c r="G3205" i="1"/>
  <c r="G3209" i="1"/>
  <c r="G3213" i="1"/>
  <c r="G3217" i="1"/>
  <c r="G3221" i="1"/>
  <c r="G3225" i="1"/>
  <c r="G3229" i="1"/>
  <c r="G3233" i="1"/>
  <c r="G3237" i="1"/>
  <c r="G3241" i="1"/>
  <c r="G3245" i="1"/>
  <c r="G3249" i="1"/>
  <c r="G3253" i="1"/>
  <c r="G3257" i="1"/>
  <c r="G3261" i="1"/>
  <c r="G3265" i="1"/>
  <c r="G3269" i="1"/>
  <c r="G3273" i="1"/>
  <c r="G3277" i="1"/>
  <c r="G3281" i="1"/>
  <c r="G3285" i="1"/>
  <c r="G3289" i="1"/>
  <c r="G3293" i="1"/>
  <c r="G3297" i="1"/>
  <c r="G3301" i="1"/>
  <c r="G3305" i="1"/>
  <c r="G3309" i="1"/>
  <c r="G3313" i="1"/>
  <c r="G3317" i="1"/>
  <c r="G3321" i="1"/>
  <c r="G3325" i="1"/>
  <c r="G3329" i="1"/>
  <c r="G3333" i="1"/>
  <c r="G3337" i="1"/>
  <c r="G3341" i="1"/>
  <c r="G3345" i="1"/>
  <c r="G3349" i="1"/>
  <c r="G3353" i="1"/>
  <c r="G3357" i="1"/>
  <c r="G3361" i="1"/>
  <c r="G3365" i="1"/>
  <c r="G3369" i="1"/>
  <c r="G3373" i="1"/>
  <c r="G3377" i="1"/>
  <c r="G3381" i="1"/>
  <c r="G3385" i="1"/>
  <c r="G3389" i="1"/>
  <c r="G3393" i="1"/>
  <c r="G3397" i="1"/>
  <c r="G3401" i="1"/>
  <c r="G3405" i="1"/>
  <c r="G3409" i="1"/>
  <c r="G3413" i="1"/>
  <c r="G3417" i="1"/>
  <c r="G3421" i="1"/>
  <c r="G3425" i="1"/>
  <c r="G3429" i="1"/>
  <c r="G3433" i="1"/>
  <c r="G3437" i="1"/>
  <c r="G3441" i="1"/>
  <c r="G3445" i="1"/>
  <c r="G3449" i="1"/>
  <c r="G2306" i="1"/>
  <c r="G2314" i="1"/>
  <c r="G2322" i="1"/>
  <c r="G2330" i="1"/>
  <c r="G2338" i="1"/>
  <c r="G2346" i="1"/>
  <c r="G2354" i="1"/>
  <c r="G2362" i="1"/>
  <c r="G2370" i="1"/>
  <c r="G2378" i="1"/>
  <c r="G2386" i="1"/>
  <c r="G2394" i="1"/>
  <c r="G2402" i="1"/>
  <c r="G2410" i="1"/>
  <c r="G2418" i="1"/>
  <c r="G2426" i="1"/>
  <c r="G2434" i="1"/>
  <c r="G2442" i="1"/>
  <c r="G2450" i="1"/>
  <c r="G2458" i="1"/>
  <c r="G2466" i="1"/>
  <c r="G2474" i="1"/>
  <c r="G2482" i="1"/>
  <c r="G2490" i="1"/>
  <c r="G2498" i="1"/>
  <c r="G2506" i="1"/>
  <c r="G2514" i="1"/>
  <c r="G2522" i="1"/>
  <c r="G2530" i="1"/>
  <c r="G2538" i="1"/>
  <c r="G2546" i="1"/>
  <c r="G2554" i="1"/>
  <c r="G2562" i="1"/>
  <c r="G2570" i="1"/>
  <c r="G2578" i="1"/>
  <c r="G2586" i="1"/>
  <c r="G2594" i="1"/>
  <c r="G2600" i="1"/>
  <c r="G2604" i="1"/>
  <c r="G2608" i="1"/>
  <c r="G2612" i="1"/>
  <c r="G2616" i="1"/>
  <c r="G2620" i="1"/>
  <c r="G2624" i="1"/>
  <c r="G2628" i="1"/>
  <c r="G2632" i="1"/>
  <c r="G2636" i="1"/>
  <c r="G2640" i="1"/>
  <c r="G2644" i="1"/>
  <c r="G2648" i="1"/>
  <c r="G2652" i="1"/>
  <c r="G2656" i="1"/>
  <c r="G2660" i="1"/>
  <c r="G2664" i="1"/>
  <c r="G2668" i="1"/>
  <c r="G2672" i="1"/>
  <c r="G2676" i="1"/>
  <c r="G2680" i="1"/>
  <c r="G2684" i="1"/>
  <c r="G2688" i="1"/>
  <c r="G2692" i="1"/>
  <c r="G2696" i="1"/>
  <c r="G2700" i="1"/>
  <c r="G2704" i="1"/>
  <c r="G2708" i="1"/>
  <c r="G2712" i="1"/>
  <c r="G2716" i="1"/>
  <c r="G2720" i="1"/>
  <c r="G2724" i="1"/>
  <c r="G2728" i="1"/>
  <c r="G2732" i="1"/>
  <c r="G2736" i="1"/>
  <c r="G2740" i="1"/>
  <c r="G2744" i="1"/>
  <c r="G2748" i="1"/>
  <c r="G2752" i="1"/>
  <c r="G2756" i="1"/>
  <c r="G2760" i="1"/>
  <c r="G2764" i="1"/>
  <c r="G2768" i="1"/>
  <c r="G2772" i="1"/>
  <c r="G2776" i="1"/>
  <c r="G2780" i="1"/>
  <c r="G2784" i="1"/>
  <c r="G2788" i="1"/>
  <c r="G2792" i="1"/>
  <c r="G2796" i="1"/>
  <c r="G2800" i="1"/>
  <c r="G2804" i="1"/>
  <c r="G2808" i="1"/>
  <c r="G2812" i="1"/>
  <c r="G2816" i="1"/>
  <c r="G2820" i="1"/>
  <c r="G2824" i="1"/>
  <c r="G2828" i="1"/>
  <c r="G2832" i="1"/>
  <c r="G2836" i="1"/>
  <c r="G2840" i="1"/>
  <c r="G2844" i="1"/>
  <c r="G2848" i="1"/>
  <c r="G2852" i="1"/>
  <c r="G2856" i="1"/>
  <c r="G2860" i="1"/>
  <c r="G2864" i="1"/>
  <c r="G2868" i="1"/>
  <c r="G2872" i="1"/>
  <c r="G2876" i="1"/>
  <c r="G2880" i="1"/>
  <c r="G2884" i="1"/>
  <c r="G2888" i="1"/>
  <c r="G2892" i="1"/>
  <c r="G2896" i="1"/>
  <c r="G2900" i="1"/>
  <c r="G2904" i="1"/>
  <c r="G2908" i="1"/>
  <c r="G2912" i="1"/>
  <c r="G2916" i="1"/>
  <c r="G2920" i="1"/>
  <c r="G2924" i="1"/>
  <c r="G2928" i="1"/>
  <c r="G2932" i="1"/>
  <c r="G2936" i="1"/>
  <c r="G2940" i="1"/>
  <c r="G2944" i="1"/>
  <c r="G2948" i="1"/>
  <c r="G2952" i="1"/>
  <c r="G2956" i="1"/>
  <c r="G2960" i="1"/>
  <c r="G2964" i="1"/>
  <c r="G2968" i="1"/>
  <c r="G2972" i="1"/>
  <c r="G2976" i="1"/>
  <c r="G2980" i="1"/>
  <c r="G2984" i="1"/>
  <c r="G2988" i="1"/>
  <c r="G2992" i="1"/>
  <c r="G2996" i="1"/>
  <c r="G3000" i="1"/>
  <c r="G3004" i="1"/>
  <c r="G3008" i="1"/>
  <c r="G3012" i="1"/>
  <c r="G3016" i="1"/>
  <c r="G3020" i="1"/>
  <c r="G3024" i="1"/>
  <c r="G3028" i="1"/>
  <c r="G3032" i="1"/>
  <c r="G3036" i="1"/>
  <c r="G3040" i="1"/>
  <c r="G3044" i="1"/>
  <c r="G3048" i="1"/>
  <c r="G3052" i="1"/>
  <c r="G3056" i="1"/>
  <c r="G3060" i="1"/>
  <c r="G3064" i="1"/>
  <c r="G3068" i="1"/>
  <c r="G3072" i="1"/>
  <c r="G3076" i="1"/>
  <c r="G3080" i="1"/>
  <c r="G3084" i="1"/>
  <c r="G3088" i="1"/>
  <c r="G3092" i="1"/>
  <c r="G3096" i="1"/>
  <c r="G3100" i="1"/>
  <c r="G3104" i="1"/>
  <c r="G3108" i="1"/>
  <c r="G3112" i="1"/>
  <c r="G3116" i="1"/>
  <c r="G3120" i="1"/>
  <c r="G3124" i="1"/>
  <c r="G3128" i="1"/>
  <c r="G3132" i="1"/>
  <c r="G3136" i="1"/>
  <c r="G3140" i="1"/>
  <c r="G3144" i="1"/>
  <c r="G3148" i="1"/>
  <c r="G3152" i="1"/>
  <c r="G3156" i="1"/>
  <c r="G3160" i="1"/>
  <c r="G3164" i="1"/>
  <c r="G3168" i="1"/>
  <c r="G3172" i="1"/>
  <c r="G3176" i="1"/>
  <c r="G3180" i="1"/>
  <c r="G3184" i="1"/>
  <c r="G3188" i="1"/>
  <c r="G3192" i="1"/>
  <c r="G3196" i="1"/>
  <c r="G3200" i="1"/>
  <c r="G3204" i="1"/>
  <c r="G3208" i="1"/>
  <c r="G3212" i="1"/>
  <c r="G3216" i="1"/>
  <c r="G3220" i="1"/>
  <c r="G3224" i="1"/>
  <c r="G3228" i="1"/>
  <c r="G3232" i="1"/>
  <c r="G3236" i="1"/>
  <c r="G3240" i="1"/>
  <c r="G3244" i="1"/>
  <c r="G3248" i="1"/>
  <c r="G3252" i="1"/>
  <c r="G3256" i="1"/>
  <c r="G3260" i="1"/>
  <c r="G3264" i="1"/>
  <c r="G3268" i="1"/>
  <c r="G3272" i="1"/>
  <c r="G3276" i="1"/>
  <c r="G3280" i="1"/>
  <c r="G3284" i="1"/>
  <c r="G3288" i="1"/>
  <c r="G3292" i="1"/>
  <c r="G3296" i="1"/>
  <c r="G3300" i="1"/>
  <c r="G3304" i="1"/>
  <c r="G3308" i="1"/>
  <c r="G3312" i="1"/>
  <c r="G3316" i="1"/>
  <c r="G3320" i="1"/>
  <c r="G3324" i="1"/>
  <c r="G3328" i="1"/>
  <c r="G3332" i="1"/>
  <c r="G3336" i="1"/>
  <c r="G3340" i="1"/>
  <c r="G3344" i="1"/>
  <c r="G3348" i="1"/>
  <c r="G3352" i="1"/>
  <c r="G3356" i="1"/>
  <c r="G3360" i="1"/>
  <c r="G3364" i="1"/>
  <c r="G3368" i="1"/>
  <c r="G3372" i="1"/>
  <c r="G3376" i="1"/>
  <c r="G3380" i="1"/>
  <c r="G3384" i="1"/>
  <c r="G3388" i="1"/>
  <c r="G3392" i="1"/>
  <c r="G3396" i="1"/>
  <c r="G3400" i="1"/>
  <c r="G3404" i="1"/>
  <c r="G3408" i="1"/>
  <c r="G3412" i="1"/>
  <c r="G3416" i="1"/>
  <c r="G3420" i="1"/>
  <c r="G3424" i="1"/>
  <c r="G3428" i="1"/>
  <c r="G3432" i="1"/>
  <c r="G3436" i="1"/>
  <c r="G3440" i="1"/>
  <c r="G3444" i="1"/>
  <c r="G3448" i="1"/>
  <c r="G3452" i="1"/>
  <c r="G3456" i="1"/>
  <c r="G3460" i="1"/>
  <c r="G3464" i="1"/>
  <c r="G3468" i="1"/>
  <c r="G3472" i="1"/>
  <c r="G3476" i="1"/>
  <c r="G3480" i="1"/>
  <c r="G3484" i="1"/>
  <c r="G3488" i="1"/>
  <c r="G3492" i="1"/>
  <c r="G3496" i="1"/>
  <c r="G3500" i="1"/>
  <c r="G3504" i="1"/>
  <c r="G3508" i="1"/>
  <c r="G3512" i="1"/>
  <c r="G3516" i="1"/>
  <c r="G3520" i="1"/>
  <c r="G3524" i="1"/>
  <c r="G3528" i="1"/>
  <c r="G3532" i="1"/>
  <c r="G3536" i="1"/>
  <c r="G3540" i="1"/>
  <c r="G3544" i="1"/>
  <c r="G3548" i="1"/>
  <c r="G3552" i="1"/>
  <c r="G3556" i="1"/>
  <c r="G3560" i="1"/>
  <c r="G3564" i="1"/>
  <c r="G3568" i="1"/>
  <c r="G3572" i="1"/>
  <c r="G3576" i="1"/>
  <c r="G3580" i="1"/>
  <c r="G3584" i="1"/>
  <c r="G3588" i="1"/>
  <c r="G3592" i="1"/>
  <c r="G3596" i="1"/>
  <c r="G3600" i="1"/>
  <c r="G3604" i="1"/>
  <c r="G3608" i="1"/>
  <c r="G3612" i="1"/>
  <c r="G3616" i="1"/>
  <c r="G3620" i="1"/>
  <c r="G3624" i="1"/>
  <c r="G3628" i="1"/>
  <c r="G3632" i="1"/>
  <c r="G3636" i="1"/>
  <c r="G3640" i="1"/>
  <c r="G3644" i="1"/>
  <c r="G3648" i="1"/>
  <c r="G3652" i="1"/>
  <c r="G3656" i="1"/>
  <c r="G3660" i="1"/>
  <c r="G3664" i="1"/>
  <c r="G3668" i="1"/>
  <c r="G3672" i="1"/>
  <c r="G3676" i="1"/>
  <c r="G3680" i="1"/>
  <c r="G3684" i="1"/>
  <c r="G3688" i="1"/>
  <c r="G3692" i="1"/>
  <c r="G3696" i="1"/>
  <c r="G3700" i="1"/>
  <c r="G3704" i="1"/>
  <c r="G3708" i="1"/>
  <c r="G3712" i="1"/>
  <c r="G3716" i="1"/>
  <c r="G3720" i="1"/>
  <c r="G3724" i="1"/>
  <c r="G3728" i="1"/>
  <c r="G3732" i="1"/>
  <c r="G3736" i="1"/>
  <c r="G3740" i="1"/>
  <c r="G3744" i="1"/>
  <c r="G3748" i="1"/>
  <c r="G3752" i="1"/>
  <c r="G3756" i="1"/>
  <c r="G3760" i="1"/>
  <c r="G3764" i="1"/>
  <c r="G3768" i="1"/>
  <c r="G3772" i="1"/>
  <c r="G3776" i="1"/>
  <c r="G3780" i="1"/>
  <c r="G3784" i="1"/>
  <c r="G3788" i="1"/>
  <c r="G3792" i="1"/>
  <c r="G3796" i="1"/>
  <c r="G3800" i="1"/>
  <c r="G3804" i="1"/>
  <c r="G3808" i="1"/>
  <c r="G3812" i="1"/>
  <c r="G3453" i="1"/>
  <c r="G3461" i="1"/>
  <c r="G3469" i="1"/>
  <c r="G3477" i="1"/>
  <c r="G3485" i="1"/>
  <c r="G3493" i="1"/>
  <c r="G3501" i="1"/>
  <c r="G3509" i="1"/>
  <c r="G3517" i="1"/>
  <c r="G3525" i="1"/>
  <c r="G3533" i="1"/>
  <c r="G3541" i="1"/>
  <c r="G3549" i="1"/>
  <c r="G3557" i="1"/>
  <c r="G3565" i="1"/>
  <c r="G3573" i="1"/>
  <c r="G3581" i="1"/>
  <c r="G3589" i="1"/>
  <c r="G3597" i="1"/>
  <c r="G3605" i="1"/>
  <c r="G3613" i="1"/>
  <c r="G3621" i="1"/>
  <c r="G3629" i="1"/>
  <c r="G3637" i="1"/>
  <c r="G3645" i="1"/>
  <c r="G3653" i="1"/>
  <c r="G3661" i="1"/>
  <c r="G3669" i="1"/>
  <c r="G3677" i="1"/>
  <c r="G3685" i="1"/>
  <c r="G3693" i="1"/>
  <c r="G3701" i="1"/>
  <c r="G3709" i="1"/>
  <c r="G3717" i="1"/>
  <c r="G3725" i="1"/>
  <c r="G3733" i="1"/>
  <c r="G3741" i="1"/>
  <c r="G3749" i="1"/>
  <c r="G3757" i="1"/>
  <c r="G3765" i="1"/>
  <c r="G3773" i="1"/>
  <c r="G3781" i="1"/>
  <c r="G3789" i="1"/>
  <c r="G3797" i="1"/>
  <c r="G3805" i="1"/>
  <c r="G3813" i="1"/>
  <c r="G3818" i="1"/>
  <c r="G3822" i="1"/>
  <c r="G3826" i="1"/>
  <c r="G3830" i="1"/>
  <c r="G3834" i="1"/>
  <c r="G3838" i="1"/>
  <c r="G3842" i="1"/>
  <c r="G3846" i="1"/>
  <c r="G3850" i="1"/>
  <c r="G3854" i="1"/>
  <c r="G3858" i="1"/>
  <c r="G3862" i="1"/>
  <c r="G3866" i="1"/>
  <c r="G3870" i="1"/>
  <c r="G3874" i="1"/>
  <c r="G3878" i="1"/>
  <c r="G3882" i="1"/>
  <c r="G3886" i="1"/>
  <c r="G3890" i="1"/>
  <c r="G3894" i="1"/>
  <c r="G3898" i="1"/>
  <c r="G3902" i="1"/>
  <c r="G3906" i="1"/>
  <c r="G3910" i="1"/>
  <c r="G3914" i="1"/>
  <c r="G3918" i="1"/>
  <c r="G3922" i="1"/>
  <c r="G3926" i="1"/>
  <c r="G3930" i="1"/>
  <c r="G3934" i="1"/>
  <c r="G3938" i="1"/>
  <c r="G3942" i="1"/>
  <c r="G3946" i="1"/>
  <c r="G3950" i="1"/>
  <c r="G3954" i="1"/>
  <c r="G3958" i="1"/>
  <c r="G3962" i="1"/>
  <c r="G3966" i="1"/>
  <c r="G3970" i="1"/>
  <c r="G3974" i="1"/>
  <c r="G3978" i="1"/>
  <c r="G3982" i="1"/>
  <c r="G3986" i="1"/>
  <c r="G3990" i="1"/>
  <c r="G3994" i="1"/>
  <c r="G3998" i="1"/>
  <c r="G4002" i="1"/>
  <c r="G4006" i="1"/>
  <c r="G4010" i="1"/>
  <c r="G4014" i="1"/>
  <c r="G4018" i="1"/>
  <c r="G4022" i="1"/>
  <c r="G4026" i="1"/>
  <c r="G4030" i="1"/>
  <c r="G4034" i="1"/>
  <c r="G4038" i="1"/>
  <c r="G4042" i="1"/>
  <c r="G4046" i="1"/>
  <c r="G4050" i="1"/>
  <c r="G4054" i="1"/>
  <c r="G4058" i="1"/>
  <c r="G4062" i="1"/>
  <c r="G4066" i="1"/>
  <c r="G4070" i="1"/>
  <c r="G4074" i="1"/>
  <c r="G4078" i="1"/>
  <c r="G4082" i="1"/>
  <c r="G4086" i="1"/>
  <c r="G4090" i="1"/>
  <c r="G4094" i="1"/>
  <c r="G4098" i="1"/>
  <c r="G4102" i="1"/>
  <c r="G4106" i="1"/>
  <c r="G4110" i="1"/>
  <c r="G4114" i="1"/>
  <c r="G4118" i="1"/>
  <c r="G4122" i="1"/>
  <c r="G4126" i="1"/>
  <c r="G4130" i="1"/>
  <c r="G4134" i="1"/>
  <c r="G4138" i="1"/>
  <c r="G4142" i="1"/>
  <c r="G4146" i="1"/>
  <c r="G4150" i="1"/>
  <c r="G4154" i="1"/>
  <c r="G4158" i="1"/>
  <c r="G4162" i="1"/>
  <c r="G4166" i="1"/>
  <c r="G4170" i="1"/>
  <c r="G4174" i="1"/>
  <c r="G4178" i="1"/>
  <c r="G4182" i="1"/>
  <c r="G4186" i="1"/>
  <c r="G4190" i="1"/>
  <c r="G4194" i="1"/>
  <c r="G4198" i="1"/>
  <c r="G4202" i="1"/>
  <c r="G4206" i="1"/>
  <c r="G4210" i="1"/>
  <c r="G4214" i="1"/>
  <c r="G4218" i="1"/>
  <c r="G4222" i="1"/>
  <c r="G4226" i="1"/>
  <c r="G4230" i="1"/>
  <c r="G4234" i="1"/>
  <c r="G4238" i="1"/>
  <c r="G4242" i="1"/>
  <c r="G4246" i="1"/>
  <c r="G4250" i="1"/>
  <c r="G4254" i="1"/>
  <c r="G4258" i="1"/>
  <c r="G4262" i="1"/>
  <c r="G4266" i="1"/>
  <c r="G4270" i="1"/>
  <c r="G4274" i="1"/>
  <c r="G4278" i="1"/>
  <c r="G4282" i="1"/>
  <c r="G4286" i="1"/>
  <c r="G4290" i="1"/>
  <c r="G4294" i="1"/>
  <c r="G4298" i="1"/>
  <c r="G4302" i="1"/>
  <c r="G4306" i="1"/>
  <c r="G4310" i="1"/>
  <c r="G4314" i="1"/>
  <c r="G4318" i="1"/>
  <c r="G4322" i="1"/>
  <c r="G4326" i="1"/>
  <c r="G4330" i="1"/>
  <c r="G4334" i="1"/>
  <c r="G4338" i="1"/>
  <c r="G4342" i="1"/>
  <c r="G4346" i="1"/>
  <c r="G4350" i="1"/>
  <c r="G4354" i="1"/>
  <c r="G4358" i="1"/>
  <c r="G4362" i="1"/>
  <c r="G4366" i="1"/>
  <c r="G4370" i="1"/>
  <c r="G4374" i="1"/>
  <c r="G4378" i="1"/>
  <c r="G4382" i="1"/>
  <c r="G4386" i="1"/>
  <c r="G4390" i="1"/>
  <c r="G4394" i="1"/>
  <c r="G4398" i="1"/>
  <c r="G4402" i="1"/>
  <c r="G4406" i="1"/>
  <c r="G4410" i="1"/>
  <c r="G4414" i="1"/>
  <c r="G4418" i="1"/>
  <c r="G4422" i="1"/>
  <c r="G4426" i="1"/>
  <c r="G4430" i="1"/>
  <c r="G4434" i="1"/>
  <c r="G4438" i="1"/>
  <c r="G4442" i="1"/>
  <c r="G4446" i="1"/>
  <c r="G4450" i="1"/>
  <c r="G4454" i="1"/>
  <c r="G4458" i="1"/>
  <c r="G4462" i="1"/>
  <c r="G4466" i="1"/>
  <c r="G4470" i="1"/>
  <c r="G4474" i="1"/>
  <c r="G4478" i="1"/>
  <c r="G4482" i="1"/>
  <c r="G4486" i="1"/>
  <c r="G4490" i="1"/>
  <c r="G4494" i="1"/>
  <c r="G4498" i="1"/>
  <c r="G4502" i="1"/>
  <c r="G4506" i="1"/>
  <c r="G4510" i="1"/>
  <c r="G4514" i="1"/>
  <c r="G4518" i="1"/>
  <c r="G4522" i="1"/>
  <c r="G4526" i="1"/>
  <c r="G4530" i="1"/>
  <c r="G4534" i="1"/>
  <c r="G4538" i="1"/>
  <c r="G4542" i="1"/>
  <c r="G4546" i="1"/>
  <c r="G4550" i="1"/>
  <c r="G4554" i="1"/>
  <c r="G4558" i="1"/>
  <c r="G4562" i="1"/>
  <c r="G4566" i="1"/>
  <c r="G4570" i="1"/>
  <c r="G4574" i="1"/>
  <c r="G4578" i="1"/>
  <c r="G4582" i="1"/>
  <c r="G4586" i="1"/>
  <c r="G4590" i="1"/>
  <c r="G4594" i="1"/>
  <c r="G4598" i="1"/>
  <c r="G4602" i="1"/>
  <c r="G4606" i="1"/>
  <c r="G4610" i="1"/>
  <c r="G4614" i="1"/>
  <c r="G4618" i="1"/>
  <c r="G4622" i="1"/>
  <c r="G4626" i="1"/>
  <c r="G4630" i="1"/>
  <c r="G4634" i="1"/>
  <c r="G4638" i="1"/>
  <c r="G4642" i="1"/>
  <c r="G4646" i="1"/>
  <c r="G4650" i="1"/>
  <c r="G4654" i="1"/>
  <c r="G4658" i="1"/>
  <c r="G4662" i="1"/>
  <c r="G4666" i="1"/>
  <c r="G4670" i="1"/>
  <c r="G4674" i="1"/>
  <c r="G4678" i="1"/>
  <c r="G4682" i="1"/>
  <c r="G4686" i="1"/>
  <c r="G4690" i="1"/>
  <c r="G4694" i="1"/>
  <c r="G4698" i="1"/>
  <c r="G4704" i="1"/>
  <c r="G4708" i="1"/>
  <c r="G4712" i="1"/>
  <c r="G4716" i="1"/>
  <c r="G4724" i="1"/>
  <c r="G4732" i="1"/>
  <c r="G4738" i="1"/>
  <c r="G4746" i="1"/>
  <c r="G4754" i="1"/>
  <c r="G4762" i="1"/>
  <c r="G4770" i="1"/>
  <c r="G4778" i="1"/>
  <c r="G4786" i="1"/>
  <c r="G4794" i="1"/>
  <c r="G4804" i="1"/>
  <c r="G4814" i="1"/>
  <c r="G4824" i="1"/>
  <c r="G4834" i="1"/>
  <c r="G4842" i="1"/>
  <c r="G4850" i="1"/>
  <c r="G4858" i="1"/>
  <c r="G4868" i="1"/>
  <c r="G4878" i="1"/>
  <c r="G4888" i="1"/>
  <c r="G4896" i="1"/>
  <c r="G4904" i="1"/>
  <c r="G4912" i="1"/>
  <c r="G4920" i="1"/>
  <c r="G4928" i="1"/>
  <c r="G4936" i="1"/>
  <c r="G4946" i="1"/>
  <c r="G4958" i="1"/>
  <c r="G4966" i="1"/>
  <c r="G4976" i="1"/>
  <c r="G4986" i="1"/>
  <c r="G4996" i="1"/>
  <c r="G3455" i="1"/>
  <c r="G3463" i="1"/>
  <c r="G3471" i="1"/>
  <c r="G3479" i="1"/>
  <c r="G3487" i="1"/>
  <c r="G3495" i="1"/>
  <c r="G3503" i="1"/>
  <c r="G3511" i="1"/>
  <c r="G3519" i="1"/>
  <c r="G3527" i="1"/>
  <c r="G3535" i="1"/>
  <c r="G3543" i="1"/>
  <c r="G3551" i="1"/>
  <c r="G3559" i="1"/>
  <c r="G3567" i="1"/>
  <c r="G3575" i="1"/>
  <c r="G3583" i="1"/>
  <c r="G3591" i="1"/>
  <c r="G3599" i="1"/>
  <c r="G3607" i="1"/>
  <c r="G3615" i="1"/>
  <c r="G3623" i="1"/>
  <c r="G3631" i="1"/>
  <c r="G3639" i="1"/>
  <c r="G3647" i="1"/>
  <c r="G3655" i="1"/>
  <c r="G3663" i="1"/>
  <c r="G3671" i="1"/>
  <c r="G3679" i="1"/>
  <c r="G3687" i="1"/>
  <c r="G3695" i="1"/>
  <c r="G3703" i="1"/>
  <c r="G3711" i="1"/>
  <c r="G3719" i="1"/>
  <c r="G3727" i="1"/>
  <c r="G3735" i="1"/>
  <c r="G3743" i="1"/>
  <c r="G3751" i="1"/>
  <c r="G3759" i="1"/>
  <c r="G3767" i="1"/>
  <c r="G3775" i="1"/>
  <c r="G3783" i="1"/>
  <c r="G3791" i="1"/>
  <c r="G3799" i="1"/>
  <c r="G3807" i="1"/>
  <c r="G3815" i="1"/>
  <c r="G3819" i="1"/>
  <c r="G3823" i="1"/>
  <c r="G3827" i="1"/>
  <c r="G3831" i="1"/>
  <c r="G3835" i="1"/>
  <c r="G3839" i="1"/>
  <c r="G3843" i="1"/>
  <c r="G3847" i="1"/>
  <c r="G3851" i="1"/>
  <c r="G3855" i="1"/>
  <c r="G3859" i="1"/>
  <c r="G3863" i="1"/>
  <c r="G3867" i="1"/>
  <c r="G3871" i="1"/>
  <c r="G3875" i="1"/>
  <c r="G3879" i="1"/>
  <c r="G3883" i="1"/>
  <c r="G3887" i="1"/>
  <c r="G3891" i="1"/>
  <c r="G3895" i="1"/>
  <c r="G3899" i="1"/>
  <c r="G3903" i="1"/>
  <c r="G3907" i="1"/>
  <c r="G3911" i="1"/>
  <c r="G3915" i="1"/>
  <c r="G3919" i="1"/>
  <c r="G3923" i="1"/>
  <c r="G3927" i="1"/>
  <c r="G3931" i="1"/>
  <c r="G3935" i="1"/>
  <c r="G3939" i="1"/>
  <c r="G3943" i="1"/>
  <c r="G3947" i="1"/>
  <c r="G3951" i="1"/>
  <c r="G3955" i="1"/>
  <c r="G3959" i="1"/>
  <c r="G3963" i="1"/>
  <c r="G3967" i="1"/>
  <c r="G3971" i="1"/>
  <c r="G3975" i="1"/>
  <c r="G3979" i="1"/>
  <c r="G3983" i="1"/>
  <c r="G3987" i="1"/>
  <c r="G3991" i="1"/>
  <c r="G3995" i="1"/>
  <c r="G3999" i="1"/>
  <c r="G4003" i="1"/>
  <c r="G4007" i="1"/>
  <c r="G4011" i="1"/>
  <c r="G4015" i="1"/>
  <c r="G4019" i="1"/>
  <c r="G4023" i="1"/>
  <c r="G4027" i="1"/>
  <c r="G4031" i="1"/>
  <c r="G4035" i="1"/>
  <c r="G4039" i="1"/>
  <c r="G4043" i="1"/>
  <c r="G4047" i="1"/>
  <c r="G4051" i="1"/>
  <c r="G4055" i="1"/>
  <c r="G4059" i="1"/>
  <c r="G4063" i="1"/>
  <c r="G4067" i="1"/>
  <c r="G4071" i="1"/>
  <c r="G4075" i="1"/>
  <c r="G4079" i="1"/>
  <c r="G4083" i="1"/>
  <c r="G4087" i="1"/>
  <c r="G4091" i="1"/>
  <c r="G4095" i="1"/>
  <c r="G4099" i="1"/>
  <c r="G4103" i="1"/>
  <c r="G4107" i="1"/>
  <c r="G4111" i="1"/>
  <c r="G4115" i="1"/>
  <c r="G4119" i="1"/>
  <c r="G4123" i="1"/>
  <c r="G4127" i="1"/>
  <c r="G4131" i="1"/>
  <c r="G4135" i="1"/>
  <c r="G4139" i="1"/>
  <c r="G4143" i="1"/>
  <c r="G4147" i="1"/>
  <c r="G4151" i="1"/>
  <c r="G4155" i="1"/>
  <c r="G4159" i="1"/>
  <c r="G4163" i="1"/>
  <c r="G4167" i="1"/>
  <c r="G4171" i="1"/>
  <c r="G4175" i="1"/>
  <c r="G4179" i="1"/>
  <c r="G4183" i="1"/>
  <c r="G4187" i="1"/>
  <c r="G4191" i="1"/>
  <c r="G4195" i="1"/>
  <c r="G4199" i="1"/>
  <c r="G4203" i="1"/>
  <c r="G4207" i="1"/>
  <c r="G4211" i="1"/>
  <c r="G4215" i="1"/>
  <c r="G4219" i="1"/>
  <c r="G4223" i="1"/>
  <c r="G4227" i="1"/>
  <c r="G4231" i="1"/>
  <c r="G4235" i="1"/>
  <c r="G4239" i="1"/>
  <c r="G4243" i="1"/>
  <c r="G4247" i="1"/>
  <c r="G4251" i="1"/>
  <c r="G4255" i="1"/>
  <c r="G4259" i="1"/>
  <c r="G4263" i="1"/>
  <c r="G4267" i="1"/>
  <c r="G4271" i="1"/>
  <c r="G4275" i="1"/>
  <c r="G4279" i="1"/>
  <c r="G4283" i="1"/>
  <c r="G4287" i="1"/>
  <c r="G4291" i="1"/>
  <c r="G4295" i="1"/>
  <c r="G4299" i="1"/>
  <c r="G4303" i="1"/>
  <c r="G4307" i="1"/>
  <c r="G4311" i="1"/>
  <c r="G4315" i="1"/>
  <c r="G4319" i="1"/>
  <c r="G4323" i="1"/>
  <c r="G4327" i="1"/>
  <c r="G4331" i="1"/>
  <c r="G4335" i="1"/>
  <c r="G4339" i="1"/>
  <c r="G4343" i="1"/>
  <c r="G4347" i="1"/>
  <c r="G4351" i="1"/>
  <c r="G4355" i="1"/>
  <c r="G4359" i="1"/>
  <c r="G4363" i="1"/>
  <c r="G4367" i="1"/>
  <c r="G4371" i="1"/>
  <c r="G4375" i="1"/>
  <c r="G4379" i="1"/>
  <c r="G4383" i="1"/>
  <c r="G4387" i="1"/>
  <c r="G4391" i="1"/>
  <c r="G4395" i="1"/>
  <c r="G4399" i="1"/>
  <c r="G4403" i="1"/>
  <c r="G4407" i="1"/>
  <c r="G4411" i="1"/>
  <c r="G4415" i="1"/>
  <c r="G4419" i="1"/>
  <c r="G4423" i="1"/>
  <c r="G4427" i="1"/>
  <c r="G4431" i="1"/>
  <c r="G4435" i="1"/>
  <c r="G4439" i="1"/>
  <c r="G4443" i="1"/>
  <c r="G4447" i="1"/>
  <c r="G4451" i="1"/>
  <c r="G4455" i="1"/>
  <c r="G4459" i="1"/>
  <c r="G4463" i="1"/>
  <c r="G4467" i="1"/>
  <c r="G4471" i="1"/>
  <c r="G4475" i="1"/>
  <c r="G4479" i="1"/>
  <c r="G4483" i="1"/>
  <c r="G4487" i="1"/>
  <c r="G4491" i="1"/>
  <c r="G4495" i="1"/>
  <c r="G4499" i="1"/>
  <c r="G4503" i="1"/>
  <c r="G4507" i="1"/>
  <c r="G4511" i="1"/>
  <c r="G4515" i="1"/>
  <c r="G4519" i="1"/>
  <c r="G4523" i="1"/>
  <c r="G4527" i="1"/>
  <c r="G4531" i="1"/>
  <c r="G4535" i="1"/>
  <c r="G4539" i="1"/>
  <c r="G4543" i="1"/>
  <c r="G4547" i="1"/>
  <c r="G4551" i="1"/>
  <c r="G4555" i="1"/>
  <c r="G4559" i="1"/>
  <c r="G4563" i="1"/>
  <c r="G4567" i="1"/>
  <c r="G4571" i="1"/>
  <c r="G4575" i="1"/>
  <c r="G4579" i="1"/>
  <c r="G4583" i="1"/>
  <c r="G4587" i="1"/>
  <c r="G4591" i="1"/>
  <c r="G4595" i="1"/>
  <c r="G4599" i="1"/>
  <c r="G4603" i="1"/>
  <c r="G4607" i="1"/>
  <c r="G4611" i="1"/>
  <c r="G4615" i="1"/>
  <c r="G4619" i="1"/>
  <c r="G4623" i="1"/>
  <c r="G4627" i="1"/>
  <c r="G4631" i="1"/>
  <c r="G4635" i="1"/>
  <c r="G4639" i="1"/>
  <c r="G4643" i="1"/>
  <c r="G4647" i="1"/>
  <c r="G4651" i="1"/>
  <c r="G4655" i="1"/>
  <c r="G4659" i="1"/>
  <c r="G4663" i="1"/>
  <c r="G4667" i="1"/>
  <c r="G4671" i="1"/>
  <c r="G4675" i="1"/>
  <c r="G4679" i="1"/>
  <c r="G4683" i="1"/>
  <c r="G4687" i="1"/>
  <c r="G4691" i="1"/>
  <c r="G4695" i="1"/>
  <c r="G4699" i="1"/>
  <c r="G4703" i="1"/>
  <c r="G4707" i="1"/>
  <c r="G4711" i="1"/>
  <c r="G4715" i="1"/>
  <c r="G4719" i="1"/>
  <c r="G4723" i="1"/>
  <c r="G4727" i="1"/>
  <c r="G4731" i="1"/>
  <c r="G4735" i="1"/>
  <c r="G4739" i="1"/>
  <c r="G4743" i="1"/>
  <c r="G4747" i="1"/>
  <c r="G4751" i="1"/>
  <c r="G4755" i="1"/>
  <c r="G4759" i="1"/>
  <c r="G4763" i="1"/>
  <c r="G4767" i="1"/>
  <c r="G4771" i="1"/>
  <c r="G4775" i="1"/>
  <c r="G4779" i="1"/>
  <c r="G4783" i="1"/>
  <c r="G4787" i="1"/>
  <c r="G4791" i="1"/>
  <c r="G4795" i="1"/>
  <c r="G4799" i="1"/>
  <c r="G4803" i="1"/>
  <c r="G4807" i="1"/>
  <c r="G4811" i="1"/>
  <c r="G4815" i="1"/>
  <c r="G4819" i="1"/>
  <c r="G4823" i="1"/>
  <c r="G4827" i="1"/>
  <c r="G4831" i="1"/>
  <c r="G4835" i="1"/>
  <c r="G4839" i="1"/>
  <c r="G4843" i="1"/>
  <c r="G4847" i="1"/>
  <c r="G4851" i="1"/>
  <c r="G4855" i="1"/>
  <c r="G4859" i="1"/>
  <c r="G4863" i="1"/>
  <c r="G4867" i="1"/>
  <c r="G4871" i="1"/>
  <c r="G4875" i="1"/>
  <c r="G4879" i="1"/>
  <c r="G4883" i="1"/>
  <c r="G4887" i="1"/>
  <c r="G4891" i="1"/>
  <c r="G4895" i="1"/>
  <c r="G4899" i="1"/>
  <c r="G4903" i="1"/>
  <c r="G4907" i="1"/>
  <c r="G4911" i="1"/>
  <c r="G4915" i="1"/>
  <c r="G4919" i="1"/>
  <c r="G4923" i="1"/>
  <c r="G4927" i="1"/>
  <c r="G4931" i="1"/>
  <c r="G4935" i="1"/>
  <c r="G4939" i="1"/>
  <c r="G4943" i="1"/>
  <c r="G4947" i="1"/>
  <c r="G4951" i="1"/>
  <c r="G4955" i="1"/>
  <c r="G4959" i="1"/>
  <c r="G4963" i="1"/>
  <c r="G4967" i="1"/>
  <c r="G4971" i="1"/>
  <c r="G4975" i="1"/>
  <c r="G4979" i="1"/>
  <c r="G4983" i="1"/>
  <c r="G4987" i="1"/>
  <c r="G4991" i="1"/>
  <c r="G4995" i="1"/>
  <c r="G4999" i="1"/>
  <c r="G4718" i="1"/>
  <c r="G4726" i="1"/>
  <c r="G4734" i="1"/>
  <c r="G4744" i="1"/>
  <c r="G4752" i="1"/>
  <c r="G4760" i="1"/>
  <c r="G4768" i="1"/>
  <c r="G4776" i="1"/>
  <c r="G4784" i="1"/>
  <c r="G4792" i="1"/>
  <c r="G4798" i="1"/>
  <c r="G4806" i="1"/>
  <c r="G4812" i="1"/>
  <c r="G4820" i="1"/>
  <c r="G4826" i="1"/>
  <c r="G4832" i="1"/>
  <c r="G4840" i="1"/>
  <c r="G4848" i="1"/>
  <c r="G4856" i="1"/>
  <c r="G4862" i="1"/>
  <c r="G4870" i="1"/>
  <c r="G4876" i="1"/>
  <c r="G4882" i="1"/>
  <c r="G4890" i="1"/>
  <c r="G4898" i="1"/>
  <c r="G4906" i="1"/>
  <c r="G4914" i="1"/>
  <c r="G4922" i="1"/>
  <c r="G4930" i="1"/>
  <c r="G4938" i="1"/>
  <c r="G4944" i="1"/>
  <c r="G4952" i="1"/>
  <c r="G4956" i="1"/>
  <c r="G4964" i="1"/>
  <c r="G4972" i="1"/>
  <c r="G4978" i="1"/>
  <c r="G4984" i="1"/>
  <c r="G4992" i="1"/>
  <c r="G4998" i="1"/>
  <c r="E4" i="3" l="1"/>
  <c r="E2" i="3"/>
  <c r="M4" i="3"/>
  <c r="L4" i="3" s="1"/>
  <c r="C4" i="3"/>
  <c r="N4" i="3"/>
  <c r="A4" i="3"/>
  <c r="G4" i="3"/>
  <c r="A1" i="3"/>
  <c r="M2" i="3"/>
  <c r="L2" i="3" s="1"/>
  <c r="N2" i="3"/>
  <c r="Q2" i="3"/>
  <c r="G2" i="3"/>
  <c r="A2" i="3"/>
  <c r="C2" i="3"/>
  <c r="K4" i="3" l="1"/>
  <c r="I4" i="3" s="1"/>
  <c r="K2" i="3"/>
  <c r="I2" i="3" s="1"/>
  <c r="B4" i="3"/>
  <c r="H4" i="3"/>
  <c r="P4" i="3"/>
  <c r="B2" i="3"/>
  <c r="P2" i="3"/>
  <c r="H2" i="3"/>
</calcChain>
</file>

<file path=xl/sharedStrings.xml><?xml version="1.0" encoding="utf-8"?>
<sst xmlns="http://schemas.openxmlformats.org/spreadsheetml/2006/main" count="259" uniqueCount="223">
  <si>
    <t>Invoice</t>
  </si>
  <si>
    <t>Company</t>
  </si>
  <si>
    <t>Supplier code</t>
  </si>
  <si>
    <t>AIF Tableware Arques (FR)</t>
  </si>
  <si>
    <t>Russian Federation</t>
  </si>
  <si>
    <t>Pay to</t>
  </si>
  <si>
    <t>Arc-International France Bank</t>
  </si>
  <si>
    <t>SG SAINT OMER</t>
  </si>
  <si>
    <t>SAINT OMER</t>
  </si>
  <si>
    <t>Iban: FR7630003007950002018302041</t>
  </si>
  <si>
    <t>Swift : SOGEFRPP</t>
  </si>
  <si>
    <t>Virement Due Date</t>
  </si>
  <si>
    <t>Delivery terms</t>
  </si>
  <si>
    <t>Incoterm</t>
  </si>
  <si>
    <t>DESTINATION</t>
  </si>
  <si>
    <t>Shipping method Vehicle / LTA</t>
  </si>
  <si>
    <t>Packing list Tracking / HAWB</t>
  </si>
  <si>
    <t>Transport agent</t>
  </si>
  <si>
    <t>FCA FRANCE ARQUES (62)</t>
  </si>
  <si>
    <t>Russian Fed.</t>
  </si>
  <si>
    <t>CAMION CLIENT</t>
  </si>
  <si>
    <t>Comments : VAT Exemption, Article 262 TER I OF CGI</t>
  </si>
  <si>
    <t>continuation page 3</t>
  </si>
  <si>
    <t>TOTAL</t>
  </si>
  <si>
    <t>See on the back our general sales terms and conditions including namely a registered charge clause. Failure to receive payment at the due date</t>
  </si>
  <si>
    <t>will result without prior notice in all amounts invoiced becoming due and a late penalty equal to three times the applicable legal interest rate in</t>
  </si>
  <si>
    <t>effect becoming due as well as the payment of a lump sum equal to forty (40) euros becoming due for recovery costs. The unit price is</t>
  </si>
  <si>
    <t>indicative and displayed with 2 decimal places, though the calculation is processed with at least 5 decimals.</t>
  </si>
  <si>
    <t>ARC INTERNATIONAL FRANCE</t>
  </si>
  <si>
    <t>SOCIETE PAR ACTIONS SIMPLIFIEE AU CAPITAL DE 61.368.082 Euros.</t>
  </si>
  <si>
    <t>Siège Social : 104 Avenue du Général De Gaulle 62510 ARQUES France tel: +33(0)321954647 fax: +33(0)321380623</t>
  </si>
  <si>
    <t>WWW.ARC-INTL.COM</t>
  </si>
  <si>
    <t>504313032 R.C.S. Boulogne-sur-Mer Code APE : 2313Z N° de TVA FR38504313032</t>
  </si>
  <si>
    <t>ANY DELIVERY IS EXPLICITLY SUBJECT TO ACCEPTANCE OF SALES CONDITIONS STATED BELOW, and it being so, notwithstanding any stipulation to the</t>
  </si>
  <si>
    <t>contrary appearing in the joint contracting party general purchase conditions.</t>
  </si>
  <si>
    <t>Orders are only valid if they have been explicitly accepted at the Head Office of our Company.</t>
  </si>
  <si>
    <t>All Orders are invoiced at the price in force at the time when they are executed.</t>
  </si>
  <si>
    <t>Packaging cases are non-returnable.</t>
  </si>
  <si>
    <t>PROPERTY RESERVAL CLAUSE:</t>
  </si>
  <si>
    <t>IT IS EXPLICITLY STIPULATED THAT THE COMPANY RETAINS FULL ONWER-SHIP OF THE GOODS DELIVERED TILL THEIR PRICE BOTH PRINCIPAL AND</t>
  </si>
  <si>
    <t>INTEREST IS FULLY PAYED, ISSUING A DRAFT OR ANY OTHER DOCUMENT ESTABLISHING A PAYMENT OBLIGATION DOES NOT MEAN PAYMENT ITSELF.</t>
  </si>
  <si>
    <t>Deliveries made by us from a whole, even if they are spaced out or if payments are split up or if they are the result of several separate orders. For any delay of</t>
  </si>
  <si>
    <t>payment, an interest equal to 3 times the French legal interest will accrue on the day following the payment date mentioned on the invoice. The amount of the</t>
  </si>
  <si>
    <t>accrued interest will be calculated according to the number of unpaid days.</t>
  </si>
  <si>
    <t>Failing to pay any part of the price at maturity as was decided at the time of the order leads to full immediate payment of what is left to be paid, without it being</t>
  </si>
  <si>
    <t>necessary to proceed with any formal demand or any other formality and we are then entitled to suspend or cancel current orders without prejudice to any other</t>
  </si>
  <si>
    <t>recourse.</t>
  </si>
  <si>
    <t>Besides, goods delivered but not paid must be returned by the buyers. In case of disagreement between the parties about the conditions of return, then the said</t>
  </si>
  <si>
    <t>conditions will be determined by a summary order issued by the Presiding Judge of the "Tribunal de Commerce" in Boulogne sur Mer.</t>
  </si>
  <si>
    <t>Down payments may be retained to cover possible losses at the time of resale.</t>
  </si>
  <si>
    <t>Should there be a judicial settlement or liquidation of the property of the buyer, goods can then be claimed, as in accordance with the legal provisions in effect, within</t>
  </si>
  <si>
    <t>the three months after the adjudication in bankruptcy has been declared.</t>
  </si>
  <si>
    <t>However, the buyer is authorized to use or sell the said goods, the company retaining the right to stop the authorization just by an ordinary registered letter at the</t>
  </si>
  <si>
    <t>very first payment incidence.</t>
  </si>
  <si>
    <t>Should that be the case, the company may allow for the goods to be resold provided that the buyer, being then only a price depository, pays in the corresponding</t>
  </si>
  <si>
    <t>amounts immediately after the resale. Such amounts being already secured to the benefit of the company as in accordance with article 2071 of the Code of Civil</t>
  </si>
  <si>
    <t>Law.</t>
  </si>
  <si>
    <t>Moreover, the buyer is explicitly forbidden to give goods as a security. Should there be a seizure of goods enforced by third party; the buyer is obliged to inform the</t>
  </si>
  <si>
    <t>company immediately.</t>
  </si>
  <si>
    <t>Any modification carried out on our products by people transforming, decorating, cutting them or in any else, immediately brings about a disclaim of our responsibility</t>
  </si>
  <si>
    <t>due to the modifications that took place and the incidence they may have on the toughness and performance of our articles.</t>
  </si>
  <si>
    <t>Any buyer who will decide to transform, decorate, cut, draw or pursue any other improvement processes takes upon himself the full civil and criminal responsibility</t>
  </si>
  <si>
    <t>then removed from us with regards to third parties, a responsibility which is normally attached to the products and their proper uses.</t>
  </si>
  <si>
    <t>Finally, any cumulative discount, reduction and rebates obtained on the purchase of our products are only earned once the said products have been fully paid.</t>
  </si>
  <si>
    <t>NOTWITHSTANDING THE OWNERSHIP RESERVE CLAUSE, AND EVEN IN CASES WHEN CARRIAGE IS PAYED BY US, ALL RISKS BE THEY DUE TO</t>
  </si>
  <si>
    <t>DETERIORATION, LOSSES, PARTIAL OR TOTAL DESTRUCTIONS, WHATEVER THE CAUSE OF THE DAMAGE, EVEN IF IT IS A FORTUITOUS EVENT OR AN ACT</t>
  </si>
  <si>
    <t>OF GOD, ARE BORNE BY THE BUYER EX WORKS FOR GOODS RECEIVED &amp; APPROVED AT THE FACTORY. We accept no responsibility at all in case of damage,</t>
  </si>
  <si>
    <t>breakage, missing articles, delays, thefts, fires, etc... occurring to goods or packaging during transport or at the buyers' premises. It is therefore up to the buyer to</t>
  </si>
  <si>
    <t>take out all insurance policies necessary and in particular to express reserves against the carrier.</t>
  </si>
  <si>
    <t>We always deliver our products in the shortest delivery time. Any possible delays do not entitle the buyer to cancel the sale, to refuse the goods or the claim</t>
  </si>
  <si>
    <t>damages.</t>
  </si>
  <si>
    <t>The Company is released from the obligation of delivery in all fortuitous events or acts of god: The following in particular are considered as such: total or part-time</t>
  </si>
  <si>
    <t>strikes, floods, fires, or accidents occurring at ovens.</t>
  </si>
  <si>
    <t>Weight, dimensions and packaging particulars for each article and codification are given for information only. We reserve the right to remove or modify at any time</t>
  </si>
  <si>
    <t>articles shown in catalogues and price lists.</t>
  </si>
  <si>
    <t>For want of being null and void, any claim must be notified by extra-judicial documents or by registered letters stating clearly the reasons. This must be done within</t>
  </si>
  <si>
    <t>the three days following the day the goods are received, excluding bank holidays.</t>
  </si>
  <si>
    <t>The intellectual property rights , including trademarks and logos, are and remain the exclusive property of ARC INTERNATIONAL FRANCE. Any use of such</t>
  </si>
  <si>
    <t>intellectual property rights by the purchaser, including for promotional or advertising shall be in accordance with the graphic chart of ARC INTERNATIONAL FRANCE</t>
  </si>
  <si>
    <t>and after prior written consent</t>
  </si>
  <si>
    <t>The rights and obligations of the parties are governed by French Law, in particular for provisions regarding international sales.</t>
  </si>
  <si>
    <t>Domicile is elected at the Head office of the company. IN CASE OF DISPUTES WHATEVER THEY ARE, WHETHER IT IS FOR THE PLAINTIFF OF THE DEFENDANT,</t>
  </si>
  <si>
    <t>THE COMPETENT COURTS WILL BE THOSE OF OUR HEAD OFFICE, WITH NO EXCEPTION NOR RESERVES, even in a case of third party notice or plurality of</t>
  </si>
  <si>
    <t>defendants: this competence attribution is also valid in summary jurisdiction procedures.</t>
  </si>
  <si>
    <t>COMMENTS</t>
  </si>
  <si>
    <t>MARCHANDISES ASSUREES AUX CONDITIONS TOUS RISQUES :</t>
  </si>
  <si>
    <t>- SANS FRANCHISE EN CAS D'ACCIDENT CARACTERISE</t>
  </si>
  <si>
    <t>- AVEC UNE FRANCHISE DE 1905.61 EUROS DANS LES AUTRES CAS.</t>
  </si>
  <si>
    <t>EN CAS DE SINISTRE :</t>
  </si>
  <si>
    <t>- CONTACTER LE COMMISSAIRE D'AVARIE.</t>
  </si>
  <si>
    <t>- FOURNIR :LE RAPPORT D'EXPERTISE ET LE PROCES-VERBAL DES MANQUANTS</t>
  </si>
  <si>
    <t>OU AVARIES / LES FACTURES DE REPARATION OU DE REMPLACEMENT /</t>
  </si>
  <si>
    <t>LES FACTURES D'EXPEDITIONS ET NOTES DE COLISAGE / LE CONNAISSEMENT</t>
  </si>
  <si>
    <t>ET/OU LETTRE DE VOITURE / LES COPIES DES LETTRES DE RESERVES ET REPONSES..</t>
  </si>
  <si>
    <t>--------------------------------------------------------------------------------</t>
  </si>
  <si>
    <t>GOODS &amp; MERCHANDISES ARE UNDER A FULLY COMPREHENSIVE INSURANCE :</t>
  </si>
  <si>
    <t>- WITH EXCESS OF EUR 1905.61 IN ANYOTHER CASES.</t>
  </si>
  <si>
    <t>IN CASE OF CLAIM :.</t>
  </si>
  <si>
    <t>DAMAGE GOOD /</t>
  </si>
  <si>
    <t>REPAIR OR REPLACEMENT INVOICES / SHIPPING INVOICES AND SHIPPING</t>
  </si>
  <si>
    <t>LISTS / CONSIGMENT AND/OR BILL OF LEADING / COPIES OF CLAIM- RESERVES</t>
  </si>
  <si>
    <t>LETTERS AND ANSWERS</t>
  </si>
  <si>
    <t>TOTAL COST OF FREIGHT IS MENTIONED ONCE ON ONE INVOICE REFERRING TO THIS</t>
  </si>
  <si>
    <t>SHIPMENT .</t>
  </si>
  <si>
    <t>ITEM</t>
  </si>
  <si>
    <t>Reference</t>
  </si>
  <si>
    <t>Bar code</t>
  </si>
  <si>
    <t>Ori</t>
  </si>
  <si>
    <t>gin</t>
  </si>
  <si>
    <t>Item description</t>
  </si>
  <si>
    <t>Customer code / Custom tariff</t>
  </si>
  <si>
    <t>SU</t>
  </si>
  <si>
    <t>Qty</t>
  </si>
  <si>
    <t>SU Shipment</t>
  </si>
  <si>
    <t>Unit</t>
  </si>
  <si>
    <t>List Price</t>
  </si>
  <si>
    <t>Discount</t>
  </si>
  <si>
    <t>Unit Price</t>
  </si>
  <si>
    <t>Amount</t>
  </si>
  <si>
    <t>Commodity code</t>
  </si>
  <si>
    <t>Custom tariff Origin Gross</t>
  </si>
  <si>
    <t>weight</t>
  </si>
  <si>
    <t>(KG)</t>
  </si>
  <si>
    <t>Net weight</t>
  </si>
  <si>
    <t>Total</t>
  </si>
  <si>
    <t>packages</t>
  </si>
  <si>
    <t>Total S.U. Amount Curr Type</t>
  </si>
  <si>
    <t>Legend</t>
  </si>
  <si>
    <t>Meaning of packages</t>
  </si>
  <si>
    <t>In accordance with EU regulation</t>
  </si>
  <si>
    <t>Origin "FR" C.E. France</t>
  </si>
  <si>
    <t>наименование</t>
  </si>
  <si>
    <t>наименование на английском языке</t>
  </si>
  <si>
    <t>Материал</t>
  </si>
  <si>
    <t>Страна происхождения</t>
  </si>
  <si>
    <t>Маркировка</t>
  </si>
  <si>
    <t>Код ВЭД</t>
  </si>
  <si>
    <t>Штук в коробке</t>
  </si>
  <si>
    <t>Вес коробки</t>
  </si>
  <si>
    <t>Вес нетто заказа, кг</t>
  </si>
  <si>
    <t>Вес брутто заказа, кг</t>
  </si>
  <si>
    <t>Всего кор, шт</t>
  </si>
  <si>
    <t>Количество паллет, шт</t>
  </si>
  <si>
    <t>Количество, шт</t>
  </si>
  <si>
    <t>Скидка</t>
  </si>
  <si>
    <t>цена</t>
  </si>
  <si>
    <t>сумма</t>
  </si>
  <si>
    <t>Стекло</t>
  </si>
  <si>
    <t>LUMINARC</t>
  </si>
  <si>
    <t>- ANNOTER LE DOCUMENT DE TRANSPORT</t>
  </si>
  <si>
    <t>- FAIRE CONSTATER SI POSSIBLE LES MANQUANTS AU CHAUFFEUR</t>
  </si>
  <si>
    <t>- CONFIRMER LES RESERVES..</t>
  </si>
  <si>
    <t>- WITHOUT EXCESS IN CASE OF REAL ACCIDENT.</t>
  </si>
  <si>
    <t>- PLEASE FILL THE TRANSPORT DOCUMENT</t>
  </si>
  <si>
    <t>- ASK THE DRIVER TO STATE THAT GOODS ARE MISSING CONFIRM ANY RESERVES.</t>
  </si>
  <si>
    <t>- CONTACT THE EXPERT IN DAMAGE OR MISSING GOOD</t>
  </si>
  <si>
    <t>- SUPPLY : THE EXPERT REPORT AND OFFICIAL REPORT DOCUMENT OF MISSING OR</t>
  </si>
  <si>
    <t>Артикул</t>
  </si>
  <si>
    <t>Container Seal / Flight</t>
  </si>
  <si>
    <t>РЕЗЕРВНАЯ СТРОКА С ФОРМУЛАМИ</t>
  </si>
  <si>
    <t>БЕ</t>
  </si>
  <si>
    <t>Операц</t>
  </si>
  <si>
    <t>Дата счета</t>
  </si>
  <si>
    <t>Ссылка - номер инв</t>
  </si>
  <si>
    <t>Расчет налога</t>
  </si>
  <si>
    <t>Код налога</t>
  </si>
  <si>
    <t>Общая сумма по документу</t>
  </si>
  <si>
    <t>Базовая дата</t>
  </si>
  <si>
    <t>Пусто</t>
  </si>
  <si>
    <t>Заказ на поставку</t>
  </si>
  <si>
    <t>Позиция</t>
  </si>
  <si>
    <t>Сумма по позиции</t>
  </si>
  <si>
    <t>Кол-во</t>
  </si>
  <si>
    <t>ЕИ</t>
  </si>
  <si>
    <t>Валюта</t>
  </si>
  <si>
    <t>Дата проводки</t>
  </si>
  <si>
    <t>Date : 2015.06.17</t>
  </si>
  <si>
    <t>LARGO TRADE &amp; FINANCE LTD</t>
  </si>
  <si>
    <t>INTERNATIONAL TRUST BUILDING</t>
  </si>
  <si>
    <t>PO BOX 659 ROAD TOWN</t>
  </si>
  <si>
    <t>0 TORTOLA</t>
  </si>
  <si>
    <t>British Virgin Islands</t>
  </si>
  <si>
    <t>Invoice address (139298)</t>
  </si>
  <si>
    <t>Delivery address (141846)</t>
  </si>
  <si>
    <t>LTD RESPONSABILITY SOCIETY VECTOR</t>
  </si>
  <si>
    <t>UL KUBINSKAYA 80</t>
  </si>
  <si>
    <t>LIT A POM 12 N</t>
  </si>
  <si>
    <t>196240 ST PETERSBURG</t>
  </si>
  <si>
    <t>Payment terms: 2015.06.17</t>
  </si>
  <si>
    <t>PAYMENT BEFORE INVOICE</t>
  </si>
  <si>
    <t>Container 45'PWHC OJ41ZX</t>
  </si>
  <si>
    <t>KLCU4503909 AI039263</t>
  </si>
  <si>
    <t>CONTRACT _x0016_ 1 dd 15.10.2010</t>
  </si>
  <si>
    <t>Nb mixed pallet</t>
  </si>
  <si>
    <t>Parcel on mixed pallet</t>
  </si>
  <si>
    <t>CRN = Carton</t>
  </si>
  <si>
    <t>N° 7001244214</t>
  </si>
  <si>
    <t>23:50 P1/4</t>
  </si>
  <si>
    <t>80989866</t>
  </si>
  <si>
    <t>Volume 0,541 M3</t>
  </si>
  <si>
    <t>Gross weight 152,028 Kg</t>
  </si>
  <si>
    <t>Net weight 121,518 Kg</t>
  </si>
  <si>
    <t>1</t>
  </si>
  <si>
    <t>43</t>
  </si>
  <si>
    <t>Total excl. VAT : EUR 621,21</t>
  </si>
  <si>
    <t>Discount -3,000% EUR -18,63</t>
  </si>
  <si>
    <t>Total excl. VAT EUR 602,58</t>
  </si>
  <si>
    <t>Net payable = EUR 602,58</t>
  </si>
  <si>
    <t>SALES GENERAL CONDITIONS - ARC INTERNATIONAL FRANCE P2/4</t>
  </si>
  <si>
    <t>23:50 P3/4</t>
  </si>
  <si>
    <t>CUST. ORDER REF : JAR 1L BOX MANIA</t>
  </si>
  <si>
    <t>AIF ORDER : 4100890858 11.06.2015</t>
  </si>
  <si>
    <t>J6790 FR BOX MANIA BOIS SCRIPT BLACK JAR 1L 90 PC 15 CRN 256,53 EUR/100 PC</t>
  </si>
  <si>
    <t>0883314439380 / 701349/// of 6 PC -6,24%</t>
  </si>
  <si>
    <t>240,52 216,47</t>
  </si>
  <si>
    <t>J6786 FR BOX MANIA BOIS SCRIPT BEIGE JAR 1L+LID 84 PC 14 CRN 256,95 EUR/100 PC</t>
  </si>
  <si>
    <t>0883314439373 / 701349/// of 6 PC -6,24%</t>
  </si>
  <si>
    <t>240,92 202,37</t>
  </si>
  <si>
    <t>J6791 FR BOX MANIA BOIS SCRIPT CHOCO JAR 1L+LID 84 PC 14 CRN 256,95 EUR/100 PC</t>
  </si>
  <si>
    <t>0883314439397 / 701349/// of 6 PC -6,24%</t>
  </si>
  <si>
    <t>Subtotal 621,21</t>
  </si>
  <si>
    <t>23:50 P4/4</t>
  </si>
  <si>
    <t>701349 FR -France 152,028 121,518 43 258 621,21 EUR 5J</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</si>
</sst>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1" formatCode="_-* #,##0_р_._-;\-* #,##0_р_._-;_-* &quot;-&quot;_р_._-;_-@_-"/>
    <numFmt numFmtId="44" formatCode="_-* #,##0.00&quot;р.&quot;_-;\-* #,##0.00&quot;р.&quot;_-;_-* &quot;-&quot;??&quot;р.&quot;_-;_-@_-"/>
    <numFmt numFmtId="43" formatCode="_-* #,##0.00_р_._-;\-* #,##0.00_р_._-;_-* &quot;-&quot;??_р_._-;_-@_-"/>
    <numFmt numFmtId="164" formatCode="_-[$$-409]* #,##0.00_ ;_-[$$-409]* \-#,##0.00\ ;_-[$$-409]* &quot;-&quot;??_ ;_-@_ "/>
    <numFmt numFmtId="165" formatCode="_-* #,##0.00[$€-1]_-;\-* #,##0.00[$€-1]_-;_-* &quot;-&quot;??[$€-1]_-"/>
    <numFmt numFmtId="166" formatCode="_([$€]* #,##0.00_);_([$€]* \(#,##0.00\);_([$€]* &quot;-&quot;??_);_(@_)"/>
    <numFmt numFmtId="167" formatCode="_-&quot;€&quot;\ * #,##0.00_-;\-&quot;€&quot;\ * #,##0.00_-;_-&quot;€&quot;\ * &quot;-&quot;??_-;_-@_-"/>
    <numFmt numFmtId="168" formatCode="_(* #,##0.00_);_(* \(#,##0.00\);_(* &quot;-&quot;??_);_(@_)"/>
    <numFmt numFmtId="169" formatCode="_-* #,##0.00_-;\-* #,##0.00_-;_-* &quot;-&quot;??_-;_-@_-"/>
  </numFmts>
  <fonts count="120">
    <font>
      <sz val="11"/>
      <color theme="1"/>
      <name val="Calibri"/>
      <family val="2"/>
      <scheme val="minor"/>
    </font>
    <font>
      <sz val="11"/>
      <color theme="1"/>
      <name val="Calibri"/>
      <family val="2"/>
      <charset val="204"/>
      <scheme val="minor"/>
    </font>
    <font>
      <b/>
      <sz val="9"/>
      <name val="Times New Roman"/>
      <family val="1"/>
      <charset val="204"/>
    </font>
    <font>
      <sz val="9"/>
      <name val="Times New Roman"/>
      <family val="1"/>
      <charset val="204"/>
    </font>
    <font>
      <sz val="11"/>
      <color theme="1"/>
      <name val="Calibri"/>
      <family val="2"/>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b/>
      <sz val="8"/>
      <color theme="1"/>
      <name val="Arial"/>
      <family val="2"/>
      <charset val="204"/>
    </font>
    <font>
      <sz val="8"/>
      <color rgb="FF000000"/>
      <name val="Calibri"/>
      <family val="2"/>
      <charset val="204"/>
    </font>
    <font>
      <sz val="10"/>
      <name val="Arial"/>
      <family val="2"/>
      <charset val="204"/>
    </font>
    <font>
      <sz val="10"/>
      <name val="Times New Roman"/>
      <family val="1"/>
      <charset val="204"/>
    </font>
    <font>
      <sz val="10"/>
      <name val="Arial Cyr"/>
      <charset val="204"/>
    </font>
    <font>
      <sz val="12"/>
      <name val="Times New Roman"/>
      <family val="1"/>
    </font>
    <font>
      <sz val="10"/>
      <name val="Arial CE"/>
    </font>
    <font>
      <sz val="10"/>
      <name val="Times New Roman"/>
      <family val="1"/>
    </font>
    <font>
      <sz val="10"/>
      <name val="Arial"/>
      <family val="2"/>
    </font>
    <font>
      <sz val="10"/>
      <name val="Arial CE"/>
      <family val="2"/>
    </font>
    <font>
      <sz val="10"/>
      <color indexed="8"/>
      <name val="Times New Roman"/>
      <family val="2"/>
      <charset val="204"/>
    </font>
    <font>
      <sz val="9"/>
      <color theme="1"/>
      <name val="Times New Roman"/>
      <family val="2"/>
      <charset val="204"/>
    </font>
    <font>
      <sz val="11"/>
      <color indexed="8"/>
      <name val="Calibri"/>
      <family val="2"/>
      <charset val="204"/>
    </font>
    <font>
      <sz val="10"/>
      <color indexed="9"/>
      <name val="Times New Roman"/>
      <family val="2"/>
      <charset val="204"/>
    </font>
    <font>
      <sz val="9"/>
      <color theme="0"/>
      <name val="Times New Roman"/>
      <family val="2"/>
      <charset val="204"/>
    </font>
    <font>
      <sz val="11"/>
      <color theme="0"/>
      <name val="Calibri"/>
      <family val="2"/>
      <scheme val="minor"/>
    </font>
    <font>
      <sz val="11"/>
      <color indexed="9"/>
      <name val="Calibri"/>
      <family val="2"/>
      <charset val="204"/>
    </font>
    <font>
      <sz val="11"/>
      <color indexed="8"/>
      <name val="Calibri"/>
      <family val="2"/>
    </font>
    <font>
      <sz val="11"/>
      <color indexed="9"/>
      <name val="Calibri"/>
      <family val="2"/>
    </font>
    <font>
      <b/>
      <sz val="11"/>
      <color indexed="8"/>
      <name val="Calibri"/>
      <family val="2"/>
    </font>
    <font>
      <sz val="10"/>
      <color indexed="8"/>
      <name val="Arial"/>
      <family val="2"/>
      <charset val="204"/>
    </font>
    <font>
      <sz val="8"/>
      <name val="Arial Narrow"/>
      <family val="2"/>
      <charset val="204"/>
    </font>
    <font>
      <sz val="12"/>
      <name val="宋体"/>
      <charset val="134"/>
    </font>
    <font>
      <sz val="8"/>
      <name val="Arial"/>
      <family val="2"/>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sz val="10"/>
      <color indexed="62"/>
      <name val="Times New Roman"/>
      <family val="2"/>
      <charset val="204"/>
    </font>
    <font>
      <sz val="9"/>
      <color rgb="FF3F3F76"/>
      <name val="Times New Roman"/>
      <family val="2"/>
      <charset val="204"/>
    </font>
    <font>
      <sz val="11"/>
      <color rgb="FF3F3F76"/>
      <name val="Calibri"/>
      <family val="2"/>
      <scheme val="minor"/>
    </font>
    <font>
      <sz val="11"/>
      <color indexed="62"/>
      <name val="Calibri"/>
      <family val="2"/>
      <charset val="204"/>
    </font>
    <font>
      <b/>
      <sz val="10"/>
      <color indexed="63"/>
      <name val="Times New Roman"/>
      <family val="2"/>
      <charset val="204"/>
    </font>
    <font>
      <b/>
      <sz val="9"/>
      <color rgb="FF3F3F3F"/>
      <name val="Times New Roman"/>
      <family val="2"/>
      <charset val="204"/>
    </font>
    <font>
      <b/>
      <sz val="11"/>
      <color rgb="FF3F3F3F"/>
      <name val="Calibri"/>
      <family val="2"/>
      <scheme val="minor"/>
    </font>
    <font>
      <b/>
      <sz val="11"/>
      <color indexed="63"/>
      <name val="Calibri"/>
      <family val="2"/>
      <charset val="204"/>
    </font>
    <font>
      <b/>
      <sz val="10"/>
      <color indexed="52"/>
      <name val="Times New Roman"/>
      <family val="2"/>
      <charset val="204"/>
    </font>
    <font>
      <b/>
      <sz val="9"/>
      <color rgb="FFFA7D00"/>
      <name val="Times New Roman"/>
      <family val="2"/>
      <charset val="204"/>
    </font>
    <font>
      <b/>
      <sz val="11"/>
      <color rgb="FFFA7D00"/>
      <name val="Calibri"/>
      <family val="2"/>
      <scheme val="minor"/>
    </font>
    <font>
      <b/>
      <sz val="11"/>
      <color indexed="52"/>
      <name val="Calibri"/>
      <family val="2"/>
      <charset val="204"/>
    </font>
    <font>
      <u/>
      <sz val="10"/>
      <color indexed="12"/>
      <name val="Times New Roman"/>
      <family val="1"/>
      <charset val="204"/>
    </font>
    <font>
      <u/>
      <sz val="11"/>
      <color theme="10"/>
      <name val="Calibri"/>
      <family val="2"/>
      <charset val="204"/>
      <scheme val="minor"/>
    </font>
    <font>
      <b/>
      <sz val="15"/>
      <color indexed="56"/>
      <name val="Times New Roman"/>
      <family val="2"/>
      <charset val="204"/>
    </font>
    <font>
      <b/>
      <sz val="15"/>
      <color theme="3"/>
      <name val="Times New Roman"/>
      <family val="2"/>
      <charset val="204"/>
    </font>
    <font>
      <b/>
      <sz val="15"/>
      <color theme="3"/>
      <name val="Calibri"/>
      <family val="2"/>
      <scheme val="minor"/>
    </font>
    <font>
      <b/>
      <sz val="15"/>
      <color indexed="56"/>
      <name val="Calibri"/>
      <family val="2"/>
      <charset val="204"/>
    </font>
    <font>
      <b/>
      <sz val="13"/>
      <color indexed="56"/>
      <name val="Times New Roman"/>
      <family val="2"/>
      <charset val="204"/>
    </font>
    <font>
      <b/>
      <sz val="13"/>
      <color theme="3"/>
      <name val="Times New Roman"/>
      <family val="2"/>
      <charset val="204"/>
    </font>
    <font>
      <b/>
      <sz val="13"/>
      <color theme="3"/>
      <name val="Calibri"/>
      <family val="2"/>
      <scheme val="minor"/>
    </font>
    <font>
      <b/>
      <sz val="13"/>
      <color indexed="56"/>
      <name val="Calibri"/>
      <family val="2"/>
      <charset val="204"/>
    </font>
    <font>
      <b/>
      <sz val="11"/>
      <color indexed="56"/>
      <name val="Times New Roman"/>
      <family val="2"/>
      <charset val="204"/>
    </font>
    <font>
      <b/>
      <sz val="11"/>
      <color theme="3"/>
      <name val="Times New Roman"/>
      <family val="2"/>
      <charset val="204"/>
    </font>
    <font>
      <b/>
      <sz val="11"/>
      <color theme="3"/>
      <name val="Calibri"/>
      <family val="2"/>
      <scheme val="minor"/>
    </font>
    <font>
      <b/>
      <sz val="11"/>
      <color indexed="56"/>
      <name val="Calibri"/>
      <family val="2"/>
      <charset val="204"/>
    </font>
    <font>
      <b/>
      <sz val="10"/>
      <color indexed="8"/>
      <name val="Times New Roman"/>
      <family val="2"/>
      <charset val="204"/>
    </font>
    <font>
      <b/>
      <sz val="9"/>
      <color theme="1"/>
      <name val="Times New Roman"/>
      <family val="2"/>
      <charset val="204"/>
    </font>
    <font>
      <b/>
      <sz val="11"/>
      <color theme="1"/>
      <name val="Calibri"/>
      <family val="2"/>
      <scheme val="minor"/>
    </font>
    <font>
      <b/>
      <sz val="11"/>
      <color indexed="8"/>
      <name val="Calibri"/>
      <family val="2"/>
      <charset val="204"/>
    </font>
    <font>
      <b/>
      <sz val="10"/>
      <color indexed="9"/>
      <name val="Times New Roman"/>
      <family val="2"/>
      <charset val="204"/>
    </font>
    <font>
      <b/>
      <sz val="9"/>
      <color theme="0"/>
      <name val="Times New Roman"/>
      <family val="2"/>
      <charset val="204"/>
    </font>
    <font>
      <b/>
      <sz val="11"/>
      <color theme="0"/>
      <name val="Calibri"/>
      <family val="2"/>
      <scheme val="minor"/>
    </font>
    <font>
      <b/>
      <sz val="11"/>
      <color indexed="9"/>
      <name val="Calibri"/>
      <family val="2"/>
      <charset val="204"/>
    </font>
    <font>
      <b/>
      <sz val="18"/>
      <color indexed="56"/>
      <name val="Cambria"/>
      <family val="2"/>
      <charset val="204"/>
    </font>
    <font>
      <b/>
      <sz val="18"/>
      <color theme="3"/>
      <name val="Cambria"/>
      <family val="2"/>
      <scheme val="major"/>
    </font>
    <font>
      <sz val="10"/>
      <color indexed="60"/>
      <name val="Times New Roman"/>
      <family val="2"/>
      <charset val="204"/>
    </font>
    <font>
      <sz val="9"/>
      <color rgb="FF9C6500"/>
      <name val="Times New Roman"/>
      <family val="2"/>
      <charset val="204"/>
    </font>
    <font>
      <sz val="11"/>
      <color rgb="FF9C6500"/>
      <name val="Calibri"/>
      <family val="2"/>
      <scheme val="minor"/>
    </font>
    <font>
      <sz val="11"/>
      <color indexed="60"/>
      <name val="Calibri"/>
      <family val="2"/>
      <charset val="204"/>
    </font>
    <font>
      <sz val="10"/>
      <color theme="1"/>
      <name val="Arial"/>
      <family val="2"/>
    </font>
    <font>
      <sz val="10"/>
      <name val="Arial Cyr"/>
      <family val="2"/>
      <charset val="204"/>
    </font>
    <font>
      <sz val="10"/>
      <color theme="1"/>
      <name val="Tahoma"/>
      <family val="2"/>
      <charset val="204"/>
    </font>
    <font>
      <sz val="11"/>
      <name val="Arial"/>
      <family val="2"/>
      <charset val="204"/>
    </font>
    <font>
      <sz val="8"/>
      <name val="Arial"/>
      <family val="2"/>
      <charset val="204"/>
    </font>
    <font>
      <sz val="10"/>
      <name val="Tahoma"/>
      <family val="2"/>
      <charset val="204"/>
    </font>
    <font>
      <sz val="10"/>
      <color indexed="20"/>
      <name val="Times New Roman"/>
      <family val="2"/>
      <charset val="204"/>
    </font>
    <font>
      <sz val="9"/>
      <color rgb="FF9C0006"/>
      <name val="Times New Roman"/>
      <family val="2"/>
      <charset val="204"/>
    </font>
    <font>
      <sz val="11"/>
      <color rgb="FF9C0006"/>
      <name val="Calibri"/>
      <family val="2"/>
      <scheme val="minor"/>
    </font>
    <font>
      <sz val="11"/>
      <color indexed="20"/>
      <name val="Calibri"/>
      <family val="2"/>
      <charset val="204"/>
    </font>
    <font>
      <i/>
      <sz val="10"/>
      <color indexed="23"/>
      <name val="Times New Roman"/>
      <family val="2"/>
      <charset val="204"/>
    </font>
    <font>
      <i/>
      <sz val="9"/>
      <color rgb="FF7F7F7F"/>
      <name val="Times New Roman"/>
      <family val="2"/>
      <charset val="204"/>
    </font>
    <font>
      <i/>
      <sz val="11"/>
      <color rgb="FF7F7F7F"/>
      <name val="Calibri"/>
      <family val="2"/>
      <scheme val="minor"/>
    </font>
    <font>
      <i/>
      <sz val="11"/>
      <color indexed="23"/>
      <name val="Calibri"/>
      <family val="2"/>
      <charset val="204"/>
    </font>
    <font>
      <sz val="10"/>
      <color indexed="8"/>
      <name val="Arial"/>
      <family val="2"/>
    </font>
    <font>
      <sz val="10"/>
      <color indexed="52"/>
      <name val="Times New Roman"/>
      <family val="2"/>
      <charset val="204"/>
    </font>
    <font>
      <sz val="9"/>
      <color rgb="FFFA7D00"/>
      <name val="Times New Roman"/>
      <family val="2"/>
      <charset val="204"/>
    </font>
    <font>
      <sz val="11"/>
      <color rgb="FFFA7D00"/>
      <name val="Calibri"/>
      <family val="2"/>
      <scheme val="minor"/>
    </font>
    <font>
      <sz val="11"/>
      <color indexed="52"/>
      <name val="Calibri"/>
      <family val="2"/>
      <charset val="204"/>
    </font>
    <font>
      <sz val="10"/>
      <color indexed="10"/>
      <name val="Times New Roman"/>
      <family val="2"/>
      <charset val="204"/>
    </font>
    <font>
      <sz val="9"/>
      <color rgb="FFFF0000"/>
      <name val="Times New Roman"/>
      <family val="2"/>
      <charset val="204"/>
    </font>
    <font>
      <sz val="11"/>
      <color rgb="FFFF0000"/>
      <name val="Calibri"/>
      <family val="2"/>
      <scheme val="minor"/>
    </font>
    <font>
      <sz val="11"/>
      <color indexed="10"/>
      <name val="Calibri"/>
      <family val="2"/>
      <charset val="204"/>
    </font>
    <font>
      <sz val="10"/>
      <color indexed="17"/>
      <name val="Times New Roman"/>
      <family val="2"/>
      <charset val="204"/>
    </font>
    <font>
      <sz val="9"/>
      <color rgb="FF006100"/>
      <name val="Times New Roman"/>
      <family val="2"/>
      <charset val="204"/>
    </font>
    <font>
      <sz val="11"/>
      <color rgb="FF006100"/>
      <name val="Calibri"/>
      <family val="2"/>
      <scheme val="minor"/>
    </font>
    <font>
      <sz val="11"/>
      <color indexed="17"/>
      <name val="Calibri"/>
      <family val="2"/>
      <charset val="204"/>
    </font>
    <font>
      <sz val="10"/>
      <name val="Arial Cyr"/>
      <charset val="134"/>
    </font>
  </fonts>
  <fills count="8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C0C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5"/>
        <bgColor indexed="55"/>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43"/>
        <bgColor indexed="64"/>
      </patternFill>
    </fill>
    <fill>
      <patternFill patternType="solid">
        <fgColor indexed="12"/>
      </patternFill>
    </fill>
    <fill>
      <patternFill patternType="solid">
        <fgColor indexed="10"/>
      </patternFill>
    </fill>
    <fill>
      <patternFill patternType="solid">
        <fgColor indexed="53"/>
      </patternFill>
    </fill>
    <fill>
      <patternFill patternType="solid">
        <fgColor indexed="57"/>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2"/>
      </patternFill>
    </fill>
    <fill>
      <patternFill patternType="solid">
        <fgColor indexed="23"/>
      </patternFill>
    </fill>
    <fill>
      <patternFill patternType="solid">
        <fgColor indexed="9"/>
      </patternFill>
    </fill>
    <fill>
      <patternFill patternType="solid">
        <fgColor indexed="26"/>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indexed="62"/>
      </patternFill>
    </fill>
    <fill>
      <patternFill patternType="solid">
        <fgColor indexed="55"/>
      </patternFill>
    </fill>
    <fill>
      <patternFill patternType="solid">
        <fgColor indexed="60"/>
      </patternFill>
    </fill>
    <fill>
      <patternFill patternType="solid">
        <fgColor theme="7" tint="0.59999389629810485"/>
        <bgColor indexed="64"/>
      </patternFill>
    </fill>
  </fills>
  <borders count="27">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55"/>
      </left>
      <right style="thin">
        <color indexed="55"/>
      </right>
      <top style="thin">
        <color indexed="55"/>
      </top>
      <bottom style="thin">
        <color indexed="55"/>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s>
  <cellStyleXfs count="2571">
    <xf numFmtId="0" fontId="0" fillId="0" borderId="0"/>
    <xf numFmtId="0" fontId="1" fillId="0" borderId="0"/>
    <xf numFmtId="0" fontId="23" fillId="0" borderId="0"/>
    <xf numFmtId="0" fontId="23" fillId="0" borderId="0"/>
    <xf numFmtId="0" fontId="23" fillId="0" borderId="0"/>
    <xf numFmtId="0" fontId="23" fillId="0" borderId="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3" fillId="0" borderId="0"/>
    <xf numFmtId="0" fontId="25" fillId="0" borderId="0" applyNumberFormat="0" applyFill="0" applyBorder="0" applyAlignment="0" applyProtection="0"/>
    <xf numFmtId="0" fontId="23" fillId="0" borderId="0"/>
    <xf numFmtId="0" fontId="23" fillId="0" borderId="0"/>
    <xf numFmtId="0" fontId="23" fillId="0" borderId="0"/>
    <xf numFmtId="0" fontId="23" fillId="0" borderId="0"/>
    <xf numFmtId="0" fontId="26" fillId="0" borderId="0" applyNumberFormat="0" applyFill="0" applyBorder="0" applyAlignment="0" applyProtection="0"/>
    <xf numFmtId="0" fontId="23" fillId="0" borderId="0"/>
    <xf numFmtId="0" fontId="23" fillId="0" borderId="0"/>
    <xf numFmtId="0" fontId="25" fillId="0" borderId="0"/>
    <xf numFmtId="0" fontId="25" fillId="0" borderId="0"/>
    <xf numFmtId="0" fontId="25" fillId="0" borderId="0"/>
    <xf numFmtId="0" fontId="23" fillId="0" borderId="0"/>
    <xf numFmtId="0" fontId="27" fillId="0" borderId="0"/>
    <xf numFmtId="0" fontId="28" fillId="0" borderId="0" applyNumberFormat="0" applyFill="0" applyBorder="0" applyAlignment="0" applyProtection="0"/>
    <xf numFmtId="0" fontId="23" fillId="0" borderId="0"/>
    <xf numFmtId="0" fontId="23" fillId="0" borderId="0"/>
    <xf numFmtId="0" fontId="27" fillId="0" borderId="0"/>
    <xf numFmtId="0" fontId="26" fillId="0" borderId="0" applyNumberFormat="0" applyFill="0" applyBorder="0" applyAlignment="0" applyProtection="0"/>
    <xf numFmtId="0" fontId="29" fillId="0" borderId="0"/>
    <xf numFmtId="0" fontId="27" fillId="0" borderId="0"/>
    <xf numFmtId="0" fontId="23" fillId="0" borderId="0"/>
    <xf numFmtId="0" fontId="23" fillId="0" borderId="0"/>
    <xf numFmtId="0" fontId="23" fillId="0" borderId="0"/>
    <xf numFmtId="0" fontId="23" fillId="0" borderId="0"/>
    <xf numFmtId="0" fontId="23" fillId="0" borderId="0"/>
    <xf numFmtId="0" fontId="26" fillId="0" borderId="0" applyNumberFormat="0" applyFill="0" applyBorder="0" applyAlignment="0" applyProtection="0"/>
    <xf numFmtId="0" fontId="23" fillId="0" borderId="0"/>
    <xf numFmtId="0" fontId="27" fillId="0" borderId="0"/>
    <xf numFmtId="0" fontId="27" fillId="0" borderId="0"/>
    <xf numFmtId="0" fontId="27" fillId="0" borderId="0"/>
    <xf numFmtId="0" fontId="23" fillId="0" borderId="0"/>
    <xf numFmtId="0" fontId="27" fillId="0" borderId="0"/>
    <xf numFmtId="0" fontId="23" fillId="0" borderId="0"/>
    <xf numFmtId="0" fontId="23" fillId="0" borderId="0"/>
    <xf numFmtId="0" fontId="27" fillId="0" borderId="0"/>
    <xf numFmtId="0" fontId="30" fillId="0" borderId="0"/>
    <xf numFmtId="0" fontId="23" fillId="0" borderId="0"/>
    <xf numFmtId="0" fontId="27" fillId="0" borderId="0"/>
    <xf numFmtId="0" fontId="27" fillId="0" borderId="0"/>
    <xf numFmtId="0" fontId="23" fillId="0" borderId="0"/>
    <xf numFmtId="0" fontId="27" fillId="0" borderId="0"/>
    <xf numFmtId="0" fontId="27" fillId="0" borderId="0"/>
    <xf numFmtId="0" fontId="27" fillId="0" borderId="0"/>
    <xf numFmtId="0" fontId="23" fillId="0" borderId="0"/>
    <xf numFmtId="0" fontId="27" fillId="0" borderId="0"/>
    <xf numFmtId="0" fontId="27" fillId="0" borderId="0"/>
    <xf numFmtId="0" fontId="23" fillId="0" borderId="0"/>
    <xf numFmtId="0" fontId="27" fillId="0" borderId="0"/>
    <xf numFmtId="0" fontId="23" fillId="0" borderId="0"/>
    <xf numFmtId="0" fontId="23" fillId="0" borderId="0"/>
    <xf numFmtId="0" fontId="26" fillId="0" borderId="0"/>
    <xf numFmtId="0" fontId="29" fillId="0" borderId="0"/>
    <xf numFmtId="0" fontId="25" fillId="0" borderId="0"/>
    <xf numFmtId="0" fontId="23" fillId="0" borderId="0"/>
    <xf numFmtId="0" fontId="23" fillId="0" borderId="0"/>
    <xf numFmtId="0" fontId="24" fillId="0" borderId="0"/>
    <xf numFmtId="0" fontId="25" fillId="0" borderId="0"/>
    <xf numFmtId="164" fontId="25" fillId="0" borderId="0"/>
    <xf numFmtId="0" fontId="25" fillId="0" borderId="0"/>
    <xf numFmtId="0" fontId="25" fillId="0" borderId="0"/>
    <xf numFmtId="0" fontId="25" fillId="0" borderId="0"/>
    <xf numFmtId="164" fontId="25" fillId="0" borderId="0"/>
    <xf numFmtId="0" fontId="24" fillId="0" borderId="0"/>
    <xf numFmtId="0" fontId="25" fillId="0" borderId="0"/>
    <xf numFmtId="0" fontId="24" fillId="0" borderId="0"/>
    <xf numFmtId="0" fontId="24" fillId="0" borderId="0"/>
    <xf numFmtId="0" fontId="24" fillId="0" borderId="0"/>
    <xf numFmtId="0" fontId="25" fillId="0" borderId="0"/>
    <xf numFmtId="164" fontId="25" fillId="0" borderId="0"/>
    <xf numFmtId="0" fontId="25" fillId="0" borderId="0"/>
    <xf numFmtId="0" fontId="25" fillId="0" borderId="0"/>
    <xf numFmtId="0" fontId="24" fillId="0" borderId="0"/>
    <xf numFmtId="0" fontId="24" fillId="0" borderId="0"/>
    <xf numFmtId="0" fontId="29" fillId="0" borderId="0"/>
    <xf numFmtId="0" fontId="25"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1" fillId="34" borderId="0" applyNumberFormat="0" applyBorder="0" applyAlignment="0" applyProtection="0"/>
    <xf numFmtId="0" fontId="3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2" fillId="10" borderId="0" applyNumberFormat="0" applyBorder="0" applyAlignment="0" applyProtection="0"/>
    <xf numFmtId="0" fontId="32"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5" borderId="0" applyNumberFormat="0" applyBorder="0" applyAlignment="0" applyProtection="0"/>
    <xf numFmtId="0" fontId="33" fillId="35"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1" fillId="37" borderId="0" applyNumberFormat="0" applyBorder="0" applyAlignment="0" applyProtection="0"/>
    <xf numFmtId="0" fontId="31" fillId="37"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1" fillId="38" borderId="0" applyNumberFormat="0" applyBorder="0" applyAlignment="0" applyProtection="0"/>
    <xf numFmtId="0" fontId="31" fillId="38"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2" fillId="26" borderId="0" applyNumberFormat="0" applyBorder="0" applyAlignment="0" applyProtection="0"/>
    <xf numFmtId="0" fontId="32"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2" fillId="30" borderId="0" applyNumberFormat="0" applyBorder="0" applyAlignment="0" applyProtection="0"/>
    <xf numFmtId="0" fontId="32"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2" fillId="11" borderId="0" applyNumberFormat="0" applyBorder="0" applyAlignment="0" applyProtection="0"/>
    <xf numFmtId="0" fontId="32"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1" fillId="42" borderId="0" applyNumberFormat="0" applyBorder="0" applyAlignment="0" applyProtection="0"/>
    <xf numFmtId="0" fontId="31" fillId="42"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1" fillId="37" borderId="0" applyNumberFormat="0" applyBorder="0" applyAlignment="0" applyProtection="0"/>
    <xf numFmtId="0" fontId="31"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2" fillId="27" borderId="0" applyNumberFormat="0" applyBorder="0" applyAlignment="0" applyProtection="0"/>
    <xf numFmtId="0" fontId="32"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2" fillId="31" borderId="0" applyNumberFormat="0" applyBorder="0" applyAlignment="0" applyProtection="0"/>
    <xf numFmtId="0" fontId="32"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20" fillId="12" borderId="0" applyNumberFormat="0" applyBorder="0" applyAlignment="0" applyProtection="0"/>
    <xf numFmtId="0" fontId="35" fillId="12" borderId="0" applyNumberFormat="0" applyBorder="0" applyAlignment="0" applyProtection="0"/>
    <xf numFmtId="0" fontId="35" fillId="12" borderId="0" applyNumberFormat="0" applyBorder="0" applyAlignment="0" applyProtection="0"/>
    <xf numFmtId="0" fontId="36" fillId="12" borderId="0" applyNumberFormat="0" applyBorder="0" applyAlignment="0" applyProtection="0"/>
    <xf numFmtId="0" fontId="36"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20" fillId="16" borderId="0" applyNumberFormat="0" applyBorder="0" applyAlignment="0" applyProtection="0"/>
    <xf numFmtId="0" fontId="35" fillId="16" borderId="0" applyNumberFormat="0" applyBorder="0" applyAlignment="0" applyProtection="0"/>
    <xf numFmtId="0" fontId="35" fillId="16" borderId="0" applyNumberFormat="0" applyBorder="0" applyAlignment="0" applyProtection="0"/>
    <xf numFmtId="0" fontId="36" fillId="16" borderId="0" applyNumberFormat="0" applyBorder="0" applyAlignment="0" applyProtection="0"/>
    <xf numFmtId="0" fontId="36"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20" fillId="20" borderId="0" applyNumberFormat="0" applyBorder="0" applyAlignment="0" applyProtection="0"/>
    <xf numFmtId="0" fontId="35" fillId="20" borderId="0" applyNumberFormat="0" applyBorder="0" applyAlignment="0" applyProtection="0"/>
    <xf numFmtId="0" fontId="35" fillId="20" borderId="0" applyNumberFormat="0" applyBorder="0" applyAlignment="0" applyProtection="0"/>
    <xf numFmtId="0" fontId="36" fillId="20" borderId="0" applyNumberFormat="0" applyBorder="0" applyAlignment="0" applyProtection="0"/>
    <xf numFmtId="0" fontId="36"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20" fillId="24" borderId="0" applyNumberFormat="0" applyBorder="0" applyAlignment="0" applyProtection="0"/>
    <xf numFmtId="0" fontId="35" fillId="24" borderId="0" applyNumberFormat="0" applyBorder="0" applyAlignment="0" applyProtection="0"/>
    <xf numFmtId="0" fontId="35" fillId="24" borderId="0" applyNumberFormat="0" applyBorder="0" applyAlignment="0" applyProtection="0"/>
    <xf numFmtId="0" fontId="36" fillId="24" borderId="0" applyNumberFormat="0" applyBorder="0" applyAlignment="0" applyProtection="0"/>
    <xf numFmtId="0" fontId="36"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20" fillId="28" borderId="0" applyNumberFormat="0" applyBorder="0" applyAlignment="0" applyProtection="0"/>
    <xf numFmtId="0" fontId="35" fillId="28" borderId="0" applyNumberFormat="0" applyBorder="0" applyAlignment="0" applyProtection="0"/>
    <xf numFmtId="0" fontId="35" fillId="28" borderId="0" applyNumberFormat="0" applyBorder="0" applyAlignment="0" applyProtection="0"/>
    <xf numFmtId="0" fontId="36" fillId="28" borderId="0" applyNumberFormat="0" applyBorder="0" applyAlignment="0" applyProtection="0"/>
    <xf numFmtId="0" fontId="36"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20" fillId="32" borderId="0" applyNumberFormat="0" applyBorder="0" applyAlignment="0" applyProtection="0"/>
    <xf numFmtId="0" fontId="35" fillId="32" borderId="0" applyNumberFormat="0" applyBorder="0" applyAlignment="0" applyProtection="0"/>
    <xf numFmtId="0" fontId="35" fillId="32" borderId="0" applyNumberFormat="0" applyBorder="0" applyAlignment="0" applyProtection="0"/>
    <xf numFmtId="0" fontId="36" fillId="32" borderId="0" applyNumberFormat="0" applyBorder="0" applyAlignment="0" applyProtection="0"/>
    <xf numFmtId="0" fontId="36"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9" fillId="50" borderId="0" applyNumberFormat="0" applyBorder="0" applyAlignment="0" applyProtection="0"/>
    <xf numFmtId="0" fontId="38" fillId="51" borderId="0" applyNumberFormat="0" applyBorder="0" applyAlignment="0" applyProtection="0"/>
    <xf numFmtId="0" fontId="38" fillId="52" borderId="0" applyNumberFormat="0" applyBorder="0" applyAlignment="0" applyProtection="0"/>
    <xf numFmtId="0" fontId="39" fillId="53" borderId="0" applyNumberFormat="0" applyBorder="0" applyAlignment="0" applyProtection="0"/>
    <xf numFmtId="0" fontId="38" fillId="54" borderId="0" applyNumberFormat="0" applyBorder="0" applyAlignment="0" applyProtection="0"/>
    <xf numFmtId="0" fontId="38" fillId="55" borderId="0" applyNumberFormat="0" applyBorder="0" applyAlignment="0" applyProtection="0"/>
    <xf numFmtId="0" fontId="39" fillId="56" borderId="0" applyNumberFormat="0" applyBorder="0" applyAlignment="0" applyProtection="0"/>
    <xf numFmtId="0" fontId="38" fillId="51" borderId="0" applyNumberFormat="0" applyBorder="0" applyAlignment="0" applyProtection="0"/>
    <xf numFmtId="0" fontId="38" fillId="57" borderId="0" applyNumberFormat="0" applyBorder="0" applyAlignment="0" applyProtection="0"/>
    <xf numFmtId="0" fontId="39" fillId="52" borderId="0" applyNumberFormat="0" applyBorder="0" applyAlignment="0" applyProtection="0"/>
    <xf numFmtId="0" fontId="38" fillId="58" borderId="0" applyNumberFormat="0" applyBorder="0" applyAlignment="0" applyProtection="0"/>
    <xf numFmtId="0" fontId="38" fillId="59" borderId="0" applyNumberFormat="0" applyBorder="0" applyAlignment="0" applyProtection="0"/>
    <xf numFmtId="0" fontId="39" fillId="50" borderId="0" applyNumberFormat="0" applyBorder="0" applyAlignment="0" applyProtection="0"/>
    <xf numFmtId="0" fontId="38" fillId="60" borderId="0" applyNumberFormat="0" applyBorder="0" applyAlignment="0" applyProtection="0"/>
    <xf numFmtId="0" fontId="38" fillId="61" borderId="0" applyNumberFormat="0" applyBorder="0" applyAlignment="0" applyProtection="0"/>
    <xf numFmtId="0" fontId="39" fillId="62" borderId="0" applyNumberFormat="0" applyBorder="0" applyAlignment="0" applyProtection="0"/>
    <xf numFmtId="0" fontId="40" fillId="63" borderId="0" applyNumberFormat="0" applyBorder="0" applyAlignment="0" applyProtection="0"/>
    <xf numFmtId="0" fontId="40" fillId="64" borderId="0" applyNumberFormat="0" applyBorder="0" applyAlignment="0" applyProtection="0"/>
    <xf numFmtId="0" fontId="40" fillId="65" borderId="0" applyNumberFormat="0" applyBorder="0" applyAlignment="0" applyProtection="0"/>
    <xf numFmtId="165" fontId="25" fillId="0" borderId="0" applyFont="0" applyFill="0" applyBorder="0" applyAlignment="0" applyProtection="0"/>
    <xf numFmtId="166" fontId="23" fillId="0" borderId="0" applyFont="0" applyFill="0" applyBorder="0" applyAlignment="0" applyProtection="0"/>
    <xf numFmtId="167" fontId="23" fillId="0" borderId="0" applyFont="0" applyFill="0" applyBorder="0" applyAlignment="0" applyProtection="0"/>
    <xf numFmtId="167" fontId="23" fillId="0" borderId="0" applyFont="0" applyFill="0" applyBorder="0" applyAlignment="0" applyProtection="0"/>
    <xf numFmtId="168" fontId="23" fillId="0" borderId="0" applyFont="0" applyFill="0" applyBorder="0" applyAlignment="0" applyProtection="0"/>
    <xf numFmtId="0" fontId="29" fillId="0" borderId="0"/>
    <xf numFmtId="0" fontId="25" fillId="0" borderId="0"/>
    <xf numFmtId="0" fontId="41" fillId="0" borderId="0"/>
    <xf numFmtId="0" fontId="42" fillId="0" borderId="12" applyNumberFormat="0" applyFill="0" applyProtection="0">
      <alignment horizontal="center" vertical="top"/>
    </xf>
    <xf numFmtId="0" fontId="43" fillId="0" borderId="0"/>
    <xf numFmtId="4" fontId="44" fillId="66" borderId="13" applyNumberFormat="0" applyProtection="0">
      <alignment vertical="center"/>
    </xf>
    <xf numFmtId="4" fontId="44" fillId="66" borderId="13" applyNumberFormat="0" applyProtection="0">
      <alignment vertical="center"/>
    </xf>
    <xf numFmtId="4" fontId="44" fillId="66" borderId="13" applyNumberFormat="0" applyProtection="0">
      <alignment vertical="center"/>
    </xf>
    <xf numFmtId="4" fontId="44" fillId="66" borderId="13" applyNumberFormat="0" applyProtection="0">
      <alignment vertical="center"/>
    </xf>
    <xf numFmtId="4" fontId="44" fillId="66" borderId="13" applyNumberFormat="0" applyProtection="0">
      <alignment vertical="center"/>
    </xf>
    <xf numFmtId="4" fontId="44" fillId="66" borderId="13" applyNumberFormat="0" applyProtection="0">
      <alignment vertical="center"/>
    </xf>
    <xf numFmtId="4" fontId="45" fillId="67" borderId="13" applyNumberFormat="0" applyProtection="0">
      <alignment vertical="center"/>
    </xf>
    <xf numFmtId="4" fontId="44" fillId="67" borderId="13" applyNumberFormat="0" applyProtection="0">
      <alignment horizontal="left" vertical="center" indent="1"/>
    </xf>
    <xf numFmtId="0" fontId="46" fillId="66" borderId="14" applyNumberFormat="0" applyProtection="0">
      <alignment horizontal="left" vertical="top" indent="1"/>
    </xf>
    <xf numFmtId="4" fontId="44" fillId="46" borderId="13" applyNumberFormat="0" applyProtection="0">
      <alignment horizontal="left" vertical="center" indent="1"/>
    </xf>
    <xf numFmtId="4" fontId="44" fillId="35" borderId="13" applyNumberFormat="0" applyProtection="0">
      <alignment horizontal="right" vertical="center"/>
    </xf>
    <xf numFmtId="4" fontId="44" fillId="68" borderId="13" applyNumberFormat="0" applyProtection="0">
      <alignment horizontal="right" vertical="center"/>
    </xf>
    <xf numFmtId="4" fontId="44" fillId="69" borderId="15" applyNumberFormat="0" applyProtection="0">
      <alignment horizontal="right" vertical="center"/>
    </xf>
    <xf numFmtId="4" fontId="44" fillId="43" borderId="13" applyNumberFormat="0" applyProtection="0">
      <alignment horizontal="right" vertical="center"/>
    </xf>
    <xf numFmtId="4" fontId="44" fillId="47" borderId="13" applyNumberFormat="0" applyProtection="0">
      <alignment horizontal="right" vertical="center"/>
    </xf>
    <xf numFmtId="4" fontId="44" fillId="70" borderId="13" applyNumberFormat="0" applyProtection="0">
      <alignment horizontal="right" vertical="center"/>
    </xf>
    <xf numFmtId="4" fontId="44" fillId="71" borderId="13" applyNumberFormat="0" applyProtection="0">
      <alignment horizontal="right" vertical="center"/>
    </xf>
    <xf numFmtId="4" fontId="44" fillId="72" borderId="13" applyNumberFormat="0" applyProtection="0">
      <alignment horizontal="right" vertical="center"/>
    </xf>
    <xf numFmtId="4" fontId="44" fillId="42" borderId="13" applyNumberFormat="0" applyProtection="0">
      <alignment horizontal="right" vertical="center"/>
    </xf>
    <xf numFmtId="4" fontId="44" fillId="73" borderId="15" applyNumberFormat="0" applyProtection="0">
      <alignment horizontal="left" vertical="center" indent="1"/>
    </xf>
    <xf numFmtId="4" fontId="29" fillId="74" borderId="15" applyNumberFormat="0" applyProtection="0">
      <alignment horizontal="left" vertical="center" indent="1"/>
    </xf>
    <xf numFmtId="4" fontId="29" fillId="74" borderId="15" applyNumberFormat="0" applyProtection="0">
      <alignment horizontal="left" vertical="center" indent="1"/>
    </xf>
    <xf numFmtId="4" fontId="44" fillId="75" borderId="13" applyNumberFormat="0" applyProtection="0">
      <alignment horizontal="right" vertical="center"/>
    </xf>
    <xf numFmtId="4" fontId="44" fillId="76" borderId="15" applyNumberFormat="0" applyProtection="0">
      <alignment horizontal="left" vertical="center" indent="1"/>
    </xf>
    <xf numFmtId="4" fontId="44" fillId="75" borderId="15" applyNumberFormat="0" applyProtection="0">
      <alignment horizontal="left" vertical="center" indent="1"/>
    </xf>
    <xf numFmtId="0" fontId="44" fillId="77" borderId="13" applyNumberFormat="0" applyProtection="0">
      <alignment horizontal="left" vertical="center" indent="1"/>
    </xf>
    <xf numFmtId="0" fontId="44" fillId="74" borderId="14" applyNumberFormat="0" applyProtection="0">
      <alignment horizontal="left" vertical="top" indent="1"/>
    </xf>
    <xf numFmtId="0" fontId="44" fillId="78" borderId="13" applyNumberFormat="0" applyProtection="0">
      <alignment horizontal="left" vertical="center" indent="1"/>
    </xf>
    <xf numFmtId="0" fontId="44" fillId="75" borderId="14" applyNumberFormat="0" applyProtection="0">
      <alignment horizontal="left" vertical="top" indent="1"/>
    </xf>
    <xf numFmtId="0" fontId="44" fillId="40" borderId="13" applyNumberFormat="0" applyProtection="0">
      <alignment horizontal="left" vertical="center" indent="1"/>
    </xf>
    <xf numFmtId="0" fontId="44" fillId="40" borderId="14" applyNumberFormat="0" applyProtection="0">
      <alignment horizontal="left" vertical="top" indent="1"/>
    </xf>
    <xf numFmtId="0" fontId="44" fillId="76" borderId="13" applyNumberFormat="0" applyProtection="0">
      <alignment horizontal="left" vertical="center" indent="1"/>
    </xf>
    <xf numFmtId="0" fontId="44" fillId="76" borderId="14" applyNumberFormat="0" applyProtection="0">
      <alignment horizontal="left" vertical="top" indent="1"/>
    </xf>
    <xf numFmtId="0" fontId="44" fillId="79" borderId="16" applyNumberFormat="0">
      <protection locked="0"/>
    </xf>
    <xf numFmtId="0" fontId="47" fillId="74" borderId="17" applyBorder="0"/>
    <xf numFmtId="4" fontId="48" fillId="80" borderId="14" applyNumberFormat="0" applyProtection="0">
      <alignment vertical="center"/>
    </xf>
    <xf numFmtId="4" fontId="45" fillId="81" borderId="2" applyNumberFormat="0" applyProtection="0">
      <alignment vertical="center"/>
    </xf>
    <xf numFmtId="4" fontId="48" fillId="77" borderId="14" applyNumberFormat="0" applyProtection="0">
      <alignment horizontal="left" vertical="center" indent="1"/>
    </xf>
    <xf numFmtId="0" fontId="48" fillId="80" borderId="14" applyNumberFormat="0" applyProtection="0">
      <alignment horizontal="left" vertical="top" indent="1"/>
    </xf>
    <xf numFmtId="4" fontId="44" fillId="0" borderId="13" applyNumberFormat="0" applyProtection="0">
      <alignment horizontal="right" vertical="center"/>
    </xf>
    <xf numFmtId="4" fontId="45" fillId="82" borderId="13" applyNumberFormat="0" applyProtection="0">
      <alignment horizontal="right" vertical="center"/>
    </xf>
    <xf numFmtId="4" fontId="44" fillId="46" borderId="13" applyNumberFormat="0" applyProtection="0">
      <alignment horizontal="left" vertical="center" indent="1"/>
    </xf>
    <xf numFmtId="4" fontId="44" fillId="46" borderId="13" applyNumberFormat="0" applyProtection="0">
      <alignment horizontal="left" vertical="center" indent="1"/>
    </xf>
    <xf numFmtId="4" fontId="44" fillId="46" borderId="13" applyNumberFormat="0" applyProtection="0">
      <alignment horizontal="left" vertical="center" indent="1"/>
    </xf>
    <xf numFmtId="4" fontId="44" fillId="46" borderId="13" applyNumberFormat="0" applyProtection="0">
      <alignment horizontal="left" vertical="center" indent="1"/>
    </xf>
    <xf numFmtId="4" fontId="44" fillId="46" borderId="13" applyNumberFormat="0" applyProtection="0">
      <alignment horizontal="left" vertical="center" indent="1"/>
    </xf>
    <xf numFmtId="4" fontId="44" fillId="46" borderId="13" applyNumberFormat="0" applyProtection="0">
      <alignment horizontal="left" vertical="center" indent="1"/>
    </xf>
    <xf numFmtId="0" fontId="48" fillId="75" borderId="14" applyNumberFormat="0" applyProtection="0">
      <alignment horizontal="left" vertical="top" indent="1"/>
    </xf>
    <xf numFmtId="4" fontId="49" fillId="83" borderId="15" applyNumberFormat="0" applyProtection="0">
      <alignment horizontal="left" vertical="center" indent="1"/>
    </xf>
    <xf numFmtId="0" fontId="44" fillId="84" borderId="2"/>
    <xf numFmtId="4" fontId="50" fillId="79" borderId="13" applyNumberFormat="0" applyProtection="0">
      <alignment horizontal="right" vertical="center"/>
    </xf>
    <xf numFmtId="0" fontId="51" fillId="0" borderId="0" applyNumberFormat="0" applyFill="0" applyBorder="0" applyAlignment="0" applyProtection="0"/>
    <xf numFmtId="0" fontId="29" fillId="0" borderId="0"/>
    <xf numFmtId="0" fontId="26" fillId="0" borderId="0" applyNumberForma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34" fillId="85" borderId="0" applyNumberFormat="0" applyBorder="0" applyAlignment="0" applyProtection="0"/>
    <xf numFmtId="0" fontId="34" fillId="85" borderId="0" applyNumberFormat="0" applyBorder="0" applyAlignment="0" applyProtection="0"/>
    <xf numFmtId="0" fontId="20" fillId="9" borderId="0" applyNumberFormat="0" applyBorder="0" applyAlignment="0" applyProtection="0"/>
    <xf numFmtId="0" fontId="35" fillId="9" borderId="0" applyNumberFormat="0" applyBorder="0" applyAlignment="0" applyProtection="0"/>
    <xf numFmtId="0" fontId="35" fillId="9" borderId="0" applyNumberFormat="0" applyBorder="0" applyAlignment="0" applyProtection="0"/>
    <xf numFmtId="0" fontId="36" fillId="9" borderId="0" applyNumberFormat="0" applyBorder="0" applyAlignment="0" applyProtection="0"/>
    <xf numFmtId="0" fontId="36"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34" fillId="69" borderId="0" applyNumberFormat="0" applyBorder="0" applyAlignment="0" applyProtection="0"/>
    <xf numFmtId="0" fontId="34" fillId="69" borderId="0" applyNumberFormat="0" applyBorder="0" applyAlignment="0" applyProtection="0"/>
    <xf numFmtId="0" fontId="20" fillId="13" borderId="0" applyNumberFormat="0" applyBorder="0" applyAlignment="0" applyProtection="0"/>
    <xf numFmtId="0" fontId="35" fillId="13" borderId="0" applyNumberFormat="0" applyBorder="0" applyAlignment="0" applyProtection="0"/>
    <xf numFmtId="0" fontId="35" fillId="13" borderId="0" applyNumberFormat="0" applyBorder="0" applyAlignment="0" applyProtection="0"/>
    <xf numFmtId="0" fontId="36" fillId="13" borderId="0" applyNumberFormat="0" applyBorder="0" applyAlignment="0" applyProtection="0"/>
    <xf numFmtId="0" fontId="36"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37" fillId="69" borderId="0" applyNumberFormat="0" applyBorder="0" applyAlignment="0" applyProtection="0"/>
    <xf numFmtId="0" fontId="37" fillId="69"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34" fillId="71" borderId="0" applyNumberFormat="0" applyBorder="0" applyAlignment="0" applyProtection="0"/>
    <xf numFmtId="0" fontId="34" fillId="71" borderId="0" applyNumberFormat="0" applyBorder="0" applyAlignment="0" applyProtection="0"/>
    <xf numFmtId="0" fontId="20" fillId="17" borderId="0" applyNumberFormat="0" applyBorder="0" applyAlignment="0" applyProtection="0"/>
    <xf numFmtId="0" fontId="35" fillId="17" borderId="0" applyNumberFormat="0" applyBorder="0" applyAlignment="0" applyProtection="0"/>
    <xf numFmtId="0" fontId="35" fillId="17" borderId="0" applyNumberFormat="0" applyBorder="0" applyAlignment="0" applyProtection="0"/>
    <xf numFmtId="0" fontId="36" fillId="17" borderId="0" applyNumberFormat="0" applyBorder="0" applyAlignment="0" applyProtection="0"/>
    <xf numFmtId="0" fontId="36"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20" fillId="21" borderId="0" applyNumberFormat="0" applyBorder="0" applyAlignment="0" applyProtection="0"/>
    <xf numFmtId="0" fontId="35" fillId="21" borderId="0" applyNumberFormat="0" applyBorder="0" applyAlignment="0" applyProtection="0"/>
    <xf numFmtId="0" fontId="35" fillId="21" borderId="0" applyNumberFormat="0" applyBorder="0" applyAlignment="0" applyProtection="0"/>
    <xf numFmtId="0" fontId="36" fillId="21" borderId="0" applyNumberFormat="0" applyBorder="0" applyAlignment="0" applyProtection="0"/>
    <xf numFmtId="0" fontId="36"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20" fillId="25" borderId="0" applyNumberFormat="0" applyBorder="0" applyAlignment="0" applyProtection="0"/>
    <xf numFmtId="0" fontId="35" fillId="25" borderId="0" applyNumberFormat="0" applyBorder="0" applyAlignment="0" applyProtection="0"/>
    <xf numFmtId="0" fontId="35" fillId="25" borderId="0" applyNumberFormat="0" applyBorder="0" applyAlignment="0" applyProtection="0"/>
    <xf numFmtId="0" fontId="36" fillId="25" borderId="0" applyNumberFormat="0" applyBorder="0" applyAlignment="0" applyProtection="0"/>
    <xf numFmtId="0" fontId="36"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34" fillId="70" borderId="0" applyNumberFormat="0" applyBorder="0" applyAlignment="0" applyProtection="0"/>
    <xf numFmtId="0" fontId="34" fillId="70" borderId="0" applyNumberFormat="0" applyBorder="0" applyAlignment="0" applyProtection="0"/>
    <xf numFmtId="0" fontId="20" fillId="29" borderId="0" applyNumberFormat="0" applyBorder="0" applyAlignment="0" applyProtection="0"/>
    <xf numFmtId="0" fontId="35" fillId="29" borderId="0" applyNumberFormat="0" applyBorder="0" applyAlignment="0" applyProtection="0"/>
    <xf numFmtId="0" fontId="35" fillId="29" borderId="0" applyNumberFormat="0" applyBorder="0" applyAlignment="0" applyProtection="0"/>
    <xf numFmtId="0" fontId="36" fillId="29" borderId="0" applyNumberFormat="0" applyBorder="0" applyAlignment="0" applyProtection="0"/>
    <xf numFmtId="0" fontId="36"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37" fillId="70" borderId="0" applyNumberFormat="0" applyBorder="0" applyAlignment="0" applyProtection="0"/>
    <xf numFmtId="0" fontId="37" fillId="70"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12" fillId="5" borderId="6" applyNumberFormat="0" applyAlignment="0" applyProtection="0"/>
    <xf numFmtId="0" fontId="53" fillId="5" borderId="6" applyNumberFormat="0" applyAlignment="0" applyProtection="0"/>
    <xf numFmtId="0" fontId="53" fillId="5" borderId="6" applyNumberFormat="0" applyAlignment="0" applyProtection="0"/>
    <xf numFmtId="0" fontId="54" fillId="5" borderId="6" applyNumberFormat="0" applyAlignment="0" applyProtection="0"/>
    <xf numFmtId="0" fontId="54" fillId="5" borderId="6" applyNumberFormat="0" applyAlignment="0" applyProtection="0"/>
    <xf numFmtId="0" fontId="12" fillId="5" borderId="6" applyNumberFormat="0" applyAlignment="0" applyProtection="0"/>
    <xf numFmtId="0" fontId="12" fillId="5" borderId="6"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12" fillId="5" borderId="6" applyNumberFormat="0" applyAlignment="0" applyProtection="0"/>
    <xf numFmtId="0" fontId="12" fillId="5" borderId="6"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12" fillId="5" borderId="6" applyNumberFormat="0" applyAlignment="0" applyProtection="0"/>
    <xf numFmtId="0" fontId="12" fillId="5" borderId="6"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12" fillId="5" borderId="6"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13" fillId="6" borderId="7" applyNumberFormat="0" applyAlignment="0" applyProtection="0"/>
    <xf numFmtId="0" fontId="57" fillId="6" borderId="7" applyNumberFormat="0" applyAlignment="0" applyProtection="0"/>
    <xf numFmtId="0" fontId="57" fillId="6" borderId="7" applyNumberFormat="0" applyAlignment="0" applyProtection="0"/>
    <xf numFmtId="0" fontId="58" fillId="6" borderId="7" applyNumberFormat="0" applyAlignment="0" applyProtection="0"/>
    <xf numFmtId="0" fontId="58" fillId="6" borderId="7" applyNumberFormat="0" applyAlignment="0" applyProtection="0"/>
    <xf numFmtId="0" fontId="13" fillId="6" borderId="7" applyNumberFormat="0" applyAlignment="0" applyProtection="0"/>
    <xf numFmtId="0" fontId="13" fillId="6" borderId="7"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13" fillId="6" borderId="7" applyNumberFormat="0" applyAlignment="0" applyProtection="0"/>
    <xf numFmtId="0" fontId="13" fillId="6" borderId="7"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13" fillId="6" borderId="7" applyNumberFormat="0" applyAlignment="0" applyProtection="0"/>
    <xf numFmtId="0" fontId="13" fillId="6" borderId="7"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13" fillId="6" borderId="7"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14" fillId="6" borderId="6" applyNumberFormat="0" applyAlignment="0" applyProtection="0"/>
    <xf numFmtId="0" fontId="61" fillId="6" borderId="6" applyNumberFormat="0" applyAlignment="0" applyProtection="0"/>
    <xf numFmtId="0" fontId="61" fillId="6" borderId="6" applyNumberFormat="0" applyAlignment="0" applyProtection="0"/>
    <xf numFmtId="0" fontId="62" fillId="6" borderId="6" applyNumberFormat="0" applyAlignment="0" applyProtection="0"/>
    <xf numFmtId="0" fontId="62" fillId="6" borderId="6" applyNumberFormat="0" applyAlignment="0" applyProtection="0"/>
    <xf numFmtId="0" fontId="14" fillId="6" borderId="6" applyNumberFormat="0" applyAlignment="0" applyProtection="0"/>
    <xf numFmtId="0" fontId="14" fillId="6" borderId="6"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14" fillId="6" borderId="6" applyNumberFormat="0" applyAlignment="0" applyProtection="0"/>
    <xf numFmtId="0" fontId="14" fillId="6" borderId="6"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14" fillId="6" borderId="6" applyNumberFormat="0" applyAlignment="0" applyProtection="0"/>
    <xf numFmtId="0" fontId="14" fillId="6" borderId="6"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14" fillId="6" borderId="6"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64" fillId="0" borderId="0" applyNumberFormat="0" applyFill="0" applyBorder="0" applyAlignment="0" applyProtection="0">
      <alignment vertical="top"/>
      <protection locked="0"/>
    </xf>
    <xf numFmtId="0" fontId="65" fillId="0" borderId="0" applyNumberFormat="0" applyFill="0" applyBorder="0" applyAlignment="0" applyProtection="0"/>
    <xf numFmtId="44" fontId="25" fillId="0" borderId="0" applyFont="0" applyFill="0" applyBorder="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6" fillId="0" borderId="20" applyNumberFormat="0" applyFill="0" applyAlignment="0" applyProtection="0"/>
    <xf numFmtId="0" fontId="66" fillId="0" borderId="20" applyNumberFormat="0" applyFill="0" applyAlignment="0" applyProtection="0"/>
    <xf numFmtId="0" fontId="6" fillId="0" borderId="3" applyNumberFormat="0" applyFill="0" applyAlignment="0" applyProtection="0"/>
    <xf numFmtId="0" fontId="67" fillId="0" borderId="3" applyNumberFormat="0" applyFill="0" applyAlignment="0" applyProtection="0"/>
    <xf numFmtId="0" fontId="67" fillId="0" borderId="3" applyNumberFormat="0" applyFill="0" applyAlignment="0" applyProtection="0"/>
    <xf numFmtId="0" fontId="68" fillId="0" borderId="3" applyNumberFormat="0" applyFill="0" applyAlignment="0" applyProtection="0"/>
    <xf numFmtId="0" fontId="68"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9" fillId="0" borderId="20" applyNumberFormat="0" applyFill="0" applyAlignment="0" applyProtection="0"/>
    <xf numFmtId="0" fontId="69" fillId="0" borderId="20"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0" fillId="0" borderId="21" applyNumberFormat="0" applyFill="0" applyAlignment="0" applyProtection="0"/>
    <xf numFmtId="0" fontId="70" fillId="0" borderId="21" applyNumberFormat="0" applyFill="0" applyAlignment="0" applyProtection="0"/>
    <xf numFmtId="0" fontId="7" fillId="0" borderId="4" applyNumberFormat="0" applyFill="0" applyAlignment="0" applyProtection="0"/>
    <xf numFmtId="0" fontId="71" fillId="0" borderId="4" applyNumberFormat="0" applyFill="0" applyAlignment="0" applyProtection="0"/>
    <xf numFmtId="0" fontId="71" fillId="0" borderId="4" applyNumberFormat="0" applyFill="0" applyAlignment="0" applyProtection="0"/>
    <xf numFmtId="0" fontId="72" fillId="0" borderId="4" applyNumberFormat="0" applyFill="0" applyAlignment="0" applyProtection="0"/>
    <xf numFmtId="0" fontId="72"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3" fillId="0" borderId="21" applyNumberFormat="0" applyFill="0" applyAlignment="0" applyProtection="0"/>
    <xf numFmtId="0" fontId="73" fillId="0" borderId="21"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74" fillId="0" borderId="22" applyNumberFormat="0" applyFill="0" applyAlignment="0" applyProtection="0"/>
    <xf numFmtId="0" fontId="74" fillId="0" borderId="22" applyNumberFormat="0" applyFill="0" applyAlignment="0" applyProtection="0"/>
    <xf numFmtId="0" fontId="8" fillId="0" borderId="5" applyNumberFormat="0" applyFill="0" applyAlignment="0" applyProtection="0"/>
    <xf numFmtId="0" fontId="75" fillId="0" borderId="5" applyNumberFormat="0" applyFill="0" applyAlignment="0" applyProtection="0"/>
    <xf numFmtId="0" fontId="75" fillId="0" borderId="5" applyNumberFormat="0" applyFill="0" applyAlignment="0" applyProtection="0"/>
    <xf numFmtId="0" fontId="76" fillId="0" borderId="5" applyNumberFormat="0" applyFill="0" applyAlignment="0" applyProtection="0"/>
    <xf numFmtId="0" fontId="76"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77" fillId="0" borderId="22" applyNumberFormat="0" applyFill="0" applyAlignment="0" applyProtection="0"/>
    <xf numFmtId="0" fontId="77" fillId="0" borderId="22"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8"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19" fillId="0" borderId="11" applyNumberFormat="0" applyFill="0" applyAlignment="0" applyProtection="0"/>
    <xf numFmtId="0" fontId="79" fillId="0" borderId="11" applyNumberFormat="0" applyFill="0" applyAlignment="0" applyProtection="0"/>
    <xf numFmtId="0" fontId="79" fillId="0" borderId="11" applyNumberFormat="0" applyFill="0" applyAlignment="0" applyProtection="0"/>
    <xf numFmtId="0" fontId="80" fillId="0" borderId="11" applyNumberFormat="0" applyFill="0" applyAlignment="0" applyProtection="0"/>
    <xf numFmtId="0" fontId="80"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19" fillId="0" borderId="11"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82" fillId="86" borderId="24" applyNumberFormat="0" applyAlignment="0" applyProtection="0"/>
    <xf numFmtId="0" fontId="82" fillId="86" borderId="24" applyNumberFormat="0" applyAlignment="0" applyProtection="0"/>
    <xf numFmtId="0" fontId="16" fillId="7" borderId="9" applyNumberFormat="0" applyAlignment="0" applyProtection="0"/>
    <xf numFmtId="0" fontId="83" fillId="7" borderId="9" applyNumberFormat="0" applyAlignment="0" applyProtection="0"/>
    <xf numFmtId="0" fontId="83" fillId="7" borderId="9" applyNumberFormat="0" applyAlignment="0" applyProtection="0"/>
    <xf numFmtId="0" fontId="84" fillId="7" borderId="9" applyNumberFormat="0" applyAlignment="0" applyProtection="0"/>
    <xf numFmtId="0" fontId="84" fillId="7" borderId="9" applyNumberFormat="0" applyAlignment="0" applyProtection="0"/>
    <xf numFmtId="0" fontId="16" fillId="7" borderId="9" applyNumberFormat="0" applyAlignment="0" applyProtection="0"/>
    <xf numFmtId="0" fontId="16" fillId="7" borderId="9" applyNumberFormat="0" applyAlignment="0" applyProtection="0"/>
    <xf numFmtId="0" fontId="85" fillId="86" borderId="24" applyNumberFormat="0" applyAlignment="0" applyProtection="0"/>
    <xf numFmtId="0" fontId="85" fillId="86" borderId="24"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88" fillId="66" borderId="0" applyNumberFormat="0" applyBorder="0" applyAlignment="0" applyProtection="0"/>
    <xf numFmtId="0" fontId="88" fillId="66" borderId="0" applyNumberFormat="0" applyBorder="0" applyAlignment="0" applyProtection="0"/>
    <xf numFmtId="0" fontId="11" fillId="4" borderId="0" applyNumberFormat="0" applyBorder="0" applyAlignment="0" applyProtection="0"/>
    <xf numFmtId="0" fontId="89" fillId="4" borderId="0" applyNumberFormat="0" applyBorder="0" applyAlignment="0" applyProtection="0"/>
    <xf numFmtId="0" fontId="89" fillId="4" borderId="0" applyNumberFormat="0" applyBorder="0" applyAlignment="0" applyProtection="0"/>
    <xf numFmtId="0" fontId="90" fillId="4" borderId="0" applyNumberFormat="0" applyBorder="0" applyAlignment="0" applyProtection="0"/>
    <xf numFmtId="0" fontId="90"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91" fillId="66" borderId="0" applyNumberFormat="0" applyBorder="0" applyAlignment="0" applyProtection="0"/>
    <xf numFmtId="0" fontId="91" fillId="66"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25" fillId="0" borderId="0"/>
    <xf numFmtId="0" fontId="25" fillId="0" borderId="0"/>
    <xf numFmtId="0" fontId="25" fillId="0" borderId="0"/>
    <xf numFmtId="0" fontId="23" fillId="0" borderId="0"/>
    <xf numFmtId="0" fontId="1" fillId="0" borderId="0"/>
    <xf numFmtId="0" fontId="1" fillId="0" borderId="0"/>
    <xf numFmtId="0" fontId="24" fillId="0" borderId="0"/>
    <xf numFmtId="0" fontId="24" fillId="0" borderId="0"/>
    <xf numFmtId="0" fontId="25" fillId="0" borderId="0"/>
    <xf numFmtId="0" fontId="23" fillId="0" borderId="0"/>
    <xf numFmtId="0" fontId="1" fillId="0" borderId="0"/>
    <xf numFmtId="0" fontId="1" fillId="0" borderId="0"/>
    <xf numFmtId="0" fontId="4" fillId="0" borderId="0"/>
    <xf numFmtId="0" fontId="4" fillId="0" borderId="0"/>
    <xf numFmtId="0" fontId="23" fillId="0" borderId="0"/>
    <xf numFmtId="0" fontId="25" fillId="0" borderId="0"/>
    <xf numFmtId="0" fontId="1" fillId="0" borderId="0"/>
    <xf numFmtId="0" fontId="1" fillId="0" borderId="0"/>
    <xf numFmtId="0" fontId="25" fillId="0" borderId="0"/>
    <xf numFmtId="0" fontId="25" fillId="0" borderId="0"/>
    <xf numFmtId="0" fontId="25" fillId="0" borderId="0"/>
    <xf numFmtId="0" fontId="24" fillId="0" borderId="0"/>
    <xf numFmtId="0" fontId="25" fillId="0" borderId="0"/>
    <xf numFmtId="0" fontId="4" fillId="0" borderId="0"/>
    <xf numFmtId="0" fontId="1" fillId="0" borderId="0"/>
    <xf numFmtId="0" fontId="1" fillId="0" borderId="0"/>
    <xf numFmtId="0" fontId="1" fillId="0" borderId="0"/>
    <xf numFmtId="0" fontId="1"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25" fillId="0" borderId="0"/>
    <xf numFmtId="0" fontId="1" fillId="0" borderId="0"/>
    <xf numFmtId="0" fontId="1" fillId="0" borderId="0"/>
    <xf numFmtId="0" fontId="25" fillId="0" borderId="0"/>
    <xf numFmtId="0" fontId="25" fillId="0" borderId="0"/>
    <xf numFmtId="0" fontId="23" fillId="0" borderId="0"/>
    <xf numFmtId="0" fontId="1" fillId="0" borderId="0"/>
    <xf numFmtId="0" fontId="1" fillId="0" borderId="0"/>
    <xf numFmtId="0" fontId="23" fillId="0" borderId="0"/>
    <xf numFmtId="0" fontId="23" fillId="0" borderId="0"/>
    <xf numFmtId="0" fontId="23" fillId="0" borderId="0"/>
    <xf numFmtId="0" fontId="1" fillId="0" borderId="0"/>
    <xf numFmtId="0" fontId="1" fillId="0" borderId="0"/>
    <xf numFmtId="0" fontId="23" fillId="0" borderId="0"/>
    <xf numFmtId="0" fontId="23" fillId="0" borderId="0"/>
    <xf numFmtId="0" fontId="1" fillId="0" borderId="0"/>
    <xf numFmtId="0" fontId="25" fillId="0" borderId="0" applyNumberFormat="0" applyFill="0" applyBorder="0" applyAlignment="0" applyProtection="0"/>
    <xf numFmtId="0" fontId="1" fillId="0" borderId="0"/>
    <xf numFmtId="0" fontId="25" fillId="0" borderId="0"/>
    <xf numFmtId="0" fontId="1" fillId="0" borderId="0"/>
    <xf numFmtId="0" fontId="1" fillId="0" borderId="0"/>
    <xf numFmtId="0" fontId="4" fillId="0" borderId="0"/>
    <xf numFmtId="0" fontId="4" fillId="0" borderId="0"/>
    <xf numFmtId="0" fontId="23" fillId="0" borderId="0"/>
    <xf numFmtId="0" fontId="23" fillId="0" borderId="0"/>
    <xf numFmtId="0" fontId="23" fillId="0" borderId="0"/>
    <xf numFmtId="0" fontId="23" fillId="0" borderId="0"/>
    <xf numFmtId="0" fontId="92" fillId="0" borderId="0"/>
    <xf numFmtId="0" fontId="23" fillId="0" borderId="0" applyNumberFormat="0" applyFont="0" applyFill="0" applyBorder="0" applyAlignment="0" applyProtection="0">
      <alignment vertical="top"/>
    </xf>
    <xf numFmtId="0" fontId="24" fillId="0" borderId="0"/>
    <xf numFmtId="0" fontId="25" fillId="0" borderId="0"/>
    <xf numFmtId="0" fontId="23" fillId="0" borderId="0" applyNumberFormat="0" applyFont="0" applyFill="0" applyBorder="0" applyAlignment="0" applyProtection="0">
      <alignment vertical="top"/>
    </xf>
    <xf numFmtId="0" fontId="23" fillId="0" borderId="0"/>
    <xf numFmtId="0" fontId="23" fillId="0" borderId="0"/>
    <xf numFmtId="0" fontId="1" fillId="0" borderId="0"/>
    <xf numFmtId="0" fontId="92" fillId="0" borderId="0"/>
    <xf numFmtId="0" fontId="44" fillId="0" borderId="0"/>
    <xf numFmtId="0" fontId="44" fillId="0" borderId="0"/>
    <xf numFmtId="0" fontId="44" fillId="0" borderId="0"/>
    <xf numFmtId="0" fontId="1" fillId="0" borderId="0"/>
    <xf numFmtId="0" fontId="1" fillId="0" borderId="0"/>
    <xf numFmtId="0" fontId="23" fillId="0" borderId="0" applyNumberFormat="0" applyFont="0" applyFill="0" applyBorder="0" applyAlignment="0" applyProtection="0">
      <alignment vertical="top"/>
    </xf>
    <xf numFmtId="0" fontId="25" fillId="0" borderId="0"/>
    <xf numFmtId="0" fontId="23" fillId="0" borderId="0" applyNumberFormat="0" applyFont="0" applyFill="0" applyBorder="0" applyAlignment="0" applyProtection="0">
      <alignment vertical="top"/>
    </xf>
    <xf numFmtId="0" fontId="25" fillId="0" borderId="0"/>
    <xf numFmtId="0" fontId="1" fillId="0" borderId="0"/>
    <xf numFmtId="0" fontId="92" fillId="0" borderId="0"/>
    <xf numFmtId="0" fontId="93" fillId="0" borderId="0"/>
    <xf numFmtId="0" fontId="23" fillId="0" borderId="0"/>
    <xf numFmtId="0" fontId="23" fillId="0" borderId="0"/>
    <xf numFmtId="0" fontId="23" fillId="0" borderId="0"/>
    <xf numFmtId="0" fontId="94" fillId="0" borderId="0"/>
    <xf numFmtId="0" fontId="92" fillId="0" borderId="0"/>
    <xf numFmtId="0" fontId="1" fillId="0" borderId="0"/>
    <xf numFmtId="0" fontId="33" fillId="0" borderId="0"/>
    <xf numFmtId="0" fontId="23" fillId="0" borderId="0"/>
    <xf numFmtId="0" fontId="1" fillId="0" borderId="0"/>
    <xf numFmtId="0" fontId="1" fillId="0" borderId="0"/>
    <xf numFmtId="0" fontId="23" fillId="0" borderId="0"/>
    <xf numFmtId="0" fontId="23" fillId="0" borderId="0" applyNumberFormat="0" applyFont="0" applyFill="0" applyBorder="0" applyAlignment="0" applyProtection="0">
      <alignment vertical="top"/>
    </xf>
    <xf numFmtId="0" fontId="1" fillId="0" borderId="0"/>
    <xf numFmtId="0" fontId="1" fillId="0" borderId="0"/>
    <xf numFmtId="0" fontId="25" fillId="0" borderId="0"/>
    <xf numFmtId="0" fontId="25" fillId="0" borderId="0"/>
    <xf numFmtId="0" fontId="41" fillId="0" borderId="0">
      <alignment vertical="top"/>
    </xf>
    <xf numFmtId="0" fontId="24" fillId="0" borderId="0"/>
    <xf numFmtId="0" fontId="24" fillId="0" borderId="0"/>
    <xf numFmtId="0" fontId="4" fillId="0" borderId="0"/>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3" fillId="0" borderId="0"/>
    <xf numFmtId="0" fontId="32" fillId="0" borderId="0"/>
    <xf numFmtId="0" fontId="23" fillId="0" borderId="0"/>
    <xf numFmtId="0" fontId="23" fillId="0" borderId="0"/>
    <xf numFmtId="0" fontId="24" fillId="0" borderId="0"/>
    <xf numFmtId="0" fontId="23" fillId="0" borderId="0"/>
    <xf numFmtId="0" fontId="23" fillId="0" borderId="0"/>
    <xf numFmtId="0" fontId="23" fillId="0" borderId="0"/>
    <xf numFmtId="0" fontId="23" fillId="0" borderId="0"/>
    <xf numFmtId="0" fontId="23" fillId="0" borderId="0"/>
    <xf numFmtId="0" fontId="32" fillId="0" borderId="0"/>
    <xf numFmtId="0" fontId="23" fillId="0" borderId="0"/>
    <xf numFmtId="0" fontId="23" fillId="0" borderId="0"/>
    <xf numFmtId="0" fontId="23" fillId="0" borderId="0"/>
    <xf numFmtId="0" fontId="23" fillId="0" borderId="0"/>
    <xf numFmtId="0" fontId="23" fillId="0" borderId="0"/>
    <xf numFmtId="0" fontId="32" fillId="0" borderId="0"/>
    <xf numFmtId="0" fontId="32" fillId="0" borderId="0"/>
    <xf numFmtId="0" fontId="32" fillId="0" borderId="0"/>
    <xf numFmtId="0" fontId="24" fillId="0" borderId="0"/>
    <xf numFmtId="0" fontId="32" fillId="0" borderId="0"/>
    <xf numFmtId="0" fontId="23" fillId="0" borderId="0"/>
    <xf numFmtId="0" fontId="25" fillId="0" borderId="0"/>
    <xf numFmtId="0" fontId="92" fillId="0" borderId="0"/>
    <xf numFmtId="0" fontId="1" fillId="0" borderId="0"/>
    <xf numFmtId="0" fontId="1" fillId="0" borderId="0"/>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5" fillId="0" borderId="0"/>
    <xf numFmtId="0" fontId="25" fillId="0" borderId="0"/>
    <xf numFmtId="0" fontId="25" fillId="0" borderId="0"/>
    <xf numFmtId="0" fontId="92" fillId="0" borderId="0"/>
    <xf numFmtId="0" fontId="95" fillId="0" borderId="0"/>
    <xf numFmtId="0" fontId="92" fillId="0" borderId="0"/>
    <xf numFmtId="0" fontId="25" fillId="0" borderId="0"/>
    <xf numFmtId="0" fontId="24" fillId="0" borderId="0"/>
    <xf numFmtId="0" fontId="23" fillId="0" borderId="0"/>
    <xf numFmtId="0" fontId="23" fillId="0" borderId="0"/>
    <xf numFmtId="0" fontId="4" fillId="0" borderId="0"/>
    <xf numFmtId="0" fontId="23" fillId="0" borderId="0"/>
    <xf numFmtId="0" fontId="94" fillId="0" borderId="0"/>
    <xf numFmtId="0" fontId="25" fillId="0" borderId="0"/>
    <xf numFmtId="0" fontId="23" fillId="0" borderId="0"/>
    <xf numFmtId="0" fontId="23" fillId="0" borderId="0"/>
    <xf numFmtId="0" fontId="23"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24" fillId="0" borderId="0"/>
    <xf numFmtId="0" fontId="32" fillId="0" borderId="0"/>
    <xf numFmtId="0" fontId="24" fillId="0" borderId="0"/>
    <xf numFmtId="0" fontId="23" fillId="0" borderId="0"/>
    <xf numFmtId="0" fontId="25" fillId="0" borderId="0"/>
    <xf numFmtId="0" fontId="1" fillId="0" borderId="0"/>
    <xf numFmtId="0" fontId="1" fillId="0" borderId="0"/>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4" fillId="0" borderId="0"/>
    <xf numFmtId="0" fontId="4" fillId="0" borderId="0"/>
    <xf numFmtId="0" fontId="4" fillId="0" borderId="0"/>
    <xf numFmtId="0" fontId="23" fillId="0" borderId="0"/>
    <xf numFmtId="0" fontId="1" fillId="0" borderId="0"/>
    <xf numFmtId="0" fontId="23" fillId="0" borderId="0"/>
    <xf numFmtId="0" fontId="23" fillId="0" borderId="0"/>
    <xf numFmtId="0" fontId="23" fillId="0" borderId="0"/>
    <xf numFmtId="0" fontId="4" fillId="0" borderId="0"/>
    <xf numFmtId="0" fontId="25" fillId="0" borderId="0"/>
    <xf numFmtId="0" fontId="23" fillId="0" borderId="0"/>
    <xf numFmtId="0" fontId="24" fillId="0" borderId="0"/>
    <xf numFmtId="0" fontId="25" fillId="0" borderId="0"/>
    <xf numFmtId="0" fontId="1" fillId="0" borderId="0"/>
    <xf numFmtId="0" fontId="1" fillId="0" borderId="0"/>
    <xf numFmtId="0" fontId="25" fillId="0" borderId="0"/>
    <xf numFmtId="0" fontId="25" fillId="0" borderId="0"/>
    <xf numFmtId="0" fontId="1" fillId="0" borderId="0"/>
    <xf numFmtId="0" fontId="1" fillId="0" borderId="0"/>
    <xf numFmtId="0" fontId="1" fillId="0" borderId="0"/>
    <xf numFmtId="0" fontId="25" fillId="0" borderId="0"/>
    <xf numFmtId="0" fontId="25" fillId="0" borderId="0"/>
    <xf numFmtId="0" fontId="96" fillId="87" borderId="0"/>
    <xf numFmtId="0" fontId="96" fillId="87" borderId="0"/>
    <xf numFmtId="0" fontId="96" fillId="87" borderId="0"/>
    <xf numFmtId="0" fontId="23" fillId="0" borderId="0"/>
    <xf numFmtId="0" fontId="25" fillId="0" borderId="0"/>
    <xf numFmtId="0" fontId="25" fillId="0" borderId="0"/>
    <xf numFmtId="0" fontId="25" fillId="0" borderId="0"/>
    <xf numFmtId="0" fontId="23" fillId="0" borderId="0"/>
    <xf numFmtId="0" fontId="25" fillId="0" borderId="0"/>
    <xf numFmtId="0" fontId="25" fillId="0" borderId="0"/>
    <xf numFmtId="0" fontId="25" fillId="0" borderId="0"/>
    <xf numFmtId="0" fontId="23" fillId="0" borderId="0"/>
    <xf numFmtId="0" fontId="25" fillId="0" borderId="0"/>
    <xf numFmtId="0" fontId="25" fillId="0" borderId="0"/>
    <xf numFmtId="0" fontId="25" fillId="0" borderId="0"/>
    <xf numFmtId="0" fontId="23" fillId="0" borderId="0"/>
    <xf numFmtId="0" fontId="1" fillId="0" borderId="0"/>
    <xf numFmtId="0" fontId="32" fillId="0" borderId="0"/>
    <xf numFmtId="0" fontId="25" fillId="0" borderId="0"/>
    <xf numFmtId="0" fontId="25" fillId="0" borderId="0"/>
    <xf numFmtId="0" fontId="25" fillId="0" borderId="0"/>
    <xf numFmtId="0" fontId="23" fillId="0" borderId="0" applyNumberFormat="0" applyFont="0" applyFill="0" applyBorder="0" applyAlignment="0" applyProtection="0">
      <alignment vertical="top"/>
    </xf>
    <xf numFmtId="0" fontId="23" fillId="0" borderId="0"/>
    <xf numFmtId="0" fontId="23" fillId="0" borderId="0" applyNumberFormat="0" applyFont="0" applyFill="0" applyBorder="0" applyAlignment="0" applyProtection="0">
      <alignment vertical="top"/>
    </xf>
    <xf numFmtId="0" fontId="23" fillId="0" borderId="0"/>
    <xf numFmtId="0" fontId="4" fillId="0" borderId="0"/>
    <xf numFmtId="0" fontId="23" fillId="0" borderId="0"/>
    <xf numFmtId="0" fontId="25" fillId="0" borderId="0"/>
    <xf numFmtId="0" fontId="25" fillId="0" borderId="0"/>
    <xf numFmtId="0" fontId="25" fillId="0" borderId="0"/>
    <xf numFmtId="0" fontId="23" fillId="0" borderId="0"/>
    <xf numFmtId="0" fontId="25" fillId="0" borderId="0"/>
    <xf numFmtId="0" fontId="25" fillId="0" borderId="0"/>
    <xf numFmtId="0" fontId="25" fillId="0" borderId="0"/>
    <xf numFmtId="0" fontId="23" fillId="0" borderId="0"/>
    <xf numFmtId="0" fontId="1" fillId="0" borderId="0"/>
    <xf numFmtId="0" fontId="1" fillId="0" borderId="0"/>
    <xf numFmtId="0" fontId="1"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3" fillId="0" borderId="0"/>
    <xf numFmtId="0" fontId="23" fillId="0" borderId="0"/>
    <xf numFmtId="0" fontId="23" fillId="0" borderId="0"/>
    <xf numFmtId="0" fontId="23" fillId="0" borderId="0"/>
    <xf numFmtId="0" fontId="23" fillId="0" borderId="0"/>
    <xf numFmtId="0" fontId="97" fillId="0" borderId="0"/>
    <xf numFmtId="0" fontId="93" fillId="0" borderId="0"/>
    <xf numFmtId="0" fontId="23" fillId="0" borderId="0"/>
    <xf numFmtId="0" fontId="1" fillId="0" borderId="0"/>
    <xf numFmtId="0" fontId="23" fillId="0" borderId="0"/>
    <xf numFmtId="0" fontId="23" fillId="0" borderId="0"/>
    <xf numFmtId="0" fontId="23" fillId="0" borderId="0"/>
    <xf numFmtId="0" fontId="25"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92" fillId="0" borderId="0"/>
    <xf numFmtId="0" fontId="25" fillId="0" borderId="0"/>
    <xf numFmtId="0" fontId="23" fillId="0" borderId="0"/>
    <xf numFmtId="0" fontId="1" fillId="0" borderId="0"/>
    <xf numFmtId="0" fontId="1" fillId="0" borderId="0"/>
    <xf numFmtId="0" fontId="23" fillId="0" borderId="0"/>
    <xf numFmtId="0" fontId="25" fillId="0" borderId="0"/>
    <xf numFmtId="0" fontId="23" fillId="0" borderId="0"/>
    <xf numFmtId="0" fontId="23" fillId="0" borderId="0"/>
    <xf numFmtId="0" fontId="23" fillId="0" borderId="0"/>
    <xf numFmtId="0" fontId="1" fillId="0" borderId="0"/>
    <xf numFmtId="0" fontId="23" fillId="0" borderId="0" applyNumberFormat="0" applyFont="0" applyFill="0" applyBorder="0" applyAlignment="0" applyProtection="0">
      <alignment vertical="top"/>
    </xf>
    <xf numFmtId="0" fontId="1" fillId="0" borderId="0"/>
    <xf numFmtId="0" fontId="1" fillId="0" borderId="0"/>
    <xf numFmtId="0" fontId="23" fillId="0" borderId="0" applyNumberFormat="0" applyFont="0" applyFill="0" applyBorder="0" applyAlignment="0" applyProtection="0">
      <alignment vertical="top"/>
    </xf>
    <xf numFmtId="0" fontId="4" fillId="0" borderId="0"/>
    <xf numFmtId="0" fontId="23" fillId="0" borderId="0"/>
    <xf numFmtId="0" fontId="23" fillId="0" borderId="0" applyNumberFormat="0" applyFont="0" applyFill="0" applyBorder="0" applyAlignment="0" applyProtection="0">
      <alignment vertical="top"/>
    </xf>
    <xf numFmtId="0" fontId="1" fillId="0" borderId="0"/>
    <xf numFmtId="0" fontId="1" fillId="0" borderId="0"/>
    <xf numFmtId="0" fontId="23" fillId="0" borderId="0"/>
    <xf numFmtId="0" fontId="23" fillId="0" borderId="0"/>
    <xf numFmtId="0" fontId="1" fillId="0" borderId="0"/>
    <xf numFmtId="0" fontId="1" fillId="0" borderId="0"/>
    <xf numFmtId="0" fontId="23" fillId="0" borderId="0"/>
    <xf numFmtId="0" fontId="25" fillId="0" borderId="0"/>
    <xf numFmtId="0" fontId="23" fillId="0" borderId="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98" fillId="35" borderId="0" applyNumberFormat="0" applyBorder="0" applyAlignment="0" applyProtection="0"/>
    <xf numFmtId="0" fontId="98" fillId="35" borderId="0" applyNumberFormat="0" applyBorder="0" applyAlignment="0" applyProtection="0"/>
    <xf numFmtId="0" fontId="10" fillId="3" borderId="0" applyNumberFormat="0" applyBorder="0" applyAlignment="0" applyProtection="0"/>
    <xf numFmtId="0" fontId="99" fillId="3" borderId="0" applyNumberFormat="0" applyBorder="0" applyAlignment="0" applyProtection="0"/>
    <xf numFmtId="0" fontId="99" fillId="3" borderId="0" applyNumberFormat="0" applyBorder="0" applyAlignment="0" applyProtection="0"/>
    <xf numFmtId="0" fontId="100" fillId="3" borderId="0" applyNumberFormat="0" applyBorder="0" applyAlignment="0" applyProtection="0"/>
    <xf numFmtId="0" fontId="10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1" fillId="35" borderId="0" applyNumberFormat="0" applyBorder="0" applyAlignment="0" applyProtection="0"/>
    <xf numFmtId="0" fontId="101" fillId="35"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8"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32" fillId="8" borderId="10" applyNumberFormat="0" applyFont="0" applyAlignment="0" applyProtection="0"/>
    <xf numFmtId="0" fontId="1" fillId="8" borderId="10" applyNumberFormat="0" applyFont="0" applyAlignment="0" applyProtection="0"/>
    <xf numFmtId="0" fontId="4" fillId="8" borderId="10" applyNumberFormat="0" applyFont="0" applyAlignment="0" applyProtection="0"/>
    <xf numFmtId="0" fontId="4" fillId="8" borderId="10" applyNumberFormat="0" applyFont="0" applyAlignment="0" applyProtection="0"/>
    <xf numFmtId="0" fontId="33"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33"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33" fillId="80" borderId="25"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1"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9" fontId="25" fillId="0" borderId="0" applyFont="0" applyFill="0" applyBorder="0" applyAlignment="0" applyProtection="0"/>
    <xf numFmtId="9" fontId="106" fillId="0" borderId="0" applyFont="0" applyFill="0" applyBorder="0" applyAlignment="0" applyProtection="0"/>
    <xf numFmtId="9" fontId="23" fillId="0" borderId="0" applyFont="0" applyFill="0" applyBorder="0" applyAlignment="0" applyProtection="0"/>
    <xf numFmtId="9" fontId="25"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3"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33" fillId="0" borderId="0" applyFont="0" applyFill="0" applyBorder="0" applyAlignment="0" applyProtection="0"/>
    <xf numFmtId="9" fontId="106" fillId="0" borderId="0" applyFont="0" applyFill="0" applyBorder="0" applyAlignment="0" applyProtection="0"/>
    <xf numFmtId="9" fontId="25" fillId="0" borderId="0" applyFont="0" applyFill="0" applyBorder="0" applyAlignment="0" applyProtection="0"/>
    <xf numFmtId="9" fontId="32"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95"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33" fillId="0" borderId="0" applyFont="0" applyFill="0" applyBorder="0" applyAlignment="0" applyProtection="0"/>
    <xf numFmtId="9" fontId="25" fillId="0" borderId="0" applyFont="0" applyFill="0" applyBorder="0" applyAlignment="0" applyProtection="0"/>
    <xf numFmtId="9" fontId="24" fillId="0" borderId="0" applyFont="0" applyFill="0" applyBorder="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07" fillId="0" borderId="26" applyNumberFormat="0" applyFill="0" applyAlignment="0" applyProtection="0"/>
    <xf numFmtId="0" fontId="107" fillId="0" borderId="26" applyNumberFormat="0" applyFill="0" applyAlignment="0" applyProtection="0"/>
    <xf numFmtId="0" fontId="15" fillId="0" borderId="8" applyNumberFormat="0" applyFill="0" applyAlignment="0" applyProtection="0"/>
    <xf numFmtId="0" fontId="108" fillId="0" borderId="8" applyNumberFormat="0" applyFill="0" applyAlignment="0" applyProtection="0"/>
    <xf numFmtId="0" fontId="108" fillId="0" borderId="8" applyNumberFormat="0" applyFill="0" applyAlignment="0" applyProtection="0"/>
    <xf numFmtId="0" fontId="109" fillId="0" borderId="8" applyNumberFormat="0" applyFill="0" applyAlignment="0" applyProtection="0"/>
    <xf numFmtId="0" fontId="109"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10" fillId="0" borderId="26" applyNumberFormat="0" applyFill="0" applyAlignment="0" applyProtection="0"/>
    <xf numFmtId="0" fontId="110" fillId="0" borderId="26"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23" fillId="0" borderId="0"/>
    <xf numFmtId="0" fontId="23" fillId="0" borderId="0"/>
    <xf numFmtId="0" fontId="28" fillId="0" borderId="0" applyNumberFormat="0" applyFill="0" applyBorder="0" applyAlignment="0" applyProtection="0"/>
    <xf numFmtId="0" fontId="25" fillId="0" borderId="0" applyNumberFormat="0" applyFill="0" applyBorder="0" applyAlignment="0" applyProtection="0"/>
    <xf numFmtId="0" fontId="23" fillId="0" borderId="0"/>
    <xf numFmtId="0" fontId="26" fillId="0" borderId="0" applyNumberFormat="0" applyFill="0" applyBorder="0" applyAlignment="0" applyProtection="0"/>
    <xf numFmtId="0" fontId="26" fillId="0" borderId="0" applyNumberFormat="0" applyFill="0" applyBorder="0" applyAlignment="0" applyProtection="0"/>
    <xf numFmtId="0" fontId="23" fillId="0" borderId="0"/>
    <xf numFmtId="0" fontId="26" fillId="0" borderId="0" applyNumberFormat="0" applyFill="0" applyBorder="0" applyAlignment="0" applyProtection="0"/>
    <xf numFmtId="0" fontId="23" fillId="0" borderId="0"/>
    <xf numFmtId="0" fontId="23" fillId="0" borderId="0"/>
    <xf numFmtId="0" fontId="23" fillId="0" borderId="0"/>
    <xf numFmtId="0" fontId="28" fillId="0" borderId="0" applyNumberFormat="0" applyFill="0" applyBorder="0" applyAlignment="0" applyProtection="0"/>
    <xf numFmtId="0" fontId="27" fillId="0" borderId="0"/>
    <xf numFmtId="0" fontId="23" fillId="0" borderId="0"/>
    <xf numFmtId="0" fontId="23" fillId="0" borderId="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11" fillId="0" borderId="0" applyNumberFormat="0" applyFill="0" applyBorder="0" applyAlignment="0" applyProtection="0"/>
    <xf numFmtId="0" fontId="111" fillId="0" borderId="0" applyNumberFormat="0" applyFill="0" applyBorder="0" applyAlignment="0" applyProtection="0"/>
    <xf numFmtId="0" fontId="17"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3" fillId="0" borderId="0" applyNumberFormat="0" applyFill="0" applyBorder="0" applyAlignment="0" applyProtection="0"/>
    <xf numFmtId="0" fontId="113"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41" fontId="25" fillId="0" borderId="0" applyFont="0" applyFill="0" applyBorder="0" applyAlignment="0" applyProtection="0"/>
    <xf numFmtId="41"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33" fillId="0" borderId="0" applyFont="0" applyFill="0" applyBorder="0" applyAlignment="0" applyProtection="0"/>
    <xf numFmtId="43" fontId="33" fillId="0" borderId="0" applyFont="0" applyFill="0" applyBorder="0" applyAlignment="0" applyProtection="0"/>
    <xf numFmtId="43" fontId="1" fillId="0" borderId="0" applyFont="0" applyFill="0" applyBorder="0" applyAlignment="0" applyProtection="0"/>
    <xf numFmtId="43" fontId="25" fillId="0" borderId="0" applyFont="0" applyFill="0" applyBorder="0" applyAlignment="0" applyProtection="0"/>
    <xf numFmtId="43" fontId="33" fillId="0" borderId="0" applyFont="0" applyFill="0" applyBorder="0" applyAlignment="0" applyProtection="0"/>
    <xf numFmtId="169" fontId="97"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168" fontId="23" fillId="0" borderId="0" applyFont="0" applyFill="0" applyBorder="0" applyAlignment="0" applyProtection="0"/>
    <xf numFmtId="43" fontId="33" fillId="0" borderId="0" applyFont="0" applyFill="0" applyBorder="0" applyAlignment="0" applyProtection="0"/>
    <xf numFmtId="43" fontId="25" fillId="0" borderId="0" applyFont="0" applyFill="0" applyBorder="0" applyAlignment="0" applyProtection="0"/>
    <xf numFmtId="43" fontId="24" fillId="0" borderId="0" applyFont="0" applyFill="0" applyBorder="0" applyAlignment="0" applyProtection="0"/>
    <xf numFmtId="43" fontId="25" fillId="0" borderId="0" applyFont="0" applyFill="0" applyBorder="0" applyAlignment="0" applyProtection="0"/>
    <xf numFmtId="43" fontId="4" fillId="0" borderId="0" applyFont="0" applyFill="0" applyBorder="0" applyAlignment="0" applyProtection="0"/>
    <xf numFmtId="43" fontId="96" fillId="0" borderId="0" applyFont="0" applyFill="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115" fillId="36" borderId="0" applyNumberFormat="0" applyBorder="0" applyAlignment="0" applyProtection="0"/>
    <xf numFmtId="0" fontId="115" fillId="36" borderId="0" applyNumberFormat="0" applyBorder="0" applyAlignment="0" applyProtection="0"/>
    <xf numFmtId="0" fontId="9" fillId="2" borderId="0" applyNumberFormat="0" applyBorder="0" applyAlignment="0" applyProtection="0"/>
    <xf numFmtId="0" fontId="116" fillId="2" borderId="0" applyNumberFormat="0" applyBorder="0" applyAlignment="0" applyProtection="0"/>
    <xf numFmtId="0" fontId="116" fillId="2" borderId="0" applyNumberFormat="0" applyBorder="0" applyAlignment="0" applyProtection="0"/>
    <xf numFmtId="0" fontId="117" fillId="2" borderId="0" applyNumberFormat="0" applyBorder="0" applyAlignment="0" applyProtection="0"/>
    <xf numFmtId="0" fontId="117"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118" fillId="36" borderId="0" applyNumberFormat="0" applyBorder="0" applyAlignment="0" applyProtection="0"/>
    <xf numFmtId="0" fontId="118" fillId="36"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119" fillId="0" borderId="0"/>
  </cellStyleXfs>
  <cellXfs count="31">
    <xf numFmtId="0" fontId="0" fillId="0" borderId="0" xfId="0"/>
    <xf numFmtId="0" fontId="2" fillId="0" borderId="1" xfId="0" applyNumberFormat="1" applyFont="1" applyFill="1" applyBorder="1" applyAlignment="1" applyProtection="1">
      <alignment horizontal="center" vertical="center" wrapText="1"/>
    </xf>
    <xf numFmtId="2" fontId="2" fillId="0" borderId="1" xfId="0" applyNumberFormat="1" applyFont="1" applyFill="1" applyBorder="1" applyAlignment="1" applyProtection="1">
      <alignment horizontal="center" vertical="center" wrapText="1"/>
    </xf>
    <xf numFmtId="1" fontId="2" fillId="0" borderId="1" xfId="0" applyNumberFormat="1" applyFont="1" applyFill="1" applyBorder="1" applyAlignment="1" applyProtection="1">
      <alignment horizontal="center" vertical="center" wrapText="1"/>
    </xf>
    <xf numFmtId="0" fontId="3" fillId="0" borderId="0" xfId="0" applyFont="1"/>
    <xf numFmtId="0" fontId="3" fillId="0" borderId="2" xfId="0" applyFont="1" applyBorder="1"/>
    <xf numFmtId="49" fontId="3" fillId="0" borderId="2" xfId="0" applyNumberFormat="1" applyFont="1" applyBorder="1" applyAlignment="1"/>
    <xf numFmtId="0" fontId="3" fillId="0" borderId="2" xfId="0" applyNumberFormat="1" applyFont="1" applyBorder="1"/>
    <xf numFmtId="2" fontId="3" fillId="0" borderId="2" xfId="0" applyNumberFormat="1" applyFont="1" applyBorder="1"/>
    <xf numFmtId="1" fontId="3" fillId="0" borderId="2" xfId="0" applyNumberFormat="1" applyFont="1" applyBorder="1"/>
    <xf numFmtId="49" fontId="0" fillId="0" borderId="0" xfId="0" applyNumberFormat="1"/>
    <xf numFmtId="0" fontId="0" fillId="0" borderId="0" xfId="0" applyNumberFormat="1"/>
    <xf numFmtId="0" fontId="3" fillId="0" borderId="0" xfId="0" applyNumberFormat="1" applyFont="1" applyAlignment="1">
      <alignment wrapText="1"/>
    </xf>
    <xf numFmtId="0" fontId="0" fillId="0" borderId="0" xfId="0" applyAlignment="1"/>
    <xf numFmtId="0" fontId="2" fillId="0" borderId="2" xfId="0" applyNumberFormat="1" applyFont="1" applyFill="1" applyBorder="1" applyAlignment="1" applyProtection="1">
      <alignment horizontal="center" vertical="center" wrapText="1"/>
    </xf>
    <xf numFmtId="2" fontId="2" fillId="0" borderId="2" xfId="0" applyNumberFormat="1" applyFont="1" applyFill="1" applyBorder="1" applyAlignment="1" applyProtection="1">
      <alignment horizontal="center" vertical="center" wrapText="1"/>
    </xf>
    <xf numFmtId="1" fontId="2" fillId="0" borderId="2" xfId="0" applyNumberFormat="1" applyFont="1" applyFill="1" applyBorder="1" applyAlignment="1" applyProtection="1">
      <alignment horizontal="center" vertical="center" wrapText="1"/>
    </xf>
    <xf numFmtId="0" fontId="3" fillId="0" borderId="2" xfId="0" applyNumberFormat="1" applyFont="1" applyBorder="1" applyAlignment="1"/>
    <xf numFmtId="0" fontId="3" fillId="0" borderId="0" xfId="0" applyFont="1" applyFill="1"/>
    <xf numFmtId="0" fontId="21" fillId="33" borderId="0" xfId="1" applyFont="1" applyFill="1" applyBorder="1" applyAlignment="1">
      <alignment horizontal="center" wrapText="1"/>
    </xf>
    <xf numFmtId="49" fontId="21" fillId="33" borderId="0" xfId="1" applyNumberFormat="1" applyFont="1" applyFill="1" applyBorder="1" applyAlignment="1">
      <alignment horizontal="center" wrapText="1"/>
    </xf>
    <xf numFmtId="0" fontId="21" fillId="33" borderId="0" xfId="1" applyNumberFormat="1" applyFont="1" applyFill="1" applyBorder="1" applyAlignment="1">
      <alignment horizontal="center" wrapText="1"/>
    </xf>
    <xf numFmtId="0" fontId="1" fillId="0" borderId="0" xfId="1"/>
    <xf numFmtId="0" fontId="22" fillId="0" borderId="0" xfId="1" applyFont="1" applyBorder="1" applyAlignment="1">
      <alignment horizontal="right"/>
    </xf>
    <xf numFmtId="0" fontId="22" fillId="0" borderId="0" xfId="1" applyFont="1" applyBorder="1"/>
    <xf numFmtId="2" fontId="23" fillId="0" borderId="0" xfId="2" applyNumberFormat="1" applyFont="1"/>
    <xf numFmtId="0" fontId="23" fillId="0" borderId="0" xfId="2" applyFont="1"/>
    <xf numFmtId="0" fontId="23" fillId="0" borderId="0" xfId="2" applyNumberFormat="1" applyFont="1"/>
    <xf numFmtId="1" fontId="23" fillId="0" borderId="0" xfId="2" applyNumberFormat="1" applyFont="1"/>
    <xf numFmtId="14" fontId="22" fillId="88" borderId="0" xfId="1" applyNumberFormat="1" applyFont="1" applyFill="1" applyBorder="1" applyAlignment="1">
      <alignment horizontal="right"/>
    </xf>
    <xf numFmtId="0" fontId="22" fillId="88" borderId="0" xfId="1" applyFont="1" applyFill="1" applyBorder="1"/>
  </cellXfs>
  <cellStyles count="2571">
    <cellStyle name="          _x000a__x000a_386grabber=VGA.3GR_x000a__x000a_" xfId="6"/>
    <cellStyle name="          _x000a__x000a_386grabber=VGA.3GR_x000a__x000a_ 2" xfId="7"/>
    <cellStyle name="          _x000a__x000a_386grabber=VGA.3GR_x000a__x000a__Изменение_статуса" xfId="8"/>
    <cellStyle name=" 1" xfId="9"/>
    <cellStyle name=" 1 2" xfId="10"/>
    <cellStyle name=" 1 3" xfId="11"/>
    <cellStyle name=" 1 4" xfId="12"/>
    <cellStyle name=" 1 5" xfId="13"/>
    <cellStyle name="_1" xfId="14"/>
    <cellStyle name="_2" xfId="15"/>
    <cellStyle name="_Curver" xfId="16"/>
    <cellStyle name="_Papstar ротация 4 сент 2007" xfId="17"/>
    <cellStyle name="_rasschety_zavod2_new" xfId="18"/>
    <cellStyle name="_rasschety_zavod2_new 2" xfId="19"/>
    <cellStyle name="_rasschety_zavod2_new 3" xfId="20"/>
    <cellStyle name="_актуальная матрица сетей 31.07.08" xfId="21"/>
    <cellStyle name="_альмин" xfId="22"/>
    <cellStyle name="_ассортимент с разбивкой 2008" xfId="23"/>
    <cellStyle name="_В распродажи 14 10 08" xfId="24"/>
    <cellStyle name="_Геотек - ТН ВЭД (2)" xfId="25"/>
    <cellStyle name="_Данные по Арку" xfId="26"/>
    <cellStyle name="_заказ" xfId="27"/>
    <cellStyle name="_изменения по матрице" xfId="28"/>
    <cellStyle name="_инфо" xfId="29"/>
    <cellStyle name="_Кишка МАГНИТ" xfId="30"/>
    <cellStyle name="_Книга1" xfId="31"/>
    <cellStyle name="_Книга3" xfId="32"/>
    <cellStyle name="_Лист1" xfId="33"/>
    <cellStyle name="_Лист1 2" xfId="34"/>
    <cellStyle name="_Лист1_1" xfId="35"/>
    <cellStyle name="_Лист2" xfId="36"/>
    <cellStyle name="_Лист3" xfId="37"/>
    <cellStyle name="_Лист4" xfId="38"/>
    <cellStyle name="_Лист5" xfId="39"/>
    <cellStyle name="_Логистика - ТН ВЭД (2)" xfId="40"/>
    <cellStyle name="_МАГНИТ" xfId="41"/>
    <cellStyle name="_Матрица СЕТИ" xfId="42"/>
    <cellStyle name="_Матрица СЕТИ ИЮЛЬ 24-07" xfId="43"/>
    <cellStyle name="_Матрица-сети" xfId="44"/>
    <cellStyle name="_Оборотка 2009" xfId="45"/>
    <cellStyle name="_ОБОРОТКА апрель-май" xfId="46"/>
    <cellStyle name="_ож" xfId="47"/>
    <cellStyle name="_ожид" xfId="48"/>
    <cellStyle name="_Окей (матрица)" xfId="49"/>
    <cellStyle name="_Отсутствуют коды" xfId="50"/>
    <cellStyle name="_прод опт" xfId="51"/>
    <cellStyle name="_прод сети" xfId="52"/>
    <cellStyle name="_разбивка на группы" xfId="53"/>
    <cellStyle name="_разм" xfId="54"/>
    <cellStyle name="_РАСЧЕТЫ с заводами Воробьева" xfId="55"/>
    <cellStyle name="_РАСЧЕТЫ с поставщиками общий " xfId="56"/>
    <cellStyle name="_Стекло Арк тнвэд (2)" xfId="57"/>
    <cellStyle name="_Форма изменения статуса артикулов в матрице Curver  26 03 09" xfId="58"/>
    <cellStyle name="_форма на вывод" xfId="59"/>
    <cellStyle name="_Форма на новинки единая подарочный+летний" xfId="60"/>
    <cellStyle name="_Хранение, Китай" xfId="61"/>
    <cellStyle name="0,0_x000d__x000a_NA_x000d__x000a_" xfId="62"/>
    <cellStyle name="0,0_x000d__x000a_NA_x000d__x000a_ 10" xfId="63"/>
    <cellStyle name="0,0_x000d__x000a_NA_x000d__x000a_ 11" xfId="64"/>
    <cellStyle name="0,0_x000d__x000a_NA_x000d__x000a_ 2" xfId="65"/>
    <cellStyle name="0,0_x000d__x000a_NA_x000d__x000a_ 2 2" xfId="66"/>
    <cellStyle name="0,0_x000d__x000a_NA_x000d__x000a_ 2 2 2" xfId="67"/>
    <cellStyle name="0,0_x000d__x000a_NA_x000d__x000a_ 2 2 2 2" xfId="68"/>
    <cellStyle name="0,0_x000d__x000a_NA_x000d__x000a_ 2 2 2 3" xfId="69"/>
    <cellStyle name="0,0_x000d__x000a_NA_x000d__x000a_ 2 2 2 4" xfId="70"/>
    <cellStyle name="0,0_x000d__x000a_NA_x000d__x000a_ 2 2 3" xfId="71"/>
    <cellStyle name="0,0_x000d__x000a_NA_x000d__x000a_ 3" xfId="72"/>
    <cellStyle name="0,0_x000d__x000a_NA_x000d__x000a_ 3 2" xfId="73"/>
    <cellStyle name="0,0_x000d__x000a_NA_x000d__x000a_ 3 2 2" xfId="74"/>
    <cellStyle name="0,0_x000d__x000a_NA_x000d__x000a_ 3 2 3" xfId="75"/>
    <cellStyle name="0,0_x000d__x000a_NA_x000d__x000a_ 3 2 4" xfId="76"/>
    <cellStyle name="0,0_x000d__x000a_NA_x000d__x000a_ 4" xfId="77"/>
    <cellStyle name="0,0_x000d__x000a_NA_x000d__x000a_ 4 2" xfId="78"/>
    <cellStyle name="0,0_x000d__x000a_NA_x000d__x000a_ 5" xfId="79"/>
    <cellStyle name="0,0_x000d__x000a_NA_x000d__x000a_ 6" xfId="80"/>
    <cellStyle name="0,0_x000d__x000a_NA_x000d__x000a_ 7" xfId="81"/>
    <cellStyle name="0,0_x000d__x000a_NA_x000d__x000a_ 7 2" xfId="82"/>
    <cellStyle name="0,0_x000d__x000a_NA_x000d__x000a_ 8" xfId="83"/>
    <cellStyle name="0,0_x000d__x000a_NA_x000d__x000a_ 9" xfId="84"/>
    <cellStyle name="20% - Акцент1 10" xfId="85"/>
    <cellStyle name="20% - Акцент1 10 2" xfId="86"/>
    <cellStyle name="20% - Акцент1 10 2 2" xfId="87"/>
    <cellStyle name="20% - Акцент1 10 3" xfId="88"/>
    <cellStyle name="20% - Акцент1 11" xfId="89"/>
    <cellStyle name="20% - Акцент1 11 2" xfId="90"/>
    <cellStyle name="20% - Акцент1 11 2 2" xfId="91"/>
    <cellStyle name="20% - Акцент1 11 3" xfId="92"/>
    <cellStyle name="20% - Акцент1 12" xfId="93"/>
    <cellStyle name="20% - Акцент1 12 2" xfId="94"/>
    <cellStyle name="20% - Акцент1 12 2 2" xfId="95"/>
    <cellStyle name="20% - Акцент1 12 3" xfId="96"/>
    <cellStyle name="20% - Акцент1 13" xfId="97"/>
    <cellStyle name="20% - Акцент1 13 2" xfId="98"/>
    <cellStyle name="20% - Акцент1 13 2 2" xfId="99"/>
    <cellStyle name="20% - Акцент1 13 3" xfId="100"/>
    <cellStyle name="20% - Акцент1 14" xfId="101"/>
    <cellStyle name="20% - Акцент1 14 2" xfId="102"/>
    <cellStyle name="20% - Акцент1 14 2 2" xfId="103"/>
    <cellStyle name="20% - Акцент1 14 3" xfId="104"/>
    <cellStyle name="20% - Акцент1 15" xfId="105"/>
    <cellStyle name="20% - Акцент1 15 2" xfId="106"/>
    <cellStyle name="20% - Акцент1 16" xfId="107"/>
    <cellStyle name="20% - Акцент1 17" xfId="108"/>
    <cellStyle name="20% - Акцент1 18" xfId="109"/>
    <cellStyle name="20% - Акцент1 19" xfId="110"/>
    <cellStyle name="20% - Акцент1 2" xfId="111"/>
    <cellStyle name="20% - Акцент1 2 2" xfId="112"/>
    <cellStyle name="20% - Акцент1 2 2 2" xfId="113"/>
    <cellStyle name="20% - Акцент1 2 2 3" xfId="114"/>
    <cellStyle name="20% - Акцент1 2 3" xfId="115"/>
    <cellStyle name="20% - Акцент1 2 4" xfId="116"/>
    <cellStyle name="20% - Акцент1 2 4 2" xfId="117"/>
    <cellStyle name="20% - Акцент1 2 5" xfId="118"/>
    <cellStyle name="20% - Акцент1 20" xfId="119"/>
    <cellStyle name="20% - Акцент1 21" xfId="120"/>
    <cellStyle name="20% - Акцент1 3" xfId="121"/>
    <cellStyle name="20% - Акцент1 3 2" xfId="122"/>
    <cellStyle name="20% - Акцент1 3 3" xfId="123"/>
    <cellStyle name="20% - Акцент1 3 3 2" xfId="124"/>
    <cellStyle name="20% - Акцент1 3 4" xfId="125"/>
    <cellStyle name="20% - Акцент1 3 4 2" xfId="126"/>
    <cellStyle name="20% - Акцент1 4" xfId="127"/>
    <cellStyle name="20% - Акцент1 4 2" xfId="128"/>
    <cellStyle name="20% - Акцент1 4 2 2" xfId="129"/>
    <cellStyle name="20% - Акцент1 4 3" xfId="130"/>
    <cellStyle name="20% - Акцент1 5" xfId="131"/>
    <cellStyle name="20% - Акцент1 5 2" xfId="132"/>
    <cellStyle name="20% - Акцент1 5 2 2" xfId="133"/>
    <cellStyle name="20% - Акцент1 5 3" xfId="134"/>
    <cellStyle name="20% - Акцент1 6" xfId="135"/>
    <cellStyle name="20% - Акцент1 6 2" xfId="136"/>
    <cellStyle name="20% - Акцент1 6 2 2" xfId="137"/>
    <cellStyle name="20% - Акцент1 6 3" xfId="138"/>
    <cellStyle name="20% - Акцент1 7" xfId="139"/>
    <cellStyle name="20% - Акцент1 7 2" xfId="140"/>
    <cellStyle name="20% - Акцент1 7 2 2" xfId="141"/>
    <cellStyle name="20% - Акцент1 7 3" xfId="142"/>
    <cellStyle name="20% - Акцент1 8" xfId="143"/>
    <cellStyle name="20% - Акцент1 8 2" xfId="144"/>
    <cellStyle name="20% - Акцент1 8 2 2" xfId="145"/>
    <cellStyle name="20% - Акцент1 8 3" xfId="146"/>
    <cellStyle name="20% - Акцент1 9" xfId="147"/>
    <cellStyle name="20% - Акцент1 9 2" xfId="148"/>
    <cellStyle name="20% - Акцент1 9 2 2" xfId="149"/>
    <cellStyle name="20% - Акцент1 9 3" xfId="150"/>
    <cellStyle name="20% - Акцент2 10" xfId="151"/>
    <cellStyle name="20% - Акцент2 10 2" xfId="152"/>
    <cellStyle name="20% - Акцент2 10 2 2" xfId="153"/>
    <cellStyle name="20% - Акцент2 10 3" xfId="154"/>
    <cellStyle name="20% - Акцент2 11" xfId="155"/>
    <cellStyle name="20% - Акцент2 11 2" xfId="156"/>
    <cellStyle name="20% - Акцент2 11 2 2" xfId="157"/>
    <cellStyle name="20% - Акцент2 11 3" xfId="158"/>
    <cellStyle name="20% - Акцент2 12" xfId="159"/>
    <cellStyle name="20% - Акцент2 12 2" xfId="160"/>
    <cellStyle name="20% - Акцент2 12 2 2" xfId="161"/>
    <cellStyle name="20% - Акцент2 12 3" xfId="162"/>
    <cellStyle name="20% - Акцент2 13" xfId="163"/>
    <cellStyle name="20% - Акцент2 13 2" xfId="164"/>
    <cellStyle name="20% - Акцент2 13 2 2" xfId="165"/>
    <cellStyle name="20% - Акцент2 13 3" xfId="166"/>
    <cellStyle name="20% - Акцент2 14" xfId="167"/>
    <cellStyle name="20% - Акцент2 14 2" xfId="168"/>
    <cellStyle name="20% - Акцент2 14 2 2" xfId="169"/>
    <cellStyle name="20% - Акцент2 14 3" xfId="170"/>
    <cellStyle name="20% - Акцент2 15" xfId="171"/>
    <cellStyle name="20% - Акцент2 15 2" xfId="172"/>
    <cellStyle name="20% - Акцент2 16" xfId="173"/>
    <cellStyle name="20% - Акцент2 17" xfId="174"/>
    <cellStyle name="20% - Акцент2 18" xfId="175"/>
    <cellStyle name="20% - Акцент2 19" xfId="176"/>
    <cellStyle name="20% - Акцент2 2" xfId="177"/>
    <cellStyle name="20% - Акцент2 2 2" xfId="178"/>
    <cellStyle name="20% - Акцент2 2 2 2" xfId="179"/>
    <cellStyle name="20% - Акцент2 2 2 3" xfId="180"/>
    <cellStyle name="20% - Акцент2 2 3" xfId="181"/>
    <cellStyle name="20% - Акцент2 2 4" xfId="182"/>
    <cellStyle name="20% - Акцент2 2 4 2" xfId="183"/>
    <cellStyle name="20% - Акцент2 2 5" xfId="184"/>
    <cellStyle name="20% - Акцент2 20" xfId="185"/>
    <cellStyle name="20% - Акцент2 21" xfId="186"/>
    <cellStyle name="20% - Акцент2 3" xfId="187"/>
    <cellStyle name="20% - Акцент2 3 2" xfId="188"/>
    <cellStyle name="20% - Акцент2 3 3" xfId="189"/>
    <cellStyle name="20% - Акцент2 3 3 2" xfId="190"/>
    <cellStyle name="20% - Акцент2 3 4" xfId="191"/>
    <cellStyle name="20% - Акцент2 3 4 2" xfId="192"/>
    <cellStyle name="20% - Акцент2 4" xfId="193"/>
    <cellStyle name="20% - Акцент2 4 2" xfId="194"/>
    <cellStyle name="20% - Акцент2 4 2 2" xfId="195"/>
    <cellStyle name="20% - Акцент2 4 3" xfId="196"/>
    <cellStyle name="20% - Акцент2 5" xfId="197"/>
    <cellStyle name="20% - Акцент2 5 2" xfId="198"/>
    <cellStyle name="20% - Акцент2 5 2 2" xfId="199"/>
    <cellStyle name="20% - Акцент2 5 3" xfId="200"/>
    <cellStyle name="20% - Акцент2 6" xfId="201"/>
    <cellStyle name="20% - Акцент2 6 2" xfId="202"/>
    <cellStyle name="20% - Акцент2 6 2 2" xfId="203"/>
    <cellStyle name="20% - Акцент2 6 3" xfId="204"/>
    <cellStyle name="20% - Акцент2 7" xfId="205"/>
    <cellStyle name="20% - Акцент2 7 2" xfId="206"/>
    <cellStyle name="20% - Акцент2 7 2 2" xfId="207"/>
    <cellStyle name="20% - Акцент2 7 3" xfId="208"/>
    <cellStyle name="20% - Акцент2 8" xfId="209"/>
    <cellStyle name="20% - Акцент2 8 2" xfId="210"/>
    <cellStyle name="20% - Акцент2 8 2 2" xfId="211"/>
    <cellStyle name="20% - Акцент2 8 3" xfId="212"/>
    <cellStyle name="20% - Акцент2 9" xfId="213"/>
    <cellStyle name="20% - Акцент2 9 2" xfId="214"/>
    <cellStyle name="20% - Акцент2 9 2 2" xfId="215"/>
    <cellStyle name="20% - Акцент2 9 3" xfId="216"/>
    <cellStyle name="20% - Акцент3 10" xfId="217"/>
    <cellStyle name="20% - Акцент3 10 2" xfId="218"/>
    <cellStyle name="20% - Акцент3 10 2 2" xfId="219"/>
    <cellStyle name="20% - Акцент3 10 3" xfId="220"/>
    <cellStyle name="20% - Акцент3 11" xfId="221"/>
    <cellStyle name="20% - Акцент3 11 2" xfId="222"/>
    <cellStyle name="20% - Акцент3 11 2 2" xfId="223"/>
    <cellStyle name="20% - Акцент3 11 3" xfId="224"/>
    <cellStyle name="20% - Акцент3 12" xfId="225"/>
    <cellStyle name="20% - Акцент3 12 2" xfId="226"/>
    <cellStyle name="20% - Акцент3 12 2 2" xfId="227"/>
    <cellStyle name="20% - Акцент3 12 3" xfId="228"/>
    <cellStyle name="20% - Акцент3 13" xfId="229"/>
    <cellStyle name="20% - Акцент3 13 2" xfId="230"/>
    <cellStyle name="20% - Акцент3 13 2 2" xfId="231"/>
    <cellStyle name="20% - Акцент3 13 3" xfId="232"/>
    <cellStyle name="20% - Акцент3 14" xfId="233"/>
    <cellStyle name="20% - Акцент3 14 2" xfId="234"/>
    <cellStyle name="20% - Акцент3 14 2 2" xfId="235"/>
    <cellStyle name="20% - Акцент3 14 3" xfId="236"/>
    <cellStyle name="20% - Акцент3 15" xfId="237"/>
    <cellStyle name="20% - Акцент3 15 2" xfId="238"/>
    <cellStyle name="20% - Акцент3 16" xfId="239"/>
    <cellStyle name="20% - Акцент3 17" xfId="240"/>
    <cellStyle name="20% - Акцент3 18" xfId="241"/>
    <cellStyle name="20% - Акцент3 19" xfId="242"/>
    <cellStyle name="20% - Акцент3 2" xfId="243"/>
    <cellStyle name="20% - Акцент3 2 2" xfId="244"/>
    <cellStyle name="20% - Акцент3 2 2 2" xfId="245"/>
    <cellStyle name="20% - Акцент3 2 2 3" xfId="246"/>
    <cellStyle name="20% - Акцент3 2 3" xfId="247"/>
    <cellStyle name="20% - Акцент3 2 4" xfId="248"/>
    <cellStyle name="20% - Акцент3 2 4 2" xfId="249"/>
    <cellStyle name="20% - Акцент3 2 5" xfId="250"/>
    <cellStyle name="20% - Акцент3 20" xfId="251"/>
    <cellStyle name="20% - Акцент3 21" xfId="252"/>
    <cellStyle name="20% - Акцент3 3" xfId="253"/>
    <cellStyle name="20% - Акцент3 3 2" xfId="254"/>
    <cellStyle name="20% - Акцент3 3 3" xfId="255"/>
    <cellStyle name="20% - Акцент3 3 3 2" xfId="256"/>
    <cellStyle name="20% - Акцент3 3 4" xfId="257"/>
    <cellStyle name="20% - Акцент3 3 4 2" xfId="258"/>
    <cellStyle name="20% - Акцент3 4" xfId="259"/>
    <cellStyle name="20% - Акцент3 4 2" xfId="260"/>
    <cellStyle name="20% - Акцент3 4 2 2" xfId="261"/>
    <cellStyle name="20% - Акцент3 4 3" xfId="262"/>
    <cellStyle name="20% - Акцент3 5" xfId="263"/>
    <cellStyle name="20% - Акцент3 5 2" xfId="264"/>
    <cellStyle name="20% - Акцент3 5 2 2" xfId="265"/>
    <cellStyle name="20% - Акцент3 5 3" xfId="266"/>
    <cellStyle name="20% - Акцент3 6" xfId="267"/>
    <cellStyle name="20% - Акцент3 6 2" xfId="268"/>
    <cellStyle name="20% - Акцент3 6 2 2" xfId="269"/>
    <cellStyle name="20% - Акцент3 6 3" xfId="270"/>
    <cellStyle name="20% - Акцент3 7" xfId="271"/>
    <cellStyle name="20% - Акцент3 7 2" xfId="272"/>
    <cellStyle name="20% - Акцент3 7 2 2" xfId="273"/>
    <cellStyle name="20% - Акцент3 7 3" xfId="274"/>
    <cellStyle name="20% - Акцент3 8" xfId="275"/>
    <cellStyle name="20% - Акцент3 8 2" xfId="276"/>
    <cellStyle name="20% - Акцент3 8 2 2" xfId="277"/>
    <cellStyle name="20% - Акцент3 8 3" xfId="278"/>
    <cellStyle name="20% - Акцент3 9" xfId="279"/>
    <cellStyle name="20% - Акцент3 9 2" xfId="280"/>
    <cellStyle name="20% - Акцент3 9 2 2" xfId="281"/>
    <cellStyle name="20% - Акцент3 9 3" xfId="282"/>
    <cellStyle name="20% - Акцент4 10" xfId="283"/>
    <cellStyle name="20% - Акцент4 10 2" xfId="284"/>
    <cellStyle name="20% - Акцент4 10 2 2" xfId="285"/>
    <cellStyle name="20% - Акцент4 10 3" xfId="286"/>
    <cellStyle name="20% - Акцент4 11" xfId="287"/>
    <cellStyle name="20% - Акцент4 11 2" xfId="288"/>
    <cellStyle name="20% - Акцент4 11 2 2" xfId="289"/>
    <cellStyle name="20% - Акцент4 11 3" xfId="290"/>
    <cellStyle name="20% - Акцент4 12" xfId="291"/>
    <cellStyle name="20% - Акцент4 12 2" xfId="292"/>
    <cellStyle name="20% - Акцент4 12 2 2" xfId="293"/>
    <cellStyle name="20% - Акцент4 12 3" xfId="294"/>
    <cellStyle name="20% - Акцент4 13" xfId="295"/>
    <cellStyle name="20% - Акцент4 13 2" xfId="296"/>
    <cellStyle name="20% - Акцент4 13 2 2" xfId="297"/>
    <cellStyle name="20% - Акцент4 13 3" xfId="298"/>
    <cellStyle name="20% - Акцент4 14" xfId="299"/>
    <cellStyle name="20% - Акцент4 14 2" xfId="300"/>
    <cellStyle name="20% - Акцент4 14 2 2" xfId="301"/>
    <cellStyle name="20% - Акцент4 14 3" xfId="302"/>
    <cellStyle name="20% - Акцент4 15" xfId="303"/>
    <cellStyle name="20% - Акцент4 15 2" xfId="304"/>
    <cellStyle name="20% - Акцент4 16" xfId="305"/>
    <cellStyle name="20% - Акцент4 17" xfId="306"/>
    <cellStyle name="20% - Акцент4 18" xfId="307"/>
    <cellStyle name="20% - Акцент4 19" xfId="308"/>
    <cellStyle name="20% - Акцент4 2" xfId="309"/>
    <cellStyle name="20% - Акцент4 2 2" xfId="310"/>
    <cellStyle name="20% - Акцент4 2 2 2" xfId="311"/>
    <cellStyle name="20% - Акцент4 2 2 3" xfId="312"/>
    <cellStyle name="20% - Акцент4 2 3" xfId="313"/>
    <cellStyle name="20% - Акцент4 2 4" xfId="314"/>
    <cellStyle name="20% - Акцент4 2 4 2" xfId="315"/>
    <cellStyle name="20% - Акцент4 2 5" xfId="316"/>
    <cellStyle name="20% - Акцент4 20" xfId="317"/>
    <cellStyle name="20% - Акцент4 21" xfId="318"/>
    <cellStyle name="20% - Акцент4 3" xfId="319"/>
    <cellStyle name="20% - Акцент4 3 2" xfId="320"/>
    <cellStyle name="20% - Акцент4 3 3" xfId="321"/>
    <cellStyle name="20% - Акцент4 3 3 2" xfId="322"/>
    <cellStyle name="20% - Акцент4 3 4" xfId="323"/>
    <cellStyle name="20% - Акцент4 3 4 2" xfId="324"/>
    <cellStyle name="20% - Акцент4 4" xfId="325"/>
    <cellStyle name="20% - Акцент4 4 2" xfId="326"/>
    <cellStyle name="20% - Акцент4 4 2 2" xfId="327"/>
    <cellStyle name="20% - Акцент4 4 3" xfId="328"/>
    <cellStyle name="20% - Акцент4 5" xfId="329"/>
    <cellStyle name="20% - Акцент4 5 2" xfId="330"/>
    <cellStyle name="20% - Акцент4 5 2 2" xfId="331"/>
    <cellStyle name="20% - Акцент4 5 3" xfId="332"/>
    <cellStyle name="20% - Акцент4 6" xfId="333"/>
    <cellStyle name="20% - Акцент4 6 2" xfId="334"/>
    <cellStyle name="20% - Акцент4 6 2 2" xfId="335"/>
    <cellStyle name="20% - Акцент4 6 3" xfId="336"/>
    <cellStyle name="20% - Акцент4 7" xfId="337"/>
    <cellStyle name="20% - Акцент4 7 2" xfId="338"/>
    <cellStyle name="20% - Акцент4 7 2 2" xfId="339"/>
    <cellStyle name="20% - Акцент4 7 3" xfId="340"/>
    <cellStyle name="20% - Акцент4 8" xfId="341"/>
    <cellStyle name="20% - Акцент4 8 2" xfId="342"/>
    <cellStyle name="20% - Акцент4 8 2 2" xfId="343"/>
    <cellStyle name="20% - Акцент4 8 3" xfId="344"/>
    <cellStyle name="20% - Акцент4 9" xfId="345"/>
    <cellStyle name="20% - Акцент4 9 2" xfId="346"/>
    <cellStyle name="20% - Акцент4 9 2 2" xfId="347"/>
    <cellStyle name="20% - Акцент4 9 3" xfId="348"/>
    <cellStyle name="20% - Акцент5 10" xfId="349"/>
    <cellStyle name="20% - Акцент5 10 2" xfId="350"/>
    <cellStyle name="20% - Акцент5 10 2 2" xfId="351"/>
    <cellStyle name="20% - Акцент5 10 3" xfId="352"/>
    <cellStyle name="20% - Акцент5 11" xfId="353"/>
    <cellStyle name="20% - Акцент5 11 2" xfId="354"/>
    <cellStyle name="20% - Акцент5 11 2 2" xfId="355"/>
    <cellStyle name="20% - Акцент5 11 3" xfId="356"/>
    <cellStyle name="20% - Акцент5 12" xfId="357"/>
    <cellStyle name="20% - Акцент5 12 2" xfId="358"/>
    <cellStyle name="20% - Акцент5 12 2 2" xfId="359"/>
    <cellStyle name="20% - Акцент5 12 3" xfId="360"/>
    <cellStyle name="20% - Акцент5 13" xfId="361"/>
    <cellStyle name="20% - Акцент5 13 2" xfId="362"/>
    <cellStyle name="20% - Акцент5 13 2 2" xfId="363"/>
    <cellStyle name="20% - Акцент5 13 3" xfId="364"/>
    <cellStyle name="20% - Акцент5 14" xfId="365"/>
    <cellStyle name="20% - Акцент5 14 2" xfId="366"/>
    <cellStyle name="20% - Акцент5 14 2 2" xfId="367"/>
    <cellStyle name="20% - Акцент5 14 3" xfId="368"/>
    <cellStyle name="20% - Акцент5 15" xfId="369"/>
    <cellStyle name="20% - Акцент5 15 2" xfId="370"/>
    <cellStyle name="20% - Акцент5 16" xfId="371"/>
    <cellStyle name="20% - Акцент5 17" xfId="372"/>
    <cellStyle name="20% - Акцент5 18" xfId="373"/>
    <cellStyle name="20% - Акцент5 19" xfId="374"/>
    <cellStyle name="20% - Акцент5 2" xfId="375"/>
    <cellStyle name="20% - Акцент5 2 2" xfId="376"/>
    <cellStyle name="20% - Акцент5 2 2 2" xfId="377"/>
    <cellStyle name="20% - Акцент5 2 2 3" xfId="378"/>
    <cellStyle name="20% - Акцент5 2 3" xfId="379"/>
    <cellStyle name="20% - Акцент5 2 4" xfId="380"/>
    <cellStyle name="20% - Акцент5 2 4 2" xfId="381"/>
    <cellStyle name="20% - Акцент5 2 5" xfId="382"/>
    <cellStyle name="20% - Акцент5 20" xfId="383"/>
    <cellStyle name="20% - Акцент5 21" xfId="384"/>
    <cellStyle name="20% - Акцент5 3" xfId="385"/>
    <cellStyle name="20% - Акцент5 3 2" xfId="386"/>
    <cellStyle name="20% - Акцент5 3 3" xfId="387"/>
    <cellStyle name="20% - Акцент5 3 3 2" xfId="388"/>
    <cellStyle name="20% - Акцент5 3 4" xfId="389"/>
    <cellStyle name="20% - Акцент5 3 4 2" xfId="390"/>
    <cellStyle name="20% - Акцент5 4" xfId="391"/>
    <cellStyle name="20% - Акцент5 4 2" xfId="392"/>
    <cellStyle name="20% - Акцент5 4 2 2" xfId="393"/>
    <cellStyle name="20% - Акцент5 4 3" xfId="394"/>
    <cellStyle name="20% - Акцент5 5" xfId="395"/>
    <cellStyle name="20% - Акцент5 5 2" xfId="396"/>
    <cellStyle name="20% - Акцент5 5 2 2" xfId="397"/>
    <cellStyle name="20% - Акцент5 5 3" xfId="398"/>
    <cellStyle name="20% - Акцент5 6" xfId="399"/>
    <cellStyle name="20% - Акцент5 6 2" xfId="400"/>
    <cellStyle name="20% - Акцент5 6 2 2" xfId="401"/>
    <cellStyle name="20% - Акцент5 6 3" xfId="402"/>
    <cellStyle name="20% - Акцент5 7" xfId="403"/>
    <cellStyle name="20% - Акцент5 7 2" xfId="404"/>
    <cellStyle name="20% - Акцент5 7 2 2" xfId="405"/>
    <cellStyle name="20% - Акцент5 7 3" xfId="406"/>
    <cellStyle name="20% - Акцент5 8" xfId="407"/>
    <cellStyle name="20% - Акцент5 8 2" xfId="408"/>
    <cellStyle name="20% - Акцент5 8 2 2" xfId="409"/>
    <cellStyle name="20% - Акцент5 8 3" xfId="410"/>
    <cellStyle name="20% - Акцент5 9" xfId="411"/>
    <cellStyle name="20% - Акцент5 9 2" xfId="412"/>
    <cellStyle name="20% - Акцент5 9 2 2" xfId="413"/>
    <cellStyle name="20% - Акцент5 9 3" xfId="414"/>
    <cellStyle name="20% - Акцент6 10" xfId="415"/>
    <cellStyle name="20% - Акцент6 10 2" xfId="416"/>
    <cellStyle name="20% - Акцент6 10 2 2" xfId="417"/>
    <cellStyle name="20% - Акцент6 10 3" xfId="418"/>
    <cellStyle name="20% - Акцент6 11" xfId="419"/>
    <cellStyle name="20% - Акцент6 11 2" xfId="420"/>
    <cellStyle name="20% - Акцент6 11 2 2" xfId="421"/>
    <cellStyle name="20% - Акцент6 11 3" xfId="422"/>
    <cellStyle name="20% - Акцент6 12" xfId="423"/>
    <cellStyle name="20% - Акцент6 12 2" xfId="424"/>
    <cellStyle name="20% - Акцент6 12 2 2" xfId="425"/>
    <cellStyle name="20% - Акцент6 12 3" xfId="426"/>
    <cellStyle name="20% - Акцент6 13" xfId="427"/>
    <cellStyle name="20% - Акцент6 13 2" xfId="428"/>
    <cellStyle name="20% - Акцент6 13 2 2" xfId="429"/>
    <cellStyle name="20% - Акцент6 13 3" xfId="430"/>
    <cellStyle name="20% - Акцент6 14" xfId="431"/>
    <cellStyle name="20% - Акцент6 14 2" xfId="432"/>
    <cellStyle name="20% - Акцент6 14 2 2" xfId="433"/>
    <cellStyle name="20% - Акцент6 14 3" xfId="434"/>
    <cellStyle name="20% - Акцент6 15" xfId="435"/>
    <cellStyle name="20% - Акцент6 15 2" xfId="436"/>
    <cellStyle name="20% - Акцент6 16" xfId="437"/>
    <cellStyle name="20% - Акцент6 17" xfId="438"/>
    <cellStyle name="20% - Акцент6 18" xfId="439"/>
    <cellStyle name="20% - Акцент6 19" xfId="440"/>
    <cellStyle name="20% - Акцент6 2" xfId="441"/>
    <cellStyle name="20% - Акцент6 2 2" xfId="442"/>
    <cellStyle name="20% - Акцент6 2 2 2" xfId="443"/>
    <cellStyle name="20% - Акцент6 2 2 3" xfId="444"/>
    <cellStyle name="20% - Акцент6 2 3" xfId="445"/>
    <cellStyle name="20% - Акцент6 2 4" xfId="446"/>
    <cellStyle name="20% - Акцент6 2 4 2" xfId="447"/>
    <cellStyle name="20% - Акцент6 2 5" xfId="448"/>
    <cellStyle name="20% - Акцент6 20" xfId="449"/>
    <cellStyle name="20% - Акцент6 21" xfId="450"/>
    <cellStyle name="20% - Акцент6 3" xfId="451"/>
    <cellStyle name="20% - Акцент6 3 2" xfId="452"/>
    <cellStyle name="20% - Акцент6 3 3" xfId="453"/>
    <cellStyle name="20% - Акцент6 3 3 2" xfId="454"/>
    <cellStyle name="20% - Акцент6 3 4" xfId="455"/>
    <cellStyle name="20% - Акцент6 3 4 2" xfId="456"/>
    <cellStyle name="20% - Акцент6 4" xfId="457"/>
    <cellStyle name="20% - Акцент6 4 2" xfId="458"/>
    <cellStyle name="20% - Акцент6 4 2 2" xfId="459"/>
    <cellStyle name="20% - Акцент6 4 3" xfId="460"/>
    <cellStyle name="20% - Акцент6 5" xfId="461"/>
    <cellStyle name="20% - Акцент6 5 2" xfId="462"/>
    <cellStyle name="20% - Акцент6 5 2 2" xfId="463"/>
    <cellStyle name="20% - Акцент6 5 3" xfId="464"/>
    <cellStyle name="20% - Акцент6 6" xfId="465"/>
    <cellStyle name="20% - Акцент6 6 2" xfId="466"/>
    <cellStyle name="20% - Акцент6 6 2 2" xfId="467"/>
    <cellStyle name="20% - Акцент6 6 3" xfId="468"/>
    <cellStyle name="20% - Акцент6 7" xfId="469"/>
    <cellStyle name="20% - Акцент6 7 2" xfId="470"/>
    <cellStyle name="20% - Акцент6 7 2 2" xfId="471"/>
    <cellStyle name="20% - Акцент6 7 3" xfId="472"/>
    <cellStyle name="20% - Акцент6 8" xfId="473"/>
    <cellStyle name="20% - Акцент6 8 2" xfId="474"/>
    <cellStyle name="20% - Акцент6 8 2 2" xfId="475"/>
    <cellStyle name="20% - Акцент6 8 3" xfId="476"/>
    <cellStyle name="20% - Акцент6 9" xfId="477"/>
    <cellStyle name="20% - Акцент6 9 2" xfId="478"/>
    <cellStyle name="20% - Акцент6 9 2 2" xfId="479"/>
    <cellStyle name="20% - Акцент6 9 3" xfId="480"/>
    <cellStyle name="40% - Акцент1 10" xfId="481"/>
    <cellStyle name="40% - Акцент1 10 2" xfId="482"/>
    <cellStyle name="40% - Акцент1 10 2 2" xfId="483"/>
    <cellStyle name="40% - Акцент1 10 3" xfId="484"/>
    <cellStyle name="40% - Акцент1 11" xfId="485"/>
    <cellStyle name="40% - Акцент1 11 2" xfId="486"/>
    <cellStyle name="40% - Акцент1 11 2 2" xfId="487"/>
    <cellStyle name="40% - Акцент1 11 3" xfId="488"/>
    <cellStyle name="40% - Акцент1 12" xfId="489"/>
    <cellStyle name="40% - Акцент1 12 2" xfId="490"/>
    <cellStyle name="40% - Акцент1 12 2 2" xfId="491"/>
    <cellStyle name="40% - Акцент1 12 3" xfId="492"/>
    <cellStyle name="40% - Акцент1 13" xfId="493"/>
    <cellStyle name="40% - Акцент1 13 2" xfId="494"/>
    <cellStyle name="40% - Акцент1 13 2 2" xfId="495"/>
    <cellStyle name="40% - Акцент1 13 3" xfId="496"/>
    <cellStyle name="40% - Акцент1 14" xfId="497"/>
    <cellStyle name="40% - Акцент1 14 2" xfId="498"/>
    <cellStyle name="40% - Акцент1 14 2 2" xfId="499"/>
    <cellStyle name="40% - Акцент1 14 3" xfId="500"/>
    <cellStyle name="40% - Акцент1 15" xfId="501"/>
    <cellStyle name="40% - Акцент1 15 2" xfId="502"/>
    <cellStyle name="40% - Акцент1 16" xfId="503"/>
    <cellStyle name="40% - Акцент1 17" xfId="504"/>
    <cellStyle name="40% - Акцент1 18" xfId="505"/>
    <cellStyle name="40% - Акцент1 19" xfId="506"/>
    <cellStyle name="40% - Акцент1 2" xfId="507"/>
    <cellStyle name="40% - Акцент1 2 2" xfId="508"/>
    <cellStyle name="40% - Акцент1 2 2 2" xfId="509"/>
    <cellStyle name="40% - Акцент1 2 2 3" xfId="510"/>
    <cellStyle name="40% - Акцент1 2 3" xfId="511"/>
    <cellStyle name="40% - Акцент1 2 4" xfId="512"/>
    <cellStyle name="40% - Акцент1 2 4 2" xfId="513"/>
    <cellStyle name="40% - Акцент1 2 5" xfId="514"/>
    <cellStyle name="40% - Акцент1 20" xfId="515"/>
    <cellStyle name="40% - Акцент1 21" xfId="516"/>
    <cellStyle name="40% - Акцент1 3" xfId="517"/>
    <cellStyle name="40% - Акцент1 3 2" xfId="518"/>
    <cellStyle name="40% - Акцент1 3 3" xfId="519"/>
    <cellStyle name="40% - Акцент1 3 3 2" xfId="520"/>
    <cellStyle name="40% - Акцент1 3 4" xfId="521"/>
    <cellStyle name="40% - Акцент1 3 4 2" xfId="522"/>
    <cellStyle name="40% - Акцент1 4" xfId="523"/>
    <cellStyle name="40% - Акцент1 4 2" xfId="524"/>
    <cellStyle name="40% - Акцент1 4 2 2" xfId="525"/>
    <cellStyle name="40% - Акцент1 4 3" xfId="526"/>
    <cellStyle name="40% - Акцент1 5" xfId="527"/>
    <cellStyle name="40% - Акцент1 5 2" xfId="528"/>
    <cellStyle name="40% - Акцент1 5 2 2" xfId="529"/>
    <cellStyle name="40% - Акцент1 5 3" xfId="530"/>
    <cellStyle name="40% - Акцент1 6" xfId="531"/>
    <cellStyle name="40% - Акцент1 6 2" xfId="532"/>
    <cellStyle name="40% - Акцент1 6 2 2" xfId="533"/>
    <cellStyle name="40% - Акцент1 6 3" xfId="534"/>
    <cellStyle name="40% - Акцент1 7" xfId="535"/>
    <cellStyle name="40% - Акцент1 7 2" xfId="536"/>
    <cellStyle name="40% - Акцент1 7 2 2" xfId="537"/>
    <cellStyle name="40% - Акцент1 7 3" xfId="538"/>
    <cellStyle name="40% - Акцент1 8" xfId="539"/>
    <cellStyle name="40% - Акцент1 8 2" xfId="540"/>
    <cellStyle name="40% - Акцент1 8 2 2" xfId="541"/>
    <cellStyle name="40% - Акцент1 8 3" xfId="542"/>
    <cellStyle name="40% - Акцент1 9" xfId="543"/>
    <cellStyle name="40% - Акцент1 9 2" xfId="544"/>
    <cellStyle name="40% - Акцент1 9 2 2" xfId="545"/>
    <cellStyle name="40% - Акцент1 9 3" xfId="546"/>
    <cellStyle name="40% - Акцент2 10" xfId="547"/>
    <cellStyle name="40% - Акцент2 10 2" xfId="548"/>
    <cellStyle name="40% - Акцент2 10 2 2" xfId="549"/>
    <cellStyle name="40% - Акцент2 10 3" xfId="550"/>
    <cellStyle name="40% - Акцент2 11" xfId="551"/>
    <cellStyle name="40% - Акцент2 11 2" xfId="552"/>
    <cellStyle name="40% - Акцент2 11 2 2" xfId="553"/>
    <cellStyle name="40% - Акцент2 11 3" xfId="554"/>
    <cellStyle name="40% - Акцент2 12" xfId="555"/>
    <cellStyle name="40% - Акцент2 12 2" xfId="556"/>
    <cellStyle name="40% - Акцент2 12 2 2" xfId="557"/>
    <cellStyle name="40% - Акцент2 12 3" xfId="558"/>
    <cellStyle name="40% - Акцент2 13" xfId="559"/>
    <cellStyle name="40% - Акцент2 13 2" xfId="560"/>
    <cellStyle name="40% - Акцент2 13 2 2" xfId="561"/>
    <cellStyle name="40% - Акцент2 13 3" xfId="562"/>
    <cellStyle name="40% - Акцент2 14" xfId="563"/>
    <cellStyle name="40% - Акцент2 14 2" xfId="564"/>
    <cellStyle name="40% - Акцент2 14 2 2" xfId="565"/>
    <cellStyle name="40% - Акцент2 14 3" xfId="566"/>
    <cellStyle name="40% - Акцент2 15" xfId="567"/>
    <cellStyle name="40% - Акцент2 15 2" xfId="568"/>
    <cellStyle name="40% - Акцент2 16" xfId="569"/>
    <cellStyle name="40% - Акцент2 17" xfId="570"/>
    <cellStyle name="40% - Акцент2 18" xfId="571"/>
    <cellStyle name="40% - Акцент2 19" xfId="572"/>
    <cellStyle name="40% - Акцент2 2" xfId="573"/>
    <cellStyle name="40% - Акцент2 2 2" xfId="574"/>
    <cellStyle name="40% - Акцент2 2 2 2" xfId="575"/>
    <cellStyle name="40% - Акцент2 2 2 3" xfId="576"/>
    <cellStyle name="40% - Акцент2 2 3" xfId="577"/>
    <cellStyle name="40% - Акцент2 2 4" xfId="578"/>
    <cellStyle name="40% - Акцент2 2 4 2" xfId="579"/>
    <cellStyle name="40% - Акцент2 2 5" xfId="580"/>
    <cellStyle name="40% - Акцент2 20" xfId="581"/>
    <cellStyle name="40% - Акцент2 21" xfId="582"/>
    <cellStyle name="40% - Акцент2 3" xfId="583"/>
    <cellStyle name="40% - Акцент2 3 2" xfId="584"/>
    <cellStyle name="40% - Акцент2 3 3" xfId="585"/>
    <cellStyle name="40% - Акцент2 3 3 2" xfId="586"/>
    <cellStyle name="40% - Акцент2 3 4" xfId="587"/>
    <cellStyle name="40% - Акцент2 3 4 2" xfId="588"/>
    <cellStyle name="40% - Акцент2 4" xfId="589"/>
    <cellStyle name="40% - Акцент2 4 2" xfId="590"/>
    <cellStyle name="40% - Акцент2 4 2 2" xfId="591"/>
    <cellStyle name="40% - Акцент2 4 3" xfId="592"/>
    <cellStyle name="40% - Акцент2 5" xfId="593"/>
    <cellStyle name="40% - Акцент2 5 2" xfId="594"/>
    <cellStyle name="40% - Акцент2 5 2 2" xfId="595"/>
    <cellStyle name="40% - Акцент2 5 3" xfId="596"/>
    <cellStyle name="40% - Акцент2 6" xfId="597"/>
    <cellStyle name="40% - Акцент2 6 2" xfId="598"/>
    <cellStyle name="40% - Акцент2 6 2 2" xfId="599"/>
    <cellStyle name="40% - Акцент2 6 3" xfId="600"/>
    <cellStyle name="40% - Акцент2 7" xfId="601"/>
    <cellStyle name="40% - Акцент2 7 2" xfId="602"/>
    <cellStyle name="40% - Акцент2 7 2 2" xfId="603"/>
    <cellStyle name="40% - Акцент2 7 3" xfId="604"/>
    <cellStyle name="40% - Акцент2 8" xfId="605"/>
    <cellStyle name="40% - Акцент2 8 2" xfId="606"/>
    <cellStyle name="40% - Акцент2 8 2 2" xfId="607"/>
    <cellStyle name="40% - Акцент2 8 3" xfId="608"/>
    <cellStyle name="40% - Акцент2 9" xfId="609"/>
    <cellStyle name="40% - Акцент2 9 2" xfId="610"/>
    <cellStyle name="40% - Акцент2 9 2 2" xfId="611"/>
    <cellStyle name="40% - Акцент2 9 3" xfId="612"/>
    <cellStyle name="40% - Акцент3 10" xfId="613"/>
    <cellStyle name="40% - Акцент3 10 2" xfId="614"/>
    <cellStyle name="40% - Акцент3 10 2 2" xfId="615"/>
    <cellStyle name="40% - Акцент3 10 3" xfId="616"/>
    <cellStyle name="40% - Акцент3 11" xfId="617"/>
    <cellStyle name="40% - Акцент3 11 2" xfId="618"/>
    <cellStyle name="40% - Акцент3 11 2 2" xfId="619"/>
    <cellStyle name="40% - Акцент3 11 3" xfId="620"/>
    <cellStyle name="40% - Акцент3 12" xfId="621"/>
    <cellStyle name="40% - Акцент3 12 2" xfId="622"/>
    <cellStyle name="40% - Акцент3 12 2 2" xfId="623"/>
    <cellStyle name="40% - Акцент3 12 3" xfId="624"/>
    <cellStyle name="40% - Акцент3 13" xfId="625"/>
    <cellStyle name="40% - Акцент3 13 2" xfId="626"/>
    <cellStyle name="40% - Акцент3 13 2 2" xfId="627"/>
    <cellStyle name="40% - Акцент3 13 3" xfId="628"/>
    <cellStyle name="40% - Акцент3 14" xfId="629"/>
    <cellStyle name="40% - Акцент3 14 2" xfId="630"/>
    <cellStyle name="40% - Акцент3 14 2 2" xfId="631"/>
    <cellStyle name="40% - Акцент3 14 3" xfId="632"/>
    <cellStyle name="40% - Акцент3 15" xfId="633"/>
    <cellStyle name="40% - Акцент3 15 2" xfId="634"/>
    <cellStyle name="40% - Акцент3 16" xfId="635"/>
    <cellStyle name="40% - Акцент3 17" xfId="636"/>
    <cellStyle name="40% - Акцент3 18" xfId="637"/>
    <cellStyle name="40% - Акцент3 19" xfId="638"/>
    <cellStyle name="40% - Акцент3 2" xfId="639"/>
    <cellStyle name="40% - Акцент3 2 2" xfId="640"/>
    <cellStyle name="40% - Акцент3 2 2 2" xfId="641"/>
    <cellStyle name="40% - Акцент3 2 2 3" xfId="642"/>
    <cellStyle name="40% - Акцент3 2 3" xfId="643"/>
    <cellStyle name="40% - Акцент3 2 4" xfId="644"/>
    <cellStyle name="40% - Акцент3 2 4 2" xfId="645"/>
    <cellStyle name="40% - Акцент3 2 5" xfId="646"/>
    <cellStyle name="40% - Акцент3 20" xfId="647"/>
    <cellStyle name="40% - Акцент3 21" xfId="648"/>
    <cellStyle name="40% - Акцент3 3" xfId="649"/>
    <cellStyle name="40% - Акцент3 3 2" xfId="650"/>
    <cellStyle name="40% - Акцент3 3 3" xfId="651"/>
    <cellStyle name="40% - Акцент3 3 3 2" xfId="652"/>
    <cellStyle name="40% - Акцент3 3 4" xfId="653"/>
    <cellStyle name="40% - Акцент3 3 4 2" xfId="654"/>
    <cellStyle name="40% - Акцент3 4" xfId="655"/>
    <cellStyle name="40% - Акцент3 4 2" xfId="656"/>
    <cellStyle name="40% - Акцент3 4 2 2" xfId="657"/>
    <cellStyle name="40% - Акцент3 4 3" xfId="658"/>
    <cellStyle name="40% - Акцент3 5" xfId="659"/>
    <cellStyle name="40% - Акцент3 5 2" xfId="660"/>
    <cellStyle name="40% - Акцент3 5 2 2" xfId="661"/>
    <cellStyle name="40% - Акцент3 5 3" xfId="662"/>
    <cellStyle name="40% - Акцент3 6" xfId="663"/>
    <cellStyle name="40% - Акцент3 6 2" xfId="664"/>
    <cellStyle name="40% - Акцент3 6 2 2" xfId="665"/>
    <cellStyle name="40% - Акцент3 6 3" xfId="666"/>
    <cellStyle name="40% - Акцент3 7" xfId="667"/>
    <cellStyle name="40% - Акцент3 7 2" xfId="668"/>
    <cellStyle name="40% - Акцент3 7 2 2" xfId="669"/>
    <cellStyle name="40% - Акцент3 7 3" xfId="670"/>
    <cellStyle name="40% - Акцент3 8" xfId="671"/>
    <cellStyle name="40% - Акцент3 8 2" xfId="672"/>
    <cellStyle name="40% - Акцент3 8 2 2" xfId="673"/>
    <cellStyle name="40% - Акцент3 8 3" xfId="674"/>
    <cellStyle name="40% - Акцент3 9" xfId="675"/>
    <cellStyle name="40% - Акцент3 9 2" xfId="676"/>
    <cellStyle name="40% - Акцент3 9 2 2" xfId="677"/>
    <cellStyle name="40% - Акцент3 9 3" xfId="678"/>
    <cellStyle name="40% - Акцент4 10" xfId="679"/>
    <cellStyle name="40% - Акцент4 10 2" xfId="680"/>
    <cellStyle name="40% - Акцент4 10 2 2" xfId="681"/>
    <cellStyle name="40% - Акцент4 10 3" xfId="682"/>
    <cellStyle name="40% - Акцент4 11" xfId="683"/>
    <cellStyle name="40% - Акцент4 11 2" xfId="684"/>
    <cellStyle name="40% - Акцент4 11 2 2" xfId="685"/>
    <cellStyle name="40% - Акцент4 11 3" xfId="686"/>
    <cellStyle name="40% - Акцент4 12" xfId="687"/>
    <cellStyle name="40% - Акцент4 12 2" xfId="688"/>
    <cellStyle name="40% - Акцент4 12 2 2" xfId="689"/>
    <cellStyle name="40% - Акцент4 12 3" xfId="690"/>
    <cellStyle name="40% - Акцент4 13" xfId="691"/>
    <cellStyle name="40% - Акцент4 13 2" xfId="692"/>
    <cellStyle name="40% - Акцент4 13 2 2" xfId="693"/>
    <cellStyle name="40% - Акцент4 13 3" xfId="694"/>
    <cellStyle name="40% - Акцент4 14" xfId="695"/>
    <cellStyle name="40% - Акцент4 14 2" xfId="696"/>
    <cellStyle name="40% - Акцент4 14 2 2" xfId="697"/>
    <cellStyle name="40% - Акцент4 14 3" xfId="698"/>
    <cellStyle name="40% - Акцент4 15" xfId="699"/>
    <cellStyle name="40% - Акцент4 15 2" xfId="700"/>
    <cellStyle name="40% - Акцент4 16" xfId="701"/>
    <cellStyle name="40% - Акцент4 17" xfId="702"/>
    <cellStyle name="40% - Акцент4 18" xfId="703"/>
    <cellStyle name="40% - Акцент4 19" xfId="704"/>
    <cellStyle name="40% - Акцент4 2" xfId="705"/>
    <cellStyle name="40% - Акцент4 2 2" xfId="706"/>
    <cellStyle name="40% - Акцент4 2 2 2" xfId="707"/>
    <cellStyle name="40% - Акцент4 2 2 3" xfId="708"/>
    <cellStyle name="40% - Акцент4 2 3" xfId="709"/>
    <cellStyle name="40% - Акцент4 2 4" xfId="710"/>
    <cellStyle name="40% - Акцент4 2 4 2" xfId="711"/>
    <cellStyle name="40% - Акцент4 2 5" xfId="712"/>
    <cellStyle name="40% - Акцент4 20" xfId="713"/>
    <cellStyle name="40% - Акцент4 21" xfId="714"/>
    <cellStyle name="40% - Акцент4 3" xfId="715"/>
    <cellStyle name="40% - Акцент4 3 2" xfId="716"/>
    <cellStyle name="40% - Акцент4 3 3" xfId="717"/>
    <cellStyle name="40% - Акцент4 3 3 2" xfId="718"/>
    <cellStyle name="40% - Акцент4 3 4" xfId="719"/>
    <cellStyle name="40% - Акцент4 3 4 2" xfId="720"/>
    <cellStyle name="40% - Акцент4 4" xfId="721"/>
    <cellStyle name="40% - Акцент4 4 2" xfId="722"/>
    <cellStyle name="40% - Акцент4 4 2 2" xfId="723"/>
    <cellStyle name="40% - Акцент4 4 3" xfId="724"/>
    <cellStyle name="40% - Акцент4 5" xfId="725"/>
    <cellStyle name="40% - Акцент4 5 2" xfId="726"/>
    <cellStyle name="40% - Акцент4 5 2 2" xfId="727"/>
    <cellStyle name="40% - Акцент4 5 3" xfId="728"/>
    <cellStyle name="40% - Акцент4 6" xfId="729"/>
    <cellStyle name="40% - Акцент4 6 2" xfId="730"/>
    <cellStyle name="40% - Акцент4 6 2 2" xfId="731"/>
    <cellStyle name="40% - Акцент4 6 3" xfId="732"/>
    <cellStyle name="40% - Акцент4 7" xfId="733"/>
    <cellStyle name="40% - Акцент4 7 2" xfId="734"/>
    <cellStyle name="40% - Акцент4 7 2 2" xfId="735"/>
    <cellStyle name="40% - Акцент4 7 3" xfId="736"/>
    <cellStyle name="40% - Акцент4 8" xfId="737"/>
    <cellStyle name="40% - Акцент4 8 2" xfId="738"/>
    <cellStyle name="40% - Акцент4 8 2 2" xfId="739"/>
    <cellStyle name="40% - Акцент4 8 3" xfId="740"/>
    <cellStyle name="40% - Акцент4 9" xfId="741"/>
    <cellStyle name="40% - Акцент4 9 2" xfId="742"/>
    <cellStyle name="40% - Акцент4 9 2 2" xfId="743"/>
    <cellStyle name="40% - Акцент4 9 3" xfId="744"/>
    <cellStyle name="40% - Акцент5 10" xfId="745"/>
    <cellStyle name="40% - Акцент5 10 2" xfId="746"/>
    <cellStyle name="40% - Акцент5 10 2 2" xfId="747"/>
    <cellStyle name="40% - Акцент5 10 3" xfId="748"/>
    <cellStyle name="40% - Акцент5 11" xfId="749"/>
    <cellStyle name="40% - Акцент5 11 2" xfId="750"/>
    <cellStyle name="40% - Акцент5 11 2 2" xfId="751"/>
    <cellStyle name="40% - Акцент5 11 3" xfId="752"/>
    <cellStyle name="40% - Акцент5 12" xfId="753"/>
    <cellStyle name="40% - Акцент5 12 2" xfId="754"/>
    <cellStyle name="40% - Акцент5 12 2 2" xfId="755"/>
    <cellStyle name="40% - Акцент5 12 3" xfId="756"/>
    <cellStyle name="40% - Акцент5 13" xfId="757"/>
    <cellStyle name="40% - Акцент5 13 2" xfId="758"/>
    <cellStyle name="40% - Акцент5 13 2 2" xfId="759"/>
    <cellStyle name="40% - Акцент5 13 3" xfId="760"/>
    <cellStyle name="40% - Акцент5 14" xfId="761"/>
    <cellStyle name="40% - Акцент5 14 2" xfId="762"/>
    <cellStyle name="40% - Акцент5 14 2 2" xfId="763"/>
    <cellStyle name="40% - Акцент5 14 3" xfId="764"/>
    <cellStyle name="40% - Акцент5 15" xfId="765"/>
    <cellStyle name="40% - Акцент5 15 2" xfId="766"/>
    <cellStyle name="40% - Акцент5 16" xfId="767"/>
    <cellStyle name="40% - Акцент5 17" xfId="768"/>
    <cellStyle name="40% - Акцент5 18" xfId="769"/>
    <cellStyle name="40% - Акцент5 19" xfId="770"/>
    <cellStyle name="40% - Акцент5 2" xfId="771"/>
    <cellStyle name="40% - Акцент5 2 2" xfId="772"/>
    <cellStyle name="40% - Акцент5 2 2 2" xfId="773"/>
    <cellStyle name="40% - Акцент5 2 2 3" xfId="774"/>
    <cellStyle name="40% - Акцент5 2 3" xfId="775"/>
    <cellStyle name="40% - Акцент5 2 4" xfId="776"/>
    <cellStyle name="40% - Акцент5 2 4 2" xfId="777"/>
    <cellStyle name="40% - Акцент5 2 5" xfId="778"/>
    <cellStyle name="40% - Акцент5 20" xfId="779"/>
    <cellStyle name="40% - Акцент5 21" xfId="780"/>
    <cellStyle name="40% - Акцент5 3" xfId="781"/>
    <cellStyle name="40% - Акцент5 3 2" xfId="782"/>
    <cellStyle name="40% - Акцент5 3 3" xfId="783"/>
    <cellStyle name="40% - Акцент5 3 3 2" xfId="784"/>
    <cellStyle name="40% - Акцент5 3 4" xfId="785"/>
    <cellStyle name="40% - Акцент5 3 4 2" xfId="786"/>
    <cellStyle name="40% - Акцент5 4" xfId="787"/>
    <cellStyle name="40% - Акцент5 4 2" xfId="788"/>
    <cellStyle name="40% - Акцент5 4 2 2" xfId="789"/>
    <cellStyle name="40% - Акцент5 4 3" xfId="790"/>
    <cellStyle name="40% - Акцент5 5" xfId="791"/>
    <cellStyle name="40% - Акцент5 5 2" xfId="792"/>
    <cellStyle name="40% - Акцент5 5 2 2" xfId="793"/>
    <cellStyle name="40% - Акцент5 5 3" xfId="794"/>
    <cellStyle name="40% - Акцент5 6" xfId="795"/>
    <cellStyle name="40% - Акцент5 6 2" xfId="796"/>
    <cellStyle name="40% - Акцент5 6 2 2" xfId="797"/>
    <cellStyle name="40% - Акцент5 6 3" xfId="798"/>
    <cellStyle name="40% - Акцент5 7" xfId="799"/>
    <cellStyle name="40% - Акцент5 7 2" xfId="800"/>
    <cellStyle name="40% - Акцент5 7 2 2" xfId="801"/>
    <cellStyle name="40% - Акцент5 7 3" xfId="802"/>
    <cellStyle name="40% - Акцент5 8" xfId="803"/>
    <cellStyle name="40% - Акцент5 8 2" xfId="804"/>
    <cellStyle name="40% - Акцент5 8 2 2" xfId="805"/>
    <cellStyle name="40% - Акцент5 8 3" xfId="806"/>
    <cellStyle name="40% - Акцент5 9" xfId="807"/>
    <cellStyle name="40% - Акцент5 9 2" xfId="808"/>
    <cellStyle name="40% - Акцент5 9 2 2" xfId="809"/>
    <cellStyle name="40% - Акцент5 9 3" xfId="810"/>
    <cellStyle name="40% - Акцент6 10" xfId="811"/>
    <cellStyle name="40% - Акцент6 10 2" xfId="812"/>
    <cellStyle name="40% - Акцент6 10 2 2" xfId="813"/>
    <cellStyle name="40% - Акцент6 10 3" xfId="814"/>
    <cellStyle name="40% - Акцент6 11" xfId="815"/>
    <cellStyle name="40% - Акцент6 11 2" xfId="816"/>
    <cellStyle name="40% - Акцент6 11 2 2" xfId="817"/>
    <cellStyle name="40% - Акцент6 11 3" xfId="818"/>
    <cellStyle name="40% - Акцент6 12" xfId="819"/>
    <cellStyle name="40% - Акцент6 12 2" xfId="820"/>
    <cellStyle name="40% - Акцент6 12 2 2" xfId="821"/>
    <cellStyle name="40% - Акцент6 12 3" xfId="822"/>
    <cellStyle name="40% - Акцент6 13" xfId="823"/>
    <cellStyle name="40% - Акцент6 13 2" xfId="824"/>
    <cellStyle name="40% - Акцент6 13 2 2" xfId="825"/>
    <cellStyle name="40% - Акцент6 13 3" xfId="826"/>
    <cellStyle name="40% - Акцент6 14" xfId="827"/>
    <cellStyle name="40% - Акцент6 14 2" xfId="828"/>
    <cellStyle name="40% - Акцент6 14 2 2" xfId="829"/>
    <cellStyle name="40% - Акцент6 14 3" xfId="830"/>
    <cellStyle name="40% - Акцент6 15" xfId="831"/>
    <cellStyle name="40% - Акцент6 15 2" xfId="832"/>
    <cellStyle name="40% - Акцент6 16" xfId="833"/>
    <cellStyle name="40% - Акцент6 17" xfId="834"/>
    <cellStyle name="40% - Акцент6 18" xfId="835"/>
    <cellStyle name="40% - Акцент6 19" xfId="836"/>
    <cellStyle name="40% - Акцент6 2" xfId="837"/>
    <cellStyle name="40% - Акцент6 2 2" xfId="838"/>
    <cellStyle name="40% - Акцент6 2 2 2" xfId="839"/>
    <cellStyle name="40% - Акцент6 2 2 3" xfId="840"/>
    <cellStyle name="40% - Акцент6 2 3" xfId="841"/>
    <cellStyle name="40% - Акцент6 2 4" xfId="842"/>
    <cellStyle name="40% - Акцент6 2 4 2" xfId="843"/>
    <cellStyle name="40% - Акцент6 2 5" xfId="844"/>
    <cellStyle name="40% - Акцент6 20" xfId="845"/>
    <cellStyle name="40% - Акцент6 21" xfId="846"/>
    <cellStyle name="40% - Акцент6 3" xfId="847"/>
    <cellStyle name="40% - Акцент6 3 2" xfId="848"/>
    <cellStyle name="40% - Акцент6 3 3" xfId="849"/>
    <cellStyle name="40% - Акцент6 3 3 2" xfId="850"/>
    <cellStyle name="40% - Акцент6 3 4" xfId="851"/>
    <cellStyle name="40% - Акцент6 3 4 2" xfId="852"/>
    <cellStyle name="40% - Акцент6 4" xfId="853"/>
    <cellStyle name="40% - Акцент6 4 2" xfId="854"/>
    <cellStyle name="40% - Акцент6 4 2 2" xfId="855"/>
    <cellStyle name="40% - Акцент6 4 3" xfId="856"/>
    <cellStyle name="40% - Акцент6 5" xfId="857"/>
    <cellStyle name="40% - Акцент6 5 2" xfId="858"/>
    <cellStyle name="40% - Акцент6 5 2 2" xfId="859"/>
    <cellStyle name="40% - Акцент6 5 3" xfId="860"/>
    <cellStyle name="40% - Акцент6 6" xfId="861"/>
    <cellStyle name="40% - Акцент6 6 2" xfId="862"/>
    <cellStyle name="40% - Акцент6 6 2 2" xfId="863"/>
    <cellStyle name="40% - Акцент6 6 3" xfId="864"/>
    <cellStyle name="40% - Акцент6 7" xfId="865"/>
    <cellStyle name="40% - Акцент6 7 2" xfId="866"/>
    <cellStyle name="40% - Акцент6 7 2 2" xfId="867"/>
    <cellStyle name="40% - Акцент6 7 3" xfId="868"/>
    <cellStyle name="40% - Акцент6 8" xfId="869"/>
    <cellStyle name="40% - Акцент6 8 2" xfId="870"/>
    <cellStyle name="40% - Акцент6 8 2 2" xfId="871"/>
    <cellStyle name="40% - Акцент6 8 3" xfId="872"/>
    <cellStyle name="40% - Акцент6 9" xfId="873"/>
    <cellStyle name="40% - Акцент6 9 2" xfId="874"/>
    <cellStyle name="40% - Акцент6 9 2 2" xfId="875"/>
    <cellStyle name="40% - Акцент6 9 3" xfId="876"/>
    <cellStyle name="60% - Акцент1 10" xfId="877"/>
    <cellStyle name="60% - Акцент1 10 2" xfId="878"/>
    <cellStyle name="60% - Акцент1 11" xfId="879"/>
    <cellStyle name="60% - Акцент1 11 2" xfId="880"/>
    <cellStyle name="60% - Акцент1 12" xfId="881"/>
    <cellStyle name="60% - Акцент1 12 2" xfId="882"/>
    <cellStyle name="60% - Акцент1 13" xfId="883"/>
    <cellStyle name="60% - Акцент1 13 2" xfId="884"/>
    <cellStyle name="60% - Акцент1 14" xfId="885"/>
    <cellStyle name="60% - Акцент1 14 2" xfId="886"/>
    <cellStyle name="60% - Акцент1 15" xfId="887"/>
    <cellStyle name="60% - Акцент1 16" xfId="888"/>
    <cellStyle name="60% - Акцент1 17" xfId="889"/>
    <cellStyle name="60% - Акцент1 2" xfId="890"/>
    <cellStyle name="60% - Акцент1 2 2" xfId="891"/>
    <cellStyle name="60% - Акцент1 2 2 2" xfId="892"/>
    <cellStyle name="60% - Акцент1 2 2 3" xfId="893"/>
    <cellStyle name="60% - Акцент1 2 3" xfId="894"/>
    <cellStyle name="60% - Акцент1 2 4" xfId="895"/>
    <cellStyle name="60% - Акцент1 2 5" xfId="896"/>
    <cellStyle name="60% - Акцент1 3" xfId="897"/>
    <cellStyle name="60% - Акцент1 3 2" xfId="898"/>
    <cellStyle name="60% - Акцент1 3 3" xfId="899"/>
    <cellStyle name="60% - Акцент1 3 4" xfId="900"/>
    <cellStyle name="60% - Акцент1 4" xfId="901"/>
    <cellStyle name="60% - Акцент1 4 2" xfId="902"/>
    <cellStyle name="60% - Акцент1 5" xfId="903"/>
    <cellStyle name="60% - Акцент1 5 2" xfId="904"/>
    <cellStyle name="60% - Акцент1 6" xfId="905"/>
    <cellStyle name="60% - Акцент1 6 2" xfId="906"/>
    <cellStyle name="60% - Акцент1 7" xfId="907"/>
    <cellStyle name="60% - Акцент1 7 2" xfId="908"/>
    <cellStyle name="60% - Акцент1 8" xfId="909"/>
    <cellStyle name="60% - Акцент1 8 2" xfId="910"/>
    <cellStyle name="60% - Акцент1 9" xfId="911"/>
    <cellStyle name="60% - Акцент1 9 2" xfId="912"/>
    <cellStyle name="60% - Акцент2 10" xfId="913"/>
    <cellStyle name="60% - Акцент2 10 2" xfId="914"/>
    <cellStyle name="60% - Акцент2 11" xfId="915"/>
    <cellStyle name="60% - Акцент2 11 2" xfId="916"/>
    <cellStyle name="60% - Акцент2 12" xfId="917"/>
    <cellStyle name="60% - Акцент2 12 2" xfId="918"/>
    <cellStyle name="60% - Акцент2 13" xfId="919"/>
    <cellStyle name="60% - Акцент2 13 2" xfId="920"/>
    <cellStyle name="60% - Акцент2 14" xfId="921"/>
    <cellStyle name="60% - Акцент2 14 2" xfId="922"/>
    <cellStyle name="60% - Акцент2 15" xfId="923"/>
    <cellStyle name="60% - Акцент2 16" xfId="924"/>
    <cellStyle name="60% - Акцент2 17" xfId="925"/>
    <cellStyle name="60% - Акцент2 2" xfId="926"/>
    <cellStyle name="60% - Акцент2 2 2" xfId="927"/>
    <cellStyle name="60% - Акцент2 2 2 2" xfId="928"/>
    <cellStyle name="60% - Акцент2 2 2 3" xfId="929"/>
    <cellStyle name="60% - Акцент2 2 3" xfId="930"/>
    <cellStyle name="60% - Акцент2 2 4" xfId="931"/>
    <cellStyle name="60% - Акцент2 2 5" xfId="932"/>
    <cellStyle name="60% - Акцент2 3" xfId="933"/>
    <cellStyle name="60% - Акцент2 3 2" xfId="934"/>
    <cellStyle name="60% - Акцент2 3 3" xfId="935"/>
    <cellStyle name="60% - Акцент2 3 4" xfId="936"/>
    <cellStyle name="60% - Акцент2 4" xfId="937"/>
    <cellStyle name="60% - Акцент2 4 2" xfId="938"/>
    <cellStyle name="60% - Акцент2 5" xfId="939"/>
    <cellStyle name="60% - Акцент2 5 2" xfId="940"/>
    <cellStyle name="60% - Акцент2 6" xfId="941"/>
    <cellStyle name="60% - Акцент2 6 2" xfId="942"/>
    <cellStyle name="60% - Акцент2 7" xfId="943"/>
    <cellStyle name="60% - Акцент2 7 2" xfId="944"/>
    <cellStyle name="60% - Акцент2 8" xfId="945"/>
    <cellStyle name="60% - Акцент2 8 2" xfId="946"/>
    <cellStyle name="60% - Акцент2 9" xfId="947"/>
    <cellStyle name="60% - Акцент2 9 2" xfId="948"/>
    <cellStyle name="60% - Акцент3 10" xfId="949"/>
    <cellStyle name="60% - Акцент3 10 2" xfId="950"/>
    <cellStyle name="60% - Акцент3 11" xfId="951"/>
    <cellStyle name="60% - Акцент3 11 2" xfId="952"/>
    <cellStyle name="60% - Акцент3 12" xfId="953"/>
    <cellStyle name="60% - Акцент3 12 2" xfId="954"/>
    <cellStyle name="60% - Акцент3 13" xfId="955"/>
    <cellStyle name="60% - Акцент3 13 2" xfId="956"/>
    <cellStyle name="60% - Акцент3 14" xfId="957"/>
    <cellStyle name="60% - Акцент3 14 2" xfId="958"/>
    <cellStyle name="60% - Акцент3 15" xfId="959"/>
    <cellStyle name="60% - Акцент3 16" xfId="960"/>
    <cellStyle name="60% - Акцент3 17" xfId="961"/>
    <cellStyle name="60% - Акцент3 2" xfId="962"/>
    <cellStyle name="60% - Акцент3 2 2" xfId="963"/>
    <cellStyle name="60% - Акцент3 2 2 2" xfId="964"/>
    <cellStyle name="60% - Акцент3 2 2 3" xfId="965"/>
    <cellStyle name="60% - Акцент3 2 3" xfId="966"/>
    <cellStyle name="60% - Акцент3 2 4" xfId="967"/>
    <cellStyle name="60% - Акцент3 2 5" xfId="968"/>
    <cellStyle name="60% - Акцент3 3" xfId="969"/>
    <cellStyle name="60% - Акцент3 3 2" xfId="970"/>
    <cellStyle name="60% - Акцент3 3 3" xfId="971"/>
    <cellStyle name="60% - Акцент3 3 4" xfId="972"/>
    <cellStyle name="60% - Акцент3 4" xfId="973"/>
    <cellStyle name="60% - Акцент3 4 2" xfId="974"/>
    <cellStyle name="60% - Акцент3 5" xfId="975"/>
    <cellStyle name="60% - Акцент3 5 2" xfId="976"/>
    <cellStyle name="60% - Акцент3 6" xfId="977"/>
    <cellStyle name="60% - Акцент3 6 2" xfId="978"/>
    <cellStyle name="60% - Акцент3 7" xfId="979"/>
    <cellStyle name="60% - Акцент3 7 2" xfId="980"/>
    <cellStyle name="60% - Акцент3 8" xfId="981"/>
    <cellStyle name="60% - Акцент3 8 2" xfId="982"/>
    <cellStyle name="60% - Акцент3 9" xfId="983"/>
    <cellStyle name="60% - Акцент3 9 2" xfId="984"/>
    <cellStyle name="60% - Акцент4 10" xfId="985"/>
    <cellStyle name="60% - Акцент4 10 2" xfId="986"/>
    <cellStyle name="60% - Акцент4 11" xfId="987"/>
    <cellStyle name="60% - Акцент4 11 2" xfId="988"/>
    <cellStyle name="60% - Акцент4 12" xfId="989"/>
    <cellStyle name="60% - Акцент4 12 2" xfId="990"/>
    <cellStyle name="60% - Акцент4 13" xfId="991"/>
    <cellStyle name="60% - Акцент4 13 2" xfId="992"/>
    <cellStyle name="60% - Акцент4 14" xfId="993"/>
    <cellStyle name="60% - Акцент4 14 2" xfId="994"/>
    <cellStyle name="60% - Акцент4 15" xfId="995"/>
    <cellStyle name="60% - Акцент4 16" xfId="996"/>
    <cellStyle name="60% - Акцент4 17" xfId="997"/>
    <cellStyle name="60% - Акцент4 2" xfId="998"/>
    <cellStyle name="60% - Акцент4 2 2" xfId="999"/>
    <cellStyle name="60% - Акцент4 2 2 2" xfId="1000"/>
    <cellStyle name="60% - Акцент4 2 2 3" xfId="1001"/>
    <cellStyle name="60% - Акцент4 2 3" xfId="1002"/>
    <cellStyle name="60% - Акцент4 2 4" xfId="1003"/>
    <cellStyle name="60% - Акцент4 2 5" xfId="1004"/>
    <cellStyle name="60% - Акцент4 3" xfId="1005"/>
    <cellStyle name="60% - Акцент4 3 2" xfId="1006"/>
    <cellStyle name="60% - Акцент4 3 3" xfId="1007"/>
    <cellStyle name="60% - Акцент4 3 4" xfId="1008"/>
    <cellStyle name="60% - Акцент4 4" xfId="1009"/>
    <cellStyle name="60% - Акцент4 4 2" xfId="1010"/>
    <cellStyle name="60% - Акцент4 5" xfId="1011"/>
    <cellStyle name="60% - Акцент4 5 2" xfId="1012"/>
    <cellStyle name="60% - Акцент4 6" xfId="1013"/>
    <cellStyle name="60% - Акцент4 6 2" xfId="1014"/>
    <cellStyle name="60% - Акцент4 7" xfId="1015"/>
    <cellStyle name="60% - Акцент4 7 2" xfId="1016"/>
    <cellStyle name="60% - Акцент4 8" xfId="1017"/>
    <cellStyle name="60% - Акцент4 8 2" xfId="1018"/>
    <cellStyle name="60% - Акцент4 9" xfId="1019"/>
    <cellStyle name="60% - Акцент4 9 2" xfId="1020"/>
    <cellStyle name="60% - Акцент5 10" xfId="1021"/>
    <cellStyle name="60% - Акцент5 10 2" xfId="1022"/>
    <cellStyle name="60% - Акцент5 11" xfId="1023"/>
    <cellStyle name="60% - Акцент5 11 2" xfId="1024"/>
    <cellStyle name="60% - Акцент5 12" xfId="1025"/>
    <cellStyle name="60% - Акцент5 12 2" xfId="1026"/>
    <cellStyle name="60% - Акцент5 13" xfId="1027"/>
    <cellStyle name="60% - Акцент5 13 2" xfId="1028"/>
    <cellStyle name="60% - Акцент5 14" xfId="1029"/>
    <cellStyle name="60% - Акцент5 14 2" xfId="1030"/>
    <cellStyle name="60% - Акцент5 15" xfId="1031"/>
    <cellStyle name="60% - Акцент5 16" xfId="1032"/>
    <cellStyle name="60% - Акцент5 17" xfId="1033"/>
    <cellStyle name="60% - Акцент5 2" xfId="1034"/>
    <cellStyle name="60% - Акцент5 2 2" xfId="1035"/>
    <cellStyle name="60% - Акцент5 2 2 2" xfId="1036"/>
    <cellStyle name="60% - Акцент5 2 2 3" xfId="1037"/>
    <cellStyle name="60% - Акцент5 2 3" xfId="1038"/>
    <cellStyle name="60% - Акцент5 2 4" xfId="1039"/>
    <cellStyle name="60% - Акцент5 2 5" xfId="1040"/>
    <cellStyle name="60% - Акцент5 3" xfId="1041"/>
    <cellStyle name="60% - Акцент5 3 2" xfId="1042"/>
    <cellStyle name="60% - Акцент5 3 3" xfId="1043"/>
    <cellStyle name="60% - Акцент5 3 4" xfId="1044"/>
    <cellStyle name="60% - Акцент5 4" xfId="1045"/>
    <cellStyle name="60% - Акцент5 4 2" xfId="1046"/>
    <cellStyle name="60% - Акцент5 5" xfId="1047"/>
    <cellStyle name="60% - Акцент5 5 2" xfId="1048"/>
    <cellStyle name="60% - Акцент5 6" xfId="1049"/>
    <cellStyle name="60% - Акцент5 6 2" xfId="1050"/>
    <cellStyle name="60% - Акцент5 7" xfId="1051"/>
    <cellStyle name="60% - Акцент5 7 2" xfId="1052"/>
    <cellStyle name="60% - Акцент5 8" xfId="1053"/>
    <cellStyle name="60% - Акцент5 8 2" xfId="1054"/>
    <cellStyle name="60% - Акцент5 9" xfId="1055"/>
    <cellStyle name="60% - Акцент5 9 2" xfId="1056"/>
    <cellStyle name="60% - Акцент6 10" xfId="1057"/>
    <cellStyle name="60% - Акцент6 10 2" xfId="1058"/>
    <cellStyle name="60% - Акцент6 11" xfId="1059"/>
    <cellStyle name="60% - Акцент6 11 2" xfId="1060"/>
    <cellStyle name="60% - Акцент6 12" xfId="1061"/>
    <cellStyle name="60% - Акцент6 12 2" xfId="1062"/>
    <cellStyle name="60% - Акцент6 13" xfId="1063"/>
    <cellStyle name="60% - Акцент6 13 2" xfId="1064"/>
    <cellStyle name="60% - Акцент6 14" xfId="1065"/>
    <cellStyle name="60% - Акцент6 14 2" xfId="1066"/>
    <cellStyle name="60% - Акцент6 15" xfId="1067"/>
    <cellStyle name="60% - Акцент6 16" xfId="1068"/>
    <cellStyle name="60% - Акцент6 17" xfId="1069"/>
    <cellStyle name="60% - Акцент6 2" xfId="1070"/>
    <cellStyle name="60% - Акцент6 2 2" xfId="1071"/>
    <cellStyle name="60% - Акцент6 2 2 2" xfId="1072"/>
    <cellStyle name="60% - Акцент6 2 2 3" xfId="1073"/>
    <cellStyle name="60% - Акцент6 2 3" xfId="1074"/>
    <cellStyle name="60% - Акцент6 2 4" xfId="1075"/>
    <cellStyle name="60% - Акцент6 2 5" xfId="1076"/>
    <cellStyle name="60% - Акцент6 3" xfId="1077"/>
    <cellStyle name="60% - Акцент6 3 2" xfId="1078"/>
    <cellStyle name="60% - Акцент6 3 3" xfId="1079"/>
    <cellStyle name="60% - Акцент6 3 4" xfId="1080"/>
    <cellStyle name="60% - Акцент6 4" xfId="1081"/>
    <cellStyle name="60% - Акцент6 4 2" xfId="1082"/>
    <cellStyle name="60% - Акцент6 5" xfId="1083"/>
    <cellStyle name="60% - Акцент6 5 2" xfId="1084"/>
    <cellStyle name="60% - Акцент6 6" xfId="1085"/>
    <cellStyle name="60% - Акцент6 6 2" xfId="1086"/>
    <cellStyle name="60% - Акцент6 7" xfId="1087"/>
    <cellStyle name="60% - Акцент6 7 2" xfId="1088"/>
    <cellStyle name="60% - Акцент6 8" xfId="1089"/>
    <cellStyle name="60% - Акцент6 8 2" xfId="1090"/>
    <cellStyle name="60% - Акцент6 9" xfId="1091"/>
    <cellStyle name="60% - Акцент6 9 2" xfId="1092"/>
    <cellStyle name="Accent1 - 20%" xfId="1093"/>
    <cellStyle name="Accent1 - 40%" xfId="1094"/>
    <cellStyle name="Accent1 - 60%" xfId="1095"/>
    <cellStyle name="Accent2 - 20%" xfId="1096"/>
    <cellStyle name="Accent2 - 40%" xfId="1097"/>
    <cellStyle name="Accent2 - 60%" xfId="1098"/>
    <cellStyle name="Accent3 - 20%" xfId="1099"/>
    <cellStyle name="Accent3 - 40%" xfId="1100"/>
    <cellStyle name="Accent3 - 60%" xfId="1101"/>
    <cellStyle name="Accent4 - 20%" xfId="1102"/>
    <cellStyle name="Accent4 - 40%" xfId="1103"/>
    <cellStyle name="Accent4 - 60%" xfId="1104"/>
    <cellStyle name="Accent5 - 20%" xfId="1105"/>
    <cellStyle name="Accent5 - 40%" xfId="1106"/>
    <cellStyle name="Accent5 - 60%" xfId="1107"/>
    <cellStyle name="Accent6 - 20%" xfId="1108"/>
    <cellStyle name="Accent6 - 40%" xfId="1109"/>
    <cellStyle name="Accent6 - 60%" xfId="1110"/>
    <cellStyle name="Emphasis 1" xfId="1111"/>
    <cellStyle name="Emphasis 2" xfId="1112"/>
    <cellStyle name="Emphasis 3" xfId="1113"/>
    <cellStyle name="Euro" xfId="1114"/>
    <cellStyle name="Euro 2" xfId="1115"/>
    <cellStyle name="Euro 2 2" xfId="1116"/>
    <cellStyle name="Euro 3" xfId="1117"/>
    <cellStyle name="Milliers_Feuil1" xfId="1118"/>
    <cellStyle name="Normal 2" xfId="1119"/>
    <cellStyle name="Normal_Afer decors" xfId="1120"/>
    <cellStyle name="Normale_Foglio1" xfId="1121"/>
    <cellStyle name="rpt_cell_center" xfId="1122"/>
    <cellStyle name="s]_x000d__x000a_;LLWLOAD.EXE - LLW loader used by TSI Products_x000d__x000a_load=c:\windows\tsi\llwload.exe_x000d__x000a_;LLWLOAD.EXE - LLW loader used by " xfId="1123"/>
    <cellStyle name="SAPBEXaggData" xfId="1124"/>
    <cellStyle name="SAPBEXaggData 2" xfId="1125"/>
    <cellStyle name="SAPBEXaggData 2 2" xfId="1126"/>
    <cellStyle name="SAPBEXaggData 3" xfId="1127"/>
    <cellStyle name="SAPBEXaggData 3 2" xfId="1128"/>
    <cellStyle name="SAPBEXaggData 4" xfId="1129"/>
    <cellStyle name="SAPBEXaggDataEmph" xfId="1130"/>
    <cellStyle name="SAPBEXaggItem" xfId="1131"/>
    <cellStyle name="SAPBEXaggItemX" xfId="1132"/>
    <cellStyle name="SAPBEXchaText" xfId="1133"/>
    <cellStyle name="SAPBEXexcBad7" xfId="1134"/>
    <cellStyle name="SAPBEXexcBad8" xfId="1135"/>
    <cellStyle name="SAPBEXexcBad9" xfId="1136"/>
    <cellStyle name="SAPBEXexcCritical4" xfId="1137"/>
    <cellStyle name="SAPBEXexcCritical5" xfId="1138"/>
    <cellStyle name="SAPBEXexcCritical6" xfId="1139"/>
    <cellStyle name="SAPBEXexcGood1" xfId="1140"/>
    <cellStyle name="SAPBEXexcGood2" xfId="1141"/>
    <cellStyle name="SAPBEXexcGood3" xfId="1142"/>
    <cellStyle name="SAPBEXfilterDrill" xfId="1143"/>
    <cellStyle name="SAPBEXfilterItem" xfId="1144"/>
    <cellStyle name="SAPBEXfilterText" xfId="1145"/>
    <cellStyle name="SAPBEXformats" xfId="1146"/>
    <cellStyle name="SAPBEXheaderItem" xfId="1147"/>
    <cellStyle name="SAPBEXheaderText" xfId="1148"/>
    <cellStyle name="SAPBEXHLevel0" xfId="1149"/>
    <cellStyle name="SAPBEXHLevel0X" xfId="1150"/>
    <cellStyle name="SAPBEXHLevel1" xfId="1151"/>
    <cellStyle name="SAPBEXHLevel1X" xfId="1152"/>
    <cellStyle name="SAPBEXHLevel2" xfId="1153"/>
    <cellStyle name="SAPBEXHLevel2X" xfId="1154"/>
    <cellStyle name="SAPBEXHLevel3" xfId="1155"/>
    <cellStyle name="SAPBEXHLevel3X" xfId="1156"/>
    <cellStyle name="SAPBEXinputData" xfId="1157"/>
    <cellStyle name="SAPBEXItemHeader" xfId="1158"/>
    <cellStyle name="SAPBEXresData" xfId="1159"/>
    <cellStyle name="SAPBEXresDataEmph" xfId="1160"/>
    <cellStyle name="SAPBEXresItem" xfId="1161"/>
    <cellStyle name="SAPBEXresItemX" xfId="1162"/>
    <cellStyle name="SAPBEXstdData" xfId="1163"/>
    <cellStyle name="SAPBEXstdDataEmph" xfId="1164"/>
    <cellStyle name="SAPBEXstdItem" xfId="1165"/>
    <cellStyle name="SAPBEXstdItem 2" xfId="1166"/>
    <cellStyle name="SAPBEXstdItem 2 2" xfId="1167"/>
    <cellStyle name="SAPBEXstdItem 3" xfId="1168"/>
    <cellStyle name="SAPBEXstdItem 3 2" xfId="1169"/>
    <cellStyle name="SAPBEXstdItem 4" xfId="1170"/>
    <cellStyle name="SAPBEXstdItemX" xfId="1171"/>
    <cellStyle name="SAPBEXtitle" xfId="1172"/>
    <cellStyle name="SAPBEXunassignedItem" xfId="1173"/>
    <cellStyle name="SAPBEXundefined" xfId="1174"/>
    <cellStyle name="Sheet Title" xfId="1175"/>
    <cellStyle name="Style 1" xfId="1176"/>
    <cellStyle name="Style 1 2" xfId="1177"/>
    <cellStyle name="Акцент1 10" xfId="1178"/>
    <cellStyle name="Акцент1 10 2" xfId="1179"/>
    <cellStyle name="Акцент1 11" xfId="1180"/>
    <cellStyle name="Акцент1 11 2" xfId="1181"/>
    <cellStyle name="Акцент1 12" xfId="1182"/>
    <cellStyle name="Акцент1 12 2" xfId="1183"/>
    <cellStyle name="Акцент1 13" xfId="1184"/>
    <cellStyle name="Акцент1 13 2" xfId="1185"/>
    <cellStyle name="Акцент1 14" xfId="1186"/>
    <cellStyle name="Акцент1 14 2" xfId="1187"/>
    <cellStyle name="Акцент1 15" xfId="1188"/>
    <cellStyle name="Акцент1 16" xfId="1189"/>
    <cellStyle name="Акцент1 17" xfId="1190"/>
    <cellStyle name="Акцент1 2" xfId="1191"/>
    <cellStyle name="Акцент1 2 2" xfId="1192"/>
    <cellStyle name="Акцент1 2 2 2" xfId="1193"/>
    <cellStyle name="Акцент1 2 2 3" xfId="1194"/>
    <cellStyle name="Акцент1 2 3" xfId="1195"/>
    <cellStyle name="Акцент1 2 4" xfId="1196"/>
    <cellStyle name="Акцент1 2 5" xfId="1197"/>
    <cellStyle name="Акцент1 3" xfId="1198"/>
    <cellStyle name="Акцент1 3 2" xfId="1199"/>
    <cellStyle name="Акцент1 3 3" xfId="1200"/>
    <cellStyle name="Акцент1 3 4" xfId="1201"/>
    <cellStyle name="Акцент1 4" xfId="1202"/>
    <cellStyle name="Акцент1 4 2" xfId="1203"/>
    <cellStyle name="Акцент1 5" xfId="1204"/>
    <cellStyle name="Акцент1 5 2" xfId="1205"/>
    <cellStyle name="Акцент1 6" xfId="1206"/>
    <cellStyle name="Акцент1 6 2" xfId="1207"/>
    <cellStyle name="Акцент1 7" xfId="1208"/>
    <cellStyle name="Акцент1 7 2" xfId="1209"/>
    <cellStyle name="Акцент1 8" xfId="1210"/>
    <cellStyle name="Акцент1 8 2" xfId="1211"/>
    <cellStyle name="Акцент1 9" xfId="1212"/>
    <cellStyle name="Акцент1 9 2" xfId="1213"/>
    <cellStyle name="Акцент2 10" xfId="1214"/>
    <cellStyle name="Акцент2 10 2" xfId="1215"/>
    <cellStyle name="Акцент2 11" xfId="1216"/>
    <cellStyle name="Акцент2 11 2" xfId="1217"/>
    <cellStyle name="Акцент2 12" xfId="1218"/>
    <cellStyle name="Акцент2 12 2" xfId="1219"/>
    <cellStyle name="Акцент2 13" xfId="1220"/>
    <cellStyle name="Акцент2 13 2" xfId="1221"/>
    <cellStyle name="Акцент2 14" xfId="1222"/>
    <cellStyle name="Акцент2 14 2" xfId="1223"/>
    <cellStyle name="Акцент2 15" xfId="1224"/>
    <cellStyle name="Акцент2 16" xfId="1225"/>
    <cellStyle name="Акцент2 17" xfId="1226"/>
    <cellStyle name="Акцент2 2" xfId="1227"/>
    <cellStyle name="Акцент2 2 2" xfId="1228"/>
    <cellStyle name="Акцент2 2 2 2" xfId="1229"/>
    <cellStyle name="Акцент2 2 2 3" xfId="1230"/>
    <cellStyle name="Акцент2 2 3" xfId="1231"/>
    <cellStyle name="Акцент2 2 4" xfId="1232"/>
    <cellStyle name="Акцент2 2 5" xfId="1233"/>
    <cellStyle name="Акцент2 3" xfId="1234"/>
    <cellStyle name="Акцент2 3 2" xfId="1235"/>
    <cellStyle name="Акцент2 3 3" xfId="1236"/>
    <cellStyle name="Акцент2 3 4" xfId="1237"/>
    <cellStyle name="Акцент2 4" xfId="1238"/>
    <cellStyle name="Акцент2 4 2" xfId="1239"/>
    <cellStyle name="Акцент2 5" xfId="1240"/>
    <cellStyle name="Акцент2 5 2" xfId="1241"/>
    <cellStyle name="Акцент2 6" xfId="1242"/>
    <cellStyle name="Акцент2 6 2" xfId="1243"/>
    <cellStyle name="Акцент2 7" xfId="1244"/>
    <cellStyle name="Акцент2 7 2" xfId="1245"/>
    <cellStyle name="Акцент2 8" xfId="1246"/>
    <cellStyle name="Акцент2 8 2" xfId="1247"/>
    <cellStyle name="Акцент2 9" xfId="1248"/>
    <cellStyle name="Акцент2 9 2" xfId="1249"/>
    <cellStyle name="Акцент3 10" xfId="1250"/>
    <cellStyle name="Акцент3 10 2" xfId="1251"/>
    <cellStyle name="Акцент3 11" xfId="1252"/>
    <cellStyle name="Акцент3 11 2" xfId="1253"/>
    <cellStyle name="Акцент3 12" xfId="1254"/>
    <cellStyle name="Акцент3 12 2" xfId="1255"/>
    <cellStyle name="Акцент3 13" xfId="1256"/>
    <cellStyle name="Акцент3 13 2" xfId="1257"/>
    <cellStyle name="Акцент3 14" xfId="1258"/>
    <cellStyle name="Акцент3 14 2" xfId="1259"/>
    <cellStyle name="Акцент3 15" xfId="1260"/>
    <cellStyle name="Акцент3 16" xfId="1261"/>
    <cellStyle name="Акцент3 17" xfId="1262"/>
    <cellStyle name="Акцент3 2" xfId="1263"/>
    <cellStyle name="Акцент3 2 2" xfId="1264"/>
    <cellStyle name="Акцент3 2 2 2" xfId="1265"/>
    <cellStyle name="Акцент3 2 2 3" xfId="1266"/>
    <cellStyle name="Акцент3 2 3" xfId="1267"/>
    <cellStyle name="Акцент3 2 4" xfId="1268"/>
    <cellStyle name="Акцент3 2 5" xfId="1269"/>
    <cellStyle name="Акцент3 3" xfId="1270"/>
    <cellStyle name="Акцент3 3 2" xfId="1271"/>
    <cellStyle name="Акцент3 3 3" xfId="1272"/>
    <cellStyle name="Акцент3 3 4" xfId="1273"/>
    <cellStyle name="Акцент3 4" xfId="1274"/>
    <cellStyle name="Акцент3 4 2" xfId="1275"/>
    <cellStyle name="Акцент3 5" xfId="1276"/>
    <cellStyle name="Акцент3 5 2" xfId="1277"/>
    <cellStyle name="Акцент3 6" xfId="1278"/>
    <cellStyle name="Акцент3 6 2" xfId="1279"/>
    <cellStyle name="Акцент3 7" xfId="1280"/>
    <cellStyle name="Акцент3 7 2" xfId="1281"/>
    <cellStyle name="Акцент3 8" xfId="1282"/>
    <cellStyle name="Акцент3 8 2" xfId="1283"/>
    <cellStyle name="Акцент3 9" xfId="1284"/>
    <cellStyle name="Акцент3 9 2" xfId="1285"/>
    <cellStyle name="Акцент4 10" xfId="1286"/>
    <cellStyle name="Акцент4 10 2" xfId="1287"/>
    <cellStyle name="Акцент4 11" xfId="1288"/>
    <cellStyle name="Акцент4 11 2" xfId="1289"/>
    <cellStyle name="Акцент4 12" xfId="1290"/>
    <cellStyle name="Акцент4 12 2" xfId="1291"/>
    <cellStyle name="Акцент4 13" xfId="1292"/>
    <cellStyle name="Акцент4 13 2" xfId="1293"/>
    <cellStyle name="Акцент4 14" xfId="1294"/>
    <cellStyle name="Акцент4 14 2" xfId="1295"/>
    <cellStyle name="Акцент4 15" xfId="1296"/>
    <cellStyle name="Акцент4 16" xfId="1297"/>
    <cellStyle name="Акцент4 17" xfId="1298"/>
    <cellStyle name="Акцент4 2" xfId="1299"/>
    <cellStyle name="Акцент4 2 2" xfId="1300"/>
    <cellStyle name="Акцент4 2 2 2" xfId="1301"/>
    <cellStyle name="Акцент4 2 2 3" xfId="1302"/>
    <cellStyle name="Акцент4 2 3" xfId="1303"/>
    <cellStyle name="Акцент4 2 4" xfId="1304"/>
    <cellStyle name="Акцент4 2 5" xfId="1305"/>
    <cellStyle name="Акцент4 3" xfId="1306"/>
    <cellStyle name="Акцент4 3 2" xfId="1307"/>
    <cellStyle name="Акцент4 3 3" xfId="1308"/>
    <cellStyle name="Акцент4 3 4" xfId="1309"/>
    <cellStyle name="Акцент4 4" xfId="1310"/>
    <cellStyle name="Акцент4 4 2" xfId="1311"/>
    <cellStyle name="Акцент4 5" xfId="1312"/>
    <cellStyle name="Акцент4 5 2" xfId="1313"/>
    <cellStyle name="Акцент4 6" xfId="1314"/>
    <cellStyle name="Акцент4 6 2" xfId="1315"/>
    <cellStyle name="Акцент4 7" xfId="1316"/>
    <cellStyle name="Акцент4 7 2" xfId="1317"/>
    <cellStyle name="Акцент4 8" xfId="1318"/>
    <cellStyle name="Акцент4 8 2" xfId="1319"/>
    <cellStyle name="Акцент4 9" xfId="1320"/>
    <cellStyle name="Акцент4 9 2" xfId="1321"/>
    <cellStyle name="Акцент5 10" xfId="1322"/>
    <cellStyle name="Акцент5 10 2" xfId="1323"/>
    <cellStyle name="Акцент5 11" xfId="1324"/>
    <cellStyle name="Акцент5 11 2" xfId="1325"/>
    <cellStyle name="Акцент5 12" xfId="1326"/>
    <cellStyle name="Акцент5 12 2" xfId="1327"/>
    <cellStyle name="Акцент5 13" xfId="1328"/>
    <cellStyle name="Акцент5 13 2" xfId="1329"/>
    <cellStyle name="Акцент5 14" xfId="1330"/>
    <cellStyle name="Акцент5 14 2" xfId="1331"/>
    <cellStyle name="Акцент5 15" xfId="1332"/>
    <cellStyle name="Акцент5 16" xfId="1333"/>
    <cellStyle name="Акцент5 17" xfId="1334"/>
    <cellStyle name="Акцент5 2" xfId="1335"/>
    <cellStyle name="Акцент5 2 2" xfId="1336"/>
    <cellStyle name="Акцент5 2 2 2" xfId="1337"/>
    <cellStyle name="Акцент5 2 2 3" xfId="1338"/>
    <cellStyle name="Акцент5 2 3" xfId="1339"/>
    <cellStyle name="Акцент5 2 4" xfId="1340"/>
    <cellStyle name="Акцент5 2 5" xfId="1341"/>
    <cellStyle name="Акцент5 3" xfId="1342"/>
    <cellStyle name="Акцент5 3 2" xfId="1343"/>
    <cellStyle name="Акцент5 3 3" xfId="1344"/>
    <cellStyle name="Акцент5 3 4" xfId="1345"/>
    <cellStyle name="Акцент5 4" xfId="1346"/>
    <cellStyle name="Акцент5 4 2" xfId="1347"/>
    <cellStyle name="Акцент5 5" xfId="1348"/>
    <cellStyle name="Акцент5 5 2" xfId="1349"/>
    <cellStyle name="Акцент5 6" xfId="1350"/>
    <cellStyle name="Акцент5 6 2" xfId="1351"/>
    <cellStyle name="Акцент5 7" xfId="1352"/>
    <cellStyle name="Акцент5 7 2" xfId="1353"/>
    <cellStyle name="Акцент5 8" xfId="1354"/>
    <cellStyle name="Акцент5 8 2" xfId="1355"/>
    <cellStyle name="Акцент5 9" xfId="1356"/>
    <cellStyle name="Акцент5 9 2" xfId="1357"/>
    <cellStyle name="Акцент6 10" xfId="1358"/>
    <cellStyle name="Акцент6 10 2" xfId="1359"/>
    <cellStyle name="Акцент6 11" xfId="1360"/>
    <cellStyle name="Акцент6 11 2" xfId="1361"/>
    <cellStyle name="Акцент6 12" xfId="1362"/>
    <cellStyle name="Акцент6 12 2" xfId="1363"/>
    <cellStyle name="Акцент6 13" xfId="1364"/>
    <cellStyle name="Акцент6 13 2" xfId="1365"/>
    <cellStyle name="Акцент6 14" xfId="1366"/>
    <cellStyle name="Акцент6 14 2" xfId="1367"/>
    <cellStyle name="Акцент6 15" xfId="1368"/>
    <cellStyle name="Акцент6 16" xfId="1369"/>
    <cellStyle name="Акцент6 17" xfId="1370"/>
    <cellStyle name="Акцент6 2" xfId="1371"/>
    <cellStyle name="Акцент6 2 2" xfId="1372"/>
    <cellStyle name="Акцент6 2 2 2" xfId="1373"/>
    <cellStyle name="Акцент6 2 2 3" xfId="1374"/>
    <cellStyle name="Акцент6 2 3" xfId="1375"/>
    <cellStyle name="Акцент6 2 4" xfId="1376"/>
    <cellStyle name="Акцент6 2 5" xfId="1377"/>
    <cellStyle name="Акцент6 3" xfId="1378"/>
    <cellStyle name="Акцент6 3 2" xfId="1379"/>
    <cellStyle name="Акцент6 3 3" xfId="1380"/>
    <cellStyle name="Акцент6 3 4" xfId="1381"/>
    <cellStyle name="Акцент6 4" xfId="1382"/>
    <cellStyle name="Акцент6 4 2" xfId="1383"/>
    <cellStyle name="Акцент6 5" xfId="1384"/>
    <cellStyle name="Акцент6 5 2" xfId="1385"/>
    <cellStyle name="Акцент6 6" xfId="1386"/>
    <cellStyle name="Акцент6 6 2" xfId="1387"/>
    <cellStyle name="Акцент6 7" xfId="1388"/>
    <cellStyle name="Акцент6 7 2" xfId="1389"/>
    <cellStyle name="Акцент6 8" xfId="1390"/>
    <cellStyle name="Акцент6 8 2" xfId="1391"/>
    <cellStyle name="Акцент6 9" xfId="1392"/>
    <cellStyle name="Акцент6 9 2" xfId="1393"/>
    <cellStyle name="Ввод  10" xfId="1394"/>
    <cellStyle name="Ввод  10 2" xfId="1395"/>
    <cellStyle name="Ввод  11" xfId="1396"/>
    <cellStyle name="Ввод  11 2" xfId="1397"/>
    <cellStyle name="Ввод  12" xfId="1398"/>
    <cellStyle name="Ввод  12 2" xfId="1399"/>
    <cellStyle name="Ввод  13" xfId="1400"/>
    <cellStyle name="Ввод  13 2" xfId="1401"/>
    <cellStyle name="Ввод  14" xfId="1402"/>
    <cellStyle name="Ввод  14 2" xfId="1403"/>
    <cellStyle name="Ввод  15" xfId="1404"/>
    <cellStyle name="Ввод  16" xfId="1405"/>
    <cellStyle name="Ввод  16 2" xfId="1406"/>
    <cellStyle name="Ввод  16 2 2" xfId="1407"/>
    <cellStyle name="Ввод  16 3" xfId="1408"/>
    <cellStyle name="Ввод  16 3 2" xfId="1409"/>
    <cellStyle name="Ввод  16 4" xfId="1410"/>
    <cellStyle name="Ввод  17" xfId="1411"/>
    <cellStyle name="Ввод  17 2" xfId="1412"/>
    <cellStyle name="Ввод  17 2 2" xfId="1413"/>
    <cellStyle name="Ввод  17 3" xfId="1414"/>
    <cellStyle name="Ввод  17 3 2" xfId="1415"/>
    <cellStyle name="Ввод  17 4" xfId="1416"/>
    <cellStyle name="Ввод  2" xfId="1417"/>
    <cellStyle name="Ввод  2 2" xfId="1418"/>
    <cellStyle name="Ввод  2 2 2" xfId="1419"/>
    <cellStyle name="Ввод  2 2 3" xfId="1420"/>
    <cellStyle name="Ввод  2 3" xfId="1421"/>
    <cellStyle name="Ввод  2 4" xfId="1422"/>
    <cellStyle name="Ввод  2 5" xfId="1423"/>
    <cellStyle name="Ввод  3" xfId="1424"/>
    <cellStyle name="Ввод  3 2" xfId="1425"/>
    <cellStyle name="Ввод  3 2 2" xfId="1426"/>
    <cellStyle name="Ввод  3 2 2 2" xfId="1427"/>
    <cellStyle name="Ввод  3 2 3" xfId="1428"/>
    <cellStyle name="Ввод  3 2 3 2" xfId="1429"/>
    <cellStyle name="Ввод  3 2 4" xfId="1430"/>
    <cellStyle name="Ввод  3 3" xfId="1431"/>
    <cellStyle name="Ввод  3 4" xfId="1432"/>
    <cellStyle name="Ввод  3 5" xfId="1433"/>
    <cellStyle name="Ввод  3 5 2" xfId="1434"/>
    <cellStyle name="Ввод  3 5 2 2" xfId="1435"/>
    <cellStyle name="Ввод  3 5 3" xfId="1436"/>
    <cellStyle name="Ввод  3 5 3 2" xfId="1437"/>
    <cellStyle name="Ввод  3 5 4" xfId="1438"/>
    <cellStyle name="Ввод  3 6" xfId="1439"/>
    <cellStyle name="Ввод  3 6 2" xfId="1440"/>
    <cellStyle name="Ввод  3 7" xfId="1441"/>
    <cellStyle name="Ввод  3 7 2" xfId="1442"/>
    <cellStyle name="Ввод  3 8" xfId="1443"/>
    <cellStyle name="Ввод  4" xfId="1444"/>
    <cellStyle name="Ввод  4 2" xfId="1445"/>
    <cellStyle name="Ввод  4 3" xfId="1446"/>
    <cellStyle name="Ввод  4 3 2" xfId="1447"/>
    <cellStyle name="Ввод  4 3 2 2" xfId="1448"/>
    <cellStyle name="Ввод  4 3 3" xfId="1449"/>
    <cellStyle name="Ввод  4 3 3 2" xfId="1450"/>
    <cellStyle name="Ввод  4 3 4" xfId="1451"/>
    <cellStyle name="Ввод  4 4" xfId="1452"/>
    <cellStyle name="Ввод  4 5" xfId="1453"/>
    <cellStyle name="Ввод  4 5 2" xfId="1454"/>
    <cellStyle name="Ввод  4 6" xfId="1455"/>
    <cellStyle name="Ввод  4 6 2" xfId="1456"/>
    <cellStyle name="Ввод  5" xfId="1457"/>
    <cellStyle name="Ввод  5 2" xfId="1458"/>
    <cellStyle name="Ввод  6" xfId="1459"/>
    <cellStyle name="Ввод  6 2" xfId="1460"/>
    <cellStyle name="Ввод  7" xfId="1461"/>
    <cellStyle name="Ввод  7 2" xfId="1462"/>
    <cellStyle name="Ввод  8" xfId="1463"/>
    <cellStyle name="Ввод  8 2" xfId="1464"/>
    <cellStyle name="Ввод  9" xfId="1465"/>
    <cellStyle name="Ввод  9 2" xfId="1466"/>
    <cellStyle name="Вывод 10" xfId="1467"/>
    <cellStyle name="Вывод 10 2" xfId="1468"/>
    <cellStyle name="Вывод 11" xfId="1469"/>
    <cellStyle name="Вывод 11 2" xfId="1470"/>
    <cellStyle name="Вывод 12" xfId="1471"/>
    <cellStyle name="Вывод 12 2" xfId="1472"/>
    <cellStyle name="Вывод 13" xfId="1473"/>
    <cellStyle name="Вывод 13 2" xfId="1474"/>
    <cellStyle name="Вывод 14" xfId="1475"/>
    <cellStyle name="Вывод 14 2" xfId="1476"/>
    <cellStyle name="Вывод 15" xfId="1477"/>
    <cellStyle name="Вывод 16" xfId="1478"/>
    <cellStyle name="Вывод 16 2" xfId="1479"/>
    <cellStyle name="Вывод 16 2 2" xfId="1480"/>
    <cellStyle name="Вывод 16 3" xfId="1481"/>
    <cellStyle name="Вывод 16 3 2" xfId="1482"/>
    <cellStyle name="Вывод 16 4" xfId="1483"/>
    <cellStyle name="Вывод 17" xfId="1484"/>
    <cellStyle name="Вывод 17 2" xfId="1485"/>
    <cellStyle name="Вывод 17 2 2" xfId="1486"/>
    <cellStyle name="Вывод 17 3" xfId="1487"/>
    <cellStyle name="Вывод 17 3 2" xfId="1488"/>
    <cellStyle name="Вывод 17 4" xfId="1489"/>
    <cellStyle name="Вывод 2" xfId="1490"/>
    <cellStyle name="Вывод 2 2" xfId="1491"/>
    <cellStyle name="Вывод 2 2 2" xfId="1492"/>
    <cellStyle name="Вывод 2 2 3" xfId="1493"/>
    <cellStyle name="Вывод 2 3" xfId="1494"/>
    <cellStyle name="Вывод 2 4" xfId="1495"/>
    <cellStyle name="Вывод 2 5" xfId="1496"/>
    <cellStyle name="Вывод 3" xfId="1497"/>
    <cellStyle name="Вывод 3 2" xfId="1498"/>
    <cellStyle name="Вывод 3 2 2" xfId="1499"/>
    <cellStyle name="Вывод 3 2 2 2" xfId="1500"/>
    <cellStyle name="Вывод 3 2 3" xfId="1501"/>
    <cellStyle name="Вывод 3 2 3 2" xfId="1502"/>
    <cellStyle name="Вывод 3 2 4" xfId="1503"/>
    <cellStyle name="Вывод 3 3" xfId="1504"/>
    <cellStyle name="Вывод 3 4" xfId="1505"/>
    <cellStyle name="Вывод 3 5" xfId="1506"/>
    <cellStyle name="Вывод 3 5 2" xfId="1507"/>
    <cellStyle name="Вывод 3 5 2 2" xfId="1508"/>
    <cellStyle name="Вывод 3 5 3" xfId="1509"/>
    <cellStyle name="Вывод 3 5 3 2" xfId="1510"/>
    <cellStyle name="Вывод 3 5 4" xfId="1511"/>
    <cellStyle name="Вывод 3 6" xfId="1512"/>
    <cellStyle name="Вывод 3 6 2" xfId="1513"/>
    <cellStyle name="Вывод 3 7" xfId="1514"/>
    <cellStyle name="Вывод 3 7 2" xfId="1515"/>
    <cellStyle name="Вывод 3 8" xfId="1516"/>
    <cellStyle name="Вывод 4" xfId="1517"/>
    <cellStyle name="Вывод 4 2" xfId="1518"/>
    <cellStyle name="Вывод 4 3" xfId="1519"/>
    <cellStyle name="Вывод 4 3 2" xfId="1520"/>
    <cellStyle name="Вывод 4 3 2 2" xfId="1521"/>
    <cellStyle name="Вывод 4 3 3" xfId="1522"/>
    <cellStyle name="Вывод 4 3 3 2" xfId="1523"/>
    <cellStyle name="Вывод 4 3 4" xfId="1524"/>
    <cellStyle name="Вывод 4 4" xfId="1525"/>
    <cellStyle name="Вывод 4 5" xfId="1526"/>
    <cellStyle name="Вывод 4 5 2" xfId="1527"/>
    <cellStyle name="Вывод 4 6" xfId="1528"/>
    <cellStyle name="Вывод 4 6 2" xfId="1529"/>
    <cellStyle name="Вывод 5" xfId="1530"/>
    <cellStyle name="Вывод 5 2" xfId="1531"/>
    <cellStyle name="Вывод 6" xfId="1532"/>
    <cellStyle name="Вывод 6 2" xfId="1533"/>
    <cellStyle name="Вывод 7" xfId="1534"/>
    <cellStyle name="Вывод 7 2" xfId="1535"/>
    <cellStyle name="Вывод 8" xfId="1536"/>
    <cellStyle name="Вывод 8 2" xfId="1537"/>
    <cellStyle name="Вывод 9" xfId="1538"/>
    <cellStyle name="Вывод 9 2" xfId="1539"/>
    <cellStyle name="Вычисление 10" xfId="1540"/>
    <cellStyle name="Вычисление 10 2" xfId="1541"/>
    <cellStyle name="Вычисление 11" xfId="1542"/>
    <cellStyle name="Вычисление 11 2" xfId="1543"/>
    <cellStyle name="Вычисление 12" xfId="1544"/>
    <cellStyle name="Вычисление 12 2" xfId="1545"/>
    <cellStyle name="Вычисление 13" xfId="1546"/>
    <cellStyle name="Вычисление 13 2" xfId="1547"/>
    <cellStyle name="Вычисление 14" xfId="1548"/>
    <cellStyle name="Вычисление 14 2" xfId="1549"/>
    <cellStyle name="Вычисление 15" xfId="1550"/>
    <cellStyle name="Вычисление 16" xfId="1551"/>
    <cellStyle name="Вычисление 16 2" xfId="1552"/>
    <cellStyle name="Вычисление 16 2 2" xfId="1553"/>
    <cellStyle name="Вычисление 16 3" xfId="1554"/>
    <cellStyle name="Вычисление 16 3 2" xfId="1555"/>
    <cellStyle name="Вычисление 16 4" xfId="1556"/>
    <cellStyle name="Вычисление 17" xfId="1557"/>
    <cellStyle name="Вычисление 17 2" xfId="1558"/>
    <cellStyle name="Вычисление 17 2 2" xfId="1559"/>
    <cellStyle name="Вычисление 17 3" xfId="1560"/>
    <cellStyle name="Вычисление 17 3 2" xfId="1561"/>
    <cellStyle name="Вычисление 17 4" xfId="1562"/>
    <cellStyle name="Вычисление 2" xfId="1563"/>
    <cellStyle name="Вычисление 2 2" xfId="1564"/>
    <cellStyle name="Вычисление 2 2 2" xfId="1565"/>
    <cellStyle name="Вычисление 2 2 3" xfId="1566"/>
    <cellStyle name="Вычисление 2 3" xfId="1567"/>
    <cellStyle name="Вычисление 2 4" xfId="1568"/>
    <cellStyle name="Вычисление 2 5" xfId="1569"/>
    <cellStyle name="Вычисление 3" xfId="1570"/>
    <cellStyle name="Вычисление 3 2" xfId="1571"/>
    <cellStyle name="Вычисление 3 2 2" xfId="1572"/>
    <cellStyle name="Вычисление 3 2 2 2" xfId="1573"/>
    <cellStyle name="Вычисление 3 2 3" xfId="1574"/>
    <cellStyle name="Вычисление 3 2 3 2" xfId="1575"/>
    <cellStyle name="Вычисление 3 2 4" xfId="1576"/>
    <cellStyle name="Вычисление 3 3" xfId="1577"/>
    <cellStyle name="Вычисление 3 4" xfId="1578"/>
    <cellStyle name="Вычисление 3 5" xfId="1579"/>
    <cellStyle name="Вычисление 3 5 2" xfId="1580"/>
    <cellStyle name="Вычисление 3 5 2 2" xfId="1581"/>
    <cellStyle name="Вычисление 3 5 3" xfId="1582"/>
    <cellStyle name="Вычисление 3 5 3 2" xfId="1583"/>
    <cellStyle name="Вычисление 3 5 4" xfId="1584"/>
    <cellStyle name="Вычисление 3 6" xfId="1585"/>
    <cellStyle name="Вычисление 3 6 2" xfId="1586"/>
    <cellStyle name="Вычисление 3 7" xfId="1587"/>
    <cellStyle name="Вычисление 3 7 2" xfId="1588"/>
    <cellStyle name="Вычисление 3 8" xfId="1589"/>
    <cellStyle name="Вычисление 4" xfId="1590"/>
    <cellStyle name="Вычисление 4 2" xfId="1591"/>
    <cellStyle name="Вычисление 4 3" xfId="1592"/>
    <cellStyle name="Вычисление 4 3 2" xfId="1593"/>
    <cellStyle name="Вычисление 4 3 2 2" xfId="1594"/>
    <cellStyle name="Вычисление 4 3 3" xfId="1595"/>
    <cellStyle name="Вычисление 4 3 3 2" xfId="1596"/>
    <cellStyle name="Вычисление 4 3 4" xfId="1597"/>
    <cellStyle name="Вычисление 4 4" xfId="1598"/>
    <cellStyle name="Вычисление 4 5" xfId="1599"/>
    <cellStyle name="Вычисление 4 5 2" xfId="1600"/>
    <cellStyle name="Вычисление 4 6" xfId="1601"/>
    <cellStyle name="Вычисление 4 6 2" xfId="1602"/>
    <cellStyle name="Вычисление 5" xfId="1603"/>
    <cellStyle name="Вычисление 5 2" xfId="1604"/>
    <cellStyle name="Вычисление 6" xfId="1605"/>
    <cellStyle name="Вычисление 6 2" xfId="1606"/>
    <cellStyle name="Вычисление 7" xfId="1607"/>
    <cellStyle name="Вычисление 7 2" xfId="1608"/>
    <cellStyle name="Вычисление 8" xfId="1609"/>
    <cellStyle name="Вычисление 8 2" xfId="1610"/>
    <cellStyle name="Вычисление 9" xfId="1611"/>
    <cellStyle name="Вычисление 9 2" xfId="1612"/>
    <cellStyle name="Гиперссылка 2" xfId="1613"/>
    <cellStyle name="Гиперссылка 2 2" xfId="1614"/>
    <cellStyle name="Денежный 2" xfId="1615"/>
    <cellStyle name="Заголовок 1 10" xfId="1616"/>
    <cellStyle name="Заголовок 1 10 2" xfId="1617"/>
    <cellStyle name="Заголовок 1 11" xfId="1618"/>
    <cellStyle name="Заголовок 1 11 2" xfId="1619"/>
    <cellStyle name="Заголовок 1 12" xfId="1620"/>
    <cellStyle name="Заголовок 1 12 2" xfId="1621"/>
    <cellStyle name="Заголовок 1 13" xfId="1622"/>
    <cellStyle name="Заголовок 1 13 2" xfId="1623"/>
    <cellStyle name="Заголовок 1 14" xfId="1624"/>
    <cellStyle name="Заголовок 1 14 2" xfId="1625"/>
    <cellStyle name="Заголовок 1 15" xfId="1626"/>
    <cellStyle name="Заголовок 1 16" xfId="1627"/>
    <cellStyle name="Заголовок 1 17" xfId="1628"/>
    <cellStyle name="Заголовок 1 2" xfId="1629"/>
    <cellStyle name="Заголовок 1 2 2" xfId="1630"/>
    <cellStyle name="Заголовок 1 2 2 2" xfId="1631"/>
    <cellStyle name="Заголовок 1 2 2 3" xfId="1632"/>
    <cellStyle name="Заголовок 1 2 3" xfId="1633"/>
    <cellStyle name="Заголовок 1 2 4" xfId="1634"/>
    <cellStyle name="Заголовок 1 2 5" xfId="1635"/>
    <cellStyle name="Заголовок 1 3" xfId="1636"/>
    <cellStyle name="Заголовок 1 3 2" xfId="1637"/>
    <cellStyle name="Заголовок 1 3 3" xfId="1638"/>
    <cellStyle name="Заголовок 1 3 4" xfId="1639"/>
    <cellStyle name="Заголовок 1 4" xfId="1640"/>
    <cellStyle name="Заголовок 1 4 2" xfId="1641"/>
    <cellStyle name="Заголовок 1 5" xfId="1642"/>
    <cellStyle name="Заголовок 1 5 2" xfId="1643"/>
    <cellStyle name="Заголовок 1 6" xfId="1644"/>
    <cellStyle name="Заголовок 1 6 2" xfId="1645"/>
    <cellStyle name="Заголовок 1 7" xfId="1646"/>
    <cellStyle name="Заголовок 1 7 2" xfId="1647"/>
    <cellStyle name="Заголовок 1 8" xfId="1648"/>
    <cellStyle name="Заголовок 1 8 2" xfId="1649"/>
    <cellStyle name="Заголовок 1 9" xfId="1650"/>
    <cellStyle name="Заголовок 1 9 2" xfId="1651"/>
    <cellStyle name="Заголовок 2 10" xfId="1652"/>
    <cellStyle name="Заголовок 2 10 2" xfId="1653"/>
    <cellStyle name="Заголовок 2 11" xfId="1654"/>
    <cellStyle name="Заголовок 2 11 2" xfId="1655"/>
    <cellStyle name="Заголовок 2 12" xfId="1656"/>
    <cellStyle name="Заголовок 2 12 2" xfId="1657"/>
    <cellStyle name="Заголовок 2 13" xfId="1658"/>
    <cellStyle name="Заголовок 2 13 2" xfId="1659"/>
    <cellStyle name="Заголовок 2 14" xfId="1660"/>
    <cellStyle name="Заголовок 2 14 2" xfId="1661"/>
    <cellStyle name="Заголовок 2 15" xfId="1662"/>
    <cellStyle name="Заголовок 2 16" xfId="1663"/>
    <cellStyle name="Заголовок 2 17" xfId="1664"/>
    <cellStyle name="Заголовок 2 2" xfId="1665"/>
    <cellStyle name="Заголовок 2 2 2" xfId="1666"/>
    <cellStyle name="Заголовок 2 2 2 2" xfId="1667"/>
    <cellStyle name="Заголовок 2 2 2 3" xfId="1668"/>
    <cellStyle name="Заголовок 2 2 3" xfId="1669"/>
    <cellStyle name="Заголовок 2 2 4" xfId="1670"/>
    <cellStyle name="Заголовок 2 2 5" xfId="1671"/>
    <cellStyle name="Заголовок 2 3" xfId="1672"/>
    <cellStyle name="Заголовок 2 3 2" xfId="1673"/>
    <cellStyle name="Заголовок 2 3 3" xfId="1674"/>
    <cellStyle name="Заголовок 2 3 4" xfId="1675"/>
    <cellStyle name="Заголовок 2 4" xfId="1676"/>
    <cellStyle name="Заголовок 2 4 2" xfId="1677"/>
    <cellStyle name="Заголовок 2 5" xfId="1678"/>
    <cellStyle name="Заголовок 2 5 2" xfId="1679"/>
    <cellStyle name="Заголовок 2 6" xfId="1680"/>
    <cellStyle name="Заголовок 2 6 2" xfId="1681"/>
    <cellStyle name="Заголовок 2 7" xfId="1682"/>
    <cellStyle name="Заголовок 2 7 2" xfId="1683"/>
    <cellStyle name="Заголовок 2 8" xfId="1684"/>
    <cellStyle name="Заголовок 2 8 2" xfId="1685"/>
    <cellStyle name="Заголовок 2 9" xfId="1686"/>
    <cellStyle name="Заголовок 2 9 2" xfId="1687"/>
    <cellStyle name="Заголовок 3 10" xfId="1688"/>
    <cellStyle name="Заголовок 3 10 2" xfId="1689"/>
    <cellStyle name="Заголовок 3 11" xfId="1690"/>
    <cellStyle name="Заголовок 3 11 2" xfId="1691"/>
    <cellStyle name="Заголовок 3 12" xfId="1692"/>
    <cellStyle name="Заголовок 3 12 2" xfId="1693"/>
    <cellStyle name="Заголовок 3 13" xfId="1694"/>
    <cellStyle name="Заголовок 3 13 2" xfId="1695"/>
    <cellStyle name="Заголовок 3 14" xfId="1696"/>
    <cellStyle name="Заголовок 3 14 2" xfId="1697"/>
    <cellStyle name="Заголовок 3 15" xfId="1698"/>
    <cellStyle name="Заголовок 3 16" xfId="1699"/>
    <cellStyle name="Заголовок 3 17" xfId="1700"/>
    <cellStyle name="Заголовок 3 2" xfId="1701"/>
    <cellStyle name="Заголовок 3 2 2" xfId="1702"/>
    <cellStyle name="Заголовок 3 2 2 2" xfId="1703"/>
    <cellStyle name="Заголовок 3 2 2 3" xfId="1704"/>
    <cellStyle name="Заголовок 3 2 3" xfId="1705"/>
    <cellStyle name="Заголовок 3 2 4" xfId="1706"/>
    <cellStyle name="Заголовок 3 2 5" xfId="1707"/>
    <cellStyle name="Заголовок 3 3" xfId="1708"/>
    <cellStyle name="Заголовок 3 3 2" xfId="1709"/>
    <cellStyle name="Заголовок 3 3 3" xfId="1710"/>
    <cellStyle name="Заголовок 3 3 4" xfId="1711"/>
    <cellStyle name="Заголовок 3 4" xfId="1712"/>
    <cellStyle name="Заголовок 3 4 2" xfId="1713"/>
    <cellStyle name="Заголовок 3 5" xfId="1714"/>
    <cellStyle name="Заголовок 3 5 2" xfId="1715"/>
    <cellStyle name="Заголовок 3 6" xfId="1716"/>
    <cellStyle name="Заголовок 3 6 2" xfId="1717"/>
    <cellStyle name="Заголовок 3 7" xfId="1718"/>
    <cellStyle name="Заголовок 3 7 2" xfId="1719"/>
    <cellStyle name="Заголовок 3 8" xfId="1720"/>
    <cellStyle name="Заголовок 3 8 2" xfId="1721"/>
    <cellStyle name="Заголовок 3 9" xfId="1722"/>
    <cellStyle name="Заголовок 3 9 2" xfId="1723"/>
    <cellStyle name="Заголовок 4 10" xfId="1724"/>
    <cellStyle name="Заголовок 4 10 2" xfId="1725"/>
    <cellStyle name="Заголовок 4 11" xfId="1726"/>
    <cellStyle name="Заголовок 4 11 2" xfId="1727"/>
    <cellStyle name="Заголовок 4 12" xfId="1728"/>
    <cellStyle name="Заголовок 4 12 2" xfId="1729"/>
    <cellStyle name="Заголовок 4 13" xfId="1730"/>
    <cellStyle name="Заголовок 4 13 2" xfId="1731"/>
    <cellStyle name="Заголовок 4 14" xfId="1732"/>
    <cellStyle name="Заголовок 4 14 2" xfId="1733"/>
    <cellStyle name="Заголовок 4 15" xfId="1734"/>
    <cellStyle name="Заголовок 4 16" xfId="1735"/>
    <cellStyle name="Заголовок 4 17" xfId="1736"/>
    <cellStyle name="Заголовок 4 2" xfId="1737"/>
    <cellStyle name="Заголовок 4 2 2" xfId="1738"/>
    <cellStyle name="Заголовок 4 2 2 2" xfId="1739"/>
    <cellStyle name="Заголовок 4 2 2 3" xfId="1740"/>
    <cellStyle name="Заголовок 4 2 3" xfId="1741"/>
    <cellStyle name="Заголовок 4 2 4" xfId="1742"/>
    <cellStyle name="Заголовок 4 2 5" xfId="1743"/>
    <cellStyle name="Заголовок 4 3" xfId="1744"/>
    <cellStyle name="Заголовок 4 3 2" xfId="1745"/>
    <cellStyle name="Заголовок 4 3 3" xfId="1746"/>
    <cellStyle name="Заголовок 4 3 4" xfId="1747"/>
    <cellStyle name="Заголовок 4 4" xfId="1748"/>
    <cellStyle name="Заголовок 4 4 2" xfId="1749"/>
    <cellStyle name="Заголовок 4 5" xfId="1750"/>
    <cellStyle name="Заголовок 4 5 2" xfId="1751"/>
    <cellStyle name="Заголовок 4 6" xfId="1752"/>
    <cellStyle name="Заголовок 4 6 2" xfId="1753"/>
    <cellStyle name="Заголовок 4 7" xfId="1754"/>
    <cellStyle name="Заголовок 4 7 2" xfId="1755"/>
    <cellStyle name="Заголовок 4 8" xfId="1756"/>
    <cellStyle name="Заголовок 4 8 2" xfId="1757"/>
    <cellStyle name="Заголовок 4 9" xfId="1758"/>
    <cellStyle name="Заголовок 4 9 2" xfId="1759"/>
    <cellStyle name="Итог 10" xfId="1760"/>
    <cellStyle name="Итог 10 2" xfId="1761"/>
    <cellStyle name="Итог 11" xfId="1762"/>
    <cellStyle name="Итог 11 2" xfId="1763"/>
    <cellStyle name="Итог 12" xfId="1764"/>
    <cellStyle name="Итог 12 2" xfId="1765"/>
    <cellStyle name="Итог 13" xfId="1766"/>
    <cellStyle name="Итог 13 2" xfId="1767"/>
    <cellStyle name="Итог 14" xfId="1768"/>
    <cellStyle name="Итог 14 2" xfId="1769"/>
    <cellStyle name="Итог 15" xfId="1770"/>
    <cellStyle name="Итог 16" xfId="1771"/>
    <cellStyle name="Итог 16 2" xfId="1772"/>
    <cellStyle name="Итог 16 2 2" xfId="1773"/>
    <cellStyle name="Итог 16 3" xfId="1774"/>
    <cellStyle name="Итог 16 3 2" xfId="1775"/>
    <cellStyle name="Итог 16 4" xfId="1776"/>
    <cellStyle name="Итог 17" xfId="1777"/>
    <cellStyle name="Итог 17 2" xfId="1778"/>
    <cellStyle name="Итог 17 2 2" xfId="1779"/>
    <cellStyle name="Итог 17 3" xfId="1780"/>
    <cellStyle name="Итог 17 3 2" xfId="1781"/>
    <cellStyle name="Итог 17 4" xfId="1782"/>
    <cellStyle name="Итог 2" xfId="1783"/>
    <cellStyle name="Итог 2 2" xfId="1784"/>
    <cellStyle name="Итог 2 2 2" xfId="1785"/>
    <cellStyle name="Итог 2 2 3" xfId="1786"/>
    <cellStyle name="Итог 2 3" xfId="1787"/>
    <cellStyle name="Итог 2 4" xfId="1788"/>
    <cellStyle name="Итог 2 5" xfId="1789"/>
    <cellStyle name="Итог 3" xfId="1790"/>
    <cellStyle name="Итог 3 2" xfId="1791"/>
    <cellStyle name="Итог 3 2 2" xfId="1792"/>
    <cellStyle name="Итог 3 2 2 2" xfId="1793"/>
    <cellStyle name="Итог 3 2 3" xfId="1794"/>
    <cellStyle name="Итог 3 2 3 2" xfId="1795"/>
    <cellStyle name="Итог 3 2 4" xfId="1796"/>
    <cellStyle name="Итог 3 3" xfId="1797"/>
    <cellStyle name="Итог 3 4" xfId="1798"/>
    <cellStyle name="Итог 3 5" xfId="1799"/>
    <cellStyle name="Итог 3 5 2" xfId="1800"/>
    <cellStyle name="Итог 3 5 2 2" xfId="1801"/>
    <cellStyle name="Итог 3 5 3" xfId="1802"/>
    <cellStyle name="Итог 3 5 3 2" xfId="1803"/>
    <cellStyle name="Итог 3 5 4" xfId="1804"/>
    <cellStyle name="Итог 3 6" xfId="1805"/>
    <cellStyle name="Итог 3 6 2" xfId="1806"/>
    <cellStyle name="Итог 3 7" xfId="1807"/>
    <cellStyle name="Итог 3 7 2" xfId="1808"/>
    <cellStyle name="Итог 3 8" xfId="1809"/>
    <cellStyle name="Итог 4" xfId="1810"/>
    <cellStyle name="Итог 4 2" xfId="1811"/>
    <cellStyle name="Итог 4 3" xfId="1812"/>
    <cellStyle name="Итог 4 3 2" xfId="1813"/>
    <cellStyle name="Итог 4 3 2 2" xfId="1814"/>
    <cellStyle name="Итог 4 3 3" xfId="1815"/>
    <cellStyle name="Итог 4 3 3 2" xfId="1816"/>
    <cellStyle name="Итог 4 3 4" xfId="1817"/>
    <cellStyle name="Итог 4 4" xfId="1818"/>
    <cellStyle name="Итог 4 5" xfId="1819"/>
    <cellStyle name="Итог 4 5 2" xfId="1820"/>
    <cellStyle name="Итог 4 6" xfId="1821"/>
    <cellStyle name="Итог 4 6 2" xfId="1822"/>
    <cellStyle name="Итог 5" xfId="1823"/>
    <cellStyle name="Итог 5 2" xfId="1824"/>
    <cellStyle name="Итог 6" xfId="1825"/>
    <cellStyle name="Итог 6 2" xfId="1826"/>
    <cellStyle name="Итог 7" xfId="1827"/>
    <cellStyle name="Итог 7 2" xfId="1828"/>
    <cellStyle name="Итог 8" xfId="1829"/>
    <cellStyle name="Итог 8 2" xfId="1830"/>
    <cellStyle name="Итог 9" xfId="1831"/>
    <cellStyle name="Итог 9 2" xfId="1832"/>
    <cellStyle name="Контрольная ячейка 10" xfId="1833"/>
    <cellStyle name="Контрольная ячейка 10 2" xfId="1834"/>
    <cellStyle name="Контрольная ячейка 11" xfId="1835"/>
    <cellStyle name="Контрольная ячейка 11 2" xfId="1836"/>
    <cellStyle name="Контрольная ячейка 12" xfId="1837"/>
    <cellStyle name="Контрольная ячейка 12 2" xfId="1838"/>
    <cellStyle name="Контрольная ячейка 13" xfId="1839"/>
    <cellStyle name="Контрольная ячейка 13 2" xfId="1840"/>
    <cellStyle name="Контрольная ячейка 14" xfId="1841"/>
    <cellStyle name="Контрольная ячейка 14 2" xfId="1842"/>
    <cellStyle name="Контрольная ячейка 15" xfId="1843"/>
    <cellStyle name="Контрольная ячейка 16" xfId="1844"/>
    <cellStyle name="Контрольная ячейка 17" xfId="1845"/>
    <cellStyle name="Контрольная ячейка 2" xfId="1846"/>
    <cellStyle name="Контрольная ячейка 2 2" xfId="1847"/>
    <cellStyle name="Контрольная ячейка 2 2 2" xfId="1848"/>
    <cellStyle name="Контрольная ячейка 2 2 3" xfId="1849"/>
    <cellStyle name="Контрольная ячейка 2 3" xfId="1850"/>
    <cellStyle name="Контрольная ячейка 2 4" xfId="1851"/>
    <cellStyle name="Контрольная ячейка 2 5" xfId="1852"/>
    <cellStyle name="Контрольная ячейка 3" xfId="1853"/>
    <cellStyle name="Контрольная ячейка 3 2" xfId="1854"/>
    <cellStyle name="Контрольная ячейка 3 3" xfId="1855"/>
    <cellStyle name="Контрольная ячейка 3 4" xfId="1856"/>
    <cellStyle name="Контрольная ячейка 4" xfId="1857"/>
    <cellStyle name="Контрольная ячейка 4 2" xfId="1858"/>
    <cellStyle name="Контрольная ячейка 5" xfId="1859"/>
    <cellStyle name="Контрольная ячейка 5 2" xfId="1860"/>
    <cellStyle name="Контрольная ячейка 6" xfId="1861"/>
    <cellStyle name="Контрольная ячейка 6 2" xfId="1862"/>
    <cellStyle name="Контрольная ячейка 7" xfId="1863"/>
    <cellStyle name="Контрольная ячейка 7 2" xfId="1864"/>
    <cellStyle name="Контрольная ячейка 8" xfId="1865"/>
    <cellStyle name="Контрольная ячейка 8 2" xfId="1866"/>
    <cellStyle name="Контрольная ячейка 9" xfId="1867"/>
    <cellStyle name="Контрольная ячейка 9 2" xfId="1868"/>
    <cellStyle name="Название 10" xfId="1869"/>
    <cellStyle name="Название 10 2" xfId="1870"/>
    <cellStyle name="Название 11" xfId="1871"/>
    <cellStyle name="Название 11 2" xfId="1872"/>
    <cellStyle name="Название 12" xfId="1873"/>
    <cellStyle name="Название 12 2" xfId="1874"/>
    <cellStyle name="Название 13" xfId="1875"/>
    <cellStyle name="Название 13 2" xfId="1876"/>
    <cellStyle name="Название 14" xfId="1877"/>
    <cellStyle name="Название 14 2" xfId="1878"/>
    <cellStyle name="Название 15" xfId="1879"/>
    <cellStyle name="Название 16" xfId="1880"/>
    <cellStyle name="Название 17" xfId="1881"/>
    <cellStyle name="Название 2" xfId="1882"/>
    <cellStyle name="Название 2 2" xfId="1883"/>
    <cellStyle name="Название 2 2 2" xfId="1884"/>
    <cellStyle name="Название 2 2 3" xfId="1885"/>
    <cellStyle name="Название 2 3" xfId="1886"/>
    <cellStyle name="Название 3" xfId="1887"/>
    <cellStyle name="Название 3 2" xfId="1888"/>
    <cellStyle name="Название 3 3" xfId="1889"/>
    <cellStyle name="Название 3 4" xfId="1890"/>
    <cellStyle name="Название 4" xfId="1891"/>
    <cellStyle name="Название 4 2" xfId="1892"/>
    <cellStyle name="Название 5" xfId="1893"/>
    <cellStyle name="Название 5 2" xfId="1894"/>
    <cellStyle name="Название 6" xfId="1895"/>
    <cellStyle name="Название 6 2" xfId="1896"/>
    <cellStyle name="Название 7" xfId="1897"/>
    <cellStyle name="Название 7 2" xfId="1898"/>
    <cellStyle name="Название 8" xfId="1899"/>
    <cellStyle name="Название 8 2" xfId="1900"/>
    <cellStyle name="Название 9" xfId="1901"/>
    <cellStyle name="Название 9 2" xfId="1902"/>
    <cellStyle name="Нейтральный 10" xfId="1903"/>
    <cellStyle name="Нейтральный 10 2" xfId="1904"/>
    <cellStyle name="Нейтральный 11" xfId="1905"/>
    <cellStyle name="Нейтральный 11 2" xfId="1906"/>
    <cellStyle name="Нейтральный 12" xfId="1907"/>
    <cellStyle name="Нейтральный 12 2" xfId="1908"/>
    <cellStyle name="Нейтральный 13" xfId="1909"/>
    <cellStyle name="Нейтральный 13 2" xfId="1910"/>
    <cellStyle name="Нейтральный 14" xfId="1911"/>
    <cellStyle name="Нейтральный 14 2" xfId="1912"/>
    <cellStyle name="Нейтральный 15" xfId="1913"/>
    <cellStyle name="Нейтральный 16" xfId="1914"/>
    <cellStyle name="Нейтральный 17" xfId="1915"/>
    <cellStyle name="Нейтральный 2" xfId="1916"/>
    <cellStyle name="Нейтральный 2 2" xfId="1917"/>
    <cellStyle name="Нейтральный 2 2 2" xfId="1918"/>
    <cellStyle name="Нейтральный 2 2 3" xfId="1919"/>
    <cellStyle name="Нейтральный 2 3" xfId="1920"/>
    <cellStyle name="Нейтральный 2 4" xfId="1921"/>
    <cellStyle name="Нейтральный 2 5" xfId="1922"/>
    <cellStyle name="Нейтральный 3" xfId="1923"/>
    <cellStyle name="Нейтральный 3 2" xfId="1924"/>
    <cellStyle name="Нейтральный 3 3" xfId="1925"/>
    <cellStyle name="Нейтральный 3 4" xfId="1926"/>
    <cellStyle name="Нейтральный 4" xfId="1927"/>
    <cellStyle name="Нейтральный 4 2" xfId="1928"/>
    <cellStyle name="Нейтральный 5" xfId="1929"/>
    <cellStyle name="Нейтральный 5 2" xfId="1930"/>
    <cellStyle name="Нейтральный 6" xfId="1931"/>
    <cellStyle name="Нейтральный 6 2" xfId="1932"/>
    <cellStyle name="Нейтральный 7" xfId="1933"/>
    <cellStyle name="Нейтральный 7 2" xfId="1934"/>
    <cellStyle name="Нейтральный 8" xfId="1935"/>
    <cellStyle name="Нейтральный 8 2" xfId="1936"/>
    <cellStyle name="Нейтральный 9" xfId="1937"/>
    <cellStyle name="Нейтральный 9 2" xfId="1938"/>
    <cellStyle name="О" xfId="1939"/>
    <cellStyle name="О 2" xfId="1940"/>
    <cellStyle name="О 3" xfId="1941"/>
    <cellStyle name="Обычный" xfId="0" builtinId="0"/>
    <cellStyle name="Обычный 10" xfId="1942"/>
    <cellStyle name="Обычный 10 2" xfId="1943"/>
    <cellStyle name="Обычный 10 2 2" xfId="1944"/>
    <cellStyle name="Обычный 10 3" xfId="1945"/>
    <cellStyle name="Обычный 10 4" xfId="1946"/>
    <cellStyle name="Обычный 10 5" xfId="2"/>
    <cellStyle name="Обычный 10 6" xfId="1947"/>
    <cellStyle name="Обычный 11" xfId="1948"/>
    <cellStyle name="Обычный 11 2" xfId="1949"/>
    <cellStyle name="Обычный 11 2 2" xfId="1950"/>
    <cellStyle name="Обычный 11 3" xfId="1951"/>
    <cellStyle name="Обычный 11 4" xfId="1952"/>
    <cellStyle name="Обычный 11 5" xfId="1953"/>
    <cellStyle name="Обычный 12" xfId="1954"/>
    <cellStyle name="Обычный 12 2" xfId="1955"/>
    <cellStyle name="Обычный 12 2 2" xfId="1956"/>
    <cellStyle name="Обычный 12 2 2 2" xfId="1957"/>
    <cellStyle name="Обычный 12 2 2 3" xfId="1958"/>
    <cellStyle name="Обычный 12 2 2 4" xfId="1959"/>
    <cellStyle name="Обычный 12 3" xfId="1960"/>
    <cellStyle name="Обычный 12 4" xfId="1961"/>
    <cellStyle name="Обычный 12 5" xfId="1962"/>
    <cellStyle name="Обычный 13" xfId="1963"/>
    <cellStyle name="Обычный 13 2" xfId="1964"/>
    <cellStyle name="Обычный 13 2 2" xfId="1965"/>
    <cellStyle name="Обычный 13 3" xfId="1966"/>
    <cellStyle name="Обычный 13 3 2" xfId="1967"/>
    <cellStyle name="Обычный 13 3 3" xfId="1968"/>
    <cellStyle name="Обычный 13 3 4" xfId="1969"/>
    <cellStyle name="Обычный 14" xfId="1970"/>
    <cellStyle name="Обычный 14 2" xfId="1971"/>
    <cellStyle name="Обычный 14 2 2" xfId="1972"/>
    <cellStyle name="Обычный 14 3" xfId="1973"/>
    <cellStyle name="Обычный 15" xfId="1974"/>
    <cellStyle name="Обычный 15 2" xfId="1975"/>
    <cellStyle name="Обычный 15 2 2" xfId="1976"/>
    <cellStyle name="Обычный 15 3" xfId="1977"/>
    <cellStyle name="Обычный 15 4" xfId="1978"/>
    <cellStyle name="Обычный 16" xfId="1979"/>
    <cellStyle name="Обычный 16 2" xfId="1980"/>
    <cellStyle name="Обычный 16 2 2" xfId="1981"/>
    <cellStyle name="Обычный 16 3" xfId="1982"/>
    <cellStyle name="Обычный 16 4" xfId="1983"/>
    <cellStyle name="Обычный 17" xfId="1984"/>
    <cellStyle name="Обычный 17 2" xfId="1985"/>
    <cellStyle name="Обычный 17 2 2" xfId="1986"/>
    <cellStyle name="Обычный 17 3" xfId="1987"/>
    <cellStyle name="Обычный 17 4" xfId="1988"/>
    <cellStyle name="Обычный 18" xfId="1989"/>
    <cellStyle name="Обычный 18 2" xfId="1990"/>
    <cellStyle name="Обычный 18 3" xfId="1991"/>
    <cellStyle name="Обычный 19" xfId="1992"/>
    <cellStyle name="Обычный 19 2" xfId="1993"/>
    <cellStyle name="Обычный 19 2 2" xfId="1994"/>
    <cellStyle name="Обычный 19 3" xfId="1995"/>
    <cellStyle name="Обычный 2" xfId="1"/>
    <cellStyle name="Обычный 2 10" xfId="1996"/>
    <cellStyle name="Обычный 2 10 2" xfId="1997"/>
    <cellStyle name="Обычный 2 10 3" xfId="1998"/>
    <cellStyle name="Обычный 2 10 4" xfId="1999"/>
    <cellStyle name="Обычный 2 11" xfId="2000"/>
    <cellStyle name="Обычный 2 2" xfId="2001"/>
    <cellStyle name="Обычный 2 2 2" xfId="2002"/>
    <cellStyle name="Обычный 2 2 2 2" xfId="2003"/>
    <cellStyle name="Обычный 2 2 2 2 2" xfId="2004"/>
    <cellStyle name="Обычный 2 2 2 3" xfId="2005"/>
    <cellStyle name="Обычный 2 2 2 4" xfId="2006"/>
    <cellStyle name="Обычный 2 2 2 5" xfId="2007"/>
    <cellStyle name="Обычный 2 2 3" xfId="2008"/>
    <cellStyle name="Обычный 2 2 3 2" xfId="2009"/>
    <cellStyle name="Обычный 2 2 3 2 2" xfId="2010"/>
    <cellStyle name="Обычный 2 2 3 2 3" xfId="2011"/>
    <cellStyle name="Обычный 2 2 3 2 4" xfId="2012"/>
    <cellStyle name="Обычный 2 2 4" xfId="2013"/>
    <cellStyle name="Обычный 2 2 4 2" xfId="2014"/>
    <cellStyle name="Обычный 2 2 5" xfId="2015"/>
    <cellStyle name="Обычный 2 2 6" xfId="2016"/>
    <cellStyle name="Обычный 2 2 7" xfId="2017"/>
    <cellStyle name="Обычный 2 2 8" xfId="2018"/>
    <cellStyle name="Обычный 2 3" xfId="2019"/>
    <cellStyle name="Обычный 2 3 2" xfId="2020"/>
    <cellStyle name="Обычный 2 3 2 2" xfId="2021"/>
    <cellStyle name="Обычный 2 3 2 2 2" xfId="2022"/>
    <cellStyle name="Обычный 2 3 2 2 3" xfId="2023"/>
    <cellStyle name="Обычный 2 3 2 2 4" xfId="2024"/>
    <cellStyle name="Обычный 2 3 3" xfId="2025"/>
    <cellStyle name="Обычный 2 3 4" xfId="2026"/>
    <cellStyle name="Обычный 2 3 5" xfId="2027"/>
    <cellStyle name="Обычный 2 4" xfId="3"/>
    <cellStyle name="Обычный 2 4 2" xfId="2028"/>
    <cellStyle name="Обычный 2 4 3" xfId="2029"/>
    <cellStyle name="Обычный 2 4 4" xfId="2030"/>
    <cellStyle name="Обычный 2 4 4 2" xfId="2031"/>
    <cellStyle name="Обычный 2 4 5" xfId="2032"/>
    <cellStyle name="Обычный 2 5" xfId="2033"/>
    <cellStyle name="Обычный 2 5 2" xfId="2034"/>
    <cellStyle name="Обычный 2 5 2 2" xfId="2035"/>
    <cellStyle name="Обычный 2 5 3" xfId="2036"/>
    <cellStyle name="Обычный 2 5 4" xfId="2037"/>
    <cellStyle name="Обычный 2 5 5" xfId="2038"/>
    <cellStyle name="Обычный 2 6" xfId="2039"/>
    <cellStyle name="Обычный 2 6 2" xfId="2040"/>
    <cellStyle name="Обычный 2 6 3" xfId="2041"/>
    <cellStyle name="Обычный 2 7" xfId="2042"/>
    <cellStyle name="Обычный 2 7 2" xfId="2043"/>
    <cellStyle name="Обычный 2 7 3" xfId="2044"/>
    <cellStyle name="Обычный 2 8" xfId="2045"/>
    <cellStyle name="Обычный 2 9" xfId="2046"/>
    <cellStyle name="Обычный 20" xfId="2047"/>
    <cellStyle name="Обычный 20 2" xfId="2048"/>
    <cellStyle name="Обычный 20 3" xfId="2049"/>
    <cellStyle name="Обычный 21" xfId="2050"/>
    <cellStyle name="Обычный 21 2" xfId="2051"/>
    <cellStyle name="Обычный 21 3" xfId="2052"/>
    <cellStyle name="Обычный 21 4" xfId="2053"/>
    <cellStyle name="Обычный 22" xfId="2054"/>
    <cellStyle name="Обычный 22 2" xfId="2055"/>
    <cellStyle name="Обычный 23" xfId="2056"/>
    <cellStyle name="Обычный 23 2" xfId="2057"/>
    <cellStyle name="Обычный 23 3" xfId="2058"/>
    <cellStyle name="Обычный 23 4" xfId="2059"/>
    <cellStyle name="Обычный 23 5" xfId="2060"/>
    <cellStyle name="Обычный 235" xfId="2061"/>
    <cellStyle name="Обычный 24" xfId="2062"/>
    <cellStyle name="Обычный 25" xfId="2063"/>
    <cellStyle name="Обычный 26" xfId="2064"/>
    <cellStyle name="Обычный 27" xfId="2065"/>
    <cellStyle name="Обычный 28" xfId="2066"/>
    <cellStyle name="Обычный 29" xfId="2067"/>
    <cellStyle name="Обычный 3" xfId="2068"/>
    <cellStyle name="Обычный 3 2" xfId="2069"/>
    <cellStyle name="Обычный 3 2 2" xfId="2070"/>
    <cellStyle name="Обычный 3 2 2 2" xfId="2071"/>
    <cellStyle name="Обычный 3 2 2 2 2" xfId="2072"/>
    <cellStyle name="Обычный 3 2 2 3" xfId="2073"/>
    <cellStyle name="Обычный 3 2 2 4" xfId="2074"/>
    <cellStyle name="Обычный 3 2 2 4 2" xfId="2075"/>
    <cellStyle name="Обычный 3 2 2 4 3" xfId="2076"/>
    <cellStyle name="Обычный 3 2 2 4 4" xfId="2077"/>
    <cellStyle name="Обычный 3 2 3" xfId="2078"/>
    <cellStyle name="Обычный 3 2 4" xfId="2079"/>
    <cellStyle name="Обычный 3 3" xfId="2080"/>
    <cellStyle name="Обычный 3 3 2" xfId="2081"/>
    <cellStyle name="Обычный 3 3 2 2" xfId="2082"/>
    <cellStyle name="Обычный 3 3 3" xfId="2083"/>
    <cellStyle name="Обычный 3 4" xfId="2084"/>
    <cellStyle name="Обычный 3 4 2" xfId="2085"/>
    <cellStyle name="Обычный 3 5" xfId="2086"/>
    <cellStyle name="Обычный 3 6" xfId="2087"/>
    <cellStyle name="Обычный 3 7" xfId="2088"/>
    <cellStyle name="Обычный 3 8" xfId="5"/>
    <cellStyle name="Обычный 3 8 2" xfId="2089"/>
    <cellStyle name="Обычный 3 8 3" xfId="2090"/>
    <cellStyle name="Обычный 3 8 4" xfId="2091"/>
    <cellStyle name="Обычный 30" xfId="2092"/>
    <cellStyle name="Обычный 31" xfId="2093"/>
    <cellStyle name="Обычный 32" xfId="2094"/>
    <cellStyle name="Обычный 33" xfId="2095"/>
    <cellStyle name="Обычный 34" xfId="2096"/>
    <cellStyle name="Обычный 35" xfId="2097"/>
    <cellStyle name="Обычный 36" xfId="2098"/>
    <cellStyle name="Обычный 37" xfId="2099"/>
    <cellStyle name="Обычный 38" xfId="2100"/>
    <cellStyle name="Обычный 39" xfId="2101"/>
    <cellStyle name="Обычный 4" xfId="2102"/>
    <cellStyle name="Обычный 4 2" xfId="2103"/>
    <cellStyle name="Обычный 4 2 2" xfId="2104"/>
    <cellStyle name="Обычный 4 2 2 2" xfId="2105"/>
    <cellStyle name="Обычный 4 2 3" xfId="2106"/>
    <cellStyle name="Обычный 4 2 4" xfId="2107"/>
    <cellStyle name="Обычный 4 2 4 2" xfId="2108"/>
    <cellStyle name="Обычный 4 2 4 3" xfId="2109"/>
    <cellStyle name="Обычный 4 2 4 4" xfId="2110"/>
    <cellStyle name="Обычный 4 3" xfId="2111"/>
    <cellStyle name="Обычный 4 4" xfId="2112"/>
    <cellStyle name="Обычный 4 4 2" xfId="2113"/>
    <cellStyle name="Обычный 4 4 3" xfId="2114"/>
    <cellStyle name="Обычный 4 4 4" xfId="2115"/>
    <cellStyle name="Обычный 4 5" xfId="2116"/>
    <cellStyle name="Обычный 40" xfId="2117"/>
    <cellStyle name="Обычный 40 2" xfId="2118"/>
    <cellStyle name="Обычный 40 3" xfId="2119"/>
    <cellStyle name="Обычный 40 4" xfId="2120"/>
    <cellStyle name="Обычный 41" xfId="2121"/>
    <cellStyle name="Обычный 41 2" xfId="2122"/>
    <cellStyle name="Обычный 42" xfId="2123"/>
    <cellStyle name="Обычный 43" xfId="2124"/>
    <cellStyle name="Обычный 43 2" xfId="2125"/>
    <cellStyle name="Обычный 43 3" xfId="2126"/>
    <cellStyle name="Обычный 43 4" xfId="2127"/>
    <cellStyle name="Обычный 44" xfId="2128"/>
    <cellStyle name="Обычный 45" xfId="2129"/>
    <cellStyle name="Обычный 46" xfId="4"/>
    <cellStyle name="Обычный 46 2" xfId="2130"/>
    <cellStyle name="Обычный 46 3" xfId="2131"/>
    <cellStyle name="Обычный 46 4" xfId="2132"/>
    <cellStyle name="Обычный 47" xfId="2133"/>
    <cellStyle name="Обычный 47 2" xfId="2134"/>
    <cellStyle name="Обычный 47 3" xfId="2135"/>
    <cellStyle name="Обычный 47 4" xfId="2136"/>
    <cellStyle name="Обычный 48" xfId="2137"/>
    <cellStyle name="Обычный 48 2" xfId="2138"/>
    <cellStyle name="Обычный 48 3" xfId="2139"/>
    <cellStyle name="Обычный 48 4" xfId="2140"/>
    <cellStyle name="Обычный 49" xfId="2141"/>
    <cellStyle name="Обычный 49 2" xfId="2142"/>
    <cellStyle name="Обычный 49 3" xfId="2143"/>
    <cellStyle name="Обычный 49 4" xfId="2144"/>
    <cellStyle name="Обычный 5" xfId="2145"/>
    <cellStyle name="Обычный 5 2" xfId="2146"/>
    <cellStyle name="Обычный 5 2 2" xfId="2147"/>
    <cellStyle name="Обычный 5 2 3" xfId="2148"/>
    <cellStyle name="Обычный 5 2 4" xfId="2149"/>
    <cellStyle name="Обычный 5 3" xfId="2150"/>
    <cellStyle name="Обычный 5 4" xfId="2151"/>
    <cellStyle name="Обычный 5 5" xfId="2152"/>
    <cellStyle name="Обычный 5 6" xfId="2153"/>
    <cellStyle name="Обычный 5 7" xfId="2154"/>
    <cellStyle name="Обычный 5 8" xfId="2155"/>
    <cellStyle name="Обычный 50" xfId="2156"/>
    <cellStyle name="Обычный 50 2" xfId="2157"/>
    <cellStyle name="Обычный 50 3" xfId="2158"/>
    <cellStyle name="Обычный 50 4" xfId="2159"/>
    <cellStyle name="Обычный 51" xfId="2160"/>
    <cellStyle name="Обычный 51 2" xfId="2161"/>
    <cellStyle name="Обычный 51 3" xfId="2162"/>
    <cellStyle name="Обычный 51 4" xfId="2163"/>
    <cellStyle name="Обычный 52" xfId="2164"/>
    <cellStyle name="Обычный 52 2" xfId="2165"/>
    <cellStyle name="Обычный 52 3" xfId="2166"/>
    <cellStyle name="Обычный 52 4" xfId="2167"/>
    <cellStyle name="Обычный 53" xfId="2168"/>
    <cellStyle name="Обычный 54" xfId="2169"/>
    <cellStyle name="Обычный 55" xfId="2170"/>
    <cellStyle name="Обычный 56" xfId="2171"/>
    <cellStyle name="Обычный 57" xfId="2172"/>
    <cellStyle name="Обычный 57 2" xfId="2173"/>
    <cellStyle name="Обычный 57 3" xfId="2174"/>
    <cellStyle name="Обычный 57 4" xfId="2175"/>
    <cellStyle name="Обычный 58" xfId="2176"/>
    <cellStyle name="Обычный 59" xfId="2177"/>
    <cellStyle name="Обычный 6" xfId="2178"/>
    <cellStyle name="Обычный 6 2" xfId="2179"/>
    <cellStyle name="Обычный 6 2 2" xfId="2180"/>
    <cellStyle name="Обычный 6 2 3" xfId="2181"/>
    <cellStyle name="Обычный 6 3" xfId="2182"/>
    <cellStyle name="Обычный 6 4" xfId="2183"/>
    <cellStyle name="Обычный 6 5" xfId="2184"/>
    <cellStyle name="Обычный 6 5 2" xfId="2185"/>
    <cellStyle name="Обычный 6 5 3" xfId="2186"/>
    <cellStyle name="Обычный 6 5 4" xfId="2187"/>
    <cellStyle name="Обычный 6 6" xfId="2188"/>
    <cellStyle name="Обычный 60" xfId="2189"/>
    <cellStyle name="Обычный 61" xfId="2190"/>
    <cellStyle name="Обычный 62" xfId="2191"/>
    <cellStyle name="Обычный 63" xfId="2192"/>
    <cellStyle name="Обычный 64" xfId="2193"/>
    <cellStyle name="Обычный 65" xfId="2194"/>
    <cellStyle name="Обычный 66" xfId="2195"/>
    <cellStyle name="Обычный 67" xfId="2196"/>
    <cellStyle name="Обычный 68" xfId="2197"/>
    <cellStyle name="Обычный 69" xfId="2198"/>
    <cellStyle name="Обычный 7" xfId="2199"/>
    <cellStyle name="Обычный 7 2" xfId="2200"/>
    <cellStyle name="Обычный 7 2 2" xfId="2201"/>
    <cellStyle name="Обычный 7 3" xfId="2202"/>
    <cellStyle name="Обычный 7 3 2" xfId="2203"/>
    <cellStyle name="Обычный 7 4" xfId="2204"/>
    <cellStyle name="Обычный 7 5" xfId="2205"/>
    <cellStyle name="Обычный 7 6" xfId="2206"/>
    <cellStyle name="Обычный 70" xfId="2207"/>
    <cellStyle name="Обычный 71" xfId="2208"/>
    <cellStyle name="Обычный 8" xfId="2209"/>
    <cellStyle name="Обычный 8 2" xfId="2210"/>
    <cellStyle name="Обычный 8 2 2" xfId="2211"/>
    <cellStyle name="Обычный 8 2 2 2" xfId="2212"/>
    <cellStyle name="Обычный 8 2 3" xfId="2213"/>
    <cellStyle name="Обычный 8 2 4" xfId="2214"/>
    <cellStyle name="Обычный 8 3" xfId="2215"/>
    <cellStyle name="Обычный 8 3 2" xfId="2216"/>
    <cellStyle name="Обычный 8 4" xfId="2217"/>
    <cellStyle name="Обычный 8 4 2" xfId="2218"/>
    <cellStyle name="Обычный 8 5" xfId="2219"/>
    <cellStyle name="Обычный 9" xfId="2220"/>
    <cellStyle name="Обычный 9 2" xfId="2221"/>
    <cellStyle name="Обычный 9 2 2" xfId="2222"/>
    <cellStyle name="Обычный 9 3" xfId="2223"/>
    <cellStyle name="Обычный 9 3 2" xfId="2224"/>
    <cellStyle name="Обычный 9 4" xfId="2225"/>
    <cellStyle name="Плохой 10" xfId="2226"/>
    <cellStyle name="Плохой 10 2" xfId="2227"/>
    <cellStyle name="Плохой 11" xfId="2228"/>
    <cellStyle name="Плохой 11 2" xfId="2229"/>
    <cellStyle name="Плохой 12" xfId="2230"/>
    <cellStyle name="Плохой 12 2" xfId="2231"/>
    <cellStyle name="Плохой 13" xfId="2232"/>
    <cellStyle name="Плохой 13 2" xfId="2233"/>
    <cellStyle name="Плохой 14" xfId="2234"/>
    <cellStyle name="Плохой 14 2" xfId="2235"/>
    <cellStyle name="Плохой 15" xfId="2236"/>
    <cellStyle name="Плохой 16" xfId="2237"/>
    <cellStyle name="Плохой 17" xfId="2238"/>
    <cellStyle name="Плохой 2" xfId="2239"/>
    <cellStyle name="Плохой 2 2" xfId="2240"/>
    <cellStyle name="Плохой 2 2 2" xfId="2241"/>
    <cellStyle name="Плохой 2 2 3" xfId="2242"/>
    <cellStyle name="Плохой 2 3" xfId="2243"/>
    <cellStyle name="Плохой 2 4" xfId="2244"/>
    <cellStyle name="Плохой 2 5" xfId="2245"/>
    <cellStyle name="Плохой 3" xfId="2246"/>
    <cellStyle name="Плохой 3 2" xfId="2247"/>
    <cellStyle name="Плохой 3 3" xfId="2248"/>
    <cellStyle name="Плохой 3 4" xfId="2249"/>
    <cellStyle name="Плохой 4" xfId="2250"/>
    <cellStyle name="Плохой 4 2" xfId="2251"/>
    <cellStyle name="Плохой 5" xfId="2252"/>
    <cellStyle name="Плохой 5 2" xfId="2253"/>
    <cellStyle name="Плохой 6" xfId="2254"/>
    <cellStyle name="Плохой 6 2" xfId="2255"/>
    <cellStyle name="Плохой 7" xfId="2256"/>
    <cellStyle name="Плохой 7 2" xfId="2257"/>
    <cellStyle name="Плохой 8" xfId="2258"/>
    <cellStyle name="Плохой 8 2" xfId="2259"/>
    <cellStyle name="Плохой 9" xfId="2260"/>
    <cellStyle name="Плохой 9 2" xfId="2261"/>
    <cellStyle name="Пояснение 10" xfId="2262"/>
    <cellStyle name="Пояснение 10 2" xfId="2263"/>
    <cellStyle name="Пояснение 11" xfId="2264"/>
    <cellStyle name="Пояснение 11 2" xfId="2265"/>
    <cellStyle name="Пояснение 12" xfId="2266"/>
    <cellStyle name="Пояснение 12 2" xfId="2267"/>
    <cellStyle name="Пояснение 13" xfId="2268"/>
    <cellStyle name="Пояснение 13 2" xfId="2269"/>
    <cellStyle name="Пояснение 14" xfId="2270"/>
    <cellStyle name="Пояснение 14 2" xfId="2271"/>
    <cellStyle name="Пояснение 15" xfId="2272"/>
    <cellStyle name="Пояснение 16" xfId="2273"/>
    <cellStyle name="Пояснение 17" xfId="2274"/>
    <cellStyle name="Пояснение 2" xfId="2275"/>
    <cellStyle name="Пояснение 2 2" xfId="2276"/>
    <cellStyle name="Пояснение 2 2 2" xfId="2277"/>
    <cellStyle name="Пояснение 2 2 3" xfId="2278"/>
    <cellStyle name="Пояснение 2 3" xfId="2279"/>
    <cellStyle name="Пояснение 2 4" xfId="2280"/>
    <cellStyle name="Пояснение 2 5" xfId="2281"/>
    <cellStyle name="Пояснение 3" xfId="2282"/>
    <cellStyle name="Пояснение 3 2" xfId="2283"/>
    <cellStyle name="Пояснение 3 3" xfId="2284"/>
    <cellStyle name="Пояснение 3 4" xfId="2285"/>
    <cellStyle name="Пояснение 4" xfId="2286"/>
    <cellStyle name="Пояснение 4 2" xfId="2287"/>
    <cellStyle name="Пояснение 5" xfId="2288"/>
    <cellStyle name="Пояснение 5 2" xfId="2289"/>
    <cellStyle name="Пояснение 6" xfId="2290"/>
    <cellStyle name="Пояснение 6 2" xfId="2291"/>
    <cellStyle name="Пояснение 7" xfId="2292"/>
    <cellStyle name="Пояснение 7 2" xfId="2293"/>
    <cellStyle name="Пояснение 8" xfId="2294"/>
    <cellStyle name="Пояснение 8 2" xfId="2295"/>
    <cellStyle name="Пояснение 9" xfId="2296"/>
    <cellStyle name="Пояснение 9 2" xfId="2297"/>
    <cellStyle name="Примечание 10" xfId="2298"/>
    <cellStyle name="Примечание 10 2" xfId="2299"/>
    <cellStyle name="Примечание 11" xfId="2300"/>
    <cellStyle name="Примечание 11 2" xfId="2301"/>
    <cellStyle name="Примечание 12" xfId="2302"/>
    <cellStyle name="Примечание 12 2" xfId="2303"/>
    <cellStyle name="Примечание 13" xfId="2304"/>
    <cellStyle name="Примечание 13 2" xfId="2305"/>
    <cellStyle name="Примечание 14" xfId="2306"/>
    <cellStyle name="Примечание 14 2" xfId="2307"/>
    <cellStyle name="Примечание 15" xfId="2308"/>
    <cellStyle name="Примечание 15 2" xfId="2309"/>
    <cellStyle name="Примечание 16" xfId="2310"/>
    <cellStyle name="Примечание 16 2" xfId="2311"/>
    <cellStyle name="Примечание 17" xfId="2312"/>
    <cellStyle name="Примечание 17 2" xfId="2313"/>
    <cellStyle name="Примечание 18" xfId="2314"/>
    <cellStyle name="Примечание 18 2" xfId="2315"/>
    <cellStyle name="Примечание 19" xfId="2316"/>
    <cellStyle name="Примечание 19 2" xfId="2317"/>
    <cellStyle name="Примечание 2" xfId="2318"/>
    <cellStyle name="Примечание 2 2" xfId="2319"/>
    <cellStyle name="Примечание 2 2 2" xfId="2320"/>
    <cellStyle name="Примечание 2 2 3" xfId="2321"/>
    <cellStyle name="Примечание 2 2 4" xfId="2322"/>
    <cellStyle name="Примечание 2 3" xfId="2323"/>
    <cellStyle name="Примечание 2 4" xfId="2324"/>
    <cellStyle name="Примечание 2 5" xfId="2325"/>
    <cellStyle name="Примечание 20" xfId="2326"/>
    <cellStyle name="Примечание 20 2" xfId="2327"/>
    <cellStyle name="Примечание 21" xfId="2328"/>
    <cellStyle name="Примечание 21 2" xfId="2329"/>
    <cellStyle name="Примечание 21 2 2" xfId="2330"/>
    <cellStyle name="Примечание 21 3" xfId="2331"/>
    <cellStyle name="Примечание 21 3 2" xfId="2332"/>
    <cellStyle name="Примечание 21 4" xfId="2333"/>
    <cellStyle name="Примечание 22" xfId="2334"/>
    <cellStyle name="Примечание 22 2" xfId="2335"/>
    <cellStyle name="Примечание 22 2 2" xfId="2336"/>
    <cellStyle name="Примечание 22 3" xfId="2337"/>
    <cellStyle name="Примечание 22 3 2" xfId="2338"/>
    <cellStyle name="Примечание 22 4" xfId="2339"/>
    <cellStyle name="Примечание 23" xfId="2340"/>
    <cellStyle name="Примечание 23 2" xfId="2341"/>
    <cellStyle name="Примечание 24" xfId="2342"/>
    <cellStyle name="Примечание 25" xfId="2343"/>
    <cellStyle name="Примечание 3" xfId="2344"/>
    <cellStyle name="Примечание 3 2" xfId="2345"/>
    <cellStyle name="Примечание 3 2 2" xfId="2346"/>
    <cellStyle name="Примечание 3 2 2 2" xfId="2347"/>
    <cellStyle name="Примечание 3 2 3" xfId="2348"/>
    <cellStyle name="Примечание 3 2 3 2" xfId="2349"/>
    <cellStyle name="Примечание 3 2 4" xfId="2350"/>
    <cellStyle name="Примечание 3 2 5" xfId="2351"/>
    <cellStyle name="Примечание 3 3" xfId="2352"/>
    <cellStyle name="Примечание 3 4" xfId="2353"/>
    <cellStyle name="Примечание 3 4 2" xfId="2354"/>
    <cellStyle name="Примечание 3 5" xfId="2355"/>
    <cellStyle name="Примечание 3 5 2" xfId="2356"/>
    <cellStyle name="Примечание 3 6" xfId="2357"/>
    <cellStyle name="Примечание 3 6 2" xfId="2358"/>
    <cellStyle name="Примечание 3 6 2 2" xfId="2359"/>
    <cellStyle name="Примечание 3 6 3" xfId="2360"/>
    <cellStyle name="Примечание 3 6 3 2" xfId="2361"/>
    <cellStyle name="Примечание 3 6 4" xfId="2362"/>
    <cellStyle name="Примечание 3 7" xfId="2363"/>
    <cellStyle name="Примечание 3 7 2" xfId="2364"/>
    <cellStyle name="Примечание 3 8" xfId="2365"/>
    <cellStyle name="Примечание 3 8 2" xfId="2366"/>
    <cellStyle name="Примечание 3 9" xfId="2367"/>
    <cellStyle name="Примечание 4" xfId="2368"/>
    <cellStyle name="Примечание 4 2" xfId="2369"/>
    <cellStyle name="Примечание 4 3" xfId="2370"/>
    <cellStyle name="Примечание 4 3 2" xfId="2371"/>
    <cellStyle name="Примечание 4 3 2 2" xfId="2372"/>
    <cellStyle name="Примечание 4 3 3" xfId="2373"/>
    <cellStyle name="Примечание 4 3 3 2" xfId="2374"/>
    <cellStyle name="Примечание 4 3 4" xfId="2375"/>
    <cellStyle name="Примечание 4 4" xfId="2376"/>
    <cellStyle name="Примечание 4 4 2" xfId="2377"/>
    <cellStyle name="Примечание 4 4 3" xfId="2378"/>
    <cellStyle name="Примечание 4 4 4" xfId="2379"/>
    <cellStyle name="Примечание 4 5" xfId="2380"/>
    <cellStyle name="Примечание 4 5 2" xfId="2381"/>
    <cellStyle name="Примечание 4 6" xfId="2382"/>
    <cellStyle name="Примечание 4 6 2" xfId="2383"/>
    <cellStyle name="Примечание 5" xfId="2384"/>
    <cellStyle name="Примечание 5 2" xfId="2385"/>
    <cellStyle name="Примечание 6" xfId="2386"/>
    <cellStyle name="Примечание 6 2" xfId="2387"/>
    <cellStyle name="Примечание 7" xfId="2388"/>
    <cellStyle name="Примечание 7 2" xfId="2389"/>
    <cellStyle name="Примечание 8" xfId="2390"/>
    <cellStyle name="Примечание 8 2" xfId="2391"/>
    <cellStyle name="Примечание 9" xfId="2392"/>
    <cellStyle name="Примечание 9 2" xfId="2393"/>
    <cellStyle name="Процентный 2" xfId="2394"/>
    <cellStyle name="Процентный 2 2" xfId="2395"/>
    <cellStyle name="Процентный 2 2 2" xfId="2396"/>
    <cellStyle name="Процентный 2 2 3" xfId="2397"/>
    <cellStyle name="Процентный 2 3" xfId="2398"/>
    <cellStyle name="Процентный 2 3 2" xfId="2399"/>
    <cellStyle name="Процентный 2 3 3" xfId="2400"/>
    <cellStyle name="Процентный 2 4" xfId="2401"/>
    <cellStyle name="Процентный 2 4 2" xfId="2402"/>
    <cellStyle name="Процентный 2 4 3" xfId="2403"/>
    <cellStyle name="Процентный 2 4 4" xfId="2404"/>
    <cellStyle name="Процентный 2 5" xfId="2405"/>
    <cellStyle name="Процентный 3" xfId="2406"/>
    <cellStyle name="Процентный 3 2" xfId="2407"/>
    <cellStyle name="Процентный 3 2 2" xfId="2408"/>
    <cellStyle name="Процентный 3 2 2 2" xfId="2409"/>
    <cellStyle name="Процентный 3 2 2 3" xfId="2410"/>
    <cellStyle name="Процентный 3 2 2 4" xfId="2411"/>
    <cellStyle name="Процентный 3 3" xfId="2412"/>
    <cellStyle name="Процентный 3 4" xfId="2413"/>
    <cellStyle name="Процентный 3 4 2" xfId="2414"/>
    <cellStyle name="Процентный 3 4 3" xfId="2415"/>
    <cellStyle name="Процентный 3 4 4" xfId="2416"/>
    <cellStyle name="Процентный 3 5" xfId="2417"/>
    <cellStyle name="Процентный 4" xfId="2418"/>
    <cellStyle name="Процентный 4 2" xfId="2419"/>
    <cellStyle name="Процентный 4 2 2" xfId="2420"/>
    <cellStyle name="Процентный 4 3" xfId="2421"/>
    <cellStyle name="Процентный 4 4" xfId="2422"/>
    <cellStyle name="Процентный 4 5" xfId="2423"/>
    <cellStyle name="Процентный 4 6" xfId="2424"/>
    <cellStyle name="Процентный 5" xfId="2425"/>
    <cellStyle name="Связанная ячейка 10" xfId="2426"/>
    <cellStyle name="Связанная ячейка 10 2" xfId="2427"/>
    <cellStyle name="Связанная ячейка 11" xfId="2428"/>
    <cellStyle name="Связанная ячейка 11 2" xfId="2429"/>
    <cellStyle name="Связанная ячейка 12" xfId="2430"/>
    <cellStyle name="Связанная ячейка 12 2" xfId="2431"/>
    <cellStyle name="Связанная ячейка 13" xfId="2432"/>
    <cellStyle name="Связанная ячейка 13 2" xfId="2433"/>
    <cellStyle name="Связанная ячейка 14" xfId="2434"/>
    <cellStyle name="Связанная ячейка 14 2" xfId="2435"/>
    <cellStyle name="Связанная ячейка 15" xfId="2436"/>
    <cellStyle name="Связанная ячейка 16" xfId="2437"/>
    <cellStyle name="Связанная ячейка 17" xfId="2438"/>
    <cellStyle name="Связанная ячейка 2" xfId="2439"/>
    <cellStyle name="Связанная ячейка 2 2" xfId="2440"/>
    <cellStyle name="Связанная ячейка 2 2 2" xfId="2441"/>
    <cellStyle name="Связанная ячейка 2 2 3" xfId="2442"/>
    <cellStyle name="Связанная ячейка 2 3" xfId="2443"/>
    <cellStyle name="Связанная ячейка 2 4" xfId="2444"/>
    <cellStyle name="Связанная ячейка 2 5" xfId="2445"/>
    <cellStyle name="Связанная ячейка 3" xfId="2446"/>
    <cellStyle name="Связанная ячейка 3 2" xfId="2447"/>
    <cellStyle name="Связанная ячейка 3 3" xfId="2448"/>
    <cellStyle name="Связанная ячейка 3 4" xfId="2449"/>
    <cellStyle name="Связанная ячейка 4" xfId="2450"/>
    <cellStyle name="Связанная ячейка 4 2" xfId="2451"/>
    <cellStyle name="Связанная ячейка 5" xfId="2452"/>
    <cellStyle name="Связанная ячейка 5 2" xfId="2453"/>
    <cellStyle name="Связанная ячейка 6" xfId="2454"/>
    <cellStyle name="Связанная ячейка 6 2" xfId="2455"/>
    <cellStyle name="Связанная ячейка 7" xfId="2456"/>
    <cellStyle name="Связанная ячейка 7 2" xfId="2457"/>
    <cellStyle name="Связанная ячейка 8" xfId="2458"/>
    <cellStyle name="Связанная ячейка 8 2" xfId="2459"/>
    <cellStyle name="Связанная ячейка 9" xfId="2460"/>
    <cellStyle name="Связанная ячейка 9 2" xfId="2461"/>
    <cellStyle name="Стиль 1" xfId="2462"/>
    <cellStyle name="Стиль 1 2" xfId="2463"/>
    <cellStyle name="Стиль 1 2 2" xfId="2464"/>
    <cellStyle name="Стиль 1 2 2 2" xfId="2465"/>
    <cellStyle name="Стиль 1 2 3" xfId="2466"/>
    <cellStyle name="Стиль 1 2 4" xfId="2467"/>
    <cellStyle name="Стиль 1 2 5" xfId="2468"/>
    <cellStyle name="Стиль 1 3" xfId="2469"/>
    <cellStyle name="Стиль 1 3 2" xfId="2470"/>
    <cellStyle name="Стиль 1 3 2 2" xfId="2471"/>
    <cellStyle name="Стиль 1 3 2 3" xfId="2472"/>
    <cellStyle name="Стиль 1 3 2 4" xfId="2473"/>
    <cellStyle name="Стиль 1 4" xfId="2474"/>
    <cellStyle name="Стиль 1 4 2" xfId="2475"/>
    <cellStyle name="Стиль 1 5" xfId="2476"/>
    <cellStyle name="Стиль 1 6" xfId="2477"/>
    <cellStyle name="Текст предупреждения 10" xfId="2478"/>
    <cellStyle name="Текст предупреждения 10 2" xfId="2479"/>
    <cellStyle name="Текст предупреждения 11" xfId="2480"/>
    <cellStyle name="Текст предупреждения 11 2" xfId="2481"/>
    <cellStyle name="Текст предупреждения 12" xfId="2482"/>
    <cellStyle name="Текст предупреждения 12 2" xfId="2483"/>
    <cellStyle name="Текст предупреждения 13" xfId="2484"/>
    <cellStyle name="Текст предупреждения 13 2" xfId="2485"/>
    <cellStyle name="Текст предупреждения 14" xfId="2486"/>
    <cellStyle name="Текст предупреждения 14 2" xfId="2487"/>
    <cellStyle name="Текст предупреждения 15" xfId="2488"/>
    <cellStyle name="Текст предупреждения 16" xfId="2489"/>
    <cellStyle name="Текст предупреждения 17" xfId="2490"/>
    <cellStyle name="Текст предупреждения 2" xfId="2491"/>
    <cellStyle name="Текст предупреждения 2 2" xfId="2492"/>
    <cellStyle name="Текст предупреждения 2 2 2" xfId="2493"/>
    <cellStyle name="Текст предупреждения 2 2 3" xfId="2494"/>
    <cellStyle name="Текст предупреждения 2 3" xfId="2495"/>
    <cellStyle name="Текст предупреждения 2 4" xfId="2496"/>
    <cellStyle name="Текст предупреждения 2 5" xfId="2497"/>
    <cellStyle name="Текст предупреждения 3" xfId="2498"/>
    <cellStyle name="Текст предупреждения 3 2" xfId="2499"/>
    <cellStyle name="Текст предупреждения 3 3" xfId="2500"/>
    <cellStyle name="Текст предупреждения 3 4" xfId="2501"/>
    <cellStyle name="Текст предупреждения 4" xfId="2502"/>
    <cellStyle name="Текст предупреждения 4 2" xfId="2503"/>
    <cellStyle name="Текст предупреждения 5" xfId="2504"/>
    <cellStyle name="Текст предупреждения 5 2" xfId="2505"/>
    <cellStyle name="Текст предупреждения 6" xfId="2506"/>
    <cellStyle name="Текст предупреждения 6 2" xfId="2507"/>
    <cellStyle name="Текст предупреждения 7" xfId="2508"/>
    <cellStyle name="Текст предупреждения 7 2" xfId="2509"/>
    <cellStyle name="Текст предупреждения 8" xfId="2510"/>
    <cellStyle name="Текст предупреждения 8 2" xfId="2511"/>
    <cellStyle name="Текст предупреждения 9" xfId="2512"/>
    <cellStyle name="Текст предупреждения 9 2" xfId="2513"/>
    <cellStyle name="Финансовый [0] 2" xfId="2514"/>
    <cellStyle name="Финансовый [0] 3" xfId="2515"/>
    <cellStyle name="Финансовый [0] 4" xfId="2516"/>
    <cellStyle name="Финансовый 2" xfId="2517"/>
    <cellStyle name="Финансовый 2 2" xfId="2518"/>
    <cellStyle name="Финансовый 2 2 2" xfId="2519"/>
    <cellStyle name="Финансовый 2 3" xfId="2520"/>
    <cellStyle name="Финансовый 2 4" xfId="2521"/>
    <cellStyle name="Финансовый 3" xfId="2522"/>
    <cellStyle name="Финансовый 3 2" xfId="2523"/>
    <cellStyle name="Финансовый 3 2 2" xfId="2524"/>
    <cellStyle name="Финансовый 3 3" xfId="2525"/>
    <cellStyle name="Финансовый 3 4" xfId="2526"/>
    <cellStyle name="Финансовый 3 5" xfId="2527"/>
    <cellStyle name="Финансовый 4" xfId="2528"/>
    <cellStyle name="Финансовый 4 2" xfId="2529"/>
    <cellStyle name="Финансовый 5" xfId="2530"/>
    <cellStyle name="Финансовый 5 2" xfId="2531"/>
    <cellStyle name="Финансовый 6" xfId="2532"/>
    <cellStyle name="Финансовый 7" xfId="2533"/>
    <cellStyle name="Хороший 10" xfId="2534"/>
    <cellStyle name="Хороший 10 2" xfId="2535"/>
    <cellStyle name="Хороший 11" xfId="2536"/>
    <cellStyle name="Хороший 11 2" xfId="2537"/>
    <cellStyle name="Хороший 12" xfId="2538"/>
    <cellStyle name="Хороший 12 2" xfId="2539"/>
    <cellStyle name="Хороший 13" xfId="2540"/>
    <cellStyle name="Хороший 13 2" xfId="2541"/>
    <cellStyle name="Хороший 14" xfId="2542"/>
    <cellStyle name="Хороший 14 2" xfId="2543"/>
    <cellStyle name="Хороший 15" xfId="2544"/>
    <cellStyle name="Хороший 16" xfId="2545"/>
    <cellStyle name="Хороший 17" xfId="2546"/>
    <cellStyle name="Хороший 2" xfId="2547"/>
    <cellStyle name="Хороший 2 2" xfId="2548"/>
    <cellStyle name="Хороший 2 2 2" xfId="2549"/>
    <cellStyle name="Хороший 2 2 3" xfId="2550"/>
    <cellStyle name="Хороший 2 3" xfId="2551"/>
    <cellStyle name="Хороший 2 4" xfId="2552"/>
    <cellStyle name="Хороший 2 5" xfId="2553"/>
    <cellStyle name="Хороший 3" xfId="2554"/>
    <cellStyle name="Хороший 3 2" xfId="2555"/>
    <cellStyle name="Хороший 3 3" xfId="2556"/>
    <cellStyle name="Хороший 3 4" xfId="2557"/>
    <cellStyle name="Хороший 4" xfId="2558"/>
    <cellStyle name="Хороший 4 2" xfId="2559"/>
    <cellStyle name="Хороший 5" xfId="2560"/>
    <cellStyle name="Хороший 5 2" xfId="2561"/>
    <cellStyle name="Хороший 6" xfId="2562"/>
    <cellStyle name="Хороший 6 2" xfId="2563"/>
    <cellStyle name="Хороший 7" xfId="2564"/>
    <cellStyle name="Хороший 7 2" xfId="2565"/>
    <cellStyle name="Хороший 8" xfId="2566"/>
    <cellStyle name="Хороший 8 2" xfId="2567"/>
    <cellStyle name="Хороший 9" xfId="2568"/>
    <cellStyle name="Хороший 9 2" xfId="2569"/>
    <cellStyle name="常规_Sheet1" xfId="257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msk-fileserver\user_files\&#1044;&#1077;&#1087;&#1072;&#1088;&#1090;&#1072;&#1084;&#1077;&#1085;&#1090;&#1099;\&#1044;&#1077;&#1087;&#1072;&#1088;&#1090;&#1072;&#1084;&#1077;&#1085;&#1090;%20&#1079;&#1072;&#1082;&#1091;&#1087;&#1086;&#1082;\&#1044;&#1079;&#1102;&#1073;&#1072;\&#1086;&#1089;&#1090;&#1072;&#1090;&#1082;&#1080;%20&#1080;%20&#1087;&#1088;&#1086;&#1076;&#1072;&#1078;&#108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
      <sheetName val="матрица"/>
      <sheetName val="НО 2014"/>
      <sheetName val="данные"/>
      <sheetName val="Лист1"/>
      <sheetName val="Лист2"/>
      <sheetName val="остатки и продажи"/>
    </sheetNames>
    <definedNames>
      <definedName name="ннн" refersTo="='Total'!$A:$B"/>
    </definedNames>
    <sheetDataSet>
      <sheetData sheetId="0">
        <row r="1">
          <cell r="A1" t="str">
            <v>Материал</v>
          </cell>
          <cell r="B1" t="str">
            <v>Текст материала</v>
          </cell>
        </row>
        <row r="2">
          <cell r="A2" t="str">
            <v>79923-1</v>
          </cell>
          <cell r="B2" t="str">
            <v xml:space="preserve"> Набор фужеров МАРГАРИТА 270мл 6шт</v>
          </cell>
        </row>
        <row r="3">
          <cell r="A3" t="str">
            <v>C2690</v>
          </cell>
          <cell r="B3" t="str">
            <v xml:space="preserve"> Креманка БАНАНА СПЛИТ (52554)</v>
          </cell>
        </row>
        <row r="4">
          <cell r="A4" t="str">
            <v>25626</v>
          </cell>
          <cell r="B4" t="str">
            <v xml:space="preserve"> Фужер для шампанского БАЛЛОН 170мл</v>
          </cell>
        </row>
      </sheetData>
      <sheetData sheetId="1"/>
      <sheetData sheetId="2"/>
      <sheetData sheetId="3"/>
      <sheetData sheetId="4"/>
      <sheetData sheetId="5"/>
      <sheetData sheetId="6"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N5000"/>
  <sheetViews>
    <sheetView workbookViewId="0">
      <selection activeCell="A9" sqref="A9"/>
    </sheetView>
  </sheetViews>
  <sheetFormatPr defaultRowHeight="15"/>
  <cols>
    <col min="1" max="1" width="87.28515625" style="10" customWidth="1"/>
    <col min="2" max="2" width="8.28515625" style="10" bestFit="1" customWidth="1"/>
    <col min="3" max="3" width="8.7109375" style="10" customWidth="1"/>
    <col min="4" max="6" width="9.140625" style="10"/>
    <col min="7" max="7" width="12.140625" style="10" customWidth="1"/>
    <col min="8" max="8" width="22.85546875" style="10" customWidth="1"/>
    <col min="9" max="16384" width="9.140625" style="10"/>
  </cols>
  <sheetData>
    <row r="1" spans="1:10">
      <c r="A1" s="10" t="s">
        <v>0</v>
      </c>
      <c r="B1" s="11" t="str">
        <f t="shared" ref="B1:B64" si="0">IFERROR(IF(FIND(" ",A1)=6,IF(IFERROR(FIND(" PB",A1),"")&lt;&gt;"","артикул",IF(IFERROR(FIND(" CRN",A1),"")&lt;&gt;"","артикул","")),""),"")</f>
        <v/>
      </c>
      <c r="C1" s="11" t="str">
        <f t="shared" ref="C1:C64" si="1">IF(B1="артикул",A1,"")</f>
        <v/>
      </c>
      <c r="D1" s="11" t="str">
        <f t="shared" ref="D1:D64" si="2">IF(B1="артикул",A2,"")</f>
        <v/>
      </c>
      <c r="E1" s="11" t="str">
        <f xml:space="preserve">
IF(B1="Артикул",
IF(
AND(RIGHT(A2,1)="%",
RIGHT(A3,1)="%",
RIGHT(A4,1)="%",
RIGHT(A5,1)="%"),MID(A6,FIND(" ",A6),50),
IF(
AND(RIGHT(A2,1)="%",
RIGHT(A3,1)="%",
RIGHT(A4,1)="%"),MID(A5,FIND(" ",A5),50),
IF(
AND(RIGHT(A2,1)="%",
RIGHT(A3,1)="%"),
MID(A4,FIND(" ",A4),50),
IF(
RIGHT(A2,1)="%",
MID(A3,FIND(" ",A3),50),"")))),"")</f>
        <v/>
      </c>
      <c r="F1" s="11" t="str">
        <f>IFERROR(
IF(
AND(LEFT(A1,8)="Discount",FIND("%",A1)&gt;0),
MID(A1,
FIND(" ",A1),
FIND("%",A1)-FIND(" ",A1))
*-1,""),"")</f>
        <v/>
      </c>
      <c r="G1" s="11" t="str">
        <f t="array" ref="G1:G5000">NoBlanks(Инвойс!$C$2:$C$1000)</f>
        <v>J6790 FR BOX MANIA BOIS SCRIPT BLACK JAR 1L 90 PC 15 CRN 256,53 EUR/100 PC</v>
      </c>
      <c r="H1" s="11" t="str">
        <f t="array" ref="H1:H5000">NoBlanks(Инвойс!$D$2:$D$1000)</f>
        <v>0883314439380 / 701349/// of 6 PC -6,24%</v>
      </c>
      <c r="I1" s="11" t="str">
        <f t="array" ref="I1:I5000">NoBlanks(Инвойс!$E$2:$E$1000)</f>
        <v xml:space="preserve"> 216,47</v>
      </c>
      <c r="J1" s="11">
        <f>NoBlanks(Инвойс!$F$2:$F$1000)</f>
        <v>3</v>
      </c>
    </row>
    <row r="2" spans="1:10">
      <c r="A2" s="10" t="s">
        <v>196</v>
      </c>
      <c r="B2" s="11" t="str">
        <f t="shared" si="0"/>
        <v/>
      </c>
      <c r="C2" s="11" t="str">
        <f t="shared" si="1"/>
        <v/>
      </c>
      <c r="D2" s="11" t="str">
        <f t="shared" si="2"/>
        <v/>
      </c>
      <c r="E2" s="11" t="str">
        <f t="shared" ref="E2:E65" si="3" xml:space="preserve">
IF(B2="Артикул",
IF(
AND(RIGHT(A3,1)="%",
RIGHT(A4,1)="%",
RIGHT(A5,1)="%",
RIGHT(A6,1)="%"),MID(A7,FIND(" ",A7),50),
IF(
AND(RIGHT(A3,1)="%",
RIGHT(A4,1)="%",
RIGHT(A5,1)="%"),MID(A6,FIND(" ",A6),50),
IF(
AND(RIGHT(A3,1)="%",
RIGHT(A4,1)="%"),
MID(A5,FIND(" ",A5),50),
IF(
RIGHT(A3,1)="%",
MID(A4,FIND(" ",A4),50),"")))),"")</f>
        <v/>
      </c>
      <c r="F2" s="11" t="str">
        <f t="shared" ref="F2:F65" si="4">IFERROR(
IF(
AND(LEFT(A2,8)="Discount",FIND("%",A2)&gt;0),
MID(A2,
FIND(" ",A2),
FIND("%",A2)-FIND(" ",A2))
*-1,""),"")</f>
        <v/>
      </c>
      <c r="G2" s="11" t="str">
        <v>J6786 FR BOX MANIA BOIS SCRIPT BEIGE JAR 1L+LID 84 PC 14 CRN 256,95 EUR/100 PC</v>
      </c>
      <c r="H2" s="11" t="str">
        <v>0883314439373 / 701349/// of 6 PC -6,24%</v>
      </c>
      <c r="I2" s="11" t="str">
        <v xml:space="preserve"> 202,37</v>
      </c>
    </row>
    <row r="3" spans="1:10">
      <c r="A3" s="10" t="s">
        <v>176</v>
      </c>
      <c r="B3" s="11" t="str">
        <f t="shared" si="0"/>
        <v/>
      </c>
      <c r="C3" s="11" t="str">
        <f t="shared" si="1"/>
        <v/>
      </c>
      <c r="D3" s="11" t="str">
        <f t="shared" si="2"/>
        <v/>
      </c>
      <c r="E3" s="11" t="str">
        <f t="shared" si="3"/>
        <v/>
      </c>
      <c r="F3" s="11" t="str">
        <f t="shared" si="4"/>
        <v/>
      </c>
      <c r="G3" s="11" t="str">
        <v>J6791 FR BOX MANIA BOIS SCRIPT CHOCO JAR 1L+LID 84 PC 14 CRN 256,95 EUR/100 PC</v>
      </c>
      <c r="H3" s="11" t="str">
        <v>0883314439397 / 701349/// of 6 PC -6,24%</v>
      </c>
      <c r="I3" s="11" t="str">
        <v xml:space="preserve"> 202,37</v>
      </c>
    </row>
    <row r="4" spans="1:10">
      <c r="A4" s="10" t="s">
        <v>197</v>
      </c>
      <c r="B4" s="11" t="str">
        <f t="shared" si="0"/>
        <v/>
      </c>
      <c r="C4" s="11" t="str">
        <f t="shared" si="1"/>
        <v/>
      </c>
      <c r="D4" s="11" t="str">
        <f t="shared" si="2"/>
        <v/>
      </c>
      <c r="E4" s="11" t="str">
        <f t="shared" si="3"/>
        <v/>
      </c>
      <c r="F4" s="11" t="str">
        <f t="shared" si="4"/>
        <v/>
      </c>
      <c r="G4" s="11" t="str">
        <v/>
      </c>
      <c r="H4" s="11" t="str">
        <v/>
      </c>
      <c r="I4" s="11" t="str">
        <v/>
      </c>
    </row>
    <row r="5" spans="1:10">
      <c r="A5" s="10" t="s">
        <v>1</v>
      </c>
      <c r="B5" s="11" t="str">
        <f t="shared" si="0"/>
        <v/>
      </c>
      <c r="C5" s="11" t="str">
        <f t="shared" si="1"/>
        <v/>
      </c>
      <c r="D5" s="11" t="str">
        <f t="shared" si="2"/>
        <v/>
      </c>
      <c r="E5" s="11" t="str">
        <f t="shared" si="3"/>
        <v/>
      </c>
      <c r="F5" s="11" t="str">
        <f t="shared" si="4"/>
        <v/>
      </c>
      <c r="G5" s="11" t="str">
        <v/>
      </c>
      <c r="H5" s="11" t="str">
        <v/>
      </c>
      <c r="I5" s="11" t="str">
        <v/>
      </c>
    </row>
    <row r="6" spans="1:10">
      <c r="A6" s="10" t="s">
        <v>177</v>
      </c>
      <c r="B6" s="11" t="str">
        <f t="shared" si="0"/>
        <v/>
      </c>
      <c r="C6" s="11" t="str">
        <f t="shared" si="1"/>
        <v/>
      </c>
      <c r="D6" s="11" t="str">
        <f t="shared" si="2"/>
        <v/>
      </c>
      <c r="E6" s="11" t="str">
        <f t="shared" si="3"/>
        <v/>
      </c>
      <c r="F6" s="11" t="str">
        <f t="shared" si="4"/>
        <v/>
      </c>
      <c r="G6" s="11" t="str">
        <v/>
      </c>
      <c r="H6" s="11" t="str">
        <v/>
      </c>
      <c r="I6" s="11" t="str">
        <v/>
      </c>
    </row>
    <row r="7" spans="1:10">
      <c r="A7" s="10" t="s">
        <v>178</v>
      </c>
      <c r="B7" s="11" t="str">
        <f t="shared" si="0"/>
        <v/>
      </c>
      <c r="C7" s="11" t="str">
        <f t="shared" si="1"/>
        <v/>
      </c>
      <c r="D7" s="11" t="str">
        <f t="shared" si="2"/>
        <v/>
      </c>
      <c r="E7" s="11" t="str">
        <f t="shared" si="3"/>
        <v/>
      </c>
      <c r="F7" s="11" t="str">
        <f t="shared" si="4"/>
        <v/>
      </c>
      <c r="G7" s="11" t="str">
        <v/>
      </c>
      <c r="H7" s="11" t="str">
        <v/>
      </c>
      <c r="I7" s="11" t="str">
        <v/>
      </c>
    </row>
    <row r="8" spans="1:10">
      <c r="A8" s="10" t="s">
        <v>179</v>
      </c>
      <c r="B8" s="11" t="str">
        <f t="shared" si="0"/>
        <v/>
      </c>
      <c r="C8" s="11" t="str">
        <f t="shared" si="1"/>
        <v/>
      </c>
      <c r="D8" s="11" t="str">
        <f t="shared" si="2"/>
        <v/>
      </c>
      <c r="E8" s="11" t="str">
        <f t="shared" si="3"/>
        <v/>
      </c>
      <c r="F8" s="11" t="str">
        <f t="shared" si="4"/>
        <v/>
      </c>
      <c r="G8" s="11" t="str">
        <v/>
      </c>
      <c r="H8" s="11" t="str">
        <v/>
      </c>
      <c r="I8" s="11" t="str">
        <v/>
      </c>
    </row>
    <row r="9" spans="1:10">
      <c r="A9" s="10" t="s">
        <v>180</v>
      </c>
      <c r="B9" s="11" t="str">
        <f t="shared" si="0"/>
        <v/>
      </c>
      <c r="C9" s="11" t="str">
        <f t="shared" si="1"/>
        <v/>
      </c>
      <c r="D9" s="11" t="str">
        <f t="shared" si="2"/>
        <v/>
      </c>
      <c r="E9" s="11" t="str">
        <f t="shared" si="3"/>
        <v/>
      </c>
      <c r="F9" s="11" t="str">
        <f t="shared" si="4"/>
        <v/>
      </c>
      <c r="G9" s="11" t="str">
        <v/>
      </c>
      <c r="H9" s="11" t="str">
        <v/>
      </c>
      <c r="I9" s="11" t="str">
        <v/>
      </c>
    </row>
    <row r="10" spans="1:10">
      <c r="A10" s="10" t="s">
        <v>181</v>
      </c>
      <c r="B10" s="11" t="str">
        <f t="shared" si="0"/>
        <v/>
      </c>
      <c r="C10" s="11" t="str">
        <f t="shared" si="1"/>
        <v/>
      </c>
      <c r="D10" s="11" t="str">
        <f t="shared" si="2"/>
        <v/>
      </c>
      <c r="E10" s="11" t="str">
        <f t="shared" si="3"/>
        <v/>
      </c>
      <c r="F10" s="11" t="str">
        <f t="shared" si="4"/>
        <v/>
      </c>
      <c r="G10" s="11" t="str">
        <v/>
      </c>
      <c r="H10" s="11" t="str">
        <v/>
      </c>
      <c r="I10" s="11" t="str">
        <v/>
      </c>
    </row>
    <row r="11" spans="1:10">
      <c r="A11" s="10" t="s">
        <v>2</v>
      </c>
      <c r="B11" s="11" t="str">
        <f t="shared" si="0"/>
        <v/>
      </c>
      <c r="C11" s="11" t="str">
        <f t="shared" si="1"/>
        <v/>
      </c>
      <c r="D11" s="11" t="str">
        <f t="shared" si="2"/>
        <v/>
      </c>
      <c r="E11" s="11" t="str">
        <f t="shared" si="3"/>
        <v/>
      </c>
      <c r="F11" s="11" t="str">
        <f t="shared" si="4"/>
        <v/>
      </c>
      <c r="G11" s="11" t="str">
        <v/>
      </c>
      <c r="H11" s="11" t="str">
        <v/>
      </c>
      <c r="I11" s="11" t="str">
        <v/>
      </c>
    </row>
    <row r="12" spans="1:10">
      <c r="A12" s="10" t="s">
        <v>3</v>
      </c>
      <c r="B12" s="11" t="str">
        <f t="shared" si="0"/>
        <v/>
      </c>
      <c r="C12" s="11" t="str">
        <f t="shared" si="1"/>
        <v/>
      </c>
      <c r="D12" s="11" t="str">
        <f t="shared" si="2"/>
        <v/>
      </c>
      <c r="E12" s="11" t="str">
        <f t="shared" si="3"/>
        <v/>
      </c>
      <c r="F12" s="11" t="str">
        <f t="shared" si="4"/>
        <v/>
      </c>
      <c r="G12" s="11" t="str">
        <v/>
      </c>
      <c r="H12" s="11" t="str">
        <v/>
      </c>
      <c r="I12" s="11" t="str">
        <v/>
      </c>
    </row>
    <row r="13" spans="1:10">
      <c r="A13" s="10" t="s">
        <v>182</v>
      </c>
      <c r="B13" s="11" t="str">
        <f t="shared" si="0"/>
        <v/>
      </c>
      <c r="C13" s="11" t="str">
        <f t="shared" si="1"/>
        <v/>
      </c>
      <c r="D13" s="11" t="str">
        <f t="shared" si="2"/>
        <v/>
      </c>
      <c r="E13" s="11" t="str">
        <f t="shared" si="3"/>
        <v/>
      </c>
      <c r="F13" s="11" t="str">
        <f t="shared" si="4"/>
        <v/>
      </c>
      <c r="G13" s="10" t="str">
        <v/>
      </c>
      <c r="H13" s="11" t="str">
        <v/>
      </c>
      <c r="I13" s="11" t="str">
        <v/>
      </c>
    </row>
    <row r="14" spans="1:10">
      <c r="A14" s="10" t="s">
        <v>1</v>
      </c>
      <c r="B14" s="11" t="str">
        <f t="shared" si="0"/>
        <v/>
      </c>
      <c r="C14" s="11" t="str">
        <f t="shared" si="1"/>
        <v/>
      </c>
      <c r="D14" s="11" t="str">
        <f t="shared" si="2"/>
        <v/>
      </c>
      <c r="E14" s="11" t="str">
        <f t="shared" si="3"/>
        <v/>
      </c>
      <c r="F14" s="11" t="str">
        <f t="shared" si="4"/>
        <v/>
      </c>
      <c r="G14" s="10" t="str">
        <v/>
      </c>
      <c r="H14" s="11" t="str">
        <v/>
      </c>
      <c r="I14" s="11" t="str">
        <v/>
      </c>
    </row>
    <row r="15" spans="1:10">
      <c r="A15" s="10" t="s">
        <v>177</v>
      </c>
      <c r="B15" s="11" t="str">
        <f t="shared" si="0"/>
        <v/>
      </c>
      <c r="C15" s="11" t="str">
        <f t="shared" si="1"/>
        <v/>
      </c>
      <c r="D15" s="11" t="str">
        <f t="shared" si="2"/>
        <v/>
      </c>
      <c r="E15" s="11" t="str">
        <f t="shared" si="3"/>
        <v/>
      </c>
      <c r="F15" s="11" t="str">
        <f t="shared" si="4"/>
        <v/>
      </c>
      <c r="G15" s="10" t="str">
        <v/>
      </c>
      <c r="H15" s="11" t="str">
        <v/>
      </c>
      <c r="I15" s="11" t="str">
        <v/>
      </c>
    </row>
    <row r="16" spans="1:10">
      <c r="A16" s="10" t="s">
        <v>178</v>
      </c>
      <c r="B16" s="11" t="str">
        <f t="shared" si="0"/>
        <v/>
      </c>
      <c r="C16" s="11" t="str">
        <f t="shared" si="1"/>
        <v/>
      </c>
      <c r="D16" s="11" t="str">
        <f t="shared" si="2"/>
        <v/>
      </c>
      <c r="E16" s="11" t="str">
        <f t="shared" si="3"/>
        <v/>
      </c>
      <c r="F16" s="11" t="str">
        <f t="shared" si="4"/>
        <v/>
      </c>
      <c r="G16" s="10" t="str">
        <v/>
      </c>
      <c r="H16" s="11" t="str">
        <v/>
      </c>
      <c r="I16" s="11" t="str">
        <v/>
      </c>
    </row>
    <row r="17" spans="1:9">
      <c r="A17" s="10" t="s">
        <v>179</v>
      </c>
      <c r="B17" s="11" t="str">
        <f t="shared" si="0"/>
        <v/>
      </c>
      <c r="C17" s="11" t="str">
        <f t="shared" si="1"/>
        <v/>
      </c>
      <c r="D17" s="11" t="str">
        <f t="shared" si="2"/>
        <v/>
      </c>
      <c r="E17" s="11" t="str">
        <f t="shared" si="3"/>
        <v/>
      </c>
      <c r="F17" s="11" t="str">
        <f t="shared" si="4"/>
        <v/>
      </c>
      <c r="G17" s="10" t="str">
        <v/>
      </c>
      <c r="H17" s="11" t="str">
        <v/>
      </c>
      <c r="I17" s="11" t="str">
        <v/>
      </c>
    </row>
    <row r="18" spans="1:9">
      <c r="A18" s="10" t="s">
        <v>180</v>
      </c>
      <c r="B18" s="11" t="str">
        <f t="shared" si="0"/>
        <v/>
      </c>
      <c r="C18" s="11" t="str">
        <f t="shared" si="1"/>
        <v/>
      </c>
      <c r="D18" s="11" t="str">
        <f t="shared" si="2"/>
        <v/>
      </c>
      <c r="E18" s="11" t="str">
        <f t="shared" si="3"/>
        <v/>
      </c>
      <c r="F18" s="11" t="str">
        <f t="shared" si="4"/>
        <v/>
      </c>
      <c r="G18" s="10" t="str">
        <v/>
      </c>
      <c r="H18" s="11" t="str">
        <v/>
      </c>
      <c r="I18" s="11" t="str">
        <v/>
      </c>
    </row>
    <row r="19" spans="1:9">
      <c r="A19" s="10" t="s">
        <v>181</v>
      </c>
      <c r="B19" s="11" t="str">
        <f t="shared" si="0"/>
        <v/>
      </c>
      <c r="C19" s="11" t="str">
        <f t="shared" si="1"/>
        <v/>
      </c>
      <c r="D19" s="11" t="str">
        <f t="shared" si="2"/>
        <v/>
      </c>
      <c r="E19" s="11" t="str">
        <f t="shared" si="3"/>
        <v/>
      </c>
      <c r="F19" s="11" t="str">
        <f t="shared" si="4"/>
        <v/>
      </c>
      <c r="G19" s="10" t="str">
        <v/>
      </c>
      <c r="H19" s="11" t="str">
        <v/>
      </c>
      <c r="I19" s="11" t="str">
        <v/>
      </c>
    </row>
    <row r="20" spans="1:9">
      <c r="A20" s="10" t="s">
        <v>183</v>
      </c>
      <c r="B20" s="11" t="str">
        <f t="shared" si="0"/>
        <v/>
      </c>
      <c r="C20" s="11" t="str">
        <f t="shared" si="1"/>
        <v/>
      </c>
      <c r="D20" s="11" t="str">
        <f t="shared" si="2"/>
        <v/>
      </c>
      <c r="E20" s="11" t="str">
        <f t="shared" si="3"/>
        <v/>
      </c>
      <c r="F20" s="11" t="str">
        <f t="shared" si="4"/>
        <v/>
      </c>
      <c r="G20" s="10" t="str">
        <v/>
      </c>
      <c r="H20" s="11" t="str">
        <v/>
      </c>
      <c r="I20" s="11" t="str">
        <v/>
      </c>
    </row>
    <row r="21" spans="1:9">
      <c r="A21" s="10" t="s">
        <v>1</v>
      </c>
      <c r="B21" s="11" t="str">
        <f t="shared" si="0"/>
        <v/>
      </c>
      <c r="C21" s="11" t="str">
        <f t="shared" si="1"/>
        <v/>
      </c>
      <c r="D21" s="11" t="str">
        <f t="shared" si="2"/>
        <v/>
      </c>
      <c r="E21" s="11" t="str">
        <f t="shared" si="3"/>
        <v/>
      </c>
      <c r="F21" s="11" t="str">
        <f t="shared" si="4"/>
        <v/>
      </c>
      <c r="G21" s="10" t="str">
        <v/>
      </c>
      <c r="H21" s="11" t="str">
        <v/>
      </c>
      <c r="I21" s="11" t="str">
        <v/>
      </c>
    </row>
    <row r="22" spans="1:9">
      <c r="A22" s="10" t="s">
        <v>184</v>
      </c>
      <c r="B22" s="11" t="str">
        <f t="shared" si="0"/>
        <v/>
      </c>
      <c r="C22" s="11" t="str">
        <f t="shared" si="1"/>
        <v/>
      </c>
      <c r="D22" s="11" t="str">
        <f t="shared" si="2"/>
        <v/>
      </c>
      <c r="E22" s="11" t="str">
        <f t="shared" si="3"/>
        <v/>
      </c>
      <c r="F22" s="11" t="str">
        <f t="shared" si="4"/>
        <v/>
      </c>
      <c r="G22" s="10" t="str">
        <v/>
      </c>
      <c r="H22" s="11" t="str">
        <v/>
      </c>
      <c r="I22" s="11" t="str">
        <v/>
      </c>
    </row>
    <row r="23" spans="1:9">
      <c r="A23" s="10" t="s">
        <v>185</v>
      </c>
      <c r="B23" s="11" t="str">
        <f t="shared" si="0"/>
        <v/>
      </c>
      <c r="C23" s="11" t="str">
        <f t="shared" si="1"/>
        <v/>
      </c>
      <c r="D23" s="11" t="str">
        <f t="shared" si="2"/>
        <v/>
      </c>
      <c r="E23" s="11" t="str">
        <f t="shared" si="3"/>
        <v/>
      </c>
      <c r="F23" s="11" t="str">
        <f t="shared" si="4"/>
        <v/>
      </c>
      <c r="G23" s="10" t="str">
        <v/>
      </c>
      <c r="H23" s="11" t="str">
        <v/>
      </c>
      <c r="I23" s="11" t="str">
        <v/>
      </c>
    </row>
    <row r="24" spans="1:9">
      <c r="A24" s="10" t="s">
        <v>186</v>
      </c>
      <c r="B24" s="11" t="str">
        <f t="shared" si="0"/>
        <v/>
      </c>
      <c r="C24" s="11" t="str">
        <f t="shared" si="1"/>
        <v/>
      </c>
      <c r="D24" s="11" t="str">
        <f t="shared" si="2"/>
        <v/>
      </c>
      <c r="E24" s="11" t="str">
        <f t="shared" si="3"/>
        <v/>
      </c>
      <c r="F24" s="11" t="str">
        <f t="shared" si="4"/>
        <v/>
      </c>
      <c r="G24" s="10" t="str">
        <v/>
      </c>
      <c r="H24" s="11" t="str">
        <v/>
      </c>
      <c r="I24" s="11" t="str">
        <v/>
      </c>
    </row>
    <row r="25" spans="1:9">
      <c r="A25" s="10" t="s">
        <v>187</v>
      </c>
      <c r="B25" s="11" t="str">
        <f t="shared" si="0"/>
        <v/>
      </c>
      <c r="C25" s="11" t="str">
        <f t="shared" si="1"/>
        <v/>
      </c>
      <c r="D25" s="11" t="str">
        <f t="shared" si="2"/>
        <v/>
      </c>
      <c r="E25" s="11" t="str">
        <f t="shared" si="3"/>
        <v/>
      </c>
      <c r="F25" s="11" t="str">
        <f t="shared" si="4"/>
        <v/>
      </c>
      <c r="G25" s="10" t="str">
        <v/>
      </c>
      <c r="H25" s="11" t="str">
        <v/>
      </c>
      <c r="I25" s="11" t="str">
        <v/>
      </c>
    </row>
    <row r="26" spans="1:9">
      <c r="A26" s="10" t="s">
        <v>4</v>
      </c>
      <c r="B26" s="11" t="str">
        <f t="shared" si="0"/>
        <v/>
      </c>
      <c r="C26" s="11" t="str">
        <f t="shared" si="1"/>
        <v/>
      </c>
      <c r="D26" s="11" t="str">
        <f t="shared" si="2"/>
        <v/>
      </c>
      <c r="E26" s="11" t="str">
        <f t="shared" si="3"/>
        <v/>
      </c>
      <c r="F26" s="11" t="str">
        <f t="shared" si="4"/>
        <v/>
      </c>
      <c r="G26" s="10" t="str">
        <v/>
      </c>
      <c r="H26" s="11" t="str">
        <v/>
      </c>
      <c r="I26" s="11" t="str">
        <v/>
      </c>
    </row>
    <row r="27" spans="1:9">
      <c r="A27" s="10" t="s">
        <v>5</v>
      </c>
      <c r="B27" s="11" t="str">
        <f t="shared" si="0"/>
        <v/>
      </c>
      <c r="C27" s="11" t="str">
        <f t="shared" si="1"/>
        <v/>
      </c>
      <c r="D27" s="11" t="str">
        <f t="shared" si="2"/>
        <v/>
      </c>
      <c r="E27" s="11" t="str">
        <f t="shared" si="3"/>
        <v/>
      </c>
      <c r="F27" s="11" t="str">
        <f t="shared" si="4"/>
        <v/>
      </c>
      <c r="G27" s="10" t="str">
        <v/>
      </c>
      <c r="H27" s="11" t="str">
        <v/>
      </c>
      <c r="I27" s="11" t="str">
        <v/>
      </c>
    </row>
    <row r="28" spans="1:9">
      <c r="A28" s="10" t="s">
        <v>6</v>
      </c>
      <c r="B28" s="11" t="str">
        <f t="shared" si="0"/>
        <v/>
      </c>
      <c r="C28" s="11" t="str">
        <f t="shared" si="1"/>
        <v/>
      </c>
      <c r="D28" s="11" t="str">
        <f t="shared" si="2"/>
        <v/>
      </c>
      <c r="E28" s="11" t="str">
        <f t="shared" si="3"/>
        <v/>
      </c>
      <c r="F28" s="11" t="str">
        <f t="shared" si="4"/>
        <v/>
      </c>
      <c r="G28" s="10" t="str">
        <v/>
      </c>
      <c r="H28" s="11" t="str">
        <v/>
      </c>
      <c r="I28" s="11" t="str">
        <v/>
      </c>
    </row>
    <row r="29" spans="1:9">
      <c r="A29" s="10" t="s">
        <v>7</v>
      </c>
      <c r="B29" s="11" t="str">
        <f t="shared" si="0"/>
        <v/>
      </c>
      <c r="C29" s="11" t="str">
        <f t="shared" si="1"/>
        <v/>
      </c>
      <c r="D29" s="11" t="str">
        <f t="shared" si="2"/>
        <v/>
      </c>
      <c r="E29" s="11" t="str">
        <f t="shared" si="3"/>
        <v/>
      </c>
      <c r="F29" s="11" t="str">
        <f t="shared" si="4"/>
        <v/>
      </c>
      <c r="G29" s="10" t="str">
        <v/>
      </c>
      <c r="H29" s="11" t="str">
        <v/>
      </c>
      <c r="I29" s="11" t="str">
        <v/>
      </c>
    </row>
    <row r="30" spans="1:9">
      <c r="A30" s="10" t="s">
        <v>8</v>
      </c>
      <c r="B30" s="11" t="str">
        <f t="shared" si="0"/>
        <v/>
      </c>
      <c r="C30" s="11" t="str">
        <f t="shared" si="1"/>
        <v/>
      </c>
      <c r="D30" s="11" t="str">
        <f t="shared" si="2"/>
        <v/>
      </c>
      <c r="E30" s="11" t="str">
        <f t="shared" si="3"/>
        <v/>
      </c>
      <c r="F30" s="11" t="str">
        <f t="shared" si="4"/>
        <v/>
      </c>
      <c r="G30" s="10" t="str">
        <v/>
      </c>
      <c r="H30" s="11" t="str">
        <v/>
      </c>
      <c r="I30" s="11" t="str">
        <v/>
      </c>
    </row>
    <row r="31" spans="1:9">
      <c r="A31" s="10" t="s">
        <v>9</v>
      </c>
      <c r="B31" s="11" t="str">
        <f t="shared" si="0"/>
        <v/>
      </c>
      <c r="C31" s="11" t="str">
        <f t="shared" si="1"/>
        <v/>
      </c>
      <c r="D31" s="11" t="str">
        <f t="shared" si="2"/>
        <v/>
      </c>
      <c r="E31" s="11" t="str">
        <f t="shared" si="3"/>
        <v/>
      </c>
      <c r="F31" s="11" t="str">
        <f t="shared" si="4"/>
        <v/>
      </c>
      <c r="G31" s="10" t="str">
        <v/>
      </c>
      <c r="H31" s="11" t="str">
        <v/>
      </c>
      <c r="I31" s="11" t="str">
        <v/>
      </c>
    </row>
    <row r="32" spans="1:9">
      <c r="A32" s="10" t="s">
        <v>10</v>
      </c>
      <c r="B32" s="11" t="str">
        <f t="shared" si="0"/>
        <v/>
      </c>
      <c r="C32" s="11" t="str">
        <f t="shared" si="1"/>
        <v/>
      </c>
      <c r="D32" s="11" t="str">
        <f t="shared" si="2"/>
        <v/>
      </c>
      <c r="E32" s="11" t="str">
        <f t="shared" si="3"/>
        <v/>
      </c>
      <c r="F32" s="11" t="str">
        <f t="shared" si="4"/>
        <v/>
      </c>
      <c r="G32" s="10" t="str">
        <v/>
      </c>
      <c r="H32" s="11" t="str">
        <v/>
      </c>
      <c r="I32" s="11" t="str">
        <v/>
      </c>
    </row>
    <row r="33" spans="1:9">
      <c r="A33" s="10" t="s">
        <v>11</v>
      </c>
      <c r="B33" s="11" t="str">
        <f t="shared" si="0"/>
        <v/>
      </c>
      <c r="C33" s="11" t="str">
        <f t="shared" si="1"/>
        <v/>
      </c>
      <c r="D33" s="11" t="str">
        <f t="shared" si="2"/>
        <v/>
      </c>
      <c r="E33" s="11" t="str">
        <f t="shared" si="3"/>
        <v/>
      </c>
      <c r="F33" s="11" t="str">
        <f t="shared" si="4"/>
        <v/>
      </c>
      <c r="G33" s="10" t="str">
        <v/>
      </c>
      <c r="H33" s="11" t="str">
        <v/>
      </c>
      <c r="I33" s="11" t="str">
        <v/>
      </c>
    </row>
    <row r="34" spans="1:9">
      <c r="A34" s="10" t="s">
        <v>188</v>
      </c>
      <c r="B34" s="11" t="str">
        <f t="shared" si="0"/>
        <v/>
      </c>
      <c r="C34" s="11" t="str">
        <f t="shared" si="1"/>
        <v/>
      </c>
      <c r="D34" s="11" t="str">
        <f t="shared" si="2"/>
        <v/>
      </c>
      <c r="E34" s="11" t="str">
        <f t="shared" si="3"/>
        <v/>
      </c>
      <c r="F34" s="11" t="str">
        <f t="shared" si="4"/>
        <v/>
      </c>
      <c r="G34" s="10" t="str">
        <v/>
      </c>
      <c r="H34" s="11" t="str">
        <v/>
      </c>
      <c r="I34" s="11" t="str">
        <v/>
      </c>
    </row>
    <row r="35" spans="1:9">
      <c r="A35" s="10" t="s">
        <v>189</v>
      </c>
      <c r="B35" s="11" t="str">
        <f t="shared" si="0"/>
        <v/>
      </c>
      <c r="C35" s="11" t="str">
        <f t="shared" si="1"/>
        <v/>
      </c>
      <c r="D35" s="11" t="str">
        <f t="shared" si="2"/>
        <v/>
      </c>
      <c r="E35" s="11" t="str">
        <f t="shared" si="3"/>
        <v/>
      </c>
      <c r="F35" s="11" t="str">
        <f t="shared" si="4"/>
        <v/>
      </c>
      <c r="G35" s="10" t="str">
        <v/>
      </c>
      <c r="H35" s="11" t="str">
        <v/>
      </c>
      <c r="I35" s="11" t="str">
        <v/>
      </c>
    </row>
    <row r="36" spans="1:9">
      <c r="A36" s="10" t="s">
        <v>12</v>
      </c>
      <c r="B36" s="11" t="str">
        <f t="shared" si="0"/>
        <v/>
      </c>
      <c r="C36" s="11" t="str">
        <f t="shared" si="1"/>
        <v/>
      </c>
      <c r="D36" s="11" t="str">
        <f t="shared" si="2"/>
        <v/>
      </c>
      <c r="E36" s="11" t="str">
        <f t="shared" si="3"/>
        <v/>
      </c>
      <c r="F36" s="11" t="str">
        <f t="shared" si="4"/>
        <v/>
      </c>
      <c r="G36" s="10" t="str">
        <v/>
      </c>
      <c r="H36" s="11" t="str">
        <v/>
      </c>
      <c r="I36" s="11" t="str">
        <v/>
      </c>
    </row>
    <row r="37" spans="1:9">
      <c r="A37" s="10" t="s">
        <v>13</v>
      </c>
      <c r="B37" s="11" t="str">
        <f t="shared" si="0"/>
        <v/>
      </c>
      <c r="C37" s="11" t="str">
        <f t="shared" si="1"/>
        <v/>
      </c>
      <c r="D37" s="11" t="str">
        <f t="shared" si="2"/>
        <v/>
      </c>
      <c r="E37" s="11" t="str">
        <f t="shared" si="3"/>
        <v/>
      </c>
      <c r="F37" s="11" t="str">
        <f t="shared" si="4"/>
        <v/>
      </c>
      <c r="G37" s="10" t="str">
        <v/>
      </c>
      <c r="H37" s="11" t="str">
        <v/>
      </c>
      <c r="I37" s="11" t="str">
        <v/>
      </c>
    </row>
    <row r="38" spans="1:9">
      <c r="A38" s="10" t="s">
        <v>14</v>
      </c>
      <c r="B38" s="11" t="str">
        <f t="shared" si="0"/>
        <v/>
      </c>
      <c r="C38" s="11" t="str">
        <f t="shared" si="1"/>
        <v/>
      </c>
      <c r="D38" s="11" t="str">
        <f t="shared" si="2"/>
        <v/>
      </c>
      <c r="E38" s="11" t="str">
        <f t="shared" si="3"/>
        <v/>
      </c>
      <c r="F38" s="11" t="str">
        <f t="shared" si="4"/>
        <v/>
      </c>
      <c r="G38" s="10" t="str">
        <v/>
      </c>
      <c r="H38" s="11" t="str">
        <v/>
      </c>
      <c r="I38" s="11" t="str">
        <v/>
      </c>
    </row>
    <row r="39" spans="1:9">
      <c r="A39" s="10" t="s">
        <v>15</v>
      </c>
      <c r="B39" s="11" t="str">
        <f t="shared" si="0"/>
        <v/>
      </c>
      <c r="C39" s="11" t="str">
        <f t="shared" si="1"/>
        <v/>
      </c>
      <c r="D39" s="11" t="str">
        <f t="shared" si="2"/>
        <v/>
      </c>
      <c r="E39" s="11" t="str">
        <f t="shared" si="3"/>
        <v/>
      </c>
      <c r="F39" s="11" t="str">
        <f t="shared" si="4"/>
        <v/>
      </c>
      <c r="G39" s="10" t="str">
        <v/>
      </c>
      <c r="H39" s="11" t="str">
        <v/>
      </c>
      <c r="I39" s="11" t="str">
        <v/>
      </c>
    </row>
    <row r="40" spans="1:9">
      <c r="A40" s="10" t="s">
        <v>158</v>
      </c>
      <c r="B40" s="11" t="str">
        <f t="shared" si="0"/>
        <v/>
      </c>
      <c r="C40" s="11" t="str">
        <f t="shared" si="1"/>
        <v/>
      </c>
      <c r="D40" s="11" t="str">
        <f t="shared" si="2"/>
        <v/>
      </c>
      <c r="E40" s="11" t="str">
        <f t="shared" si="3"/>
        <v/>
      </c>
      <c r="F40" s="11" t="str">
        <f t="shared" si="4"/>
        <v/>
      </c>
      <c r="G40" s="10" t="str">
        <v/>
      </c>
      <c r="H40" s="11" t="str">
        <v/>
      </c>
      <c r="I40" s="11" t="str">
        <v/>
      </c>
    </row>
    <row r="41" spans="1:9">
      <c r="A41" s="10" t="s">
        <v>16</v>
      </c>
      <c r="B41" s="11" t="str">
        <f t="shared" si="0"/>
        <v/>
      </c>
      <c r="C41" s="11" t="str">
        <f t="shared" si="1"/>
        <v/>
      </c>
      <c r="D41" s="11" t="str">
        <f t="shared" si="2"/>
        <v/>
      </c>
      <c r="E41" s="11" t="str">
        <f t="shared" si="3"/>
        <v/>
      </c>
      <c r="F41" s="11" t="str">
        <f t="shared" si="4"/>
        <v/>
      </c>
      <c r="G41" s="10" t="str">
        <v/>
      </c>
      <c r="H41" s="11" t="str">
        <v/>
      </c>
      <c r="I41" s="11" t="str">
        <v/>
      </c>
    </row>
    <row r="42" spans="1:9">
      <c r="A42" s="10" t="s">
        <v>17</v>
      </c>
      <c r="B42" s="11" t="str">
        <f t="shared" si="0"/>
        <v/>
      </c>
      <c r="C42" s="11" t="str">
        <f t="shared" si="1"/>
        <v/>
      </c>
      <c r="D42" s="11" t="str">
        <f t="shared" si="2"/>
        <v/>
      </c>
      <c r="E42" s="11" t="str">
        <f t="shared" si="3"/>
        <v/>
      </c>
      <c r="F42" s="11" t="str">
        <f t="shared" si="4"/>
        <v/>
      </c>
      <c r="G42" s="10" t="str">
        <v/>
      </c>
      <c r="H42" s="11" t="str">
        <v/>
      </c>
      <c r="I42" s="11" t="str">
        <v/>
      </c>
    </row>
    <row r="43" spans="1:9">
      <c r="A43" s="10" t="s">
        <v>18</v>
      </c>
      <c r="B43" s="11" t="str">
        <f t="shared" si="0"/>
        <v/>
      </c>
      <c r="C43" s="11" t="str">
        <f t="shared" si="1"/>
        <v/>
      </c>
      <c r="D43" s="11" t="str">
        <f t="shared" si="2"/>
        <v/>
      </c>
      <c r="E43" s="11" t="str">
        <f t="shared" si="3"/>
        <v/>
      </c>
      <c r="F43" s="11" t="str">
        <f t="shared" si="4"/>
        <v/>
      </c>
      <c r="G43" s="10" t="str">
        <v/>
      </c>
      <c r="H43" s="11" t="str">
        <v/>
      </c>
      <c r="I43" s="11" t="str">
        <v/>
      </c>
    </row>
    <row r="44" spans="1:9">
      <c r="A44" s="10" t="s">
        <v>19</v>
      </c>
      <c r="B44" s="11" t="str">
        <f t="shared" si="0"/>
        <v/>
      </c>
      <c r="C44" s="11" t="str">
        <f t="shared" si="1"/>
        <v/>
      </c>
      <c r="D44" s="11" t="str">
        <f t="shared" si="2"/>
        <v/>
      </c>
      <c r="E44" s="11" t="str">
        <f t="shared" si="3"/>
        <v/>
      </c>
      <c r="F44" s="11" t="str">
        <f t="shared" si="4"/>
        <v/>
      </c>
      <c r="G44" s="10" t="str">
        <v/>
      </c>
      <c r="H44" s="11" t="str">
        <v/>
      </c>
      <c r="I44" s="11" t="str">
        <v/>
      </c>
    </row>
    <row r="45" spans="1:9">
      <c r="A45" s="10" t="s">
        <v>190</v>
      </c>
      <c r="B45" s="11" t="str">
        <f t="shared" si="0"/>
        <v/>
      </c>
      <c r="C45" s="11" t="str">
        <f t="shared" si="1"/>
        <v/>
      </c>
      <c r="D45" s="11" t="str">
        <f t="shared" si="2"/>
        <v/>
      </c>
      <c r="E45" s="11" t="str">
        <f t="shared" si="3"/>
        <v/>
      </c>
      <c r="F45" s="11" t="str">
        <f t="shared" si="4"/>
        <v/>
      </c>
      <c r="G45" s="10" t="str">
        <v/>
      </c>
      <c r="H45" s="11" t="str">
        <v/>
      </c>
      <c r="I45" s="11" t="str">
        <v/>
      </c>
    </row>
    <row r="46" spans="1:9">
      <c r="A46" s="10" t="s">
        <v>191</v>
      </c>
      <c r="B46" s="11" t="str">
        <f t="shared" si="0"/>
        <v/>
      </c>
      <c r="C46" s="11" t="str">
        <f t="shared" si="1"/>
        <v/>
      </c>
      <c r="D46" s="11" t="str">
        <f t="shared" si="2"/>
        <v/>
      </c>
      <c r="E46" s="11" t="str">
        <f t="shared" si="3"/>
        <v/>
      </c>
      <c r="F46" s="11" t="str">
        <f t="shared" si="4"/>
        <v/>
      </c>
      <c r="G46" s="10" t="str">
        <v/>
      </c>
      <c r="H46" s="11" t="str">
        <v/>
      </c>
      <c r="I46" s="11" t="str">
        <v/>
      </c>
    </row>
    <row r="47" spans="1:9">
      <c r="A47" s="10" t="s">
        <v>20</v>
      </c>
      <c r="B47" s="11" t="str">
        <f t="shared" si="0"/>
        <v/>
      </c>
      <c r="C47" s="11" t="str">
        <f t="shared" si="1"/>
        <v/>
      </c>
      <c r="D47" s="11" t="str">
        <f t="shared" si="2"/>
        <v/>
      </c>
      <c r="E47" s="11" t="str">
        <f t="shared" si="3"/>
        <v/>
      </c>
      <c r="F47" s="11" t="str">
        <f t="shared" si="4"/>
        <v/>
      </c>
      <c r="G47" s="10" t="str">
        <v/>
      </c>
      <c r="H47" s="11" t="str">
        <v/>
      </c>
      <c r="I47" s="11" t="str">
        <v/>
      </c>
    </row>
    <row r="48" spans="1:9">
      <c r="A48" s="10" t="s">
        <v>198</v>
      </c>
      <c r="B48" s="11" t="str">
        <f t="shared" si="0"/>
        <v/>
      </c>
      <c r="C48" s="11" t="str">
        <f t="shared" si="1"/>
        <v/>
      </c>
      <c r="D48" s="11" t="str">
        <f t="shared" si="2"/>
        <v/>
      </c>
      <c r="E48" s="11" t="str">
        <f t="shared" si="3"/>
        <v/>
      </c>
      <c r="F48" s="11" t="str">
        <f t="shared" si="4"/>
        <v/>
      </c>
      <c r="G48" s="10" t="str">
        <v/>
      </c>
      <c r="H48" s="11" t="str">
        <v/>
      </c>
      <c r="I48" s="11" t="str">
        <v/>
      </c>
    </row>
    <row r="49" spans="1:9">
      <c r="A49" s="10" t="s">
        <v>21</v>
      </c>
      <c r="B49" s="11" t="str">
        <f t="shared" si="0"/>
        <v/>
      </c>
      <c r="C49" s="11" t="str">
        <f t="shared" si="1"/>
        <v/>
      </c>
      <c r="D49" s="11" t="str">
        <f t="shared" si="2"/>
        <v/>
      </c>
      <c r="E49" s="11" t="str">
        <f t="shared" si="3"/>
        <v/>
      </c>
      <c r="F49" s="11" t="str">
        <f t="shared" si="4"/>
        <v/>
      </c>
      <c r="G49" s="10" t="str">
        <v/>
      </c>
      <c r="H49" s="11" t="str">
        <v/>
      </c>
      <c r="I49" s="11" t="str">
        <v/>
      </c>
    </row>
    <row r="50" spans="1:9">
      <c r="A50" s="10" t="s">
        <v>22</v>
      </c>
      <c r="B50" s="11" t="str">
        <f t="shared" si="0"/>
        <v/>
      </c>
      <c r="C50" s="11" t="str">
        <f t="shared" si="1"/>
        <v/>
      </c>
      <c r="D50" s="11" t="str">
        <f t="shared" si="2"/>
        <v/>
      </c>
      <c r="E50" s="11" t="str">
        <f t="shared" si="3"/>
        <v/>
      </c>
      <c r="F50" s="11" t="str">
        <f t="shared" si="4"/>
        <v/>
      </c>
      <c r="G50" s="10" t="str">
        <v/>
      </c>
      <c r="H50" s="11" t="str">
        <v/>
      </c>
      <c r="I50" s="11" t="str">
        <v/>
      </c>
    </row>
    <row r="51" spans="1:9">
      <c r="A51" s="10" t="s">
        <v>23</v>
      </c>
      <c r="B51" s="11" t="str">
        <f t="shared" si="0"/>
        <v/>
      </c>
      <c r="C51" s="11" t="str">
        <f t="shared" si="1"/>
        <v/>
      </c>
      <c r="D51" s="11" t="str">
        <f t="shared" si="2"/>
        <v/>
      </c>
      <c r="E51" s="11" t="str">
        <f t="shared" si="3"/>
        <v/>
      </c>
      <c r="F51" s="11" t="str">
        <f t="shared" si="4"/>
        <v/>
      </c>
      <c r="G51" s="10" t="str">
        <v/>
      </c>
      <c r="H51" s="11" t="str">
        <v/>
      </c>
      <c r="I51" s="11" t="str">
        <v/>
      </c>
    </row>
    <row r="52" spans="1:9">
      <c r="A52" s="10" t="s">
        <v>199</v>
      </c>
      <c r="B52" s="11" t="str">
        <f t="shared" si="0"/>
        <v/>
      </c>
      <c r="C52" s="11" t="str">
        <f t="shared" si="1"/>
        <v/>
      </c>
      <c r="D52" s="11" t="str">
        <f t="shared" si="2"/>
        <v/>
      </c>
      <c r="E52" s="11" t="str">
        <f t="shared" si="3"/>
        <v/>
      </c>
      <c r="F52" s="11" t="str">
        <f t="shared" si="4"/>
        <v/>
      </c>
      <c r="G52" s="10" t="str">
        <v/>
      </c>
      <c r="H52" s="11" t="str">
        <v/>
      </c>
      <c r="I52" s="11" t="str">
        <v/>
      </c>
    </row>
    <row r="53" spans="1:9">
      <c r="A53" s="10" t="s">
        <v>200</v>
      </c>
      <c r="B53" s="11" t="str">
        <f t="shared" si="0"/>
        <v/>
      </c>
      <c r="C53" s="11" t="str">
        <f t="shared" si="1"/>
        <v/>
      </c>
      <c r="D53" s="11" t="str">
        <f t="shared" si="2"/>
        <v/>
      </c>
      <c r="E53" s="11" t="str">
        <f t="shared" si="3"/>
        <v/>
      </c>
      <c r="F53" s="11" t="str">
        <f t="shared" si="4"/>
        <v/>
      </c>
      <c r="G53" s="10" t="str">
        <v/>
      </c>
      <c r="H53" s="11" t="str">
        <v/>
      </c>
      <c r="I53" s="11" t="str">
        <v/>
      </c>
    </row>
    <row r="54" spans="1:9">
      <c r="A54" s="10" t="s">
        <v>201</v>
      </c>
      <c r="B54" s="11" t="str">
        <f t="shared" si="0"/>
        <v/>
      </c>
      <c r="C54" s="11" t="str">
        <f t="shared" si="1"/>
        <v/>
      </c>
      <c r="D54" s="11" t="str">
        <f t="shared" si="2"/>
        <v/>
      </c>
      <c r="E54" s="11" t="str">
        <f t="shared" si="3"/>
        <v/>
      </c>
      <c r="F54" s="11" t="str">
        <f t="shared" si="4"/>
        <v/>
      </c>
      <c r="G54" s="10" t="str">
        <v/>
      </c>
      <c r="H54" s="11" t="str">
        <v/>
      </c>
      <c r="I54" s="11" t="str">
        <v/>
      </c>
    </row>
    <row r="55" spans="1:9">
      <c r="A55" s="10" t="s">
        <v>193</v>
      </c>
      <c r="B55" s="11" t="str">
        <f t="shared" si="0"/>
        <v/>
      </c>
      <c r="C55" s="11" t="str">
        <f t="shared" si="1"/>
        <v/>
      </c>
      <c r="D55" s="11" t="str">
        <f t="shared" si="2"/>
        <v/>
      </c>
      <c r="E55" s="11" t="str">
        <f t="shared" si="3"/>
        <v/>
      </c>
      <c r="F55" s="11" t="str">
        <f t="shared" si="4"/>
        <v/>
      </c>
      <c r="G55" s="10" t="str">
        <v/>
      </c>
      <c r="H55" s="11" t="str">
        <v/>
      </c>
      <c r="I55" s="11" t="str">
        <v/>
      </c>
    </row>
    <row r="56" spans="1:9">
      <c r="A56" s="10" t="s">
        <v>194</v>
      </c>
      <c r="B56" s="11" t="str">
        <f t="shared" si="0"/>
        <v/>
      </c>
      <c r="C56" s="11" t="str">
        <f t="shared" si="1"/>
        <v/>
      </c>
      <c r="D56" s="11" t="str">
        <f t="shared" si="2"/>
        <v/>
      </c>
      <c r="E56" s="11" t="str">
        <f t="shared" si="3"/>
        <v/>
      </c>
      <c r="F56" s="11" t="str">
        <f t="shared" si="4"/>
        <v/>
      </c>
      <c r="G56" s="10" t="str">
        <v/>
      </c>
      <c r="H56" s="11" t="str">
        <v/>
      </c>
      <c r="I56" s="11" t="str">
        <v/>
      </c>
    </row>
    <row r="57" spans="1:9">
      <c r="A57" s="10" t="s">
        <v>202</v>
      </c>
      <c r="B57" s="11" t="str">
        <f t="shared" si="0"/>
        <v/>
      </c>
      <c r="C57" s="11" t="str">
        <f t="shared" si="1"/>
        <v/>
      </c>
      <c r="D57" s="11" t="str">
        <f t="shared" si="2"/>
        <v/>
      </c>
      <c r="E57" s="11" t="str">
        <f t="shared" si="3"/>
        <v/>
      </c>
      <c r="F57" s="11" t="str">
        <f t="shared" si="4"/>
        <v/>
      </c>
      <c r="G57" s="10" t="str">
        <v/>
      </c>
      <c r="H57" s="11" t="str">
        <v/>
      </c>
      <c r="I57" s="11" t="str">
        <v/>
      </c>
    </row>
    <row r="58" spans="1:9">
      <c r="A58" s="10" t="s">
        <v>203</v>
      </c>
      <c r="B58" s="11" t="str">
        <f t="shared" si="0"/>
        <v/>
      </c>
      <c r="C58" s="11" t="str">
        <f t="shared" si="1"/>
        <v/>
      </c>
      <c r="D58" s="11" t="str">
        <f t="shared" si="2"/>
        <v/>
      </c>
      <c r="E58" s="11" t="str">
        <f t="shared" si="3"/>
        <v/>
      </c>
      <c r="F58" s="11" t="str">
        <f t="shared" si="4"/>
        <v/>
      </c>
      <c r="G58" s="10" t="str">
        <v/>
      </c>
      <c r="H58" s="11" t="str">
        <v/>
      </c>
      <c r="I58" s="11" t="str">
        <v/>
      </c>
    </row>
    <row r="59" spans="1:9">
      <c r="A59" s="10" t="s">
        <v>204</v>
      </c>
      <c r="B59" s="11" t="str">
        <f t="shared" si="0"/>
        <v/>
      </c>
      <c r="C59" s="11" t="str">
        <f t="shared" si="1"/>
        <v/>
      </c>
      <c r="D59" s="11" t="str">
        <f t="shared" si="2"/>
        <v/>
      </c>
      <c r="E59" s="11" t="str">
        <f t="shared" si="3"/>
        <v/>
      </c>
      <c r="F59" s="11" t="str">
        <f t="shared" si="4"/>
        <v/>
      </c>
      <c r="G59" s="10" t="str">
        <v/>
      </c>
      <c r="H59" s="11" t="str">
        <v/>
      </c>
      <c r="I59" s="11" t="str">
        <v/>
      </c>
    </row>
    <row r="60" spans="1:9">
      <c r="A60" s="10" t="s">
        <v>205</v>
      </c>
      <c r="B60" s="11" t="str">
        <f t="shared" si="0"/>
        <v/>
      </c>
      <c r="C60" s="11" t="str">
        <f t="shared" si="1"/>
        <v/>
      </c>
      <c r="D60" s="11" t="str">
        <f t="shared" si="2"/>
        <v/>
      </c>
      <c r="E60" s="11" t="str">
        <f t="shared" si="3"/>
        <v/>
      </c>
      <c r="F60" s="11">
        <f t="shared" si="4"/>
        <v>3</v>
      </c>
      <c r="G60" s="10" t="str">
        <v/>
      </c>
      <c r="H60" s="11" t="str">
        <v/>
      </c>
      <c r="I60" s="11" t="str">
        <v/>
      </c>
    </row>
    <row r="61" spans="1:9">
      <c r="A61" s="10" t="s">
        <v>206</v>
      </c>
      <c r="B61" s="11" t="str">
        <f t="shared" si="0"/>
        <v/>
      </c>
      <c r="C61" s="11" t="str">
        <f t="shared" si="1"/>
        <v/>
      </c>
      <c r="D61" s="11" t="str">
        <f t="shared" si="2"/>
        <v/>
      </c>
      <c r="E61" s="11" t="str">
        <f t="shared" si="3"/>
        <v/>
      </c>
      <c r="F61" s="11" t="str">
        <f t="shared" si="4"/>
        <v/>
      </c>
      <c r="G61" s="10" t="str">
        <v/>
      </c>
      <c r="H61" s="11" t="str">
        <v/>
      </c>
      <c r="I61" s="11" t="str">
        <v/>
      </c>
    </row>
    <row r="62" spans="1:9">
      <c r="A62" s="10" t="s">
        <v>207</v>
      </c>
      <c r="B62" s="11" t="str">
        <f t="shared" si="0"/>
        <v/>
      </c>
      <c r="C62" s="11" t="str">
        <f t="shared" si="1"/>
        <v/>
      </c>
      <c r="D62" s="11" t="str">
        <f t="shared" si="2"/>
        <v/>
      </c>
      <c r="E62" s="11" t="str">
        <f t="shared" si="3"/>
        <v/>
      </c>
      <c r="F62" s="11" t="str">
        <f t="shared" si="4"/>
        <v/>
      </c>
      <c r="G62" s="10" t="str">
        <v/>
      </c>
      <c r="H62" s="11" t="str">
        <v/>
      </c>
      <c r="I62" s="11" t="str">
        <v/>
      </c>
    </row>
    <row r="63" spans="1:9">
      <c r="A63" s="10" t="s">
        <v>24</v>
      </c>
      <c r="B63" s="11" t="str">
        <f t="shared" si="0"/>
        <v/>
      </c>
      <c r="C63" s="11" t="str">
        <f t="shared" si="1"/>
        <v/>
      </c>
      <c r="D63" s="11" t="str">
        <f t="shared" si="2"/>
        <v/>
      </c>
      <c r="E63" s="11" t="str">
        <f t="shared" si="3"/>
        <v/>
      </c>
      <c r="F63" s="11" t="str">
        <f t="shared" si="4"/>
        <v/>
      </c>
      <c r="G63" s="10" t="str">
        <v/>
      </c>
      <c r="H63" s="11" t="str">
        <v/>
      </c>
      <c r="I63" s="11" t="str">
        <v/>
      </c>
    </row>
    <row r="64" spans="1:9">
      <c r="A64" s="10" t="s">
        <v>25</v>
      </c>
      <c r="B64" s="11" t="str">
        <f t="shared" si="0"/>
        <v/>
      </c>
      <c r="C64" s="11" t="str">
        <f t="shared" si="1"/>
        <v/>
      </c>
      <c r="D64" s="11" t="str">
        <f t="shared" si="2"/>
        <v/>
      </c>
      <c r="E64" s="11" t="str">
        <f t="shared" si="3"/>
        <v/>
      </c>
      <c r="F64" s="11" t="str">
        <f t="shared" si="4"/>
        <v/>
      </c>
      <c r="G64" s="10" t="str">
        <v/>
      </c>
      <c r="H64" s="11" t="str">
        <v/>
      </c>
      <c r="I64" s="11" t="str">
        <v/>
      </c>
    </row>
    <row r="65" spans="1:9">
      <c r="A65" s="10" t="s">
        <v>26</v>
      </c>
      <c r="B65" s="11" t="str">
        <f t="shared" ref="B65:B128" si="5">IFERROR(IF(FIND(" ",A65)=6,IF(IFERROR(FIND(" PB",A65),"")&lt;&gt;"","артикул",IF(IFERROR(FIND(" CRN",A65),"")&lt;&gt;"","артикул","")),""),"")</f>
        <v/>
      </c>
      <c r="C65" s="11" t="str">
        <f t="shared" ref="C65:C128" si="6">IF(B65="артикул",A65,"")</f>
        <v/>
      </c>
      <c r="D65" s="11" t="str">
        <f t="shared" ref="D65:D128" si="7">IF(B65="артикул",A66,"")</f>
        <v/>
      </c>
      <c r="E65" s="11" t="str">
        <f t="shared" si="3"/>
        <v/>
      </c>
      <c r="F65" s="11" t="str">
        <f t="shared" si="4"/>
        <v/>
      </c>
      <c r="G65" s="10" t="str">
        <v/>
      </c>
      <c r="H65" s="11" t="str">
        <v/>
      </c>
      <c r="I65" s="11" t="str">
        <v/>
      </c>
    </row>
    <row r="66" spans="1:9">
      <c r="A66" s="10" t="s">
        <v>27</v>
      </c>
      <c r="B66" s="11" t="str">
        <f t="shared" si="5"/>
        <v/>
      </c>
      <c r="C66" s="11" t="str">
        <f t="shared" si="6"/>
        <v/>
      </c>
      <c r="D66" s="11" t="str">
        <f t="shared" si="7"/>
        <v/>
      </c>
      <c r="E66" s="11" t="str">
        <f t="shared" ref="E66:E129" si="8" xml:space="preserve">
IF(B66="Артикул",
IF(
AND(RIGHT(A67,1)="%",
RIGHT(A68,1)="%",
RIGHT(A69,1)="%",
RIGHT(A70,1)="%"),MID(A71,FIND(" ",A71),50),
IF(
AND(RIGHT(A67,1)="%",
RIGHT(A68,1)="%",
RIGHT(A69,1)="%"),MID(A70,FIND(" ",A70),50),
IF(
AND(RIGHT(A67,1)="%",
RIGHT(A68,1)="%"),
MID(A69,FIND(" ",A69),50),
IF(
RIGHT(A67,1)="%",
MID(A68,FIND(" ",A68),50),"")))),"")</f>
        <v/>
      </c>
      <c r="F66" s="11" t="str">
        <f t="shared" ref="F66:F129" si="9">IFERROR(
IF(
AND(LEFT(A66,8)="Discount",FIND("%",A66)&gt;0),
MID(A66,
FIND(" ",A66),
FIND("%",A66)-FIND(" ",A66))
*-1,""),"")</f>
        <v/>
      </c>
      <c r="G66" s="10" t="str">
        <v/>
      </c>
      <c r="H66" s="11" t="str">
        <v/>
      </c>
      <c r="I66" s="11" t="str">
        <v/>
      </c>
    </row>
    <row r="67" spans="1:9">
      <c r="A67" s="10" t="s">
        <v>28</v>
      </c>
      <c r="B67" s="11" t="str">
        <f t="shared" si="5"/>
        <v/>
      </c>
      <c r="C67" s="11" t="str">
        <f t="shared" si="6"/>
        <v/>
      </c>
      <c r="D67" s="11" t="str">
        <f t="shared" si="7"/>
        <v/>
      </c>
      <c r="E67" s="11" t="str">
        <f t="shared" si="8"/>
        <v/>
      </c>
      <c r="F67" s="11" t="str">
        <f t="shared" si="9"/>
        <v/>
      </c>
      <c r="G67" s="10" t="str">
        <v/>
      </c>
      <c r="H67" s="11" t="str">
        <v/>
      </c>
      <c r="I67" s="11" t="str">
        <v/>
      </c>
    </row>
    <row r="68" spans="1:9">
      <c r="A68" s="10" t="s">
        <v>29</v>
      </c>
      <c r="B68" s="11" t="str">
        <f t="shared" si="5"/>
        <v/>
      </c>
      <c r="C68" s="11" t="str">
        <f t="shared" si="6"/>
        <v/>
      </c>
      <c r="D68" s="11" t="str">
        <f t="shared" si="7"/>
        <v/>
      </c>
      <c r="E68" s="11" t="str">
        <f t="shared" si="8"/>
        <v/>
      </c>
      <c r="F68" s="11" t="str">
        <f t="shared" si="9"/>
        <v/>
      </c>
      <c r="G68" s="10" t="str">
        <v/>
      </c>
      <c r="H68" s="11" t="str">
        <v/>
      </c>
      <c r="I68" s="11" t="str">
        <v/>
      </c>
    </row>
    <row r="69" spans="1:9">
      <c r="A69" s="10" t="s">
        <v>30</v>
      </c>
      <c r="B69" s="11" t="str">
        <f t="shared" si="5"/>
        <v/>
      </c>
      <c r="C69" s="11" t="str">
        <f t="shared" si="6"/>
        <v/>
      </c>
      <c r="D69" s="11" t="str">
        <f t="shared" si="7"/>
        <v/>
      </c>
      <c r="E69" s="11" t="str">
        <f t="shared" si="8"/>
        <v/>
      </c>
      <c r="F69" s="11" t="str">
        <f t="shared" si="9"/>
        <v/>
      </c>
      <c r="G69" s="10" t="str">
        <v/>
      </c>
      <c r="H69" s="11" t="str">
        <v/>
      </c>
      <c r="I69" s="11" t="str">
        <v/>
      </c>
    </row>
    <row r="70" spans="1:9">
      <c r="A70" s="10" t="s">
        <v>31</v>
      </c>
      <c r="B70" s="11" t="str">
        <f t="shared" si="5"/>
        <v/>
      </c>
      <c r="C70" s="11" t="str">
        <f t="shared" si="6"/>
        <v/>
      </c>
      <c r="D70" s="11" t="str">
        <f t="shared" si="7"/>
        <v/>
      </c>
      <c r="E70" s="11" t="str">
        <f t="shared" si="8"/>
        <v/>
      </c>
      <c r="F70" s="11" t="str">
        <f t="shared" si="9"/>
        <v/>
      </c>
      <c r="G70" s="10" t="str">
        <v/>
      </c>
      <c r="H70" s="11" t="str">
        <v/>
      </c>
      <c r="I70" s="11" t="str">
        <v/>
      </c>
    </row>
    <row r="71" spans="1:9">
      <c r="A71" s="10" t="s">
        <v>32</v>
      </c>
      <c r="B71" s="11" t="str">
        <f t="shared" si="5"/>
        <v/>
      </c>
      <c r="C71" s="11" t="str">
        <f t="shared" si="6"/>
        <v/>
      </c>
      <c r="D71" s="11" t="str">
        <f t="shared" si="7"/>
        <v/>
      </c>
      <c r="E71" s="11" t="str">
        <f t="shared" si="8"/>
        <v/>
      </c>
      <c r="F71" s="11" t="str">
        <f t="shared" si="9"/>
        <v/>
      </c>
      <c r="G71" s="10" t="str">
        <v/>
      </c>
      <c r="H71" s="11" t="str">
        <v/>
      </c>
      <c r="I71" s="11" t="str">
        <v/>
      </c>
    </row>
    <row r="72" spans="1:9">
      <c r="A72" s="10" t="s">
        <v>208</v>
      </c>
      <c r="B72" s="11" t="str">
        <f t="shared" si="5"/>
        <v/>
      </c>
      <c r="C72" s="11" t="str">
        <f t="shared" si="6"/>
        <v/>
      </c>
      <c r="D72" s="11" t="str">
        <f t="shared" si="7"/>
        <v/>
      </c>
      <c r="E72" s="11" t="str">
        <f t="shared" si="8"/>
        <v/>
      </c>
      <c r="F72" s="11" t="str">
        <f t="shared" si="9"/>
        <v/>
      </c>
      <c r="G72" s="10" t="str">
        <v/>
      </c>
      <c r="H72" s="11" t="str">
        <v/>
      </c>
      <c r="I72" s="11" t="str">
        <v/>
      </c>
    </row>
    <row r="73" spans="1:9">
      <c r="A73" s="10" t="s">
        <v>33</v>
      </c>
      <c r="B73" s="11" t="str">
        <f t="shared" si="5"/>
        <v/>
      </c>
      <c r="C73" s="11" t="str">
        <f t="shared" si="6"/>
        <v/>
      </c>
      <c r="D73" s="11" t="str">
        <f t="shared" si="7"/>
        <v/>
      </c>
      <c r="E73" s="11" t="str">
        <f t="shared" si="8"/>
        <v/>
      </c>
      <c r="F73" s="11" t="str">
        <f t="shared" si="9"/>
        <v/>
      </c>
      <c r="G73" s="10" t="str">
        <v/>
      </c>
      <c r="H73" s="11" t="str">
        <v/>
      </c>
      <c r="I73" s="11" t="str">
        <v/>
      </c>
    </row>
    <row r="74" spans="1:9">
      <c r="A74" s="10" t="s">
        <v>34</v>
      </c>
      <c r="B74" s="11" t="str">
        <f t="shared" si="5"/>
        <v/>
      </c>
      <c r="C74" s="11" t="str">
        <f t="shared" si="6"/>
        <v/>
      </c>
      <c r="D74" s="11" t="str">
        <f t="shared" si="7"/>
        <v/>
      </c>
      <c r="E74" s="11" t="str">
        <f t="shared" si="8"/>
        <v/>
      </c>
      <c r="F74" s="11" t="str">
        <f t="shared" si="9"/>
        <v/>
      </c>
      <c r="G74" s="10" t="str">
        <v/>
      </c>
      <c r="H74" s="11" t="str">
        <v/>
      </c>
      <c r="I74" s="11" t="str">
        <v/>
      </c>
    </row>
    <row r="75" spans="1:9">
      <c r="A75" s="10" t="s">
        <v>35</v>
      </c>
      <c r="B75" s="11" t="str">
        <f t="shared" si="5"/>
        <v/>
      </c>
      <c r="C75" s="11" t="str">
        <f t="shared" si="6"/>
        <v/>
      </c>
      <c r="D75" s="11" t="str">
        <f t="shared" si="7"/>
        <v/>
      </c>
      <c r="E75" s="11" t="str">
        <f t="shared" si="8"/>
        <v/>
      </c>
      <c r="F75" s="11" t="str">
        <f t="shared" si="9"/>
        <v/>
      </c>
      <c r="G75" s="10" t="str">
        <v/>
      </c>
      <c r="H75" s="11" t="str">
        <v/>
      </c>
      <c r="I75" s="11" t="str">
        <v/>
      </c>
    </row>
    <row r="76" spans="1:9">
      <c r="A76" s="10" t="s">
        <v>36</v>
      </c>
      <c r="B76" s="11" t="str">
        <f t="shared" si="5"/>
        <v/>
      </c>
      <c r="C76" s="11" t="str">
        <f t="shared" si="6"/>
        <v/>
      </c>
      <c r="D76" s="11" t="str">
        <f t="shared" si="7"/>
        <v/>
      </c>
      <c r="E76" s="11" t="str">
        <f t="shared" si="8"/>
        <v/>
      </c>
      <c r="F76" s="11" t="str">
        <f t="shared" si="9"/>
        <v/>
      </c>
      <c r="G76" s="10" t="str">
        <v/>
      </c>
      <c r="H76" s="11" t="str">
        <v/>
      </c>
      <c r="I76" s="11" t="str">
        <v/>
      </c>
    </row>
    <row r="77" spans="1:9">
      <c r="A77" s="10" t="s">
        <v>37</v>
      </c>
      <c r="B77" s="11" t="str">
        <f t="shared" si="5"/>
        <v/>
      </c>
      <c r="C77" s="11" t="str">
        <f t="shared" si="6"/>
        <v/>
      </c>
      <c r="D77" s="11" t="str">
        <f t="shared" si="7"/>
        <v/>
      </c>
      <c r="E77" s="11" t="str">
        <f t="shared" si="8"/>
        <v/>
      </c>
      <c r="F77" s="11" t="str">
        <f t="shared" si="9"/>
        <v/>
      </c>
      <c r="G77" s="10" t="str">
        <v/>
      </c>
      <c r="H77" s="11" t="str">
        <v/>
      </c>
      <c r="I77" s="11" t="str">
        <v/>
      </c>
    </row>
    <row r="78" spans="1:9">
      <c r="A78" s="10" t="s">
        <v>38</v>
      </c>
      <c r="B78" s="11" t="str">
        <f t="shared" si="5"/>
        <v/>
      </c>
      <c r="C78" s="11" t="str">
        <f t="shared" si="6"/>
        <v/>
      </c>
      <c r="D78" s="11" t="str">
        <f t="shared" si="7"/>
        <v/>
      </c>
      <c r="E78" s="11" t="str">
        <f t="shared" si="8"/>
        <v/>
      </c>
      <c r="F78" s="11" t="str">
        <f t="shared" si="9"/>
        <v/>
      </c>
      <c r="G78" s="10" t="str">
        <v/>
      </c>
      <c r="H78" s="11" t="str">
        <v/>
      </c>
      <c r="I78" s="11" t="str">
        <v/>
      </c>
    </row>
    <row r="79" spans="1:9">
      <c r="A79" s="10" t="s">
        <v>39</v>
      </c>
      <c r="B79" s="11" t="str">
        <f t="shared" si="5"/>
        <v/>
      </c>
      <c r="C79" s="11" t="str">
        <f t="shared" si="6"/>
        <v/>
      </c>
      <c r="D79" s="11" t="str">
        <f t="shared" si="7"/>
        <v/>
      </c>
      <c r="E79" s="11" t="str">
        <f t="shared" si="8"/>
        <v/>
      </c>
      <c r="F79" s="11" t="str">
        <f t="shared" si="9"/>
        <v/>
      </c>
      <c r="G79" s="10" t="str">
        <v/>
      </c>
      <c r="H79" s="11" t="str">
        <v/>
      </c>
      <c r="I79" s="11" t="str">
        <v/>
      </c>
    </row>
    <row r="80" spans="1:9">
      <c r="A80" s="10" t="s">
        <v>40</v>
      </c>
      <c r="B80" s="11" t="str">
        <f t="shared" si="5"/>
        <v/>
      </c>
      <c r="C80" s="11" t="str">
        <f t="shared" si="6"/>
        <v/>
      </c>
      <c r="D80" s="11" t="str">
        <f t="shared" si="7"/>
        <v/>
      </c>
      <c r="E80" s="11" t="str">
        <f t="shared" si="8"/>
        <v/>
      </c>
      <c r="F80" s="11" t="str">
        <f t="shared" si="9"/>
        <v/>
      </c>
      <c r="G80" s="10" t="str">
        <v/>
      </c>
      <c r="H80" s="11" t="str">
        <v/>
      </c>
      <c r="I80" s="11" t="str">
        <v/>
      </c>
    </row>
    <row r="81" spans="1:9">
      <c r="A81" s="10" t="s">
        <v>41</v>
      </c>
      <c r="B81" s="11" t="str">
        <f t="shared" si="5"/>
        <v/>
      </c>
      <c r="C81" s="11" t="str">
        <f t="shared" si="6"/>
        <v/>
      </c>
      <c r="D81" s="11" t="str">
        <f t="shared" si="7"/>
        <v/>
      </c>
      <c r="E81" s="11" t="str">
        <f t="shared" si="8"/>
        <v/>
      </c>
      <c r="F81" s="11" t="str">
        <f t="shared" si="9"/>
        <v/>
      </c>
      <c r="G81" s="10" t="str">
        <v/>
      </c>
      <c r="H81" s="11" t="str">
        <v/>
      </c>
      <c r="I81" s="11" t="str">
        <v/>
      </c>
    </row>
    <row r="82" spans="1:9">
      <c r="A82" s="10" t="s">
        <v>42</v>
      </c>
      <c r="B82" s="11" t="str">
        <f t="shared" si="5"/>
        <v/>
      </c>
      <c r="C82" s="11" t="str">
        <f t="shared" si="6"/>
        <v/>
      </c>
      <c r="D82" s="11" t="str">
        <f t="shared" si="7"/>
        <v/>
      </c>
      <c r="E82" s="11" t="str">
        <f t="shared" si="8"/>
        <v/>
      </c>
      <c r="F82" s="11" t="str">
        <f t="shared" si="9"/>
        <v/>
      </c>
      <c r="G82" s="10" t="str">
        <v/>
      </c>
      <c r="H82" s="11" t="str">
        <v/>
      </c>
      <c r="I82" s="11" t="str">
        <v/>
      </c>
    </row>
    <row r="83" spans="1:9">
      <c r="A83" s="10" t="s">
        <v>43</v>
      </c>
      <c r="B83" s="11" t="str">
        <f t="shared" si="5"/>
        <v/>
      </c>
      <c r="C83" s="11" t="str">
        <f t="shared" si="6"/>
        <v/>
      </c>
      <c r="D83" s="11" t="str">
        <f t="shared" si="7"/>
        <v/>
      </c>
      <c r="E83" s="11" t="str">
        <f t="shared" si="8"/>
        <v/>
      </c>
      <c r="F83" s="11" t="str">
        <f t="shared" si="9"/>
        <v/>
      </c>
      <c r="G83" s="10" t="str">
        <v/>
      </c>
      <c r="H83" s="11" t="str">
        <v/>
      </c>
      <c r="I83" s="11" t="str">
        <v/>
      </c>
    </row>
    <row r="84" spans="1:9">
      <c r="A84" s="10" t="s">
        <v>44</v>
      </c>
      <c r="B84" s="11" t="str">
        <f t="shared" si="5"/>
        <v/>
      </c>
      <c r="C84" s="11" t="str">
        <f t="shared" si="6"/>
        <v/>
      </c>
      <c r="D84" s="11" t="str">
        <f t="shared" si="7"/>
        <v/>
      </c>
      <c r="E84" s="11" t="str">
        <f t="shared" si="8"/>
        <v/>
      </c>
      <c r="F84" s="11" t="str">
        <f t="shared" si="9"/>
        <v/>
      </c>
      <c r="G84" s="10" t="str">
        <v/>
      </c>
      <c r="H84" s="11" t="str">
        <v/>
      </c>
      <c r="I84" s="11" t="str">
        <v/>
      </c>
    </row>
    <row r="85" spans="1:9">
      <c r="A85" s="10" t="s">
        <v>45</v>
      </c>
      <c r="B85" s="11" t="str">
        <f t="shared" si="5"/>
        <v/>
      </c>
      <c r="C85" s="11" t="str">
        <f t="shared" si="6"/>
        <v/>
      </c>
      <c r="D85" s="11" t="str">
        <f t="shared" si="7"/>
        <v/>
      </c>
      <c r="E85" s="11" t="str">
        <f t="shared" si="8"/>
        <v/>
      </c>
      <c r="F85" s="11" t="str">
        <f t="shared" si="9"/>
        <v/>
      </c>
      <c r="G85" s="10" t="str">
        <v/>
      </c>
      <c r="H85" s="11" t="str">
        <v/>
      </c>
      <c r="I85" s="11" t="str">
        <v/>
      </c>
    </row>
    <row r="86" spans="1:9">
      <c r="A86" s="10" t="s">
        <v>46</v>
      </c>
      <c r="B86" s="11" t="str">
        <f t="shared" si="5"/>
        <v/>
      </c>
      <c r="C86" s="11" t="str">
        <f t="shared" si="6"/>
        <v/>
      </c>
      <c r="D86" s="11" t="str">
        <f t="shared" si="7"/>
        <v/>
      </c>
      <c r="E86" s="11" t="str">
        <f t="shared" si="8"/>
        <v/>
      </c>
      <c r="F86" s="11" t="str">
        <f t="shared" si="9"/>
        <v/>
      </c>
      <c r="G86" s="10" t="str">
        <v/>
      </c>
      <c r="H86" s="11" t="str">
        <v/>
      </c>
      <c r="I86" s="11" t="str">
        <v/>
      </c>
    </row>
    <row r="87" spans="1:9">
      <c r="A87" s="10" t="s">
        <v>47</v>
      </c>
      <c r="B87" s="11" t="str">
        <f t="shared" si="5"/>
        <v/>
      </c>
      <c r="C87" s="11" t="str">
        <f t="shared" si="6"/>
        <v/>
      </c>
      <c r="D87" s="11" t="str">
        <f t="shared" si="7"/>
        <v/>
      </c>
      <c r="E87" s="11" t="str">
        <f t="shared" si="8"/>
        <v/>
      </c>
      <c r="F87" s="11" t="str">
        <f t="shared" si="9"/>
        <v/>
      </c>
      <c r="G87" s="10" t="str">
        <v/>
      </c>
      <c r="H87" s="11" t="str">
        <v/>
      </c>
      <c r="I87" s="11" t="str">
        <v/>
      </c>
    </row>
    <row r="88" spans="1:9">
      <c r="A88" s="10" t="s">
        <v>48</v>
      </c>
      <c r="B88" s="11" t="str">
        <f t="shared" si="5"/>
        <v/>
      </c>
      <c r="C88" s="11" t="str">
        <f t="shared" si="6"/>
        <v/>
      </c>
      <c r="D88" s="11" t="str">
        <f t="shared" si="7"/>
        <v/>
      </c>
      <c r="E88" s="11" t="str">
        <f t="shared" si="8"/>
        <v/>
      </c>
      <c r="F88" s="11" t="str">
        <f t="shared" si="9"/>
        <v/>
      </c>
      <c r="G88" s="10" t="str">
        <v/>
      </c>
      <c r="H88" s="11" t="str">
        <v/>
      </c>
      <c r="I88" s="11" t="str">
        <v/>
      </c>
    </row>
    <row r="89" spans="1:9">
      <c r="A89" s="10" t="s">
        <v>49</v>
      </c>
      <c r="B89" s="11" t="str">
        <f t="shared" si="5"/>
        <v/>
      </c>
      <c r="C89" s="11" t="str">
        <f t="shared" si="6"/>
        <v/>
      </c>
      <c r="D89" s="11" t="str">
        <f t="shared" si="7"/>
        <v/>
      </c>
      <c r="E89" s="11" t="str">
        <f t="shared" si="8"/>
        <v/>
      </c>
      <c r="F89" s="11" t="str">
        <f t="shared" si="9"/>
        <v/>
      </c>
      <c r="G89" s="10" t="str">
        <v/>
      </c>
      <c r="H89" s="11" t="str">
        <v/>
      </c>
      <c r="I89" s="11" t="str">
        <v/>
      </c>
    </row>
    <row r="90" spans="1:9">
      <c r="A90" s="10" t="s">
        <v>50</v>
      </c>
      <c r="B90" s="11" t="str">
        <f t="shared" si="5"/>
        <v/>
      </c>
      <c r="C90" s="11" t="str">
        <f t="shared" si="6"/>
        <v/>
      </c>
      <c r="D90" s="11" t="str">
        <f t="shared" si="7"/>
        <v/>
      </c>
      <c r="E90" s="11" t="str">
        <f t="shared" si="8"/>
        <v/>
      </c>
      <c r="F90" s="11" t="str">
        <f t="shared" si="9"/>
        <v/>
      </c>
      <c r="G90" s="10" t="str">
        <v/>
      </c>
      <c r="H90" s="11" t="str">
        <v/>
      </c>
      <c r="I90" s="11" t="str">
        <v/>
      </c>
    </row>
    <row r="91" spans="1:9">
      <c r="A91" s="10" t="s">
        <v>51</v>
      </c>
      <c r="B91" s="11" t="str">
        <f t="shared" si="5"/>
        <v/>
      </c>
      <c r="C91" s="11" t="str">
        <f t="shared" si="6"/>
        <v/>
      </c>
      <c r="D91" s="11" t="str">
        <f t="shared" si="7"/>
        <v/>
      </c>
      <c r="E91" s="11" t="str">
        <f t="shared" si="8"/>
        <v/>
      </c>
      <c r="F91" s="11" t="str">
        <f t="shared" si="9"/>
        <v/>
      </c>
      <c r="G91" s="10" t="str">
        <v/>
      </c>
      <c r="H91" s="11" t="str">
        <v/>
      </c>
      <c r="I91" s="11" t="str">
        <v/>
      </c>
    </row>
    <row r="92" spans="1:9">
      <c r="A92" s="10" t="s">
        <v>52</v>
      </c>
      <c r="B92" s="11" t="str">
        <f t="shared" si="5"/>
        <v/>
      </c>
      <c r="C92" s="11" t="str">
        <f t="shared" si="6"/>
        <v/>
      </c>
      <c r="D92" s="11" t="str">
        <f t="shared" si="7"/>
        <v/>
      </c>
      <c r="E92" s="11" t="str">
        <f t="shared" si="8"/>
        <v/>
      </c>
      <c r="F92" s="11" t="str">
        <f t="shared" si="9"/>
        <v/>
      </c>
      <c r="G92" s="10" t="str">
        <v/>
      </c>
      <c r="H92" s="11" t="str">
        <v/>
      </c>
      <c r="I92" s="11" t="str">
        <v/>
      </c>
    </row>
    <row r="93" spans="1:9">
      <c r="A93" s="10" t="s">
        <v>53</v>
      </c>
      <c r="B93" s="11" t="str">
        <f t="shared" si="5"/>
        <v/>
      </c>
      <c r="C93" s="11" t="str">
        <f t="shared" si="6"/>
        <v/>
      </c>
      <c r="D93" s="11" t="str">
        <f t="shared" si="7"/>
        <v/>
      </c>
      <c r="E93" s="11" t="str">
        <f t="shared" si="8"/>
        <v/>
      </c>
      <c r="F93" s="11" t="str">
        <f t="shared" si="9"/>
        <v/>
      </c>
      <c r="G93" s="10" t="str">
        <v/>
      </c>
      <c r="H93" s="11" t="str">
        <v/>
      </c>
      <c r="I93" s="11" t="str">
        <v/>
      </c>
    </row>
    <row r="94" spans="1:9">
      <c r="A94" s="10" t="s">
        <v>54</v>
      </c>
      <c r="B94" s="11" t="str">
        <f t="shared" si="5"/>
        <v/>
      </c>
      <c r="C94" s="11" t="str">
        <f t="shared" si="6"/>
        <v/>
      </c>
      <c r="D94" s="11" t="str">
        <f t="shared" si="7"/>
        <v/>
      </c>
      <c r="E94" s="11" t="str">
        <f t="shared" si="8"/>
        <v/>
      </c>
      <c r="F94" s="11" t="str">
        <f t="shared" si="9"/>
        <v/>
      </c>
      <c r="G94" s="10" t="str">
        <v/>
      </c>
      <c r="H94" s="11" t="str">
        <v/>
      </c>
      <c r="I94" s="11" t="str">
        <v/>
      </c>
    </row>
    <row r="95" spans="1:9">
      <c r="A95" s="10" t="s">
        <v>55</v>
      </c>
      <c r="B95" s="11" t="str">
        <f t="shared" si="5"/>
        <v/>
      </c>
      <c r="C95" s="11" t="str">
        <f t="shared" si="6"/>
        <v/>
      </c>
      <c r="D95" s="11" t="str">
        <f t="shared" si="7"/>
        <v/>
      </c>
      <c r="E95" s="11" t="str">
        <f t="shared" si="8"/>
        <v/>
      </c>
      <c r="F95" s="11" t="str">
        <f t="shared" si="9"/>
        <v/>
      </c>
      <c r="G95" s="10" t="str">
        <v/>
      </c>
      <c r="H95" s="11" t="str">
        <v/>
      </c>
      <c r="I95" s="11" t="str">
        <v/>
      </c>
    </row>
    <row r="96" spans="1:9">
      <c r="A96" s="10" t="s">
        <v>56</v>
      </c>
      <c r="B96" s="11" t="str">
        <f t="shared" si="5"/>
        <v/>
      </c>
      <c r="C96" s="11" t="str">
        <f t="shared" si="6"/>
        <v/>
      </c>
      <c r="D96" s="11" t="str">
        <f t="shared" si="7"/>
        <v/>
      </c>
      <c r="E96" s="11" t="str">
        <f t="shared" si="8"/>
        <v/>
      </c>
      <c r="F96" s="11" t="str">
        <f t="shared" si="9"/>
        <v/>
      </c>
      <c r="G96" s="10" t="str">
        <v/>
      </c>
      <c r="H96" s="11" t="str">
        <v/>
      </c>
      <c r="I96" s="11" t="str">
        <v/>
      </c>
    </row>
    <row r="97" spans="1:9">
      <c r="A97" s="10" t="s">
        <v>57</v>
      </c>
      <c r="B97" s="11" t="str">
        <f t="shared" si="5"/>
        <v/>
      </c>
      <c r="C97" s="11" t="str">
        <f t="shared" si="6"/>
        <v/>
      </c>
      <c r="D97" s="11" t="str">
        <f t="shared" si="7"/>
        <v/>
      </c>
      <c r="E97" s="11" t="str">
        <f t="shared" si="8"/>
        <v/>
      </c>
      <c r="F97" s="11" t="str">
        <f t="shared" si="9"/>
        <v/>
      </c>
      <c r="G97" s="10" t="str">
        <v/>
      </c>
      <c r="H97" s="11" t="str">
        <v/>
      </c>
      <c r="I97" s="11" t="str">
        <v/>
      </c>
    </row>
    <row r="98" spans="1:9">
      <c r="A98" s="10" t="s">
        <v>58</v>
      </c>
      <c r="B98" s="11" t="str">
        <f t="shared" si="5"/>
        <v/>
      </c>
      <c r="C98" s="11" t="str">
        <f t="shared" si="6"/>
        <v/>
      </c>
      <c r="D98" s="11" t="str">
        <f t="shared" si="7"/>
        <v/>
      </c>
      <c r="E98" s="11" t="str">
        <f t="shared" si="8"/>
        <v/>
      </c>
      <c r="F98" s="11" t="str">
        <f t="shared" si="9"/>
        <v/>
      </c>
      <c r="G98" s="10" t="str">
        <v/>
      </c>
      <c r="H98" s="11" t="str">
        <v/>
      </c>
      <c r="I98" s="11" t="str">
        <v/>
      </c>
    </row>
    <row r="99" spans="1:9">
      <c r="A99" s="10" t="s">
        <v>59</v>
      </c>
      <c r="B99" s="11" t="str">
        <f t="shared" si="5"/>
        <v/>
      </c>
      <c r="C99" s="11" t="str">
        <f t="shared" si="6"/>
        <v/>
      </c>
      <c r="D99" s="11" t="str">
        <f t="shared" si="7"/>
        <v/>
      </c>
      <c r="E99" s="11" t="str">
        <f t="shared" si="8"/>
        <v/>
      </c>
      <c r="F99" s="11" t="str">
        <f t="shared" si="9"/>
        <v/>
      </c>
      <c r="G99" s="10" t="str">
        <v/>
      </c>
      <c r="H99" s="11" t="str">
        <v/>
      </c>
      <c r="I99" s="11" t="str">
        <v/>
      </c>
    </row>
    <row r="100" spans="1:9">
      <c r="A100" s="10" t="s">
        <v>60</v>
      </c>
      <c r="B100" s="11" t="str">
        <f t="shared" si="5"/>
        <v/>
      </c>
      <c r="C100" s="11" t="str">
        <f t="shared" si="6"/>
        <v/>
      </c>
      <c r="D100" s="11" t="str">
        <f t="shared" si="7"/>
        <v/>
      </c>
      <c r="E100" s="11" t="str">
        <f t="shared" si="8"/>
        <v/>
      </c>
      <c r="F100" s="11" t="str">
        <f t="shared" si="9"/>
        <v/>
      </c>
      <c r="G100" s="10" t="str">
        <v/>
      </c>
      <c r="H100" s="11" t="str">
        <v/>
      </c>
      <c r="I100" s="11" t="str">
        <v/>
      </c>
    </row>
    <row r="101" spans="1:9">
      <c r="A101" s="10" t="s">
        <v>61</v>
      </c>
      <c r="B101" s="11" t="str">
        <f t="shared" si="5"/>
        <v/>
      </c>
      <c r="C101" s="11" t="str">
        <f t="shared" si="6"/>
        <v/>
      </c>
      <c r="D101" s="11" t="str">
        <f t="shared" si="7"/>
        <v/>
      </c>
      <c r="E101" s="11" t="str">
        <f t="shared" si="8"/>
        <v/>
      </c>
      <c r="F101" s="11" t="str">
        <f t="shared" si="9"/>
        <v/>
      </c>
      <c r="G101" s="10" t="str">
        <v/>
      </c>
      <c r="H101" s="11" t="str">
        <v/>
      </c>
      <c r="I101" s="11" t="str">
        <v/>
      </c>
    </row>
    <row r="102" spans="1:9">
      <c r="A102" s="10" t="s">
        <v>62</v>
      </c>
      <c r="B102" s="11" t="str">
        <f t="shared" si="5"/>
        <v/>
      </c>
      <c r="C102" s="11" t="str">
        <f t="shared" si="6"/>
        <v/>
      </c>
      <c r="D102" s="11" t="str">
        <f t="shared" si="7"/>
        <v/>
      </c>
      <c r="E102" s="11" t="str">
        <f t="shared" si="8"/>
        <v/>
      </c>
      <c r="F102" s="11" t="str">
        <f t="shared" si="9"/>
        <v/>
      </c>
      <c r="G102" s="10" t="str">
        <v/>
      </c>
      <c r="H102" s="11" t="str">
        <v/>
      </c>
      <c r="I102" s="11" t="str">
        <v/>
      </c>
    </row>
    <row r="103" spans="1:9">
      <c r="A103" s="10" t="s">
        <v>63</v>
      </c>
      <c r="B103" s="11" t="str">
        <f t="shared" si="5"/>
        <v/>
      </c>
      <c r="C103" s="11" t="str">
        <f t="shared" si="6"/>
        <v/>
      </c>
      <c r="D103" s="11" t="str">
        <f t="shared" si="7"/>
        <v/>
      </c>
      <c r="E103" s="11" t="str">
        <f t="shared" si="8"/>
        <v/>
      </c>
      <c r="F103" s="11" t="str">
        <f t="shared" si="9"/>
        <v/>
      </c>
      <c r="G103" s="10" t="str">
        <v/>
      </c>
      <c r="H103" s="11" t="str">
        <v/>
      </c>
      <c r="I103" s="11" t="str">
        <v/>
      </c>
    </row>
    <row r="104" spans="1:9">
      <c r="A104" s="10" t="s">
        <v>64</v>
      </c>
      <c r="B104" s="11" t="str">
        <f t="shared" si="5"/>
        <v/>
      </c>
      <c r="C104" s="11" t="str">
        <f t="shared" si="6"/>
        <v/>
      </c>
      <c r="D104" s="11" t="str">
        <f t="shared" si="7"/>
        <v/>
      </c>
      <c r="E104" s="11" t="str">
        <f t="shared" si="8"/>
        <v/>
      </c>
      <c r="F104" s="11" t="str">
        <f t="shared" si="9"/>
        <v/>
      </c>
      <c r="G104" s="10" t="str">
        <v/>
      </c>
      <c r="H104" s="11" t="str">
        <v/>
      </c>
      <c r="I104" s="11" t="str">
        <v/>
      </c>
    </row>
    <row r="105" spans="1:9">
      <c r="A105" s="10" t="s">
        <v>65</v>
      </c>
      <c r="B105" s="11" t="str">
        <f t="shared" si="5"/>
        <v/>
      </c>
      <c r="C105" s="11" t="str">
        <f t="shared" si="6"/>
        <v/>
      </c>
      <c r="D105" s="11" t="str">
        <f t="shared" si="7"/>
        <v/>
      </c>
      <c r="E105" s="11" t="str">
        <f t="shared" si="8"/>
        <v/>
      </c>
      <c r="F105" s="11" t="str">
        <f t="shared" si="9"/>
        <v/>
      </c>
      <c r="G105" s="10" t="str">
        <v/>
      </c>
      <c r="H105" s="11" t="str">
        <v/>
      </c>
      <c r="I105" s="11" t="str">
        <v/>
      </c>
    </row>
    <row r="106" spans="1:9">
      <c r="A106" s="10" t="s">
        <v>66</v>
      </c>
      <c r="B106" s="11" t="str">
        <f t="shared" si="5"/>
        <v/>
      </c>
      <c r="C106" s="11" t="str">
        <f t="shared" si="6"/>
        <v/>
      </c>
      <c r="D106" s="11" t="str">
        <f t="shared" si="7"/>
        <v/>
      </c>
      <c r="E106" s="11" t="str">
        <f t="shared" si="8"/>
        <v/>
      </c>
      <c r="F106" s="11" t="str">
        <f t="shared" si="9"/>
        <v/>
      </c>
      <c r="G106" s="10" t="str">
        <v/>
      </c>
      <c r="H106" s="11" t="str">
        <v/>
      </c>
      <c r="I106" s="11" t="str">
        <v/>
      </c>
    </row>
    <row r="107" spans="1:9">
      <c r="A107" s="10" t="s">
        <v>67</v>
      </c>
      <c r="B107" s="11" t="str">
        <f t="shared" si="5"/>
        <v/>
      </c>
      <c r="C107" s="11" t="str">
        <f t="shared" si="6"/>
        <v/>
      </c>
      <c r="D107" s="11" t="str">
        <f t="shared" si="7"/>
        <v/>
      </c>
      <c r="E107" s="11" t="str">
        <f t="shared" si="8"/>
        <v/>
      </c>
      <c r="F107" s="11" t="str">
        <f t="shared" si="9"/>
        <v/>
      </c>
      <c r="G107" s="10" t="str">
        <v/>
      </c>
      <c r="H107" s="11" t="str">
        <v/>
      </c>
      <c r="I107" s="11" t="str">
        <v/>
      </c>
    </row>
    <row r="108" spans="1:9">
      <c r="A108" s="10" t="s">
        <v>68</v>
      </c>
      <c r="B108" s="11" t="str">
        <f t="shared" si="5"/>
        <v/>
      </c>
      <c r="C108" s="11" t="str">
        <f t="shared" si="6"/>
        <v/>
      </c>
      <c r="D108" s="11" t="str">
        <f t="shared" si="7"/>
        <v/>
      </c>
      <c r="E108" s="11" t="str">
        <f t="shared" si="8"/>
        <v/>
      </c>
      <c r="F108" s="11" t="str">
        <f t="shared" si="9"/>
        <v/>
      </c>
      <c r="G108" s="10" t="str">
        <v/>
      </c>
      <c r="H108" s="11" t="str">
        <v/>
      </c>
      <c r="I108" s="11" t="str">
        <v/>
      </c>
    </row>
    <row r="109" spans="1:9">
      <c r="A109" s="10" t="s">
        <v>69</v>
      </c>
      <c r="B109" s="11" t="str">
        <f t="shared" si="5"/>
        <v/>
      </c>
      <c r="C109" s="11" t="str">
        <f t="shared" si="6"/>
        <v/>
      </c>
      <c r="D109" s="11" t="str">
        <f t="shared" si="7"/>
        <v/>
      </c>
      <c r="E109" s="11" t="str">
        <f t="shared" si="8"/>
        <v/>
      </c>
      <c r="F109" s="11" t="str">
        <f t="shared" si="9"/>
        <v/>
      </c>
      <c r="G109" s="10" t="str">
        <v/>
      </c>
      <c r="H109" s="11" t="str">
        <v/>
      </c>
      <c r="I109" s="11" t="str">
        <v/>
      </c>
    </row>
    <row r="110" spans="1:9">
      <c r="A110" s="10" t="s">
        <v>70</v>
      </c>
      <c r="B110" s="11" t="str">
        <f t="shared" si="5"/>
        <v/>
      </c>
      <c r="C110" s="11" t="str">
        <f t="shared" si="6"/>
        <v/>
      </c>
      <c r="D110" s="11" t="str">
        <f t="shared" si="7"/>
        <v/>
      </c>
      <c r="E110" s="11" t="str">
        <f t="shared" si="8"/>
        <v/>
      </c>
      <c r="F110" s="11" t="str">
        <f t="shared" si="9"/>
        <v/>
      </c>
      <c r="G110" s="10" t="str">
        <v/>
      </c>
      <c r="H110" s="11" t="str">
        <v/>
      </c>
      <c r="I110" s="11" t="str">
        <v/>
      </c>
    </row>
    <row r="111" spans="1:9">
      <c r="A111" s="10" t="s">
        <v>71</v>
      </c>
      <c r="B111" s="11" t="str">
        <f t="shared" si="5"/>
        <v/>
      </c>
      <c r="C111" s="11" t="str">
        <f t="shared" si="6"/>
        <v/>
      </c>
      <c r="D111" s="11" t="str">
        <f t="shared" si="7"/>
        <v/>
      </c>
      <c r="E111" s="11" t="str">
        <f t="shared" si="8"/>
        <v/>
      </c>
      <c r="F111" s="11" t="str">
        <f t="shared" si="9"/>
        <v/>
      </c>
      <c r="G111" s="10" t="str">
        <v/>
      </c>
      <c r="H111" s="11" t="str">
        <v/>
      </c>
      <c r="I111" s="11" t="str">
        <v/>
      </c>
    </row>
    <row r="112" spans="1:9">
      <c r="A112" s="10" t="s">
        <v>72</v>
      </c>
      <c r="B112" s="11" t="str">
        <f t="shared" si="5"/>
        <v/>
      </c>
      <c r="C112" s="11" t="str">
        <f t="shared" si="6"/>
        <v/>
      </c>
      <c r="D112" s="11" t="str">
        <f t="shared" si="7"/>
        <v/>
      </c>
      <c r="E112" s="11" t="str">
        <f t="shared" si="8"/>
        <v/>
      </c>
      <c r="F112" s="11" t="str">
        <f t="shared" si="9"/>
        <v/>
      </c>
      <c r="G112" s="10" t="str">
        <v/>
      </c>
      <c r="H112" s="11" t="str">
        <v/>
      </c>
      <c r="I112" s="11" t="str">
        <v/>
      </c>
    </row>
    <row r="113" spans="1:9">
      <c r="A113" s="10" t="s">
        <v>73</v>
      </c>
      <c r="B113" s="11" t="str">
        <f t="shared" si="5"/>
        <v/>
      </c>
      <c r="C113" s="11" t="str">
        <f t="shared" si="6"/>
        <v/>
      </c>
      <c r="D113" s="11" t="str">
        <f t="shared" si="7"/>
        <v/>
      </c>
      <c r="E113" s="11" t="str">
        <f t="shared" si="8"/>
        <v/>
      </c>
      <c r="F113" s="11" t="str">
        <f t="shared" si="9"/>
        <v/>
      </c>
      <c r="G113" s="10" t="str">
        <v/>
      </c>
      <c r="H113" s="11" t="str">
        <v/>
      </c>
      <c r="I113" s="11" t="str">
        <v/>
      </c>
    </row>
    <row r="114" spans="1:9">
      <c r="A114" s="10" t="s">
        <v>74</v>
      </c>
      <c r="B114" s="11" t="str">
        <f t="shared" si="5"/>
        <v/>
      </c>
      <c r="C114" s="11" t="str">
        <f t="shared" si="6"/>
        <v/>
      </c>
      <c r="D114" s="11" t="str">
        <f t="shared" si="7"/>
        <v/>
      </c>
      <c r="E114" s="11" t="str">
        <f t="shared" si="8"/>
        <v/>
      </c>
      <c r="F114" s="11" t="str">
        <f t="shared" si="9"/>
        <v/>
      </c>
      <c r="G114" s="10" t="str">
        <v/>
      </c>
      <c r="H114" s="11" t="str">
        <v/>
      </c>
      <c r="I114" s="11" t="str">
        <v/>
      </c>
    </row>
    <row r="115" spans="1:9">
      <c r="A115" s="10" t="s">
        <v>75</v>
      </c>
      <c r="B115" s="11" t="str">
        <f t="shared" si="5"/>
        <v/>
      </c>
      <c r="C115" s="11" t="str">
        <f t="shared" si="6"/>
        <v/>
      </c>
      <c r="D115" s="11" t="str">
        <f t="shared" si="7"/>
        <v/>
      </c>
      <c r="E115" s="11" t="str">
        <f t="shared" si="8"/>
        <v/>
      </c>
      <c r="F115" s="11" t="str">
        <f t="shared" si="9"/>
        <v/>
      </c>
      <c r="G115" s="10" t="str">
        <v/>
      </c>
      <c r="H115" s="11" t="str">
        <v/>
      </c>
      <c r="I115" s="11" t="str">
        <v/>
      </c>
    </row>
    <row r="116" spans="1:9">
      <c r="A116" s="10" t="s">
        <v>76</v>
      </c>
      <c r="B116" s="11" t="str">
        <f t="shared" si="5"/>
        <v/>
      </c>
      <c r="C116" s="11" t="str">
        <f t="shared" si="6"/>
        <v/>
      </c>
      <c r="D116" s="11" t="str">
        <f t="shared" si="7"/>
        <v/>
      </c>
      <c r="E116" s="11" t="str">
        <f t="shared" si="8"/>
        <v/>
      </c>
      <c r="F116" s="11" t="str">
        <f t="shared" si="9"/>
        <v/>
      </c>
      <c r="G116" s="10" t="str">
        <v/>
      </c>
      <c r="H116" s="11" t="str">
        <v/>
      </c>
      <c r="I116" s="11" t="str">
        <v/>
      </c>
    </row>
    <row r="117" spans="1:9">
      <c r="A117" s="10" t="s">
        <v>77</v>
      </c>
      <c r="B117" s="11" t="str">
        <f t="shared" si="5"/>
        <v/>
      </c>
      <c r="C117" s="11" t="str">
        <f t="shared" si="6"/>
        <v/>
      </c>
      <c r="D117" s="11" t="str">
        <f t="shared" si="7"/>
        <v/>
      </c>
      <c r="E117" s="11" t="str">
        <f t="shared" si="8"/>
        <v/>
      </c>
      <c r="F117" s="11" t="str">
        <f t="shared" si="9"/>
        <v/>
      </c>
      <c r="G117" s="10" t="str">
        <v/>
      </c>
      <c r="H117" s="11" t="str">
        <v/>
      </c>
      <c r="I117" s="11" t="str">
        <v/>
      </c>
    </row>
    <row r="118" spans="1:9">
      <c r="A118" s="10" t="s">
        <v>78</v>
      </c>
      <c r="B118" s="11" t="str">
        <f t="shared" si="5"/>
        <v/>
      </c>
      <c r="C118" s="11" t="str">
        <f t="shared" si="6"/>
        <v/>
      </c>
      <c r="D118" s="11" t="str">
        <f t="shared" si="7"/>
        <v/>
      </c>
      <c r="E118" s="11" t="str">
        <f t="shared" si="8"/>
        <v/>
      </c>
      <c r="F118" s="11" t="str">
        <f t="shared" si="9"/>
        <v/>
      </c>
      <c r="G118" s="10" t="str">
        <v/>
      </c>
      <c r="H118" s="11" t="str">
        <v/>
      </c>
      <c r="I118" s="11" t="str">
        <v/>
      </c>
    </row>
    <row r="119" spans="1:9">
      <c r="A119" s="10" t="s">
        <v>79</v>
      </c>
      <c r="B119" s="11" t="str">
        <f t="shared" si="5"/>
        <v/>
      </c>
      <c r="C119" s="11" t="str">
        <f t="shared" si="6"/>
        <v/>
      </c>
      <c r="D119" s="11" t="str">
        <f t="shared" si="7"/>
        <v/>
      </c>
      <c r="E119" s="11" t="str">
        <f t="shared" si="8"/>
        <v/>
      </c>
      <c r="F119" s="11" t="str">
        <f t="shared" si="9"/>
        <v/>
      </c>
      <c r="G119" s="10" t="str">
        <v/>
      </c>
      <c r="H119" s="11" t="str">
        <v/>
      </c>
      <c r="I119" s="11" t="str">
        <v/>
      </c>
    </row>
    <row r="120" spans="1:9">
      <c r="A120" s="10" t="s">
        <v>80</v>
      </c>
      <c r="B120" s="11" t="str">
        <f t="shared" si="5"/>
        <v/>
      </c>
      <c r="C120" s="11" t="str">
        <f t="shared" si="6"/>
        <v/>
      </c>
      <c r="D120" s="11" t="str">
        <f t="shared" si="7"/>
        <v/>
      </c>
      <c r="E120" s="11" t="str">
        <f t="shared" si="8"/>
        <v/>
      </c>
      <c r="F120" s="11" t="str">
        <f t="shared" si="9"/>
        <v/>
      </c>
      <c r="G120" s="10" t="str">
        <v/>
      </c>
      <c r="H120" s="11" t="str">
        <v/>
      </c>
      <c r="I120" s="11" t="str">
        <v/>
      </c>
    </row>
    <row r="121" spans="1:9">
      <c r="A121" s="10" t="s">
        <v>81</v>
      </c>
      <c r="B121" s="11" t="str">
        <f t="shared" si="5"/>
        <v/>
      </c>
      <c r="C121" s="11" t="str">
        <f t="shared" si="6"/>
        <v/>
      </c>
      <c r="D121" s="11" t="str">
        <f t="shared" si="7"/>
        <v/>
      </c>
      <c r="E121" s="11" t="str">
        <f t="shared" si="8"/>
        <v/>
      </c>
      <c r="F121" s="11" t="str">
        <f t="shared" si="9"/>
        <v/>
      </c>
      <c r="G121" s="10" t="str">
        <v/>
      </c>
      <c r="H121" s="11" t="str">
        <v/>
      </c>
      <c r="I121" s="11" t="str">
        <v/>
      </c>
    </row>
    <row r="122" spans="1:9">
      <c r="A122" s="10" t="s">
        <v>82</v>
      </c>
      <c r="B122" s="11" t="str">
        <f t="shared" si="5"/>
        <v/>
      </c>
      <c r="C122" s="11" t="str">
        <f t="shared" si="6"/>
        <v/>
      </c>
      <c r="D122" s="11" t="str">
        <f t="shared" si="7"/>
        <v/>
      </c>
      <c r="E122" s="11" t="str">
        <f t="shared" si="8"/>
        <v/>
      </c>
      <c r="F122" s="11" t="str">
        <f t="shared" si="9"/>
        <v/>
      </c>
      <c r="G122" s="10" t="str">
        <v/>
      </c>
      <c r="H122" s="11" t="str">
        <v/>
      </c>
      <c r="I122" s="11" t="str">
        <v/>
      </c>
    </row>
    <row r="123" spans="1:9">
      <c r="A123" s="10" t="s">
        <v>83</v>
      </c>
      <c r="B123" s="11" t="str">
        <f t="shared" si="5"/>
        <v/>
      </c>
      <c r="C123" s="11" t="str">
        <f t="shared" si="6"/>
        <v/>
      </c>
      <c r="D123" s="11" t="str">
        <f t="shared" si="7"/>
        <v/>
      </c>
      <c r="E123" s="11" t="str">
        <f t="shared" si="8"/>
        <v/>
      </c>
      <c r="F123" s="11" t="str">
        <f t="shared" si="9"/>
        <v/>
      </c>
      <c r="G123" s="10" t="str">
        <v/>
      </c>
      <c r="H123" s="11" t="str">
        <v/>
      </c>
      <c r="I123" s="11" t="str">
        <v/>
      </c>
    </row>
    <row r="124" spans="1:9">
      <c r="A124" s="10" t="s">
        <v>0</v>
      </c>
      <c r="B124" s="11" t="str">
        <f t="shared" si="5"/>
        <v/>
      </c>
      <c r="C124" s="11" t="str">
        <f t="shared" si="6"/>
        <v/>
      </c>
      <c r="D124" s="11" t="str">
        <f t="shared" si="7"/>
        <v/>
      </c>
      <c r="E124" s="11" t="str">
        <f t="shared" si="8"/>
        <v/>
      </c>
      <c r="F124" s="11" t="str">
        <f t="shared" si="9"/>
        <v/>
      </c>
      <c r="G124" s="10" t="str">
        <v/>
      </c>
      <c r="H124" s="11" t="str">
        <v/>
      </c>
      <c r="I124" s="11" t="str">
        <v/>
      </c>
    </row>
    <row r="125" spans="1:9">
      <c r="A125" s="10" t="s">
        <v>196</v>
      </c>
      <c r="B125" s="11" t="str">
        <f t="shared" si="5"/>
        <v/>
      </c>
      <c r="C125" s="11" t="str">
        <f t="shared" si="6"/>
        <v/>
      </c>
      <c r="D125" s="11" t="str">
        <f t="shared" si="7"/>
        <v/>
      </c>
      <c r="E125" s="11" t="str">
        <f t="shared" si="8"/>
        <v/>
      </c>
      <c r="F125" s="11" t="str">
        <f t="shared" si="9"/>
        <v/>
      </c>
      <c r="G125" s="10" t="str">
        <v/>
      </c>
      <c r="H125" s="11" t="str">
        <v/>
      </c>
      <c r="I125" s="11" t="str">
        <v/>
      </c>
    </row>
    <row r="126" spans="1:9">
      <c r="A126" s="10" t="s">
        <v>176</v>
      </c>
      <c r="B126" s="11" t="str">
        <f t="shared" si="5"/>
        <v/>
      </c>
      <c r="C126" s="11" t="str">
        <f t="shared" si="6"/>
        <v/>
      </c>
      <c r="D126" s="11" t="str">
        <f t="shared" si="7"/>
        <v/>
      </c>
      <c r="E126" s="11" t="str">
        <f t="shared" si="8"/>
        <v/>
      </c>
      <c r="F126" s="11" t="str">
        <f t="shared" si="9"/>
        <v/>
      </c>
      <c r="G126" s="10" t="str">
        <v/>
      </c>
      <c r="H126" s="11" t="str">
        <v/>
      </c>
      <c r="I126" s="11" t="str">
        <v/>
      </c>
    </row>
    <row r="127" spans="1:9">
      <c r="A127" s="10" t="s">
        <v>209</v>
      </c>
      <c r="B127" s="11" t="str">
        <f t="shared" si="5"/>
        <v/>
      </c>
      <c r="C127" s="11" t="str">
        <f t="shared" si="6"/>
        <v/>
      </c>
      <c r="D127" s="11" t="str">
        <f t="shared" si="7"/>
        <v/>
      </c>
      <c r="E127" s="11" t="str">
        <f t="shared" si="8"/>
        <v/>
      </c>
      <c r="F127" s="11" t="str">
        <f t="shared" si="9"/>
        <v/>
      </c>
      <c r="G127" s="10" t="str">
        <v/>
      </c>
      <c r="H127" s="11" t="str">
        <v/>
      </c>
      <c r="I127" s="11" t="str">
        <v/>
      </c>
    </row>
    <row r="128" spans="1:9">
      <c r="A128" s="10" t="s">
        <v>84</v>
      </c>
      <c r="B128" s="11" t="str">
        <f t="shared" si="5"/>
        <v/>
      </c>
      <c r="C128" s="11" t="str">
        <f t="shared" si="6"/>
        <v/>
      </c>
      <c r="D128" s="11" t="str">
        <f t="shared" si="7"/>
        <v/>
      </c>
      <c r="E128" s="11" t="str">
        <f t="shared" si="8"/>
        <v/>
      </c>
      <c r="F128" s="11" t="str">
        <f t="shared" si="9"/>
        <v/>
      </c>
      <c r="G128" s="10" t="str">
        <v/>
      </c>
      <c r="H128" s="11" t="str">
        <v/>
      </c>
      <c r="I128" s="11" t="str">
        <v/>
      </c>
    </row>
    <row r="129" spans="1:9">
      <c r="A129" s="10" t="s">
        <v>85</v>
      </c>
      <c r="B129" s="11" t="str">
        <f t="shared" ref="B129:B192" si="10">IFERROR(IF(FIND(" ",A129)=6,IF(IFERROR(FIND(" PB",A129),"")&lt;&gt;"","артикул",IF(IFERROR(FIND(" CRN",A129),"")&lt;&gt;"","артикул","")),""),"")</f>
        <v/>
      </c>
      <c r="C129" s="11" t="str">
        <f t="shared" ref="C129:C167" si="11">IF(B129="артикул",A129,"")</f>
        <v/>
      </c>
      <c r="D129" s="11" t="str">
        <f t="shared" ref="D129:D167" si="12">IF(B129="артикул",A130,"")</f>
        <v/>
      </c>
      <c r="E129" s="11" t="str">
        <f t="shared" si="8"/>
        <v/>
      </c>
      <c r="F129" s="11" t="str">
        <f t="shared" si="9"/>
        <v/>
      </c>
      <c r="G129" s="10" t="str">
        <v/>
      </c>
      <c r="H129" s="11" t="str">
        <v/>
      </c>
      <c r="I129" s="11" t="str">
        <v/>
      </c>
    </row>
    <row r="130" spans="1:9">
      <c r="A130" s="10" t="s">
        <v>86</v>
      </c>
      <c r="B130" s="11" t="str">
        <f t="shared" si="10"/>
        <v/>
      </c>
      <c r="C130" s="11" t="str">
        <f t="shared" si="11"/>
        <v/>
      </c>
      <c r="D130" s="11" t="str">
        <f t="shared" si="12"/>
        <v/>
      </c>
      <c r="E130" s="11" t="str">
        <f t="shared" ref="E130:E193" si="13" xml:space="preserve">
IF(B130="Артикул",
IF(
AND(RIGHT(A131,1)="%",
RIGHT(A132,1)="%",
RIGHT(A133,1)="%",
RIGHT(A134,1)="%"),MID(A135,FIND(" ",A135),50),
IF(
AND(RIGHT(A131,1)="%",
RIGHT(A132,1)="%",
RIGHT(A133,1)="%"),MID(A134,FIND(" ",A134),50),
IF(
AND(RIGHT(A131,1)="%",
RIGHT(A132,1)="%"),
MID(A133,FIND(" ",A133),50),
IF(
RIGHT(A131,1)="%",
MID(A132,FIND(" ",A132),50),"")))),"")</f>
        <v/>
      </c>
      <c r="F130" s="11" t="str">
        <f t="shared" ref="F130:F193" si="14">IFERROR(
IF(
AND(LEFT(A130,8)="Discount",FIND("%",A130)&gt;0),
MID(A130,
FIND(" ",A130),
FIND("%",A130)-FIND(" ",A130))
*-1,""),"")</f>
        <v/>
      </c>
      <c r="G130" s="10" t="str">
        <v/>
      </c>
      <c r="H130" s="11" t="str">
        <v/>
      </c>
      <c r="I130" s="11" t="str">
        <v/>
      </c>
    </row>
    <row r="131" spans="1:9">
      <c r="A131" s="10" t="s">
        <v>87</v>
      </c>
      <c r="B131" s="11" t="str">
        <f t="shared" si="10"/>
        <v/>
      </c>
      <c r="C131" s="11" t="str">
        <f t="shared" si="11"/>
        <v/>
      </c>
      <c r="D131" s="11" t="str">
        <f t="shared" si="12"/>
        <v/>
      </c>
      <c r="E131" s="11" t="str">
        <f t="shared" si="13"/>
        <v/>
      </c>
      <c r="F131" s="11" t="str">
        <f t="shared" si="14"/>
        <v/>
      </c>
      <c r="G131" s="10" t="str">
        <v/>
      </c>
      <c r="H131" s="11" t="str">
        <v/>
      </c>
      <c r="I131" s="11" t="str">
        <v/>
      </c>
    </row>
    <row r="132" spans="1:9">
      <c r="A132" s="10" t="s">
        <v>88</v>
      </c>
      <c r="B132" s="11" t="str">
        <f t="shared" si="10"/>
        <v/>
      </c>
      <c r="C132" s="11" t="str">
        <f t="shared" si="11"/>
        <v/>
      </c>
      <c r="D132" s="11" t="str">
        <f t="shared" si="12"/>
        <v/>
      </c>
      <c r="E132" s="11" t="str">
        <f t="shared" si="13"/>
        <v/>
      </c>
      <c r="F132" s="11" t="str">
        <f t="shared" si="14"/>
        <v/>
      </c>
      <c r="G132" s="10" t="str">
        <v/>
      </c>
      <c r="H132" s="11" t="str">
        <v/>
      </c>
      <c r="I132" s="11" t="str">
        <v/>
      </c>
    </row>
    <row r="133" spans="1:9">
      <c r="A133" s="10" t="s">
        <v>149</v>
      </c>
      <c r="B133" s="11" t="str">
        <f t="shared" si="10"/>
        <v/>
      </c>
      <c r="C133" s="11" t="str">
        <f t="shared" si="11"/>
        <v/>
      </c>
      <c r="D133" s="11" t="str">
        <f t="shared" si="12"/>
        <v/>
      </c>
      <c r="E133" s="11" t="str">
        <f t="shared" si="13"/>
        <v/>
      </c>
      <c r="F133" s="11" t="str">
        <f t="shared" si="14"/>
        <v/>
      </c>
      <c r="G133" s="10" t="str">
        <v/>
      </c>
      <c r="H133" s="11" t="str">
        <v/>
      </c>
      <c r="I133" s="11" t="str">
        <v/>
      </c>
    </row>
    <row r="134" spans="1:9">
      <c r="A134" s="10" t="s">
        <v>150</v>
      </c>
      <c r="B134" s="11" t="str">
        <f t="shared" si="10"/>
        <v/>
      </c>
      <c r="C134" s="11" t="str">
        <f t="shared" si="11"/>
        <v/>
      </c>
      <c r="D134" s="11" t="str">
        <f t="shared" si="12"/>
        <v/>
      </c>
      <c r="E134" s="11" t="str">
        <f t="shared" si="13"/>
        <v/>
      </c>
      <c r="F134" s="11" t="str">
        <f t="shared" si="14"/>
        <v/>
      </c>
      <c r="G134" s="10" t="str">
        <v/>
      </c>
      <c r="H134" s="11" t="str">
        <v/>
      </c>
      <c r="I134" s="11" t="str">
        <v/>
      </c>
    </row>
    <row r="135" spans="1:9">
      <c r="A135" s="10" t="s">
        <v>151</v>
      </c>
      <c r="B135" s="11" t="str">
        <f t="shared" si="10"/>
        <v/>
      </c>
      <c r="C135" s="11" t="str">
        <f t="shared" si="11"/>
        <v/>
      </c>
      <c r="D135" s="11" t="str">
        <f t="shared" si="12"/>
        <v/>
      </c>
      <c r="E135" s="11" t="str">
        <f t="shared" si="13"/>
        <v/>
      </c>
      <c r="F135" s="11" t="str">
        <f t="shared" si="14"/>
        <v/>
      </c>
      <c r="G135" s="10" t="str">
        <v/>
      </c>
      <c r="H135" s="11" t="str">
        <v/>
      </c>
      <c r="I135" s="11" t="str">
        <v/>
      </c>
    </row>
    <row r="136" spans="1:9">
      <c r="A136" s="10" t="s">
        <v>89</v>
      </c>
      <c r="B136" s="11" t="str">
        <f t="shared" si="10"/>
        <v/>
      </c>
      <c r="C136" s="11" t="str">
        <f t="shared" si="11"/>
        <v/>
      </c>
      <c r="D136" s="11" t="str">
        <f t="shared" si="12"/>
        <v/>
      </c>
      <c r="E136" s="11" t="str">
        <f t="shared" si="13"/>
        <v/>
      </c>
      <c r="F136" s="11" t="str">
        <f t="shared" si="14"/>
        <v/>
      </c>
      <c r="G136" s="10" t="str">
        <v/>
      </c>
      <c r="H136" s="11" t="str">
        <v/>
      </c>
      <c r="I136" s="11" t="str">
        <v/>
      </c>
    </row>
    <row r="137" spans="1:9">
      <c r="A137" s="10" t="s">
        <v>90</v>
      </c>
      <c r="B137" s="11" t="str">
        <f t="shared" si="10"/>
        <v/>
      </c>
      <c r="C137" s="11" t="str">
        <f t="shared" si="11"/>
        <v/>
      </c>
      <c r="D137" s="11" t="str">
        <f t="shared" si="12"/>
        <v/>
      </c>
      <c r="E137" s="11" t="str">
        <f t="shared" si="13"/>
        <v/>
      </c>
      <c r="F137" s="11" t="str">
        <f t="shared" si="14"/>
        <v/>
      </c>
      <c r="G137" s="10" t="str">
        <v/>
      </c>
      <c r="H137" s="11" t="str">
        <v/>
      </c>
      <c r="I137" s="11" t="str">
        <v/>
      </c>
    </row>
    <row r="138" spans="1:9">
      <c r="A138" s="10" t="s">
        <v>91</v>
      </c>
      <c r="B138" s="11" t="str">
        <f t="shared" si="10"/>
        <v/>
      </c>
      <c r="C138" s="11" t="str">
        <f t="shared" si="11"/>
        <v/>
      </c>
      <c r="D138" s="11" t="str">
        <f t="shared" si="12"/>
        <v/>
      </c>
      <c r="E138" s="11" t="str">
        <f t="shared" si="13"/>
        <v/>
      </c>
      <c r="F138" s="11" t="str">
        <f t="shared" si="14"/>
        <v/>
      </c>
      <c r="G138" s="10" t="str">
        <v/>
      </c>
      <c r="H138" s="11" t="str">
        <v/>
      </c>
      <c r="I138" s="11" t="str">
        <v/>
      </c>
    </row>
    <row r="139" spans="1:9">
      <c r="A139" s="10" t="s">
        <v>92</v>
      </c>
      <c r="B139" s="11" t="str">
        <f t="shared" si="10"/>
        <v/>
      </c>
      <c r="C139" s="11" t="str">
        <f t="shared" si="11"/>
        <v/>
      </c>
      <c r="D139" s="11" t="str">
        <f t="shared" si="12"/>
        <v/>
      </c>
      <c r="E139" s="11" t="str">
        <f t="shared" si="13"/>
        <v/>
      </c>
      <c r="F139" s="11" t="str">
        <f t="shared" si="14"/>
        <v/>
      </c>
      <c r="G139" s="10" t="str">
        <v/>
      </c>
      <c r="H139" s="11" t="str">
        <v/>
      </c>
      <c r="I139" s="11" t="str">
        <v/>
      </c>
    </row>
    <row r="140" spans="1:9">
      <c r="A140" s="10" t="s">
        <v>93</v>
      </c>
      <c r="B140" s="11" t="str">
        <f t="shared" si="10"/>
        <v/>
      </c>
      <c r="C140" s="11" t="str">
        <f t="shared" si="11"/>
        <v/>
      </c>
      <c r="D140" s="11" t="str">
        <f t="shared" si="12"/>
        <v/>
      </c>
      <c r="E140" s="11" t="str">
        <f t="shared" si="13"/>
        <v/>
      </c>
      <c r="F140" s="11" t="str">
        <f t="shared" si="14"/>
        <v/>
      </c>
      <c r="G140" s="10" t="str">
        <v/>
      </c>
      <c r="H140" s="11" t="str">
        <v/>
      </c>
      <c r="I140" s="11" t="str">
        <v/>
      </c>
    </row>
    <row r="141" spans="1:9">
      <c r="A141" s="10" t="s">
        <v>94</v>
      </c>
      <c r="B141" s="11" t="str">
        <f t="shared" si="10"/>
        <v/>
      </c>
      <c r="C141" s="11" t="str">
        <f t="shared" si="11"/>
        <v/>
      </c>
      <c r="D141" s="11" t="str">
        <f t="shared" si="12"/>
        <v/>
      </c>
      <c r="E141" s="11" t="str">
        <f t="shared" si="13"/>
        <v/>
      </c>
      <c r="F141" s="11" t="str">
        <f t="shared" si="14"/>
        <v/>
      </c>
      <c r="G141" s="10" t="str">
        <v/>
      </c>
      <c r="H141" s="11" t="str">
        <v/>
      </c>
      <c r="I141" s="11" t="str">
        <v/>
      </c>
    </row>
    <row r="142" spans="1:9">
      <c r="A142" s="10" t="s">
        <v>95</v>
      </c>
      <c r="B142" s="11" t="str">
        <f t="shared" si="10"/>
        <v/>
      </c>
      <c r="C142" s="11" t="str">
        <f t="shared" si="11"/>
        <v/>
      </c>
      <c r="D142" s="11" t="str">
        <f t="shared" si="12"/>
        <v/>
      </c>
      <c r="E142" s="11" t="str">
        <f t="shared" si="13"/>
        <v/>
      </c>
      <c r="F142" s="11" t="str">
        <f t="shared" si="14"/>
        <v/>
      </c>
      <c r="G142" s="10" t="str">
        <v/>
      </c>
      <c r="H142" s="11" t="str">
        <v/>
      </c>
      <c r="I142" s="11" t="str">
        <v/>
      </c>
    </row>
    <row r="143" spans="1:9">
      <c r="A143" s="10" t="s">
        <v>152</v>
      </c>
      <c r="B143" s="11" t="str">
        <f t="shared" si="10"/>
        <v/>
      </c>
      <c r="C143" s="11" t="str">
        <f t="shared" si="11"/>
        <v/>
      </c>
      <c r="D143" s="11" t="str">
        <f t="shared" si="12"/>
        <v/>
      </c>
      <c r="E143" s="11" t="str">
        <f t="shared" si="13"/>
        <v/>
      </c>
      <c r="F143" s="11" t="str">
        <f t="shared" si="14"/>
        <v/>
      </c>
      <c r="G143" s="10" t="str">
        <v/>
      </c>
      <c r="H143" s="11" t="str">
        <v/>
      </c>
      <c r="I143" s="11" t="str">
        <v/>
      </c>
    </row>
    <row r="144" spans="1:9">
      <c r="A144" s="10" t="s">
        <v>96</v>
      </c>
      <c r="B144" s="11" t="str">
        <f t="shared" si="10"/>
        <v/>
      </c>
      <c r="C144" s="11" t="str">
        <f t="shared" si="11"/>
        <v/>
      </c>
      <c r="D144" s="11" t="str">
        <f t="shared" si="12"/>
        <v/>
      </c>
      <c r="E144" s="11" t="str">
        <f t="shared" si="13"/>
        <v/>
      </c>
      <c r="F144" s="11" t="str">
        <f t="shared" si="14"/>
        <v/>
      </c>
      <c r="G144" s="10" t="str">
        <v/>
      </c>
      <c r="H144" s="11" t="str">
        <v/>
      </c>
      <c r="I144" s="11" t="str">
        <v/>
      </c>
    </row>
    <row r="145" spans="1:9">
      <c r="A145" s="10" t="s">
        <v>97</v>
      </c>
      <c r="B145" s="11" t="str">
        <f t="shared" si="10"/>
        <v/>
      </c>
      <c r="C145" s="11" t="str">
        <f t="shared" si="11"/>
        <v/>
      </c>
      <c r="D145" s="11" t="str">
        <f t="shared" si="12"/>
        <v/>
      </c>
      <c r="E145" s="11" t="str">
        <f t="shared" si="13"/>
        <v/>
      </c>
      <c r="F145" s="11" t="str">
        <f t="shared" si="14"/>
        <v/>
      </c>
      <c r="G145" s="10" t="str">
        <v/>
      </c>
      <c r="H145" s="11" t="str">
        <v/>
      </c>
      <c r="I145" s="11" t="str">
        <v/>
      </c>
    </row>
    <row r="146" spans="1:9">
      <c r="A146" s="10" t="s">
        <v>153</v>
      </c>
      <c r="B146" s="11" t="str">
        <f t="shared" si="10"/>
        <v/>
      </c>
      <c r="C146" s="11" t="str">
        <f t="shared" si="11"/>
        <v/>
      </c>
      <c r="D146" s="11" t="str">
        <f t="shared" si="12"/>
        <v/>
      </c>
      <c r="E146" s="11" t="str">
        <f t="shared" si="13"/>
        <v/>
      </c>
      <c r="F146" s="11" t="str">
        <f t="shared" si="14"/>
        <v/>
      </c>
      <c r="G146" s="10" t="str">
        <v/>
      </c>
      <c r="H146" s="11" t="str">
        <v/>
      </c>
      <c r="I146" s="11" t="str">
        <v/>
      </c>
    </row>
    <row r="147" spans="1:9">
      <c r="A147" s="10" t="s">
        <v>154</v>
      </c>
      <c r="B147" s="11" t="str">
        <f t="shared" si="10"/>
        <v/>
      </c>
      <c r="C147" s="11" t="str">
        <f t="shared" si="11"/>
        <v/>
      </c>
      <c r="D147" s="11" t="str">
        <f t="shared" si="12"/>
        <v/>
      </c>
      <c r="E147" s="11" t="str">
        <f t="shared" si="13"/>
        <v/>
      </c>
      <c r="F147" s="11" t="str">
        <f t="shared" si="14"/>
        <v/>
      </c>
      <c r="G147" s="10" t="str">
        <v/>
      </c>
      <c r="H147" s="11" t="str">
        <v/>
      </c>
      <c r="I147" s="11" t="str">
        <v/>
      </c>
    </row>
    <row r="148" spans="1:9">
      <c r="A148" s="10" t="s">
        <v>155</v>
      </c>
      <c r="B148" s="11" t="str">
        <f t="shared" si="10"/>
        <v/>
      </c>
      <c r="C148" s="11" t="str">
        <f t="shared" si="11"/>
        <v/>
      </c>
      <c r="D148" s="11" t="str">
        <f t="shared" si="12"/>
        <v/>
      </c>
      <c r="E148" s="11" t="str">
        <f t="shared" si="13"/>
        <v/>
      </c>
      <c r="F148" s="11" t="str">
        <f t="shared" si="14"/>
        <v/>
      </c>
      <c r="G148" s="10" t="str">
        <v/>
      </c>
      <c r="H148" s="11" t="str">
        <v/>
      </c>
      <c r="I148" s="11" t="str">
        <v/>
      </c>
    </row>
    <row r="149" spans="1:9">
      <c r="A149" s="10" t="s">
        <v>156</v>
      </c>
      <c r="B149" s="11" t="str">
        <f t="shared" si="10"/>
        <v/>
      </c>
      <c r="C149" s="11" t="str">
        <f t="shared" si="11"/>
        <v/>
      </c>
      <c r="D149" s="11" t="str">
        <f t="shared" si="12"/>
        <v/>
      </c>
      <c r="E149" s="11" t="str">
        <f t="shared" si="13"/>
        <v/>
      </c>
      <c r="F149" s="11" t="str">
        <f t="shared" si="14"/>
        <v/>
      </c>
      <c r="G149" s="10" t="str">
        <v/>
      </c>
      <c r="H149" s="11" t="str">
        <v/>
      </c>
      <c r="I149" s="11" t="str">
        <v/>
      </c>
    </row>
    <row r="150" spans="1:9">
      <c r="A150" s="10" t="s">
        <v>98</v>
      </c>
      <c r="B150" s="11" t="str">
        <f t="shared" si="10"/>
        <v/>
      </c>
      <c r="C150" s="11" t="str">
        <f t="shared" si="11"/>
        <v/>
      </c>
      <c r="D150" s="11" t="str">
        <f t="shared" si="12"/>
        <v/>
      </c>
      <c r="E150" s="11" t="str">
        <f t="shared" si="13"/>
        <v/>
      </c>
      <c r="F150" s="11" t="str">
        <f t="shared" si="14"/>
        <v/>
      </c>
      <c r="G150" s="10" t="str">
        <v/>
      </c>
      <c r="H150" s="11" t="str">
        <v/>
      </c>
      <c r="I150" s="11" t="str">
        <v/>
      </c>
    </row>
    <row r="151" spans="1:9">
      <c r="A151" s="10" t="s">
        <v>99</v>
      </c>
      <c r="B151" s="11" t="str">
        <f t="shared" si="10"/>
        <v/>
      </c>
      <c r="C151" s="11" t="str">
        <f t="shared" si="11"/>
        <v/>
      </c>
      <c r="D151" s="11" t="str">
        <f t="shared" si="12"/>
        <v/>
      </c>
      <c r="E151" s="11" t="str">
        <f t="shared" si="13"/>
        <v/>
      </c>
      <c r="F151" s="11" t="str">
        <f t="shared" si="14"/>
        <v/>
      </c>
      <c r="G151" s="10" t="str">
        <v/>
      </c>
      <c r="H151" s="11" t="str">
        <v/>
      </c>
      <c r="I151" s="11" t="str">
        <v/>
      </c>
    </row>
    <row r="152" spans="1:9">
      <c r="A152" s="10" t="s">
        <v>100</v>
      </c>
      <c r="B152" s="11" t="str">
        <f t="shared" si="10"/>
        <v/>
      </c>
      <c r="C152" s="11" t="str">
        <f t="shared" si="11"/>
        <v/>
      </c>
      <c r="D152" s="11" t="str">
        <f t="shared" si="12"/>
        <v/>
      </c>
      <c r="E152" s="11" t="str">
        <f t="shared" si="13"/>
        <v/>
      </c>
      <c r="F152" s="11" t="str">
        <f t="shared" si="14"/>
        <v/>
      </c>
      <c r="G152" s="10" t="str">
        <v/>
      </c>
      <c r="H152" s="11" t="str">
        <v/>
      </c>
      <c r="I152" s="11" t="str">
        <v/>
      </c>
    </row>
    <row r="153" spans="1:9">
      <c r="A153" s="10" t="s">
        <v>101</v>
      </c>
      <c r="B153" s="11" t="str">
        <f t="shared" si="10"/>
        <v/>
      </c>
      <c r="C153" s="11" t="str">
        <f t="shared" si="11"/>
        <v/>
      </c>
      <c r="D153" s="11" t="str">
        <f t="shared" si="12"/>
        <v/>
      </c>
      <c r="E153" s="11" t="str">
        <f t="shared" si="13"/>
        <v/>
      </c>
      <c r="F153" s="11" t="str">
        <f t="shared" si="14"/>
        <v/>
      </c>
      <c r="G153" s="10" t="str">
        <v/>
      </c>
      <c r="H153" s="11" t="str">
        <v/>
      </c>
      <c r="I153" s="11" t="str">
        <v/>
      </c>
    </row>
    <row r="154" spans="1:9">
      <c r="A154" s="10" t="s">
        <v>102</v>
      </c>
      <c r="B154" s="11" t="str">
        <f t="shared" si="10"/>
        <v/>
      </c>
      <c r="C154" s="11" t="str">
        <f t="shared" si="11"/>
        <v/>
      </c>
      <c r="D154" s="11" t="str">
        <f t="shared" si="12"/>
        <v/>
      </c>
      <c r="E154" s="11" t="str">
        <f t="shared" si="13"/>
        <v/>
      </c>
      <c r="F154" s="11" t="str">
        <f t="shared" si="14"/>
        <v/>
      </c>
      <c r="G154" s="10" t="str">
        <v/>
      </c>
      <c r="H154" s="11" t="str">
        <v/>
      </c>
      <c r="I154" s="11" t="str">
        <v/>
      </c>
    </row>
    <row r="155" spans="1:9">
      <c r="A155" s="10" t="s">
        <v>103</v>
      </c>
      <c r="B155" s="11" t="str">
        <f t="shared" si="10"/>
        <v/>
      </c>
      <c r="C155" s="11" t="str">
        <f t="shared" si="11"/>
        <v/>
      </c>
      <c r="D155" s="11" t="str">
        <f t="shared" si="12"/>
        <v/>
      </c>
      <c r="E155" s="11" t="str">
        <f t="shared" si="13"/>
        <v/>
      </c>
      <c r="F155" s="11" t="str">
        <f t="shared" si="14"/>
        <v/>
      </c>
      <c r="G155" s="10" t="str">
        <v/>
      </c>
      <c r="H155" s="11" t="str">
        <v/>
      </c>
      <c r="I155" s="11" t="str">
        <v/>
      </c>
    </row>
    <row r="156" spans="1:9">
      <c r="A156" s="10" t="s">
        <v>192</v>
      </c>
      <c r="B156" s="11" t="str">
        <f t="shared" si="10"/>
        <v/>
      </c>
      <c r="C156" s="11" t="str">
        <f t="shared" si="11"/>
        <v/>
      </c>
      <c r="D156" s="11" t="str">
        <f t="shared" si="12"/>
        <v/>
      </c>
      <c r="E156" s="11" t="str">
        <f t="shared" si="13"/>
        <v/>
      </c>
      <c r="F156" s="11" t="str">
        <f t="shared" si="14"/>
        <v/>
      </c>
      <c r="G156" s="10" t="str">
        <v/>
      </c>
      <c r="H156" s="11" t="str">
        <v/>
      </c>
      <c r="I156" s="11" t="str">
        <v/>
      </c>
    </row>
    <row r="157" spans="1:9">
      <c r="A157" s="10" t="s">
        <v>104</v>
      </c>
      <c r="B157" s="11" t="str">
        <f t="shared" si="10"/>
        <v/>
      </c>
      <c r="C157" s="11" t="str">
        <f t="shared" si="11"/>
        <v/>
      </c>
      <c r="D157" s="11" t="str">
        <f t="shared" si="12"/>
        <v/>
      </c>
      <c r="E157" s="11" t="str">
        <f t="shared" si="13"/>
        <v/>
      </c>
      <c r="F157" s="11" t="str">
        <f t="shared" si="14"/>
        <v/>
      </c>
      <c r="G157" s="10" t="str">
        <v/>
      </c>
      <c r="H157" s="11" t="str">
        <v/>
      </c>
      <c r="I157" s="11" t="str">
        <v/>
      </c>
    </row>
    <row r="158" spans="1:9">
      <c r="A158" s="10" t="s">
        <v>105</v>
      </c>
      <c r="B158" s="11" t="str">
        <f t="shared" si="10"/>
        <v/>
      </c>
      <c r="C158" s="11" t="str">
        <f t="shared" si="11"/>
        <v/>
      </c>
      <c r="D158" s="11" t="str">
        <f t="shared" si="12"/>
        <v/>
      </c>
      <c r="E158" s="11" t="str">
        <f t="shared" si="13"/>
        <v/>
      </c>
      <c r="F158" s="11" t="str">
        <f t="shared" si="14"/>
        <v/>
      </c>
      <c r="G158" s="10" t="str">
        <v/>
      </c>
      <c r="H158" s="11" t="str">
        <v/>
      </c>
      <c r="I158" s="11" t="str">
        <v/>
      </c>
    </row>
    <row r="159" spans="1:9">
      <c r="A159" s="10" t="s">
        <v>106</v>
      </c>
      <c r="B159" s="11" t="str">
        <f t="shared" si="10"/>
        <v/>
      </c>
      <c r="C159" s="11" t="str">
        <f t="shared" si="11"/>
        <v/>
      </c>
      <c r="D159" s="11" t="str">
        <f t="shared" si="12"/>
        <v/>
      </c>
      <c r="E159" s="11" t="str">
        <f t="shared" si="13"/>
        <v/>
      </c>
      <c r="F159" s="11" t="str">
        <f t="shared" si="14"/>
        <v/>
      </c>
      <c r="G159" s="10" t="str">
        <v/>
      </c>
      <c r="H159" s="11" t="str">
        <v/>
      </c>
      <c r="I159" s="11" t="str">
        <v/>
      </c>
    </row>
    <row r="160" spans="1:9">
      <c r="A160" s="10" t="s">
        <v>107</v>
      </c>
      <c r="B160" s="11" t="str">
        <f t="shared" si="10"/>
        <v/>
      </c>
      <c r="C160" s="11" t="str">
        <f t="shared" si="11"/>
        <v/>
      </c>
      <c r="D160" s="11" t="str">
        <f t="shared" si="12"/>
        <v/>
      </c>
      <c r="E160" s="11" t="str">
        <f t="shared" si="13"/>
        <v/>
      </c>
      <c r="F160" s="11" t="str">
        <f t="shared" si="14"/>
        <v/>
      </c>
      <c r="G160" s="10" t="str">
        <v/>
      </c>
      <c r="H160" s="11" t="str">
        <v/>
      </c>
      <c r="I160" s="11" t="str">
        <v/>
      </c>
    </row>
    <row r="161" spans="1:14">
      <c r="A161" s="10" t="s">
        <v>108</v>
      </c>
      <c r="B161" s="11" t="str">
        <f t="shared" si="10"/>
        <v/>
      </c>
      <c r="C161" s="11" t="str">
        <f t="shared" si="11"/>
        <v/>
      </c>
      <c r="D161" s="11" t="str">
        <f t="shared" si="12"/>
        <v/>
      </c>
      <c r="E161" s="11" t="str">
        <f t="shared" si="13"/>
        <v/>
      </c>
      <c r="F161" s="11" t="str">
        <f t="shared" si="14"/>
        <v/>
      </c>
      <c r="G161" s="10" t="str">
        <v/>
      </c>
      <c r="H161" s="11" t="str">
        <v/>
      </c>
      <c r="I161" s="11" t="str">
        <v/>
      </c>
    </row>
    <row r="162" spans="1:14">
      <c r="A162" s="10" t="s">
        <v>109</v>
      </c>
      <c r="B162" s="11" t="str">
        <f t="shared" si="10"/>
        <v/>
      </c>
      <c r="C162" s="11" t="str">
        <f t="shared" si="11"/>
        <v/>
      </c>
      <c r="D162" s="11" t="str">
        <f t="shared" si="12"/>
        <v/>
      </c>
      <c r="E162" s="11" t="str">
        <f t="shared" si="13"/>
        <v/>
      </c>
      <c r="F162" s="11" t="str">
        <f t="shared" si="14"/>
        <v/>
      </c>
      <c r="G162" s="10" t="str">
        <v/>
      </c>
      <c r="H162" s="11" t="str">
        <v/>
      </c>
      <c r="I162" s="11" t="str">
        <v/>
      </c>
    </row>
    <row r="163" spans="1:14">
      <c r="A163" s="10" t="s">
        <v>110</v>
      </c>
      <c r="B163" s="11" t="str">
        <f t="shared" si="10"/>
        <v/>
      </c>
      <c r="C163" s="11" t="str">
        <f t="shared" si="11"/>
        <v/>
      </c>
      <c r="D163" s="11" t="str">
        <f t="shared" si="12"/>
        <v/>
      </c>
      <c r="E163" s="11" t="str">
        <f t="shared" si="13"/>
        <v/>
      </c>
      <c r="F163" s="11" t="str">
        <f t="shared" si="14"/>
        <v/>
      </c>
      <c r="G163" s="10" t="str">
        <v/>
      </c>
      <c r="H163" s="11" t="str">
        <v/>
      </c>
      <c r="I163" s="11" t="str">
        <v/>
      </c>
    </row>
    <row r="164" spans="1:14">
      <c r="A164" s="10" t="s">
        <v>111</v>
      </c>
      <c r="B164" s="11" t="str">
        <f t="shared" si="10"/>
        <v/>
      </c>
      <c r="C164" s="11" t="str">
        <f t="shared" si="11"/>
        <v/>
      </c>
      <c r="D164" s="11" t="str">
        <f t="shared" si="12"/>
        <v/>
      </c>
      <c r="E164" s="11" t="str">
        <f t="shared" si="13"/>
        <v/>
      </c>
      <c r="F164" s="11" t="str">
        <f t="shared" si="14"/>
        <v/>
      </c>
      <c r="G164" s="10" t="str">
        <v/>
      </c>
      <c r="H164" s="11" t="str">
        <v/>
      </c>
      <c r="I164" s="11" t="str">
        <v/>
      </c>
    </row>
    <row r="165" spans="1:14">
      <c r="A165" s="10" t="s">
        <v>112</v>
      </c>
      <c r="B165" s="11" t="str">
        <f t="shared" si="10"/>
        <v/>
      </c>
      <c r="C165" s="11" t="str">
        <f t="shared" si="11"/>
        <v/>
      </c>
      <c r="D165" s="11" t="str">
        <f t="shared" si="12"/>
        <v/>
      </c>
      <c r="E165" s="11" t="str">
        <f t="shared" si="13"/>
        <v/>
      </c>
      <c r="F165" s="11" t="str">
        <f t="shared" si="14"/>
        <v/>
      </c>
      <c r="G165" s="10" t="str">
        <v/>
      </c>
      <c r="H165" s="11" t="str">
        <v/>
      </c>
      <c r="I165" s="11" t="str">
        <v/>
      </c>
    </row>
    <row r="166" spans="1:14">
      <c r="A166" s="10" t="s">
        <v>113</v>
      </c>
      <c r="B166" s="11" t="str">
        <f t="shared" si="10"/>
        <v/>
      </c>
      <c r="C166" s="11" t="str">
        <f t="shared" si="11"/>
        <v/>
      </c>
      <c r="D166" s="11" t="str">
        <f t="shared" si="12"/>
        <v/>
      </c>
      <c r="E166" s="11" t="str">
        <f t="shared" si="13"/>
        <v/>
      </c>
      <c r="F166" s="11" t="str">
        <f t="shared" si="14"/>
        <v/>
      </c>
      <c r="G166" s="10" t="str">
        <v/>
      </c>
      <c r="H166" s="11" t="str">
        <v/>
      </c>
      <c r="I166" s="11" t="str">
        <v/>
      </c>
    </row>
    <row r="167" spans="1:14">
      <c r="A167" s="10" t="s">
        <v>114</v>
      </c>
      <c r="B167" s="11" t="str">
        <f t="shared" si="10"/>
        <v/>
      </c>
      <c r="C167" s="11" t="str">
        <f t="shared" si="11"/>
        <v/>
      </c>
      <c r="D167" s="11" t="str">
        <f t="shared" si="12"/>
        <v/>
      </c>
      <c r="E167" s="11" t="str">
        <f t="shared" si="13"/>
        <v/>
      </c>
      <c r="F167" s="11" t="str">
        <f t="shared" si="14"/>
        <v/>
      </c>
      <c r="G167" s="10" t="str">
        <v/>
      </c>
      <c r="H167" s="11" t="str">
        <v/>
      </c>
      <c r="I167" s="11" t="str">
        <v/>
      </c>
    </row>
    <row r="168" spans="1:14">
      <c r="A168" s="10" t="s">
        <v>115</v>
      </c>
      <c r="B168" s="11" t="str">
        <f t="shared" si="10"/>
        <v/>
      </c>
      <c r="C168" s="11" t="str">
        <f>IF(B168="артикул",A168,"")</f>
        <v/>
      </c>
      <c r="D168" s="11" t="str">
        <f>IF(B168="артикул",A169,"")</f>
        <v/>
      </c>
      <c r="E168" s="11" t="str">
        <f t="shared" si="13"/>
        <v/>
      </c>
      <c r="F168" s="11" t="str">
        <f t="shared" si="14"/>
        <v/>
      </c>
      <c r="G168" s="10" t="str">
        <v/>
      </c>
      <c r="H168" s="11" t="str">
        <v/>
      </c>
      <c r="I168" s="11" t="str">
        <v/>
      </c>
    </row>
    <row r="169" spans="1:14">
      <c r="A169" s="10" t="s">
        <v>116</v>
      </c>
      <c r="B169" s="11" t="str">
        <f t="shared" si="10"/>
        <v/>
      </c>
      <c r="C169" s="11" t="str">
        <f t="shared" ref="C169:C184" si="15">IF(B169="артикул",A169,"")</f>
        <v/>
      </c>
      <c r="D169" s="11" t="str">
        <f t="shared" ref="D169:D184" si="16">IF(B169="артикул",A170,"")</f>
        <v/>
      </c>
      <c r="E169" s="11" t="str">
        <f t="shared" si="13"/>
        <v/>
      </c>
      <c r="F169" s="11" t="str">
        <f t="shared" si="14"/>
        <v/>
      </c>
      <c r="G169" s="10" t="str">
        <v/>
      </c>
      <c r="H169" s="11" t="str">
        <v/>
      </c>
      <c r="I169" s="11" t="str">
        <v/>
      </c>
    </row>
    <row r="170" spans="1:14">
      <c r="A170" s="10" t="s">
        <v>117</v>
      </c>
      <c r="B170" s="11" t="str">
        <f t="shared" si="10"/>
        <v/>
      </c>
      <c r="C170" s="11" t="str">
        <f t="shared" si="15"/>
        <v/>
      </c>
      <c r="D170" s="11" t="str">
        <f t="shared" si="16"/>
        <v/>
      </c>
      <c r="E170" s="11" t="str">
        <f t="shared" si="13"/>
        <v/>
      </c>
      <c r="F170" s="11" t="str">
        <f t="shared" si="14"/>
        <v/>
      </c>
      <c r="G170" s="10" t="str">
        <v/>
      </c>
      <c r="H170" s="11" t="str">
        <v/>
      </c>
      <c r="I170" s="11" t="str">
        <v/>
      </c>
    </row>
    <row r="171" spans="1:14">
      <c r="A171" s="10" t="s">
        <v>118</v>
      </c>
      <c r="B171" s="11" t="str">
        <f t="shared" si="10"/>
        <v/>
      </c>
      <c r="C171" s="11" t="str">
        <f t="shared" si="15"/>
        <v/>
      </c>
      <c r="D171" s="11" t="str">
        <f t="shared" si="16"/>
        <v/>
      </c>
      <c r="E171" s="11" t="str">
        <f t="shared" si="13"/>
        <v/>
      </c>
      <c r="F171" s="11" t="str">
        <f t="shared" si="14"/>
        <v/>
      </c>
      <c r="G171" s="10" t="str">
        <v/>
      </c>
      <c r="H171" s="11" t="str">
        <v/>
      </c>
      <c r="I171" s="11" t="str">
        <v/>
      </c>
    </row>
    <row r="172" spans="1:14">
      <c r="A172" s="10" t="s">
        <v>210</v>
      </c>
      <c r="B172" s="11" t="str">
        <f t="shared" si="10"/>
        <v/>
      </c>
      <c r="C172" s="11" t="str">
        <f t="shared" si="15"/>
        <v/>
      </c>
      <c r="D172" s="11" t="str">
        <f t="shared" si="16"/>
        <v/>
      </c>
      <c r="E172" s="11" t="str">
        <f t="shared" si="13"/>
        <v/>
      </c>
      <c r="F172" s="11" t="str">
        <f t="shared" si="14"/>
        <v/>
      </c>
      <c r="G172" s="10" t="str">
        <v/>
      </c>
      <c r="H172" s="11" t="str">
        <v/>
      </c>
      <c r="I172" s="11" t="str">
        <v/>
      </c>
    </row>
    <row r="173" spans="1:14">
      <c r="A173" s="10" t="s">
        <v>211</v>
      </c>
      <c r="B173" s="11" t="str">
        <f t="shared" si="10"/>
        <v/>
      </c>
      <c r="C173" s="11" t="str">
        <f t="shared" si="15"/>
        <v/>
      </c>
      <c r="D173" s="11" t="str">
        <f t="shared" si="16"/>
        <v/>
      </c>
      <c r="E173" s="11" t="str">
        <f t="shared" si="13"/>
        <v/>
      </c>
      <c r="F173" s="11" t="str">
        <f t="shared" si="14"/>
        <v/>
      </c>
      <c r="G173" s="10" t="str">
        <v/>
      </c>
      <c r="H173" s="11" t="str">
        <v/>
      </c>
      <c r="I173" s="11" t="str">
        <v/>
      </c>
    </row>
    <row r="174" spans="1:14">
      <c r="A174" s="10" t="s">
        <v>212</v>
      </c>
      <c r="B174" s="11" t="str">
        <f t="shared" si="10"/>
        <v>артикул</v>
      </c>
      <c r="C174" s="11" t="str">
        <f t="shared" si="15"/>
        <v>J6790 FR BOX MANIA BOIS SCRIPT BLACK JAR 1L 90 PC 15 CRN 256,53 EUR/100 PC</v>
      </c>
      <c r="D174" s="11" t="str">
        <f t="shared" si="16"/>
        <v>0883314439380 / 701349/// of 6 PC -6,24%</v>
      </c>
      <c r="E174" s="11" t="str">
        <f t="shared" si="13"/>
        <v xml:space="preserve"> 216,47</v>
      </c>
      <c r="F174" s="11" t="str">
        <f t="shared" si="14"/>
        <v/>
      </c>
      <c r="G174" s="10" t="str">
        <v/>
      </c>
      <c r="H174" s="11" t="str">
        <v/>
      </c>
      <c r="I174" s="11" t="str">
        <v/>
      </c>
    </row>
    <row r="175" spans="1:14">
      <c r="A175" s="10" t="s">
        <v>213</v>
      </c>
      <c r="B175" s="11" t="str">
        <f t="shared" si="10"/>
        <v/>
      </c>
      <c r="C175" s="11" t="str">
        <f t="shared" si="15"/>
        <v/>
      </c>
      <c r="D175" s="11" t="str">
        <f t="shared" si="16"/>
        <v/>
      </c>
      <c r="E175" s="11" t="str">
        <f t="shared" si="13"/>
        <v/>
      </c>
      <c r="F175" s="11" t="str">
        <f t="shared" si="14"/>
        <v/>
      </c>
      <c r="G175" s="10" t="str">
        <v/>
      </c>
      <c r="H175" s="11" t="str">
        <v/>
      </c>
      <c r="I175" s="11" t="str">
        <v/>
      </c>
    </row>
    <row r="176" spans="1:14">
      <c r="A176" s="10" t="s">
        <v>214</v>
      </c>
      <c r="B176" s="11" t="str">
        <f t="shared" si="10"/>
        <v/>
      </c>
      <c r="C176" s="11" t="str">
        <f t="shared" si="15"/>
        <v/>
      </c>
      <c r="D176" s="11" t="str">
        <f t="shared" si="16"/>
        <v/>
      </c>
      <c r="E176" s="11" t="str">
        <f t="shared" si="13"/>
        <v/>
      </c>
      <c r="F176" s="11" t="str">
        <f t="shared" si="14"/>
        <v/>
      </c>
      <c r="G176" s="10" t="str">
        <v/>
      </c>
      <c r="H176" s="11" t="str">
        <v/>
      </c>
      <c r="I176" s="11" t="str">
        <v/>
      </c>
      <c r="N176" s="11" t="str">
        <f>IF(TEXT(E176,0)="ЛОЖЬ","ллложь","норм")</f>
        <v>норм</v>
      </c>
    </row>
    <row r="177" spans="1:14">
      <c r="A177" s="10" t="s">
        <v>215</v>
      </c>
      <c r="B177" s="11" t="str">
        <f t="shared" si="10"/>
        <v>артикул</v>
      </c>
      <c r="C177" s="11" t="str">
        <f t="shared" si="15"/>
        <v>J6786 FR BOX MANIA BOIS SCRIPT BEIGE JAR 1L+LID 84 PC 14 CRN 256,95 EUR/100 PC</v>
      </c>
      <c r="D177" s="11" t="str">
        <f t="shared" si="16"/>
        <v>0883314439373 / 701349/// of 6 PC -6,24%</v>
      </c>
      <c r="E177" s="11" t="str">
        <f t="shared" si="13"/>
        <v xml:space="preserve"> 202,37</v>
      </c>
      <c r="F177" s="11" t="str">
        <f t="shared" si="14"/>
        <v/>
      </c>
      <c r="G177" s="10" t="str">
        <v/>
      </c>
      <c r="H177" s="11" t="str">
        <v/>
      </c>
      <c r="I177" s="11" t="str">
        <v/>
      </c>
      <c r="N177" s="11" t="str">
        <f>IF(TEXT(E177,0)="ЛОЖЬ","ллложь","норм")</f>
        <v>норм</v>
      </c>
    </row>
    <row r="178" spans="1:14">
      <c r="A178" s="10" t="s">
        <v>216</v>
      </c>
      <c r="B178" s="11" t="str">
        <f t="shared" si="10"/>
        <v/>
      </c>
      <c r="C178" s="11" t="str">
        <f t="shared" si="15"/>
        <v/>
      </c>
      <c r="D178" s="11" t="str">
        <f t="shared" si="16"/>
        <v/>
      </c>
      <c r="E178" s="11" t="str">
        <f t="shared" si="13"/>
        <v/>
      </c>
      <c r="F178" s="11" t="str">
        <f t="shared" si="14"/>
        <v/>
      </c>
      <c r="G178" s="10" t="str">
        <v/>
      </c>
      <c r="H178" s="11" t="str">
        <v/>
      </c>
      <c r="I178" s="11" t="str">
        <v/>
      </c>
      <c r="N178" s="11" t="str">
        <f>IF(TEXT(E178,0)="ЛОЖЬ","ллложь","норм")</f>
        <v>норм</v>
      </c>
    </row>
    <row r="179" spans="1:14">
      <c r="A179" s="10" t="s">
        <v>217</v>
      </c>
      <c r="B179" s="11" t="str">
        <f t="shared" si="10"/>
        <v/>
      </c>
      <c r="C179" s="11" t="str">
        <f t="shared" si="15"/>
        <v/>
      </c>
      <c r="D179" s="11" t="str">
        <f t="shared" si="16"/>
        <v/>
      </c>
      <c r="E179" s="11" t="str">
        <f t="shared" si="13"/>
        <v/>
      </c>
      <c r="F179" s="11" t="str">
        <f t="shared" si="14"/>
        <v/>
      </c>
      <c r="G179" s="10" t="str">
        <v/>
      </c>
      <c r="H179" s="11" t="str">
        <v/>
      </c>
      <c r="I179" s="11" t="str">
        <v/>
      </c>
    </row>
    <row r="180" spans="1:14">
      <c r="A180" s="10" t="s">
        <v>218</v>
      </c>
      <c r="B180" s="11" t="str">
        <f t="shared" si="10"/>
        <v>артикул</v>
      </c>
      <c r="C180" s="11" t="str">
        <f t="shared" si="15"/>
        <v>J6791 FR BOX MANIA BOIS SCRIPT CHOCO JAR 1L+LID 84 PC 14 CRN 256,95 EUR/100 PC</v>
      </c>
      <c r="D180" s="11" t="str">
        <f t="shared" si="16"/>
        <v>0883314439397 / 701349/// of 6 PC -6,24%</v>
      </c>
      <c r="E180" s="11" t="str">
        <f t="shared" si="13"/>
        <v xml:space="preserve"> 202,37</v>
      </c>
      <c r="F180" s="11" t="str">
        <f t="shared" si="14"/>
        <v/>
      </c>
      <c r="G180" s="10" t="str">
        <v/>
      </c>
      <c r="H180" s="11" t="str">
        <v/>
      </c>
      <c r="I180" s="11" t="str">
        <v/>
      </c>
    </row>
    <row r="181" spans="1:14">
      <c r="A181" s="10" t="s">
        <v>219</v>
      </c>
      <c r="B181" s="11" t="str">
        <f t="shared" si="10"/>
        <v/>
      </c>
      <c r="C181" s="11" t="str">
        <f t="shared" si="15"/>
        <v/>
      </c>
      <c r="D181" s="11" t="str">
        <f t="shared" si="16"/>
        <v/>
      </c>
      <c r="E181" s="11" t="str">
        <f t="shared" si="13"/>
        <v/>
      </c>
      <c r="F181" s="11" t="str">
        <f t="shared" si="14"/>
        <v/>
      </c>
      <c r="G181" s="10" t="str">
        <v/>
      </c>
      <c r="H181" s="11" t="str">
        <v/>
      </c>
      <c r="I181" s="11" t="str">
        <v/>
      </c>
    </row>
    <row r="182" spans="1:14">
      <c r="A182" s="10" t="s">
        <v>217</v>
      </c>
      <c r="B182" s="11" t="str">
        <f t="shared" si="10"/>
        <v/>
      </c>
      <c r="C182" s="11" t="str">
        <f t="shared" si="15"/>
        <v/>
      </c>
      <c r="D182" s="11" t="str">
        <f t="shared" si="16"/>
        <v/>
      </c>
      <c r="E182" s="11" t="str">
        <f t="shared" si="13"/>
        <v/>
      </c>
      <c r="F182" s="11" t="str">
        <f t="shared" si="14"/>
        <v/>
      </c>
      <c r="G182" s="10" t="str">
        <v/>
      </c>
      <c r="H182" s="11" t="str">
        <v/>
      </c>
      <c r="I182" s="11" t="str">
        <v/>
      </c>
    </row>
    <row r="183" spans="1:14">
      <c r="A183" s="10" t="s">
        <v>220</v>
      </c>
      <c r="B183" s="11" t="str">
        <f t="shared" si="10"/>
        <v/>
      </c>
      <c r="C183" s="11" t="str">
        <f t="shared" si="15"/>
        <v/>
      </c>
      <c r="D183" s="11" t="str">
        <f t="shared" si="16"/>
        <v/>
      </c>
      <c r="E183" s="11" t="str">
        <f t="shared" si="13"/>
        <v/>
      </c>
      <c r="F183" s="11" t="str">
        <f t="shared" si="14"/>
        <v/>
      </c>
      <c r="G183" s="10" t="str">
        <v/>
      </c>
      <c r="H183" s="11" t="str">
        <v/>
      </c>
      <c r="I183" s="11" t="str">
        <v/>
      </c>
    </row>
    <row r="184" spans="1:14">
      <c r="A184" s="10" t="s">
        <v>0</v>
      </c>
      <c r="B184" s="11" t="str">
        <f t="shared" si="10"/>
        <v/>
      </c>
      <c r="C184" s="11" t="str">
        <f t="shared" si="15"/>
        <v/>
      </c>
      <c r="D184" s="11" t="str">
        <f t="shared" si="16"/>
        <v/>
      </c>
      <c r="E184" s="11" t="str">
        <f t="shared" si="13"/>
        <v/>
      </c>
      <c r="F184" s="11" t="str">
        <f t="shared" si="14"/>
        <v/>
      </c>
      <c r="G184" s="10" t="str">
        <v/>
      </c>
      <c r="H184" s="11" t="str">
        <v/>
      </c>
      <c r="I184" s="11" t="str">
        <v/>
      </c>
    </row>
    <row r="185" spans="1:14">
      <c r="A185" s="10" t="s">
        <v>196</v>
      </c>
      <c r="B185" s="11" t="str">
        <f t="shared" si="10"/>
        <v/>
      </c>
      <c r="C185" s="11" t="str">
        <f t="shared" ref="C185:C194" si="17">IF(B185="артикул",A185,"")</f>
        <v/>
      </c>
      <c r="D185" s="11" t="str">
        <f t="shared" ref="D185:D194" si="18">IF(B185="артикул",A186,"")</f>
        <v/>
      </c>
      <c r="E185" s="11" t="str">
        <f t="shared" si="13"/>
        <v/>
      </c>
      <c r="F185" s="11" t="str">
        <f t="shared" si="14"/>
        <v/>
      </c>
      <c r="G185" s="10" t="str">
        <v/>
      </c>
      <c r="H185" s="11" t="str">
        <v/>
      </c>
      <c r="I185" s="11" t="str">
        <v/>
      </c>
    </row>
    <row r="186" spans="1:14">
      <c r="A186" s="10" t="s">
        <v>176</v>
      </c>
      <c r="B186" s="11" t="str">
        <f t="shared" si="10"/>
        <v/>
      </c>
      <c r="C186" s="11" t="str">
        <f t="shared" si="17"/>
        <v/>
      </c>
      <c r="D186" s="11" t="str">
        <f t="shared" si="18"/>
        <v/>
      </c>
      <c r="E186" s="11" t="str">
        <f t="shared" si="13"/>
        <v/>
      </c>
      <c r="F186" s="11" t="str">
        <f t="shared" si="14"/>
        <v/>
      </c>
      <c r="G186" s="10" t="str">
        <v/>
      </c>
      <c r="H186" s="11" t="str">
        <v/>
      </c>
      <c r="I186" s="11" t="str">
        <v/>
      </c>
    </row>
    <row r="187" spans="1:14">
      <c r="A187" s="10" t="s">
        <v>221</v>
      </c>
      <c r="B187" s="11" t="str">
        <f t="shared" si="10"/>
        <v/>
      </c>
      <c r="C187" s="11" t="str">
        <f t="shared" si="17"/>
        <v/>
      </c>
      <c r="D187" s="11" t="str">
        <f t="shared" si="18"/>
        <v/>
      </c>
      <c r="E187" s="11" t="str">
        <f t="shared" si="13"/>
        <v/>
      </c>
      <c r="F187" s="11" t="str">
        <f t="shared" si="14"/>
        <v/>
      </c>
      <c r="G187" s="10" t="str">
        <v/>
      </c>
      <c r="H187" s="11" t="str">
        <v/>
      </c>
      <c r="I187" s="11" t="str">
        <v/>
      </c>
    </row>
    <row r="188" spans="1:14">
      <c r="A188" s="10" t="s">
        <v>119</v>
      </c>
      <c r="B188" s="11" t="str">
        <f t="shared" si="10"/>
        <v/>
      </c>
      <c r="C188" s="11" t="str">
        <f t="shared" si="17"/>
        <v/>
      </c>
      <c r="D188" s="11" t="str">
        <f t="shared" si="18"/>
        <v/>
      </c>
      <c r="E188" s="11" t="str">
        <f t="shared" si="13"/>
        <v/>
      </c>
      <c r="F188" s="11" t="str">
        <f t="shared" si="14"/>
        <v/>
      </c>
      <c r="G188" s="10" t="str">
        <v/>
      </c>
      <c r="H188" s="11" t="str">
        <v/>
      </c>
      <c r="I188" s="11" t="str">
        <v/>
      </c>
    </row>
    <row r="189" spans="1:14">
      <c r="A189" s="10" t="s">
        <v>120</v>
      </c>
      <c r="B189" s="11" t="str">
        <f t="shared" si="10"/>
        <v/>
      </c>
      <c r="C189" s="11" t="str">
        <f t="shared" si="17"/>
        <v/>
      </c>
      <c r="D189" s="11" t="str">
        <f t="shared" si="18"/>
        <v/>
      </c>
      <c r="E189" s="11" t="str">
        <f t="shared" si="13"/>
        <v/>
      </c>
      <c r="F189" s="11" t="str">
        <f t="shared" si="14"/>
        <v/>
      </c>
      <c r="G189" s="10" t="str">
        <v/>
      </c>
      <c r="H189" s="11" t="str">
        <v/>
      </c>
      <c r="I189" s="11" t="str">
        <v/>
      </c>
    </row>
    <row r="190" spans="1:14">
      <c r="A190" s="10" t="s">
        <v>121</v>
      </c>
      <c r="B190" s="11" t="str">
        <f t="shared" si="10"/>
        <v/>
      </c>
      <c r="C190" s="11" t="str">
        <f t="shared" si="17"/>
        <v/>
      </c>
      <c r="D190" s="11" t="str">
        <f t="shared" si="18"/>
        <v/>
      </c>
      <c r="E190" s="11" t="str">
        <f t="shared" si="13"/>
        <v/>
      </c>
      <c r="F190" s="11" t="str">
        <f t="shared" si="14"/>
        <v/>
      </c>
      <c r="G190" s="10" t="str">
        <v/>
      </c>
      <c r="H190" s="11" t="str">
        <v/>
      </c>
      <c r="I190" s="11" t="str">
        <v/>
      </c>
    </row>
    <row r="191" spans="1:14">
      <c r="A191" s="10" t="s">
        <v>122</v>
      </c>
      <c r="B191" s="11" t="str">
        <f t="shared" si="10"/>
        <v/>
      </c>
      <c r="C191" s="11" t="str">
        <f t="shared" si="17"/>
        <v/>
      </c>
      <c r="D191" s="11" t="str">
        <f t="shared" si="18"/>
        <v/>
      </c>
      <c r="E191" s="11" t="str">
        <f t="shared" si="13"/>
        <v/>
      </c>
      <c r="F191" s="11" t="str">
        <f t="shared" si="14"/>
        <v/>
      </c>
      <c r="G191" s="10" t="str">
        <v/>
      </c>
      <c r="H191" s="11" t="str">
        <v/>
      </c>
      <c r="I191" s="11" t="str">
        <v/>
      </c>
    </row>
    <row r="192" spans="1:14">
      <c r="A192" s="10" t="s">
        <v>123</v>
      </c>
      <c r="B192" s="11" t="str">
        <f t="shared" si="10"/>
        <v/>
      </c>
      <c r="C192" s="11" t="str">
        <f t="shared" si="17"/>
        <v/>
      </c>
      <c r="D192" s="11" t="str">
        <f t="shared" si="18"/>
        <v/>
      </c>
      <c r="E192" s="11" t="str">
        <f t="shared" si="13"/>
        <v/>
      </c>
      <c r="F192" s="11" t="str">
        <f t="shared" si="14"/>
        <v/>
      </c>
      <c r="G192" s="10" t="str">
        <v/>
      </c>
      <c r="H192" s="11" t="str">
        <v/>
      </c>
      <c r="I192" s="11" t="str">
        <v/>
      </c>
    </row>
    <row r="193" spans="1:9">
      <c r="A193" s="10" t="s">
        <v>122</v>
      </c>
      <c r="B193" s="11" t="str">
        <f t="shared" ref="B193:B256" si="19">IFERROR(IF(FIND(" ",A193)=6,IF(IFERROR(FIND(" PB",A193),"")&lt;&gt;"","артикул",IF(IFERROR(FIND(" CRN",A193),"")&lt;&gt;"","артикул","")),""),"")</f>
        <v/>
      </c>
      <c r="C193" s="11" t="str">
        <f t="shared" si="17"/>
        <v/>
      </c>
      <c r="D193" s="11" t="str">
        <f t="shared" si="18"/>
        <v/>
      </c>
      <c r="E193" s="11" t="str">
        <f t="shared" si="13"/>
        <v/>
      </c>
      <c r="F193" s="11" t="str">
        <f t="shared" si="14"/>
        <v/>
      </c>
      <c r="G193" s="10" t="str">
        <v/>
      </c>
      <c r="H193" s="11" t="str">
        <v/>
      </c>
      <c r="I193" s="11" t="str">
        <v/>
      </c>
    </row>
    <row r="194" spans="1:9">
      <c r="A194" s="10" t="s">
        <v>124</v>
      </c>
      <c r="B194" s="11" t="str">
        <f t="shared" si="19"/>
        <v/>
      </c>
      <c r="C194" s="11" t="str">
        <f t="shared" si="17"/>
        <v/>
      </c>
      <c r="D194" s="11" t="str">
        <f t="shared" si="18"/>
        <v/>
      </c>
      <c r="E194" s="11" t="str">
        <f t="shared" ref="E194:E257" si="20" xml:space="preserve">
IF(B194="Артикул",
IF(
AND(RIGHT(A195,1)="%",
RIGHT(A196,1)="%",
RIGHT(A197,1)="%",
RIGHT(A198,1)="%"),MID(A199,FIND(" ",A199),50),
IF(
AND(RIGHT(A195,1)="%",
RIGHT(A196,1)="%",
RIGHT(A197,1)="%"),MID(A198,FIND(" ",A198),50),
IF(
AND(RIGHT(A195,1)="%",
RIGHT(A196,1)="%"),
MID(A197,FIND(" ",A197),50),
IF(
RIGHT(A195,1)="%",
MID(A196,FIND(" ",A196),50),"")))),"")</f>
        <v/>
      </c>
      <c r="F194" s="11" t="str">
        <f t="shared" ref="F194:F257" si="21">IFERROR(
IF(
AND(LEFT(A194,8)="Discount",FIND("%",A194)&gt;0),
MID(A194,
FIND(" ",A194),
FIND("%",A194)-FIND(" ",A194))
*-1,""),"")</f>
        <v/>
      </c>
      <c r="G194" s="10" t="str">
        <v/>
      </c>
      <c r="H194" s="11" t="str">
        <v/>
      </c>
      <c r="I194" s="11" t="str">
        <v/>
      </c>
    </row>
    <row r="195" spans="1:9">
      <c r="A195" s="10" t="s">
        <v>125</v>
      </c>
      <c r="B195" s="11" t="str">
        <f t="shared" si="19"/>
        <v/>
      </c>
      <c r="C195" s="11" t="str">
        <f t="shared" ref="C195:C204" si="22">IF(B195="артикул",A195,"")</f>
        <v/>
      </c>
      <c r="D195" s="11" t="str">
        <f t="shared" ref="D195:D204" si="23">IF(B195="артикул",A196,"")</f>
        <v/>
      </c>
      <c r="E195" s="11" t="str">
        <f t="shared" si="20"/>
        <v/>
      </c>
      <c r="F195" s="11" t="str">
        <f t="shared" si="21"/>
        <v/>
      </c>
      <c r="G195" s="10" t="str">
        <v/>
      </c>
      <c r="H195" s="11" t="str">
        <v/>
      </c>
      <c r="I195" s="11" t="str">
        <v/>
      </c>
    </row>
    <row r="196" spans="1:9">
      <c r="A196" s="10" t="s">
        <v>126</v>
      </c>
      <c r="B196" s="11" t="str">
        <f t="shared" si="19"/>
        <v/>
      </c>
      <c r="C196" s="11" t="str">
        <f t="shared" si="22"/>
        <v/>
      </c>
      <c r="D196" s="11" t="str">
        <f t="shared" si="23"/>
        <v/>
      </c>
      <c r="E196" s="11" t="str">
        <f t="shared" si="20"/>
        <v/>
      </c>
      <c r="F196" s="11" t="str">
        <f t="shared" si="21"/>
        <v/>
      </c>
      <c r="G196" s="10" t="str">
        <v/>
      </c>
      <c r="H196" s="11" t="str">
        <v/>
      </c>
      <c r="I196" s="11" t="str">
        <v/>
      </c>
    </row>
    <row r="197" spans="1:9">
      <c r="A197" s="10" t="s">
        <v>222</v>
      </c>
      <c r="B197" s="11" t="str">
        <f t="shared" si="19"/>
        <v/>
      </c>
      <c r="C197" s="11" t="str">
        <f t="shared" si="22"/>
        <v/>
      </c>
      <c r="D197" s="11" t="str">
        <f t="shared" si="23"/>
        <v/>
      </c>
      <c r="E197" s="11" t="str">
        <f t="shared" si="20"/>
        <v/>
      </c>
      <c r="F197" s="11" t="str">
        <f t="shared" si="21"/>
        <v/>
      </c>
      <c r="G197" s="10" t="str">
        <v/>
      </c>
      <c r="H197" s="11" t="str">
        <v/>
      </c>
      <c r="I197" s="11" t="str">
        <v/>
      </c>
    </row>
    <row r="198" spans="1:9">
      <c r="A198" s="10" t="s">
        <v>127</v>
      </c>
      <c r="B198" s="11" t="str">
        <f t="shared" si="19"/>
        <v/>
      </c>
      <c r="C198" s="11" t="str">
        <f t="shared" si="22"/>
        <v/>
      </c>
      <c r="D198" s="11" t="str">
        <f t="shared" si="23"/>
        <v/>
      </c>
      <c r="E198" s="11" t="str">
        <f t="shared" si="20"/>
        <v/>
      </c>
      <c r="F198" s="11" t="str">
        <f t="shared" si="21"/>
        <v/>
      </c>
      <c r="G198" s="10" t="str">
        <v/>
      </c>
      <c r="H198" s="11" t="str">
        <v/>
      </c>
      <c r="I198" s="11" t="str">
        <v/>
      </c>
    </row>
    <row r="199" spans="1:9">
      <c r="A199" s="10" t="s">
        <v>128</v>
      </c>
      <c r="B199" s="11" t="str">
        <f t="shared" si="19"/>
        <v/>
      </c>
      <c r="C199" s="11" t="str">
        <f t="shared" si="22"/>
        <v/>
      </c>
      <c r="D199" s="11" t="str">
        <f t="shared" si="23"/>
        <v/>
      </c>
      <c r="E199" s="11" t="str">
        <f t="shared" si="20"/>
        <v/>
      </c>
      <c r="F199" s="11" t="str">
        <f t="shared" si="21"/>
        <v/>
      </c>
      <c r="G199" s="10" t="str">
        <v/>
      </c>
      <c r="H199" s="11" t="str">
        <v/>
      </c>
      <c r="I199" s="11" t="str">
        <v/>
      </c>
    </row>
    <row r="200" spans="1:9">
      <c r="A200" s="10" t="s">
        <v>195</v>
      </c>
      <c r="B200" s="11" t="str">
        <f t="shared" si="19"/>
        <v/>
      </c>
      <c r="C200" s="11" t="str">
        <f t="shared" si="22"/>
        <v/>
      </c>
      <c r="D200" s="11" t="str">
        <f t="shared" si="23"/>
        <v/>
      </c>
      <c r="E200" s="11" t="str">
        <f t="shared" si="20"/>
        <v/>
      </c>
      <c r="F200" s="11" t="str">
        <f t="shared" si="21"/>
        <v/>
      </c>
      <c r="G200" s="10" t="str">
        <v/>
      </c>
      <c r="H200" s="11" t="str">
        <v/>
      </c>
      <c r="I200" s="11" t="str">
        <v/>
      </c>
    </row>
    <row r="201" spans="1:9">
      <c r="A201" s="10" t="s">
        <v>129</v>
      </c>
      <c r="B201" s="11" t="str">
        <f t="shared" si="19"/>
        <v/>
      </c>
      <c r="C201" s="11" t="str">
        <f t="shared" si="22"/>
        <v/>
      </c>
      <c r="D201" s="11" t="str">
        <f t="shared" si="23"/>
        <v/>
      </c>
      <c r="E201" s="11" t="str">
        <f t="shared" si="20"/>
        <v/>
      </c>
      <c r="F201" s="11" t="str">
        <f t="shared" si="21"/>
        <v/>
      </c>
      <c r="G201" s="10" t="str">
        <v/>
      </c>
      <c r="H201" s="11" t="str">
        <v/>
      </c>
      <c r="I201" s="11" t="str">
        <v/>
      </c>
    </row>
    <row r="202" spans="1:9">
      <c r="A202" s="10" t="s">
        <v>130</v>
      </c>
      <c r="B202" s="11" t="str">
        <f t="shared" si="19"/>
        <v/>
      </c>
      <c r="C202" s="11" t="str">
        <f t="shared" si="22"/>
        <v/>
      </c>
      <c r="D202" s="11" t="str">
        <f t="shared" si="23"/>
        <v/>
      </c>
      <c r="E202" s="11" t="str">
        <f t="shared" si="20"/>
        <v/>
      </c>
      <c r="F202" s="11" t="str">
        <f t="shared" si="21"/>
        <v/>
      </c>
      <c r="G202" s="10" t="str">
        <v/>
      </c>
      <c r="H202" s="11" t="str">
        <v/>
      </c>
      <c r="I202" s="11" t="str">
        <v/>
      </c>
    </row>
    <row r="203" spans="1:9">
      <c r="B203" s="11" t="str">
        <f t="shared" si="19"/>
        <v/>
      </c>
      <c r="C203" s="11" t="str">
        <f t="shared" si="22"/>
        <v/>
      </c>
      <c r="D203" s="11" t="str">
        <f t="shared" si="23"/>
        <v/>
      </c>
      <c r="E203" s="11" t="str">
        <f t="shared" si="20"/>
        <v/>
      </c>
      <c r="F203" s="11" t="str">
        <f t="shared" si="21"/>
        <v/>
      </c>
      <c r="G203" s="10" t="str">
        <v/>
      </c>
      <c r="H203" s="11" t="str">
        <v/>
      </c>
      <c r="I203" s="11" t="str">
        <v/>
      </c>
    </row>
    <row r="204" spans="1:9">
      <c r="B204" s="11" t="str">
        <f t="shared" si="19"/>
        <v/>
      </c>
      <c r="C204" s="11" t="str">
        <f t="shared" si="22"/>
        <v/>
      </c>
      <c r="D204" s="11" t="str">
        <f t="shared" si="23"/>
        <v/>
      </c>
      <c r="E204" s="11" t="str">
        <f t="shared" si="20"/>
        <v/>
      </c>
      <c r="F204" s="11" t="str">
        <f t="shared" si="21"/>
        <v/>
      </c>
      <c r="G204" s="10" t="str">
        <v/>
      </c>
      <c r="H204" s="11" t="str">
        <v/>
      </c>
      <c r="I204" s="11" t="str">
        <v/>
      </c>
    </row>
    <row r="205" spans="1:9">
      <c r="B205" s="11" t="str">
        <f t="shared" si="19"/>
        <v/>
      </c>
      <c r="C205" s="11" t="str">
        <f t="shared" ref="C205:C268" si="24">IF(B205="артикул",A205,"")</f>
        <v/>
      </c>
      <c r="D205" s="11" t="str">
        <f t="shared" ref="D205:D268" si="25">IF(B205="артикул",A206,"")</f>
        <v/>
      </c>
      <c r="E205" s="11" t="str">
        <f t="shared" si="20"/>
        <v/>
      </c>
      <c r="F205" s="11" t="str">
        <f t="shared" si="21"/>
        <v/>
      </c>
      <c r="G205" s="10" t="str">
        <v/>
      </c>
      <c r="H205" s="11" t="str">
        <v/>
      </c>
      <c r="I205" s="11" t="str">
        <v/>
      </c>
    </row>
    <row r="206" spans="1:9">
      <c r="B206" s="11" t="str">
        <f t="shared" si="19"/>
        <v/>
      </c>
      <c r="C206" s="11" t="str">
        <f t="shared" si="24"/>
        <v/>
      </c>
      <c r="D206" s="11" t="str">
        <f t="shared" si="25"/>
        <v/>
      </c>
      <c r="E206" s="11" t="str">
        <f t="shared" si="20"/>
        <v/>
      </c>
      <c r="F206" s="11" t="str">
        <f t="shared" si="21"/>
        <v/>
      </c>
      <c r="G206" s="10" t="str">
        <v/>
      </c>
      <c r="H206" s="11" t="str">
        <v/>
      </c>
      <c r="I206" s="11" t="str">
        <v/>
      </c>
    </row>
    <row r="207" spans="1:9">
      <c r="B207" s="11" t="str">
        <f t="shared" si="19"/>
        <v/>
      </c>
      <c r="C207" s="11" t="str">
        <f t="shared" si="24"/>
        <v/>
      </c>
      <c r="D207" s="11" t="str">
        <f t="shared" si="25"/>
        <v/>
      </c>
      <c r="E207" s="11" t="str">
        <f t="shared" si="20"/>
        <v/>
      </c>
      <c r="F207" s="11" t="str">
        <f t="shared" si="21"/>
        <v/>
      </c>
      <c r="G207" s="10" t="str">
        <v/>
      </c>
      <c r="H207" s="11" t="str">
        <v/>
      </c>
      <c r="I207" s="11" t="str">
        <v/>
      </c>
    </row>
    <row r="208" spans="1:9">
      <c r="B208" s="11" t="str">
        <f t="shared" si="19"/>
        <v/>
      </c>
      <c r="C208" s="11" t="str">
        <f t="shared" si="24"/>
        <v/>
      </c>
      <c r="D208" s="11" t="str">
        <f t="shared" si="25"/>
        <v/>
      </c>
      <c r="E208" s="11" t="str">
        <f t="shared" si="20"/>
        <v/>
      </c>
      <c r="F208" s="11" t="str">
        <f t="shared" si="21"/>
        <v/>
      </c>
      <c r="G208" s="10" t="str">
        <v/>
      </c>
      <c r="H208" s="11" t="str">
        <v/>
      </c>
      <c r="I208" s="11" t="str">
        <v/>
      </c>
    </row>
    <row r="209" spans="2:9">
      <c r="B209" s="11" t="str">
        <f t="shared" si="19"/>
        <v/>
      </c>
      <c r="C209" s="11" t="str">
        <f t="shared" si="24"/>
        <v/>
      </c>
      <c r="D209" s="11" t="str">
        <f t="shared" si="25"/>
        <v/>
      </c>
      <c r="E209" s="11" t="str">
        <f t="shared" si="20"/>
        <v/>
      </c>
      <c r="F209" s="11" t="str">
        <f t="shared" si="21"/>
        <v/>
      </c>
      <c r="G209" s="10" t="str">
        <v/>
      </c>
      <c r="H209" s="11" t="str">
        <v/>
      </c>
      <c r="I209" s="11" t="str">
        <v/>
      </c>
    </row>
    <row r="210" spans="2:9">
      <c r="B210" s="11" t="str">
        <f t="shared" si="19"/>
        <v/>
      </c>
      <c r="C210" s="11" t="str">
        <f t="shared" si="24"/>
        <v/>
      </c>
      <c r="D210" s="11" t="str">
        <f t="shared" si="25"/>
        <v/>
      </c>
      <c r="E210" s="11" t="str">
        <f t="shared" si="20"/>
        <v/>
      </c>
      <c r="F210" s="11" t="str">
        <f t="shared" si="21"/>
        <v/>
      </c>
      <c r="G210" s="10" t="str">
        <v/>
      </c>
      <c r="H210" s="11" t="str">
        <v/>
      </c>
      <c r="I210" s="11" t="str">
        <v/>
      </c>
    </row>
    <row r="211" spans="2:9">
      <c r="B211" s="11" t="str">
        <f t="shared" si="19"/>
        <v/>
      </c>
      <c r="C211" s="11" t="str">
        <f t="shared" si="24"/>
        <v/>
      </c>
      <c r="D211" s="11" t="str">
        <f t="shared" si="25"/>
        <v/>
      </c>
      <c r="E211" s="11" t="str">
        <f t="shared" si="20"/>
        <v/>
      </c>
      <c r="F211" s="11" t="str">
        <f t="shared" si="21"/>
        <v/>
      </c>
      <c r="G211" s="10" t="str">
        <v/>
      </c>
      <c r="H211" s="11" t="str">
        <v/>
      </c>
      <c r="I211" s="11" t="str">
        <v/>
      </c>
    </row>
    <row r="212" spans="2:9">
      <c r="B212" s="11" t="str">
        <f t="shared" si="19"/>
        <v/>
      </c>
      <c r="C212" s="11" t="str">
        <f t="shared" si="24"/>
        <v/>
      </c>
      <c r="D212" s="11" t="str">
        <f t="shared" si="25"/>
        <v/>
      </c>
      <c r="E212" s="11" t="str">
        <f t="shared" si="20"/>
        <v/>
      </c>
      <c r="F212" s="11" t="str">
        <f t="shared" si="21"/>
        <v/>
      </c>
      <c r="G212" s="10" t="str">
        <v/>
      </c>
      <c r="H212" s="11" t="str">
        <v/>
      </c>
      <c r="I212" s="11" t="str">
        <v/>
      </c>
    </row>
    <row r="213" spans="2:9">
      <c r="B213" s="11" t="str">
        <f t="shared" si="19"/>
        <v/>
      </c>
      <c r="C213" s="11" t="str">
        <f t="shared" si="24"/>
        <v/>
      </c>
      <c r="D213" s="11" t="str">
        <f t="shared" si="25"/>
        <v/>
      </c>
      <c r="E213" s="11" t="str">
        <f t="shared" si="20"/>
        <v/>
      </c>
      <c r="F213" s="11" t="str">
        <f t="shared" si="21"/>
        <v/>
      </c>
      <c r="G213" s="10" t="str">
        <v/>
      </c>
      <c r="H213" s="11" t="str">
        <v/>
      </c>
      <c r="I213" s="11" t="str">
        <v/>
      </c>
    </row>
    <row r="214" spans="2:9">
      <c r="B214" s="11" t="str">
        <f t="shared" si="19"/>
        <v/>
      </c>
      <c r="C214" s="11" t="str">
        <f t="shared" si="24"/>
        <v/>
      </c>
      <c r="D214" s="11" t="str">
        <f t="shared" si="25"/>
        <v/>
      </c>
      <c r="E214" s="11" t="str">
        <f t="shared" si="20"/>
        <v/>
      </c>
      <c r="F214" s="11" t="str">
        <f t="shared" si="21"/>
        <v/>
      </c>
      <c r="G214" s="10" t="str">
        <v/>
      </c>
      <c r="H214" s="11" t="str">
        <v/>
      </c>
      <c r="I214" s="11" t="str">
        <v/>
      </c>
    </row>
    <row r="215" spans="2:9">
      <c r="B215" s="11" t="str">
        <f t="shared" si="19"/>
        <v/>
      </c>
      <c r="C215" s="11" t="str">
        <f t="shared" si="24"/>
        <v/>
      </c>
      <c r="D215" s="11" t="str">
        <f t="shared" si="25"/>
        <v/>
      </c>
      <c r="E215" s="11" t="str">
        <f t="shared" si="20"/>
        <v/>
      </c>
      <c r="F215" s="11" t="str">
        <f t="shared" si="21"/>
        <v/>
      </c>
      <c r="G215" s="10" t="str">
        <v/>
      </c>
      <c r="H215" s="11" t="str">
        <v/>
      </c>
      <c r="I215" s="11" t="str">
        <v/>
      </c>
    </row>
    <row r="216" spans="2:9">
      <c r="B216" s="11" t="str">
        <f t="shared" si="19"/>
        <v/>
      </c>
      <c r="C216" s="11" t="str">
        <f t="shared" si="24"/>
        <v/>
      </c>
      <c r="D216" s="11" t="str">
        <f t="shared" si="25"/>
        <v/>
      </c>
      <c r="E216" s="11" t="str">
        <f t="shared" si="20"/>
        <v/>
      </c>
      <c r="F216" s="11" t="str">
        <f t="shared" si="21"/>
        <v/>
      </c>
      <c r="G216" s="10" t="str">
        <v/>
      </c>
      <c r="H216" s="11" t="str">
        <v/>
      </c>
      <c r="I216" s="11" t="str">
        <v/>
      </c>
    </row>
    <row r="217" spans="2:9">
      <c r="B217" s="11" t="str">
        <f t="shared" si="19"/>
        <v/>
      </c>
      <c r="C217" s="11" t="str">
        <f t="shared" si="24"/>
        <v/>
      </c>
      <c r="D217" s="11" t="str">
        <f t="shared" si="25"/>
        <v/>
      </c>
      <c r="E217" s="11" t="str">
        <f t="shared" si="20"/>
        <v/>
      </c>
      <c r="F217" s="11" t="str">
        <f t="shared" si="21"/>
        <v/>
      </c>
      <c r="G217" s="10" t="str">
        <v/>
      </c>
      <c r="H217" s="11" t="str">
        <v/>
      </c>
      <c r="I217" s="11" t="str">
        <v/>
      </c>
    </row>
    <row r="218" spans="2:9">
      <c r="B218" s="11" t="str">
        <f t="shared" si="19"/>
        <v/>
      </c>
      <c r="C218" s="11" t="str">
        <f t="shared" si="24"/>
        <v/>
      </c>
      <c r="D218" s="11" t="str">
        <f t="shared" si="25"/>
        <v/>
      </c>
      <c r="E218" s="11" t="str">
        <f t="shared" si="20"/>
        <v/>
      </c>
      <c r="F218" s="11" t="str">
        <f t="shared" si="21"/>
        <v/>
      </c>
      <c r="G218" s="10" t="str">
        <v/>
      </c>
      <c r="H218" s="11" t="str">
        <v/>
      </c>
      <c r="I218" s="11" t="str">
        <v/>
      </c>
    </row>
    <row r="219" spans="2:9">
      <c r="B219" s="11" t="str">
        <f t="shared" si="19"/>
        <v/>
      </c>
      <c r="C219" s="11" t="str">
        <f t="shared" si="24"/>
        <v/>
      </c>
      <c r="D219" s="11" t="str">
        <f t="shared" si="25"/>
        <v/>
      </c>
      <c r="E219" s="11" t="str">
        <f t="shared" si="20"/>
        <v/>
      </c>
      <c r="F219" s="11" t="str">
        <f t="shared" si="21"/>
        <v/>
      </c>
      <c r="G219" s="10" t="str">
        <v/>
      </c>
      <c r="H219" s="11" t="str">
        <v/>
      </c>
      <c r="I219" s="11" t="str">
        <v/>
      </c>
    </row>
    <row r="220" spans="2:9">
      <c r="B220" s="11" t="str">
        <f t="shared" si="19"/>
        <v/>
      </c>
      <c r="C220" s="11" t="str">
        <f t="shared" si="24"/>
        <v/>
      </c>
      <c r="D220" s="11" t="str">
        <f t="shared" si="25"/>
        <v/>
      </c>
      <c r="E220" s="11" t="str">
        <f t="shared" si="20"/>
        <v/>
      </c>
      <c r="F220" s="11" t="str">
        <f t="shared" si="21"/>
        <v/>
      </c>
      <c r="G220" s="10" t="str">
        <v/>
      </c>
      <c r="H220" s="11" t="str">
        <v/>
      </c>
      <c r="I220" s="11" t="str">
        <v/>
      </c>
    </row>
    <row r="221" spans="2:9">
      <c r="B221" s="11" t="str">
        <f t="shared" si="19"/>
        <v/>
      </c>
      <c r="C221" s="11" t="str">
        <f t="shared" si="24"/>
        <v/>
      </c>
      <c r="D221" s="11" t="str">
        <f t="shared" si="25"/>
        <v/>
      </c>
      <c r="E221" s="11" t="str">
        <f t="shared" si="20"/>
        <v/>
      </c>
      <c r="F221" s="11" t="str">
        <f t="shared" si="21"/>
        <v/>
      </c>
      <c r="G221" s="10" t="str">
        <v/>
      </c>
      <c r="H221" s="11" t="str">
        <v/>
      </c>
      <c r="I221" s="11" t="str">
        <v/>
      </c>
    </row>
    <row r="222" spans="2:9">
      <c r="B222" s="11" t="str">
        <f t="shared" si="19"/>
        <v/>
      </c>
      <c r="C222" s="11" t="str">
        <f t="shared" si="24"/>
        <v/>
      </c>
      <c r="D222" s="11" t="str">
        <f t="shared" si="25"/>
        <v/>
      </c>
      <c r="E222" s="11" t="str">
        <f t="shared" si="20"/>
        <v/>
      </c>
      <c r="F222" s="11" t="str">
        <f t="shared" si="21"/>
        <v/>
      </c>
      <c r="G222" s="10" t="str">
        <v/>
      </c>
      <c r="H222" s="11" t="str">
        <v/>
      </c>
      <c r="I222" s="11" t="str">
        <v/>
      </c>
    </row>
    <row r="223" spans="2:9">
      <c r="B223" s="11" t="str">
        <f t="shared" si="19"/>
        <v/>
      </c>
      <c r="C223" s="11" t="str">
        <f t="shared" si="24"/>
        <v/>
      </c>
      <c r="D223" s="11" t="str">
        <f t="shared" si="25"/>
        <v/>
      </c>
      <c r="E223" s="11" t="str">
        <f t="shared" si="20"/>
        <v/>
      </c>
      <c r="F223" s="11" t="str">
        <f t="shared" si="21"/>
        <v/>
      </c>
      <c r="G223" s="10" t="str">
        <v/>
      </c>
      <c r="H223" s="11" t="str">
        <v/>
      </c>
      <c r="I223" s="11" t="str">
        <v/>
      </c>
    </row>
    <row r="224" spans="2:9">
      <c r="B224" s="11" t="str">
        <f t="shared" si="19"/>
        <v/>
      </c>
      <c r="C224" s="11" t="str">
        <f t="shared" si="24"/>
        <v/>
      </c>
      <c r="D224" s="11" t="str">
        <f t="shared" si="25"/>
        <v/>
      </c>
      <c r="E224" s="11" t="str">
        <f t="shared" si="20"/>
        <v/>
      </c>
      <c r="F224" s="11" t="str">
        <f t="shared" si="21"/>
        <v/>
      </c>
      <c r="G224" s="10" t="str">
        <v/>
      </c>
      <c r="H224" s="11" t="str">
        <v/>
      </c>
      <c r="I224" s="11" t="str">
        <v/>
      </c>
    </row>
    <row r="225" spans="2:9">
      <c r="B225" s="11" t="str">
        <f t="shared" si="19"/>
        <v/>
      </c>
      <c r="C225" s="11" t="str">
        <f t="shared" si="24"/>
        <v/>
      </c>
      <c r="D225" s="11" t="str">
        <f t="shared" si="25"/>
        <v/>
      </c>
      <c r="E225" s="11" t="str">
        <f t="shared" si="20"/>
        <v/>
      </c>
      <c r="F225" s="11" t="str">
        <f t="shared" si="21"/>
        <v/>
      </c>
      <c r="G225" s="10" t="str">
        <v/>
      </c>
      <c r="H225" s="11" t="str">
        <v/>
      </c>
      <c r="I225" s="11" t="str">
        <v/>
      </c>
    </row>
    <row r="226" spans="2:9">
      <c r="B226" s="11" t="str">
        <f t="shared" si="19"/>
        <v/>
      </c>
      <c r="C226" s="11" t="str">
        <f t="shared" si="24"/>
        <v/>
      </c>
      <c r="D226" s="11" t="str">
        <f t="shared" si="25"/>
        <v/>
      </c>
      <c r="E226" s="11" t="str">
        <f t="shared" si="20"/>
        <v/>
      </c>
      <c r="F226" s="11" t="str">
        <f t="shared" si="21"/>
        <v/>
      </c>
      <c r="G226" s="10" t="str">
        <v/>
      </c>
      <c r="H226" s="11" t="str">
        <v/>
      </c>
      <c r="I226" s="11" t="str">
        <v/>
      </c>
    </row>
    <row r="227" spans="2:9">
      <c r="B227" s="11" t="str">
        <f t="shared" si="19"/>
        <v/>
      </c>
      <c r="C227" s="11" t="str">
        <f t="shared" si="24"/>
        <v/>
      </c>
      <c r="D227" s="11" t="str">
        <f t="shared" si="25"/>
        <v/>
      </c>
      <c r="E227" s="11" t="str">
        <f t="shared" si="20"/>
        <v/>
      </c>
      <c r="F227" s="11" t="str">
        <f t="shared" si="21"/>
        <v/>
      </c>
      <c r="G227" s="10" t="str">
        <v/>
      </c>
      <c r="H227" s="11" t="str">
        <v/>
      </c>
      <c r="I227" s="11" t="str">
        <v/>
      </c>
    </row>
    <row r="228" spans="2:9">
      <c r="B228" s="11" t="str">
        <f t="shared" si="19"/>
        <v/>
      </c>
      <c r="C228" s="11" t="str">
        <f t="shared" si="24"/>
        <v/>
      </c>
      <c r="D228" s="11" t="str">
        <f t="shared" si="25"/>
        <v/>
      </c>
      <c r="E228" s="11" t="str">
        <f t="shared" si="20"/>
        <v/>
      </c>
      <c r="F228" s="11" t="str">
        <f t="shared" si="21"/>
        <v/>
      </c>
      <c r="G228" s="10" t="str">
        <v/>
      </c>
      <c r="H228" s="11" t="str">
        <v/>
      </c>
      <c r="I228" s="11" t="str">
        <v/>
      </c>
    </row>
    <row r="229" spans="2:9">
      <c r="B229" s="11" t="str">
        <f t="shared" si="19"/>
        <v/>
      </c>
      <c r="C229" s="11" t="str">
        <f t="shared" si="24"/>
        <v/>
      </c>
      <c r="D229" s="11" t="str">
        <f t="shared" si="25"/>
        <v/>
      </c>
      <c r="E229" s="11" t="str">
        <f t="shared" si="20"/>
        <v/>
      </c>
      <c r="F229" s="11" t="str">
        <f t="shared" si="21"/>
        <v/>
      </c>
      <c r="G229" s="10" t="str">
        <v/>
      </c>
      <c r="H229" s="11" t="str">
        <v/>
      </c>
      <c r="I229" s="11" t="str">
        <v/>
      </c>
    </row>
    <row r="230" spans="2:9">
      <c r="B230" s="11" t="str">
        <f t="shared" si="19"/>
        <v/>
      </c>
      <c r="C230" s="11" t="str">
        <f t="shared" si="24"/>
        <v/>
      </c>
      <c r="D230" s="11" t="str">
        <f t="shared" si="25"/>
        <v/>
      </c>
      <c r="E230" s="11" t="str">
        <f t="shared" si="20"/>
        <v/>
      </c>
      <c r="F230" s="11" t="str">
        <f t="shared" si="21"/>
        <v/>
      </c>
      <c r="G230" s="10" t="str">
        <v/>
      </c>
      <c r="H230" s="11" t="str">
        <v/>
      </c>
      <c r="I230" s="11" t="str">
        <v/>
      </c>
    </row>
    <row r="231" spans="2:9">
      <c r="B231" s="11" t="str">
        <f t="shared" si="19"/>
        <v/>
      </c>
      <c r="C231" s="11" t="str">
        <f t="shared" si="24"/>
        <v/>
      </c>
      <c r="D231" s="11" t="str">
        <f t="shared" si="25"/>
        <v/>
      </c>
      <c r="E231" s="11" t="str">
        <f t="shared" si="20"/>
        <v/>
      </c>
      <c r="F231" s="11" t="str">
        <f t="shared" si="21"/>
        <v/>
      </c>
      <c r="G231" s="10" t="str">
        <v/>
      </c>
      <c r="H231" s="11" t="str">
        <v/>
      </c>
      <c r="I231" s="11" t="str">
        <v/>
      </c>
    </row>
    <row r="232" spans="2:9">
      <c r="B232" s="11" t="str">
        <f t="shared" si="19"/>
        <v/>
      </c>
      <c r="C232" s="11" t="str">
        <f t="shared" si="24"/>
        <v/>
      </c>
      <c r="D232" s="11" t="str">
        <f t="shared" si="25"/>
        <v/>
      </c>
      <c r="E232" s="11" t="str">
        <f t="shared" si="20"/>
        <v/>
      </c>
      <c r="F232" s="11" t="str">
        <f t="shared" si="21"/>
        <v/>
      </c>
      <c r="G232" s="10" t="str">
        <v/>
      </c>
      <c r="H232" s="11" t="str">
        <v/>
      </c>
      <c r="I232" s="11" t="str">
        <v/>
      </c>
    </row>
    <row r="233" spans="2:9">
      <c r="B233" s="11" t="str">
        <f t="shared" si="19"/>
        <v/>
      </c>
      <c r="C233" s="11" t="str">
        <f t="shared" si="24"/>
        <v/>
      </c>
      <c r="D233" s="11" t="str">
        <f t="shared" si="25"/>
        <v/>
      </c>
      <c r="E233" s="11" t="str">
        <f t="shared" si="20"/>
        <v/>
      </c>
      <c r="F233" s="11" t="str">
        <f t="shared" si="21"/>
        <v/>
      </c>
      <c r="G233" s="10" t="str">
        <v/>
      </c>
      <c r="H233" s="11" t="str">
        <v/>
      </c>
      <c r="I233" s="11" t="str">
        <v/>
      </c>
    </row>
    <row r="234" spans="2:9">
      <c r="B234" s="11" t="str">
        <f t="shared" si="19"/>
        <v/>
      </c>
      <c r="C234" s="11" t="str">
        <f t="shared" si="24"/>
        <v/>
      </c>
      <c r="D234" s="11" t="str">
        <f t="shared" si="25"/>
        <v/>
      </c>
      <c r="E234" s="11" t="str">
        <f t="shared" si="20"/>
        <v/>
      </c>
      <c r="F234" s="11" t="str">
        <f t="shared" si="21"/>
        <v/>
      </c>
      <c r="G234" s="10" t="str">
        <v/>
      </c>
      <c r="H234" s="11" t="str">
        <v/>
      </c>
      <c r="I234" s="11" t="str">
        <v/>
      </c>
    </row>
    <row r="235" spans="2:9">
      <c r="B235" s="11" t="str">
        <f t="shared" si="19"/>
        <v/>
      </c>
      <c r="C235" s="11" t="str">
        <f t="shared" si="24"/>
        <v/>
      </c>
      <c r="D235" s="11" t="str">
        <f t="shared" si="25"/>
        <v/>
      </c>
      <c r="E235" s="11" t="str">
        <f t="shared" si="20"/>
        <v/>
      </c>
      <c r="F235" s="11" t="str">
        <f t="shared" si="21"/>
        <v/>
      </c>
      <c r="G235" s="10" t="str">
        <v/>
      </c>
      <c r="H235" s="11" t="str">
        <v/>
      </c>
      <c r="I235" s="11" t="str">
        <v/>
      </c>
    </row>
    <row r="236" spans="2:9">
      <c r="B236" s="11" t="str">
        <f t="shared" si="19"/>
        <v/>
      </c>
      <c r="C236" s="11" t="str">
        <f t="shared" si="24"/>
        <v/>
      </c>
      <c r="D236" s="11" t="str">
        <f t="shared" si="25"/>
        <v/>
      </c>
      <c r="E236" s="11" t="str">
        <f t="shared" si="20"/>
        <v/>
      </c>
      <c r="F236" s="11" t="str">
        <f t="shared" si="21"/>
        <v/>
      </c>
      <c r="G236" s="10" t="str">
        <v/>
      </c>
      <c r="H236" s="11" t="str">
        <v/>
      </c>
      <c r="I236" s="11" t="str">
        <v/>
      </c>
    </row>
    <row r="237" spans="2:9">
      <c r="B237" s="11" t="str">
        <f t="shared" si="19"/>
        <v/>
      </c>
      <c r="C237" s="11" t="str">
        <f t="shared" si="24"/>
        <v/>
      </c>
      <c r="D237" s="11" t="str">
        <f t="shared" si="25"/>
        <v/>
      </c>
      <c r="E237" s="11" t="str">
        <f t="shared" si="20"/>
        <v/>
      </c>
      <c r="F237" s="11" t="str">
        <f t="shared" si="21"/>
        <v/>
      </c>
      <c r="G237" s="10" t="str">
        <v/>
      </c>
      <c r="H237" s="11" t="str">
        <v/>
      </c>
      <c r="I237" s="11" t="str">
        <v/>
      </c>
    </row>
    <row r="238" spans="2:9">
      <c r="B238" s="11" t="str">
        <f t="shared" si="19"/>
        <v/>
      </c>
      <c r="C238" s="11" t="str">
        <f t="shared" si="24"/>
        <v/>
      </c>
      <c r="D238" s="11" t="str">
        <f t="shared" si="25"/>
        <v/>
      </c>
      <c r="E238" s="11" t="str">
        <f t="shared" si="20"/>
        <v/>
      </c>
      <c r="F238" s="11" t="str">
        <f t="shared" si="21"/>
        <v/>
      </c>
      <c r="G238" s="10" t="str">
        <v/>
      </c>
      <c r="H238" s="11" t="str">
        <v/>
      </c>
      <c r="I238" s="11" t="str">
        <v/>
      </c>
    </row>
    <row r="239" spans="2:9">
      <c r="B239" s="11" t="str">
        <f t="shared" si="19"/>
        <v/>
      </c>
      <c r="C239" s="11" t="str">
        <f t="shared" si="24"/>
        <v/>
      </c>
      <c r="D239" s="11" t="str">
        <f t="shared" si="25"/>
        <v/>
      </c>
      <c r="E239" s="11" t="str">
        <f t="shared" si="20"/>
        <v/>
      </c>
      <c r="F239" s="11" t="str">
        <f t="shared" si="21"/>
        <v/>
      </c>
      <c r="G239" s="10" t="str">
        <v/>
      </c>
      <c r="H239" s="11" t="str">
        <v/>
      </c>
      <c r="I239" s="11" t="str">
        <v/>
      </c>
    </row>
    <row r="240" spans="2:9">
      <c r="B240" s="11" t="str">
        <f t="shared" si="19"/>
        <v/>
      </c>
      <c r="C240" s="11" t="str">
        <f t="shared" si="24"/>
        <v/>
      </c>
      <c r="D240" s="11" t="str">
        <f t="shared" si="25"/>
        <v/>
      </c>
      <c r="E240" s="11" t="str">
        <f t="shared" si="20"/>
        <v/>
      </c>
      <c r="F240" s="11" t="str">
        <f t="shared" si="21"/>
        <v/>
      </c>
      <c r="G240" s="10" t="str">
        <v/>
      </c>
      <c r="H240" s="11" t="str">
        <v/>
      </c>
      <c r="I240" s="11" t="str">
        <v/>
      </c>
    </row>
    <row r="241" spans="2:9">
      <c r="B241" s="11" t="str">
        <f t="shared" si="19"/>
        <v/>
      </c>
      <c r="C241" s="11" t="str">
        <f t="shared" si="24"/>
        <v/>
      </c>
      <c r="D241" s="11" t="str">
        <f t="shared" si="25"/>
        <v/>
      </c>
      <c r="E241" s="11" t="str">
        <f t="shared" si="20"/>
        <v/>
      </c>
      <c r="F241" s="11" t="str">
        <f t="shared" si="21"/>
        <v/>
      </c>
      <c r="G241" s="10" t="str">
        <v/>
      </c>
      <c r="H241" s="11" t="str">
        <v/>
      </c>
      <c r="I241" s="11" t="str">
        <v/>
      </c>
    </row>
    <row r="242" spans="2:9">
      <c r="B242" s="11" t="str">
        <f t="shared" si="19"/>
        <v/>
      </c>
      <c r="C242" s="11" t="str">
        <f t="shared" si="24"/>
        <v/>
      </c>
      <c r="D242" s="11" t="str">
        <f t="shared" si="25"/>
        <v/>
      </c>
      <c r="E242" s="11" t="str">
        <f t="shared" si="20"/>
        <v/>
      </c>
      <c r="F242" s="11" t="str">
        <f t="shared" si="21"/>
        <v/>
      </c>
      <c r="G242" s="10" t="str">
        <v/>
      </c>
      <c r="H242" s="11" t="str">
        <v/>
      </c>
      <c r="I242" s="11" t="str">
        <v/>
      </c>
    </row>
    <row r="243" spans="2:9">
      <c r="B243" s="11" t="str">
        <f t="shared" si="19"/>
        <v/>
      </c>
      <c r="C243" s="11" t="str">
        <f t="shared" si="24"/>
        <v/>
      </c>
      <c r="D243" s="11" t="str">
        <f t="shared" si="25"/>
        <v/>
      </c>
      <c r="E243" s="11" t="str">
        <f t="shared" si="20"/>
        <v/>
      </c>
      <c r="F243" s="11" t="str">
        <f t="shared" si="21"/>
        <v/>
      </c>
      <c r="G243" s="10" t="str">
        <v/>
      </c>
      <c r="H243" s="11" t="str">
        <v/>
      </c>
      <c r="I243" s="11" t="str">
        <v/>
      </c>
    </row>
    <row r="244" spans="2:9">
      <c r="B244" s="11" t="str">
        <f t="shared" si="19"/>
        <v/>
      </c>
      <c r="C244" s="11" t="str">
        <f t="shared" si="24"/>
        <v/>
      </c>
      <c r="D244" s="11" t="str">
        <f t="shared" si="25"/>
        <v/>
      </c>
      <c r="E244" s="11" t="str">
        <f t="shared" si="20"/>
        <v/>
      </c>
      <c r="F244" s="11" t="str">
        <f t="shared" si="21"/>
        <v/>
      </c>
      <c r="G244" s="10" t="str">
        <v/>
      </c>
      <c r="H244" s="11" t="str">
        <v/>
      </c>
      <c r="I244" s="11" t="str">
        <v/>
      </c>
    </row>
    <row r="245" spans="2:9">
      <c r="B245" s="11" t="str">
        <f t="shared" si="19"/>
        <v/>
      </c>
      <c r="C245" s="11" t="str">
        <f t="shared" si="24"/>
        <v/>
      </c>
      <c r="D245" s="11" t="str">
        <f t="shared" si="25"/>
        <v/>
      </c>
      <c r="E245" s="11" t="str">
        <f t="shared" si="20"/>
        <v/>
      </c>
      <c r="F245" s="11" t="str">
        <f t="shared" si="21"/>
        <v/>
      </c>
      <c r="G245" s="10" t="str">
        <v/>
      </c>
      <c r="H245" s="11" t="str">
        <v/>
      </c>
      <c r="I245" s="11" t="str">
        <v/>
      </c>
    </row>
    <row r="246" spans="2:9">
      <c r="B246" s="11" t="str">
        <f t="shared" si="19"/>
        <v/>
      </c>
      <c r="C246" s="11" t="str">
        <f t="shared" si="24"/>
        <v/>
      </c>
      <c r="D246" s="11" t="str">
        <f t="shared" si="25"/>
        <v/>
      </c>
      <c r="E246" s="11" t="str">
        <f t="shared" si="20"/>
        <v/>
      </c>
      <c r="F246" s="11" t="str">
        <f t="shared" si="21"/>
        <v/>
      </c>
      <c r="G246" s="10" t="str">
        <v/>
      </c>
      <c r="H246" s="11" t="str">
        <v/>
      </c>
      <c r="I246" s="11" t="str">
        <v/>
      </c>
    </row>
    <row r="247" spans="2:9">
      <c r="B247" s="11" t="str">
        <f t="shared" si="19"/>
        <v/>
      </c>
      <c r="C247" s="11" t="str">
        <f t="shared" si="24"/>
        <v/>
      </c>
      <c r="D247" s="11" t="str">
        <f t="shared" si="25"/>
        <v/>
      </c>
      <c r="E247" s="11" t="str">
        <f t="shared" si="20"/>
        <v/>
      </c>
      <c r="F247" s="11" t="str">
        <f t="shared" si="21"/>
        <v/>
      </c>
      <c r="G247" s="10" t="str">
        <v/>
      </c>
      <c r="H247" s="11" t="str">
        <v/>
      </c>
      <c r="I247" s="11" t="str">
        <v/>
      </c>
    </row>
    <row r="248" spans="2:9">
      <c r="B248" s="11" t="str">
        <f t="shared" si="19"/>
        <v/>
      </c>
      <c r="C248" s="11" t="str">
        <f t="shared" si="24"/>
        <v/>
      </c>
      <c r="D248" s="11" t="str">
        <f t="shared" si="25"/>
        <v/>
      </c>
      <c r="E248" s="11" t="str">
        <f t="shared" si="20"/>
        <v/>
      </c>
      <c r="F248" s="11" t="str">
        <f t="shared" si="21"/>
        <v/>
      </c>
      <c r="G248" s="10" t="str">
        <v/>
      </c>
      <c r="H248" s="11" t="str">
        <v/>
      </c>
      <c r="I248" s="11" t="str">
        <v/>
      </c>
    </row>
    <row r="249" spans="2:9">
      <c r="B249" s="11" t="str">
        <f t="shared" si="19"/>
        <v/>
      </c>
      <c r="C249" s="11" t="str">
        <f t="shared" si="24"/>
        <v/>
      </c>
      <c r="D249" s="11" t="str">
        <f t="shared" si="25"/>
        <v/>
      </c>
      <c r="E249" s="11" t="str">
        <f t="shared" si="20"/>
        <v/>
      </c>
      <c r="F249" s="11" t="str">
        <f t="shared" si="21"/>
        <v/>
      </c>
      <c r="G249" s="10" t="str">
        <v/>
      </c>
      <c r="H249" s="11" t="str">
        <v/>
      </c>
      <c r="I249" s="11" t="str">
        <v/>
      </c>
    </row>
    <row r="250" spans="2:9">
      <c r="B250" s="11" t="str">
        <f t="shared" si="19"/>
        <v/>
      </c>
      <c r="C250" s="11" t="str">
        <f t="shared" si="24"/>
        <v/>
      </c>
      <c r="D250" s="11" t="str">
        <f t="shared" si="25"/>
        <v/>
      </c>
      <c r="E250" s="11" t="str">
        <f t="shared" si="20"/>
        <v/>
      </c>
      <c r="F250" s="11" t="str">
        <f t="shared" si="21"/>
        <v/>
      </c>
      <c r="G250" s="10" t="str">
        <v/>
      </c>
      <c r="H250" s="11" t="str">
        <v/>
      </c>
      <c r="I250" s="11" t="str">
        <v/>
      </c>
    </row>
    <row r="251" spans="2:9">
      <c r="B251" s="11" t="str">
        <f t="shared" si="19"/>
        <v/>
      </c>
      <c r="C251" s="11" t="str">
        <f t="shared" si="24"/>
        <v/>
      </c>
      <c r="D251" s="11" t="str">
        <f t="shared" si="25"/>
        <v/>
      </c>
      <c r="E251" s="11" t="str">
        <f t="shared" si="20"/>
        <v/>
      </c>
      <c r="F251" s="11" t="str">
        <f t="shared" si="21"/>
        <v/>
      </c>
      <c r="G251" s="10" t="str">
        <v/>
      </c>
      <c r="H251" s="11" t="str">
        <v/>
      </c>
      <c r="I251" s="11" t="str">
        <v/>
      </c>
    </row>
    <row r="252" spans="2:9">
      <c r="B252" s="11" t="str">
        <f t="shared" si="19"/>
        <v/>
      </c>
      <c r="C252" s="11" t="str">
        <f t="shared" si="24"/>
        <v/>
      </c>
      <c r="D252" s="11" t="str">
        <f t="shared" si="25"/>
        <v/>
      </c>
      <c r="E252" s="11" t="str">
        <f t="shared" si="20"/>
        <v/>
      </c>
      <c r="F252" s="11" t="str">
        <f t="shared" si="21"/>
        <v/>
      </c>
      <c r="G252" s="10" t="str">
        <v/>
      </c>
      <c r="H252" s="11" t="str">
        <v/>
      </c>
      <c r="I252" s="11" t="str">
        <v/>
      </c>
    </row>
    <row r="253" spans="2:9">
      <c r="B253" s="11" t="str">
        <f t="shared" si="19"/>
        <v/>
      </c>
      <c r="C253" s="11" t="str">
        <f t="shared" si="24"/>
        <v/>
      </c>
      <c r="D253" s="11" t="str">
        <f t="shared" si="25"/>
        <v/>
      </c>
      <c r="E253" s="11" t="str">
        <f t="shared" si="20"/>
        <v/>
      </c>
      <c r="F253" s="11" t="str">
        <f t="shared" si="21"/>
        <v/>
      </c>
      <c r="G253" s="10" t="str">
        <v/>
      </c>
      <c r="H253" s="11" t="str">
        <v/>
      </c>
      <c r="I253" s="11" t="str">
        <v/>
      </c>
    </row>
    <row r="254" spans="2:9">
      <c r="B254" s="11" t="str">
        <f t="shared" si="19"/>
        <v/>
      </c>
      <c r="C254" s="11" t="str">
        <f t="shared" si="24"/>
        <v/>
      </c>
      <c r="D254" s="11" t="str">
        <f t="shared" si="25"/>
        <v/>
      </c>
      <c r="E254" s="11" t="str">
        <f t="shared" si="20"/>
        <v/>
      </c>
      <c r="F254" s="11" t="str">
        <f t="shared" si="21"/>
        <v/>
      </c>
      <c r="G254" s="10" t="str">
        <v/>
      </c>
      <c r="H254" s="11" t="str">
        <v/>
      </c>
      <c r="I254" s="11" t="str">
        <v/>
      </c>
    </row>
    <row r="255" spans="2:9">
      <c r="B255" s="11" t="str">
        <f t="shared" si="19"/>
        <v/>
      </c>
      <c r="C255" s="11" t="str">
        <f t="shared" si="24"/>
        <v/>
      </c>
      <c r="D255" s="11" t="str">
        <f t="shared" si="25"/>
        <v/>
      </c>
      <c r="E255" s="11" t="str">
        <f t="shared" si="20"/>
        <v/>
      </c>
      <c r="F255" s="11" t="str">
        <f t="shared" si="21"/>
        <v/>
      </c>
      <c r="G255" s="10" t="str">
        <v/>
      </c>
      <c r="H255" s="11" t="str">
        <v/>
      </c>
      <c r="I255" s="11" t="str">
        <v/>
      </c>
    </row>
    <row r="256" spans="2:9">
      <c r="B256" s="11" t="str">
        <f t="shared" si="19"/>
        <v/>
      </c>
      <c r="C256" s="11" t="str">
        <f t="shared" si="24"/>
        <v/>
      </c>
      <c r="D256" s="11" t="str">
        <f t="shared" si="25"/>
        <v/>
      </c>
      <c r="E256" s="11" t="str">
        <f t="shared" si="20"/>
        <v/>
      </c>
      <c r="F256" s="11" t="str">
        <f t="shared" si="21"/>
        <v/>
      </c>
      <c r="G256" s="10" t="str">
        <v/>
      </c>
      <c r="H256" s="11" t="str">
        <v/>
      </c>
      <c r="I256" s="11" t="str">
        <v/>
      </c>
    </row>
    <row r="257" spans="2:9">
      <c r="B257" s="11" t="str">
        <f t="shared" ref="B257:B320" si="26">IFERROR(IF(FIND(" ",A257)=6,IF(IFERROR(FIND(" PB",A257),"")&lt;&gt;"","артикул",IF(IFERROR(FIND(" CRN",A257),"")&lt;&gt;"","артикул","")),""),"")</f>
        <v/>
      </c>
      <c r="C257" s="11" t="str">
        <f t="shared" si="24"/>
        <v/>
      </c>
      <c r="D257" s="11" t="str">
        <f t="shared" si="25"/>
        <v/>
      </c>
      <c r="E257" s="11" t="str">
        <f t="shared" si="20"/>
        <v/>
      </c>
      <c r="F257" s="11" t="str">
        <f t="shared" si="21"/>
        <v/>
      </c>
      <c r="G257" s="10" t="str">
        <v/>
      </c>
      <c r="H257" s="11" t="str">
        <v/>
      </c>
      <c r="I257" s="11" t="str">
        <v/>
      </c>
    </row>
    <row r="258" spans="2:9">
      <c r="B258" s="11" t="str">
        <f t="shared" si="26"/>
        <v/>
      </c>
      <c r="C258" s="11" t="str">
        <f t="shared" si="24"/>
        <v/>
      </c>
      <c r="D258" s="11" t="str">
        <f t="shared" si="25"/>
        <v/>
      </c>
      <c r="E258" s="11" t="str">
        <f t="shared" ref="E258:E321" si="27" xml:space="preserve">
IF(B258="Артикул",
IF(
AND(RIGHT(A259,1)="%",
RIGHT(A260,1)="%",
RIGHT(A261,1)="%",
RIGHT(A262,1)="%"),MID(A263,FIND(" ",A263),50),
IF(
AND(RIGHT(A259,1)="%",
RIGHT(A260,1)="%",
RIGHT(A261,1)="%"),MID(A262,FIND(" ",A262),50),
IF(
AND(RIGHT(A259,1)="%",
RIGHT(A260,1)="%"),
MID(A261,FIND(" ",A261),50),
IF(
RIGHT(A259,1)="%",
MID(A260,FIND(" ",A260),50),"")))),"")</f>
        <v/>
      </c>
      <c r="F258" s="11" t="str">
        <f t="shared" ref="F258:F321" si="28">IFERROR(
IF(
AND(LEFT(A258,8)="Discount",FIND("%",A258)&gt;0),
MID(A258,
FIND(" ",A258),
FIND("%",A258)-FIND(" ",A258))
*-1,""),"")</f>
        <v/>
      </c>
      <c r="G258" s="10" t="str">
        <v/>
      </c>
      <c r="H258" s="11" t="str">
        <v/>
      </c>
      <c r="I258" s="11" t="str">
        <v/>
      </c>
    </row>
    <row r="259" spans="2:9">
      <c r="B259" s="11" t="str">
        <f t="shared" si="26"/>
        <v/>
      </c>
      <c r="C259" s="11" t="str">
        <f t="shared" si="24"/>
        <v/>
      </c>
      <c r="D259" s="11" t="str">
        <f t="shared" si="25"/>
        <v/>
      </c>
      <c r="E259" s="11" t="str">
        <f t="shared" si="27"/>
        <v/>
      </c>
      <c r="F259" s="11" t="str">
        <f t="shared" si="28"/>
        <v/>
      </c>
      <c r="G259" s="10" t="str">
        <v/>
      </c>
      <c r="H259" s="11" t="str">
        <v/>
      </c>
      <c r="I259" s="11" t="str">
        <v/>
      </c>
    </row>
    <row r="260" spans="2:9">
      <c r="B260" s="11" t="str">
        <f t="shared" si="26"/>
        <v/>
      </c>
      <c r="C260" s="11" t="str">
        <f t="shared" si="24"/>
        <v/>
      </c>
      <c r="D260" s="11" t="str">
        <f t="shared" si="25"/>
        <v/>
      </c>
      <c r="E260" s="11" t="str">
        <f t="shared" si="27"/>
        <v/>
      </c>
      <c r="F260" s="11" t="str">
        <f t="shared" si="28"/>
        <v/>
      </c>
      <c r="G260" s="10" t="str">
        <v/>
      </c>
      <c r="H260" s="11" t="str">
        <v/>
      </c>
      <c r="I260" s="11" t="str">
        <v/>
      </c>
    </row>
    <row r="261" spans="2:9">
      <c r="B261" s="11" t="str">
        <f t="shared" si="26"/>
        <v/>
      </c>
      <c r="C261" s="11" t="str">
        <f t="shared" si="24"/>
        <v/>
      </c>
      <c r="D261" s="11" t="str">
        <f t="shared" si="25"/>
        <v/>
      </c>
      <c r="E261" s="11" t="str">
        <f t="shared" si="27"/>
        <v/>
      </c>
      <c r="F261" s="11" t="str">
        <f t="shared" si="28"/>
        <v/>
      </c>
      <c r="G261" s="10" t="str">
        <v/>
      </c>
      <c r="H261" s="11" t="str">
        <v/>
      </c>
      <c r="I261" s="11" t="str">
        <v/>
      </c>
    </row>
    <row r="262" spans="2:9">
      <c r="B262" s="11" t="str">
        <f t="shared" si="26"/>
        <v/>
      </c>
      <c r="C262" s="11" t="str">
        <f t="shared" si="24"/>
        <v/>
      </c>
      <c r="D262" s="11" t="str">
        <f t="shared" si="25"/>
        <v/>
      </c>
      <c r="E262" s="11" t="str">
        <f t="shared" si="27"/>
        <v/>
      </c>
      <c r="F262" s="11" t="str">
        <f t="shared" si="28"/>
        <v/>
      </c>
      <c r="G262" s="10" t="str">
        <v/>
      </c>
      <c r="H262" s="11" t="str">
        <v/>
      </c>
      <c r="I262" s="11" t="str">
        <v/>
      </c>
    </row>
    <row r="263" spans="2:9">
      <c r="B263" s="11" t="str">
        <f t="shared" si="26"/>
        <v/>
      </c>
      <c r="C263" s="11" t="str">
        <f t="shared" si="24"/>
        <v/>
      </c>
      <c r="D263" s="11" t="str">
        <f t="shared" si="25"/>
        <v/>
      </c>
      <c r="E263" s="11" t="str">
        <f t="shared" si="27"/>
        <v/>
      </c>
      <c r="F263" s="11" t="str">
        <f t="shared" si="28"/>
        <v/>
      </c>
      <c r="G263" s="10" t="str">
        <v/>
      </c>
      <c r="H263" s="11" t="str">
        <v/>
      </c>
      <c r="I263" s="11" t="str">
        <v/>
      </c>
    </row>
    <row r="264" spans="2:9">
      <c r="B264" s="11" t="str">
        <f t="shared" si="26"/>
        <v/>
      </c>
      <c r="C264" s="11" t="str">
        <f t="shared" si="24"/>
        <v/>
      </c>
      <c r="D264" s="11" t="str">
        <f t="shared" si="25"/>
        <v/>
      </c>
      <c r="E264" s="11" t="str">
        <f t="shared" si="27"/>
        <v/>
      </c>
      <c r="F264" s="11" t="str">
        <f t="shared" si="28"/>
        <v/>
      </c>
      <c r="G264" s="10" t="str">
        <v/>
      </c>
      <c r="H264" s="11" t="str">
        <v/>
      </c>
      <c r="I264" s="11" t="str">
        <v/>
      </c>
    </row>
    <row r="265" spans="2:9">
      <c r="B265" s="11" t="str">
        <f t="shared" si="26"/>
        <v/>
      </c>
      <c r="C265" s="11" t="str">
        <f t="shared" si="24"/>
        <v/>
      </c>
      <c r="D265" s="11" t="str">
        <f t="shared" si="25"/>
        <v/>
      </c>
      <c r="E265" s="11" t="str">
        <f t="shared" si="27"/>
        <v/>
      </c>
      <c r="F265" s="11" t="str">
        <f t="shared" si="28"/>
        <v/>
      </c>
      <c r="G265" s="10" t="str">
        <v/>
      </c>
      <c r="H265" s="11" t="str">
        <v/>
      </c>
      <c r="I265" s="11" t="str">
        <v/>
      </c>
    </row>
    <row r="266" spans="2:9">
      <c r="B266" s="11" t="str">
        <f t="shared" si="26"/>
        <v/>
      </c>
      <c r="C266" s="11" t="str">
        <f t="shared" si="24"/>
        <v/>
      </c>
      <c r="D266" s="11" t="str">
        <f t="shared" si="25"/>
        <v/>
      </c>
      <c r="E266" s="11" t="str">
        <f t="shared" si="27"/>
        <v/>
      </c>
      <c r="F266" s="11" t="str">
        <f t="shared" si="28"/>
        <v/>
      </c>
      <c r="G266" s="10" t="str">
        <v/>
      </c>
      <c r="H266" s="11" t="str">
        <v/>
      </c>
      <c r="I266" s="11" t="str">
        <v/>
      </c>
    </row>
    <row r="267" spans="2:9">
      <c r="B267" s="11" t="str">
        <f t="shared" si="26"/>
        <v/>
      </c>
      <c r="C267" s="11" t="str">
        <f t="shared" si="24"/>
        <v/>
      </c>
      <c r="D267" s="11" t="str">
        <f t="shared" si="25"/>
        <v/>
      </c>
      <c r="E267" s="11" t="str">
        <f t="shared" si="27"/>
        <v/>
      </c>
      <c r="F267" s="11" t="str">
        <f t="shared" si="28"/>
        <v/>
      </c>
      <c r="G267" s="10" t="str">
        <v/>
      </c>
      <c r="H267" s="11" t="str">
        <v/>
      </c>
      <c r="I267" s="11" t="str">
        <v/>
      </c>
    </row>
    <row r="268" spans="2:9">
      <c r="B268" s="11" t="str">
        <f t="shared" si="26"/>
        <v/>
      </c>
      <c r="C268" s="11" t="str">
        <f t="shared" si="24"/>
        <v/>
      </c>
      <c r="D268" s="11" t="str">
        <f t="shared" si="25"/>
        <v/>
      </c>
      <c r="E268" s="11" t="str">
        <f t="shared" si="27"/>
        <v/>
      </c>
      <c r="F268" s="11" t="str">
        <f t="shared" si="28"/>
        <v/>
      </c>
      <c r="G268" s="10" t="str">
        <v/>
      </c>
      <c r="H268" s="11" t="str">
        <v/>
      </c>
      <c r="I268" s="11" t="str">
        <v/>
      </c>
    </row>
    <row r="269" spans="2:9">
      <c r="B269" s="11" t="str">
        <f t="shared" si="26"/>
        <v/>
      </c>
      <c r="C269" s="11" t="str">
        <f t="shared" ref="C269:C332" si="29">IF(B269="артикул",A269,"")</f>
        <v/>
      </c>
      <c r="D269" s="11" t="str">
        <f t="shared" ref="D269:D332" si="30">IF(B269="артикул",A270,"")</f>
        <v/>
      </c>
      <c r="E269" s="11" t="str">
        <f t="shared" si="27"/>
        <v/>
      </c>
      <c r="F269" s="11" t="str">
        <f t="shared" si="28"/>
        <v/>
      </c>
      <c r="G269" s="10" t="str">
        <v/>
      </c>
      <c r="H269" s="11" t="str">
        <v/>
      </c>
      <c r="I269" s="11" t="str">
        <v/>
      </c>
    </row>
    <row r="270" spans="2:9">
      <c r="B270" s="11" t="str">
        <f t="shared" si="26"/>
        <v/>
      </c>
      <c r="C270" s="11" t="str">
        <f t="shared" si="29"/>
        <v/>
      </c>
      <c r="D270" s="11" t="str">
        <f t="shared" si="30"/>
        <v/>
      </c>
      <c r="E270" s="11" t="str">
        <f t="shared" si="27"/>
        <v/>
      </c>
      <c r="F270" s="11" t="str">
        <f t="shared" si="28"/>
        <v/>
      </c>
      <c r="G270" s="10" t="str">
        <v/>
      </c>
      <c r="H270" s="11" t="str">
        <v/>
      </c>
      <c r="I270" s="11" t="str">
        <v/>
      </c>
    </row>
    <row r="271" spans="2:9">
      <c r="B271" s="11" t="str">
        <f t="shared" si="26"/>
        <v/>
      </c>
      <c r="C271" s="11" t="str">
        <f t="shared" si="29"/>
        <v/>
      </c>
      <c r="D271" s="11" t="str">
        <f t="shared" si="30"/>
        <v/>
      </c>
      <c r="E271" s="11" t="str">
        <f t="shared" si="27"/>
        <v/>
      </c>
      <c r="F271" s="11" t="str">
        <f t="shared" si="28"/>
        <v/>
      </c>
      <c r="G271" s="10" t="str">
        <v/>
      </c>
      <c r="H271" s="11" t="str">
        <v/>
      </c>
      <c r="I271" s="11" t="str">
        <v/>
      </c>
    </row>
    <row r="272" spans="2:9">
      <c r="B272" s="11" t="str">
        <f t="shared" si="26"/>
        <v/>
      </c>
      <c r="C272" s="11" t="str">
        <f t="shared" si="29"/>
        <v/>
      </c>
      <c r="D272" s="11" t="str">
        <f t="shared" si="30"/>
        <v/>
      </c>
      <c r="E272" s="11" t="str">
        <f t="shared" si="27"/>
        <v/>
      </c>
      <c r="F272" s="11" t="str">
        <f t="shared" si="28"/>
        <v/>
      </c>
      <c r="G272" s="10" t="str">
        <v/>
      </c>
      <c r="H272" s="11" t="str">
        <v/>
      </c>
      <c r="I272" s="11" t="str">
        <v/>
      </c>
    </row>
    <row r="273" spans="2:9">
      <c r="B273" s="11" t="str">
        <f t="shared" si="26"/>
        <v/>
      </c>
      <c r="C273" s="11" t="str">
        <f t="shared" si="29"/>
        <v/>
      </c>
      <c r="D273" s="11" t="str">
        <f t="shared" si="30"/>
        <v/>
      </c>
      <c r="E273" s="11" t="str">
        <f t="shared" si="27"/>
        <v/>
      </c>
      <c r="F273" s="11" t="str">
        <f t="shared" si="28"/>
        <v/>
      </c>
      <c r="G273" s="10" t="str">
        <v/>
      </c>
      <c r="H273" s="11" t="str">
        <v/>
      </c>
      <c r="I273" s="11" t="str">
        <v/>
      </c>
    </row>
    <row r="274" spans="2:9">
      <c r="B274" s="11" t="str">
        <f t="shared" si="26"/>
        <v/>
      </c>
      <c r="C274" s="11" t="str">
        <f t="shared" si="29"/>
        <v/>
      </c>
      <c r="D274" s="11" t="str">
        <f t="shared" si="30"/>
        <v/>
      </c>
      <c r="E274" s="11" t="str">
        <f t="shared" si="27"/>
        <v/>
      </c>
      <c r="F274" s="11" t="str">
        <f t="shared" si="28"/>
        <v/>
      </c>
      <c r="G274" s="10" t="str">
        <v/>
      </c>
      <c r="H274" s="11" t="str">
        <v/>
      </c>
      <c r="I274" s="11" t="str">
        <v/>
      </c>
    </row>
    <row r="275" spans="2:9">
      <c r="B275" s="11" t="str">
        <f t="shared" si="26"/>
        <v/>
      </c>
      <c r="C275" s="11" t="str">
        <f t="shared" si="29"/>
        <v/>
      </c>
      <c r="D275" s="11" t="str">
        <f t="shared" si="30"/>
        <v/>
      </c>
      <c r="E275" s="11" t="str">
        <f t="shared" si="27"/>
        <v/>
      </c>
      <c r="F275" s="11" t="str">
        <f t="shared" si="28"/>
        <v/>
      </c>
      <c r="G275" s="10" t="str">
        <v/>
      </c>
      <c r="H275" s="11" t="str">
        <v/>
      </c>
      <c r="I275" s="11" t="str">
        <v/>
      </c>
    </row>
    <row r="276" spans="2:9">
      <c r="B276" s="11" t="str">
        <f t="shared" si="26"/>
        <v/>
      </c>
      <c r="C276" s="11" t="str">
        <f t="shared" si="29"/>
        <v/>
      </c>
      <c r="D276" s="11" t="str">
        <f t="shared" si="30"/>
        <v/>
      </c>
      <c r="E276" s="11" t="str">
        <f t="shared" si="27"/>
        <v/>
      </c>
      <c r="F276" s="11" t="str">
        <f t="shared" si="28"/>
        <v/>
      </c>
      <c r="G276" s="10" t="str">
        <v/>
      </c>
      <c r="H276" s="11" t="str">
        <v/>
      </c>
      <c r="I276" s="11" t="str">
        <v/>
      </c>
    </row>
    <row r="277" spans="2:9">
      <c r="B277" s="11" t="str">
        <f t="shared" si="26"/>
        <v/>
      </c>
      <c r="C277" s="11" t="str">
        <f t="shared" si="29"/>
        <v/>
      </c>
      <c r="D277" s="11" t="str">
        <f t="shared" si="30"/>
        <v/>
      </c>
      <c r="E277" s="11" t="str">
        <f t="shared" si="27"/>
        <v/>
      </c>
      <c r="F277" s="11" t="str">
        <f t="shared" si="28"/>
        <v/>
      </c>
      <c r="G277" s="10" t="str">
        <v/>
      </c>
      <c r="H277" s="11" t="str">
        <v/>
      </c>
      <c r="I277" s="11" t="str">
        <v/>
      </c>
    </row>
    <row r="278" spans="2:9">
      <c r="B278" s="11" t="str">
        <f t="shared" si="26"/>
        <v/>
      </c>
      <c r="C278" s="11" t="str">
        <f t="shared" si="29"/>
        <v/>
      </c>
      <c r="D278" s="11" t="str">
        <f t="shared" si="30"/>
        <v/>
      </c>
      <c r="E278" s="11" t="str">
        <f t="shared" si="27"/>
        <v/>
      </c>
      <c r="F278" s="11" t="str">
        <f t="shared" si="28"/>
        <v/>
      </c>
      <c r="G278" s="10" t="str">
        <v/>
      </c>
      <c r="H278" s="11" t="str">
        <v/>
      </c>
      <c r="I278" s="11" t="str">
        <v/>
      </c>
    </row>
    <row r="279" spans="2:9">
      <c r="B279" s="11" t="str">
        <f t="shared" si="26"/>
        <v/>
      </c>
      <c r="C279" s="11" t="str">
        <f t="shared" si="29"/>
        <v/>
      </c>
      <c r="D279" s="11" t="str">
        <f t="shared" si="30"/>
        <v/>
      </c>
      <c r="E279" s="11" t="str">
        <f t="shared" si="27"/>
        <v/>
      </c>
      <c r="F279" s="11" t="str">
        <f t="shared" si="28"/>
        <v/>
      </c>
      <c r="G279" s="10" t="str">
        <v/>
      </c>
      <c r="H279" s="11" t="str">
        <v/>
      </c>
      <c r="I279" s="11" t="str">
        <v/>
      </c>
    </row>
    <row r="280" spans="2:9">
      <c r="B280" s="11" t="str">
        <f t="shared" si="26"/>
        <v/>
      </c>
      <c r="C280" s="11" t="str">
        <f t="shared" si="29"/>
        <v/>
      </c>
      <c r="D280" s="11" t="str">
        <f t="shared" si="30"/>
        <v/>
      </c>
      <c r="E280" s="11" t="str">
        <f t="shared" si="27"/>
        <v/>
      </c>
      <c r="F280" s="11" t="str">
        <f t="shared" si="28"/>
        <v/>
      </c>
      <c r="G280" s="10" t="str">
        <v/>
      </c>
      <c r="H280" s="11" t="str">
        <v/>
      </c>
      <c r="I280" s="11" t="str">
        <v/>
      </c>
    </row>
    <row r="281" spans="2:9">
      <c r="B281" s="11" t="str">
        <f t="shared" si="26"/>
        <v/>
      </c>
      <c r="C281" s="11" t="str">
        <f t="shared" si="29"/>
        <v/>
      </c>
      <c r="D281" s="11" t="str">
        <f t="shared" si="30"/>
        <v/>
      </c>
      <c r="E281" s="11" t="str">
        <f t="shared" si="27"/>
        <v/>
      </c>
      <c r="F281" s="11" t="str">
        <f t="shared" si="28"/>
        <v/>
      </c>
      <c r="G281" s="10" t="str">
        <v/>
      </c>
      <c r="H281" s="11" t="str">
        <v/>
      </c>
      <c r="I281" s="11" t="str">
        <v/>
      </c>
    </row>
    <row r="282" spans="2:9">
      <c r="B282" s="11" t="str">
        <f t="shared" si="26"/>
        <v/>
      </c>
      <c r="C282" s="11" t="str">
        <f t="shared" si="29"/>
        <v/>
      </c>
      <c r="D282" s="11" t="str">
        <f t="shared" si="30"/>
        <v/>
      </c>
      <c r="E282" s="11" t="str">
        <f t="shared" si="27"/>
        <v/>
      </c>
      <c r="F282" s="11" t="str">
        <f t="shared" si="28"/>
        <v/>
      </c>
      <c r="G282" s="10" t="str">
        <v/>
      </c>
      <c r="H282" s="11" t="str">
        <v/>
      </c>
      <c r="I282" s="11" t="str">
        <v/>
      </c>
    </row>
    <row r="283" spans="2:9">
      <c r="B283" s="11" t="str">
        <f t="shared" si="26"/>
        <v/>
      </c>
      <c r="C283" s="11" t="str">
        <f t="shared" si="29"/>
        <v/>
      </c>
      <c r="D283" s="11" t="str">
        <f t="shared" si="30"/>
        <v/>
      </c>
      <c r="E283" s="11" t="str">
        <f t="shared" si="27"/>
        <v/>
      </c>
      <c r="F283" s="11" t="str">
        <f t="shared" si="28"/>
        <v/>
      </c>
      <c r="G283" s="10" t="str">
        <v/>
      </c>
      <c r="H283" s="11" t="str">
        <v/>
      </c>
      <c r="I283" s="11" t="str">
        <v/>
      </c>
    </row>
    <row r="284" spans="2:9">
      <c r="B284" s="11" t="str">
        <f t="shared" si="26"/>
        <v/>
      </c>
      <c r="C284" s="11" t="str">
        <f t="shared" si="29"/>
        <v/>
      </c>
      <c r="D284" s="11" t="str">
        <f t="shared" si="30"/>
        <v/>
      </c>
      <c r="E284" s="11" t="str">
        <f t="shared" si="27"/>
        <v/>
      </c>
      <c r="F284" s="11" t="str">
        <f t="shared" si="28"/>
        <v/>
      </c>
      <c r="G284" s="10" t="str">
        <v/>
      </c>
      <c r="H284" s="11" t="str">
        <v/>
      </c>
      <c r="I284" s="11" t="str">
        <v/>
      </c>
    </row>
    <row r="285" spans="2:9">
      <c r="B285" s="11" t="str">
        <f t="shared" si="26"/>
        <v/>
      </c>
      <c r="C285" s="11" t="str">
        <f t="shared" si="29"/>
        <v/>
      </c>
      <c r="D285" s="11" t="str">
        <f t="shared" si="30"/>
        <v/>
      </c>
      <c r="E285" s="11" t="str">
        <f t="shared" si="27"/>
        <v/>
      </c>
      <c r="F285" s="11" t="str">
        <f t="shared" si="28"/>
        <v/>
      </c>
      <c r="G285" s="10" t="str">
        <v/>
      </c>
      <c r="H285" s="11" t="str">
        <v/>
      </c>
      <c r="I285" s="11" t="str">
        <v/>
      </c>
    </row>
    <row r="286" spans="2:9">
      <c r="B286" s="11" t="str">
        <f t="shared" si="26"/>
        <v/>
      </c>
      <c r="C286" s="11" t="str">
        <f t="shared" si="29"/>
        <v/>
      </c>
      <c r="D286" s="11" t="str">
        <f t="shared" si="30"/>
        <v/>
      </c>
      <c r="E286" s="11" t="str">
        <f t="shared" si="27"/>
        <v/>
      </c>
      <c r="F286" s="11" t="str">
        <f t="shared" si="28"/>
        <v/>
      </c>
      <c r="G286" s="10" t="str">
        <v/>
      </c>
      <c r="H286" s="11" t="str">
        <v/>
      </c>
      <c r="I286" s="11" t="str">
        <v/>
      </c>
    </row>
    <row r="287" spans="2:9">
      <c r="B287" s="11" t="str">
        <f t="shared" si="26"/>
        <v/>
      </c>
      <c r="C287" s="11" t="str">
        <f t="shared" si="29"/>
        <v/>
      </c>
      <c r="D287" s="11" t="str">
        <f t="shared" si="30"/>
        <v/>
      </c>
      <c r="E287" s="11" t="str">
        <f t="shared" si="27"/>
        <v/>
      </c>
      <c r="F287" s="11" t="str">
        <f t="shared" si="28"/>
        <v/>
      </c>
      <c r="G287" s="10" t="str">
        <v/>
      </c>
      <c r="H287" s="11" t="str">
        <v/>
      </c>
      <c r="I287" s="11" t="str">
        <v/>
      </c>
    </row>
    <row r="288" spans="2:9">
      <c r="B288" s="11" t="str">
        <f t="shared" si="26"/>
        <v/>
      </c>
      <c r="C288" s="11" t="str">
        <f t="shared" si="29"/>
        <v/>
      </c>
      <c r="D288" s="11" t="str">
        <f t="shared" si="30"/>
        <v/>
      </c>
      <c r="E288" s="11" t="str">
        <f t="shared" si="27"/>
        <v/>
      </c>
      <c r="F288" s="11" t="str">
        <f t="shared" si="28"/>
        <v/>
      </c>
      <c r="G288" s="10" t="str">
        <v/>
      </c>
      <c r="H288" s="11" t="str">
        <v/>
      </c>
      <c r="I288" s="11" t="str">
        <v/>
      </c>
    </row>
    <row r="289" spans="2:9">
      <c r="B289" s="11" t="str">
        <f t="shared" si="26"/>
        <v/>
      </c>
      <c r="C289" s="11" t="str">
        <f t="shared" si="29"/>
        <v/>
      </c>
      <c r="D289" s="11" t="str">
        <f t="shared" si="30"/>
        <v/>
      </c>
      <c r="E289" s="11" t="str">
        <f t="shared" si="27"/>
        <v/>
      </c>
      <c r="F289" s="11" t="str">
        <f t="shared" si="28"/>
        <v/>
      </c>
      <c r="G289" s="10" t="str">
        <v/>
      </c>
      <c r="H289" s="11" t="str">
        <v/>
      </c>
      <c r="I289" s="11" t="str">
        <v/>
      </c>
    </row>
    <row r="290" spans="2:9">
      <c r="B290" s="11" t="str">
        <f t="shared" si="26"/>
        <v/>
      </c>
      <c r="C290" s="11" t="str">
        <f t="shared" si="29"/>
        <v/>
      </c>
      <c r="D290" s="11" t="str">
        <f t="shared" si="30"/>
        <v/>
      </c>
      <c r="E290" s="11" t="str">
        <f t="shared" si="27"/>
        <v/>
      </c>
      <c r="F290" s="11" t="str">
        <f t="shared" si="28"/>
        <v/>
      </c>
      <c r="G290" s="10" t="str">
        <v/>
      </c>
      <c r="H290" s="11" t="str">
        <v/>
      </c>
      <c r="I290" s="11" t="str">
        <v/>
      </c>
    </row>
    <row r="291" spans="2:9">
      <c r="B291" s="11" t="str">
        <f t="shared" si="26"/>
        <v/>
      </c>
      <c r="C291" s="11" t="str">
        <f t="shared" si="29"/>
        <v/>
      </c>
      <c r="D291" s="11" t="str">
        <f t="shared" si="30"/>
        <v/>
      </c>
      <c r="E291" s="11" t="str">
        <f t="shared" si="27"/>
        <v/>
      </c>
      <c r="F291" s="11" t="str">
        <f t="shared" si="28"/>
        <v/>
      </c>
      <c r="G291" s="10" t="str">
        <v/>
      </c>
      <c r="H291" s="11" t="str">
        <v/>
      </c>
      <c r="I291" s="11" t="str">
        <v/>
      </c>
    </row>
    <row r="292" spans="2:9">
      <c r="B292" s="11" t="str">
        <f t="shared" si="26"/>
        <v/>
      </c>
      <c r="C292" s="11" t="str">
        <f t="shared" si="29"/>
        <v/>
      </c>
      <c r="D292" s="11" t="str">
        <f t="shared" si="30"/>
        <v/>
      </c>
      <c r="E292" s="11" t="str">
        <f t="shared" si="27"/>
        <v/>
      </c>
      <c r="F292" s="11" t="str">
        <f t="shared" si="28"/>
        <v/>
      </c>
      <c r="G292" s="10" t="str">
        <v/>
      </c>
      <c r="H292" s="11" t="str">
        <v/>
      </c>
      <c r="I292" s="11" t="str">
        <v/>
      </c>
    </row>
    <row r="293" spans="2:9">
      <c r="B293" s="11" t="str">
        <f t="shared" si="26"/>
        <v/>
      </c>
      <c r="C293" s="11" t="str">
        <f t="shared" si="29"/>
        <v/>
      </c>
      <c r="D293" s="11" t="str">
        <f t="shared" si="30"/>
        <v/>
      </c>
      <c r="E293" s="11" t="str">
        <f t="shared" si="27"/>
        <v/>
      </c>
      <c r="F293" s="11" t="str">
        <f t="shared" si="28"/>
        <v/>
      </c>
      <c r="G293" s="10" t="str">
        <v/>
      </c>
      <c r="H293" s="11" t="str">
        <v/>
      </c>
      <c r="I293" s="11" t="str">
        <v/>
      </c>
    </row>
    <row r="294" spans="2:9">
      <c r="B294" s="11" t="str">
        <f t="shared" si="26"/>
        <v/>
      </c>
      <c r="C294" s="11" t="str">
        <f t="shared" si="29"/>
        <v/>
      </c>
      <c r="D294" s="11" t="str">
        <f t="shared" si="30"/>
        <v/>
      </c>
      <c r="E294" s="11" t="str">
        <f t="shared" si="27"/>
        <v/>
      </c>
      <c r="F294" s="11" t="str">
        <f t="shared" si="28"/>
        <v/>
      </c>
      <c r="G294" s="10" t="str">
        <v/>
      </c>
      <c r="H294" s="11" t="str">
        <v/>
      </c>
      <c r="I294" s="11" t="str">
        <v/>
      </c>
    </row>
    <row r="295" spans="2:9">
      <c r="B295" s="11" t="str">
        <f t="shared" si="26"/>
        <v/>
      </c>
      <c r="C295" s="11" t="str">
        <f t="shared" si="29"/>
        <v/>
      </c>
      <c r="D295" s="11" t="str">
        <f t="shared" si="30"/>
        <v/>
      </c>
      <c r="E295" s="11" t="str">
        <f t="shared" si="27"/>
        <v/>
      </c>
      <c r="F295" s="11" t="str">
        <f t="shared" si="28"/>
        <v/>
      </c>
      <c r="G295" s="10" t="str">
        <v/>
      </c>
      <c r="H295" s="11" t="str">
        <v/>
      </c>
      <c r="I295" s="11" t="str">
        <v/>
      </c>
    </row>
    <row r="296" spans="2:9">
      <c r="B296" s="11" t="str">
        <f t="shared" si="26"/>
        <v/>
      </c>
      <c r="C296" s="11" t="str">
        <f t="shared" si="29"/>
        <v/>
      </c>
      <c r="D296" s="11" t="str">
        <f t="shared" si="30"/>
        <v/>
      </c>
      <c r="E296" s="11" t="str">
        <f t="shared" si="27"/>
        <v/>
      </c>
      <c r="F296" s="11" t="str">
        <f t="shared" si="28"/>
        <v/>
      </c>
      <c r="G296" s="10" t="str">
        <v/>
      </c>
      <c r="H296" s="11" t="str">
        <v/>
      </c>
      <c r="I296" s="11" t="str">
        <v/>
      </c>
    </row>
    <row r="297" spans="2:9">
      <c r="B297" s="11" t="str">
        <f t="shared" si="26"/>
        <v/>
      </c>
      <c r="C297" s="11" t="str">
        <f t="shared" si="29"/>
        <v/>
      </c>
      <c r="D297" s="11" t="str">
        <f t="shared" si="30"/>
        <v/>
      </c>
      <c r="E297" s="11" t="str">
        <f t="shared" si="27"/>
        <v/>
      </c>
      <c r="F297" s="11" t="str">
        <f t="shared" si="28"/>
        <v/>
      </c>
      <c r="G297" s="10" t="str">
        <v/>
      </c>
      <c r="H297" s="11" t="str">
        <v/>
      </c>
      <c r="I297" s="11" t="str">
        <v/>
      </c>
    </row>
    <row r="298" spans="2:9">
      <c r="B298" s="11" t="str">
        <f t="shared" si="26"/>
        <v/>
      </c>
      <c r="C298" s="11" t="str">
        <f t="shared" si="29"/>
        <v/>
      </c>
      <c r="D298" s="11" t="str">
        <f t="shared" si="30"/>
        <v/>
      </c>
      <c r="E298" s="11" t="str">
        <f t="shared" si="27"/>
        <v/>
      </c>
      <c r="F298" s="11" t="str">
        <f t="shared" si="28"/>
        <v/>
      </c>
      <c r="G298" s="10" t="str">
        <v/>
      </c>
      <c r="H298" s="11" t="str">
        <v/>
      </c>
      <c r="I298" s="11" t="str">
        <v/>
      </c>
    </row>
    <row r="299" spans="2:9">
      <c r="B299" s="11" t="str">
        <f t="shared" si="26"/>
        <v/>
      </c>
      <c r="C299" s="11" t="str">
        <f t="shared" si="29"/>
        <v/>
      </c>
      <c r="D299" s="11" t="str">
        <f t="shared" si="30"/>
        <v/>
      </c>
      <c r="E299" s="11" t="str">
        <f t="shared" si="27"/>
        <v/>
      </c>
      <c r="F299" s="11" t="str">
        <f t="shared" si="28"/>
        <v/>
      </c>
      <c r="G299" s="10" t="str">
        <v/>
      </c>
      <c r="H299" s="11" t="str">
        <v/>
      </c>
      <c r="I299" s="11" t="str">
        <v/>
      </c>
    </row>
    <row r="300" spans="2:9">
      <c r="B300" s="11" t="str">
        <f t="shared" si="26"/>
        <v/>
      </c>
      <c r="C300" s="11" t="str">
        <f t="shared" si="29"/>
        <v/>
      </c>
      <c r="D300" s="11" t="str">
        <f t="shared" si="30"/>
        <v/>
      </c>
      <c r="E300" s="11" t="str">
        <f t="shared" si="27"/>
        <v/>
      </c>
      <c r="F300" s="11" t="str">
        <f t="shared" si="28"/>
        <v/>
      </c>
      <c r="G300" s="10" t="str">
        <v/>
      </c>
      <c r="H300" s="11" t="str">
        <v/>
      </c>
      <c r="I300" s="11" t="str">
        <v/>
      </c>
    </row>
    <row r="301" spans="2:9">
      <c r="B301" s="11" t="str">
        <f t="shared" si="26"/>
        <v/>
      </c>
      <c r="C301" s="11" t="str">
        <f t="shared" si="29"/>
        <v/>
      </c>
      <c r="D301" s="11" t="str">
        <f t="shared" si="30"/>
        <v/>
      </c>
      <c r="E301" s="11" t="str">
        <f t="shared" si="27"/>
        <v/>
      </c>
      <c r="F301" s="11" t="str">
        <f t="shared" si="28"/>
        <v/>
      </c>
      <c r="G301" s="10" t="str">
        <v/>
      </c>
      <c r="H301" s="11" t="str">
        <v/>
      </c>
      <c r="I301" s="11" t="str">
        <v/>
      </c>
    </row>
    <row r="302" spans="2:9">
      <c r="B302" s="11" t="str">
        <f t="shared" si="26"/>
        <v/>
      </c>
      <c r="C302" s="11" t="str">
        <f t="shared" si="29"/>
        <v/>
      </c>
      <c r="D302" s="11" t="str">
        <f t="shared" si="30"/>
        <v/>
      </c>
      <c r="E302" s="11" t="str">
        <f t="shared" si="27"/>
        <v/>
      </c>
      <c r="F302" s="11" t="str">
        <f t="shared" si="28"/>
        <v/>
      </c>
      <c r="G302" s="10" t="str">
        <v/>
      </c>
      <c r="H302" s="11" t="str">
        <v/>
      </c>
      <c r="I302" s="11" t="str">
        <v/>
      </c>
    </row>
    <row r="303" spans="2:9">
      <c r="B303" s="11" t="str">
        <f t="shared" si="26"/>
        <v/>
      </c>
      <c r="C303" s="11" t="str">
        <f t="shared" si="29"/>
        <v/>
      </c>
      <c r="D303" s="11" t="str">
        <f t="shared" si="30"/>
        <v/>
      </c>
      <c r="E303" s="11" t="str">
        <f t="shared" si="27"/>
        <v/>
      </c>
      <c r="F303" s="11" t="str">
        <f t="shared" si="28"/>
        <v/>
      </c>
      <c r="G303" s="10" t="str">
        <v/>
      </c>
      <c r="H303" s="11" t="str">
        <v/>
      </c>
      <c r="I303" s="11" t="str">
        <v/>
      </c>
    </row>
    <row r="304" spans="2:9">
      <c r="B304" s="11" t="str">
        <f t="shared" si="26"/>
        <v/>
      </c>
      <c r="C304" s="11" t="str">
        <f t="shared" si="29"/>
        <v/>
      </c>
      <c r="D304" s="11" t="str">
        <f t="shared" si="30"/>
        <v/>
      </c>
      <c r="E304" s="11" t="str">
        <f t="shared" si="27"/>
        <v/>
      </c>
      <c r="F304" s="11" t="str">
        <f t="shared" si="28"/>
        <v/>
      </c>
      <c r="G304" s="10" t="str">
        <v/>
      </c>
      <c r="H304" s="11" t="str">
        <v/>
      </c>
      <c r="I304" s="11" t="str">
        <v/>
      </c>
    </row>
    <row r="305" spans="2:9">
      <c r="B305" s="11" t="str">
        <f t="shared" si="26"/>
        <v/>
      </c>
      <c r="C305" s="11" t="str">
        <f t="shared" si="29"/>
        <v/>
      </c>
      <c r="D305" s="11" t="str">
        <f t="shared" si="30"/>
        <v/>
      </c>
      <c r="E305" s="11" t="str">
        <f t="shared" si="27"/>
        <v/>
      </c>
      <c r="F305" s="11" t="str">
        <f t="shared" si="28"/>
        <v/>
      </c>
      <c r="G305" s="10" t="str">
        <v/>
      </c>
      <c r="H305" s="11" t="str">
        <v/>
      </c>
      <c r="I305" s="11" t="str">
        <v/>
      </c>
    </row>
    <row r="306" spans="2:9">
      <c r="B306" s="11" t="str">
        <f t="shared" si="26"/>
        <v/>
      </c>
      <c r="C306" s="11" t="str">
        <f t="shared" si="29"/>
        <v/>
      </c>
      <c r="D306" s="11" t="str">
        <f t="shared" si="30"/>
        <v/>
      </c>
      <c r="E306" s="11" t="str">
        <f t="shared" si="27"/>
        <v/>
      </c>
      <c r="F306" s="11" t="str">
        <f t="shared" si="28"/>
        <v/>
      </c>
      <c r="G306" s="10" t="str">
        <v/>
      </c>
      <c r="H306" s="11" t="str">
        <v/>
      </c>
      <c r="I306" s="11" t="str">
        <v/>
      </c>
    </row>
    <row r="307" spans="2:9">
      <c r="B307" s="11" t="str">
        <f t="shared" si="26"/>
        <v/>
      </c>
      <c r="C307" s="11" t="str">
        <f t="shared" si="29"/>
        <v/>
      </c>
      <c r="D307" s="11" t="str">
        <f t="shared" si="30"/>
        <v/>
      </c>
      <c r="E307" s="11" t="str">
        <f t="shared" si="27"/>
        <v/>
      </c>
      <c r="F307" s="11" t="str">
        <f t="shared" si="28"/>
        <v/>
      </c>
      <c r="G307" s="10" t="str">
        <v/>
      </c>
      <c r="H307" s="11" t="str">
        <v/>
      </c>
      <c r="I307" s="11" t="str">
        <v/>
      </c>
    </row>
    <row r="308" spans="2:9">
      <c r="B308" s="11" t="str">
        <f t="shared" si="26"/>
        <v/>
      </c>
      <c r="C308" s="11" t="str">
        <f t="shared" si="29"/>
        <v/>
      </c>
      <c r="D308" s="11" t="str">
        <f t="shared" si="30"/>
        <v/>
      </c>
      <c r="E308" s="11" t="str">
        <f t="shared" si="27"/>
        <v/>
      </c>
      <c r="F308" s="11" t="str">
        <f t="shared" si="28"/>
        <v/>
      </c>
      <c r="G308" s="10" t="str">
        <v/>
      </c>
      <c r="H308" s="11" t="str">
        <v/>
      </c>
      <c r="I308" s="11" t="str">
        <v/>
      </c>
    </row>
    <row r="309" spans="2:9">
      <c r="B309" s="11" t="str">
        <f t="shared" si="26"/>
        <v/>
      </c>
      <c r="C309" s="11" t="str">
        <f t="shared" si="29"/>
        <v/>
      </c>
      <c r="D309" s="11" t="str">
        <f t="shared" si="30"/>
        <v/>
      </c>
      <c r="E309" s="11" t="str">
        <f t="shared" si="27"/>
        <v/>
      </c>
      <c r="F309" s="11" t="str">
        <f t="shared" si="28"/>
        <v/>
      </c>
      <c r="G309" s="10" t="str">
        <v/>
      </c>
      <c r="H309" s="11" t="str">
        <v/>
      </c>
      <c r="I309" s="11" t="str">
        <v/>
      </c>
    </row>
    <row r="310" spans="2:9">
      <c r="B310" s="11" t="str">
        <f t="shared" si="26"/>
        <v/>
      </c>
      <c r="C310" s="11" t="str">
        <f t="shared" si="29"/>
        <v/>
      </c>
      <c r="D310" s="11" t="str">
        <f t="shared" si="30"/>
        <v/>
      </c>
      <c r="E310" s="11" t="str">
        <f t="shared" si="27"/>
        <v/>
      </c>
      <c r="F310" s="11" t="str">
        <f t="shared" si="28"/>
        <v/>
      </c>
      <c r="G310" s="10" t="str">
        <v/>
      </c>
      <c r="H310" s="11" t="str">
        <v/>
      </c>
      <c r="I310" s="11" t="str">
        <v/>
      </c>
    </row>
    <row r="311" spans="2:9">
      <c r="B311" s="11" t="str">
        <f t="shared" si="26"/>
        <v/>
      </c>
      <c r="C311" s="11" t="str">
        <f t="shared" si="29"/>
        <v/>
      </c>
      <c r="D311" s="11" t="str">
        <f t="shared" si="30"/>
        <v/>
      </c>
      <c r="E311" s="11" t="str">
        <f t="shared" si="27"/>
        <v/>
      </c>
      <c r="F311" s="11" t="str">
        <f t="shared" si="28"/>
        <v/>
      </c>
      <c r="G311" s="10" t="str">
        <v/>
      </c>
      <c r="H311" s="11" t="str">
        <v/>
      </c>
      <c r="I311" s="11" t="str">
        <v/>
      </c>
    </row>
    <row r="312" spans="2:9">
      <c r="B312" s="11" t="str">
        <f t="shared" si="26"/>
        <v/>
      </c>
      <c r="C312" s="11" t="str">
        <f t="shared" si="29"/>
        <v/>
      </c>
      <c r="D312" s="11" t="str">
        <f t="shared" si="30"/>
        <v/>
      </c>
      <c r="E312" s="11" t="str">
        <f t="shared" si="27"/>
        <v/>
      </c>
      <c r="F312" s="11" t="str">
        <f t="shared" si="28"/>
        <v/>
      </c>
      <c r="G312" s="10" t="str">
        <v/>
      </c>
      <c r="H312" s="11" t="str">
        <v/>
      </c>
      <c r="I312" s="11" t="str">
        <v/>
      </c>
    </row>
    <row r="313" spans="2:9">
      <c r="B313" s="11" t="str">
        <f t="shared" si="26"/>
        <v/>
      </c>
      <c r="C313" s="11" t="str">
        <f t="shared" si="29"/>
        <v/>
      </c>
      <c r="D313" s="11" t="str">
        <f t="shared" si="30"/>
        <v/>
      </c>
      <c r="E313" s="11" t="str">
        <f t="shared" si="27"/>
        <v/>
      </c>
      <c r="F313" s="11" t="str">
        <f t="shared" si="28"/>
        <v/>
      </c>
      <c r="G313" s="10" t="str">
        <v/>
      </c>
      <c r="H313" s="11" t="str">
        <v/>
      </c>
      <c r="I313" s="11" t="str">
        <v/>
      </c>
    </row>
    <row r="314" spans="2:9">
      <c r="B314" s="11" t="str">
        <f t="shared" si="26"/>
        <v/>
      </c>
      <c r="C314" s="11" t="str">
        <f t="shared" si="29"/>
        <v/>
      </c>
      <c r="D314" s="11" t="str">
        <f t="shared" si="30"/>
        <v/>
      </c>
      <c r="E314" s="11" t="str">
        <f t="shared" si="27"/>
        <v/>
      </c>
      <c r="F314" s="11" t="str">
        <f t="shared" si="28"/>
        <v/>
      </c>
      <c r="G314" s="10" t="str">
        <v/>
      </c>
      <c r="H314" s="11" t="str">
        <v/>
      </c>
      <c r="I314" s="11" t="str">
        <v/>
      </c>
    </row>
    <row r="315" spans="2:9">
      <c r="B315" s="11" t="str">
        <f t="shared" si="26"/>
        <v/>
      </c>
      <c r="C315" s="11" t="str">
        <f t="shared" si="29"/>
        <v/>
      </c>
      <c r="D315" s="11" t="str">
        <f t="shared" si="30"/>
        <v/>
      </c>
      <c r="E315" s="11" t="str">
        <f t="shared" si="27"/>
        <v/>
      </c>
      <c r="F315" s="11" t="str">
        <f t="shared" si="28"/>
        <v/>
      </c>
      <c r="G315" s="10" t="str">
        <v/>
      </c>
      <c r="H315" s="11" t="str">
        <v/>
      </c>
      <c r="I315" s="11" t="str">
        <v/>
      </c>
    </row>
    <row r="316" spans="2:9">
      <c r="B316" s="11" t="str">
        <f t="shared" si="26"/>
        <v/>
      </c>
      <c r="C316" s="11" t="str">
        <f t="shared" si="29"/>
        <v/>
      </c>
      <c r="D316" s="11" t="str">
        <f t="shared" si="30"/>
        <v/>
      </c>
      <c r="E316" s="11" t="str">
        <f t="shared" si="27"/>
        <v/>
      </c>
      <c r="F316" s="11" t="str">
        <f t="shared" si="28"/>
        <v/>
      </c>
      <c r="G316" s="10" t="str">
        <v/>
      </c>
      <c r="H316" s="11" t="str">
        <v/>
      </c>
      <c r="I316" s="11" t="str">
        <v/>
      </c>
    </row>
    <row r="317" spans="2:9">
      <c r="B317" s="11" t="str">
        <f t="shared" si="26"/>
        <v/>
      </c>
      <c r="C317" s="11" t="str">
        <f t="shared" si="29"/>
        <v/>
      </c>
      <c r="D317" s="11" t="str">
        <f t="shared" si="30"/>
        <v/>
      </c>
      <c r="E317" s="11" t="str">
        <f t="shared" si="27"/>
        <v/>
      </c>
      <c r="F317" s="11" t="str">
        <f t="shared" si="28"/>
        <v/>
      </c>
      <c r="G317" s="10" t="str">
        <v/>
      </c>
      <c r="H317" s="11" t="str">
        <v/>
      </c>
      <c r="I317" s="11" t="str">
        <v/>
      </c>
    </row>
    <row r="318" spans="2:9">
      <c r="B318" s="11" t="str">
        <f t="shared" si="26"/>
        <v/>
      </c>
      <c r="C318" s="11" t="str">
        <f t="shared" si="29"/>
        <v/>
      </c>
      <c r="D318" s="11" t="str">
        <f t="shared" si="30"/>
        <v/>
      </c>
      <c r="E318" s="11" t="str">
        <f t="shared" si="27"/>
        <v/>
      </c>
      <c r="F318" s="11" t="str">
        <f t="shared" si="28"/>
        <v/>
      </c>
      <c r="G318" s="10" t="str">
        <v/>
      </c>
      <c r="H318" s="11" t="str">
        <v/>
      </c>
      <c r="I318" s="11" t="str">
        <v/>
      </c>
    </row>
    <row r="319" spans="2:9">
      <c r="B319" s="11" t="str">
        <f t="shared" si="26"/>
        <v/>
      </c>
      <c r="C319" s="11" t="str">
        <f t="shared" si="29"/>
        <v/>
      </c>
      <c r="D319" s="11" t="str">
        <f t="shared" si="30"/>
        <v/>
      </c>
      <c r="E319" s="11" t="str">
        <f t="shared" si="27"/>
        <v/>
      </c>
      <c r="F319" s="11" t="str">
        <f t="shared" si="28"/>
        <v/>
      </c>
      <c r="G319" s="10" t="str">
        <v/>
      </c>
      <c r="H319" s="11" t="str">
        <v/>
      </c>
      <c r="I319" s="11" t="str">
        <v/>
      </c>
    </row>
    <row r="320" spans="2:9">
      <c r="B320" s="11" t="str">
        <f t="shared" si="26"/>
        <v/>
      </c>
      <c r="C320" s="11" t="str">
        <f t="shared" si="29"/>
        <v/>
      </c>
      <c r="D320" s="11" t="str">
        <f t="shared" si="30"/>
        <v/>
      </c>
      <c r="E320" s="11" t="str">
        <f t="shared" si="27"/>
        <v/>
      </c>
      <c r="F320" s="11" t="str">
        <f t="shared" si="28"/>
        <v/>
      </c>
      <c r="G320" s="10" t="str">
        <v/>
      </c>
      <c r="H320" s="11" t="str">
        <v/>
      </c>
      <c r="I320" s="11" t="str">
        <v/>
      </c>
    </row>
    <row r="321" spans="2:9">
      <c r="B321" s="11" t="str">
        <f t="shared" ref="B321:B384" si="31">IFERROR(IF(FIND(" ",A321)=6,IF(IFERROR(FIND(" PB",A321),"")&lt;&gt;"","артикул",IF(IFERROR(FIND(" CRN",A321),"")&lt;&gt;"","артикул","")),""),"")</f>
        <v/>
      </c>
      <c r="C321" s="11" t="str">
        <f t="shared" si="29"/>
        <v/>
      </c>
      <c r="D321" s="11" t="str">
        <f t="shared" si="30"/>
        <v/>
      </c>
      <c r="E321" s="11" t="str">
        <f t="shared" si="27"/>
        <v/>
      </c>
      <c r="F321" s="11" t="str">
        <f t="shared" si="28"/>
        <v/>
      </c>
      <c r="G321" s="10" t="str">
        <v/>
      </c>
      <c r="H321" s="11" t="str">
        <v/>
      </c>
      <c r="I321" s="11" t="str">
        <v/>
      </c>
    </row>
    <row r="322" spans="2:9">
      <c r="B322" s="11" t="str">
        <f t="shared" si="31"/>
        <v/>
      </c>
      <c r="C322" s="11" t="str">
        <f t="shared" si="29"/>
        <v/>
      </c>
      <c r="D322" s="11" t="str">
        <f t="shared" si="30"/>
        <v/>
      </c>
      <c r="E322" s="11" t="str">
        <f t="shared" ref="E322:E385" si="32" xml:space="preserve">
IF(B322="Артикул",
IF(
AND(RIGHT(A323,1)="%",
RIGHT(A324,1)="%",
RIGHT(A325,1)="%",
RIGHT(A326,1)="%"),MID(A327,FIND(" ",A327),50),
IF(
AND(RIGHT(A323,1)="%",
RIGHT(A324,1)="%",
RIGHT(A325,1)="%"),MID(A326,FIND(" ",A326),50),
IF(
AND(RIGHT(A323,1)="%",
RIGHT(A324,1)="%"),
MID(A325,FIND(" ",A325),50),
IF(
RIGHT(A323,1)="%",
MID(A324,FIND(" ",A324),50),"")))),"")</f>
        <v/>
      </c>
      <c r="F322" s="11" t="str">
        <f t="shared" ref="F322:F385" si="33">IFERROR(
IF(
AND(LEFT(A322,8)="Discount",FIND("%",A322)&gt;0),
MID(A322,
FIND(" ",A322),
FIND("%",A322)-FIND(" ",A322))
*-1,""),"")</f>
        <v/>
      </c>
      <c r="G322" s="10" t="str">
        <v/>
      </c>
      <c r="H322" s="11" t="str">
        <v/>
      </c>
      <c r="I322" s="11" t="str">
        <v/>
      </c>
    </row>
    <row r="323" spans="2:9">
      <c r="B323" s="11" t="str">
        <f t="shared" si="31"/>
        <v/>
      </c>
      <c r="C323" s="11" t="str">
        <f t="shared" si="29"/>
        <v/>
      </c>
      <c r="D323" s="11" t="str">
        <f t="shared" si="30"/>
        <v/>
      </c>
      <c r="E323" s="11" t="str">
        <f t="shared" si="32"/>
        <v/>
      </c>
      <c r="F323" s="11" t="str">
        <f t="shared" si="33"/>
        <v/>
      </c>
      <c r="G323" s="10" t="str">
        <v/>
      </c>
      <c r="H323" s="11" t="str">
        <v/>
      </c>
      <c r="I323" s="11" t="str">
        <v/>
      </c>
    </row>
    <row r="324" spans="2:9">
      <c r="B324" s="11" t="str">
        <f t="shared" si="31"/>
        <v/>
      </c>
      <c r="C324" s="11" t="str">
        <f t="shared" si="29"/>
        <v/>
      </c>
      <c r="D324" s="11" t="str">
        <f t="shared" si="30"/>
        <v/>
      </c>
      <c r="E324" s="11" t="str">
        <f t="shared" si="32"/>
        <v/>
      </c>
      <c r="F324" s="11" t="str">
        <f t="shared" si="33"/>
        <v/>
      </c>
      <c r="G324" s="10" t="str">
        <v/>
      </c>
      <c r="H324" s="11" t="str">
        <v/>
      </c>
      <c r="I324" s="11" t="str">
        <v/>
      </c>
    </row>
    <row r="325" spans="2:9">
      <c r="B325" s="11" t="str">
        <f t="shared" si="31"/>
        <v/>
      </c>
      <c r="C325" s="11" t="str">
        <f t="shared" si="29"/>
        <v/>
      </c>
      <c r="D325" s="11" t="str">
        <f t="shared" si="30"/>
        <v/>
      </c>
      <c r="E325" s="11" t="str">
        <f t="shared" si="32"/>
        <v/>
      </c>
      <c r="F325" s="11" t="str">
        <f t="shared" si="33"/>
        <v/>
      </c>
      <c r="G325" s="10" t="str">
        <v/>
      </c>
      <c r="H325" s="11" t="str">
        <v/>
      </c>
      <c r="I325" s="11" t="str">
        <v/>
      </c>
    </row>
    <row r="326" spans="2:9">
      <c r="B326" s="11" t="str">
        <f t="shared" si="31"/>
        <v/>
      </c>
      <c r="C326" s="11" t="str">
        <f t="shared" si="29"/>
        <v/>
      </c>
      <c r="D326" s="11" t="str">
        <f t="shared" si="30"/>
        <v/>
      </c>
      <c r="E326" s="11" t="str">
        <f t="shared" si="32"/>
        <v/>
      </c>
      <c r="F326" s="11" t="str">
        <f t="shared" si="33"/>
        <v/>
      </c>
      <c r="G326" s="10" t="str">
        <v/>
      </c>
      <c r="H326" s="11" t="str">
        <v/>
      </c>
      <c r="I326" s="11" t="str">
        <v/>
      </c>
    </row>
    <row r="327" spans="2:9">
      <c r="B327" s="11" t="str">
        <f t="shared" si="31"/>
        <v/>
      </c>
      <c r="C327" s="11" t="str">
        <f t="shared" si="29"/>
        <v/>
      </c>
      <c r="D327" s="11" t="str">
        <f t="shared" si="30"/>
        <v/>
      </c>
      <c r="E327" s="11" t="str">
        <f t="shared" si="32"/>
        <v/>
      </c>
      <c r="F327" s="11" t="str">
        <f t="shared" si="33"/>
        <v/>
      </c>
      <c r="G327" s="10" t="str">
        <v/>
      </c>
      <c r="H327" s="11" t="str">
        <v/>
      </c>
      <c r="I327" s="11" t="str">
        <v/>
      </c>
    </row>
    <row r="328" spans="2:9">
      <c r="B328" s="11" t="str">
        <f t="shared" si="31"/>
        <v/>
      </c>
      <c r="C328" s="11" t="str">
        <f t="shared" si="29"/>
        <v/>
      </c>
      <c r="D328" s="11" t="str">
        <f t="shared" si="30"/>
        <v/>
      </c>
      <c r="E328" s="11" t="str">
        <f t="shared" si="32"/>
        <v/>
      </c>
      <c r="F328" s="11" t="str">
        <f t="shared" si="33"/>
        <v/>
      </c>
      <c r="G328" s="10" t="str">
        <v/>
      </c>
      <c r="H328" s="11" t="str">
        <v/>
      </c>
      <c r="I328" s="11" t="str">
        <v/>
      </c>
    </row>
    <row r="329" spans="2:9">
      <c r="B329" s="11" t="str">
        <f t="shared" si="31"/>
        <v/>
      </c>
      <c r="C329" s="11" t="str">
        <f t="shared" si="29"/>
        <v/>
      </c>
      <c r="D329" s="11" t="str">
        <f t="shared" si="30"/>
        <v/>
      </c>
      <c r="E329" s="11" t="str">
        <f t="shared" si="32"/>
        <v/>
      </c>
      <c r="F329" s="11" t="str">
        <f t="shared" si="33"/>
        <v/>
      </c>
      <c r="G329" s="10" t="str">
        <v/>
      </c>
      <c r="H329" s="11" t="str">
        <v/>
      </c>
      <c r="I329" s="11" t="str">
        <v/>
      </c>
    </row>
    <row r="330" spans="2:9">
      <c r="B330" s="11" t="str">
        <f t="shared" si="31"/>
        <v/>
      </c>
      <c r="C330" s="11" t="str">
        <f t="shared" si="29"/>
        <v/>
      </c>
      <c r="D330" s="11" t="str">
        <f t="shared" si="30"/>
        <v/>
      </c>
      <c r="E330" s="11" t="str">
        <f t="shared" si="32"/>
        <v/>
      </c>
      <c r="F330" s="11" t="str">
        <f t="shared" si="33"/>
        <v/>
      </c>
      <c r="G330" s="10" t="str">
        <v/>
      </c>
      <c r="H330" s="11" t="str">
        <v/>
      </c>
      <c r="I330" s="11" t="str">
        <v/>
      </c>
    </row>
    <row r="331" spans="2:9">
      <c r="B331" s="11" t="str">
        <f t="shared" si="31"/>
        <v/>
      </c>
      <c r="C331" s="11" t="str">
        <f t="shared" si="29"/>
        <v/>
      </c>
      <c r="D331" s="11" t="str">
        <f t="shared" si="30"/>
        <v/>
      </c>
      <c r="E331" s="11" t="str">
        <f t="shared" si="32"/>
        <v/>
      </c>
      <c r="F331" s="11" t="str">
        <f t="shared" si="33"/>
        <v/>
      </c>
      <c r="G331" s="10" t="str">
        <v/>
      </c>
      <c r="H331" s="11" t="str">
        <v/>
      </c>
      <c r="I331" s="11" t="str">
        <v/>
      </c>
    </row>
    <row r="332" spans="2:9">
      <c r="B332" s="11" t="str">
        <f t="shared" si="31"/>
        <v/>
      </c>
      <c r="C332" s="11" t="str">
        <f t="shared" si="29"/>
        <v/>
      </c>
      <c r="D332" s="11" t="str">
        <f t="shared" si="30"/>
        <v/>
      </c>
      <c r="E332" s="11" t="str">
        <f t="shared" si="32"/>
        <v/>
      </c>
      <c r="F332" s="11" t="str">
        <f t="shared" si="33"/>
        <v/>
      </c>
      <c r="G332" s="10" t="str">
        <v/>
      </c>
      <c r="H332" s="11" t="str">
        <v/>
      </c>
      <c r="I332" s="11" t="str">
        <v/>
      </c>
    </row>
    <row r="333" spans="2:9">
      <c r="B333" s="11" t="str">
        <f t="shared" si="31"/>
        <v/>
      </c>
      <c r="C333" s="11" t="str">
        <f t="shared" ref="C333:C396" si="34">IF(B333="артикул",A333,"")</f>
        <v/>
      </c>
      <c r="D333" s="11" t="str">
        <f t="shared" ref="D333:D396" si="35">IF(B333="артикул",A334,"")</f>
        <v/>
      </c>
      <c r="E333" s="11" t="str">
        <f t="shared" si="32"/>
        <v/>
      </c>
      <c r="F333" s="11" t="str">
        <f t="shared" si="33"/>
        <v/>
      </c>
      <c r="G333" s="10" t="str">
        <v/>
      </c>
      <c r="H333" s="11" t="str">
        <v/>
      </c>
      <c r="I333" s="11" t="str">
        <v/>
      </c>
    </row>
    <row r="334" spans="2:9">
      <c r="B334" s="11" t="str">
        <f t="shared" si="31"/>
        <v/>
      </c>
      <c r="C334" s="11" t="str">
        <f t="shared" si="34"/>
        <v/>
      </c>
      <c r="D334" s="11" t="str">
        <f t="shared" si="35"/>
        <v/>
      </c>
      <c r="E334" s="11" t="str">
        <f t="shared" si="32"/>
        <v/>
      </c>
      <c r="F334" s="11" t="str">
        <f t="shared" si="33"/>
        <v/>
      </c>
      <c r="G334" s="10" t="str">
        <v/>
      </c>
      <c r="H334" s="11" t="str">
        <v/>
      </c>
      <c r="I334" s="11" t="str">
        <v/>
      </c>
    </row>
    <row r="335" spans="2:9">
      <c r="B335" s="11" t="str">
        <f t="shared" si="31"/>
        <v/>
      </c>
      <c r="C335" s="11" t="str">
        <f t="shared" si="34"/>
        <v/>
      </c>
      <c r="D335" s="11" t="str">
        <f t="shared" si="35"/>
        <v/>
      </c>
      <c r="E335" s="11" t="str">
        <f t="shared" si="32"/>
        <v/>
      </c>
      <c r="F335" s="11" t="str">
        <f t="shared" si="33"/>
        <v/>
      </c>
      <c r="G335" s="10" t="str">
        <v/>
      </c>
      <c r="H335" s="11" t="str">
        <v/>
      </c>
      <c r="I335" s="11" t="str">
        <v/>
      </c>
    </row>
    <row r="336" spans="2:9">
      <c r="B336" s="11" t="str">
        <f t="shared" si="31"/>
        <v/>
      </c>
      <c r="C336" s="11" t="str">
        <f t="shared" si="34"/>
        <v/>
      </c>
      <c r="D336" s="11" t="str">
        <f t="shared" si="35"/>
        <v/>
      </c>
      <c r="E336" s="11" t="str">
        <f t="shared" si="32"/>
        <v/>
      </c>
      <c r="F336" s="11" t="str">
        <f t="shared" si="33"/>
        <v/>
      </c>
      <c r="G336" s="10" t="str">
        <v/>
      </c>
      <c r="H336" s="11" t="str">
        <v/>
      </c>
      <c r="I336" s="11" t="str">
        <v/>
      </c>
    </row>
    <row r="337" spans="2:9">
      <c r="B337" s="11" t="str">
        <f t="shared" si="31"/>
        <v/>
      </c>
      <c r="C337" s="11" t="str">
        <f t="shared" si="34"/>
        <v/>
      </c>
      <c r="D337" s="11" t="str">
        <f t="shared" si="35"/>
        <v/>
      </c>
      <c r="E337" s="11" t="str">
        <f t="shared" si="32"/>
        <v/>
      </c>
      <c r="F337" s="11" t="str">
        <f t="shared" si="33"/>
        <v/>
      </c>
      <c r="G337" s="10" t="str">
        <v/>
      </c>
      <c r="H337" s="11" t="str">
        <v/>
      </c>
      <c r="I337" s="11" t="str">
        <v/>
      </c>
    </row>
    <row r="338" spans="2:9">
      <c r="B338" s="11" t="str">
        <f t="shared" si="31"/>
        <v/>
      </c>
      <c r="C338" s="11" t="str">
        <f t="shared" si="34"/>
        <v/>
      </c>
      <c r="D338" s="11" t="str">
        <f t="shared" si="35"/>
        <v/>
      </c>
      <c r="E338" s="11" t="str">
        <f t="shared" si="32"/>
        <v/>
      </c>
      <c r="F338" s="11" t="str">
        <f t="shared" si="33"/>
        <v/>
      </c>
      <c r="G338" s="10" t="str">
        <v/>
      </c>
      <c r="H338" s="11" t="str">
        <v/>
      </c>
      <c r="I338" s="11" t="str">
        <v/>
      </c>
    </row>
    <row r="339" spans="2:9">
      <c r="B339" s="11" t="str">
        <f t="shared" si="31"/>
        <v/>
      </c>
      <c r="C339" s="11" t="str">
        <f t="shared" si="34"/>
        <v/>
      </c>
      <c r="D339" s="11" t="str">
        <f t="shared" si="35"/>
        <v/>
      </c>
      <c r="E339" s="11" t="str">
        <f t="shared" si="32"/>
        <v/>
      </c>
      <c r="F339" s="11" t="str">
        <f t="shared" si="33"/>
        <v/>
      </c>
      <c r="G339" s="10" t="str">
        <v/>
      </c>
      <c r="H339" s="11" t="str">
        <v/>
      </c>
      <c r="I339" s="11" t="str">
        <v/>
      </c>
    </row>
    <row r="340" spans="2:9">
      <c r="B340" s="11" t="str">
        <f t="shared" si="31"/>
        <v/>
      </c>
      <c r="C340" s="11" t="str">
        <f t="shared" si="34"/>
        <v/>
      </c>
      <c r="D340" s="11" t="str">
        <f t="shared" si="35"/>
        <v/>
      </c>
      <c r="E340" s="11" t="str">
        <f t="shared" si="32"/>
        <v/>
      </c>
      <c r="F340" s="11" t="str">
        <f t="shared" si="33"/>
        <v/>
      </c>
      <c r="G340" s="10" t="str">
        <v/>
      </c>
      <c r="H340" s="11" t="str">
        <v/>
      </c>
      <c r="I340" s="11" t="str">
        <v/>
      </c>
    </row>
    <row r="341" spans="2:9">
      <c r="B341" s="11" t="str">
        <f t="shared" si="31"/>
        <v/>
      </c>
      <c r="C341" s="11" t="str">
        <f t="shared" si="34"/>
        <v/>
      </c>
      <c r="D341" s="11" t="str">
        <f t="shared" si="35"/>
        <v/>
      </c>
      <c r="E341" s="11" t="str">
        <f t="shared" si="32"/>
        <v/>
      </c>
      <c r="F341" s="11" t="str">
        <f t="shared" si="33"/>
        <v/>
      </c>
      <c r="G341" s="10" t="str">
        <v/>
      </c>
      <c r="H341" s="11" t="str">
        <v/>
      </c>
      <c r="I341" s="11" t="str">
        <v/>
      </c>
    </row>
    <row r="342" spans="2:9">
      <c r="B342" s="11" t="str">
        <f t="shared" si="31"/>
        <v/>
      </c>
      <c r="C342" s="11" t="str">
        <f t="shared" si="34"/>
        <v/>
      </c>
      <c r="D342" s="11" t="str">
        <f t="shared" si="35"/>
        <v/>
      </c>
      <c r="E342" s="11" t="str">
        <f t="shared" si="32"/>
        <v/>
      </c>
      <c r="F342" s="11" t="str">
        <f t="shared" si="33"/>
        <v/>
      </c>
      <c r="G342" s="10" t="str">
        <v/>
      </c>
      <c r="H342" s="11" t="str">
        <v/>
      </c>
      <c r="I342" s="11" t="str">
        <v/>
      </c>
    </row>
    <row r="343" spans="2:9">
      <c r="B343" s="11" t="str">
        <f t="shared" si="31"/>
        <v/>
      </c>
      <c r="C343" s="11" t="str">
        <f t="shared" si="34"/>
        <v/>
      </c>
      <c r="D343" s="11" t="str">
        <f t="shared" si="35"/>
        <v/>
      </c>
      <c r="E343" s="11" t="str">
        <f t="shared" si="32"/>
        <v/>
      </c>
      <c r="F343" s="11" t="str">
        <f t="shared" si="33"/>
        <v/>
      </c>
      <c r="G343" s="10" t="str">
        <v/>
      </c>
      <c r="H343" s="11" t="str">
        <v/>
      </c>
      <c r="I343" s="11" t="str">
        <v/>
      </c>
    </row>
    <row r="344" spans="2:9">
      <c r="B344" s="11" t="str">
        <f t="shared" si="31"/>
        <v/>
      </c>
      <c r="C344" s="11" t="str">
        <f t="shared" si="34"/>
        <v/>
      </c>
      <c r="D344" s="11" t="str">
        <f t="shared" si="35"/>
        <v/>
      </c>
      <c r="E344" s="11" t="str">
        <f t="shared" si="32"/>
        <v/>
      </c>
      <c r="F344" s="11" t="str">
        <f t="shared" si="33"/>
        <v/>
      </c>
      <c r="G344" s="10" t="str">
        <v/>
      </c>
      <c r="H344" s="11" t="str">
        <v/>
      </c>
      <c r="I344" s="11" t="str">
        <v/>
      </c>
    </row>
    <row r="345" spans="2:9">
      <c r="B345" s="11" t="str">
        <f t="shared" si="31"/>
        <v/>
      </c>
      <c r="C345" s="11" t="str">
        <f t="shared" si="34"/>
        <v/>
      </c>
      <c r="D345" s="11" t="str">
        <f t="shared" si="35"/>
        <v/>
      </c>
      <c r="E345" s="11" t="str">
        <f t="shared" si="32"/>
        <v/>
      </c>
      <c r="F345" s="11" t="str">
        <f t="shared" si="33"/>
        <v/>
      </c>
      <c r="G345" s="10" t="str">
        <v/>
      </c>
      <c r="H345" s="11" t="str">
        <v/>
      </c>
      <c r="I345" s="11" t="str">
        <v/>
      </c>
    </row>
    <row r="346" spans="2:9">
      <c r="B346" s="11" t="str">
        <f t="shared" si="31"/>
        <v/>
      </c>
      <c r="C346" s="11" t="str">
        <f t="shared" si="34"/>
        <v/>
      </c>
      <c r="D346" s="11" t="str">
        <f t="shared" si="35"/>
        <v/>
      </c>
      <c r="E346" s="11" t="str">
        <f t="shared" si="32"/>
        <v/>
      </c>
      <c r="F346" s="11" t="str">
        <f t="shared" si="33"/>
        <v/>
      </c>
      <c r="G346" s="10" t="str">
        <v/>
      </c>
      <c r="H346" s="11" t="str">
        <v/>
      </c>
      <c r="I346" s="11" t="str">
        <v/>
      </c>
    </row>
    <row r="347" spans="2:9">
      <c r="B347" s="11" t="str">
        <f t="shared" si="31"/>
        <v/>
      </c>
      <c r="C347" s="11" t="str">
        <f t="shared" si="34"/>
        <v/>
      </c>
      <c r="D347" s="11" t="str">
        <f t="shared" si="35"/>
        <v/>
      </c>
      <c r="E347" s="11" t="str">
        <f t="shared" si="32"/>
        <v/>
      </c>
      <c r="F347" s="11" t="str">
        <f t="shared" si="33"/>
        <v/>
      </c>
      <c r="G347" s="10" t="str">
        <v/>
      </c>
      <c r="H347" s="11" t="str">
        <v/>
      </c>
      <c r="I347" s="11" t="str">
        <v/>
      </c>
    </row>
    <row r="348" spans="2:9">
      <c r="B348" s="11" t="str">
        <f t="shared" si="31"/>
        <v/>
      </c>
      <c r="C348" s="11" t="str">
        <f t="shared" si="34"/>
        <v/>
      </c>
      <c r="D348" s="11" t="str">
        <f t="shared" si="35"/>
        <v/>
      </c>
      <c r="E348" s="11" t="str">
        <f t="shared" si="32"/>
        <v/>
      </c>
      <c r="F348" s="11" t="str">
        <f t="shared" si="33"/>
        <v/>
      </c>
      <c r="G348" s="10" t="str">
        <v/>
      </c>
      <c r="H348" s="11" t="str">
        <v/>
      </c>
      <c r="I348" s="11" t="str">
        <v/>
      </c>
    </row>
    <row r="349" spans="2:9">
      <c r="B349" s="11" t="str">
        <f t="shared" si="31"/>
        <v/>
      </c>
      <c r="C349" s="11" t="str">
        <f t="shared" si="34"/>
        <v/>
      </c>
      <c r="D349" s="11" t="str">
        <f t="shared" si="35"/>
        <v/>
      </c>
      <c r="E349" s="11" t="str">
        <f t="shared" si="32"/>
        <v/>
      </c>
      <c r="F349" s="11" t="str">
        <f t="shared" si="33"/>
        <v/>
      </c>
      <c r="G349" s="10" t="str">
        <v/>
      </c>
      <c r="H349" s="11" t="str">
        <v/>
      </c>
      <c r="I349" s="11" t="str">
        <v/>
      </c>
    </row>
    <row r="350" spans="2:9">
      <c r="B350" s="11" t="str">
        <f t="shared" si="31"/>
        <v/>
      </c>
      <c r="C350" s="11" t="str">
        <f t="shared" si="34"/>
        <v/>
      </c>
      <c r="D350" s="11" t="str">
        <f t="shared" si="35"/>
        <v/>
      </c>
      <c r="E350" s="11" t="str">
        <f t="shared" si="32"/>
        <v/>
      </c>
      <c r="F350" s="11" t="str">
        <f t="shared" si="33"/>
        <v/>
      </c>
      <c r="G350" s="10" t="str">
        <v/>
      </c>
      <c r="H350" s="11" t="str">
        <v/>
      </c>
      <c r="I350" s="11" t="str">
        <v/>
      </c>
    </row>
    <row r="351" spans="2:9">
      <c r="B351" s="11" t="str">
        <f t="shared" si="31"/>
        <v/>
      </c>
      <c r="C351" s="11" t="str">
        <f t="shared" si="34"/>
        <v/>
      </c>
      <c r="D351" s="11" t="str">
        <f t="shared" si="35"/>
        <v/>
      </c>
      <c r="E351" s="11" t="str">
        <f t="shared" si="32"/>
        <v/>
      </c>
      <c r="F351" s="11" t="str">
        <f t="shared" si="33"/>
        <v/>
      </c>
      <c r="G351" s="10" t="str">
        <v/>
      </c>
      <c r="H351" s="11" t="str">
        <v/>
      </c>
      <c r="I351" s="11" t="str">
        <v/>
      </c>
    </row>
    <row r="352" spans="2:9">
      <c r="B352" s="11" t="str">
        <f t="shared" si="31"/>
        <v/>
      </c>
      <c r="C352" s="11" t="str">
        <f t="shared" si="34"/>
        <v/>
      </c>
      <c r="D352" s="11" t="str">
        <f t="shared" si="35"/>
        <v/>
      </c>
      <c r="E352" s="11" t="str">
        <f t="shared" si="32"/>
        <v/>
      </c>
      <c r="F352" s="11" t="str">
        <f t="shared" si="33"/>
        <v/>
      </c>
      <c r="G352" s="10" t="str">
        <v/>
      </c>
      <c r="H352" s="11" t="str">
        <v/>
      </c>
      <c r="I352" s="11" t="str">
        <v/>
      </c>
    </row>
    <row r="353" spans="2:9">
      <c r="B353" s="11" t="str">
        <f t="shared" si="31"/>
        <v/>
      </c>
      <c r="C353" s="11" t="str">
        <f t="shared" si="34"/>
        <v/>
      </c>
      <c r="D353" s="11" t="str">
        <f t="shared" si="35"/>
        <v/>
      </c>
      <c r="E353" s="11" t="str">
        <f t="shared" si="32"/>
        <v/>
      </c>
      <c r="F353" s="11" t="str">
        <f t="shared" si="33"/>
        <v/>
      </c>
      <c r="G353" s="10" t="str">
        <v/>
      </c>
      <c r="H353" s="11" t="str">
        <v/>
      </c>
      <c r="I353" s="11" t="str">
        <v/>
      </c>
    </row>
    <row r="354" spans="2:9">
      <c r="B354" s="11" t="str">
        <f t="shared" si="31"/>
        <v/>
      </c>
      <c r="C354" s="11" t="str">
        <f t="shared" si="34"/>
        <v/>
      </c>
      <c r="D354" s="11" t="str">
        <f t="shared" si="35"/>
        <v/>
      </c>
      <c r="E354" s="11" t="str">
        <f t="shared" si="32"/>
        <v/>
      </c>
      <c r="F354" s="11" t="str">
        <f t="shared" si="33"/>
        <v/>
      </c>
      <c r="G354" s="10" t="str">
        <v/>
      </c>
      <c r="H354" s="11" t="str">
        <v/>
      </c>
      <c r="I354" s="11" t="str">
        <v/>
      </c>
    </row>
    <row r="355" spans="2:9">
      <c r="B355" s="11" t="str">
        <f t="shared" si="31"/>
        <v/>
      </c>
      <c r="C355" s="11" t="str">
        <f t="shared" si="34"/>
        <v/>
      </c>
      <c r="D355" s="11" t="str">
        <f t="shared" si="35"/>
        <v/>
      </c>
      <c r="E355" s="11" t="str">
        <f t="shared" si="32"/>
        <v/>
      </c>
      <c r="F355" s="11" t="str">
        <f t="shared" si="33"/>
        <v/>
      </c>
      <c r="G355" s="10" t="str">
        <v/>
      </c>
      <c r="H355" s="11" t="str">
        <v/>
      </c>
      <c r="I355" s="11" t="str">
        <v/>
      </c>
    </row>
    <row r="356" spans="2:9">
      <c r="B356" s="11" t="str">
        <f t="shared" si="31"/>
        <v/>
      </c>
      <c r="C356" s="11" t="str">
        <f t="shared" si="34"/>
        <v/>
      </c>
      <c r="D356" s="11" t="str">
        <f t="shared" si="35"/>
        <v/>
      </c>
      <c r="E356" s="11" t="str">
        <f t="shared" si="32"/>
        <v/>
      </c>
      <c r="F356" s="11" t="str">
        <f t="shared" si="33"/>
        <v/>
      </c>
      <c r="G356" s="10" t="str">
        <v/>
      </c>
      <c r="H356" s="11" t="str">
        <v/>
      </c>
      <c r="I356" s="11" t="str">
        <v/>
      </c>
    </row>
    <row r="357" spans="2:9">
      <c r="B357" s="11" t="str">
        <f t="shared" si="31"/>
        <v/>
      </c>
      <c r="C357" s="11" t="str">
        <f t="shared" si="34"/>
        <v/>
      </c>
      <c r="D357" s="11" t="str">
        <f t="shared" si="35"/>
        <v/>
      </c>
      <c r="E357" s="11" t="str">
        <f t="shared" si="32"/>
        <v/>
      </c>
      <c r="F357" s="11" t="str">
        <f t="shared" si="33"/>
        <v/>
      </c>
      <c r="G357" s="10" t="str">
        <v/>
      </c>
      <c r="H357" s="11" t="str">
        <v/>
      </c>
      <c r="I357" s="11" t="str">
        <v/>
      </c>
    </row>
    <row r="358" spans="2:9">
      <c r="B358" s="11" t="str">
        <f t="shared" si="31"/>
        <v/>
      </c>
      <c r="C358" s="11" t="str">
        <f t="shared" si="34"/>
        <v/>
      </c>
      <c r="D358" s="11" t="str">
        <f t="shared" si="35"/>
        <v/>
      </c>
      <c r="E358" s="11" t="str">
        <f t="shared" si="32"/>
        <v/>
      </c>
      <c r="F358" s="11" t="str">
        <f t="shared" si="33"/>
        <v/>
      </c>
      <c r="G358" s="10" t="str">
        <v/>
      </c>
      <c r="H358" s="11" t="str">
        <v/>
      </c>
      <c r="I358" s="11" t="str">
        <v/>
      </c>
    </row>
    <row r="359" spans="2:9">
      <c r="B359" s="11" t="str">
        <f t="shared" si="31"/>
        <v/>
      </c>
      <c r="C359" s="11" t="str">
        <f t="shared" si="34"/>
        <v/>
      </c>
      <c r="D359" s="11" t="str">
        <f t="shared" si="35"/>
        <v/>
      </c>
      <c r="E359" s="11" t="str">
        <f t="shared" si="32"/>
        <v/>
      </c>
      <c r="F359" s="11" t="str">
        <f t="shared" si="33"/>
        <v/>
      </c>
      <c r="G359" s="10" t="str">
        <v/>
      </c>
      <c r="H359" s="11" t="str">
        <v/>
      </c>
      <c r="I359" s="11" t="str">
        <v/>
      </c>
    </row>
    <row r="360" spans="2:9">
      <c r="B360" s="11" t="str">
        <f t="shared" si="31"/>
        <v/>
      </c>
      <c r="C360" s="11" t="str">
        <f t="shared" si="34"/>
        <v/>
      </c>
      <c r="D360" s="11" t="str">
        <f t="shared" si="35"/>
        <v/>
      </c>
      <c r="E360" s="11" t="str">
        <f t="shared" si="32"/>
        <v/>
      </c>
      <c r="F360" s="11" t="str">
        <f t="shared" si="33"/>
        <v/>
      </c>
      <c r="G360" s="10" t="str">
        <v/>
      </c>
      <c r="H360" s="11" t="str">
        <v/>
      </c>
      <c r="I360" s="11" t="str">
        <v/>
      </c>
    </row>
    <row r="361" spans="2:9">
      <c r="B361" s="11" t="str">
        <f t="shared" si="31"/>
        <v/>
      </c>
      <c r="C361" s="11" t="str">
        <f t="shared" si="34"/>
        <v/>
      </c>
      <c r="D361" s="11" t="str">
        <f t="shared" si="35"/>
        <v/>
      </c>
      <c r="E361" s="11" t="str">
        <f t="shared" si="32"/>
        <v/>
      </c>
      <c r="F361" s="11" t="str">
        <f t="shared" si="33"/>
        <v/>
      </c>
      <c r="G361" s="10" t="str">
        <v/>
      </c>
      <c r="H361" s="11" t="str">
        <v/>
      </c>
      <c r="I361" s="11" t="str">
        <v/>
      </c>
    </row>
    <row r="362" spans="2:9">
      <c r="B362" s="11" t="str">
        <f t="shared" si="31"/>
        <v/>
      </c>
      <c r="C362" s="11" t="str">
        <f t="shared" si="34"/>
        <v/>
      </c>
      <c r="D362" s="11" t="str">
        <f t="shared" si="35"/>
        <v/>
      </c>
      <c r="E362" s="11" t="str">
        <f t="shared" si="32"/>
        <v/>
      </c>
      <c r="F362" s="11" t="str">
        <f t="shared" si="33"/>
        <v/>
      </c>
      <c r="G362" s="10" t="str">
        <v/>
      </c>
      <c r="H362" s="11" t="str">
        <v/>
      </c>
      <c r="I362" s="11" t="str">
        <v/>
      </c>
    </row>
    <row r="363" spans="2:9">
      <c r="B363" s="11" t="str">
        <f t="shared" si="31"/>
        <v/>
      </c>
      <c r="C363" s="11" t="str">
        <f t="shared" si="34"/>
        <v/>
      </c>
      <c r="D363" s="11" t="str">
        <f t="shared" si="35"/>
        <v/>
      </c>
      <c r="E363" s="11" t="str">
        <f t="shared" si="32"/>
        <v/>
      </c>
      <c r="F363" s="11" t="str">
        <f t="shared" si="33"/>
        <v/>
      </c>
      <c r="G363" s="10" t="str">
        <v/>
      </c>
      <c r="H363" s="11" t="str">
        <v/>
      </c>
      <c r="I363" s="11" t="str">
        <v/>
      </c>
    </row>
    <row r="364" spans="2:9">
      <c r="B364" s="11" t="str">
        <f t="shared" si="31"/>
        <v/>
      </c>
      <c r="C364" s="11" t="str">
        <f t="shared" si="34"/>
        <v/>
      </c>
      <c r="D364" s="11" t="str">
        <f t="shared" si="35"/>
        <v/>
      </c>
      <c r="E364" s="11" t="str">
        <f t="shared" si="32"/>
        <v/>
      </c>
      <c r="F364" s="11" t="str">
        <f t="shared" si="33"/>
        <v/>
      </c>
      <c r="G364" s="10" t="str">
        <v/>
      </c>
      <c r="H364" s="11" t="str">
        <v/>
      </c>
      <c r="I364" s="11" t="str">
        <v/>
      </c>
    </row>
    <row r="365" spans="2:9">
      <c r="B365" s="11" t="str">
        <f t="shared" si="31"/>
        <v/>
      </c>
      <c r="C365" s="11" t="str">
        <f t="shared" si="34"/>
        <v/>
      </c>
      <c r="D365" s="11" t="str">
        <f t="shared" si="35"/>
        <v/>
      </c>
      <c r="E365" s="11" t="str">
        <f t="shared" si="32"/>
        <v/>
      </c>
      <c r="F365" s="11" t="str">
        <f t="shared" si="33"/>
        <v/>
      </c>
      <c r="G365" s="10" t="str">
        <v/>
      </c>
      <c r="H365" s="11" t="str">
        <v/>
      </c>
      <c r="I365" s="11" t="str">
        <v/>
      </c>
    </row>
    <row r="366" spans="2:9">
      <c r="B366" s="11" t="str">
        <f t="shared" si="31"/>
        <v/>
      </c>
      <c r="C366" s="11" t="str">
        <f t="shared" si="34"/>
        <v/>
      </c>
      <c r="D366" s="11" t="str">
        <f t="shared" si="35"/>
        <v/>
      </c>
      <c r="E366" s="11" t="str">
        <f t="shared" si="32"/>
        <v/>
      </c>
      <c r="F366" s="11" t="str">
        <f t="shared" si="33"/>
        <v/>
      </c>
      <c r="G366" s="10" t="str">
        <v/>
      </c>
      <c r="H366" s="11" t="str">
        <v/>
      </c>
      <c r="I366" s="11" t="str">
        <v/>
      </c>
    </row>
    <row r="367" spans="2:9">
      <c r="B367" s="11" t="str">
        <f t="shared" si="31"/>
        <v/>
      </c>
      <c r="C367" s="11" t="str">
        <f t="shared" si="34"/>
        <v/>
      </c>
      <c r="D367" s="11" t="str">
        <f t="shared" si="35"/>
        <v/>
      </c>
      <c r="E367" s="11" t="str">
        <f t="shared" si="32"/>
        <v/>
      </c>
      <c r="F367" s="11" t="str">
        <f t="shared" si="33"/>
        <v/>
      </c>
      <c r="G367" s="10" t="str">
        <v/>
      </c>
      <c r="H367" s="11" t="str">
        <v/>
      </c>
      <c r="I367" s="11" t="str">
        <v/>
      </c>
    </row>
    <row r="368" spans="2:9">
      <c r="B368" s="11" t="str">
        <f t="shared" si="31"/>
        <v/>
      </c>
      <c r="C368" s="11" t="str">
        <f t="shared" si="34"/>
        <v/>
      </c>
      <c r="D368" s="11" t="str">
        <f t="shared" si="35"/>
        <v/>
      </c>
      <c r="E368" s="11" t="str">
        <f t="shared" si="32"/>
        <v/>
      </c>
      <c r="F368" s="11" t="str">
        <f t="shared" si="33"/>
        <v/>
      </c>
      <c r="G368" s="10" t="str">
        <v/>
      </c>
      <c r="H368" s="11" t="str">
        <v/>
      </c>
      <c r="I368" s="11" t="str">
        <v/>
      </c>
    </row>
    <row r="369" spans="2:9">
      <c r="B369" s="11" t="str">
        <f t="shared" si="31"/>
        <v/>
      </c>
      <c r="C369" s="11" t="str">
        <f t="shared" si="34"/>
        <v/>
      </c>
      <c r="D369" s="11" t="str">
        <f t="shared" si="35"/>
        <v/>
      </c>
      <c r="E369" s="11" t="str">
        <f t="shared" si="32"/>
        <v/>
      </c>
      <c r="F369" s="11" t="str">
        <f t="shared" si="33"/>
        <v/>
      </c>
      <c r="G369" s="10" t="str">
        <v/>
      </c>
      <c r="H369" s="11" t="str">
        <v/>
      </c>
      <c r="I369" s="11" t="str">
        <v/>
      </c>
    </row>
    <row r="370" spans="2:9">
      <c r="B370" s="11" t="str">
        <f t="shared" si="31"/>
        <v/>
      </c>
      <c r="C370" s="11" t="str">
        <f t="shared" si="34"/>
        <v/>
      </c>
      <c r="D370" s="11" t="str">
        <f t="shared" si="35"/>
        <v/>
      </c>
      <c r="E370" s="11" t="str">
        <f t="shared" si="32"/>
        <v/>
      </c>
      <c r="F370" s="11" t="str">
        <f t="shared" si="33"/>
        <v/>
      </c>
      <c r="G370" s="10" t="str">
        <v/>
      </c>
      <c r="H370" s="11" t="str">
        <v/>
      </c>
      <c r="I370" s="11" t="str">
        <v/>
      </c>
    </row>
    <row r="371" spans="2:9">
      <c r="B371" s="11" t="str">
        <f t="shared" si="31"/>
        <v/>
      </c>
      <c r="C371" s="11" t="str">
        <f t="shared" si="34"/>
        <v/>
      </c>
      <c r="D371" s="11" t="str">
        <f t="shared" si="35"/>
        <v/>
      </c>
      <c r="E371" s="11" t="str">
        <f t="shared" si="32"/>
        <v/>
      </c>
      <c r="F371" s="11" t="str">
        <f t="shared" si="33"/>
        <v/>
      </c>
      <c r="G371" s="10" t="str">
        <v/>
      </c>
      <c r="H371" s="11" t="str">
        <v/>
      </c>
      <c r="I371" s="11" t="str">
        <v/>
      </c>
    </row>
    <row r="372" spans="2:9">
      <c r="B372" s="11" t="str">
        <f t="shared" si="31"/>
        <v/>
      </c>
      <c r="C372" s="11" t="str">
        <f t="shared" si="34"/>
        <v/>
      </c>
      <c r="D372" s="11" t="str">
        <f t="shared" si="35"/>
        <v/>
      </c>
      <c r="E372" s="11" t="str">
        <f t="shared" si="32"/>
        <v/>
      </c>
      <c r="F372" s="11" t="str">
        <f t="shared" si="33"/>
        <v/>
      </c>
      <c r="G372" s="10" t="str">
        <v/>
      </c>
      <c r="H372" s="11" t="str">
        <v/>
      </c>
      <c r="I372" s="11" t="str">
        <v/>
      </c>
    </row>
    <row r="373" spans="2:9">
      <c r="B373" s="11" t="str">
        <f t="shared" si="31"/>
        <v/>
      </c>
      <c r="C373" s="11" t="str">
        <f t="shared" si="34"/>
        <v/>
      </c>
      <c r="D373" s="11" t="str">
        <f t="shared" si="35"/>
        <v/>
      </c>
      <c r="E373" s="11" t="str">
        <f t="shared" si="32"/>
        <v/>
      </c>
      <c r="F373" s="11" t="str">
        <f t="shared" si="33"/>
        <v/>
      </c>
      <c r="G373" s="10" t="str">
        <v/>
      </c>
      <c r="H373" s="11" t="str">
        <v/>
      </c>
      <c r="I373" s="11" t="str">
        <v/>
      </c>
    </row>
    <row r="374" spans="2:9">
      <c r="B374" s="11" t="str">
        <f t="shared" si="31"/>
        <v/>
      </c>
      <c r="C374" s="11" t="str">
        <f t="shared" si="34"/>
        <v/>
      </c>
      <c r="D374" s="11" t="str">
        <f t="shared" si="35"/>
        <v/>
      </c>
      <c r="E374" s="11" t="str">
        <f t="shared" si="32"/>
        <v/>
      </c>
      <c r="F374" s="11" t="str">
        <f t="shared" si="33"/>
        <v/>
      </c>
      <c r="G374" s="10" t="str">
        <v/>
      </c>
      <c r="H374" s="11" t="str">
        <v/>
      </c>
      <c r="I374" s="11" t="str">
        <v/>
      </c>
    </row>
    <row r="375" spans="2:9">
      <c r="B375" s="11" t="str">
        <f t="shared" si="31"/>
        <v/>
      </c>
      <c r="C375" s="11" t="str">
        <f t="shared" si="34"/>
        <v/>
      </c>
      <c r="D375" s="11" t="str">
        <f t="shared" si="35"/>
        <v/>
      </c>
      <c r="E375" s="11" t="str">
        <f t="shared" si="32"/>
        <v/>
      </c>
      <c r="F375" s="11" t="str">
        <f t="shared" si="33"/>
        <v/>
      </c>
      <c r="G375" s="10" t="str">
        <v/>
      </c>
      <c r="H375" s="11" t="str">
        <v/>
      </c>
      <c r="I375" s="11" t="str">
        <v/>
      </c>
    </row>
    <row r="376" spans="2:9">
      <c r="B376" s="11" t="str">
        <f t="shared" si="31"/>
        <v/>
      </c>
      <c r="C376" s="11" t="str">
        <f t="shared" si="34"/>
        <v/>
      </c>
      <c r="D376" s="11" t="str">
        <f t="shared" si="35"/>
        <v/>
      </c>
      <c r="E376" s="11" t="str">
        <f t="shared" si="32"/>
        <v/>
      </c>
      <c r="F376" s="11" t="str">
        <f t="shared" si="33"/>
        <v/>
      </c>
      <c r="G376" s="10" t="str">
        <v/>
      </c>
      <c r="H376" s="11" t="str">
        <v/>
      </c>
      <c r="I376" s="11" t="str">
        <v/>
      </c>
    </row>
    <row r="377" spans="2:9">
      <c r="B377" s="11" t="str">
        <f t="shared" si="31"/>
        <v/>
      </c>
      <c r="C377" s="11" t="str">
        <f t="shared" si="34"/>
        <v/>
      </c>
      <c r="D377" s="11" t="str">
        <f t="shared" si="35"/>
        <v/>
      </c>
      <c r="E377" s="11" t="str">
        <f t="shared" si="32"/>
        <v/>
      </c>
      <c r="F377" s="11" t="str">
        <f t="shared" si="33"/>
        <v/>
      </c>
      <c r="G377" s="10" t="str">
        <v/>
      </c>
      <c r="H377" s="11" t="str">
        <v/>
      </c>
      <c r="I377" s="11" t="str">
        <v/>
      </c>
    </row>
    <row r="378" spans="2:9">
      <c r="B378" s="11" t="str">
        <f t="shared" si="31"/>
        <v/>
      </c>
      <c r="C378" s="11" t="str">
        <f t="shared" si="34"/>
        <v/>
      </c>
      <c r="D378" s="11" t="str">
        <f t="shared" si="35"/>
        <v/>
      </c>
      <c r="E378" s="11" t="str">
        <f t="shared" si="32"/>
        <v/>
      </c>
      <c r="F378" s="11" t="str">
        <f t="shared" si="33"/>
        <v/>
      </c>
      <c r="G378" s="10" t="str">
        <v/>
      </c>
      <c r="H378" s="11" t="str">
        <v/>
      </c>
      <c r="I378" s="11" t="str">
        <v/>
      </c>
    </row>
    <row r="379" spans="2:9">
      <c r="B379" s="11" t="str">
        <f t="shared" si="31"/>
        <v/>
      </c>
      <c r="C379" s="11" t="str">
        <f t="shared" si="34"/>
        <v/>
      </c>
      <c r="D379" s="11" t="str">
        <f t="shared" si="35"/>
        <v/>
      </c>
      <c r="E379" s="11" t="str">
        <f t="shared" si="32"/>
        <v/>
      </c>
      <c r="F379" s="11" t="str">
        <f t="shared" si="33"/>
        <v/>
      </c>
      <c r="G379" s="10" t="str">
        <v/>
      </c>
      <c r="H379" s="11" t="str">
        <v/>
      </c>
      <c r="I379" s="11" t="str">
        <v/>
      </c>
    </row>
    <row r="380" spans="2:9">
      <c r="B380" s="11" t="str">
        <f t="shared" si="31"/>
        <v/>
      </c>
      <c r="C380" s="11" t="str">
        <f t="shared" si="34"/>
        <v/>
      </c>
      <c r="D380" s="11" t="str">
        <f t="shared" si="35"/>
        <v/>
      </c>
      <c r="E380" s="11" t="str">
        <f t="shared" si="32"/>
        <v/>
      </c>
      <c r="F380" s="11" t="str">
        <f t="shared" si="33"/>
        <v/>
      </c>
      <c r="G380" s="10" t="str">
        <v/>
      </c>
      <c r="H380" s="11" t="str">
        <v/>
      </c>
      <c r="I380" s="11" t="str">
        <v/>
      </c>
    </row>
    <row r="381" spans="2:9">
      <c r="B381" s="11" t="str">
        <f t="shared" si="31"/>
        <v/>
      </c>
      <c r="C381" s="11" t="str">
        <f t="shared" si="34"/>
        <v/>
      </c>
      <c r="D381" s="11" t="str">
        <f t="shared" si="35"/>
        <v/>
      </c>
      <c r="E381" s="11" t="str">
        <f t="shared" si="32"/>
        <v/>
      </c>
      <c r="F381" s="11" t="str">
        <f t="shared" si="33"/>
        <v/>
      </c>
      <c r="G381" s="10" t="str">
        <v/>
      </c>
      <c r="H381" s="11" t="str">
        <v/>
      </c>
      <c r="I381" s="11" t="str">
        <v/>
      </c>
    </row>
    <row r="382" spans="2:9">
      <c r="B382" s="11" t="str">
        <f t="shared" si="31"/>
        <v/>
      </c>
      <c r="C382" s="11" t="str">
        <f t="shared" si="34"/>
        <v/>
      </c>
      <c r="D382" s="11" t="str">
        <f t="shared" si="35"/>
        <v/>
      </c>
      <c r="E382" s="11" t="str">
        <f t="shared" si="32"/>
        <v/>
      </c>
      <c r="F382" s="11" t="str">
        <f t="shared" si="33"/>
        <v/>
      </c>
      <c r="G382" s="10" t="str">
        <v/>
      </c>
      <c r="H382" s="11" t="str">
        <v/>
      </c>
      <c r="I382" s="11" t="str">
        <v/>
      </c>
    </row>
    <row r="383" spans="2:9">
      <c r="B383" s="11" t="str">
        <f t="shared" si="31"/>
        <v/>
      </c>
      <c r="C383" s="11" t="str">
        <f t="shared" si="34"/>
        <v/>
      </c>
      <c r="D383" s="11" t="str">
        <f t="shared" si="35"/>
        <v/>
      </c>
      <c r="E383" s="11" t="str">
        <f t="shared" si="32"/>
        <v/>
      </c>
      <c r="F383" s="11" t="str">
        <f t="shared" si="33"/>
        <v/>
      </c>
      <c r="G383" s="10" t="str">
        <v/>
      </c>
      <c r="H383" s="11" t="str">
        <v/>
      </c>
      <c r="I383" s="11" t="str">
        <v/>
      </c>
    </row>
    <row r="384" spans="2:9">
      <c r="B384" s="11" t="str">
        <f t="shared" si="31"/>
        <v/>
      </c>
      <c r="C384" s="11" t="str">
        <f t="shared" si="34"/>
        <v/>
      </c>
      <c r="D384" s="11" t="str">
        <f t="shared" si="35"/>
        <v/>
      </c>
      <c r="E384" s="11" t="str">
        <f t="shared" si="32"/>
        <v/>
      </c>
      <c r="F384" s="11" t="str">
        <f t="shared" si="33"/>
        <v/>
      </c>
      <c r="G384" s="10" t="str">
        <v/>
      </c>
      <c r="H384" s="11" t="str">
        <v/>
      </c>
      <c r="I384" s="11" t="str">
        <v/>
      </c>
    </row>
    <row r="385" spans="2:9">
      <c r="B385" s="11" t="str">
        <f t="shared" ref="B385:B448" si="36">IFERROR(IF(FIND(" ",A385)=6,IF(IFERROR(FIND(" PB",A385),"")&lt;&gt;"","артикул",IF(IFERROR(FIND(" CRN",A385),"")&lt;&gt;"","артикул","")),""),"")</f>
        <v/>
      </c>
      <c r="C385" s="11" t="str">
        <f t="shared" si="34"/>
        <v/>
      </c>
      <c r="D385" s="11" t="str">
        <f t="shared" si="35"/>
        <v/>
      </c>
      <c r="E385" s="11" t="str">
        <f t="shared" si="32"/>
        <v/>
      </c>
      <c r="F385" s="11" t="str">
        <f t="shared" si="33"/>
        <v/>
      </c>
      <c r="G385" s="10" t="str">
        <v/>
      </c>
      <c r="H385" s="11" t="str">
        <v/>
      </c>
      <c r="I385" s="11" t="str">
        <v/>
      </c>
    </row>
    <row r="386" spans="2:9">
      <c r="B386" s="11" t="str">
        <f t="shared" si="36"/>
        <v/>
      </c>
      <c r="C386" s="11" t="str">
        <f t="shared" si="34"/>
        <v/>
      </c>
      <c r="D386" s="11" t="str">
        <f t="shared" si="35"/>
        <v/>
      </c>
      <c r="E386" s="11" t="str">
        <f t="shared" ref="E386:E449" si="37" xml:space="preserve">
IF(B386="Артикул",
IF(
AND(RIGHT(A387,1)="%",
RIGHT(A388,1)="%",
RIGHT(A389,1)="%",
RIGHT(A390,1)="%"),MID(A391,FIND(" ",A391),50),
IF(
AND(RIGHT(A387,1)="%",
RIGHT(A388,1)="%",
RIGHT(A389,1)="%"),MID(A390,FIND(" ",A390),50),
IF(
AND(RIGHT(A387,1)="%",
RIGHT(A388,1)="%"),
MID(A389,FIND(" ",A389),50),
IF(
RIGHT(A387,1)="%",
MID(A388,FIND(" ",A388),50),"")))),"")</f>
        <v/>
      </c>
      <c r="F386" s="11" t="str">
        <f t="shared" ref="F386:F449" si="38">IFERROR(
IF(
AND(LEFT(A386,8)="Discount",FIND("%",A386)&gt;0),
MID(A386,
FIND(" ",A386),
FIND("%",A386)-FIND(" ",A386))
*-1,""),"")</f>
        <v/>
      </c>
      <c r="G386" s="10" t="str">
        <v/>
      </c>
      <c r="H386" s="11" t="str">
        <v/>
      </c>
      <c r="I386" s="11" t="str">
        <v/>
      </c>
    </row>
    <row r="387" spans="2:9">
      <c r="B387" s="11" t="str">
        <f t="shared" si="36"/>
        <v/>
      </c>
      <c r="C387" s="11" t="str">
        <f t="shared" si="34"/>
        <v/>
      </c>
      <c r="D387" s="11" t="str">
        <f t="shared" si="35"/>
        <v/>
      </c>
      <c r="E387" s="11" t="str">
        <f t="shared" si="37"/>
        <v/>
      </c>
      <c r="F387" s="11" t="str">
        <f t="shared" si="38"/>
        <v/>
      </c>
      <c r="G387" s="10" t="str">
        <v/>
      </c>
      <c r="H387" s="11" t="str">
        <v/>
      </c>
      <c r="I387" s="11" t="str">
        <v/>
      </c>
    </row>
    <row r="388" spans="2:9">
      <c r="B388" s="11" t="str">
        <f t="shared" si="36"/>
        <v/>
      </c>
      <c r="C388" s="11" t="str">
        <f t="shared" si="34"/>
        <v/>
      </c>
      <c r="D388" s="11" t="str">
        <f t="shared" si="35"/>
        <v/>
      </c>
      <c r="E388" s="11" t="str">
        <f t="shared" si="37"/>
        <v/>
      </c>
      <c r="F388" s="11" t="str">
        <f t="shared" si="38"/>
        <v/>
      </c>
      <c r="G388" s="10" t="str">
        <v/>
      </c>
      <c r="H388" s="11" t="str">
        <v/>
      </c>
      <c r="I388" s="11" t="str">
        <v/>
      </c>
    </row>
    <row r="389" spans="2:9">
      <c r="B389" s="11" t="str">
        <f t="shared" si="36"/>
        <v/>
      </c>
      <c r="C389" s="11" t="str">
        <f t="shared" si="34"/>
        <v/>
      </c>
      <c r="D389" s="11" t="str">
        <f t="shared" si="35"/>
        <v/>
      </c>
      <c r="E389" s="11" t="str">
        <f t="shared" si="37"/>
        <v/>
      </c>
      <c r="F389" s="11" t="str">
        <f t="shared" si="38"/>
        <v/>
      </c>
      <c r="G389" s="10" t="str">
        <v/>
      </c>
      <c r="H389" s="11" t="str">
        <v/>
      </c>
      <c r="I389" s="11" t="str">
        <v/>
      </c>
    </row>
    <row r="390" spans="2:9">
      <c r="B390" s="11" t="str">
        <f t="shared" si="36"/>
        <v/>
      </c>
      <c r="C390" s="11" t="str">
        <f t="shared" si="34"/>
        <v/>
      </c>
      <c r="D390" s="11" t="str">
        <f t="shared" si="35"/>
        <v/>
      </c>
      <c r="E390" s="11" t="str">
        <f t="shared" si="37"/>
        <v/>
      </c>
      <c r="F390" s="11" t="str">
        <f t="shared" si="38"/>
        <v/>
      </c>
      <c r="G390" s="10" t="str">
        <v/>
      </c>
      <c r="H390" s="11" t="str">
        <v/>
      </c>
      <c r="I390" s="11" t="str">
        <v/>
      </c>
    </row>
    <row r="391" spans="2:9">
      <c r="B391" s="11" t="str">
        <f t="shared" si="36"/>
        <v/>
      </c>
      <c r="C391" s="11" t="str">
        <f t="shared" si="34"/>
        <v/>
      </c>
      <c r="D391" s="11" t="str">
        <f t="shared" si="35"/>
        <v/>
      </c>
      <c r="E391" s="11" t="str">
        <f t="shared" si="37"/>
        <v/>
      </c>
      <c r="F391" s="11" t="str">
        <f t="shared" si="38"/>
        <v/>
      </c>
      <c r="G391" s="10" t="str">
        <v/>
      </c>
      <c r="H391" s="11" t="str">
        <v/>
      </c>
      <c r="I391" s="11" t="str">
        <v/>
      </c>
    </row>
    <row r="392" spans="2:9">
      <c r="B392" s="11" t="str">
        <f t="shared" si="36"/>
        <v/>
      </c>
      <c r="C392" s="11" t="str">
        <f t="shared" si="34"/>
        <v/>
      </c>
      <c r="D392" s="11" t="str">
        <f t="shared" si="35"/>
        <v/>
      </c>
      <c r="E392" s="11" t="str">
        <f t="shared" si="37"/>
        <v/>
      </c>
      <c r="F392" s="11" t="str">
        <f t="shared" si="38"/>
        <v/>
      </c>
      <c r="G392" s="10" t="str">
        <v/>
      </c>
      <c r="H392" s="11" t="str">
        <v/>
      </c>
      <c r="I392" s="11" t="str">
        <v/>
      </c>
    </row>
    <row r="393" spans="2:9">
      <c r="B393" s="11" t="str">
        <f t="shared" si="36"/>
        <v/>
      </c>
      <c r="C393" s="11" t="str">
        <f t="shared" si="34"/>
        <v/>
      </c>
      <c r="D393" s="11" t="str">
        <f t="shared" si="35"/>
        <v/>
      </c>
      <c r="E393" s="11" t="str">
        <f t="shared" si="37"/>
        <v/>
      </c>
      <c r="F393" s="11" t="str">
        <f t="shared" si="38"/>
        <v/>
      </c>
      <c r="G393" s="10" t="str">
        <v/>
      </c>
      <c r="H393" s="11" t="str">
        <v/>
      </c>
      <c r="I393" s="11" t="str">
        <v/>
      </c>
    </row>
    <row r="394" spans="2:9">
      <c r="B394" s="11" t="str">
        <f t="shared" si="36"/>
        <v/>
      </c>
      <c r="C394" s="11" t="str">
        <f t="shared" si="34"/>
        <v/>
      </c>
      <c r="D394" s="11" t="str">
        <f t="shared" si="35"/>
        <v/>
      </c>
      <c r="E394" s="11" t="str">
        <f t="shared" si="37"/>
        <v/>
      </c>
      <c r="F394" s="11" t="str">
        <f t="shared" si="38"/>
        <v/>
      </c>
      <c r="G394" s="10" t="str">
        <v/>
      </c>
      <c r="H394" s="11" t="str">
        <v/>
      </c>
      <c r="I394" s="11" t="str">
        <v/>
      </c>
    </row>
    <row r="395" spans="2:9">
      <c r="B395" s="11" t="str">
        <f t="shared" si="36"/>
        <v/>
      </c>
      <c r="C395" s="11" t="str">
        <f t="shared" si="34"/>
        <v/>
      </c>
      <c r="D395" s="11" t="str">
        <f t="shared" si="35"/>
        <v/>
      </c>
      <c r="E395" s="11" t="str">
        <f t="shared" si="37"/>
        <v/>
      </c>
      <c r="F395" s="11" t="str">
        <f t="shared" si="38"/>
        <v/>
      </c>
      <c r="G395" s="10" t="str">
        <v/>
      </c>
      <c r="H395" s="11" t="str">
        <v/>
      </c>
      <c r="I395" s="11" t="str">
        <v/>
      </c>
    </row>
    <row r="396" spans="2:9">
      <c r="B396" s="11" t="str">
        <f t="shared" si="36"/>
        <v/>
      </c>
      <c r="C396" s="11" t="str">
        <f t="shared" si="34"/>
        <v/>
      </c>
      <c r="D396" s="11" t="str">
        <f t="shared" si="35"/>
        <v/>
      </c>
      <c r="E396" s="11" t="str">
        <f t="shared" si="37"/>
        <v/>
      </c>
      <c r="F396" s="11" t="str">
        <f t="shared" si="38"/>
        <v/>
      </c>
      <c r="G396" s="10" t="str">
        <v/>
      </c>
      <c r="H396" s="11" t="str">
        <v/>
      </c>
      <c r="I396" s="11" t="str">
        <v/>
      </c>
    </row>
    <row r="397" spans="2:9">
      <c r="B397" s="11" t="str">
        <f t="shared" si="36"/>
        <v/>
      </c>
      <c r="C397" s="11" t="str">
        <f t="shared" ref="C397:C460" si="39">IF(B397="артикул",A397,"")</f>
        <v/>
      </c>
      <c r="D397" s="11" t="str">
        <f t="shared" ref="D397:D460" si="40">IF(B397="артикул",A398,"")</f>
        <v/>
      </c>
      <c r="E397" s="11" t="str">
        <f t="shared" si="37"/>
        <v/>
      </c>
      <c r="F397" s="11" t="str">
        <f t="shared" si="38"/>
        <v/>
      </c>
      <c r="G397" s="10" t="str">
        <v/>
      </c>
      <c r="H397" s="11" t="str">
        <v/>
      </c>
      <c r="I397" s="11" t="str">
        <v/>
      </c>
    </row>
    <row r="398" spans="2:9">
      <c r="B398" s="11" t="str">
        <f t="shared" si="36"/>
        <v/>
      </c>
      <c r="C398" s="11" t="str">
        <f t="shared" si="39"/>
        <v/>
      </c>
      <c r="D398" s="11" t="str">
        <f t="shared" si="40"/>
        <v/>
      </c>
      <c r="E398" s="11" t="str">
        <f t="shared" si="37"/>
        <v/>
      </c>
      <c r="F398" s="11" t="str">
        <f t="shared" si="38"/>
        <v/>
      </c>
      <c r="G398" s="10" t="str">
        <v/>
      </c>
      <c r="H398" s="11" t="str">
        <v/>
      </c>
      <c r="I398" s="11" t="str">
        <v/>
      </c>
    </row>
    <row r="399" spans="2:9">
      <c r="B399" s="11" t="str">
        <f t="shared" si="36"/>
        <v/>
      </c>
      <c r="C399" s="11" t="str">
        <f t="shared" si="39"/>
        <v/>
      </c>
      <c r="D399" s="11" t="str">
        <f t="shared" si="40"/>
        <v/>
      </c>
      <c r="E399" s="11" t="str">
        <f t="shared" si="37"/>
        <v/>
      </c>
      <c r="F399" s="11" t="str">
        <f t="shared" si="38"/>
        <v/>
      </c>
      <c r="G399" s="10" t="str">
        <v/>
      </c>
      <c r="H399" s="11" t="str">
        <v/>
      </c>
      <c r="I399" s="11" t="str">
        <v/>
      </c>
    </row>
    <row r="400" spans="2:9">
      <c r="B400" s="11" t="str">
        <f t="shared" si="36"/>
        <v/>
      </c>
      <c r="C400" s="11" t="str">
        <f t="shared" si="39"/>
        <v/>
      </c>
      <c r="D400" s="11" t="str">
        <f t="shared" si="40"/>
        <v/>
      </c>
      <c r="E400" s="11" t="str">
        <f t="shared" si="37"/>
        <v/>
      </c>
      <c r="F400" s="11" t="str">
        <f t="shared" si="38"/>
        <v/>
      </c>
      <c r="G400" s="10" t="str">
        <v/>
      </c>
      <c r="H400" s="11" t="str">
        <v/>
      </c>
      <c r="I400" s="11" t="str">
        <v/>
      </c>
    </row>
    <row r="401" spans="2:9">
      <c r="B401" s="11" t="str">
        <f t="shared" si="36"/>
        <v/>
      </c>
      <c r="C401" s="11" t="str">
        <f t="shared" si="39"/>
        <v/>
      </c>
      <c r="D401" s="11" t="str">
        <f t="shared" si="40"/>
        <v/>
      </c>
      <c r="E401" s="11" t="str">
        <f t="shared" si="37"/>
        <v/>
      </c>
      <c r="F401" s="11" t="str">
        <f t="shared" si="38"/>
        <v/>
      </c>
      <c r="G401" s="10" t="str">
        <v/>
      </c>
      <c r="H401" s="11" t="str">
        <v/>
      </c>
      <c r="I401" s="11" t="str">
        <v/>
      </c>
    </row>
    <row r="402" spans="2:9">
      <c r="B402" s="11" t="str">
        <f t="shared" si="36"/>
        <v/>
      </c>
      <c r="C402" s="11" t="str">
        <f t="shared" si="39"/>
        <v/>
      </c>
      <c r="D402" s="11" t="str">
        <f t="shared" si="40"/>
        <v/>
      </c>
      <c r="E402" s="11" t="str">
        <f t="shared" si="37"/>
        <v/>
      </c>
      <c r="F402" s="11" t="str">
        <f t="shared" si="38"/>
        <v/>
      </c>
      <c r="G402" s="10" t="str">
        <v/>
      </c>
      <c r="H402" s="11" t="str">
        <v/>
      </c>
      <c r="I402" s="11" t="str">
        <v/>
      </c>
    </row>
    <row r="403" spans="2:9">
      <c r="B403" s="11" t="str">
        <f t="shared" si="36"/>
        <v/>
      </c>
      <c r="C403" s="11" t="str">
        <f t="shared" si="39"/>
        <v/>
      </c>
      <c r="D403" s="11" t="str">
        <f t="shared" si="40"/>
        <v/>
      </c>
      <c r="E403" s="11" t="str">
        <f t="shared" si="37"/>
        <v/>
      </c>
      <c r="F403" s="11" t="str">
        <f t="shared" si="38"/>
        <v/>
      </c>
      <c r="G403" s="10" t="str">
        <v/>
      </c>
      <c r="H403" s="11" t="str">
        <v/>
      </c>
      <c r="I403" s="11" t="str">
        <v/>
      </c>
    </row>
    <row r="404" spans="2:9">
      <c r="B404" s="11" t="str">
        <f t="shared" si="36"/>
        <v/>
      </c>
      <c r="C404" s="11" t="str">
        <f t="shared" si="39"/>
        <v/>
      </c>
      <c r="D404" s="11" t="str">
        <f t="shared" si="40"/>
        <v/>
      </c>
      <c r="E404" s="11" t="str">
        <f t="shared" si="37"/>
        <v/>
      </c>
      <c r="F404" s="11" t="str">
        <f t="shared" si="38"/>
        <v/>
      </c>
      <c r="G404" s="10" t="str">
        <v/>
      </c>
      <c r="H404" s="11" t="str">
        <v/>
      </c>
      <c r="I404" s="11" t="str">
        <v/>
      </c>
    </row>
    <row r="405" spans="2:9">
      <c r="B405" s="11" t="str">
        <f t="shared" si="36"/>
        <v/>
      </c>
      <c r="C405" s="11" t="str">
        <f t="shared" si="39"/>
        <v/>
      </c>
      <c r="D405" s="11" t="str">
        <f t="shared" si="40"/>
        <v/>
      </c>
      <c r="E405" s="11" t="str">
        <f t="shared" si="37"/>
        <v/>
      </c>
      <c r="F405" s="11" t="str">
        <f t="shared" si="38"/>
        <v/>
      </c>
      <c r="G405" s="10" t="str">
        <v/>
      </c>
      <c r="H405" s="11" t="str">
        <v/>
      </c>
      <c r="I405" s="11" t="str">
        <v/>
      </c>
    </row>
    <row r="406" spans="2:9">
      <c r="B406" s="11" t="str">
        <f t="shared" si="36"/>
        <v/>
      </c>
      <c r="C406" s="11" t="str">
        <f t="shared" si="39"/>
        <v/>
      </c>
      <c r="D406" s="11" t="str">
        <f t="shared" si="40"/>
        <v/>
      </c>
      <c r="E406" s="11" t="str">
        <f t="shared" si="37"/>
        <v/>
      </c>
      <c r="F406" s="11" t="str">
        <f t="shared" si="38"/>
        <v/>
      </c>
      <c r="G406" s="10" t="str">
        <v/>
      </c>
      <c r="H406" s="11" t="str">
        <v/>
      </c>
      <c r="I406" s="11" t="str">
        <v/>
      </c>
    </row>
    <row r="407" spans="2:9">
      <c r="B407" s="11" t="str">
        <f t="shared" si="36"/>
        <v/>
      </c>
      <c r="C407" s="11" t="str">
        <f t="shared" si="39"/>
        <v/>
      </c>
      <c r="D407" s="11" t="str">
        <f t="shared" si="40"/>
        <v/>
      </c>
      <c r="E407" s="11" t="str">
        <f t="shared" si="37"/>
        <v/>
      </c>
      <c r="F407" s="11" t="str">
        <f t="shared" si="38"/>
        <v/>
      </c>
      <c r="G407" s="10" t="str">
        <v/>
      </c>
      <c r="H407" s="11" t="str">
        <v/>
      </c>
      <c r="I407" s="11" t="str">
        <v/>
      </c>
    </row>
    <row r="408" spans="2:9">
      <c r="B408" s="11" t="str">
        <f t="shared" si="36"/>
        <v/>
      </c>
      <c r="C408" s="11" t="str">
        <f t="shared" si="39"/>
        <v/>
      </c>
      <c r="D408" s="11" t="str">
        <f t="shared" si="40"/>
        <v/>
      </c>
      <c r="E408" s="11" t="str">
        <f t="shared" si="37"/>
        <v/>
      </c>
      <c r="F408" s="11" t="str">
        <f t="shared" si="38"/>
        <v/>
      </c>
      <c r="G408" s="10" t="str">
        <v/>
      </c>
      <c r="H408" s="11" t="str">
        <v/>
      </c>
      <c r="I408" s="11" t="str">
        <v/>
      </c>
    </row>
    <row r="409" spans="2:9">
      <c r="B409" s="11" t="str">
        <f t="shared" si="36"/>
        <v/>
      </c>
      <c r="C409" s="11" t="str">
        <f t="shared" si="39"/>
        <v/>
      </c>
      <c r="D409" s="11" t="str">
        <f t="shared" si="40"/>
        <v/>
      </c>
      <c r="E409" s="11" t="str">
        <f t="shared" si="37"/>
        <v/>
      </c>
      <c r="F409" s="11" t="str">
        <f t="shared" si="38"/>
        <v/>
      </c>
      <c r="G409" s="10" t="str">
        <v/>
      </c>
      <c r="H409" s="11" t="str">
        <v/>
      </c>
      <c r="I409" s="11" t="str">
        <v/>
      </c>
    </row>
    <row r="410" spans="2:9">
      <c r="B410" s="11" t="str">
        <f t="shared" si="36"/>
        <v/>
      </c>
      <c r="C410" s="11" t="str">
        <f t="shared" si="39"/>
        <v/>
      </c>
      <c r="D410" s="11" t="str">
        <f t="shared" si="40"/>
        <v/>
      </c>
      <c r="E410" s="11" t="str">
        <f t="shared" si="37"/>
        <v/>
      </c>
      <c r="F410" s="11" t="str">
        <f t="shared" si="38"/>
        <v/>
      </c>
      <c r="G410" s="10" t="str">
        <v/>
      </c>
      <c r="H410" s="11" t="str">
        <v/>
      </c>
      <c r="I410" s="11" t="str">
        <v/>
      </c>
    </row>
    <row r="411" spans="2:9">
      <c r="B411" s="11" t="str">
        <f t="shared" si="36"/>
        <v/>
      </c>
      <c r="C411" s="11" t="str">
        <f t="shared" si="39"/>
        <v/>
      </c>
      <c r="D411" s="11" t="str">
        <f t="shared" si="40"/>
        <v/>
      </c>
      <c r="E411" s="11" t="str">
        <f t="shared" si="37"/>
        <v/>
      </c>
      <c r="F411" s="11" t="str">
        <f t="shared" si="38"/>
        <v/>
      </c>
      <c r="G411" s="10" t="str">
        <v/>
      </c>
      <c r="H411" s="11" t="str">
        <v/>
      </c>
      <c r="I411" s="11" t="str">
        <v/>
      </c>
    </row>
    <row r="412" spans="2:9">
      <c r="B412" s="11" t="str">
        <f t="shared" si="36"/>
        <v/>
      </c>
      <c r="C412" s="11" t="str">
        <f t="shared" si="39"/>
        <v/>
      </c>
      <c r="D412" s="11" t="str">
        <f t="shared" si="40"/>
        <v/>
      </c>
      <c r="E412" s="11" t="str">
        <f t="shared" si="37"/>
        <v/>
      </c>
      <c r="F412" s="11" t="str">
        <f t="shared" si="38"/>
        <v/>
      </c>
      <c r="G412" s="10" t="str">
        <v/>
      </c>
      <c r="H412" s="11" t="str">
        <v/>
      </c>
      <c r="I412" s="11" t="str">
        <v/>
      </c>
    </row>
    <row r="413" spans="2:9">
      <c r="B413" s="11" t="str">
        <f t="shared" si="36"/>
        <v/>
      </c>
      <c r="C413" s="11" t="str">
        <f t="shared" si="39"/>
        <v/>
      </c>
      <c r="D413" s="11" t="str">
        <f t="shared" si="40"/>
        <v/>
      </c>
      <c r="E413" s="11" t="str">
        <f t="shared" si="37"/>
        <v/>
      </c>
      <c r="F413" s="11" t="str">
        <f t="shared" si="38"/>
        <v/>
      </c>
      <c r="G413" s="10" t="str">
        <v/>
      </c>
      <c r="H413" s="11" t="str">
        <v/>
      </c>
      <c r="I413" s="11" t="str">
        <v/>
      </c>
    </row>
    <row r="414" spans="2:9">
      <c r="B414" s="11" t="str">
        <f t="shared" si="36"/>
        <v/>
      </c>
      <c r="C414" s="11" t="str">
        <f t="shared" si="39"/>
        <v/>
      </c>
      <c r="D414" s="11" t="str">
        <f t="shared" si="40"/>
        <v/>
      </c>
      <c r="E414" s="11" t="str">
        <f t="shared" si="37"/>
        <v/>
      </c>
      <c r="F414" s="11" t="str">
        <f t="shared" si="38"/>
        <v/>
      </c>
      <c r="G414" s="10" t="str">
        <v/>
      </c>
      <c r="H414" s="11" t="str">
        <v/>
      </c>
      <c r="I414" s="11" t="str">
        <v/>
      </c>
    </row>
    <row r="415" spans="2:9">
      <c r="B415" s="11" t="str">
        <f t="shared" si="36"/>
        <v/>
      </c>
      <c r="C415" s="11" t="str">
        <f t="shared" si="39"/>
        <v/>
      </c>
      <c r="D415" s="11" t="str">
        <f t="shared" si="40"/>
        <v/>
      </c>
      <c r="E415" s="11" t="str">
        <f t="shared" si="37"/>
        <v/>
      </c>
      <c r="F415" s="11" t="str">
        <f t="shared" si="38"/>
        <v/>
      </c>
      <c r="G415" s="10" t="str">
        <v/>
      </c>
      <c r="H415" s="11" t="str">
        <v/>
      </c>
      <c r="I415" s="11" t="str">
        <v/>
      </c>
    </row>
    <row r="416" spans="2:9">
      <c r="B416" s="11" t="str">
        <f t="shared" si="36"/>
        <v/>
      </c>
      <c r="C416" s="11" t="str">
        <f t="shared" si="39"/>
        <v/>
      </c>
      <c r="D416" s="11" t="str">
        <f t="shared" si="40"/>
        <v/>
      </c>
      <c r="E416" s="11" t="str">
        <f t="shared" si="37"/>
        <v/>
      </c>
      <c r="F416" s="11" t="str">
        <f t="shared" si="38"/>
        <v/>
      </c>
      <c r="G416" s="10" t="str">
        <v/>
      </c>
      <c r="H416" s="11" t="str">
        <v/>
      </c>
      <c r="I416" s="11" t="str">
        <v/>
      </c>
    </row>
    <row r="417" spans="2:9">
      <c r="B417" s="11" t="str">
        <f t="shared" si="36"/>
        <v/>
      </c>
      <c r="C417" s="11" t="str">
        <f t="shared" si="39"/>
        <v/>
      </c>
      <c r="D417" s="11" t="str">
        <f t="shared" si="40"/>
        <v/>
      </c>
      <c r="E417" s="11" t="str">
        <f t="shared" si="37"/>
        <v/>
      </c>
      <c r="F417" s="11" t="str">
        <f t="shared" si="38"/>
        <v/>
      </c>
      <c r="G417" s="10" t="str">
        <v/>
      </c>
      <c r="H417" s="11" t="str">
        <v/>
      </c>
      <c r="I417" s="11" t="str">
        <v/>
      </c>
    </row>
    <row r="418" spans="2:9">
      <c r="B418" s="11" t="str">
        <f t="shared" si="36"/>
        <v/>
      </c>
      <c r="C418" s="11" t="str">
        <f t="shared" si="39"/>
        <v/>
      </c>
      <c r="D418" s="11" t="str">
        <f t="shared" si="40"/>
        <v/>
      </c>
      <c r="E418" s="11" t="str">
        <f t="shared" si="37"/>
        <v/>
      </c>
      <c r="F418" s="11" t="str">
        <f t="shared" si="38"/>
        <v/>
      </c>
      <c r="G418" s="10" t="str">
        <v/>
      </c>
      <c r="H418" s="11" t="str">
        <v/>
      </c>
      <c r="I418" s="11" t="str">
        <v/>
      </c>
    </row>
    <row r="419" spans="2:9">
      <c r="B419" s="11" t="str">
        <f t="shared" si="36"/>
        <v/>
      </c>
      <c r="C419" s="11" t="str">
        <f t="shared" si="39"/>
        <v/>
      </c>
      <c r="D419" s="11" t="str">
        <f t="shared" si="40"/>
        <v/>
      </c>
      <c r="E419" s="11" t="str">
        <f t="shared" si="37"/>
        <v/>
      </c>
      <c r="F419" s="11" t="str">
        <f t="shared" si="38"/>
        <v/>
      </c>
      <c r="G419" s="10" t="str">
        <v/>
      </c>
      <c r="H419" s="11" t="str">
        <v/>
      </c>
      <c r="I419" s="11" t="str">
        <v/>
      </c>
    </row>
    <row r="420" spans="2:9">
      <c r="B420" s="11" t="str">
        <f t="shared" si="36"/>
        <v/>
      </c>
      <c r="C420" s="11" t="str">
        <f t="shared" si="39"/>
        <v/>
      </c>
      <c r="D420" s="11" t="str">
        <f t="shared" si="40"/>
        <v/>
      </c>
      <c r="E420" s="11" t="str">
        <f t="shared" si="37"/>
        <v/>
      </c>
      <c r="F420" s="11" t="str">
        <f t="shared" si="38"/>
        <v/>
      </c>
      <c r="G420" s="10" t="str">
        <v/>
      </c>
      <c r="H420" s="11" t="str">
        <v/>
      </c>
      <c r="I420" s="11" t="str">
        <v/>
      </c>
    </row>
    <row r="421" spans="2:9">
      <c r="B421" s="11" t="str">
        <f t="shared" si="36"/>
        <v/>
      </c>
      <c r="C421" s="11" t="str">
        <f t="shared" si="39"/>
        <v/>
      </c>
      <c r="D421" s="11" t="str">
        <f t="shared" si="40"/>
        <v/>
      </c>
      <c r="E421" s="11" t="str">
        <f t="shared" si="37"/>
        <v/>
      </c>
      <c r="F421" s="11" t="str">
        <f t="shared" si="38"/>
        <v/>
      </c>
      <c r="G421" s="10" t="str">
        <v/>
      </c>
      <c r="H421" s="11" t="str">
        <v/>
      </c>
      <c r="I421" s="11" t="str">
        <v/>
      </c>
    </row>
    <row r="422" spans="2:9">
      <c r="B422" s="11" t="str">
        <f t="shared" si="36"/>
        <v/>
      </c>
      <c r="C422" s="11" t="str">
        <f t="shared" si="39"/>
        <v/>
      </c>
      <c r="D422" s="11" t="str">
        <f t="shared" si="40"/>
        <v/>
      </c>
      <c r="E422" s="11" t="str">
        <f t="shared" si="37"/>
        <v/>
      </c>
      <c r="F422" s="11" t="str">
        <f t="shared" si="38"/>
        <v/>
      </c>
      <c r="G422" s="10" t="str">
        <v/>
      </c>
      <c r="H422" s="11" t="str">
        <v/>
      </c>
      <c r="I422" s="11" t="str">
        <v/>
      </c>
    </row>
    <row r="423" spans="2:9">
      <c r="B423" s="11" t="str">
        <f t="shared" si="36"/>
        <v/>
      </c>
      <c r="C423" s="11" t="str">
        <f t="shared" si="39"/>
        <v/>
      </c>
      <c r="D423" s="11" t="str">
        <f t="shared" si="40"/>
        <v/>
      </c>
      <c r="E423" s="11" t="str">
        <f t="shared" si="37"/>
        <v/>
      </c>
      <c r="F423" s="11" t="str">
        <f t="shared" si="38"/>
        <v/>
      </c>
      <c r="G423" s="10" t="str">
        <v/>
      </c>
      <c r="H423" s="11" t="str">
        <v/>
      </c>
      <c r="I423" s="11" t="str">
        <v/>
      </c>
    </row>
    <row r="424" spans="2:9">
      <c r="B424" s="11" t="str">
        <f t="shared" si="36"/>
        <v/>
      </c>
      <c r="C424" s="11" t="str">
        <f t="shared" si="39"/>
        <v/>
      </c>
      <c r="D424" s="11" t="str">
        <f t="shared" si="40"/>
        <v/>
      </c>
      <c r="E424" s="11" t="str">
        <f t="shared" si="37"/>
        <v/>
      </c>
      <c r="F424" s="11" t="str">
        <f t="shared" si="38"/>
        <v/>
      </c>
      <c r="G424" s="10" t="str">
        <v/>
      </c>
      <c r="H424" s="11" t="str">
        <v/>
      </c>
      <c r="I424" s="11" t="str">
        <v/>
      </c>
    </row>
    <row r="425" spans="2:9">
      <c r="B425" s="11" t="str">
        <f t="shared" si="36"/>
        <v/>
      </c>
      <c r="C425" s="11" t="str">
        <f t="shared" si="39"/>
        <v/>
      </c>
      <c r="D425" s="11" t="str">
        <f t="shared" si="40"/>
        <v/>
      </c>
      <c r="E425" s="11" t="str">
        <f t="shared" si="37"/>
        <v/>
      </c>
      <c r="F425" s="11" t="str">
        <f t="shared" si="38"/>
        <v/>
      </c>
      <c r="G425" s="10" t="str">
        <v/>
      </c>
      <c r="H425" s="11" t="str">
        <v/>
      </c>
      <c r="I425" s="11" t="str">
        <v/>
      </c>
    </row>
    <row r="426" spans="2:9">
      <c r="B426" s="11" t="str">
        <f t="shared" si="36"/>
        <v/>
      </c>
      <c r="C426" s="11" t="str">
        <f t="shared" si="39"/>
        <v/>
      </c>
      <c r="D426" s="11" t="str">
        <f t="shared" si="40"/>
        <v/>
      </c>
      <c r="E426" s="11" t="str">
        <f t="shared" si="37"/>
        <v/>
      </c>
      <c r="F426" s="11" t="str">
        <f t="shared" si="38"/>
        <v/>
      </c>
      <c r="G426" s="10" t="str">
        <v/>
      </c>
      <c r="H426" s="11" t="str">
        <v/>
      </c>
      <c r="I426" s="11" t="str">
        <v/>
      </c>
    </row>
    <row r="427" spans="2:9">
      <c r="B427" s="11" t="str">
        <f t="shared" si="36"/>
        <v/>
      </c>
      <c r="C427" s="11" t="str">
        <f t="shared" si="39"/>
        <v/>
      </c>
      <c r="D427" s="11" t="str">
        <f t="shared" si="40"/>
        <v/>
      </c>
      <c r="E427" s="11" t="str">
        <f t="shared" si="37"/>
        <v/>
      </c>
      <c r="F427" s="11" t="str">
        <f t="shared" si="38"/>
        <v/>
      </c>
      <c r="G427" s="10" t="str">
        <v/>
      </c>
      <c r="H427" s="11" t="str">
        <v/>
      </c>
      <c r="I427" s="11" t="str">
        <v/>
      </c>
    </row>
    <row r="428" spans="2:9">
      <c r="B428" s="11" t="str">
        <f t="shared" si="36"/>
        <v/>
      </c>
      <c r="C428" s="11" t="str">
        <f t="shared" si="39"/>
        <v/>
      </c>
      <c r="D428" s="11" t="str">
        <f t="shared" si="40"/>
        <v/>
      </c>
      <c r="E428" s="11" t="str">
        <f t="shared" si="37"/>
        <v/>
      </c>
      <c r="F428" s="11" t="str">
        <f t="shared" si="38"/>
        <v/>
      </c>
      <c r="G428" s="10" t="str">
        <v/>
      </c>
      <c r="H428" s="11" t="str">
        <v/>
      </c>
      <c r="I428" s="11" t="str">
        <v/>
      </c>
    </row>
    <row r="429" spans="2:9">
      <c r="B429" s="11" t="str">
        <f t="shared" si="36"/>
        <v/>
      </c>
      <c r="C429" s="11" t="str">
        <f t="shared" si="39"/>
        <v/>
      </c>
      <c r="D429" s="11" t="str">
        <f t="shared" si="40"/>
        <v/>
      </c>
      <c r="E429" s="11" t="str">
        <f t="shared" si="37"/>
        <v/>
      </c>
      <c r="F429" s="11" t="str">
        <f t="shared" si="38"/>
        <v/>
      </c>
      <c r="G429" s="10" t="str">
        <v/>
      </c>
      <c r="H429" s="11" t="str">
        <v/>
      </c>
      <c r="I429" s="11" t="str">
        <v/>
      </c>
    </row>
    <row r="430" spans="2:9">
      <c r="B430" s="11" t="str">
        <f t="shared" si="36"/>
        <v/>
      </c>
      <c r="C430" s="11" t="str">
        <f t="shared" si="39"/>
        <v/>
      </c>
      <c r="D430" s="11" t="str">
        <f t="shared" si="40"/>
        <v/>
      </c>
      <c r="E430" s="11" t="str">
        <f t="shared" si="37"/>
        <v/>
      </c>
      <c r="F430" s="11" t="str">
        <f t="shared" si="38"/>
        <v/>
      </c>
      <c r="G430" s="10" t="str">
        <v/>
      </c>
      <c r="H430" s="11" t="str">
        <v/>
      </c>
      <c r="I430" s="11" t="str">
        <v/>
      </c>
    </row>
    <row r="431" spans="2:9">
      <c r="B431" s="11" t="str">
        <f t="shared" si="36"/>
        <v/>
      </c>
      <c r="C431" s="11" t="str">
        <f t="shared" si="39"/>
        <v/>
      </c>
      <c r="D431" s="11" t="str">
        <f t="shared" si="40"/>
        <v/>
      </c>
      <c r="E431" s="11" t="str">
        <f t="shared" si="37"/>
        <v/>
      </c>
      <c r="F431" s="11" t="str">
        <f t="shared" si="38"/>
        <v/>
      </c>
      <c r="G431" s="10" t="str">
        <v/>
      </c>
      <c r="H431" s="11" t="str">
        <v/>
      </c>
      <c r="I431" s="11" t="str">
        <v/>
      </c>
    </row>
    <row r="432" spans="2:9">
      <c r="B432" s="11" t="str">
        <f t="shared" si="36"/>
        <v/>
      </c>
      <c r="C432" s="11" t="str">
        <f t="shared" si="39"/>
        <v/>
      </c>
      <c r="D432" s="11" t="str">
        <f t="shared" si="40"/>
        <v/>
      </c>
      <c r="E432" s="11" t="str">
        <f t="shared" si="37"/>
        <v/>
      </c>
      <c r="F432" s="11" t="str">
        <f t="shared" si="38"/>
        <v/>
      </c>
      <c r="G432" s="10" t="str">
        <v/>
      </c>
      <c r="H432" s="11" t="str">
        <v/>
      </c>
      <c r="I432" s="11" t="str">
        <v/>
      </c>
    </row>
    <row r="433" spans="2:9">
      <c r="B433" s="11" t="str">
        <f t="shared" si="36"/>
        <v/>
      </c>
      <c r="C433" s="11" t="str">
        <f t="shared" si="39"/>
        <v/>
      </c>
      <c r="D433" s="11" t="str">
        <f t="shared" si="40"/>
        <v/>
      </c>
      <c r="E433" s="11" t="str">
        <f t="shared" si="37"/>
        <v/>
      </c>
      <c r="F433" s="11" t="str">
        <f t="shared" si="38"/>
        <v/>
      </c>
      <c r="G433" s="10" t="str">
        <v/>
      </c>
      <c r="H433" s="11" t="str">
        <v/>
      </c>
      <c r="I433" s="11" t="str">
        <v/>
      </c>
    </row>
    <row r="434" spans="2:9">
      <c r="B434" s="11" t="str">
        <f t="shared" si="36"/>
        <v/>
      </c>
      <c r="C434" s="11" t="str">
        <f t="shared" si="39"/>
        <v/>
      </c>
      <c r="D434" s="11" t="str">
        <f t="shared" si="40"/>
        <v/>
      </c>
      <c r="E434" s="11" t="str">
        <f t="shared" si="37"/>
        <v/>
      </c>
      <c r="F434" s="11" t="str">
        <f t="shared" si="38"/>
        <v/>
      </c>
      <c r="G434" s="10" t="str">
        <v/>
      </c>
      <c r="H434" s="11" t="str">
        <v/>
      </c>
      <c r="I434" s="11" t="str">
        <v/>
      </c>
    </row>
    <row r="435" spans="2:9">
      <c r="B435" s="11" t="str">
        <f t="shared" si="36"/>
        <v/>
      </c>
      <c r="C435" s="11" t="str">
        <f t="shared" si="39"/>
        <v/>
      </c>
      <c r="D435" s="11" t="str">
        <f t="shared" si="40"/>
        <v/>
      </c>
      <c r="E435" s="11" t="str">
        <f t="shared" si="37"/>
        <v/>
      </c>
      <c r="F435" s="11" t="str">
        <f t="shared" si="38"/>
        <v/>
      </c>
      <c r="G435" s="10" t="str">
        <v/>
      </c>
      <c r="H435" s="11" t="str">
        <v/>
      </c>
      <c r="I435" s="11" t="str">
        <v/>
      </c>
    </row>
    <row r="436" spans="2:9">
      <c r="B436" s="11" t="str">
        <f t="shared" si="36"/>
        <v/>
      </c>
      <c r="C436" s="11" t="str">
        <f t="shared" si="39"/>
        <v/>
      </c>
      <c r="D436" s="11" t="str">
        <f t="shared" si="40"/>
        <v/>
      </c>
      <c r="E436" s="11" t="str">
        <f t="shared" si="37"/>
        <v/>
      </c>
      <c r="F436" s="11" t="str">
        <f t="shared" si="38"/>
        <v/>
      </c>
      <c r="G436" s="10" t="str">
        <v/>
      </c>
      <c r="H436" s="11" t="str">
        <v/>
      </c>
      <c r="I436" s="11" t="str">
        <v/>
      </c>
    </row>
    <row r="437" spans="2:9">
      <c r="B437" s="11" t="str">
        <f t="shared" si="36"/>
        <v/>
      </c>
      <c r="C437" s="11" t="str">
        <f t="shared" si="39"/>
        <v/>
      </c>
      <c r="D437" s="11" t="str">
        <f t="shared" si="40"/>
        <v/>
      </c>
      <c r="E437" s="11" t="str">
        <f t="shared" si="37"/>
        <v/>
      </c>
      <c r="F437" s="11" t="str">
        <f t="shared" si="38"/>
        <v/>
      </c>
      <c r="G437" s="10" t="str">
        <v/>
      </c>
      <c r="H437" s="11" t="str">
        <v/>
      </c>
      <c r="I437" s="11" t="str">
        <v/>
      </c>
    </row>
    <row r="438" spans="2:9">
      <c r="B438" s="11" t="str">
        <f t="shared" si="36"/>
        <v/>
      </c>
      <c r="C438" s="11" t="str">
        <f t="shared" si="39"/>
        <v/>
      </c>
      <c r="D438" s="11" t="str">
        <f t="shared" si="40"/>
        <v/>
      </c>
      <c r="E438" s="11" t="str">
        <f t="shared" si="37"/>
        <v/>
      </c>
      <c r="F438" s="11" t="str">
        <f t="shared" si="38"/>
        <v/>
      </c>
      <c r="G438" s="10" t="str">
        <v/>
      </c>
      <c r="H438" s="11" t="str">
        <v/>
      </c>
      <c r="I438" s="11" t="str">
        <v/>
      </c>
    </row>
    <row r="439" spans="2:9">
      <c r="B439" s="11" t="str">
        <f t="shared" si="36"/>
        <v/>
      </c>
      <c r="C439" s="11" t="str">
        <f t="shared" si="39"/>
        <v/>
      </c>
      <c r="D439" s="11" t="str">
        <f t="shared" si="40"/>
        <v/>
      </c>
      <c r="E439" s="11" t="str">
        <f t="shared" si="37"/>
        <v/>
      </c>
      <c r="F439" s="11" t="str">
        <f t="shared" si="38"/>
        <v/>
      </c>
      <c r="G439" s="10" t="str">
        <v/>
      </c>
      <c r="H439" s="11" t="str">
        <v/>
      </c>
      <c r="I439" s="11" t="str">
        <v/>
      </c>
    </row>
    <row r="440" spans="2:9">
      <c r="B440" s="11" t="str">
        <f t="shared" si="36"/>
        <v/>
      </c>
      <c r="C440" s="11" t="str">
        <f t="shared" si="39"/>
        <v/>
      </c>
      <c r="D440" s="11" t="str">
        <f t="shared" si="40"/>
        <v/>
      </c>
      <c r="E440" s="11" t="str">
        <f t="shared" si="37"/>
        <v/>
      </c>
      <c r="F440" s="11" t="str">
        <f t="shared" si="38"/>
        <v/>
      </c>
      <c r="G440" s="10" t="str">
        <v/>
      </c>
      <c r="H440" s="11" t="str">
        <v/>
      </c>
      <c r="I440" s="11" t="str">
        <v/>
      </c>
    </row>
    <row r="441" spans="2:9">
      <c r="B441" s="11" t="str">
        <f t="shared" si="36"/>
        <v/>
      </c>
      <c r="C441" s="11" t="str">
        <f t="shared" si="39"/>
        <v/>
      </c>
      <c r="D441" s="11" t="str">
        <f t="shared" si="40"/>
        <v/>
      </c>
      <c r="E441" s="11" t="str">
        <f t="shared" si="37"/>
        <v/>
      </c>
      <c r="F441" s="11" t="str">
        <f t="shared" si="38"/>
        <v/>
      </c>
      <c r="G441" s="10" t="str">
        <v/>
      </c>
      <c r="H441" s="11" t="str">
        <v/>
      </c>
      <c r="I441" s="11" t="str">
        <v/>
      </c>
    </row>
    <row r="442" spans="2:9">
      <c r="B442" s="11" t="str">
        <f t="shared" si="36"/>
        <v/>
      </c>
      <c r="C442" s="11" t="str">
        <f t="shared" si="39"/>
        <v/>
      </c>
      <c r="D442" s="11" t="str">
        <f t="shared" si="40"/>
        <v/>
      </c>
      <c r="E442" s="11" t="str">
        <f t="shared" si="37"/>
        <v/>
      </c>
      <c r="F442" s="11" t="str">
        <f t="shared" si="38"/>
        <v/>
      </c>
      <c r="G442" s="10" t="str">
        <v/>
      </c>
      <c r="H442" s="11" t="str">
        <v/>
      </c>
      <c r="I442" s="11" t="str">
        <v/>
      </c>
    </row>
    <row r="443" spans="2:9">
      <c r="B443" s="11" t="str">
        <f t="shared" si="36"/>
        <v/>
      </c>
      <c r="C443" s="11" t="str">
        <f t="shared" si="39"/>
        <v/>
      </c>
      <c r="D443" s="11" t="str">
        <f t="shared" si="40"/>
        <v/>
      </c>
      <c r="E443" s="11" t="str">
        <f t="shared" si="37"/>
        <v/>
      </c>
      <c r="F443" s="11" t="str">
        <f t="shared" si="38"/>
        <v/>
      </c>
      <c r="G443" s="10" t="str">
        <v/>
      </c>
      <c r="H443" s="11" t="str">
        <v/>
      </c>
      <c r="I443" s="11" t="str">
        <v/>
      </c>
    </row>
    <row r="444" spans="2:9">
      <c r="B444" s="11" t="str">
        <f t="shared" si="36"/>
        <v/>
      </c>
      <c r="C444" s="11" t="str">
        <f t="shared" si="39"/>
        <v/>
      </c>
      <c r="D444" s="11" t="str">
        <f t="shared" si="40"/>
        <v/>
      </c>
      <c r="E444" s="11" t="str">
        <f t="shared" si="37"/>
        <v/>
      </c>
      <c r="F444" s="11" t="str">
        <f t="shared" si="38"/>
        <v/>
      </c>
      <c r="G444" s="10" t="str">
        <v/>
      </c>
      <c r="H444" s="11" t="str">
        <v/>
      </c>
      <c r="I444" s="11" t="str">
        <v/>
      </c>
    </row>
    <row r="445" spans="2:9">
      <c r="B445" s="11" t="str">
        <f t="shared" si="36"/>
        <v/>
      </c>
      <c r="C445" s="11" t="str">
        <f t="shared" si="39"/>
        <v/>
      </c>
      <c r="D445" s="11" t="str">
        <f t="shared" si="40"/>
        <v/>
      </c>
      <c r="E445" s="11" t="str">
        <f t="shared" si="37"/>
        <v/>
      </c>
      <c r="F445" s="11" t="str">
        <f t="shared" si="38"/>
        <v/>
      </c>
      <c r="G445" s="10" t="str">
        <v/>
      </c>
      <c r="H445" s="11" t="str">
        <v/>
      </c>
      <c r="I445" s="11" t="str">
        <v/>
      </c>
    </row>
    <row r="446" spans="2:9">
      <c r="B446" s="11" t="str">
        <f t="shared" si="36"/>
        <v/>
      </c>
      <c r="C446" s="11" t="str">
        <f t="shared" si="39"/>
        <v/>
      </c>
      <c r="D446" s="11" t="str">
        <f t="shared" si="40"/>
        <v/>
      </c>
      <c r="E446" s="11" t="str">
        <f t="shared" si="37"/>
        <v/>
      </c>
      <c r="F446" s="11" t="str">
        <f t="shared" si="38"/>
        <v/>
      </c>
      <c r="G446" s="10" t="str">
        <v/>
      </c>
      <c r="H446" s="11" t="str">
        <v/>
      </c>
      <c r="I446" s="11" t="str">
        <v/>
      </c>
    </row>
    <row r="447" spans="2:9">
      <c r="B447" s="11" t="str">
        <f t="shared" si="36"/>
        <v/>
      </c>
      <c r="C447" s="11" t="str">
        <f t="shared" si="39"/>
        <v/>
      </c>
      <c r="D447" s="11" t="str">
        <f t="shared" si="40"/>
        <v/>
      </c>
      <c r="E447" s="11" t="str">
        <f t="shared" si="37"/>
        <v/>
      </c>
      <c r="F447" s="11" t="str">
        <f t="shared" si="38"/>
        <v/>
      </c>
      <c r="G447" s="10" t="str">
        <v/>
      </c>
      <c r="H447" s="11" t="str">
        <v/>
      </c>
      <c r="I447" s="11" t="str">
        <v/>
      </c>
    </row>
    <row r="448" spans="2:9">
      <c r="B448" s="11" t="str">
        <f t="shared" si="36"/>
        <v/>
      </c>
      <c r="C448" s="11" t="str">
        <f t="shared" si="39"/>
        <v/>
      </c>
      <c r="D448" s="11" t="str">
        <f t="shared" si="40"/>
        <v/>
      </c>
      <c r="E448" s="11" t="str">
        <f t="shared" si="37"/>
        <v/>
      </c>
      <c r="F448" s="11" t="str">
        <f t="shared" si="38"/>
        <v/>
      </c>
      <c r="G448" s="10" t="str">
        <v/>
      </c>
      <c r="H448" s="11" t="str">
        <v/>
      </c>
      <c r="I448" s="11" t="str">
        <v/>
      </c>
    </row>
    <row r="449" spans="2:9">
      <c r="B449" s="11" t="str">
        <f t="shared" ref="B449:B512" si="41">IFERROR(IF(FIND(" ",A449)=6,IF(IFERROR(FIND(" PB",A449),"")&lt;&gt;"","артикул",IF(IFERROR(FIND(" CRN",A449),"")&lt;&gt;"","артикул","")),""),"")</f>
        <v/>
      </c>
      <c r="C449" s="11" t="str">
        <f t="shared" si="39"/>
        <v/>
      </c>
      <c r="D449" s="11" t="str">
        <f t="shared" si="40"/>
        <v/>
      </c>
      <c r="E449" s="11" t="str">
        <f t="shared" si="37"/>
        <v/>
      </c>
      <c r="F449" s="11" t="str">
        <f t="shared" si="38"/>
        <v/>
      </c>
      <c r="G449" s="10" t="str">
        <v/>
      </c>
      <c r="H449" s="11" t="str">
        <v/>
      </c>
      <c r="I449" s="11" t="str">
        <v/>
      </c>
    </row>
    <row r="450" spans="2:9">
      <c r="B450" s="11" t="str">
        <f t="shared" si="41"/>
        <v/>
      </c>
      <c r="C450" s="11" t="str">
        <f t="shared" si="39"/>
        <v/>
      </c>
      <c r="D450" s="11" t="str">
        <f t="shared" si="40"/>
        <v/>
      </c>
      <c r="E450" s="11" t="str">
        <f t="shared" ref="E450:E513" si="42" xml:space="preserve">
IF(B450="Артикул",
IF(
AND(RIGHT(A451,1)="%",
RIGHT(A452,1)="%",
RIGHT(A453,1)="%",
RIGHT(A454,1)="%"),MID(A455,FIND(" ",A455),50),
IF(
AND(RIGHT(A451,1)="%",
RIGHT(A452,1)="%",
RIGHT(A453,1)="%"),MID(A454,FIND(" ",A454),50),
IF(
AND(RIGHT(A451,1)="%",
RIGHT(A452,1)="%"),
MID(A453,FIND(" ",A453),50),
IF(
RIGHT(A451,1)="%",
MID(A452,FIND(" ",A452),50),"")))),"")</f>
        <v/>
      </c>
      <c r="F450" s="11" t="str">
        <f t="shared" ref="F450:F513" si="43">IFERROR(
IF(
AND(LEFT(A450,8)="Discount",FIND("%",A450)&gt;0),
MID(A450,
FIND(" ",A450),
FIND("%",A450)-FIND(" ",A450))
*-1,""),"")</f>
        <v/>
      </c>
      <c r="G450" s="10" t="str">
        <v/>
      </c>
      <c r="H450" s="11" t="str">
        <v/>
      </c>
      <c r="I450" s="11" t="str">
        <v/>
      </c>
    </row>
    <row r="451" spans="2:9">
      <c r="B451" s="11" t="str">
        <f t="shared" si="41"/>
        <v/>
      </c>
      <c r="C451" s="11" t="str">
        <f t="shared" si="39"/>
        <v/>
      </c>
      <c r="D451" s="11" t="str">
        <f t="shared" si="40"/>
        <v/>
      </c>
      <c r="E451" s="11" t="str">
        <f t="shared" si="42"/>
        <v/>
      </c>
      <c r="F451" s="11" t="str">
        <f t="shared" si="43"/>
        <v/>
      </c>
      <c r="G451" s="10" t="str">
        <v/>
      </c>
      <c r="H451" s="11" t="str">
        <v/>
      </c>
      <c r="I451" s="11" t="str">
        <v/>
      </c>
    </row>
    <row r="452" spans="2:9">
      <c r="B452" s="11" t="str">
        <f t="shared" si="41"/>
        <v/>
      </c>
      <c r="C452" s="11" t="str">
        <f t="shared" si="39"/>
        <v/>
      </c>
      <c r="D452" s="11" t="str">
        <f t="shared" si="40"/>
        <v/>
      </c>
      <c r="E452" s="11" t="str">
        <f t="shared" si="42"/>
        <v/>
      </c>
      <c r="F452" s="11" t="str">
        <f t="shared" si="43"/>
        <v/>
      </c>
      <c r="G452" s="10" t="str">
        <v/>
      </c>
      <c r="H452" s="11" t="str">
        <v/>
      </c>
      <c r="I452" s="11" t="str">
        <v/>
      </c>
    </row>
    <row r="453" spans="2:9">
      <c r="B453" s="11" t="str">
        <f t="shared" si="41"/>
        <v/>
      </c>
      <c r="C453" s="11" t="str">
        <f t="shared" si="39"/>
        <v/>
      </c>
      <c r="D453" s="11" t="str">
        <f t="shared" si="40"/>
        <v/>
      </c>
      <c r="E453" s="11" t="str">
        <f t="shared" si="42"/>
        <v/>
      </c>
      <c r="F453" s="11" t="str">
        <f t="shared" si="43"/>
        <v/>
      </c>
      <c r="G453" s="10" t="str">
        <v/>
      </c>
      <c r="H453" s="11" t="str">
        <v/>
      </c>
      <c r="I453" s="11" t="str">
        <v/>
      </c>
    </row>
    <row r="454" spans="2:9">
      <c r="B454" s="11" t="str">
        <f t="shared" si="41"/>
        <v/>
      </c>
      <c r="C454" s="11" t="str">
        <f t="shared" si="39"/>
        <v/>
      </c>
      <c r="D454" s="11" t="str">
        <f t="shared" si="40"/>
        <v/>
      </c>
      <c r="E454" s="11" t="str">
        <f t="shared" si="42"/>
        <v/>
      </c>
      <c r="F454" s="11" t="str">
        <f t="shared" si="43"/>
        <v/>
      </c>
      <c r="G454" s="10" t="str">
        <v/>
      </c>
      <c r="H454" s="11" t="str">
        <v/>
      </c>
      <c r="I454" s="11" t="str">
        <v/>
      </c>
    </row>
    <row r="455" spans="2:9">
      <c r="B455" s="11" t="str">
        <f t="shared" si="41"/>
        <v/>
      </c>
      <c r="C455" s="11" t="str">
        <f t="shared" si="39"/>
        <v/>
      </c>
      <c r="D455" s="11" t="str">
        <f t="shared" si="40"/>
        <v/>
      </c>
      <c r="E455" s="11" t="str">
        <f t="shared" si="42"/>
        <v/>
      </c>
      <c r="F455" s="11" t="str">
        <f t="shared" si="43"/>
        <v/>
      </c>
      <c r="G455" s="10" t="str">
        <v/>
      </c>
      <c r="H455" s="11" t="str">
        <v/>
      </c>
      <c r="I455" s="11" t="str">
        <v/>
      </c>
    </row>
    <row r="456" spans="2:9">
      <c r="B456" s="11" t="str">
        <f t="shared" si="41"/>
        <v/>
      </c>
      <c r="C456" s="11" t="str">
        <f t="shared" si="39"/>
        <v/>
      </c>
      <c r="D456" s="11" t="str">
        <f t="shared" si="40"/>
        <v/>
      </c>
      <c r="E456" s="11" t="str">
        <f t="shared" si="42"/>
        <v/>
      </c>
      <c r="F456" s="11" t="str">
        <f t="shared" si="43"/>
        <v/>
      </c>
      <c r="G456" s="10" t="str">
        <v/>
      </c>
      <c r="H456" s="11" t="str">
        <v/>
      </c>
      <c r="I456" s="11" t="str">
        <v/>
      </c>
    </row>
    <row r="457" spans="2:9">
      <c r="B457" s="11" t="str">
        <f t="shared" si="41"/>
        <v/>
      </c>
      <c r="C457" s="11" t="str">
        <f t="shared" si="39"/>
        <v/>
      </c>
      <c r="D457" s="11" t="str">
        <f t="shared" si="40"/>
        <v/>
      </c>
      <c r="E457" s="11" t="str">
        <f t="shared" si="42"/>
        <v/>
      </c>
      <c r="F457" s="11" t="str">
        <f t="shared" si="43"/>
        <v/>
      </c>
      <c r="G457" s="10" t="str">
        <v/>
      </c>
      <c r="H457" s="11" t="str">
        <v/>
      </c>
      <c r="I457" s="11" t="str">
        <v/>
      </c>
    </row>
    <row r="458" spans="2:9">
      <c r="B458" s="11" t="str">
        <f t="shared" si="41"/>
        <v/>
      </c>
      <c r="C458" s="11" t="str">
        <f t="shared" si="39"/>
        <v/>
      </c>
      <c r="D458" s="11" t="str">
        <f t="shared" si="40"/>
        <v/>
      </c>
      <c r="E458" s="11" t="str">
        <f t="shared" si="42"/>
        <v/>
      </c>
      <c r="F458" s="11" t="str">
        <f t="shared" si="43"/>
        <v/>
      </c>
      <c r="G458" s="10" t="str">
        <v/>
      </c>
      <c r="H458" s="11" t="str">
        <v/>
      </c>
      <c r="I458" s="11" t="str">
        <v/>
      </c>
    </row>
    <row r="459" spans="2:9">
      <c r="B459" s="11" t="str">
        <f t="shared" si="41"/>
        <v/>
      </c>
      <c r="C459" s="11" t="str">
        <f t="shared" si="39"/>
        <v/>
      </c>
      <c r="D459" s="11" t="str">
        <f t="shared" si="40"/>
        <v/>
      </c>
      <c r="E459" s="11" t="str">
        <f t="shared" si="42"/>
        <v/>
      </c>
      <c r="F459" s="11" t="str">
        <f t="shared" si="43"/>
        <v/>
      </c>
      <c r="G459" s="10" t="str">
        <v/>
      </c>
      <c r="H459" s="11" t="str">
        <v/>
      </c>
      <c r="I459" s="11" t="str">
        <v/>
      </c>
    </row>
    <row r="460" spans="2:9">
      <c r="B460" s="11" t="str">
        <f t="shared" si="41"/>
        <v/>
      </c>
      <c r="C460" s="11" t="str">
        <f t="shared" si="39"/>
        <v/>
      </c>
      <c r="D460" s="11" t="str">
        <f t="shared" si="40"/>
        <v/>
      </c>
      <c r="E460" s="11" t="str">
        <f t="shared" si="42"/>
        <v/>
      </c>
      <c r="F460" s="11" t="str">
        <f t="shared" si="43"/>
        <v/>
      </c>
      <c r="G460" s="10" t="str">
        <v/>
      </c>
      <c r="H460" s="11" t="str">
        <v/>
      </c>
      <c r="I460" s="11" t="str">
        <v/>
      </c>
    </row>
    <row r="461" spans="2:9">
      <c r="B461" s="11" t="str">
        <f t="shared" si="41"/>
        <v/>
      </c>
      <c r="C461" s="11" t="str">
        <f t="shared" ref="C461:C524" si="44">IF(B461="артикул",A461,"")</f>
        <v/>
      </c>
      <c r="D461" s="11" t="str">
        <f t="shared" ref="D461:D524" si="45">IF(B461="артикул",A462,"")</f>
        <v/>
      </c>
      <c r="E461" s="11" t="str">
        <f t="shared" si="42"/>
        <v/>
      </c>
      <c r="F461" s="11" t="str">
        <f t="shared" si="43"/>
        <v/>
      </c>
      <c r="G461" s="10" t="str">
        <v/>
      </c>
      <c r="H461" s="11" t="str">
        <v/>
      </c>
      <c r="I461" s="11" t="str">
        <v/>
      </c>
    </row>
    <row r="462" spans="2:9">
      <c r="B462" s="11" t="str">
        <f t="shared" si="41"/>
        <v/>
      </c>
      <c r="C462" s="11" t="str">
        <f t="shared" si="44"/>
        <v/>
      </c>
      <c r="D462" s="11" t="str">
        <f t="shared" si="45"/>
        <v/>
      </c>
      <c r="E462" s="11" t="str">
        <f t="shared" si="42"/>
        <v/>
      </c>
      <c r="F462" s="11" t="str">
        <f t="shared" si="43"/>
        <v/>
      </c>
      <c r="G462" s="10" t="str">
        <v/>
      </c>
      <c r="H462" s="11" t="str">
        <v/>
      </c>
      <c r="I462" s="11" t="str">
        <v/>
      </c>
    </row>
    <row r="463" spans="2:9">
      <c r="B463" s="11" t="str">
        <f t="shared" si="41"/>
        <v/>
      </c>
      <c r="C463" s="11" t="str">
        <f t="shared" si="44"/>
        <v/>
      </c>
      <c r="D463" s="11" t="str">
        <f t="shared" si="45"/>
        <v/>
      </c>
      <c r="E463" s="11" t="str">
        <f t="shared" si="42"/>
        <v/>
      </c>
      <c r="F463" s="11" t="str">
        <f t="shared" si="43"/>
        <v/>
      </c>
      <c r="G463" s="10" t="str">
        <v/>
      </c>
      <c r="H463" s="11" t="str">
        <v/>
      </c>
      <c r="I463" s="11" t="str">
        <v/>
      </c>
    </row>
    <row r="464" spans="2:9">
      <c r="B464" s="11" t="str">
        <f t="shared" si="41"/>
        <v/>
      </c>
      <c r="C464" s="11" t="str">
        <f t="shared" si="44"/>
        <v/>
      </c>
      <c r="D464" s="11" t="str">
        <f t="shared" si="45"/>
        <v/>
      </c>
      <c r="E464" s="11" t="str">
        <f t="shared" si="42"/>
        <v/>
      </c>
      <c r="F464" s="11" t="str">
        <f t="shared" si="43"/>
        <v/>
      </c>
      <c r="G464" s="10" t="str">
        <v/>
      </c>
      <c r="H464" s="11" t="str">
        <v/>
      </c>
      <c r="I464" s="11" t="str">
        <v/>
      </c>
    </row>
    <row r="465" spans="2:9">
      <c r="B465" s="11" t="str">
        <f t="shared" si="41"/>
        <v/>
      </c>
      <c r="C465" s="11" t="str">
        <f t="shared" si="44"/>
        <v/>
      </c>
      <c r="D465" s="11" t="str">
        <f t="shared" si="45"/>
        <v/>
      </c>
      <c r="E465" s="11" t="str">
        <f t="shared" si="42"/>
        <v/>
      </c>
      <c r="F465" s="11" t="str">
        <f t="shared" si="43"/>
        <v/>
      </c>
      <c r="G465" s="10" t="str">
        <v/>
      </c>
      <c r="H465" s="11" t="str">
        <v/>
      </c>
      <c r="I465" s="11" t="str">
        <v/>
      </c>
    </row>
    <row r="466" spans="2:9">
      <c r="B466" s="11" t="str">
        <f t="shared" si="41"/>
        <v/>
      </c>
      <c r="C466" s="11" t="str">
        <f t="shared" si="44"/>
        <v/>
      </c>
      <c r="D466" s="11" t="str">
        <f t="shared" si="45"/>
        <v/>
      </c>
      <c r="E466" s="11" t="str">
        <f t="shared" si="42"/>
        <v/>
      </c>
      <c r="F466" s="11" t="str">
        <f t="shared" si="43"/>
        <v/>
      </c>
      <c r="G466" s="10" t="str">
        <v/>
      </c>
      <c r="H466" s="11" t="str">
        <v/>
      </c>
      <c r="I466" s="11" t="str">
        <v/>
      </c>
    </row>
    <row r="467" spans="2:9">
      <c r="B467" s="11" t="str">
        <f t="shared" si="41"/>
        <v/>
      </c>
      <c r="C467" s="11" t="str">
        <f t="shared" si="44"/>
        <v/>
      </c>
      <c r="D467" s="11" t="str">
        <f t="shared" si="45"/>
        <v/>
      </c>
      <c r="E467" s="11" t="str">
        <f t="shared" si="42"/>
        <v/>
      </c>
      <c r="F467" s="11" t="str">
        <f t="shared" si="43"/>
        <v/>
      </c>
      <c r="G467" s="10" t="str">
        <v/>
      </c>
      <c r="H467" s="11" t="str">
        <v/>
      </c>
      <c r="I467" s="11" t="str">
        <v/>
      </c>
    </row>
    <row r="468" spans="2:9">
      <c r="B468" s="11" t="str">
        <f t="shared" si="41"/>
        <v/>
      </c>
      <c r="C468" s="11" t="str">
        <f t="shared" si="44"/>
        <v/>
      </c>
      <c r="D468" s="11" t="str">
        <f t="shared" si="45"/>
        <v/>
      </c>
      <c r="E468" s="11" t="str">
        <f t="shared" si="42"/>
        <v/>
      </c>
      <c r="F468" s="11" t="str">
        <f t="shared" si="43"/>
        <v/>
      </c>
      <c r="G468" s="10" t="str">
        <v/>
      </c>
      <c r="H468" s="11" t="str">
        <v/>
      </c>
      <c r="I468" s="11" t="str">
        <v/>
      </c>
    </row>
    <row r="469" spans="2:9">
      <c r="B469" s="11" t="str">
        <f t="shared" si="41"/>
        <v/>
      </c>
      <c r="C469" s="11" t="str">
        <f t="shared" si="44"/>
        <v/>
      </c>
      <c r="D469" s="11" t="str">
        <f t="shared" si="45"/>
        <v/>
      </c>
      <c r="E469" s="11" t="str">
        <f t="shared" si="42"/>
        <v/>
      </c>
      <c r="F469" s="11" t="str">
        <f t="shared" si="43"/>
        <v/>
      </c>
      <c r="G469" s="10" t="str">
        <v/>
      </c>
      <c r="H469" s="11" t="str">
        <v/>
      </c>
      <c r="I469" s="11" t="str">
        <v/>
      </c>
    </row>
    <row r="470" spans="2:9">
      <c r="B470" s="11" t="str">
        <f t="shared" si="41"/>
        <v/>
      </c>
      <c r="C470" s="11" t="str">
        <f t="shared" si="44"/>
        <v/>
      </c>
      <c r="D470" s="11" t="str">
        <f t="shared" si="45"/>
        <v/>
      </c>
      <c r="E470" s="11" t="str">
        <f t="shared" si="42"/>
        <v/>
      </c>
      <c r="F470" s="11" t="str">
        <f t="shared" si="43"/>
        <v/>
      </c>
      <c r="G470" s="10" t="str">
        <v/>
      </c>
      <c r="H470" s="11" t="str">
        <v/>
      </c>
      <c r="I470" s="11" t="str">
        <v/>
      </c>
    </row>
    <row r="471" spans="2:9">
      <c r="B471" s="11" t="str">
        <f t="shared" si="41"/>
        <v/>
      </c>
      <c r="C471" s="11" t="str">
        <f t="shared" si="44"/>
        <v/>
      </c>
      <c r="D471" s="11" t="str">
        <f t="shared" si="45"/>
        <v/>
      </c>
      <c r="E471" s="11" t="str">
        <f t="shared" si="42"/>
        <v/>
      </c>
      <c r="F471" s="11" t="str">
        <f t="shared" si="43"/>
        <v/>
      </c>
      <c r="G471" s="10" t="str">
        <v/>
      </c>
      <c r="H471" s="11" t="str">
        <v/>
      </c>
      <c r="I471" s="11" t="str">
        <v/>
      </c>
    </row>
    <row r="472" spans="2:9">
      <c r="B472" s="11" t="str">
        <f t="shared" si="41"/>
        <v/>
      </c>
      <c r="C472" s="11" t="str">
        <f t="shared" si="44"/>
        <v/>
      </c>
      <c r="D472" s="11" t="str">
        <f t="shared" si="45"/>
        <v/>
      </c>
      <c r="E472" s="11" t="str">
        <f t="shared" si="42"/>
        <v/>
      </c>
      <c r="F472" s="11" t="str">
        <f t="shared" si="43"/>
        <v/>
      </c>
      <c r="G472" s="10" t="str">
        <v/>
      </c>
      <c r="H472" s="11" t="str">
        <v/>
      </c>
      <c r="I472" s="11" t="str">
        <v/>
      </c>
    </row>
    <row r="473" spans="2:9">
      <c r="B473" s="11" t="str">
        <f t="shared" si="41"/>
        <v/>
      </c>
      <c r="C473" s="11" t="str">
        <f t="shared" si="44"/>
        <v/>
      </c>
      <c r="D473" s="11" t="str">
        <f t="shared" si="45"/>
        <v/>
      </c>
      <c r="E473" s="11" t="str">
        <f t="shared" si="42"/>
        <v/>
      </c>
      <c r="F473" s="11" t="str">
        <f t="shared" si="43"/>
        <v/>
      </c>
      <c r="G473" s="10" t="str">
        <v/>
      </c>
      <c r="H473" s="11" t="str">
        <v/>
      </c>
      <c r="I473" s="11" t="str">
        <v/>
      </c>
    </row>
    <row r="474" spans="2:9">
      <c r="B474" s="11" t="str">
        <f t="shared" si="41"/>
        <v/>
      </c>
      <c r="C474" s="11" t="str">
        <f t="shared" si="44"/>
        <v/>
      </c>
      <c r="D474" s="11" t="str">
        <f t="shared" si="45"/>
        <v/>
      </c>
      <c r="E474" s="11" t="str">
        <f t="shared" si="42"/>
        <v/>
      </c>
      <c r="F474" s="11" t="str">
        <f t="shared" si="43"/>
        <v/>
      </c>
      <c r="G474" s="10" t="str">
        <v/>
      </c>
      <c r="H474" s="11" t="str">
        <v/>
      </c>
      <c r="I474" s="11" t="str">
        <v/>
      </c>
    </row>
    <row r="475" spans="2:9">
      <c r="B475" s="11" t="str">
        <f t="shared" si="41"/>
        <v/>
      </c>
      <c r="C475" s="11" t="str">
        <f t="shared" si="44"/>
        <v/>
      </c>
      <c r="D475" s="11" t="str">
        <f t="shared" si="45"/>
        <v/>
      </c>
      <c r="E475" s="11" t="str">
        <f t="shared" si="42"/>
        <v/>
      </c>
      <c r="F475" s="11" t="str">
        <f t="shared" si="43"/>
        <v/>
      </c>
      <c r="G475" s="10" t="str">
        <v/>
      </c>
      <c r="H475" s="11" t="str">
        <v/>
      </c>
      <c r="I475" s="11" t="str">
        <v/>
      </c>
    </row>
    <row r="476" spans="2:9">
      <c r="B476" s="11" t="str">
        <f t="shared" si="41"/>
        <v/>
      </c>
      <c r="C476" s="11" t="str">
        <f t="shared" si="44"/>
        <v/>
      </c>
      <c r="D476" s="11" t="str">
        <f t="shared" si="45"/>
        <v/>
      </c>
      <c r="E476" s="11" t="str">
        <f t="shared" si="42"/>
        <v/>
      </c>
      <c r="F476" s="11" t="str">
        <f t="shared" si="43"/>
        <v/>
      </c>
      <c r="G476" s="10" t="str">
        <v/>
      </c>
      <c r="H476" s="11" t="str">
        <v/>
      </c>
      <c r="I476" s="11" t="str">
        <v/>
      </c>
    </row>
    <row r="477" spans="2:9">
      <c r="B477" s="11" t="str">
        <f t="shared" si="41"/>
        <v/>
      </c>
      <c r="C477" s="11" t="str">
        <f t="shared" si="44"/>
        <v/>
      </c>
      <c r="D477" s="11" t="str">
        <f t="shared" si="45"/>
        <v/>
      </c>
      <c r="E477" s="11" t="str">
        <f t="shared" si="42"/>
        <v/>
      </c>
      <c r="F477" s="11" t="str">
        <f t="shared" si="43"/>
        <v/>
      </c>
      <c r="G477" s="10" t="str">
        <v/>
      </c>
      <c r="H477" s="11" t="str">
        <v/>
      </c>
      <c r="I477" s="11" t="str">
        <v/>
      </c>
    </row>
    <row r="478" spans="2:9">
      <c r="B478" s="11" t="str">
        <f t="shared" si="41"/>
        <v/>
      </c>
      <c r="C478" s="11" t="str">
        <f t="shared" si="44"/>
        <v/>
      </c>
      <c r="D478" s="11" t="str">
        <f t="shared" si="45"/>
        <v/>
      </c>
      <c r="E478" s="11" t="str">
        <f t="shared" si="42"/>
        <v/>
      </c>
      <c r="F478" s="11" t="str">
        <f t="shared" si="43"/>
        <v/>
      </c>
      <c r="G478" s="10" t="str">
        <v/>
      </c>
      <c r="H478" s="11" t="str">
        <v/>
      </c>
      <c r="I478" s="11" t="str">
        <v/>
      </c>
    </row>
    <row r="479" spans="2:9">
      <c r="B479" s="11" t="str">
        <f t="shared" si="41"/>
        <v/>
      </c>
      <c r="C479" s="11" t="str">
        <f t="shared" si="44"/>
        <v/>
      </c>
      <c r="D479" s="11" t="str">
        <f t="shared" si="45"/>
        <v/>
      </c>
      <c r="E479" s="11" t="str">
        <f t="shared" si="42"/>
        <v/>
      </c>
      <c r="F479" s="11" t="str">
        <f t="shared" si="43"/>
        <v/>
      </c>
      <c r="G479" s="10" t="str">
        <v/>
      </c>
      <c r="H479" s="11" t="str">
        <v/>
      </c>
      <c r="I479" s="11" t="str">
        <v/>
      </c>
    </row>
    <row r="480" spans="2:9">
      <c r="B480" s="11" t="str">
        <f t="shared" si="41"/>
        <v/>
      </c>
      <c r="C480" s="11" t="str">
        <f t="shared" si="44"/>
        <v/>
      </c>
      <c r="D480" s="11" t="str">
        <f t="shared" si="45"/>
        <v/>
      </c>
      <c r="E480" s="11" t="str">
        <f t="shared" si="42"/>
        <v/>
      </c>
      <c r="F480" s="11" t="str">
        <f t="shared" si="43"/>
        <v/>
      </c>
      <c r="G480" s="10" t="str">
        <v/>
      </c>
      <c r="H480" s="11" t="str">
        <v/>
      </c>
      <c r="I480" s="11" t="str">
        <v/>
      </c>
    </row>
    <row r="481" spans="2:9">
      <c r="B481" s="11" t="str">
        <f t="shared" si="41"/>
        <v/>
      </c>
      <c r="C481" s="11" t="str">
        <f t="shared" si="44"/>
        <v/>
      </c>
      <c r="D481" s="11" t="str">
        <f t="shared" si="45"/>
        <v/>
      </c>
      <c r="E481" s="11" t="str">
        <f t="shared" si="42"/>
        <v/>
      </c>
      <c r="F481" s="11" t="str">
        <f t="shared" si="43"/>
        <v/>
      </c>
      <c r="G481" s="10" t="str">
        <v/>
      </c>
      <c r="H481" s="11" t="str">
        <v/>
      </c>
      <c r="I481" s="11" t="str">
        <v/>
      </c>
    </row>
    <row r="482" spans="2:9">
      <c r="B482" s="11" t="str">
        <f t="shared" si="41"/>
        <v/>
      </c>
      <c r="C482" s="11" t="str">
        <f t="shared" si="44"/>
        <v/>
      </c>
      <c r="D482" s="11" t="str">
        <f t="shared" si="45"/>
        <v/>
      </c>
      <c r="E482" s="11" t="str">
        <f t="shared" si="42"/>
        <v/>
      </c>
      <c r="F482" s="11" t="str">
        <f t="shared" si="43"/>
        <v/>
      </c>
      <c r="G482" s="10" t="str">
        <v/>
      </c>
      <c r="H482" s="11" t="str">
        <v/>
      </c>
      <c r="I482" s="11" t="str">
        <v/>
      </c>
    </row>
    <row r="483" spans="2:9">
      <c r="B483" s="11" t="str">
        <f t="shared" si="41"/>
        <v/>
      </c>
      <c r="C483" s="11" t="str">
        <f t="shared" si="44"/>
        <v/>
      </c>
      <c r="D483" s="11" t="str">
        <f t="shared" si="45"/>
        <v/>
      </c>
      <c r="E483" s="11" t="str">
        <f t="shared" si="42"/>
        <v/>
      </c>
      <c r="F483" s="11" t="str">
        <f t="shared" si="43"/>
        <v/>
      </c>
      <c r="G483" s="10" t="str">
        <v/>
      </c>
      <c r="H483" s="11" t="str">
        <v/>
      </c>
      <c r="I483" s="11" t="str">
        <v/>
      </c>
    </row>
    <row r="484" spans="2:9">
      <c r="B484" s="11" t="str">
        <f t="shared" si="41"/>
        <v/>
      </c>
      <c r="C484" s="11" t="str">
        <f t="shared" si="44"/>
        <v/>
      </c>
      <c r="D484" s="11" t="str">
        <f t="shared" si="45"/>
        <v/>
      </c>
      <c r="E484" s="11" t="str">
        <f t="shared" si="42"/>
        <v/>
      </c>
      <c r="F484" s="11" t="str">
        <f t="shared" si="43"/>
        <v/>
      </c>
      <c r="G484" s="10" t="str">
        <v/>
      </c>
      <c r="H484" s="11" t="str">
        <v/>
      </c>
      <c r="I484" s="11" t="str">
        <v/>
      </c>
    </row>
    <row r="485" spans="2:9">
      <c r="B485" s="11" t="str">
        <f t="shared" si="41"/>
        <v/>
      </c>
      <c r="C485" s="11" t="str">
        <f t="shared" si="44"/>
        <v/>
      </c>
      <c r="D485" s="11" t="str">
        <f t="shared" si="45"/>
        <v/>
      </c>
      <c r="E485" s="11" t="str">
        <f t="shared" si="42"/>
        <v/>
      </c>
      <c r="F485" s="11" t="str">
        <f t="shared" si="43"/>
        <v/>
      </c>
      <c r="G485" s="10" t="str">
        <v/>
      </c>
      <c r="H485" s="11" t="str">
        <v/>
      </c>
      <c r="I485" s="11" t="str">
        <v/>
      </c>
    </row>
    <row r="486" spans="2:9">
      <c r="B486" s="11" t="str">
        <f t="shared" si="41"/>
        <v/>
      </c>
      <c r="C486" s="11" t="str">
        <f t="shared" si="44"/>
        <v/>
      </c>
      <c r="D486" s="11" t="str">
        <f t="shared" si="45"/>
        <v/>
      </c>
      <c r="E486" s="11" t="str">
        <f t="shared" si="42"/>
        <v/>
      </c>
      <c r="F486" s="11" t="str">
        <f t="shared" si="43"/>
        <v/>
      </c>
      <c r="G486" s="10" t="str">
        <v/>
      </c>
      <c r="H486" s="11" t="str">
        <v/>
      </c>
      <c r="I486" s="11" t="str">
        <v/>
      </c>
    </row>
    <row r="487" spans="2:9">
      <c r="B487" s="11" t="str">
        <f t="shared" si="41"/>
        <v/>
      </c>
      <c r="C487" s="11" t="str">
        <f t="shared" si="44"/>
        <v/>
      </c>
      <c r="D487" s="11" t="str">
        <f t="shared" si="45"/>
        <v/>
      </c>
      <c r="E487" s="11" t="str">
        <f t="shared" si="42"/>
        <v/>
      </c>
      <c r="F487" s="11" t="str">
        <f t="shared" si="43"/>
        <v/>
      </c>
      <c r="G487" s="10" t="str">
        <v/>
      </c>
      <c r="H487" s="11" t="str">
        <v/>
      </c>
      <c r="I487" s="11" t="str">
        <v/>
      </c>
    </row>
    <row r="488" spans="2:9">
      <c r="B488" s="11" t="str">
        <f t="shared" si="41"/>
        <v/>
      </c>
      <c r="C488" s="11" t="str">
        <f t="shared" si="44"/>
        <v/>
      </c>
      <c r="D488" s="11" t="str">
        <f t="shared" si="45"/>
        <v/>
      </c>
      <c r="E488" s="11" t="str">
        <f t="shared" si="42"/>
        <v/>
      </c>
      <c r="F488" s="11" t="str">
        <f t="shared" si="43"/>
        <v/>
      </c>
      <c r="G488" s="10" t="str">
        <v/>
      </c>
      <c r="H488" s="11" t="str">
        <v/>
      </c>
      <c r="I488" s="11" t="str">
        <v/>
      </c>
    </row>
    <row r="489" spans="2:9">
      <c r="B489" s="11" t="str">
        <f t="shared" si="41"/>
        <v/>
      </c>
      <c r="C489" s="11" t="str">
        <f t="shared" si="44"/>
        <v/>
      </c>
      <c r="D489" s="11" t="str">
        <f t="shared" si="45"/>
        <v/>
      </c>
      <c r="E489" s="11" t="str">
        <f t="shared" si="42"/>
        <v/>
      </c>
      <c r="F489" s="11" t="str">
        <f t="shared" si="43"/>
        <v/>
      </c>
      <c r="G489" s="10" t="str">
        <v/>
      </c>
      <c r="H489" s="11" t="str">
        <v/>
      </c>
      <c r="I489" s="11" t="str">
        <v/>
      </c>
    </row>
    <row r="490" spans="2:9">
      <c r="B490" s="11" t="str">
        <f t="shared" si="41"/>
        <v/>
      </c>
      <c r="C490" s="11" t="str">
        <f t="shared" si="44"/>
        <v/>
      </c>
      <c r="D490" s="11" t="str">
        <f t="shared" si="45"/>
        <v/>
      </c>
      <c r="E490" s="11" t="str">
        <f t="shared" si="42"/>
        <v/>
      </c>
      <c r="F490" s="11" t="str">
        <f t="shared" si="43"/>
        <v/>
      </c>
      <c r="G490" s="10" t="str">
        <v/>
      </c>
      <c r="H490" s="11" t="str">
        <v/>
      </c>
      <c r="I490" s="11" t="str">
        <v/>
      </c>
    </row>
    <row r="491" spans="2:9">
      <c r="B491" s="11" t="str">
        <f t="shared" si="41"/>
        <v/>
      </c>
      <c r="C491" s="11" t="str">
        <f t="shared" si="44"/>
        <v/>
      </c>
      <c r="D491" s="11" t="str">
        <f t="shared" si="45"/>
        <v/>
      </c>
      <c r="E491" s="11" t="str">
        <f t="shared" si="42"/>
        <v/>
      </c>
      <c r="F491" s="11" t="str">
        <f t="shared" si="43"/>
        <v/>
      </c>
      <c r="G491" s="10" t="str">
        <v/>
      </c>
      <c r="H491" s="11" t="str">
        <v/>
      </c>
      <c r="I491" s="11" t="str">
        <v/>
      </c>
    </row>
    <row r="492" spans="2:9">
      <c r="B492" s="11" t="str">
        <f t="shared" si="41"/>
        <v/>
      </c>
      <c r="C492" s="11" t="str">
        <f t="shared" si="44"/>
        <v/>
      </c>
      <c r="D492" s="11" t="str">
        <f t="shared" si="45"/>
        <v/>
      </c>
      <c r="E492" s="11" t="str">
        <f t="shared" si="42"/>
        <v/>
      </c>
      <c r="F492" s="11" t="str">
        <f t="shared" si="43"/>
        <v/>
      </c>
      <c r="G492" s="10" t="str">
        <v/>
      </c>
      <c r="H492" s="11" t="str">
        <v/>
      </c>
      <c r="I492" s="11" t="str">
        <v/>
      </c>
    </row>
    <row r="493" spans="2:9">
      <c r="B493" s="11" t="str">
        <f t="shared" si="41"/>
        <v/>
      </c>
      <c r="C493" s="11" t="str">
        <f t="shared" si="44"/>
        <v/>
      </c>
      <c r="D493" s="11" t="str">
        <f t="shared" si="45"/>
        <v/>
      </c>
      <c r="E493" s="11" t="str">
        <f t="shared" si="42"/>
        <v/>
      </c>
      <c r="F493" s="11" t="str">
        <f t="shared" si="43"/>
        <v/>
      </c>
      <c r="G493" s="10" t="str">
        <v/>
      </c>
      <c r="H493" s="11" t="str">
        <v/>
      </c>
      <c r="I493" s="11" t="str">
        <v/>
      </c>
    </row>
    <row r="494" spans="2:9">
      <c r="B494" s="11" t="str">
        <f t="shared" si="41"/>
        <v/>
      </c>
      <c r="C494" s="11" t="str">
        <f t="shared" si="44"/>
        <v/>
      </c>
      <c r="D494" s="11" t="str">
        <f t="shared" si="45"/>
        <v/>
      </c>
      <c r="E494" s="11" t="str">
        <f t="shared" si="42"/>
        <v/>
      </c>
      <c r="F494" s="11" t="str">
        <f t="shared" si="43"/>
        <v/>
      </c>
      <c r="G494" s="10" t="str">
        <v/>
      </c>
      <c r="H494" s="11" t="str">
        <v/>
      </c>
      <c r="I494" s="11" t="str">
        <v/>
      </c>
    </row>
    <row r="495" spans="2:9">
      <c r="B495" s="11" t="str">
        <f t="shared" si="41"/>
        <v/>
      </c>
      <c r="C495" s="11" t="str">
        <f t="shared" si="44"/>
        <v/>
      </c>
      <c r="D495" s="11" t="str">
        <f t="shared" si="45"/>
        <v/>
      </c>
      <c r="E495" s="11" t="str">
        <f t="shared" si="42"/>
        <v/>
      </c>
      <c r="F495" s="11" t="str">
        <f t="shared" si="43"/>
        <v/>
      </c>
      <c r="G495" s="10" t="str">
        <v/>
      </c>
      <c r="H495" s="11" t="str">
        <v/>
      </c>
      <c r="I495" s="11" t="str">
        <v/>
      </c>
    </row>
    <row r="496" spans="2:9">
      <c r="B496" s="11" t="str">
        <f t="shared" si="41"/>
        <v/>
      </c>
      <c r="C496" s="11" t="str">
        <f t="shared" si="44"/>
        <v/>
      </c>
      <c r="D496" s="11" t="str">
        <f t="shared" si="45"/>
        <v/>
      </c>
      <c r="E496" s="11" t="str">
        <f t="shared" si="42"/>
        <v/>
      </c>
      <c r="F496" s="11" t="str">
        <f t="shared" si="43"/>
        <v/>
      </c>
      <c r="G496" s="10" t="str">
        <v/>
      </c>
      <c r="H496" s="11" t="str">
        <v/>
      </c>
      <c r="I496" s="11" t="str">
        <v/>
      </c>
    </row>
    <row r="497" spans="2:9">
      <c r="B497" s="11" t="str">
        <f t="shared" si="41"/>
        <v/>
      </c>
      <c r="C497" s="11" t="str">
        <f t="shared" si="44"/>
        <v/>
      </c>
      <c r="D497" s="11" t="str">
        <f t="shared" si="45"/>
        <v/>
      </c>
      <c r="E497" s="11" t="str">
        <f t="shared" si="42"/>
        <v/>
      </c>
      <c r="F497" s="11" t="str">
        <f t="shared" si="43"/>
        <v/>
      </c>
      <c r="G497" s="10" t="str">
        <v/>
      </c>
      <c r="H497" s="11" t="str">
        <v/>
      </c>
      <c r="I497" s="11" t="str">
        <v/>
      </c>
    </row>
    <row r="498" spans="2:9">
      <c r="B498" s="11" t="str">
        <f t="shared" si="41"/>
        <v/>
      </c>
      <c r="C498" s="11" t="str">
        <f t="shared" si="44"/>
        <v/>
      </c>
      <c r="D498" s="11" t="str">
        <f t="shared" si="45"/>
        <v/>
      </c>
      <c r="E498" s="11" t="str">
        <f t="shared" si="42"/>
        <v/>
      </c>
      <c r="F498" s="11" t="str">
        <f t="shared" si="43"/>
        <v/>
      </c>
      <c r="G498" s="10" t="str">
        <v/>
      </c>
      <c r="H498" s="11" t="str">
        <v/>
      </c>
      <c r="I498" s="11" t="str">
        <v/>
      </c>
    </row>
    <row r="499" spans="2:9">
      <c r="B499" s="11" t="str">
        <f t="shared" si="41"/>
        <v/>
      </c>
      <c r="C499" s="11" t="str">
        <f t="shared" si="44"/>
        <v/>
      </c>
      <c r="D499" s="11" t="str">
        <f t="shared" si="45"/>
        <v/>
      </c>
      <c r="E499" s="11" t="str">
        <f t="shared" si="42"/>
        <v/>
      </c>
      <c r="F499" s="11" t="str">
        <f t="shared" si="43"/>
        <v/>
      </c>
      <c r="G499" s="10" t="str">
        <v/>
      </c>
      <c r="H499" s="11" t="str">
        <v/>
      </c>
      <c r="I499" s="11" t="str">
        <v/>
      </c>
    </row>
    <row r="500" spans="2:9">
      <c r="B500" s="11" t="str">
        <f t="shared" si="41"/>
        <v/>
      </c>
      <c r="C500" s="11" t="str">
        <f t="shared" si="44"/>
        <v/>
      </c>
      <c r="D500" s="11" t="str">
        <f t="shared" si="45"/>
        <v/>
      </c>
      <c r="E500" s="11" t="str">
        <f t="shared" si="42"/>
        <v/>
      </c>
      <c r="F500" s="11" t="str">
        <f t="shared" si="43"/>
        <v/>
      </c>
      <c r="G500" s="10" t="str">
        <v/>
      </c>
      <c r="H500" s="11" t="str">
        <v/>
      </c>
      <c r="I500" s="11" t="str">
        <v/>
      </c>
    </row>
    <row r="501" spans="2:9">
      <c r="B501" s="11" t="str">
        <f t="shared" si="41"/>
        <v/>
      </c>
      <c r="C501" s="11" t="str">
        <f t="shared" si="44"/>
        <v/>
      </c>
      <c r="D501" s="11" t="str">
        <f t="shared" si="45"/>
        <v/>
      </c>
      <c r="E501" s="11" t="str">
        <f t="shared" si="42"/>
        <v/>
      </c>
      <c r="F501" s="11" t="str">
        <f t="shared" si="43"/>
        <v/>
      </c>
      <c r="G501" s="10" t="str">
        <v/>
      </c>
      <c r="H501" s="11" t="str">
        <v/>
      </c>
      <c r="I501" s="11" t="str">
        <v/>
      </c>
    </row>
    <row r="502" spans="2:9">
      <c r="B502" s="11" t="str">
        <f t="shared" si="41"/>
        <v/>
      </c>
      <c r="C502" s="11" t="str">
        <f t="shared" si="44"/>
        <v/>
      </c>
      <c r="D502" s="11" t="str">
        <f t="shared" si="45"/>
        <v/>
      </c>
      <c r="E502" s="11" t="str">
        <f t="shared" si="42"/>
        <v/>
      </c>
      <c r="F502" s="11" t="str">
        <f t="shared" si="43"/>
        <v/>
      </c>
      <c r="G502" s="10" t="str">
        <v/>
      </c>
      <c r="H502" s="11" t="str">
        <v/>
      </c>
      <c r="I502" s="11" t="str">
        <v/>
      </c>
    </row>
    <row r="503" spans="2:9">
      <c r="B503" s="11" t="str">
        <f t="shared" si="41"/>
        <v/>
      </c>
      <c r="C503" s="11" t="str">
        <f t="shared" si="44"/>
        <v/>
      </c>
      <c r="D503" s="11" t="str">
        <f t="shared" si="45"/>
        <v/>
      </c>
      <c r="E503" s="11" t="str">
        <f t="shared" si="42"/>
        <v/>
      </c>
      <c r="F503" s="11" t="str">
        <f t="shared" si="43"/>
        <v/>
      </c>
      <c r="G503" s="10" t="str">
        <v/>
      </c>
      <c r="H503" s="11" t="str">
        <v/>
      </c>
      <c r="I503" s="11" t="str">
        <v/>
      </c>
    </row>
    <row r="504" spans="2:9">
      <c r="B504" s="11" t="str">
        <f t="shared" si="41"/>
        <v/>
      </c>
      <c r="C504" s="11" t="str">
        <f t="shared" si="44"/>
        <v/>
      </c>
      <c r="D504" s="11" t="str">
        <f t="shared" si="45"/>
        <v/>
      </c>
      <c r="E504" s="11" t="str">
        <f t="shared" si="42"/>
        <v/>
      </c>
      <c r="F504" s="11" t="str">
        <f t="shared" si="43"/>
        <v/>
      </c>
      <c r="G504" s="10" t="str">
        <v/>
      </c>
      <c r="H504" s="11" t="str">
        <v/>
      </c>
      <c r="I504" s="11" t="str">
        <v/>
      </c>
    </row>
    <row r="505" spans="2:9">
      <c r="B505" s="11" t="str">
        <f t="shared" si="41"/>
        <v/>
      </c>
      <c r="C505" s="11" t="str">
        <f t="shared" si="44"/>
        <v/>
      </c>
      <c r="D505" s="11" t="str">
        <f t="shared" si="45"/>
        <v/>
      </c>
      <c r="E505" s="11" t="str">
        <f t="shared" si="42"/>
        <v/>
      </c>
      <c r="F505" s="11" t="str">
        <f t="shared" si="43"/>
        <v/>
      </c>
      <c r="G505" s="10" t="str">
        <v/>
      </c>
      <c r="H505" s="11" t="str">
        <v/>
      </c>
      <c r="I505" s="11" t="str">
        <v/>
      </c>
    </row>
    <row r="506" spans="2:9">
      <c r="B506" s="11" t="str">
        <f t="shared" si="41"/>
        <v/>
      </c>
      <c r="C506" s="11" t="str">
        <f t="shared" si="44"/>
        <v/>
      </c>
      <c r="D506" s="11" t="str">
        <f t="shared" si="45"/>
        <v/>
      </c>
      <c r="E506" s="11" t="str">
        <f t="shared" si="42"/>
        <v/>
      </c>
      <c r="F506" s="11" t="str">
        <f t="shared" si="43"/>
        <v/>
      </c>
      <c r="G506" s="10" t="str">
        <v/>
      </c>
      <c r="H506" s="11" t="str">
        <v/>
      </c>
      <c r="I506" s="11" t="str">
        <v/>
      </c>
    </row>
    <row r="507" spans="2:9">
      <c r="B507" s="11" t="str">
        <f t="shared" si="41"/>
        <v/>
      </c>
      <c r="C507" s="11" t="str">
        <f t="shared" si="44"/>
        <v/>
      </c>
      <c r="D507" s="11" t="str">
        <f t="shared" si="45"/>
        <v/>
      </c>
      <c r="E507" s="11" t="str">
        <f t="shared" si="42"/>
        <v/>
      </c>
      <c r="F507" s="11" t="str">
        <f t="shared" si="43"/>
        <v/>
      </c>
      <c r="G507" s="10" t="str">
        <v/>
      </c>
      <c r="H507" s="11" t="str">
        <v/>
      </c>
      <c r="I507" s="11" t="str">
        <v/>
      </c>
    </row>
    <row r="508" spans="2:9">
      <c r="B508" s="11" t="str">
        <f t="shared" si="41"/>
        <v/>
      </c>
      <c r="C508" s="11" t="str">
        <f t="shared" si="44"/>
        <v/>
      </c>
      <c r="D508" s="11" t="str">
        <f t="shared" si="45"/>
        <v/>
      </c>
      <c r="E508" s="11" t="str">
        <f t="shared" si="42"/>
        <v/>
      </c>
      <c r="F508" s="11" t="str">
        <f t="shared" si="43"/>
        <v/>
      </c>
      <c r="G508" s="10" t="str">
        <v/>
      </c>
      <c r="H508" s="11" t="str">
        <v/>
      </c>
      <c r="I508" s="11" t="str">
        <v/>
      </c>
    </row>
    <row r="509" spans="2:9">
      <c r="B509" s="11" t="str">
        <f t="shared" si="41"/>
        <v/>
      </c>
      <c r="C509" s="11" t="str">
        <f t="shared" si="44"/>
        <v/>
      </c>
      <c r="D509" s="11" t="str">
        <f t="shared" si="45"/>
        <v/>
      </c>
      <c r="E509" s="11" t="str">
        <f t="shared" si="42"/>
        <v/>
      </c>
      <c r="F509" s="11" t="str">
        <f t="shared" si="43"/>
        <v/>
      </c>
      <c r="G509" s="10" t="str">
        <v/>
      </c>
      <c r="H509" s="11" t="str">
        <v/>
      </c>
      <c r="I509" s="11" t="str">
        <v/>
      </c>
    </row>
    <row r="510" spans="2:9">
      <c r="B510" s="11" t="str">
        <f t="shared" si="41"/>
        <v/>
      </c>
      <c r="C510" s="11" t="str">
        <f t="shared" si="44"/>
        <v/>
      </c>
      <c r="D510" s="11" t="str">
        <f t="shared" si="45"/>
        <v/>
      </c>
      <c r="E510" s="11" t="str">
        <f t="shared" si="42"/>
        <v/>
      </c>
      <c r="F510" s="11" t="str">
        <f t="shared" si="43"/>
        <v/>
      </c>
      <c r="G510" s="10" t="str">
        <v/>
      </c>
      <c r="H510" s="11" t="str">
        <v/>
      </c>
      <c r="I510" s="11" t="str">
        <v/>
      </c>
    </row>
    <row r="511" spans="2:9">
      <c r="B511" s="11" t="str">
        <f t="shared" si="41"/>
        <v/>
      </c>
      <c r="C511" s="11" t="str">
        <f t="shared" si="44"/>
        <v/>
      </c>
      <c r="D511" s="11" t="str">
        <f t="shared" si="45"/>
        <v/>
      </c>
      <c r="E511" s="11" t="str">
        <f t="shared" si="42"/>
        <v/>
      </c>
      <c r="F511" s="11" t="str">
        <f t="shared" si="43"/>
        <v/>
      </c>
      <c r="G511" s="10" t="str">
        <v/>
      </c>
      <c r="H511" s="11" t="str">
        <v/>
      </c>
      <c r="I511" s="11" t="str">
        <v/>
      </c>
    </row>
    <row r="512" spans="2:9">
      <c r="B512" s="11" t="str">
        <f t="shared" si="41"/>
        <v/>
      </c>
      <c r="C512" s="11" t="str">
        <f t="shared" si="44"/>
        <v/>
      </c>
      <c r="D512" s="11" t="str">
        <f t="shared" si="45"/>
        <v/>
      </c>
      <c r="E512" s="11" t="str">
        <f t="shared" si="42"/>
        <v/>
      </c>
      <c r="F512" s="11" t="str">
        <f t="shared" si="43"/>
        <v/>
      </c>
      <c r="G512" s="10" t="str">
        <v/>
      </c>
      <c r="H512" s="11" t="str">
        <v/>
      </c>
      <c r="I512" s="11" t="str">
        <v/>
      </c>
    </row>
    <row r="513" spans="2:9">
      <c r="B513" s="11" t="str">
        <f t="shared" ref="B513:B576" si="46">IFERROR(IF(FIND(" ",A513)=6,IF(IFERROR(FIND(" PB",A513),"")&lt;&gt;"","артикул",IF(IFERROR(FIND(" CRN",A513),"")&lt;&gt;"","артикул","")),""),"")</f>
        <v/>
      </c>
      <c r="C513" s="11" t="str">
        <f t="shared" si="44"/>
        <v/>
      </c>
      <c r="D513" s="11" t="str">
        <f t="shared" si="45"/>
        <v/>
      </c>
      <c r="E513" s="11" t="str">
        <f t="shared" si="42"/>
        <v/>
      </c>
      <c r="F513" s="11" t="str">
        <f t="shared" si="43"/>
        <v/>
      </c>
      <c r="G513" s="10" t="str">
        <v/>
      </c>
      <c r="H513" s="11" t="str">
        <v/>
      </c>
      <c r="I513" s="11" t="str">
        <v/>
      </c>
    </row>
    <row r="514" spans="2:9">
      <c r="B514" s="11" t="str">
        <f t="shared" si="46"/>
        <v/>
      </c>
      <c r="C514" s="11" t="str">
        <f t="shared" si="44"/>
        <v/>
      </c>
      <c r="D514" s="11" t="str">
        <f t="shared" si="45"/>
        <v/>
      </c>
      <c r="E514" s="11" t="str">
        <f t="shared" ref="E514:E577" si="47" xml:space="preserve">
IF(B514="Артикул",
IF(
AND(RIGHT(A515,1)="%",
RIGHT(A516,1)="%",
RIGHT(A517,1)="%",
RIGHT(A518,1)="%"),MID(A519,FIND(" ",A519),50),
IF(
AND(RIGHT(A515,1)="%",
RIGHT(A516,1)="%",
RIGHT(A517,1)="%"),MID(A518,FIND(" ",A518),50),
IF(
AND(RIGHT(A515,1)="%",
RIGHT(A516,1)="%"),
MID(A517,FIND(" ",A517),50),
IF(
RIGHT(A515,1)="%",
MID(A516,FIND(" ",A516),50),"")))),"")</f>
        <v/>
      </c>
      <c r="F514" s="11" t="str">
        <f t="shared" ref="F514:F577" si="48">IFERROR(
IF(
AND(LEFT(A514,8)="Discount",FIND("%",A514)&gt;0),
MID(A514,
FIND(" ",A514),
FIND("%",A514)-FIND(" ",A514))
*-1,""),"")</f>
        <v/>
      </c>
      <c r="G514" s="10" t="str">
        <v/>
      </c>
      <c r="H514" s="11" t="str">
        <v/>
      </c>
      <c r="I514" s="11" t="str">
        <v/>
      </c>
    </row>
    <row r="515" spans="2:9">
      <c r="B515" s="11" t="str">
        <f t="shared" si="46"/>
        <v/>
      </c>
      <c r="C515" s="11" t="str">
        <f t="shared" si="44"/>
        <v/>
      </c>
      <c r="D515" s="11" t="str">
        <f t="shared" si="45"/>
        <v/>
      </c>
      <c r="E515" s="11" t="str">
        <f t="shared" si="47"/>
        <v/>
      </c>
      <c r="F515" s="11" t="str">
        <f t="shared" si="48"/>
        <v/>
      </c>
      <c r="G515" s="10" t="str">
        <v/>
      </c>
      <c r="H515" s="11" t="str">
        <v/>
      </c>
      <c r="I515" s="11" t="str">
        <v/>
      </c>
    </row>
    <row r="516" spans="2:9">
      <c r="B516" s="11" t="str">
        <f t="shared" si="46"/>
        <v/>
      </c>
      <c r="C516" s="11" t="str">
        <f t="shared" si="44"/>
        <v/>
      </c>
      <c r="D516" s="11" t="str">
        <f t="shared" si="45"/>
        <v/>
      </c>
      <c r="E516" s="11" t="str">
        <f t="shared" si="47"/>
        <v/>
      </c>
      <c r="F516" s="11" t="str">
        <f t="shared" si="48"/>
        <v/>
      </c>
      <c r="G516" s="10" t="str">
        <v/>
      </c>
      <c r="H516" s="11" t="str">
        <v/>
      </c>
      <c r="I516" s="11" t="str">
        <v/>
      </c>
    </row>
    <row r="517" spans="2:9">
      <c r="B517" s="11" t="str">
        <f t="shared" si="46"/>
        <v/>
      </c>
      <c r="C517" s="11" t="str">
        <f t="shared" si="44"/>
        <v/>
      </c>
      <c r="D517" s="11" t="str">
        <f t="shared" si="45"/>
        <v/>
      </c>
      <c r="E517" s="11" t="str">
        <f t="shared" si="47"/>
        <v/>
      </c>
      <c r="F517" s="11" t="str">
        <f t="shared" si="48"/>
        <v/>
      </c>
      <c r="G517" s="10" t="str">
        <v/>
      </c>
      <c r="H517" s="11" t="str">
        <v/>
      </c>
      <c r="I517" s="11" t="str">
        <v/>
      </c>
    </row>
    <row r="518" spans="2:9">
      <c r="B518" s="11" t="str">
        <f t="shared" si="46"/>
        <v/>
      </c>
      <c r="C518" s="11" t="str">
        <f t="shared" si="44"/>
        <v/>
      </c>
      <c r="D518" s="11" t="str">
        <f t="shared" si="45"/>
        <v/>
      </c>
      <c r="E518" s="11" t="str">
        <f t="shared" si="47"/>
        <v/>
      </c>
      <c r="F518" s="11" t="str">
        <f t="shared" si="48"/>
        <v/>
      </c>
      <c r="G518" s="10" t="str">
        <v/>
      </c>
      <c r="H518" s="11" t="str">
        <v/>
      </c>
      <c r="I518" s="11" t="str">
        <v/>
      </c>
    </row>
    <row r="519" spans="2:9">
      <c r="B519" s="11" t="str">
        <f t="shared" si="46"/>
        <v/>
      </c>
      <c r="C519" s="11" t="str">
        <f t="shared" si="44"/>
        <v/>
      </c>
      <c r="D519" s="11" t="str">
        <f t="shared" si="45"/>
        <v/>
      </c>
      <c r="E519" s="11" t="str">
        <f t="shared" si="47"/>
        <v/>
      </c>
      <c r="F519" s="11" t="str">
        <f t="shared" si="48"/>
        <v/>
      </c>
      <c r="G519" s="10" t="str">
        <v/>
      </c>
      <c r="H519" s="11" t="str">
        <v/>
      </c>
      <c r="I519" s="11" t="str">
        <v/>
      </c>
    </row>
    <row r="520" spans="2:9">
      <c r="B520" s="11" t="str">
        <f t="shared" si="46"/>
        <v/>
      </c>
      <c r="C520" s="11" t="str">
        <f t="shared" si="44"/>
        <v/>
      </c>
      <c r="D520" s="11" t="str">
        <f t="shared" si="45"/>
        <v/>
      </c>
      <c r="E520" s="11" t="str">
        <f t="shared" si="47"/>
        <v/>
      </c>
      <c r="F520" s="11" t="str">
        <f t="shared" si="48"/>
        <v/>
      </c>
      <c r="G520" s="10" t="str">
        <v/>
      </c>
      <c r="H520" s="11" t="str">
        <v/>
      </c>
      <c r="I520" s="11" t="str">
        <v/>
      </c>
    </row>
    <row r="521" spans="2:9">
      <c r="B521" s="11" t="str">
        <f t="shared" si="46"/>
        <v/>
      </c>
      <c r="C521" s="11" t="str">
        <f t="shared" si="44"/>
        <v/>
      </c>
      <c r="D521" s="11" t="str">
        <f t="shared" si="45"/>
        <v/>
      </c>
      <c r="E521" s="11" t="str">
        <f t="shared" si="47"/>
        <v/>
      </c>
      <c r="F521" s="11" t="str">
        <f t="shared" si="48"/>
        <v/>
      </c>
      <c r="G521" s="10" t="str">
        <v/>
      </c>
      <c r="H521" s="11" t="str">
        <v/>
      </c>
      <c r="I521" s="11" t="str">
        <v/>
      </c>
    </row>
    <row r="522" spans="2:9">
      <c r="B522" s="11" t="str">
        <f t="shared" si="46"/>
        <v/>
      </c>
      <c r="C522" s="11" t="str">
        <f t="shared" si="44"/>
        <v/>
      </c>
      <c r="D522" s="11" t="str">
        <f t="shared" si="45"/>
        <v/>
      </c>
      <c r="E522" s="11" t="str">
        <f t="shared" si="47"/>
        <v/>
      </c>
      <c r="F522" s="11" t="str">
        <f t="shared" si="48"/>
        <v/>
      </c>
      <c r="G522" s="10" t="str">
        <v/>
      </c>
      <c r="H522" s="11" t="str">
        <v/>
      </c>
      <c r="I522" s="11" t="str">
        <v/>
      </c>
    </row>
    <row r="523" spans="2:9">
      <c r="B523" s="11" t="str">
        <f t="shared" si="46"/>
        <v/>
      </c>
      <c r="C523" s="11" t="str">
        <f t="shared" si="44"/>
        <v/>
      </c>
      <c r="D523" s="11" t="str">
        <f t="shared" si="45"/>
        <v/>
      </c>
      <c r="E523" s="11" t="str">
        <f t="shared" si="47"/>
        <v/>
      </c>
      <c r="F523" s="11" t="str">
        <f t="shared" si="48"/>
        <v/>
      </c>
      <c r="G523" s="10" t="str">
        <v/>
      </c>
      <c r="H523" s="11" t="str">
        <v/>
      </c>
      <c r="I523" s="11" t="str">
        <v/>
      </c>
    </row>
    <row r="524" spans="2:9">
      <c r="B524" s="11" t="str">
        <f t="shared" si="46"/>
        <v/>
      </c>
      <c r="C524" s="11" t="str">
        <f t="shared" si="44"/>
        <v/>
      </c>
      <c r="D524" s="11" t="str">
        <f t="shared" si="45"/>
        <v/>
      </c>
      <c r="E524" s="11" t="str">
        <f t="shared" si="47"/>
        <v/>
      </c>
      <c r="F524" s="11" t="str">
        <f t="shared" si="48"/>
        <v/>
      </c>
      <c r="G524" s="10" t="str">
        <v/>
      </c>
      <c r="H524" s="11" t="str">
        <v/>
      </c>
      <c r="I524" s="11" t="str">
        <v/>
      </c>
    </row>
    <row r="525" spans="2:9">
      <c r="B525" s="11" t="str">
        <f t="shared" si="46"/>
        <v/>
      </c>
      <c r="C525" s="11" t="str">
        <f t="shared" ref="C525:C588" si="49">IF(B525="артикул",A525,"")</f>
        <v/>
      </c>
      <c r="D525" s="11" t="str">
        <f t="shared" ref="D525:D588" si="50">IF(B525="артикул",A526,"")</f>
        <v/>
      </c>
      <c r="E525" s="11" t="str">
        <f t="shared" si="47"/>
        <v/>
      </c>
      <c r="F525" s="11" t="str">
        <f t="shared" si="48"/>
        <v/>
      </c>
      <c r="G525" s="10" t="str">
        <v/>
      </c>
      <c r="H525" s="11" t="str">
        <v/>
      </c>
      <c r="I525" s="11" t="str">
        <v/>
      </c>
    </row>
    <row r="526" spans="2:9">
      <c r="B526" s="11" t="str">
        <f t="shared" si="46"/>
        <v/>
      </c>
      <c r="C526" s="11" t="str">
        <f t="shared" si="49"/>
        <v/>
      </c>
      <c r="D526" s="11" t="str">
        <f t="shared" si="50"/>
        <v/>
      </c>
      <c r="E526" s="11" t="str">
        <f t="shared" si="47"/>
        <v/>
      </c>
      <c r="F526" s="11" t="str">
        <f t="shared" si="48"/>
        <v/>
      </c>
      <c r="G526" s="10" t="str">
        <v/>
      </c>
      <c r="H526" s="11" t="str">
        <v/>
      </c>
      <c r="I526" s="11" t="str">
        <v/>
      </c>
    </row>
    <row r="527" spans="2:9">
      <c r="B527" s="11" t="str">
        <f t="shared" si="46"/>
        <v/>
      </c>
      <c r="C527" s="11" t="str">
        <f t="shared" si="49"/>
        <v/>
      </c>
      <c r="D527" s="11" t="str">
        <f t="shared" si="50"/>
        <v/>
      </c>
      <c r="E527" s="11" t="str">
        <f t="shared" si="47"/>
        <v/>
      </c>
      <c r="F527" s="11" t="str">
        <f t="shared" si="48"/>
        <v/>
      </c>
      <c r="G527" s="10" t="str">
        <v/>
      </c>
      <c r="H527" s="11" t="str">
        <v/>
      </c>
      <c r="I527" s="11" t="str">
        <v/>
      </c>
    </row>
    <row r="528" spans="2:9">
      <c r="B528" s="11" t="str">
        <f t="shared" si="46"/>
        <v/>
      </c>
      <c r="C528" s="11" t="str">
        <f t="shared" si="49"/>
        <v/>
      </c>
      <c r="D528" s="11" t="str">
        <f t="shared" si="50"/>
        <v/>
      </c>
      <c r="E528" s="11" t="str">
        <f t="shared" si="47"/>
        <v/>
      </c>
      <c r="F528" s="11" t="str">
        <f t="shared" si="48"/>
        <v/>
      </c>
      <c r="G528" s="10" t="str">
        <v/>
      </c>
      <c r="H528" s="11" t="str">
        <v/>
      </c>
      <c r="I528" s="11" t="str">
        <v/>
      </c>
    </row>
    <row r="529" spans="2:9">
      <c r="B529" s="11" t="str">
        <f t="shared" si="46"/>
        <v/>
      </c>
      <c r="C529" s="11" t="str">
        <f t="shared" si="49"/>
        <v/>
      </c>
      <c r="D529" s="11" t="str">
        <f t="shared" si="50"/>
        <v/>
      </c>
      <c r="E529" s="11" t="str">
        <f t="shared" si="47"/>
        <v/>
      </c>
      <c r="F529" s="11" t="str">
        <f t="shared" si="48"/>
        <v/>
      </c>
      <c r="G529" s="10" t="str">
        <v/>
      </c>
      <c r="H529" s="11" t="str">
        <v/>
      </c>
      <c r="I529" s="11" t="str">
        <v/>
      </c>
    </row>
    <row r="530" spans="2:9">
      <c r="B530" s="11" t="str">
        <f t="shared" si="46"/>
        <v/>
      </c>
      <c r="C530" s="11" t="str">
        <f t="shared" si="49"/>
        <v/>
      </c>
      <c r="D530" s="11" t="str">
        <f t="shared" si="50"/>
        <v/>
      </c>
      <c r="E530" s="11" t="str">
        <f t="shared" si="47"/>
        <v/>
      </c>
      <c r="F530" s="11" t="str">
        <f t="shared" si="48"/>
        <v/>
      </c>
      <c r="G530" s="10" t="str">
        <v/>
      </c>
      <c r="H530" s="11" t="str">
        <v/>
      </c>
      <c r="I530" s="11" t="str">
        <v/>
      </c>
    </row>
    <row r="531" spans="2:9">
      <c r="B531" s="11" t="str">
        <f t="shared" si="46"/>
        <v/>
      </c>
      <c r="C531" s="11" t="str">
        <f t="shared" si="49"/>
        <v/>
      </c>
      <c r="D531" s="11" t="str">
        <f t="shared" si="50"/>
        <v/>
      </c>
      <c r="E531" s="11" t="str">
        <f t="shared" si="47"/>
        <v/>
      </c>
      <c r="F531" s="11" t="str">
        <f t="shared" si="48"/>
        <v/>
      </c>
      <c r="G531" s="10" t="str">
        <v/>
      </c>
      <c r="H531" s="11" t="str">
        <v/>
      </c>
      <c r="I531" s="11" t="str">
        <v/>
      </c>
    </row>
    <row r="532" spans="2:9">
      <c r="B532" s="11" t="str">
        <f t="shared" si="46"/>
        <v/>
      </c>
      <c r="C532" s="11" t="str">
        <f t="shared" si="49"/>
        <v/>
      </c>
      <c r="D532" s="11" t="str">
        <f t="shared" si="50"/>
        <v/>
      </c>
      <c r="E532" s="11" t="str">
        <f t="shared" si="47"/>
        <v/>
      </c>
      <c r="F532" s="11" t="str">
        <f t="shared" si="48"/>
        <v/>
      </c>
      <c r="G532" s="10" t="str">
        <v/>
      </c>
      <c r="H532" s="11" t="str">
        <v/>
      </c>
      <c r="I532" s="11" t="str">
        <v/>
      </c>
    </row>
    <row r="533" spans="2:9">
      <c r="B533" s="11" t="str">
        <f t="shared" si="46"/>
        <v/>
      </c>
      <c r="C533" s="11" t="str">
        <f t="shared" si="49"/>
        <v/>
      </c>
      <c r="D533" s="11" t="str">
        <f t="shared" si="50"/>
        <v/>
      </c>
      <c r="E533" s="11" t="str">
        <f t="shared" si="47"/>
        <v/>
      </c>
      <c r="F533" s="11" t="str">
        <f t="shared" si="48"/>
        <v/>
      </c>
      <c r="G533" s="10" t="str">
        <v/>
      </c>
      <c r="H533" s="11" t="str">
        <v/>
      </c>
      <c r="I533" s="11" t="str">
        <v/>
      </c>
    </row>
    <row r="534" spans="2:9">
      <c r="B534" s="11" t="str">
        <f t="shared" si="46"/>
        <v/>
      </c>
      <c r="C534" s="11" t="str">
        <f t="shared" si="49"/>
        <v/>
      </c>
      <c r="D534" s="11" t="str">
        <f t="shared" si="50"/>
        <v/>
      </c>
      <c r="E534" s="11" t="str">
        <f t="shared" si="47"/>
        <v/>
      </c>
      <c r="F534" s="11" t="str">
        <f t="shared" si="48"/>
        <v/>
      </c>
      <c r="G534" s="10" t="str">
        <v/>
      </c>
      <c r="H534" s="11" t="str">
        <v/>
      </c>
      <c r="I534" s="11" t="str">
        <v/>
      </c>
    </row>
    <row r="535" spans="2:9">
      <c r="B535" s="11" t="str">
        <f t="shared" si="46"/>
        <v/>
      </c>
      <c r="C535" s="11" t="str">
        <f t="shared" si="49"/>
        <v/>
      </c>
      <c r="D535" s="11" t="str">
        <f t="shared" si="50"/>
        <v/>
      </c>
      <c r="E535" s="11" t="str">
        <f t="shared" si="47"/>
        <v/>
      </c>
      <c r="F535" s="11" t="str">
        <f t="shared" si="48"/>
        <v/>
      </c>
      <c r="G535" s="10" t="str">
        <v/>
      </c>
      <c r="H535" s="11" t="str">
        <v/>
      </c>
      <c r="I535" s="11" t="str">
        <v/>
      </c>
    </row>
    <row r="536" spans="2:9">
      <c r="B536" s="11" t="str">
        <f t="shared" si="46"/>
        <v/>
      </c>
      <c r="C536" s="11" t="str">
        <f t="shared" si="49"/>
        <v/>
      </c>
      <c r="D536" s="11" t="str">
        <f t="shared" si="50"/>
        <v/>
      </c>
      <c r="E536" s="11" t="str">
        <f t="shared" si="47"/>
        <v/>
      </c>
      <c r="F536" s="11" t="str">
        <f t="shared" si="48"/>
        <v/>
      </c>
      <c r="G536" s="10" t="str">
        <v/>
      </c>
      <c r="H536" s="11" t="str">
        <v/>
      </c>
      <c r="I536" s="11" t="str">
        <v/>
      </c>
    </row>
    <row r="537" spans="2:9">
      <c r="B537" s="11" t="str">
        <f t="shared" si="46"/>
        <v/>
      </c>
      <c r="C537" s="11" t="str">
        <f t="shared" si="49"/>
        <v/>
      </c>
      <c r="D537" s="11" t="str">
        <f t="shared" si="50"/>
        <v/>
      </c>
      <c r="E537" s="11" t="str">
        <f t="shared" si="47"/>
        <v/>
      </c>
      <c r="F537" s="11" t="str">
        <f t="shared" si="48"/>
        <v/>
      </c>
      <c r="G537" s="10" t="str">
        <v/>
      </c>
      <c r="H537" s="11" t="str">
        <v/>
      </c>
      <c r="I537" s="11" t="str">
        <v/>
      </c>
    </row>
    <row r="538" spans="2:9">
      <c r="B538" s="11" t="str">
        <f t="shared" si="46"/>
        <v/>
      </c>
      <c r="C538" s="11" t="str">
        <f t="shared" si="49"/>
        <v/>
      </c>
      <c r="D538" s="11" t="str">
        <f t="shared" si="50"/>
        <v/>
      </c>
      <c r="E538" s="11" t="str">
        <f t="shared" si="47"/>
        <v/>
      </c>
      <c r="F538" s="11" t="str">
        <f t="shared" si="48"/>
        <v/>
      </c>
      <c r="G538" s="10" t="str">
        <v/>
      </c>
      <c r="H538" s="11" t="str">
        <v/>
      </c>
      <c r="I538" s="11" t="str">
        <v/>
      </c>
    </row>
    <row r="539" spans="2:9">
      <c r="B539" s="11" t="str">
        <f t="shared" si="46"/>
        <v/>
      </c>
      <c r="C539" s="11" t="str">
        <f t="shared" si="49"/>
        <v/>
      </c>
      <c r="D539" s="11" t="str">
        <f t="shared" si="50"/>
        <v/>
      </c>
      <c r="E539" s="11" t="str">
        <f t="shared" si="47"/>
        <v/>
      </c>
      <c r="F539" s="11" t="str">
        <f t="shared" si="48"/>
        <v/>
      </c>
      <c r="G539" s="10" t="str">
        <v/>
      </c>
      <c r="H539" s="11" t="str">
        <v/>
      </c>
      <c r="I539" s="11" t="str">
        <v/>
      </c>
    </row>
    <row r="540" spans="2:9">
      <c r="B540" s="11" t="str">
        <f t="shared" si="46"/>
        <v/>
      </c>
      <c r="C540" s="11" t="str">
        <f t="shared" si="49"/>
        <v/>
      </c>
      <c r="D540" s="11" t="str">
        <f t="shared" si="50"/>
        <v/>
      </c>
      <c r="E540" s="11" t="str">
        <f t="shared" si="47"/>
        <v/>
      </c>
      <c r="F540" s="11" t="str">
        <f t="shared" si="48"/>
        <v/>
      </c>
      <c r="G540" s="10" t="str">
        <v/>
      </c>
      <c r="H540" s="11" t="str">
        <v/>
      </c>
      <c r="I540" s="11" t="str">
        <v/>
      </c>
    </row>
    <row r="541" spans="2:9">
      <c r="B541" s="11" t="str">
        <f t="shared" si="46"/>
        <v/>
      </c>
      <c r="C541" s="11" t="str">
        <f t="shared" si="49"/>
        <v/>
      </c>
      <c r="D541" s="11" t="str">
        <f t="shared" si="50"/>
        <v/>
      </c>
      <c r="E541" s="11" t="str">
        <f t="shared" si="47"/>
        <v/>
      </c>
      <c r="F541" s="11" t="str">
        <f t="shared" si="48"/>
        <v/>
      </c>
      <c r="G541" s="10" t="str">
        <v/>
      </c>
      <c r="H541" s="11" t="str">
        <v/>
      </c>
      <c r="I541" s="11" t="str">
        <v/>
      </c>
    </row>
    <row r="542" spans="2:9">
      <c r="B542" s="11" t="str">
        <f t="shared" si="46"/>
        <v/>
      </c>
      <c r="C542" s="11" t="str">
        <f t="shared" si="49"/>
        <v/>
      </c>
      <c r="D542" s="11" t="str">
        <f t="shared" si="50"/>
        <v/>
      </c>
      <c r="E542" s="11" t="str">
        <f t="shared" si="47"/>
        <v/>
      </c>
      <c r="F542" s="11" t="str">
        <f t="shared" si="48"/>
        <v/>
      </c>
      <c r="G542" s="10" t="str">
        <v/>
      </c>
      <c r="H542" s="11" t="str">
        <v/>
      </c>
      <c r="I542" s="11" t="str">
        <v/>
      </c>
    </row>
    <row r="543" spans="2:9">
      <c r="B543" s="11" t="str">
        <f t="shared" si="46"/>
        <v/>
      </c>
      <c r="C543" s="11" t="str">
        <f t="shared" si="49"/>
        <v/>
      </c>
      <c r="D543" s="11" t="str">
        <f t="shared" si="50"/>
        <v/>
      </c>
      <c r="E543" s="11" t="str">
        <f t="shared" si="47"/>
        <v/>
      </c>
      <c r="F543" s="11" t="str">
        <f t="shared" si="48"/>
        <v/>
      </c>
      <c r="G543" s="10" t="str">
        <v/>
      </c>
      <c r="H543" s="11" t="str">
        <v/>
      </c>
      <c r="I543" s="11" t="str">
        <v/>
      </c>
    </row>
    <row r="544" spans="2:9">
      <c r="B544" s="11" t="str">
        <f t="shared" si="46"/>
        <v/>
      </c>
      <c r="C544" s="11" t="str">
        <f t="shared" si="49"/>
        <v/>
      </c>
      <c r="D544" s="11" t="str">
        <f t="shared" si="50"/>
        <v/>
      </c>
      <c r="E544" s="11" t="str">
        <f t="shared" si="47"/>
        <v/>
      </c>
      <c r="F544" s="11" t="str">
        <f t="shared" si="48"/>
        <v/>
      </c>
      <c r="G544" s="10" t="str">
        <v/>
      </c>
      <c r="H544" s="11" t="str">
        <v/>
      </c>
      <c r="I544" s="11" t="str">
        <v/>
      </c>
    </row>
    <row r="545" spans="2:9">
      <c r="B545" s="11" t="str">
        <f t="shared" si="46"/>
        <v/>
      </c>
      <c r="C545" s="11" t="str">
        <f t="shared" si="49"/>
        <v/>
      </c>
      <c r="D545" s="11" t="str">
        <f t="shared" si="50"/>
        <v/>
      </c>
      <c r="E545" s="11" t="str">
        <f t="shared" si="47"/>
        <v/>
      </c>
      <c r="F545" s="11" t="str">
        <f t="shared" si="48"/>
        <v/>
      </c>
      <c r="G545" s="10" t="str">
        <v/>
      </c>
      <c r="H545" s="11" t="str">
        <v/>
      </c>
      <c r="I545" s="11" t="str">
        <v/>
      </c>
    </row>
    <row r="546" spans="2:9">
      <c r="B546" s="11" t="str">
        <f t="shared" si="46"/>
        <v/>
      </c>
      <c r="C546" s="11" t="str">
        <f t="shared" si="49"/>
        <v/>
      </c>
      <c r="D546" s="11" t="str">
        <f t="shared" si="50"/>
        <v/>
      </c>
      <c r="E546" s="11" t="str">
        <f t="shared" si="47"/>
        <v/>
      </c>
      <c r="F546" s="11" t="str">
        <f t="shared" si="48"/>
        <v/>
      </c>
      <c r="G546" s="10" t="str">
        <v/>
      </c>
      <c r="H546" s="11" t="str">
        <v/>
      </c>
      <c r="I546" s="11" t="str">
        <v/>
      </c>
    </row>
    <row r="547" spans="2:9">
      <c r="B547" s="11" t="str">
        <f t="shared" si="46"/>
        <v/>
      </c>
      <c r="C547" s="11" t="str">
        <f t="shared" si="49"/>
        <v/>
      </c>
      <c r="D547" s="11" t="str">
        <f t="shared" si="50"/>
        <v/>
      </c>
      <c r="E547" s="11" t="str">
        <f t="shared" si="47"/>
        <v/>
      </c>
      <c r="F547" s="11" t="str">
        <f t="shared" si="48"/>
        <v/>
      </c>
      <c r="G547" s="10" t="str">
        <v/>
      </c>
      <c r="H547" s="11" t="str">
        <v/>
      </c>
      <c r="I547" s="11" t="str">
        <v/>
      </c>
    </row>
    <row r="548" spans="2:9">
      <c r="B548" s="11" t="str">
        <f t="shared" si="46"/>
        <v/>
      </c>
      <c r="C548" s="11" t="str">
        <f t="shared" si="49"/>
        <v/>
      </c>
      <c r="D548" s="11" t="str">
        <f t="shared" si="50"/>
        <v/>
      </c>
      <c r="E548" s="11" t="str">
        <f t="shared" si="47"/>
        <v/>
      </c>
      <c r="F548" s="11" t="str">
        <f t="shared" si="48"/>
        <v/>
      </c>
      <c r="G548" s="10" t="str">
        <v/>
      </c>
      <c r="H548" s="11" t="str">
        <v/>
      </c>
      <c r="I548" s="11" t="str">
        <v/>
      </c>
    </row>
    <row r="549" spans="2:9">
      <c r="B549" s="11" t="str">
        <f t="shared" si="46"/>
        <v/>
      </c>
      <c r="C549" s="11" t="str">
        <f t="shared" si="49"/>
        <v/>
      </c>
      <c r="D549" s="11" t="str">
        <f t="shared" si="50"/>
        <v/>
      </c>
      <c r="E549" s="11" t="str">
        <f t="shared" si="47"/>
        <v/>
      </c>
      <c r="F549" s="11" t="str">
        <f t="shared" si="48"/>
        <v/>
      </c>
      <c r="G549" s="10" t="str">
        <v/>
      </c>
      <c r="H549" s="11" t="str">
        <v/>
      </c>
      <c r="I549" s="11" t="str">
        <v/>
      </c>
    </row>
    <row r="550" spans="2:9">
      <c r="B550" s="11" t="str">
        <f t="shared" si="46"/>
        <v/>
      </c>
      <c r="C550" s="11" t="str">
        <f t="shared" si="49"/>
        <v/>
      </c>
      <c r="D550" s="11" t="str">
        <f t="shared" si="50"/>
        <v/>
      </c>
      <c r="E550" s="11" t="str">
        <f t="shared" si="47"/>
        <v/>
      </c>
      <c r="F550" s="11" t="str">
        <f t="shared" si="48"/>
        <v/>
      </c>
      <c r="G550" s="10" t="str">
        <v/>
      </c>
      <c r="H550" s="11" t="str">
        <v/>
      </c>
      <c r="I550" s="11" t="str">
        <v/>
      </c>
    </row>
    <row r="551" spans="2:9">
      <c r="B551" s="11" t="str">
        <f t="shared" si="46"/>
        <v/>
      </c>
      <c r="C551" s="11" t="str">
        <f t="shared" si="49"/>
        <v/>
      </c>
      <c r="D551" s="11" t="str">
        <f t="shared" si="50"/>
        <v/>
      </c>
      <c r="E551" s="11" t="str">
        <f t="shared" si="47"/>
        <v/>
      </c>
      <c r="F551" s="11" t="str">
        <f t="shared" si="48"/>
        <v/>
      </c>
      <c r="G551" s="10" t="str">
        <v/>
      </c>
      <c r="H551" s="11" t="str">
        <v/>
      </c>
      <c r="I551" s="11" t="str">
        <v/>
      </c>
    </row>
    <row r="552" spans="2:9">
      <c r="B552" s="11" t="str">
        <f t="shared" si="46"/>
        <v/>
      </c>
      <c r="C552" s="11" t="str">
        <f t="shared" si="49"/>
        <v/>
      </c>
      <c r="D552" s="11" t="str">
        <f t="shared" si="50"/>
        <v/>
      </c>
      <c r="E552" s="11" t="str">
        <f t="shared" si="47"/>
        <v/>
      </c>
      <c r="F552" s="11" t="str">
        <f t="shared" si="48"/>
        <v/>
      </c>
      <c r="G552" s="10" t="str">
        <v/>
      </c>
      <c r="H552" s="11" t="str">
        <v/>
      </c>
      <c r="I552" s="11" t="str">
        <v/>
      </c>
    </row>
    <row r="553" spans="2:9">
      <c r="B553" s="11" t="str">
        <f t="shared" si="46"/>
        <v/>
      </c>
      <c r="C553" s="11" t="str">
        <f t="shared" si="49"/>
        <v/>
      </c>
      <c r="D553" s="11" t="str">
        <f t="shared" si="50"/>
        <v/>
      </c>
      <c r="E553" s="11" t="str">
        <f t="shared" si="47"/>
        <v/>
      </c>
      <c r="F553" s="11" t="str">
        <f t="shared" si="48"/>
        <v/>
      </c>
      <c r="G553" s="10" t="str">
        <v/>
      </c>
      <c r="H553" s="11" t="str">
        <v/>
      </c>
      <c r="I553" s="11" t="str">
        <v/>
      </c>
    </row>
    <row r="554" spans="2:9">
      <c r="B554" s="11" t="str">
        <f t="shared" si="46"/>
        <v/>
      </c>
      <c r="C554" s="11" t="str">
        <f t="shared" si="49"/>
        <v/>
      </c>
      <c r="D554" s="11" t="str">
        <f t="shared" si="50"/>
        <v/>
      </c>
      <c r="E554" s="11" t="str">
        <f t="shared" si="47"/>
        <v/>
      </c>
      <c r="F554" s="11" t="str">
        <f t="shared" si="48"/>
        <v/>
      </c>
      <c r="G554" s="10" t="str">
        <v/>
      </c>
      <c r="H554" s="11" t="str">
        <v/>
      </c>
      <c r="I554" s="11" t="str">
        <v/>
      </c>
    </row>
    <row r="555" spans="2:9">
      <c r="B555" s="11" t="str">
        <f t="shared" si="46"/>
        <v/>
      </c>
      <c r="C555" s="11" t="str">
        <f t="shared" si="49"/>
        <v/>
      </c>
      <c r="D555" s="11" t="str">
        <f t="shared" si="50"/>
        <v/>
      </c>
      <c r="E555" s="11" t="str">
        <f t="shared" si="47"/>
        <v/>
      </c>
      <c r="F555" s="11" t="str">
        <f t="shared" si="48"/>
        <v/>
      </c>
      <c r="G555" s="10" t="str">
        <v/>
      </c>
      <c r="H555" s="11" t="str">
        <v/>
      </c>
      <c r="I555" s="11" t="str">
        <v/>
      </c>
    </row>
    <row r="556" spans="2:9">
      <c r="B556" s="11" t="str">
        <f t="shared" si="46"/>
        <v/>
      </c>
      <c r="C556" s="11" t="str">
        <f t="shared" si="49"/>
        <v/>
      </c>
      <c r="D556" s="11" t="str">
        <f t="shared" si="50"/>
        <v/>
      </c>
      <c r="E556" s="11" t="str">
        <f t="shared" si="47"/>
        <v/>
      </c>
      <c r="F556" s="11" t="str">
        <f t="shared" si="48"/>
        <v/>
      </c>
      <c r="G556" s="10" t="str">
        <v/>
      </c>
      <c r="H556" s="11" t="str">
        <v/>
      </c>
      <c r="I556" s="11" t="str">
        <v/>
      </c>
    </row>
    <row r="557" spans="2:9">
      <c r="B557" s="11" t="str">
        <f t="shared" si="46"/>
        <v/>
      </c>
      <c r="C557" s="11" t="str">
        <f t="shared" si="49"/>
        <v/>
      </c>
      <c r="D557" s="11" t="str">
        <f t="shared" si="50"/>
        <v/>
      </c>
      <c r="E557" s="11" t="str">
        <f t="shared" si="47"/>
        <v/>
      </c>
      <c r="F557" s="11" t="str">
        <f t="shared" si="48"/>
        <v/>
      </c>
      <c r="G557" s="10" t="str">
        <v/>
      </c>
      <c r="H557" s="11" t="str">
        <v/>
      </c>
      <c r="I557" s="11" t="str">
        <v/>
      </c>
    </row>
    <row r="558" spans="2:9">
      <c r="B558" s="11" t="str">
        <f t="shared" si="46"/>
        <v/>
      </c>
      <c r="C558" s="11" t="str">
        <f t="shared" si="49"/>
        <v/>
      </c>
      <c r="D558" s="11" t="str">
        <f t="shared" si="50"/>
        <v/>
      </c>
      <c r="E558" s="11" t="str">
        <f t="shared" si="47"/>
        <v/>
      </c>
      <c r="F558" s="11" t="str">
        <f t="shared" si="48"/>
        <v/>
      </c>
      <c r="G558" s="10" t="str">
        <v/>
      </c>
      <c r="H558" s="11" t="str">
        <v/>
      </c>
      <c r="I558" s="11" t="str">
        <v/>
      </c>
    </row>
    <row r="559" spans="2:9">
      <c r="B559" s="11" t="str">
        <f t="shared" si="46"/>
        <v/>
      </c>
      <c r="C559" s="11" t="str">
        <f t="shared" si="49"/>
        <v/>
      </c>
      <c r="D559" s="11" t="str">
        <f t="shared" si="50"/>
        <v/>
      </c>
      <c r="E559" s="11" t="str">
        <f t="shared" si="47"/>
        <v/>
      </c>
      <c r="F559" s="11" t="str">
        <f t="shared" si="48"/>
        <v/>
      </c>
      <c r="G559" s="10" t="str">
        <v/>
      </c>
      <c r="H559" s="11" t="str">
        <v/>
      </c>
      <c r="I559" s="11" t="str">
        <v/>
      </c>
    </row>
    <row r="560" spans="2:9">
      <c r="B560" s="11" t="str">
        <f t="shared" si="46"/>
        <v/>
      </c>
      <c r="C560" s="11" t="str">
        <f t="shared" si="49"/>
        <v/>
      </c>
      <c r="D560" s="11" t="str">
        <f t="shared" si="50"/>
        <v/>
      </c>
      <c r="E560" s="11" t="str">
        <f t="shared" si="47"/>
        <v/>
      </c>
      <c r="F560" s="11" t="str">
        <f t="shared" si="48"/>
        <v/>
      </c>
      <c r="G560" s="10" t="str">
        <v/>
      </c>
      <c r="H560" s="11" t="str">
        <v/>
      </c>
      <c r="I560" s="11" t="str">
        <v/>
      </c>
    </row>
    <row r="561" spans="2:9">
      <c r="B561" s="11" t="str">
        <f t="shared" si="46"/>
        <v/>
      </c>
      <c r="C561" s="11" t="str">
        <f t="shared" si="49"/>
        <v/>
      </c>
      <c r="D561" s="11" t="str">
        <f t="shared" si="50"/>
        <v/>
      </c>
      <c r="E561" s="11" t="str">
        <f t="shared" si="47"/>
        <v/>
      </c>
      <c r="F561" s="11" t="str">
        <f t="shared" si="48"/>
        <v/>
      </c>
      <c r="G561" s="10" t="str">
        <v/>
      </c>
      <c r="H561" s="11" t="str">
        <v/>
      </c>
      <c r="I561" s="11" t="str">
        <v/>
      </c>
    </row>
    <row r="562" spans="2:9">
      <c r="B562" s="11" t="str">
        <f t="shared" si="46"/>
        <v/>
      </c>
      <c r="C562" s="11" t="str">
        <f t="shared" si="49"/>
        <v/>
      </c>
      <c r="D562" s="11" t="str">
        <f t="shared" si="50"/>
        <v/>
      </c>
      <c r="E562" s="11" t="str">
        <f t="shared" si="47"/>
        <v/>
      </c>
      <c r="F562" s="11" t="str">
        <f t="shared" si="48"/>
        <v/>
      </c>
      <c r="G562" s="10" t="str">
        <v/>
      </c>
      <c r="H562" s="11" t="str">
        <v/>
      </c>
      <c r="I562" s="11" t="str">
        <v/>
      </c>
    </row>
    <row r="563" spans="2:9">
      <c r="B563" s="11" t="str">
        <f t="shared" si="46"/>
        <v/>
      </c>
      <c r="C563" s="11" t="str">
        <f t="shared" si="49"/>
        <v/>
      </c>
      <c r="D563" s="11" t="str">
        <f t="shared" si="50"/>
        <v/>
      </c>
      <c r="E563" s="11" t="str">
        <f t="shared" si="47"/>
        <v/>
      </c>
      <c r="F563" s="11" t="str">
        <f t="shared" si="48"/>
        <v/>
      </c>
      <c r="G563" s="10" t="str">
        <v/>
      </c>
      <c r="H563" s="11" t="str">
        <v/>
      </c>
      <c r="I563" s="11" t="str">
        <v/>
      </c>
    </row>
    <row r="564" spans="2:9">
      <c r="B564" s="11" t="str">
        <f t="shared" si="46"/>
        <v/>
      </c>
      <c r="C564" s="11" t="str">
        <f t="shared" si="49"/>
        <v/>
      </c>
      <c r="D564" s="11" t="str">
        <f t="shared" si="50"/>
        <v/>
      </c>
      <c r="E564" s="11" t="str">
        <f t="shared" si="47"/>
        <v/>
      </c>
      <c r="F564" s="11" t="str">
        <f t="shared" si="48"/>
        <v/>
      </c>
      <c r="G564" s="10" t="str">
        <v/>
      </c>
      <c r="H564" s="11" t="str">
        <v/>
      </c>
      <c r="I564" s="11" t="str">
        <v/>
      </c>
    </row>
    <row r="565" spans="2:9">
      <c r="B565" s="11" t="str">
        <f t="shared" si="46"/>
        <v/>
      </c>
      <c r="C565" s="11" t="str">
        <f t="shared" si="49"/>
        <v/>
      </c>
      <c r="D565" s="11" t="str">
        <f t="shared" si="50"/>
        <v/>
      </c>
      <c r="E565" s="11" t="str">
        <f t="shared" si="47"/>
        <v/>
      </c>
      <c r="F565" s="11" t="str">
        <f t="shared" si="48"/>
        <v/>
      </c>
      <c r="G565" s="10" t="str">
        <v/>
      </c>
      <c r="H565" s="11" t="str">
        <v/>
      </c>
      <c r="I565" s="11" t="str">
        <v/>
      </c>
    </row>
    <row r="566" spans="2:9">
      <c r="B566" s="11" t="str">
        <f t="shared" si="46"/>
        <v/>
      </c>
      <c r="C566" s="11" t="str">
        <f t="shared" si="49"/>
        <v/>
      </c>
      <c r="D566" s="11" t="str">
        <f t="shared" si="50"/>
        <v/>
      </c>
      <c r="E566" s="11" t="str">
        <f t="shared" si="47"/>
        <v/>
      </c>
      <c r="F566" s="11" t="str">
        <f t="shared" si="48"/>
        <v/>
      </c>
      <c r="G566" s="10" t="str">
        <v/>
      </c>
      <c r="H566" s="11" t="str">
        <v/>
      </c>
      <c r="I566" s="11" t="str">
        <v/>
      </c>
    </row>
    <row r="567" spans="2:9">
      <c r="B567" s="11" t="str">
        <f t="shared" si="46"/>
        <v/>
      </c>
      <c r="C567" s="11" t="str">
        <f t="shared" si="49"/>
        <v/>
      </c>
      <c r="D567" s="11" t="str">
        <f t="shared" si="50"/>
        <v/>
      </c>
      <c r="E567" s="11" t="str">
        <f t="shared" si="47"/>
        <v/>
      </c>
      <c r="F567" s="11" t="str">
        <f t="shared" si="48"/>
        <v/>
      </c>
      <c r="G567" s="10" t="str">
        <v/>
      </c>
      <c r="H567" s="11" t="str">
        <v/>
      </c>
      <c r="I567" s="11" t="str">
        <v/>
      </c>
    </row>
    <row r="568" spans="2:9">
      <c r="B568" s="11" t="str">
        <f t="shared" si="46"/>
        <v/>
      </c>
      <c r="C568" s="11" t="str">
        <f t="shared" si="49"/>
        <v/>
      </c>
      <c r="D568" s="11" t="str">
        <f t="shared" si="50"/>
        <v/>
      </c>
      <c r="E568" s="11" t="str">
        <f t="shared" si="47"/>
        <v/>
      </c>
      <c r="F568" s="11" t="str">
        <f t="shared" si="48"/>
        <v/>
      </c>
      <c r="G568" s="10" t="str">
        <v/>
      </c>
      <c r="H568" s="11" t="str">
        <v/>
      </c>
      <c r="I568" s="11" t="str">
        <v/>
      </c>
    </row>
    <row r="569" spans="2:9">
      <c r="B569" s="11" t="str">
        <f t="shared" si="46"/>
        <v/>
      </c>
      <c r="C569" s="11" t="str">
        <f t="shared" si="49"/>
        <v/>
      </c>
      <c r="D569" s="11" t="str">
        <f t="shared" si="50"/>
        <v/>
      </c>
      <c r="E569" s="11" t="str">
        <f t="shared" si="47"/>
        <v/>
      </c>
      <c r="F569" s="11" t="str">
        <f t="shared" si="48"/>
        <v/>
      </c>
      <c r="G569" s="10" t="str">
        <v/>
      </c>
      <c r="H569" s="11" t="str">
        <v/>
      </c>
      <c r="I569" s="11" t="str">
        <v/>
      </c>
    </row>
    <row r="570" spans="2:9">
      <c r="B570" s="11" t="str">
        <f t="shared" si="46"/>
        <v/>
      </c>
      <c r="C570" s="11" t="str">
        <f t="shared" si="49"/>
        <v/>
      </c>
      <c r="D570" s="11" t="str">
        <f t="shared" si="50"/>
        <v/>
      </c>
      <c r="E570" s="11" t="str">
        <f t="shared" si="47"/>
        <v/>
      </c>
      <c r="F570" s="11" t="str">
        <f t="shared" si="48"/>
        <v/>
      </c>
      <c r="G570" s="10" t="str">
        <v/>
      </c>
      <c r="H570" s="11" t="str">
        <v/>
      </c>
      <c r="I570" s="11" t="str">
        <v/>
      </c>
    </row>
    <row r="571" spans="2:9">
      <c r="B571" s="11" t="str">
        <f t="shared" si="46"/>
        <v/>
      </c>
      <c r="C571" s="11" t="str">
        <f t="shared" si="49"/>
        <v/>
      </c>
      <c r="D571" s="11" t="str">
        <f t="shared" si="50"/>
        <v/>
      </c>
      <c r="E571" s="11" t="str">
        <f t="shared" si="47"/>
        <v/>
      </c>
      <c r="F571" s="11" t="str">
        <f t="shared" si="48"/>
        <v/>
      </c>
      <c r="G571" s="10" t="str">
        <v/>
      </c>
      <c r="H571" s="11" t="str">
        <v/>
      </c>
      <c r="I571" s="11" t="str">
        <v/>
      </c>
    </row>
    <row r="572" spans="2:9">
      <c r="B572" s="11" t="str">
        <f t="shared" si="46"/>
        <v/>
      </c>
      <c r="C572" s="11" t="str">
        <f t="shared" si="49"/>
        <v/>
      </c>
      <c r="D572" s="11" t="str">
        <f t="shared" si="50"/>
        <v/>
      </c>
      <c r="E572" s="11" t="str">
        <f t="shared" si="47"/>
        <v/>
      </c>
      <c r="F572" s="11" t="str">
        <f t="shared" si="48"/>
        <v/>
      </c>
      <c r="G572" s="10" t="str">
        <v/>
      </c>
      <c r="H572" s="11" t="str">
        <v/>
      </c>
      <c r="I572" s="11" t="str">
        <v/>
      </c>
    </row>
    <row r="573" spans="2:9">
      <c r="B573" s="11" t="str">
        <f t="shared" si="46"/>
        <v/>
      </c>
      <c r="C573" s="11" t="str">
        <f t="shared" si="49"/>
        <v/>
      </c>
      <c r="D573" s="11" t="str">
        <f t="shared" si="50"/>
        <v/>
      </c>
      <c r="E573" s="11" t="str">
        <f t="shared" si="47"/>
        <v/>
      </c>
      <c r="F573" s="11" t="str">
        <f t="shared" si="48"/>
        <v/>
      </c>
      <c r="G573" s="10" t="str">
        <v/>
      </c>
      <c r="H573" s="11" t="str">
        <v/>
      </c>
      <c r="I573" s="11" t="str">
        <v/>
      </c>
    </row>
    <row r="574" spans="2:9">
      <c r="B574" s="11" t="str">
        <f t="shared" si="46"/>
        <v/>
      </c>
      <c r="C574" s="11" t="str">
        <f t="shared" si="49"/>
        <v/>
      </c>
      <c r="D574" s="11" t="str">
        <f t="shared" si="50"/>
        <v/>
      </c>
      <c r="E574" s="11" t="str">
        <f t="shared" si="47"/>
        <v/>
      </c>
      <c r="F574" s="11" t="str">
        <f t="shared" si="48"/>
        <v/>
      </c>
      <c r="G574" s="10" t="str">
        <v/>
      </c>
      <c r="H574" s="11" t="str">
        <v/>
      </c>
      <c r="I574" s="11" t="str">
        <v/>
      </c>
    </row>
    <row r="575" spans="2:9">
      <c r="B575" s="11" t="str">
        <f t="shared" si="46"/>
        <v/>
      </c>
      <c r="C575" s="11" t="str">
        <f t="shared" si="49"/>
        <v/>
      </c>
      <c r="D575" s="11" t="str">
        <f t="shared" si="50"/>
        <v/>
      </c>
      <c r="E575" s="11" t="str">
        <f t="shared" si="47"/>
        <v/>
      </c>
      <c r="F575" s="11" t="str">
        <f t="shared" si="48"/>
        <v/>
      </c>
      <c r="G575" s="10" t="str">
        <v/>
      </c>
      <c r="H575" s="11" t="str">
        <v/>
      </c>
      <c r="I575" s="11" t="str">
        <v/>
      </c>
    </row>
    <row r="576" spans="2:9">
      <c r="B576" s="11" t="str">
        <f t="shared" si="46"/>
        <v/>
      </c>
      <c r="C576" s="11" t="str">
        <f t="shared" si="49"/>
        <v/>
      </c>
      <c r="D576" s="11" t="str">
        <f t="shared" si="50"/>
        <v/>
      </c>
      <c r="E576" s="11" t="str">
        <f t="shared" si="47"/>
        <v/>
      </c>
      <c r="F576" s="11" t="str">
        <f t="shared" si="48"/>
        <v/>
      </c>
      <c r="G576" s="10" t="str">
        <v/>
      </c>
      <c r="H576" s="11" t="str">
        <v/>
      </c>
      <c r="I576" s="11" t="str">
        <v/>
      </c>
    </row>
    <row r="577" spans="2:9">
      <c r="B577" s="11" t="str">
        <f t="shared" ref="B577:B640" si="51">IFERROR(IF(FIND(" ",A577)=6,IF(IFERROR(FIND(" PB",A577),"")&lt;&gt;"","артикул",IF(IFERROR(FIND(" CRN",A577),"")&lt;&gt;"","артикул","")),""),"")</f>
        <v/>
      </c>
      <c r="C577" s="11" t="str">
        <f t="shared" si="49"/>
        <v/>
      </c>
      <c r="D577" s="11" t="str">
        <f t="shared" si="50"/>
        <v/>
      </c>
      <c r="E577" s="11" t="str">
        <f t="shared" si="47"/>
        <v/>
      </c>
      <c r="F577" s="11" t="str">
        <f t="shared" si="48"/>
        <v/>
      </c>
      <c r="G577" s="10" t="str">
        <v/>
      </c>
      <c r="H577" s="11" t="str">
        <v/>
      </c>
      <c r="I577" s="11" t="str">
        <v/>
      </c>
    </row>
    <row r="578" spans="2:9">
      <c r="B578" s="11" t="str">
        <f t="shared" si="51"/>
        <v/>
      </c>
      <c r="C578" s="11" t="str">
        <f t="shared" si="49"/>
        <v/>
      </c>
      <c r="D578" s="11" t="str">
        <f t="shared" si="50"/>
        <v/>
      </c>
      <c r="E578" s="11" t="str">
        <f t="shared" ref="E578:E641" si="52" xml:space="preserve">
IF(B578="Артикул",
IF(
AND(RIGHT(A579,1)="%",
RIGHT(A580,1)="%",
RIGHT(A581,1)="%",
RIGHT(A582,1)="%"),MID(A583,FIND(" ",A583),50),
IF(
AND(RIGHT(A579,1)="%",
RIGHT(A580,1)="%",
RIGHT(A581,1)="%"),MID(A582,FIND(" ",A582),50),
IF(
AND(RIGHT(A579,1)="%",
RIGHT(A580,1)="%"),
MID(A581,FIND(" ",A581),50),
IF(
RIGHT(A579,1)="%",
MID(A580,FIND(" ",A580),50),"")))),"")</f>
        <v/>
      </c>
      <c r="F578" s="11" t="str">
        <f t="shared" ref="F578:F641" si="53">IFERROR(
IF(
AND(LEFT(A578,8)="Discount",FIND("%",A578)&gt;0),
MID(A578,
FIND(" ",A578),
FIND("%",A578)-FIND(" ",A578))
*-1,""),"")</f>
        <v/>
      </c>
      <c r="G578" s="10" t="str">
        <v/>
      </c>
      <c r="H578" s="11" t="str">
        <v/>
      </c>
      <c r="I578" s="11" t="str">
        <v/>
      </c>
    </row>
    <row r="579" spans="2:9">
      <c r="B579" s="11" t="str">
        <f t="shared" si="51"/>
        <v/>
      </c>
      <c r="C579" s="11" t="str">
        <f t="shared" si="49"/>
        <v/>
      </c>
      <c r="D579" s="11" t="str">
        <f t="shared" si="50"/>
        <v/>
      </c>
      <c r="E579" s="11" t="str">
        <f t="shared" si="52"/>
        <v/>
      </c>
      <c r="F579" s="11" t="str">
        <f t="shared" si="53"/>
        <v/>
      </c>
      <c r="G579" s="10" t="str">
        <v/>
      </c>
      <c r="H579" s="11" t="str">
        <v/>
      </c>
      <c r="I579" s="11" t="str">
        <v/>
      </c>
    </row>
    <row r="580" spans="2:9">
      <c r="B580" s="11" t="str">
        <f t="shared" si="51"/>
        <v/>
      </c>
      <c r="C580" s="11" t="str">
        <f t="shared" si="49"/>
        <v/>
      </c>
      <c r="D580" s="11" t="str">
        <f t="shared" si="50"/>
        <v/>
      </c>
      <c r="E580" s="11" t="str">
        <f t="shared" si="52"/>
        <v/>
      </c>
      <c r="F580" s="11" t="str">
        <f t="shared" si="53"/>
        <v/>
      </c>
      <c r="G580" s="10" t="str">
        <v/>
      </c>
      <c r="H580" s="11" t="str">
        <v/>
      </c>
      <c r="I580" s="11" t="str">
        <v/>
      </c>
    </row>
    <row r="581" spans="2:9">
      <c r="B581" s="11" t="str">
        <f t="shared" si="51"/>
        <v/>
      </c>
      <c r="C581" s="11" t="str">
        <f t="shared" si="49"/>
        <v/>
      </c>
      <c r="D581" s="11" t="str">
        <f t="shared" si="50"/>
        <v/>
      </c>
      <c r="E581" s="11" t="str">
        <f t="shared" si="52"/>
        <v/>
      </c>
      <c r="F581" s="11" t="str">
        <f t="shared" si="53"/>
        <v/>
      </c>
      <c r="G581" s="10" t="str">
        <v/>
      </c>
      <c r="H581" s="11" t="str">
        <v/>
      </c>
      <c r="I581" s="11" t="str">
        <v/>
      </c>
    </row>
    <row r="582" spans="2:9">
      <c r="B582" s="11" t="str">
        <f t="shared" si="51"/>
        <v/>
      </c>
      <c r="C582" s="11" t="str">
        <f t="shared" si="49"/>
        <v/>
      </c>
      <c r="D582" s="11" t="str">
        <f t="shared" si="50"/>
        <v/>
      </c>
      <c r="E582" s="11" t="str">
        <f t="shared" si="52"/>
        <v/>
      </c>
      <c r="F582" s="11" t="str">
        <f t="shared" si="53"/>
        <v/>
      </c>
      <c r="G582" s="10" t="str">
        <v/>
      </c>
      <c r="H582" s="11" t="str">
        <v/>
      </c>
      <c r="I582" s="11" t="str">
        <v/>
      </c>
    </row>
    <row r="583" spans="2:9">
      <c r="B583" s="11" t="str">
        <f t="shared" si="51"/>
        <v/>
      </c>
      <c r="C583" s="11" t="str">
        <f t="shared" si="49"/>
        <v/>
      </c>
      <c r="D583" s="11" t="str">
        <f t="shared" si="50"/>
        <v/>
      </c>
      <c r="E583" s="11" t="str">
        <f t="shared" si="52"/>
        <v/>
      </c>
      <c r="F583" s="11" t="str">
        <f t="shared" si="53"/>
        <v/>
      </c>
      <c r="G583" s="10" t="str">
        <v/>
      </c>
      <c r="H583" s="11" t="str">
        <v/>
      </c>
      <c r="I583" s="11" t="str">
        <v/>
      </c>
    </row>
    <row r="584" spans="2:9">
      <c r="B584" s="11" t="str">
        <f t="shared" si="51"/>
        <v/>
      </c>
      <c r="C584" s="11" t="str">
        <f t="shared" si="49"/>
        <v/>
      </c>
      <c r="D584" s="11" t="str">
        <f t="shared" si="50"/>
        <v/>
      </c>
      <c r="E584" s="11" t="str">
        <f t="shared" si="52"/>
        <v/>
      </c>
      <c r="F584" s="11" t="str">
        <f t="shared" si="53"/>
        <v/>
      </c>
      <c r="G584" s="10" t="str">
        <v/>
      </c>
      <c r="H584" s="11" t="str">
        <v/>
      </c>
      <c r="I584" s="11" t="str">
        <v/>
      </c>
    </row>
    <row r="585" spans="2:9">
      <c r="B585" s="11" t="str">
        <f t="shared" si="51"/>
        <v/>
      </c>
      <c r="C585" s="11" t="str">
        <f t="shared" si="49"/>
        <v/>
      </c>
      <c r="D585" s="11" t="str">
        <f t="shared" si="50"/>
        <v/>
      </c>
      <c r="E585" s="11" t="str">
        <f t="shared" si="52"/>
        <v/>
      </c>
      <c r="F585" s="11" t="str">
        <f t="shared" si="53"/>
        <v/>
      </c>
      <c r="G585" s="10" t="str">
        <v/>
      </c>
      <c r="H585" s="11" t="str">
        <v/>
      </c>
      <c r="I585" s="11" t="str">
        <v/>
      </c>
    </row>
    <row r="586" spans="2:9">
      <c r="B586" s="11" t="str">
        <f t="shared" si="51"/>
        <v/>
      </c>
      <c r="C586" s="11" t="str">
        <f t="shared" si="49"/>
        <v/>
      </c>
      <c r="D586" s="11" t="str">
        <f t="shared" si="50"/>
        <v/>
      </c>
      <c r="E586" s="11" t="str">
        <f t="shared" si="52"/>
        <v/>
      </c>
      <c r="F586" s="11" t="str">
        <f t="shared" si="53"/>
        <v/>
      </c>
      <c r="G586" s="10" t="str">
        <v/>
      </c>
      <c r="H586" s="11" t="str">
        <v/>
      </c>
      <c r="I586" s="11" t="str">
        <v/>
      </c>
    </row>
    <row r="587" spans="2:9">
      <c r="B587" s="11" t="str">
        <f t="shared" si="51"/>
        <v/>
      </c>
      <c r="C587" s="11" t="str">
        <f t="shared" si="49"/>
        <v/>
      </c>
      <c r="D587" s="11" t="str">
        <f t="shared" si="50"/>
        <v/>
      </c>
      <c r="E587" s="11" t="str">
        <f t="shared" si="52"/>
        <v/>
      </c>
      <c r="F587" s="11" t="str">
        <f t="shared" si="53"/>
        <v/>
      </c>
      <c r="G587" s="10" t="str">
        <v/>
      </c>
      <c r="H587" s="11" t="str">
        <v/>
      </c>
      <c r="I587" s="11" t="str">
        <v/>
      </c>
    </row>
    <row r="588" spans="2:9">
      <c r="B588" s="11" t="str">
        <f t="shared" si="51"/>
        <v/>
      </c>
      <c r="C588" s="11" t="str">
        <f t="shared" si="49"/>
        <v/>
      </c>
      <c r="D588" s="11" t="str">
        <f t="shared" si="50"/>
        <v/>
      </c>
      <c r="E588" s="11" t="str">
        <f t="shared" si="52"/>
        <v/>
      </c>
      <c r="F588" s="11" t="str">
        <f t="shared" si="53"/>
        <v/>
      </c>
      <c r="G588" s="10" t="str">
        <v/>
      </c>
      <c r="H588" s="11" t="str">
        <v/>
      </c>
      <c r="I588" s="11" t="str">
        <v/>
      </c>
    </row>
    <row r="589" spans="2:9">
      <c r="B589" s="11" t="str">
        <f t="shared" si="51"/>
        <v/>
      </c>
      <c r="C589" s="11" t="str">
        <f t="shared" ref="C589:C652" si="54">IF(B589="артикул",A589,"")</f>
        <v/>
      </c>
      <c r="D589" s="11" t="str">
        <f t="shared" ref="D589:D652" si="55">IF(B589="артикул",A590,"")</f>
        <v/>
      </c>
      <c r="E589" s="11" t="str">
        <f t="shared" si="52"/>
        <v/>
      </c>
      <c r="F589" s="11" t="str">
        <f t="shared" si="53"/>
        <v/>
      </c>
      <c r="G589" s="10" t="str">
        <v/>
      </c>
      <c r="H589" s="11" t="str">
        <v/>
      </c>
      <c r="I589" s="11" t="str">
        <v/>
      </c>
    </row>
    <row r="590" spans="2:9">
      <c r="B590" s="11" t="str">
        <f t="shared" si="51"/>
        <v/>
      </c>
      <c r="C590" s="11" t="str">
        <f t="shared" si="54"/>
        <v/>
      </c>
      <c r="D590" s="11" t="str">
        <f t="shared" si="55"/>
        <v/>
      </c>
      <c r="E590" s="11" t="str">
        <f t="shared" si="52"/>
        <v/>
      </c>
      <c r="F590" s="11" t="str">
        <f t="shared" si="53"/>
        <v/>
      </c>
      <c r="G590" s="10" t="str">
        <v/>
      </c>
      <c r="H590" s="11" t="str">
        <v/>
      </c>
      <c r="I590" s="11" t="str">
        <v/>
      </c>
    </row>
    <row r="591" spans="2:9">
      <c r="B591" s="11" t="str">
        <f t="shared" si="51"/>
        <v/>
      </c>
      <c r="C591" s="11" t="str">
        <f t="shared" si="54"/>
        <v/>
      </c>
      <c r="D591" s="11" t="str">
        <f t="shared" si="55"/>
        <v/>
      </c>
      <c r="E591" s="11" t="str">
        <f t="shared" si="52"/>
        <v/>
      </c>
      <c r="F591" s="11" t="str">
        <f t="shared" si="53"/>
        <v/>
      </c>
      <c r="G591" s="10" t="str">
        <v/>
      </c>
      <c r="H591" s="11" t="str">
        <v/>
      </c>
      <c r="I591" s="11" t="str">
        <v/>
      </c>
    </row>
    <row r="592" spans="2:9">
      <c r="B592" s="11" t="str">
        <f t="shared" si="51"/>
        <v/>
      </c>
      <c r="C592" s="11" t="str">
        <f t="shared" si="54"/>
        <v/>
      </c>
      <c r="D592" s="11" t="str">
        <f t="shared" si="55"/>
        <v/>
      </c>
      <c r="E592" s="11" t="str">
        <f t="shared" si="52"/>
        <v/>
      </c>
      <c r="F592" s="11" t="str">
        <f t="shared" si="53"/>
        <v/>
      </c>
      <c r="G592" s="10" t="str">
        <v/>
      </c>
      <c r="H592" s="11" t="str">
        <v/>
      </c>
      <c r="I592" s="11" t="str">
        <v/>
      </c>
    </row>
    <row r="593" spans="2:9">
      <c r="B593" s="11" t="str">
        <f t="shared" si="51"/>
        <v/>
      </c>
      <c r="C593" s="11" t="str">
        <f t="shared" si="54"/>
        <v/>
      </c>
      <c r="D593" s="11" t="str">
        <f t="shared" si="55"/>
        <v/>
      </c>
      <c r="E593" s="11" t="str">
        <f t="shared" si="52"/>
        <v/>
      </c>
      <c r="F593" s="11" t="str">
        <f t="shared" si="53"/>
        <v/>
      </c>
      <c r="G593" s="10" t="str">
        <v/>
      </c>
      <c r="H593" s="11" t="str">
        <v/>
      </c>
      <c r="I593" s="11" t="str">
        <v/>
      </c>
    </row>
    <row r="594" spans="2:9">
      <c r="B594" s="11" t="str">
        <f t="shared" si="51"/>
        <v/>
      </c>
      <c r="C594" s="11" t="str">
        <f t="shared" si="54"/>
        <v/>
      </c>
      <c r="D594" s="11" t="str">
        <f t="shared" si="55"/>
        <v/>
      </c>
      <c r="E594" s="11" t="str">
        <f t="shared" si="52"/>
        <v/>
      </c>
      <c r="F594" s="11" t="str">
        <f t="shared" si="53"/>
        <v/>
      </c>
      <c r="G594" s="10" t="str">
        <v/>
      </c>
      <c r="H594" s="11" t="str">
        <v/>
      </c>
      <c r="I594" s="11" t="str">
        <v/>
      </c>
    </row>
    <row r="595" spans="2:9">
      <c r="B595" s="11" t="str">
        <f t="shared" si="51"/>
        <v/>
      </c>
      <c r="C595" s="11" t="str">
        <f t="shared" si="54"/>
        <v/>
      </c>
      <c r="D595" s="11" t="str">
        <f t="shared" si="55"/>
        <v/>
      </c>
      <c r="E595" s="11" t="str">
        <f t="shared" si="52"/>
        <v/>
      </c>
      <c r="F595" s="11" t="str">
        <f t="shared" si="53"/>
        <v/>
      </c>
      <c r="G595" s="10" t="str">
        <v/>
      </c>
      <c r="H595" s="11" t="str">
        <v/>
      </c>
      <c r="I595" s="11" t="str">
        <v/>
      </c>
    </row>
    <row r="596" spans="2:9">
      <c r="B596" s="11" t="str">
        <f t="shared" si="51"/>
        <v/>
      </c>
      <c r="C596" s="11" t="str">
        <f t="shared" si="54"/>
        <v/>
      </c>
      <c r="D596" s="11" t="str">
        <f t="shared" si="55"/>
        <v/>
      </c>
      <c r="E596" s="11" t="str">
        <f t="shared" si="52"/>
        <v/>
      </c>
      <c r="F596" s="11" t="str">
        <f t="shared" si="53"/>
        <v/>
      </c>
      <c r="G596" s="10" t="str">
        <v/>
      </c>
      <c r="H596" s="11" t="str">
        <v/>
      </c>
      <c r="I596" s="11" t="str">
        <v/>
      </c>
    </row>
    <row r="597" spans="2:9">
      <c r="B597" s="11" t="str">
        <f t="shared" si="51"/>
        <v/>
      </c>
      <c r="C597" s="11" t="str">
        <f t="shared" si="54"/>
        <v/>
      </c>
      <c r="D597" s="11" t="str">
        <f t="shared" si="55"/>
        <v/>
      </c>
      <c r="E597" s="11" t="str">
        <f t="shared" si="52"/>
        <v/>
      </c>
      <c r="F597" s="11" t="str">
        <f t="shared" si="53"/>
        <v/>
      </c>
      <c r="G597" s="10" t="str">
        <v/>
      </c>
      <c r="H597" s="11" t="str">
        <v/>
      </c>
      <c r="I597" s="11" t="str">
        <v/>
      </c>
    </row>
    <row r="598" spans="2:9">
      <c r="B598" s="11" t="str">
        <f t="shared" si="51"/>
        <v/>
      </c>
      <c r="C598" s="11" t="str">
        <f t="shared" si="54"/>
        <v/>
      </c>
      <c r="D598" s="11" t="str">
        <f t="shared" si="55"/>
        <v/>
      </c>
      <c r="E598" s="11" t="str">
        <f t="shared" si="52"/>
        <v/>
      </c>
      <c r="F598" s="11" t="str">
        <f t="shared" si="53"/>
        <v/>
      </c>
      <c r="G598" s="10" t="str">
        <v/>
      </c>
      <c r="H598" s="11" t="str">
        <v/>
      </c>
      <c r="I598" s="11" t="str">
        <v/>
      </c>
    </row>
    <row r="599" spans="2:9">
      <c r="B599" s="11" t="str">
        <f t="shared" si="51"/>
        <v/>
      </c>
      <c r="C599" s="11" t="str">
        <f t="shared" si="54"/>
        <v/>
      </c>
      <c r="D599" s="11" t="str">
        <f t="shared" si="55"/>
        <v/>
      </c>
      <c r="E599" s="11" t="str">
        <f t="shared" si="52"/>
        <v/>
      </c>
      <c r="F599" s="11" t="str">
        <f t="shared" si="53"/>
        <v/>
      </c>
      <c r="G599" s="10" t="str">
        <v/>
      </c>
      <c r="H599" s="11" t="str">
        <v/>
      </c>
      <c r="I599" s="11" t="str">
        <v/>
      </c>
    </row>
    <row r="600" spans="2:9">
      <c r="B600" s="11" t="str">
        <f t="shared" si="51"/>
        <v/>
      </c>
      <c r="C600" s="11" t="str">
        <f t="shared" si="54"/>
        <v/>
      </c>
      <c r="D600" s="11" t="str">
        <f t="shared" si="55"/>
        <v/>
      </c>
      <c r="E600" s="11" t="str">
        <f t="shared" si="52"/>
        <v/>
      </c>
      <c r="F600" s="11" t="str">
        <f t="shared" si="53"/>
        <v/>
      </c>
      <c r="G600" s="10" t="str">
        <v/>
      </c>
      <c r="H600" s="11" t="str">
        <v/>
      </c>
      <c r="I600" s="11" t="str">
        <v/>
      </c>
    </row>
    <row r="601" spans="2:9">
      <c r="B601" s="11" t="str">
        <f t="shared" si="51"/>
        <v/>
      </c>
      <c r="C601" s="11" t="str">
        <f t="shared" si="54"/>
        <v/>
      </c>
      <c r="D601" s="11" t="str">
        <f t="shared" si="55"/>
        <v/>
      </c>
      <c r="E601" s="11" t="str">
        <f t="shared" si="52"/>
        <v/>
      </c>
      <c r="F601" s="11" t="str">
        <f t="shared" si="53"/>
        <v/>
      </c>
      <c r="G601" s="10" t="str">
        <v/>
      </c>
      <c r="H601" s="11" t="str">
        <v/>
      </c>
      <c r="I601" s="11" t="str">
        <v/>
      </c>
    </row>
    <row r="602" spans="2:9">
      <c r="B602" s="11" t="str">
        <f t="shared" si="51"/>
        <v/>
      </c>
      <c r="C602" s="11" t="str">
        <f t="shared" si="54"/>
        <v/>
      </c>
      <c r="D602" s="11" t="str">
        <f t="shared" si="55"/>
        <v/>
      </c>
      <c r="E602" s="11" t="str">
        <f t="shared" si="52"/>
        <v/>
      </c>
      <c r="F602" s="11" t="str">
        <f t="shared" si="53"/>
        <v/>
      </c>
      <c r="G602" s="10" t="str">
        <v/>
      </c>
      <c r="H602" s="11" t="str">
        <v/>
      </c>
      <c r="I602" s="11" t="str">
        <v/>
      </c>
    </row>
    <row r="603" spans="2:9">
      <c r="B603" s="11" t="str">
        <f t="shared" si="51"/>
        <v/>
      </c>
      <c r="C603" s="11" t="str">
        <f t="shared" si="54"/>
        <v/>
      </c>
      <c r="D603" s="11" t="str">
        <f t="shared" si="55"/>
        <v/>
      </c>
      <c r="E603" s="11" t="str">
        <f t="shared" si="52"/>
        <v/>
      </c>
      <c r="F603" s="11" t="str">
        <f t="shared" si="53"/>
        <v/>
      </c>
      <c r="G603" s="10" t="str">
        <v/>
      </c>
      <c r="H603" s="11" t="str">
        <v/>
      </c>
      <c r="I603" s="11" t="str">
        <v/>
      </c>
    </row>
    <row r="604" spans="2:9">
      <c r="B604" s="11" t="str">
        <f t="shared" si="51"/>
        <v/>
      </c>
      <c r="C604" s="11" t="str">
        <f t="shared" si="54"/>
        <v/>
      </c>
      <c r="D604" s="11" t="str">
        <f t="shared" si="55"/>
        <v/>
      </c>
      <c r="E604" s="11" t="str">
        <f t="shared" si="52"/>
        <v/>
      </c>
      <c r="F604" s="11" t="str">
        <f t="shared" si="53"/>
        <v/>
      </c>
      <c r="G604" s="10" t="str">
        <v/>
      </c>
      <c r="H604" s="11" t="str">
        <v/>
      </c>
      <c r="I604" s="11" t="str">
        <v/>
      </c>
    </row>
    <row r="605" spans="2:9">
      <c r="B605" s="11" t="str">
        <f t="shared" si="51"/>
        <v/>
      </c>
      <c r="C605" s="11" t="str">
        <f t="shared" si="54"/>
        <v/>
      </c>
      <c r="D605" s="11" t="str">
        <f t="shared" si="55"/>
        <v/>
      </c>
      <c r="E605" s="11" t="str">
        <f t="shared" si="52"/>
        <v/>
      </c>
      <c r="F605" s="11" t="str">
        <f t="shared" si="53"/>
        <v/>
      </c>
      <c r="G605" s="10" t="str">
        <v/>
      </c>
      <c r="H605" s="11" t="str">
        <v/>
      </c>
      <c r="I605" s="11" t="str">
        <v/>
      </c>
    </row>
    <row r="606" spans="2:9">
      <c r="B606" s="11" t="str">
        <f t="shared" si="51"/>
        <v/>
      </c>
      <c r="C606" s="11" t="str">
        <f t="shared" si="54"/>
        <v/>
      </c>
      <c r="D606" s="11" t="str">
        <f t="shared" si="55"/>
        <v/>
      </c>
      <c r="E606" s="11" t="str">
        <f t="shared" si="52"/>
        <v/>
      </c>
      <c r="F606" s="11" t="str">
        <f t="shared" si="53"/>
        <v/>
      </c>
      <c r="G606" s="10" t="str">
        <v/>
      </c>
      <c r="H606" s="11" t="str">
        <v/>
      </c>
      <c r="I606" s="11" t="str">
        <v/>
      </c>
    </row>
    <row r="607" spans="2:9">
      <c r="B607" s="11" t="str">
        <f t="shared" si="51"/>
        <v/>
      </c>
      <c r="C607" s="11" t="str">
        <f t="shared" si="54"/>
        <v/>
      </c>
      <c r="D607" s="11" t="str">
        <f t="shared" si="55"/>
        <v/>
      </c>
      <c r="E607" s="11" t="str">
        <f t="shared" si="52"/>
        <v/>
      </c>
      <c r="F607" s="11" t="str">
        <f t="shared" si="53"/>
        <v/>
      </c>
      <c r="G607" s="10" t="str">
        <v/>
      </c>
      <c r="H607" s="11" t="str">
        <v/>
      </c>
      <c r="I607" s="11" t="str">
        <v/>
      </c>
    </row>
    <row r="608" spans="2:9">
      <c r="B608" s="11" t="str">
        <f t="shared" si="51"/>
        <v/>
      </c>
      <c r="C608" s="11" t="str">
        <f t="shared" si="54"/>
        <v/>
      </c>
      <c r="D608" s="11" t="str">
        <f t="shared" si="55"/>
        <v/>
      </c>
      <c r="E608" s="11" t="str">
        <f t="shared" si="52"/>
        <v/>
      </c>
      <c r="F608" s="11" t="str">
        <f t="shared" si="53"/>
        <v/>
      </c>
      <c r="G608" s="10" t="str">
        <v/>
      </c>
      <c r="H608" s="11" t="str">
        <v/>
      </c>
      <c r="I608" s="11" t="str">
        <v/>
      </c>
    </row>
    <row r="609" spans="2:9">
      <c r="B609" s="11" t="str">
        <f t="shared" si="51"/>
        <v/>
      </c>
      <c r="C609" s="11" t="str">
        <f t="shared" si="54"/>
        <v/>
      </c>
      <c r="D609" s="11" t="str">
        <f t="shared" si="55"/>
        <v/>
      </c>
      <c r="E609" s="11" t="str">
        <f t="shared" si="52"/>
        <v/>
      </c>
      <c r="F609" s="11" t="str">
        <f t="shared" si="53"/>
        <v/>
      </c>
      <c r="G609" s="10" t="str">
        <v/>
      </c>
      <c r="H609" s="11" t="str">
        <v/>
      </c>
      <c r="I609" s="11" t="str">
        <v/>
      </c>
    </row>
    <row r="610" spans="2:9">
      <c r="B610" s="11" t="str">
        <f t="shared" si="51"/>
        <v/>
      </c>
      <c r="C610" s="11" t="str">
        <f t="shared" si="54"/>
        <v/>
      </c>
      <c r="D610" s="11" t="str">
        <f t="shared" si="55"/>
        <v/>
      </c>
      <c r="E610" s="11" t="str">
        <f t="shared" si="52"/>
        <v/>
      </c>
      <c r="F610" s="11" t="str">
        <f t="shared" si="53"/>
        <v/>
      </c>
      <c r="G610" s="10" t="str">
        <v/>
      </c>
      <c r="H610" s="11" t="str">
        <v/>
      </c>
      <c r="I610" s="11" t="str">
        <v/>
      </c>
    </row>
    <row r="611" spans="2:9">
      <c r="B611" s="11" t="str">
        <f t="shared" si="51"/>
        <v/>
      </c>
      <c r="C611" s="11" t="str">
        <f t="shared" si="54"/>
        <v/>
      </c>
      <c r="D611" s="11" t="str">
        <f t="shared" si="55"/>
        <v/>
      </c>
      <c r="E611" s="11" t="str">
        <f t="shared" si="52"/>
        <v/>
      </c>
      <c r="F611" s="11" t="str">
        <f t="shared" si="53"/>
        <v/>
      </c>
      <c r="G611" s="10" t="str">
        <v/>
      </c>
      <c r="H611" s="11" t="str">
        <v/>
      </c>
      <c r="I611" s="11" t="str">
        <v/>
      </c>
    </row>
    <row r="612" spans="2:9">
      <c r="B612" s="11" t="str">
        <f t="shared" si="51"/>
        <v/>
      </c>
      <c r="C612" s="11" t="str">
        <f t="shared" si="54"/>
        <v/>
      </c>
      <c r="D612" s="11" t="str">
        <f t="shared" si="55"/>
        <v/>
      </c>
      <c r="E612" s="11" t="str">
        <f t="shared" si="52"/>
        <v/>
      </c>
      <c r="F612" s="11" t="str">
        <f t="shared" si="53"/>
        <v/>
      </c>
      <c r="G612" s="10" t="str">
        <v/>
      </c>
      <c r="H612" s="11" t="str">
        <v/>
      </c>
      <c r="I612" s="11" t="str">
        <v/>
      </c>
    </row>
    <row r="613" spans="2:9">
      <c r="B613" s="11" t="str">
        <f t="shared" si="51"/>
        <v/>
      </c>
      <c r="C613" s="11" t="str">
        <f t="shared" si="54"/>
        <v/>
      </c>
      <c r="D613" s="11" t="str">
        <f t="shared" si="55"/>
        <v/>
      </c>
      <c r="E613" s="11" t="str">
        <f t="shared" si="52"/>
        <v/>
      </c>
      <c r="F613" s="11" t="str">
        <f t="shared" si="53"/>
        <v/>
      </c>
      <c r="G613" s="10" t="str">
        <v/>
      </c>
      <c r="H613" s="11" t="str">
        <v/>
      </c>
      <c r="I613" s="11" t="str">
        <v/>
      </c>
    </row>
    <row r="614" spans="2:9">
      <c r="B614" s="11" t="str">
        <f t="shared" si="51"/>
        <v/>
      </c>
      <c r="C614" s="11" t="str">
        <f t="shared" si="54"/>
        <v/>
      </c>
      <c r="D614" s="11" t="str">
        <f t="shared" si="55"/>
        <v/>
      </c>
      <c r="E614" s="11" t="str">
        <f t="shared" si="52"/>
        <v/>
      </c>
      <c r="F614" s="11" t="str">
        <f t="shared" si="53"/>
        <v/>
      </c>
      <c r="G614" s="10" t="str">
        <v/>
      </c>
      <c r="H614" s="11" t="str">
        <v/>
      </c>
      <c r="I614" s="11" t="str">
        <v/>
      </c>
    </row>
    <row r="615" spans="2:9">
      <c r="B615" s="11" t="str">
        <f t="shared" si="51"/>
        <v/>
      </c>
      <c r="C615" s="11" t="str">
        <f t="shared" si="54"/>
        <v/>
      </c>
      <c r="D615" s="11" t="str">
        <f t="shared" si="55"/>
        <v/>
      </c>
      <c r="E615" s="11" t="str">
        <f t="shared" si="52"/>
        <v/>
      </c>
      <c r="F615" s="11" t="str">
        <f t="shared" si="53"/>
        <v/>
      </c>
      <c r="G615" s="10" t="str">
        <v/>
      </c>
      <c r="H615" s="11" t="str">
        <v/>
      </c>
      <c r="I615" s="11" t="str">
        <v/>
      </c>
    </row>
    <row r="616" spans="2:9">
      <c r="B616" s="11" t="str">
        <f t="shared" si="51"/>
        <v/>
      </c>
      <c r="C616" s="11" t="str">
        <f t="shared" si="54"/>
        <v/>
      </c>
      <c r="D616" s="11" t="str">
        <f t="shared" si="55"/>
        <v/>
      </c>
      <c r="E616" s="11" t="str">
        <f t="shared" si="52"/>
        <v/>
      </c>
      <c r="F616" s="11" t="str">
        <f t="shared" si="53"/>
        <v/>
      </c>
      <c r="G616" s="10" t="str">
        <v/>
      </c>
      <c r="H616" s="11" t="str">
        <v/>
      </c>
      <c r="I616" s="11" t="str">
        <v/>
      </c>
    </row>
    <row r="617" spans="2:9">
      <c r="B617" s="11" t="str">
        <f t="shared" si="51"/>
        <v/>
      </c>
      <c r="C617" s="11" t="str">
        <f t="shared" si="54"/>
        <v/>
      </c>
      <c r="D617" s="11" t="str">
        <f t="shared" si="55"/>
        <v/>
      </c>
      <c r="E617" s="11" t="str">
        <f t="shared" si="52"/>
        <v/>
      </c>
      <c r="F617" s="11" t="str">
        <f t="shared" si="53"/>
        <v/>
      </c>
      <c r="G617" s="10" t="str">
        <v/>
      </c>
      <c r="H617" s="11" t="str">
        <v/>
      </c>
      <c r="I617" s="11" t="str">
        <v/>
      </c>
    </row>
    <row r="618" spans="2:9">
      <c r="B618" s="11" t="str">
        <f t="shared" si="51"/>
        <v/>
      </c>
      <c r="C618" s="11" t="str">
        <f t="shared" si="54"/>
        <v/>
      </c>
      <c r="D618" s="11" t="str">
        <f t="shared" si="55"/>
        <v/>
      </c>
      <c r="E618" s="11" t="str">
        <f t="shared" si="52"/>
        <v/>
      </c>
      <c r="F618" s="11" t="str">
        <f t="shared" si="53"/>
        <v/>
      </c>
      <c r="G618" s="10" t="str">
        <v/>
      </c>
      <c r="H618" s="11" t="str">
        <v/>
      </c>
      <c r="I618" s="11" t="str">
        <v/>
      </c>
    </row>
    <row r="619" spans="2:9">
      <c r="B619" s="11" t="str">
        <f t="shared" si="51"/>
        <v/>
      </c>
      <c r="C619" s="11" t="str">
        <f t="shared" si="54"/>
        <v/>
      </c>
      <c r="D619" s="11" t="str">
        <f t="shared" si="55"/>
        <v/>
      </c>
      <c r="E619" s="11" t="str">
        <f t="shared" si="52"/>
        <v/>
      </c>
      <c r="F619" s="11" t="str">
        <f t="shared" si="53"/>
        <v/>
      </c>
      <c r="G619" s="10" t="str">
        <v/>
      </c>
      <c r="H619" s="11" t="str">
        <v/>
      </c>
      <c r="I619" s="11" t="str">
        <v/>
      </c>
    </row>
    <row r="620" spans="2:9">
      <c r="B620" s="11" t="str">
        <f t="shared" si="51"/>
        <v/>
      </c>
      <c r="C620" s="11" t="str">
        <f t="shared" si="54"/>
        <v/>
      </c>
      <c r="D620" s="11" t="str">
        <f t="shared" si="55"/>
        <v/>
      </c>
      <c r="E620" s="11" t="str">
        <f t="shared" si="52"/>
        <v/>
      </c>
      <c r="F620" s="11" t="str">
        <f t="shared" si="53"/>
        <v/>
      </c>
      <c r="G620" s="10" t="str">
        <v/>
      </c>
      <c r="H620" s="11" t="str">
        <v/>
      </c>
      <c r="I620" s="11" t="str">
        <v/>
      </c>
    </row>
    <row r="621" spans="2:9">
      <c r="B621" s="11" t="str">
        <f t="shared" si="51"/>
        <v/>
      </c>
      <c r="C621" s="11" t="str">
        <f t="shared" si="54"/>
        <v/>
      </c>
      <c r="D621" s="11" t="str">
        <f t="shared" si="55"/>
        <v/>
      </c>
      <c r="E621" s="11" t="str">
        <f t="shared" si="52"/>
        <v/>
      </c>
      <c r="F621" s="11" t="str">
        <f t="shared" si="53"/>
        <v/>
      </c>
      <c r="G621" s="10" t="str">
        <v/>
      </c>
      <c r="H621" s="11" t="str">
        <v/>
      </c>
      <c r="I621" s="11" t="str">
        <v/>
      </c>
    </row>
    <row r="622" spans="2:9">
      <c r="B622" s="11" t="str">
        <f t="shared" si="51"/>
        <v/>
      </c>
      <c r="C622" s="11" t="str">
        <f t="shared" si="54"/>
        <v/>
      </c>
      <c r="D622" s="11" t="str">
        <f t="shared" si="55"/>
        <v/>
      </c>
      <c r="E622" s="11" t="str">
        <f t="shared" si="52"/>
        <v/>
      </c>
      <c r="F622" s="11" t="str">
        <f t="shared" si="53"/>
        <v/>
      </c>
      <c r="G622" s="10" t="str">
        <v/>
      </c>
      <c r="H622" s="11" t="str">
        <v/>
      </c>
      <c r="I622" s="11" t="str">
        <v/>
      </c>
    </row>
    <row r="623" spans="2:9">
      <c r="B623" s="11" t="str">
        <f t="shared" si="51"/>
        <v/>
      </c>
      <c r="C623" s="11" t="str">
        <f t="shared" si="54"/>
        <v/>
      </c>
      <c r="D623" s="11" t="str">
        <f t="shared" si="55"/>
        <v/>
      </c>
      <c r="E623" s="11" t="str">
        <f t="shared" si="52"/>
        <v/>
      </c>
      <c r="F623" s="11" t="str">
        <f t="shared" si="53"/>
        <v/>
      </c>
      <c r="G623" s="10" t="str">
        <v/>
      </c>
      <c r="H623" s="11" t="str">
        <v/>
      </c>
      <c r="I623" s="11" t="str">
        <v/>
      </c>
    </row>
    <row r="624" spans="2:9">
      <c r="B624" s="11" t="str">
        <f t="shared" si="51"/>
        <v/>
      </c>
      <c r="C624" s="11" t="str">
        <f t="shared" si="54"/>
        <v/>
      </c>
      <c r="D624" s="11" t="str">
        <f t="shared" si="55"/>
        <v/>
      </c>
      <c r="E624" s="11" t="str">
        <f t="shared" si="52"/>
        <v/>
      </c>
      <c r="F624" s="11" t="str">
        <f t="shared" si="53"/>
        <v/>
      </c>
      <c r="G624" s="10" t="str">
        <v/>
      </c>
      <c r="H624" s="11" t="str">
        <v/>
      </c>
      <c r="I624" s="11" t="str">
        <v/>
      </c>
    </row>
    <row r="625" spans="2:9">
      <c r="B625" s="11" t="str">
        <f t="shared" si="51"/>
        <v/>
      </c>
      <c r="C625" s="11" t="str">
        <f t="shared" si="54"/>
        <v/>
      </c>
      <c r="D625" s="11" t="str">
        <f t="shared" si="55"/>
        <v/>
      </c>
      <c r="E625" s="11" t="str">
        <f t="shared" si="52"/>
        <v/>
      </c>
      <c r="F625" s="11" t="str">
        <f t="shared" si="53"/>
        <v/>
      </c>
      <c r="G625" s="10" t="str">
        <v/>
      </c>
      <c r="H625" s="11" t="str">
        <v/>
      </c>
      <c r="I625" s="11" t="str">
        <v/>
      </c>
    </row>
    <row r="626" spans="2:9">
      <c r="B626" s="11" t="str">
        <f t="shared" si="51"/>
        <v/>
      </c>
      <c r="C626" s="11" t="str">
        <f t="shared" si="54"/>
        <v/>
      </c>
      <c r="D626" s="11" t="str">
        <f t="shared" si="55"/>
        <v/>
      </c>
      <c r="E626" s="11" t="str">
        <f t="shared" si="52"/>
        <v/>
      </c>
      <c r="F626" s="11" t="str">
        <f t="shared" si="53"/>
        <v/>
      </c>
      <c r="G626" s="10" t="str">
        <v/>
      </c>
      <c r="H626" s="11" t="str">
        <v/>
      </c>
      <c r="I626" s="11" t="str">
        <v/>
      </c>
    </row>
    <row r="627" spans="2:9">
      <c r="B627" s="11" t="str">
        <f t="shared" si="51"/>
        <v/>
      </c>
      <c r="C627" s="11" t="str">
        <f t="shared" si="54"/>
        <v/>
      </c>
      <c r="D627" s="11" t="str">
        <f t="shared" si="55"/>
        <v/>
      </c>
      <c r="E627" s="11" t="str">
        <f t="shared" si="52"/>
        <v/>
      </c>
      <c r="F627" s="11" t="str">
        <f t="shared" si="53"/>
        <v/>
      </c>
      <c r="G627" s="10" t="str">
        <v/>
      </c>
      <c r="H627" s="11" t="str">
        <v/>
      </c>
      <c r="I627" s="11" t="str">
        <v/>
      </c>
    </row>
    <row r="628" spans="2:9">
      <c r="B628" s="11" t="str">
        <f t="shared" si="51"/>
        <v/>
      </c>
      <c r="C628" s="11" t="str">
        <f t="shared" si="54"/>
        <v/>
      </c>
      <c r="D628" s="11" t="str">
        <f t="shared" si="55"/>
        <v/>
      </c>
      <c r="E628" s="11" t="str">
        <f t="shared" si="52"/>
        <v/>
      </c>
      <c r="F628" s="11" t="str">
        <f t="shared" si="53"/>
        <v/>
      </c>
      <c r="G628" s="10" t="str">
        <v/>
      </c>
      <c r="H628" s="11" t="str">
        <v/>
      </c>
      <c r="I628" s="11" t="str">
        <v/>
      </c>
    </row>
    <row r="629" spans="2:9">
      <c r="B629" s="11" t="str">
        <f t="shared" si="51"/>
        <v/>
      </c>
      <c r="C629" s="11" t="str">
        <f t="shared" si="54"/>
        <v/>
      </c>
      <c r="D629" s="11" t="str">
        <f t="shared" si="55"/>
        <v/>
      </c>
      <c r="E629" s="11" t="str">
        <f t="shared" si="52"/>
        <v/>
      </c>
      <c r="F629" s="11" t="str">
        <f t="shared" si="53"/>
        <v/>
      </c>
      <c r="G629" s="10" t="str">
        <v/>
      </c>
      <c r="H629" s="11" t="str">
        <v/>
      </c>
      <c r="I629" s="11" t="str">
        <v/>
      </c>
    </row>
    <row r="630" spans="2:9">
      <c r="B630" s="11" t="str">
        <f t="shared" si="51"/>
        <v/>
      </c>
      <c r="C630" s="11" t="str">
        <f t="shared" si="54"/>
        <v/>
      </c>
      <c r="D630" s="11" t="str">
        <f t="shared" si="55"/>
        <v/>
      </c>
      <c r="E630" s="11" t="str">
        <f t="shared" si="52"/>
        <v/>
      </c>
      <c r="F630" s="11" t="str">
        <f t="shared" si="53"/>
        <v/>
      </c>
      <c r="G630" s="10" t="str">
        <v/>
      </c>
      <c r="H630" s="11" t="str">
        <v/>
      </c>
      <c r="I630" s="11" t="str">
        <v/>
      </c>
    </row>
    <row r="631" spans="2:9">
      <c r="B631" s="11" t="str">
        <f t="shared" si="51"/>
        <v/>
      </c>
      <c r="C631" s="11" t="str">
        <f t="shared" si="54"/>
        <v/>
      </c>
      <c r="D631" s="11" t="str">
        <f t="shared" si="55"/>
        <v/>
      </c>
      <c r="E631" s="11" t="str">
        <f t="shared" si="52"/>
        <v/>
      </c>
      <c r="F631" s="11" t="str">
        <f t="shared" si="53"/>
        <v/>
      </c>
      <c r="G631" s="10" t="str">
        <v/>
      </c>
      <c r="H631" s="11" t="str">
        <v/>
      </c>
      <c r="I631" s="11" t="str">
        <v/>
      </c>
    </row>
    <row r="632" spans="2:9">
      <c r="B632" s="11" t="str">
        <f t="shared" si="51"/>
        <v/>
      </c>
      <c r="C632" s="11" t="str">
        <f t="shared" si="54"/>
        <v/>
      </c>
      <c r="D632" s="11" t="str">
        <f t="shared" si="55"/>
        <v/>
      </c>
      <c r="E632" s="11" t="str">
        <f t="shared" si="52"/>
        <v/>
      </c>
      <c r="F632" s="11" t="str">
        <f t="shared" si="53"/>
        <v/>
      </c>
      <c r="G632" s="10" t="str">
        <v/>
      </c>
      <c r="H632" s="11" t="str">
        <v/>
      </c>
      <c r="I632" s="11" t="str">
        <v/>
      </c>
    </row>
    <row r="633" spans="2:9">
      <c r="B633" s="11" t="str">
        <f t="shared" si="51"/>
        <v/>
      </c>
      <c r="C633" s="11" t="str">
        <f t="shared" si="54"/>
        <v/>
      </c>
      <c r="D633" s="11" t="str">
        <f t="shared" si="55"/>
        <v/>
      </c>
      <c r="E633" s="11" t="str">
        <f t="shared" si="52"/>
        <v/>
      </c>
      <c r="F633" s="11" t="str">
        <f t="shared" si="53"/>
        <v/>
      </c>
      <c r="G633" s="10" t="str">
        <v/>
      </c>
      <c r="H633" s="11" t="str">
        <v/>
      </c>
      <c r="I633" s="11" t="str">
        <v/>
      </c>
    </row>
    <row r="634" spans="2:9">
      <c r="B634" s="11" t="str">
        <f t="shared" si="51"/>
        <v/>
      </c>
      <c r="C634" s="11" t="str">
        <f t="shared" si="54"/>
        <v/>
      </c>
      <c r="D634" s="11" t="str">
        <f t="shared" si="55"/>
        <v/>
      </c>
      <c r="E634" s="11" t="str">
        <f t="shared" si="52"/>
        <v/>
      </c>
      <c r="F634" s="11" t="str">
        <f t="shared" si="53"/>
        <v/>
      </c>
      <c r="G634" s="10" t="str">
        <v/>
      </c>
      <c r="H634" s="11" t="str">
        <v/>
      </c>
      <c r="I634" s="11" t="str">
        <v/>
      </c>
    </row>
    <row r="635" spans="2:9">
      <c r="B635" s="11" t="str">
        <f t="shared" si="51"/>
        <v/>
      </c>
      <c r="C635" s="11" t="str">
        <f t="shared" si="54"/>
        <v/>
      </c>
      <c r="D635" s="11" t="str">
        <f t="shared" si="55"/>
        <v/>
      </c>
      <c r="E635" s="11" t="str">
        <f t="shared" si="52"/>
        <v/>
      </c>
      <c r="F635" s="11" t="str">
        <f t="shared" si="53"/>
        <v/>
      </c>
      <c r="G635" s="10" t="str">
        <v/>
      </c>
      <c r="H635" s="11" t="str">
        <v/>
      </c>
      <c r="I635" s="11" t="str">
        <v/>
      </c>
    </row>
    <row r="636" spans="2:9">
      <c r="B636" s="11" t="str">
        <f t="shared" si="51"/>
        <v/>
      </c>
      <c r="C636" s="11" t="str">
        <f t="shared" si="54"/>
        <v/>
      </c>
      <c r="D636" s="11" t="str">
        <f t="shared" si="55"/>
        <v/>
      </c>
      <c r="E636" s="11" t="str">
        <f t="shared" si="52"/>
        <v/>
      </c>
      <c r="F636" s="11" t="str">
        <f t="shared" si="53"/>
        <v/>
      </c>
      <c r="G636" s="10" t="str">
        <v/>
      </c>
      <c r="H636" s="11" t="str">
        <v/>
      </c>
      <c r="I636" s="11" t="str">
        <v/>
      </c>
    </row>
    <row r="637" spans="2:9">
      <c r="B637" s="11" t="str">
        <f t="shared" si="51"/>
        <v/>
      </c>
      <c r="C637" s="11" t="str">
        <f t="shared" si="54"/>
        <v/>
      </c>
      <c r="D637" s="11" t="str">
        <f t="shared" si="55"/>
        <v/>
      </c>
      <c r="E637" s="11" t="str">
        <f t="shared" si="52"/>
        <v/>
      </c>
      <c r="F637" s="11" t="str">
        <f t="shared" si="53"/>
        <v/>
      </c>
      <c r="G637" s="10" t="str">
        <v/>
      </c>
      <c r="H637" s="11" t="str">
        <v/>
      </c>
      <c r="I637" s="11" t="str">
        <v/>
      </c>
    </row>
    <row r="638" spans="2:9">
      <c r="B638" s="11" t="str">
        <f t="shared" si="51"/>
        <v/>
      </c>
      <c r="C638" s="11" t="str">
        <f t="shared" si="54"/>
        <v/>
      </c>
      <c r="D638" s="11" t="str">
        <f t="shared" si="55"/>
        <v/>
      </c>
      <c r="E638" s="11" t="str">
        <f t="shared" si="52"/>
        <v/>
      </c>
      <c r="F638" s="11" t="str">
        <f t="shared" si="53"/>
        <v/>
      </c>
      <c r="G638" s="10" t="str">
        <v/>
      </c>
      <c r="H638" s="11" t="str">
        <v/>
      </c>
      <c r="I638" s="11" t="str">
        <v/>
      </c>
    </row>
    <row r="639" spans="2:9">
      <c r="B639" s="11" t="str">
        <f t="shared" si="51"/>
        <v/>
      </c>
      <c r="C639" s="11" t="str">
        <f t="shared" si="54"/>
        <v/>
      </c>
      <c r="D639" s="11" t="str">
        <f t="shared" si="55"/>
        <v/>
      </c>
      <c r="E639" s="11" t="str">
        <f t="shared" si="52"/>
        <v/>
      </c>
      <c r="F639" s="11" t="str">
        <f t="shared" si="53"/>
        <v/>
      </c>
      <c r="G639" s="10" t="str">
        <v/>
      </c>
      <c r="H639" s="11" t="str">
        <v/>
      </c>
      <c r="I639" s="11" t="str">
        <v/>
      </c>
    </row>
    <row r="640" spans="2:9">
      <c r="B640" s="11" t="str">
        <f t="shared" si="51"/>
        <v/>
      </c>
      <c r="C640" s="11" t="str">
        <f t="shared" si="54"/>
        <v/>
      </c>
      <c r="D640" s="11" t="str">
        <f t="shared" si="55"/>
        <v/>
      </c>
      <c r="E640" s="11" t="str">
        <f t="shared" si="52"/>
        <v/>
      </c>
      <c r="F640" s="11" t="str">
        <f t="shared" si="53"/>
        <v/>
      </c>
      <c r="G640" s="10" t="str">
        <v/>
      </c>
      <c r="H640" s="11" t="str">
        <v/>
      </c>
      <c r="I640" s="11" t="str">
        <v/>
      </c>
    </row>
    <row r="641" spans="2:9">
      <c r="B641" s="11" t="str">
        <f t="shared" ref="B641:B704" si="56">IFERROR(IF(FIND(" ",A641)=6,IF(IFERROR(FIND(" PB",A641),"")&lt;&gt;"","артикул",IF(IFERROR(FIND(" CRN",A641),"")&lt;&gt;"","артикул","")),""),"")</f>
        <v/>
      </c>
      <c r="C641" s="11" t="str">
        <f t="shared" si="54"/>
        <v/>
      </c>
      <c r="D641" s="11" t="str">
        <f t="shared" si="55"/>
        <v/>
      </c>
      <c r="E641" s="11" t="str">
        <f t="shared" si="52"/>
        <v/>
      </c>
      <c r="F641" s="11" t="str">
        <f t="shared" si="53"/>
        <v/>
      </c>
      <c r="G641" s="10" t="str">
        <v/>
      </c>
      <c r="H641" s="11" t="str">
        <v/>
      </c>
      <c r="I641" s="11" t="str">
        <v/>
      </c>
    </row>
    <row r="642" spans="2:9">
      <c r="B642" s="11" t="str">
        <f t="shared" si="56"/>
        <v/>
      </c>
      <c r="C642" s="11" t="str">
        <f t="shared" si="54"/>
        <v/>
      </c>
      <c r="D642" s="11" t="str">
        <f t="shared" si="55"/>
        <v/>
      </c>
      <c r="E642" s="11" t="str">
        <f t="shared" ref="E642:E705" si="57" xml:space="preserve">
IF(B642="Артикул",
IF(
AND(RIGHT(A643,1)="%",
RIGHT(A644,1)="%",
RIGHT(A645,1)="%",
RIGHT(A646,1)="%"),MID(A647,FIND(" ",A647),50),
IF(
AND(RIGHT(A643,1)="%",
RIGHT(A644,1)="%",
RIGHT(A645,1)="%"),MID(A646,FIND(" ",A646),50),
IF(
AND(RIGHT(A643,1)="%",
RIGHT(A644,1)="%"),
MID(A645,FIND(" ",A645),50),
IF(
RIGHT(A643,1)="%",
MID(A644,FIND(" ",A644),50),"")))),"")</f>
        <v/>
      </c>
      <c r="F642" s="11" t="str">
        <f t="shared" ref="F642:F705" si="58">IFERROR(
IF(
AND(LEFT(A642,8)="Discount",FIND("%",A642)&gt;0),
MID(A642,
FIND(" ",A642),
FIND("%",A642)-FIND(" ",A642))
*-1,""),"")</f>
        <v/>
      </c>
      <c r="G642" s="10" t="str">
        <v/>
      </c>
      <c r="H642" s="11" t="str">
        <v/>
      </c>
      <c r="I642" s="11" t="str">
        <v/>
      </c>
    </row>
    <row r="643" spans="2:9">
      <c r="B643" s="11" t="str">
        <f t="shared" si="56"/>
        <v/>
      </c>
      <c r="C643" s="11" t="str">
        <f t="shared" si="54"/>
        <v/>
      </c>
      <c r="D643" s="11" t="str">
        <f t="shared" si="55"/>
        <v/>
      </c>
      <c r="E643" s="11" t="str">
        <f t="shared" si="57"/>
        <v/>
      </c>
      <c r="F643" s="11" t="str">
        <f t="shared" si="58"/>
        <v/>
      </c>
      <c r="G643" s="10" t="str">
        <v/>
      </c>
      <c r="H643" s="11" t="str">
        <v/>
      </c>
      <c r="I643" s="11" t="str">
        <v/>
      </c>
    </row>
    <row r="644" spans="2:9">
      <c r="B644" s="11" t="str">
        <f t="shared" si="56"/>
        <v/>
      </c>
      <c r="C644" s="11" t="str">
        <f t="shared" si="54"/>
        <v/>
      </c>
      <c r="D644" s="11" t="str">
        <f t="shared" si="55"/>
        <v/>
      </c>
      <c r="E644" s="11" t="str">
        <f t="shared" si="57"/>
        <v/>
      </c>
      <c r="F644" s="11" t="str">
        <f t="shared" si="58"/>
        <v/>
      </c>
      <c r="G644" s="10" t="str">
        <v/>
      </c>
      <c r="H644" s="11" t="str">
        <v/>
      </c>
      <c r="I644" s="11" t="str">
        <v/>
      </c>
    </row>
    <row r="645" spans="2:9">
      <c r="B645" s="11" t="str">
        <f t="shared" si="56"/>
        <v/>
      </c>
      <c r="C645" s="11" t="str">
        <f t="shared" si="54"/>
        <v/>
      </c>
      <c r="D645" s="11" t="str">
        <f t="shared" si="55"/>
        <v/>
      </c>
      <c r="E645" s="11" t="str">
        <f t="shared" si="57"/>
        <v/>
      </c>
      <c r="F645" s="11" t="str">
        <f t="shared" si="58"/>
        <v/>
      </c>
      <c r="G645" s="10" t="str">
        <v/>
      </c>
      <c r="H645" s="11" t="str">
        <v/>
      </c>
      <c r="I645" s="11" t="str">
        <v/>
      </c>
    </row>
    <row r="646" spans="2:9">
      <c r="B646" s="11" t="str">
        <f t="shared" si="56"/>
        <v/>
      </c>
      <c r="C646" s="11" t="str">
        <f t="shared" si="54"/>
        <v/>
      </c>
      <c r="D646" s="11" t="str">
        <f t="shared" si="55"/>
        <v/>
      </c>
      <c r="E646" s="11" t="str">
        <f t="shared" si="57"/>
        <v/>
      </c>
      <c r="F646" s="11" t="str">
        <f t="shared" si="58"/>
        <v/>
      </c>
      <c r="G646" s="10" t="str">
        <v/>
      </c>
      <c r="H646" s="11" t="str">
        <v/>
      </c>
      <c r="I646" s="11" t="str">
        <v/>
      </c>
    </row>
    <row r="647" spans="2:9">
      <c r="B647" s="11" t="str">
        <f t="shared" si="56"/>
        <v/>
      </c>
      <c r="C647" s="11" t="str">
        <f t="shared" si="54"/>
        <v/>
      </c>
      <c r="D647" s="11" t="str">
        <f t="shared" si="55"/>
        <v/>
      </c>
      <c r="E647" s="11" t="str">
        <f t="shared" si="57"/>
        <v/>
      </c>
      <c r="F647" s="11" t="str">
        <f t="shared" si="58"/>
        <v/>
      </c>
      <c r="G647" s="10" t="str">
        <v/>
      </c>
      <c r="H647" s="11" t="str">
        <v/>
      </c>
      <c r="I647" s="11" t="str">
        <v/>
      </c>
    </row>
    <row r="648" spans="2:9">
      <c r="B648" s="11" t="str">
        <f t="shared" si="56"/>
        <v/>
      </c>
      <c r="C648" s="11" t="str">
        <f t="shared" si="54"/>
        <v/>
      </c>
      <c r="D648" s="11" t="str">
        <f t="shared" si="55"/>
        <v/>
      </c>
      <c r="E648" s="11" t="str">
        <f t="shared" si="57"/>
        <v/>
      </c>
      <c r="F648" s="11" t="str">
        <f t="shared" si="58"/>
        <v/>
      </c>
      <c r="G648" s="10" t="str">
        <v/>
      </c>
      <c r="H648" s="11" t="str">
        <v/>
      </c>
      <c r="I648" s="11" t="str">
        <v/>
      </c>
    </row>
    <row r="649" spans="2:9">
      <c r="B649" s="11" t="str">
        <f t="shared" si="56"/>
        <v/>
      </c>
      <c r="C649" s="11" t="str">
        <f t="shared" si="54"/>
        <v/>
      </c>
      <c r="D649" s="11" t="str">
        <f t="shared" si="55"/>
        <v/>
      </c>
      <c r="E649" s="11" t="str">
        <f t="shared" si="57"/>
        <v/>
      </c>
      <c r="F649" s="11" t="str">
        <f t="shared" si="58"/>
        <v/>
      </c>
      <c r="G649" s="10" t="str">
        <v/>
      </c>
      <c r="H649" s="11" t="str">
        <v/>
      </c>
      <c r="I649" s="11" t="str">
        <v/>
      </c>
    </row>
    <row r="650" spans="2:9">
      <c r="B650" s="11" t="str">
        <f t="shared" si="56"/>
        <v/>
      </c>
      <c r="C650" s="11" t="str">
        <f t="shared" si="54"/>
        <v/>
      </c>
      <c r="D650" s="11" t="str">
        <f t="shared" si="55"/>
        <v/>
      </c>
      <c r="E650" s="11" t="str">
        <f t="shared" si="57"/>
        <v/>
      </c>
      <c r="F650" s="11" t="str">
        <f t="shared" si="58"/>
        <v/>
      </c>
      <c r="G650" s="10" t="str">
        <v/>
      </c>
      <c r="H650" s="11" t="str">
        <v/>
      </c>
      <c r="I650" s="11" t="str">
        <v/>
      </c>
    </row>
    <row r="651" spans="2:9">
      <c r="B651" s="11" t="str">
        <f t="shared" si="56"/>
        <v/>
      </c>
      <c r="C651" s="11" t="str">
        <f t="shared" si="54"/>
        <v/>
      </c>
      <c r="D651" s="11" t="str">
        <f t="shared" si="55"/>
        <v/>
      </c>
      <c r="E651" s="11" t="str">
        <f t="shared" si="57"/>
        <v/>
      </c>
      <c r="F651" s="11" t="str">
        <f t="shared" si="58"/>
        <v/>
      </c>
      <c r="G651" s="10" t="str">
        <v/>
      </c>
      <c r="H651" s="11" t="str">
        <v/>
      </c>
      <c r="I651" s="11" t="str">
        <v/>
      </c>
    </row>
    <row r="652" spans="2:9">
      <c r="B652" s="11" t="str">
        <f t="shared" si="56"/>
        <v/>
      </c>
      <c r="C652" s="11" t="str">
        <f t="shared" si="54"/>
        <v/>
      </c>
      <c r="D652" s="11" t="str">
        <f t="shared" si="55"/>
        <v/>
      </c>
      <c r="E652" s="11" t="str">
        <f t="shared" si="57"/>
        <v/>
      </c>
      <c r="F652" s="11" t="str">
        <f t="shared" si="58"/>
        <v/>
      </c>
      <c r="G652" s="10" t="str">
        <v/>
      </c>
      <c r="H652" s="11" t="str">
        <v/>
      </c>
      <c r="I652" s="11" t="str">
        <v/>
      </c>
    </row>
    <row r="653" spans="2:9">
      <c r="B653" s="11" t="str">
        <f t="shared" si="56"/>
        <v/>
      </c>
      <c r="C653" s="11" t="str">
        <f t="shared" ref="C653:C716" si="59">IF(B653="артикул",A653,"")</f>
        <v/>
      </c>
      <c r="D653" s="11" t="str">
        <f t="shared" ref="D653:D716" si="60">IF(B653="артикул",A654,"")</f>
        <v/>
      </c>
      <c r="E653" s="11" t="str">
        <f t="shared" si="57"/>
        <v/>
      </c>
      <c r="F653" s="11" t="str">
        <f t="shared" si="58"/>
        <v/>
      </c>
      <c r="G653" s="10" t="str">
        <v/>
      </c>
      <c r="H653" s="11" t="str">
        <v/>
      </c>
      <c r="I653" s="11" t="str">
        <v/>
      </c>
    </row>
    <row r="654" spans="2:9">
      <c r="B654" s="11" t="str">
        <f t="shared" si="56"/>
        <v/>
      </c>
      <c r="C654" s="11" t="str">
        <f t="shared" si="59"/>
        <v/>
      </c>
      <c r="D654" s="11" t="str">
        <f t="shared" si="60"/>
        <v/>
      </c>
      <c r="E654" s="11" t="str">
        <f t="shared" si="57"/>
        <v/>
      </c>
      <c r="F654" s="11" t="str">
        <f t="shared" si="58"/>
        <v/>
      </c>
      <c r="G654" s="10" t="str">
        <v/>
      </c>
      <c r="H654" s="11" t="str">
        <v/>
      </c>
      <c r="I654" s="11" t="str">
        <v/>
      </c>
    </row>
    <row r="655" spans="2:9">
      <c r="B655" s="11" t="str">
        <f t="shared" si="56"/>
        <v/>
      </c>
      <c r="C655" s="11" t="str">
        <f t="shared" si="59"/>
        <v/>
      </c>
      <c r="D655" s="11" t="str">
        <f t="shared" si="60"/>
        <v/>
      </c>
      <c r="E655" s="11" t="str">
        <f t="shared" si="57"/>
        <v/>
      </c>
      <c r="F655" s="11" t="str">
        <f t="shared" si="58"/>
        <v/>
      </c>
      <c r="G655" s="10" t="str">
        <v/>
      </c>
      <c r="H655" s="11" t="str">
        <v/>
      </c>
      <c r="I655" s="11" t="str">
        <v/>
      </c>
    </row>
    <row r="656" spans="2:9">
      <c r="B656" s="11" t="str">
        <f t="shared" si="56"/>
        <v/>
      </c>
      <c r="C656" s="11" t="str">
        <f t="shared" si="59"/>
        <v/>
      </c>
      <c r="D656" s="11" t="str">
        <f t="shared" si="60"/>
        <v/>
      </c>
      <c r="E656" s="11" t="str">
        <f t="shared" si="57"/>
        <v/>
      </c>
      <c r="F656" s="11" t="str">
        <f t="shared" si="58"/>
        <v/>
      </c>
      <c r="G656" s="10" t="str">
        <v/>
      </c>
      <c r="H656" s="11" t="str">
        <v/>
      </c>
      <c r="I656" s="11" t="str">
        <v/>
      </c>
    </row>
    <row r="657" spans="2:9">
      <c r="B657" s="11" t="str">
        <f t="shared" si="56"/>
        <v/>
      </c>
      <c r="C657" s="11" t="str">
        <f t="shared" si="59"/>
        <v/>
      </c>
      <c r="D657" s="11" t="str">
        <f t="shared" si="60"/>
        <v/>
      </c>
      <c r="E657" s="11" t="str">
        <f t="shared" si="57"/>
        <v/>
      </c>
      <c r="F657" s="11" t="str">
        <f t="shared" si="58"/>
        <v/>
      </c>
      <c r="G657" s="10" t="str">
        <v/>
      </c>
      <c r="H657" s="11" t="str">
        <v/>
      </c>
      <c r="I657" s="11" t="str">
        <v/>
      </c>
    </row>
    <row r="658" spans="2:9">
      <c r="B658" s="11" t="str">
        <f t="shared" si="56"/>
        <v/>
      </c>
      <c r="C658" s="11" t="str">
        <f t="shared" si="59"/>
        <v/>
      </c>
      <c r="D658" s="11" t="str">
        <f t="shared" si="60"/>
        <v/>
      </c>
      <c r="E658" s="11" t="str">
        <f t="shared" si="57"/>
        <v/>
      </c>
      <c r="F658" s="11" t="str">
        <f t="shared" si="58"/>
        <v/>
      </c>
      <c r="G658" s="10" t="str">
        <v/>
      </c>
      <c r="H658" s="11" t="str">
        <v/>
      </c>
      <c r="I658" s="11" t="str">
        <v/>
      </c>
    </row>
    <row r="659" spans="2:9">
      <c r="B659" s="11" t="str">
        <f t="shared" si="56"/>
        <v/>
      </c>
      <c r="C659" s="11" t="str">
        <f t="shared" si="59"/>
        <v/>
      </c>
      <c r="D659" s="11" t="str">
        <f t="shared" si="60"/>
        <v/>
      </c>
      <c r="E659" s="11" t="str">
        <f t="shared" si="57"/>
        <v/>
      </c>
      <c r="F659" s="11" t="str">
        <f t="shared" si="58"/>
        <v/>
      </c>
      <c r="G659" s="10" t="str">
        <v/>
      </c>
      <c r="H659" s="11" t="str">
        <v/>
      </c>
      <c r="I659" s="11" t="str">
        <v/>
      </c>
    </row>
    <row r="660" spans="2:9">
      <c r="B660" s="11" t="str">
        <f t="shared" si="56"/>
        <v/>
      </c>
      <c r="C660" s="11" t="str">
        <f t="shared" si="59"/>
        <v/>
      </c>
      <c r="D660" s="11" t="str">
        <f t="shared" si="60"/>
        <v/>
      </c>
      <c r="E660" s="11" t="str">
        <f t="shared" si="57"/>
        <v/>
      </c>
      <c r="F660" s="11" t="str">
        <f t="shared" si="58"/>
        <v/>
      </c>
      <c r="G660" s="10" t="str">
        <v/>
      </c>
      <c r="H660" s="11" t="str">
        <v/>
      </c>
      <c r="I660" s="11" t="str">
        <v/>
      </c>
    </row>
    <row r="661" spans="2:9">
      <c r="B661" s="11" t="str">
        <f t="shared" si="56"/>
        <v/>
      </c>
      <c r="C661" s="11" t="str">
        <f t="shared" si="59"/>
        <v/>
      </c>
      <c r="D661" s="11" t="str">
        <f t="shared" si="60"/>
        <v/>
      </c>
      <c r="E661" s="11" t="str">
        <f t="shared" si="57"/>
        <v/>
      </c>
      <c r="F661" s="11" t="str">
        <f t="shared" si="58"/>
        <v/>
      </c>
      <c r="G661" s="10" t="str">
        <v/>
      </c>
      <c r="H661" s="11" t="str">
        <v/>
      </c>
      <c r="I661" s="11" t="str">
        <v/>
      </c>
    </row>
    <row r="662" spans="2:9">
      <c r="B662" s="11" t="str">
        <f t="shared" si="56"/>
        <v/>
      </c>
      <c r="C662" s="11" t="str">
        <f t="shared" si="59"/>
        <v/>
      </c>
      <c r="D662" s="11" t="str">
        <f t="shared" si="60"/>
        <v/>
      </c>
      <c r="E662" s="11" t="str">
        <f t="shared" si="57"/>
        <v/>
      </c>
      <c r="F662" s="11" t="str">
        <f t="shared" si="58"/>
        <v/>
      </c>
      <c r="G662" s="10" t="str">
        <v/>
      </c>
      <c r="H662" s="11" t="str">
        <v/>
      </c>
      <c r="I662" s="11" t="str">
        <v/>
      </c>
    </row>
    <row r="663" spans="2:9">
      <c r="B663" s="11" t="str">
        <f t="shared" si="56"/>
        <v/>
      </c>
      <c r="C663" s="11" t="str">
        <f t="shared" si="59"/>
        <v/>
      </c>
      <c r="D663" s="11" t="str">
        <f t="shared" si="60"/>
        <v/>
      </c>
      <c r="E663" s="11" t="str">
        <f t="shared" si="57"/>
        <v/>
      </c>
      <c r="F663" s="11" t="str">
        <f t="shared" si="58"/>
        <v/>
      </c>
      <c r="G663" s="10" t="str">
        <v/>
      </c>
      <c r="H663" s="11" t="str">
        <v/>
      </c>
      <c r="I663" s="11" t="str">
        <v/>
      </c>
    </row>
    <row r="664" spans="2:9">
      <c r="B664" s="11" t="str">
        <f t="shared" si="56"/>
        <v/>
      </c>
      <c r="C664" s="11" t="str">
        <f t="shared" si="59"/>
        <v/>
      </c>
      <c r="D664" s="11" t="str">
        <f t="shared" si="60"/>
        <v/>
      </c>
      <c r="E664" s="11" t="str">
        <f t="shared" si="57"/>
        <v/>
      </c>
      <c r="F664" s="11" t="str">
        <f t="shared" si="58"/>
        <v/>
      </c>
      <c r="G664" s="10" t="str">
        <v/>
      </c>
      <c r="H664" s="11" t="str">
        <v/>
      </c>
      <c r="I664" s="11" t="str">
        <v/>
      </c>
    </row>
    <row r="665" spans="2:9">
      <c r="B665" s="11" t="str">
        <f t="shared" si="56"/>
        <v/>
      </c>
      <c r="C665" s="11" t="str">
        <f t="shared" si="59"/>
        <v/>
      </c>
      <c r="D665" s="11" t="str">
        <f t="shared" si="60"/>
        <v/>
      </c>
      <c r="E665" s="11" t="str">
        <f t="shared" si="57"/>
        <v/>
      </c>
      <c r="F665" s="11" t="str">
        <f t="shared" si="58"/>
        <v/>
      </c>
      <c r="G665" s="10" t="str">
        <v/>
      </c>
      <c r="H665" s="11" t="str">
        <v/>
      </c>
      <c r="I665" s="11" t="str">
        <v/>
      </c>
    </row>
    <row r="666" spans="2:9">
      <c r="B666" s="11" t="str">
        <f t="shared" si="56"/>
        <v/>
      </c>
      <c r="C666" s="11" t="str">
        <f t="shared" si="59"/>
        <v/>
      </c>
      <c r="D666" s="11" t="str">
        <f t="shared" si="60"/>
        <v/>
      </c>
      <c r="E666" s="11" t="str">
        <f t="shared" si="57"/>
        <v/>
      </c>
      <c r="F666" s="11" t="str">
        <f t="shared" si="58"/>
        <v/>
      </c>
      <c r="G666" s="10" t="str">
        <v/>
      </c>
      <c r="H666" s="11" t="str">
        <v/>
      </c>
      <c r="I666" s="11" t="str">
        <v/>
      </c>
    </row>
    <row r="667" spans="2:9">
      <c r="B667" s="11" t="str">
        <f t="shared" si="56"/>
        <v/>
      </c>
      <c r="C667" s="11" t="str">
        <f t="shared" si="59"/>
        <v/>
      </c>
      <c r="D667" s="11" t="str">
        <f t="shared" si="60"/>
        <v/>
      </c>
      <c r="E667" s="11" t="str">
        <f t="shared" si="57"/>
        <v/>
      </c>
      <c r="F667" s="11" t="str">
        <f t="shared" si="58"/>
        <v/>
      </c>
      <c r="G667" s="10" t="str">
        <v/>
      </c>
      <c r="H667" s="11" t="str">
        <v/>
      </c>
      <c r="I667" s="11" t="str">
        <v/>
      </c>
    </row>
    <row r="668" spans="2:9">
      <c r="B668" s="11" t="str">
        <f t="shared" si="56"/>
        <v/>
      </c>
      <c r="C668" s="11" t="str">
        <f t="shared" si="59"/>
        <v/>
      </c>
      <c r="D668" s="11" t="str">
        <f t="shared" si="60"/>
        <v/>
      </c>
      <c r="E668" s="11" t="str">
        <f t="shared" si="57"/>
        <v/>
      </c>
      <c r="F668" s="11" t="str">
        <f t="shared" si="58"/>
        <v/>
      </c>
      <c r="G668" s="10" t="str">
        <v/>
      </c>
      <c r="H668" s="11" t="str">
        <v/>
      </c>
      <c r="I668" s="11" t="str">
        <v/>
      </c>
    </row>
    <row r="669" spans="2:9">
      <c r="B669" s="11" t="str">
        <f t="shared" si="56"/>
        <v/>
      </c>
      <c r="C669" s="11" t="str">
        <f t="shared" si="59"/>
        <v/>
      </c>
      <c r="D669" s="11" t="str">
        <f t="shared" si="60"/>
        <v/>
      </c>
      <c r="E669" s="11" t="str">
        <f t="shared" si="57"/>
        <v/>
      </c>
      <c r="F669" s="11" t="str">
        <f t="shared" si="58"/>
        <v/>
      </c>
      <c r="G669" s="10" t="str">
        <v/>
      </c>
      <c r="H669" s="11" t="str">
        <v/>
      </c>
      <c r="I669" s="11" t="str">
        <v/>
      </c>
    </row>
    <row r="670" spans="2:9">
      <c r="B670" s="11" t="str">
        <f t="shared" si="56"/>
        <v/>
      </c>
      <c r="C670" s="11" t="str">
        <f t="shared" si="59"/>
        <v/>
      </c>
      <c r="D670" s="11" t="str">
        <f t="shared" si="60"/>
        <v/>
      </c>
      <c r="E670" s="11" t="str">
        <f t="shared" si="57"/>
        <v/>
      </c>
      <c r="F670" s="11" t="str">
        <f t="shared" si="58"/>
        <v/>
      </c>
      <c r="G670" s="10" t="str">
        <v/>
      </c>
      <c r="H670" s="11" t="str">
        <v/>
      </c>
      <c r="I670" s="11" t="str">
        <v/>
      </c>
    </row>
    <row r="671" spans="2:9">
      <c r="B671" s="11" t="str">
        <f t="shared" si="56"/>
        <v/>
      </c>
      <c r="C671" s="11" t="str">
        <f t="shared" si="59"/>
        <v/>
      </c>
      <c r="D671" s="11" t="str">
        <f t="shared" si="60"/>
        <v/>
      </c>
      <c r="E671" s="11" t="str">
        <f t="shared" si="57"/>
        <v/>
      </c>
      <c r="F671" s="11" t="str">
        <f t="shared" si="58"/>
        <v/>
      </c>
      <c r="G671" s="10" t="str">
        <v/>
      </c>
      <c r="H671" s="11" t="str">
        <v/>
      </c>
      <c r="I671" s="11" t="str">
        <v/>
      </c>
    </row>
    <row r="672" spans="2:9">
      <c r="B672" s="11" t="str">
        <f t="shared" si="56"/>
        <v/>
      </c>
      <c r="C672" s="11" t="str">
        <f t="shared" si="59"/>
        <v/>
      </c>
      <c r="D672" s="11" t="str">
        <f t="shared" si="60"/>
        <v/>
      </c>
      <c r="E672" s="11" t="str">
        <f t="shared" si="57"/>
        <v/>
      </c>
      <c r="F672" s="11" t="str">
        <f t="shared" si="58"/>
        <v/>
      </c>
      <c r="G672" s="10" t="str">
        <v/>
      </c>
      <c r="H672" s="11" t="str">
        <v/>
      </c>
      <c r="I672" s="11" t="str">
        <v/>
      </c>
    </row>
    <row r="673" spans="2:9">
      <c r="B673" s="11" t="str">
        <f t="shared" si="56"/>
        <v/>
      </c>
      <c r="C673" s="11" t="str">
        <f t="shared" si="59"/>
        <v/>
      </c>
      <c r="D673" s="11" t="str">
        <f t="shared" si="60"/>
        <v/>
      </c>
      <c r="E673" s="11" t="str">
        <f t="shared" si="57"/>
        <v/>
      </c>
      <c r="F673" s="11" t="str">
        <f t="shared" si="58"/>
        <v/>
      </c>
      <c r="G673" s="10" t="str">
        <v/>
      </c>
      <c r="H673" s="11" t="str">
        <v/>
      </c>
      <c r="I673" s="11" t="str">
        <v/>
      </c>
    </row>
    <row r="674" spans="2:9">
      <c r="B674" s="11" t="str">
        <f t="shared" si="56"/>
        <v/>
      </c>
      <c r="C674" s="11" t="str">
        <f t="shared" si="59"/>
        <v/>
      </c>
      <c r="D674" s="11" t="str">
        <f t="shared" si="60"/>
        <v/>
      </c>
      <c r="E674" s="11" t="str">
        <f t="shared" si="57"/>
        <v/>
      </c>
      <c r="F674" s="11" t="str">
        <f t="shared" si="58"/>
        <v/>
      </c>
      <c r="G674" s="10" t="str">
        <v/>
      </c>
      <c r="H674" s="11" t="str">
        <v/>
      </c>
      <c r="I674" s="11" t="str">
        <v/>
      </c>
    </row>
    <row r="675" spans="2:9">
      <c r="B675" s="11" t="str">
        <f t="shared" si="56"/>
        <v/>
      </c>
      <c r="C675" s="11" t="str">
        <f t="shared" si="59"/>
        <v/>
      </c>
      <c r="D675" s="11" t="str">
        <f t="shared" si="60"/>
        <v/>
      </c>
      <c r="E675" s="11" t="str">
        <f t="shared" si="57"/>
        <v/>
      </c>
      <c r="F675" s="11" t="str">
        <f t="shared" si="58"/>
        <v/>
      </c>
      <c r="G675" s="10" t="str">
        <v/>
      </c>
      <c r="H675" s="11" t="str">
        <v/>
      </c>
      <c r="I675" s="11" t="str">
        <v/>
      </c>
    </row>
    <row r="676" spans="2:9">
      <c r="B676" s="11" t="str">
        <f t="shared" si="56"/>
        <v/>
      </c>
      <c r="C676" s="11" t="str">
        <f t="shared" si="59"/>
        <v/>
      </c>
      <c r="D676" s="11" t="str">
        <f t="shared" si="60"/>
        <v/>
      </c>
      <c r="E676" s="11" t="str">
        <f t="shared" si="57"/>
        <v/>
      </c>
      <c r="F676" s="11" t="str">
        <f t="shared" si="58"/>
        <v/>
      </c>
      <c r="G676" s="10" t="str">
        <v/>
      </c>
      <c r="H676" s="11" t="str">
        <v/>
      </c>
      <c r="I676" s="11" t="str">
        <v/>
      </c>
    </row>
    <row r="677" spans="2:9">
      <c r="B677" s="11" t="str">
        <f t="shared" si="56"/>
        <v/>
      </c>
      <c r="C677" s="11" t="str">
        <f t="shared" si="59"/>
        <v/>
      </c>
      <c r="D677" s="11" t="str">
        <f t="shared" si="60"/>
        <v/>
      </c>
      <c r="E677" s="11" t="str">
        <f t="shared" si="57"/>
        <v/>
      </c>
      <c r="F677" s="11" t="str">
        <f t="shared" si="58"/>
        <v/>
      </c>
      <c r="G677" s="10" t="str">
        <v/>
      </c>
      <c r="H677" s="11" t="str">
        <v/>
      </c>
      <c r="I677" s="11" t="str">
        <v/>
      </c>
    </row>
    <row r="678" spans="2:9">
      <c r="B678" s="11" t="str">
        <f t="shared" si="56"/>
        <v/>
      </c>
      <c r="C678" s="11" t="str">
        <f t="shared" si="59"/>
        <v/>
      </c>
      <c r="D678" s="11" t="str">
        <f t="shared" si="60"/>
        <v/>
      </c>
      <c r="E678" s="11" t="str">
        <f t="shared" si="57"/>
        <v/>
      </c>
      <c r="F678" s="11" t="str">
        <f t="shared" si="58"/>
        <v/>
      </c>
      <c r="G678" s="10" t="str">
        <v/>
      </c>
      <c r="H678" s="11" t="str">
        <v/>
      </c>
      <c r="I678" s="11" t="str">
        <v/>
      </c>
    </row>
    <row r="679" spans="2:9">
      <c r="B679" s="11" t="str">
        <f t="shared" si="56"/>
        <v/>
      </c>
      <c r="C679" s="11" t="str">
        <f t="shared" si="59"/>
        <v/>
      </c>
      <c r="D679" s="11" t="str">
        <f t="shared" si="60"/>
        <v/>
      </c>
      <c r="E679" s="11" t="str">
        <f t="shared" si="57"/>
        <v/>
      </c>
      <c r="F679" s="11" t="str">
        <f t="shared" si="58"/>
        <v/>
      </c>
      <c r="G679" s="10" t="str">
        <v/>
      </c>
      <c r="H679" s="11" t="str">
        <v/>
      </c>
      <c r="I679" s="11" t="str">
        <v/>
      </c>
    </row>
    <row r="680" spans="2:9">
      <c r="B680" s="11" t="str">
        <f t="shared" si="56"/>
        <v/>
      </c>
      <c r="C680" s="11" t="str">
        <f t="shared" si="59"/>
        <v/>
      </c>
      <c r="D680" s="11" t="str">
        <f t="shared" si="60"/>
        <v/>
      </c>
      <c r="E680" s="11" t="str">
        <f t="shared" si="57"/>
        <v/>
      </c>
      <c r="F680" s="11" t="str">
        <f t="shared" si="58"/>
        <v/>
      </c>
      <c r="G680" s="10" t="str">
        <v/>
      </c>
      <c r="H680" s="11" t="str">
        <v/>
      </c>
      <c r="I680" s="11" t="str">
        <v/>
      </c>
    </row>
    <row r="681" spans="2:9">
      <c r="B681" s="11" t="str">
        <f t="shared" si="56"/>
        <v/>
      </c>
      <c r="C681" s="11" t="str">
        <f t="shared" si="59"/>
        <v/>
      </c>
      <c r="D681" s="11" t="str">
        <f t="shared" si="60"/>
        <v/>
      </c>
      <c r="E681" s="11" t="str">
        <f t="shared" si="57"/>
        <v/>
      </c>
      <c r="F681" s="11" t="str">
        <f t="shared" si="58"/>
        <v/>
      </c>
      <c r="G681" s="10" t="str">
        <v/>
      </c>
      <c r="H681" s="11" t="str">
        <v/>
      </c>
      <c r="I681" s="11" t="str">
        <v/>
      </c>
    </row>
    <row r="682" spans="2:9">
      <c r="B682" s="11" t="str">
        <f t="shared" si="56"/>
        <v/>
      </c>
      <c r="C682" s="11" t="str">
        <f t="shared" si="59"/>
        <v/>
      </c>
      <c r="D682" s="11" t="str">
        <f t="shared" si="60"/>
        <v/>
      </c>
      <c r="E682" s="11" t="str">
        <f t="shared" si="57"/>
        <v/>
      </c>
      <c r="F682" s="11" t="str">
        <f t="shared" si="58"/>
        <v/>
      </c>
      <c r="G682" s="10" t="str">
        <v/>
      </c>
      <c r="H682" s="11" t="str">
        <v/>
      </c>
      <c r="I682" s="11" t="str">
        <v/>
      </c>
    </row>
    <row r="683" spans="2:9">
      <c r="B683" s="11" t="str">
        <f t="shared" si="56"/>
        <v/>
      </c>
      <c r="C683" s="11" t="str">
        <f t="shared" si="59"/>
        <v/>
      </c>
      <c r="D683" s="11" t="str">
        <f t="shared" si="60"/>
        <v/>
      </c>
      <c r="E683" s="11" t="str">
        <f t="shared" si="57"/>
        <v/>
      </c>
      <c r="F683" s="11" t="str">
        <f t="shared" si="58"/>
        <v/>
      </c>
      <c r="G683" s="10" t="str">
        <v/>
      </c>
      <c r="H683" s="11" t="str">
        <v/>
      </c>
      <c r="I683" s="11" t="str">
        <v/>
      </c>
    </row>
    <row r="684" spans="2:9">
      <c r="B684" s="11" t="str">
        <f t="shared" si="56"/>
        <v/>
      </c>
      <c r="C684" s="11" t="str">
        <f t="shared" si="59"/>
        <v/>
      </c>
      <c r="D684" s="11" t="str">
        <f t="shared" si="60"/>
        <v/>
      </c>
      <c r="E684" s="11" t="str">
        <f t="shared" si="57"/>
        <v/>
      </c>
      <c r="F684" s="11" t="str">
        <f t="shared" si="58"/>
        <v/>
      </c>
      <c r="G684" s="10" t="str">
        <v/>
      </c>
      <c r="H684" s="11" t="str">
        <v/>
      </c>
      <c r="I684" s="11" t="str">
        <v/>
      </c>
    </row>
    <row r="685" spans="2:9">
      <c r="B685" s="11" t="str">
        <f t="shared" si="56"/>
        <v/>
      </c>
      <c r="C685" s="11" t="str">
        <f t="shared" si="59"/>
        <v/>
      </c>
      <c r="D685" s="11" t="str">
        <f t="shared" si="60"/>
        <v/>
      </c>
      <c r="E685" s="11" t="str">
        <f t="shared" si="57"/>
        <v/>
      </c>
      <c r="F685" s="11" t="str">
        <f t="shared" si="58"/>
        <v/>
      </c>
      <c r="G685" s="10" t="str">
        <v/>
      </c>
      <c r="H685" s="11" t="str">
        <v/>
      </c>
      <c r="I685" s="11" t="str">
        <v/>
      </c>
    </row>
    <row r="686" spans="2:9">
      <c r="B686" s="11" t="str">
        <f t="shared" si="56"/>
        <v/>
      </c>
      <c r="C686" s="11" t="str">
        <f t="shared" si="59"/>
        <v/>
      </c>
      <c r="D686" s="11" t="str">
        <f t="shared" si="60"/>
        <v/>
      </c>
      <c r="E686" s="11" t="str">
        <f t="shared" si="57"/>
        <v/>
      </c>
      <c r="F686" s="11" t="str">
        <f t="shared" si="58"/>
        <v/>
      </c>
      <c r="G686" s="10" t="str">
        <v/>
      </c>
      <c r="H686" s="11" t="str">
        <v/>
      </c>
      <c r="I686" s="11" t="str">
        <v/>
      </c>
    </row>
    <row r="687" spans="2:9">
      <c r="B687" s="11" t="str">
        <f t="shared" si="56"/>
        <v/>
      </c>
      <c r="C687" s="11" t="str">
        <f t="shared" si="59"/>
        <v/>
      </c>
      <c r="D687" s="11" t="str">
        <f t="shared" si="60"/>
        <v/>
      </c>
      <c r="E687" s="11" t="str">
        <f t="shared" si="57"/>
        <v/>
      </c>
      <c r="F687" s="11" t="str">
        <f t="shared" si="58"/>
        <v/>
      </c>
      <c r="G687" s="10" t="str">
        <v/>
      </c>
      <c r="H687" s="11" t="str">
        <v/>
      </c>
      <c r="I687" s="11" t="str">
        <v/>
      </c>
    </row>
    <row r="688" spans="2:9">
      <c r="B688" s="11" t="str">
        <f t="shared" si="56"/>
        <v/>
      </c>
      <c r="C688" s="11" t="str">
        <f t="shared" si="59"/>
        <v/>
      </c>
      <c r="D688" s="11" t="str">
        <f t="shared" si="60"/>
        <v/>
      </c>
      <c r="E688" s="11" t="str">
        <f t="shared" si="57"/>
        <v/>
      </c>
      <c r="F688" s="11" t="str">
        <f t="shared" si="58"/>
        <v/>
      </c>
      <c r="G688" s="10" t="str">
        <v/>
      </c>
      <c r="H688" s="11" t="str">
        <v/>
      </c>
      <c r="I688" s="11" t="str">
        <v/>
      </c>
    </row>
    <row r="689" spans="2:9">
      <c r="B689" s="11" t="str">
        <f t="shared" si="56"/>
        <v/>
      </c>
      <c r="C689" s="11" t="str">
        <f t="shared" si="59"/>
        <v/>
      </c>
      <c r="D689" s="11" t="str">
        <f t="shared" si="60"/>
        <v/>
      </c>
      <c r="E689" s="11" t="str">
        <f t="shared" si="57"/>
        <v/>
      </c>
      <c r="F689" s="11" t="str">
        <f t="shared" si="58"/>
        <v/>
      </c>
      <c r="G689" s="10" t="str">
        <v/>
      </c>
      <c r="H689" s="11" t="str">
        <v/>
      </c>
      <c r="I689" s="11" t="str">
        <v/>
      </c>
    </row>
    <row r="690" spans="2:9">
      <c r="B690" s="11" t="str">
        <f t="shared" si="56"/>
        <v/>
      </c>
      <c r="C690" s="11" t="str">
        <f t="shared" si="59"/>
        <v/>
      </c>
      <c r="D690" s="11" t="str">
        <f t="shared" si="60"/>
        <v/>
      </c>
      <c r="E690" s="11" t="str">
        <f t="shared" si="57"/>
        <v/>
      </c>
      <c r="F690" s="11" t="str">
        <f t="shared" si="58"/>
        <v/>
      </c>
      <c r="G690" s="10" t="str">
        <v/>
      </c>
      <c r="H690" s="11" t="str">
        <v/>
      </c>
      <c r="I690" s="11" t="str">
        <v/>
      </c>
    </row>
    <row r="691" spans="2:9">
      <c r="B691" s="11" t="str">
        <f t="shared" si="56"/>
        <v/>
      </c>
      <c r="C691" s="11" t="str">
        <f t="shared" si="59"/>
        <v/>
      </c>
      <c r="D691" s="11" t="str">
        <f t="shared" si="60"/>
        <v/>
      </c>
      <c r="E691" s="11" t="str">
        <f t="shared" si="57"/>
        <v/>
      </c>
      <c r="F691" s="11" t="str">
        <f t="shared" si="58"/>
        <v/>
      </c>
      <c r="G691" s="10" t="str">
        <v/>
      </c>
      <c r="H691" s="11" t="str">
        <v/>
      </c>
      <c r="I691" s="11" t="str">
        <v/>
      </c>
    </row>
    <row r="692" spans="2:9">
      <c r="B692" s="11" t="str">
        <f t="shared" si="56"/>
        <v/>
      </c>
      <c r="C692" s="11" t="str">
        <f t="shared" si="59"/>
        <v/>
      </c>
      <c r="D692" s="11" t="str">
        <f t="shared" si="60"/>
        <v/>
      </c>
      <c r="E692" s="11" t="str">
        <f t="shared" si="57"/>
        <v/>
      </c>
      <c r="F692" s="11" t="str">
        <f t="shared" si="58"/>
        <v/>
      </c>
      <c r="G692" s="10" t="str">
        <v/>
      </c>
      <c r="H692" s="11" t="str">
        <v/>
      </c>
      <c r="I692" s="11" t="str">
        <v/>
      </c>
    </row>
    <row r="693" spans="2:9">
      <c r="B693" s="11" t="str">
        <f t="shared" si="56"/>
        <v/>
      </c>
      <c r="C693" s="11" t="str">
        <f t="shared" si="59"/>
        <v/>
      </c>
      <c r="D693" s="11" t="str">
        <f t="shared" si="60"/>
        <v/>
      </c>
      <c r="E693" s="11" t="str">
        <f t="shared" si="57"/>
        <v/>
      </c>
      <c r="F693" s="11" t="str">
        <f t="shared" si="58"/>
        <v/>
      </c>
      <c r="G693" s="10" t="str">
        <v/>
      </c>
      <c r="H693" s="11" t="str">
        <v/>
      </c>
      <c r="I693" s="11" t="str">
        <v/>
      </c>
    </row>
    <row r="694" spans="2:9">
      <c r="B694" s="11" t="str">
        <f t="shared" si="56"/>
        <v/>
      </c>
      <c r="C694" s="11" t="str">
        <f t="shared" si="59"/>
        <v/>
      </c>
      <c r="D694" s="11" t="str">
        <f t="shared" si="60"/>
        <v/>
      </c>
      <c r="E694" s="11" t="str">
        <f t="shared" si="57"/>
        <v/>
      </c>
      <c r="F694" s="11" t="str">
        <f t="shared" si="58"/>
        <v/>
      </c>
      <c r="G694" s="10" t="str">
        <v/>
      </c>
      <c r="H694" s="11" t="str">
        <v/>
      </c>
      <c r="I694" s="11" t="str">
        <v/>
      </c>
    </row>
    <row r="695" spans="2:9">
      <c r="B695" s="11" t="str">
        <f t="shared" si="56"/>
        <v/>
      </c>
      <c r="C695" s="11" t="str">
        <f t="shared" si="59"/>
        <v/>
      </c>
      <c r="D695" s="11" t="str">
        <f t="shared" si="60"/>
        <v/>
      </c>
      <c r="E695" s="11" t="str">
        <f t="shared" si="57"/>
        <v/>
      </c>
      <c r="F695" s="11" t="str">
        <f t="shared" si="58"/>
        <v/>
      </c>
      <c r="G695" s="10" t="str">
        <v/>
      </c>
      <c r="H695" s="11" t="str">
        <v/>
      </c>
      <c r="I695" s="11" t="str">
        <v/>
      </c>
    </row>
    <row r="696" spans="2:9">
      <c r="B696" s="11" t="str">
        <f t="shared" si="56"/>
        <v/>
      </c>
      <c r="C696" s="11" t="str">
        <f t="shared" si="59"/>
        <v/>
      </c>
      <c r="D696" s="11" t="str">
        <f t="shared" si="60"/>
        <v/>
      </c>
      <c r="E696" s="11" t="str">
        <f t="shared" si="57"/>
        <v/>
      </c>
      <c r="F696" s="11" t="str">
        <f t="shared" si="58"/>
        <v/>
      </c>
      <c r="G696" s="10" t="str">
        <v/>
      </c>
      <c r="H696" s="11" t="str">
        <v/>
      </c>
      <c r="I696" s="11" t="str">
        <v/>
      </c>
    </row>
    <row r="697" spans="2:9">
      <c r="B697" s="11" t="str">
        <f t="shared" si="56"/>
        <v/>
      </c>
      <c r="C697" s="11" t="str">
        <f t="shared" si="59"/>
        <v/>
      </c>
      <c r="D697" s="11" t="str">
        <f t="shared" si="60"/>
        <v/>
      </c>
      <c r="E697" s="11" t="str">
        <f t="shared" si="57"/>
        <v/>
      </c>
      <c r="F697" s="11" t="str">
        <f t="shared" si="58"/>
        <v/>
      </c>
      <c r="G697" s="10" t="str">
        <v/>
      </c>
      <c r="H697" s="11" t="str">
        <v/>
      </c>
      <c r="I697" s="11" t="str">
        <v/>
      </c>
    </row>
    <row r="698" spans="2:9">
      <c r="B698" s="11" t="str">
        <f t="shared" si="56"/>
        <v/>
      </c>
      <c r="C698" s="11" t="str">
        <f t="shared" si="59"/>
        <v/>
      </c>
      <c r="D698" s="11" t="str">
        <f t="shared" si="60"/>
        <v/>
      </c>
      <c r="E698" s="11" t="str">
        <f t="shared" si="57"/>
        <v/>
      </c>
      <c r="F698" s="11" t="str">
        <f t="shared" si="58"/>
        <v/>
      </c>
      <c r="G698" s="10" t="str">
        <v/>
      </c>
      <c r="H698" s="11" t="str">
        <v/>
      </c>
      <c r="I698" s="11" t="str">
        <v/>
      </c>
    </row>
    <row r="699" spans="2:9">
      <c r="B699" s="11" t="str">
        <f t="shared" si="56"/>
        <v/>
      </c>
      <c r="C699" s="11" t="str">
        <f t="shared" si="59"/>
        <v/>
      </c>
      <c r="D699" s="11" t="str">
        <f t="shared" si="60"/>
        <v/>
      </c>
      <c r="E699" s="11" t="str">
        <f t="shared" si="57"/>
        <v/>
      </c>
      <c r="F699" s="11" t="str">
        <f t="shared" si="58"/>
        <v/>
      </c>
      <c r="G699" s="10" t="str">
        <v/>
      </c>
      <c r="H699" s="11" t="str">
        <v/>
      </c>
      <c r="I699" s="11" t="str">
        <v/>
      </c>
    </row>
    <row r="700" spans="2:9">
      <c r="B700" s="11" t="str">
        <f t="shared" si="56"/>
        <v/>
      </c>
      <c r="C700" s="11" t="str">
        <f t="shared" si="59"/>
        <v/>
      </c>
      <c r="D700" s="11" t="str">
        <f t="shared" si="60"/>
        <v/>
      </c>
      <c r="E700" s="11" t="str">
        <f t="shared" si="57"/>
        <v/>
      </c>
      <c r="F700" s="11" t="str">
        <f t="shared" si="58"/>
        <v/>
      </c>
      <c r="G700" s="10" t="str">
        <v/>
      </c>
      <c r="H700" s="11" t="str">
        <v/>
      </c>
      <c r="I700" s="11" t="str">
        <v/>
      </c>
    </row>
    <row r="701" spans="2:9">
      <c r="B701" s="11" t="str">
        <f t="shared" si="56"/>
        <v/>
      </c>
      <c r="C701" s="11" t="str">
        <f t="shared" si="59"/>
        <v/>
      </c>
      <c r="D701" s="11" t="str">
        <f t="shared" si="60"/>
        <v/>
      </c>
      <c r="E701" s="11" t="str">
        <f t="shared" si="57"/>
        <v/>
      </c>
      <c r="F701" s="11" t="str">
        <f t="shared" si="58"/>
        <v/>
      </c>
      <c r="G701" s="10" t="str">
        <v/>
      </c>
      <c r="H701" s="11" t="str">
        <v/>
      </c>
      <c r="I701" s="11" t="str">
        <v/>
      </c>
    </row>
    <row r="702" spans="2:9">
      <c r="B702" s="11" t="str">
        <f t="shared" si="56"/>
        <v/>
      </c>
      <c r="C702" s="11" t="str">
        <f t="shared" si="59"/>
        <v/>
      </c>
      <c r="D702" s="11" t="str">
        <f t="shared" si="60"/>
        <v/>
      </c>
      <c r="E702" s="11" t="str">
        <f t="shared" si="57"/>
        <v/>
      </c>
      <c r="F702" s="11" t="str">
        <f t="shared" si="58"/>
        <v/>
      </c>
      <c r="G702" s="10" t="str">
        <v/>
      </c>
      <c r="H702" s="11" t="str">
        <v/>
      </c>
      <c r="I702" s="11" t="str">
        <v/>
      </c>
    </row>
    <row r="703" spans="2:9">
      <c r="B703" s="11" t="str">
        <f t="shared" si="56"/>
        <v/>
      </c>
      <c r="C703" s="11" t="str">
        <f t="shared" si="59"/>
        <v/>
      </c>
      <c r="D703" s="11" t="str">
        <f t="shared" si="60"/>
        <v/>
      </c>
      <c r="E703" s="11" t="str">
        <f t="shared" si="57"/>
        <v/>
      </c>
      <c r="F703" s="11" t="str">
        <f t="shared" si="58"/>
        <v/>
      </c>
      <c r="G703" s="10" t="str">
        <v/>
      </c>
      <c r="H703" s="11" t="str">
        <v/>
      </c>
      <c r="I703" s="11" t="str">
        <v/>
      </c>
    </row>
    <row r="704" spans="2:9">
      <c r="B704" s="11" t="str">
        <f t="shared" si="56"/>
        <v/>
      </c>
      <c r="C704" s="11" t="str">
        <f t="shared" si="59"/>
        <v/>
      </c>
      <c r="D704" s="11" t="str">
        <f t="shared" si="60"/>
        <v/>
      </c>
      <c r="E704" s="11" t="str">
        <f t="shared" si="57"/>
        <v/>
      </c>
      <c r="F704" s="11" t="str">
        <f t="shared" si="58"/>
        <v/>
      </c>
      <c r="G704" s="10" t="str">
        <v/>
      </c>
      <c r="H704" s="11" t="str">
        <v/>
      </c>
      <c r="I704" s="11" t="str">
        <v/>
      </c>
    </row>
    <row r="705" spans="2:9">
      <c r="B705" s="11" t="str">
        <f t="shared" ref="B705:B768" si="61">IFERROR(IF(FIND(" ",A705)=6,IF(IFERROR(FIND(" PB",A705),"")&lt;&gt;"","артикул",IF(IFERROR(FIND(" CRN",A705),"")&lt;&gt;"","артикул","")),""),"")</f>
        <v/>
      </c>
      <c r="C705" s="11" t="str">
        <f t="shared" si="59"/>
        <v/>
      </c>
      <c r="D705" s="11" t="str">
        <f t="shared" si="60"/>
        <v/>
      </c>
      <c r="E705" s="11" t="str">
        <f t="shared" si="57"/>
        <v/>
      </c>
      <c r="F705" s="11" t="str">
        <f t="shared" si="58"/>
        <v/>
      </c>
      <c r="G705" s="10" t="str">
        <v/>
      </c>
      <c r="H705" s="11" t="str">
        <v/>
      </c>
      <c r="I705" s="11" t="str">
        <v/>
      </c>
    </row>
    <row r="706" spans="2:9">
      <c r="B706" s="11" t="str">
        <f t="shared" si="61"/>
        <v/>
      </c>
      <c r="C706" s="11" t="str">
        <f t="shared" si="59"/>
        <v/>
      </c>
      <c r="D706" s="11" t="str">
        <f t="shared" si="60"/>
        <v/>
      </c>
      <c r="E706" s="11" t="str">
        <f t="shared" ref="E706:E769" si="62" xml:space="preserve">
IF(B706="Артикул",
IF(
AND(RIGHT(A707,1)="%",
RIGHT(A708,1)="%",
RIGHT(A709,1)="%",
RIGHT(A710,1)="%"),MID(A711,FIND(" ",A711),50),
IF(
AND(RIGHT(A707,1)="%",
RIGHT(A708,1)="%",
RIGHT(A709,1)="%"),MID(A710,FIND(" ",A710),50),
IF(
AND(RIGHT(A707,1)="%",
RIGHT(A708,1)="%"),
MID(A709,FIND(" ",A709),50),
IF(
RIGHT(A707,1)="%",
MID(A708,FIND(" ",A708),50),"")))),"")</f>
        <v/>
      </c>
      <c r="F706" s="11" t="str">
        <f t="shared" ref="F706:F769" si="63">IFERROR(
IF(
AND(LEFT(A706,8)="Discount",FIND("%",A706)&gt;0),
MID(A706,
FIND(" ",A706),
FIND("%",A706)-FIND(" ",A706))
*-1,""),"")</f>
        <v/>
      </c>
      <c r="G706" s="10" t="str">
        <v/>
      </c>
      <c r="H706" s="11" t="str">
        <v/>
      </c>
      <c r="I706" s="11" t="str">
        <v/>
      </c>
    </row>
    <row r="707" spans="2:9">
      <c r="B707" s="11" t="str">
        <f t="shared" si="61"/>
        <v/>
      </c>
      <c r="C707" s="11" t="str">
        <f t="shared" si="59"/>
        <v/>
      </c>
      <c r="D707" s="11" t="str">
        <f t="shared" si="60"/>
        <v/>
      </c>
      <c r="E707" s="11" t="str">
        <f t="shared" si="62"/>
        <v/>
      </c>
      <c r="F707" s="11" t="str">
        <f t="shared" si="63"/>
        <v/>
      </c>
      <c r="G707" s="10" t="str">
        <v/>
      </c>
      <c r="H707" s="11" t="str">
        <v/>
      </c>
      <c r="I707" s="11" t="str">
        <v/>
      </c>
    </row>
    <row r="708" spans="2:9">
      <c r="B708" s="11" t="str">
        <f t="shared" si="61"/>
        <v/>
      </c>
      <c r="C708" s="11" t="str">
        <f t="shared" si="59"/>
        <v/>
      </c>
      <c r="D708" s="11" t="str">
        <f t="shared" si="60"/>
        <v/>
      </c>
      <c r="E708" s="11" t="str">
        <f t="shared" si="62"/>
        <v/>
      </c>
      <c r="F708" s="11" t="str">
        <f t="shared" si="63"/>
        <v/>
      </c>
      <c r="G708" s="10" t="str">
        <v/>
      </c>
      <c r="H708" s="11" t="str">
        <v/>
      </c>
      <c r="I708" s="11" t="str">
        <v/>
      </c>
    </row>
    <row r="709" spans="2:9">
      <c r="B709" s="11" t="str">
        <f t="shared" si="61"/>
        <v/>
      </c>
      <c r="C709" s="11" t="str">
        <f t="shared" si="59"/>
        <v/>
      </c>
      <c r="D709" s="11" t="str">
        <f t="shared" si="60"/>
        <v/>
      </c>
      <c r="E709" s="11" t="str">
        <f t="shared" si="62"/>
        <v/>
      </c>
      <c r="F709" s="11" t="str">
        <f t="shared" si="63"/>
        <v/>
      </c>
      <c r="G709" s="10" t="str">
        <v/>
      </c>
      <c r="H709" s="11" t="str">
        <v/>
      </c>
      <c r="I709" s="11" t="str">
        <v/>
      </c>
    </row>
    <row r="710" spans="2:9">
      <c r="B710" s="11" t="str">
        <f t="shared" si="61"/>
        <v/>
      </c>
      <c r="C710" s="11" t="str">
        <f t="shared" si="59"/>
        <v/>
      </c>
      <c r="D710" s="11" t="str">
        <f t="shared" si="60"/>
        <v/>
      </c>
      <c r="E710" s="11" t="str">
        <f t="shared" si="62"/>
        <v/>
      </c>
      <c r="F710" s="11" t="str">
        <f t="shared" si="63"/>
        <v/>
      </c>
      <c r="G710" s="10" t="str">
        <v/>
      </c>
      <c r="H710" s="11" t="str">
        <v/>
      </c>
      <c r="I710" s="11" t="str">
        <v/>
      </c>
    </row>
    <row r="711" spans="2:9">
      <c r="B711" s="11" t="str">
        <f t="shared" si="61"/>
        <v/>
      </c>
      <c r="C711" s="11" t="str">
        <f t="shared" si="59"/>
        <v/>
      </c>
      <c r="D711" s="11" t="str">
        <f t="shared" si="60"/>
        <v/>
      </c>
      <c r="E711" s="11" t="str">
        <f t="shared" si="62"/>
        <v/>
      </c>
      <c r="F711" s="11" t="str">
        <f t="shared" si="63"/>
        <v/>
      </c>
      <c r="G711" s="10" t="str">
        <v/>
      </c>
      <c r="H711" s="11" t="str">
        <v/>
      </c>
      <c r="I711" s="11" t="str">
        <v/>
      </c>
    </row>
    <row r="712" spans="2:9">
      <c r="B712" s="11" t="str">
        <f t="shared" si="61"/>
        <v/>
      </c>
      <c r="C712" s="11" t="str">
        <f t="shared" si="59"/>
        <v/>
      </c>
      <c r="D712" s="11" t="str">
        <f t="shared" si="60"/>
        <v/>
      </c>
      <c r="E712" s="11" t="str">
        <f t="shared" si="62"/>
        <v/>
      </c>
      <c r="F712" s="11" t="str">
        <f t="shared" si="63"/>
        <v/>
      </c>
      <c r="G712" s="10" t="str">
        <v/>
      </c>
      <c r="H712" s="11" t="str">
        <v/>
      </c>
      <c r="I712" s="11" t="str">
        <v/>
      </c>
    </row>
    <row r="713" spans="2:9">
      <c r="B713" s="11" t="str">
        <f t="shared" si="61"/>
        <v/>
      </c>
      <c r="C713" s="11" t="str">
        <f t="shared" si="59"/>
        <v/>
      </c>
      <c r="D713" s="11" t="str">
        <f t="shared" si="60"/>
        <v/>
      </c>
      <c r="E713" s="11" t="str">
        <f t="shared" si="62"/>
        <v/>
      </c>
      <c r="F713" s="11" t="str">
        <f t="shared" si="63"/>
        <v/>
      </c>
      <c r="G713" s="10" t="str">
        <v/>
      </c>
      <c r="H713" s="11" t="str">
        <v/>
      </c>
      <c r="I713" s="11" t="str">
        <v/>
      </c>
    </row>
    <row r="714" spans="2:9">
      <c r="B714" s="11" t="str">
        <f t="shared" si="61"/>
        <v/>
      </c>
      <c r="C714" s="11" t="str">
        <f t="shared" si="59"/>
        <v/>
      </c>
      <c r="D714" s="11" t="str">
        <f t="shared" si="60"/>
        <v/>
      </c>
      <c r="E714" s="11" t="str">
        <f t="shared" si="62"/>
        <v/>
      </c>
      <c r="F714" s="11" t="str">
        <f t="shared" si="63"/>
        <v/>
      </c>
      <c r="G714" s="10" t="str">
        <v/>
      </c>
      <c r="H714" s="11" t="str">
        <v/>
      </c>
      <c r="I714" s="11" t="str">
        <v/>
      </c>
    </row>
    <row r="715" spans="2:9">
      <c r="B715" s="11" t="str">
        <f t="shared" si="61"/>
        <v/>
      </c>
      <c r="C715" s="11" t="str">
        <f t="shared" si="59"/>
        <v/>
      </c>
      <c r="D715" s="11" t="str">
        <f t="shared" si="60"/>
        <v/>
      </c>
      <c r="E715" s="11" t="str">
        <f t="shared" si="62"/>
        <v/>
      </c>
      <c r="F715" s="11" t="str">
        <f t="shared" si="63"/>
        <v/>
      </c>
      <c r="G715" s="10" t="str">
        <v/>
      </c>
      <c r="H715" s="11" t="str">
        <v/>
      </c>
      <c r="I715" s="11" t="str">
        <v/>
      </c>
    </row>
    <row r="716" spans="2:9">
      <c r="B716" s="11" t="str">
        <f t="shared" si="61"/>
        <v/>
      </c>
      <c r="C716" s="11" t="str">
        <f t="shared" si="59"/>
        <v/>
      </c>
      <c r="D716" s="11" t="str">
        <f t="shared" si="60"/>
        <v/>
      </c>
      <c r="E716" s="11" t="str">
        <f t="shared" si="62"/>
        <v/>
      </c>
      <c r="F716" s="11" t="str">
        <f t="shared" si="63"/>
        <v/>
      </c>
      <c r="G716" s="10" t="str">
        <v/>
      </c>
      <c r="H716" s="11" t="str">
        <v/>
      </c>
      <c r="I716" s="11" t="str">
        <v/>
      </c>
    </row>
    <row r="717" spans="2:9">
      <c r="B717" s="11" t="str">
        <f t="shared" si="61"/>
        <v/>
      </c>
      <c r="C717" s="11" t="str">
        <f t="shared" ref="C717:C780" si="64">IF(B717="артикул",A717,"")</f>
        <v/>
      </c>
      <c r="D717" s="11" t="str">
        <f t="shared" ref="D717:D780" si="65">IF(B717="артикул",A718,"")</f>
        <v/>
      </c>
      <c r="E717" s="11" t="str">
        <f t="shared" si="62"/>
        <v/>
      </c>
      <c r="F717" s="11" t="str">
        <f t="shared" si="63"/>
        <v/>
      </c>
      <c r="G717" s="10" t="str">
        <v/>
      </c>
      <c r="H717" s="11" t="str">
        <v/>
      </c>
      <c r="I717" s="11" t="str">
        <v/>
      </c>
    </row>
    <row r="718" spans="2:9">
      <c r="B718" s="11" t="str">
        <f t="shared" si="61"/>
        <v/>
      </c>
      <c r="C718" s="11" t="str">
        <f t="shared" si="64"/>
        <v/>
      </c>
      <c r="D718" s="11" t="str">
        <f t="shared" si="65"/>
        <v/>
      </c>
      <c r="E718" s="11" t="str">
        <f t="shared" si="62"/>
        <v/>
      </c>
      <c r="F718" s="11" t="str">
        <f t="shared" si="63"/>
        <v/>
      </c>
      <c r="G718" s="10" t="str">
        <v/>
      </c>
      <c r="H718" s="11" t="str">
        <v/>
      </c>
      <c r="I718" s="11" t="str">
        <v/>
      </c>
    </row>
    <row r="719" spans="2:9">
      <c r="B719" s="11" t="str">
        <f t="shared" si="61"/>
        <v/>
      </c>
      <c r="C719" s="11" t="str">
        <f t="shared" si="64"/>
        <v/>
      </c>
      <c r="D719" s="11" t="str">
        <f t="shared" si="65"/>
        <v/>
      </c>
      <c r="E719" s="11" t="str">
        <f t="shared" si="62"/>
        <v/>
      </c>
      <c r="F719" s="11" t="str">
        <f t="shared" si="63"/>
        <v/>
      </c>
      <c r="G719" s="10" t="str">
        <v/>
      </c>
      <c r="H719" s="11" t="str">
        <v/>
      </c>
      <c r="I719" s="11" t="str">
        <v/>
      </c>
    </row>
    <row r="720" spans="2:9">
      <c r="B720" s="11" t="str">
        <f t="shared" si="61"/>
        <v/>
      </c>
      <c r="C720" s="11" t="str">
        <f t="shared" si="64"/>
        <v/>
      </c>
      <c r="D720" s="11" t="str">
        <f t="shared" si="65"/>
        <v/>
      </c>
      <c r="E720" s="11" t="str">
        <f t="shared" si="62"/>
        <v/>
      </c>
      <c r="F720" s="11" t="str">
        <f t="shared" si="63"/>
        <v/>
      </c>
      <c r="G720" s="10" t="str">
        <v/>
      </c>
      <c r="H720" s="11" t="str">
        <v/>
      </c>
      <c r="I720" s="11" t="str">
        <v/>
      </c>
    </row>
    <row r="721" spans="2:9">
      <c r="B721" s="11" t="str">
        <f t="shared" si="61"/>
        <v/>
      </c>
      <c r="C721" s="11" t="str">
        <f t="shared" si="64"/>
        <v/>
      </c>
      <c r="D721" s="11" t="str">
        <f t="shared" si="65"/>
        <v/>
      </c>
      <c r="E721" s="11" t="str">
        <f t="shared" si="62"/>
        <v/>
      </c>
      <c r="F721" s="11" t="str">
        <f t="shared" si="63"/>
        <v/>
      </c>
      <c r="G721" s="10" t="str">
        <v/>
      </c>
      <c r="H721" s="11" t="str">
        <v/>
      </c>
      <c r="I721" s="11" t="str">
        <v/>
      </c>
    </row>
    <row r="722" spans="2:9">
      <c r="B722" s="11" t="str">
        <f t="shared" si="61"/>
        <v/>
      </c>
      <c r="C722" s="11" t="str">
        <f t="shared" si="64"/>
        <v/>
      </c>
      <c r="D722" s="11" t="str">
        <f t="shared" si="65"/>
        <v/>
      </c>
      <c r="E722" s="11" t="str">
        <f t="shared" si="62"/>
        <v/>
      </c>
      <c r="F722" s="11" t="str">
        <f t="shared" si="63"/>
        <v/>
      </c>
      <c r="G722" s="10" t="str">
        <v/>
      </c>
      <c r="H722" s="11" t="str">
        <v/>
      </c>
      <c r="I722" s="11" t="str">
        <v/>
      </c>
    </row>
    <row r="723" spans="2:9">
      <c r="B723" s="11" t="str">
        <f t="shared" si="61"/>
        <v/>
      </c>
      <c r="C723" s="11" t="str">
        <f t="shared" si="64"/>
        <v/>
      </c>
      <c r="D723" s="11" t="str">
        <f t="shared" si="65"/>
        <v/>
      </c>
      <c r="E723" s="11" t="str">
        <f t="shared" si="62"/>
        <v/>
      </c>
      <c r="F723" s="11" t="str">
        <f t="shared" si="63"/>
        <v/>
      </c>
      <c r="G723" s="10" t="str">
        <v/>
      </c>
      <c r="H723" s="11" t="str">
        <v/>
      </c>
      <c r="I723" s="11" t="str">
        <v/>
      </c>
    </row>
    <row r="724" spans="2:9">
      <c r="B724" s="11" t="str">
        <f t="shared" si="61"/>
        <v/>
      </c>
      <c r="C724" s="11" t="str">
        <f t="shared" si="64"/>
        <v/>
      </c>
      <c r="D724" s="11" t="str">
        <f t="shared" si="65"/>
        <v/>
      </c>
      <c r="E724" s="11" t="str">
        <f t="shared" si="62"/>
        <v/>
      </c>
      <c r="F724" s="11" t="str">
        <f t="shared" si="63"/>
        <v/>
      </c>
      <c r="G724" s="10" t="str">
        <v/>
      </c>
      <c r="H724" s="11" t="str">
        <v/>
      </c>
      <c r="I724" s="11" t="str">
        <v/>
      </c>
    </row>
    <row r="725" spans="2:9">
      <c r="B725" s="11" t="str">
        <f t="shared" si="61"/>
        <v/>
      </c>
      <c r="C725" s="11" t="str">
        <f t="shared" si="64"/>
        <v/>
      </c>
      <c r="D725" s="11" t="str">
        <f t="shared" si="65"/>
        <v/>
      </c>
      <c r="E725" s="11" t="str">
        <f t="shared" si="62"/>
        <v/>
      </c>
      <c r="F725" s="11" t="str">
        <f t="shared" si="63"/>
        <v/>
      </c>
      <c r="G725" s="10" t="str">
        <v/>
      </c>
      <c r="H725" s="11" t="str">
        <v/>
      </c>
      <c r="I725" s="11" t="str">
        <v/>
      </c>
    </row>
    <row r="726" spans="2:9">
      <c r="B726" s="11" t="str">
        <f t="shared" si="61"/>
        <v/>
      </c>
      <c r="C726" s="11" t="str">
        <f t="shared" si="64"/>
        <v/>
      </c>
      <c r="D726" s="11" t="str">
        <f t="shared" si="65"/>
        <v/>
      </c>
      <c r="E726" s="11" t="str">
        <f t="shared" si="62"/>
        <v/>
      </c>
      <c r="F726" s="11" t="str">
        <f t="shared" si="63"/>
        <v/>
      </c>
      <c r="G726" s="10" t="str">
        <v/>
      </c>
      <c r="H726" s="11" t="str">
        <v/>
      </c>
      <c r="I726" s="11" t="str">
        <v/>
      </c>
    </row>
    <row r="727" spans="2:9">
      <c r="B727" s="11" t="str">
        <f t="shared" si="61"/>
        <v/>
      </c>
      <c r="C727" s="11" t="str">
        <f t="shared" si="64"/>
        <v/>
      </c>
      <c r="D727" s="11" t="str">
        <f t="shared" si="65"/>
        <v/>
      </c>
      <c r="E727" s="11" t="str">
        <f t="shared" si="62"/>
        <v/>
      </c>
      <c r="F727" s="11" t="str">
        <f t="shared" si="63"/>
        <v/>
      </c>
      <c r="G727" s="10" t="str">
        <v/>
      </c>
      <c r="H727" s="11" t="str">
        <v/>
      </c>
      <c r="I727" s="11" t="str">
        <v/>
      </c>
    </row>
    <row r="728" spans="2:9">
      <c r="B728" s="11" t="str">
        <f t="shared" si="61"/>
        <v/>
      </c>
      <c r="C728" s="11" t="str">
        <f t="shared" si="64"/>
        <v/>
      </c>
      <c r="D728" s="11" t="str">
        <f t="shared" si="65"/>
        <v/>
      </c>
      <c r="E728" s="11" t="str">
        <f t="shared" si="62"/>
        <v/>
      </c>
      <c r="F728" s="11" t="str">
        <f t="shared" si="63"/>
        <v/>
      </c>
      <c r="G728" s="10" t="str">
        <v/>
      </c>
      <c r="H728" s="11" t="str">
        <v/>
      </c>
      <c r="I728" s="11" t="str">
        <v/>
      </c>
    </row>
    <row r="729" spans="2:9">
      <c r="B729" s="11" t="str">
        <f t="shared" si="61"/>
        <v/>
      </c>
      <c r="C729" s="11" t="str">
        <f t="shared" si="64"/>
        <v/>
      </c>
      <c r="D729" s="11" t="str">
        <f t="shared" si="65"/>
        <v/>
      </c>
      <c r="E729" s="11" t="str">
        <f t="shared" si="62"/>
        <v/>
      </c>
      <c r="F729" s="11" t="str">
        <f t="shared" si="63"/>
        <v/>
      </c>
      <c r="G729" s="10" t="str">
        <v/>
      </c>
      <c r="H729" s="11" t="str">
        <v/>
      </c>
      <c r="I729" s="11" t="str">
        <v/>
      </c>
    </row>
    <row r="730" spans="2:9">
      <c r="B730" s="11" t="str">
        <f t="shared" si="61"/>
        <v/>
      </c>
      <c r="C730" s="11" t="str">
        <f t="shared" si="64"/>
        <v/>
      </c>
      <c r="D730" s="11" t="str">
        <f t="shared" si="65"/>
        <v/>
      </c>
      <c r="E730" s="11" t="str">
        <f t="shared" si="62"/>
        <v/>
      </c>
      <c r="F730" s="11" t="str">
        <f t="shared" si="63"/>
        <v/>
      </c>
      <c r="G730" s="10" t="str">
        <v/>
      </c>
      <c r="H730" s="11" t="str">
        <v/>
      </c>
      <c r="I730" s="11" t="str">
        <v/>
      </c>
    </row>
    <row r="731" spans="2:9">
      <c r="B731" s="11" t="str">
        <f t="shared" si="61"/>
        <v/>
      </c>
      <c r="C731" s="11" t="str">
        <f t="shared" si="64"/>
        <v/>
      </c>
      <c r="D731" s="11" t="str">
        <f t="shared" si="65"/>
        <v/>
      </c>
      <c r="E731" s="11" t="str">
        <f t="shared" si="62"/>
        <v/>
      </c>
      <c r="F731" s="11" t="str">
        <f t="shared" si="63"/>
        <v/>
      </c>
      <c r="G731" s="10" t="str">
        <v/>
      </c>
      <c r="H731" s="11" t="str">
        <v/>
      </c>
      <c r="I731" s="11" t="str">
        <v/>
      </c>
    </row>
    <row r="732" spans="2:9">
      <c r="B732" s="11" t="str">
        <f t="shared" si="61"/>
        <v/>
      </c>
      <c r="C732" s="11" t="str">
        <f t="shared" si="64"/>
        <v/>
      </c>
      <c r="D732" s="11" t="str">
        <f t="shared" si="65"/>
        <v/>
      </c>
      <c r="E732" s="11" t="str">
        <f t="shared" si="62"/>
        <v/>
      </c>
      <c r="F732" s="11" t="str">
        <f t="shared" si="63"/>
        <v/>
      </c>
      <c r="G732" s="10" t="str">
        <v/>
      </c>
      <c r="H732" s="11" t="str">
        <v/>
      </c>
      <c r="I732" s="11" t="str">
        <v/>
      </c>
    </row>
    <row r="733" spans="2:9">
      <c r="B733" s="11" t="str">
        <f t="shared" si="61"/>
        <v/>
      </c>
      <c r="C733" s="11" t="str">
        <f t="shared" si="64"/>
        <v/>
      </c>
      <c r="D733" s="11" t="str">
        <f t="shared" si="65"/>
        <v/>
      </c>
      <c r="E733" s="11" t="str">
        <f t="shared" si="62"/>
        <v/>
      </c>
      <c r="F733" s="11" t="str">
        <f t="shared" si="63"/>
        <v/>
      </c>
      <c r="G733" s="10" t="str">
        <v/>
      </c>
      <c r="H733" s="11" t="str">
        <v/>
      </c>
      <c r="I733" s="11" t="str">
        <v/>
      </c>
    </row>
    <row r="734" spans="2:9">
      <c r="B734" s="11" t="str">
        <f t="shared" si="61"/>
        <v/>
      </c>
      <c r="C734" s="11" t="str">
        <f t="shared" si="64"/>
        <v/>
      </c>
      <c r="D734" s="11" t="str">
        <f t="shared" si="65"/>
        <v/>
      </c>
      <c r="E734" s="11" t="str">
        <f t="shared" si="62"/>
        <v/>
      </c>
      <c r="F734" s="11" t="str">
        <f t="shared" si="63"/>
        <v/>
      </c>
      <c r="G734" s="10" t="str">
        <v/>
      </c>
      <c r="H734" s="11" t="str">
        <v/>
      </c>
      <c r="I734" s="11" t="str">
        <v/>
      </c>
    </row>
    <row r="735" spans="2:9">
      <c r="B735" s="11" t="str">
        <f t="shared" si="61"/>
        <v/>
      </c>
      <c r="C735" s="11" t="str">
        <f t="shared" si="64"/>
        <v/>
      </c>
      <c r="D735" s="11" t="str">
        <f t="shared" si="65"/>
        <v/>
      </c>
      <c r="E735" s="11" t="str">
        <f t="shared" si="62"/>
        <v/>
      </c>
      <c r="F735" s="11" t="str">
        <f t="shared" si="63"/>
        <v/>
      </c>
      <c r="G735" s="10" t="str">
        <v/>
      </c>
      <c r="H735" s="11" t="str">
        <v/>
      </c>
      <c r="I735" s="11" t="str">
        <v/>
      </c>
    </row>
    <row r="736" spans="2:9">
      <c r="B736" s="11" t="str">
        <f t="shared" si="61"/>
        <v/>
      </c>
      <c r="C736" s="11" t="str">
        <f t="shared" si="64"/>
        <v/>
      </c>
      <c r="D736" s="11" t="str">
        <f t="shared" si="65"/>
        <v/>
      </c>
      <c r="E736" s="11" t="str">
        <f t="shared" si="62"/>
        <v/>
      </c>
      <c r="F736" s="11" t="str">
        <f t="shared" si="63"/>
        <v/>
      </c>
      <c r="G736" s="10" t="str">
        <v/>
      </c>
      <c r="H736" s="11" t="str">
        <v/>
      </c>
      <c r="I736" s="11" t="str">
        <v/>
      </c>
    </row>
    <row r="737" spans="2:9">
      <c r="B737" s="11" t="str">
        <f t="shared" si="61"/>
        <v/>
      </c>
      <c r="C737" s="11" t="str">
        <f t="shared" si="64"/>
        <v/>
      </c>
      <c r="D737" s="11" t="str">
        <f t="shared" si="65"/>
        <v/>
      </c>
      <c r="E737" s="11" t="str">
        <f t="shared" si="62"/>
        <v/>
      </c>
      <c r="F737" s="11" t="str">
        <f t="shared" si="63"/>
        <v/>
      </c>
      <c r="G737" s="10" t="str">
        <v/>
      </c>
      <c r="H737" s="11" t="str">
        <v/>
      </c>
      <c r="I737" s="11" t="str">
        <v/>
      </c>
    </row>
    <row r="738" spans="2:9">
      <c r="B738" s="11" t="str">
        <f t="shared" si="61"/>
        <v/>
      </c>
      <c r="C738" s="11" t="str">
        <f t="shared" si="64"/>
        <v/>
      </c>
      <c r="D738" s="11" t="str">
        <f t="shared" si="65"/>
        <v/>
      </c>
      <c r="E738" s="11" t="str">
        <f t="shared" si="62"/>
        <v/>
      </c>
      <c r="F738" s="11" t="str">
        <f t="shared" si="63"/>
        <v/>
      </c>
      <c r="G738" s="10" t="str">
        <v/>
      </c>
      <c r="H738" s="11" t="str">
        <v/>
      </c>
      <c r="I738" s="11" t="str">
        <v/>
      </c>
    </row>
    <row r="739" spans="2:9">
      <c r="B739" s="11" t="str">
        <f t="shared" si="61"/>
        <v/>
      </c>
      <c r="C739" s="11" t="str">
        <f t="shared" si="64"/>
        <v/>
      </c>
      <c r="D739" s="11" t="str">
        <f t="shared" si="65"/>
        <v/>
      </c>
      <c r="E739" s="11" t="str">
        <f t="shared" si="62"/>
        <v/>
      </c>
      <c r="F739" s="11" t="str">
        <f t="shared" si="63"/>
        <v/>
      </c>
      <c r="G739" s="10" t="str">
        <v/>
      </c>
      <c r="H739" s="11" t="str">
        <v/>
      </c>
      <c r="I739" s="11" t="str">
        <v/>
      </c>
    </row>
    <row r="740" spans="2:9">
      <c r="B740" s="11" t="str">
        <f t="shared" si="61"/>
        <v/>
      </c>
      <c r="C740" s="11" t="str">
        <f t="shared" si="64"/>
        <v/>
      </c>
      <c r="D740" s="11" t="str">
        <f t="shared" si="65"/>
        <v/>
      </c>
      <c r="E740" s="11" t="str">
        <f t="shared" si="62"/>
        <v/>
      </c>
      <c r="F740" s="11" t="str">
        <f t="shared" si="63"/>
        <v/>
      </c>
      <c r="G740" s="10" t="str">
        <v/>
      </c>
      <c r="H740" s="11" t="str">
        <v/>
      </c>
      <c r="I740" s="11" t="str">
        <v/>
      </c>
    </row>
    <row r="741" spans="2:9">
      <c r="B741" s="11" t="str">
        <f t="shared" si="61"/>
        <v/>
      </c>
      <c r="C741" s="11" t="str">
        <f t="shared" si="64"/>
        <v/>
      </c>
      <c r="D741" s="11" t="str">
        <f t="shared" si="65"/>
        <v/>
      </c>
      <c r="E741" s="11" t="str">
        <f t="shared" si="62"/>
        <v/>
      </c>
      <c r="F741" s="11" t="str">
        <f t="shared" si="63"/>
        <v/>
      </c>
      <c r="G741" s="10" t="str">
        <v/>
      </c>
      <c r="H741" s="11" t="str">
        <v/>
      </c>
      <c r="I741" s="11" t="str">
        <v/>
      </c>
    </row>
    <row r="742" spans="2:9">
      <c r="B742" s="11" t="str">
        <f t="shared" si="61"/>
        <v/>
      </c>
      <c r="C742" s="11" t="str">
        <f t="shared" si="64"/>
        <v/>
      </c>
      <c r="D742" s="11" t="str">
        <f t="shared" si="65"/>
        <v/>
      </c>
      <c r="E742" s="11" t="str">
        <f t="shared" si="62"/>
        <v/>
      </c>
      <c r="F742" s="11" t="str">
        <f t="shared" si="63"/>
        <v/>
      </c>
      <c r="G742" s="10" t="str">
        <v/>
      </c>
      <c r="H742" s="11" t="str">
        <v/>
      </c>
      <c r="I742" s="11" t="str">
        <v/>
      </c>
    </row>
    <row r="743" spans="2:9">
      <c r="B743" s="11" t="str">
        <f t="shared" si="61"/>
        <v/>
      </c>
      <c r="C743" s="11" t="str">
        <f t="shared" si="64"/>
        <v/>
      </c>
      <c r="D743" s="11" t="str">
        <f t="shared" si="65"/>
        <v/>
      </c>
      <c r="E743" s="11" t="str">
        <f t="shared" si="62"/>
        <v/>
      </c>
      <c r="F743" s="11" t="str">
        <f t="shared" si="63"/>
        <v/>
      </c>
      <c r="G743" s="10" t="str">
        <v/>
      </c>
      <c r="H743" s="11" t="str">
        <v/>
      </c>
      <c r="I743" s="11" t="str">
        <v/>
      </c>
    </row>
    <row r="744" spans="2:9">
      <c r="B744" s="11" t="str">
        <f t="shared" si="61"/>
        <v/>
      </c>
      <c r="C744" s="11" t="str">
        <f t="shared" si="64"/>
        <v/>
      </c>
      <c r="D744" s="11" t="str">
        <f t="shared" si="65"/>
        <v/>
      </c>
      <c r="E744" s="11" t="str">
        <f t="shared" si="62"/>
        <v/>
      </c>
      <c r="F744" s="11" t="str">
        <f t="shared" si="63"/>
        <v/>
      </c>
      <c r="G744" s="10" t="str">
        <v/>
      </c>
      <c r="H744" s="11" t="str">
        <v/>
      </c>
      <c r="I744" s="11" t="str">
        <v/>
      </c>
    </row>
    <row r="745" spans="2:9">
      <c r="B745" s="11" t="str">
        <f t="shared" si="61"/>
        <v/>
      </c>
      <c r="C745" s="11" t="str">
        <f t="shared" si="64"/>
        <v/>
      </c>
      <c r="D745" s="11" t="str">
        <f t="shared" si="65"/>
        <v/>
      </c>
      <c r="E745" s="11" t="str">
        <f t="shared" si="62"/>
        <v/>
      </c>
      <c r="F745" s="11" t="str">
        <f t="shared" si="63"/>
        <v/>
      </c>
      <c r="G745" s="10" t="str">
        <v/>
      </c>
      <c r="H745" s="11" t="str">
        <v/>
      </c>
      <c r="I745" s="11" t="str">
        <v/>
      </c>
    </row>
    <row r="746" spans="2:9">
      <c r="B746" s="11" t="str">
        <f t="shared" si="61"/>
        <v/>
      </c>
      <c r="C746" s="11" t="str">
        <f t="shared" si="64"/>
        <v/>
      </c>
      <c r="D746" s="11" t="str">
        <f t="shared" si="65"/>
        <v/>
      </c>
      <c r="E746" s="11" t="str">
        <f t="shared" si="62"/>
        <v/>
      </c>
      <c r="F746" s="11" t="str">
        <f t="shared" si="63"/>
        <v/>
      </c>
      <c r="G746" s="10" t="str">
        <v/>
      </c>
      <c r="H746" s="11" t="str">
        <v/>
      </c>
      <c r="I746" s="11" t="str">
        <v/>
      </c>
    </row>
    <row r="747" spans="2:9">
      <c r="B747" s="11" t="str">
        <f t="shared" si="61"/>
        <v/>
      </c>
      <c r="C747" s="11" t="str">
        <f t="shared" si="64"/>
        <v/>
      </c>
      <c r="D747" s="11" t="str">
        <f t="shared" si="65"/>
        <v/>
      </c>
      <c r="E747" s="11" t="str">
        <f t="shared" si="62"/>
        <v/>
      </c>
      <c r="F747" s="11" t="str">
        <f t="shared" si="63"/>
        <v/>
      </c>
      <c r="G747" s="10" t="str">
        <v/>
      </c>
      <c r="H747" s="11" t="str">
        <v/>
      </c>
      <c r="I747" s="11" t="str">
        <v/>
      </c>
    </row>
    <row r="748" spans="2:9">
      <c r="B748" s="11" t="str">
        <f t="shared" si="61"/>
        <v/>
      </c>
      <c r="C748" s="11" t="str">
        <f t="shared" si="64"/>
        <v/>
      </c>
      <c r="D748" s="11" t="str">
        <f t="shared" si="65"/>
        <v/>
      </c>
      <c r="E748" s="11" t="str">
        <f t="shared" si="62"/>
        <v/>
      </c>
      <c r="F748" s="11" t="str">
        <f t="shared" si="63"/>
        <v/>
      </c>
      <c r="G748" s="10" t="str">
        <v/>
      </c>
      <c r="H748" s="11" t="str">
        <v/>
      </c>
      <c r="I748" s="11" t="str">
        <v/>
      </c>
    </row>
    <row r="749" spans="2:9">
      <c r="B749" s="11" t="str">
        <f t="shared" si="61"/>
        <v/>
      </c>
      <c r="C749" s="11" t="str">
        <f t="shared" si="64"/>
        <v/>
      </c>
      <c r="D749" s="11" t="str">
        <f t="shared" si="65"/>
        <v/>
      </c>
      <c r="E749" s="11" t="str">
        <f t="shared" si="62"/>
        <v/>
      </c>
      <c r="F749" s="11" t="str">
        <f t="shared" si="63"/>
        <v/>
      </c>
      <c r="G749" s="10" t="str">
        <v/>
      </c>
      <c r="H749" s="11" t="str">
        <v/>
      </c>
      <c r="I749" s="11" t="str">
        <v/>
      </c>
    </row>
    <row r="750" spans="2:9">
      <c r="B750" s="11" t="str">
        <f t="shared" si="61"/>
        <v/>
      </c>
      <c r="C750" s="11" t="str">
        <f t="shared" si="64"/>
        <v/>
      </c>
      <c r="D750" s="11" t="str">
        <f t="shared" si="65"/>
        <v/>
      </c>
      <c r="E750" s="11" t="str">
        <f t="shared" si="62"/>
        <v/>
      </c>
      <c r="F750" s="11" t="str">
        <f t="shared" si="63"/>
        <v/>
      </c>
      <c r="G750" s="10" t="str">
        <v/>
      </c>
      <c r="H750" s="11" t="str">
        <v/>
      </c>
      <c r="I750" s="11" t="str">
        <v/>
      </c>
    </row>
    <row r="751" spans="2:9">
      <c r="B751" s="11" t="str">
        <f t="shared" si="61"/>
        <v/>
      </c>
      <c r="C751" s="11" t="str">
        <f t="shared" si="64"/>
        <v/>
      </c>
      <c r="D751" s="11" t="str">
        <f t="shared" si="65"/>
        <v/>
      </c>
      <c r="E751" s="11" t="str">
        <f t="shared" si="62"/>
        <v/>
      </c>
      <c r="F751" s="11" t="str">
        <f t="shared" si="63"/>
        <v/>
      </c>
      <c r="G751" s="10" t="str">
        <v/>
      </c>
      <c r="H751" s="11" t="str">
        <v/>
      </c>
      <c r="I751" s="11" t="str">
        <v/>
      </c>
    </row>
    <row r="752" spans="2:9">
      <c r="B752" s="11" t="str">
        <f t="shared" si="61"/>
        <v/>
      </c>
      <c r="C752" s="11" t="str">
        <f t="shared" si="64"/>
        <v/>
      </c>
      <c r="D752" s="11" t="str">
        <f t="shared" si="65"/>
        <v/>
      </c>
      <c r="E752" s="11" t="str">
        <f t="shared" si="62"/>
        <v/>
      </c>
      <c r="F752" s="11" t="str">
        <f t="shared" si="63"/>
        <v/>
      </c>
      <c r="G752" s="10" t="str">
        <v/>
      </c>
      <c r="H752" s="11" t="str">
        <v/>
      </c>
      <c r="I752" s="11" t="str">
        <v/>
      </c>
    </row>
    <row r="753" spans="2:9">
      <c r="B753" s="11" t="str">
        <f t="shared" si="61"/>
        <v/>
      </c>
      <c r="C753" s="11" t="str">
        <f t="shared" si="64"/>
        <v/>
      </c>
      <c r="D753" s="11" t="str">
        <f t="shared" si="65"/>
        <v/>
      </c>
      <c r="E753" s="11" t="str">
        <f t="shared" si="62"/>
        <v/>
      </c>
      <c r="F753" s="11" t="str">
        <f t="shared" si="63"/>
        <v/>
      </c>
      <c r="G753" s="10" t="str">
        <v/>
      </c>
      <c r="H753" s="11" t="str">
        <v/>
      </c>
      <c r="I753" s="11" t="str">
        <v/>
      </c>
    </row>
    <row r="754" spans="2:9">
      <c r="B754" s="11" t="str">
        <f t="shared" si="61"/>
        <v/>
      </c>
      <c r="C754" s="11" t="str">
        <f t="shared" si="64"/>
        <v/>
      </c>
      <c r="D754" s="11" t="str">
        <f t="shared" si="65"/>
        <v/>
      </c>
      <c r="E754" s="11" t="str">
        <f t="shared" si="62"/>
        <v/>
      </c>
      <c r="F754" s="11" t="str">
        <f t="shared" si="63"/>
        <v/>
      </c>
      <c r="G754" s="10" t="str">
        <v/>
      </c>
      <c r="H754" s="11" t="str">
        <v/>
      </c>
      <c r="I754" s="11" t="str">
        <v/>
      </c>
    </row>
    <row r="755" spans="2:9">
      <c r="B755" s="11" t="str">
        <f t="shared" si="61"/>
        <v/>
      </c>
      <c r="C755" s="11" t="str">
        <f t="shared" si="64"/>
        <v/>
      </c>
      <c r="D755" s="11" t="str">
        <f t="shared" si="65"/>
        <v/>
      </c>
      <c r="E755" s="11" t="str">
        <f t="shared" si="62"/>
        <v/>
      </c>
      <c r="F755" s="11" t="str">
        <f t="shared" si="63"/>
        <v/>
      </c>
      <c r="G755" s="10" t="str">
        <v/>
      </c>
      <c r="H755" s="11" t="str">
        <v/>
      </c>
      <c r="I755" s="11" t="str">
        <v/>
      </c>
    </row>
    <row r="756" spans="2:9">
      <c r="B756" s="11" t="str">
        <f t="shared" si="61"/>
        <v/>
      </c>
      <c r="C756" s="11" t="str">
        <f t="shared" si="64"/>
        <v/>
      </c>
      <c r="D756" s="11" t="str">
        <f t="shared" si="65"/>
        <v/>
      </c>
      <c r="E756" s="11" t="str">
        <f t="shared" si="62"/>
        <v/>
      </c>
      <c r="F756" s="11" t="str">
        <f t="shared" si="63"/>
        <v/>
      </c>
      <c r="G756" s="10" t="str">
        <v/>
      </c>
      <c r="H756" s="11" t="str">
        <v/>
      </c>
      <c r="I756" s="11" t="str">
        <v/>
      </c>
    </row>
    <row r="757" spans="2:9">
      <c r="B757" s="11" t="str">
        <f t="shared" si="61"/>
        <v/>
      </c>
      <c r="C757" s="11" t="str">
        <f t="shared" si="64"/>
        <v/>
      </c>
      <c r="D757" s="11" t="str">
        <f t="shared" si="65"/>
        <v/>
      </c>
      <c r="E757" s="11" t="str">
        <f t="shared" si="62"/>
        <v/>
      </c>
      <c r="F757" s="11" t="str">
        <f t="shared" si="63"/>
        <v/>
      </c>
      <c r="G757" s="10" t="str">
        <v/>
      </c>
      <c r="H757" s="11" t="str">
        <v/>
      </c>
      <c r="I757" s="11" t="str">
        <v/>
      </c>
    </row>
    <row r="758" spans="2:9">
      <c r="B758" s="11" t="str">
        <f t="shared" si="61"/>
        <v/>
      </c>
      <c r="C758" s="11" t="str">
        <f t="shared" si="64"/>
        <v/>
      </c>
      <c r="D758" s="11" t="str">
        <f t="shared" si="65"/>
        <v/>
      </c>
      <c r="E758" s="11" t="str">
        <f t="shared" si="62"/>
        <v/>
      </c>
      <c r="F758" s="11" t="str">
        <f t="shared" si="63"/>
        <v/>
      </c>
      <c r="G758" s="10" t="str">
        <v/>
      </c>
      <c r="H758" s="11" t="str">
        <v/>
      </c>
      <c r="I758" s="11" t="str">
        <v/>
      </c>
    </row>
    <row r="759" spans="2:9">
      <c r="B759" s="11" t="str">
        <f t="shared" si="61"/>
        <v/>
      </c>
      <c r="C759" s="11" t="str">
        <f t="shared" si="64"/>
        <v/>
      </c>
      <c r="D759" s="11" t="str">
        <f t="shared" si="65"/>
        <v/>
      </c>
      <c r="E759" s="11" t="str">
        <f t="shared" si="62"/>
        <v/>
      </c>
      <c r="F759" s="11" t="str">
        <f t="shared" si="63"/>
        <v/>
      </c>
      <c r="G759" s="10" t="str">
        <v/>
      </c>
      <c r="H759" s="11" t="str">
        <v/>
      </c>
      <c r="I759" s="11" t="str">
        <v/>
      </c>
    </row>
    <row r="760" spans="2:9">
      <c r="B760" s="11" t="str">
        <f t="shared" si="61"/>
        <v/>
      </c>
      <c r="C760" s="11" t="str">
        <f t="shared" si="64"/>
        <v/>
      </c>
      <c r="D760" s="11" t="str">
        <f t="shared" si="65"/>
        <v/>
      </c>
      <c r="E760" s="11" t="str">
        <f t="shared" si="62"/>
        <v/>
      </c>
      <c r="F760" s="11" t="str">
        <f t="shared" si="63"/>
        <v/>
      </c>
      <c r="G760" s="10" t="str">
        <v/>
      </c>
      <c r="H760" s="11" t="str">
        <v/>
      </c>
      <c r="I760" s="11" t="str">
        <v/>
      </c>
    </row>
    <row r="761" spans="2:9">
      <c r="B761" s="11" t="str">
        <f t="shared" si="61"/>
        <v/>
      </c>
      <c r="C761" s="11" t="str">
        <f t="shared" si="64"/>
        <v/>
      </c>
      <c r="D761" s="11" t="str">
        <f t="shared" si="65"/>
        <v/>
      </c>
      <c r="E761" s="11" t="str">
        <f t="shared" si="62"/>
        <v/>
      </c>
      <c r="F761" s="11" t="str">
        <f t="shared" si="63"/>
        <v/>
      </c>
      <c r="G761" s="10" t="str">
        <v/>
      </c>
      <c r="H761" s="11" t="str">
        <v/>
      </c>
      <c r="I761" s="11" t="str">
        <v/>
      </c>
    </row>
    <row r="762" spans="2:9">
      <c r="B762" s="11" t="str">
        <f t="shared" si="61"/>
        <v/>
      </c>
      <c r="C762" s="11" t="str">
        <f t="shared" si="64"/>
        <v/>
      </c>
      <c r="D762" s="11" t="str">
        <f t="shared" si="65"/>
        <v/>
      </c>
      <c r="E762" s="11" t="str">
        <f t="shared" si="62"/>
        <v/>
      </c>
      <c r="F762" s="11" t="str">
        <f t="shared" si="63"/>
        <v/>
      </c>
      <c r="G762" s="10" t="str">
        <v/>
      </c>
      <c r="H762" s="11" t="str">
        <v/>
      </c>
      <c r="I762" s="11" t="str">
        <v/>
      </c>
    </row>
    <row r="763" spans="2:9">
      <c r="B763" s="11" t="str">
        <f t="shared" si="61"/>
        <v/>
      </c>
      <c r="C763" s="11" t="str">
        <f t="shared" si="64"/>
        <v/>
      </c>
      <c r="D763" s="11" t="str">
        <f t="shared" si="65"/>
        <v/>
      </c>
      <c r="E763" s="11" t="str">
        <f t="shared" si="62"/>
        <v/>
      </c>
      <c r="F763" s="11" t="str">
        <f t="shared" si="63"/>
        <v/>
      </c>
      <c r="G763" s="10" t="str">
        <v/>
      </c>
      <c r="H763" s="11" t="str">
        <v/>
      </c>
      <c r="I763" s="11" t="str">
        <v/>
      </c>
    </row>
    <row r="764" spans="2:9">
      <c r="B764" s="11" t="str">
        <f t="shared" si="61"/>
        <v/>
      </c>
      <c r="C764" s="11" t="str">
        <f t="shared" si="64"/>
        <v/>
      </c>
      <c r="D764" s="11" t="str">
        <f t="shared" si="65"/>
        <v/>
      </c>
      <c r="E764" s="11" t="str">
        <f t="shared" si="62"/>
        <v/>
      </c>
      <c r="F764" s="11" t="str">
        <f t="shared" si="63"/>
        <v/>
      </c>
      <c r="G764" s="10" t="str">
        <v/>
      </c>
      <c r="H764" s="11" t="str">
        <v/>
      </c>
      <c r="I764" s="11" t="str">
        <v/>
      </c>
    </row>
    <row r="765" spans="2:9">
      <c r="B765" s="11" t="str">
        <f t="shared" si="61"/>
        <v/>
      </c>
      <c r="C765" s="11" t="str">
        <f t="shared" si="64"/>
        <v/>
      </c>
      <c r="D765" s="11" t="str">
        <f t="shared" si="65"/>
        <v/>
      </c>
      <c r="E765" s="11" t="str">
        <f t="shared" si="62"/>
        <v/>
      </c>
      <c r="F765" s="11" t="str">
        <f t="shared" si="63"/>
        <v/>
      </c>
      <c r="G765" s="10" t="str">
        <v/>
      </c>
      <c r="H765" s="11" t="str">
        <v/>
      </c>
      <c r="I765" s="11" t="str">
        <v/>
      </c>
    </row>
    <row r="766" spans="2:9">
      <c r="B766" s="11" t="str">
        <f t="shared" si="61"/>
        <v/>
      </c>
      <c r="C766" s="11" t="str">
        <f t="shared" si="64"/>
        <v/>
      </c>
      <c r="D766" s="11" t="str">
        <f t="shared" si="65"/>
        <v/>
      </c>
      <c r="E766" s="11" t="str">
        <f t="shared" si="62"/>
        <v/>
      </c>
      <c r="F766" s="11" t="str">
        <f t="shared" si="63"/>
        <v/>
      </c>
      <c r="G766" s="10" t="str">
        <v/>
      </c>
      <c r="H766" s="11" t="str">
        <v/>
      </c>
      <c r="I766" s="11" t="str">
        <v/>
      </c>
    </row>
    <row r="767" spans="2:9">
      <c r="B767" s="11" t="str">
        <f t="shared" si="61"/>
        <v/>
      </c>
      <c r="C767" s="11" t="str">
        <f t="shared" si="64"/>
        <v/>
      </c>
      <c r="D767" s="11" t="str">
        <f t="shared" si="65"/>
        <v/>
      </c>
      <c r="E767" s="11" t="str">
        <f t="shared" si="62"/>
        <v/>
      </c>
      <c r="F767" s="11" t="str">
        <f t="shared" si="63"/>
        <v/>
      </c>
      <c r="G767" s="10" t="str">
        <v/>
      </c>
      <c r="H767" s="11" t="str">
        <v/>
      </c>
      <c r="I767" s="11" t="str">
        <v/>
      </c>
    </row>
    <row r="768" spans="2:9">
      <c r="B768" s="11" t="str">
        <f t="shared" si="61"/>
        <v/>
      </c>
      <c r="C768" s="11" t="str">
        <f t="shared" si="64"/>
        <v/>
      </c>
      <c r="D768" s="11" t="str">
        <f t="shared" si="65"/>
        <v/>
      </c>
      <c r="E768" s="11" t="str">
        <f t="shared" si="62"/>
        <v/>
      </c>
      <c r="F768" s="11" t="str">
        <f t="shared" si="63"/>
        <v/>
      </c>
      <c r="G768" s="10" t="str">
        <v/>
      </c>
      <c r="H768" s="11" t="str">
        <v/>
      </c>
      <c r="I768" s="11" t="str">
        <v/>
      </c>
    </row>
    <row r="769" spans="2:9">
      <c r="B769" s="11" t="str">
        <f t="shared" ref="B769:B832" si="66">IFERROR(IF(FIND(" ",A769)=6,IF(IFERROR(FIND(" PB",A769),"")&lt;&gt;"","артикул",IF(IFERROR(FIND(" CRN",A769),"")&lt;&gt;"","артикул","")),""),"")</f>
        <v/>
      </c>
      <c r="C769" s="11" t="str">
        <f t="shared" si="64"/>
        <v/>
      </c>
      <c r="D769" s="11" t="str">
        <f t="shared" si="65"/>
        <v/>
      </c>
      <c r="E769" s="11" t="str">
        <f t="shared" si="62"/>
        <v/>
      </c>
      <c r="F769" s="11" t="str">
        <f t="shared" si="63"/>
        <v/>
      </c>
      <c r="G769" s="10" t="str">
        <v/>
      </c>
      <c r="H769" s="11" t="str">
        <v/>
      </c>
      <c r="I769" s="11" t="str">
        <v/>
      </c>
    </row>
    <row r="770" spans="2:9">
      <c r="B770" s="11" t="str">
        <f t="shared" si="66"/>
        <v/>
      </c>
      <c r="C770" s="11" t="str">
        <f t="shared" si="64"/>
        <v/>
      </c>
      <c r="D770" s="11" t="str">
        <f t="shared" si="65"/>
        <v/>
      </c>
      <c r="E770" s="11" t="str">
        <f t="shared" ref="E770:E833" si="67" xml:space="preserve">
IF(B770="Артикул",
IF(
AND(RIGHT(A771,1)="%",
RIGHT(A772,1)="%",
RIGHT(A773,1)="%",
RIGHT(A774,1)="%"),MID(A775,FIND(" ",A775),50),
IF(
AND(RIGHT(A771,1)="%",
RIGHT(A772,1)="%",
RIGHT(A773,1)="%"),MID(A774,FIND(" ",A774),50),
IF(
AND(RIGHT(A771,1)="%",
RIGHT(A772,1)="%"),
MID(A773,FIND(" ",A773),50),
IF(
RIGHT(A771,1)="%",
MID(A772,FIND(" ",A772),50),"")))),"")</f>
        <v/>
      </c>
      <c r="F770" s="11" t="str">
        <f t="shared" ref="F770:F833" si="68">IFERROR(
IF(
AND(LEFT(A770,8)="Discount",FIND("%",A770)&gt;0),
MID(A770,
FIND(" ",A770),
FIND("%",A770)-FIND(" ",A770))
*-1,""),"")</f>
        <v/>
      </c>
      <c r="G770" s="10" t="str">
        <v/>
      </c>
      <c r="H770" s="11" t="str">
        <v/>
      </c>
      <c r="I770" s="11" t="str">
        <v/>
      </c>
    </row>
    <row r="771" spans="2:9">
      <c r="B771" s="11" t="str">
        <f t="shared" si="66"/>
        <v/>
      </c>
      <c r="C771" s="11" t="str">
        <f t="shared" si="64"/>
        <v/>
      </c>
      <c r="D771" s="11" t="str">
        <f t="shared" si="65"/>
        <v/>
      </c>
      <c r="E771" s="11" t="str">
        <f t="shared" si="67"/>
        <v/>
      </c>
      <c r="F771" s="11" t="str">
        <f t="shared" si="68"/>
        <v/>
      </c>
      <c r="G771" s="10" t="str">
        <v/>
      </c>
      <c r="H771" s="11" t="str">
        <v/>
      </c>
      <c r="I771" s="11" t="str">
        <v/>
      </c>
    </row>
    <row r="772" spans="2:9">
      <c r="B772" s="11" t="str">
        <f t="shared" si="66"/>
        <v/>
      </c>
      <c r="C772" s="11" t="str">
        <f t="shared" si="64"/>
        <v/>
      </c>
      <c r="D772" s="11" t="str">
        <f t="shared" si="65"/>
        <v/>
      </c>
      <c r="E772" s="11" t="str">
        <f t="shared" si="67"/>
        <v/>
      </c>
      <c r="F772" s="11" t="str">
        <f t="shared" si="68"/>
        <v/>
      </c>
      <c r="G772" s="10" t="str">
        <v/>
      </c>
      <c r="H772" s="11" t="str">
        <v/>
      </c>
      <c r="I772" s="11" t="str">
        <v/>
      </c>
    </row>
    <row r="773" spans="2:9">
      <c r="B773" s="11" t="str">
        <f t="shared" si="66"/>
        <v/>
      </c>
      <c r="C773" s="11" t="str">
        <f t="shared" si="64"/>
        <v/>
      </c>
      <c r="D773" s="11" t="str">
        <f t="shared" si="65"/>
        <v/>
      </c>
      <c r="E773" s="11" t="str">
        <f t="shared" si="67"/>
        <v/>
      </c>
      <c r="F773" s="11" t="str">
        <f t="shared" si="68"/>
        <v/>
      </c>
      <c r="G773" s="10" t="str">
        <v/>
      </c>
      <c r="H773" s="11" t="str">
        <v/>
      </c>
      <c r="I773" s="11" t="str">
        <v/>
      </c>
    </row>
    <row r="774" spans="2:9">
      <c r="B774" s="11" t="str">
        <f t="shared" si="66"/>
        <v/>
      </c>
      <c r="C774" s="11" t="str">
        <f t="shared" si="64"/>
        <v/>
      </c>
      <c r="D774" s="11" t="str">
        <f t="shared" si="65"/>
        <v/>
      </c>
      <c r="E774" s="11" t="str">
        <f t="shared" si="67"/>
        <v/>
      </c>
      <c r="F774" s="11" t="str">
        <f t="shared" si="68"/>
        <v/>
      </c>
      <c r="G774" s="10" t="str">
        <v/>
      </c>
      <c r="H774" s="11" t="str">
        <v/>
      </c>
      <c r="I774" s="11" t="str">
        <v/>
      </c>
    </row>
    <row r="775" spans="2:9">
      <c r="B775" s="11" t="str">
        <f t="shared" si="66"/>
        <v/>
      </c>
      <c r="C775" s="11" t="str">
        <f t="shared" si="64"/>
        <v/>
      </c>
      <c r="D775" s="11" t="str">
        <f t="shared" si="65"/>
        <v/>
      </c>
      <c r="E775" s="11" t="str">
        <f t="shared" si="67"/>
        <v/>
      </c>
      <c r="F775" s="11" t="str">
        <f t="shared" si="68"/>
        <v/>
      </c>
      <c r="G775" s="10" t="str">
        <v/>
      </c>
      <c r="H775" s="11" t="str">
        <v/>
      </c>
      <c r="I775" s="11" t="str">
        <v/>
      </c>
    </row>
    <row r="776" spans="2:9">
      <c r="B776" s="11" t="str">
        <f t="shared" si="66"/>
        <v/>
      </c>
      <c r="C776" s="11" t="str">
        <f t="shared" si="64"/>
        <v/>
      </c>
      <c r="D776" s="11" t="str">
        <f t="shared" si="65"/>
        <v/>
      </c>
      <c r="E776" s="11" t="str">
        <f t="shared" si="67"/>
        <v/>
      </c>
      <c r="F776" s="11" t="str">
        <f t="shared" si="68"/>
        <v/>
      </c>
      <c r="G776" s="10" t="str">
        <v/>
      </c>
      <c r="H776" s="11" t="str">
        <v/>
      </c>
      <c r="I776" s="11" t="str">
        <v/>
      </c>
    </row>
    <row r="777" spans="2:9">
      <c r="B777" s="11" t="str">
        <f t="shared" si="66"/>
        <v/>
      </c>
      <c r="C777" s="11" t="str">
        <f t="shared" si="64"/>
        <v/>
      </c>
      <c r="D777" s="11" t="str">
        <f t="shared" si="65"/>
        <v/>
      </c>
      <c r="E777" s="11" t="str">
        <f t="shared" si="67"/>
        <v/>
      </c>
      <c r="F777" s="11" t="str">
        <f t="shared" si="68"/>
        <v/>
      </c>
      <c r="G777" s="10" t="str">
        <v/>
      </c>
      <c r="H777" s="11" t="str">
        <v/>
      </c>
      <c r="I777" s="11" t="str">
        <v/>
      </c>
    </row>
    <row r="778" spans="2:9">
      <c r="B778" s="11" t="str">
        <f t="shared" si="66"/>
        <v/>
      </c>
      <c r="C778" s="11" t="str">
        <f t="shared" si="64"/>
        <v/>
      </c>
      <c r="D778" s="11" t="str">
        <f t="shared" si="65"/>
        <v/>
      </c>
      <c r="E778" s="11" t="str">
        <f t="shared" si="67"/>
        <v/>
      </c>
      <c r="F778" s="11" t="str">
        <f t="shared" si="68"/>
        <v/>
      </c>
      <c r="G778" s="10" t="str">
        <v/>
      </c>
      <c r="H778" s="11" t="str">
        <v/>
      </c>
      <c r="I778" s="11" t="str">
        <v/>
      </c>
    </row>
    <row r="779" spans="2:9">
      <c r="B779" s="11" t="str">
        <f t="shared" si="66"/>
        <v/>
      </c>
      <c r="C779" s="11" t="str">
        <f t="shared" si="64"/>
        <v/>
      </c>
      <c r="D779" s="11" t="str">
        <f t="shared" si="65"/>
        <v/>
      </c>
      <c r="E779" s="11" t="str">
        <f t="shared" si="67"/>
        <v/>
      </c>
      <c r="F779" s="11" t="str">
        <f t="shared" si="68"/>
        <v/>
      </c>
      <c r="G779" s="10" t="str">
        <v/>
      </c>
      <c r="H779" s="11" t="str">
        <v/>
      </c>
      <c r="I779" s="11" t="str">
        <v/>
      </c>
    </row>
    <row r="780" spans="2:9">
      <c r="B780" s="11" t="str">
        <f t="shared" si="66"/>
        <v/>
      </c>
      <c r="C780" s="11" t="str">
        <f t="shared" si="64"/>
        <v/>
      </c>
      <c r="D780" s="11" t="str">
        <f t="shared" si="65"/>
        <v/>
      </c>
      <c r="E780" s="11" t="str">
        <f t="shared" si="67"/>
        <v/>
      </c>
      <c r="F780" s="11" t="str">
        <f t="shared" si="68"/>
        <v/>
      </c>
      <c r="G780" s="10" t="str">
        <v/>
      </c>
      <c r="H780" s="11" t="str">
        <v/>
      </c>
      <c r="I780" s="11" t="str">
        <v/>
      </c>
    </row>
    <row r="781" spans="2:9">
      <c r="B781" s="11" t="str">
        <f t="shared" si="66"/>
        <v/>
      </c>
      <c r="C781" s="11" t="str">
        <f t="shared" ref="C781:C844" si="69">IF(B781="артикул",A781,"")</f>
        <v/>
      </c>
      <c r="D781" s="11" t="str">
        <f t="shared" ref="D781:D844" si="70">IF(B781="артикул",A782,"")</f>
        <v/>
      </c>
      <c r="E781" s="11" t="str">
        <f t="shared" si="67"/>
        <v/>
      </c>
      <c r="F781" s="11" t="str">
        <f t="shared" si="68"/>
        <v/>
      </c>
      <c r="G781" s="10" t="str">
        <v/>
      </c>
      <c r="H781" s="11" t="str">
        <v/>
      </c>
      <c r="I781" s="11" t="str">
        <v/>
      </c>
    </row>
    <row r="782" spans="2:9">
      <c r="B782" s="11" t="str">
        <f t="shared" si="66"/>
        <v/>
      </c>
      <c r="C782" s="11" t="str">
        <f t="shared" si="69"/>
        <v/>
      </c>
      <c r="D782" s="11" t="str">
        <f t="shared" si="70"/>
        <v/>
      </c>
      <c r="E782" s="11" t="str">
        <f t="shared" si="67"/>
        <v/>
      </c>
      <c r="F782" s="11" t="str">
        <f t="shared" si="68"/>
        <v/>
      </c>
      <c r="G782" s="10" t="str">
        <v/>
      </c>
      <c r="H782" s="11" t="str">
        <v/>
      </c>
      <c r="I782" s="11" t="str">
        <v/>
      </c>
    </row>
    <row r="783" spans="2:9">
      <c r="B783" s="11" t="str">
        <f t="shared" si="66"/>
        <v/>
      </c>
      <c r="C783" s="11" t="str">
        <f t="shared" si="69"/>
        <v/>
      </c>
      <c r="D783" s="11" t="str">
        <f t="shared" si="70"/>
        <v/>
      </c>
      <c r="E783" s="11" t="str">
        <f t="shared" si="67"/>
        <v/>
      </c>
      <c r="F783" s="11" t="str">
        <f t="shared" si="68"/>
        <v/>
      </c>
      <c r="G783" s="10" t="str">
        <v/>
      </c>
      <c r="H783" s="11" t="str">
        <v/>
      </c>
      <c r="I783" s="11" t="str">
        <v/>
      </c>
    </row>
    <row r="784" spans="2:9">
      <c r="B784" s="11" t="str">
        <f t="shared" si="66"/>
        <v/>
      </c>
      <c r="C784" s="11" t="str">
        <f t="shared" si="69"/>
        <v/>
      </c>
      <c r="D784" s="11" t="str">
        <f t="shared" si="70"/>
        <v/>
      </c>
      <c r="E784" s="11" t="str">
        <f t="shared" si="67"/>
        <v/>
      </c>
      <c r="F784" s="11" t="str">
        <f t="shared" si="68"/>
        <v/>
      </c>
      <c r="G784" s="10" t="str">
        <v/>
      </c>
      <c r="H784" s="11" t="str">
        <v/>
      </c>
      <c r="I784" s="11" t="str">
        <v/>
      </c>
    </row>
    <row r="785" spans="2:9">
      <c r="B785" s="11" t="str">
        <f t="shared" si="66"/>
        <v/>
      </c>
      <c r="C785" s="11" t="str">
        <f t="shared" si="69"/>
        <v/>
      </c>
      <c r="D785" s="11" t="str">
        <f t="shared" si="70"/>
        <v/>
      </c>
      <c r="E785" s="11" t="str">
        <f t="shared" si="67"/>
        <v/>
      </c>
      <c r="F785" s="11" t="str">
        <f t="shared" si="68"/>
        <v/>
      </c>
      <c r="G785" s="10" t="str">
        <v/>
      </c>
      <c r="H785" s="11" t="str">
        <v/>
      </c>
      <c r="I785" s="11" t="str">
        <v/>
      </c>
    </row>
    <row r="786" spans="2:9">
      <c r="B786" s="11" t="str">
        <f t="shared" si="66"/>
        <v/>
      </c>
      <c r="C786" s="11" t="str">
        <f t="shared" si="69"/>
        <v/>
      </c>
      <c r="D786" s="11" t="str">
        <f t="shared" si="70"/>
        <v/>
      </c>
      <c r="E786" s="11" t="str">
        <f t="shared" si="67"/>
        <v/>
      </c>
      <c r="F786" s="11" t="str">
        <f t="shared" si="68"/>
        <v/>
      </c>
      <c r="G786" s="10" t="str">
        <v/>
      </c>
      <c r="H786" s="11" t="str">
        <v/>
      </c>
      <c r="I786" s="11" t="str">
        <v/>
      </c>
    </row>
    <row r="787" spans="2:9">
      <c r="B787" s="11" t="str">
        <f t="shared" si="66"/>
        <v/>
      </c>
      <c r="C787" s="11" t="str">
        <f t="shared" si="69"/>
        <v/>
      </c>
      <c r="D787" s="11" t="str">
        <f t="shared" si="70"/>
        <v/>
      </c>
      <c r="E787" s="11" t="str">
        <f t="shared" si="67"/>
        <v/>
      </c>
      <c r="F787" s="11" t="str">
        <f t="shared" si="68"/>
        <v/>
      </c>
      <c r="G787" s="10" t="str">
        <v/>
      </c>
      <c r="H787" s="11" t="str">
        <v/>
      </c>
      <c r="I787" s="11" t="str">
        <v/>
      </c>
    </row>
    <row r="788" spans="2:9">
      <c r="B788" s="11" t="str">
        <f t="shared" si="66"/>
        <v/>
      </c>
      <c r="C788" s="11" t="str">
        <f t="shared" si="69"/>
        <v/>
      </c>
      <c r="D788" s="11" t="str">
        <f t="shared" si="70"/>
        <v/>
      </c>
      <c r="E788" s="11" t="str">
        <f t="shared" si="67"/>
        <v/>
      </c>
      <c r="F788" s="11" t="str">
        <f t="shared" si="68"/>
        <v/>
      </c>
      <c r="G788" s="10" t="str">
        <v/>
      </c>
      <c r="H788" s="11" t="str">
        <v/>
      </c>
      <c r="I788" s="11" t="str">
        <v/>
      </c>
    </row>
    <row r="789" spans="2:9">
      <c r="B789" s="11" t="str">
        <f t="shared" si="66"/>
        <v/>
      </c>
      <c r="C789" s="11" t="str">
        <f t="shared" si="69"/>
        <v/>
      </c>
      <c r="D789" s="11" t="str">
        <f t="shared" si="70"/>
        <v/>
      </c>
      <c r="E789" s="11" t="str">
        <f t="shared" si="67"/>
        <v/>
      </c>
      <c r="F789" s="11" t="str">
        <f t="shared" si="68"/>
        <v/>
      </c>
      <c r="G789" s="10" t="str">
        <v/>
      </c>
      <c r="H789" s="11" t="str">
        <v/>
      </c>
      <c r="I789" s="11" t="str">
        <v/>
      </c>
    </row>
    <row r="790" spans="2:9">
      <c r="B790" s="11" t="str">
        <f t="shared" si="66"/>
        <v/>
      </c>
      <c r="C790" s="11" t="str">
        <f t="shared" si="69"/>
        <v/>
      </c>
      <c r="D790" s="11" t="str">
        <f t="shared" si="70"/>
        <v/>
      </c>
      <c r="E790" s="11" t="str">
        <f t="shared" si="67"/>
        <v/>
      </c>
      <c r="F790" s="11" t="str">
        <f t="shared" si="68"/>
        <v/>
      </c>
      <c r="G790" s="10" t="str">
        <v/>
      </c>
      <c r="H790" s="11" t="str">
        <v/>
      </c>
      <c r="I790" s="11" t="str">
        <v/>
      </c>
    </row>
    <row r="791" spans="2:9">
      <c r="B791" s="11" t="str">
        <f t="shared" si="66"/>
        <v/>
      </c>
      <c r="C791" s="11" t="str">
        <f t="shared" si="69"/>
        <v/>
      </c>
      <c r="D791" s="11" t="str">
        <f t="shared" si="70"/>
        <v/>
      </c>
      <c r="E791" s="11" t="str">
        <f t="shared" si="67"/>
        <v/>
      </c>
      <c r="F791" s="11" t="str">
        <f t="shared" si="68"/>
        <v/>
      </c>
      <c r="G791" s="10" t="str">
        <v/>
      </c>
      <c r="H791" s="11" t="str">
        <v/>
      </c>
      <c r="I791" s="11" t="str">
        <v/>
      </c>
    </row>
    <row r="792" spans="2:9">
      <c r="B792" s="11" t="str">
        <f t="shared" si="66"/>
        <v/>
      </c>
      <c r="C792" s="11" t="str">
        <f t="shared" si="69"/>
        <v/>
      </c>
      <c r="D792" s="11" t="str">
        <f t="shared" si="70"/>
        <v/>
      </c>
      <c r="E792" s="11" t="str">
        <f t="shared" si="67"/>
        <v/>
      </c>
      <c r="F792" s="11" t="str">
        <f t="shared" si="68"/>
        <v/>
      </c>
      <c r="G792" s="10" t="str">
        <v/>
      </c>
      <c r="H792" s="11" t="str">
        <v/>
      </c>
      <c r="I792" s="11" t="str">
        <v/>
      </c>
    </row>
    <row r="793" spans="2:9">
      <c r="B793" s="11" t="str">
        <f t="shared" si="66"/>
        <v/>
      </c>
      <c r="C793" s="11" t="str">
        <f t="shared" si="69"/>
        <v/>
      </c>
      <c r="D793" s="11" t="str">
        <f t="shared" si="70"/>
        <v/>
      </c>
      <c r="E793" s="11" t="str">
        <f t="shared" si="67"/>
        <v/>
      </c>
      <c r="F793" s="11" t="str">
        <f t="shared" si="68"/>
        <v/>
      </c>
      <c r="G793" s="10" t="str">
        <v/>
      </c>
      <c r="H793" s="11" t="str">
        <v/>
      </c>
      <c r="I793" s="11" t="str">
        <v/>
      </c>
    </row>
    <row r="794" spans="2:9">
      <c r="B794" s="11" t="str">
        <f t="shared" si="66"/>
        <v/>
      </c>
      <c r="C794" s="11" t="str">
        <f t="shared" si="69"/>
        <v/>
      </c>
      <c r="D794" s="11" t="str">
        <f t="shared" si="70"/>
        <v/>
      </c>
      <c r="E794" s="11" t="str">
        <f t="shared" si="67"/>
        <v/>
      </c>
      <c r="F794" s="11" t="str">
        <f t="shared" si="68"/>
        <v/>
      </c>
      <c r="G794" s="10" t="str">
        <v/>
      </c>
      <c r="H794" s="11" t="str">
        <v/>
      </c>
      <c r="I794" s="11" t="str">
        <v/>
      </c>
    </row>
    <row r="795" spans="2:9">
      <c r="B795" s="11" t="str">
        <f t="shared" si="66"/>
        <v/>
      </c>
      <c r="C795" s="11" t="str">
        <f t="shared" si="69"/>
        <v/>
      </c>
      <c r="D795" s="11" t="str">
        <f t="shared" si="70"/>
        <v/>
      </c>
      <c r="E795" s="11" t="str">
        <f t="shared" si="67"/>
        <v/>
      </c>
      <c r="F795" s="11" t="str">
        <f t="shared" si="68"/>
        <v/>
      </c>
      <c r="G795" s="10" t="str">
        <v/>
      </c>
      <c r="H795" s="11" t="str">
        <v/>
      </c>
      <c r="I795" s="11" t="str">
        <v/>
      </c>
    </row>
    <row r="796" spans="2:9">
      <c r="B796" s="11" t="str">
        <f t="shared" si="66"/>
        <v/>
      </c>
      <c r="C796" s="11" t="str">
        <f t="shared" si="69"/>
        <v/>
      </c>
      <c r="D796" s="11" t="str">
        <f t="shared" si="70"/>
        <v/>
      </c>
      <c r="E796" s="11" t="str">
        <f t="shared" si="67"/>
        <v/>
      </c>
      <c r="F796" s="11" t="str">
        <f t="shared" si="68"/>
        <v/>
      </c>
      <c r="G796" s="10" t="str">
        <v/>
      </c>
      <c r="H796" s="11" t="str">
        <v/>
      </c>
      <c r="I796" s="11" t="str">
        <v/>
      </c>
    </row>
    <row r="797" spans="2:9">
      <c r="B797" s="11" t="str">
        <f t="shared" si="66"/>
        <v/>
      </c>
      <c r="C797" s="11" t="str">
        <f t="shared" si="69"/>
        <v/>
      </c>
      <c r="D797" s="11" t="str">
        <f t="shared" si="70"/>
        <v/>
      </c>
      <c r="E797" s="11" t="str">
        <f t="shared" si="67"/>
        <v/>
      </c>
      <c r="F797" s="11" t="str">
        <f t="shared" si="68"/>
        <v/>
      </c>
      <c r="G797" s="10" t="str">
        <v/>
      </c>
      <c r="H797" s="11" t="str">
        <v/>
      </c>
      <c r="I797" s="11" t="str">
        <v/>
      </c>
    </row>
    <row r="798" spans="2:9">
      <c r="B798" s="11" t="str">
        <f t="shared" si="66"/>
        <v/>
      </c>
      <c r="C798" s="11" t="str">
        <f t="shared" si="69"/>
        <v/>
      </c>
      <c r="D798" s="11" t="str">
        <f t="shared" si="70"/>
        <v/>
      </c>
      <c r="E798" s="11" t="str">
        <f t="shared" si="67"/>
        <v/>
      </c>
      <c r="F798" s="11" t="str">
        <f t="shared" si="68"/>
        <v/>
      </c>
      <c r="G798" s="10" t="str">
        <v/>
      </c>
      <c r="H798" s="11" t="str">
        <v/>
      </c>
      <c r="I798" s="11" t="str">
        <v/>
      </c>
    </row>
    <row r="799" spans="2:9">
      <c r="B799" s="11" t="str">
        <f t="shared" si="66"/>
        <v/>
      </c>
      <c r="C799" s="11" t="str">
        <f t="shared" si="69"/>
        <v/>
      </c>
      <c r="D799" s="11" t="str">
        <f t="shared" si="70"/>
        <v/>
      </c>
      <c r="E799" s="11" t="str">
        <f t="shared" si="67"/>
        <v/>
      </c>
      <c r="F799" s="11" t="str">
        <f t="shared" si="68"/>
        <v/>
      </c>
      <c r="G799" s="10" t="str">
        <v/>
      </c>
      <c r="H799" s="11" t="str">
        <v/>
      </c>
      <c r="I799" s="11" t="str">
        <v/>
      </c>
    </row>
    <row r="800" spans="2:9">
      <c r="B800" s="11" t="str">
        <f t="shared" si="66"/>
        <v/>
      </c>
      <c r="C800" s="11" t="str">
        <f t="shared" si="69"/>
        <v/>
      </c>
      <c r="D800" s="11" t="str">
        <f t="shared" si="70"/>
        <v/>
      </c>
      <c r="E800" s="11" t="str">
        <f t="shared" si="67"/>
        <v/>
      </c>
      <c r="F800" s="11" t="str">
        <f t="shared" si="68"/>
        <v/>
      </c>
      <c r="G800" s="10" t="str">
        <v/>
      </c>
      <c r="H800" s="11" t="str">
        <v/>
      </c>
      <c r="I800" s="11" t="str">
        <v/>
      </c>
    </row>
    <row r="801" spans="2:9">
      <c r="B801" s="11" t="str">
        <f t="shared" si="66"/>
        <v/>
      </c>
      <c r="C801" s="11" t="str">
        <f t="shared" si="69"/>
        <v/>
      </c>
      <c r="D801" s="11" t="str">
        <f t="shared" si="70"/>
        <v/>
      </c>
      <c r="E801" s="11" t="str">
        <f t="shared" si="67"/>
        <v/>
      </c>
      <c r="F801" s="11" t="str">
        <f t="shared" si="68"/>
        <v/>
      </c>
      <c r="G801" s="10" t="str">
        <v/>
      </c>
      <c r="H801" s="11" t="str">
        <v/>
      </c>
      <c r="I801" s="11" t="str">
        <v/>
      </c>
    </row>
    <row r="802" spans="2:9">
      <c r="B802" s="11" t="str">
        <f t="shared" si="66"/>
        <v/>
      </c>
      <c r="C802" s="11" t="str">
        <f t="shared" si="69"/>
        <v/>
      </c>
      <c r="D802" s="11" t="str">
        <f t="shared" si="70"/>
        <v/>
      </c>
      <c r="E802" s="11" t="str">
        <f t="shared" si="67"/>
        <v/>
      </c>
      <c r="F802" s="11" t="str">
        <f t="shared" si="68"/>
        <v/>
      </c>
      <c r="G802" s="10" t="str">
        <v/>
      </c>
      <c r="H802" s="11" t="str">
        <v/>
      </c>
      <c r="I802" s="11" t="str">
        <v/>
      </c>
    </row>
    <row r="803" spans="2:9">
      <c r="B803" s="11" t="str">
        <f t="shared" si="66"/>
        <v/>
      </c>
      <c r="C803" s="11" t="str">
        <f t="shared" si="69"/>
        <v/>
      </c>
      <c r="D803" s="11" t="str">
        <f t="shared" si="70"/>
        <v/>
      </c>
      <c r="E803" s="11" t="str">
        <f t="shared" si="67"/>
        <v/>
      </c>
      <c r="F803" s="11" t="str">
        <f t="shared" si="68"/>
        <v/>
      </c>
      <c r="G803" s="10" t="str">
        <v/>
      </c>
      <c r="H803" s="11" t="str">
        <v/>
      </c>
      <c r="I803" s="11" t="str">
        <v/>
      </c>
    </row>
    <row r="804" spans="2:9">
      <c r="B804" s="11" t="str">
        <f t="shared" si="66"/>
        <v/>
      </c>
      <c r="C804" s="11" t="str">
        <f t="shared" si="69"/>
        <v/>
      </c>
      <c r="D804" s="11" t="str">
        <f t="shared" si="70"/>
        <v/>
      </c>
      <c r="E804" s="11" t="str">
        <f t="shared" si="67"/>
        <v/>
      </c>
      <c r="F804" s="11" t="str">
        <f t="shared" si="68"/>
        <v/>
      </c>
      <c r="G804" s="10" t="str">
        <v/>
      </c>
      <c r="H804" s="11" t="str">
        <v/>
      </c>
      <c r="I804" s="11" t="str">
        <v/>
      </c>
    </row>
    <row r="805" spans="2:9">
      <c r="B805" s="11" t="str">
        <f t="shared" si="66"/>
        <v/>
      </c>
      <c r="C805" s="11" t="str">
        <f t="shared" si="69"/>
        <v/>
      </c>
      <c r="D805" s="11" t="str">
        <f t="shared" si="70"/>
        <v/>
      </c>
      <c r="E805" s="11" t="str">
        <f t="shared" si="67"/>
        <v/>
      </c>
      <c r="F805" s="11" t="str">
        <f t="shared" si="68"/>
        <v/>
      </c>
      <c r="G805" s="10" t="str">
        <v/>
      </c>
      <c r="H805" s="11" t="str">
        <v/>
      </c>
      <c r="I805" s="11" t="str">
        <v/>
      </c>
    </row>
    <row r="806" spans="2:9">
      <c r="B806" s="11" t="str">
        <f t="shared" si="66"/>
        <v/>
      </c>
      <c r="C806" s="11" t="str">
        <f t="shared" si="69"/>
        <v/>
      </c>
      <c r="D806" s="11" t="str">
        <f t="shared" si="70"/>
        <v/>
      </c>
      <c r="E806" s="11" t="str">
        <f t="shared" si="67"/>
        <v/>
      </c>
      <c r="F806" s="11" t="str">
        <f t="shared" si="68"/>
        <v/>
      </c>
      <c r="G806" s="10" t="str">
        <v/>
      </c>
      <c r="H806" s="11" t="str">
        <v/>
      </c>
      <c r="I806" s="11" t="str">
        <v/>
      </c>
    </row>
    <row r="807" spans="2:9">
      <c r="B807" s="11" t="str">
        <f t="shared" si="66"/>
        <v/>
      </c>
      <c r="C807" s="11" t="str">
        <f t="shared" si="69"/>
        <v/>
      </c>
      <c r="D807" s="11" t="str">
        <f t="shared" si="70"/>
        <v/>
      </c>
      <c r="E807" s="11" t="str">
        <f t="shared" si="67"/>
        <v/>
      </c>
      <c r="F807" s="11" t="str">
        <f t="shared" si="68"/>
        <v/>
      </c>
      <c r="G807" s="10" t="str">
        <v/>
      </c>
      <c r="H807" s="11" t="str">
        <v/>
      </c>
      <c r="I807" s="11" t="str">
        <v/>
      </c>
    </row>
    <row r="808" spans="2:9">
      <c r="B808" s="11" t="str">
        <f t="shared" si="66"/>
        <v/>
      </c>
      <c r="C808" s="11" t="str">
        <f t="shared" si="69"/>
        <v/>
      </c>
      <c r="D808" s="11" t="str">
        <f t="shared" si="70"/>
        <v/>
      </c>
      <c r="E808" s="11" t="str">
        <f t="shared" si="67"/>
        <v/>
      </c>
      <c r="F808" s="11" t="str">
        <f t="shared" si="68"/>
        <v/>
      </c>
      <c r="G808" s="10" t="str">
        <v/>
      </c>
      <c r="H808" s="11" t="str">
        <v/>
      </c>
      <c r="I808" s="11" t="str">
        <v/>
      </c>
    </row>
    <row r="809" spans="2:9">
      <c r="B809" s="11" t="str">
        <f t="shared" si="66"/>
        <v/>
      </c>
      <c r="C809" s="11" t="str">
        <f t="shared" si="69"/>
        <v/>
      </c>
      <c r="D809" s="11" t="str">
        <f t="shared" si="70"/>
        <v/>
      </c>
      <c r="E809" s="11" t="str">
        <f t="shared" si="67"/>
        <v/>
      </c>
      <c r="F809" s="11" t="str">
        <f t="shared" si="68"/>
        <v/>
      </c>
      <c r="G809" s="10" t="str">
        <v/>
      </c>
      <c r="H809" s="11" t="str">
        <v/>
      </c>
      <c r="I809" s="11" t="str">
        <v/>
      </c>
    </row>
    <row r="810" spans="2:9">
      <c r="B810" s="11" t="str">
        <f t="shared" si="66"/>
        <v/>
      </c>
      <c r="C810" s="11" t="str">
        <f t="shared" si="69"/>
        <v/>
      </c>
      <c r="D810" s="11" t="str">
        <f t="shared" si="70"/>
        <v/>
      </c>
      <c r="E810" s="11" t="str">
        <f t="shared" si="67"/>
        <v/>
      </c>
      <c r="F810" s="11" t="str">
        <f t="shared" si="68"/>
        <v/>
      </c>
      <c r="G810" s="10" t="str">
        <v/>
      </c>
      <c r="H810" s="11" t="str">
        <v/>
      </c>
      <c r="I810" s="11" t="str">
        <v/>
      </c>
    </row>
    <row r="811" spans="2:9">
      <c r="B811" s="11" t="str">
        <f t="shared" si="66"/>
        <v/>
      </c>
      <c r="C811" s="11" t="str">
        <f t="shared" si="69"/>
        <v/>
      </c>
      <c r="D811" s="11" t="str">
        <f t="shared" si="70"/>
        <v/>
      </c>
      <c r="E811" s="11" t="str">
        <f t="shared" si="67"/>
        <v/>
      </c>
      <c r="F811" s="11" t="str">
        <f t="shared" si="68"/>
        <v/>
      </c>
      <c r="G811" s="10" t="str">
        <v/>
      </c>
      <c r="H811" s="11" t="str">
        <v/>
      </c>
      <c r="I811" s="11" t="str">
        <v/>
      </c>
    </row>
    <row r="812" spans="2:9">
      <c r="B812" s="11" t="str">
        <f t="shared" si="66"/>
        <v/>
      </c>
      <c r="C812" s="11" t="str">
        <f t="shared" si="69"/>
        <v/>
      </c>
      <c r="D812" s="11" t="str">
        <f t="shared" si="70"/>
        <v/>
      </c>
      <c r="E812" s="11" t="str">
        <f t="shared" si="67"/>
        <v/>
      </c>
      <c r="F812" s="11" t="str">
        <f t="shared" si="68"/>
        <v/>
      </c>
      <c r="G812" s="10" t="str">
        <v/>
      </c>
      <c r="H812" s="11" t="str">
        <v/>
      </c>
      <c r="I812" s="11" t="str">
        <v/>
      </c>
    </row>
    <row r="813" spans="2:9">
      <c r="B813" s="11" t="str">
        <f t="shared" si="66"/>
        <v/>
      </c>
      <c r="C813" s="11" t="str">
        <f t="shared" si="69"/>
        <v/>
      </c>
      <c r="D813" s="11" t="str">
        <f t="shared" si="70"/>
        <v/>
      </c>
      <c r="E813" s="11" t="str">
        <f t="shared" si="67"/>
        <v/>
      </c>
      <c r="F813" s="11" t="str">
        <f t="shared" si="68"/>
        <v/>
      </c>
      <c r="G813" s="10" t="str">
        <v/>
      </c>
      <c r="H813" s="11" t="str">
        <v/>
      </c>
      <c r="I813" s="11" t="str">
        <v/>
      </c>
    </row>
    <row r="814" spans="2:9">
      <c r="B814" s="11" t="str">
        <f t="shared" si="66"/>
        <v/>
      </c>
      <c r="C814" s="11" t="str">
        <f t="shared" si="69"/>
        <v/>
      </c>
      <c r="D814" s="11" t="str">
        <f t="shared" si="70"/>
        <v/>
      </c>
      <c r="E814" s="11" t="str">
        <f t="shared" si="67"/>
        <v/>
      </c>
      <c r="F814" s="11" t="str">
        <f t="shared" si="68"/>
        <v/>
      </c>
      <c r="G814" s="10" t="str">
        <v/>
      </c>
      <c r="H814" s="11" t="str">
        <v/>
      </c>
      <c r="I814" s="11" t="str">
        <v/>
      </c>
    </row>
    <row r="815" spans="2:9">
      <c r="B815" s="11" t="str">
        <f t="shared" si="66"/>
        <v/>
      </c>
      <c r="C815" s="11" t="str">
        <f t="shared" si="69"/>
        <v/>
      </c>
      <c r="D815" s="11" t="str">
        <f t="shared" si="70"/>
        <v/>
      </c>
      <c r="E815" s="11" t="str">
        <f t="shared" si="67"/>
        <v/>
      </c>
      <c r="F815" s="11" t="str">
        <f t="shared" si="68"/>
        <v/>
      </c>
      <c r="G815" s="10" t="str">
        <v/>
      </c>
      <c r="H815" s="11" t="str">
        <v/>
      </c>
      <c r="I815" s="11" t="str">
        <v/>
      </c>
    </row>
    <row r="816" spans="2:9">
      <c r="B816" s="11" t="str">
        <f t="shared" si="66"/>
        <v/>
      </c>
      <c r="C816" s="11" t="str">
        <f t="shared" si="69"/>
        <v/>
      </c>
      <c r="D816" s="11" t="str">
        <f t="shared" si="70"/>
        <v/>
      </c>
      <c r="E816" s="11" t="str">
        <f t="shared" si="67"/>
        <v/>
      </c>
      <c r="F816" s="11" t="str">
        <f t="shared" si="68"/>
        <v/>
      </c>
      <c r="G816" s="10" t="str">
        <v/>
      </c>
      <c r="H816" s="11" t="str">
        <v/>
      </c>
      <c r="I816" s="11" t="str">
        <v/>
      </c>
    </row>
    <row r="817" spans="2:9">
      <c r="B817" s="11" t="str">
        <f t="shared" si="66"/>
        <v/>
      </c>
      <c r="C817" s="11" t="str">
        <f t="shared" si="69"/>
        <v/>
      </c>
      <c r="D817" s="11" t="str">
        <f t="shared" si="70"/>
        <v/>
      </c>
      <c r="E817" s="11" t="str">
        <f t="shared" si="67"/>
        <v/>
      </c>
      <c r="F817" s="11" t="str">
        <f t="shared" si="68"/>
        <v/>
      </c>
      <c r="G817" s="10" t="str">
        <v/>
      </c>
      <c r="H817" s="11" t="str">
        <v/>
      </c>
      <c r="I817" s="11" t="str">
        <v/>
      </c>
    </row>
    <row r="818" spans="2:9">
      <c r="B818" s="11" t="str">
        <f t="shared" si="66"/>
        <v/>
      </c>
      <c r="C818" s="11" t="str">
        <f t="shared" si="69"/>
        <v/>
      </c>
      <c r="D818" s="11" t="str">
        <f t="shared" si="70"/>
        <v/>
      </c>
      <c r="E818" s="11" t="str">
        <f t="shared" si="67"/>
        <v/>
      </c>
      <c r="F818" s="11" t="str">
        <f t="shared" si="68"/>
        <v/>
      </c>
      <c r="G818" s="10" t="str">
        <v/>
      </c>
      <c r="H818" s="11" t="str">
        <v/>
      </c>
      <c r="I818" s="11" t="str">
        <v/>
      </c>
    </row>
    <row r="819" spans="2:9">
      <c r="B819" s="11" t="str">
        <f t="shared" si="66"/>
        <v/>
      </c>
      <c r="C819" s="11" t="str">
        <f t="shared" si="69"/>
        <v/>
      </c>
      <c r="D819" s="11" t="str">
        <f t="shared" si="70"/>
        <v/>
      </c>
      <c r="E819" s="11" t="str">
        <f t="shared" si="67"/>
        <v/>
      </c>
      <c r="F819" s="11" t="str">
        <f t="shared" si="68"/>
        <v/>
      </c>
      <c r="G819" s="10" t="str">
        <v/>
      </c>
      <c r="H819" s="11" t="str">
        <v/>
      </c>
      <c r="I819" s="11" t="str">
        <v/>
      </c>
    </row>
    <row r="820" spans="2:9">
      <c r="B820" s="11" t="str">
        <f t="shared" si="66"/>
        <v/>
      </c>
      <c r="C820" s="11" t="str">
        <f t="shared" si="69"/>
        <v/>
      </c>
      <c r="D820" s="11" t="str">
        <f t="shared" si="70"/>
        <v/>
      </c>
      <c r="E820" s="11" t="str">
        <f t="shared" si="67"/>
        <v/>
      </c>
      <c r="F820" s="11" t="str">
        <f t="shared" si="68"/>
        <v/>
      </c>
      <c r="G820" s="10" t="str">
        <v/>
      </c>
      <c r="H820" s="11" t="str">
        <v/>
      </c>
      <c r="I820" s="11" t="str">
        <v/>
      </c>
    </row>
    <row r="821" spans="2:9">
      <c r="B821" s="11" t="str">
        <f t="shared" si="66"/>
        <v/>
      </c>
      <c r="C821" s="11" t="str">
        <f t="shared" si="69"/>
        <v/>
      </c>
      <c r="D821" s="11" t="str">
        <f t="shared" si="70"/>
        <v/>
      </c>
      <c r="E821" s="11" t="str">
        <f t="shared" si="67"/>
        <v/>
      </c>
      <c r="F821" s="11" t="str">
        <f t="shared" si="68"/>
        <v/>
      </c>
      <c r="G821" s="10" t="str">
        <v/>
      </c>
      <c r="H821" s="11" t="str">
        <v/>
      </c>
      <c r="I821" s="11" t="str">
        <v/>
      </c>
    </row>
    <row r="822" spans="2:9">
      <c r="B822" s="11" t="str">
        <f t="shared" si="66"/>
        <v/>
      </c>
      <c r="C822" s="11" t="str">
        <f t="shared" si="69"/>
        <v/>
      </c>
      <c r="D822" s="11" t="str">
        <f t="shared" si="70"/>
        <v/>
      </c>
      <c r="E822" s="11" t="str">
        <f t="shared" si="67"/>
        <v/>
      </c>
      <c r="F822" s="11" t="str">
        <f t="shared" si="68"/>
        <v/>
      </c>
      <c r="G822" s="10" t="str">
        <v/>
      </c>
      <c r="H822" s="11" t="str">
        <v/>
      </c>
      <c r="I822" s="11" t="str">
        <v/>
      </c>
    </row>
    <row r="823" spans="2:9">
      <c r="B823" s="11" t="str">
        <f t="shared" si="66"/>
        <v/>
      </c>
      <c r="C823" s="11" t="str">
        <f t="shared" si="69"/>
        <v/>
      </c>
      <c r="D823" s="11" t="str">
        <f t="shared" si="70"/>
        <v/>
      </c>
      <c r="E823" s="11" t="str">
        <f t="shared" si="67"/>
        <v/>
      </c>
      <c r="F823" s="11" t="str">
        <f t="shared" si="68"/>
        <v/>
      </c>
      <c r="G823" s="10" t="str">
        <v/>
      </c>
      <c r="H823" s="11" t="str">
        <v/>
      </c>
      <c r="I823" s="11" t="str">
        <v/>
      </c>
    </row>
    <row r="824" spans="2:9">
      <c r="B824" s="11" t="str">
        <f t="shared" si="66"/>
        <v/>
      </c>
      <c r="C824" s="11" t="str">
        <f t="shared" si="69"/>
        <v/>
      </c>
      <c r="D824" s="11" t="str">
        <f t="shared" si="70"/>
        <v/>
      </c>
      <c r="E824" s="11" t="str">
        <f t="shared" si="67"/>
        <v/>
      </c>
      <c r="F824" s="11" t="str">
        <f t="shared" si="68"/>
        <v/>
      </c>
      <c r="G824" s="10" t="str">
        <v/>
      </c>
      <c r="H824" s="11" t="str">
        <v/>
      </c>
      <c r="I824" s="11" t="str">
        <v/>
      </c>
    </row>
    <row r="825" spans="2:9">
      <c r="B825" s="11" t="str">
        <f t="shared" si="66"/>
        <v/>
      </c>
      <c r="C825" s="11" t="str">
        <f t="shared" si="69"/>
        <v/>
      </c>
      <c r="D825" s="11" t="str">
        <f t="shared" si="70"/>
        <v/>
      </c>
      <c r="E825" s="11" t="str">
        <f t="shared" si="67"/>
        <v/>
      </c>
      <c r="F825" s="11" t="str">
        <f t="shared" si="68"/>
        <v/>
      </c>
      <c r="G825" s="10" t="str">
        <v/>
      </c>
      <c r="H825" s="11" t="str">
        <v/>
      </c>
      <c r="I825" s="11" t="str">
        <v/>
      </c>
    </row>
    <row r="826" spans="2:9">
      <c r="B826" s="11" t="str">
        <f t="shared" si="66"/>
        <v/>
      </c>
      <c r="C826" s="11" t="str">
        <f t="shared" si="69"/>
        <v/>
      </c>
      <c r="D826" s="11" t="str">
        <f t="shared" si="70"/>
        <v/>
      </c>
      <c r="E826" s="11" t="str">
        <f t="shared" si="67"/>
        <v/>
      </c>
      <c r="F826" s="11" t="str">
        <f t="shared" si="68"/>
        <v/>
      </c>
      <c r="G826" s="10" t="str">
        <v/>
      </c>
      <c r="H826" s="11" t="str">
        <v/>
      </c>
      <c r="I826" s="11" t="str">
        <v/>
      </c>
    </row>
    <row r="827" spans="2:9">
      <c r="B827" s="11" t="str">
        <f t="shared" si="66"/>
        <v/>
      </c>
      <c r="C827" s="11" t="str">
        <f t="shared" si="69"/>
        <v/>
      </c>
      <c r="D827" s="11" t="str">
        <f t="shared" si="70"/>
        <v/>
      </c>
      <c r="E827" s="11" t="str">
        <f t="shared" si="67"/>
        <v/>
      </c>
      <c r="F827" s="11" t="str">
        <f t="shared" si="68"/>
        <v/>
      </c>
      <c r="G827" s="10" t="str">
        <v/>
      </c>
      <c r="H827" s="11" t="str">
        <v/>
      </c>
      <c r="I827" s="11" t="str">
        <v/>
      </c>
    </row>
    <row r="828" spans="2:9">
      <c r="B828" s="11" t="str">
        <f t="shared" si="66"/>
        <v/>
      </c>
      <c r="C828" s="11" t="str">
        <f t="shared" si="69"/>
        <v/>
      </c>
      <c r="D828" s="11" t="str">
        <f t="shared" si="70"/>
        <v/>
      </c>
      <c r="E828" s="11" t="str">
        <f t="shared" si="67"/>
        <v/>
      </c>
      <c r="F828" s="11" t="str">
        <f t="shared" si="68"/>
        <v/>
      </c>
      <c r="G828" s="10" t="str">
        <v/>
      </c>
      <c r="H828" s="11" t="str">
        <v/>
      </c>
      <c r="I828" s="11" t="str">
        <v/>
      </c>
    </row>
    <row r="829" spans="2:9">
      <c r="B829" s="11" t="str">
        <f t="shared" si="66"/>
        <v/>
      </c>
      <c r="C829" s="11" t="str">
        <f t="shared" si="69"/>
        <v/>
      </c>
      <c r="D829" s="11" t="str">
        <f t="shared" si="70"/>
        <v/>
      </c>
      <c r="E829" s="11" t="str">
        <f t="shared" si="67"/>
        <v/>
      </c>
      <c r="F829" s="11" t="str">
        <f t="shared" si="68"/>
        <v/>
      </c>
      <c r="G829" s="10" t="str">
        <v/>
      </c>
      <c r="H829" s="11" t="str">
        <v/>
      </c>
      <c r="I829" s="11" t="str">
        <v/>
      </c>
    </row>
    <row r="830" spans="2:9">
      <c r="B830" s="11" t="str">
        <f t="shared" si="66"/>
        <v/>
      </c>
      <c r="C830" s="11" t="str">
        <f t="shared" si="69"/>
        <v/>
      </c>
      <c r="D830" s="11" t="str">
        <f t="shared" si="70"/>
        <v/>
      </c>
      <c r="E830" s="11" t="str">
        <f t="shared" si="67"/>
        <v/>
      </c>
      <c r="F830" s="11" t="str">
        <f t="shared" si="68"/>
        <v/>
      </c>
      <c r="G830" s="10" t="str">
        <v/>
      </c>
      <c r="H830" s="11" t="str">
        <v/>
      </c>
      <c r="I830" s="11" t="str">
        <v/>
      </c>
    </row>
    <row r="831" spans="2:9">
      <c r="B831" s="11" t="str">
        <f t="shared" si="66"/>
        <v/>
      </c>
      <c r="C831" s="11" t="str">
        <f t="shared" si="69"/>
        <v/>
      </c>
      <c r="D831" s="11" t="str">
        <f t="shared" si="70"/>
        <v/>
      </c>
      <c r="E831" s="11" t="str">
        <f t="shared" si="67"/>
        <v/>
      </c>
      <c r="F831" s="11" t="str">
        <f t="shared" si="68"/>
        <v/>
      </c>
      <c r="G831" s="10" t="str">
        <v/>
      </c>
      <c r="H831" s="11" t="str">
        <v/>
      </c>
      <c r="I831" s="11" t="str">
        <v/>
      </c>
    </row>
    <row r="832" spans="2:9">
      <c r="B832" s="11" t="str">
        <f t="shared" si="66"/>
        <v/>
      </c>
      <c r="C832" s="11" t="str">
        <f t="shared" si="69"/>
        <v/>
      </c>
      <c r="D832" s="11" t="str">
        <f t="shared" si="70"/>
        <v/>
      </c>
      <c r="E832" s="11" t="str">
        <f t="shared" si="67"/>
        <v/>
      </c>
      <c r="F832" s="11" t="str">
        <f t="shared" si="68"/>
        <v/>
      </c>
      <c r="G832" s="10" t="str">
        <v/>
      </c>
      <c r="H832" s="11" t="str">
        <v/>
      </c>
      <c r="I832" s="11" t="str">
        <v/>
      </c>
    </row>
    <row r="833" spans="2:9">
      <c r="B833" s="11" t="str">
        <f t="shared" ref="B833:B896" si="71">IFERROR(IF(FIND(" ",A833)=6,IF(IFERROR(FIND(" PB",A833),"")&lt;&gt;"","артикул",IF(IFERROR(FIND(" CRN",A833),"")&lt;&gt;"","артикул","")),""),"")</f>
        <v/>
      </c>
      <c r="C833" s="11" t="str">
        <f t="shared" si="69"/>
        <v/>
      </c>
      <c r="D833" s="11" t="str">
        <f t="shared" si="70"/>
        <v/>
      </c>
      <c r="E833" s="11" t="str">
        <f t="shared" si="67"/>
        <v/>
      </c>
      <c r="F833" s="11" t="str">
        <f t="shared" si="68"/>
        <v/>
      </c>
      <c r="G833" s="10" t="str">
        <v/>
      </c>
      <c r="H833" s="11" t="str">
        <v/>
      </c>
      <c r="I833" s="11" t="str">
        <v/>
      </c>
    </row>
    <row r="834" spans="2:9">
      <c r="B834" s="11" t="str">
        <f t="shared" si="71"/>
        <v/>
      </c>
      <c r="C834" s="11" t="str">
        <f t="shared" si="69"/>
        <v/>
      </c>
      <c r="D834" s="11" t="str">
        <f t="shared" si="70"/>
        <v/>
      </c>
      <c r="E834" s="11" t="str">
        <f t="shared" ref="E834:E897" si="72" xml:space="preserve">
IF(B834="Артикул",
IF(
AND(RIGHT(A835,1)="%",
RIGHT(A836,1)="%",
RIGHT(A837,1)="%",
RIGHT(A838,1)="%"),MID(A839,FIND(" ",A839),50),
IF(
AND(RIGHT(A835,1)="%",
RIGHT(A836,1)="%",
RIGHT(A837,1)="%"),MID(A838,FIND(" ",A838),50),
IF(
AND(RIGHT(A835,1)="%",
RIGHT(A836,1)="%"),
MID(A837,FIND(" ",A837),50),
IF(
RIGHT(A835,1)="%",
MID(A836,FIND(" ",A836),50),"")))),"")</f>
        <v/>
      </c>
      <c r="F834" s="11" t="str">
        <f t="shared" ref="F834:F897" si="73">IFERROR(
IF(
AND(LEFT(A834,8)="Discount",FIND("%",A834)&gt;0),
MID(A834,
FIND(" ",A834),
FIND("%",A834)-FIND(" ",A834))
*-1,""),"")</f>
        <v/>
      </c>
      <c r="G834" s="10" t="str">
        <v/>
      </c>
      <c r="H834" s="11" t="str">
        <v/>
      </c>
      <c r="I834" s="11" t="str">
        <v/>
      </c>
    </row>
    <row r="835" spans="2:9">
      <c r="B835" s="11" t="str">
        <f t="shared" si="71"/>
        <v/>
      </c>
      <c r="C835" s="11" t="str">
        <f t="shared" si="69"/>
        <v/>
      </c>
      <c r="D835" s="11" t="str">
        <f t="shared" si="70"/>
        <v/>
      </c>
      <c r="E835" s="11" t="str">
        <f t="shared" si="72"/>
        <v/>
      </c>
      <c r="F835" s="11" t="str">
        <f t="shared" si="73"/>
        <v/>
      </c>
      <c r="G835" s="10" t="str">
        <v/>
      </c>
      <c r="H835" s="11" t="str">
        <v/>
      </c>
      <c r="I835" s="11" t="str">
        <v/>
      </c>
    </row>
    <row r="836" spans="2:9">
      <c r="B836" s="11" t="str">
        <f t="shared" si="71"/>
        <v/>
      </c>
      <c r="C836" s="11" t="str">
        <f t="shared" si="69"/>
        <v/>
      </c>
      <c r="D836" s="11" t="str">
        <f t="shared" si="70"/>
        <v/>
      </c>
      <c r="E836" s="11" t="str">
        <f t="shared" si="72"/>
        <v/>
      </c>
      <c r="F836" s="11" t="str">
        <f t="shared" si="73"/>
        <v/>
      </c>
      <c r="G836" s="10" t="str">
        <v/>
      </c>
      <c r="H836" s="11" t="str">
        <v/>
      </c>
      <c r="I836" s="11" t="str">
        <v/>
      </c>
    </row>
    <row r="837" spans="2:9">
      <c r="B837" s="11" t="str">
        <f t="shared" si="71"/>
        <v/>
      </c>
      <c r="C837" s="11" t="str">
        <f t="shared" si="69"/>
        <v/>
      </c>
      <c r="D837" s="11" t="str">
        <f t="shared" si="70"/>
        <v/>
      </c>
      <c r="E837" s="11" t="str">
        <f t="shared" si="72"/>
        <v/>
      </c>
      <c r="F837" s="11" t="str">
        <f t="shared" si="73"/>
        <v/>
      </c>
      <c r="G837" s="10" t="str">
        <v/>
      </c>
      <c r="H837" s="11" t="str">
        <v/>
      </c>
      <c r="I837" s="11" t="str">
        <v/>
      </c>
    </row>
    <row r="838" spans="2:9">
      <c r="B838" s="11" t="str">
        <f t="shared" si="71"/>
        <v/>
      </c>
      <c r="C838" s="11" t="str">
        <f t="shared" si="69"/>
        <v/>
      </c>
      <c r="D838" s="11" t="str">
        <f t="shared" si="70"/>
        <v/>
      </c>
      <c r="E838" s="11" t="str">
        <f t="shared" si="72"/>
        <v/>
      </c>
      <c r="F838" s="11" t="str">
        <f t="shared" si="73"/>
        <v/>
      </c>
      <c r="G838" s="10" t="str">
        <v/>
      </c>
      <c r="H838" s="11" t="str">
        <v/>
      </c>
      <c r="I838" s="11" t="str">
        <v/>
      </c>
    </row>
    <row r="839" spans="2:9">
      <c r="B839" s="11" t="str">
        <f t="shared" si="71"/>
        <v/>
      </c>
      <c r="C839" s="11" t="str">
        <f t="shared" si="69"/>
        <v/>
      </c>
      <c r="D839" s="11" t="str">
        <f t="shared" si="70"/>
        <v/>
      </c>
      <c r="E839" s="11" t="str">
        <f t="shared" si="72"/>
        <v/>
      </c>
      <c r="F839" s="11" t="str">
        <f t="shared" si="73"/>
        <v/>
      </c>
      <c r="G839" s="10" t="str">
        <v/>
      </c>
      <c r="H839" s="11" t="str">
        <v/>
      </c>
      <c r="I839" s="11" t="str">
        <v/>
      </c>
    </row>
    <row r="840" spans="2:9">
      <c r="B840" s="11" t="str">
        <f t="shared" si="71"/>
        <v/>
      </c>
      <c r="C840" s="11" t="str">
        <f t="shared" si="69"/>
        <v/>
      </c>
      <c r="D840" s="11" t="str">
        <f t="shared" si="70"/>
        <v/>
      </c>
      <c r="E840" s="11" t="str">
        <f t="shared" si="72"/>
        <v/>
      </c>
      <c r="F840" s="11" t="str">
        <f t="shared" si="73"/>
        <v/>
      </c>
      <c r="G840" s="10" t="str">
        <v/>
      </c>
      <c r="H840" s="11" t="str">
        <v/>
      </c>
      <c r="I840" s="11" t="str">
        <v/>
      </c>
    </row>
    <row r="841" spans="2:9">
      <c r="B841" s="11" t="str">
        <f t="shared" si="71"/>
        <v/>
      </c>
      <c r="C841" s="11" t="str">
        <f t="shared" si="69"/>
        <v/>
      </c>
      <c r="D841" s="11" t="str">
        <f t="shared" si="70"/>
        <v/>
      </c>
      <c r="E841" s="11" t="str">
        <f t="shared" si="72"/>
        <v/>
      </c>
      <c r="F841" s="11" t="str">
        <f t="shared" si="73"/>
        <v/>
      </c>
      <c r="G841" s="10" t="str">
        <v/>
      </c>
      <c r="H841" s="11" t="str">
        <v/>
      </c>
      <c r="I841" s="11" t="str">
        <v/>
      </c>
    </row>
    <row r="842" spans="2:9">
      <c r="B842" s="11" t="str">
        <f t="shared" si="71"/>
        <v/>
      </c>
      <c r="C842" s="11" t="str">
        <f t="shared" si="69"/>
        <v/>
      </c>
      <c r="D842" s="11" t="str">
        <f t="shared" si="70"/>
        <v/>
      </c>
      <c r="E842" s="11" t="str">
        <f t="shared" si="72"/>
        <v/>
      </c>
      <c r="F842" s="11" t="str">
        <f t="shared" si="73"/>
        <v/>
      </c>
      <c r="G842" s="10" t="str">
        <v/>
      </c>
      <c r="H842" s="11" t="str">
        <v/>
      </c>
      <c r="I842" s="11" t="str">
        <v/>
      </c>
    </row>
    <row r="843" spans="2:9">
      <c r="B843" s="11" t="str">
        <f t="shared" si="71"/>
        <v/>
      </c>
      <c r="C843" s="11" t="str">
        <f t="shared" si="69"/>
        <v/>
      </c>
      <c r="D843" s="11" t="str">
        <f t="shared" si="70"/>
        <v/>
      </c>
      <c r="E843" s="11" t="str">
        <f t="shared" si="72"/>
        <v/>
      </c>
      <c r="F843" s="11" t="str">
        <f t="shared" si="73"/>
        <v/>
      </c>
      <c r="G843" s="10" t="str">
        <v/>
      </c>
      <c r="H843" s="11" t="str">
        <v/>
      </c>
      <c r="I843" s="11" t="str">
        <v/>
      </c>
    </row>
    <row r="844" spans="2:9">
      <c r="B844" s="11" t="str">
        <f t="shared" si="71"/>
        <v/>
      </c>
      <c r="C844" s="11" t="str">
        <f t="shared" si="69"/>
        <v/>
      </c>
      <c r="D844" s="11" t="str">
        <f t="shared" si="70"/>
        <v/>
      </c>
      <c r="E844" s="11" t="str">
        <f t="shared" si="72"/>
        <v/>
      </c>
      <c r="F844" s="11" t="str">
        <f t="shared" si="73"/>
        <v/>
      </c>
      <c r="G844" s="10" t="str">
        <v/>
      </c>
      <c r="H844" s="11" t="str">
        <v/>
      </c>
      <c r="I844" s="11" t="str">
        <v/>
      </c>
    </row>
    <row r="845" spans="2:9">
      <c r="B845" s="11" t="str">
        <f t="shared" si="71"/>
        <v/>
      </c>
      <c r="C845" s="11" t="str">
        <f t="shared" ref="C845:C908" si="74">IF(B845="артикул",A845,"")</f>
        <v/>
      </c>
      <c r="D845" s="11" t="str">
        <f t="shared" ref="D845:D908" si="75">IF(B845="артикул",A846,"")</f>
        <v/>
      </c>
      <c r="E845" s="11" t="str">
        <f t="shared" si="72"/>
        <v/>
      </c>
      <c r="F845" s="11" t="str">
        <f t="shared" si="73"/>
        <v/>
      </c>
      <c r="G845" s="10" t="str">
        <v/>
      </c>
      <c r="H845" s="11" t="str">
        <v/>
      </c>
      <c r="I845" s="11" t="str">
        <v/>
      </c>
    </row>
    <row r="846" spans="2:9">
      <c r="B846" s="11" t="str">
        <f t="shared" si="71"/>
        <v/>
      </c>
      <c r="C846" s="11" t="str">
        <f t="shared" si="74"/>
        <v/>
      </c>
      <c r="D846" s="11" t="str">
        <f t="shared" si="75"/>
        <v/>
      </c>
      <c r="E846" s="11" t="str">
        <f t="shared" si="72"/>
        <v/>
      </c>
      <c r="F846" s="11" t="str">
        <f t="shared" si="73"/>
        <v/>
      </c>
      <c r="G846" s="10" t="str">
        <v/>
      </c>
      <c r="H846" s="11" t="str">
        <v/>
      </c>
      <c r="I846" s="11" t="str">
        <v/>
      </c>
    </row>
    <row r="847" spans="2:9">
      <c r="B847" s="11" t="str">
        <f t="shared" si="71"/>
        <v/>
      </c>
      <c r="C847" s="11" t="str">
        <f t="shared" si="74"/>
        <v/>
      </c>
      <c r="D847" s="11" t="str">
        <f t="shared" si="75"/>
        <v/>
      </c>
      <c r="E847" s="11" t="str">
        <f t="shared" si="72"/>
        <v/>
      </c>
      <c r="F847" s="11" t="str">
        <f t="shared" si="73"/>
        <v/>
      </c>
      <c r="G847" s="10" t="str">
        <v/>
      </c>
      <c r="H847" s="11" t="str">
        <v/>
      </c>
      <c r="I847" s="11" t="str">
        <v/>
      </c>
    </row>
    <row r="848" spans="2:9">
      <c r="B848" s="11" t="str">
        <f t="shared" si="71"/>
        <v/>
      </c>
      <c r="C848" s="11" t="str">
        <f t="shared" si="74"/>
        <v/>
      </c>
      <c r="D848" s="11" t="str">
        <f t="shared" si="75"/>
        <v/>
      </c>
      <c r="E848" s="11" t="str">
        <f t="shared" si="72"/>
        <v/>
      </c>
      <c r="F848" s="11" t="str">
        <f t="shared" si="73"/>
        <v/>
      </c>
      <c r="G848" s="10" t="str">
        <v/>
      </c>
      <c r="H848" s="11" t="str">
        <v/>
      </c>
      <c r="I848" s="11" t="str">
        <v/>
      </c>
    </row>
    <row r="849" spans="2:9">
      <c r="B849" s="11" t="str">
        <f t="shared" si="71"/>
        <v/>
      </c>
      <c r="C849" s="11" t="str">
        <f t="shared" si="74"/>
        <v/>
      </c>
      <c r="D849" s="11" t="str">
        <f t="shared" si="75"/>
        <v/>
      </c>
      <c r="E849" s="11" t="str">
        <f t="shared" si="72"/>
        <v/>
      </c>
      <c r="F849" s="11" t="str">
        <f t="shared" si="73"/>
        <v/>
      </c>
      <c r="G849" s="10" t="str">
        <v/>
      </c>
      <c r="H849" s="11" t="str">
        <v/>
      </c>
      <c r="I849" s="11" t="str">
        <v/>
      </c>
    </row>
    <row r="850" spans="2:9">
      <c r="B850" s="11" t="str">
        <f t="shared" si="71"/>
        <v/>
      </c>
      <c r="C850" s="11" t="str">
        <f t="shared" si="74"/>
        <v/>
      </c>
      <c r="D850" s="11" t="str">
        <f t="shared" si="75"/>
        <v/>
      </c>
      <c r="E850" s="11" t="str">
        <f t="shared" si="72"/>
        <v/>
      </c>
      <c r="F850" s="11" t="str">
        <f t="shared" si="73"/>
        <v/>
      </c>
      <c r="G850" s="10" t="str">
        <v/>
      </c>
      <c r="H850" s="11" t="str">
        <v/>
      </c>
      <c r="I850" s="11" t="str">
        <v/>
      </c>
    </row>
    <row r="851" spans="2:9">
      <c r="B851" s="11" t="str">
        <f t="shared" si="71"/>
        <v/>
      </c>
      <c r="C851" s="11" t="str">
        <f t="shared" si="74"/>
        <v/>
      </c>
      <c r="D851" s="11" t="str">
        <f t="shared" si="75"/>
        <v/>
      </c>
      <c r="E851" s="11" t="str">
        <f t="shared" si="72"/>
        <v/>
      </c>
      <c r="F851" s="11" t="str">
        <f t="shared" si="73"/>
        <v/>
      </c>
      <c r="G851" s="10" t="str">
        <v/>
      </c>
      <c r="H851" s="11" t="str">
        <v/>
      </c>
      <c r="I851" s="11" t="str">
        <v/>
      </c>
    </row>
    <row r="852" spans="2:9">
      <c r="B852" s="11" t="str">
        <f t="shared" si="71"/>
        <v/>
      </c>
      <c r="C852" s="11" t="str">
        <f t="shared" si="74"/>
        <v/>
      </c>
      <c r="D852" s="11" t="str">
        <f t="shared" si="75"/>
        <v/>
      </c>
      <c r="E852" s="11" t="str">
        <f t="shared" si="72"/>
        <v/>
      </c>
      <c r="F852" s="11" t="str">
        <f t="shared" si="73"/>
        <v/>
      </c>
      <c r="G852" s="10" t="str">
        <v/>
      </c>
      <c r="H852" s="11" t="str">
        <v/>
      </c>
      <c r="I852" s="11" t="str">
        <v/>
      </c>
    </row>
    <row r="853" spans="2:9">
      <c r="B853" s="11" t="str">
        <f t="shared" si="71"/>
        <v/>
      </c>
      <c r="C853" s="11" t="str">
        <f t="shared" si="74"/>
        <v/>
      </c>
      <c r="D853" s="11" t="str">
        <f t="shared" si="75"/>
        <v/>
      </c>
      <c r="E853" s="11" t="str">
        <f t="shared" si="72"/>
        <v/>
      </c>
      <c r="F853" s="11" t="str">
        <f t="shared" si="73"/>
        <v/>
      </c>
      <c r="G853" s="10" t="str">
        <v/>
      </c>
      <c r="H853" s="11" t="str">
        <v/>
      </c>
      <c r="I853" s="11" t="str">
        <v/>
      </c>
    </row>
    <row r="854" spans="2:9">
      <c r="B854" s="11" t="str">
        <f t="shared" si="71"/>
        <v/>
      </c>
      <c r="C854" s="11" t="str">
        <f t="shared" si="74"/>
        <v/>
      </c>
      <c r="D854" s="11" t="str">
        <f t="shared" si="75"/>
        <v/>
      </c>
      <c r="E854" s="11" t="str">
        <f t="shared" si="72"/>
        <v/>
      </c>
      <c r="F854" s="11" t="str">
        <f t="shared" si="73"/>
        <v/>
      </c>
      <c r="G854" s="10" t="str">
        <v/>
      </c>
      <c r="H854" s="11" t="str">
        <v/>
      </c>
      <c r="I854" s="11" t="str">
        <v/>
      </c>
    </row>
    <row r="855" spans="2:9">
      <c r="B855" s="11" t="str">
        <f t="shared" si="71"/>
        <v/>
      </c>
      <c r="C855" s="11" t="str">
        <f t="shared" si="74"/>
        <v/>
      </c>
      <c r="D855" s="11" t="str">
        <f t="shared" si="75"/>
        <v/>
      </c>
      <c r="E855" s="11" t="str">
        <f t="shared" si="72"/>
        <v/>
      </c>
      <c r="F855" s="11" t="str">
        <f t="shared" si="73"/>
        <v/>
      </c>
      <c r="G855" s="10" t="str">
        <v/>
      </c>
      <c r="H855" s="11" t="str">
        <v/>
      </c>
      <c r="I855" s="11" t="str">
        <v/>
      </c>
    </row>
    <row r="856" spans="2:9">
      <c r="B856" s="11" t="str">
        <f t="shared" si="71"/>
        <v/>
      </c>
      <c r="C856" s="11" t="str">
        <f t="shared" si="74"/>
        <v/>
      </c>
      <c r="D856" s="11" t="str">
        <f t="shared" si="75"/>
        <v/>
      </c>
      <c r="E856" s="11" t="str">
        <f t="shared" si="72"/>
        <v/>
      </c>
      <c r="F856" s="11" t="str">
        <f t="shared" si="73"/>
        <v/>
      </c>
      <c r="G856" s="10" t="str">
        <v/>
      </c>
      <c r="H856" s="11" t="str">
        <v/>
      </c>
      <c r="I856" s="11" t="str">
        <v/>
      </c>
    </row>
    <row r="857" spans="2:9">
      <c r="B857" s="11" t="str">
        <f t="shared" si="71"/>
        <v/>
      </c>
      <c r="C857" s="11" t="str">
        <f t="shared" si="74"/>
        <v/>
      </c>
      <c r="D857" s="11" t="str">
        <f t="shared" si="75"/>
        <v/>
      </c>
      <c r="E857" s="11" t="str">
        <f t="shared" si="72"/>
        <v/>
      </c>
      <c r="F857" s="11" t="str">
        <f t="shared" si="73"/>
        <v/>
      </c>
      <c r="G857" s="10" t="str">
        <v/>
      </c>
      <c r="H857" s="11" t="str">
        <v/>
      </c>
      <c r="I857" s="11" t="str">
        <v/>
      </c>
    </row>
    <row r="858" spans="2:9">
      <c r="B858" s="11" t="str">
        <f t="shared" si="71"/>
        <v/>
      </c>
      <c r="C858" s="11" t="str">
        <f t="shared" si="74"/>
        <v/>
      </c>
      <c r="D858" s="11" t="str">
        <f t="shared" si="75"/>
        <v/>
      </c>
      <c r="E858" s="11" t="str">
        <f t="shared" si="72"/>
        <v/>
      </c>
      <c r="F858" s="11" t="str">
        <f t="shared" si="73"/>
        <v/>
      </c>
      <c r="G858" s="10" t="str">
        <v/>
      </c>
      <c r="H858" s="11" t="str">
        <v/>
      </c>
      <c r="I858" s="11" t="str">
        <v/>
      </c>
    </row>
    <row r="859" spans="2:9">
      <c r="B859" s="11" t="str">
        <f t="shared" si="71"/>
        <v/>
      </c>
      <c r="C859" s="11" t="str">
        <f t="shared" si="74"/>
        <v/>
      </c>
      <c r="D859" s="11" t="str">
        <f t="shared" si="75"/>
        <v/>
      </c>
      <c r="E859" s="11" t="str">
        <f t="shared" si="72"/>
        <v/>
      </c>
      <c r="F859" s="11" t="str">
        <f t="shared" si="73"/>
        <v/>
      </c>
      <c r="G859" s="10" t="str">
        <v/>
      </c>
      <c r="H859" s="11" t="str">
        <v/>
      </c>
      <c r="I859" s="11" t="str">
        <v/>
      </c>
    </row>
    <row r="860" spans="2:9">
      <c r="B860" s="11" t="str">
        <f t="shared" si="71"/>
        <v/>
      </c>
      <c r="C860" s="11" t="str">
        <f t="shared" si="74"/>
        <v/>
      </c>
      <c r="D860" s="11" t="str">
        <f t="shared" si="75"/>
        <v/>
      </c>
      <c r="E860" s="11" t="str">
        <f t="shared" si="72"/>
        <v/>
      </c>
      <c r="F860" s="11" t="str">
        <f t="shared" si="73"/>
        <v/>
      </c>
      <c r="G860" s="10" t="str">
        <v/>
      </c>
      <c r="H860" s="11" t="str">
        <v/>
      </c>
      <c r="I860" s="11" t="str">
        <v/>
      </c>
    </row>
    <row r="861" spans="2:9">
      <c r="B861" s="11" t="str">
        <f t="shared" si="71"/>
        <v/>
      </c>
      <c r="C861" s="11" t="str">
        <f t="shared" si="74"/>
        <v/>
      </c>
      <c r="D861" s="11" t="str">
        <f t="shared" si="75"/>
        <v/>
      </c>
      <c r="E861" s="11" t="str">
        <f t="shared" si="72"/>
        <v/>
      </c>
      <c r="F861" s="11" t="str">
        <f t="shared" si="73"/>
        <v/>
      </c>
      <c r="G861" s="10" t="str">
        <v/>
      </c>
      <c r="H861" s="11" t="str">
        <v/>
      </c>
      <c r="I861" s="11" t="str">
        <v/>
      </c>
    </row>
    <row r="862" spans="2:9">
      <c r="B862" s="11" t="str">
        <f t="shared" si="71"/>
        <v/>
      </c>
      <c r="C862" s="11" t="str">
        <f t="shared" si="74"/>
        <v/>
      </c>
      <c r="D862" s="11" t="str">
        <f t="shared" si="75"/>
        <v/>
      </c>
      <c r="E862" s="11" t="str">
        <f t="shared" si="72"/>
        <v/>
      </c>
      <c r="F862" s="11" t="str">
        <f t="shared" si="73"/>
        <v/>
      </c>
      <c r="G862" s="10" t="str">
        <v/>
      </c>
      <c r="H862" s="11" t="str">
        <v/>
      </c>
      <c r="I862" s="11" t="str">
        <v/>
      </c>
    </row>
    <row r="863" spans="2:9">
      <c r="B863" s="11" t="str">
        <f t="shared" si="71"/>
        <v/>
      </c>
      <c r="C863" s="11" t="str">
        <f t="shared" si="74"/>
        <v/>
      </c>
      <c r="D863" s="11" t="str">
        <f t="shared" si="75"/>
        <v/>
      </c>
      <c r="E863" s="11" t="str">
        <f t="shared" si="72"/>
        <v/>
      </c>
      <c r="F863" s="11" t="str">
        <f t="shared" si="73"/>
        <v/>
      </c>
      <c r="G863" s="10" t="str">
        <v/>
      </c>
      <c r="H863" s="11" t="str">
        <v/>
      </c>
      <c r="I863" s="11" t="str">
        <v/>
      </c>
    </row>
    <row r="864" spans="2:9">
      <c r="B864" s="11" t="str">
        <f t="shared" si="71"/>
        <v/>
      </c>
      <c r="C864" s="11" t="str">
        <f t="shared" si="74"/>
        <v/>
      </c>
      <c r="D864" s="11" t="str">
        <f t="shared" si="75"/>
        <v/>
      </c>
      <c r="E864" s="11" t="str">
        <f t="shared" si="72"/>
        <v/>
      </c>
      <c r="F864" s="11" t="str">
        <f t="shared" si="73"/>
        <v/>
      </c>
      <c r="G864" s="10" t="str">
        <v/>
      </c>
      <c r="H864" s="11" t="str">
        <v/>
      </c>
      <c r="I864" s="11" t="str">
        <v/>
      </c>
    </row>
    <row r="865" spans="2:9">
      <c r="B865" s="11" t="str">
        <f t="shared" si="71"/>
        <v/>
      </c>
      <c r="C865" s="11" t="str">
        <f t="shared" si="74"/>
        <v/>
      </c>
      <c r="D865" s="11" t="str">
        <f t="shared" si="75"/>
        <v/>
      </c>
      <c r="E865" s="11" t="str">
        <f t="shared" si="72"/>
        <v/>
      </c>
      <c r="F865" s="11" t="str">
        <f t="shared" si="73"/>
        <v/>
      </c>
      <c r="G865" s="10" t="str">
        <v/>
      </c>
      <c r="H865" s="11" t="str">
        <v/>
      </c>
      <c r="I865" s="11" t="str">
        <v/>
      </c>
    </row>
    <row r="866" spans="2:9">
      <c r="B866" s="11" t="str">
        <f t="shared" si="71"/>
        <v/>
      </c>
      <c r="C866" s="11" t="str">
        <f t="shared" si="74"/>
        <v/>
      </c>
      <c r="D866" s="11" t="str">
        <f t="shared" si="75"/>
        <v/>
      </c>
      <c r="E866" s="11" t="str">
        <f t="shared" si="72"/>
        <v/>
      </c>
      <c r="F866" s="11" t="str">
        <f t="shared" si="73"/>
        <v/>
      </c>
      <c r="G866" s="10" t="str">
        <v/>
      </c>
      <c r="H866" s="11" t="str">
        <v/>
      </c>
      <c r="I866" s="11" t="str">
        <v/>
      </c>
    </row>
    <row r="867" spans="2:9">
      <c r="B867" s="11" t="str">
        <f t="shared" si="71"/>
        <v/>
      </c>
      <c r="C867" s="11" t="str">
        <f t="shared" si="74"/>
        <v/>
      </c>
      <c r="D867" s="11" t="str">
        <f t="shared" si="75"/>
        <v/>
      </c>
      <c r="E867" s="11" t="str">
        <f t="shared" si="72"/>
        <v/>
      </c>
      <c r="F867" s="11" t="str">
        <f t="shared" si="73"/>
        <v/>
      </c>
      <c r="G867" s="10" t="str">
        <v/>
      </c>
      <c r="H867" s="11" t="str">
        <v/>
      </c>
      <c r="I867" s="11" t="str">
        <v/>
      </c>
    </row>
    <row r="868" spans="2:9">
      <c r="B868" s="11" t="str">
        <f t="shared" si="71"/>
        <v/>
      </c>
      <c r="C868" s="11" t="str">
        <f t="shared" si="74"/>
        <v/>
      </c>
      <c r="D868" s="11" t="str">
        <f t="shared" si="75"/>
        <v/>
      </c>
      <c r="E868" s="11" t="str">
        <f t="shared" si="72"/>
        <v/>
      </c>
      <c r="F868" s="11" t="str">
        <f t="shared" si="73"/>
        <v/>
      </c>
      <c r="G868" s="10" t="str">
        <v/>
      </c>
      <c r="H868" s="11" t="str">
        <v/>
      </c>
      <c r="I868" s="11" t="str">
        <v/>
      </c>
    </row>
    <row r="869" spans="2:9">
      <c r="B869" s="11" t="str">
        <f t="shared" si="71"/>
        <v/>
      </c>
      <c r="C869" s="11" t="str">
        <f t="shared" si="74"/>
        <v/>
      </c>
      <c r="D869" s="11" t="str">
        <f t="shared" si="75"/>
        <v/>
      </c>
      <c r="E869" s="11" t="str">
        <f t="shared" si="72"/>
        <v/>
      </c>
      <c r="F869" s="11" t="str">
        <f t="shared" si="73"/>
        <v/>
      </c>
      <c r="G869" s="10" t="str">
        <v/>
      </c>
      <c r="H869" s="11" t="str">
        <v/>
      </c>
      <c r="I869" s="11" t="str">
        <v/>
      </c>
    </row>
    <row r="870" spans="2:9">
      <c r="B870" s="11" t="str">
        <f t="shared" si="71"/>
        <v/>
      </c>
      <c r="C870" s="11" t="str">
        <f t="shared" si="74"/>
        <v/>
      </c>
      <c r="D870" s="11" t="str">
        <f t="shared" si="75"/>
        <v/>
      </c>
      <c r="E870" s="11" t="str">
        <f t="shared" si="72"/>
        <v/>
      </c>
      <c r="F870" s="11" t="str">
        <f t="shared" si="73"/>
        <v/>
      </c>
      <c r="G870" s="10" t="str">
        <v/>
      </c>
      <c r="H870" s="11" t="str">
        <v/>
      </c>
      <c r="I870" s="11" t="str">
        <v/>
      </c>
    </row>
    <row r="871" spans="2:9">
      <c r="B871" s="11" t="str">
        <f t="shared" si="71"/>
        <v/>
      </c>
      <c r="C871" s="11" t="str">
        <f t="shared" si="74"/>
        <v/>
      </c>
      <c r="D871" s="11" t="str">
        <f t="shared" si="75"/>
        <v/>
      </c>
      <c r="E871" s="11" t="str">
        <f t="shared" si="72"/>
        <v/>
      </c>
      <c r="F871" s="11" t="str">
        <f t="shared" si="73"/>
        <v/>
      </c>
      <c r="G871" s="10" t="str">
        <v/>
      </c>
      <c r="H871" s="11" t="str">
        <v/>
      </c>
      <c r="I871" s="11" t="str">
        <v/>
      </c>
    </row>
    <row r="872" spans="2:9">
      <c r="B872" s="11" t="str">
        <f t="shared" si="71"/>
        <v/>
      </c>
      <c r="C872" s="11" t="str">
        <f t="shared" si="74"/>
        <v/>
      </c>
      <c r="D872" s="11" t="str">
        <f t="shared" si="75"/>
        <v/>
      </c>
      <c r="E872" s="11" t="str">
        <f t="shared" si="72"/>
        <v/>
      </c>
      <c r="F872" s="11" t="str">
        <f t="shared" si="73"/>
        <v/>
      </c>
      <c r="G872" s="10" t="str">
        <v/>
      </c>
      <c r="H872" s="11" t="str">
        <v/>
      </c>
      <c r="I872" s="11" t="str">
        <v/>
      </c>
    </row>
    <row r="873" spans="2:9">
      <c r="B873" s="11" t="str">
        <f t="shared" si="71"/>
        <v/>
      </c>
      <c r="C873" s="11" t="str">
        <f t="shared" si="74"/>
        <v/>
      </c>
      <c r="D873" s="11" t="str">
        <f t="shared" si="75"/>
        <v/>
      </c>
      <c r="E873" s="11" t="str">
        <f t="shared" si="72"/>
        <v/>
      </c>
      <c r="F873" s="11" t="str">
        <f t="shared" si="73"/>
        <v/>
      </c>
      <c r="G873" s="10" t="str">
        <v/>
      </c>
      <c r="H873" s="11" t="str">
        <v/>
      </c>
      <c r="I873" s="11" t="str">
        <v/>
      </c>
    </row>
    <row r="874" spans="2:9">
      <c r="B874" s="11" t="str">
        <f t="shared" si="71"/>
        <v/>
      </c>
      <c r="C874" s="11" t="str">
        <f t="shared" si="74"/>
        <v/>
      </c>
      <c r="D874" s="11" t="str">
        <f t="shared" si="75"/>
        <v/>
      </c>
      <c r="E874" s="11" t="str">
        <f t="shared" si="72"/>
        <v/>
      </c>
      <c r="F874" s="11" t="str">
        <f t="shared" si="73"/>
        <v/>
      </c>
      <c r="G874" s="10" t="str">
        <v/>
      </c>
      <c r="H874" s="11" t="str">
        <v/>
      </c>
      <c r="I874" s="11" t="str">
        <v/>
      </c>
    </row>
    <row r="875" spans="2:9">
      <c r="B875" s="11" t="str">
        <f t="shared" si="71"/>
        <v/>
      </c>
      <c r="C875" s="11" t="str">
        <f t="shared" si="74"/>
        <v/>
      </c>
      <c r="D875" s="11" t="str">
        <f t="shared" si="75"/>
        <v/>
      </c>
      <c r="E875" s="11" t="str">
        <f t="shared" si="72"/>
        <v/>
      </c>
      <c r="F875" s="11" t="str">
        <f t="shared" si="73"/>
        <v/>
      </c>
      <c r="G875" s="10" t="str">
        <v/>
      </c>
      <c r="H875" s="11" t="str">
        <v/>
      </c>
      <c r="I875" s="11" t="str">
        <v/>
      </c>
    </row>
    <row r="876" spans="2:9">
      <c r="B876" s="11" t="str">
        <f t="shared" si="71"/>
        <v/>
      </c>
      <c r="C876" s="11" t="str">
        <f t="shared" si="74"/>
        <v/>
      </c>
      <c r="D876" s="11" t="str">
        <f t="shared" si="75"/>
        <v/>
      </c>
      <c r="E876" s="11" t="str">
        <f t="shared" si="72"/>
        <v/>
      </c>
      <c r="F876" s="11" t="str">
        <f t="shared" si="73"/>
        <v/>
      </c>
      <c r="G876" s="10" t="str">
        <v/>
      </c>
      <c r="H876" s="11" t="str">
        <v/>
      </c>
      <c r="I876" s="11" t="str">
        <v/>
      </c>
    </row>
    <row r="877" spans="2:9">
      <c r="B877" s="11" t="str">
        <f t="shared" si="71"/>
        <v/>
      </c>
      <c r="C877" s="11" t="str">
        <f t="shared" si="74"/>
        <v/>
      </c>
      <c r="D877" s="11" t="str">
        <f t="shared" si="75"/>
        <v/>
      </c>
      <c r="E877" s="11" t="str">
        <f t="shared" si="72"/>
        <v/>
      </c>
      <c r="F877" s="11" t="str">
        <f t="shared" si="73"/>
        <v/>
      </c>
      <c r="G877" s="10" t="str">
        <v/>
      </c>
      <c r="H877" s="11" t="str">
        <v/>
      </c>
      <c r="I877" s="11" t="str">
        <v/>
      </c>
    </row>
    <row r="878" spans="2:9">
      <c r="B878" s="11" t="str">
        <f t="shared" si="71"/>
        <v/>
      </c>
      <c r="C878" s="11" t="str">
        <f t="shared" si="74"/>
        <v/>
      </c>
      <c r="D878" s="11" t="str">
        <f t="shared" si="75"/>
        <v/>
      </c>
      <c r="E878" s="11" t="str">
        <f t="shared" si="72"/>
        <v/>
      </c>
      <c r="F878" s="11" t="str">
        <f t="shared" si="73"/>
        <v/>
      </c>
      <c r="G878" s="10" t="str">
        <v/>
      </c>
      <c r="H878" s="11" t="str">
        <v/>
      </c>
      <c r="I878" s="11" t="str">
        <v/>
      </c>
    </row>
    <row r="879" spans="2:9">
      <c r="B879" s="11" t="str">
        <f t="shared" si="71"/>
        <v/>
      </c>
      <c r="C879" s="11" t="str">
        <f t="shared" si="74"/>
        <v/>
      </c>
      <c r="D879" s="11" t="str">
        <f t="shared" si="75"/>
        <v/>
      </c>
      <c r="E879" s="11" t="str">
        <f t="shared" si="72"/>
        <v/>
      </c>
      <c r="F879" s="11" t="str">
        <f t="shared" si="73"/>
        <v/>
      </c>
      <c r="G879" s="10" t="str">
        <v/>
      </c>
      <c r="H879" s="11" t="str">
        <v/>
      </c>
      <c r="I879" s="11" t="str">
        <v/>
      </c>
    </row>
    <row r="880" spans="2:9">
      <c r="B880" s="11" t="str">
        <f t="shared" si="71"/>
        <v/>
      </c>
      <c r="C880" s="11" t="str">
        <f t="shared" si="74"/>
        <v/>
      </c>
      <c r="D880" s="11" t="str">
        <f t="shared" si="75"/>
        <v/>
      </c>
      <c r="E880" s="11" t="str">
        <f t="shared" si="72"/>
        <v/>
      </c>
      <c r="F880" s="11" t="str">
        <f t="shared" si="73"/>
        <v/>
      </c>
      <c r="G880" s="10" t="str">
        <v/>
      </c>
      <c r="H880" s="11" t="str">
        <v/>
      </c>
      <c r="I880" s="11" t="str">
        <v/>
      </c>
    </row>
    <row r="881" spans="2:9">
      <c r="B881" s="11" t="str">
        <f t="shared" si="71"/>
        <v/>
      </c>
      <c r="C881" s="11" t="str">
        <f t="shared" si="74"/>
        <v/>
      </c>
      <c r="D881" s="11" t="str">
        <f t="shared" si="75"/>
        <v/>
      </c>
      <c r="E881" s="11" t="str">
        <f t="shared" si="72"/>
        <v/>
      </c>
      <c r="F881" s="11" t="str">
        <f t="shared" si="73"/>
        <v/>
      </c>
      <c r="G881" s="10" t="str">
        <v/>
      </c>
      <c r="H881" s="11" t="str">
        <v/>
      </c>
      <c r="I881" s="11" t="str">
        <v/>
      </c>
    </row>
    <row r="882" spans="2:9">
      <c r="B882" s="11" t="str">
        <f t="shared" si="71"/>
        <v/>
      </c>
      <c r="C882" s="11" t="str">
        <f t="shared" si="74"/>
        <v/>
      </c>
      <c r="D882" s="11" t="str">
        <f t="shared" si="75"/>
        <v/>
      </c>
      <c r="E882" s="11" t="str">
        <f t="shared" si="72"/>
        <v/>
      </c>
      <c r="F882" s="11" t="str">
        <f t="shared" si="73"/>
        <v/>
      </c>
      <c r="G882" s="10" t="str">
        <v/>
      </c>
      <c r="H882" s="11" t="str">
        <v/>
      </c>
      <c r="I882" s="11" t="str">
        <v/>
      </c>
    </row>
    <row r="883" spans="2:9">
      <c r="B883" s="11" t="str">
        <f t="shared" si="71"/>
        <v/>
      </c>
      <c r="C883" s="11" t="str">
        <f t="shared" si="74"/>
        <v/>
      </c>
      <c r="D883" s="11" t="str">
        <f t="shared" si="75"/>
        <v/>
      </c>
      <c r="E883" s="11" t="str">
        <f t="shared" si="72"/>
        <v/>
      </c>
      <c r="F883" s="11" t="str">
        <f t="shared" si="73"/>
        <v/>
      </c>
      <c r="G883" s="10" t="str">
        <v/>
      </c>
      <c r="H883" s="11" t="str">
        <v/>
      </c>
      <c r="I883" s="11" t="str">
        <v/>
      </c>
    </row>
    <row r="884" spans="2:9">
      <c r="B884" s="11" t="str">
        <f t="shared" si="71"/>
        <v/>
      </c>
      <c r="C884" s="11" t="str">
        <f t="shared" si="74"/>
        <v/>
      </c>
      <c r="D884" s="11" t="str">
        <f t="shared" si="75"/>
        <v/>
      </c>
      <c r="E884" s="11" t="str">
        <f t="shared" si="72"/>
        <v/>
      </c>
      <c r="F884" s="11" t="str">
        <f t="shared" si="73"/>
        <v/>
      </c>
      <c r="G884" s="10" t="str">
        <v/>
      </c>
      <c r="H884" s="11" t="str">
        <v/>
      </c>
      <c r="I884" s="11" t="str">
        <v/>
      </c>
    </row>
    <row r="885" spans="2:9">
      <c r="B885" s="11" t="str">
        <f t="shared" si="71"/>
        <v/>
      </c>
      <c r="C885" s="11" t="str">
        <f t="shared" si="74"/>
        <v/>
      </c>
      <c r="D885" s="11" t="str">
        <f t="shared" si="75"/>
        <v/>
      </c>
      <c r="E885" s="11" t="str">
        <f t="shared" si="72"/>
        <v/>
      </c>
      <c r="F885" s="11" t="str">
        <f t="shared" si="73"/>
        <v/>
      </c>
      <c r="G885" s="10" t="str">
        <v/>
      </c>
      <c r="H885" s="11" t="str">
        <v/>
      </c>
      <c r="I885" s="11" t="str">
        <v/>
      </c>
    </row>
    <row r="886" spans="2:9">
      <c r="B886" s="11" t="str">
        <f t="shared" si="71"/>
        <v/>
      </c>
      <c r="C886" s="11" t="str">
        <f t="shared" si="74"/>
        <v/>
      </c>
      <c r="D886" s="11" t="str">
        <f t="shared" si="75"/>
        <v/>
      </c>
      <c r="E886" s="11" t="str">
        <f t="shared" si="72"/>
        <v/>
      </c>
      <c r="F886" s="11" t="str">
        <f t="shared" si="73"/>
        <v/>
      </c>
      <c r="G886" s="10" t="str">
        <v/>
      </c>
      <c r="H886" s="11" t="str">
        <v/>
      </c>
      <c r="I886" s="11" t="str">
        <v/>
      </c>
    </row>
    <row r="887" spans="2:9">
      <c r="B887" s="11" t="str">
        <f t="shared" si="71"/>
        <v/>
      </c>
      <c r="C887" s="11" t="str">
        <f t="shared" si="74"/>
        <v/>
      </c>
      <c r="D887" s="11" t="str">
        <f t="shared" si="75"/>
        <v/>
      </c>
      <c r="E887" s="11" t="str">
        <f t="shared" si="72"/>
        <v/>
      </c>
      <c r="F887" s="11" t="str">
        <f t="shared" si="73"/>
        <v/>
      </c>
      <c r="G887" s="10" t="str">
        <v/>
      </c>
      <c r="H887" s="11" t="str">
        <v/>
      </c>
      <c r="I887" s="11" t="str">
        <v/>
      </c>
    </row>
    <row r="888" spans="2:9">
      <c r="B888" s="11" t="str">
        <f t="shared" si="71"/>
        <v/>
      </c>
      <c r="C888" s="11" t="str">
        <f t="shared" si="74"/>
        <v/>
      </c>
      <c r="D888" s="11" t="str">
        <f t="shared" si="75"/>
        <v/>
      </c>
      <c r="E888" s="11" t="str">
        <f t="shared" si="72"/>
        <v/>
      </c>
      <c r="F888" s="11" t="str">
        <f t="shared" si="73"/>
        <v/>
      </c>
      <c r="G888" s="10" t="str">
        <v/>
      </c>
      <c r="H888" s="11" t="str">
        <v/>
      </c>
      <c r="I888" s="11" t="str">
        <v/>
      </c>
    </row>
    <row r="889" spans="2:9">
      <c r="B889" s="11" t="str">
        <f t="shared" si="71"/>
        <v/>
      </c>
      <c r="C889" s="11" t="str">
        <f t="shared" si="74"/>
        <v/>
      </c>
      <c r="D889" s="11" t="str">
        <f t="shared" si="75"/>
        <v/>
      </c>
      <c r="E889" s="11" t="str">
        <f t="shared" si="72"/>
        <v/>
      </c>
      <c r="F889" s="11" t="str">
        <f t="shared" si="73"/>
        <v/>
      </c>
      <c r="G889" s="10" t="str">
        <v/>
      </c>
      <c r="H889" s="11" t="str">
        <v/>
      </c>
      <c r="I889" s="11" t="str">
        <v/>
      </c>
    </row>
    <row r="890" spans="2:9">
      <c r="B890" s="11" t="str">
        <f t="shared" si="71"/>
        <v/>
      </c>
      <c r="C890" s="11" t="str">
        <f t="shared" si="74"/>
        <v/>
      </c>
      <c r="D890" s="11" t="str">
        <f t="shared" si="75"/>
        <v/>
      </c>
      <c r="E890" s="11" t="str">
        <f t="shared" si="72"/>
        <v/>
      </c>
      <c r="F890" s="11" t="str">
        <f t="shared" si="73"/>
        <v/>
      </c>
      <c r="G890" s="10" t="str">
        <v/>
      </c>
      <c r="H890" s="11" t="str">
        <v/>
      </c>
      <c r="I890" s="11" t="str">
        <v/>
      </c>
    </row>
    <row r="891" spans="2:9">
      <c r="B891" s="11" t="str">
        <f t="shared" si="71"/>
        <v/>
      </c>
      <c r="C891" s="11" t="str">
        <f t="shared" si="74"/>
        <v/>
      </c>
      <c r="D891" s="11" t="str">
        <f t="shared" si="75"/>
        <v/>
      </c>
      <c r="E891" s="11" t="str">
        <f t="shared" si="72"/>
        <v/>
      </c>
      <c r="F891" s="11" t="str">
        <f t="shared" si="73"/>
        <v/>
      </c>
      <c r="G891" s="10" t="str">
        <v/>
      </c>
      <c r="H891" s="11" t="str">
        <v/>
      </c>
      <c r="I891" s="11" t="str">
        <v/>
      </c>
    </row>
    <row r="892" spans="2:9">
      <c r="B892" s="11" t="str">
        <f t="shared" si="71"/>
        <v/>
      </c>
      <c r="C892" s="11" t="str">
        <f t="shared" si="74"/>
        <v/>
      </c>
      <c r="D892" s="11" t="str">
        <f t="shared" si="75"/>
        <v/>
      </c>
      <c r="E892" s="11" t="str">
        <f t="shared" si="72"/>
        <v/>
      </c>
      <c r="F892" s="11" t="str">
        <f t="shared" si="73"/>
        <v/>
      </c>
      <c r="G892" s="10" t="str">
        <v/>
      </c>
      <c r="H892" s="11" t="str">
        <v/>
      </c>
      <c r="I892" s="11" t="str">
        <v/>
      </c>
    </row>
    <row r="893" spans="2:9">
      <c r="B893" s="11" t="str">
        <f t="shared" si="71"/>
        <v/>
      </c>
      <c r="C893" s="11" t="str">
        <f t="shared" si="74"/>
        <v/>
      </c>
      <c r="D893" s="11" t="str">
        <f t="shared" si="75"/>
        <v/>
      </c>
      <c r="E893" s="11" t="str">
        <f t="shared" si="72"/>
        <v/>
      </c>
      <c r="F893" s="11" t="str">
        <f t="shared" si="73"/>
        <v/>
      </c>
      <c r="G893" s="10" t="str">
        <v/>
      </c>
      <c r="H893" s="11" t="str">
        <v/>
      </c>
      <c r="I893" s="11" t="str">
        <v/>
      </c>
    </row>
    <row r="894" spans="2:9">
      <c r="B894" s="11" t="str">
        <f t="shared" si="71"/>
        <v/>
      </c>
      <c r="C894" s="11" t="str">
        <f t="shared" si="74"/>
        <v/>
      </c>
      <c r="D894" s="11" t="str">
        <f t="shared" si="75"/>
        <v/>
      </c>
      <c r="E894" s="11" t="str">
        <f t="shared" si="72"/>
        <v/>
      </c>
      <c r="F894" s="11" t="str">
        <f t="shared" si="73"/>
        <v/>
      </c>
      <c r="G894" s="10" t="str">
        <v/>
      </c>
      <c r="H894" s="11" t="str">
        <v/>
      </c>
      <c r="I894" s="11" t="str">
        <v/>
      </c>
    </row>
    <row r="895" spans="2:9">
      <c r="B895" s="11" t="str">
        <f t="shared" si="71"/>
        <v/>
      </c>
      <c r="C895" s="11" t="str">
        <f t="shared" si="74"/>
        <v/>
      </c>
      <c r="D895" s="11" t="str">
        <f t="shared" si="75"/>
        <v/>
      </c>
      <c r="E895" s="11" t="str">
        <f t="shared" si="72"/>
        <v/>
      </c>
      <c r="F895" s="11" t="str">
        <f t="shared" si="73"/>
        <v/>
      </c>
      <c r="G895" s="10" t="str">
        <v/>
      </c>
      <c r="H895" s="11" t="str">
        <v/>
      </c>
      <c r="I895" s="11" t="str">
        <v/>
      </c>
    </row>
    <row r="896" spans="2:9">
      <c r="B896" s="11" t="str">
        <f t="shared" si="71"/>
        <v/>
      </c>
      <c r="C896" s="11" t="str">
        <f t="shared" si="74"/>
        <v/>
      </c>
      <c r="D896" s="11" t="str">
        <f t="shared" si="75"/>
        <v/>
      </c>
      <c r="E896" s="11" t="str">
        <f t="shared" si="72"/>
        <v/>
      </c>
      <c r="F896" s="11" t="str">
        <f t="shared" si="73"/>
        <v/>
      </c>
      <c r="G896" s="10" t="str">
        <v/>
      </c>
      <c r="H896" s="11" t="str">
        <v/>
      </c>
      <c r="I896" s="11" t="str">
        <v/>
      </c>
    </row>
    <row r="897" spans="2:9">
      <c r="B897" s="11" t="str">
        <f t="shared" ref="B897:B960" si="76">IFERROR(IF(FIND(" ",A897)=6,IF(IFERROR(FIND(" PB",A897),"")&lt;&gt;"","артикул",IF(IFERROR(FIND(" CRN",A897),"")&lt;&gt;"","артикул","")),""),"")</f>
        <v/>
      </c>
      <c r="C897" s="11" t="str">
        <f t="shared" si="74"/>
        <v/>
      </c>
      <c r="D897" s="11" t="str">
        <f t="shared" si="75"/>
        <v/>
      </c>
      <c r="E897" s="11" t="str">
        <f t="shared" si="72"/>
        <v/>
      </c>
      <c r="F897" s="11" t="str">
        <f t="shared" si="73"/>
        <v/>
      </c>
      <c r="G897" s="10" t="str">
        <v/>
      </c>
      <c r="H897" s="11" t="str">
        <v/>
      </c>
      <c r="I897" s="11" t="str">
        <v/>
      </c>
    </row>
    <row r="898" spans="2:9">
      <c r="B898" s="11" t="str">
        <f t="shared" si="76"/>
        <v/>
      </c>
      <c r="C898" s="11" t="str">
        <f t="shared" si="74"/>
        <v/>
      </c>
      <c r="D898" s="11" t="str">
        <f t="shared" si="75"/>
        <v/>
      </c>
      <c r="E898" s="11" t="str">
        <f t="shared" ref="E898:E961" si="77" xml:space="preserve">
IF(B898="Артикул",
IF(
AND(RIGHT(A899,1)="%",
RIGHT(A900,1)="%",
RIGHT(A901,1)="%",
RIGHT(A902,1)="%"),MID(A903,FIND(" ",A903),50),
IF(
AND(RIGHT(A899,1)="%",
RIGHT(A900,1)="%",
RIGHT(A901,1)="%"),MID(A902,FIND(" ",A902),50),
IF(
AND(RIGHT(A899,1)="%",
RIGHT(A900,1)="%"),
MID(A901,FIND(" ",A901),50),
IF(
RIGHT(A899,1)="%",
MID(A900,FIND(" ",A900),50),"")))),"")</f>
        <v/>
      </c>
      <c r="F898" s="11" t="str">
        <f t="shared" ref="F898:F961" si="78">IFERROR(
IF(
AND(LEFT(A898,8)="Discount",FIND("%",A898)&gt;0),
MID(A898,
FIND(" ",A898),
FIND("%",A898)-FIND(" ",A898))
*-1,""),"")</f>
        <v/>
      </c>
      <c r="G898" s="10" t="str">
        <v/>
      </c>
      <c r="H898" s="11" t="str">
        <v/>
      </c>
      <c r="I898" s="11" t="str">
        <v/>
      </c>
    </row>
    <row r="899" spans="2:9">
      <c r="B899" s="11" t="str">
        <f t="shared" si="76"/>
        <v/>
      </c>
      <c r="C899" s="11" t="str">
        <f t="shared" si="74"/>
        <v/>
      </c>
      <c r="D899" s="11" t="str">
        <f t="shared" si="75"/>
        <v/>
      </c>
      <c r="E899" s="11" t="str">
        <f t="shared" si="77"/>
        <v/>
      </c>
      <c r="F899" s="11" t="str">
        <f t="shared" si="78"/>
        <v/>
      </c>
      <c r="G899" s="10" t="str">
        <v/>
      </c>
      <c r="H899" s="11" t="str">
        <v/>
      </c>
      <c r="I899" s="11" t="str">
        <v/>
      </c>
    </row>
    <row r="900" spans="2:9">
      <c r="B900" s="11" t="str">
        <f t="shared" si="76"/>
        <v/>
      </c>
      <c r="C900" s="11" t="str">
        <f t="shared" si="74"/>
        <v/>
      </c>
      <c r="D900" s="11" t="str">
        <f t="shared" si="75"/>
        <v/>
      </c>
      <c r="E900" s="11" t="str">
        <f t="shared" si="77"/>
        <v/>
      </c>
      <c r="F900" s="11" t="str">
        <f t="shared" si="78"/>
        <v/>
      </c>
      <c r="G900" s="10" t="str">
        <v/>
      </c>
      <c r="H900" s="11" t="str">
        <v/>
      </c>
      <c r="I900" s="11" t="str">
        <v/>
      </c>
    </row>
    <row r="901" spans="2:9">
      <c r="B901" s="11" t="str">
        <f t="shared" si="76"/>
        <v/>
      </c>
      <c r="C901" s="11" t="str">
        <f t="shared" si="74"/>
        <v/>
      </c>
      <c r="D901" s="11" t="str">
        <f t="shared" si="75"/>
        <v/>
      </c>
      <c r="E901" s="11" t="str">
        <f t="shared" si="77"/>
        <v/>
      </c>
      <c r="F901" s="11" t="str">
        <f t="shared" si="78"/>
        <v/>
      </c>
      <c r="G901" s="10" t="str">
        <v/>
      </c>
      <c r="H901" s="11" t="str">
        <v/>
      </c>
      <c r="I901" s="11" t="str">
        <v/>
      </c>
    </row>
    <row r="902" spans="2:9">
      <c r="B902" s="11" t="str">
        <f t="shared" si="76"/>
        <v/>
      </c>
      <c r="C902" s="11" t="str">
        <f t="shared" si="74"/>
        <v/>
      </c>
      <c r="D902" s="11" t="str">
        <f t="shared" si="75"/>
        <v/>
      </c>
      <c r="E902" s="11" t="str">
        <f t="shared" si="77"/>
        <v/>
      </c>
      <c r="F902" s="11" t="str">
        <f t="shared" si="78"/>
        <v/>
      </c>
      <c r="G902" s="10" t="str">
        <v/>
      </c>
      <c r="H902" s="11" t="str">
        <v/>
      </c>
      <c r="I902" s="11" t="str">
        <v/>
      </c>
    </row>
    <row r="903" spans="2:9">
      <c r="B903" s="11" t="str">
        <f t="shared" si="76"/>
        <v/>
      </c>
      <c r="C903" s="11" t="str">
        <f t="shared" si="74"/>
        <v/>
      </c>
      <c r="D903" s="11" t="str">
        <f t="shared" si="75"/>
        <v/>
      </c>
      <c r="E903" s="11" t="str">
        <f t="shared" si="77"/>
        <v/>
      </c>
      <c r="F903" s="11" t="str">
        <f t="shared" si="78"/>
        <v/>
      </c>
      <c r="G903" s="10" t="str">
        <v/>
      </c>
      <c r="H903" s="11" t="str">
        <v/>
      </c>
      <c r="I903" s="11" t="str">
        <v/>
      </c>
    </row>
    <row r="904" spans="2:9">
      <c r="B904" s="11" t="str">
        <f t="shared" si="76"/>
        <v/>
      </c>
      <c r="C904" s="11" t="str">
        <f t="shared" si="74"/>
        <v/>
      </c>
      <c r="D904" s="11" t="str">
        <f t="shared" si="75"/>
        <v/>
      </c>
      <c r="E904" s="11" t="str">
        <f t="shared" si="77"/>
        <v/>
      </c>
      <c r="F904" s="11" t="str">
        <f t="shared" si="78"/>
        <v/>
      </c>
      <c r="G904" s="10" t="str">
        <v/>
      </c>
      <c r="H904" s="11" t="str">
        <v/>
      </c>
      <c r="I904" s="11" t="str">
        <v/>
      </c>
    </row>
    <row r="905" spans="2:9">
      <c r="B905" s="11" t="str">
        <f t="shared" si="76"/>
        <v/>
      </c>
      <c r="C905" s="11" t="str">
        <f t="shared" si="74"/>
        <v/>
      </c>
      <c r="D905" s="11" t="str">
        <f t="shared" si="75"/>
        <v/>
      </c>
      <c r="E905" s="11" t="str">
        <f t="shared" si="77"/>
        <v/>
      </c>
      <c r="F905" s="11" t="str">
        <f t="shared" si="78"/>
        <v/>
      </c>
      <c r="G905" s="10" t="str">
        <v/>
      </c>
      <c r="H905" s="11" t="str">
        <v/>
      </c>
      <c r="I905" s="11" t="str">
        <v/>
      </c>
    </row>
    <row r="906" spans="2:9">
      <c r="B906" s="11" t="str">
        <f t="shared" si="76"/>
        <v/>
      </c>
      <c r="C906" s="11" t="str">
        <f t="shared" si="74"/>
        <v/>
      </c>
      <c r="D906" s="11" t="str">
        <f t="shared" si="75"/>
        <v/>
      </c>
      <c r="E906" s="11" t="str">
        <f t="shared" si="77"/>
        <v/>
      </c>
      <c r="F906" s="11" t="str">
        <f t="shared" si="78"/>
        <v/>
      </c>
      <c r="G906" s="10" t="str">
        <v/>
      </c>
      <c r="H906" s="11" t="str">
        <v/>
      </c>
      <c r="I906" s="11" t="str">
        <v/>
      </c>
    </row>
    <row r="907" spans="2:9">
      <c r="B907" s="11" t="str">
        <f t="shared" si="76"/>
        <v/>
      </c>
      <c r="C907" s="11" t="str">
        <f t="shared" si="74"/>
        <v/>
      </c>
      <c r="D907" s="11" t="str">
        <f t="shared" si="75"/>
        <v/>
      </c>
      <c r="E907" s="11" t="str">
        <f t="shared" si="77"/>
        <v/>
      </c>
      <c r="F907" s="11" t="str">
        <f t="shared" si="78"/>
        <v/>
      </c>
      <c r="G907" s="10" t="str">
        <v/>
      </c>
      <c r="H907" s="11" t="str">
        <v/>
      </c>
      <c r="I907" s="11" t="str">
        <v/>
      </c>
    </row>
    <row r="908" spans="2:9">
      <c r="B908" s="11" t="str">
        <f t="shared" si="76"/>
        <v/>
      </c>
      <c r="C908" s="11" t="str">
        <f t="shared" si="74"/>
        <v/>
      </c>
      <c r="D908" s="11" t="str">
        <f t="shared" si="75"/>
        <v/>
      </c>
      <c r="E908" s="11" t="str">
        <f t="shared" si="77"/>
        <v/>
      </c>
      <c r="F908" s="11" t="str">
        <f t="shared" si="78"/>
        <v/>
      </c>
      <c r="G908" s="10" t="str">
        <v/>
      </c>
      <c r="H908" s="11" t="str">
        <v/>
      </c>
      <c r="I908" s="11" t="str">
        <v/>
      </c>
    </row>
    <row r="909" spans="2:9">
      <c r="B909" s="11" t="str">
        <f t="shared" si="76"/>
        <v/>
      </c>
      <c r="C909" s="11" t="str">
        <f t="shared" ref="C909:C972" si="79">IF(B909="артикул",A909,"")</f>
        <v/>
      </c>
      <c r="D909" s="11" t="str">
        <f t="shared" ref="D909:D972" si="80">IF(B909="артикул",A910,"")</f>
        <v/>
      </c>
      <c r="E909" s="11" t="str">
        <f t="shared" si="77"/>
        <v/>
      </c>
      <c r="F909" s="11" t="str">
        <f t="shared" si="78"/>
        <v/>
      </c>
      <c r="G909" s="10" t="str">
        <v/>
      </c>
      <c r="H909" s="11" t="str">
        <v/>
      </c>
      <c r="I909" s="11" t="str">
        <v/>
      </c>
    </row>
    <row r="910" spans="2:9">
      <c r="B910" s="11" t="str">
        <f t="shared" si="76"/>
        <v/>
      </c>
      <c r="C910" s="11" t="str">
        <f t="shared" si="79"/>
        <v/>
      </c>
      <c r="D910" s="11" t="str">
        <f t="shared" si="80"/>
        <v/>
      </c>
      <c r="E910" s="11" t="str">
        <f t="shared" si="77"/>
        <v/>
      </c>
      <c r="F910" s="11" t="str">
        <f t="shared" si="78"/>
        <v/>
      </c>
      <c r="G910" s="10" t="str">
        <v/>
      </c>
      <c r="H910" s="11" t="str">
        <v/>
      </c>
      <c r="I910" s="11" t="str">
        <v/>
      </c>
    </row>
    <row r="911" spans="2:9">
      <c r="B911" s="11" t="str">
        <f t="shared" si="76"/>
        <v/>
      </c>
      <c r="C911" s="11" t="str">
        <f t="shared" si="79"/>
        <v/>
      </c>
      <c r="D911" s="11" t="str">
        <f t="shared" si="80"/>
        <v/>
      </c>
      <c r="E911" s="11" t="str">
        <f t="shared" si="77"/>
        <v/>
      </c>
      <c r="F911" s="11" t="str">
        <f t="shared" si="78"/>
        <v/>
      </c>
      <c r="G911" s="10" t="str">
        <v/>
      </c>
      <c r="H911" s="11" t="str">
        <v/>
      </c>
      <c r="I911" s="11" t="str">
        <v/>
      </c>
    </row>
    <row r="912" spans="2:9">
      <c r="B912" s="11" t="str">
        <f t="shared" si="76"/>
        <v/>
      </c>
      <c r="C912" s="11" t="str">
        <f t="shared" si="79"/>
        <v/>
      </c>
      <c r="D912" s="11" t="str">
        <f t="shared" si="80"/>
        <v/>
      </c>
      <c r="E912" s="11" t="str">
        <f t="shared" si="77"/>
        <v/>
      </c>
      <c r="F912" s="11" t="str">
        <f t="shared" si="78"/>
        <v/>
      </c>
      <c r="G912" s="10" t="str">
        <v/>
      </c>
      <c r="H912" s="11" t="str">
        <v/>
      </c>
      <c r="I912" s="11" t="str">
        <v/>
      </c>
    </row>
    <row r="913" spans="2:9">
      <c r="B913" s="11" t="str">
        <f t="shared" si="76"/>
        <v/>
      </c>
      <c r="C913" s="11" t="str">
        <f t="shared" si="79"/>
        <v/>
      </c>
      <c r="D913" s="11" t="str">
        <f t="shared" si="80"/>
        <v/>
      </c>
      <c r="E913" s="11" t="str">
        <f t="shared" si="77"/>
        <v/>
      </c>
      <c r="F913" s="11" t="str">
        <f t="shared" si="78"/>
        <v/>
      </c>
      <c r="G913" s="10" t="str">
        <v/>
      </c>
      <c r="H913" s="11" t="str">
        <v/>
      </c>
      <c r="I913" s="11" t="str">
        <v/>
      </c>
    </row>
    <row r="914" spans="2:9">
      <c r="B914" s="11" t="str">
        <f t="shared" si="76"/>
        <v/>
      </c>
      <c r="C914" s="11" t="str">
        <f t="shared" si="79"/>
        <v/>
      </c>
      <c r="D914" s="11" t="str">
        <f t="shared" si="80"/>
        <v/>
      </c>
      <c r="E914" s="11" t="str">
        <f t="shared" si="77"/>
        <v/>
      </c>
      <c r="F914" s="11" t="str">
        <f t="shared" si="78"/>
        <v/>
      </c>
      <c r="G914" s="10" t="str">
        <v/>
      </c>
      <c r="H914" s="11" t="str">
        <v/>
      </c>
      <c r="I914" s="11" t="str">
        <v/>
      </c>
    </row>
    <row r="915" spans="2:9">
      <c r="B915" s="11" t="str">
        <f t="shared" si="76"/>
        <v/>
      </c>
      <c r="C915" s="11" t="str">
        <f t="shared" si="79"/>
        <v/>
      </c>
      <c r="D915" s="11" t="str">
        <f t="shared" si="80"/>
        <v/>
      </c>
      <c r="E915" s="11" t="str">
        <f t="shared" si="77"/>
        <v/>
      </c>
      <c r="F915" s="11" t="str">
        <f t="shared" si="78"/>
        <v/>
      </c>
      <c r="G915" s="10" t="str">
        <v/>
      </c>
      <c r="H915" s="11" t="str">
        <v/>
      </c>
      <c r="I915" s="11" t="str">
        <v/>
      </c>
    </row>
    <row r="916" spans="2:9">
      <c r="B916" s="11" t="str">
        <f t="shared" si="76"/>
        <v/>
      </c>
      <c r="C916" s="11" t="str">
        <f t="shared" si="79"/>
        <v/>
      </c>
      <c r="D916" s="11" t="str">
        <f t="shared" si="80"/>
        <v/>
      </c>
      <c r="E916" s="11" t="str">
        <f t="shared" si="77"/>
        <v/>
      </c>
      <c r="F916" s="11" t="str">
        <f t="shared" si="78"/>
        <v/>
      </c>
      <c r="G916" s="10" t="str">
        <v/>
      </c>
      <c r="H916" s="11" t="str">
        <v/>
      </c>
      <c r="I916" s="11" t="str">
        <v/>
      </c>
    </row>
    <row r="917" spans="2:9">
      <c r="B917" s="11" t="str">
        <f t="shared" si="76"/>
        <v/>
      </c>
      <c r="C917" s="11" t="str">
        <f t="shared" si="79"/>
        <v/>
      </c>
      <c r="D917" s="11" t="str">
        <f t="shared" si="80"/>
        <v/>
      </c>
      <c r="E917" s="11" t="str">
        <f t="shared" si="77"/>
        <v/>
      </c>
      <c r="F917" s="11" t="str">
        <f t="shared" si="78"/>
        <v/>
      </c>
      <c r="G917" s="10" t="str">
        <v/>
      </c>
      <c r="H917" s="11" t="str">
        <v/>
      </c>
      <c r="I917" s="11" t="str">
        <v/>
      </c>
    </row>
    <row r="918" spans="2:9">
      <c r="B918" s="11" t="str">
        <f t="shared" si="76"/>
        <v/>
      </c>
      <c r="C918" s="11" t="str">
        <f t="shared" si="79"/>
        <v/>
      </c>
      <c r="D918" s="11" t="str">
        <f t="shared" si="80"/>
        <v/>
      </c>
      <c r="E918" s="11" t="str">
        <f t="shared" si="77"/>
        <v/>
      </c>
      <c r="F918" s="11" t="str">
        <f t="shared" si="78"/>
        <v/>
      </c>
      <c r="G918" s="10" t="str">
        <v/>
      </c>
      <c r="H918" s="11" t="str">
        <v/>
      </c>
      <c r="I918" s="11" t="str">
        <v/>
      </c>
    </row>
    <row r="919" spans="2:9">
      <c r="B919" s="11" t="str">
        <f t="shared" si="76"/>
        <v/>
      </c>
      <c r="C919" s="11" t="str">
        <f t="shared" si="79"/>
        <v/>
      </c>
      <c r="D919" s="11" t="str">
        <f t="shared" si="80"/>
        <v/>
      </c>
      <c r="E919" s="11" t="str">
        <f t="shared" si="77"/>
        <v/>
      </c>
      <c r="F919" s="11" t="str">
        <f t="shared" si="78"/>
        <v/>
      </c>
      <c r="G919" s="10" t="str">
        <v/>
      </c>
      <c r="H919" s="11" t="str">
        <v/>
      </c>
      <c r="I919" s="11" t="str">
        <v/>
      </c>
    </row>
    <row r="920" spans="2:9">
      <c r="B920" s="11" t="str">
        <f t="shared" si="76"/>
        <v/>
      </c>
      <c r="C920" s="11" t="str">
        <f t="shared" si="79"/>
        <v/>
      </c>
      <c r="D920" s="11" t="str">
        <f t="shared" si="80"/>
        <v/>
      </c>
      <c r="E920" s="11" t="str">
        <f t="shared" si="77"/>
        <v/>
      </c>
      <c r="F920" s="11" t="str">
        <f t="shared" si="78"/>
        <v/>
      </c>
      <c r="G920" s="10" t="str">
        <v/>
      </c>
      <c r="H920" s="11" t="str">
        <v/>
      </c>
      <c r="I920" s="11" t="str">
        <v/>
      </c>
    </row>
    <row r="921" spans="2:9">
      <c r="B921" s="11" t="str">
        <f t="shared" si="76"/>
        <v/>
      </c>
      <c r="C921" s="11" t="str">
        <f t="shared" si="79"/>
        <v/>
      </c>
      <c r="D921" s="11" t="str">
        <f t="shared" si="80"/>
        <v/>
      </c>
      <c r="E921" s="11" t="str">
        <f t="shared" si="77"/>
        <v/>
      </c>
      <c r="F921" s="11" t="str">
        <f t="shared" si="78"/>
        <v/>
      </c>
      <c r="G921" s="10" t="str">
        <v/>
      </c>
      <c r="H921" s="11" t="str">
        <v/>
      </c>
      <c r="I921" s="11" t="str">
        <v/>
      </c>
    </row>
    <row r="922" spans="2:9">
      <c r="B922" s="11" t="str">
        <f t="shared" si="76"/>
        <v/>
      </c>
      <c r="C922" s="11" t="str">
        <f t="shared" si="79"/>
        <v/>
      </c>
      <c r="D922" s="11" t="str">
        <f t="shared" si="80"/>
        <v/>
      </c>
      <c r="E922" s="11" t="str">
        <f t="shared" si="77"/>
        <v/>
      </c>
      <c r="F922" s="11" t="str">
        <f t="shared" si="78"/>
        <v/>
      </c>
      <c r="G922" s="10" t="str">
        <v/>
      </c>
      <c r="H922" s="11" t="str">
        <v/>
      </c>
      <c r="I922" s="11" t="str">
        <v/>
      </c>
    </row>
    <row r="923" spans="2:9">
      <c r="B923" s="11" t="str">
        <f t="shared" si="76"/>
        <v/>
      </c>
      <c r="C923" s="11" t="str">
        <f t="shared" si="79"/>
        <v/>
      </c>
      <c r="D923" s="11" t="str">
        <f t="shared" si="80"/>
        <v/>
      </c>
      <c r="E923" s="11" t="str">
        <f t="shared" si="77"/>
        <v/>
      </c>
      <c r="F923" s="11" t="str">
        <f t="shared" si="78"/>
        <v/>
      </c>
      <c r="G923" s="10" t="str">
        <v/>
      </c>
      <c r="H923" s="11" t="str">
        <v/>
      </c>
      <c r="I923" s="11" t="str">
        <v/>
      </c>
    </row>
    <row r="924" spans="2:9">
      <c r="B924" s="11" t="str">
        <f t="shared" si="76"/>
        <v/>
      </c>
      <c r="C924" s="11" t="str">
        <f t="shared" si="79"/>
        <v/>
      </c>
      <c r="D924" s="11" t="str">
        <f t="shared" si="80"/>
        <v/>
      </c>
      <c r="E924" s="11" t="str">
        <f t="shared" si="77"/>
        <v/>
      </c>
      <c r="F924" s="11" t="str">
        <f t="shared" si="78"/>
        <v/>
      </c>
      <c r="G924" s="10" t="str">
        <v/>
      </c>
      <c r="H924" s="11" t="str">
        <v/>
      </c>
      <c r="I924" s="11" t="str">
        <v/>
      </c>
    </row>
    <row r="925" spans="2:9">
      <c r="B925" s="11" t="str">
        <f t="shared" si="76"/>
        <v/>
      </c>
      <c r="C925" s="11" t="str">
        <f t="shared" si="79"/>
        <v/>
      </c>
      <c r="D925" s="11" t="str">
        <f t="shared" si="80"/>
        <v/>
      </c>
      <c r="E925" s="11" t="str">
        <f t="shared" si="77"/>
        <v/>
      </c>
      <c r="F925" s="11" t="str">
        <f t="shared" si="78"/>
        <v/>
      </c>
      <c r="G925" s="10" t="str">
        <v/>
      </c>
      <c r="H925" s="11" t="str">
        <v/>
      </c>
      <c r="I925" s="11" t="str">
        <v/>
      </c>
    </row>
    <row r="926" spans="2:9">
      <c r="B926" s="11" t="str">
        <f t="shared" si="76"/>
        <v/>
      </c>
      <c r="C926" s="11" t="str">
        <f t="shared" si="79"/>
        <v/>
      </c>
      <c r="D926" s="11" t="str">
        <f t="shared" si="80"/>
        <v/>
      </c>
      <c r="E926" s="11" t="str">
        <f t="shared" si="77"/>
        <v/>
      </c>
      <c r="F926" s="11" t="str">
        <f t="shared" si="78"/>
        <v/>
      </c>
      <c r="G926" s="10" t="str">
        <v/>
      </c>
      <c r="H926" s="11" t="str">
        <v/>
      </c>
      <c r="I926" s="11" t="str">
        <v/>
      </c>
    </row>
    <row r="927" spans="2:9">
      <c r="B927" s="11" t="str">
        <f t="shared" si="76"/>
        <v/>
      </c>
      <c r="C927" s="11" t="str">
        <f t="shared" si="79"/>
        <v/>
      </c>
      <c r="D927" s="11" t="str">
        <f t="shared" si="80"/>
        <v/>
      </c>
      <c r="E927" s="11" t="str">
        <f t="shared" si="77"/>
        <v/>
      </c>
      <c r="F927" s="11" t="str">
        <f t="shared" si="78"/>
        <v/>
      </c>
      <c r="G927" s="10" t="str">
        <v/>
      </c>
      <c r="H927" s="11" t="str">
        <v/>
      </c>
      <c r="I927" s="11" t="str">
        <v/>
      </c>
    </row>
    <row r="928" spans="2:9">
      <c r="B928" s="11" t="str">
        <f t="shared" si="76"/>
        <v/>
      </c>
      <c r="C928" s="11" t="str">
        <f t="shared" si="79"/>
        <v/>
      </c>
      <c r="D928" s="11" t="str">
        <f t="shared" si="80"/>
        <v/>
      </c>
      <c r="E928" s="11" t="str">
        <f t="shared" si="77"/>
        <v/>
      </c>
      <c r="F928" s="11" t="str">
        <f t="shared" si="78"/>
        <v/>
      </c>
      <c r="G928" s="10" t="str">
        <v/>
      </c>
      <c r="H928" s="11" t="str">
        <v/>
      </c>
      <c r="I928" s="11" t="str">
        <v/>
      </c>
    </row>
    <row r="929" spans="2:9">
      <c r="B929" s="11" t="str">
        <f t="shared" si="76"/>
        <v/>
      </c>
      <c r="C929" s="11" t="str">
        <f t="shared" si="79"/>
        <v/>
      </c>
      <c r="D929" s="11" t="str">
        <f t="shared" si="80"/>
        <v/>
      </c>
      <c r="E929" s="11" t="str">
        <f t="shared" si="77"/>
        <v/>
      </c>
      <c r="F929" s="11" t="str">
        <f t="shared" si="78"/>
        <v/>
      </c>
      <c r="G929" s="10" t="str">
        <v/>
      </c>
      <c r="H929" s="11" t="str">
        <v/>
      </c>
      <c r="I929" s="11" t="str">
        <v/>
      </c>
    </row>
    <row r="930" spans="2:9">
      <c r="B930" s="11" t="str">
        <f t="shared" si="76"/>
        <v/>
      </c>
      <c r="C930" s="11" t="str">
        <f t="shared" si="79"/>
        <v/>
      </c>
      <c r="D930" s="11" t="str">
        <f t="shared" si="80"/>
        <v/>
      </c>
      <c r="E930" s="11" t="str">
        <f t="shared" si="77"/>
        <v/>
      </c>
      <c r="F930" s="11" t="str">
        <f t="shared" si="78"/>
        <v/>
      </c>
      <c r="G930" s="10" t="str">
        <v/>
      </c>
      <c r="H930" s="11" t="str">
        <v/>
      </c>
      <c r="I930" s="11" t="str">
        <v/>
      </c>
    </row>
    <row r="931" spans="2:9">
      <c r="B931" s="11" t="str">
        <f t="shared" si="76"/>
        <v/>
      </c>
      <c r="C931" s="11" t="str">
        <f t="shared" si="79"/>
        <v/>
      </c>
      <c r="D931" s="11" t="str">
        <f t="shared" si="80"/>
        <v/>
      </c>
      <c r="E931" s="11" t="str">
        <f t="shared" si="77"/>
        <v/>
      </c>
      <c r="F931" s="11" t="str">
        <f t="shared" si="78"/>
        <v/>
      </c>
      <c r="G931" s="10" t="str">
        <v/>
      </c>
      <c r="H931" s="11" t="str">
        <v/>
      </c>
      <c r="I931" s="11" t="str">
        <v/>
      </c>
    </row>
    <row r="932" spans="2:9">
      <c r="B932" s="11" t="str">
        <f t="shared" si="76"/>
        <v/>
      </c>
      <c r="C932" s="11" t="str">
        <f t="shared" si="79"/>
        <v/>
      </c>
      <c r="D932" s="11" t="str">
        <f t="shared" si="80"/>
        <v/>
      </c>
      <c r="E932" s="11" t="str">
        <f t="shared" si="77"/>
        <v/>
      </c>
      <c r="F932" s="11" t="str">
        <f t="shared" si="78"/>
        <v/>
      </c>
      <c r="G932" s="10" t="str">
        <v/>
      </c>
      <c r="H932" s="11" t="str">
        <v/>
      </c>
      <c r="I932" s="11" t="str">
        <v/>
      </c>
    </row>
    <row r="933" spans="2:9">
      <c r="B933" s="11" t="str">
        <f t="shared" si="76"/>
        <v/>
      </c>
      <c r="C933" s="11" t="str">
        <f t="shared" si="79"/>
        <v/>
      </c>
      <c r="D933" s="11" t="str">
        <f t="shared" si="80"/>
        <v/>
      </c>
      <c r="E933" s="11" t="str">
        <f t="shared" si="77"/>
        <v/>
      </c>
      <c r="F933" s="11" t="str">
        <f t="shared" si="78"/>
        <v/>
      </c>
      <c r="G933" s="10" t="str">
        <v/>
      </c>
      <c r="H933" s="11" t="str">
        <v/>
      </c>
      <c r="I933" s="11" t="str">
        <v/>
      </c>
    </row>
    <row r="934" spans="2:9">
      <c r="B934" s="11" t="str">
        <f t="shared" si="76"/>
        <v/>
      </c>
      <c r="C934" s="11" t="str">
        <f t="shared" si="79"/>
        <v/>
      </c>
      <c r="D934" s="11" t="str">
        <f t="shared" si="80"/>
        <v/>
      </c>
      <c r="E934" s="11" t="str">
        <f t="shared" si="77"/>
        <v/>
      </c>
      <c r="F934" s="11" t="str">
        <f t="shared" si="78"/>
        <v/>
      </c>
      <c r="G934" s="10" t="str">
        <v/>
      </c>
      <c r="H934" s="11" t="str">
        <v/>
      </c>
      <c r="I934" s="11" t="str">
        <v/>
      </c>
    </row>
    <row r="935" spans="2:9">
      <c r="B935" s="11" t="str">
        <f t="shared" si="76"/>
        <v/>
      </c>
      <c r="C935" s="11" t="str">
        <f t="shared" si="79"/>
        <v/>
      </c>
      <c r="D935" s="11" t="str">
        <f t="shared" si="80"/>
        <v/>
      </c>
      <c r="E935" s="11" t="str">
        <f t="shared" si="77"/>
        <v/>
      </c>
      <c r="F935" s="11" t="str">
        <f t="shared" si="78"/>
        <v/>
      </c>
      <c r="G935" s="10" t="str">
        <v/>
      </c>
      <c r="H935" s="11" t="str">
        <v/>
      </c>
      <c r="I935" s="11" t="str">
        <v/>
      </c>
    </row>
    <row r="936" spans="2:9">
      <c r="B936" s="11" t="str">
        <f t="shared" si="76"/>
        <v/>
      </c>
      <c r="C936" s="11" t="str">
        <f t="shared" si="79"/>
        <v/>
      </c>
      <c r="D936" s="11" t="str">
        <f t="shared" si="80"/>
        <v/>
      </c>
      <c r="E936" s="11" t="str">
        <f t="shared" si="77"/>
        <v/>
      </c>
      <c r="F936" s="11" t="str">
        <f t="shared" si="78"/>
        <v/>
      </c>
      <c r="G936" s="10" t="str">
        <v/>
      </c>
      <c r="H936" s="11" t="str">
        <v/>
      </c>
      <c r="I936" s="11" t="str">
        <v/>
      </c>
    </row>
    <row r="937" spans="2:9">
      <c r="B937" s="11" t="str">
        <f t="shared" si="76"/>
        <v/>
      </c>
      <c r="C937" s="11" t="str">
        <f t="shared" si="79"/>
        <v/>
      </c>
      <c r="D937" s="11" t="str">
        <f t="shared" si="80"/>
        <v/>
      </c>
      <c r="E937" s="11" t="str">
        <f t="shared" si="77"/>
        <v/>
      </c>
      <c r="F937" s="11" t="str">
        <f t="shared" si="78"/>
        <v/>
      </c>
      <c r="G937" s="10" t="str">
        <v/>
      </c>
      <c r="H937" s="11" t="str">
        <v/>
      </c>
      <c r="I937" s="11" t="str">
        <v/>
      </c>
    </row>
    <row r="938" spans="2:9">
      <c r="B938" s="11" t="str">
        <f t="shared" si="76"/>
        <v/>
      </c>
      <c r="C938" s="11" t="str">
        <f t="shared" si="79"/>
        <v/>
      </c>
      <c r="D938" s="11" t="str">
        <f t="shared" si="80"/>
        <v/>
      </c>
      <c r="E938" s="11" t="str">
        <f t="shared" si="77"/>
        <v/>
      </c>
      <c r="F938" s="11" t="str">
        <f t="shared" si="78"/>
        <v/>
      </c>
      <c r="G938" s="10" t="str">
        <v/>
      </c>
      <c r="H938" s="11" t="str">
        <v/>
      </c>
      <c r="I938" s="11" t="str">
        <v/>
      </c>
    </row>
    <row r="939" spans="2:9">
      <c r="B939" s="11" t="str">
        <f t="shared" si="76"/>
        <v/>
      </c>
      <c r="C939" s="11" t="str">
        <f t="shared" si="79"/>
        <v/>
      </c>
      <c r="D939" s="11" t="str">
        <f t="shared" si="80"/>
        <v/>
      </c>
      <c r="E939" s="11" t="str">
        <f t="shared" si="77"/>
        <v/>
      </c>
      <c r="F939" s="11" t="str">
        <f t="shared" si="78"/>
        <v/>
      </c>
      <c r="G939" s="10" t="str">
        <v/>
      </c>
      <c r="H939" s="11" t="str">
        <v/>
      </c>
      <c r="I939" s="11" t="str">
        <v/>
      </c>
    </row>
    <row r="940" spans="2:9">
      <c r="B940" s="11" t="str">
        <f t="shared" si="76"/>
        <v/>
      </c>
      <c r="C940" s="11" t="str">
        <f t="shared" si="79"/>
        <v/>
      </c>
      <c r="D940" s="11" t="str">
        <f t="shared" si="80"/>
        <v/>
      </c>
      <c r="E940" s="11" t="str">
        <f t="shared" si="77"/>
        <v/>
      </c>
      <c r="F940" s="11" t="str">
        <f t="shared" si="78"/>
        <v/>
      </c>
      <c r="G940" s="10" t="str">
        <v/>
      </c>
      <c r="H940" s="11" t="str">
        <v/>
      </c>
      <c r="I940" s="11" t="str">
        <v/>
      </c>
    </row>
    <row r="941" spans="2:9">
      <c r="B941" s="11" t="str">
        <f t="shared" si="76"/>
        <v/>
      </c>
      <c r="C941" s="11" t="str">
        <f t="shared" si="79"/>
        <v/>
      </c>
      <c r="D941" s="11" t="str">
        <f t="shared" si="80"/>
        <v/>
      </c>
      <c r="E941" s="11" t="str">
        <f t="shared" si="77"/>
        <v/>
      </c>
      <c r="F941" s="11" t="str">
        <f t="shared" si="78"/>
        <v/>
      </c>
      <c r="G941" s="10" t="str">
        <v/>
      </c>
      <c r="H941" s="11" t="str">
        <v/>
      </c>
      <c r="I941" s="11" t="str">
        <v/>
      </c>
    </row>
    <row r="942" spans="2:9">
      <c r="B942" s="11" t="str">
        <f t="shared" si="76"/>
        <v/>
      </c>
      <c r="C942" s="11" t="str">
        <f t="shared" si="79"/>
        <v/>
      </c>
      <c r="D942" s="11" t="str">
        <f t="shared" si="80"/>
        <v/>
      </c>
      <c r="E942" s="11" t="str">
        <f t="shared" si="77"/>
        <v/>
      </c>
      <c r="F942" s="11" t="str">
        <f t="shared" si="78"/>
        <v/>
      </c>
      <c r="G942" s="10" t="str">
        <v/>
      </c>
      <c r="H942" s="11" t="str">
        <v/>
      </c>
      <c r="I942" s="11" t="str">
        <v/>
      </c>
    </row>
    <row r="943" spans="2:9">
      <c r="B943" s="11" t="str">
        <f t="shared" si="76"/>
        <v/>
      </c>
      <c r="C943" s="11" t="str">
        <f t="shared" si="79"/>
        <v/>
      </c>
      <c r="D943" s="11" t="str">
        <f t="shared" si="80"/>
        <v/>
      </c>
      <c r="E943" s="11" t="str">
        <f t="shared" si="77"/>
        <v/>
      </c>
      <c r="F943" s="11" t="str">
        <f t="shared" si="78"/>
        <v/>
      </c>
      <c r="G943" s="10" t="str">
        <v/>
      </c>
      <c r="H943" s="11" t="str">
        <v/>
      </c>
      <c r="I943" s="11" t="str">
        <v/>
      </c>
    </row>
    <row r="944" spans="2:9">
      <c r="B944" s="11" t="str">
        <f t="shared" si="76"/>
        <v/>
      </c>
      <c r="C944" s="11" t="str">
        <f t="shared" si="79"/>
        <v/>
      </c>
      <c r="D944" s="11" t="str">
        <f t="shared" si="80"/>
        <v/>
      </c>
      <c r="E944" s="11" t="str">
        <f t="shared" si="77"/>
        <v/>
      </c>
      <c r="F944" s="11" t="str">
        <f t="shared" si="78"/>
        <v/>
      </c>
      <c r="G944" s="10" t="str">
        <v/>
      </c>
      <c r="H944" s="11" t="str">
        <v/>
      </c>
      <c r="I944" s="11" t="str">
        <v/>
      </c>
    </row>
    <row r="945" spans="2:9">
      <c r="B945" s="11" t="str">
        <f t="shared" si="76"/>
        <v/>
      </c>
      <c r="C945" s="11" t="str">
        <f t="shared" si="79"/>
        <v/>
      </c>
      <c r="D945" s="11" t="str">
        <f t="shared" si="80"/>
        <v/>
      </c>
      <c r="E945" s="11" t="str">
        <f t="shared" si="77"/>
        <v/>
      </c>
      <c r="F945" s="11" t="str">
        <f t="shared" si="78"/>
        <v/>
      </c>
      <c r="G945" s="10" t="str">
        <v/>
      </c>
      <c r="H945" s="11" t="str">
        <v/>
      </c>
      <c r="I945" s="11" t="str">
        <v/>
      </c>
    </row>
    <row r="946" spans="2:9">
      <c r="B946" s="11" t="str">
        <f t="shared" si="76"/>
        <v/>
      </c>
      <c r="C946" s="11" t="str">
        <f t="shared" si="79"/>
        <v/>
      </c>
      <c r="D946" s="11" t="str">
        <f t="shared" si="80"/>
        <v/>
      </c>
      <c r="E946" s="11" t="str">
        <f t="shared" si="77"/>
        <v/>
      </c>
      <c r="F946" s="11" t="str">
        <f t="shared" si="78"/>
        <v/>
      </c>
      <c r="G946" s="10" t="str">
        <v/>
      </c>
      <c r="H946" s="11" t="str">
        <v/>
      </c>
      <c r="I946" s="11" t="str">
        <v/>
      </c>
    </row>
    <row r="947" spans="2:9">
      <c r="B947" s="11" t="str">
        <f t="shared" si="76"/>
        <v/>
      </c>
      <c r="C947" s="11" t="str">
        <f t="shared" si="79"/>
        <v/>
      </c>
      <c r="D947" s="11" t="str">
        <f t="shared" si="80"/>
        <v/>
      </c>
      <c r="E947" s="11" t="str">
        <f t="shared" si="77"/>
        <v/>
      </c>
      <c r="F947" s="11" t="str">
        <f t="shared" si="78"/>
        <v/>
      </c>
      <c r="G947" s="10" t="str">
        <v/>
      </c>
      <c r="H947" s="11" t="str">
        <v/>
      </c>
      <c r="I947" s="11" t="str">
        <v/>
      </c>
    </row>
    <row r="948" spans="2:9">
      <c r="B948" s="11" t="str">
        <f t="shared" si="76"/>
        <v/>
      </c>
      <c r="C948" s="11" t="str">
        <f t="shared" si="79"/>
        <v/>
      </c>
      <c r="D948" s="11" t="str">
        <f t="shared" si="80"/>
        <v/>
      </c>
      <c r="E948" s="11" t="str">
        <f t="shared" si="77"/>
        <v/>
      </c>
      <c r="F948" s="11" t="str">
        <f t="shared" si="78"/>
        <v/>
      </c>
      <c r="G948" s="10" t="str">
        <v/>
      </c>
      <c r="H948" s="11" t="str">
        <v/>
      </c>
      <c r="I948" s="11" t="str">
        <v/>
      </c>
    </row>
    <row r="949" spans="2:9">
      <c r="B949" s="11" t="str">
        <f t="shared" si="76"/>
        <v/>
      </c>
      <c r="C949" s="11" t="str">
        <f t="shared" si="79"/>
        <v/>
      </c>
      <c r="D949" s="11" t="str">
        <f t="shared" si="80"/>
        <v/>
      </c>
      <c r="E949" s="11" t="str">
        <f t="shared" si="77"/>
        <v/>
      </c>
      <c r="F949" s="11" t="str">
        <f t="shared" si="78"/>
        <v/>
      </c>
      <c r="G949" s="10" t="str">
        <v/>
      </c>
      <c r="H949" s="11" t="str">
        <v/>
      </c>
      <c r="I949" s="11" t="str">
        <v/>
      </c>
    </row>
    <row r="950" spans="2:9">
      <c r="B950" s="11" t="str">
        <f t="shared" si="76"/>
        <v/>
      </c>
      <c r="C950" s="11" t="str">
        <f t="shared" si="79"/>
        <v/>
      </c>
      <c r="D950" s="11" t="str">
        <f t="shared" si="80"/>
        <v/>
      </c>
      <c r="E950" s="11" t="str">
        <f t="shared" si="77"/>
        <v/>
      </c>
      <c r="F950" s="11" t="str">
        <f t="shared" si="78"/>
        <v/>
      </c>
      <c r="G950" s="10" t="str">
        <v/>
      </c>
      <c r="H950" s="11" t="str">
        <v/>
      </c>
      <c r="I950" s="11" t="str">
        <v/>
      </c>
    </row>
    <row r="951" spans="2:9">
      <c r="B951" s="11" t="str">
        <f t="shared" si="76"/>
        <v/>
      </c>
      <c r="C951" s="11" t="str">
        <f t="shared" si="79"/>
        <v/>
      </c>
      <c r="D951" s="11" t="str">
        <f t="shared" si="80"/>
        <v/>
      </c>
      <c r="E951" s="11" t="str">
        <f t="shared" si="77"/>
        <v/>
      </c>
      <c r="F951" s="11" t="str">
        <f t="shared" si="78"/>
        <v/>
      </c>
      <c r="G951" s="10" t="str">
        <v/>
      </c>
      <c r="H951" s="11" t="str">
        <v/>
      </c>
      <c r="I951" s="11" t="str">
        <v/>
      </c>
    </row>
    <row r="952" spans="2:9">
      <c r="B952" s="11" t="str">
        <f t="shared" si="76"/>
        <v/>
      </c>
      <c r="C952" s="11" t="str">
        <f t="shared" si="79"/>
        <v/>
      </c>
      <c r="D952" s="11" t="str">
        <f t="shared" si="80"/>
        <v/>
      </c>
      <c r="E952" s="11" t="str">
        <f t="shared" si="77"/>
        <v/>
      </c>
      <c r="F952" s="11" t="str">
        <f t="shared" si="78"/>
        <v/>
      </c>
      <c r="G952" s="10" t="str">
        <v/>
      </c>
      <c r="H952" s="11" t="str">
        <v/>
      </c>
      <c r="I952" s="11" t="str">
        <v/>
      </c>
    </row>
    <row r="953" spans="2:9">
      <c r="B953" s="11" t="str">
        <f t="shared" si="76"/>
        <v/>
      </c>
      <c r="C953" s="11" t="str">
        <f t="shared" si="79"/>
        <v/>
      </c>
      <c r="D953" s="11" t="str">
        <f t="shared" si="80"/>
        <v/>
      </c>
      <c r="E953" s="11" t="str">
        <f t="shared" si="77"/>
        <v/>
      </c>
      <c r="F953" s="11" t="str">
        <f t="shared" si="78"/>
        <v/>
      </c>
      <c r="G953" s="10" t="str">
        <v/>
      </c>
      <c r="H953" s="11" t="str">
        <v/>
      </c>
      <c r="I953" s="11" t="str">
        <v/>
      </c>
    </row>
    <row r="954" spans="2:9">
      <c r="B954" s="11" t="str">
        <f t="shared" si="76"/>
        <v/>
      </c>
      <c r="C954" s="11" t="str">
        <f t="shared" si="79"/>
        <v/>
      </c>
      <c r="D954" s="11" t="str">
        <f t="shared" si="80"/>
        <v/>
      </c>
      <c r="E954" s="11" t="str">
        <f t="shared" si="77"/>
        <v/>
      </c>
      <c r="F954" s="11" t="str">
        <f t="shared" si="78"/>
        <v/>
      </c>
      <c r="G954" s="10" t="str">
        <v/>
      </c>
      <c r="H954" s="11" t="str">
        <v/>
      </c>
      <c r="I954" s="11" t="str">
        <v/>
      </c>
    </row>
    <row r="955" spans="2:9">
      <c r="B955" s="11" t="str">
        <f t="shared" si="76"/>
        <v/>
      </c>
      <c r="C955" s="11" t="str">
        <f t="shared" si="79"/>
        <v/>
      </c>
      <c r="D955" s="11" t="str">
        <f t="shared" si="80"/>
        <v/>
      </c>
      <c r="E955" s="11" t="str">
        <f t="shared" si="77"/>
        <v/>
      </c>
      <c r="F955" s="11" t="str">
        <f t="shared" si="78"/>
        <v/>
      </c>
      <c r="G955" s="10" t="str">
        <v/>
      </c>
      <c r="H955" s="11" t="str">
        <v/>
      </c>
      <c r="I955" s="11" t="str">
        <v/>
      </c>
    </row>
    <row r="956" spans="2:9">
      <c r="B956" s="11" t="str">
        <f t="shared" si="76"/>
        <v/>
      </c>
      <c r="C956" s="11" t="str">
        <f t="shared" si="79"/>
        <v/>
      </c>
      <c r="D956" s="11" t="str">
        <f t="shared" si="80"/>
        <v/>
      </c>
      <c r="E956" s="11" t="str">
        <f t="shared" si="77"/>
        <v/>
      </c>
      <c r="F956" s="11" t="str">
        <f t="shared" si="78"/>
        <v/>
      </c>
      <c r="G956" s="10" t="str">
        <v/>
      </c>
      <c r="H956" s="11" t="str">
        <v/>
      </c>
      <c r="I956" s="11" t="str">
        <v/>
      </c>
    </row>
    <row r="957" spans="2:9">
      <c r="B957" s="11" t="str">
        <f t="shared" si="76"/>
        <v/>
      </c>
      <c r="C957" s="11" t="str">
        <f t="shared" si="79"/>
        <v/>
      </c>
      <c r="D957" s="11" t="str">
        <f t="shared" si="80"/>
        <v/>
      </c>
      <c r="E957" s="11" t="str">
        <f t="shared" si="77"/>
        <v/>
      </c>
      <c r="F957" s="11" t="str">
        <f t="shared" si="78"/>
        <v/>
      </c>
      <c r="G957" s="10" t="str">
        <v/>
      </c>
      <c r="H957" s="11" t="str">
        <v/>
      </c>
      <c r="I957" s="11" t="str">
        <v/>
      </c>
    </row>
    <row r="958" spans="2:9">
      <c r="B958" s="11" t="str">
        <f t="shared" si="76"/>
        <v/>
      </c>
      <c r="C958" s="11" t="str">
        <f t="shared" si="79"/>
        <v/>
      </c>
      <c r="D958" s="11" t="str">
        <f t="shared" si="80"/>
        <v/>
      </c>
      <c r="E958" s="11" t="str">
        <f t="shared" si="77"/>
        <v/>
      </c>
      <c r="F958" s="11" t="str">
        <f t="shared" si="78"/>
        <v/>
      </c>
      <c r="G958" s="10" t="str">
        <v/>
      </c>
      <c r="H958" s="11" t="str">
        <v/>
      </c>
      <c r="I958" s="11" t="str">
        <v/>
      </c>
    </row>
    <row r="959" spans="2:9">
      <c r="B959" s="11" t="str">
        <f t="shared" si="76"/>
        <v/>
      </c>
      <c r="C959" s="11" t="str">
        <f t="shared" si="79"/>
        <v/>
      </c>
      <c r="D959" s="11" t="str">
        <f t="shared" si="80"/>
        <v/>
      </c>
      <c r="E959" s="11" t="str">
        <f t="shared" si="77"/>
        <v/>
      </c>
      <c r="F959" s="11" t="str">
        <f t="shared" si="78"/>
        <v/>
      </c>
      <c r="G959" s="10" t="str">
        <v/>
      </c>
      <c r="H959" s="11" t="str">
        <v/>
      </c>
      <c r="I959" s="11" t="str">
        <v/>
      </c>
    </row>
    <row r="960" spans="2:9">
      <c r="B960" s="11" t="str">
        <f t="shared" si="76"/>
        <v/>
      </c>
      <c r="C960" s="11" t="str">
        <f t="shared" si="79"/>
        <v/>
      </c>
      <c r="D960" s="11" t="str">
        <f t="shared" si="80"/>
        <v/>
      </c>
      <c r="E960" s="11" t="str">
        <f t="shared" si="77"/>
        <v/>
      </c>
      <c r="F960" s="11" t="str">
        <f t="shared" si="78"/>
        <v/>
      </c>
      <c r="G960" s="10" t="str">
        <v/>
      </c>
      <c r="H960" s="11" t="str">
        <v/>
      </c>
      <c r="I960" s="11" t="str">
        <v/>
      </c>
    </row>
    <row r="961" spans="2:9">
      <c r="B961" s="11" t="str">
        <f t="shared" ref="B961:B1024" si="81">IFERROR(IF(FIND(" ",A961)=6,IF(IFERROR(FIND(" PB",A961),"")&lt;&gt;"","артикул",IF(IFERROR(FIND(" CRN",A961),"")&lt;&gt;"","артикул","")),""),"")</f>
        <v/>
      </c>
      <c r="C961" s="11" t="str">
        <f t="shared" si="79"/>
        <v/>
      </c>
      <c r="D961" s="11" t="str">
        <f t="shared" si="80"/>
        <v/>
      </c>
      <c r="E961" s="11" t="str">
        <f t="shared" si="77"/>
        <v/>
      </c>
      <c r="F961" s="11" t="str">
        <f t="shared" si="78"/>
        <v/>
      </c>
      <c r="G961" s="10" t="str">
        <v/>
      </c>
      <c r="H961" s="11" t="str">
        <v/>
      </c>
      <c r="I961" s="11" t="str">
        <v/>
      </c>
    </row>
    <row r="962" spans="2:9">
      <c r="B962" s="11" t="str">
        <f t="shared" si="81"/>
        <v/>
      </c>
      <c r="C962" s="11" t="str">
        <f t="shared" si="79"/>
        <v/>
      </c>
      <c r="D962" s="11" t="str">
        <f t="shared" si="80"/>
        <v/>
      </c>
      <c r="E962" s="11" t="str">
        <f t="shared" ref="E962:E1025" si="82" xml:space="preserve">
IF(B962="Артикул",
IF(
AND(RIGHT(A963,1)="%",
RIGHT(A964,1)="%",
RIGHT(A965,1)="%",
RIGHT(A966,1)="%"),MID(A967,FIND(" ",A967),50),
IF(
AND(RIGHT(A963,1)="%",
RIGHT(A964,1)="%",
RIGHT(A965,1)="%"),MID(A966,FIND(" ",A966),50),
IF(
AND(RIGHT(A963,1)="%",
RIGHT(A964,1)="%"),
MID(A965,FIND(" ",A965),50),
IF(
RIGHT(A963,1)="%",
MID(A964,FIND(" ",A964),50),"")))),"")</f>
        <v/>
      </c>
      <c r="F962" s="11" t="str">
        <f t="shared" ref="F962:F1025" si="83">IFERROR(
IF(
AND(LEFT(A962,8)="Discount",FIND("%",A962)&gt;0),
MID(A962,
FIND(" ",A962),
FIND("%",A962)-FIND(" ",A962))
*-1,""),"")</f>
        <v/>
      </c>
      <c r="G962" s="10" t="str">
        <v/>
      </c>
      <c r="H962" s="11" t="str">
        <v/>
      </c>
      <c r="I962" s="11" t="str">
        <v/>
      </c>
    </row>
    <row r="963" spans="2:9">
      <c r="B963" s="11" t="str">
        <f t="shared" si="81"/>
        <v/>
      </c>
      <c r="C963" s="11" t="str">
        <f t="shared" si="79"/>
        <v/>
      </c>
      <c r="D963" s="11" t="str">
        <f t="shared" si="80"/>
        <v/>
      </c>
      <c r="E963" s="11" t="str">
        <f t="shared" si="82"/>
        <v/>
      </c>
      <c r="F963" s="11" t="str">
        <f t="shared" si="83"/>
        <v/>
      </c>
      <c r="G963" s="10" t="str">
        <v/>
      </c>
      <c r="H963" s="11" t="str">
        <v/>
      </c>
      <c r="I963" s="11" t="str">
        <v/>
      </c>
    </row>
    <row r="964" spans="2:9">
      <c r="B964" s="11" t="str">
        <f t="shared" si="81"/>
        <v/>
      </c>
      <c r="C964" s="11" t="str">
        <f t="shared" si="79"/>
        <v/>
      </c>
      <c r="D964" s="11" t="str">
        <f t="shared" si="80"/>
        <v/>
      </c>
      <c r="E964" s="11" t="str">
        <f t="shared" si="82"/>
        <v/>
      </c>
      <c r="F964" s="11" t="str">
        <f t="shared" si="83"/>
        <v/>
      </c>
      <c r="G964" s="10" t="str">
        <v/>
      </c>
      <c r="H964" s="11" t="str">
        <v/>
      </c>
      <c r="I964" s="11" t="str">
        <v/>
      </c>
    </row>
    <row r="965" spans="2:9">
      <c r="B965" s="11" t="str">
        <f t="shared" si="81"/>
        <v/>
      </c>
      <c r="C965" s="11" t="str">
        <f t="shared" si="79"/>
        <v/>
      </c>
      <c r="D965" s="11" t="str">
        <f t="shared" si="80"/>
        <v/>
      </c>
      <c r="E965" s="11" t="str">
        <f t="shared" si="82"/>
        <v/>
      </c>
      <c r="F965" s="11" t="str">
        <f t="shared" si="83"/>
        <v/>
      </c>
      <c r="G965" s="10" t="str">
        <v/>
      </c>
      <c r="H965" s="11" t="str">
        <v/>
      </c>
      <c r="I965" s="11" t="str">
        <v/>
      </c>
    </row>
    <row r="966" spans="2:9">
      <c r="B966" s="11" t="str">
        <f t="shared" si="81"/>
        <v/>
      </c>
      <c r="C966" s="11" t="str">
        <f t="shared" si="79"/>
        <v/>
      </c>
      <c r="D966" s="11" t="str">
        <f t="shared" si="80"/>
        <v/>
      </c>
      <c r="E966" s="11" t="str">
        <f t="shared" si="82"/>
        <v/>
      </c>
      <c r="F966" s="11" t="str">
        <f t="shared" si="83"/>
        <v/>
      </c>
      <c r="G966" s="10" t="str">
        <v/>
      </c>
      <c r="H966" s="11" t="str">
        <v/>
      </c>
      <c r="I966" s="11" t="str">
        <v/>
      </c>
    </row>
    <row r="967" spans="2:9">
      <c r="B967" s="11" t="str">
        <f t="shared" si="81"/>
        <v/>
      </c>
      <c r="C967" s="11" t="str">
        <f t="shared" si="79"/>
        <v/>
      </c>
      <c r="D967" s="11" t="str">
        <f t="shared" si="80"/>
        <v/>
      </c>
      <c r="E967" s="11" t="str">
        <f t="shared" si="82"/>
        <v/>
      </c>
      <c r="F967" s="11" t="str">
        <f t="shared" si="83"/>
        <v/>
      </c>
      <c r="G967" s="10" t="str">
        <v/>
      </c>
      <c r="H967" s="11" t="str">
        <v/>
      </c>
      <c r="I967" s="11" t="str">
        <v/>
      </c>
    </row>
    <row r="968" spans="2:9">
      <c r="B968" s="11" t="str">
        <f t="shared" si="81"/>
        <v/>
      </c>
      <c r="C968" s="11" t="str">
        <f t="shared" si="79"/>
        <v/>
      </c>
      <c r="D968" s="11" t="str">
        <f t="shared" si="80"/>
        <v/>
      </c>
      <c r="E968" s="11" t="str">
        <f t="shared" si="82"/>
        <v/>
      </c>
      <c r="F968" s="11" t="str">
        <f t="shared" si="83"/>
        <v/>
      </c>
      <c r="G968" s="10" t="str">
        <v/>
      </c>
      <c r="H968" s="11" t="str">
        <v/>
      </c>
      <c r="I968" s="11" t="str">
        <v/>
      </c>
    </row>
    <row r="969" spans="2:9">
      <c r="B969" s="11" t="str">
        <f t="shared" si="81"/>
        <v/>
      </c>
      <c r="C969" s="11" t="str">
        <f t="shared" si="79"/>
        <v/>
      </c>
      <c r="D969" s="11" t="str">
        <f t="shared" si="80"/>
        <v/>
      </c>
      <c r="E969" s="11" t="str">
        <f t="shared" si="82"/>
        <v/>
      </c>
      <c r="F969" s="11" t="str">
        <f t="shared" si="83"/>
        <v/>
      </c>
      <c r="G969" s="10" t="str">
        <v/>
      </c>
      <c r="H969" s="11" t="str">
        <v/>
      </c>
      <c r="I969" s="11" t="str">
        <v/>
      </c>
    </row>
    <row r="970" spans="2:9">
      <c r="B970" s="11" t="str">
        <f t="shared" si="81"/>
        <v/>
      </c>
      <c r="C970" s="11" t="str">
        <f t="shared" si="79"/>
        <v/>
      </c>
      <c r="D970" s="11" t="str">
        <f t="shared" si="80"/>
        <v/>
      </c>
      <c r="E970" s="11" t="str">
        <f t="shared" si="82"/>
        <v/>
      </c>
      <c r="F970" s="11" t="str">
        <f t="shared" si="83"/>
        <v/>
      </c>
      <c r="G970" s="10" t="str">
        <v/>
      </c>
      <c r="H970" s="11" t="str">
        <v/>
      </c>
      <c r="I970" s="11" t="str">
        <v/>
      </c>
    </row>
    <row r="971" spans="2:9">
      <c r="B971" s="11" t="str">
        <f t="shared" si="81"/>
        <v/>
      </c>
      <c r="C971" s="11" t="str">
        <f t="shared" si="79"/>
        <v/>
      </c>
      <c r="D971" s="11" t="str">
        <f t="shared" si="80"/>
        <v/>
      </c>
      <c r="E971" s="11" t="str">
        <f t="shared" si="82"/>
        <v/>
      </c>
      <c r="F971" s="11" t="str">
        <f t="shared" si="83"/>
        <v/>
      </c>
      <c r="G971" s="10" t="str">
        <v/>
      </c>
      <c r="H971" s="11" t="str">
        <v/>
      </c>
      <c r="I971" s="11" t="str">
        <v/>
      </c>
    </row>
    <row r="972" spans="2:9">
      <c r="B972" s="11" t="str">
        <f t="shared" si="81"/>
        <v/>
      </c>
      <c r="C972" s="11" t="str">
        <f t="shared" si="79"/>
        <v/>
      </c>
      <c r="D972" s="11" t="str">
        <f t="shared" si="80"/>
        <v/>
      </c>
      <c r="E972" s="11" t="str">
        <f t="shared" si="82"/>
        <v/>
      </c>
      <c r="F972" s="11" t="str">
        <f t="shared" si="83"/>
        <v/>
      </c>
      <c r="G972" s="10" t="str">
        <v/>
      </c>
      <c r="H972" s="11" t="str">
        <v/>
      </c>
      <c r="I972" s="11" t="str">
        <v/>
      </c>
    </row>
    <row r="973" spans="2:9">
      <c r="B973" s="11" t="str">
        <f t="shared" si="81"/>
        <v/>
      </c>
      <c r="C973" s="11" t="str">
        <f t="shared" ref="C973:C1036" si="84">IF(B973="артикул",A973,"")</f>
        <v/>
      </c>
      <c r="D973" s="11" t="str">
        <f t="shared" ref="D973:D1036" si="85">IF(B973="артикул",A974,"")</f>
        <v/>
      </c>
      <c r="E973" s="11" t="str">
        <f t="shared" si="82"/>
        <v/>
      </c>
      <c r="F973" s="11" t="str">
        <f t="shared" si="83"/>
        <v/>
      </c>
      <c r="G973" s="10" t="str">
        <v/>
      </c>
      <c r="H973" s="11" t="str">
        <v/>
      </c>
      <c r="I973" s="11" t="str">
        <v/>
      </c>
    </row>
    <row r="974" spans="2:9">
      <c r="B974" s="11" t="str">
        <f t="shared" si="81"/>
        <v/>
      </c>
      <c r="C974" s="11" t="str">
        <f t="shared" si="84"/>
        <v/>
      </c>
      <c r="D974" s="11" t="str">
        <f t="shared" si="85"/>
        <v/>
      </c>
      <c r="E974" s="11" t="str">
        <f t="shared" si="82"/>
        <v/>
      </c>
      <c r="F974" s="11" t="str">
        <f t="shared" si="83"/>
        <v/>
      </c>
      <c r="G974" s="10" t="str">
        <v/>
      </c>
      <c r="H974" s="11" t="str">
        <v/>
      </c>
      <c r="I974" s="11" t="str">
        <v/>
      </c>
    </row>
    <row r="975" spans="2:9">
      <c r="B975" s="11" t="str">
        <f t="shared" si="81"/>
        <v/>
      </c>
      <c r="C975" s="11" t="str">
        <f t="shared" si="84"/>
        <v/>
      </c>
      <c r="D975" s="11" t="str">
        <f t="shared" si="85"/>
        <v/>
      </c>
      <c r="E975" s="11" t="str">
        <f t="shared" si="82"/>
        <v/>
      </c>
      <c r="F975" s="11" t="str">
        <f t="shared" si="83"/>
        <v/>
      </c>
      <c r="G975" s="10" t="str">
        <v/>
      </c>
      <c r="H975" s="11" t="str">
        <v/>
      </c>
      <c r="I975" s="11" t="str">
        <v/>
      </c>
    </row>
    <row r="976" spans="2:9">
      <c r="B976" s="11" t="str">
        <f t="shared" si="81"/>
        <v/>
      </c>
      <c r="C976" s="11" t="str">
        <f t="shared" si="84"/>
        <v/>
      </c>
      <c r="D976" s="11" t="str">
        <f t="shared" si="85"/>
        <v/>
      </c>
      <c r="E976" s="11" t="str">
        <f t="shared" si="82"/>
        <v/>
      </c>
      <c r="F976" s="11" t="str">
        <f t="shared" si="83"/>
        <v/>
      </c>
      <c r="G976" s="10" t="str">
        <v/>
      </c>
      <c r="H976" s="11" t="str">
        <v/>
      </c>
      <c r="I976" s="11" t="str">
        <v/>
      </c>
    </row>
    <row r="977" spans="2:9">
      <c r="B977" s="11" t="str">
        <f t="shared" si="81"/>
        <v/>
      </c>
      <c r="C977" s="11" t="str">
        <f t="shared" si="84"/>
        <v/>
      </c>
      <c r="D977" s="11" t="str">
        <f t="shared" si="85"/>
        <v/>
      </c>
      <c r="E977" s="11" t="str">
        <f t="shared" si="82"/>
        <v/>
      </c>
      <c r="F977" s="11" t="str">
        <f t="shared" si="83"/>
        <v/>
      </c>
      <c r="G977" s="10" t="str">
        <v/>
      </c>
      <c r="H977" s="11" t="str">
        <v/>
      </c>
      <c r="I977" s="11" t="str">
        <v/>
      </c>
    </row>
    <row r="978" spans="2:9">
      <c r="B978" s="11" t="str">
        <f t="shared" si="81"/>
        <v/>
      </c>
      <c r="C978" s="11" t="str">
        <f t="shared" si="84"/>
        <v/>
      </c>
      <c r="D978" s="11" t="str">
        <f t="shared" si="85"/>
        <v/>
      </c>
      <c r="E978" s="11" t="str">
        <f t="shared" si="82"/>
        <v/>
      </c>
      <c r="F978" s="11" t="str">
        <f t="shared" si="83"/>
        <v/>
      </c>
      <c r="G978" s="10" t="str">
        <v/>
      </c>
      <c r="H978" s="11" t="str">
        <v/>
      </c>
      <c r="I978" s="11" t="str">
        <v/>
      </c>
    </row>
    <row r="979" spans="2:9">
      <c r="B979" s="11" t="str">
        <f t="shared" si="81"/>
        <v/>
      </c>
      <c r="C979" s="11" t="str">
        <f t="shared" si="84"/>
        <v/>
      </c>
      <c r="D979" s="11" t="str">
        <f t="shared" si="85"/>
        <v/>
      </c>
      <c r="E979" s="11" t="str">
        <f t="shared" si="82"/>
        <v/>
      </c>
      <c r="F979" s="11" t="str">
        <f t="shared" si="83"/>
        <v/>
      </c>
      <c r="G979" s="10" t="str">
        <v/>
      </c>
      <c r="H979" s="11" t="str">
        <v/>
      </c>
      <c r="I979" s="11" t="str">
        <v/>
      </c>
    </row>
    <row r="980" spans="2:9">
      <c r="B980" s="11" t="str">
        <f t="shared" si="81"/>
        <v/>
      </c>
      <c r="C980" s="11" t="str">
        <f t="shared" si="84"/>
        <v/>
      </c>
      <c r="D980" s="11" t="str">
        <f t="shared" si="85"/>
        <v/>
      </c>
      <c r="E980" s="11" t="str">
        <f t="shared" si="82"/>
        <v/>
      </c>
      <c r="F980" s="11" t="str">
        <f t="shared" si="83"/>
        <v/>
      </c>
      <c r="G980" s="10" t="str">
        <v/>
      </c>
      <c r="H980" s="11" t="str">
        <v/>
      </c>
      <c r="I980" s="11" t="str">
        <v/>
      </c>
    </row>
    <row r="981" spans="2:9">
      <c r="B981" s="11" t="str">
        <f t="shared" si="81"/>
        <v/>
      </c>
      <c r="C981" s="11" t="str">
        <f t="shared" si="84"/>
        <v/>
      </c>
      <c r="D981" s="11" t="str">
        <f t="shared" si="85"/>
        <v/>
      </c>
      <c r="E981" s="11" t="str">
        <f t="shared" si="82"/>
        <v/>
      </c>
      <c r="F981" s="11" t="str">
        <f t="shared" si="83"/>
        <v/>
      </c>
      <c r="G981" s="10" t="str">
        <v/>
      </c>
      <c r="H981" s="11" t="str">
        <v/>
      </c>
      <c r="I981" s="11" t="str">
        <v/>
      </c>
    </row>
    <row r="982" spans="2:9">
      <c r="B982" s="11" t="str">
        <f t="shared" si="81"/>
        <v/>
      </c>
      <c r="C982" s="11" t="str">
        <f t="shared" si="84"/>
        <v/>
      </c>
      <c r="D982" s="11" t="str">
        <f t="shared" si="85"/>
        <v/>
      </c>
      <c r="E982" s="11" t="str">
        <f t="shared" si="82"/>
        <v/>
      </c>
      <c r="F982" s="11" t="str">
        <f t="shared" si="83"/>
        <v/>
      </c>
      <c r="G982" s="10" t="str">
        <v/>
      </c>
      <c r="H982" s="11" t="str">
        <v/>
      </c>
      <c r="I982" s="11" t="str">
        <v/>
      </c>
    </row>
    <row r="983" spans="2:9">
      <c r="B983" s="11" t="str">
        <f t="shared" si="81"/>
        <v/>
      </c>
      <c r="C983" s="11" t="str">
        <f t="shared" si="84"/>
        <v/>
      </c>
      <c r="D983" s="11" t="str">
        <f t="shared" si="85"/>
        <v/>
      </c>
      <c r="E983" s="11" t="str">
        <f t="shared" si="82"/>
        <v/>
      </c>
      <c r="F983" s="11" t="str">
        <f t="shared" si="83"/>
        <v/>
      </c>
      <c r="G983" s="10" t="str">
        <v/>
      </c>
      <c r="H983" s="11" t="str">
        <v/>
      </c>
      <c r="I983" s="11" t="str">
        <v/>
      </c>
    </row>
    <row r="984" spans="2:9">
      <c r="B984" s="11" t="str">
        <f t="shared" si="81"/>
        <v/>
      </c>
      <c r="C984" s="11" t="str">
        <f t="shared" si="84"/>
        <v/>
      </c>
      <c r="D984" s="11" t="str">
        <f t="shared" si="85"/>
        <v/>
      </c>
      <c r="E984" s="11" t="str">
        <f t="shared" si="82"/>
        <v/>
      </c>
      <c r="F984" s="11" t="str">
        <f t="shared" si="83"/>
        <v/>
      </c>
      <c r="G984" s="10" t="str">
        <v/>
      </c>
      <c r="H984" s="11" t="str">
        <v/>
      </c>
      <c r="I984" s="11" t="str">
        <v/>
      </c>
    </row>
    <row r="985" spans="2:9">
      <c r="B985" s="11" t="str">
        <f t="shared" si="81"/>
        <v/>
      </c>
      <c r="C985" s="11" t="str">
        <f t="shared" si="84"/>
        <v/>
      </c>
      <c r="D985" s="11" t="str">
        <f t="shared" si="85"/>
        <v/>
      </c>
      <c r="E985" s="11" t="str">
        <f t="shared" si="82"/>
        <v/>
      </c>
      <c r="F985" s="11" t="str">
        <f t="shared" si="83"/>
        <v/>
      </c>
      <c r="G985" s="10" t="str">
        <v/>
      </c>
      <c r="H985" s="11" t="str">
        <v/>
      </c>
      <c r="I985" s="11" t="str">
        <v/>
      </c>
    </row>
    <row r="986" spans="2:9">
      <c r="B986" s="11" t="str">
        <f t="shared" si="81"/>
        <v/>
      </c>
      <c r="C986" s="11" t="str">
        <f t="shared" si="84"/>
        <v/>
      </c>
      <c r="D986" s="11" t="str">
        <f t="shared" si="85"/>
        <v/>
      </c>
      <c r="E986" s="11" t="str">
        <f t="shared" si="82"/>
        <v/>
      </c>
      <c r="F986" s="11" t="str">
        <f t="shared" si="83"/>
        <v/>
      </c>
      <c r="G986" s="10" t="str">
        <v/>
      </c>
      <c r="H986" s="11" t="str">
        <v/>
      </c>
      <c r="I986" s="11" t="str">
        <v/>
      </c>
    </row>
    <row r="987" spans="2:9">
      <c r="B987" s="11" t="str">
        <f t="shared" si="81"/>
        <v/>
      </c>
      <c r="C987" s="11" t="str">
        <f t="shared" si="84"/>
        <v/>
      </c>
      <c r="D987" s="11" t="str">
        <f t="shared" si="85"/>
        <v/>
      </c>
      <c r="E987" s="11" t="str">
        <f t="shared" si="82"/>
        <v/>
      </c>
      <c r="F987" s="11" t="str">
        <f t="shared" si="83"/>
        <v/>
      </c>
      <c r="G987" s="10" t="str">
        <v/>
      </c>
      <c r="H987" s="11" t="str">
        <v/>
      </c>
      <c r="I987" s="11" t="str">
        <v/>
      </c>
    </row>
    <row r="988" spans="2:9">
      <c r="B988" s="11" t="str">
        <f t="shared" si="81"/>
        <v/>
      </c>
      <c r="C988" s="11" t="str">
        <f t="shared" si="84"/>
        <v/>
      </c>
      <c r="D988" s="11" t="str">
        <f t="shared" si="85"/>
        <v/>
      </c>
      <c r="E988" s="11" t="str">
        <f t="shared" si="82"/>
        <v/>
      </c>
      <c r="F988" s="11" t="str">
        <f t="shared" si="83"/>
        <v/>
      </c>
      <c r="G988" s="10" t="str">
        <v/>
      </c>
      <c r="H988" s="11" t="str">
        <v/>
      </c>
      <c r="I988" s="11" t="str">
        <v/>
      </c>
    </row>
    <row r="989" spans="2:9">
      <c r="B989" s="11" t="str">
        <f t="shared" si="81"/>
        <v/>
      </c>
      <c r="C989" s="11" t="str">
        <f t="shared" si="84"/>
        <v/>
      </c>
      <c r="D989" s="11" t="str">
        <f t="shared" si="85"/>
        <v/>
      </c>
      <c r="E989" s="11" t="str">
        <f t="shared" si="82"/>
        <v/>
      </c>
      <c r="F989" s="11" t="str">
        <f t="shared" si="83"/>
        <v/>
      </c>
      <c r="G989" s="10" t="str">
        <v/>
      </c>
      <c r="H989" s="11" t="str">
        <v/>
      </c>
      <c r="I989" s="11" t="str">
        <v/>
      </c>
    </row>
    <row r="990" spans="2:9">
      <c r="B990" s="11" t="str">
        <f t="shared" si="81"/>
        <v/>
      </c>
      <c r="C990" s="11" t="str">
        <f t="shared" si="84"/>
        <v/>
      </c>
      <c r="D990" s="11" t="str">
        <f t="shared" si="85"/>
        <v/>
      </c>
      <c r="E990" s="11" t="str">
        <f t="shared" si="82"/>
        <v/>
      </c>
      <c r="F990" s="11" t="str">
        <f t="shared" si="83"/>
        <v/>
      </c>
      <c r="G990" s="10" t="str">
        <v/>
      </c>
      <c r="H990" s="11" t="str">
        <v/>
      </c>
      <c r="I990" s="11" t="str">
        <v/>
      </c>
    </row>
    <row r="991" spans="2:9">
      <c r="B991" s="11" t="str">
        <f t="shared" si="81"/>
        <v/>
      </c>
      <c r="C991" s="11" t="str">
        <f t="shared" si="84"/>
        <v/>
      </c>
      <c r="D991" s="11" t="str">
        <f t="shared" si="85"/>
        <v/>
      </c>
      <c r="E991" s="11" t="str">
        <f t="shared" si="82"/>
        <v/>
      </c>
      <c r="F991" s="11" t="str">
        <f t="shared" si="83"/>
        <v/>
      </c>
      <c r="G991" s="10" t="str">
        <v/>
      </c>
      <c r="H991" s="11" t="str">
        <v/>
      </c>
      <c r="I991" s="11" t="str">
        <v/>
      </c>
    </row>
    <row r="992" spans="2:9">
      <c r="B992" s="11" t="str">
        <f t="shared" si="81"/>
        <v/>
      </c>
      <c r="C992" s="11" t="str">
        <f t="shared" si="84"/>
        <v/>
      </c>
      <c r="D992" s="11" t="str">
        <f t="shared" si="85"/>
        <v/>
      </c>
      <c r="E992" s="11" t="str">
        <f t="shared" si="82"/>
        <v/>
      </c>
      <c r="F992" s="11" t="str">
        <f t="shared" si="83"/>
        <v/>
      </c>
      <c r="G992" s="10" t="str">
        <v/>
      </c>
      <c r="H992" s="11" t="str">
        <v/>
      </c>
      <c r="I992" s="11" t="str">
        <v/>
      </c>
    </row>
    <row r="993" spans="2:9">
      <c r="B993" s="11" t="str">
        <f t="shared" si="81"/>
        <v/>
      </c>
      <c r="C993" s="11" t="str">
        <f t="shared" si="84"/>
        <v/>
      </c>
      <c r="D993" s="11" t="str">
        <f t="shared" si="85"/>
        <v/>
      </c>
      <c r="E993" s="11" t="str">
        <f t="shared" si="82"/>
        <v/>
      </c>
      <c r="F993" s="11" t="str">
        <f t="shared" si="83"/>
        <v/>
      </c>
      <c r="G993" s="10" t="str">
        <v/>
      </c>
      <c r="H993" s="11" t="str">
        <v/>
      </c>
      <c r="I993" s="11" t="str">
        <v/>
      </c>
    </row>
    <row r="994" spans="2:9">
      <c r="B994" s="11" t="str">
        <f t="shared" si="81"/>
        <v/>
      </c>
      <c r="C994" s="11" t="str">
        <f t="shared" si="84"/>
        <v/>
      </c>
      <c r="D994" s="11" t="str">
        <f t="shared" si="85"/>
        <v/>
      </c>
      <c r="E994" s="11" t="str">
        <f t="shared" si="82"/>
        <v/>
      </c>
      <c r="F994" s="11" t="str">
        <f t="shared" si="83"/>
        <v/>
      </c>
      <c r="G994" s="10" t="str">
        <v/>
      </c>
      <c r="H994" s="11" t="str">
        <v/>
      </c>
      <c r="I994" s="11" t="str">
        <v/>
      </c>
    </row>
    <row r="995" spans="2:9">
      <c r="B995" s="11" t="str">
        <f t="shared" si="81"/>
        <v/>
      </c>
      <c r="C995" s="11" t="str">
        <f t="shared" si="84"/>
        <v/>
      </c>
      <c r="D995" s="11" t="str">
        <f t="shared" si="85"/>
        <v/>
      </c>
      <c r="E995" s="11" t="str">
        <f t="shared" si="82"/>
        <v/>
      </c>
      <c r="F995" s="11" t="str">
        <f t="shared" si="83"/>
        <v/>
      </c>
      <c r="G995" s="10" t="str">
        <v/>
      </c>
      <c r="H995" s="11" t="str">
        <v/>
      </c>
      <c r="I995" s="11" t="str">
        <v/>
      </c>
    </row>
    <row r="996" spans="2:9">
      <c r="B996" s="11" t="str">
        <f t="shared" si="81"/>
        <v/>
      </c>
      <c r="C996" s="11" t="str">
        <f t="shared" si="84"/>
        <v/>
      </c>
      <c r="D996" s="11" t="str">
        <f t="shared" si="85"/>
        <v/>
      </c>
      <c r="E996" s="11" t="str">
        <f t="shared" si="82"/>
        <v/>
      </c>
      <c r="F996" s="11" t="str">
        <f t="shared" si="83"/>
        <v/>
      </c>
      <c r="G996" s="10" t="str">
        <v/>
      </c>
      <c r="H996" s="11" t="str">
        <v/>
      </c>
      <c r="I996" s="11" t="str">
        <v/>
      </c>
    </row>
    <row r="997" spans="2:9">
      <c r="B997" s="11" t="str">
        <f t="shared" si="81"/>
        <v/>
      </c>
      <c r="C997" s="11" t="str">
        <f t="shared" si="84"/>
        <v/>
      </c>
      <c r="D997" s="11" t="str">
        <f t="shared" si="85"/>
        <v/>
      </c>
      <c r="E997" s="11" t="str">
        <f t="shared" si="82"/>
        <v/>
      </c>
      <c r="F997" s="11" t="str">
        <f t="shared" si="83"/>
        <v/>
      </c>
      <c r="G997" s="10" t="str">
        <v/>
      </c>
      <c r="H997" s="11" t="str">
        <v/>
      </c>
      <c r="I997" s="11" t="str">
        <v/>
      </c>
    </row>
    <row r="998" spans="2:9">
      <c r="B998" s="11" t="str">
        <f t="shared" si="81"/>
        <v/>
      </c>
      <c r="C998" s="11" t="str">
        <f t="shared" si="84"/>
        <v/>
      </c>
      <c r="D998" s="11" t="str">
        <f t="shared" si="85"/>
        <v/>
      </c>
      <c r="E998" s="11" t="str">
        <f t="shared" si="82"/>
        <v/>
      </c>
      <c r="F998" s="11" t="str">
        <f t="shared" si="83"/>
        <v/>
      </c>
      <c r="G998" s="10" t="str">
        <v/>
      </c>
      <c r="H998" s="11" t="str">
        <v/>
      </c>
      <c r="I998" s="11" t="str">
        <v/>
      </c>
    </row>
    <row r="999" spans="2:9">
      <c r="B999" s="11" t="str">
        <f t="shared" si="81"/>
        <v/>
      </c>
      <c r="C999" s="11" t="str">
        <f t="shared" si="84"/>
        <v/>
      </c>
      <c r="D999" s="11" t="str">
        <f t="shared" si="85"/>
        <v/>
      </c>
      <c r="E999" s="11" t="str">
        <f t="shared" si="82"/>
        <v/>
      </c>
      <c r="F999" s="11" t="str">
        <f t="shared" si="83"/>
        <v/>
      </c>
      <c r="G999" s="10" t="str">
        <v/>
      </c>
      <c r="H999" s="11" t="str">
        <v/>
      </c>
      <c r="I999" s="11" t="str">
        <v/>
      </c>
    </row>
    <row r="1000" spans="2:9">
      <c r="B1000" s="11" t="str">
        <f t="shared" si="81"/>
        <v/>
      </c>
      <c r="C1000" s="11" t="str">
        <f t="shared" si="84"/>
        <v/>
      </c>
      <c r="D1000" s="11" t="str">
        <f t="shared" si="85"/>
        <v/>
      </c>
      <c r="E1000" s="11" t="str">
        <f t="shared" si="82"/>
        <v/>
      </c>
      <c r="F1000" s="11" t="str">
        <f t="shared" si="83"/>
        <v/>
      </c>
      <c r="G1000" s="10" t="str">
        <v/>
      </c>
      <c r="H1000" s="11" t="str">
        <v/>
      </c>
      <c r="I1000" s="11" t="str">
        <v/>
      </c>
    </row>
    <row r="1001" spans="2:9">
      <c r="B1001" s="11" t="str">
        <f t="shared" si="81"/>
        <v/>
      </c>
      <c r="C1001" s="11" t="str">
        <f t="shared" si="84"/>
        <v/>
      </c>
      <c r="D1001" s="11" t="str">
        <f t="shared" si="85"/>
        <v/>
      </c>
      <c r="E1001" s="11" t="str">
        <f t="shared" si="82"/>
        <v/>
      </c>
      <c r="F1001" s="11" t="str">
        <f t="shared" si="83"/>
        <v/>
      </c>
      <c r="G1001" s="10" t="str">
        <v/>
      </c>
      <c r="H1001" s="11" t="str">
        <v/>
      </c>
      <c r="I1001" s="11" t="str">
        <v/>
      </c>
    </row>
    <row r="1002" spans="2:9">
      <c r="B1002" s="11" t="str">
        <f t="shared" si="81"/>
        <v/>
      </c>
      <c r="C1002" s="11" t="str">
        <f t="shared" si="84"/>
        <v/>
      </c>
      <c r="D1002" s="11" t="str">
        <f t="shared" si="85"/>
        <v/>
      </c>
      <c r="E1002" s="11" t="str">
        <f t="shared" si="82"/>
        <v/>
      </c>
      <c r="F1002" s="11" t="str">
        <f t="shared" si="83"/>
        <v/>
      </c>
      <c r="G1002" s="10" t="str">
        <v/>
      </c>
      <c r="H1002" s="11" t="str">
        <v/>
      </c>
      <c r="I1002" s="11" t="str">
        <v/>
      </c>
    </row>
    <row r="1003" spans="2:9">
      <c r="B1003" s="11" t="str">
        <f t="shared" si="81"/>
        <v/>
      </c>
      <c r="C1003" s="11" t="str">
        <f t="shared" si="84"/>
        <v/>
      </c>
      <c r="D1003" s="11" t="str">
        <f t="shared" si="85"/>
        <v/>
      </c>
      <c r="E1003" s="11" t="str">
        <f t="shared" si="82"/>
        <v/>
      </c>
      <c r="F1003" s="11" t="str">
        <f t="shared" si="83"/>
        <v/>
      </c>
      <c r="G1003" s="10" t="str">
        <v/>
      </c>
      <c r="H1003" s="11" t="str">
        <v/>
      </c>
      <c r="I1003" s="11" t="str">
        <v/>
      </c>
    </row>
    <row r="1004" spans="2:9">
      <c r="B1004" s="11" t="str">
        <f t="shared" si="81"/>
        <v/>
      </c>
      <c r="C1004" s="11" t="str">
        <f t="shared" si="84"/>
        <v/>
      </c>
      <c r="D1004" s="11" t="str">
        <f t="shared" si="85"/>
        <v/>
      </c>
      <c r="E1004" s="11" t="str">
        <f t="shared" si="82"/>
        <v/>
      </c>
      <c r="F1004" s="11" t="str">
        <f t="shared" si="83"/>
        <v/>
      </c>
      <c r="G1004" s="10" t="str">
        <v/>
      </c>
      <c r="H1004" s="11" t="str">
        <v/>
      </c>
      <c r="I1004" s="11" t="str">
        <v/>
      </c>
    </row>
    <row r="1005" spans="2:9">
      <c r="B1005" s="11" t="str">
        <f t="shared" si="81"/>
        <v/>
      </c>
      <c r="C1005" s="11" t="str">
        <f t="shared" si="84"/>
        <v/>
      </c>
      <c r="D1005" s="11" t="str">
        <f t="shared" si="85"/>
        <v/>
      </c>
      <c r="E1005" s="11" t="str">
        <f t="shared" si="82"/>
        <v/>
      </c>
      <c r="F1005" s="11" t="str">
        <f t="shared" si="83"/>
        <v/>
      </c>
      <c r="G1005" s="10" t="str">
        <v/>
      </c>
      <c r="H1005" s="11" t="str">
        <v/>
      </c>
      <c r="I1005" s="11" t="str">
        <v/>
      </c>
    </row>
    <row r="1006" spans="2:9">
      <c r="B1006" s="11" t="str">
        <f t="shared" si="81"/>
        <v/>
      </c>
      <c r="C1006" s="11" t="str">
        <f t="shared" si="84"/>
        <v/>
      </c>
      <c r="D1006" s="11" t="str">
        <f t="shared" si="85"/>
        <v/>
      </c>
      <c r="E1006" s="11" t="str">
        <f t="shared" si="82"/>
        <v/>
      </c>
      <c r="F1006" s="11" t="str">
        <f t="shared" si="83"/>
        <v/>
      </c>
      <c r="G1006" s="10" t="str">
        <v/>
      </c>
      <c r="H1006" s="11" t="str">
        <v/>
      </c>
      <c r="I1006" s="11" t="str">
        <v/>
      </c>
    </row>
    <row r="1007" spans="2:9">
      <c r="B1007" s="11" t="str">
        <f t="shared" si="81"/>
        <v/>
      </c>
      <c r="C1007" s="11" t="str">
        <f t="shared" si="84"/>
        <v/>
      </c>
      <c r="D1007" s="11" t="str">
        <f t="shared" si="85"/>
        <v/>
      </c>
      <c r="E1007" s="11" t="str">
        <f t="shared" si="82"/>
        <v/>
      </c>
      <c r="F1007" s="11" t="str">
        <f t="shared" si="83"/>
        <v/>
      </c>
      <c r="G1007" s="10" t="str">
        <v/>
      </c>
      <c r="H1007" s="11" t="str">
        <v/>
      </c>
      <c r="I1007" s="11" t="str">
        <v/>
      </c>
    </row>
    <row r="1008" spans="2:9">
      <c r="B1008" s="11" t="str">
        <f t="shared" si="81"/>
        <v/>
      </c>
      <c r="C1008" s="11" t="str">
        <f t="shared" si="84"/>
        <v/>
      </c>
      <c r="D1008" s="11" t="str">
        <f t="shared" si="85"/>
        <v/>
      </c>
      <c r="E1008" s="11" t="str">
        <f t="shared" si="82"/>
        <v/>
      </c>
      <c r="F1008" s="11" t="str">
        <f t="shared" si="83"/>
        <v/>
      </c>
      <c r="G1008" s="10" t="str">
        <v/>
      </c>
      <c r="H1008" s="11" t="str">
        <v/>
      </c>
      <c r="I1008" s="11" t="str">
        <v/>
      </c>
    </row>
    <row r="1009" spans="2:9">
      <c r="B1009" s="11" t="str">
        <f t="shared" si="81"/>
        <v/>
      </c>
      <c r="C1009" s="11" t="str">
        <f t="shared" si="84"/>
        <v/>
      </c>
      <c r="D1009" s="11" t="str">
        <f t="shared" si="85"/>
        <v/>
      </c>
      <c r="E1009" s="11" t="str">
        <f t="shared" si="82"/>
        <v/>
      </c>
      <c r="F1009" s="11" t="str">
        <f t="shared" si="83"/>
        <v/>
      </c>
      <c r="G1009" s="10" t="str">
        <v/>
      </c>
      <c r="H1009" s="11" t="str">
        <v/>
      </c>
      <c r="I1009" s="11" t="str">
        <v/>
      </c>
    </row>
    <row r="1010" spans="2:9">
      <c r="B1010" s="11" t="str">
        <f t="shared" si="81"/>
        <v/>
      </c>
      <c r="C1010" s="11" t="str">
        <f t="shared" si="84"/>
        <v/>
      </c>
      <c r="D1010" s="11" t="str">
        <f t="shared" si="85"/>
        <v/>
      </c>
      <c r="E1010" s="11" t="str">
        <f t="shared" si="82"/>
        <v/>
      </c>
      <c r="F1010" s="11" t="str">
        <f t="shared" si="83"/>
        <v/>
      </c>
      <c r="G1010" s="10" t="str">
        <v/>
      </c>
      <c r="H1010" s="11" t="str">
        <v/>
      </c>
      <c r="I1010" s="11" t="str">
        <v/>
      </c>
    </row>
    <row r="1011" spans="2:9">
      <c r="B1011" s="11" t="str">
        <f t="shared" si="81"/>
        <v/>
      </c>
      <c r="C1011" s="11" t="str">
        <f t="shared" si="84"/>
        <v/>
      </c>
      <c r="D1011" s="11" t="str">
        <f t="shared" si="85"/>
        <v/>
      </c>
      <c r="E1011" s="11" t="str">
        <f t="shared" si="82"/>
        <v/>
      </c>
      <c r="F1011" s="11" t="str">
        <f t="shared" si="83"/>
        <v/>
      </c>
      <c r="G1011" s="10" t="str">
        <v/>
      </c>
      <c r="H1011" s="11" t="str">
        <v/>
      </c>
      <c r="I1011" s="11" t="str">
        <v/>
      </c>
    </row>
    <row r="1012" spans="2:9">
      <c r="B1012" s="11" t="str">
        <f t="shared" si="81"/>
        <v/>
      </c>
      <c r="C1012" s="11" t="str">
        <f t="shared" si="84"/>
        <v/>
      </c>
      <c r="D1012" s="11" t="str">
        <f t="shared" si="85"/>
        <v/>
      </c>
      <c r="E1012" s="11" t="str">
        <f t="shared" si="82"/>
        <v/>
      </c>
      <c r="F1012" s="11" t="str">
        <f t="shared" si="83"/>
        <v/>
      </c>
      <c r="G1012" s="10" t="str">
        <v/>
      </c>
      <c r="H1012" s="11" t="str">
        <v/>
      </c>
      <c r="I1012" s="11" t="str">
        <v/>
      </c>
    </row>
    <row r="1013" spans="2:9">
      <c r="B1013" s="11" t="str">
        <f t="shared" si="81"/>
        <v/>
      </c>
      <c r="C1013" s="11" t="str">
        <f t="shared" si="84"/>
        <v/>
      </c>
      <c r="D1013" s="11" t="str">
        <f t="shared" si="85"/>
        <v/>
      </c>
      <c r="E1013" s="11" t="str">
        <f t="shared" si="82"/>
        <v/>
      </c>
      <c r="F1013" s="11" t="str">
        <f t="shared" si="83"/>
        <v/>
      </c>
      <c r="G1013" s="10" t="str">
        <v/>
      </c>
      <c r="H1013" s="11" t="str">
        <v/>
      </c>
      <c r="I1013" s="11" t="str">
        <v/>
      </c>
    </row>
    <row r="1014" spans="2:9">
      <c r="B1014" s="11" t="str">
        <f t="shared" si="81"/>
        <v/>
      </c>
      <c r="C1014" s="11" t="str">
        <f t="shared" si="84"/>
        <v/>
      </c>
      <c r="D1014" s="11" t="str">
        <f t="shared" si="85"/>
        <v/>
      </c>
      <c r="E1014" s="11" t="str">
        <f t="shared" si="82"/>
        <v/>
      </c>
      <c r="F1014" s="11" t="str">
        <f t="shared" si="83"/>
        <v/>
      </c>
      <c r="G1014" s="10" t="str">
        <v/>
      </c>
      <c r="H1014" s="11" t="str">
        <v/>
      </c>
      <c r="I1014" s="11" t="str">
        <v/>
      </c>
    </row>
    <row r="1015" spans="2:9">
      <c r="B1015" s="11" t="str">
        <f t="shared" si="81"/>
        <v/>
      </c>
      <c r="C1015" s="11" t="str">
        <f t="shared" si="84"/>
        <v/>
      </c>
      <c r="D1015" s="11" t="str">
        <f t="shared" si="85"/>
        <v/>
      </c>
      <c r="E1015" s="11" t="str">
        <f t="shared" si="82"/>
        <v/>
      </c>
      <c r="F1015" s="11" t="str">
        <f t="shared" si="83"/>
        <v/>
      </c>
      <c r="G1015" s="10" t="str">
        <v/>
      </c>
      <c r="H1015" s="11" t="str">
        <v/>
      </c>
      <c r="I1015" s="11" t="str">
        <v/>
      </c>
    </row>
    <row r="1016" spans="2:9">
      <c r="B1016" s="11" t="str">
        <f t="shared" si="81"/>
        <v/>
      </c>
      <c r="C1016" s="11" t="str">
        <f t="shared" si="84"/>
        <v/>
      </c>
      <c r="D1016" s="11" t="str">
        <f t="shared" si="85"/>
        <v/>
      </c>
      <c r="E1016" s="11" t="str">
        <f t="shared" si="82"/>
        <v/>
      </c>
      <c r="F1016" s="11" t="str">
        <f t="shared" si="83"/>
        <v/>
      </c>
      <c r="G1016" s="10" t="str">
        <v/>
      </c>
      <c r="H1016" s="11" t="str">
        <v/>
      </c>
      <c r="I1016" s="11" t="str">
        <v/>
      </c>
    </row>
    <row r="1017" spans="2:9">
      <c r="B1017" s="11" t="str">
        <f t="shared" si="81"/>
        <v/>
      </c>
      <c r="C1017" s="11" t="str">
        <f t="shared" si="84"/>
        <v/>
      </c>
      <c r="D1017" s="11" t="str">
        <f t="shared" si="85"/>
        <v/>
      </c>
      <c r="E1017" s="11" t="str">
        <f t="shared" si="82"/>
        <v/>
      </c>
      <c r="F1017" s="11" t="str">
        <f t="shared" si="83"/>
        <v/>
      </c>
      <c r="G1017" s="10" t="str">
        <v/>
      </c>
      <c r="H1017" s="11" t="str">
        <v/>
      </c>
      <c r="I1017" s="11" t="str">
        <v/>
      </c>
    </row>
    <row r="1018" spans="2:9">
      <c r="B1018" s="11" t="str">
        <f t="shared" si="81"/>
        <v/>
      </c>
      <c r="C1018" s="11" t="str">
        <f t="shared" si="84"/>
        <v/>
      </c>
      <c r="D1018" s="11" t="str">
        <f t="shared" si="85"/>
        <v/>
      </c>
      <c r="E1018" s="11" t="str">
        <f t="shared" si="82"/>
        <v/>
      </c>
      <c r="F1018" s="11" t="str">
        <f t="shared" si="83"/>
        <v/>
      </c>
      <c r="G1018" s="10" t="str">
        <v/>
      </c>
      <c r="H1018" s="11" t="str">
        <v/>
      </c>
      <c r="I1018" s="11" t="str">
        <v/>
      </c>
    </row>
    <row r="1019" spans="2:9">
      <c r="B1019" s="11" t="str">
        <f t="shared" si="81"/>
        <v/>
      </c>
      <c r="C1019" s="11" t="str">
        <f t="shared" si="84"/>
        <v/>
      </c>
      <c r="D1019" s="11" t="str">
        <f t="shared" si="85"/>
        <v/>
      </c>
      <c r="E1019" s="11" t="str">
        <f t="shared" si="82"/>
        <v/>
      </c>
      <c r="F1019" s="11" t="str">
        <f t="shared" si="83"/>
        <v/>
      </c>
      <c r="G1019" s="10" t="str">
        <v/>
      </c>
      <c r="H1019" s="11" t="str">
        <v/>
      </c>
      <c r="I1019" s="11" t="str">
        <v/>
      </c>
    </row>
    <row r="1020" spans="2:9">
      <c r="B1020" s="11" t="str">
        <f t="shared" si="81"/>
        <v/>
      </c>
      <c r="C1020" s="11" t="str">
        <f t="shared" si="84"/>
        <v/>
      </c>
      <c r="D1020" s="11" t="str">
        <f t="shared" si="85"/>
        <v/>
      </c>
      <c r="E1020" s="11" t="str">
        <f t="shared" si="82"/>
        <v/>
      </c>
      <c r="F1020" s="11" t="str">
        <f t="shared" si="83"/>
        <v/>
      </c>
      <c r="G1020" s="10" t="str">
        <v/>
      </c>
      <c r="H1020" s="11" t="str">
        <v/>
      </c>
      <c r="I1020" s="11" t="str">
        <v/>
      </c>
    </row>
    <row r="1021" spans="2:9">
      <c r="B1021" s="11" t="str">
        <f t="shared" si="81"/>
        <v/>
      </c>
      <c r="C1021" s="11" t="str">
        <f t="shared" si="84"/>
        <v/>
      </c>
      <c r="D1021" s="11" t="str">
        <f t="shared" si="85"/>
        <v/>
      </c>
      <c r="E1021" s="11" t="str">
        <f t="shared" si="82"/>
        <v/>
      </c>
      <c r="F1021" s="11" t="str">
        <f t="shared" si="83"/>
        <v/>
      </c>
      <c r="G1021" s="10" t="str">
        <v/>
      </c>
      <c r="H1021" s="11" t="str">
        <v/>
      </c>
      <c r="I1021" s="11" t="str">
        <v/>
      </c>
    </row>
    <row r="1022" spans="2:9">
      <c r="B1022" s="11" t="str">
        <f t="shared" si="81"/>
        <v/>
      </c>
      <c r="C1022" s="11" t="str">
        <f t="shared" si="84"/>
        <v/>
      </c>
      <c r="D1022" s="11" t="str">
        <f t="shared" si="85"/>
        <v/>
      </c>
      <c r="E1022" s="11" t="str">
        <f t="shared" si="82"/>
        <v/>
      </c>
      <c r="F1022" s="11" t="str">
        <f t="shared" si="83"/>
        <v/>
      </c>
      <c r="G1022" s="10" t="str">
        <v/>
      </c>
      <c r="H1022" s="11" t="str">
        <v/>
      </c>
      <c r="I1022" s="11" t="str">
        <v/>
      </c>
    </row>
    <row r="1023" spans="2:9">
      <c r="B1023" s="11" t="str">
        <f t="shared" si="81"/>
        <v/>
      </c>
      <c r="C1023" s="11" t="str">
        <f t="shared" si="84"/>
        <v/>
      </c>
      <c r="D1023" s="11" t="str">
        <f t="shared" si="85"/>
        <v/>
      </c>
      <c r="E1023" s="11" t="str">
        <f t="shared" si="82"/>
        <v/>
      </c>
      <c r="F1023" s="11" t="str">
        <f t="shared" si="83"/>
        <v/>
      </c>
      <c r="G1023" s="10" t="str">
        <v/>
      </c>
      <c r="H1023" s="11" t="str">
        <v/>
      </c>
      <c r="I1023" s="11" t="str">
        <v/>
      </c>
    </row>
    <row r="1024" spans="2:9">
      <c r="B1024" s="11" t="str">
        <f t="shared" si="81"/>
        <v/>
      </c>
      <c r="C1024" s="11" t="str">
        <f t="shared" si="84"/>
        <v/>
      </c>
      <c r="D1024" s="11" t="str">
        <f t="shared" si="85"/>
        <v/>
      </c>
      <c r="E1024" s="11" t="str">
        <f t="shared" si="82"/>
        <v/>
      </c>
      <c r="F1024" s="11" t="str">
        <f t="shared" si="83"/>
        <v/>
      </c>
      <c r="G1024" s="10" t="str">
        <v/>
      </c>
      <c r="H1024" s="11" t="str">
        <v/>
      </c>
      <c r="I1024" s="11" t="str">
        <v/>
      </c>
    </row>
    <row r="1025" spans="2:9">
      <c r="B1025" s="11" t="str">
        <f t="shared" ref="B1025:B1088" si="86">IFERROR(IF(FIND(" ",A1025)=6,IF(IFERROR(FIND(" PB",A1025),"")&lt;&gt;"","артикул",IF(IFERROR(FIND(" CRN",A1025),"")&lt;&gt;"","артикул","")),""),"")</f>
        <v/>
      </c>
      <c r="C1025" s="11" t="str">
        <f t="shared" si="84"/>
        <v/>
      </c>
      <c r="D1025" s="11" t="str">
        <f t="shared" si="85"/>
        <v/>
      </c>
      <c r="E1025" s="11" t="str">
        <f t="shared" si="82"/>
        <v/>
      </c>
      <c r="F1025" s="11" t="str">
        <f t="shared" si="83"/>
        <v/>
      </c>
      <c r="G1025" s="10" t="str">
        <v/>
      </c>
      <c r="H1025" s="11" t="str">
        <v/>
      </c>
      <c r="I1025" s="11" t="str">
        <v/>
      </c>
    </row>
    <row r="1026" spans="2:9">
      <c r="B1026" s="11" t="str">
        <f t="shared" si="86"/>
        <v/>
      </c>
      <c r="C1026" s="11" t="str">
        <f t="shared" si="84"/>
        <v/>
      </c>
      <c r="D1026" s="11" t="str">
        <f t="shared" si="85"/>
        <v/>
      </c>
      <c r="E1026" s="11" t="str">
        <f t="shared" ref="E1026:E1089" si="87" xml:space="preserve">
IF(B1026="Артикул",
IF(
AND(RIGHT(A1027,1)="%",
RIGHT(A1028,1)="%",
RIGHT(A1029,1)="%",
RIGHT(A1030,1)="%"),MID(A1031,FIND(" ",A1031),50),
IF(
AND(RIGHT(A1027,1)="%",
RIGHT(A1028,1)="%",
RIGHT(A1029,1)="%"),MID(A1030,FIND(" ",A1030),50),
IF(
AND(RIGHT(A1027,1)="%",
RIGHT(A1028,1)="%"),
MID(A1029,FIND(" ",A1029),50),
IF(
RIGHT(A1027,1)="%",
MID(A1028,FIND(" ",A1028),50),"")))),"")</f>
        <v/>
      </c>
      <c r="F1026" s="11" t="str">
        <f t="shared" ref="F1026:F1089" si="88">IFERROR(
IF(
AND(LEFT(A1026,8)="Discount",FIND("%",A1026)&gt;0),
MID(A1026,
FIND(" ",A1026),
FIND("%",A1026)-FIND(" ",A1026))
*-1,""),"")</f>
        <v/>
      </c>
      <c r="G1026" s="10" t="str">
        <v/>
      </c>
      <c r="H1026" s="11" t="str">
        <v/>
      </c>
      <c r="I1026" s="11" t="str">
        <v/>
      </c>
    </row>
    <row r="1027" spans="2:9">
      <c r="B1027" s="11" t="str">
        <f t="shared" si="86"/>
        <v/>
      </c>
      <c r="C1027" s="11" t="str">
        <f t="shared" si="84"/>
        <v/>
      </c>
      <c r="D1027" s="11" t="str">
        <f t="shared" si="85"/>
        <v/>
      </c>
      <c r="E1027" s="11" t="str">
        <f t="shared" si="87"/>
        <v/>
      </c>
      <c r="F1027" s="11" t="str">
        <f t="shared" si="88"/>
        <v/>
      </c>
      <c r="G1027" s="10" t="str">
        <v/>
      </c>
      <c r="H1027" s="11" t="str">
        <v/>
      </c>
      <c r="I1027" s="11" t="str">
        <v/>
      </c>
    </row>
    <row r="1028" spans="2:9">
      <c r="B1028" s="11" t="str">
        <f t="shared" si="86"/>
        <v/>
      </c>
      <c r="C1028" s="11" t="str">
        <f t="shared" si="84"/>
        <v/>
      </c>
      <c r="D1028" s="11" t="str">
        <f t="shared" si="85"/>
        <v/>
      </c>
      <c r="E1028" s="11" t="str">
        <f t="shared" si="87"/>
        <v/>
      </c>
      <c r="F1028" s="11" t="str">
        <f t="shared" si="88"/>
        <v/>
      </c>
      <c r="G1028" s="10" t="str">
        <v/>
      </c>
      <c r="H1028" s="11" t="str">
        <v/>
      </c>
      <c r="I1028" s="11" t="str">
        <v/>
      </c>
    </row>
    <row r="1029" spans="2:9">
      <c r="B1029" s="11" t="str">
        <f t="shared" si="86"/>
        <v/>
      </c>
      <c r="C1029" s="11" t="str">
        <f t="shared" si="84"/>
        <v/>
      </c>
      <c r="D1029" s="11" t="str">
        <f t="shared" si="85"/>
        <v/>
      </c>
      <c r="E1029" s="11" t="str">
        <f t="shared" si="87"/>
        <v/>
      </c>
      <c r="F1029" s="11" t="str">
        <f t="shared" si="88"/>
        <v/>
      </c>
      <c r="G1029" s="10" t="str">
        <v/>
      </c>
      <c r="H1029" s="11" t="str">
        <v/>
      </c>
      <c r="I1029" s="11" t="str">
        <v/>
      </c>
    </row>
    <row r="1030" spans="2:9">
      <c r="B1030" s="11" t="str">
        <f t="shared" si="86"/>
        <v/>
      </c>
      <c r="C1030" s="11" t="str">
        <f t="shared" si="84"/>
        <v/>
      </c>
      <c r="D1030" s="11" t="str">
        <f t="shared" si="85"/>
        <v/>
      </c>
      <c r="E1030" s="11" t="str">
        <f t="shared" si="87"/>
        <v/>
      </c>
      <c r="F1030" s="11" t="str">
        <f t="shared" si="88"/>
        <v/>
      </c>
      <c r="G1030" s="10" t="str">
        <v/>
      </c>
      <c r="H1030" s="11" t="str">
        <v/>
      </c>
      <c r="I1030" s="11" t="str">
        <v/>
      </c>
    </row>
    <row r="1031" spans="2:9">
      <c r="B1031" s="11" t="str">
        <f t="shared" si="86"/>
        <v/>
      </c>
      <c r="C1031" s="11" t="str">
        <f t="shared" si="84"/>
        <v/>
      </c>
      <c r="D1031" s="11" t="str">
        <f t="shared" si="85"/>
        <v/>
      </c>
      <c r="E1031" s="11" t="str">
        <f t="shared" si="87"/>
        <v/>
      </c>
      <c r="F1031" s="11" t="str">
        <f t="shared" si="88"/>
        <v/>
      </c>
      <c r="G1031" s="10" t="str">
        <v/>
      </c>
      <c r="H1031" s="11" t="str">
        <v/>
      </c>
      <c r="I1031" s="11" t="str">
        <v/>
      </c>
    </row>
    <row r="1032" spans="2:9">
      <c r="B1032" s="11" t="str">
        <f t="shared" si="86"/>
        <v/>
      </c>
      <c r="C1032" s="11" t="str">
        <f t="shared" si="84"/>
        <v/>
      </c>
      <c r="D1032" s="11" t="str">
        <f t="shared" si="85"/>
        <v/>
      </c>
      <c r="E1032" s="11" t="str">
        <f t="shared" si="87"/>
        <v/>
      </c>
      <c r="F1032" s="11" t="str">
        <f t="shared" si="88"/>
        <v/>
      </c>
      <c r="G1032" s="10" t="str">
        <v/>
      </c>
      <c r="H1032" s="11" t="str">
        <v/>
      </c>
      <c r="I1032" s="11" t="str">
        <v/>
      </c>
    </row>
    <row r="1033" spans="2:9">
      <c r="B1033" s="11" t="str">
        <f t="shared" si="86"/>
        <v/>
      </c>
      <c r="C1033" s="11" t="str">
        <f t="shared" si="84"/>
        <v/>
      </c>
      <c r="D1033" s="11" t="str">
        <f t="shared" si="85"/>
        <v/>
      </c>
      <c r="E1033" s="11" t="str">
        <f t="shared" si="87"/>
        <v/>
      </c>
      <c r="F1033" s="11" t="str">
        <f t="shared" si="88"/>
        <v/>
      </c>
      <c r="G1033" s="10" t="str">
        <v/>
      </c>
      <c r="H1033" s="11" t="str">
        <v/>
      </c>
      <c r="I1033" s="11" t="str">
        <v/>
      </c>
    </row>
    <row r="1034" spans="2:9">
      <c r="B1034" s="11" t="str">
        <f t="shared" si="86"/>
        <v/>
      </c>
      <c r="C1034" s="11" t="str">
        <f t="shared" si="84"/>
        <v/>
      </c>
      <c r="D1034" s="11" t="str">
        <f t="shared" si="85"/>
        <v/>
      </c>
      <c r="E1034" s="11" t="str">
        <f t="shared" si="87"/>
        <v/>
      </c>
      <c r="F1034" s="11" t="str">
        <f t="shared" si="88"/>
        <v/>
      </c>
      <c r="G1034" s="10" t="str">
        <v/>
      </c>
      <c r="H1034" s="11" t="str">
        <v/>
      </c>
      <c r="I1034" s="11" t="str">
        <v/>
      </c>
    </row>
    <row r="1035" spans="2:9">
      <c r="B1035" s="11" t="str">
        <f t="shared" si="86"/>
        <v/>
      </c>
      <c r="C1035" s="11" t="str">
        <f t="shared" si="84"/>
        <v/>
      </c>
      <c r="D1035" s="11" t="str">
        <f t="shared" si="85"/>
        <v/>
      </c>
      <c r="E1035" s="11" t="str">
        <f t="shared" si="87"/>
        <v/>
      </c>
      <c r="F1035" s="11" t="str">
        <f t="shared" si="88"/>
        <v/>
      </c>
      <c r="G1035" s="10" t="str">
        <v/>
      </c>
      <c r="H1035" s="11" t="str">
        <v/>
      </c>
      <c r="I1035" s="11" t="str">
        <v/>
      </c>
    </row>
    <row r="1036" spans="2:9">
      <c r="B1036" s="11" t="str">
        <f t="shared" si="86"/>
        <v/>
      </c>
      <c r="C1036" s="11" t="str">
        <f t="shared" si="84"/>
        <v/>
      </c>
      <c r="D1036" s="11" t="str">
        <f t="shared" si="85"/>
        <v/>
      </c>
      <c r="E1036" s="11" t="str">
        <f t="shared" si="87"/>
        <v/>
      </c>
      <c r="F1036" s="11" t="str">
        <f t="shared" si="88"/>
        <v/>
      </c>
      <c r="G1036" s="10" t="str">
        <v/>
      </c>
      <c r="H1036" s="11" t="str">
        <v/>
      </c>
      <c r="I1036" s="11" t="str">
        <v/>
      </c>
    </row>
    <row r="1037" spans="2:9">
      <c r="B1037" s="11" t="str">
        <f t="shared" si="86"/>
        <v/>
      </c>
      <c r="C1037" s="11" t="str">
        <f t="shared" ref="C1037:C1100" si="89">IF(B1037="артикул",A1037,"")</f>
        <v/>
      </c>
      <c r="D1037" s="11" t="str">
        <f t="shared" ref="D1037:D1100" si="90">IF(B1037="артикул",A1038,"")</f>
        <v/>
      </c>
      <c r="E1037" s="11" t="str">
        <f t="shared" si="87"/>
        <v/>
      </c>
      <c r="F1037" s="11" t="str">
        <f t="shared" si="88"/>
        <v/>
      </c>
      <c r="G1037" s="10" t="str">
        <v/>
      </c>
      <c r="H1037" s="11" t="str">
        <v/>
      </c>
      <c r="I1037" s="11" t="str">
        <v/>
      </c>
    </row>
    <row r="1038" spans="2:9">
      <c r="B1038" s="11" t="str">
        <f t="shared" si="86"/>
        <v/>
      </c>
      <c r="C1038" s="11" t="str">
        <f t="shared" si="89"/>
        <v/>
      </c>
      <c r="D1038" s="11" t="str">
        <f t="shared" si="90"/>
        <v/>
      </c>
      <c r="E1038" s="11" t="str">
        <f t="shared" si="87"/>
        <v/>
      </c>
      <c r="F1038" s="11" t="str">
        <f t="shared" si="88"/>
        <v/>
      </c>
      <c r="G1038" s="10" t="str">
        <v/>
      </c>
      <c r="H1038" s="11" t="str">
        <v/>
      </c>
      <c r="I1038" s="11" t="str">
        <v/>
      </c>
    </row>
    <row r="1039" spans="2:9">
      <c r="B1039" s="11" t="str">
        <f t="shared" si="86"/>
        <v/>
      </c>
      <c r="C1039" s="11" t="str">
        <f t="shared" si="89"/>
        <v/>
      </c>
      <c r="D1039" s="11" t="str">
        <f t="shared" si="90"/>
        <v/>
      </c>
      <c r="E1039" s="11" t="str">
        <f t="shared" si="87"/>
        <v/>
      </c>
      <c r="F1039" s="11" t="str">
        <f t="shared" si="88"/>
        <v/>
      </c>
      <c r="G1039" s="10" t="str">
        <v/>
      </c>
      <c r="H1039" s="11" t="str">
        <v/>
      </c>
      <c r="I1039" s="11" t="str">
        <v/>
      </c>
    </row>
    <row r="1040" spans="2:9">
      <c r="B1040" s="11" t="str">
        <f t="shared" si="86"/>
        <v/>
      </c>
      <c r="C1040" s="11" t="str">
        <f t="shared" si="89"/>
        <v/>
      </c>
      <c r="D1040" s="11" t="str">
        <f t="shared" si="90"/>
        <v/>
      </c>
      <c r="E1040" s="11" t="str">
        <f t="shared" si="87"/>
        <v/>
      </c>
      <c r="F1040" s="11" t="str">
        <f t="shared" si="88"/>
        <v/>
      </c>
      <c r="G1040" s="10" t="str">
        <v/>
      </c>
      <c r="H1040" s="11" t="str">
        <v/>
      </c>
      <c r="I1040" s="11" t="str">
        <v/>
      </c>
    </row>
    <row r="1041" spans="2:9">
      <c r="B1041" s="11" t="str">
        <f t="shared" si="86"/>
        <v/>
      </c>
      <c r="C1041" s="11" t="str">
        <f t="shared" si="89"/>
        <v/>
      </c>
      <c r="D1041" s="11" t="str">
        <f t="shared" si="90"/>
        <v/>
      </c>
      <c r="E1041" s="11" t="str">
        <f t="shared" si="87"/>
        <v/>
      </c>
      <c r="F1041" s="11" t="str">
        <f t="shared" si="88"/>
        <v/>
      </c>
      <c r="G1041" s="10" t="str">
        <v/>
      </c>
      <c r="H1041" s="11" t="str">
        <v/>
      </c>
      <c r="I1041" s="11" t="str">
        <v/>
      </c>
    </row>
    <row r="1042" spans="2:9">
      <c r="B1042" s="11" t="str">
        <f t="shared" si="86"/>
        <v/>
      </c>
      <c r="C1042" s="11" t="str">
        <f t="shared" si="89"/>
        <v/>
      </c>
      <c r="D1042" s="11" t="str">
        <f t="shared" si="90"/>
        <v/>
      </c>
      <c r="E1042" s="11" t="str">
        <f t="shared" si="87"/>
        <v/>
      </c>
      <c r="F1042" s="11" t="str">
        <f t="shared" si="88"/>
        <v/>
      </c>
      <c r="G1042" s="10" t="str">
        <v/>
      </c>
      <c r="H1042" s="11" t="str">
        <v/>
      </c>
      <c r="I1042" s="11" t="str">
        <v/>
      </c>
    </row>
    <row r="1043" spans="2:9">
      <c r="B1043" s="11" t="str">
        <f t="shared" si="86"/>
        <v/>
      </c>
      <c r="C1043" s="11" t="str">
        <f t="shared" si="89"/>
        <v/>
      </c>
      <c r="D1043" s="11" t="str">
        <f t="shared" si="90"/>
        <v/>
      </c>
      <c r="E1043" s="11" t="str">
        <f t="shared" si="87"/>
        <v/>
      </c>
      <c r="F1043" s="11" t="str">
        <f t="shared" si="88"/>
        <v/>
      </c>
      <c r="G1043" s="10" t="str">
        <v/>
      </c>
      <c r="H1043" s="11" t="str">
        <v/>
      </c>
      <c r="I1043" s="11" t="str">
        <v/>
      </c>
    </row>
    <row r="1044" spans="2:9">
      <c r="B1044" s="11" t="str">
        <f t="shared" si="86"/>
        <v/>
      </c>
      <c r="C1044" s="11" t="str">
        <f t="shared" si="89"/>
        <v/>
      </c>
      <c r="D1044" s="11" t="str">
        <f t="shared" si="90"/>
        <v/>
      </c>
      <c r="E1044" s="11" t="str">
        <f t="shared" si="87"/>
        <v/>
      </c>
      <c r="F1044" s="11" t="str">
        <f t="shared" si="88"/>
        <v/>
      </c>
      <c r="G1044" s="10" t="str">
        <v/>
      </c>
      <c r="H1044" s="11" t="str">
        <v/>
      </c>
      <c r="I1044" s="11" t="str">
        <v/>
      </c>
    </row>
    <row r="1045" spans="2:9">
      <c r="B1045" s="11" t="str">
        <f t="shared" si="86"/>
        <v/>
      </c>
      <c r="C1045" s="11" t="str">
        <f t="shared" si="89"/>
        <v/>
      </c>
      <c r="D1045" s="11" t="str">
        <f t="shared" si="90"/>
        <v/>
      </c>
      <c r="E1045" s="11" t="str">
        <f t="shared" si="87"/>
        <v/>
      </c>
      <c r="F1045" s="11" t="str">
        <f t="shared" si="88"/>
        <v/>
      </c>
      <c r="G1045" s="10" t="str">
        <v/>
      </c>
      <c r="H1045" s="11" t="str">
        <v/>
      </c>
      <c r="I1045" s="11" t="str">
        <v/>
      </c>
    </row>
    <row r="1046" spans="2:9">
      <c r="B1046" s="11" t="str">
        <f t="shared" si="86"/>
        <v/>
      </c>
      <c r="C1046" s="11" t="str">
        <f t="shared" si="89"/>
        <v/>
      </c>
      <c r="D1046" s="11" t="str">
        <f t="shared" si="90"/>
        <v/>
      </c>
      <c r="E1046" s="11" t="str">
        <f t="shared" si="87"/>
        <v/>
      </c>
      <c r="F1046" s="11" t="str">
        <f t="shared" si="88"/>
        <v/>
      </c>
      <c r="G1046" s="10" t="str">
        <v/>
      </c>
      <c r="H1046" s="11" t="str">
        <v/>
      </c>
      <c r="I1046" s="11" t="str">
        <v/>
      </c>
    </row>
    <row r="1047" spans="2:9">
      <c r="B1047" s="11" t="str">
        <f t="shared" si="86"/>
        <v/>
      </c>
      <c r="C1047" s="11" t="str">
        <f t="shared" si="89"/>
        <v/>
      </c>
      <c r="D1047" s="11" t="str">
        <f t="shared" si="90"/>
        <v/>
      </c>
      <c r="E1047" s="11" t="str">
        <f t="shared" si="87"/>
        <v/>
      </c>
      <c r="F1047" s="11" t="str">
        <f t="shared" si="88"/>
        <v/>
      </c>
      <c r="G1047" s="10" t="str">
        <v/>
      </c>
      <c r="H1047" s="11" t="str">
        <v/>
      </c>
      <c r="I1047" s="11" t="str">
        <v/>
      </c>
    </row>
    <row r="1048" spans="2:9">
      <c r="B1048" s="11" t="str">
        <f t="shared" si="86"/>
        <v/>
      </c>
      <c r="C1048" s="11" t="str">
        <f t="shared" si="89"/>
        <v/>
      </c>
      <c r="D1048" s="11" t="str">
        <f t="shared" si="90"/>
        <v/>
      </c>
      <c r="E1048" s="11" t="str">
        <f t="shared" si="87"/>
        <v/>
      </c>
      <c r="F1048" s="11" t="str">
        <f t="shared" si="88"/>
        <v/>
      </c>
      <c r="G1048" s="10" t="str">
        <v/>
      </c>
      <c r="H1048" s="11" t="str">
        <v/>
      </c>
      <c r="I1048" s="11" t="str">
        <v/>
      </c>
    </row>
    <row r="1049" spans="2:9">
      <c r="B1049" s="11" t="str">
        <f t="shared" si="86"/>
        <v/>
      </c>
      <c r="C1049" s="11" t="str">
        <f t="shared" si="89"/>
        <v/>
      </c>
      <c r="D1049" s="11" t="str">
        <f t="shared" si="90"/>
        <v/>
      </c>
      <c r="E1049" s="11" t="str">
        <f t="shared" si="87"/>
        <v/>
      </c>
      <c r="F1049" s="11" t="str">
        <f t="shared" si="88"/>
        <v/>
      </c>
      <c r="G1049" s="10" t="str">
        <v/>
      </c>
      <c r="H1049" s="11" t="str">
        <v/>
      </c>
      <c r="I1049" s="11" t="str">
        <v/>
      </c>
    </row>
    <row r="1050" spans="2:9">
      <c r="B1050" s="11" t="str">
        <f t="shared" si="86"/>
        <v/>
      </c>
      <c r="C1050" s="11" t="str">
        <f t="shared" si="89"/>
        <v/>
      </c>
      <c r="D1050" s="11" t="str">
        <f t="shared" si="90"/>
        <v/>
      </c>
      <c r="E1050" s="11" t="str">
        <f t="shared" si="87"/>
        <v/>
      </c>
      <c r="F1050" s="11" t="str">
        <f t="shared" si="88"/>
        <v/>
      </c>
      <c r="G1050" s="10" t="str">
        <v/>
      </c>
      <c r="H1050" s="11" t="str">
        <v/>
      </c>
      <c r="I1050" s="11" t="str">
        <v/>
      </c>
    </row>
    <row r="1051" spans="2:9">
      <c r="B1051" s="11" t="str">
        <f t="shared" si="86"/>
        <v/>
      </c>
      <c r="C1051" s="11" t="str">
        <f t="shared" si="89"/>
        <v/>
      </c>
      <c r="D1051" s="11" t="str">
        <f t="shared" si="90"/>
        <v/>
      </c>
      <c r="E1051" s="11" t="str">
        <f t="shared" si="87"/>
        <v/>
      </c>
      <c r="F1051" s="11" t="str">
        <f t="shared" si="88"/>
        <v/>
      </c>
      <c r="G1051" s="10" t="str">
        <v/>
      </c>
      <c r="H1051" s="11" t="str">
        <v/>
      </c>
      <c r="I1051" s="11" t="str">
        <v/>
      </c>
    </row>
    <row r="1052" spans="2:9">
      <c r="B1052" s="11" t="str">
        <f t="shared" si="86"/>
        <v/>
      </c>
      <c r="C1052" s="11" t="str">
        <f t="shared" si="89"/>
        <v/>
      </c>
      <c r="D1052" s="11" t="str">
        <f t="shared" si="90"/>
        <v/>
      </c>
      <c r="E1052" s="11" t="str">
        <f t="shared" si="87"/>
        <v/>
      </c>
      <c r="F1052" s="11" t="str">
        <f t="shared" si="88"/>
        <v/>
      </c>
      <c r="G1052" s="10" t="str">
        <v/>
      </c>
      <c r="H1052" s="11" t="str">
        <v/>
      </c>
      <c r="I1052" s="11" t="str">
        <v/>
      </c>
    </row>
    <row r="1053" spans="2:9">
      <c r="B1053" s="11" t="str">
        <f t="shared" si="86"/>
        <v/>
      </c>
      <c r="C1053" s="11" t="str">
        <f t="shared" si="89"/>
        <v/>
      </c>
      <c r="D1053" s="11" t="str">
        <f t="shared" si="90"/>
        <v/>
      </c>
      <c r="E1053" s="11" t="str">
        <f t="shared" si="87"/>
        <v/>
      </c>
      <c r="F1053" s="11" t="str">
        <f t="shared" si="88"/>
        <v/>
      </c>
      <c r="G1053" s="10" t="str">
        <v/>
      </c>
      <c r="H1053" s="11" t="str">
        <v/>
      </c>
      <c r="I1053" s="11" t="str">
        <v/>
      </c>
    </row>
    <row r="1054" spans="2:9">
      <c r="B1054" s="11" t="str">
        <f t="shared" si="86"/>
        <v/>
      </c>
      <c r="C1054" s="11" t="str">
        <f t="shared" si="89"/>
        <v/>
      </c>
      <c r="D1054" s="11" t="str">
        <f t="shared" si="90"/>
        <v/>
      </c>
      <c r="E1054" s="11" t="str">
        <f t="shared" si="87"/>
        <v/>
      </c>
      <c r="F1054" s="11" t="str">
        <f t="shared" si="88"/>
        <v/>
      </c>
      <c r="G1054" s="10" t="str">
        <v/>
      </c>
      <c r="H1054" s="11" t="str">
        <v/>
      </c>
      <c r="I1054" s="11" t="str">
        <v/>
      </c>
    </row>
    <row r="1055" spans="2:9">
      <c r="B1055" s="11" t="str">
        <f t="shared" si="86"/>
        <v/>
      </c>
      <c r="C1055" s="11" t="str">
        <f t="shared" si="89"/>
        <v/>
      </c>
      <c r="D1055" s="11" t="str">
        <f t="shared" si="90"/>
        <v/>
      </c>
      <c r="E1055" s="11" t="str">
        <f t="shared" si="87"/>
        <v/>
      </c>
      <c r="F1055" s="11" t="str">
        <f t="shared" si="88"/>
        <v/>
      </c>
      <c r="G1055" s="10" t="str">
        <v/>
      </c>
      <c r="H1055" s="11" t="str">
        <v/>
      </c>
      <c r="I1055" s="11" t="str">
        <v/>
      </c>
    </row>
    <row r="1056" spans="2:9">
      <c r="B1056" s="11" t="str">
        <f t="shared" si="86"/>
        <v/>
      </c>
      <c r="C1056" s="11" t="str">
        <f t="shared" si="89"/>
        <v/>
      </c>
      <c r="D1056" s="11" t="str">
        <f t="shared" si="90"/>
        <v/>
      </c>
      <c r="E1056" s="11" t="str">
        <f t="shared" si="87"/>
        <v/>
      </c>
      <c r="F1056" s="11" t="str">
        <f t="shared" si="88"/>
        <v/>
      </c>
      <c r="G1056" s="10" t="str">
        <v/>
      </c>
      <c r="H1056" s="11" t="str">
        <v/>
      </c>
      <c r="I1056" s="11" t="str">
        <v/>
      </c>
    </row>
    <row r="1057" spans="2:9">
      <c r="B1057" s="11" t="str">
        <f t="shared" si="86"/>
        <v/>
      </c>
      <c r="C1057" s="11" t="str">
        <f t="shared" si="89"/>
        <v/>
      </c>
      <c r="D1057" s="11" t="str">
        <f t="shared" si="90"/>
        <v/>
      </c>
      <c r="E1057" s="11" t="str">
        <f t="shared" si="87"/>
        <v/>
      </c>
      <c r="F1057" s="11" t="str">
        <f t="shared" si="88"/>
        <v/>
      </c>
      <c r="G1057" s="10" t="str">
        <v/>
      </c>
      <c r="H1057" s="11" t="str">
        <v/>
      </c>
      <c r="I1057" s="11" t="str">
        <v/>
      </c>
    </row>
    <row r="1058" spans="2:9">
      <c r="B1058" s="11" t="str">
        <f t="shared" si="86"/>
        <v/>
      </c>
      <c r="C1058" s="11" t="str">
        <f t="shared" si="89"/>
        <v/>
      </c>
      <c r="D1058" s="11" t="str">
        <f t="shared" si="90"/>
        <v/>
      </c>
      <c r="E1058" s="11" t="str">
        <f t="shared" si="87"/>
        <v/>
      </c>
      <c r="F1058" s="11" t="str">
        <f t="shared" si="88"/>
        <v/>
      </c>
      <c r="G1058" s="10" t="str">
        <v/>
      </c>
      <c r="H1058" s="11" t="str">
        <v/>
      </c>
      <c r="I1058" s="11" t="str">
        <v/>
      </c>
    </row>
    <row r="1059" spans="2:9">
      <c r="B1059" s="11" t="str">
        <f t="shared" si="86"/>
        <v/>
      </c>
      <c r="C1059" s="11" t="str">
        <f t="shared" si="89"/>
        <v/>
      </c>
      <c r="D1059" s="11" t="str">
        <f t="shared" si="90"/>
        <v/>
      </c>
      <c r="E1059" s="11" t="str">
        <f t="shared" si="87"/>
        <v/>
      </c>
      <c r="F1059" s="11" t="str">
        <f t="shared" si="88"/>
        <v/>
      </c>
      <c r="G1059" s="10" t="str">
        <v/>
      </c>
      <c r="H1059" s="11" t="str">
        <v/>
      </c>
      <c r="I1059" s="11" t="str">
        <v/>
      </c>
    </row>
    <row r="1060" spans="2:9">
      <c r="B1060" s="11" t="str">
        <f t="shared" si="86"/>
        <v/>
      </c>
      <c r="C1060" s="11" t="str">
        <f t="shared" si="89"/>
        <v/>
      </c>
      <c r="D1060" s="11" t="str">
        <f t="shared" si="90"/>
        <v/>
      </c>
      <c r="E1060" s="11" t="str">
        <f t="shared" si="87"/>
        <v/>
      </c>
      <c r="F1060" s="11" t="str">
        <f t="shared" si="88"/>
        <v/>
      </c>
      <c r="G1060" s="10" t="str">
        <v/>
      </c>
      <c r="H1060" s="11" t="str">
        <v/>
      </c>
      <c r="I1060" s="11" t="str">
        <v/>
      </c>
    </row>
    <row r="1061" spans="2:9">
      <c r="B1061" s="11" t="str">
        <f t="shared" si="86"/>
        <v/>
      </c>
      <c r="C1061" s="11" t="str">
        <f t="shared" si="89"/>
        <v/>
      </c>
      <c r="D1061" s="11" t="str">
        <f t="shared" si="90"/>
        <v/>
      </c>
      <c r="E1061" s="11" t="str">
        <f t="shared" si="87"/>
        <v/>
      </c>
      <c r="F1061" s="11" t="str">
        <f t="shared" si="88"/>
        <v/>
      </c>
      <c r="G1061" s="10" t="str">
        <v/>
      </c>
      <c r="H1061" s="11" t="str">
        <v/>
      </c>
      <c r="I1061" s="11" t="str">
        <v/>
      </c>
    </row>
    <row r="1062" spans="2:9">
      <c r="B1062" s="11" t="str">
        <f t="shared" si="86"/>
        <v/>
      </c>
      <c r="C1062" s="11" t="str">
        <f t="shared" si="89"/>
        <v/>
      </c>
      <c r="D1062" s="11" t="str">
        <f t="shared" si="90"/>
        <v/>
      </c>
      <c r="E1062" s="11" t="str">
        <f t="shared" si="87"/>
        <v/>
      </c>
      <c r="F1062" s="11" t="str">
        <f t="shared" si="88"/>
        <v/>
      </c>
      <c r="G1062" s="10" t="str">
        <v/>
      </c>
      <c r="H1062" s="11" t="str">
        <v/>
      </c>
      <c r="I1062" s="11" t="str">
        <v/>
      </c>
    </row>
    <row r="1063" spans="2:9">
      <c r="B1063" s="11" t="str">
        <f t="shared" si="86"/>
        <v/>
      </c>
      <c r="C1063" s="11" t="str">
        <f t="shared" si="89"/>
        <v/>
      </c>
      <c r="D1063" s="11" t="str">
        <f t="shared" si="90"/>
        <v/>
      </c>
      <c r="E1063" s="11" t="str">
        <f t="shared" si="87"/>
        <v/>
      </c>
      <c r="F1063" s="11" t="str">
        <f t="shared" si="88"/>
        <v/>
      </c>
      <c r="G1063" s="10" t="str">
        <v/>
      </c>
      <c r="H1063" s="11" t="str">
        <v/>
      </c>
      <c r="I1063" s="11" t="str">
        <v/>
      </c>
    </row>
    <row r="1064" spans="2:9">
      <c r="B1064" s="11" t="str">
        <f t="shared" si="86"/>
        <v/>
      </c>
      <c r="C1064" s="11" t="str">
        <f t="shared" si="89"/>
        <v/>
      </c>
      <c r="D1064" s="11" t="str">
        <f t="shared" si="90"/>
        <v/>
      </c>
      <c r="E1064" s="11" t="str">
        <f t="shared" si="87"/>
        <v/>
      </c>
      <c r="F1064" s="11" t="str">
        <f t="shared" si="88"/>
        <v/>
      </c>
      <c r="G1064" s="10" t="str">
        <v/>
      </c>
      <c r="H1064" s="11" t="str">
        <v/>
      </c>
      <c r="I1064" s="11" t="str">
        <v/>
      </c>
    </row>
    <row r="1065" spans="2:9">
      <c r="B1065" s="11" t="str">
        <f t="shared" si="86"/>
        <v/>
      </c>
      <c r="C1065" s="11" t="str">
        <f t="shared" si="89"/>
        <v/>
      </c>
      <c r="D1065" s="11" t="str">
        <f t="shared" si="90"/>
        <v/>
      </c>
      <c r="E1065" s="11" t="str">
        <f t="shared" si="87"/>
        <v/>
      </c>
      <c r="F1065" s="11" t="str">
        <f t="shared" si="88"/>
        <v/>
      </c>
      <c r="G1065" s="10" t="str">
        <v/>
      </c>
      <c r="H1065" s="11" t="str">
        <v/>
      </c>
      <c r="I1065" s="11" t="str">
        <v/>
      </c>
    </row>
    <row r="1066" spans="2:9">
      <c r="B1066" s="11" t="str">
        <f t="shared" si="86"/>
        <v/>
      </c>
      <c r="C1066" s="11" t="str">
        <f t="shared" si="89"/>
        <v/>
      </c>
      <c r="D1066" s="11" t="str">
        <f t="shared" si="90"/>
        <v/>
      </c>
      <c r="E1066" s="11" t="str">
        <f t="shared" si="87"/>
        <v/>
      </c>
      <c r="F1066" s="11" t="str">
        <f t="shared" si="88"/>
        <v/>
      </c>
      <c r="G1066" s="10" t="str">
        <v/>
      </c>
      <c r="H1066" s="11" t="str">
        <v/>
      </c>
      <c r="I1066" s="11" t="str">
        <v/>
      </c>
    </row>
    <row r="1067" spans="2:9">
      <c r="B1067" s="11" t="str">
        <f t="shared" si="86"/>
        <v/>
      </c>
      <c r="C1067" s="11" t="str">
        <f t="shared" si="89"/>
        <v/>
      </c>
      <c r="D1067" s="11" t="str">
        <f t="shared" si="90"/>
        <v/>
      </c>
      <c r="E1067" s="11" t="str">
        <f t="shared" si="87"/>
        <v/>
      </c>
      <c r="F1067" s="11" t="str">
        <f t="shared" si="88"/>
        <v/>
      </c>
      <c r="G1067" s="10" t="str">
        <v/>
      </c>
      <c r="H1067" s="11" t="str">
        <v/>
      </c>
      <c r="I1067" s="11" t="str">
        <v/>
      </c>
    </row>
    <row r="1068" spans="2:9">
      <c r="B1068" s="11" t="str">
        <f t="shared" si="86"/>
        <v/>
      </c>
      <c r="C1068" s="11" t="str">
        <f t="shared" si="89"/>
        <v/>
      </c>
      <c r="D1068" s="11" t="str">
        <f t="shared" si="90"/>
        <v/>
      </c>
      <c r="E1068" s="11" t="str">
        <f t="shared" si="87"/>
        <v/>
      </c>
      <c r="F1068" s="11" t="str">
        <f t="shared" si="88"/>
        <v/>
      </c>
      <c r="G1068" s="10" t="str">
        <v/>
      </c>
      <c r="H1068" s="11" t="str">
        <v/>
      </c>
      <c r="I1068" s="11" t="str">
        <v/>
      </c>
    </row>
    <row r="1069" spans="2:9">
      <c r="B1069" s="11" t="str">
        <f t="shared" si="86"/>
        <v/>
      </c>
      <c r="C1069" s="11" t="str">
        <f t="shared" si="89"/>
        <v/>
      </c>
      <c r="D1069" s="11" t="str">
        <f t="shared" si="90"/>
        <v/>
      </c>
      <c r="E1069" s="11" t="str">
        <f t="shared" si="87"/>
        <v/>
      </c>
      <c r="F1069" s="11" t="str">
        <f t="shared" si="88"/>
        <v/>
      </c>
      <c r="G1069" s="10" t="str">
        <v/>
      </c>
      <c r="H1069" s="11" t="str">
        <v/>
      </c>
      <c r="I1069" s="11" t="str">
        <v/>
      </c>
    </row>
    <row r="1070" spans="2:9">
      <c r="B1070" s="11" t="str">
        <f t="shared" si="86"/>
        <v/>
      </c>
      <c r="C1070" s="11" t="str">
        <f t="shared" si="89"/>
        <v/>
      </c>
      <c r="D1070" s="11" t="str">
        <f t="shared" si="90"/>
        <v/>
      </c>
      <c r="E1070" s="11" t="str">
        <f t="shared" si="87"/>
        <v/>
      </c>
      <c r="F1070" s="11" t="str">
        <f t="shared" si="88"/>
        <v/>
      </c>
      <c r="G1070" s="10" t="str">
        <v/>
      </c>
      <c r="H1070" s="11" t="str">
        <v/>
      </c>
      <c r="I1070" s="11" t="str">
        <v/>
      </c>
    </row>
    <row r="1071" spans="2:9">
      <c r="B1071" s="11" t="str">
        <f t="shared" si="86"/>
        <v/>
      </c>
      <c r="C1071" s="11" t="str">
        <f t="shared" si="89"/>
        <v/>
      </c>
      <c r="D1071" s="11" t="str">
        <f t="shared" si="90"/>
        <v/>
      </c>
      <c r="E1071" s="11" t="str">
        <f t="shared" si="87"/>
        <v/>
      </c>
      <c r="F1071" s="11" t="str">
        <f t="shared" si="88"/>
        <v/>
      </c>
      <c r="G1071" s="10" t="str">
        <v/>
      </c>
      <c r="H1071" s="11" t="str">
        <v/>
      </c>
      <c r="I1071" s="11" t="str">
        <v/>
      </c>
    </row>
    <row r="1072" spans="2:9">
      <c r="B1072" s="11" t="str">
        <f t="shared" si="86"/>
        <v/>
      </c>
      <c r="C1072" s="11" t="str">
        <f t="shared" si="89"/>
        <v/>
      </c>
      <c r="D1072" s="11" t="str">
        <f t="shared" si="90"/>
        <v/>
      </c>
      <c r="E1072" s="11" t="str">
        <f t="shared" si="87"/>
        <v/>
      </c>
      <c r="F1072" s="11" t="str">
        <f t="shared" si="88"/>
        <v/>
      </c>
      <c r="G1072" s="10" t="str">
        <v/>
      </c>
      <c r="H1072" s="11" t="str">
        <v/>
      </c>
      <c r="I1072" s="11" t="str">
        <v/>
      </c>
    </row>
    <row r="1073" spans="2:9">
      <c r="B1073" s="11" t="str">
        <f t="shared" si="86"/>
        <v/>
      </c>
      <c r="C1073" s="11" t="str">
        <f t="shared" si="89"/>
        <v/>
      </c>
      <c r="D1073" s="11" t="str">
        <f t="shared" si="90"/>
        <v/>
      </c>
      <c r="E1073" s="11" t="str">
        <f t="shared" si="87"/>
        <v/>
      </c>
      <c r="F1073" s="11" t="str">
        <f t="shared" si="88"/>
        <v/>
      </c>
      <c r="G1073" s="10" t="str">
        <v/>
      </c>
      <c r="H1073" s="11" t="str">
        <v/>
      </c>
      <c r="I1073" s="11" t="str">
        <v/>
      </c>
    </row>
    <row r="1074" spans="2:9">
      <c r="B1074" s="11" t="str">
        <f t="shared" si="86"/>
        <v/>
      </c>
      <c r="C1074" s="11" t="str">
        <f t="shared" si="89"/>
        <v/>
      </c>
      <c r="D1074" s="11" t="str">
        <f t="shared" si="90"/>
        <v/>
      </c>
      <c r="E1074" s="11" t="str">
        <f t="shared" si="87"/>
        <v/>
      </c>
      <c r="F1074" s="11" t="str">
        <f t="shared" si="88"/>
        <v/>
      </c>
      <c r="G1074" s="10" t="str">
        <v/>
      </c>
      <c r="H1074" s="11" t="str">
        <v/>
      </c>
      <c r="I1074" s="11" t="str">
        <v/>
      </c>
    </row>
    <row r="1075" spans="2:9">
      <c r="B1075" s="11" t="str">
        <f t="shared" si="86"/>
        <v/>
      </c>
      <c r="C1075" s="11" t="str">
        <f t="shared" si="89"/>
        <v/>
      </c>
      <c r="D1075" s="11" t="str">
        <f t="shared" si="90"/>
        <v/>
      </c>
      <c r="E1075" s="11" t="str">
        <f t="shared" si="87"/>
        <v/>
      </c>
      <c r="F1075" s="11" t="str">
        <f t="shared" si="88"/>
        <v/>
      </c>
      <c r="G1075" s="10" t="str">
        <v/>
      </c>
      <c r="H1075" s="11" t="str">
        <v/>
      </c>
      <c r="I1075" s="11" t="str">
        <v/>
      </c>
    </row>
    <row r="1076" spans="2:9">
      <c r="B1076" s="11" t="str">
        <f t="shared" si="86"/>
        <v/>
      </c>
      <c r="C1076" s="11" t="str">
        <f t="shared" si="89"/>
        <v/>
      </c>
      <c r="D1076" s="11" t="str">
        <f t="shared" si="90"/>
        <v/>
      </c>
      <c r="E1076" s="11" t="str">
        <f t="shared" si="87"/>
        <v/>
      </c>
      <c r="F1076" s="11" t="str">
        <f t="shared" si="88"/>
        <v/>
      </c>
      <c r="G1076" s="10" t="str">
        <v/>
      </c>
      <c r="H1076" s="11" t="str">
        <v/>
      </c>
      <c r="I1076" s="11" t="str">
        <v/>
      </c>
    </row>
    <row r="1077" spans="2:9">
      <c r="B1077" s="11" t="str">
        <f t="shared" si="86"/>
        <v/>
      </c>
      <c r="C1077" s="11" t="str">
        <f t="shared" si="89"/>
        <v/>
      </c>
      <c r="D1077" s="11" t="str">
        <f t="shared" si="90"/>
        <v/>
      </c>
      <c r="E1077" s="11" t="str">
        <f t="shared" si="87"/>
        <v/>
      </c>
      <c r="F1077" s="11" t="str">
        <f t="shared" si="88"/>
        <v/>
      </c>
      <c r="G1077" s="10" t="str">
        <v/>
      </c>
      <c r="H1077" s="11" t="str">
        <v/>
      </c>
      <c r="I1077" s="11" t="str">
        <v/>
      </c>
    </row>
    <row r="1078" spans="2:9">
      <c r="B1078" s="11" t="str">
        <f t="shared" si="86"/>
        <v/>
      </c>
      <c r="C1078" s="11" t="str">
        <f t="shared" si="89"/>
        <v/>
      </c>
      <c r="D1078" s="11" t="str">
        <f t="shared" si="90"/>
        <v/>
      </c>
      <c r="E1078" s="11" t="str">
        <f t="shared" si="87"/>
        <v/>
      </c>
      <c r="F1078" s="11" t="str">
        <f t="shared" si="88"/>
        <v/>
      </c>
      <c r="G1078" s="10" t="str">
        <v/>
      </c>
      <c r="H1078" s="11" t="str">
        <v/>
      </c>
      <c r="I1078" s="11" t="str">
        <v/>
      </c>
    </row>
    <row r="1079" spans="2:9">
      <c r="B1079" s="11" t="str">
        <f t="shared" si="86"/>
        <v/>
      </c>
      <c r="C1079" s="11" t="str">
        <f t="shared" si="89"/>
        <v/>
      </c>
      <c r="D1079" s="11" t="str">
        <f t="shared" si="90"/>
        <v/>
      </c>
      <c r="E1079" s="11" t="str">
        <f t="shared" si="87"/>
        <v/>
      </c>
      <c r="F1079" s="11" t="str">
        <f t="shared" si="88"/>
        <v/>
      </c>
      <c r="G1079" s="10" t="str">
        <v/>
      </c>
      <c r="H1079" s="11" t="str">
        <v/>
      </c>
      <c r="I1079" s="11" t="str">
        <v/>
      </c>
    </row>
    <row r="1080" spans="2:9">
      <c r="B1080" s="11" t="str">
        <f t="shared" si="86"/>
        <v/>
      </c>
      <c r="C1080" s="11" t="str">
        <f t="shared" si="89"/>
        <v/>
      </c>
      <c r="D1080" s="11" t="str">
        <f t="shared" si="90"/>
        <v/>
      </c>
      <c r="E1080" s="11" t="str">
        <f t="shared" si="87"/>
        <v/>
      </c>
      <c r="F1080" s="11" t="str">
        <f t="shared" si="88"/>
        <v/>
      </c>
      <c r="G1080" s="10" t="str">
        <v/>
      </c>
      <c r="H1080" s="11" t="str">
        <v/>
      </c>
      <c r="I1080" s="11" t="str">
        <v/>
      </c>
    </row>
    <row r="1081" spans="2:9">
      <c r="B1081" s="11" t="str">
        <f t="shared" si="86"/>
        <v/>
      </c>
      <c r="C1081" s="11" t="str">
        <f t="shared" si="89"/>
        <v/>
      </c>
      <c r="D1081" s="11" t="str">
        <f t="shared" si="90"/>
        <v/>
      </c>
      <c r="E1081" s="11" t="str">
        <f t="shared" si="87"/>
        <v/>
      </c>
      <c r="F1081" s="11" t="str">
        <f t="shared" si="88"/>
        <v/>
      </c>
      <c r="G1081" s="10" t="str">
        <v/>
      </c>
      <c r="H1081" s="11" t="str">
        <v/>
      </c>
      <c r="I1081" s="11" t="str">
        <v/>
      </c>
    </row>
    <row r="1082" spans="2:9">
      <c r="B1082" s="11" t="str">
        <f t="shared" si="86"/>
        <v/>
      </c>
      <c r="C1082" s="11" t="str">
        <f t="shared" si="89"/>
        <v/>
      </c>
      <c r="D1082" s="11" t="str">
        <f t="shared" si="90"/>
        <v/>
      </c>
      <c r="E1082" s="11" t="str">
        <f t="shared" si="87"/>
        <v/>
      </c>
      <c r="F1082" s="11" t="str">
        <f t="shared" si="88"/>
        <v/>
      </c>
      <c r="G1082" s="10" t="str">
        <v/>
      </c>
      <c r="H1082" s="11" t="str">
        <v/>
      </c>
      <c r="I1082" s="11" t="str">
        <v/>
      </c>
    </row>
    <row r="1083" spans="2:9">
      <c r="B1083" s="11" t="str">
        <f t="shared" si="86"/>
        <v/>
      </c>
      <c r="C1083" s="11" t="str">
        <f t="shared" si="89"/>
        <v/>
      </c>
      <c r="D1083" s="11" t="str">
        <f t="shared" si="90"/>
        <v/>
      </c>
      <c r="E1083" s="11" t="str">
        <f t="shared" si="87"/>
        <v/>
      </c>
      <c r="F1083" s="11" t="str">
        <f t="shared" si="88"/>
        <v/>
      </c>
      <c r="G1083" s="10" t="str">
        <v/>
      </c>
      <c r="H1083" s="11" t="str">
        <v/>
      </c>
      <c r="I1083" s="11" t="str">
        <v/>
      </c>
    </row>
    <row r="1084" spans="2:9">
      <c r="B1084" s="11" t="str">
        <f t="shared" si="86"/>
        <v/>
      </c>
      <c r="C1084" s="11" t="str">
        <f t="shared" si="89"/>
        <v/>
      </c>
      <c r="D1084" s="11" t="str">
        <f t="shared" si="90"/>
        <v/>
      </c>
      <c r="E1084" s="11" t="str">
        <f t="shared" si="87"/>
        <v/>
      </c>
      <c r="F1084" s="11" t="str">
        <f t="shared" si="88"/>
        <v/>
      </c>
      <c r="G1084" s="10" t="str">
        <v/>
      </c>
      <c r="H1084" s="11" t="str">
        <v/>
      </c>
      <c r="I1084" s="11" t="str">
        <v/>
      </c>
    </row>
    <row r="1085" spans="2:9">
      <c r="B1085" s="11" t="str">
        <f t="shared" si="86"/>
        <v/>
      </c>
      <c r="C1085" s="11" t="str">
        <f t="shared" si="89"/>
        <v/>
      </c>
      <c r="D1085" s="11" t="str">
        <f t="shared" si="90"/>
        <v/>
      </c>
      <c r="E1085" s="11" t="str">
        <f t="shared" si="87"/>
        <v/>
      </c>
      <c r="F1085" s="11" t="str">
        <f t="shared" si="88"/>
        <v/>
      </c>
      <c r="G1085" s="10" t="str">
        <v/>
      </c>
      <c r="H1085" s="11" t="str">
        <v/>
      </c>
      <c r="I1085" s="11" t="str">
        <v/>
      </c>
    </row>
    <row r="1086" spans="2:9">
      <c r="B1086" s="11" t="str">
        <f t="shared" si="86"/>
        <v/>
      </c>
      <c r="C1086" s="11" t="str">
        <f t="shared" si="89"/>
        <v/>
      </c>
      <c r="D1086" s="11" t="str">
        <f t="shared" si="90"/>
        <v/>
      </c>
      <c r="E1086" s="11" t="str">
        <f t="shared" si="87"/>
        <v/>
      </c>
      <c r="F1086" s="11" t="str">
        <f t="shared" si="88"/>
        <v/>
      </c>
      <c r="G1086" s="10" t="str">
        <v/>
      </c>
      <c r="H1086" s="11" t="str">
        <v/>
      </c>
      <c r="I1086" s="11" t="str">
        <v/>
      </c>
    </row>
    <row r="1087" spans="2:9">
      <c r="B1087" s="11" t="str">
        <f t="shared" si="86"/>
        <v/>
      </c>
      <c r="C1087" s="11" t="str">
        <f t="shared" si="89"/>
        <v/>
      </c>
      <c r="D1087" s="11" t="str">
        <f t="shared" si="90"/>
        <v/>
      </c>
      <c r="E1087" s="11" t="str">
        <f t="shared" si="87"/>
        <v/>
      </c>
      <c r="F1087" s="11" t="str">
        <f t="shared" si="88"/>
        <v/>
      </c>
      <c r="G1087" s="10" t="str">
        <v/>
      </c>
      <c r="H1087" s="11" t="str">
        <v/>
      </c>
      <c r="I1087" s="11" t="str">
        <v/>
      </c>
    </row>
    <row r="1088" spans="2:9">
      <c r="B1088" s="11" t="str">
        <f t="shared" si="86"/>
        <v/>
      </c>
      <c r="C1088" s="11" t="str">
        <f t="shared" si="89"/>
        <v/>
      </c>
      <c r="D1088" s="11" t="str">
        <f t="shared" si="90"/>
        <v/>
      </c>
      <c r="E1088" s="11" t="str">
        <f t="shared" si="87"/>
        <v/>
      </c>
      <c r="F1088" s="11" t="str">
        <f t="shared" si="88"/>
        <v/>
      </c>
      <c r="G1088" s="10" t="str">
        <v/>
      </c>
      <c r="H1088" s="11" t="str">
        <v/>
      </c>
      <c r="I1088" s="11" t="str">
        <v/>
      </c>
    </row>
    <row r="1089" spans="2:9">
      <c r="B1089" s="11" t="str">
        <f t="shared" ref="B1089:B1152" si="91">IFERROR(IF(FIND(" ",A1089)=6,IF(IFERROR(FIND(" PB",A1089),"")&lt;&gt;"","артикул",IF(IFERROR(FIND(" CRN",A1089),"")&lt;&gt;"","артикул","")),""),"")</f>
        <v/>
      </c>
      <c r="C1089" s="11" t="str">
        <f t="shared" si="89"/>
        <v/>
      </c>
      <c r="D1089" s="11" t="str">
        <f t="shared" si="90"/>
        <v/>
      </c>
      <c r="E1089" s="11" t="str">
        <f t="shared" si="87"/>
        <v/>
      </c>
      <c r="F1089" s="11" t="str">
        <f t="shared" si="88"/>
        <v/>
      </c>
      <c r="G1089" s="10" t="str">
        <v/>
      </c>
      <c r="H1089" s="11" t="str">
        <v/>
      </c>
      <c r="I1089" s="11" t="str">
        <v/>
      </c>
    </row>
    <row r="1090" spans="2:9">
      <c r="B1090" s="11" t="str">
        <f t="shared" si="91"/>
        <v/>
      </c>
      <c r="C1090" s="11" t="str">
        <f t="shared" si="89"/>
        <v/>
      </c>
      <c r="D1090" s="11" t="str">
        <f t="shared" si="90"/>
        <v/>
      </c>
      <c r="E1090" s="11" t="str">
        <f t="shared" ref="E1090:E1153" si="92" xml:space="preserve">
IF(B1090="Артикул",
IF(
AND(RIGHT(A1091,1)="%",
RIGHT(A1092,1)="%",
RIGHT(A1093,1)="%",
RIGHT(A1094,1)="%"),MID(A1095,FIND(" ",A1095),50),
IF(
AND(RIGHT(A1091,1)="%",
RIGHT(A1092,1)="%",
RIGHT(A1093,1)="%"),MID(A1094,FIND(" ",A1094),50),
IF(
AND(RIGHT(A1091,1)="%",
RIGHT(A1092,1)="%"),
MID(A1093,FIND(" ",A1093),50),
IF(
RIGHT(A1091,1)="%",
MID(A1092,FIND(" ",A1092),50),"")))),"")</f>
        <v/>
      </c>
      <c r="F1090" s="11" t="str">
        <f t="shared" ref="F1090:F1153" si="93">IFERROR(
IF(
AND(LEFT(A1090,8)="Discount",FIND("%",A1090)&gt;0),
MID(A1090,
FIND(" ",A1090),
FIND("%",A1090)-FIND(" ",A1090))
*-1,""),"")</f>
        <v/>
      </c>
      <c r="G1090" s="10" t="str">
        <v/>
      </c>
      <c r="H1090" s="11" t="str">
        <v/>
      </c>
      <c r="I1090" s="11" t="str">
        <v/>
      </c>
    </row>
    <row r="1091" spans="2:9">
      <c r="B1091" s="11" t="str">
        <f t="shared" si="91"/>
        <v/>
      </c>
      <c r="C1091" s="11" t="str">
        <f t="shared" si="89"/>
        <v/>
      </c>
      <c r="D1091" s="11" t="str">
        <f t="shared" si="90"/>
        <v/>
      </c>
      <c r="E1091" s="11" t="str">
        <f t="shared" si="92"/>
        <v/>
      </c>
      <c r="F1091" s="11" t="str">
        <f t="shared" si="93"/>
        <v/>
      </c>
      <c r="G1091" s="10" t="str">
        <v/>
      </c>
      <c r="H1091" s="11" t="str">
        <v/>
      </c>
      <c r="I1091" s="11" t="str">
        <v/>
      </c>
    </row>
    <row r="1092" spans="2:9">
      <c r="B1092" s="11" t="str">
        <f t="shared" si="91"/>
        <v/>
      </c>
      <c r="C1092" s="11" t="str">
        <f t="shared" si="89"/>
        <v/>
      </c>
      <c r="D1092" s="11" t="str">
        <f t="shared" si="90"/>
        <v/>
      </c>
      <c r="E1092" s="11" t="str">
        <f t="shared" si="92"/>
        <v/>
      </c>
      <c r="F1092" s="11" t="str">
        <f t="shared" si="93"/>
        <v/>
      </c>
      <c r="G1092" s="10" t="str">
        <v/>
      </c>
      <c r="H1092" s="11" t="str">
        <v/>
      </c>
      <c r="I1092" s="11" t="str">
        <v/>
      </c>
    </row>
    <row r="1093" spans="2:9">
      <c r="B1093" s="11" t="str">
        <f t="shared" si="91"/>
        <v/>
      </c>
      <c r="C1093" s="11" t="str">
        <f t="shared" si="89"/>
        <v/>
      </c>
      <c r="D1093" s="11" t="str">
        <f t="shared" si="90"/>
        <v/>
      </c>
      <c r="E1093" s="11" t="str">
        <f t="shared" si="92"/>
        <v/>
      </c>
      <c r="F1093" s="11" t="str">
        <f t="shared" si="93"/>
        <v/>
      </c>
      <c r="G1093" s="10" t="str">
        <v/>
      </c>
      <c r="H1093" s="11" t="str">
        <v/>
      </c>
      <c r="I1093" s="11" t="str">
        <v/>
      </c>
    </row>
    <row r="1094" spans="2:9">
      <c r="B1094" s="11" t="str">
        <f t="shared" si="91"/>
        <v/>
      </c>
      <c r="C1094" s="11" t="str">
        <f t="shared" si="89"/>
        <v/>
      </c>
      <c r="D1094" s="11" t="str">
        <f t="shared" si="90"/>
        <v/>
      </c>
      <c r="E1094" s="11" t="str">
        <f t="shared" si="92"/>
        <v/>
      </c>
      <c r="F1094" s="11" t="str">
        <f t="shared" si="93"/>
        <v/>
      </c>
      <c r="G1094" s="10" t="str">
        <v/>
      </c>
      <c r="H1094" s="11" t="str">
        <v/>
      </c>
      <c r="I1094" s="11" t="str">
        <v/>
      </c>
    </row>
    <row r="1095" spans="2:9">
      <c r="B1095" s="11" t="str">
        <f t="shared" si="91"/>
        <v/>
      </c>
      <c r="C1095" s="11" t="str">
        <f t="shared" si="89"/>
        <v/>
      </c>
      <c r="D1095" s="11" t="str">
        <f t="shared" si="90"/>
        <v/>
      </c>
      <c r="E1095" s="11" t="str">
        <f t="shared" si="92"/>
        <v/>
      </c>
      <c r="F1095" s="11" t="str">
        <f t="shared" si="93"/>
        <v/>
      </c>
      <c r="G1095" s="10" t="str">
        <v/>
      </c>
      <c r="H1095" s="11" t="str">
        <v/>
      </c>
      <c r="I1095" s="11" t="str">
        <v/>
      </c>
    </row>
    <row r="1096" spans="2:9">
      <c r="B1096" s="11" t="str">
        <f t="shared" si="91"/>
        <v/>
      </c>
      <c r="C1096" s="11" t="str">
        <f t="shared" si="89"/>
        <v/>
      </c>
      <c r="D1096" s="11" t="str">
        <f t="shared" si="90"/>
        <v/>
      </c>
      <c r="E1096" s="11" t="str">
        <f t="shared" si="92"/>
        <v/>
      </c>
      <c r="F1096" s="11" t="str">
        <f t="shared" si="93"/>
        <v/>
      </c>
      <c r="G1096" s="10" t="str">
        <v/>
      </c>
      <c r="H1096" s="11" t="str">
        <v/>
      </c>
      <c r="I1096" s="11" t="str">
        <v/>
      </c>
    </row>
    <row r="1097" spans="2:9">
      <c r="B1097" s="11" t="str">
        <f t="shared" si="91"/>
        <v/>
      </c>
      <c r="C1097" s="11" t="str">
        <f t="shared" si="89"/>
        <v/>
      </c>
      <c r="D1097" s="11" t="str">
        <f t="shared" si="90"/>
        <v/>
      </c>
      <c r="E1097" s="11" t="str">
        <f t="shared" si="92"/>
        <v/>
      </c>
      <c r="F1097" s="11" t="str">
        <f t="shared" si="93"/>
        <v/>
      </c>
      <c r="G1097" s="10" t="str">
        <v/>
      </c>
      <c r="H1097" s="11" t="str">
        <v/>
      </c>
      <c r="I1097" s="11" t="str">
        <v/>
      </c>
    </row>
    <row r="1098" spans="2:9">
      <c r="B1098" s="11" t="str">
        <f t="shared" si="91"/>
        <v/>
      </c>
      <c r="C1098" s="11" t="str">
        <f t="shared" si="89"/>
        <v/>
      </c>
      <c r="D1098" s="11" t="str">
        <f t="shared" si="90"/>
        <v/>
      </c>
      <c r="E1098" s="11" t="str">
        <f t="shared" si="92"/>
        <v/>
      </c>
      <c r="F1098" s="11" t="str">
        <f t="shared" si="93"/>
        <v/>
      </c>
      <c r="G1098" s="10" t="str">
        <v/>
      </c>
      <c r="H1098" s="11" t="str">
        <v/>
      </c>
      <c r="I1098" s="11" t="str">
        <v/>
      </c>
    </row>
    <row r="1099" spans="2:9">
      <c r="B1099" s="11" t="str">
        <f t="shared" si="91"/>
        <v/>
      </c>
      <c r="C1099" s="11" t="str">
        <f t="shared" si="89"/>
        <v/>
      </c>
      <c r="D1099" s="11" t="str">
        <f t="shared" si="90"/>
        <v/>
      </c>
      <c r="E1099" s="11" t="str">
        <f t="shared" si="92"/>
        <v/>
      </c>
      <c r="F1099" s="11" t="str">
        <f t="shared" si="93"/>
        <v/>
      </c>
      <c r="G1099" s="10" t="str">
        <v/>
      </c>
      <c r="H1099" s="11" t="str">
        <v/>
      </c>
      <c r="I1099" s="11" t="str">
        <v/>
      </c>
    </row>
    <row r="1100" spans="2:9">
      <c r="B1100" s="11" t="str">
        <f t="shared" si="91"/>
        <v/>
      </c>
      <c r="C1100" s="11" t="str">
        <f t="shared" si="89"/>
        <v/>
      </c>
      <c r="D1100" s="11" t="str">
        <f t="shared" si="90"/>
        <v/>
      </c>
      <c r="E1100" s="11" t="str">
        <f t="shared" si="92"/>
        <v/>
      </c>
      <c r="F1100" s="11" t="str">
        <f t="shared" si="93"/>
        <v/>
      </c>
      <c r="G1100" s="10" t="str">
        <v/>
      </c>
      <c r="H1100" s="11" t="str">
        <v/>
      </c>
      <c r="I1100" s="11" t="str">
        <v/>
      </c>
    </row>
    <row r="1101" spans="2:9">
      <c r="B1101" s="11" t="str">
        <f t="shared" si="91"/>
        <v/>
      </c>
      <c r="C1101" s="11" t="str">
        <f t="shared" ref="C1101:C1164" si="94">IF(B1101="артикул",A1101,"")</f>
        <v/>
      </c>
      <c r="D1101" s="11" t="str">
        <f t="shared" ref="D1101:D1164" si="95">IF(B1101="артикул",A1102,"")</f>
        <v/>
      </c>
      <c r="E1101" s="11" t="str">
        <f t="shared" si="92"/>
        <v/>
      </c>
      <c r="F1101" s="11" t="str">
        <f t="shared" si="93"/>
        <v/>
      </c>
      <c r="G1101" s="10" t="str">
        <v/>
      </c>
      <c r="H1101" s="11" t="str">
        <v/>
      </c>
      <c r="I1101" s="11" t="str">
        <v/>
      </c>
    </row>
    <row r="1102" spans="2:9">
      <c r="B1102" s="11" t="str">
        <f t="shared" si="91"/>
        <v/>
      </c>
      <c r="C1102" s="11" t="str">
        <f t="shared" si="94"/>
        <v/>
      </c>
      <c r="D1102" s="11" t="str">
        <f t="shared" si="95"/>
        <v/>
      </c>
      <c r="E1102" s="11" t="str">
        <f t="shared" si="92"/>
        <v/>
      </c>
      <c r="F1102" s="11" t="str">
        <f t="shared" si="93"/>
        <v/>
      </c>
      <c r="G1102" s="10" t="str">
        <v/>
      </c>
      <c r="H1102" s="11" t="str">
        <v/>
      </c>
      <c r="I1102" s="11" t="str">
        <v/>
      </c>
    </row>
    <row r="1103" spans="2:9">
      <c r="B1103" s="11" t="str">
        <f t="shared" si="91"/>
        <v/>
      </c>
      <c r="C1103" s="11" t="str">
        <f t="shared" si="94"/>
        <v/>
      </c>
      <c r="D1103" s="11" t="str">
        <f t="shared" si="95"/>
        <v/>
      </c>
      <c r="E1103" s="11" t="str">
        <f t="shared" si="92"/>
        <v/>
      </c>
      <c r="F1103" s="11" t="str">
        <f t="shared" si="93"/>
        <v/>
      </c>
      <c r="G1103" s="10" t="str">
        <v/>
      </c>
      <c r="H1103" s="11" t="str">
        <v/>
      </c>
      <c r="I1103" s="11" t="str">
        <v/>
      </c>
    </row>
    <row r="1104" spans="2:9">
      <c r="B1104" s="11" t="str">
        <f t="shared" si="91"/>
        <v/>
      </c>
      <c r="C1104" s="11" t="str">
        <f t="shared" si="94"/>
        <v/>
      </c>
      <c r="D1104" s="11" t="str">
        <f t="shared" si="95"/>
        <v/>
      </c>
      <c r="E1104" s="11" t="str">
        <f t="shared" si="92"/>
        <v/>
      </c>
      <c r="F1104" s="11" t="str">
        <f t="shared" si="93"/>
        <v/>
      </c>
      <c r="G1104" s="10" t="str">
        <v/>
      </c>
      <c r="H1104" s="11" t="str">
        <v/>
      </c>
      <c r="I1104" s="11" t="str">
        <v/>
      </c>
    </row>
    <row r="1105" spans="2:9">
      <c r="B1105" s="11" t="str">
        <f t="shared" si="91"/>
        <v/>
      </c>
      <c r="C1105" s="11" t="str">
        <f t="shared" si="94"/>
        <v/>
      </c>
      <c r="D1105" s="11" t="str">
        <f t="shared" si="95"/>
        <v/>
      </c>
      <c r="E1105" s="11" t="str">
        <f t="shared" si="92"/>
        <v/>
      </c>
      <c r="F1105" s="11" t="str">
        <f t="shared" si="93"/>
        <v/>
      </c>
      <c r="G1105" s="10" t="str">
        <v/>
      </c>
      <c r="H1105" s="11" t="str">
        <v/>
      </c>
      <c r="I1105" s="11" t="str">
        <v/>
      </c>
    </row>
    <row r="1106" spans="2:9">
      <c r="B1106" s="11" t="str">
        <f t="shared" si="91"/>
        <v/>
      </c>
      <c r="C1106" s="11" t="str">
        <f t="shared" si="94"/>
        <v/>
      </c>
      <c r="D1106" s="11" t="str">
        <f t="shared" si="95"/>
        <v/>
      </c>
      <c r="E1106" s="11" t="str">
        <f t="shared" si="92"/>
        <v/>
      </c>
      <c r="F1106" s="11" t="str">
        <f t="shared" si="93"/>
        <v/>
      </c>
      <c r="G1106" s="10" t="str">
        <v/>
      </c>
      <c r="H1106" s="11" t="str">
        <v/>
      </c>
      <c r="I1106" s="11" t="str">
        <v/>
      </c>
    </row>
    <row r="1107" spans="2:9">
      <c r="B1107" s="11" t="str">
        <f t="shared" si="91"/>
        <v/>
      </c>
      <c r="C1107" s="11" t="str">
        <f t="shared" si="94"/>
        <v/>
      </c>
      <c r="D1107" s="11" t="str">
        <f t="shared" si="95"/>
        <v/>
      </c>
      <c r="E1107" s="11" t="str">
        <f t="shared" si="92"/>
        <v/>
      </c>
      <c r="F1107" s="11" t="str">
        <f t="shared" si="93"/>
        <v/>
      </c>
      <c r="G1107" s="10" t="str">
        <v/>
      </c>
      <c r="H1107" s="11" t="str">
        <v/>
      </c>
      <c r="I1107" s="11" t="str">
        <v/>
      </c>
    </row>
    <row r="1108" spans="2:9">
      <c r="B1108" s="11" t="str">
        <f t="shared" si="91"/>
        <v/>
      </c>
      <c r="C1108" s="11" t="str">
        <f t="shared" si="94"/>
        <v/>
      </c>
      <c r="D1108" s="11" t="str">
        <f t="shared" si="95"/>
        <v/>
      </c>
      <c r="E1108" s="11" t="str">
        <f t="shared" si="92"/>
        <v/>
      </c>
      <c r="F1108" s="11" t="str">
        <f t="shared" si="93"/>
        <v/>
      </c>
      <c r="G1108" s="10" t="str">
        <v/>
      </c>
      <c r="H1108" s="11" t="str">
        <v/>
      </c>
      <c r="I1108" s="11" t="str">
        <v/>
      </c>
    </row>
    <row r="1109" spans="2:9">
      <c r="B1109" s="11" t="str">
        <f t="shared" si="91"/>
        <v/>
      </c>
      <c r="C1109" s="11" t="str">
        <f t="shared" si="94"/>
        <v/>
      </c>
      <c r="D1109" s="11" t="str">
        <f t="shared" si="95"/>
        <v/>
      </c>
      <c r="E1109" s="11" t="str">
        <f t="shared" si="92"/>
        <v/>
      </c>
      <c r="F1109" s="11" t="str">
        <f t="shared" si="93"/>
        <v/>
      </c>
      <c r="G1109" s="10" t="str">
        <v/>
      </c>
      <c r="H1109" s="11" t="str">
        <v/>
      </c>
      <c r="I1109" s="11" t="str">
        <v/>
      </c>
    </row>
    <row r="1110" spans="2:9">
      <c r="B1110" s="11" t="str">
        <f t="shared" si="91"/>
        <v/>
      </c>
      <c r="C1110" s="11" t="str">
        <f t="shared" si="94"/>
        <v/>
      </c>
      <c r="D1110" s="11" t="str">
        <f t="shared" si="95"/>
        <v/>
      </c>
      <c r="E1110" s="11" t="str">
        <f t="shared" si="92"/>
        <v/>
      </c>
      <c r="F1110" s="11" t="str">
        <f t="shared" si="93"/>
        <v/>
      </c>
      <c r="G1110" s="10" t="str">
        <v/>
      </c>
      <c r="H1110" s="11" t="str">
        <v/>
      </c>
      <c r="I1110" s="11" t="str">
        <v/>
      </c>
    </row>
    <row r="1111" spans="2:9">
      <c r="B1111" s="11" t="str">
        <f t="shared" si="91"/>
        <v/>
      </c>
      <c r="C1111" s="11" t="str">
        <f t="shared" si="94"/>
        <v/>
      </c>
      <c r="D1111" s="11" t="str">
        <f t="shared" si="95"/>
        <v/>
      </c>
      <c r="E1111" s="11" t="str">
        <f t="shared" si="92"/>
        <v/>
      </c>
      <c r="F1111" s="11" t="str">
        <f t="shared" si="93"/>
        <v/>
      </c>
      <c r="G1111" s="10" t="str">
        <v/>
      </c>
      <c r="H1111" s="11" t="str">
        <v/>
      </c>
      <c r="I1111" s="11" t="str">
        <v/>
      </c>
    </row>
    <row r="1112" spans="2:9">
      <c r="B1112" s="11" t="str">
        <f t="shared" si="91"/>
        <v/>
      </c>
      <c r="C1112" s="11" t="str">
        <f t="shared" si="94"/>
        <v/>
      </c>
      <c r="D1112" s="11" t="str">
        <f t="shared" si="95"/>
        <v/>
      </c>
      <c r="E1112" s="11" t="str">
        <f t="shared" si="92"/>
        <v/>
      </c>
      <c r="F1112" s="11" t="str">
        <f t="shared" si="93"/>
        <v/>
      </c>
      <c r="G1112" s="10" t="str">
        <v/>
      </c>
      <c r="H1112" s="11" t="str">
        <v/>
      </c>
      <c r="I1112" s="11" t="str">
        <v/>
      </c>
    </row>
    <row r="1113" spans="2:9">
      <c r="B1113" s="11" t="str">
        <f t="shared" si="91"/>
        <v/>
      </c>
      <c r="C1113" s="11" t="str">
        <f t="shared" si="94"/>
        <v/>
      </c>
      <c r="D1113" s="11" t="str">
        <f t="shared" si="95"/>
        <v/>
      </c>
      <c r="E1113" s="11" t="str">
        <f t="shared" si="92"/>
        <v/>
      </c>
      <c r="F1113" s="11" t="str">
        <f t="shared" si="93"/>
        <v/>
      </c>
      <c r="G1113" s="10" t="str">
        <v/>
      </c>
      <c r="H1113" s="11" t="str">
        <v/>
      </c>
      <c r="I1113" s="11" t="str">
        <v/>
      </c>
    </row>
    <row r="1114" spans="2:9">
      <c r="B1114" s="11" t="str">
        <f t="shared" si="91"/>
        <v/>
      </c>
      <c r="C1114" s="11" t="str">
        <f t="shared" si="94"/>
        <v/>
      </c>
      <c r="D1114" s="11" t="str">
        <f t="shared" si="95"/>
        <v/>
      </c>
      <c r="E1114" s="11" t="str">
        <f t="shared" si="92"/>
        <v/>
      </c>
      <c r="F1114" s="11" t="str">
        <f t="shared" si="93"/>
        <v/>
      </c>
      <c r="G1114" s="10" t="str">
        <v/>
      </c>
      <c r="H1114" s="11" t="str">
        <v/>
      </c>
      <c r="I1114" s="11" t="str">
        <v/>
      </c>
    </row>
    <row r="1115" spans="2:9">
      <c r="B1115" s="11" t="str">
        <f t="shared" si="91"/>
        <v/>
      </c>
      <c r="C1115" s="11" t="str">
        <f t="shared" si="94"/>
        <v/>
      </c>
      <c r="D1115" s="11" t="str">
        <f t="shared" si="95"/>
        <v/>
      </c>
      <c r="E1115" s="11" t="str">
        <f t="shared" si="92"/>
        <v/>
      </c>
      <c r="F1115" s="11" t="str">
        <f t="shared" si="93"/>
        <v/>
      </c>
      <c r="G1115" s="10" t="str">
        <v/>
      </c>
      <c r="H1115" s="11" t="str">
        <v/>
      </c>
      <c r="I1115" s="11" t="str">
        <v/>
      </c>
    </row>
    <row r="1116" spans="2:9">
      <c r="B1116" s="11" t="str">
        <f t="shared" si="91"/>
        <v/>
      </c>
      <c r="C1116" s="11" t="str">
        <f t="shared" si="94"/>
        <v/>
      </c>
      <c r="D1116" s="11" t="str">
        <f t="shared" si="95"/>
        <v/>
      </c>
      <c r="E1116" s="11" t="str">
        <f t="shared" si="92"/>
        <v/>
      </c>
      <c r="F1116" s="11" t="str">
        <f t="shared" si="93"/>
        <v/>
      </c>
      <c r="G1116" s="10" t="str">
        <v/>
      </c>
      <c r="H1116" s="11" t="str">
        <v/>
      </c>
      <c r="I1116" s="11" t="str">
        <v/>
      </c>
    </row>
    <row r="1117" spans="2:9">
      <c r="B1117" s="11" t="str">
        <f t="shared" si="91"/>
        <v/>
      </c>
      <c r="C1117" s="11" t="str">
        <f t="shared" si="94"/>
        <v/>
      </c>
      <c r="D1117" s="11" t="str">
        <f t="shared" si="95"/>
        <v/>
      </c>
      <c r="E1117" s="11" t="str">
        <f t="shared" si="92"/>
        <v/>
      </c>
      <c r="F1117" s="11" t="str">
        <f t="shared" si="93"/>
        <v/>
      </c>
      <c r="G1117" s="10" t="str">
        <v/>
      </c>
      <c r="H1117" s="11" t="str">
        <v/>
      </c>
      <c r="I1117" s="11" t="str">
        <v/>
      </c>
    </row>
    <row r="1118" spans="2:9">
      <c r="B1118" s="11" t="str">
        <f t="shared" si="91"/>
        <v/>
      </c>
      <c r="C1118" s="11" t="str">
        <f t="shared" si="94"/>
        <v/>
      </c>
      <c r="D1118" s="11" t="str">
        <f t="shared" si="95"/>
        <v/>
      </c>
      <c r="E1118" s="11" t="str">
        <f t="shared" si="92"/>
        <v/>
      </c>
      <c r="F1118" s="11" t="str">
        <f t="shared" si="93"/>
        <v/>
      </c>
      <c r="G1118" s="10" t="str">
        <v/>
      </c>
      <c r="H1118" s="11" t="str">
        <v/>
      </c>
      <c r="I1118" s="11" t="str">
        <v/>
      </c>
    </row>
    <row r="1119" spans="2:9">
      <c r="B1119" s="11" t="str">
        <f t="shared" si="91"/>
        <v/>
      </c>
      <c r="C1119" s="11" t="str">
        <f t="shared" si="94"/>
        <v/>
      </c>
      <c r="D1119" s="11" t="str">
        <f t="shared" si="95"/>
        <v/>
      </c>
      <c r="E1119" s="11" t="str">
        <f t="shared" si="92"/>
        <v/>
      </c>
      <c r="F1119" s="11" t="str">
        <f t="shared" si="93"/>
        <v/>
      </c>
      <c r="G1119" s="10" t="str">
        <v/>
      </c>
      <c r="H1119" s="11" t="str">
        <v/>
      </c>
      <c r="I1119" s="11" t="str">
        <v/>
      </c>
    </row>
    <row r="1120" spans="2:9">
      <c r="B1120" s="11" t="str">
        <f t="shared" si="91"/>
        <v/>
      </c>
      <c r="C1120" s="11" t="str">
        <f t="shared" si="94"/>
        <v/>
      </c>
      <c r="D1120" s="11" t="str">
        <f t="shared" si="95"/>
        <v/>
      </c>
      <c r="E1120" s="11" t="str">
        <f t="shared" si="92"/>
        <v/>
      </c>
      <c r="F1120" s="11" t="str">
        <f t="shared" si="93"/>
        <v/>
      </c>
      <c r="G1120" s="10" t="str">
        <v/>
      </c>
      <c r="H1120" s="11" t="str">
        <v/>
      </c>
      <c r="I1120" s="11" t="str">
        <v/>
      </c>
    </row>
    <row r="1121" spans="2:9">
      <c r="B1121" s="11" t="str">
        <f t="shared" si="91"/>
        <v/>
      </c>
      <c r="C1121" s="11" t="str">
        <f t="shared" si="94"/>
        <v/>
      </c>
      <c r="D1121" s="11" t="str">
        <f t="shared" si="95"/>
        <v/>
      </c>
      <c r="E1121" s="11" t="str">
        <f t="shared" si="92"/>
        <v/>
      </c>
      <c r="F1121" s="11" t="str">
        <f t="shared" si="93"/>
        <v/>
      </c>
      <c r="G1121" s="10" t="str">
        <v/>
      </c>
      <c r="H1121" s="11" t="str">
        <v/>
      </c>
      <c r="I1121" s="11" t="str">
        <v/>
      </c>
    </row>
    <row r="1122" spans="2:9">
      <c r="B1122" s="11" t="str">
        <f t="shared" si="91"/>
        <v/>
      </c>
      <c r="C1122" s="11" t="str">
        <f t="shared" si="94"/>
        <v/>
      </c>
      <c r="D1122" s="11" t="str">
        <f t="shared" si="95"/>
        <v/>
      </c>
      <c r="E1122" s="11" t="str">
        <f t="shared" si="92"/>
        <v/>
      </c>
      <c r="F1122" s="11" t="str">
        <f t="shared" si="93"/>
        <v/>
      </c>
      <c r="G1122" s="10" t="str">
        <v/>
      </c>
      <c r="H1122" s="11" t="str">
        <v/>
      </c>
      <c r="I1122" s="11" t="str">
        <v/>
      </c>
    </row>
    <row r="1123" spans="2:9">
      <c r="B1123" s="11" t="str">
        <f t="shared" si="91"/>
        <v/>
      </c>
      <c r="C1123" s="11" t="str">
        <f t="shared" si="94"/>
        <v/>
      </c>
      <c r="D1123" s="11" t="str">
        <f t="shared" si="95"/>
        <v/>
      </c>
      <c r="E1123" s="11" t="str">
        <f t="shared" si="92"/>
        <v/>
      </c>
      <c r="F1123" s="11" t="str">
        <f t="shared" si="93"/>
        <v/>
      </c>
      <c r="G1123" s="10" t="str">
        <v/>
      </c>
      <c r="H1123" s="11" t="str">
        <v/>
      </c>
      <c r="I1123" s="11" t="str">
        <v/>
      </c>
    </row>
    <row r="1124" spans="2:9">
      <c r="B1124" s="11" t="str">
        <f t="shared" si="91"/>
        <v/>
      </c>
      <c r="C1124" s="11" t="str">
        <f t="shared" si="94"/>
        <v/>
      </c>
      <c r="D1124" s="11" t="str">
        <f t="shared" si="95"/>
        <v/>
      </c>
      <c r="E1124" s="11" t="str">
        <f t="shared" si="92"/>
        <v/>
      </c>
      <c r="F1124" s="11" t="str">
        <f t="shared" si="93"/>
        <v/>
      </c>
      <c r="G1124" s="10" t="str">
        <v/>
      </c>
      <c r="H1124" s="11" t="str">
        <v/>
      </c>
      <c r="I1124" s="11" t="str">
        <v/>
      </c>
    </row>
    <row r="1125" spans="2:9">
      <c r="B1125" s="11" t="str">
        <f t="shared" si="91"/>
        <v/>
      </c>
      <c r="C1125" s="11" t="str">
        <f t="shared" si="94"/>
        <v/>
      </c>
      <c r="D1125" s="11" t="str">
        <f t="shared" si="95"/>
        <v/>
      </c>
      <c r="E1125" s="11" t="str">
        <f t="shared" si="92"/>
        <v/>
      </c>
      <c r="F1125" s="11" t="str">
        <f t="shared" si="93"/>
        <v/>
      </c>
      <c r="G1125" s="10" t="str">
        <v/>
      </c>
      <c r="H1125" s="11" t="str">
        <v/>
      </c>
      <c r="I1125" s="11" t="str">
        <v/>
      </c>
    </row>
    <row r="1126" spans="2:9">
      <c r="B1126" s="11" t="str">
        <f t="shared" si="91"/>
        <v/>
      </c>
      <c r="C1126" s="11" t="str">
        <f t="shared" si="94"/>
        <v/>
      </c>
      <c r="D1126" s="11" t="str">
        <f t="shared" si="95"/>
        <v/>
      </c>
      <c r="E1126" s="11" t="str">
        <f t="shared" si="92"/>
        <v/>
      </c>
      <c r="F1126" s="11" t="str">
        <f t="shared" si="93"/>
        <v/>
      </c>
      <c r="G1126" s="10" t="str">
        <v/>
      </c>
      <c r="H1126" s="11" t="str">
        <v/>
      </c>
      <c r="I1126" s="11" t="str">
        <v/>
      </c>
    </row>
    <row r="1127" spans="2:9">
      <c r="B1127" s="11" t="str">
        <f t="shared" si="91"/>
        <v/>
      </c>
      <c r="C1127" s="11" t="str">
        <f t="shared" si="94"/>
        <v/>
      </c>
      <c r="D1127" s="11" t="str">
        <f t="shared" si="95"/>
        <v/>
      </c>
      <c r="E1127" s="11" t="str">
        <f t="shared" si="92"/>
        <v/>
      </c>
      <c r="F1127" s="11" t="str">
        <f t="shared" si="93"/>
        <v/>
      </c>
      <c r="G1127" s="10" t="str">
        <v/>
      </c>
      <c r="H1127" s="11" t="str">
        <v/>
      </c>
      <c r="I1127" s="11" t="str">
        <v/>
      </c>
    </row>
    <row r="1128" spans="2:9">
      <c r="B1128" s="11" t="str">
        <f t="shared" si="91"/>
        <v/>
      </c>
      <c r="C1128" s="11" t="str">
        <f t="shared" si="94"/>
        <v/>
      </c>
      <c r="D1128" s="11" t="str">
        <f t="shared" si="95"/>
        <v/>
      </c>
      <c r="E1128" s="11" t="str">
        <f t="shared" si="92"/>
        <v/>
      </c>
      <c r="F1128" s="11" t="str">
        <f t="shared" si="93"/>
        <v/>
      </c>
      <c r="G1128" s="10" t="str">
        <v/>
      </c>
      <c r="H1128" s="11" t="str">
        <v/>
      </c>
      <c r="I1128" s="11" t="str">
        <v/>
      </c>
    </row>
    <row r="1129" spans="2:9">
      <c r="B1129" s="11" t="str">
        <f t="shared" si="91"/>
        <v/>
      </c>
      <c r="C1129" s="11" t="str">
        <f t="shared" si="94"/>
        <v/>
      </c>
      <c r="D1129" s="11" t="str">
        <f t="shared" si="95"/>
        <v/>
      </c>
      <c r="E1129" s="11" t="str">
        <f t="shared" si="92"/>
        <v/>
      </c>
      <c r="F1129" s="11" t="str">
        <f t="shared" si="93"/>
        <v/>
      </c>
      <c r="G1129" s="10" t="str">
        <v/>
      </c>
      <c r="H1129" s="11" t="str">
        <v/>
      </c>
      <c r="I1129" s="11" t="str">
        <v/>
      </c>
    </row>
    <row r="1130" spans="2:9">
      <c r="B1130" s="11" t="str">
        <f t="shared" si="91"/>
        <v/>
      </c>
      <c r="C1130" s="11" t="str">
        <f t="shared" si="94"/>
        <v/>
      </c>
      <c r="D1130" s="11" t="str">
        <f t="shared" si="95"/>
        <v/>
      </c>
      <c r="E1130" s="11" t="str">
        <f t="shared" si="92"/>
        <v/>
      </c>
      <c r="F1130" s="11" t="str">
        <f t="shared" si="93"/>
        <v/>
      </c>
      <c r="G1130" s="10" t="str">
        <v/>
      </c>
      <c r="H1130" s="11" t="str">
        <v/>
      </c>
      <c r="I1130" s="11" t="str">
        <v/>
      </c>
    </row>
    <row r="1131" spans="2:9">
      <c r="B1131" s="11" t="str">
        <f t="shared" si="91"/>
        <v/>
      </c>
      <c r="C1131" s="11" t="str">
        <f t="shared" si="94"/>
        <v/>
      </c>
      <c r="D1131" s="11" t="str">
        <f t="shared" si="95"/>
        <v/>
      </c>
      <c r="E1131" s="11" t="str">
        <f t="shared" si="92"/>
        <v/>
      </c>
      <c r="F1131" s="11" t="str">
        <f t="shared" si="93"/>
        <v/>
      </c>
      <c r="G1131" s="10" t="str">
        <v/>
      </c>
      <c r="H1131" s="11" t="str">
        <v/>
      </c>
      <c r="I1131" s="11" t="str">
        <v/>
      </c>
    </row>
    <row r="1132" spans="2:9">
      <c r="B1132" s="11" t="str">
        <f t="shared" si="91"/>
        <v/>
      </c>
      <c r="C1132" s="11" t="str">
        <f t="shared" si="94"/>
        <v/>
      </c>
      <c r="D1132" s="11" t="str">
        <f t="shared" si="95"/>
        <v/>
      </c>
      <c r="E1132" s="11" t="str">
        <f t="shared" si="92"/>
        <v/>
      </c>
      <c r="F1132" s="11" t="str">
        <f t="shared" si="93"/>
        <v/>
      </c>
      <c r="G1132" s="10" t="str">
        <v/>
      </c>
      <c r="H1132" s="11" t="str">
        <v/>
      </c>
      <c r="I1132" s="11" t="str">
        <v/>
      </c>
    </row>
    <row r="1133" spans="2:9">
      <c r="B1133" s="11" t="str">
        <f t="shared" si="91"/>
        <v/>
      </c>
      <c r="C1133" s="11" t="str">
        <f t="shared" si="94"/>
        <v/>
      </c>
      <c r="D1133" s="11" t="str">
        <f t="shared" si="95"/>
        <v/>
      </c>
      <c r="E1133" s="11" t="str">
        <f t="shared" si="92"/>
        <v/>
      </c>
      <c r="F1133" s="11" t="str">
        <f t="shared" si="93"/>
        <v/>
      </c>
      <c r="G1133" s="10" t="str">
        <v/>
      </c>
      <c r="H1133" s="11" t="str">
        <v/>
      </c>
      <c r="I1133" s="11" t="str">
        <v/>
      </c>
    </row>
    <row r="1134" spans="2:9">
      <c r="B1134" s="11" t="str">
        <f t="shared" si="91"/>
        <v/>
      </c>
      <c r="C1134" s="11" t="str">
        <f t="shared" si="94"/>
        <v/>
      </c>
      <c r="D1134" s="11" t="str">
        <f t="shared" si="95"/>
        <v/>
      </c>
      <c r="E1134" s="11" t="str">
        <f t="shared" si="92"/>
        <v/>
      </c>
      <c r="F1134" s="11" t="str">
        <f t="shared" si="93"/>
        <v/>
      </c>
      <c r="G1134" s="10" t="str">
        <v/>
      </c>
      <c r="H1134" s="11" t="str">
        <v/>
      </c>
      <c r="I1134" s="11" t="str">
        <v/>
      </c>
    </row>
    <row r="1135" spans="2:9">
      <c r="B1135" s="11" t="str">
        <f t="shared" si="91"/>
        <v/>
      </c>
      <c r="C1135" s="11" t="str">
        <f t="shared" si="94"/>
        <v/>
      </c>
      <c r="D1135" s="11" t="str">
        <f t="shared" si="95"/>
        <v/>
      </c>
      <c r="E1135" s="11" t="str">
        <f t="shared" si="92"/>
        <v/>
      </c>
      <c r="F1135" s="11" t="str">
        <f t="shared" si="93"/>
        <v/>
      </c>
      <c r="G1135" s="10" t="str">
        <v/>
      </c>
      <c r="H1135" s="11" t="str">
        <v/>
      </c>
      <c r="I1135" s="11" t="str">
        <v/>
      </c>
    </row>
    <row r="1136" spans="2:9">
      <c r="B1136" s="11" t="str">
        <f t="shared" si="91"/>
        <v/>
      </c>
      <c r="C1136" s="11" t="str">
        <f t="shared" si="94"/>
        <v/>
      </c>
      <c r="D1136" s="11" t="str">
        <f t="shared" si="95"/>
        <v/>
      </c>
      <c r="E1136" s="11" t="str">
        <f t="shared" si="92"/>
        <v/>
      </c>
      <c r="F1136" s="11" t="str">
        <f t="shared" si="93"/>
        <v/>
      </c>
      <c r="G1136" s="10" t="str">
        <v/>
      </c>
      <c r="H1136" s="11" t="str">
        <v/>
      </c>
      <c r="I1136" s="11" t="str">
        <v/>
      </c>
    </row>
    <row r="1137" spans="2:9">
      <c r="B1137" s="11" t="str">
        <f t="shared" si="91"/>
        <v/>
      </c>
      <c r="C1137" s="11" t="str">
        <f t="shared" si="94"/>
        <v/>
      </c>
      <c r="D1137" s="11" t="str">
        <f t="shared" si="95"/>
        <v/>
      </c>
      <c r="E1137" s="11" t="str">
        <f t="shared" si="92"/>
        <v/>
      </c>
      <c r="F1137" s="11" t="str">
        <f t="shared" si="93"/>
        <v/>
      </c>
      <c r="G1137" s="10" t="str">
        <v/>
      </c>
      <c r="H1137" s="11" t="str">
        <v/>
      </c>
      <c r="I1137" s="11" t="str">
        <v/>
      </c>
    </row>
    <row r="1138" spans="2:9">
      <c r="B1138" s="11" t="str">
        <f t="shared" si="91"/>
        <v/>
      </c>
      <c r="C1138" s="11" t="str">
        <f t="shared" si="94"/>
        <v/>
      </c>
      <c r="D1138" s="11" t="str">
        <f t="shared" si="95"/>
        <v/>
      </c>
      <c r="E1138" s="11" t="str">
        <f t="shared" si="92"/>
        <v/>
      </c>
      <c r="F1138" s="11" t="str">
        <f t="shared" si="93"/>
        <v/>
      </c>
      <c r="G1138" s="10" t="str">
        <v/>
      </c>
      <c r="H1138" s="11" t="str">
        <v/>
      </c>
      <c r="I1138" s="11" t="str">
        <v/>
      </c>
    </row>
    <row r="1139" spans="2:9">
      <c r="B1139" s="11" t="str">
        <f t="shared" si="91"/>
        <v/>
      </c>
      <c r="C1139" s="11" t="str">
        <f t="shared" si="94"/>
        <v/>
      </c>
      <c r="D1139" s="11" t="str">
        <f t="shared" si="95"/>
        <v/>
      </c>
      <c r="E1139" s="11" t="str">
        <f t="shared" si="92"/>
        <v/>
      </c>
      <c r="F1139" s="11" t="str">
        <f t="shared" si="93"/>
        <v/>
      </c>
      <c r="G1139" s="10" t="str">
        <v/>
      </c>
      <c r="H1139" s="11" t="str">
        <v/>
      </c>
      <c r="I1139" s="11" t="str">
        <v/>
      </c>
    </row>
    <row r="1140" spans="2:9">
      <c r="B1140" s="11" t="str">
        <f t="shared" si="91"/>
        <v/>
      </c>
      <c r="C1140" s="11" t="str">
        <f t="shared" si="94"/>
        <v/>
      </c>
      <c r="D1140" s="11" t="str">
        <f t="shared" si="95"/>
        <v/>
      </c>
      <c r="E1140" s="11" t="str">
        <f t="shared" si="92"/>
        <v/>
      </c>
      <c r="F1140" s="11" t="str">
        <f t="shared" si="93"/>
        <v/>
      </c>
      <c r="G1140" s="10" t="str">
        <v/>
      </c>
      <c r="H1140" s="11" t="str">
        <v/>
      </c>
      <c r="I1140" s="11" t="str">
        <v/>
      </c>
    </row>
    <row r="1141" spans="2:9">
      <c r="B1141" s="11" t="str">
        <f t="shared" si="91"/>
        <v/>
      </c>
      <c r="C1141" s="11" t="str">
        <f t="shared" si="94"/>
        <v/>
      </c>
      <c r="D1141" s="11" t="str">
        <f t="shared" si="95"/>
        <v/>
      </c>
      <c r="E1141" s="11" t="str">
        <f t="shared" si="92"/>
        <v/>
      </c>
      <c r="F1141" s="11" t="str">
        <f t="shared" si="93"/>
        <v/>
      </c>
      <c r="G1141" s="10" t="str">
        <v/>
      </c>
      <c r="H1141" s="11" t="str">
        <v/>
      </c>
      <c r="I1141" s="11" t="str">
        <v/>
      </c>
    </row>
    <row r="1142" spans="2:9">
      <c r="B1142" s="11" t="str">
        <f t="shared" si="91"/>
        <v/>
      </c>
      <c r="C1142" s="11" t="str">
        <f t="shared" si="94"/>
        <v/>
      </c>
      <c r="D1142" s="11" t="str">
        <f t="shared" si="95"/>
        <v/>
      </c>
      <c r="E1142" s="11" t="str">
        <f t="shared" si="92"/>
        <v/>
      </c>
      <c r="F1142" s="11" t="str">
        <f t="shared" si="93"/>
        <v/>
      </c>
      <c r="G1142" s="10" t="str">
        <v/>
      </c>
      <c r="H1142" s="11" t="str">
        <v/>
      </c>
      <c r="I1142" s="11" t="str">
        <v/>
      </c>
    </row>
    <row r="1143" spans="2:9">
      <c r="B1143" s="11" t="str">
        <f t="shared" si="91"/>
        <v/>
      </c>
      <c r="C1143" s="11" t="str">
        <f t="shared" si="94"/>
        <v/>
      </c>
      <c r="D1143" s="11" t="str">
        <f t="shared" si="95"/>
        <v/>
      </c>
      <c r="E1143" s="11" t="str">
        <f t="shared" si="92"/>
        <v/>
      </c>
      <c r="F1143" s="11" t="str">
        <f t="shared" si="93"/>
        <v/>
      </c>
      <c r="G1143" s="10" t="str">
        <v/>
      </c>
      <c r="H1143" s="11" t="str">
        <v/>
      </c>
      <c r="I1143" s="11" t="str">
        <v/>
      </c>
    </row>
    <row r="1144" spans="2:9">
      <c r="B1144" s="11" t="str">
        <f t="shared" si="91"/>
        <v/>
      </c>
      <c r="C1144" s="11" t="str">
        <f t="shared" si="94"/>
        <v/>
      </c>
      <c r="D1144" s="11" t="str">
        <f t="shared" si="95"/>
        <v/>
      </c>
      <c r="E1144" s="11" t="str">
        <f t="shared" si="92"/>
        <v/>
      </c>
      <c r="F1144" s="11" t="str">
        <f t="shared" si="93"/>
        <v/>
      </c>
      <c r="G1144" s="10" t="str">
        <v/>
      </c>
      <c r="H1144" s="11" t="str">
        <v/>
      </c>
      <c r="I1144" s="11" t="str">
        <v/>
      </c>
    </row>
    <row r="1145" spans="2:9">
      <c r="B1145" s="11" t="str">
        <f t="shared" si="91"/>
        <v/>
      </c>
      <c r="C1145" s="11" t="str">
        <f t="shared" si="94"/>
        <v/>
      </c>
      <c r="D1145" s="11" t="str">
        <f t="shared" si="95"/>
        <v/>
      </c>
      <c r="E1145" s="11" t="str">
        <f t="shared" si="92"/>
        <v/>
      </c>
      <c r="F1145" s="11" t="str">
        <f t="shared" si="93"/>
        <v/>
      </c>
      <c r="G1145" s="10" t="str">
        <v/>
      </c>
      <c r="H1145" s="11" t="str">
        <v/>
      </c>
      <c r="I1145" s="11" t="str">
        <v/>
      </c>
    </row>
    <row r="1146" spans="2:9">
      <c r="B1146" s="11" t="str">
        <f t="shared" si="91"/>
        <v/>
      </c>
      <c r="C1146" s="11" t="str">
        <f t="shared" si="94"/>
        <v/>
      </c>
      <c r="D1146" s="11" t="str">
        <f t="shared" si="95"/>
        <v/>
      </c>
      <c r="E1146" s="11" t="str">
        <f t="shared" si="92"/>
        <v/>
      </c>
      <c r="F1146" s="11" t="str">
        <f t="shared" si="93"/>
        <v/>
      </c>
      <c r="G1146" s="10" t="str">
        <v/>
      </c>
      <c r="H1146" s="11" t="str">
        <v/>
      </c>
      <c r="I1146" s="11" t="str">
        <v/>
      </c>
    </row>
    <row r="1147" spans="2:9">
      <c r="B1147" s="11" t="str">
        <f t="shared" si="91"/>
        <v/>
      </c>
      <c r="C1147" s="11" t="str">
        <f t="shared" si="94"/>
        <v/>
      </c>
      <c r="D1147" s="11" t="str">
        <f t="shared" si="95"/>
        <v/>
      </c>
      <c r="E1147" s="11" t="str">
        <f t="shared" si="92"/>
        <v/>
      </c>
      <c r="F1147" s="11" t="str">
        <f t="shared" si="93"/>
        <v/>
      </c>
      <c r="G1147" s="10" t="str">
        <v/>
      </c>
      <c r="H1147" s="11" t="str">
        <v/>
      </c>
      <c r="I1147" s="11" t="str">
        <v/>
      </c>
    </row>
    <row r="1148" spans="2:9">
      <c r="B1148" s="11" t="str">
        <f t="shared" si="91"/>
        <v/>
      </c>
      <c r="C1148" s="11" t="str">
        <f t="shared" si="94"/>
        <v/>
      </c>
      <c r="D1148" s="11" t="str">
        <f t="shared" si="95"/>
        <v/>
      </c>
      <c r="E1148" s="11" t="str">
        <f t="shared" si="92"/>
        <v/>
      </c>
      <c r="F1148" s="11" t="str">
        <f t="shared" si="93"/>
        <v/>
      </c>
      <c r="G1148" s="10" t="str">
        <v/>
      </c>
      <c r="H1148" s="11" t="str">
        <v/>
      </c>
      <c r="I1148" s="11" t="str">
        <v/>
      </c>
    </row>
    <row r="1149" spans="2:9">
      <c r="B1149" s="11" t="str">
        <f t="shared" si="91"/>
        <v/>
      </c>
      <c r="C1149" s="11" t="str">
        <f t="shared" si="94"/>
        <v/>
      </c>
      <c r="D1149" s="11" t="str">
        <f t="shared" si="95"/>
        <v/>
      </c>
      <c r="E1149" s="11" t="str">
        <f t="shared" si="92"/>
        <v/>
      </c>
      <c r="F1149" s="11" t="str">
        <f t="shared" si="93"/>
        <v/>
      </c>
      <c r="G1149" s="10" t="str">
        <v/>
      </c>
      <c r="H1149" s="11" t="str">
        <v/>
      </c>
      <c r="I1149" s="11" t="str">
        <v/>
      </c>
    </row>
    <row r="1150" spans="2:9">
      <c r="B1150" s="11" t="str">
        <f t="shared" si="91"/>
        <v/>
      </c>
      <c r="C1150" s="11" t="str">
        <f t="shared" si="94"/>
        <v/>
      </c>
      <c r="D1150" s="11" t="str">
        <f t="shared" si="95"/>
        <v/>
      </c>
      <c r="E1150" s="11" t="str">
        <f t="shared" si="92"/>
        <v/>
      </c>
      <c r="F1150" s="11" t="str">
        <f t="shared" si="93"/>
        <v/>
      </c>
      <c r="G1150" s="10" t="str">
        <v/>
      </c>
      <c r="H1150" s="11" t="str">
        <v/>
      </c>
      <c r="I1150" s="11" t="str">
        <v/>
      </c>
    </row>
    <row r="1151" spans="2:9">
      <c r="B1151" s="11" t="str">
        <f t="shared" si="91"/>
        <v/>
      </c>
      <c r="C1151" s="11" t="str">
        <f t="shared" si="94"/>
        <v/>
      </c>
      <c r="D1151" s="11" t="str">
        <f t="shared" si="95"/>
        <v/>
      </c>
      <c r="E1151" s="11" t="str">
        <f t="shared" si="92"/>
        <v/>
      </c>
      <c r="F1151" s="11" t="str">
        <f t="shared" si="93"/>
        <v/>
      </c>
      <c r="G1151" s="10" t="str">
        <v/>
      </c>
      <c r="H1151" s="11" t="str">
        <v/>
      </c>
      <c r="I1151" s="11" t="str">
        <v/>
      </c>
    </row>
    <row r="1152" spans="2:9">
      <c r="B1152" s="11" t="str">
        <f t="shared" si="91"/>
        <v/>
      </c>
      <c r="C1152" s="11" t="str">
        <f t="shared" si="94"/>
        <v/>
      </c>
      <c r="D1152" s="11" t="str">
        <f t="shared" si="95"/>
        <v/>
      </c>
      <c r="E1152" s="11" t="str">
        <f t="shared" si="92"/>
        <v/>
      </c>
      <c r="F1152" s="11" t="str">
        <f t="shared" si="93"/>
        <v/>
      </c>
      <c r="G1152" s="10" t="str">
        <v/>
      </c>
      <c r="H1152" s="11" t="str">
        <v/>
      </c>
      <c r="I1152" s="11" t="str">
        <v/>
      </c>
    </row>
    <row r="1153" spans="2:9">
      <c r="B1153" s="11" t="str">
        <f t="shared" ref="B1153:B1216" si="96">IFERROR(IF(FIND(" ",A1153)=6,IF(IFERROR(FIND(" PB",A1153),"")&lt;&gt;"","артикул",IF(IFERROR(FIND(" CRN",A1153),"")&lt;&gt;"","артикул","")),""),"")</f>
        <v/>
      </c>
      <c r="C1153" s="11" t="str">
        <f t="shared" si="94"/>
        <v/>
      </c>
      <c r="D1153" s="11" t="str">
        <f t="shared" si="95"/>
        <v/>
      </c>
      <c r="E1153" s="11" t="str">
        <f t="shared" si="92"/>
        <v/>
      </c>
      <c r="F1153" s="11" t="str">
        <f t="shared" si="93"/>
        <v/>
      </c>
      <c r="G1153" s="10" t="str">
        <v/>
      </c>
      <c r="H1153" s="11" t="str">
        <v/>
      </c>
      <c r="I1153" s="11" t="str">
        <v/>
      </c>
    </row>
    <row r="1154" spans="2:9">
      <c r="B1154" s="11" t="str">
        <f t="shared" si="96"/>
        <v/>
      </c>
      <c r="C1154" s="11" t="str">
        <f t="shared" si="94"/>
        <v/>
      </c>
      <c r="D1154" s="11" t="str">
        <f t="shared" si="95"/>
        <v/>
      </c>
      <c r="E1154" s="11" t="str">
        <f t="shared" ref="E1154:E1217" si="97" xml:space="preserve">
IF(B1154="Артикул",
IF(
AND(RIGHT(A1155,1)="%",
RIGHT(A1156,1)="%",
RIGHT(A1157,1)="%",
RIGHT(A1158,1)="%"),MID(A1159,FIND(" ",A1159),50),
IF(
AND(RIGHT(A1155,1)="%",
RIGHT(A1156,1)="%",
RIGHT(A1157,1)="%"),MID(A1158,FIND(" ",A1158),50),
IF(
AND(RIGHT(A1155,1)="%",
RIGHT(A1156,1)="%"),
MID(A1157,FIND(" ",A1157),50),
IF(
RIGHT(A1155,1)="%",
MID(A1156,FIND(" ",A1156),50),"")))),"")</f>
        <v/>
      </c>
      <c r="F1154" s="11" t="str">
        <f t="shared" ref="F1154:F1217" si="98">IFERROR(
IF(
AND(LEFT(A1154,8)="Discount",FIND("%",A1154)&gt;0),
MID(A1154,
FIND(" ",A1154),
FIND("%",A1154)-FIND(" ",A1154))
*-1,""),"")</f>
        <v/>
      </c>
      <c r="G1154" s="10" t="str">
        <v/>
      </c>
      <c r="H1154" s="11" t="str">
        <v/>
      </c>
      <c r="I1154" s="11" t="str">
        <v/>
      </c>
    </row>
    <row r="1155" spans="2:9">
      <c r="B1155" s="11" t="str">
        <f t="shared" si="96"/>
        <v/>
      </c>
      <c r="C1155" s="11" t="str">
        <f t="shared" si="94"/>
        <v/>
      </c>
      <c r="D1155" s="11" t="str">
        <f t="shared" si="95"/>
        <v/>
      </c>
      <c r="E1155" s="11" t="str">
        <f t="shared" si="97"/>
        <v/>
      </c>
      <c r="F1155" s="11" t="str">
        <f t="shared" si="98"/>
        <v/>
      </c>
      <c r="G1155" s="10" t="str">
        <v/>
      </c>
      <c r="H1155" s="11" t="str">
        <v/>
      </c>
      <c r="I1155" s="11" t="str">
        <v/>
      </c>
    </row>
    <row r="1156" spans="2:9">
      <c r="B1156" s="11" t="str">
        <f t="shared" si="96"/>
        <v/>
      </c>
      <c r="C1156" s="11" t="str">
        <f t="shared" si="94"/>
        <v/>
      </c>
      <c r="D1156" s="11" t="str">
        <f t="shared" si="95"/>
        <v/>
      </c>
      <c r="E1156" s="11" t="str">
        <f t="shared" si="97"/>
        <v/>
      </c>
      <c r="F1156" s="11" t="str">
        <f t="shared" si="98"/>
        <v/>
      </c>
      <c r="G1156" s="10" t="str">
        <v/>
      </c>
      <c r="H1156" s="11" t="str">
        <v/>
      </c>
      <c r="I1156" s="11" t="str">
        <v/>
      </c>
    </row>
    <row r="1157" spans="2:9">
      <c r="B1157" s="11" t="str">
        <f t="shared" si="96"/>
        <v/>
      </c>
      <c r="C1157" s="11" t="str">
        <f t="shared" si="94"/>
        <v/>
      </c>
      <c r="D1157" s="11" t="str">
        <f t="shared" si="95"/>
        <v/>
      </c>
      <c r="E1157" s="11" t="str">
        <f t="shared" si="97"/>
        <v/>
      </c>
      <c r="F1157" s="11" t="str">
        <f t="shared" si="98"/>
        <v/>
      </c>
      <c r="G1157" s="10" t="str">
        <v/>
      </c>
      <c r="H1157" s="11" t="str">
        <v/>
      </c>
      <c r="I1157" s="11" t="str">
        <v/>
      </c>
    </row>
    <row r="1158" spans="2:9">
      <c r="B1158" s="11" t="str">
        <f t="shared" si="96"/>
        <v/>
      </c>
      <c r="C1158" s="11" t="str">
        <f t="shared" si="94"/>
        <v/>
      </c>
      <c r="D1158" s="11" t="str">
        <f t="shared" si="95"/>
        <v/>
      </c>
      <c r="E1158" s="11" t="str">
        <f t="shared" si="97"/>
        <v/>
      </c>
      <c r="F1158" s="11" t="str">
        <f t="shared" si="98"/>
        <v/>
      </c>
      <c r="G1158" s="10" t="str">
        <v/>
      </c>
      <c r="H1158" s="11" t="str">
        <v/>
      </c>
      <c r="I1158" s="11" t="str">
        <v/>
      </c>
    </row>
    <row r="1159" spans="2:9">
      <c r="B1159" s="11" t="str">
        <f t="shared" si="96"/>
        <v/>
      </c>
      <c r="C1159" s="11" t="str">
        <f t="shared" si="94"/>
        <v/>
      </c>
      <c r="D1159" s="11" t="str">
        <f t="shared" si="95"/>
        <v/>
      </c>
      <c r="E1159" s="11" t="str">
        <f t="shared" si="97"/>
        <v/>
      </c>
      <c r="F1159" s="11" t="str">
        <f t="shared" si="98"/>
        <v/>
      </c>
      <c r="G1159" s="10" t="str">
        <v/>
      </c>
      <c r="H1159" s="11" t="str">
        <v/>
      </c>
      <c r="I1159" s="11" t="str">
        <v/>
      </c>
    </row>
    <row r="1160" spans="2:9">
      <c r="B1160" s="11" t="str">
        <f t="shared" si="96"/>
        <v/>
      </c>
      <c r="C1160" s="11" t="str">
        <f t="shared" si="94"/>
        <v/>
      </c>
      <c r="D1160" s="11" t="str">
        <f t="shared" si="95"/>
        <v/>
      </c>
      <c r="E1160" s="11" t="str">
        <f t="shared" si="97"/>
        <v/>
      </c>
      <c r="F1160" s="11" t="str">
        <f t="shared" si="98"/>
        <v/>
      </c>
      <c r="G1160" s="10" t="str">
        <v/>
      </c>
      <c r="H1160" s="11" t="str">
        <v/>
      </c>
      <c r="I1160" s="11" t="str">
        <v/>
      </c>
    </row>
    <row r="1161" spans="2:9">
      <c r="B1161" s="11" t="str">
        <f t="shared" si="96"/>
        <v/>
      </c>
      <c r="C1161" s="11" t="str">
        <f t="shared" si="94"/>
        <v/>
      </c>
      <c r="D1161" s="11" t="str">
        <f t="shared" si="95"/>
        <v/>
      </c>
      <c r="E1161" s="11" t="str">
        <f t="shared" si="97"/>
        <v/>
      </c>
      <c r="F1161" s="11" t="str">
        <f t="shared" si="98"/>
        <v/>
      </c>
      <c r="G1161" s="10" t="str">
        <v/>
      </c>
      <c r="H1161" s="11" t="str">
        <v/>
      </c>
      <c r="I1161" s="11" t="str">
        <v/>
      </c>
    </row>
    <row r="1162" spans="2:9">
      <c r="B1162" s="11" t="str">
        <f t="shared" si="96"/>
        <v/>
      </c>
      <c r="C1162" s="11" t="str">
        <f t="shared" si="94"/>
        <v/>
      </c>
      <c r="D1162" s="11" t="str">
        <f t="shared" si="95"/>
        <v/>
      </c>
      <c r="E1162" s="11" t="str">
        <f t="shared" si="97"/>
        <v/>
      </c>
      <c r="F1162" s="11" t="str">
        <f t="shared" si="98"/>
        <v/>
      </c>
      <c r="G1162" s="10" t="str">
        <v/>
      </c>
      <c r="H1162" s="11" t="str">
        <v/>
      </c>
      <c r="I1162" s="11" t="str">
        <v/>
      </c>
    </row>
    <row r="1163" spans="2:9">
      <c r="B1163" s="11" t="str">
        <f t="shared" si="96"/>
        <v/>
      </c>
      <c r="C1163" s="11" t="str">
        <f t="shared" si="94"/>
        <v/>
      </c>
      <c r="D1163" s="11" t="str">
        <f t="shared" si="95"/>
        <v/>
      </c>
      <c r="E1163" s="11" t="str">
        <f t="shared" si="97"/>
        <v/>
      </c>
      <c r="F1163" s="11" t="str">
        <f t="shared" si="98"/>
        <v/>
      </c>
      <c r="G1163" s="10" t="str">
        <v/>
      </c>
      <c r="H1163" s="11" t="str">
        <v/>
      </c>
      <c r="I1163" s="11" t="str">
        <v/>
      </c>
    </row>
    <row r="1164" spans="2:9">
      <c r="B1164" s="11" t="str">
        <f t="shared" si="96"/>
        <v/>
      </c>
      <c r="C1164" s="11" t="str">
        <f t="shared" si="94"/>
        <v/>
      </c>
      <c r="D1164" s="11" t="str">
        <f t="shared" si="95"/>
        <v/>
      </c>
      <c r="E1164" s="11" t="str">
        <f t="shared" si="97"/>
        <v/>
      </c>
      <c r="F1164" s="11" t="str">
        <f t="shared" si="98"/>
        <v/>
      </c>
      <c r="G1164" s="10" t="str">
        <v/>
      </c>
      <c r="H1164" s="11" t="str">
        <v/>
      </c>
      <c r="I1164" s="11" t="str">
        <v/>
      </c>
    </row>
    <row r="1165" spans="2:9">
      <c r="B1165" s="11" t="str">
        <f t="shared" si="96"/>
        <v/>
      </c>
      <c r="C1165" s="11" t="str">
        <f t="shared" ref="C1165:C1228" si="99">IF(B1165="артикул",A1165,"")</f>
        <v/>
      </c>
      <c r="D1165" s="11" t="str">
        <f t="shared" ref="D1165:D1228" si="100">IF(B1165="артикул",A1166,"")</f>
        <v/>
      </c>
      <c r="E1165" s="11" t="str">
        <f t="shared" si="97"/>
        <v/>
      </c>
      <c r="F1165" s="11" t="str">
        <f t="shared" si="98"/>
        <v/>
      </c>
      <c r="G1165" s="10" t="str">
        <v/>
      </c>
      <c r="H1165" s="11" t="str">
        <v/>
      </c>
      <c r="I1165" s="11" t="str">
        <v/>
      </c>
    </row>
    <row r="1166" spans="2:9">
      <c r="B1166" s="11" t="str">
        <f t="shared" si="96"/>
        <v/>
      </c>
      <c r="C1166" s="11" t="str">
        <f t="shared" si="99"/>
        <v/>
      </c>
      <c r="D1166" s="11" t="str">
        <f t="shared" si="100"/>
        <v/>
      </c>
      <c r="E1166" s="11" t="str">
        <f t="shared" si="97"/>
        <v/>
      </c>
      <c r="F1166" s="11" t="str">
        <f t="shared" si="98"/>
        <v/>
      </c>
      <c r="G1166" s="10" t="str">
        <v/>
      </c>
      <c r="H1166" s="11" t="str">
        <v/>
      </c>
      <c r="I1166" s="11" t="str">
        <v/>
      </c>
    </row>
    <row r="1167" spans="2:9">
      <c r="B1167" s="11" t="str">
        <f t="shared" si="96"/>
        <v/>
      </c>
      <c r="C1167" s="11" t="str">
        <f t="shared" si="99"/>
        <v/>
      </c>
      <c r="D1167" s="11" t="str">
        <f t="shared" si="100"/>
        <v/>
      </c>
      <c r="E1167" s="11" t="str">
        <f t="shared" si="97"/>
        <v/>
      </c>
      <c r="F1167" s="11" t="str">
        <f t="shared" si="98"/>
        <v/>
      </c>
      <c r="G1167" s="10" t="str">
        <v/>
      </c>
      <c r="H1167" s="11" t="str">
        <v/>
      </c>
      <c r="I1167" s="11" t="str">
        <v/>
      </c>
    </row>
    <row r="1168" spans="2:9">
      <c r="B1168" s="11" t="str">
        <f t="shared" si="96"/>
        <v/>
      </c>
      <c r="C1168" s="11" t="str">
        <f t="shared" si="99"/>
        <v/>
      </c>
      <c r="D1168" s="11" t="str">
        <f t="shared" si="100"/>
        <v/>
      </c>
      <c r="E1168" s="11" t="str">
        <f t="shared" si="97"/>
        <v/>
      </c>
      <c r="F1168" s="11" t="str">
        <f t="shared" si="98"/>
        <v/>
      </c>
      <c r="G1168" s="10" t="str">
        <v/>
      </c>
      <c r="H1168" s="11" t="str">
        <v/>
      </c>
      <c r="I1168" s="11" t="str">
        <v/>
      </c>
    </row>
    <row r="1169" spans="2:9">
      <c r="B1169" s="11" t="str">
        <f t="shared" si="96"/>
        <v/>
      </c>
      <c r="C1169" s="11" t="str">
        <f t="shared" si="99"/>
        <v/>
      </c>
      <c r="D1169" s="11" t="str">
        <f t="shared" si="100"/>
        <v/>
      </c>
      <c r="E1169" s="11" t="str">
        <f t="shared" si="97"/>
        <v/>
      </c>
      <c r="F1169" s="11" t="str">
        <f t="shared" si="98"/>
        <v/>
      </c>
      <c r="G1169" s="10" t="str">
        <v/>
      </c>
      <c r="H1169" s="11" t="str">
        <v/>
      </c>
      <c r="I1169" s="11" t="str">
        <v/>
      </c>
    </row>
    <row r="1170" spans="2:9">
      <c r="B1170" s="11" t="str">
        <f t="shared" si="96"/>
        <v/>
      </c>
      <c r="C1170" s="11" t="str">
        <f t="shared" si="99"/>
        <v/>
      </c>
      <c r="D1170" s="11" t="str">
        <f t="shared" si="100"/>
        <v/>
      </c>
      <c r="E1170" s="11" t="str">
        <f t="shared" si="97"/>
        <v/>
      </c>
      <c r="F1170" s="11" t="str">
        <f t="shared" si="98"/>
        <v/>
      </c>
      <c r="G1170" s="10" t="str">
        <v/>
      </c>
      <c r="H1170" s="11" t="str">
        <v/>
      </c>
      <c r="I1170" s="11" t="str">
        <v/>
      </c>
    </row>
    <row r="1171" spans="2:9">
      <c r="B1171" s="11" t="str">
        <f t="shared" si="96"/>
        <v/>
      </c>
      <c r="C1171" s="11" t="str">
        <f t="shared" si="99"/>
        <v/>
      </c>
      <c r="D1171" s="11" t="str">
        <f t="shared" si="100"/>
        <v/>
      </c>
      <c r="E1171" s="11" t="str">
        <f t="shared" si="97"/>
        <v/>
      </c>
      <c r="F1171" s="11" t="str">
        <f t="shared" si="98"/>
        <v/>
      </c>
      <c r="G1171" s="10" t="str">
        <v/>
      </c>
      <c r="H1171" s="11" t="str">
        <v/>
      </c>
      <c r="I1171" s="11" t="str">
        <v/>
      </c>
    </row>
    <row r="1172" spans="2:9">
      <c r="B1172" s="11" t="str">
        <f t="shared" si="96"/>
        <v/>
      </c>
      <c r="C1172" s="11" t="str">
        <f t="shared" si="99"/>
        <v/>
      </c>
      <c r="D1172" s="11" t="str">
        <f t="shared" si="100"/>
        <v/>
      </c>
      <c r="E1172" s="11" t="str">
        <f t="shared" si="97"/>
        <v/>
      </c>
      <c r="F1172" s="11" t="str">
        <f t="shared" si="98"/>
        <v/>
      </c>
      <c r="G1172" s="10" t="str">
        <v/>
      </c>
      <c r="H1172" s="11" t="str">
        <v/>
      </c>
      <c r="I1172" s="11" t="str">
        <v/>
      </c>
    </row>
    <row r="1173" spans="2:9">
      <c r="B1173" s="11" t="str">
        <f t="shared" si="96"/>
        <v/>
      </c>
      <c r="C1173" s="11" t="str">
        <f t="shared" si="99"/>
        <v/>
      </c>
      <c r="D1173" s="11" t="str">
        <f t="shared" si="100"/>
        <v/>
      </c>
      <c r="E1173" s="11" t="str">
        <f t="shared" si="97"/>
        <v/>
      </c>
      <c r="F1173" s="11" t="str">
        <f t="shared" si="98"/>
        <v/>
      </c>
      <c r="G1173" s="10" t="str">
        <v/>
      </c>
      <c r="H1173" s="11" t="str">
        <v/>
      </c>
      <c r="I1173" s="11" t="str">
        <v/>
      </c>
    </row>
    <row r="1174" spans="2:9">
      <c r="B1174" s="11" t="str">
        <f t="shared" si="96"/>
        <v/>
      </c>
      <c r="C1174" s="11" t="str">
        <f t="shared" si="99"/>
        <v/>
      </c>
      <c r="D1174" s="11" t="str">
        <f t="shared" si="100"/>
        <v/>
      </c>
      <c r="E1174" s="11" t="str">
        <f t="shared" si="97"/>
        <v/>
      </c>
      <c r="F1174" s="11" t="str">
        <f t="shared" si="98"/>
        <v/>
      </c>
      <c r="G1174" s="10" t="str">
        <v/>
      </c>
      <c r="H1174" s="11" t="str">
        <v/>
      </c>
      <c r="I1174" s="11" t="str">
        <v/>
      </c>
    </row>
    <row r="1175" spans="2:9">
      <c r="B1175" s="11" t="str">
        <f t="shared" si="96"/>
        <v/>
      </c>
      <c r="C1175" s="11" t="str">
        <f t="shared" si="99"/>
        <v/>
      </c>
      <c r="D1175" s="11" t="str">
        <f t="shared" si="100"/>
        <v/>
      </c>
      <c r="E1175" s="11" t="str">
        <f t="shared" si="97"/>
        <v/>
      </c>
      <c r="F1175" s="11" t="str">
        <f t="shared" si="98"/>
        <v/>
      </c>
      <c r="G1175" s="10" t="str">
        <v/>
      </c>
      <c r="H1175" s="11" t="str">
        <v/>
      </c>
      <c r="I1175" s="11" t="str">
        <v/>
      </c>
    </row>
    <row r="1176" spans="2:9">
      <c r="B1176" s="11" t="str">
        <f t="shared" si="96"/>
        <v/>
      </c>
      <c r="C1176" s="11" t="str">
        <f t="shared" si="99"/>
        <v/>
      </c>
      <c r="D1176" s="11" t="str">
        <f t="shared" si="100"/>
        <v/>
      </c>
      <c r="E1176" s="11" t="str">
        <f t="shared" si="97"/>
        <v/>
      </c>
      <c r="F1176" s="11" t="str">
        <f t="shared" si="98"/>
        <v/>
      </c>
      <c r="G1176" s="10" t="str">
        <v/>
      </c>
      <c r="H1176" s="11" t="str">
        <v/>
      </c>
      <c r="I1176" s="11" t="str">
        <v/>
      </c>
    </row>
    <row r="1177" spans="2:9">
      <c r="B1177" s="11" t="str">
        <f t="shared" si="96"/>
        <v/>
      </c>
      <c r="C1177" s="11" t="str">
        <f t="shared" si="99"/>
        <v/>
      </c>
      <c r="D1177" s="11" t="str">
        <f t="shared" si="100"/>
        <v/>
      </c>
      <c r="E1177" s="11" t="str">
        <f t="shared" si="97"/>
        <v/>
      </c>
      <c r="F1177" s="11" t="str">
        <f t="shared" si="98"/>
        <v/>
      </c>
      <c r="G1177" s="10" t="str">
        <v/>
      </c>
      <c r="H1177" s="11" t="str">
        <v/>
      </c>
      <c r="I1177" s="11" t="str">
        <v/>
      </c>
    </row>
    <row r="1178" spans="2:9">
      <c r="B1178" s="11" t="str">
        <f t="shared" si="96"/>
        <v/>
      </c>
      <c r="C1178" s="11" t="str">
        <f t="shared" si="99"/>
        <v/>
      </c>
      <c r="D1178" s="11" t="str">
        <f t="shared" si="100"/>
        <v/>
      </c>
      <c r="E1178" s="11" t="str">
        <f t="shared" si="97"/>
        <v/>
      </c>
      <c r="F1178" s="11" t="str">
        <f t="shared" si="98"/>
        <v/>
      </c>
      <c r="G1178" s="10" t="str">
        <v/>
      </c>
      <c r="H1178" s="11" t="str">
        <v/>
      </c>
      <c r="I1178" s="11" t="str">
        <v/>
      </c>
    </row>
    <row r="1179" spans="2:9">
      <c r="B1179" s="11" t="str">
        <f t="shared" si="96"/>
        <v/>
      </c>
      <c r="C1179" s="11" t="str">
        <f t="shared" si="99"/>
        <v/>
      </c>
      <c r="D1179" s="11" t="str">
        <f t="shared" si="100"/>
        <v/>
      </c>
      <c r="E1179" s="11" t="str">
        <f t="shared" si="97"/>
        <v/>
      </c>
      <c r="F1179" s="11" t="str">
        <f t="shared" si="98"/>
        <v/>
      </c>
      <c r="G1179" s="10" t="str">
        <v/>
      </c>
      <c r="H1179" s="11" t="str">
        <v/>
      </c>
      <c r="I1179" s="11" t="str">
        <v/>
      </c>
    </row>
    <row r="1180" spans="2:9">
      <c r="B1180" s="11" t="str">
        <f t="shared" si="96"/>
        <v/>
      </c>
      <c r="C1180" s="11" t="str">
        <f t="shared" si="99"/>
        <v/>
      </c>
      <c r="D1180" s="11" t="str">
        <f t="shared" si="100"/>
        <v/>
      </c>
      <c r="E1180" s="11" t="str">
        <f t="shared" si="97"/>
        <v/>
      </c>
      <c r="F1180" s="11" t="str">
        <f t="shared" si="98"/>
        <v/>
      </c>
      <c r="G1180" s="10" t="str">
        <v/>
      </c>
      <c r="H1180" s="11" t="str">
        <v/>
      </c>
      <c r="I1180" s="11" t="str">
        <v/>
      </c>
    </row>
    <row r="1181" spans="2:9">
      <c r="B1181" s="11" t="str">
        <f t="shared" si="96"/>
        <v/>
      </c>
      <c r="C1181" s="11" t="str">
        <f t="shared" si="99"/>
        <v/>
      </c>
      <c r="D1181" s="11" t="str">
        <f t="shared" si="100"/>
        <v/>
      </c>
      <c r="E1181" s="11" t="str">
        <f t="shared" si="97"/>
        <v/>
      </c>
      <c r="F1181" s="11" t="str">
        <f t="shared" si="98"/>
        <v/>
      </c>
      <c r="G1181" s="10" t="str">
        <v/>
      </c>
      <c r="H1181" s="11" t="str">
        <v/>
      </c>
      <c r="I1181" s="11" t="str">
        <v/>
      </c>
    </row>
    <row r="1182" spans="2:9">
      <c r="B1182" s="11" t="str">
        <f t="shared" si="96"/>
        <v/>
      </c>
      <c r="C1182" s="11" t="str">
        <f t="shared" si="99"/>
        <v/>
      </c>
      <c r="D1182" s="11" t="str">
        <f t="shared" si="100"/>
        <v/>
      </c>
      <c r="E1182" s="11" t="str">
        <f t="shared" si="97"/>
        <v/>
      </c>
      <c r="F1182" s="11" t="str">
        <f t="shared" si="98"/>
        <v/>
      </c>
      <c r="G1182" s="10" t="str">
        <v/>
      </c>
      <c r="H1182" s="11" t="str">
        <v/>
      </c>
      <c r="I1182" s="11" t="str">
        <v/>
      </c>
    </row>
    <row r="1183" spans="2:9">
      <c r="B1183" s="11" t="str">
        <f t="shared" si="96"/>
        <v/>
      </c>
      <c r="C1183" s="11" t="str">
        <f t="shared" si="99"/>
        <v/>
      </c>
      <c r="D1183" s="11" t="str">
        <f t="shared" si="100"/>
        <v/>
      </c>
      <c r="E1183" s="11" t="str">
        <f t="shared" si="97"/>
        <v/>
      </c>
      <c r="F1183" s="11" t="str">
        <f t="shared" si="98"/>
        <v/>
      </c>
      <c r="G1183" s="10" t="str">
        <v/>
      </c>
      <c r="H1183" s="11" t="str">
        <v/>
      </c>
      <c r="I1183" s="11" t="str">
        <v/>
      </c>
    </row>
    <row r="1184" spans="2:9">
      <c r="B1184" s="11" t="str">
        <f t="shared" si="96"/>
        <v/>
      </c>
      <c r="C1184" s="11" t="str">
        <f t="shared" si="99"/>
        <v/>
      </c>
      <c r="D1184" s="11" t="str">
        <f t="shared" si="100"/>
        <v/>
      </c>
      <c r="E1184" s="11" t="str">
        <f t="shared" si="97"/>
        <v/>
      </c>
      <c r="F1184" s="11" t="str">
        <f t="shared" si="98"/>
        <v/>
      </c>
      <c r="G1184" s="10" t="str">
        <v/>
      </c>
      <c r="H1184" s="11" t="str">
        <v/>
      </c>
      <c r="I1184" s="11" t="str">
        <v/>
      </c>
    </row>
    <row r="1185" spans="2:9">
      <c r="B1185" s="11" t="str">
        <f t="shared" si="96"/>
        <v/>
      </c>
      <c r="C1185" s="11" t="str">
        <f t="shared" si="99"/>
        <v/>
      </c>
      <c r="D1185" s="11" t="str">
        <f t="shared" si="100"/>
        <v/>
      </c>
      <c r="E1185" s="11" t="str">
        <f t="shared" si="97"/>
        <v/>
      </c>
      <c r="F1185" s="11" t="str">
        <f t="shared" si="98"/>
        <v/>
      </c>
      <c r="G1185" s="10" t="str">
        <v/>
      </c>
      <c r="H1185" s="11" t="str">
        <v/>
      </c>
      <c r="I1185" s="11" t="str">
        <v/>
      </c>
    </row>
    <row r="1186" spans="2:9">
      <c r="B1186" s="11" t="str">
        <f t="shared" si="96"/>
        <v/>
      </c>
      <c r="C1186" s="11" t="str">
        <f t="shared" si="99"/>
        <v/>
      </c>
      <c r="D1186" s="11" t="str">
        <f t="shared" si="100"/>
        <v/>
      </c>
      <c r="E1186" s="11" t="str">
        <f t="shared" si="97"/>
        <v/>
      </c>
      <c r="F1186" s="11" t="str">
        <f t="shared" si="98"/>
        <v/>
      </c>
      <c r="G1186" s="10" t="str">
        <v/>
      </c>
      <c r="H1186" s="11" t="str">
        <v/>
      </c>
      <c r="I1186" s="11" t="str">
        <v/>
      </c>
    </row>
    <row r="1187" spans="2:9">
      <c r="B1187" s="11" t="str">
        <f t="shared" si="96"/>
        <v/>
      </c>
      <c r="C1187" s="11" t="str">
        <f t="shared" si="99"/>
        <v/>
      </c>
      <c r="D1187" s="11" t="str">
        <f t="shared" si="100"/>
        <v/>
      </c>
      <c r="E1187" s="11" t="str">
        <f t="shared" si="97"/>
        <v/>
      </c>
      <c r="F1187" s="11" t="str">
        <f t="shared" si="98"/>
        <v/>
      </c>
      <c r="G1187" s="10" t="str">
        <v/>
      </c>
      <c r="H1187" s="11" t="str">
        <v/>
      </c>
      <c r="I1187" s="11" t="str">
        <v/>
      </c>
    </row>
    <row r="1188" spans="2:9">
      <c r="B1188" s="11" t="str">
        <f t="shared" si="96"/>
        <v/>
      </c>
      <c r="C1188" s="11" t="str">
        <f t="shared" si="99"/>
        <v/>
      </c>
      <c r="D1188" s="11" t="str">
        <f t="shared" si="100"/>
        <v/>
      </c>
      <c r="E1188" s="11" t="str">
        <f t="shared" si="97"/>
        <v/>
      </c>
      <c r="F1188" s="11" t="str">
        <f t="shared" si="98"/>
        <v/>
      </c>
      <c r="G1188" s="10" t="str">
        <v/>
      </c>
      <c r="H1188" s="11" t="str">
        <v/>
      </c>
      <c r="I1188" s="11" t="str">
        <v/>
      </c>
    </row>
    <row r="1189" spans="2:9">
      <c r="B1189" s="11" t="str">
        <f t="shared" si="96"/>
        <v/>
      </c>
      <c r="C1189" s="11" t="str">
        <f t="shared" si="99"/>
        <v/>
      </c>
      <c r="D1189" s="11" t="str">
        <f t="shared" si="100"/>
        <v/>
      </c>
      <c r="E1189" s="11" t="str">
        <f t="shared" si="97"/>
        <v/>
      </c>
      <c r="F1189" s="11" t="str">
        <f t="shared" si="98"/>
        <v/>
      </c>
      <c r="G1189" s="10" t="str">
        <v/>
      </c>
      <c r="H1189" s="11" t="str">
        <v/>
      </c>
      <c r="I1189" s="11" t="str">
        <v/>
      </c>
    </row>
    <row r="1190" spans="2:9">
      <c r="B1190" s="11" t="str">
        <f t="shared" si="96"/>
        <v/>
      </c>
      <c r="C1190" s="11" t="str">
        <f t="shared" si="99"/>
        <v/>
      </c>
      <c r="D1190" s="11" t="str">
        <f t="shared" si="100"/>
        <v/>
      </c>
      <c r="E1190" s="11" t="str">
        <f t="shared" si="97"/>
        <v/>
      </c>
      <c r="F1190" s="11" t="str">
        <f t="shared" si="98"/>
        <v/>
      </c>
      <c r="G1190" s="10" t="str">
        <v/>
      </c>
      <c r="H1190" s="11" t="str">
        <v/>
      </c>
      <c r="I1190" s="11" t="str">
        <v/>
      </c>
    </row>
    <row r="1191" spans="2:9">
      <c r="B1191" s="11" t="str">
        <f t="shared" si="96"/>
        <v/>
      </c>
      <c r="C1191" s="11" t="str">
        <f t="shared" si="99"/>
        <v/>
      </c>
      <c r="D1191" s="11" t="str">
        <f t="shared" si="100"/>
        <v/>
      </c>
      <c r="E1191" s="11" t="str">
        <f t="shared" si="97"/>
        <v/>
      </c>
      <c r="F1191" s="11" t="str">
        <f t="shared" si="98"/>
        <v/>
      </c>
      <c r="G1191" s="10" t="str">
        <v/>
      </c>
      <c r="H1191" s="11" t="str">
        <v/>
      </c>
      <c r="I1191" s="11" t="str">
        <v/>
      </c>
    </row>
    <row r="1192" spans="2:9">
      <c r="B1192" s="11" t="str">
        <f t="shared" si="96"/>
        <v/>
      </c>
      <c r="C1192" s="11" t="str">
        <f t="shared" si="99"/>
        <v/>
      </c>
      <c r="D1192" s="11" t="str">
        <f t="shared" si="100"/>
        <v/>
      </c>
      <c r="E1192" s="11" t="str">
        <f t="shared" si="97"/>
        <v/>
      </c>
      <c r="F1192" s="11" t="str">
        <f t="shared" si="98"/>
        <v/>
      </c>
      <c r="G1192" s="10" t="str">
        <v/>
      </c>
      <c r="H1192" s="11" t="str">
        <v/>
      </c>
      <c r="I1192" s="11" t="str">
        <v/>
      </c>
    </row>
    <row r="1193" spans="2:9">
      <c r="B1193" s="11" t="str">
        <f t="shared" si="96"/>
        <v/>
      </c>
      <c r="C1193" s="11" t="str">
        <f t="shared" si="99"/>
        <v/>
      </c>
      <c r="D1193" s="11" t="str">
        <f t="shared" si="100"/>
        <v/>
      </c>
      <c r="E1193" s="11" t="str">
        <f t="shared" si="97"/>
        <v/>
      </c>
      <c r="F1193" s="11" t="str">
        <f t="shared" si="98"/>
        <v/>
      </c>
      <c r="G1193" s="10" t="str">
        <v/>
      </c>
      <c r="H1193" s="11" t="str">
        <v/>
      </c>
      <c r="I1193" s="11" t="str">
        <v/>
      </c>
    </row>
    <row r="1194" spans="2:9">
      <c r="B1194" s="11" t="str">
        <f t="shared" si="96"/>
        <v/>
      </c>
      <c r="C1194" s="11" t="str">
        <f t="shared" si="99"/>
        <v/>
      </c>
      <c r="D1194" s="11" t="str">
        <f t="shared" si="100"/>
        <v/>
      </c>
      <c r="E1194" s="11" t="str">
        <f t="shared" si="97"/>
        <v/>
      </c>
      <c r="F1194" s="11" t="str">
        <f t="shared" si="98"/>
        <v/>
      </c>
      <c r="G1194" s="10" t="str">
        <v/>
      </c>
      <c r="H1194" s="11" t="str">
        <v/>
      </c>
      <c r="I1194" s="11" t="str">
        <v/>
      </c>
    </row>
    <row r="1195" spans="2:9">
      <c r="B1195" s="11" t="str">
        <f t="shared" si="96"/>
        <v/>
      </c>
      <c r="C1195" s="11" t="str">
        <f t="shared" si="99"/>
        <v/>
      </c>
      <c r="D1195" s="11" t="str">
        <f t="shared" si="100"/>
        <v/>
      </c>
      <c r="E1195" s="11" t="str">
        <f t="shared" si="97"/>
        <v/>
      </c>
      <c r="F1195" s="11" t="str">
        <f t="shared" si="98"/>
        <v/>
      </c>
      <c r="G1195" s="10" t="str">
        <v/>
      </c>
      <c r="H1195" s="11" t="str">
        <v/>
      </c>
      <c r="I1195" s="11" t="str">
        <v/>
      </c>
    </row>
    <row r="1196" spans="2:9">
      <c r="B1196" s="11" t="str">
        <f t="shared" si="96"/>
        <v/>
      </c>
      <c r="C1196" s="11" t="str">
        <f t="shared" si="99"/>
        <v/>
      </c>
      <c r="D1196" s="11" t="str">
        <f t="shared" si="100"/>
        <v/>
      </c>
      <c r="E1196" s="11" t="str">
        <f t="shared" si="97"/>
        <v/>
      </c>
      <c r="F1196" s="11" t="str">
        <f t="shared" si="98"/>
        <v/>
      </c>
      <c r="G1196" s="10" t="str">
        <v/>
      </c>
      <c r="H1196" s="11" t="str">
        <v/>
      </c>
      <c r="I1196" s="11" t="str">
        <v/>
      </c>
    </row>
    <row r="1197" spans="2:9">
      <c r="B1197" s="11" t="str">
        <f t="shared" si="96"/>
        <v/>
      </c>
      <c r="C1197" s="11" t="str">
        <f t="shared" si="99"/>
        <v/>
      </c>
      <c r="D1197" s="11" t="str">
        <f t="shared" si="100"/>
        <v/>
      </c>
      <c r="E1197" s="11" t="str">
        <f t="shared" si="97"/>
        <v/>
      </c>
      <c r="F1197" s="11" t="str">
        <f t="shared" si="98"/>
        <v/>
      </c>
      <c r="G1197" s="10" t="str">
        <v/>
      </c>
      <c r="H1197" s="11" t="str">
        <v/>
      </c>
      <c r="I1197" s="11" t="str">
        <v/>
      </c>
    </row>
    <row r="1198" spans="2:9">
      <c r="B1198" s="11" t="str">
        <f t="shared" si="96"/>
        <v/>
      </c>
      <c r="C1198" s="11" t="str">
        <f t="shared" si="99"/>
        <v/>
      </c>
      <c r="D1198" s="11" t="str">
        <f t="shared" si="100"/>
        <v/>
      </c>
      <c r="E1198" s="11" t="str">
        <f t="shared" si="97"/>
        <v/>
      </c>
      <c r="F1198" s="11" t="str">
        <f t="shared" si="98"/>
        <v/>
      </c>
      <c r="G1198" s="10" t="str">
        <v/>
      </c>
      <c r="H1198" s="11" t="str">
        <v/>
      </c>
      <c r="I1198" s="11" t="str">
        <v/>
      </c>
    </row>
    <row r="1199" spans="2:9">
      <c r="B1199" s="11" t="str">
        <f t="shared" si="96"/>
        <v/>
      </c>
      <c r="C1199" s="11" t="str">
        <f t="shared" si="99"/>
        <v/>
      </c>
      <c r="D1199" s="11" t="str">
        <f t="shared" si="100"/>
        <v/>
      </c>
      <c r="E1199" s="11" t="str">
        <f t="shared" si="97"/>
        <v/>
      </c>
      <c r="F1199" s="11" t="str">
        <f t="shared" si="98"/>
        <v/>
      </c>
      <c r="G1199" s="10" t="str">
        <v/>
      </c>
      <c r="H1199" s="11" t="str">
        <v/>
      </c>
      <c r="I1199" s="11" t="str">
        <v/>
      </c>
    </row>
    <row r="1200" spans="2:9">
      <c r="B1200" s="11" t="str">
        <f t="shared" si="96"/>
        <v/>
      </c>
      <c r="C1200" s="11" t="str">
        <f t="shared" si="99"/>
        <v/>
      </c>
      <c r="D1200" s="11" t="str">
        <f t="shared" si="100"/>
        <v/>
      </c>
      <c r="E1200" s="11" t="str">
        <f t="shared" si="97"/>
        <v/>
      </c>
      <c r="F1200" s="11" t="str">
        <f t="shared" si="98"/>
        <v/>
      </c>
      <c r="G1200" s="10" t="str">
        <v/>
      </c>
      <c r="H1200" s="11" t="str">
        <v/>
      </c>
      <c r="I1200" s="11" t="str">
        <v/>
      </c>
    </row>
    <row r="1201" spans="2:9">
      <c r="B1201" s="11" t="str">
        <f t="shared" si="96"/>
        <v/>
      </c>
      <c r="C1201" s="11" t="str">
        <f t="shared" si="99"/>
        <v/>
      </c>
      <c r="D1201" s="11" t="str">
        <f t="shared" si="100"/>
        <v/>
      </c>
      <c r="E1201" s="11" t="str">
        <f t="shared" si="97"/>
        <v/>
      </c>
      <c r="F1201" s="11" t="str">
        <f t="shared" si="98"/>
        <v/>
      </c>
      <c r="G1201" s="10" t="str">
        <v/>
      </c>
      <c r="H1201" s="11" t="str">
        <v/>
      </c>
      <c r="I1201" s="11" t="str">
        <v/>
      </c>
    </row>
    <row r="1202" spans="2:9">
      <c r="B1202" s="11" t="str">
        <f t="shared" si="96"/>
        <v/>
      </c>
      <c r="C1202" s="11" t="str">
        <f t="shared" si="99"/>
        <v/>
      </c>
      <c r="D1202" s="11" t="str">
        <f t="shared" si="100"/>
        <v/>
      </c>
      <c r="E1202" s="11" t="str">
        <f t="shared" si="97"/>
        <v/>
      </c>
      <c r="F1202" s="11" t="str">
        <f t="shared" si="98"/>
        <v/>
      </c>
      <c r="G1202" s="10" t="str">
        <v/>
      </c>
      <c r="H1202" s="11" t="str">
        <v/>
      </c>
      <c r="I1202" s="11" t="str">
        <v/>
      </c>
    </row>
    <row r="1203" spans="2:9">
      <c r="B1203" s="11" t="str">
        <f t="shared" si="96"/>
        <v/>
      </c>
      <c r="C1203" s="11" t="str">
        <f t="shared" si="99"/>
        <v/>
      </c>
      <c r="D1203" s="11" t="str">
        <f t="shared" si="100"/>
        <v/>
      </c>
      <c r="E1203" s="11" t="str">
        <f t="shared" si="97"/>
        <v/>
      </c>
      <c r="F1203" s="11" t="str">
        <f t="shared" si="98"/>
        <v/>
      </c>
      <c r="G1203" s="10" t="str">
        <v/>
      </c>
      <c r="H1203" s="11" t="str">
        <v/>
      </c>
      <c r="I1203" s="11" t="str">
        <v/>
      </c>
    </row>
    <row r="1204" spans="2:9">
      <c r="B1204" s="11" t="str">
        <f t="shared" si="96"/>
        <v/>
      </c>
      <c r="C1204" s="11" t="str">
        <f t="shared" si="99"/>
        <v/>
      </c>
      <c r="D1204" s="11" t="str">
        <f t="shared" si="100"/>
        <v/>
      </c>
      <c r="E1204" s="11" t="str">
        <f t="shared" si="97"/>
        <v/>
      </c>
      <c r="F1204" s="11" t="str">
        <f t="shared" si="98"/>
        <v/>
      </c>
      <c r="G1204" s="10" t="str">
        <v/>
      </c>
      <c r="H1204" s="11" t="str">
        <v/>
      </c>
      <c r="I1204" s="11" t="str">
        <v/>
      </c>
    </row>
    <row r="1205" spans="2:9">
      <c r="B1205" s="11" t="str">
        <f t="shared" si="96"/>
        <v/>
      </c>
      <c r="C1205" s="11" t="str">
        <f t="shared" si="99"/>
        <v/>
      </c>
      <c r="D1205" s="11" t="str">
        <f t="shared" si="100"/>
        <v/>
      </c>
      <c r="E1205" s="11" t="str">
        <f t="shared" si="97"/>
        <v/>
      </c>
      <c r="F1205" s="11" t="str">
        <f t="shared" si="98"/>
        <v/>
      </c>
      <c r="G1205" s="10" t="str">
        <v/>
      </c>
      <c r="H1205" s="11" t="str">
        <v/>
      </c>
      <c r="I1205" s="11" t="str">
        <v/>
      </c>
    </row>
    <row r="1206" spans="2:9">
      <c r="B1206" s="11" t="str">
        <f t="shared" si="96"/>
        <v/>
      </c>
      <c r="C1206" s="11" t="str">
        <f t="shared" si="99"/>
        <v/>
      </c>
      <c r="D1206" s="11" t="str">
        <f t="shared" si="100"/>
        <v/>
      </c>
      <c r="E1206" s="11" t="str">
        <f t="shared" si="97"/>
        <v/>
      </c>
      <c r="F1206" s="11" t="str">
        <f t="shared" si="98"/>
        <v/>
      </c>
      <c r="G1206" s="10" t="str">
        <v/>
      </c>
      <c r="H1206" s="11" t="str">
        <v/>
      </c>
      <c r="I1206" s="11" t="str">
        <v/>
      </c>
    </row>
    <row r="1207" spans="2:9">
      <c r="B1207" s="11" t="str">
        <f t="shared" si="96"/>
        <v/>
      </c>
      <c r="C1207" s="11" t="str">
        <f t="shared" si="99"/>
        <v/>
      </c>
      <c r="D1207" s="11" t="str">
        <f t="shared" si="100"/>
        <v/>
      </c>
      <c r="E1207" s="11" t="str">
        <f t="shared" si="97"/>
        <v/>
      </c>
      <c r="F1207" s="11" t="str">
        <f t="shared" si="98"/>
        <v/>
      </c>
      <c r="G1207" s="10" t="str">
        <v/>
      </c>
      <c r="H1207" s="11" t="str">
        <v/>
      </c>
      <c r="I1207" s="11" t="str">
        <v/>
      </c>
    </row>
    <row r="1208" spans="2:9">
      <c r="B1208" s="11" t="str">
        <f t="shared" si="96"/>
        <v/>
      </c>
      <c r="C1208" s="11" t="str">
        <f t="shared" si="99"/>
        <v/>
      </c>
      <c r="D1208" s="11" t="str">
        <f t="shared" si="100"/>
        <v/>
      </c>
      <c r="E1208" s="11" t="str">
        <f t="shared" si="97"/>
        <v/>
      </c>
      <c r="F1208" s="11" t="str">
        <f t="shared" si="98"/>
        <v/>
      </c>
      <c r="G1208" s="10" t="str">
        <v/>
      </c>
      <c r="H1208" s="11" t="str">
        <v/>
      </c>
      <c r="I1208" s="11" t="str">
        <v/>
      </c>
    </row>
    <row r="1209" spans="2:9">
      <c r="B1209" s="11" t="str">
        <f t="shared" si="96"/>
        <v/>
      </c>
      <c r="C1209" s="11" t="str">
        <f t="shared" si="99"/>
        <v/>
      </c>
      <c r="D1209" s="11" t="str">
        <f t="shared" si="100"/>
        <v/>
      </c>
      <c r="E1209" s="11" t="str">
        <f t="shared" si="97"/>
        <v/>
      </c>
      <c r="F1209" s="11" t="str">
        <f t="shared" si="98"/>
        <v/>
      </c>
      <c r="G1209" s="10" t="str">
        <v/>
      </c>
      <c r="H1209" s="11" t="str">
        <v/>
      </c>
      <c r="I1209" s="11" t="str">
        <v/>
      </c>
    </row>
    <row r="1210" spans="2:9">
      <c r="B1210" s="11" t="str">
        <f t="shared" si="96"/>
        <v/>
      </c>
      <c r="C1210" s="11" t="str">
        <f t="shared" si="99"/>
        <v/>
      </c>
      <c r="D1210" s="11" t="str">
        <f t="shared" si="100"/>
        <v/>
      </c>
      <c r="E1210" s="11" t="str">
        <f t="shared" si="97"/>
        <v/>
      </c>
      <c r="F1210" s="11" t="str">
        <f t="shared" si="98"/>
        <v/>
      </c>
      <c r="G1210" s="10" t="str">
        <v/>
      </c>
      <c r="H1210" s="11" t="str">
        <v/>
      </c>
      <c r="I1210" s="11" t="str">
        <v/>
      </c>
    </row>
    <row r="1211" spans="2:9">
      <c r="B1211" s="11" t="str">
        <f t="shared" si="96"/>
        <v/>
      </c>
      <c r="C1211" s="11" t="str">
        <f t="shared" si="99"/>
        <v/>
      </c>
      <c r="D1211" s="11" t="str">
        <f t="shared" si="100"/>
        <v/>
      </c>
      <c r="E1211" s="11" t="str">
        <f t="shared" si="97"/>
        <v/>
      </c>
      <c r="F1211" s="11" t="str">
        <f t="shared" si="98"/>
        <v/>
      </c>
      <c r="G1211" s="10" t="str">
        <v/>
      </c>
      <c r="H1211" s="11" t="str">
        <v/>
      </c>
      <c r="I1211" s="11" t="str">
        <v/>
      </c>
    </row>
    <row r="1212" spans="2:9">
      <c r="B1212" s="11" t="str">
        <f t="shared" si="96"/>
        <v/>
      </c>
      <c r="C1212" s="11" t="str">
        <f t="shared" si="99"/>
        <v/>
      </c>
      <c r="D1212" s="11" t="str">
        <f t="shared" si="100"/>
        <v/>
      </c>
      <c r="E1212" s="11" t="str">
        <f t="shared" si="97"/>
        <v/>
      </c>
      <c r="F1212" s="11" t="str">
        <f t="shared" si="98"/>
        <v/>
      </c>
      <c r="G1212" s="10" t="str">
        <v/>
      </c>
      <c r="H1212" s="11" t="str">
        <v/>
      </c>
      <c r="I1212" s="11" t="str">
        <v/>
      </c>
    </row>
    <row r="1213" spans="2:9">
      <c r="B1213" s="11" t="str">
        <f t="shared" si="96"/>
        <v/>
      </c>
      <c r="C1213" s="11" t="str">
        <f t="shared" si="99"/>
        <v/>
      </c>
      <c r="D1213" s="11" t="str">
        <f t="shared" si="100"/>
        <v/>
      </c>
      <c r="E1213" s="11" t="str">
        <f t="shared" si="97"/>
        <v/>
      </c>
      <c r="F1213" s="11" t="str">
        <f t="shared" si="98"/>
        <v/>
      </c>
      <c r="G1213" s="10" t="str">
        <v/>
      </c>
      <c r="H1213" s="11" t="str">
        <v/>
      </c>
      <c r="I1213" s="11" t="str">
        <v/>
      </c>
    </row>
    <row r="1214" spans="2:9">
      <c r="B1214" s="11" t="str">
        <f t="shared" si="96"/>
        <v/>
      </c>
      <c r="C1214" s="11" t="str">
        <f t="shared" si="99"/>
        <v/>
      </c>
      <c r="D1214" s="11" t="str">
        <f t="shared" si="100"/>
        <v/>
      </c>
      <c r="E1214" s="11" t="str">
        <f t="shared" si="97"/>
        <v/>
      </c>
      <c r="F1214" s="11" t="str">
        <f t="shared" si="98"/>
        <v/>
      </c>
      <c r="G1214" s="10" t="str">
        <v/>
      </c>
      <c r="H1214" s="11" t="str">
        <v/>
      </c>
      <c r="I1214" s="11" t="str">
        <v/>
      </c>
    </row>
    <row r="1215" spans="2:9">
      <c r="B1215" s="11" t="str">
        <f t="shared" si="96"/>
        <v/>
      </c>
      <c r="C1215" s="11" t="str">
        <f t="shared" si="99"/>
        <v/>
      </c>
      <c r="D1215" s="11" t="str">
        <f t="shared" si="100"/>
        <v/>
      </c>
      <c r="E1215" s="11" t="str">
        <f t="shared" si="97"/>
        <v/>
      </c>
      <c r="F1215" s="11" t="str">
        <f t="shared" si="98"/>
        <v/>
      </c>
      <c r="G1215" s="10" t="str">
        <v/>
      </c>
      <c r="H1215" s="11" t="str">
        <v/>
      </c>
      <c r="I1215" s="11" t="str">
        <v/>
      </c>
    </row>
    <row r="1216" spans="2:9">
      <c r="B1216" s="11" t="str">
        <f t="shared" si="96"/>
        <v/>
      </c>
      <c r="C1216" s="11" t="str">
        <f t="shared" si="99"/>
        <v/>
      </c>
      <c r="D1216" s="11" t="str">
        <f t="shared" si="100"/>
        <v/>
      </c>
      <c r="E1216" s="11" t="str">
        <f t="shared" si="97"/>
        <v/>
      </c>
      <c r="F1216" s="11" t="str">
        <f t="shared" si="98"/>
        <v/>
      </c>
      <c r="G1216" s="10" t="str">
        <v/>
      </c>
      <c r="H1216" s="11" t="str">
        <v/>
      </c>
      <c r="I1216" s="11" t="str">
        <v/>
      </c>
    </row>
    <row r="1217" spans="2:9">
      <c r="B1217" s="11" t="str">
        <f t="shared" ref="B1217:B1280" si="101">IFERROR(IF(FIND(" ",A1217)=6,IF(IFERROR(FIND(" PB",A1217),"")&lt;&gt;"","артикул",IF(IFERROR(FIND(" CRN",A1217),"")&lt;&gt;"","артикул","")),""),"")</f>
        <v/>
      </c>
      <c r="C1217" s="11" t="str">
        <f t="shared" si="99"/>
        <v/>
      </c>
      <c r="D1217" s="11" t="str">
        <f t="shared" si="100"/>
        <v/>
      </c>
      <c r="E1217" s="11" t="str">
        <f t="shared" si="97"/>
        <v/>
      </c>
      <c r="F1217" s="11" t="str">
        <f t="shared" si="98"/>
        <v/>
      </c>
      <c r="G1217" s="10" t="str">
        <v/>
      </c>
      <c r="H1217" s="11" t="str">
        <v/>
      </c>
      <c r="I1217" s="11" t="str">
        <v/>
      </c>
    </row>
    <row r="1218" spans="2:9">
      <c r="B1218" s="11" t="str">
        <f t="shared" si="101"/>
        <v/>
      </c>
      <c r="C1218" s="11" t="str">
        <f t="shared" si="99"/>
        <v/>
      </c>
      <c r="D1218" s="11" t="str">
        <f t="shared" si="100"/>
        <v/>
      </c>
      <c r="E1218" s="11" t="str">
        <f t="shared" ref="E1218:E1281" si="102" xml:space="preserve">
IF(B1218="Артикул",
IF(
AND(RIGHT(A1219,1)="%",
RIGHT(A1220,1)="%",
RIGHT(A1221,1)="%",
RIGHT(A1222,1)="%"),MID(A1223,FIND(" ",A1223),50),
IF(
AND(RIGHT(A1219,1)="%",
RIGHT(A1220,1)="%",
RIGHT(A1221,1)="%"),MID(A1222,FIND(" ",A1222),50),
IF(
AND(RIGHT(A1219,1)="%",
RIGHT(A1220,1)="%"),
MID(A1221,FIND(" ",A1221),50),
IF(
RIGHT(A1219,1)="%",
MID(A1220,FIND(" ",A1220),50),"")))),"")</f>
        <v/>
      </c>
      <c r="F1218" s="11" t="str">
        <f t="shared" ref="F1218:F1281" si="103">IFERROR(
IF(
AND(LEFT(A1218,8)="Discount",FIND("%",A1218)&gt;0),
MID(A1218,
FIND(" ",A1218),
FIND("%",A1218)-FIND(" ",A1218))
*-1,""),"")</f>
        <v/>
      </c>
      <c r="G1218" s="10" t="str">
        <v/>
      </c>
      <c r="H1218" s="11" t="str">
        <v/>
      </c>
      <c r="I1218" s="11" t="str">
        <v/>
      </c>
    </row>
    <row r="1219" spans="2:9">
      <c r="B1219" s="11" t="str">
        <f t="shared" si="101"/>
        <v/>
      </c>
      <c r="C1219" s="11" t="str">
        <f t="shared" si="99"/>
        <v/>
      </c>
      <c r="D1219" s="11" t="str">
        <f t="shared" si="100"/>
        <v/>
      </c>
      <c r="E1219" s="11" t="str">
        <f t="shared" si="102"/>
        <v/>
      </c>
      <c r="F1219" s="11" t="str">
        <f t="shared" si="103"/>
        <v/>
      </c>
      <c r="G1219" s="10" t="str">
        <v/>
      </c>
      <c r="H1219" s="11" t="str">
        <v/>
      </c>
      <c r="I1219" s="11" t="str">
        <v/>
      </c>
    </row>
    <row r="1220" spans="2:9">
      <c r="B1220" s="11" t="str">
        <f t="shared" si="101"/>
        <v/>
      </c>
      <c r="C1220" s="11" t="str">
        <f t="shared" si="99"/>
        <v/>
      </c>
      <c r="D1220" s="11" t="str">
        <f t="shared" si="100"/>
        <v/>
      </c>
      <c r="E1220" s="11" t="str">
        <f t="shared" si="102"/>
        <v/>
      </c>
      <c r="F1220" s="11" t="str">
        <f t="shared" si="103"/>
        <v/>
      </c>
      <c r="G1220" s="10" t="str">
        <v/>
      </c>
      <c r="H1220" s="11" t="str">
        <v/>
      </c>
      <c r="I1220" s="11" t="str">
        <v/>
      </c>
    </row>
    <row r="1221" spans="2:9">
      <c r="B1221" s="11" t="str">
        <f t="shared" si="101"/>
        <v/>
      </c>
      <c r="C1221" s="11" t="str">
        <f t="shared" si="99"/>
        <v/>
      </c>
      <c r="D1221" s="11" t="str">
        <f t="shared" si="100"/>
        <v/>
      </c>
      <c r="E1221" s="11" t="str">
        <f t="shared" si="102"/>
        <v/>
      </c>
      <c r="F1221" s="11" t="str">
        <f t="shared" si="103"/>
        <v/>
      </c>
      <c r="G1221" s="10" t="str">
        <v/>
      </c>
      <c r="H1221" s="11" t="str">
        <v/>
      </c>
      <c r="I1221" s="11" t="str">
        <v/>
      </c>
    </row>
    <row r="1222" spans="2:9">
      <c r="B1222" s="11" t="str">
        <f t="shared" si="101"/>
        <v/>
      </c>
      <c r="C1222" s="11" t="str">
        <f t="shared" si="99"/>
        <v/>
      </c>
      <c r="D1222" s="11" t="str">
        <f t="shared" si="100"/>
        <v/>
      </c>
      <c r="E1222" s="11" t="str">
        <f t="shared" si="102"/>
        <v/>
      </c>
      <c r="F1222" s="11" t="str">
        <f t="shared" si="103"/>
        <v/>
      </c>
      <c r="G1222" s="10" t="str">
        <v/>
      </c>
      <c r="H1222" s="11" t="str">
        <v/>
      </c>
      <c r="I1222" s="11" t="str">
        <v/>
      </c>
    </row>
    <row r="1223" spans="2:9">
      <c r="B1223" s="11" t="str">
        <f t="shared" si="101"/>
        <v/>
      </c>
      <c r="C1223" s="11" t="str">
        <f t="shared" si="99"/>
        <v/>
      </c>
      <c r="D1223" s="11" t="str">
        <f t="shared" si="100"/>
        <v/>
      </c>
      <c r="E1223" s="11" t="str">
        <f t="shared" si="102"/>
        <v/>
      </c>
      <c r="F1223" s="11" t="str">
        <f t="shared" si="103"/>
        <v/>
      </c>
      <c r="G1223" s="10" t="str">
        <v/>
      </c>
      <c r="H1223" s="11" t="str">
        <v/>
      </c>
      <c r="I1223" s="11" t="str">
        <v/>
      </c>
    </row>
    <row r="1224" spans="2:9">
      <c r="B1224" s="11" t="str">
        <f t="shared" si="101"/>
        <v/>
      </c>
      <c r="C1224" s="11" t="str">
        <f t="shared" si="99"/>
        <v/>
      </c>
      <c r="D1224" s="11" t="str">
        <f t="shared" si="100"/>
        <v/>
      </c>
      <c r="E1224" s="11" t="str">
        <f t="shared" si="102"/>
        <v/>
      </c>
      <c r="F1224" s="11" t="str">
        <f t="shared" si="103"/>
        <v/>
      </c>
      <c r="G1224" s="10" t="str">
        <v/>
      </c>
      <c r="H1224" s="11" t="str">
        <v/>
      </c>
      <c r="I1224" s="11" t="str">
        <v/>
      </c>
    </row>
    <row r="1225" spans="2:9">
      <c r="B1225" s="11" t="str">
        <f t="shared" si="101"/>
        <v/>
      </c>
      <c r="C1225" s="11" t="str">
        <f t="shared" si="99"/>
        <v/>
      </c>
      <c r="D1225" s="11" t="str">
        <f t="shared" si="100"/>
        <v/>
      </c>
      <c r="E1225" s="11" t="str">
        <f t="shared" si="102"/>
        <v/>
      </c>
      <c r="F1225" s="11" t="str">
        <f t="shared" si="103"/>
        <v/>
      </c>
      <c r="G1225" s="10" t="str">
        <v/>
      </c>
      <c r="H1225" s="11" t="str">
        <v/>
      </c>
      <c r="I1225" s="11" t="str">
        <v/>
      </c>
    </row>
    <row r="1226" spans="2:9">
      <c r="B1226" s="11" t="str">
        <f t="shared" si="101"/>
        <v/>
      </c>
      <c r="C1226" s="11" t="str">
        <f t="shared" si="99"/>
        <v/>
      </c>
      <c r="D1226" s="11" t="str">
        <f t="shared" si="100"/>
        <v/>
      </c>
      <c r="E1226" s="11" t="str">
        <f t="shared" si="102"/>
        <v/>
      </c>
      <c r="F1226" s="11" t="str">
        <f t="shared" si="103"/>
        <v/>
      </c>
      <c r="G1226" s="10" t="str">
        <v/>
      </c>
      <c r="H1226" s="11" t="str">
        <v/>
      </c>
      <c r="I1226" s="11" t="str">
        <v/>
      </c>
    </row>
    <row r="1227" spans="2:9">
      <c r="B1227" s="11" t="str">
        <f t="shared" si="101"/>
        <v/>
      </c>
      <c r="C1227" s="11" t="str">
        <f t="shared" si="99"/>
        <v/>
      </c>
      <c r="D1227" s="11" t="str">
        <f t="shared" si="100"/>
        <v/>
      </c>
      <c r="E1227" s="11" t="str">
        <f t="shared" si="102"/>
        <v/>
      </c>
      <c r="F1227" s="11" t="str">
        <f t="shared" si="103"/>
        <v/>
      </c>
      <c r="G1227" s="10" t="str">
        <v/>
      </c>
      <c r="H1227" s="11" t="str">
        <v/>
      </c>
      <c r="I1227" s="11" t="str">
        <v/>
      </c>
    </row>
    <row r="1228" spans="2:9">
      <c r="B1228" s="11" t="str">
        <f t="shared" si="101"/>
        <v/>
      </c>
      <c r="C1228" s="11" t="str">
        <f t="shared" si="99"/>
        <v/>
      </c>
      <c r="D1228" s="11" t="str">
        <f t="shared" si="100"/>
        <v/>
      </c>
      <c r="E1228" s="11" t="str">
        <f t="shared" si="102"/>
        <v/>
      </c>
      <c r="F1228" s="11" t="str">
        <f t="shared" si="103"/>
        <v/>
      </c>
      <c r="G1228" s="10" t="str">
        <v/>
      </c>
      <c r="H1228" s="11" t="str">
        <v/>
      </c>
      <c r="I1228" s="11" t="str">
        <v/>
      </c>
    </row>
    <row r="1229" spans="2:9">
      <c r="B1229" s="11" t="str">
        <f t="shared" si="101"/>
        <v/>
      </c>
      <c r="C1229" s="11" t="str">
        <f t="shared" ref="C1229:C1292" si="104">IF(B1229="артикул",A1229,"")</f>
        <v/>
      </c>
      <c r="D1229" s="11" t="str">
        <f t="shared" ref="D1229:D1292" si="105">IF(B1229="артикул",A1230,"")</f>
        <v/>
      </c>
      <c r="E1229" s="11" t="str">
        <f t="shared" si="102"/>
        <v/>
      </c>
      <c r="F1229" s="11" t="str">
        <f t="shared" si="103"/>
        <v/>
      </c>
      <c r="G1229" s="10" t="str">
        <v/>
      </c>
      <c r="H1229" s="11" t="str">
        <v/>
      </c>
      <c r="I1229" s="11" t="str">
        <v/>
      </c>
    </row>
    <row r="1230" spans="2:9">
      <c r="B1230" s="11" t="str">
        <f t="shared" si="101"/>
        <v/>
      </c>
      <c r="C1230" s="11" t="str">
        <f t="shared" si="104"/>
        <v/>
      </c>
      <c r="D1230" s="11" t="str">
        <f t="shared" si="105"/>
        <v/>
      </c>
      <c r="E1230" s="11" t="str">
        <f t="shared" si="102"/>
        <v/>
      </c>
      <c r="F1230" s="11" t="str">
        <f t="shared" si="103"/>
        <v/>
      </c>
      <c r="G1230" s="10" t="str">
        <v/>
      </c>
      <c r="H1230" s="11" t="str">
        <v/>
      </c>
      <c r="I1230" s="11" t="str">
        <v/>
      </c>
    </row>
    <row r="1231" spans="2:9">
      <c r="B1231" s="11" t="str">
        <f t="shared" si="101"/>
        <v/>
      </c>
      <c r="C1231" s="11" t="str">
        <f t="shared" si="104"/>
        <v/>
      </c>
      <c r="D1231" s="11" t="str">
        <f t="shared" si="105"/>
        <v/>
      </c>
      <c r="E1231" s="11" t="str">
        <f t="shared" si="102"/>
        <v/>
      </c>
      <c r="F1231" s="11" t="str">
        <f t="shared" si="103"/>
        <v/>
      </c>
      <c r="G1231" s="10" t="str">
        <v/>
      </c>
      <c r="H1231" s="11" t="str">
        <v/>
      </c>
      <c r="I1231" s="11" t="str">
        <v/>
      </c>
    </row>
    <row r="1232" spans="2:9">
      <c r="B1232" s="11" t="str">
        <f t="shared" si="101"/>
        <v/>
      </c>
      <c r="C1232" s="11" t="str">
        <f t="shared" si="104"/>
        <v/>
      </c>
      <c r="D1232" s="11" t="str">
        <f t="shared" si="105"/>
        <v/>
      </c>
      <c r="E1232" s="11" t="str">
        <f t="shared" si="102"/>
        <v/>
      </c>
      <c r="F1232" s="11" t="str">
        <f t="shared" si="103"/>
        <v/>
      </c>
      <c r="G1232" s="10" t="str">
        <v/>
      </c>
      <c r="H1232" s="11" t="str">
        <v/>
      </c>
      <c r="I1232" s="11" t="str">
        <v/>
      </c>
    </row>
    <row r="1233" spans="2:9">
      <c r="B1233" s="11" t="str">
        <f t="shared" si="101"/>
        <v/>
      </c>
      <c r="C1233" s="11" t="str">
        <f t="shared" si="104"/>
        <v/>
      </c>
      <c r="D1233" s="11" t="str">
        <f t="shared" si="105"/>
        <v/>
      </c>
      <c r="E1233" s="11" t="str">
        <f t="shared" si="102"/>
        <v/>
      </c>
      <c r="F1233" s="11" t="str">
        <f t="shared" si="103"/>
        <v/>
      </c>
      <c r="G1233" s="10" t="str">
        <v/>
      </c>
      <c r="H1233" s="11" t="str">
        <v/>
      </c>
      <c r="I1233" s="11" t="str">
        <v/>
      </c>
    </row>
    <row r="1234" spans="2:9">
      <c r="B1234" s="11" t="str">
        <f t="shared" si="101"/>
        <v/>
      </c>
      <c r="C1234" s="11" t="str">
        <f t="shared" si="104"/>
        <v/>
      </c>
      <c r="D1234" s="11" t="str">
        <f t="shared" si="105"/>
        <v/>
      </c>
      <c r="E1234" s="11" t="str">
        <f t="shared" si="102"/>
        <v/>
      </c>
      <c r="F1234" s="11" t="str">
        <f t="shared" si="103"/>
        <v/>
      </c>
      <c r="G1234" s="10" t="str">
        <v/>
      </c>
      <c r="H1234" s="11" t="str">
        <v/>
      </c>
      <c r="I1234" s="11" t="str">
        <v/>
      </c>
    </row>
    <row r="1235" spans="2:9">
      <c r="B1235" s="11" t="str">
        <f t="shared" si="101"/>
        <v/>
      </c>
      <c r="C1235" s="11" t="str">
        <f t="shared" si="104"/>
        <v/>
      </c>
      <c r="D1235" s="11" t="str">
        <f t="shared" si="105"/>
        <v/>
      </c>
      <c r="E1235" s="11" t="str">
        <f t="shared" si="102"/>
        <v/>
      </c>
      <c r="F1235" s="11" t="str">
        <f t="shared" si="103"/>
        <v/>
      </c>
      <c r="G1235" s="10" t="str">
        <v/>
      </c>
      <c r="H1235" s="11" t="str">
        <v/>
      </c>
      <c r="I1235" s="11" t="str">
        <v/>
      </c>
    </row>
    <row r="1236" spans="2:9">
      <c r="B1236" s="11" t="str">
        <f t="shared" si="101"/>
        <v/>
      </c>
      <c r="C1236" s="11" t="str">
        <f t="shared" si="104"/>
        <v/>
      </c>
      <c r="D1236" s="11" t="str">
        <f t="shared" si="105"/>
        <v/>
      </c>
      <c r="E1236" s="11" t="str">
        <f t="shared" si="102"/>
        <v/>
      </c>
      <c r="F1236" s="11" t="str">
        <f t="shared" si="103"/>
        <v/>
      </c>
      <c r="G1236" s="10" t="str">
        <v/>
      </c>
      <c r="H1236" s="11" t="str">
        <v/>
      </c>
      <c r="I1236" s="11" t="str">
        <v/>
      </c>
    </row>
    <row r="1237" spans="2:9">
      <c r="B1237" s="11" t="str">
        <f t="shared" si="101"/>
        <v/>
      </c>
      <c r="C1237" s="11" t="str">
        <f t="shared" si="104"/>
        <v/>
      </c>
      <c r="D1237" s="11" t="str">
        <f t="shared" si="105"/>
        <v/>
      </c>
      <c r="E1237" s="11" t="str">
        <f t="shared" si="102"/>
        <v/>
      </c>
      <c r="F1237" s="11" t="str">
        <f t="shared" si="103"/>
        <v/>
      </c>
      <c r="G1237" s="10" t="str">
        <v/>
      </c>
      <c r="H1237" s="11" t="str">
        <v/>
      </c>
      <c r="I1237" s="11" t="str">
        <v/>
      </c>
    </row>
    <row r="1238" spans="2:9">
      <c r="B1238" s="11" t="str">
        <f t="shared" si="101"/>
        <v/>
      </c>
      <c r="C1238" s="11" t="str">
        <f t="shared" si="104"/>
        <v/>
      </c>
      <c r="D1238" s="11" t="str">
        <f t="shared" si="105"/>
        <v/>
      </c>
      <c r="E1238" s="11" t="str">
        <f t="shared" si="102"/>
        <v/>
      </c>
      <c r="F1238" s="11" t="str">
        <f t="shared" si="103"/>
        <v/>
      </c>
      <c r="G1238" s="10" t="str">
        <v/>
      </c>
      <c r="H1238" s="11" t="str">
        <v/>
      </c>
      <c r="I1238" s="11" t="str">
        <v/>
      </c>
    </row>
    <row r="1239" spans="2:9">
      <c r="B1239" s="11" t="str">
        <f t="shared" si="101"/>
        <v/>
      </c>
      <c r="C1239" s="11" t="str">
        <f t="shared" si="104"/>
        <v/>
      </c>
      <c r="D1239" s="11" t="str">
        <f t="shared" si="105"/>
        <v/>
      </c>
      <c r="E1239" s="11" t="str">
        <f t="shared" si="102"/>
        <v/>
      </c>
      <c r="F1239" s="11" t="str">
        <f t="shared" si="103"/>
        <v/>
      </c>
      <c r="G1239" s="10" t="str">
        <v/>
      </c>
      <c r="H1239" s="11" t="str">
        <v/>
      </c>
      <c r="I1239" s="11" t="str">
        <v/>
      </c>
    </row>
    <row r="1240" spans="2:9">
      <c r="B1240" s="11" t="str">
        <f t="shared" si="101"/>
        <v/>
      </c>
      <c r="C1240" s="11" t="str">
        <f t="shared" si="104"/>
        <v/>
      </c>
      <c r="D1240" s="11" t="str">
        <f t="shared" si="105"/>
        <v/>
      </c>
      <c r="E1240" s="11" t="str">
        <f t="shared" si="102"/>
        <v/>
      </c>
      <c r="F1240" s="11" t="str">
        <f t="shared" si="103"/>
        <v/>
      </c>
      <c r="G1240" s="10" t="str">
        <v/>
      </c>
      <c r="H1240" s="11" t="str">
        <v/>
      </c>
      <c r="I1240" s="11" t="str">
        <v/>
      </c>
    </row>
    <row r="1241" spans="2:9">
      <c r="B1241" s="11" t="str">
        <f t="shared" si="101"/>
        <v/>
      </c>
      <c r="C1241" s="11" t="str">
        <f t="shared" si="104"/>
        <v/>
      </c>
      <c r="D1241" s="11" t="str">
        <f t="shared" si="105"/>
        <v/>
      </c>
      <c r="E1241" s="11" t="str">
        <f t="shared" si="102"/>
        <v/>
      </c>
      <c r="F1241" s="11" t="str">
        <f t="shared" si="103"/>
        <v/>
      </c>
      <c r="G1241" s="10" t="str">
        <v/>
      </c>
      <c r="H1241" s="11" t="str">
        <v/>
      </c>
      <c r="I1241" s="11" t="str">
        <v/>
      </c>
    </row>
    <row r="1242" spans="2:9">
      <c r="B1242" s="11" t="str">
        <f t="shared" si="101"/>
        <v/>
      </c>
      <c r="C1242" s="11" t="str">
        <f t="shared" si="104"/>
        <v/>
      </c>
      <c r="D1242" s="11" t="str">
        <f t="shared" si="105"/>
        <v/>
      </c>
      <c r="E1242" s="11" t="str">
        <f t="shared" si="102"/>
        <v/>
      </c>
      <c r="F1242" s="11" t="str">
        <f t="shared" si="103"/>
        <v/>
      </c>
      <c r="G1242" s="10" t="str">
        <v/>
      </c>
      <c r="H1242" s="11" t="str">
        <v/>
      </c>
      <c r="I1242" s="11" t="str">
        <v/>
      </c>
    </row>
    <row r="1243" spans="2:9">
      <c r="B1243" s="11" t="str">
        <f t="shared" si="101"/>
        <v/>
      </c>
      <c r="C1243" s="11" t="str">
        <f t="shared" si="104"/>
        <v/>
      </c>
      <c r="D1243" s="11" t="str">
        <f t="shared" si="105"/>
        <v/>
      </c>
      <c r="E1243" s="11" t="str">
        <f t="shared" si="102"/>
        <v/>
      </c>
      <c r="F1243" s="11" t="str">
        <f t="shared" si="103"/>
        <v/>
      </c>
      <c r="G1243" s="10" t="str">
        <v/>
      </c>
      <c r="H1243" s="11" t="str">
        <v/>
      </c>
      <c r="I1243" s="11" t="str">
        <v/>
      </c>
    </row>
    <row r="1244" spans="2:9">
      <c r="B1244" s="11" t="str">
        <f t="shared" si="101"/>
        <v/>
      </c>
      <c r="C1244" s="11" t="str">
        <f t="shared" si="104"/>
        <v/>
      </c>
      <c r="D1244" s="11" t="str">
        <f t="shared" si="105"/>
        <v/>
      </c>
      <c r="E1244" s="11" t="str">
        <f t="shared" si="102"/>
        <v/>
      </c>
      <c r="F1244" s="11" t="str">
        <f t="shared" si="103"/>
        <v/>
      </c>
      <c r="G1244" s="10" t="str">
        <v/>
      </c>
      <c r="H1244" s="11" t="str">
        <v/>
      </c>
      <c r="I1244" s="11" t="str">
        <v/>
      </c>
    </row>
    <row r="1245" spans="2:9">
      <c r="B1245" s="11" t="str">
        <f t="shared" si="101"/>
        <v/>
      </c>
      <c r="C1245" s="11" t="str">
        <f t="shared" si="104"/>
        <v/>
      </c>
      <c r="D1245" s="11" t="str">
        <f t="shared" si="105"/>
        <v/>
      </c>
      <c r="E1245" s="11" t="str">
        <f t="shared" si="102"/>
        <v/>
      </c>
      <c r="F1245" s="11" t="str">
        <f t="shared" si="103"/>
        <v/>
      </c>
      <c r="G1245" s="10" t="str">
        <v/>
      </c>
      <c r="H1245" s="11" t="str">
        <v/>
      </c>
      <c r="I1245" s="11" t="str">
        <v/>
      </c>
    </row>
    <row r="1246" spans="2:9">
      <c r="B1246" s="11" t="str">
        <f t="shared" si="101"/>
        <v/>
      </c>
      <c r="C1246" s="11" t="str">
        <f t="shared" si="104"/>
        <v/>
      </c>
      <c r="D1246" s="11" t="str">
        <f t="shared" si="105"/>
        <v/>
      </c>
      <c r="E1246" s="11" t="str">
        <f t="shared" si="102"/>
        <v/>
      </c>
      <c r="F1246" s="11" t="str">
        <f t="shared" si="103"/>
        <v/>
      </c>
      <c r="G1246" s="10" t="str">
        <v/>
      </c>
      <c r="H1246" s="11" t="str">
        <v/>
      </c>
      <c r="I1246" s="11" t="str">
        <v/>
      </c>
    </row>
    <row r="1247" spans="2:9">
      <c r="B1247" s="11" t="str">
        <f t="shared" si="101"/>
        <v/>
      </c>
      <c r="C1247" s="11" t="str">
        <f t="shared" si="104"/>
        <v/>
      </c>
      <c r="D1247" s="11" t="str">
        <f t="shared" si="105"/>
        <v/>
      </c>
      <c r="E1247" s="11" t="str">
        <f t="shared" si="102"/>
        <v/>
      </c>
      <c r="F1247" s="11" t="str">
        <f t="shared" si="103"/>
        <v/>
      </c>
      <c r="G1247" s="10" t="str">
        <v/>
      </c>
      <c r="H1247" s="11" t="str">
        <v/>
      </c>
      <c r="I1247" s="11" t="str">
        <v/>
      </c>
    </row>
    <row r="1248" spans="2:9">
      <c r="B1248" s="11" t="str">
        <f t="shared" si="101"/>
        <v/>
      </c>
      <c r="C1248" s="11" t="str">
        <f t="shared" si="104"/>
        <v/>
      </c>
      <c r="D1248" s="11" t="str">
        <f t="shared" si="105"/>
        <v/>
      </c>
      <c r="E1248" s="11" t="str">
        <f t="shared" si="102"/>
        <v/>
      </c>
      <c r="F1248" s="11" t="str">
        <f t="shared" si="103"/>
        <v/>
      </c>
      <c r="G1248" s="10" t="str">
        <v/>
      </c>
      <c r="H1248" s="11" t="str">
        <v/>
      </c>
      <c r="I1248" s="11" t="str">
        <v/>
      </c>
    </row>
    <row r="1249" spans="2:9">
      <c r="B1249" s="11" t="str">
        <f t="shared" si="101"/>
        <v/>
      </c>
      <c r="C1249" s="11" t="str">
        <f t="shared" si="104"/>
        <v/>
      </c>
      <c r="D1249" s="11" t="str">
        <f t="shared" si="105"/>
        <v/>
      </c>
      <c r="E1249" s="11" t="str">
        <f t="shared" si="102"/>
        <v/>
      </c>
      <c r="F1249" s="11" t="str">
        <f t="shared" si="103"/>
        <v/>
      </c>
      <c r="G1249" s="10" t="str">
        <v/>
      </c>
      <c r="H1249" s="11" t="str">
        <v/>
      </c>
      <c r="I1249" s="11" t="str">
        <v/>
      </c>
    </row>
    <row r="1250" spans="2:9">
      <c r="B1250" s="11" t="str">
        <f t="shared" si="101"/>
        <v/>
      </c>
      <c r="C1250" s="11" t="str">
        <f t="shared" si="104"/>
        <v/>
      </c>
      <c r="D1250" s="11" t="str">
        <f t="shared" si="105"/>
        <v/>
      </c>
      <c r="E1250" s="11" t="str">
        <f t="shared" si="102"/>
        <v/>
      </c>
      <c r="F1250" s="11" t="str">
        <f t="shared" si="103"/>
        <v/>
      </c>
      <c r="G1250" s="10" t="str">
        <v/>
      </c>
      <c r="H1250" s="11" t="str">
        <v/>
      </c>
      <c r="I1250" s="11" t="str">
        <v/>
      </c>
    </row>
    <row r="1251" spans="2:9">
      <c r="B1251" s="11" t="str">
        <f t="shared" si="101"/>
        <v/>
      </c>
      <c r="C1251" s="11" t="str">
        <f t="shared" si="104"/>
        <v/>
      </c>
      <c r="D1251" s="11" t="str">
        <f t="shared" si="105"/>
        <v/>
      </c>
      <c r="E1251" s="11" t="str">
        <f t="shared" si="102"/>
        <v/>
      </c>
      <c r="F1251" s="11" t="str">
        <f t="shared" si="103"/>
        <v/>
      </c>
      <c r="G1251" s="10" t="str">
        <v/>
      </c>
      <c r="H1251" s="11" t="str">
        <v/>
      </c>
      <c r="I1251" s="11" t="str">
        <v/>
      </c>
    </row>
    <row r="1252" spans="2:9">
      <c r="B1252" s="11" t="str">
        <f t="shared" si="101"/>
        <v/>
      </c>
      <c r="C1252" s="11" t="str">
        <f t="shared" si="104"/>
        <v/>
      </c>
      <c r="D1252" s="11" t="str">
        <f t="shared" si="105"/>
        <v/>
      </c>
      <c r="E1252" s="11" t="str">
        <f t="shared" si="102"/>
        <v/>
      </c>
      <c r="F1252" s="11" t="str">
        <f t="shared" si="103"/>
        <v/>
      </c>
      <c r="G1252" s="10" t="str">
        <v/>
      </c>
      <c r="H1252" s="11" t="str">
        <v/>
      </c>
      <c r="I1252" s="11" t="str">
        <v/>
      </c>
    </row>
    <row r="1253" spans="2:9">
      <c r="B1253" s="11" t="str">
        <f t="shared" si="101"/>
        <v/>
      </c>
      <c r="C1253" s="11" t="str">
        <f t="shared" si="104"/>
        <v/>
      </c>
      <c r="D1253" s="11" t="str">
        <f t="shared" si="105"/>
        <v/>
      </c>
      <c r="E1253" s="11" t="str">
        <f t="shared" si="102"/>
        <v/>
      </c>
      <c r="F1253" s="11" t="str">
        <f t="shared" si="103"/>
        <v/>
      </c>
      <c r="G1253" s="10" t="str">
        <v/>
      </c>
      <c r="H1253" s="11" t="str">
        <v/>
      </c>
      <c r="I1253" s="11" t="str">
        <v/>
      </c>
    </row>
    <row r="1254" spans="2:9">
      <c r="B1254" s="11" t="str">
        <f t="shared" si="101"/>
        <v/>
      </c>
      <c r="C1254" s="11" t="str">
        <f t="shared" si="104"/>
        <v/>
      </c>
      <c r="D1254" s="11" t="str">
        <f t="shared" si="105"/>
        <v/>
      </c>
      <c r="E1254" s="11" t="str">
        <f t="shared" si="102"/>
        <v/>
      </c>
      <c r="F1254" s="11" t="str">
        <f t="shared" si="103"/>
        <v/>
      </c>
      <c r="G1254" s="10" t="str">
        <v/>
      </c>
      <c r="H1254" s="11" t="str">
        <v/>
      </c>
      <c r="I1254" s="11" t="str">
        <v/>
      </c>
    </row>
    <row r="1255" spans="2:9">
      <c r="B1255" s="11" t="str">
        <f t="shared" si="101"/>
        <v/>
      </c>
      <c r="C1255" s="11" t="str">
        <f t="shared" si="104"/>
        <v/>
      </c>
      <c r="D1255" s="11" t="str">
        <f t="shared" si="105"/>
        <v/>
      </c>
      <c r="E1255" s="11" t="str">
        <f t="shared" si="102"/>
        <v/>
      </c>
      <c r="F1255" s="11" t="str">
        <f t="shared" si="103"/>
        <v/>
      </c>
      <c r="G1255" s="10" t="str">
        <v/>
      </c>
      <c r="H1255" s="11" t="str">
        <v/>
      </c>
      <c r="I1255" s="11" t="str">
        <v/>
      </c>
    </row>
    <row r="1256" spans="2:9">
      <c r="B1256" s="11" t="str">
        <f t="shared" si="101"/>
        <v/>
      </c>
      <c r="C1256" s="11" t="str">
        <f t="shared" si="104"/>
        <v/>
      </c>
      <c r="D1256" s="11" t="str">
        <f t="shared" si="105"/>
        <v/>
      </c>
      <c r="E1256" s="11" t="str">
        <f t="shared" si="102"/>
        <v/>
      </c>
      <c r="F1256" s="11" t="str">
        <f t="shared" si="103"/>
        <v/>
      </c>
      <c r="G1256" s="10" t="str">
        <v/>
      </c>
      <c r="H1256" s="11" t="str">
        <v/>
      </c>
      <c r="I1256" s="11" t="str">
        <v/>
      </c>
    </row>
    <row r="1257" spans="2:9">
      <c r="B1257" s="11" t="str">
        <f t="shared" si="101"/>
        <v/>
      </c>
      <c r="C1257" s="11" t="str">
        <f t="shared" si="104"/>
        <v/>
      </c>
      <c r="D1257" s="11" t="str">
        <f t="shared" si="105"/>
        <v/>
      </c>
      <c r="E1257" s="11" t="str">
        <f t="shared" si="102"/>
        <v/>
      </c>
      <c r="F1257" s="11" t="str">
        <f t="shared" si="103"/>
        <v/>
      </c>
      <c r="G1257" s="10" t="str">
        <v/>
      </c>
      <c r="H1257" s="11" t="str">
        <v/>
      </c>
      <c r="I1257" s="11" t="str">
        <v/>
      </c>
    </row>
    <row r="1258" spans="2:9">
      <c r="B1258" s="11" t="str">
        <f t="shared" si="101"/>
        <v/>
      </c>
      <c r="C1258" s="11" t="str">
        <f t="shared" si="104"/>
        <v/>
      </c>
      <c r="D1258" s="11" t="str">
        <f t="shared" si="105"/>
        <v/>
      </c>
      <c r="E1258" s="11" t="str">
        <f t="shared" si="102"/>
        <v/>
      </c>
      <c r="F1258" s="11" t="str">
        <f t="shared" si="103"/>
        <v/>
      </c>
      <c r="G1258" s="10" t="str">
        <v/>
      </c>
      <c r="H1258" s="11" t="str">
        <v/>
      </c>
      <c r="I1258" s="11" t="str">
        <v/>
      </c>
    </row>
    <row r="1259" spans="2:9">
      <c r="B1259" s="11" t="str">
        <f t="shared" si="101"/>
        <v/>
      </c>
      <c r="C1259" s="11" t="str">
        <f t="shared" si="104"/>
        <v/>
      </c>
      <c r="D1259" s="11" t="str">
        <f t="shared" si="105"/>
        <v/>
      </c>
      <c r="E1259" s="11" t="str">
        <f t="shared" si="102"/>
        <v/>
      </c>
      <c r="F1259" s="11" t="str">
        <f t="shared" si="103"/>
        <v/>
      </c>
      <c r="G1259" s="10" t="str">
        <v/>
      </c>
      <c r="H1259" s="11" t="str">
        <v/>
      </c>
      <c r="I1259" s="11" t="str">
        <v/>
      </c>
    </row>
    <row r="1260" spans="2:9">
      <c r="B1260" s="11" t="str">
        <f t="shared" si="101"/>
        <v/>
      </c>
      <c r="C1260" s="11" t="str">
        <f t="shared" si="104"/>
        <v/>
      </c>
      <c r="D1260" s="11" t="str">
        <f t="shared" si="105"/>
        <v/>
      </c>
      <c r="E1260" s="11" t="str">
        <f t="shared" si="102"/>
        <v/>
      </c>
      <c r="F1260" s="11" t="str">
        <f t="shared" si="103"/>
        <v/>
      </c>
      <c r="G1260" s="10" t="str">
        <v/>
      </c>
      <c r="H1260" s="11" t="str">
        <v/>
      </c>
      <c r="I1260" s="11" t="str">
        <v/>
      </c>
    </row>
    <row r="1261" spans="2:9">
      <c r="B1261" s="11" t="str">
        <f t="shared" si="101"/>
        <v/>
      </c>
      <c r="C1261" s="11" t="str">
        <f t="shared" si="104"/>
        <v/>
      </c>
      <c r="D1261" s="11" t="str">
        <f t="shared" si="105"/>
        <v/>
      </c>
      <c r="E1261" s="11" t="str">
        <f t="shared" si="102"/>
        <v/>
      </c>
      <c r="F1261" s="11" t="str">
        <f t="shared" si="103"/>
        <v/>
      </c>
      <c r="G1261" s="10" t="str">
        <v/>
      </c>
      <c r="H1261" s="11" t="str">
        <v/>
      </c>
      <c r="I1261" s="11" t="str">
        <v/>
      </c>
    </row>
    <row r="1262" spans="2:9">
      <c r="B1262" s="11" t="str">
        <f t="shared" si="101"/>
        <v/>
      </c>
      <c r="C1262" s="11" t="str">
        <f t="shared" si="104"/>
        <v/>
      </c>
      <c r="D1262" s="11" t="str">
        <f t="shared" si="105"/>
        <v/>
      </c>
      <c r="E1262" s="11" t="str">
        <f t="shared" si="102"/>
        <v/>
      </c>
      <c r="F1262" s="11" t="str">
        <f t="shared" si="103"/>
        <v/>
      </c>
      <c r="G1262" s="10" t="str">
        <v/>
      </c>
      <c r="H1262" s="11" t="str">
        <v/>
      </c>
      <c r="I1262" s="11" t="str">
        <v/>
      </c>
    </row>
    <row r="1263" spans="2:9">
      <c r="B1263" s="11" t="str">
        <f t="shared" si="101"/>
        <v/>
      </c>
      <c r="C1263" s="11" t="str">
        <f t="shared" si="104"/>
        <v/>
      </c>
      <c r="D1263" s="11" t="str">
        <f t="shared" si="105"/>
        <v/>
      </c>
      <c r="E1263" s="11" t="str">
        <f t="shared" si="102"/>
        <v/>
      </c>
      <c r="F1263" s="11" t="str">
        <f t="shared" si="103"/>
        <v/>
      </c>
      <c r="G1263" s="10" t="str">
        <v/>
      </c>
      <c r="H1263" s="11" t="str">
        <v/>
      </c>
      <c r="I1263" s="11" t="str">
        <v/>
      </c>
    </row>
    <row r="1264" spans="2:9">
      <c r="B1264" s="11" t="str">
        <f t="shared" si="101"/>
        <v/>
      </c>
      <c r="C1264" s="11" t="str">
        <f t="shared" si="104"/>
        <v/>
      </c>
      <c r="D1264" s="11" t="str">
        <f t="shared" si="105"/>
        <v/>
      </c>
      <c r="E1264" s="11" t="str">
        <f t="shared" si="102"/>
        <v/>
      </c>
      <c r="F1264" s="11" t="str">
        <f t="shared" si="103"/>
        <v/>
      </c>
      <c r="G1264" s="10" t="str">
        <v/>
      </c>
      <c r="H1264" s="11" t="str">
        <v/>
      </c>
      <c r="I1264" s="11" t="str">
        <v/>
      </c>
    </row>
    <row r="1265" spans="2:9">
      <c r="B1265" s="11" t="str">
        <f t="shared" si="101"/>
        <v/>
      </c>
      <c r="C1265" s="11" t="str">
        <f t="shared" si="104"/>
        <v/>
      </c>
      <c r="D1265" s="11" t="str">
        <f t="shared" si="105"/>
        <v/>
      </c>
      <c r="E1265" s="11" t="str">
        <f t="shared" si="102"/>
        <v/>
      </c>
      <c r="F1265" s="11" t="str">
        <f t="shared" si="103"/>
        <v/>
      </c>
      <c r="G1265" s="10" t="str">
        <v/>
      </c>
      <c r="H1265" s="11" t="str">
        <v/>
      </c>
      <c r="I1265" s="11" t="str">
        <v/>
      </c>
    </row>
    <row r="1266" spans="2:9">
      <c r="B1266" s="11" t="str">
        <f t="shared" si="101"/>
        <v/>
      </c>
      <c r="C1266" s="11" t="str">
        <f t="shared" si="104"/>
        <v/>
      </c>
      <c r="D1266" s="11" t="str">
        <f t="shared" si="105"/>
        <v/>
      </c>
      <c r="E1266" s="11" t="str">
        <f t="shared" si="102"/>
        <v/>
      </c>
      <c r="F1266" s="11" t="str">
        <f t="shared" si="103"/>
        <v/>
      </c>
      <c r="G1266" s="10" t="str">
        <v/>
      </c>
      <c r="H1266" s="11" t="str">
        <v/>
      </c>
      <c r="I1266" s="11" t="str">
        <v/>
      </c>
    </row>
    <row r="1267" spans="2:9">
      <c r="B1267" s="11" t="str">
        <f t="shared" si="101"/>
        <v/>
      </c>
      <c r="C1267" s="11" t="str">
        <f t="shared" si="104"/>
        <v/>
      </c>
      <c r="D1267" s="11" t="str">
        <f t="shared" si="105"/>
        <v/>
      </c>
      <c r="E1267" s="11" t="str">
        <f t="shared" si="102"/>
        <v/>
      </c>
      <c r="F1267" s="11" t="str">
        <f t="shared" si="103"/>
        <v/>
      </c>
      <c r="G1267" s="10" t="str">
        <v/>
      </c>
      <c r="H1267" s="11" t="str">
        <v/>
      </c>
      <c r="I1267" s="11" t="str">
        <v/>
      </c>
    </row>
    <row r="1268" spans="2:9">
      <c r="B1268" s="11" t="str">
        <f t="shared" si="101"/>
        <v/>
      </c>
      <c r="C1268" s="11" t="str">
        <f t="shared" si="104"/>
        <v/>
      </c>
      <c r="D1268" s="11" t="str">
        <f t="shared" si="105"/>
        <v/>
      </c>
      <c r="E1268" s="11" t="str">
        <f t="shared" si="102"/>
        <v/>
      </c>
      <c r="F1268" s="11" t="str">
        <f t="shared" si="103"/>
        <v/>
      </c>
      <c r="G1268" s="10" t="str">
        <v/>
      </c>
      <c r="H1268" s="11" t="str">
        <v/>
      </c>
      <c r="I1268" s="11" t="str">
        <v/>
      </c>
    </row>
    <row r="1269" spans="2:9">
      <c r="B1269" s="11" t="str">
        <f t="shared" si="101"/>
        <v/>
      </c>
      <c r="C1269" s="11" t="str">
        <f t="shared" si="104"/>
        <v/>
      </c>
      <c r="D1269" s="11" t="str">
        <f t="shared" si="105"/>
        <v/>
      </c>
      <c r="E1269" s="11" t="str">
        <f t="shared" si="102"/>
        <v/>
      </c>
      <c r="F1269" s="11" t="str">
        <f t="shared" si="103"/>
        <v/>
      </c>
      <c r="G1269" s="10" t="str">
        <v/>
      </c>
      <c r="H1269" s="11" t="str">
        <v/>
      </c>
      <c r="I1269" s="11" t="str">
        <v/>
      </c>
    </row>
    <row r="1270" spans="2:9">
      <c r="B1270" s="11" t="str">
        <f t="shared" si="101"/>
        <v/>
      </c>
      <c r="C1270" s="11" t="str">
        <f t="shared" si="104"/>
        <v/>
      </c>
      <c r="D1270" s="11" t="str">
        <f t="shared" si="105"/>
        <v/>
      </c>
      <c r="E1270" s="11" t="str">
        <f t="shared" si="102"/>
        <v/>
      </c>
      <c r="F1270" s="11" t="str">
        <f t="shared" si="103"/>
        <v/>
      </c>
      <c r="G1270" s="10" t="str">
        <v/>
      </c>
      <c r="H1270" s="11" t="str">
        <v/>
      </c>
      <c r="I1270" s="11" t="str">
        <v/>
      </c>
    </row>
    <row r="1271" spans="2:9">
      <c r="B1271" s="11" t="str">
        <f t="shared" si="101"/>
        <v/>
      </c>
      <c r="C1271" s="11" t="str">
        <f t="shared" si="104"/>
        <v/>
      </c>
      <c r="D1271" s="11" t="str">
        <f t="shared" si="105"/>
        <v/>
      </c>
      <c r="E1271" s="11" t="str">
        <f t="shared" si="102"/>
        <v/>
      </c>
      <c r="F1271" s="11" t="str">
        <f t="shared" si="103"/>
        <v/>
      </c>
      <c r="G1271" s="10" t="str">
        <v/>
      </c>
      <c r="H1271" s="11" t="str">
        <v/>
      </c>
      <c r="I1271" s="11" t="str">
        <v/>
      </c>
    </row>
    <row r="1272" spans="2:9">
      <c r="B1272" s="11" t="str">
        <f t="shared" si="101"/>
        <v/>
      </c>
      <c r="C1272" s="11" t="str">
        <f t="shared" si="104"/>
        <v/>
      </c>
      <c r="D1272" s="11" t="str">
        <f t="shared" si="105"/>
        <v/>
      </c>
      <c r="E1272" s="11" t="str">
        <f t="shared" si="102"/>
        <v/>
      </c>
      <c r="F1272" s="11" t="str">
        <f t="shared" si="103"/>
        <v/>
      </c>
      <c r="G1272" s="10" t="str">
        <v/>
      </c>
      <c r="H1272" s="11" t="str">
        <v/>
      </c>
      <c r="I1272" s="11" t="str">
        <v/>
      </c>
    </row>
    <row r="1273" spans="2:9">
      <c r="B1273" s="11" t="str">
        <f t="shared" si="101"/>
        <v/>
      </c>
      <c r="C1273" s="11" t="str">
        <f t="shared" si="104"/>
        <v/>
      </c>
      <c r="D1273" s="11" t="str">
        <f t="shared" si="105"/>
        <v/>
      </c>
      <c r="E1273" s="11" t="str">
        <f t="shared" si="102"/>
        <v/>
      </c>
      <c r="F1273" s="11" t="str">
        <f t="shared" si="103"/>
        <v/>
      </c>
      <c r="G1273" s="10" t="str">
        <v/>
      </c>
      <c r="H1273" s="11" t="str">
        <v/>
      </c>
      <c r="I1273" s="11" t="str">
        <v/>
      </c>
    </row>
    <row r="1274" spans="2:9">
      <c r="B1274" s="11" t="str">
        <f t="shared" si="101"/>
        <v/>
      </c>
      <c r="C1274" s="11" t="str">
        <f t="shared" si="104"/>
        <v/>
      </c>
      <c r="D1274" s="11" t="str">
        <f t="shared" si="105"/>
        <v/>
      </c>
      <c r="E1274" s="11" t="str">
        <f t="shared" si="102"/>
        <v/>
      </c>
      <c r="F1274" s="11" t="str">
        <f t="shared" si="103"/>
        <v/>
      </c>
      <c r="G1274" s="10" t="str">
        <v/>
      </c>
      <c r="H1274" s="11" t="str">
        <v/>
      </c>
      <c r="I1274" s="11" t="str">
        <v/>
      </c>
    </row>
    <row r="1275" spans="2:9">
      <c r="B1275" s="11" t="str">
        <f t="shared" si="101"/>
        <v/>
      </c>
      <c r="C1275" s="11" t="str">
        <f t="shared" si="104"/>
        <v/>
      </c>
      <c r="D1275" s="11" t="str">
        <f t="shared" si="105"/>
        <v/>
      </c>
      <c r="E1275" s="11" t="str">
        <f t="shared" si="102"/>
        <v/>
      </c>
      <c r="F1275" s="11" t="str">
        <f t="shared" si="103"/>
        <v/>
      </c>
      <c r="G1275" s="10" t="str">
        <v/>
      </c>
      <c r="H1275" s="11" t="str">
        <v/>
      </c>
      <c r="I1275" s="11" t="str">
        <v/>
      </c>
    </row>
    <row r="1276" spans="2:9">
      <c r="B1276" s="11" t="str">
        <f t="shared" si="101"/>
        <v/>
      </c>
      <c r="C1276" s="11" t="str">
        <f t="shared" si="104"/>
        <v/>
      </c>
      <c r="D1276" s="11" t="str">
        <f t="shared" si="105"/>
        <v/>
      </c>
      <c r="E1276" s="11" t="str">
        <f t="shared" si="102"/>
        <v/>
      </c>
      <c r="F1276" s="11" t="str">
        <f t="shared" si="103"/>
        <v/>
      </c>
      <c r="G1276" s="10" t="str">
        <v/>
      </c>
      <c r="H1276" s="11" t="str">
        <v/>
      </c>
      <c r="I1276" s="11" t="str">
        <v/>
      </c>
    </row>
    <row r="1277" spans="2:9">
      <c r="B1277" s="11" t="str">
        <f t="shared" si="101"/>
        <v/>
      </c>
      <c r="C1277" s="11" t="str">
        <f t="shared" si="104"/>
        <v/>
      </c>
      <c r="D1277" s="11" t="str">
        <f t="shared" si="105"/>
        <v/>
      </c>
      <c r="E1277" s="11" t="str">
        <f t="shared" si="102"/>
        <v/>
      </c>
      <c r="F1277" s="11" t="str">
        <f t="shared" si="103"/>
        <v/>
      </c>
      <c r="G1277" s="10" t="str">
        <v/>
      </c>
      <c r="H1277" s="11" t="str">
        <v/>
      </c>
      <c r="I1277" s="11" t="str">
        <v/>
      </c>
    </row>
    <row r="1278" spans="2:9">
      <c r="B1278" s="11" t="str">
        <f t="shared" si="101"/>
        <v/>
      </c>
      <c r="C1278" s="11" t="str">
        <f t="shared" si="104"/>
        <v/>
      </c>
      <c r="D1278" s="11" t="str">
        <f t="shared" si="105"/>
        <v/>
      </c>
      <c r="E1278" s="11" t="str">
        <f t="shared" si="102"/>
        <v/>
      </c>
      <c r="F1278" s="11" t="str">
        <f t="shared" si="103"/>
        <v/>
      </c>
      <c r="G1278" s="10" t="str">
        <v/>
      </c>
      <c r="H1278" s="11" t="str">
        <v/>
      </c>
      <c r="I1278" s="11" t="str">
        <v/>
      </c>
    </row>
    <row r="1279" spans="2:9">
      <c r="B1279" s="11" t="str">
        <f t="shared" si="101"/>
        <v/>
      </c>
      <c r="C1279" s="11" t="str">
        <f t="shared" si="104"/>
        <v/>
      </c>
      <c r="D1279" s="11" t="str">
        <f t="shared" si="105"/>
        <v/>
      </c>
      <c r="E1279" s="11" t="str">
        <f t="shared" si="102"/>
        <v/>
      </c>
      <c r="F1279" s="11" t="str">
        <f t="shared" si="103"/>
        <v/>
      </c>
      <c r="G1279" s="10" t="str">
        <v/>
      </c>
      <c r="H1279" s="11" t="str">
        <v/>
      </c>
      <c r="I1279" s="11" t="str">
        <v/>
      </c>
    </row>
    <row r="1280" spans="2:9">
      <c r="B1280" s="11" t="str">
        <f t="shared" si="101"/>
        <v/>
      </c>
      <c r="C1280" s="11" t="str">
        <f t="shared" si="104"/>
        <v/>
      </c>
      <c r="D1280" s="11" t="str">
        <f t="shared" si="105"/>
        <v/>
      </c>
      <c r="E1280" s="11" t="str">
        <f t="shared" si="102"/>
        <v/>
      </c>
      <c r="F1280" s="11" t="str">
        <f t="shared" si="103"/>
        <v/>
      </c>
      <c r="G1280" s="10" t="str">
        <v/>
      </c>
      <c r="H1280" s="11" t="str">
        <v/>
      </c>
      <c r="I1280" s="11" t="str">
        <v/>
      </c>
    </row>
    <row r="1281" spans="2:9">
      <c r="B1281" s="11" t="str">
        <f t="shared" ref="B1281:B1344" si="106">IFERROR(IF(FIND(" ",A1281)=6,IF(IFERROR(FIND(" PB",A1281),"")&lt;&gt;"","артикул",IF(IFERROR(FIND(" CRN",A1281),"")&lt;&gt;"","артикул","")),""),"")</f>
        <v/>
      </c>
      <c r="C1281" s="11" t="str">
        <f t="shared" si="104"/>
        <v/>
      </c>
      <c r="D1281" s="11" t="str">
        <f t="shared" si="105"/>
        <v/>
      </c>
      <c r="E1281" s="11" t="str">
        <f t="shared" si="102"/>
        <v/>
      </c>
      <c r="F1281" s="11" t="str">
        <f t="shared" si="103"/>
        <v/>
      </c>
      <c r="G1281" s="10" t="str">
        <v/>
      </c>
      <c r="H1281" s="11" t="str">
        <v/>
      </c>
      <c r="I1281" s="11" t="str">
        <v/>
      </c>
    </row>
    <row r="1282" spans="2:9">
      <c r="B1282" s="11" t="str">
        <f t="shared" si="106"/>
        <v/>
      </c>
      <c r="C1282" s="11" t="str">
        <f t="shared" si="104"/>
        <v/>
      </c>
      <c r="D1282" s="11" t="str">
        <f t="shared" si="105"/>
        <v/>
      </c>
      <c r="E1282" s="11" t="str">
        <f t="shared" ref="E1282:E1345" si="107" xml:space="preserve">
IF(B1282="Артикул",
IF(
AND(RIGHT(A1283,1)="%",
RIGHT(A1284,1)="%",
RIGHT(A1285,1)="%",
RIGHT(A1286,1)="%"),MID(A1287,FIND(" ",A1287),50),
IF(
AND(RIGHT(A1283,1)="%",
RIGHT(A1284,1)="%",
RIGHT(A1285,1)="%"),MID(A1286,FIND(" ",A1286),50),
IF(
AND(RIGHT(A1283,1)="%",
RIGHT(A1284,1)="%"),
MID(A1285,FIND(" ",A1285),50),
IF(
RIGHT(A1283,1)="%",
MID(A1284,FIND(" ",A1284),50),"")))),"")</f>
        <v/>
      </c>
      <c r="F1282" s="11" t="str">
        <f t="shared" ref="F1282:F1345" si="108">IFERROR(
IF(
AND(LEFT(A1282,8)="Discount",FIND("%",A1282)&gt;0),
MID(A1282,
FIND(" ",A1282),
FIND("%",A1282)-FIND(" ",A1282))
*-1,""),"")</f>
        <v/>
      </c>
      <c r="G1282" s="10" t="str">
        <v/>
      </c>
      <c r="H1282" s="11" t="str">
        <v/>
      </c>
      <c r="I1282" s="11" t="str">
        <v/>
      </c>
    </row>
    <row r="1283" spans="2:9">
      <c r="B1283" s="11" t="str">
        <f t="shared" si="106"/>
        <v/>
      </c>
      <c r="C1283" s="11" t="str">
        <f t="shared" si="104"/>
        <v/>
      </c>
      <c r="D1283" s="11" t="str">
        <f t="shared" si="105"/>
        <v/>
      </c>
      <c r="E1283" s="11" t="str">
        <f t="shared" si="107"/>
        <v/>
      </c>
      <c r="F1283" s="11" t="str">
        <f t="shared" si="108"/>
        <v/>
      </c>
      <c r="G1283" s="10" t="str">
        <v/>
      </c>
      <c r="H1283" s="11" t="str">
        <v/>
      </c>
      <c r="I1283" s="11" t="str">
        <v/>
      </c>
    </row>
    <row r="1284" spans="2:9">
      <c r="B1284" s="11" t="str">
        <f t="shared" si="106"/>
        <v/>
      </c>
      <c r="C1284" s="11" t="str">
        <f t="shared" si="104"/>
        <v/>
      </c>
      <c r="D1284" s="11" t="str">
        <f t="shared" si="105"/>
        <v/>
      </c>
      <c r="E1284" s="11" t="str">
        <f t="shared" si="107"/>
        <v/>
      </c>
      <c r="F1284" s="11" t="str">
        <f t="shared" si="108"/>
        <v/>
      </c>
      <c r="G1284" s="10" t="str">
        <v/>
      </c>
      <c r="H1284" s="11" t="str">
        <v/>
      </c>
      <c r="I1284" s="11" t="str">
        <v/>
      </c>
    </row>
    <row r="1285" spans="2:9">
      <c r="B1285" s="11" t="str">
        <f t="shared" si="106"/>
        <v/>
      </c>
      <c r="C1285" s="11" t="str">
        <f t="shared" si="104"/>
        <v/>
      </c>
      <c r="D1285" s="11" t="str">
        <f t="shared" si="105"/>
        <v/>
      </c>
      <c r="E1285" s="11" t="str">
        <f t="shared" si="107"/>
        <v/>
      </c>
      <c r="F1285" s="11" t="str">
        <f t="shared" si="108"/>
        <v/>
      </c>
      <c r="G1285" s="10" t="str">
        <v/>
      </c>
      <c r="H1285" s="11" t="str">
        <v/>
      </c>
      <c r="I1285" s="11" t="str">
        <v/>
      </c>
    </row>
    <row r="1286" spans="2:9">
      <c r="B1286" s="11" t="str">
        <f t="shared" si="106"/>
        <v/>
      </c>
      <c r="C1286" s="11" t="str">
        <f t="shared" si="104"/>
        <v/>
      </c>
      <c r="D1286" s="11" t="str">
        <f t="shared" si="105"/>
        <v/>
      </c>
      <c r="E1286" s="11" t="str">
        <f t="shared" si="107"/>
        <v/>
      </c>
      <c r="F1286" s="11" t="str">
        <f t="shared" si="108"/>
        <v/>
      </c>
      <c r="G1286" s="10" t="str">
        <v/>
      </c>
      <c r="H1286" s="11" t="str">
        <v/>
      </c>
      <c r="I1286" s="11" t="str">
        <v/>
      </c>
    </row>
    <row r="1287" spans="2:9">
      <c r="B1287" s="11" t="str">
        <f t="shared" si="106"/>
        <v/>
      </c>
      <c r="C1287" s="11" t="str">
        <f t="shared" si="104"/>
        <v/>
      </c>
      <c r="D1287" s="11" t="str">
        <f t="shared" si="105"/>
        <v/>
      </c>
      <c r="E1287" s="11" t="str">
        <f t="shared" si="107"/>
        <v/>
      </c>
      <c r="F1287" s="11" t="str">
        <f t="shared" si="108"/>
        <v/>
      </c>
      <c r="G1287" s="10" t="str">
        <v/>
      </c>
      <c r="H1287" s="11" t="str">
        <v/>
      </c>
      <c r="I1287" s="11" t="str">
        <v/>
      </c>
    </row>
    <row r="1288" spans="2:9">
      <c r="B1288" s="11" t="str">
        <f t="shared" si="106"/>
        <v/>
      </c>
      <c r="C1288" s="11" t="str">
        <f t="shared" si="104"/>
        <v/>
      </c>
      <c r="D1288" s="11" t="str">
        <f t="shared" si="105"/>
        <v/>
      </c>
      <c r="E1288" s="11" t="str">
        <f t="shared" si="107"/>
        <v/>
      </c>
      <c r="F1288" s="11" t="str">
        <f t="shared" si="108"/>
        <v/>
      </c>
      <c r="G1288" s="10" t="str">
        <v/>
      </c>
      <c r="H1288" s="11" t="str">
        <v/>
      </c>
      <c r="I1288" s="11" t="str">
        <v/>
      </c>
    </row>
    <row r="1289" spans="2:9">
      <c r="B1289" s="11" t="str">
        <f t="shared" si="106"/>
        <v/>
      </c>
      <c r="C1289" s="11" t="str">
        <f t="shared" si="104"/>
        <v/>
      </c>
      <c r="D1289" s="11" t="str">
        <f t="shared" si="105"/>
        <v/>
      </c>
      <c r="E1289" s="11" t="str">
        <f t="shared" si="107"/>
        <v/>
      </c>
      <c r="F1289" s="11" t="str">
        <f t="shared" si="108"/>
        <v/>
      </c>
      <c r="G1289" s="10" t="str">
        <v/>
      </c>
      <c r="H1289" s="11" t="str">
        <v/>
      </c>
      <c r="I1289" s="11" t="str">
        <v/>
      </c>
    </row>
    <row r="1290" spans="2:9">
      <c r="B1290" s="11" t="str">
        <f t="shared" si="106"/>
        <v/>
      </c>
      <c r="C1290" s="11" t="str">
        <f t="shared" si="104"/>
        <v/>
      </c>
      <c r="D1290" s="11" t="str">
        <f t="shared" si="105"/>
        <v/>
      </c>
      <c r="E1290" s="11" t="str">
        <f t="shared" si="107"/>
        <v/>
      </c>
      <c r="F1290" s="11" t="str">
        <f t="shared" si="108"/>
        <v/>
      </c>
      <c r="G1290" s="10" t="str">
        <v/>
      </c>
      <c r="H1290" s="11" t="str">
        <v/>
      </c>
      <c r="I1290" s="11" t="str">
        <v/>
      </c>
    </row>
    <row r="1291" spans="2:9">
      <c r="B1291" s="11" t="str">
        <f t="shared" si="106"/>
        <v/>
      </c>
      <c r="C1291" s="11" t="str">
        <f t="shared" si="104"/>
        <v/>
      </c>
      <c r="D1291" s="11" t="str">
        <f t="shared" si="105"/>
        <v/>
      </c>
      <c r="E1291" s="11" t="str">
        <f t="shared" si="107"/>
        <v/>
      </c>
      <c r="F1291" s="11" t="str">
        <f t="shared" si="108"/>
        <v/>
      </c>
      <c r="G1291" s="10" t="str">
        <v/>
      </c>
      <c r="H1291" s="11" t="str">
        <v/>
      </c>
      <c r="I1291" s="11" t="str">
        <v/>
      </c>
    </row>
    <row r="1292" spans="2:9">
      <c r="B1292" s="11" t="str">
        <f t="shared" si="106"/>
        <v/>
      </c>
      <c r="C1292" s="11" t="str">
        <f t="shared" si="104"/>
        <v/>
      </c>
      <c r="D1292" s="11" t="str">
        <f t="shared" si="105"/>
        <v/>
      </c>
      <c r="E1292" s="11" t="str">
        <f t="shared" si="107"/>
        <v/>
      </c>
      <c r="F1292" s="11" t="str">
        <f t="shared" si="108"/>
        <v/>
      </c>
      <c r="G1292" s="10" t="str">
        <v/>
      </c>
      <c r="H1292" s="11" t="str">
        <v/>
      </c>
      <c r="I1292" s="11" t="str">
        <v/>
      </c>
    </row>
    <row r="1293" spans="2:9">
      <c r="B1293" s="11" t="str">
        <f t="shared" si="106"/>
        <v/>
      </c>
      <c r="C1293" s="11" t="str">
        <f t="shared" ref="C1293:C1356" si="109">IF(B1293="артикул",A1293,"")</f>
        <v/>
      </c>
      <c r="D1293" s="11" t="str">
        <f t="shared" ref="D1293:D1356" si="110">IF(B1293="артикул",A1294,"")</f>
        <v/>
      </c>
      <c r="E1293" s="11" t="str">
        <f t="shared" si="107"/>
        <v/>
      </c>
      <c r="F1293" s="11" t="str">
        <f t="shared" si="108"/>
        <v/>
      </c>
      <c r="G1293" s="10" t="str">
        <v/>
      </c>
      <c r="H1293" s="11" t="str">
        <v/>
      </c>
      <c r="I1293" s="11" t="str">
        <v/>
      </c>
    </row>
    <row r="1294" spans="2:9">
      <c r="B1294" s="11" t="str">
        <f t="shared" si="106"/>
        <v/>
      </c>
      <c r="C1294" s="11" t="str">
        <f t="shared" si="109"/>
        <v/>
      </c>
      <c r="D1294" s="11" t="str">
        <f t="shared" si="110"/>
        <v/>
      </c>
      <c r="E1294" s="11" t="str">
        <f t="shared" si="107"/>
        <v/>
      </c>
      <c r="F1294" s="11" t="str">
        <f t="shared" si="108"/>
        <v/>
      </c>
      <c r="G1294" s="10" t="str">
        <v/>
      </c>
      <c r="H1294" s="11" t="str">
        <v/>
      </c>
      <c r="I1294" s="11" t="str">
        <v/>
      </c>
    </row>
    <row r="1295" spans="2:9">
      <c r="B1295" s="11" t="str">
        <f t="shared" si="106"/>
        <v/>
      </c>
      <c r="C1295" s="11" t="str">
        <f t="shared" si="109"/>
        <v/>
      </c>
      <c r="D1295" s="11" t="str">
        <f t="shared" si="110"/>
        <v/>
      </c>
      <c r="E1295" s="11" t="str">
        <f t="shared" si="107"/>
        <v/>
      </c>
      <c r="F1295" s="11" t="str">
        <f t="shared" si="108"/>
        <v/>
      </c>
      <c r="G1295" s="10" t="str">
        <v/>
      </c>
      <c r="H1295" s="11" t="str">
        <v/>
      </c>
      <c r="I1295" s="11" t="str">
        <v/>
      </c>
    </row>
    <row r="1296" spans="2:9">
      <c r="B1296" s="11" t="str">
        <f t="shared" si="106"/>
        <v/>
      </c>
      <c r="C1296" s="11" t="str">
        <f t="shared" si="109"/>
        <v/>
      </c>
      <c r="D1296" s="11" t="str">
        <f t="shared" si="110"/>
        <v/>
      </c>
      <c r="E1296" s="11" t="str">
        <f t="shared" si="107"/>
        <v/>
      </c>
      <c r="F1296" s="11" t="str">
        <f t="shared" si="108"/>
        <v/>
      </c>
      <c r="G1296" s="10" t="str">
        <v/>
      </c>
      <c r="H1296" s="11" t="str">
        <v/>
      </c>
      <c r="I1296" s="11" t="str">
        <v/>
      </c>
    </row>
    <row r="1297" spans="2:9">
      <c r="B1297" s="11" t="str">
        <f t="shared" si="106"/>
        <v/>
      </c>
      <c r="C1297" s="11" t="str">
        <f t="shared" si="109"/>
        <v/>
      </c>
      <c r="D1297" s="11" t="str">
        <f t="shared" si="110"/>
        <v/>
      </c>
      <c r="E1297" s="11" t="str">
        <f t="shared" si="107"/>
        <v/>
      </c>
      <c r="F1297" s="11" t="str">
        <f t="shared" si="108"/>
        <v/>
      </c>
      <c r="G1297" s="10" t="str">
        <v/>
      </c>
      <c r="H1297" s="11" t="str">
        <v/>
      </c>
      <c r="I1297" s="11" t="str">
        <v/>
      </c>
    </row>
    <row r="1298" spans="2:9">
      <c r="B1298" s="11" t="str">
        <f t="shared" si="106"/>
        <v/>
      </c>
      <c r="C1298" s="11" t="str">
        <f t="shared" si="109"/>
        <v/>
      </c>
      <c r="D1298" s="11" t="str">
        <f t="shared" si="110"/>
        <v/>
      </c>
      <c r="E1298" s="11" t="str">
        <f t="shared" si="107"/>
        <v/>
      </c>
      <c r="F1298" s="11" t="str">
        <f t="shared" si="108"/>
        <v/>
      </c>
      <c r="G1298" s="10" t="str">
        <v/>
      </c>
      <c r="H1298" s="11" t="str">
        <v/>
      </c>
      <c r="I1298" s="11" t="str">
        <v/>
      </c>
    </row>
    <row r="1299" spans="2:9">
      <c r="B1299" s="11" t="str">
        <f t="shared" si="106"/>
        <v/>
      </c>
      <c r="C1299" s="11" t="str">
        <f t="shared" si="109"/>
        <v/>
      </c>
      <c r="D1299" s="11" t="str">
        <f t="shared" si="110"/>
        <v/>
      </c>
      <c r="E1299" s="11" t="str">
        <f t="shared" si="107"/>
        <v/>
      </c>
      <c r="F1299" s="11" t="str">
        <f t="shared" si="108"/>
        <v/>
      </c>
      <c r="G1299" s="10" t="str">
        <v/>
      </c>
      <c r="H1299" s="11" t="str">
        <v/>
      </c>
      <c r="I1299" s="11" t="str">
        <v/>
      </c>
    </row>
    <row r="1300" spans="2:9">
      <c r="B1300" s="11" t="str">
        <f t="shared" si="106"/>
        <v/>
      </c>
      <c r="C1300" s="11" t="str">
        <f t="shared" si="109"/>
        <v/>
      </c>
      <c r="D1300" s="11" t="str">
        <f t="shared" si="110"/>
        <v/>
      </c>
      <c r="E1300" s="11" t="str">
        <f t="shared" si="107"/>
        <v/>
      </c>
      <c r="F1300" s="11" t="str">
        <f t="shared" si="108"/>
        <v/>
      </c>
      <c r="G1300" s="10" t="str">
        <v/>
      </c>
      <c r="H1300" s="11" t="str">
        <v/>
      </c>
      <c r="I1300" s="11" t="str">
        <v/>
      </c>
    </row>
    <row r="1301" spans="2:9">
      <c r="B1301" s="11" t="str">
        <f t="shared" si="106"/>
        <v/>
      </c>
      <c r="C1301" s="11" t="str">
        <f t="shared" si="109"/>
        <v/>
      </c>
      <c r="D1301" s="11" t="str">
        <f t="shared" si="110"/>
        <v/>
      </c>
      <c r="E1301" s="11" t="str">
        <f t="shared" si="107"/>
        <v/>
      </c>
      <c r="F1301" s="11" t="str">
        <f t="shared" si="108"/>
        <v/>
      </c>
      <c r="G1301" s="10" t="str">
        <v/>
      </c>
      <c r="H1301" s="11" t="str">
        <v/>
      </c>
      <c r="I1301" s="11" t="str">
        <v/>
      </c>
    </row>
    <row r="1302" spans="2:9">
      <c r="B1302" s="11" t="str">
        <f t="shared" si="106"/>
        <v/>
      </c>
      <c r="C1302" s="11" t="str">
        <f t="shared" si="109"/>
        <v/>
      </c>
      <c r="D1302" s="11" t="str">
        <f t="shared" si="110"/>
        <v/>
      </c>
      <c r="E1302" s="11" t="str">
        <f t="shared" si="107"/>
        <v/>
      </c>
      <c r="F1302" s="11" t="str">
        <f t="shared" si="108"/>
        <v/>
      </c>
      <c r="G1302" s="10" t="str">
        <v/>
      </c>
      <c r="H1302" s="11" t="str">
        <v/>
      </c>
      <c r="I1302" s="11" t="str">
        <v/>
      </c>
    </row>
    <row r="1303" spans="2:9">
      <c r="B1303" s="11" t="str">
        <f t="shared" si="106"/>
        <v/>
      </c>
      <c r="C1303" s="11" t="str">
        <f t="shared" si="109"/>
        <v/>
      </c>
      <c r="D1303" s="11" t="str">
        <f t="shared" si="110"/>
        <v/>
      </c>
      <c r="E1303" s="11" t="str">
        <f t="shared" si="107"/>
        <v/>
      </c>
      <c r="F1303" s="11" t="str">
        <f t="shared" si="108"/>
        <v/>
      </c>
      <c r="G1303" s="10" t="str">
        <v/>
      </c>
      <c r="H1303" s="11" t="str">
        <v/>
      </c>
      <c r="I1303" s="11" t="str">
        <v/>
      </c>
    </row>
    <row r="1304" spans="2:9">
      <c r="B1304" s="11" t="str">
        <f t="shared" si="106"/>
        <v/>
      </c>
      <c r="C1304" s="11" t="str">
        <f t="shared" si="109"/>
        <v/>
      </c>
      <c r="D1304" s="11" t="str">
        <f t="shared" si="110"/>
        <v/>
      </c>
      <c r="E1304" s="11" t="str">
        <f t="shared" si="107"/>
        <v/>
      </c>
      <c r="F1304" s="11" t="str">
        <f t="shared" si="108"/>
        <v/>
      </c>
      <c r="G1304" s="10" t="str">
        <v/>
      </c>
      <c r="H1304" s="11" t="str">
        <v/>
      </c>
      <c r="I1304" s="11" t="str">
        <v/>
      </c>
    </row>
    <row r="1305" spans="2:9">
      <c r="B1305" s="11" t="str">
        <f t="shared" si="106"/>
        <v/>
      </c>
      <c r="C1305" s="11" t="str">
        <f t="shared" si="109"/>
        <v/>
      </c>
      <c r="D1305" s="11" t="str">
        <f t="shared" si="110"/>
        <v/>
      </c>
      <c r="E1305" s="11" t="str">
        <f t="shared" si="107"/>
        <v/>
      </c>
      <c r="F1305" s="11" t="str">
        <f t="shared" si="108"/>
        <v/>
      </c>
      <c r="G1305" s="10" t="str">
        <v/>
      </c>
      <c r="H1305" s="11" t="str">
        <v/>
      </c>
      <c r="I1305" s="11" t="str">
        <v/>
      </c>
    </row>
    <row r="1306" spans="2:9">
      <c r="B1306" s="11" t="str">
        <f t="shared" si="106"/>
        <v/>
      </c>
      <c r="C1306" s="11" t="str">
        <f t="shared" si="109"/>
        <v/>
      </c>
      <c r="D1306" s="11" t="str">
        <f t="shared" si="110"/>
        <v/>
      </c>
      <c r="E1306" s="11" t="str">
        <f t="shared" si="107"/>
        <v/>
      </c>
      <c r="F1306" s="11" t="str">
        <f t="shared" si="108"/>
        <v/>
      </c>
      <c r="G1306" s="10" t="str">
        <v/>
      </c>
      <c r="H1306" s="11" t="str">
        <v/>
      </c>
      <c r="I1306" s="11" t="str">
        <v/>
      </c>
    </row>
    <row r="1307" spans="2:9">
      <c r="B1307" s="11" t="str">
        <f t="shared" si="106"/>
        <v/>
      </c>
      <c r="C1307" s="11" t="str">
        <f t="shared" si="109"/>
        <v/>
      </c>
      <c r="D1307" s="11" t="str">
        <f t="shared" si="110"/>
        <v/>
      </c>
      <c r="E1307" s="11" t="str">
        <f t="shared" si="107"/>
        <v/>
      </c>
      <c r="F1307" s="11" t="str">
        <f t="shared" si="108"/>
        <v/>
      </c>
      <c r="G1307" s="10" t="str">
        <v/>
      </c>
      <c r="H1307" s="11" t="str">
        <v/>
      </c>
      <c r="I1307" s="11" t="str">
        <v/>
      </c>
    </row>
    <row r="1308" spans="2:9">
      <c r="B1308" s="11" t="str">
        <f t="shared" si="106"/>
        <v/>
      </c>
      <c r="C1308" s="11" t="str">
        <f t="shared" si="109"/>
        <v/>
      </c>
      <c r="D1308" s="11" t="str">
        <f t="shared" si="110"/>
        <v/>
      </c>
      <c r="E1308" s="11" t="str">
        <f t="shared" si="107"/>
        <v/>
      </c>
      <c r="F1308" s="11" t="str">
        <f t="shared" si="108"/>
        <v/>
      </c>
      <c r="G1308" s="10" t="str">
        <v/>
      </c>
      <c r="H1308" s="11" t="str">
        <v/>
      </c>
      <c r="I1308" s="11" t="str">
        <v/>
      </c>
    </row>
    <row r="1309" spans="2:9">
      <c r="B1309" s="11" t="str">
        <f t="shared" si="106"/>
        <v/>
      </c>
      <c r="C1309" s="11" t="str">
        <f t="shared" si="109"/>
        <v/>
      </c>
      <c r="D1309" s="11" t="str">
        <f t="shared" si="110"/>
        <v/>
      </c>
      <c r="E1309" s="11" t="str">
        <f t="shared" si="107"/>
        <v/>
      </c>
      <c r="F1309" s="11" t="str">
        <f t="shared" si="108"/>
        <v/>
      </c>
      <c r="G1309" s="10" t="str">
        <v/>
      </c>
      <c r="H1309" s="11" t="str">
        <v/>
      </c>
      <c r="I1309" s="11" t="str">
        <v/>
      </c>
    </row>
    <row r="1310" spans="2:9">
      <c r="B1310" s="11" t="str">
        <f t="shared" si="106"/>
        <v/>
      </c>
      <c r="C1310" s="11" t="str">
        <f t="shared" si="109"/>
        <v/>
      </c>
      <c r="D1310" s="11" t="str">
        <f t="shared" si="110"/>
        <v/>
      </c>
      <c r="E1310" s="11" t="str">
        <f t="shared" si="107"/>
        <v/>
      </c>
      <c r="F1310" s="11" t="str">
        <f t="shared" si="108"/>
        <v/>
      </c>
      <c r="G1310" s="10" t="str">
        <v/>
      </c>
      <c r="H1310" s="11" t="str">
        <v/>
      </c>
      <c r="I1310" s="11" t="str">
        <v/>
      </c>
    </row>
    <row r="1311" spans="2:9">
      <c r="B1311" s="11" t="str">
        <f t="shared" si="106"/>
        <v/>
      </c>
      <c r="C1311" s="11" t="str">
        <f t="shared" si="109"/>
        <v/>
      </c>
      <c r="D1311" s="11" t="str">
        <f t="shared" si="110"/>
        <v/>
      </c>
      <c r="E1311" s="11" t="str">
        <f t="shared" si="107"/>
        <v/>
      </c>
      <c r="F1311" s="11" t="str">
        <f t="shared" si="108"/>
        <v/>
      </c>
      <c r="G1311" s="10" t="str">
        <v/>
      </c>
      <c r="H1311" s="11" t="str">
        <v/>
      </c>
      <c r="I1311" s="11" t="str">
        <v/>
      </c>
    </row>
    <row r="1312" spans="2:9">
      <c r="B1312" s="11" t="str">
        <f t="shared" si="106"/>
        <v/>
      </c>
      <c r="C1312" s="11" t="str">
        <f t="shared" si="109"/>
        <v/>
      </c>
      <c r="D1312" s="11" t="str">
        <f t="shared" si="110"/>
        <v/>
      </c>
      <c r="E1312" s="11" t="str">
        <f t="shared" si="107"/>
        <v/>
      </c>
      <c r="F1312" s="11" t="str">
        <f t="shared" si="108"/>
        <v/>
      </c>
      <c r="G1312" s="10" t="str">
        <v/>
      </c>
      <c r="H1312" s="11" t="str">
        <v/>
      </c>
      <c r="I1312" s="11" t="str">
        <v/>
      </c>
    </row>
    <row r="1313" spans="2:9">
      <c r="B1313" s="11" t="str">
        <f t="shared" si="106"/>
        <v/>
      </c>
      <c r="C1313" s="11" t="str">
        <f t="shared" si="109"/>
        <v/>
      </c>
      <c r="D1313" s="11" t="str">
        <f t="shared" si="110"/>
        <v/>
      </c>
      <c r="E1313" s="11" t="str">
        <f t="shared" si="107"/>
        <v/>
      </c>
      <c r="F1313" s="11" t="str">
        <f t="shared" si="108"/>
        <v/>
      </c>
      <c r="G1313" s="10" t="str">
        <v/>
      </c>
      <c r="H1313" s="11" t="str">
        <v/>
      </c>
      <c r="I1313" s="11" t="str">
        <v/>
      </c>
    </row>
    <row r="1314" spans="2:9">
      <c r="B1314" s="11" t="str">
        <f t="shared" si="106"/>
        <v/>
      </c>
      <c r="C1314" s="11" t="str">
        <f t="shared" si="109"/>
        <v/>
      </c>
      <c r="D1314" s="11" t="str">
        <f t="shared" si="110"/>
        <v/>
      </c>
      <c r="E1314" s="11" t="str">
        <f t="shared" si="107"/>
        <v/>
      </c>
      <c r="F1314" s="11" t="str">
        <f t="shared" si="108"/>
        <v/>
      </c>
      <c r="G1314" s="10" t="str">
        <v/>
      </c>
      <c r="H1314" s="11" t="str">
        <v/>
      </c>
      <c r="I1314" s="11" t="str">
        <v/>
      </c>
    </row>
    <row r="1315" spans="2:9">
      <c r="B1315" s="11" t="str">
        <f t="shared" si="106"/>
        <v/>
      </c>
      <c r="C1315" s="11" t="str">
        <f t="shared" si="109"/>
        <v/>
      </c>
      <c r="D1315" s="11" t="str">
        <f t="shared" si="110"/>
        <v/>
      </c>
      <c r="E1315" s="11" t="str">
        <f t="shared" si="107"/>
        <v/>
      </c>
      <c r="F1315" s="11" t="str">
        <f t="shared" si="108"/>
        <v/>
      </c>
      <c r="G1315" s="10" t="str">
        <v/>
      </c>
      <c r="H1315" s="11" t="str">
        <v/>
      </c>
      <c r="I1315" s="11" t="str">
        <v/>
      </c>
    </row>
    <row r="1316" spans="2:9">
      <c r="B1316" s="11" t="str">
        <f t="shared" si="106"/>
        <v/>
      </c>
      <c r="C1316" s="11" t="str">
        <f t="shared" si="109"/>
        <v/>
      </c>
      <c r="D1316" s="11" t="str">
        <f t="shared" si="110"/>
        <v/>
      </c>
      <c r="E1316" s="11" t="str">
        <f t="shared" si="107"/>
        <v/>
      </c>
      <c r="F1316" s="11" t="str">
        <f t="shared" si="108"/>
        <v/>
      </c>
      <c r="G1316" s="10" t="str">
        <v/>
      </c>
      <c r="H1316" s="11" t="str">
        <v/>
      </c>
      <c r="I1316" s="11" t="str">
        <v/>
      </c>
    </row>
    <row r="1317" spans="2:9">
      <c r="B1317" s="11" t="str">
        <f t="shared" si="106"/>
        <v/>
      </c>
      <c r="C1317" s="11" t="str">
        <f t="shared" si="109"/>
        <v/>
      </c>
      <c r="D1317" s="11" t="str">
        <f t="shared" si="110"/>
        <v/>
      </c>
      <c r="E1317" s="11" t="str">
        <f t="shared" si="107"/>
        <v/>
      </c>
      <c r="F1317" s="11" t="str">
        <f t="shared" si="108"/>
        <v/>
      </c>
      <c r="G1317" s="10" t="str">
        <v/>
      </c>
      <c r="H1317" s="11" t="str">
        <v/>
      </c>
      <c r="I1317" s="11" t="str">
        <v/>
      </c>
    </row>
    <row r="1318" spans="2:9">
      <c r="B1318" s="11" t="str">
        <f t="shared" si="106"/>
        <v/>
      </c>
      <c r="C1318" s="11" t="str">
        <f t="shared" si="109"/>
        <v/>
      </c>
      <c r="D1318" s="11" t="str">
        <f t="shared" si="110"/>
        <v/>
      </c>
      <c r="E1318" s="11" t="str">
        <f t="shared" si="107"/>
        <v/>
      </c>
      <c r="F1318" s="11" t="str">
        <f t="shared" si="108"/>
        <v/>
      </c>
      <c r="G1318" s="10" t="str">
        <v/>
      </c>
      <c r="H1318" s="11" t="str">
        <v/>
      </c>
      <c r="I1318" s="11" t="str">
        <v/>
      </c>
    </row>
    <row r="1319" spans="2:9">
      <c r="B1319" s="11" t="str">
        <f t="shared" si="106"/>
        <v/>
      </c>
      <c r="C1319" s="11" t="str">
        <f t="shared" si="109"/>
        <v/>
      </c>
      <c r="D1319" s="11" t="str">
        <f t="shared" si="110"/>
        <v/>
      </c>
      <c r="E1319" s="11" t="str">
        <f t="shared" si="107"/>
        <v/>
      </c>
      <c r="F1319" s="11" t="str">
        <f t="shared" si="108"/>
        <v/>
      </c>
      <c r="G1319" s="10" t="str">
        <v/>
      </c>
      <c r="H1319" s="11" t="str">
        <v/>
      </c>
      <c r="I1319" s="11" t="str">
        <v/>
      </c>
    </row>
    <row r="1320" spans="2:9">
      <c r="B1320" s="11" t="str">
        <f t="shared" si="106"/>
        <v/>
      </c>
      <c r="C1320" s="11" t="str">
        <f t="shared" si="109"/>
        <v/>
      </c>
      <c r="D1320" s="11" t="str">
        <f t="shared" si="110"/>
        <v/>
      </c>
      <c r="E1320" s="11" t="str">
        <f t="shared" si="107"/>
        <v/>
      </c>
      <c r="F1320" s="11" t="str">
        <f t="shared" si="108"/>
        <v/>
      </c>
      <c r="G1320" s="10" t="str">
        <v/>
      </c>
      <c r="H1320" s="11" t="str">
        <v/>
      </c>
      <c r="I1320" s="11" t="str">
        <v/>
      </c>
    </row>
    <row r="1321" spans="2:9">
      <c r="B1321" s="11" t="str">
        <f t="shared" si="106"/>
        <v/>
      </c>
      <c r="C1321" s="11" t="str">
        <f t="shared" si="109"/>
        <v/>
      </c>
      <c r="D1321" s="11" t="str">
        <f t="shared" si="110"/>
        <v/>
      </c>
      <c r="E1321" s="11" t="str">
        <f t="shared" si="107"/>
        <v/>
      </c>
      <c r="F1321" s="11" t="str">
        <f t="shared" si="108"/>
        <v/>
      </c>
      <c r="G1321" s="10" t="str">
        <v/>
      </c>
      <c r="H1321" s="11" t="str">
        <v/>
      </c>
      <c r="I1321" s="11" t="str">
        <v/>
      </c>
    </row>
    <row r="1322" spans="2:9">
      <c r="B1322" s="11" t="str">
        <f t="shared" si="106"/>
        <v/>
      </c>
      <c r="C1322" s="11" t="str">
        <f t="shared" si="109"/>
        <v/>
      </c>
      <c r="D1322" s="11" t="str">
        <f t="shared" si="110"/>
        <v/>
      </c>
      <c r="E1322" s="11" t="str">
        <f t="shared" si="107"/>
        <v/>
      </c>
      <c r="F1322" s="11" t="str">
        <f t="shared" si="108"/>
        <v/>
      </c>
      <c r="G1322" s="10" t="str">
        <v/>
      </c>
      <c r="H1322" s="11" t="str">
        <v/>
      </c>
      <c r="I1322" s="11" t="str">
        <v/>
      </c>
    </row>
    <row r="1323" spans="2:9">
      <c r="B1323" s="11" t="str">
        <f t="shared" si="106"/>
        <v/>
      </c>
      <c r="C1323" s="11" t="str">
        <f t="shared" si="109"/>
        <v/>
      </c>
      <c r="D1323" s="11" t="str">
        <f t="shared" si="110"/>
        <v/>
      </c>
      <c r="E1323" s="11" t="str">
        <f t="shared" si="107"/>
        <v/>
      </c>
      <c r="F1323" s="11" t="str">
        <f t="shared" si="108"/>
        <v/>
      </c>
      <c r="G1323" s="10" t="str">
        <v/>
      </c>
      <c r="H1323" s="11" t="str">
        <v/>
      </c>
      <c r="I1323" s="11" t="str">
        <v/>
      </c>
    </row>
    <row r="1324" spans="2:9">
      <c r="B1324" s="11" t="str">
        <f t="shared" si="106"/>
        <v/>
      </c>
      <c r="C1324" s="11" t="str">
        <f t="shared" si="109"/>
        <v/>
      </c>
      <c r="D1324" s="11" t="str">
        <f t="shared" si="110"/>
        <v/>
      </c>
      <c r="E1324" s="11" t="str">
        <f t="shared" si="107"/>
        <v/>
      </c>
      <c r="F1324" s="11" t="str">
        <f t="shared" si="108"/>
        <v/>
      </c>
      <c r="G1324" s="10" t="str">
        <v/>
      </c>
      <c r="H1324" s="11" t="str">
        <v/>
      </c>
      <c r="I1324" s="11" t="str">
        <v/>
      </c>
    </row>
    <row r="1325" spans="2:9">
      <c r="B1325" s="11" t="str">
        <f t="shared" si="106"/>
        <v/>
      </c>
      <c r="C1325" s="11" t="str">
        <f t="shared" si="109"/>
        <v/>
      </c>
      <c r="D1325" s="11" t="str">
        <f t="shared" si="110"/>
        <v/>
      </c>
      <c r="E1325" s="11" t="str">
        <f t="shared" si="107"/>
        <v/>
      </c>
      <c r="F1325" s="11" t="str">
        <f t="shared" si="108"/>
        <v/>
      </c>
      <c r="G1325" s="10" t="str">
        <v/>
      </c>
      <c r="H1325" s="11" t="str">
        <v/>
      </c>
      <c r="I1325" s="11" t="str">
        <v/>
      </c>
    </row>
    <row r="1326" spans="2:9">
      <c r="B1326" s="11" t="str">
        <f t="shared" si="106"/>
        <v/>
      </c>
      <c r="C1326" s="11" t="str">
        <f t="shared" si="109"/>
        <v/>
      </c>
      <c r="D1326" s="11" t="str">
        <f t="shared" si="110"/>
        <v/>
      </c>
      <c r="E1326" s="11" t="str">
        <f t="shared" si="107"/>
        <v/>
      </c>
      <c r="F1326" s="11" t="str">
        <f t="shared" si="108"/>
        <v/>
      </c>
      <c r="G1326" s="10" t="str">
        <v/>
      </c>
      <c r="H1326" s="11" t="str">
        <v/>
      </c>
      <c r="I1326" s="11" t="str">
        <v/>
      </c>
    </row>
    <row r="1327" spans="2:9">
      <c r="B1327" s="11" t="str">
        <f t="shared" si="106"/>
        <v/>
      </c>
      <c r="C1327" s="11" t="str">
        <f t="shared" si="109"/>
        <v/>
      </c>
      <c r="D1327" s="11" t="str">
        <f t="shared" si="110"/>
        <v/>
      </c>
      <c r="E1327" s="11" t="str">
        <f t="shared" si="107"/>
        <v/>
      </c>
      <c r="F1327" s="11" t="str">
        <f t="shared" si="108"/>
        <v/>
      </c>
      <c r="G1327" s="10" t="str">
        <v/>
      </c>
      <c r="H1327" s="11" t="str">
        <v/>
      </c>
      <c r="I1327" s="11" t="str">
        <v/>
      </c>
    </row>
    <row r="1328" spans="2:9">
      <c r="B1328" s="11" t="str">
        <f t="shared" si="106"/>
        <v/>
      </c>
      <c r="C1328" s="11" t="str">
        <f t="shared" si="109"/>
        <v/>
      </c>
      <c r="D1328" s="11" t="str">
        <f t="shared" si="110"/>
        <v/>
      </c>
      <c r="E1328" s="11" t="str">
        <f t="shared" si="107"/>
        <v/>
      </c>
      <c r="F1328" s="11" t="str">
        <f t="shared" si="108"/>
        <v/>
      </c>
      <c r="G1328" s="10" t="str">
        <v/>
      </c>
      <c r="H1328" s="11" t="str">
        <v/>
      </c>
      <c r="I1328" s="11" t="str">
        <v/>
      </c>
    </row>
    <row r="1329" spans="2:9">
      <c r="B1329" s="11" t="str">
        <f t="shared" si="106"/>
        <v/>
      </c>
      <c r="C1329" s="11" t="str">
        <f t="shared" si="109"/>
        <v/>
      </c>
      <c r="D1329" s="11" t="str">
        <f t="shared" si="110"/>
        <v/>
      </c>
      <c r="E1329" s="11" t="str">
        <f t="shared" si="107"/>
        <v/>
      </c>
      <c r="F1329" s="11" t="str">
        <f t="shared" si="108"/>
        <v/>
      </c>
      <c r="G1329" s="10" t="str">
        <v/>
      </c>
      <c r="H1329" s="11" t="str">
        <v/>
      </c>
      <c r="I1329" s="11" t="str">
        <v/>
      </c>
    </row>
    <row r="1330" spans="2:9">
      <c r="B1330" s="11" t="str">
        <f t="shared" si="106"/>
        <v/>
      </c>
      <c r="C1330" s="11" t="str">
        <f t="shared" si="109"/>
        <v/>
      </c>
      <c r="D1330" s="11" t="str">
        <f t="shared" si="110"/>
        <v/>
      </c>
      <c r="E1330" s="11" t="str">
        <f t="shared" si="107"/>
        <v/>
      </c>
      <c r="F1330" s="11" t="str">
        <f t="shared" si="108"/>
        <v/>
      </c>
      <c r="G1330" s="10" t="str">
        <v/>
      </c>
      <c r="H1330" s="11" t="str">
        <v/>
      </c>
      <c r="I1330" s="11" t="str">
        <v/>
      </c>
    </row>
    <row r="1331" spans="2:9">
      <c r="B1331" s="11" t="str">
        <f t="shared" si="106"/>
        <v/>
      </c>
      <c r="C1331" s="11" t="str">
        <f t="shared" si="109"/>
        <v/>
      </c>
      <c r="D1331" s="11" t="str">
        <f t="shared" si="110"/>
        <v/>
      </c>
      <c r="E1331" s="11" t="str">
        <f t="shared" si="107"/>
        <v/>
      </c>
      <c r="F1331" s="11" t="str">
        <f t="shared" si="108"/>
        <v/>
      </c>
      <c r="G1331" s="10" t="str">
        <v/>
      </c>
      <c r="H1331" s="11" t="str">
        <v/>
      </c>
      <c r="I1331" s="11" t="str">
        <v/>
      </c>
    </row>
    <row r="1332" spans="2:9">
      <c r="B1332" s="11" t="str">
        <f t="shared" si="106"/>
        <v/>
      </c>
      <c r="C1332" s="11" t="str">
        <f t="shared" si="109"/>
        <v/>
      </c>
      <c r="D1332" s="11" t="str">
        <f t="shared" si="110"/>
        <v/>
      </c>
      <c r="E1332" s="11" t="str">
        <f t="shared" si="107"/>
        <v/>
      </c>
      <c r="F1332" s="11" t="str">
        <f t="shared" si="108"/>
        <v/>
      </c>
      <c r="G1332" s="10" t="str">
        <v/>
      </c>
      <c r="H1332" s="11" t="str">
        <v/>
      </c>
      <c r="I1332" s="11" t="str">
        <v/>
      </c>
    </row>
    <row r="1333" spans="2:9">
      <c r="B1333" s="11" t="str">
        <f t="shared" si="106"/>
        <v/>
      </c>
      <c r="C1333" s="11" t="str">
        <f t="shared" si="109"/>
        <v/>
      </c>
      <c r="D1333" s="11" t="str">
        <f t="shared" si="110"/>
        <v/>
      </c>
      <c r="E1333" s="11" t="str">
        <f t="shared" si="107"/>
        <v/>
      </c>
      <c r="F1333" s="11" t="str">
        <f t="shared" si="108"/>
        <v/>
      </c>
      <c r="G1333" s="10" t="str">
        <v/>
      </c>
      <c r="H1333" s="11" t="str">
        <v/>
      </c>
      <c r="I1333" s="11" t="str">
        <v/>
      </c>
    </row>
    <row r="1334" spans="2:9">
      <c r="B1334" s="11" t="str">
        <f t="shared" si="106"/>
        <v/>
      </c>
      <c r="C1334" s="11" t="str">
        <f t="shared" si="109"/>
        <v/>
      </c>
      <c r="D1334" s="11" t="str">
        <f t="shared" si="110"/>
        <v/>
      </c>
      <c r="E1334" s="11" t="str">
        <f t="shared" si="107"/>
        <v/>
      </c>
      <c r="F1334" s="11" t="str">
        <f t="shared" si="108"/>
        <v/>
      </c>
      <c r="G1334" s="10" t="str">
        <v/>
      </c>
      <c r="H1334" s="11" t="str">
        <v/>
      </c>
      <c r="I1334" s="11" t="str">
        <v/>
      </c>
    </row>
    <row r="1335" spans="2:9">
      <c r="B1335" s="11" t="str">
        <f t="shared" si="106"/>
        <v/>
      </c>
      <c r="C1335" s="11" t="str">
        <f t="shared" si="109"/>
        <v/>
      </c>
      <c r="D1335" s="11" t="str">
        <f t="shared" si="110"/>
        <v/>
      </c>
      <c r="E1335" s="11" t="str">
        <f t="shared" si="107"/>
        <v/>
      </c>
      <c r="F1335" s="11" t="str">
        <f t="shared" si="108"/>
        <v/>
      </c>
      <c r="G1335" s="10" t="str">
        <v/>
      </c>
      <c r="H1335" s="11" t="str">
        <v/>
      </c>
      <c r="I1335" s="11" t="str">
        <v/>
      </c>
    </row>
    <row r="1336" spans="2:9">
      <c r="B1336" s="11" t="str">
        <f t="shared" si="106"/>
        <v/>
      </c>
      <c r="C1336" s="11" t="str">
        <f t="shared" si="109"/>
        <v/>
      </c>
      <c r="D1336" s="11" t="str">
        <f t="shared" si="110"/>
        <v/>
      </c>
      <c r="E1336" s="11" t="str">
        <f t="shared" si="107"/>
        <v/>
      </c>
      <c r="F1336" s="11" t="str">
        <f t="shared" si="108"/>
        <v/>
      </c>
      <c r="G1336" s="10" t="str">
        <v/>
      </c>
      <c r="H1336" s="11" t="str">
        <v/>
      </c>
      <c r="I1336" s="11" t="str">
        <v/>
      </c>
    </row>
    <row r="1337" spans="2:9">
      <c r="B1337" s="11" t="str">
        <f t="shared" si="106"/>
        <v/>
      </c>
      <c r="C1337" s="11" t="str">
        <f t="shared" si="109"/>
        <v/>
      </c>
      <c r="D1337" s="11" t="str">
        <f t="shared" si="110"/>
        <v/>
      </c>
      <c r="E1337" s="11" t="str">
        <f t="shared" si="107"/>
        <v/>
      </c>
      <c r="F1337" s="11" t="str">
        <f t="shared" si="108"/>
        <v/>
      </c>
      <c r="G1337" s="10" t="str">
        <v/>
      </c>
      <c r="H1337" s="11" t="str">
        <v/>
      </c>
      <c r="I1337" s="11" t="str">
        <v/>
      </c>
    </row>
    <row r="1338" spans="2:9">
      <c r="B1338" s="11" t="str">
        <f t="shared" si="106"/>
        <v/>
      </c>
      <c r="C1338" s="11" t="str">
        <f t="shared" si="109"/>
        <v/>
      </c>
      <c r="D1338" s="11" t="str">
        <f t="shared" si="110"/>
        <v/>
      </c>
      <c r="E1338" s="11" t="str">
        <f t="shared" si="107"/>
        <v/>
      </c>
      <c r="F1338" s="11" t="str">
        <f t="shared" si="108"/>
        <v/>
      </c>
      <c r="G1338" s="10" t="str">
        <v/>
      </c>
      <c r="H1338" s="11" t="str">
        <v/>
      </c>
      <c r="I1338" s="11" t="str">
        <v/>
      </c>
    </row>
    <row r="1339" spans="2:9">
      <c r="B1339" s="11" t="str">
        <f t="shared" si="106"/>
        <v/>
      </c>
      <c r="C1339" s="11" t="str">
        <f t="shared" si="109"/>
        <v/>
      </c>
      <c r="D1339" s="11" t="str">
        <f t="shared" si="110"/>
        <v/>
      </c>
      <c r="E1339" s="11" t="str">
        <f t="shared" si="107"/>
        <v/>
      </c>
      <c r="F1339" s="11" t="str">
        <f t="shared" si="108"/>
        <v/>
      </c>
      <c r="G1339" s="10" t="str">
        <v/>
      </c>
      <c r="H1339" s="11" t="str">
        <v/>
      </c>
      <c r="I1339" s="11" t="str">
        <v/>
      </c>
    </row>
    <row r="1340" spans="2:9">
      <c r="B1340" s="11" t="str">
        <f t="shared" si="106"/>
        <v/>
      </c>
      <c r="C1340" s="11" t="str">
        <f t="shared" si="109"/>
        <v/>
      </c>
      <c r="D1340" s="11" t="str">
        <f t="shared" si="110"/>
        <v/>
      </c>
      <c r="E1340" s="11" t="str">
        <f t="shared" si="107"/>
        <v/>
      </c>
      <c r="F1340" s="11" t="str">
        <f t="shared" si="108"/>
        <v/>
      </c>
      <c r="G1340" s="10" t="str">
        <v/>
      </c>
      <c r="H1340" s="11" t="str">
        <v/>
      </c>
      <c r="I1340" s="11" t="str">
        <v/>
      </c>
    </row>
    <row r="1341" spans="2:9">
      <c r="B1341" s="11" t="str">
        <f t="shared" si="106"/>
        <v/>
      </c>
      <c r="C1341" s="11" t="str">
        <f t="shared" si="109"/>
        <v/>
      </c>
      <c r="D1341" s="11" t="str">
        <f t="shared" si="110"/>
        <v/>
      </c>
      <c r="E1341" s="11" t="str">
        <f t="shared" si="107"/>
        <v/>
      </c>
      <c r="F1341" s="11" t="str">
        <f t="shared" si="108"/>
        <v/>
      </c>
      <c r="G1341" s="10" t="str">
        <v/>
      </c>
      <c r="H1341" s="11" t="str">
        <v/>
      </c>
      <c r="I1341" s="11" t="str">
        <v/>
      </c>
    </row>
    <row r="1342" spans="2:9">
      <c r="B1342" s="11" t="str">
        <f t="shared" si="106"/>
        <v/>
      </c>
      <c r="C1342" s="11" t="str">
        <f t="shared" si="109"/>
        <v/>
      </c>
      <c r="D1342" s="11" t="str">
        <f t="shared" si="110"/>
        <v/>
      </c>
      <c r="E1342" s="11" t="str">
        <f t="shared" si="107"/>
        <v/>
      </c>
      <c r="F1342" s="11" t="str">
        <f t="shared" si="108"/>
        <v/>
      </c>
      <c r="G1342" s="10" t="str">
        <v/>
      </c>
      <c r="H1342" s="11" t="str">
        <v/>
      </c>
      <c r="I1342" s="11" t="str">
        <v/>
      </c>
    </row>
    <row r="1343" spans="2:9">
      <c r="B1343" s="11" t="str">
        <f t="shared" si="106"/>
        <v/>
      </c>
      <c r="C1343" s="11" t="str">
        <f t="shared" si="109"/>
        <v/>
      </c>
      <c r="D1343" s="11" t="str">
        <f t="shared" si="110"/>
        <v/>
      </c>
      <c r="E1343" s="11" t="str">
        <f t="shared" si="107"/>
        <v/>
      </c>
      <c r="F1343" s="11" t="str">
        <f t="shared" si="108"/>
        <v/>
      </c>
      <c r="G1343" s="10" t="str">
        <v/>
      </c>
      <c r="H1343" s="11" t="str">
        <v/>
      </c>
      <c r="I1343" s="11" t="str">
        <v/>
      </c>
    </row>
    <row r="1344" spans="2:9">
      <c r="B1344" s="11" t="str">
        <f t="shared" si="106"/>
        <v/>
      </c>
      <c r="C1344" s="11" t="str">
        <f t="shared" si="109"/>
        <v/>
      </c>
      <c r="D1344" s="11" t="str">
        <f t="shared" si="110"/>
        <v/>
      </c>
      <c r="E1344" s="11" t="str">
        <f t="shared" si="107"/>
        <v/>
      </c>
      <c r="F1344" s="11" t="str">
        <f t="shared" si="108"/>
        <v/>
      </c>
      <c r="G1344" s="10" t="str">
        <v/>
      </c>
      <c r="H1344" s="11" t="str">
        <v/>
      </c>
      <c r="I1344" s="11" t="str">
        <v/>
      </c>
    </row>
    <row r="1345" spans="2:9">
      <c r="B1345" s="11" t="str">
        <f t="shared" ref="B1345:B1408" si="111">IFERROR(IF(FIND(" ",A1345)=6,IF(IFERROR(FIND(" PB",A1345),"")&lt;&gt;"","артикул",IF(IFERROR(FIND(" CRN",A1345),"")&lt;&gt;"","артикул","")),""),"")</f>
        <v/>
      </c>
      <c r="C1345" s="11" t="str">
        <f t="shared" si="109"/>
        <v/>
      </c>
      <c r="D1345" s="11" t="str">
        <f t="shared" si="110"/>
        <v/>
      </c>
      <c r="E1345" s="11" t="str">
        <f t="shared" si="107"/>
        <v/>
      </c>
      <c r="F1345" s="11" t="str">
        <f t="shared" si="108"/>
        <v/>
      </c>
      <c r="G1345" s="10" t="str">
        <v/>
      </c>
      <c r="H1345" s="11" t="str">
        <v/>
      </c>
      <c r="I1345" s="11" t="str">
        <v/>
      </c>
    </row>
    <row r="1346" spans="2:9">
      <c r="B1346" s="11" t="str">
        <f t="shared" si="111"/>
        <v/>
      </c>
      <c r="C1346" s="11" t="str">
        <f t="shared" si="109"/>
        <v/>
      </c>
      <c r="D1346" s="11" t="str">
        <f t="shared" si="110"/>
        <v/>
      </c>
      <c r="E1346" s="11" t="str">
        <f t="shared" ref="E1346:E1409" si="112" xml:space="preserve">
IF(B1346="Артикул",
IF(
AND(RIGHT(A1347,1)="%",
RIGHT(A1348,1)="%",
RIGHT(A1349,1)="%",
RIGHT(A1350,1)="%"),MID(A1351,FIND(" ",A1351),50),
IF(
AND(RIGHT(A1347,1)="%",
RIGHT(A1348,1)="%",
RIGHT(A1349,1)="%"),MID(A1350,FIND(" ",A1350),50),
IF(
AND(RIGHT(A1347,1)="%",
RIGHT(A1348,1)="%"),
MID(A1349,FIND(" ",A1349),50),
IF(
RIGHT(A1347,1)="%",
MID(A1348,FIND(" ",A1348),50),"")))),"")</f>
        <v/>
      </c>
      <c r="F1346" s="11" t="str">
        <f t="shared" ref="F1346:F1409" si="113">IFERROR(
IF(
AND(LEFT(A1346,8)="Discount",FIND("%",A1346)&gt;0),
MID(A1346,
FIND(" ",A1346),
FIND("%",A1346)-FIND(" ",A1346))
*-1,""),"")</f>
        <v/>
      </c>
      <c r="G1346" s="10" t="str">
        <v/>
      </c>
      <c r="H1346" s="11" t="str">
        <v/>
      </c>
      <c r="I1346" s="11" t="str">
        <v/>
      </c>
    </row>
    <row r="1347" spans="2:9">
      <c r="B1347" s="11" t="str">
        <f t="shared" si="111"/>
        <v/>
      </c>
      <c r="C1347" s="11" t="str">
        <f t="shared" si="109"/>
        <v/>
      </c>
      <c r="D1347" s="11" t="str">
        <f t="shared" si="110"/>
        <v/>
      </c>
      <c r="E1347" s="11" t="str">
        <f t="shared" si="112"/>
        <v/>
      </c>
      <c r="F1347" s="11" t="str">
        <f t="shared" si="113"/>
        <v/>
      </c>
      <c r="G1347" s="10" t="str">
        <v/>
      </c>
      <c r="H1347" s="11" t="str">
        <v/>
      </c>
      <c r="I1347" s="11" t="str">
        <v/>
      </c>
    </row>
    <row r="1348" spans="2:9">
      <c r="B1348" s="11" t="str">
        <f t="shared" si="111"/>
        <v/>
      </c>
      <c r="C1348" s="11" t="str">
        <f t="shared" si="109"/>
        <v/>
      </c>
      <c r="D1348" s="11" t="str">
        <f t="shared" si="110"/>
        <v/>
      </c>
      <c r="E1348" s="11" t="str">
        <f t="shared" si="112"/>
        <v/>
      </c>
      <c r="F1348" s="11" t="str">
        <f t="shared" si="113"/>
        <v/>
      </c>
      <c r="G1348" s="10" t="str">
        <v/>
      </c>
      <c r="H1348" s="11" t="str">
        <v/>
      </c>
      <c r="I1348" s="11" t="str">
        <v/>
      </c>
    </row>
    <row r="1349" spans="2:9">
      <c r="B1349" s="11" t="str">
        <f t="shared" si="111"/>
        <v/>
      </c>
      <c r="C1349" s="11" t="str">
        <f t="shared" si="109"/>
        <v/>
      </c>
      <c r="D1349" s="11" t="str">
        <f t="shared" si="110"/>
        <v/>
      </c>
      <c r="E1349" s="11" t="str">
        <f t="shared" si="112"/>
        <v/>
      </c>
      <c r="F1349" s="11" t="str">
        <f t="shared" si="113"/>
        <v/>
      </c>
      <c r="G1349" s="10" t="str">
        <v/>
      </c>
      <c r="H1349" s="11" t="str">
        <v/>
      </c>
      <c r="I1349" s="11" t="str">
        <v/>
      </c>
    </row>
    <row r="1350" spans="2:9">
      <c r="B1350" s="11" t="str">
        <f t="shared" si="111"/>
        <v/>
      </c>
      <c r="C1350" s="11" t="str">
        <f t="shared" si="109"/>
        <v/>
      </c>
      <c r="D1350" s="11" t="str">
        <f t="shared" si="110"/>
        <v/>
      </c>
      <c r="E1350" s="11" t="str">
        <f t="shared" si="112"/>
        <v/>
      </c>
      <c r="F1350" s="11" t="str">
        <f t="shared" si="113"/>
        <v/>
      </c>
      <c r="G1350" s="10" t="str">
        <v/>
      </c>
      <c r="H1350" s="11" t="str">
        <v/>
      </c>
      <c r="I1350" s="11" t="str">
        <v/>
      </c>
    </row>
    <row r="1351" spans="2:9">
      <c r="B1351" s="11" t="str">
        <f t="shared" si="111"/>
        <v/>
      </c>
      <c r="C1351" s="11" t="str">
        <f t="shared" si="109"/>
        <v/>
      </c>
      <c r="D1351" s="11" t="str">
        <f t="shared" si="110"/>
        <v/>
      </c>
      <c r="E1351" s="11" t="str">
        <f t="shared" si="112"/>
        <v/>
      </c>
      <c r="F1351" s="11" t="str">
        <f t="shared" si="113"/>
        <v/>
      </c>
      <c r="G1351" s="10" t="str">
        <v/>
      </c>
      <c r="H1351" s="11" t="str">
        <v/>
      </c>
      <c r="I1351" s="11" t="str">
        <v/>
      </c>
    </row>
    <row r="1352" spans="2:9">
      <c r="B1352" s="11" t="str">
        <f t="shared" si="111"/>
        <v/>
      </c>
      <c r="C1352" s="11" t="str">
        <f t="shared" si="109"/>
        <v/>
      </c>
      <c r="D1352" s="11" t="str">
        <f t="shared" si="110"/>
        <v/>
      </c>
      <c r="E1352" s="11" t="str">
        <f t="shared" si="112"/>
        <v/>
      </c>
      <c r="F1352" s="11" t="str">
        <f t="shared" si="113"/>
        <v/>
      </c>
      <c r="G1352" s="10" t="str">
        <v/>
      </c>
      <c r="H1352" s="11" t="str">
        <v/>
      </c>
      <c r="I1352" s="11" t="str">
        <v/>
      </c>
    </row>
    <row r="1353" spans="2:9">
      <c r="B1353" s="11" t="str">
        <f t="shared" si="111"/>
        <v/>
      </c>
      <c r="C1353" s="11" t="str">
        <f t="shared" si="109"/>
        <v/>
      </c>
      <c r="D1353" s="11" t="str">
        <f t="shared" si="110"/>
        <v/>
      </c>
      <c r="E1353" s="11" t="str">
        <f t="shared" si="112"/>
        <v/>
      </c>
      <c r="F1353" s="11" t="str">
        <f t="shared" si="113"/>
        <v/>
      </c>
      <c r="G1353" s="10" t="str">
        <v/>
      </c>
      <c r="H1353" s="11" t="str">
        <v/>
      </c>
      <c r="I1353" s="11" t="str">
        <v/>
      </c>
    </row>
    <row r="1354" spans="2:9">
      <c r="B1354" s="11" t="str">
        <f t="shared" si="111"/>
        <v/>
      </c>
      <c r="C1354" s="11" t="str">
        <f t="shared" si="109"/>
        <v/>
      </c>
      <c r="D1354" s="11" t="str">
        <f t="shared" si="110"/>
        <v/>
      </c>
      <c r="E1354" s="11" t="str">
        <f t="shared" si="112"/>
        <v/>
      </c>
      <c r="F1354" s="11" t="str">
        <f t="shared" si="113"/>
        <v/>
      </c>
      <c r="G1354" s="10" t="str">
        <v/>
      </c>
      <c r="H1354" s="11" t="str">
        <v/>
      </c>
      <c r="I1354" s="11" t="str">
        <v/>
      </c>
    </row>
    <row r="1355" spans="2:9">
      <c r="B1355" s="11" t="str">
        <f t="shared" si="111"/>
        <v/>
      </c>
      <c r="C1355" s="11" t="str">
        <f t="shared" si="109"/>
        <v/>
      </c>
      <c r="D1355" s="11" t="str">
        <f t="shared" si="110"/>
        <v/>
      </c>
      <c r="E1355" s="11" t="str">
        <f t="shared" si="112"/>
        <v/>
      </c>
      <c r="F1355" s="11" t="str">
        <f t="shared" si="113"/>
        <v/>
      </c>
      <c r="G1355" s="10" t="str">
        <v/>
      </c>
      <c r="H1355" s="11" t="str">
        <v/>
      </c>
      <c r="I1355" s="11" t="str">
        <v/>
      </c>
    </row>
    <row r="1356" spans="2:9">
      <c r="B1356" s="11" t="str">
        <f t="shared" si="111"/>
        <v/>
      </c>
      <c r="C1356" s="11" t="str">
        <f t="shared" si="109"/>
        <v/>
      </c>
      <c r="D1356" s="11" t="str">
        <f t="shared" si="110"/>
        <v/>
      </c>
      <c r="E1356" s="11" t="str">
        <f t="shared" si="112"/>
        <v/>
      </c>
      <c r="F1356" s="11" t="str">
        <f t="shared" si="113"/>
        <v/>
      </c>
      <c r="G1356" s="10" t="str">
        <v/>
      </c>
      <c r="H1356" s="11" t="str">
        <v/>
      </c>
      <c r="I1356" s="11" t="str">
        <v/>
      </c>
    </row>
    <row r="1357" spans="2:9">
      <c r="B1357" s="11" t="str">
        <f t="shared" si="111"/>
        <v/>
      </c>
      <c r="C1357" s="11" t="str">
        <f t="shared" ref="C1357:C1420" si="114">IF(B1357="артикул",A1357,"")</f>
        <v/>
      </c>
      <c r="D1357" s="11" t="str">
        <f t="shared" ref="D1357:D1420" si="115">IF(B1357="артикул",A1358,"")</f>
        <v/>
      </c>
      <c r="E1357" s="11" t="str">
        <f t="shared" si="112"/>
        <v/>
      </c>
      <c r="F1357" s="11" t="str">
        <f t="shared" si="113"/>
        <v/>
      </c>
      <c r="G1357" s="10" t="str">
        <v/>
      </c>
      <c r="H1357" s="11" t="str">
        <v/>
      </c>
      <c r="I1357" s="11" t="str">
        <v/>
      </c>
    </row>
    <row r="1358" spans="2:9">
      <c r="B1358" s="11" t="str">
        <f t="shared" si="111"/>
        <v/>
      </c>
      <c r="C1358" s="11" t="str">
        <f t="shared" si="114"/>
        <v/>
      </c>
      <c r="D1358" s="11" t="str">
        <f t="shared" si="115"/>
        <v/>
      </c>
      <c r="E1358" s="11" t="str">
        <f t="shared" si="112"/>
        <v/>
      </c>
      <c r="F1358" s="11" t="str">
        <f t="shared" si="113"/>
        <v/>
      </c>
      <c r="G1358" s="10" t="str">
        <v/>
      </c>
      <c r="H1358" s="11" t="str">
        <v/>
      </c>
      <c r="I1358" s="11" t="str">
        <v/>
      </c>
    </row>
    <row r="1359" spans="2:9">
      <c r="B1359" s="11" t="str">
        <f t="shared" si="111"/>
        <v/>
      </c>
      <c r="C1359" s="11" t="str">
        <f t="shared" si="114"/>
        <v/>
      </c>
      <c r="D1359" s="11" t="str">
        <f t="shared" si="115"/>
        <v/>
      </c>
      <c r="E1359" s="11" t="str">
        <f t="shared" si="112"/>
        <v/>
      </c>
      <c r="F1359" s="11" t="str">
        <f t="shared" si="113"/>
        <v/>
      </c>
      <c r="G1359" s="10" t="str">
        <v/>
      </c>
      <c r="H1359" s="11" t="str">
        <v/>
      </c>
      <c r="I1359" s="11" t="str">
        <v/>
      </c>
    </row>
    <row r="1360" spans="2:9">
      <c r="B1360" s="11" t="str">
        <f t="shared" si="111"/>
        <v/>
      </c>
      <c r="C1360" s="11" t="str">
        <f t="shared" si="114"/>
        <v/>
      </c>
      <c r="D1360" s="11" t="str">
        <f t="shared" si="115"/>
        <v/>
      </c>
      <c r="E1360" s="11" t="str">
        <f t="shared" si="112"/>
        <v/>
      </c>
      <c r="F1360" s="11" t="str">
        <f t="shared" si="113"/>
        <v/>
      </c>
      <c r="G1360" s="10" t="str">
        <v/>
      </c>
      <c r="H1360" s="11" t="str">
        <v/>
      </c>
      <c r="I1360" s="11" t="str">
        <v/>
      </c>
    </row>
    <row r="1361" spans="2:9">
      <c r="B1361" s="11" t="str">
        <f t="shared" si="111"/>
        <v/>
      </c>
      <c r="C1361" s="11" t="str">
        <f t="shared" si="114"/>
        <v/>
      </c>
      <c r="D1361" s="11" t="str">
        <f t="shared" si="115"/>
        <v/>
      </c>
      <c r="E1361" s="11" t="str">
        <f t="shared" si="112"/>
        <v/>
      </c>
      <c r="F1361" s="11" t="str">
        <f t="shared" si="113"/>
        <v/>
      </c>
      <c r="G1361" s="10" t="str">
        <v/>
      </c>
      <c r="H1361" s="11" t="str">
        <v/>
      </c>
      <c r="I1361" s="11" t="str">
        <v/>
      </c>
    </row>
    <row r="1362" spans="2:9">
      <c r="B1362" s="11" t="str">
        <f t="shared" si="111"/>
        <v/>
      </c>
      <c r="C1362" s="11" t="str">
        <f t="shared" si="114"/>
        <v/>
      </c>
      <c r="D1362" s="11" t="str">
        <f t="shared" si="115"/>
        <v/>
      </c>
      <c r="E1362" s="11" t="str">
        <f t="shared" si="112"/>
        <v/>
      </c>
      <c r="F1362" s="11" t="str">
        <f t="shared" si="113"/>
        <v/>
      </c>
      <c r="G1362" s="10" t="str">
        <v/>
      </c>
      <c r="H1362" s="11" t="str">
        <v/>
      </c>
      <c r="I1362" s="11" t="str">
        <v/>
      </c>
    </row>
    <row r="1363" spans="2:9">
      <c r="B1363" s="11" t="str">
        <f t="shared" si="111"/>
        <v/>
      </c>
      <c r="C1363" s="11" t="str">
        <f t="shared" si="114"/>
        <v/>
      </c>
      <c r="D1363" s="11" t="str">
        <f t="shared" si="115"/>
        <v/>
      </c>
      <c r="E1363" s="11" t="str">
        <f t="shared" si="112"/>
        <v/>
      </c>
      <c r="F1363" s="11" t="str">
        <f t="shared" si="113"/>
        <v/>
      </c>
      <c r="G1363" s="10" t="str">
        <v/>
      </c>
      <c r="H1363" s="11" t="str">
        <v/>
      </c>
      <c r="I1363" s="11" t="str">
        <v/>
      </c>
    </row>
    <row r="1364" spans="2:9">
      <c r="B1364" s="11" t="str">
        <f t="shared" si="111"/>
        <v/>
      </c>
      <c r="C1364" s="11" t="str">
        <f t="shared" si="114"/>
        <v/>
      </c>
      <c r="D1364" s="11" t="str">
        <f t="shared" si="115"/>
        <v/>
      </c>
      <c r="E1364" s="11" t="str">
        <f t="shared" si="112"/>
        <v/>
      </c>
      <c r="F1364" s="11" t="str">
        <f t="shared" si="113"/>
        <v/>
      </c>
      <c r="G1364" s="10" t="str">
        <v/>
      </c>
      <c r="H1364" s="11" t="str">
        <v/>
      </c>
      <c r="I1364" s="11" t="str">
        <v/>
      </c>
    </row>
    <row r="1365" spans="2:9">
      <c r="B1365" s="11" t="str">
        <f t="shared" si="111"/>
        <v/>
      </c>
      <c r="C1365" s="11" t="str">
        <f t="shared" si="114"/>
        <v/>
      </c>
      <c r="D1365" s="11" t="str">
        <f t="shared" si="115"/>
        <v/>
      </c>
      <c r="E1365" s="11" t="str">
        <f t="shared" si="112"/>
        <v/>
      </c>
      <c r="F1365" s="11" t="str">
        <f t="shared" si="113"/>
        <v/>
      </c>
      <c r="G1365" s="10" t="str">
        <v/>
      </c>
      <c r="H1365" s="11" t="str">
        <v/>
      </c>
      <c r="I1365" s="11" t="str">
        <v/>
      </c>
    </row>
    <row r="1366" spans="2:9">
      <c r="B1366" s="11" t="str">
        <f t="shared" si="111"/>
        <v/>
      </c>
      <c r="C1366" s="11" t="str">
        <f t="shared" si="114"/>
        <v/>
      </c>
      <c r="D1366" s="11" t="str">
        <f t="shared" si="115"/>
        <v/>
      </c>
      <c r="E1366" s="11" t="str">
        <f t="shared" si="112"/>
        <v/>
      </c>
      <c r="F1366" s="11" t="str">
        <f t="shared" si="113"/>
        <v/>
      </c>
      <c r="G1366" s="10" t="str">
        <v/>
      </c>
      <c r="H1366" s="11" t="str">
        <v/>
      </c>
      <c r="I1366" s="11" t="str">
        <v/>
      </c>
    </row>
    <row r="1367" spans="2:9">
      <c r="B1367" s="11" t="str">
        <f t="shared" si="111"/>
        <v/>
      </c>
      <c r="C1367" s="11" t="str">
        <f t="shared" si="114"/>
        <v/>
      </c>
      <c r="D1367" s="11" t="str">
        <f t="shared" si="115"/>
        <v/>
      </c>
      <c r="E1367" s="11" t="str">
        <f t="shared" si="112"/>
        <v/>
      </c>
      <c r="F1367" s="11" t="str">
        <f t="shared" si="113"/>
        <v/>
      </c>
      <c r="G1367" s="10" t="str">
        <v/>
      </c>
      <c r="H1367" s="11" t="str">
        <v/>
      </c>
      <c r="I1367" s="11" t="str">
        <v/>
      </c>
    </row>
    <row r="1368" spans="2:9">
      <c r="B1368" s="11" t="str">
        <f t="shared" si="111"/>
        <v/>
      </c>
      <c r="C1368" s="11" t="str">
        <f t="shared" si="114"/>
        <v/>
      </c>
      <c r="D1368" s="11" t="str">
        <f t="shared" si="115"/>
        <v/>
      </c>
      <c r="E1368" s="11" t="str">
        <f t="shared" si="112"/>
        <v/>
      </c>
      <c r="F1368" s="11" t="str">
        <f t="shared" si="113"/>
        <v/>
      </c>
      <c r="G1368" s="10" t="str">
        <v/>
      </c>
      <c r="H1368" s="11" t="str">
        <v/>
      </c>
      <c r="I1368" s="11" t="str">
        <v/>
      </c>
    </row>
    <row r="1369" spans="2:9">
      <c r="B1369" s="11" t="str">
        <f t="shared" si="111"/>
        <v/>
      </c>
      <c r="C1369" s="11" t="str">
        <f t="shared" si="114"/>
        <v/>
      </c>
      <c r="D1369" s="11" t="str">
        <f t="shared" si="115"/>
        <v/>
      </c>
      <c r="E1369" s="11" t="str">
        <f t="shared" si="112"/>
        <v/>
      </c>
      <c r="F1369" s="11" t="str">
        <f t="shared" si="113"/>
        <v/>
      </c>
      <c r="G1369" s="10" t="str">
        <v/>
      </c>
      <c r="H1369" s="11" t="str">
        <v/>
      </c>
      <c r="I1369" s="11" t="str">
        <v/>
      </c>
    </row>
    <row r="1370" spans="2:9">
      <c r="B1370" s="11" t="str">
        <f t="shared" si="111"/>
        <v/>
      </c>
      <c r="C1370" s="11" t="str">
        <f t="shared" si="114"/>
        <v/>
      </c>
      <c r="D1370" s="11" t="str">
        <f t="shared" si="115"/>
        <v/>
      </c>
      <c r="E1370" s="11" t="str">
        <f t="shared" si="112"/>
        <v/>
      </c>
      <c r="F1370" s="11" t="str">
        <f t="shared" si="113"/>
        <v/>
      </c>
      <c r="G1370" s="10" t="str">
        <v/>
      </c>
      <c r="H1370" s="11" t="str">
        <v/>
      </c>
      <c r="I1370" s="11" t="str">
        <v/>
      </c>
    </row>
    <row r="1371" spans="2:9">
      <c r="B1371" s="11" t="str">
        <f t="shared" si="111"/>
        <v/>
      </c>
      <c r="C1371" s="11" t="str">
        <f t="shared" si="114"/>
        <v/>
      </c>
      <c r="D1371" s="11" t="str">
        <f t="shared" si="115"/>
        <v/>
      </c>
      <c r="E1371" s="11" t="str">
        <f t="shared" si="112"/>
        <v/>
      </c>
      <c r="F1371" s="11" t="str">
        <f t="shared" si="113"/>
        <v/>
      </c>
      <c r="G1371" s="10" t="str">
        <v/>
      </c>
      <c r="H1371" s="11" t="str">
        <v/>
      </c>
      <c r="I1371" s="11" t="str">
        <v/>
      </c>
    </row>
    <row r="1372" spans="2:9">
      <c r="B1372" s="11" t="str">
        <f t="shared" si="111"/>
        <v/>
      </c>
      <c r="C1372" s="11" t="str">
        <f t="shared" si="114"/>
        <v/>
      </c>
      <c r="D1372" s="11" t="str">
        <f t="shared" si="115"/>
        <v/>
      </c>
      <c r="E1372" s="11" t="str">
        <f t="shared" si="112"/>
        <v/>
      </c>
      <c r="F1372" s="11" t="str">
        <f t="shared" si="113"/>
        <v/>
      </c>
      <c r="G1372" s="10" t="str">
        <v/>
      </c>
      <c r="H1372" s="11" t="str">
        <v/>
      </c>
      <c r="I1372" s="11" t="str">
        <v/>
      </c>
    </row>
    <row r="1373" spans="2:9">
      <c r="B1373" s="11" t="str">
        <f t="shared" si="111"/>
        <v/>
      </c>
      <c r="C1373" s="11" t="str">
        <f t="shared" si="114"/>
        <v/>
      </c>
      <c r="D1373" s="11" t="str">
        <f t="shared" si="115"/>
        <v/>
      </c>
      <c r="E1373" s="11" t="str">
        <f t="shared" si="112"/>
        <v/>
      </c>
      <c r="F1373" s="11" t="str">
        <f t="shared" si="113"/>
        <v/>
      </c>
      <c r="G1373" s="10" t="str">
        <v/>
      </c>
      <c r="H1373" s="11" t="str">
        <v/>
      </c>
      <c r="I1373" s="11" t="str">
        <v/>
      </c>
    </row>
    <row r="1374" spans="2:9">
      <c r="B1374" s="11" t="str">
        <f t="shared" si="111"/>
        <v/>
      </c>
      <c r="C1374" s="11" t="str">
        <f t="shared" si="114"/>
        <v/>
      </c>
      <c r="D1374" s="11" t="str">
        <f t="shared" si="115"/>
        <v/>
      </c>
      <c r="E1374" s="11" t="str">
        <f t="shared" si="112"/>
        <v/>
      </c>
      <c r="F1374" s="11" t="str">
        <f t="shared" si="113"/>
        <v/>
      </c>
      <c r="G1374" s="10" t="str">
        <v/>
      </c>
      <c r="H1374" s="11" t="str">
        <v/>
      </c>
      <c r="I1374" s="11" t="str">
        <v/>
      </c>
    </row>
    <row r="1375" spans="2:9">
      <c r="B1375" s="11" t="str">
        <f t="shared" si="111"/>
        <v/>
      </c>
      <c r="C1375" s="11" t="str">
        <f t="shared" si="114"/>
        <v/>
      </c>
      <c r="D1375" s="11" t="str">
        <f t="shared" si="115"/>
        <v/>
      </c>
      <c r="E1375" s="11" t="str">
        <f t="shared" si="112"/>
        <v/>
      </c>
      <c r="F1375" s="11" t="str">
        <f t="shared" si="113"/>
        <v/>
      </c>
      <c r="G1375" s="10" t="str">
        <v/>
      </c>
      <c r="H1375" s="11" t="str">
        <v/>
      </c>
      <c r="I1375" s="11" t="str">
        <v/>
      </c>
    </row>
    <row r="1376" spans="2:9">
      <c r="B1376" s="11" t="str">
        <f t="shared" si="111"/>
        <v/>
      </c>
      <c r="C1376" s="11" t="str">
        <f t="shared" si="114"/>
        <v/>
      </c>
      <c r="D1376" s="11" t="str">
        <f t="shared" si="115"/>
        <v/>
      </c>
      <c r="E1376" s="11" t="str">
        <f t="shared" si="112"/>
        <v/>
      </c>
      <c r="F1376" s="11" t="str">
        <f t="shared" si="113"/>
        <v/>
      </c>
      <c r="G1376" s="10" t="str">
        <v/>
      </c>
      <c r="H1376" s="11" t="str">
        <v/>
      </c>
      <c r="I1376" s="11" t="str">
        <v/>
      </c>
    </row>
    <row r="1377" spans="2:9">
      <c r="B1377" s="11" t="str">
        <f t="shared" si="111"/>
        <v/>
      </c>
      <c r="C1377" s="11" t="str">
        <f t="shared" si="114"/>
        <v/>
      </c>
      <c r="D1377" s="11" t="str">
        <f t="shared" si="115"/>
        <v/>
      </c>
      <c r="E1377" s="11" t="str">
        <f t="shared" si="112"/>
        <v/>
      </c>
      <c r="F1377" s="11" t="str">
        <f t="shared" si="113"/>
        <v/>
      </c>
      <c r="G1377" s="10" t="str">
        <v/>
      </c>
      <c r="H1377" s="11" t="str">
        <v/>
      </c>
      <c r="I1377" s="11" t="str">
        <v/>
      </c>
    </row>
    <row r="1378" spans="2:9">
      <c r="B1378" s="11" t="str">
        <f t="shared" si="111"/>
        <v/>
      </c>
      <c r="C1378" s="11" t="str">
        <f t="shared" si="114"/>
        <v/>
      </c>
      <c r="D1378" s="11" t="str">
        <f t="shared" si="115"/>
        <v/>
      </c>
      <c r="E1378" s="11" t="str">
        <f t="shared" si="112"/>
        <v/>
      </c>
      <c r="F1378" s="11" t="str">
        <f t="shared" si="113"/>
        <v/>
      </c>
      <c r="G1378" s="10" t="str">
        <v/>
      </c>
      <c r="H1378" s="11" t="str">
        <v/>
      </c>
      <c r="I1378" s="11" t="str">
        <v/>
      </c>
    </row>
    <row r="1379" spans="2:9">
      <c r="B1379" s="11" t="str">
        <f t="shared" si="111"/>
        <v/>
      </c>
      <c r="C1379" s="11" t="str">
        <f t="shared" si="114"/>
        <v/>
      </c>
      <c r="D1379" s="11" t="str">
        <f t="shared" si="115"/>
        <v/>
      </c>
      <c r="E1379" s="11" t="str">
        <f t="shared" si="112"/>
        <v/>
      </c>
      <c r="F1379" s="11" t="str">
        <f t="shared" si="113"/>
        <v/>
      </c>
      <c r="G1379" s="10" t="str">
        <v/>
      </c>
      <c r="H1379" s="11" t="str">
        <v/>
      </c>
      <c r="I1379" s="11" t="str">
        <v/>
      </c>
    </row>
    <row r="1380" spans="2:9">
      <c r="B1380" s="11" t="str">
        <f t="shared" si="111"/>
        <v/>
      </c>
      <c r="C1380" s="11" t="str">
        <f t="shared" si="114"/>
        <v/>
      </c>
      <c r="D1380" s="11" t="str">
        <f t="shared" si="115"/>
        <v/>
      </c>
      <c r="E1380" s="11" t="str">
        <f t="shared" si="112"/>
        <v/>
      </c>
      <c r="F1380" s="11" t="str">
        <f t="shared" si="113"/>
        <v/>
      </c>
      <c r="G1380" s="10" t="str">
        <v/>
      </c>
      <c r="H1380" s="11" t="str">
        <v/>
      </c>
      <c r="I1380" s="11" t="str">
        <v/>
      </c>
    </row>
    <row r="1381" spans="2:9">
      <c r="B1381" s="11" t="str">
        <f t="shared" si="111"/>
        <v/>
      </c>
      <c r="C1381" s="11" t="str">
        <f t="shared" si="114"/>
        <v/>
      </c>
      <c r="D1381" s="11" t="str">
        <f t="shared" si="115"/>
        <v/>
      </c>
      <c r="E1381" s="11" t="str">
        <f t="shared" si="112"/>
        <v/>
      </c>
      <c r="F1381" s="11" t="str">
        <f t="shared" si="113"/>
        <v/>
      </c>
      <c r="G1381" s="10" t="str">
        <v/>
      </c>
      <c r="H1381" s="11" t="str">
        <v/>
      </c>
      <c r="I1381" s="11" t="str">
        <v/>
      </c>
    </row>
    <row r="1382" spans="2:9">
      <c r="B1382" s="11" t="str">
        <f t="shared" si="111"/>
        <v/>
      </c>
      <c r="C1382" s="11" t="str">
        <f t="shared" si="114"/>
        <v/>
      </c>
      <c r="D1382" s="11" t="str">
        <f t="shared" si="115"/>
        <v/>
      </c>
      <c r="E1382" s="11" t="str">
        <f t="shared" si="112"/>
        <v/>
      </c>
      <c r="F1382" s="11" t="str">
        <f t="shared" si="113"/>
        <v/>
      </c>
      <c r="G1382" s="10" t="str">
        <v/>
      </c>
      <c r="H1382" s="11" t="str">
        <v/>
      </c>
      <c r="I1382" s="11" t="str">
        <v/>
      </c>
    </row>
    <row r="1383" spans="2:9">
      <c r="B1383" s="11" t="str">
        <f t="shared" si="111"/>
        <v/>
      </c>
      <c r="C1383" s="11" t="str">
        <f t="shared" si="114"/>
        <v/>
      </c>
      <c r="D1383" s="11" t="str">
        <f t="shared" si="115"/>
        <v/>
      </c>
      <c r="E1383" s="11" t="str">
        <f t="shared" si="112"/>
        <v/>
      </c>
      <c r="F1383" s="11" t="str">
        <f t="shared" si="113"/>
        <v/>
      </c>
      <c r="G1383" s="10" t="str">
        <v/>
      </c>
      <c r="H1383" s="11" t="str">
        <v/>
      </c>
      <c r="I1383" s="11" t="str">
        <v/>
      </c>
    </row>
    <row r="1384" spans="2:9">
      <c r="B1384" s="11" t="str">
        <f t="shared" si="111"/>
        <v/>
      </c>
      <c r="C1384" s="11" t="str">
        <f t="shared" si="114"/>
        <v/>
      </c>
      <c r="D1384" s="11" t="str">
        <f t="shared" si="115"/>
        <v/>
      </c>
      <c r="E1384" s="11" t="str">
        <f t="shared" si="112"/>
        <v/>
      </c>
      <c r="F1384" s="11" t="str">
        <f t="shared" si="113"/>
        <v/>
      </c>
      <c r="G1384" s="10" t="str">
        <v/>
      </c>
      <c r="H1384" s="11" t="str">
        <v/>
      </c>
      <c r="I1384" s="11" t="str">
        <v/>
      </c>
    </row>
    <row r="1385" spans="2:9">
      <c r="B1385" s="11" t="str">
        <f t="shared" si="111"/>
        <v/>
      </c>
      <c r="C1385" s="11" t="str">
        <f t="shared" si="114"/>
        <v/>
      </c>
      <c r="D1385" s="11" t="str">
        <f t="shared" si="115"/>
        <v/>
      </c>
      <c r="E1385" s="11" t="str">
        <f t="shared" si="112"/>
        <v/>
      </c>
      <c r="F1385" s="11" t="str">
        <f t="shared" si="113"/>
        <v/>
      </c>
      <c r="G1385" s="10" t="str">
        <v/>
      </c>
      <c r="H1385" s="11" t="str">
        <v/>
      </c>
      <c r="I1385" s="11" t="str">
        <v/>
      </c>
    </row>
    <row r="1386" spans="2:9">
      <c r="B1386" s="11" t="str">
        <f t="shared" si="111"/>
        <v/>
      </c>
      <c r="C1386" s="11" t="str">
        <f t="shared" si="114"/>
        <v/>
      </c>
      <c r="D1386" s="11" t="str">
        <f t="shared" si="115"/>
        <v/>
      </c>
      <c r="E1386" s="11" t="str">
        <f t="shared" si="112"/>
        <v/>
      </c>
      <c r="F1386" s="11" t="str">
        <f t="shared" si="113"/>
        <v/>
      </c>
      <c r="G1386" s="10" t="str">
        <v/>
      </c>
      <c r="H1386" s="11" t="str">
        <v/>
      </c>
      <c r="I1386" s="11" t="str">
        <v/>
      </c>
    </row>
    <row r="1387" spans="2:9">
      <c r="B1387" s="11" t="str">
        <f t="shared" si="111"/>
        <v/>
      </c>
      <c r="C1387" s="11" t="str">
        <f t="shared" si="114"/>
        <v/>
      </c>
      <c r="D1387" s="11" t="str">
        <f t="shared" si="115"/>
        <v/>
      </c>
      <c r="E1387" s="11" t="str">
        <f t="shared" si="112"/>
        <v/>
      </c>
      <c r="F1387" s="11" t="str">
        <f t="shared" si="113"/>
        <v/>
      </c>
      <c r="G1387" s="10" t="str">
        <v/>
      </c>
      <c r="H1387" s="11" t="str">
        <v/>
      </c>
      <c r="I1387" s="11" t="str">
        <v/>
      </c>
    </row>
    <row r="1388" spans="2:9">
      <c r="B1388" s="11" t="str">
        <f t="shared" si="111"/>
        <v/>
      </c>
      <c r="C1388" s="11" t="str">
        <f t="shared" si="114"/>
        <v/>
      </c>
      <c r="D1388" s="11" t="str">
        <f t="shared" si="115"/>
        <v/>
      </c>
      <c r="E1388" s="11" t="str">
        <f t="shared" si="112"/>
        <v/>
      </c>
      <c r="F1388" s="11" t="str">
        <f t="shared" si="113"/>
        <v/>
      </c>
      <c r="G1388" s="10" t="str">
        <v/>
      </c>
      <c r="H1388" s="11" t="str">
        <v/>
      </c>
      <c r="I1388" s="11" t="str">
        <v/>
      </c>
    </row>
    <row r="1389" spans="2:9">
      <c r="B1389" s="11" t="str">
        <f t="shared" si="111"/>
        <v/>
      </c>
      <c r="C1389" s="11" t="str">
        <f t="shared" si="114"/>
        <v/>
      </c>
      <c r="D1389" s="11" t="str">
        <f t="shared" si="115"/>
        <v/>
      </c>
      <c r="E1389" s="11" t="str">
        <f t="shared" si="112"/>
        <v/>
      </c>
      <c r="F1389" s="11" t="str">
        <f t="shared" si="113"/>
        <v/>
      </c>
      <c r="G1389" s="10" t="str">
        <v/>
      </c>
      <c r="H1389" s="11" t="str">
        <v/>
      </c>
      <c r="I1389" s="11" t="str">
        <v/>
      </c>
    </row>
    <row r="1390" spans="2:9">
      <c r="B1390" s="11" t="str">
        <f t="shared" si="111"/>
        <v/>
      </c>
      <c r="C1390" s="11" t="str">
        <f t="shared" si="114"/>
        <v/>
      </c>
      <c r="D1390" s="11" t="str">
        <f t="shared" si="115"/>
        <v/>
      </c>
      <c r="E1390" s="11" t="str">
        <f t="shared" si="112"/>
        <v/>
      </c>
      <c r="F1390" s="11" t="str">
        <f t="shared" si="113"/>
        <v/>
      </c>
      <c r="G1390" s="10" t="str">
        <v/>
      </c>
      <c r="H1390" s="11" t="str">
        <v/>
      </c>
      <c r="I1390" s="11" t="str">
        <v/>
      </c>
    </row>
    <row r="1391" spans="2:9">
      <c r="B1391" s="11" t="str">
        <f t="shared" si="111"/>
        <v/>
      </c>
      <c r="C1391" s="11" t="str">
        <f t="shared" si="114"/>
        <v/>
      </c>
      <c r="D1391" s="11" t="str">
        <f t="shared" si="115"/>
        <v/>
      </c>
      <c r="E1391" s="11" t="str">
        <f t="shared" si="112"/>
        <v/>
      </c>
      <c r="F1391" s="11" t="str">
        <f t="shared" si="113"/>
        <v/>
      </c>
      <c r="G1391" s="10" t="str">
        <v/>
      </c>
      <c r="H1391" s="11" t="str">
        <v/>
      </c>
      <c r="I1391" s="11" t="str">
        <v/>
      </c>
    </row>
    <row r="1392" spans="2:9">
      <c r="B1392" s="11" t="str">
        <f t="shared" si="111"/>
        <v/>
      </c>
      <c r="C1392" s="11" t="str">
        <f t="shared" si="114"/>
        <v/>
      </c>
      <c r="D1392" s="11" t="str">
        <f t="shared" si="115"/>
        <v/>
      </c>
      <c r="E1392" s="11" t="str">
        <f t="shared" si="112"/>
        <v/>
      </c>
      <c r="F1392" s="11" t="str">
        <f t="shared" si="113"/>
        <v/>
      </c>
      <c r="G1392" s="10" t="str">
        <v/>
      </c>
      <c r="H1392" s="11" t="str">
        <v/>
      </c>
      <c r="I1392" s="11" t="str">
        <v/>
      </c>
    </row>
    <row r="1393" spans="2:9">
      <c r="B1393" s="11" t="str">
        <f t="shared" si="111"/>
        <v/>
      </c>
      <c r="C1393" s="11" t="str">
        <f t="shared" si="114"/>
        <v/>
      </c>
      <c r="D1393" s="11" t="str">
        <f t="shared" si="115"/>
        <v/>
      </c>
      <c r="E1393" s="11" t="str">
        <f t="shared" si="112"/>
        <v/>
      </c>
      <c r="F1393" s="11" t="str">
        <f t="shared" si="113"/>
        <v/>
      </c>
      <c r="G1393" s="10" t="str">
        <v/>
      </c>
      <c r="H1393" s="11" t="str">
        <v/>
      </c>
      <c r="I1393" s="11" t="str">
        <v/>
      </c>
    </row>
    <row r="1394" spans="2:9">
      <c r="B1394" s="11" t="str">
        <f t="shared" si="111"/>
        <v/>
      </c>
      <c r="C1394" s="11" t="str">
        <f t="shared" si="114"/>
        <v/>
      </c>
      <c r="D1394" s="11" t="str">
        <f t="shared" si="115"/>
        <v/>
      </c>
      <c r="E1394" s="11" t="str">
        <f t="shared" si="112"/>
        <v/>
      </c>
      <c r="F1394" s="11" t="str">
        <f t="shared" si="113"/>
        <v/>
      </c>
      <c r="G1394" s="10" t="str">
        <v/>
      </c>
      <c r="H1394" s="11" t="str">
        <v/>
      </c>
      <c r="I1394" s="11" t="str">
        <v/>
      </c>
    </row>
    <row r="1395" spans="2:9">
      <c r="B1395" s="11" t="str">
        <f t="shared" si="111"/>
        <v/>
      </c>
      <c r="C1395" s="11" t="str">
        <f t="shared" si="114"/>
        <v/>
      </c>
      <c r="D1395" s="11" t="str">
        <f t="shared" si="115"/>
        <v/>
      </c>
      <c r="E1395" s="11" t="str">
        <f t="shared" si="112"/>
        <v/>
      </c>
      <c r="F1395" s="11" t="str">
        <f t="shared" si="113"/>
        <v/>
      </c>
      <c r="G1395" s="10" t="str">
        <v/>
      </c>
      <c r="H1395" s="11" t="str">
        <v/>
      </c>
      <c r="I1395" s="11" t="str">
        <v/>
      </c>
    </row>
    <row r="1396" spans="2:9">
      <c r="B1396" s="11" t="str">
        <f t="shared" si="111"/>
        <v/>
      </c>
      <c r="C1396" s="11" t="str">
        <f t="shared" si="114"/>
        <v/>
      </c>
      <c r="D1396" s="11" t="str">
        <f t="shared" si="115"/>
        <v/>
      </c>
      <c r="E1396" s="11" t="str">
        <f t="shared" si="112"/>
        <v/>
      </c>
      <c r="F1396" s="11" t="str">
        <f t="shared" si="113"/>
        <v/>
      </c>
      <c r="G1396" s="10" t="str">
        <v/>
      </c>
      <c r="H1396" s="11" t="str">
        <v/>
      </c>
      <c r="I1396" s="11" t="str">
        <v/>
      </c>
    </row>
    <row r="1397" spans="2:9">
      <c r="B1397" s="11" t="str">
        <f t="shared" si="111"/>
        <v/>
      </c>
      <c r="C1397" s="11" t="str">
        <f t="shared" si="114"/>
        <v/>
      </c>
      <c r="D1397" s="11" t="str">
        <f t="shared" si="115"/>
        <v/>
      </c>
      <c r="E1397" s="11" t="str">
        <f t="shared" si="112"/>
        <v/>
      </c>
      <c r="F1397" s="11" t="str">
        <f t="shared" si="113"/>
        <v/>
      </c>
      <c r="G1397" s="10" t="str">
        <v/>
      </c>
      <c r="H1397" s="11" t="str">
        <v/>
      </c>
      <c r="I1397" s="11" t="str">
        <v/>
      </c>
    </row>
    <row r="1398" spans="2:9">
      <c r="B1398" s="11" t="str">
        <f t="shared" si="111"/>
        <v/>
      </c>
      <c r="C1398" s="11" t="str">
        <f t="shared" si="114"/>
        <v/>
      </c>
      <c r="D1398" s="11" t="str">
        <f t="shared" si="115"/>
        <v/>
      </c>
      <c r="E1398" s="11" t="str">
        <f t="shared" si="112"/>
        <v/>
      </c>
      <c r="F1398" s="11" t="str">
        <f t="shared" si="113"/>
        <v/>
      </c>
      <c r="G1398" s="10" t="str">
        <v/>
      </c>
      <c r="H1398" s="11" t="str">
        <v/>
      </c>
      <c r="I1398" s="11" t="str">
        <v/>
      </c>
    </row>
    <row r="1399" spans="2:9">
      <c r="B1399" s="11" t="str">
        <f t="shared" si="111"/>
        <v/>
      </c>
      <c r="C1399" s="11" t="str">
        <f t="shared" si="114"/>
        <v/>
      </c>
      <c r="D1399" s="11" t="str">
        <f t="shared" si="115"/>
        <v/>
      </c>
      <c r="E1399" s="11" t="str">
        <f t="shared" si="112"/>
        <v/>
      </c>
      <c r="F1399" s="11" t="str">
        <f t="shared" si="113"/>
        <v/>
      </c>
      <c r="G1399" s="10" t="str">
        <v/>
      </c>
      <c r="H1399" s="11" t="str">
        <v/>
      </c>
      <c r="I1399" s="11" t="str">
        <v/>
      </c>
    </row>
    <row r="1400" spans="2:9">
      <c r="B1400" s="11" t="str">
        <f t="shared" si="111"/>
        <v/>
      </c>
      <c r="C1400" s="11" t="str">
        <f t="shared" si="114"/>
        <v/>
      </c>
      <c r="D1400" s="11" t="str">
        <f t="shared" si="115"/>
        <v/>
      </c>
      <c r="E1400" s="11" t="str">
        <f t="shared" si="112"/>
        <v/>
      </c>
      <c r="F1400" s="11" t="str">
        <f t="shared" si="113"/>
        <v/>
      </c>
      <c r="G1400" s="10" t="str">
        <v/>
      </c>
      <c r="H1400" s="11" t="str">
        <v/>
      </c>
      <c r="I1400" s="11" t="str">
        <v/>
      </c>
    </row>
    <row r="1401" spans="2:9">
      <c r="B1401" s="11" t="str">
        <f t="shared" si="111"/>
        <v/>
      </c>
      <c r="C1401" s="11" t="str">
        <f t="shared" si="114"/>
        <v/>
      </c>
      <c r="D1401" s="11" t="str">
        <f t="shared" si="115"/>
        <v/>
      </c>
      <c r="E1401" s="11" t="str">
        <f t="shared" si="112"/>
        <v/>
      </c>
      <c r="F1401" s="11" t="str">
        <f t="shared" si="113"/>
        <v/>
      </c>
      <c r="G1401" s="10" t="str">
        <v/>
      </c>
      <c r="H1401" s="11" t="str">
        <v/>
      </c>
      <c r="I1401" s="11" t="str">
        <v/>
      </c>
    </row>
    <row r="1402" spans="2:9">
      <c r="B1402" s="11" t="str">
        <f t="shared" si="111"/>
        <v/>
      </c>
      <c r="C1402" s="11" t="str">
        <f t="shared" si="114"/>
        <v/>
      </c>
      <c r="D1402" s="11" t="str">
        <f t="shared" si="115"/>
        <v/>
      </c>
      <c r="E1402" s="11" t="str">
        <f t="shared" si="112"/>
        <v/>
      </c>
      <c r="F1402" s="11" t="str">
        <f t="shared" si="113"/>
        <v/>
      </c>
      <c r="G1402" s="10" t="str">
        <v/>
      </c>
      <c r="H1402" s="11" t="str">
        <v/>
      </c>
      <c r="I1402" s="11" t="str">
        <v/>
      </c>
    </row>
    <row r="1403" spans="2:9">
      <c r="B1403" s="11" t="str">
        <f t="shared" si="111"/>
        <v/>
      </c>
      <c r="C1403" s="11" t="str">
        <f t="shared" si="114"/>
        <v/>
      </c>
      <c r="D1403" s="11" t="str">
        <f t="shared" si="115"/>
        <v/>
      </c>
      <c r="E1403" s="11" t="str">
        <f t="shared" si="112"/>
        <v/>
      </c>
      <c r="F1403" s="11" t="str">
        <f t="shared" si="113"/>
        <v/>
      </c>
      <c r="G1403" s="10" t="str">
        <v/>
      </c>
      <c r="H1403" s="11" t="str">
        <v/>
      </c>
      <c r="I1403" s="11" t="str">
        <v/>
      </c>
    </row>
    <row r="1404" spans="2:9">
      <c r="B1404" s="11" t="str">
        <f t="shared" si="111"/>
        <v/>
      </c>
      <c r="C1404" s="11" t="str">
        <f t="shared" si="114"/>
        <v/>
      </c>
      <c r="D1404" s="11" t="str">
        <f t="shared" si="115"/>
        <v/>
      </c>
      <c r="E1404" s="11" t="str">
        <f t="shared" si="112"/>
        <v/>
      </c>
      <c r="F1404" s="11" t="str">
        <f t="shared" si="113"/>
        <v/>
      </c>
      <c r="G1404" s="10" t="str">
        <v/>
      </c>
      <c r="H1404" s="11" t="str">
        <v/>
      </c>
      <c r="I1404" s="11" t="str">
        <v/>
      </c>
    </row>
    <row r="1405" spans="2:9">
      <c r="B1405" s="11" t="str">
        <f t="shared" si="111"/>
        <v/>
      </c>
      <c r="C1405" s="11" t="str">
        <f t="shared" si="114"/>
        <v/>
      </c>
      <c r="D1405" s="11" t="str">
        <f t="shared" si="115"/>
        <v/>
      </c>
      <c r="E1405" s="11" t="str">
        <f t="shared" si="112"/>
        <v/>
      </c>
      <c r="F1405" s="11" t="str">
        <f t="shared" si="113"/>
        <v/>
      </c>
      <c r="G1405" s="10" t="str">
        <v/>
      </c>
      <c r="H1405" s="11" t="str">
        <v/>
      </c>
      <c r="I1405" s="11" t="str">
        <v/>
      </c>
    </row>
    <row r="1406" spans="2:9">
      <c r="B1406" s="11" t="str">
        <f t="shared" si="111"/>
        <v/>
      </c>
      <c r="C1406" s="11" t="str">
        <f t="shared" si="114"/>
        <v/>
      </c>
      <c r="D1406" s="11" t="str">
        <f t="shared" si="115"/>
        <v/>
      </c>
      <c r="E1406" s="11" t="str">
        <f t="shared" si="112"/>
        <v/>
      </c>
      <c r="F1406" s="11" t="str">
        <f t="shared" si="113"/>
        <v/>
      </c>
      <c r="G1406" s="10" t="str">
        <v/>
      </c>
      <c r="H1406" s="11" t="str">
        <v/>
      </c>
      <c r="I1406" s="11" t="str">
        <v/>
      </c>
    </row>
    <row r="1407" spans="2:9">
      <c r="B1407" s="11" t="str">
        <f t="shared" si="111"/>
        <v/>
      </c>
      <c r="C1407" s="11" t="str">
        <f t="shared" si="114"/>
        <v/>
      </c>
      <c r="D1407" s="11" t="str">
        <f t="shared" si="115"/>
        <v/>
      </c>
      <c r="E1407" s="11" t="str">
        <f t="shared" si="112"/>
        <v/>
      </c>
      <c r="F1407" s="11" t="str">
        <f t="shared" si="113"/>
        <v/>
      </c>
      <c r="G1407" s="10" t="str">
        <v/>
      </c>
      <c r="H1407" s="11" t="str">
        <v/>
      </c>
      <c r="I1407" s="11" t="str">
        <v/>
      </c>
    </row>
    <row r="1408" spans="2:9">
      <c r="B1408" s="11" t="str">
        <f t="shared" si="111"/>
        <v/>
      </c>
      <c r="C1408" s="11" t="str">
        <f t="shared" si="114"/>
        <v/>
      </c>
      <c r="D1408" s="11" t="str">
        <f t="shared" si="115"/>
        <v/>
      </c>
      <c r="E1408" s="11" t="str">
        <f t="shared" si="112"/>
        <v/>
      </c>
      <c r="F1408" s="11" t="str">
        <f t="shared" si="113"/>
        <v/>
      </c>
      <c r="G1408" s="10" t="str">
        <v/>
      </c>
      <c r="H1408" s="11" t="str">
        <v/>
      </c>
      <c r="I1408" s="11" t="str">
        <v/>
      </c>
    </row>
    <row r="1409" spans="2:9">
      <c r="B1409" s="11" t="str">
        <f t="shared" ref="B1409:B1472" si="116">IFERROR(IF(FIND(" ",A1409)=6,IF(IFERROR(FIND(" PB",A1409),"")&lt;&gt;"","артикул",IF(IFERROR(FIND(" CRN",A1409),"")&lt;&gt;"","артикул","")),""),"")</f>
        <v/>
      </c>
      <c r="C1409" s="11" t="str">
        <f t="shared" si="114"/>
        <v/>
      </c>
      <c r="D1409" s="11" t="str">
        <f t="shared" si="115"/>
        <v/>
      </c>
      <c r="E1409" s="11" t="str">
        <f t="shared" si="112"/>
        <v/>
      </c>
      <c r="F1409" s="11" t="str">
        <f t="shared" si="113"/>
        <v/>
      </c>
      <c r="G1409" s="10" t="str">
        <v/>
      </c>
      <c r="H1409" s="11" t="str">
        <v/>
      </c>
      <c r="I1409" s="11" t="str">
        <v/>
      </c>
    </row>
    <row r="1410" spans="2:9">
      <c r="B1410" s="11" t="str">
        <f t="shared" si="116"/>
        <v/>
      </c>
      <c r="C1410" s="11" t="str">
        <f t="shared" si="114"/>
        <v/>
      </c>
      <c r="D1410" s="11" t="str">
        <f t="shared" si="115"/>
        <v/>
      </c>
      <c r="E1410" s="11" t="str">
        <f t="shared" ref="E1410:E1473" si="117" xml:space="preserve">
IF(B1410="Артикул",
IF(
AND(RIGHT(A1411,1)="%",
RIGHT(A1412,1)="%",
RIGHT(A1413,1)="%",
RIGHT(A1414,1)="%"),MID(A1415,FIND(" ",A1415),50),
IF(
AND(RIGHT(A1411,1)="%",
RIGHT(A1412,1)="%",
RIGHT(A1413,1)="%"),MID(A1414,FIND(" ",A1414),50),
IF(
AND(RIGHT(A1411,1)="%",
RIGHT(A1412,1)="%"),
MID(A1413,FIND(" ",A1413),50),
IF(
RIGHT(A1411,1)="%",
MID(A1412,FIND(" ",A1412),50),"")))),"")</f>
        <v/>
      </c>
      <c r="F1410" s="11" t="str">
        <f t="shared" ref="F1410:F1473" si="118">IFERROR(
IF(
AND(LEFT(A1410,8)="Discount",FIND("%",A1410)&gt;0),
MID(A1410,
FIND(" ",A1410),
FIND("%",A1410)-FIND(" ",A1410))
*-1,""),"")</f>
        <v/>
      </c>
      <c r="G1410" s="10" t="str">
        <v/>
      </c>
      <c r="H1410" s="11" t="str">
        <v/>
      </c>
      <c r="I1410" s="11" t="str">
        <v/>
      </c>
    </row>
    <row r="1411" spans="2:9">
      <c r="B1411" s="11" t="str">
        <f t="shared" si="116"/>
        <v/>
      </c>
      <c r="C1411" s="11" t="str">
        <f t="shared" si="114"/>
        <v/>
      </c>
      <c r="D1411" s="11" t="str">
        <f t="shared" si="115"/>
        <v/>
      </c>
      <c r="E1411" s="11" t="str">
        <f t="shared" si="117"/>
        <v/>
      </c>
      <c r="F1411" s="11" t="str">
        <f t="shared" si="118"/>
        <v/>
      </c>
      <c r="G1411" s="10" t="str">
        <v/>
      </c>
      <c r="H1411" s="11" t="str">
        <v/>
      </c>
      <c r="I1411" s="11" t="str">
        <v/>
      </c>
    </row>
    <row r="1412" spans="2:9">
      <c r="B1412" s="11" t="str">
        <f t="shared" si="116"/>
        <v/>
      </c>
      <c r="C1412" s="11" t="str">
        <f t="shared" si="114"/>
        <v/>
      </c>
      <c r="D1412" s="11" t="str">
        <f t="shared" si="115"/>
        <v/>
      </c>
      <c r="E1412" s="11" t="str">
        <f t="shared" si="117"/>
        <v/>
      </c>
      <c r="F1412" s="11" t="str">
        <f t="shared" si="118"/>
        <v/>
      </c>
      <c r="G1412" s="10" t="str">
        <v/>
      </c>
      <c r="H1412" s="11" t="str">
        <v/>
      </c>
      <c r="I1412" s="11" t="str">
        <v/>
      </c>
    </row>
    <row r="1413" spans="2:9">
      <c r="B1413" s="11" t="str">
        <f t="shared" si="116"/>
        <v/>
      </c>
      <c r="C1413" s="11" t="str">
        <f t="shared" si="114"/>
        <v/>
      </c>
      <c r="D1413" s="11" t="str">
        <f t="shared" si="115"/>
        <v/>
      </c>
      <c r="E1413" s="11" t="str">
        <f t="shared" si="117"/>
        <v/>
      </c>
      <c r="F1413" s="11" t="str">
        <f t="shared" si="118"/>
        <v/>
      </c>
      <c r="G1413" s="10" t="str">
        <v/>
      </c>
      <c r="H1413" s="11" t="str">
        <v/>
      </c>
      <c r="I1413" s="11" t="str">
        <v/>
      </c>
    </row>
    <row r="1414" spans="2:9">
      <c r="B1414" s="11" t="str">
        <f t="shared" si="116"/>
        <v/>
      </c>
      <c r="C1414" s="11" t="str">
        <f t="shared" si="114"/>
        <v/>
      </c>
      <c r="D1414" s="11" t="str">
        <f t="shared" si="115"/>
        <v/>
      </c>
      <c r="E1414" s="11" t="str">
        <f t="shared" si="117"/>
        <v/>
      </c>
      <c r="F1414" s="11" t="str">
        <f t="shared" si="118"/>
        <v/>
      </c>
      <c r="G1414" s="10" t="str">
        <v/>
      </c>
      <c r="H1414" s="11" t="str">
        <v/>
      </c>
      <c r="I1414" s="11" t="str">
        <v/>
      </c>
    </row>
    <row r="1415" spans="2:9">
      <c r="B1415" s="11" t="str">
        <f t="shared" si="116"/>
        <v/>
      </c>
      <c r="C1415" s="11" t="str">
        <f t="shared" si="114"/>
        <v/>
      </c>
      <c r="D1415" s="11" t="str">
        <f t="shared" si="115"/>
        <v/>
      </c>
      <c r="E1415" s="11" t="str">
        <f t="shared" si="117"/>
        <v/>
      </c>
      <c r="F1415" s="11" t="str">
        <f t="shared" si="118"/>
        <v/>
      </c>
      <c r="G1415" s="10" t="str">
        <v/>
      </c>
      <c r="H1415" s="11" t="str">
        <v/>
      </c>
      <c r="I1415" s="11" t="str">
        <v/>
      </c>
    </row>
    <row r="1416" spans="2:9">
      <c r="B1416" s="11" t="str">
        <f t="shared" si="116"/>
        <v/>
      </c>
      <c r="C1416" s="11" t="str">
        <f t="shared" si="114"/>
        <v/>
      </c>
      <c r="D1416" s="11" t="str">
        <f t="shared" si="115"/>
        <v/>
      </c>
      <c r="E1416" s="11" t="str">
        <f t="shared" si="117"/>
        <v/>
      </c>
      <c r="F1416" s="11" t="str">
        <f t="shared" si="118"/>
        <v/>
      </c>
      <c r="G1416" s="10" t="str">
        <v/>
      </c>
      <c r="H1416" s="11" t="str">
        <v/>
      </c>
      <c r="I1416" s="11" t="str">
        <v/>
      </c>
    </row>
    <row r="1417" spans="2:9">
      <c r="B1417" s="11" t="str">
        <f t="shared" si="116"/>
        <v/>
      </c>
      <c r="C1417" s="11" t="str">
        <f t="shared" si="114"/>
        <v/>
      </c>
      <c r="D1417" s="11" t="str">
        <f t="shared" si="115"/>
        <v/>
      </c>
      <c r="E1417" s="11" t="str">
        <f t="shared" si="117"/>
        <v/>
      </c>
      <c r="F1417" s="11" t="str">
        <f t="shared" si="118"/>
        <v/>
      </c>
      <c r="G1417" s="10" t="str">
        <v/>
      </c>
      <c r="H1417" s="11" t="str">
        <v/>
      </c>
      <c r="I1417" s="11" t="str">
        <v/>
      </c>
    </row>
    <row r="1418" spans="2:9">
      <c r="B1418" s="11" t="str">
        <f t="shared" si="116"/>
        <v/>
      </c>
      <c r="C1418" s="11" t="str">
        <f t="shared" si="114"/>
        <v/>
      </c>
      <c r="D1418" s="11" t="str">
        <f t="shared" si="115"/>
        <v/>
      </c>
      <c r="E1418" s="11" t="str">
        <f t="shared" si="117"/>
        <v/>
      </c>
      <c r="F1418" s="11" t="str">
        <f t="shared" si="118"/>
        <v/>
      </c>
      <c r="G1418" s="10" t="str">
        <v/>
      </c>
      <c r="H1418" s="11" t="str">
        <v/>
      </c>
      <c r="I1418" s="11" t="str">
        <v/>
      </c>
    </row>
    <row r="1419" spans="2:9">
      <c r="B1419" s="11" t="str">
        <f t="shared" si="116"/>
        <v/>
      </c>
      <c r="C1419" s="11" t="str">
        <f t="shared" si="114"/>
        <v/>
      </c>
      <c r="D1419" s="11" t="str">
        <f t="shared" si="115"/>
        <v/>
      </c>
      <c r="E1419" s="11" t="str">
        <f t="shared" si="117"/>
        <v/>
      </c>
      <c r="F1419" s="11" t="str">
        <f t="shared" si="118"/>
        <v/>
      </c>
      <c r="G1419" s="10" t="str">
        <v/>
      </c>
      <c r="H1419" s="11" t="str">
        <v/>
      </c>
      <c r="I1419" s="11" t="str">
        <v/>
      </c>
    </row>
    <row r="1420" spans="2:9">
      <c r="B1420" s="11" t="str">
        <f t="shared" si="116"/>
        <v/>
      </c>
      <c r="C1420" s="11" t="str">
        <f t="shared" si="114"/>
        <v/>
      </c>
      <c r="D1420" s="11" t="str">
        <f t="shared" si="115"/>
        <v/>
      </c>
      <c r="E1420" s="11" t="str">
        <f t="shared" si="117"/>
        <v/>
      </c>
      <c r="F1420" s="11" t="str">
        <f t="shared" si="118"/>
        <v/>
      </c>
      <c r="G1420" s="10" t="str">
        <v/>
      </c>
      <c r="H1420" s="11" t="str">
        <v/>
      </c>
      <c r="I1420" s="11" t="str">
        <v/>
      </c>
    </row>
    <row r="1421" spans="2:9">
      <c r="B1421" s="11" t="str">
        <f t="shared" si="116"/>
        <v/>
      </c>
      <c r="C1421" s="11" t="str">
        <f t="shared" ref="C1421:C1484" si="119">IF(B1421="артикул",A1421,"")</f>
        <v/>
      </c>
      <c r="D1421" s="11" t="str">
        <f t="shared" ref="D1421:D1484" si="120">IF(B1421="артикул",A1422,"")</f>
        <v/>
      </c>
      <c r="E1421" s="11" t="str">
        <f t="shared" si="117"/>
        <v/>
      </c>
      <c r="F1421" s="11" t="str">
        <f t="shared" si="118"/>
        <v/>
      </c>
      <c r="G1421" s="10" t="str">
        <v/>
      </c>
      <c r="H1421" s="11" t="str">
        <v/>
      </c>
      <c r="I1421" s="11" t="str">
        <v/>
      </c>
    </row>
    <row r="1422" spans="2:9">
      <c r="B1422" s="11" t="str">
        <f t="shared" si="116"/>
        <v/>
      </c>
      <c r="C1422" s="11" t="str">
        <f t="shared" si="119"/>
        <v/>
      </c>
      <c r="D1422" s="11" t="str">
        <f t="shared" si="120"/>
        <v/>
      </c>
      <c r="E1422" s="11" t="str">
        <f t="shared" si="117"/>
        <v/>
      </c>
      <c r="F1422" s="11" t="str">
        <f t="shared" si="118"/>
        <v/>
      </c>
      <c r="G1422" s="10" t="str">
        <v/>
      </c>
      <c r="H1422" s="11" t="str">
        <v/>
      </c>
      <c r="I1422" s="11" t="str">
        <v/>
      </c>
    </row>
    <row r="1423" spans="2:9">
      <c r="B1423" s="11" t="str">
        <f t="shared" si="116"/>
        <v/>
      </c>
      <c r="C1423" s="11" t="str">
        <f t="shared" si="119"/>
        <v/>
      </c>
      <c r="D1423" s="11" t="str">
        <f t="shared" si="120"/>
        <v/>
      </c>
      <c r="E1423" s="11" t="str">
        <f t="shared" si="117"/>
        <v/>
      </c>
      <c r="F1423" s="11" t="str">
        <f t="shared" si="118"/>
        <v/>
      </c>
      <c r="G1423" s="10" t="str">
        <v/>
      </c>
      <c r="H1423" s="11" t="str">
        <v/>
      </c>
      <c r="I1423" s="11" t="str">
        <v/>
      </c>
    </row>
    <row r="1424" spans="2:9">
      <c r="B1424" s="11" t="str">
        <f t="shared" si="116"/>
        <v/>
      </c>
      <c r="C1424" s="11" t="str">
        <f t="shared" si="119"/>
        <v/>
      </c>
      <c r="D1424" s="11" t="str">
        <f t="shared" si="120"/>
        <v/>
      </c>
      <c r="E1424" s="11" t="str">
        <f t="shared" si="117"/>
        <v/>
      </c>
      <c r="F1424" s="11" t="str">
        <f t="shared" si="118"/>
        <v/>
      </c>
      <c r="G1424" s="10" t="str">
        <v/>
      </c>
      <c r="H1424" s="11" t="str">
        <v/>
      </c>
      <c r="I1424" s="11" t="str">
        <v/>
      </c>
    </row>
    <row r="1425" spans="2:9">
      <c r="B1425" s="11" t="str">
        <f t="shared" si="116"/>
        <v/>
      </c>
      <c r="C1425" s="11" t="str">
        <f t="shared" si="119"/>
        <v/>
      </c>
      <c r="D1425" s="11" t="str">
        <f t="shared" si="120"/>
        <v/>
      </c>
      <c r="E1425" s="11" t="str">
        <f t="shared" si="117"/>
        <v/>
      </c>
      <c r="F1425" s="11" t="str">
        <f t="shared" si="118"/>
        <v/>
      </c>
      <c r="G1425" s="10" t="str">
        <v/>
      </c>
      <c r="H1425" s="11" t="str">
        <v/>
      </c>
      <c r="I1425" s="11" t="str">
        <v/>
      </c>
    </row>
    <row r="1426" spans="2:9">
      <c r="B1426" s="11" t="str">
        <f t="shared" si="116"/>
        <v/>
      </c>
      <c r="C1426" s="11" t="str">
        <f t="shared" si="119"/>
        <v/>
      </c>
      <c r="D1426" s="11" t="str">
        <f t="shared" si="120"/>
        <v/>
      </c>
      <c r="E1426" s="11" t="str">
        <f t="shared" si="117"/>
        <v/>
      </c>
      <c r="F1426" s="11" t="str">
        <f t="shared" si="118"/>
        <v/>
      </c>
      <c r="G1426" s="10" t="str">
        <v/>
      </c>
      <c r="H1426" s="11" t="str">
        <v/>
      </c>
      <c r="I1426" s="11" t="str">
        <v/>
      </c>
    </row>
    <row r="1427" spans="2:9">
      <c r="B1427" s="11" t="str">
        <f t="shared" si="116"/>
        <v/>
      </c>
      <c r="C1427" s="11" t="str">
        <f t="shared" si="119"/>
        <v/>
      </c>
      <c r="D1427" s="11" t="str">
        <f t="shared" si="120"/>
        <v/>
      </c>
      <c r="E1427" s="11" t="str">
        <f t="shared" si="117"/>
        <v/>
      </c>
      <c r="F1427" s="11" t="str">
        <f t="shared" si="118"/>
        <v/>
      </c>
      <c r="G1427" s="10" t="str">
        <v/>
      </c>
      <c r="H1427" s="11" t="str">
        <v/>
      </c>
      <c r="I1427" s="11" t="str">
        <v/>
      </c>
    </row>
    <row r="1428" spans="2:9">
      <c r="B1428" s="11" t="str">
        <f t="shared" si="116"/>
        <v/>
      </c>
      <c r="C1428" s="11" t="str">
        <f t="shared" si="119"/>
        <v/>
      </c>
      <c r="D1428" s="11" t="str">
        <f t="shared" si="120"/>
        <v/>
      </c>
      <c r="E1428" s="11" t="str">
        <f t="shared" si="117"/>
        <v/>
      </c>
      <c r="F1428" s="11" t="str">
        <f t="shared" si="118"/>
        <v/>
      </c>
      <c r="G1428" s="10" t="str">
        <v/>
      </c>
      <c r="H1428" s="11" t="str">
        <v/>
      </c>
      <c r="I1428" s="11" t="str">
        <v/>
      </c>
    </row>
    <row r="1429" spans="2:9">
      <c r="B1429" s="11" t="str">
        <f t="shared" si="116"/>
        <v/>
      </c>
      <c r="C1429" s="11" t="str">
        <f t="shared" si="119"/>
        <v/>
      </c>
      <c r="D1429" s="11" t="str">
        <f t="shared" si="120"/>
        <v/>
      </c>
      <c r="E1429" s="11" t="str">
        <f t="shared" si="117"/>
        <v/>
      </c>
      <c r="F1429" s="11" t="str">
        <f t="shared" si="118"/>
        <v/>
      </c>
      <c r="G1429" s="10" t="str">
        <v/>
      </c>
      <c r="H1429" s="11" t="str">
        <v/>
      </c>
      <c r="I1429" s="11" t="str">
        <v/>
      </c>
    </row>
    <row r="1430" spans="2:9">
      <c r="B1430" s="11" t="str">
        <f t="shared" si="116"/>
        <v/>
      </c>
      <c r="C1430" s="11" t="str">
        <f t="shared" si="119"/>
        <v/>
      </c>
      <c r="D1430" s="11" t="str">
        <f t="shared" si="120"/>
        <v/>
      </c>
      <c r="E1430" s="11" t="str">
        <f t="shared" si="117"/>
        <v/>
      </c>
      <c r="F1430" s="11" t="str">
        <f t="shared" si="118"/>
        <v/>
      </c>
      <c r="G1430" s="10" t="str">
        <v/>
      </c>
      <c r="H1430" s="11" t="str">
        <v/>
      </c>
      <c r="I1430" s="11" t="str">
        <v/>
      </c>
    </row>
    <row r="1431" spans="2:9">
      <c r="B1431" s="11" t="str">
        <f t="shared" si="116"/>
        <v/>
      </c>
      <c r="C1431" s="11" t="str">
        <f t="shared" si="119"/>
        <v/>
      </c>
      <c r="D1431" s="11" t="str">
        <f t="shared" si="120"/>
        <v/>
      </c>
      <c r="E1431" s="11" t="str">
        <f t="shared" si="117"/>
        <v/>
      </c>
      <c r="F1431" s="11" t="str">
        <f t="shared" si="118"/>
        <v/>
      </c>
      <c r="G1431" s="10" t="str">
        <v/>
      </c>
      <c r="H1431" s="11" t="str">
        <v/>
      </c>
      <c r="I1431" s="11" t="str">
        <v/>
      </c>
    </row>
    <row r="1432" spans="2:9">
      <c r="B1432" s="11" t="str">
        <f t="shared" si="116"/>
        <v/>
      </c>
      <c r="C1432" s="11" t="str">
        <f t="shared" si="119"/>
        <v/>
      </c>
      <c r="D1432" s="11" t="str">
        <f t="shared" si="120"/>
        <v/>
      </c>
      <c r="E1432" s="11" t="str">
        <f t="shared" si="117"/>
        <v/>
      </c>
      <c r="F1432" s="11" t="str">
        <f t="shared" si="118"/>
        <v/>
      </c>
      <c r="G1432" s="10" t="str">
        <v/>
      </c>
      <c r="H1432" s="11" t="str">
        <v/>
      </c>
      <c r="I1432" s="11" t="str">
        <v/>
      </c>
    </row>
    <row r="1433" spans="2:9">
      <c r="B1433" s="11" t="str">
        <f t="shared" si="116"/>
        <v/>
      </c>
      <c r="C1433" s="11" t="str">
        <f t="shared" si="119"/>
        <v/>
      </c>
      <c r="D1433" s="11" t="str">
        <f t="shared" si="120"/>
        <v/>
      </c>
      <c r="E1433" s="11" t="str">
        <f t="shared" si="117"/>
        <v/>
      </c>
      <c r="F1433" s="11" t="str">
        <f t="shared" si="118"/>
        <v/>
      </c>
      <c r="G1433" s="10" t="str">
        <v/>
      </c>
      <c r="H1433" s="11" t="str">
        <v/>
      </c>
      <c r="I1433" s="11" t="str">
        <v/>
      </c>
    </row>
    <row r="1434" spans="2:9">
      <c r="B1434" s="11" t="str">
        <f t="shared" si="116"/>
        <v/>
      </c>
      <c r="C1434" s="11" t="str">
        <f t="shared" si="119"/>
        <v/>
      </c>
      <c r="D1434" s="11" t="str">
        <f t="shared" si="120"/>
        <v/>
      </c>
      <c r="E1434" s="11" t="str">
        <f t="shared" si="117"/>
        <v/>
      </c>
      <c r="F1434" s="11" t="str">
        <f t="shared" si="118"/>
        <v/>
      </c>
      <c r="G1434" s="10" t="str">
        <v/>
      </c>
      <c r="H1434" s="11" t="str">
        <v/>
      </c>
      <c r="I1434" s="11" t="str">
        <v/>
      </c>
    </row>
    <row r="1435" spans="2:9">
      <c r="B1435" s="11" t="str">
        <f t="shared" si="116"/>
        <v/>
      </c>
      <c r="C1435" s="11" t="str">
        <f t="shared" si="119"/>
        <v/>
      </c>
      <c r="D1435" s="11" t="str">
        <f t="shared" si="120"/>
        <v/>
      </c>
      <c r="E1435" s="11" t="str">
        <f t="shared" si="117"/>
        <v/>
      </c>
      <c r="F1435" s="11" t="str">
        <f t="shared" si="118"/>
        <v/>
      </c>
      <c r="G1435" s="10" t="str">
        <v/>
      </c>
      <c r="H1435" s="11" t="str">
        <v/>
      </c>
      <c r="I1435" s="11" t="str">
        <v/>
      </c>
    </row>
    <row r="1436" spans="2:9">
      <c r="B1436" s="11" t="str">
        <f t="shared" si="116"/>
        <v/>
      </c>
      <c r="C1436" s="11" t="str">
        <f t="shared" si="119"/>
        <v/>
      </c>
      <c r="D1436" s="11" t="str">
        <f t="shared" si="120"/>
        <v/>
      </c>
      <c r="E1436" s="11" t="str">
        <f t="shared" si="117"/>
        <v/>
      </c>
      <c r="F1436" s="11" t="str">
        <f t="shared" si="118"/>
        <v/>
      </c>
      <c r="G1436" s="10" t="str">
        <v/>
      </c>
      <c r="H1436" s="11" t="str">
        <v/>
      </c>
      <c r="I1436" s="11" t="str">
        <v/>
      </c>
    </row>
    <row r="1437" spans="2:9">
      <c r="B1437" s="11" t="str">
        <f t="shared" si="116"/>
        <v/>
      </c>
      <c r="C1437" s="11" t="str">
        <f t="shared" si="119"/>
        <v/>
      </c>
      <c r="D1437" s="11" t="str">
        <f t="shared" si="120"/>
        <v/>
      </c>
      <c r="E1437" s="11" t="str">
        <f t="shared" si="117"/>
        <v/>
      </c>
      <c r="F1437" s="11" t="str">
        <f t="shared" si="118"/>
        <v/>
      </c>
      <c r="G1437" s="10" t="str">
        <v/>
      </c>
      <c r="H1437" s="11" t="str">
        <v/>
      </c>
      <c r="I1437" s="11" t="str">
        <v/>
      </c>
    </row>
    <row r="1438" spans="2:9">
      <c r="B1438" s="11" t="str">
        <f t="shared" si="116"/>
        <v/>
      </c>
      <c r="C1438" s="11" t="str">
        <f t="shared" si="119"/>
        <v/>
      </c>
      <c r="D1438" s="11" t="str">
        <f t="shared" si="120"/>
        <v/>
      </c>
      <c r="E1438" s="11" t="str">
        <f t="shared" si="117"/>
        <v/>
      </c>
      <c r="F1438" s="11" t="str">
        <f t="shared" si="118"/>
        <v/>
      </c>
      <c r="G1438" s="10" t="str">
        <v/>
      </c>
      <c r="H1438" s="11" t="str">
        <v/>
      </c>
      <c r="I1438" s="11" t="str">
        <v/>
      </c>
    </row>
    <row r="1439" spans="2:9">
      <c r="B1439" s="11" t="str">
        <f t="shared" si="116"/>
        <v/>
      </c>
      <c r="C1439" s="11" t="str">
        <f t="shared" si="119"/>
        <v/>
      </c>
      <c r="D1439" s="11" t="str">
        <f t="shared" si="120"/>
        <v/>
      </c>
      <c r="E1439" s="11" t="str">
        <f t="shared" si="117"/>
        <v/>
      </c>
      <c r="F1439" s="11" t="str">
        <f t="shared" si="118"/>
        <v/>
      </c>
      <c r="G1439" s="10" t="str">
        <v/>
      </c>
      <c r="H1439" s="11" t="str">
        <v/>
      </c>
      <c r="I1439" s="11" t="str">
        <v/>
      </c>
    </row>
    <row r="1440" spans="2:9">
      <c r="B1440" s="11" t="str">
        <f t="shared" si="116"/>
        <v/>
      </c>
      <c r="C1440" s="11" t="str">
        <f t="shared" si="119"/>
        <v/>
      </c>
      <c r="D1440" s="11" t="str">
        <f t="shared" si="120"/>
        <v/>
      </c>
      <c r="E1440" s="11" t="str">
        <f t="shared" si="117"/>
        <v/>
      </c>
      <c r="F1440" s="11" t="str">
        <f t="shared" si="118"/>
        <v/>
      </c>
      <c r="G1440" s="10" t="str">
        <v/>
      </c>
      <c r="H1440" s="11" t="str">
        <v/>
      </c>
      <c r="I1440" s="11" t="str">
        <v/>
      </c>
    </row>
    <row r="1441" spans="2:9">
      <c r="B1441" s="11" t="str">
        <f t="shared" si="116"/>
        <v/>
      </c>
      <c r="C1441" s="11" t="str">
        <f t="shared" si="119"/>
        <v/>
      </c>
      <c r="D1441" s="11" t="str">
        <f t="shared" si="120"/>
        <v/>
      </c>
      <c r="E1441" s="11" t="str">
        <f t="shared" si="117"/>
        <v/>
      </c>
      <c r="F1441" s="11" t="str">
        <f t="shared" si="118"/>
        <v/>
      </c>
      <c r="G1441" s="10" t="str">
        <v/>
      </c>
      <c r="H1441" s="11" t="str">
        <v/>
      </c>
      <c r="I1441" s="11" t="str">
        <v/>
      </c>
    </row>
    <row r="1442" spans="2:9">
      <c r="B1442" s="11" t="str">
        <f t="shared" si="116"/>
        <v/>
      </c>
      <c r="C1442" s="11" t="str">
        <f t="shared" si="119"/>
        <v/>
      </c>
      <c r="D1442" s="11" t="str">
        <f t="shared" si="120"/>
        <v/>
      </c>
      <c r="E1442" s="11" t="str">
        <f t="shared" si="117"/>
        <v/>
      </c>
      <c r="F1442" s="11" t="str">
        <f t="shared" si="118"/>
        <v/>
      </c>
      <c r="G1442" s="10" t="str">
        <v/>
      </c>
      <c r="H1442" s="11" t="str">
        <v/>
      </c>
      <c r="I1442" s="11" t="str">
        <v/>
      </c>
    </row>
    <row r="1443" spans="2:9">
      <c r="B1443" s="11" t="str">
        <f t="shared" si="116"/>
        <v/>
      </c>
      <c r="C1443" s="11" t="str">
        <f t="shared" si="119"/>
        <v/>
      </c>
      <c r="D1443" s="11" t="str">
        <f t="shared" si="120"/>
        <v/>
      </c>
      <c r="E1443" s="11" t="str">
        <f t="shared" si="117"/>
        <v/>
      </c>
      <c r="F1443" s="11" t="str">
        <f t="shared" si="118"/>
        <v/>
      </c>
      <c r="G1443" s="10" t="str">
        <v/>
      </c>
      <c r="H1443" s="11" t="str">
        <v/>
      </c>
      <c r="I1443" s="11" t="str">
        <v/>
      </c>
    </row>
    <row r="1444" spans="2:9">
      <c r="B1444" s="11" t="str">
        <f t="shared" si="116"/>
        <v/>
      </c>
      <c r="C1444" s="11" t="str">
        <f t="shared" si="119"/>
        <v/>
      </c>
      <c r="D1444" s="11" t="str">
        <f t="shared" si="120"/>
        <v/>
      </c>
      <c r="E1444" s="11" t="str">
        <f t="shared" si="117"/>
        <v/>
      </c>
      <c r="F1444" s="11" t="str">
        <f t="shared" si="118"/>
        <v/>
      </c>
      <c r="G1444" s="10" t="str">
        <v/>
      </c>
      <c r="H1444" s="11" t="str">
        <v/>
      </c>
      <c r="I1444" s="11" t="str">
        <v/>
      </c>
    </row>
    <row r="1445" spans="2:9">
      <c r="B1445" s="11" t="str">
        <f t="shared" si="116"/>
        <v/>
      </c>
      <c r="C1445" s="11" t="str">
        <f t="shared" si="119"/>
        <v/>
      </c>
      <c r="D1445" s="11" t="str">
        <f t="shared" si="120"/>
        <v/>
      </c>
      <c r="E1445" s="11" t="str">
        <f t="shared" si="117"/>
        <v/>
      </c>
      <c r="F1445" s="11" t="str">
        <f t="shared" si="118"/>
        <v/>
      </c>
      <c r="G1445" s="10" t="str">
        <v/>
      </c>
      <c r="H1445" s="11" t="str">
        <v/>
      </c>
      <c r="I1445" s="11" t="str">
        <v/>
      </c>
    </row>
    <row r="1446" spans="2:9">
      <c r="B1446" s="11" t="str">
        <f t="shared" si="116"/>
        <v/>
      </c>
      <c r="C1446" s="11" t="str">
        <f t="shared" si="119"/>
        <v/>
      </c>
      <c r="D1446" s="11" t="str">
        <f t="shared" si="120"/>
        <v/>
      </c>
      <c r="E1446" s="11" t="str">
        <f t="shared" si="117"/>
        <v/>
      </c>
      <c r="F1446" s="11" t="str">
        <f t="shared" si="118"/>
        <v/>
      </c>
      <c r="G1446" s="10" t="str">
        <v/>
      </c>
      <c r="H1446" s="11" t="str">
        <v/>
      </c>
      <c r="I1446" s="11" t="str">
        <v/>
      </c>
    </row>
    <row r="1447" spans="2:9">
      <c r="B1447" s="11" t="str">
        <f t="shared" si="116"/>
        <v/>
      </c>
      <c r="C1447" s="11" t="str">
        <f t="shared" si="119"/>
        <v/>
      </c>
      <c r="D1447" s="11" t="str">
        <f t="shared" si="120"/>
        <v/>
      </c>
      <c r="E1447" s="11" t="str">
        <f t="shared" si="117"/>
        <v/>
      </c>
      <c r="F1447" s="11" t="str">
        <f t="shared" si="118"/>
        <v/>
      </c>
      <c r="G1447" s="10" t="str">
        <v/>
      </c>
      <c r="H1447" s="11" t="str">
        <v/>
      </c>
      <c r="I1447" s="11" t="str">
        <v/>
      </c>
    </row>
    <row r="1448" spans="2:9">
      <c r="B1448" s="11" t="str">
        <f t="shared" si="116"/>
        <v/>
      </c>
      <c r="C1448" s="11" t="str">
        <f t="shared" si="119"/>
        <v/>
      </c>
      <c r="D1448" s="11" t="str">
        <f t="shared" si="120"/>
        <v/>
      </c>
      <c r="E1448" s="11" t="str">
        <f t="shared" si="117"/>
        <v/>
      </c>
      <c r="F1448" s="11" t="str">
        <f t="shared" si="118"/>
        <v/>
      </c>
      <c r="G1448" s="10" t="str">
        <v/>
      </c>
      <c r="H1448" s="11" t="str">
        <v/>
      </c>
      <c r="I1448" s="11" t="str">
        <v/>
      </c>
    </row>
    <row r="1449" spans="2:9">
      <c r="B1449" s="11" t="str">
        <f t="shared" si="116"/>
        <v/>
      </c>
      <c r="C1449" s="11" t="str">
        <f t="shared" si="119"/>
        <v/>
      </c>
      <c r="D1449" s="11" t="str">
        <f t="shared" si="120"/>
        <v/>
      </c>
      <c r="E1449" s="11" t="str">
        <f t="shared" si="117"/>
        <v/>
      </c>
      <c r="F1449" s="11" t="str">
        <f t="shared" si="118"/>
        <v/>
      </c>
      <c r="G1449" s="10" t="str">
        <v/>
      </c>
      <c r="H1449" s="11" t="str">
        <v/>
      </c>
      <c r="I1449" s="11" t="str">
        <v/>
      </c>
    </row>
    <row r="1450" spans="2:9">
      <c r="B1450" s="11" t="str">
        <f t="shared" si="116"/>
        <v/>
      </c>
      <c r="C1450" s="11" t="str">
        <f t="shared" si="119"/>
        <v/>
      </c>
      <c r="D1450" s="11" t="str">
        <f t="shared" si="120"/>
        <v/>
      </c>
      <c r="E1450" s="11" t="str">
        <f t="shared" si="117"/>
        <v/>
      </c>
      <c r="F1450" s="11" t="str">
        <f t="shared" si="118"/>
        <v/>
      </c>
      <c r="G1450" s="10" t="str">
        <v/>
      </c>
      <c r="H1450" s="11" t="str">
        <v/>
      </c>
      <c r="I1450" s="11" t="str">
        <v/>
      </c>
    </row>
    <row r="1451" spans="2:9">
      <c r="B1451" s="11" t="str">
        <f t="shared" si="116"/>
        <v/>
      </c>
      <c r="C1451" s="11" t="str">
        <f t="shared" si="119"/>
        <v/>
      </c>
      <c r="D1451" s="11" t="str">
        <f t="shared" si="120"/>
        <v/>
      </c>
      <c r="E1451" s="11" t="str">
        <f t="shared" si="117"/>
        <v/>
      </c>
      <c r="F1451" s="11" t="str">
        <f t="shared" si="118"/>
        <v/>
      </c>
      <c r="G1451" s="10" t="str">
        <v/>
      </c>
      <c r="H1451" s="11" t="str">
        <v/>
      </c>
      <c r="I1451" s="11" t="str">
        <v/>
      </c>
    </row>
    <row r="1452" spans="2:9">
      <c r="B1452" s="11" t="str">
        <f t="shared" si="116"/>
        <v/>
      </c>
      <c r="C1452" s="11" t="str">
        <f t="shared" si="119"/>
        <v/>
      </c>
      <c r="D1452" s="11" t="str">
        <f t="shared" si="120"/>
        <v/>
      </c>
      <c r="E1452" s="11" t="str">
        <f t="shared" si="117"/>
        <v/>
      </c>
      <c r="F1452" s="11" t="str">
        <f t="shared" si="118"/>
        <v/>
      </c>
      <c r="G1452" s="10" t="str">
        <v/>
      </c>
      <c r="H1452" s="11" t="str">
        <v/>
      </c>
      <c r="I1452" s="11" t="str">
        <v/>
      </c>
    </row>
    <row r="1453" spans="2:9">
      <c r="B1453" s="11" t="str">
        <f t="shared" si="116"/>
        <v/>
      </c>
      <c r="C1453" s="11" t="str">
        <f t="shared" si="119"/>
        <v/>
      </c>
      <c r="D1453" s="11" t="str">
        <f t="shared" si="120"/>
        <v/>
      </c>
      <c r="E1453" s="11" t="str">
        <f t="shared" si="117"/>
        <v/>
      </c>
      <c r="F1453" s="11" t="str">
        <f t="shared" si="118"/>
        <v/>
      </c>
      <c r="G1453" s="10" t="str">
        <v/>
      </c>
      <c r="H1453" s="11" t="str">
        <v/>
      </c>
      <c r="I1453" s="11" t="str">
        <v/>
      </c>
    </row>
    <row r="1454" spans="2:9">
      <c r="B1454" s="11" t="str">
        <f t="shared" si="116"/>
        <v/>
      </c>
      <c r="C1454" s="11" t="str">
        <f t="shared" si="119"/>
        <v/>
      </c>
      <c r="D1454" s="11" t="str">
        <f t="shared" si="120"/>
        <v/>
      </c>
      <c r="E1454" s="11" t="str">
        <f t="shared" si="117"/>
        <v/>
      </c>
      <c r="F1454" s="11" t="str">
        <f t="shared" si="118"/>
        <v/>
      </c>
      <c r="G1454" s="10" t="str">
        <v/>
      </c>
      <c r="H1454" s="11" t="str">
        <v/>
      </c>
      <c r="I1454" s="11" t="str">
        <v/>
      </c>
    </row>
    <row r="1455" spans="2:9">
      <c r="B1455" s="11" t="str">
        <f t="shared" si="116"/>
        <v/>
      </c>
      <c r="C1455" s="11" t="str">
        <f t="shared" si="119"/>
        <v/>
      </c>
      <c r="D1455" s="11" t="str">
        <f t="shared" si="120"/>
        <v/>
      </c>
      <c r="E1455" s="11" t="str">
        <f t="shared" si="117"/>
        <v/>
      </c>
      <c r="F1455" s="11" t="str">
        <f t="shared" si="118"/>
        <v/>
      </c>
      <c r="G1455" s="10" t="str">
        <v/>
      </c>
      <c r="H1455" s="11" t="str">
        <v/>
      </c>
      <c r="I1455" s="11" t="str">
        <v/>
      </c>
    </row>
    <row r="1456" spans="2:9">
      <c r="B1456" s="11" t="str">
        <f t="shared" si="116"/>
        <v/>
      </c>
      <c r="C1456" s="11" t="str">
        <f t="shared" si="119"/>
        <v/>
      </c>
      <c r="D1456" s="11" t="str">
        <f t="shared" si="120"/>
        <v/>
      </c>
      <c r="E1456" s="11" t="str">
        <f t="shared" si="117"/>
        <v/>
      </c>
      <c r="F1456" s="11" t="str">
        <f t="shared" si="118"/>
        <v/>
      </c>
      <c r="G1456" s="10" t="str">
        <v/>
      </c>
      <c r="H1456" s="11" t="str">
        <v/>
      </c>
      <c r="I1456" s="11" t="str">
        <v/>
      </c>
    </row>
    <row r="1457" spans="2:9">
      <c r="B1457" s="11" t="str">
        <f t="shared" si="116"/>
        <v/>
      </c>
      <c r="C1457" s="11" t="str">
        <f t="shared" si="119"/>
        <v/>
      </c>
      <c r="D1457" s="11" t="str">
        <f t="shared" si="120"/>
        <v/>
      </c>
      <c r="E1457" s="11" t="str">
        <f t="shared" si="117"/>
        <v/>
      </c>
      <c r="F1457" s="11" t="str">
        <f t="shared" si="118"/>
        <v/>
      </c>
      <c r="G1457" s="10" t="str">
        <v/>
      </c>
      <c r="H1457" s="11" t="str">
        <v/>
      </c>
      <c r="I1457" s="11" t="str">
        <v/>
      </c>
    </row>
    <row r="1458" spans="2:9">
      <c r="B1458" s="11" t="str">
        <f t="shared" si="116"/>
        <v/>
      </c>
      <c r="C1458" s="11" t="str">
        <f t="shared" si="119"/>
        <v/>
      </c>
      <c r="D1458" s="11" t="str">
        <f t="shared" si="120"/>
        <v/>
      </c>
      <c r="E1458" s="11" t="str">
        <f t="shared" si="117"/>
        <v/>
      </c>
      <c r="F1458" s="11" t="str">
        <f t="shared" si="118"/>
        <v/>
      </c>
      <c r="G1458" s="10" t="str">
        <v/>
      </c>
      <c r="H1458" s="11" t="str">
        <v/>
      </c>
      <c r="I1458" s="11" t="str">
        <v/>
      </c>
    </row>
    <row r="1459" spans="2:9">
      <c r="B1459" s="11" t="str">
        <f t="shared" si="116"/>
        <v/>
      </c>
      <c r="C1459" s="11" t="str">
        <f t="shared" si="119"/>
        <v/>
      </c>
      <c r="D1459" s="11" t="str">
        <f t="shared" si="120"/>
        <v/>
      </c>
      <c r="E1459" s="11" t="str">
        <f t="shared" si="117"/>
        <v/>
      </c>
      <c r="F1459" s="11" t="str">
        <f t="shared" si="118"/>
        <v/>
      </c>
      <c r="G1459" s="10" t="str">
        <v/>
      </c>
      <c r="H1459" s="11" t="str">
        <v/>
      </c>
      <c r="I1459" s="11" t="str">
        <v/>
      </c>
    </row>
    <row r="1460" spans="2:9">
      <c r="B1460" s="11" t="str">
        <f t="shared" si="116"/>
        <v/>
      </c>
      <c r="C1460" s="11" t="str">
        <f t="shared" si="119"/>
        <v/>
      </c>
      <c r="D1460" s="11" t="str">
        <f t="shared" si="120"/>
        <v/>
      </c>
      <c r="E1460" s="11" t="str">
        <f t="shared" si="117"/>
        <v/>
      </c>
      <c r="F1460" s="11" t="str">
        <f t="shared" si="118"/>
        <v/>
      </c>
      <c r="G1460" s="10" t="str">
        <v/>
      </c>
      <c r="H1460" s="11" t="str">
        <v/>
      </c>
      <c r="I1460" s="11" t="str">
        <v/>
      </c>
    </row>
    <row r="1461" spans="2:9">
      <c r="B1461" s="11" t="str">
        <f t="shared" si="116"/>
        <v/>
      </c>
      <c r="C1461" s="11" t="str">
        <f t="shared" si="119"/>
        <v/>
      </c>
      <c r="D1461" s="11" t="str">
        <f t="shared" si="120"/>
        <v/>
      </c>
      <c r="E1461" s="11" t="str">
        <f t="shared" si="117"/>
        <v/>
      </c>
      <c r="F1461" s="11" t="str">
        <f t="shared" si="118"/>
        <v/>
      </c>
      <c r="G1461" s="10" t="str">
        <v/>
      </c>
      <c r="H1461" s="11" t="str">
        <v/>
      </c>
      <c r="I1461" s="11" t="str">
        <v/>
      </c>
    </row>
    <row r="1462" spans="2:9">
      <c r="B1462" s="11" t="str">
        <f t="shared" si="116"/>
        <v/>
      </c>
      <c r="C1462" s="11" t="str">
        <f t="shared" si="119"/>
        <v/>
      </c>
      <c r="D1462" s="11" t="str">
        <f t="shared" si="120"/>
        <v/>
      </c>
      <c r="E1462" s="11" t="str">
        <f t="shared" si="117"/>
        <v/>
      </c>
      <c r="F1462" s="11" t="str">
        <f t="shared" si="118"/>
        <v/>
      </c>
      <c r="G1462" s="10" t="str">
        <v/>
      </c>
      <c r="H1462" s="11" t="str">
        <v/>
      </c>
      <c r="I1462" s="11" t="str">
        <v/>
      </c>
    </row>
    <row r="1463" spans="2:9">
      <c r="B1463" s="11" t="str">
        <f t="shared" si="116"/>
        <v/>
      </c>
      <c r="C1463" s="11" t="str">
        <f t="shared" si="119"/>
        <v/>
      </c>
      <c r="D1463" s="11" t="str">
        <f t="shared" si="120"/>
        <v/>
      </c>
      <c r="E1463" s="11" t="str">
        <f t="shared" si="117"/>
        <v/>
      </c>
      <c r="F1463" s="11" t="str">
        <f t="shared" si="118"/>
        <v/>
      </c>
      <c r="G1463" s="10" t="str">
        <v/>
      </c>
      <c r="H1463" s="11" t="str">
        <v/>
      </c>
      <c r="I1463" s="11" t="str">
        <v/>
      </c>
    </row>
    <row r="1464" spans="2:9">
      <c r="B1464" s="11" t="str">
        <f t="shared" si="116"/>
        <v/>
      </c>
      <c r="C1464" s="11" t="str">
        <f t="shared" si="119"/>
        <v/>
      </c>
      <c r="D1464" s="11" t="str">
        <f t="shared" si="120"/>
        <v/>
      </c>
      <c r="E1464" s="11" t="str">
        <f t="shared" si="117"/>
        <v/>
      </c>
      <c r="F1464" s="11" t="str">
        <f t="shared" si="118"/>
        <v/>
      </c>
      <c r="G1464" s="10" t="str">
        <v/>
      </c>
      <c r="H1464" s="11" t="str">
        <v/>
      </c>
      <c r="I1464" s="11" t="str">
        <v/>
      </c>
    </row>
    <row r="1465" spans="2:9">
      <c r="B1465" s="11" t="str">
        <f t="shared" si="116"/>
        <v/>
      </c>
      <c r="C1465" s="11" t="str">
        <f t="shared" si="119"/>
        <v/>
      </c>
      <c r="D1465" s="11" t="str">
        <f t="shared" si="120"/>
        <v/>
      </c>
      <c r="E1465" s="11" t="str">
        <f t="shared" si="117"/>
        <v/>
      </c>
      <c r="F1465" s="11" t="str">
        <f t="shared" si="118"/>
        <v/>
      </c>
      <c r="G1465" s="10" t="str">
        <v/>
      </c>
      <c r="H1465" s="11" t="str">
        <v/>
      </c>
      <c r="I1465" s="11" t="str">
        <v/>
      </c>
    </row>
    <row r="1466" spans="2:9">
      <c r="B1466" s="11" t="str">
        <f t="shared" si="116"/>
        <v/>
      </c>
      <c r="C1466" s="11" t="str">
        <f t="shared" si="119"/>
        <v/>
      </c>
      <c r="D1466" s="11" t="str">
        <f t="shared" si="120"/>
        <v/>
      </c>
      <c r="E1466" s="11" t="str">
        <f t="shared" si="117"/>
        <v/>
      </c>
      <c r="F1466" s="11" t="str">
        <f t="shared" si="118"/>
        <v/>
      </c>
      <c r="G1466" s="10" t="str">
        <v/>
      </c>
      <c r="H1466" s="11" t="str">
        <v/>
      </c>
      <c r="I1466" s="11" t="str">
        <v/>
      </c>
    </row>
    <row r="1467" spans="2:9">
      <c r="B1467" s="11" t="str">
        <f t="shared" si="116"/>
        <v/>
      </c>
      <c r="C1467" s="11" t="str">
        <f t="shared" si="119"/>
        <v/>
      </c>
      <c r="D1467" s="11" t="str">
        <f t="shared" si="120"/>
        <v/>
      </c>
      <c r="E1467" s="11" t="str">
        <f t="shared" si="117"/>
        <v/>
      </c>
      <c r="F1467" s="11" t="str">
        <f t="shared" si="118"/>
        <v/>
      </c>
      <c r="G1467" s="10" t="str">
        <v/>
      </c>
      <c r="H1467" s="11" t="str">
        <v/>
      </c>
      <c r="I1467" s="11" t="str">
        <v/>
      </c>
    </row>
    <row r="1468" spans="2:9">
      <c r="B1468" s="11" t="str">
        <f t="shared" si="116"/>
        <v/>
      </c>
      <c r="C1468" s="11" t="str">
        <f t="shared" si="119"/>
        <v/>
      </c>
      <c r="D1468" s="11" t="str">
        <f t="shared" si="120"/>
        <v/>
      </c>
      <c r="E1468" s="11" t="str">
        <f t="shared" si="117"/>
        <v/>
      </c>
      <c r="F1468" s="11" t="str">
        <f t="shared" si="118"/>
        <v/>
      </c>
      <c r="G1468" s="10" t="str">
        <v/>
      </c>
      <c r="H1468" s="11" t="str">
        <v/>
      </c>
      <c r="I1468" s="11" t="str">
        <v/>
      </c>
    </row>
    <row r="1469" spans="2:9">
      <c r="B1469" s="11" t="str">
        <f t="shared" si="116"/>
        <v/>
      </c>
      <c r="C1469" s="11" t="str">
        <f t="shared" si="119"/>
        <v/>
      </c>
      <c r="D1469" s="11" t="str">
        <f t="shared" si="120"/>
        <v/>
      </c>
      <c r="E1469" s="11" t="str">
        <f t="shared" si="117"/>
        <v/>
      </c>
      <c r="F1469" s="11" t="str">
        <f t="shared" si="118"/>
        <v/>
      </c>
      <c r="G1469" s="10" t="str">
        <v/>
      </c>
      <c r="H1469" s="11" t="str">
        <v/>
      </c>
      <c r="I1469" s="11" t="str">
        <v/>
      </c>
    </row>
    <row r="1470" spans="2:9">
      <c r="B1470" s="11" t="str">
        <f t="shared" si="116"/>
        <v/>
      </c>
      <c r="C1470" s="11" t="str">
        <f t="shared" si="119"/>
        <v/>
      </c>
      <c r="D1470" s="11" t="str">
        <f t="shared" si="120"/>
        <v/>
      </c>
      <c r="E1470" s="11" t="str">
        <f t="shared" si="117"/>
        <v/>
      </c>
      <c r="F1470" s="11" t="str">
        <f t="shared" si="118"/>
        <v/>
      </c>
      <c r="G1470" s="10" t="str">
        <v/>
      </c>
      <c r="H1470" s="11" t="str">
        <v/>
      </c>
      <c r="I1470" s="11" t="str">
        <v/>
      </c>
    </row>
    <row r="1471" spans="2:9">
      <c r="B1471" s="11" t="str">
        <f t="shared" si="116"/>
        <v/>
      </c>
      <c r="C1471" s="11" t="str">
        <f t="shared" si="119"/>
        <v/>
      </c>
      <c r="D1471" s="11" t="str">
        <f t="shared" si="120"/>
        <v/>
      </c>
      <c r="E1471" s="11" t="str">
        <f t="shared" si="117"/>
        <v/>
      </c>
      <c r="F1471" s="11" t="str">
        <f t="shared" si="118"/>
        <v/>
      </c>
      <c r="G1471" s="10" t="str">
        <v/>
      </c>
      <c r="H1471" s="11" t="str">
        <v/>
      </c>
      <c r="I1471" s="11" t="str">
        <v/>
      </c>
    </row>
    <row r="1472" spans="2:9">
      <c r="B1472" s="11" t="str">
        <f t="shared" si="116"/>
        <v/>
      </c>
      <c r="C1472" s="11" t="str">
        <f t="shared" si="119"/>
        <v/>
      </c>
      <c r="D1472" s="11" t="str">
        <f t="shared" si="120"/>
        <v/>
      </c>
      <c r="E1472" s="11" t="str">
        <f t="shared" si="117"/>
        <v/>
      </c>
      <c r="F1472" s="11" t="str">
        <f t="shared" si="118"/>
        <v/>
      </c>
      <c r="G1472" s="10" t="str">
        <v/>
      </c>
      <c r="H1472" s="11" t="str">
        <v/>
      </c>
      <c r="I1472" s="11" t="str">
        <v/>
      </c>
    </row>
    <row r="1473" spans="2:9">
      <c r="B1473" s="11" t="str">
        <f t="shared" ref="B1473:B1536" si="121">IFERROR(IF(FIND(" ",A1473)=6,IF(IFERROR(FIND(" PB",A1473),"")&lt;&gt;"","артикул",IF(IFERROR(FIND(" CRN",A1473),"")&lt;&gt;"","артикул","")),""),"")</f>
        <v/>
      </c>
      <c r="C1473" s="11" t="str">
        <f t="shared" si="119"/>
        <v/>
      </c>
      <c r="D1473" s="11" t="str">
        <f t="shared" si="120"/>
        <v/>
      </c>
      <c r="E1473" s="11" t="str">
        <f t="shared" si="117"/>
        <v/>
      </c>
      <c r="F1473" s="11" t="str">
        <f t="shared" si="118"/>
        <v/>
      </c>
      <c r="G1473" s="10" t="str">
        <v/>
      </c>
      <c r="H1473" s="11" t="str">
        <v/>
      </c>
      <c r="I1473" s="11" t="str">
        <v/>
      </c>
    </row>
    <row r="1474" spans="2:9">
      <c r="B1474" s="11" t="str">
        <f t="shared" si="121"/>
        <v/>
      </c>
      <c r="C1474" s="11" t="str">
        <f t="shared" si="119"/>
        <v/>
      </c>
      <c r="D1474" s="11" t="str">
        <f t="shared" si="120"/>
        <v/>
      </c>
      <c r="E1474" s="11" t="str">
        <f t="shared" ref="E1474:E1537" si="122" xml:space="preserve">
IF(B1474="Артикул",
IF(
AND(RIGHT(A1475,1)="%",
RIGHT(A1476,1)="%",
RIGHT(A1477,1)="%",
RIGHT(A1478,1)="%"),MID(A1479,FIND(" ",A1479),50),
IF(
AND(RIGHT(A1475,1)="%",
RIGHT(A1476,1)="%",
RIGHT(A1477,1)="%"),MID(A1478,FIND(" ",A1478),50),
IF(
AND(RIGHT(A1475,1)="%",
RIGHT(A1476,1)="%"),
MID(A1477,FIND(" ",A1477),50),
IF(
RIGHT(A1475,1)="%",
MID(A1476,FIND(" ",A1476),50),"")))),"")</f>
        <v/>
      </c>
      <c r="F1474" s="11" t="str">
        <f t="shared" ref="F1474:F1537" si="123">IFERROR(
IF(
AND(LEFT(A1474,8)="Discount",FIND("%",A1474)&gt;0),
MID(A1474,
FIND(" ",A1474),
FIND("%",A1474)-FIND(" ",A1474))
*-1,""),"")</f>
        <v/>
      </c>
      <c r="G1474" s="10" t="str">
        <v/>
      </c>
      <c r="H1474" s="11" t="str">
        <v/>
      </c>
      <c r="I1474" s="11" t="str">
        <v/>
      </c>
    </row>
    <row r="1475" spans="2:9">
      <c r="B1475" s="11" t="str">
        <f t="shared" si="121"/>
        <v/>
      </c>
      <c r="C1475" s="11" t="str">
        <f t="shared" si="119"/>
        <v/>
      </c>
      <c r="D1475" s="11" t="str">
        <f t="shared" si="120"/>
        <v/>
      </c>
      <c r="E1475" s="11" t="str">
        <f t="shared" si="122"/>
        <v/>
      </c>
      <c r="F1475" s="11" t="str">
        <f t="shared" si="123"/>
        <v/>
      </c>
      <c r="G1475" s="10" t="str">
        <v/>
      </c>
      <c r="H1475" s="11" t="str">
        <v/>
      </c>
      <c r="I1475" s="11" t="str">
        <v/>
      </c>
    </row>
    <row r="1476" spans="2:9">
      <c r="B1476" s="11" t="str">
        <f t="shared" si="121"/>
        <v/>
      </c>
      <c r="C1476" s="11" t="str">
        <f t="shared" si="119"/>
        <v/>
      </c>
      <c r="D1476" s="11" t="str">
        <f t="shared" si="120"/>
        <v/>
      </c>
      <c r="E1476" s="11" t="str">
        <f t="shared" si="122"/>
        <v/>
      </c>
      <c r="F1476" s="11" t="str">
        <f t="shared" si="123"/>
        <v/>
      </c>
      <c r="G1476" s="10" t="str">
        <v/>
      </c>
      <c r="H1476" s="11" t="str">
        <v/>
      </c>
      <c r="I1476" s="11" t="str">
        <v/>
      </c>
    </row>
    <row r="1477" spans="2:9">
      <c r="B1477" s="11" t="str">
        <f t="shared" si="121"/>
        <v/>
      </c>
      <c r="C1477" s="11" t="str">
        <f t="shared" si="119"/>
        <v/>
      </c>
      <c r="D1477" s="11" t="str">
        <f t="shared" si="120"/>
        <v/>
      </c>
      <c r="E1477" s="11" t="str">
        <f t="shared" si="122"/>
        <v/>
      </c>
      <c r="F1477" s="11" t="str">
        <f t="shared" si="123"/>
        <v/>
      </c>
      <c r="G1477" s="10" t="str">
        <v/>
      </c>
      <c r="H1477" s="11" t="str">
        <v/>
      </c>
      <c r="I1477" s="11" t="str">
        <v/>
      </c>
    </row>
    <row r="1478" spans="2:9">
      <c r="B1478" s="11" t="str">
        <f t="shared" si="121"/>
        <v/>
      </c>
      <c r="C1478" s="11" t="str">
        <f t="shared" si="119"/>
        <v/>
      </c>
      <c r="D1478" s="11" t="str">
        <f t="shared" si="120"/>
        <v/>
      </c>
      <c r="E1478" s="11" t="str">
        <f t="shared" si="122"/>
        <v/>
      </c>
      <c r="F1478" s="11" t="str">
        <f t="shared" si="123"/>
        <v/>
      </c>
      <c r="G1478" s="10" t="str">
        <v/>
      </c>
      <c r="H1478" s="11" t="str">
        <v/>
      </c>
      <c r="I1478" s="11" t="str">
        <v/>
      </c>
    </row>
    <row r="1479" spans="2:9">
      <c r="B1479" s="11" t="str">
        <f t="shared" si="121"/>
        <v/>
      </c>
      <c r="C1479" s="11" t="str">
        <f t="shared" si="119"/>
        <v/>
      </c>
      <c r="D1479" s="11" t="str">
        <f t="shared" si="120"/>
        <v/>
      </c>
      <c r="E1479" s="11" t="str">
        <f t="shared" si="122"/>
        <v/>
      </c>
      <c r="F1479" s="11" t="str">
        <f t="shared" si="123"/>
        <v/>
      </c>
      <c r="G1479" s="10" t="str">
        <v/>
      </c>
      <c r="H1479" s="11" t="str">
        <v/>
      </c>
      <c r="I1479" s="11" t="str">
        <v/>
      </c>
    </row>
    <row r="1480" spans="2:9">
      <c r="B1480" s="11" t="str">
        <f t="shared" si="121"/>
        <v/>
      </c>
      <c r="C1480" s="11" t="str">
        <f t="shared" si="119"/>
        <v/>
      </c>
      <c r="D1480" s="11" t="str">
        <f t="shared" si="120"/>
        <v/>
      </c>
      <c r="E1480" s="11" t="str">
        <f t="shared" si="122"/>
        <v/>
      </c>
      <c r="F1480" s="11" t="str">
        <f t="shared" si="123"/>
        <v/>
      </c>
      <c r="G1480" s="10" t="str">
        <v/>
      </c>
      <c r="H1480" s="11" t="str">
        <v/>
      </c>
      <c r="I1480" s="11" t="str">
        <v/>
      </c>
    </row>
    <row r="1481" spans="2:9">
      <c r="B1481" s="11" t="str">
        <f t="shared" si="121"/>
        <v/>
      </c>
      <c r="C1481" s="11" t="str">
        <f t="shared" si="119"/>
        <v/>
      </c>
      <c r="D1481" s="11" t="str">
        <f t="shared" si="120"/>
        <v/>
      </c>
      <c r="E1481" s="11" t="str">
        <f t="shared" si="122"/>
        <v/>
      </c>
      <c r="F1481" s="11" t="str">
        <f t="shared" si="123"/>
        <v/>
      </c>
      <c r="G1481" s="10" t="str">
        <v/>
      </c>
      <c r="H1481" s="11" t="str">
        <v/>
      </c>
      <c r="I1481" s="11" t="str">
        <v/>
      </c>
    </row>
    <row r="1482" spans="2:9">
      <c r="B1482" s="11" t="str">
        <f t="shared" si="121"/>
        <v/>
      </c>
      <c r="C1482" s="11" t="str">
        <f t="shared" si="119"/>
        <v/>
      </c>
      <c r="D1482" s="11" t="str">
        <f t="shared" si="120"/>
        <v/>
      </c>
      <c r="E1482" s="11" t="str">
        <f t="shared" si="122"/>
        <v/>
      </c>
      <c r="F1482" s="11" t="str">
        <f t="shared" si="123"/>
        <v/>
      </c>
      <c r="G1482" s="10" t="str">
        <v/>
      </c>
      <c r="H1482" s="11" t="str">
        <v/>
      </c>
      <c r="I1482" s="11" t="str">
        <v/>
      </c>
    </row>
    <row r="1483" spans="2:9">
      <c r="B1483" s="11" t="str">
        <f t="shared" si="121"/>
        <v/>
      </c>
      <c r="C1483" s="11" t="str">
        <f t="shared" si="119"/>
        <v/>
      </c>
      <c r="D1483" s="11" t="str">
        <f t="shared" si="120"/>
        <v/>
      </c>
      <c r="E1483" s="11" t="str">
        <f t="shared" si="122"/>
        <v/>
      </c>
      <c r="F1483" s="11" t="str">
        <f t="shared" si="123"/>
        <v/>
      </c>
      <c r="G1483" s="10" t="str">
        <v/>
      </c>
      <c r="H1483" s="11" t="str">
        <v/>
      </c>
      <c r="I1483" s="11" t="str">
        <v/>
      </c>
    </row>
    <row r="1484" spans="2:9">
      <c r="B1484" s="11" t="str">
        <f t="shared" si="121"/>
        <v/>
      </c>
      <c r="C1484" s="11" t="str">
        <f t="shared" si="119"/>
        <v/>
      </c>
      <c r="D1484" s="11" t="str">
        <f t="shared" si="120"/>
        <v/>
      </c>
      <c r="E1484" s="11" t="str">
        <f t="shared" si="122"/>
        <v/>
      </c>
      <c r="F1484" s="11" t="str">
        <f t="shared" si="123"/>
        <v/>
      </c>
      <c r="G1484" s="10" t="str">
        <v/>
      </c>
      <c r="H1484" s="11" t="str">
        <v/>
      </c>
      <c r="I1484" s="11" t="str">
        <v/>
      </c>
    </row>
    <row r="1485" spans="2:9">
      <c r="B1485" s="11" t="str">
        <f t="shared" si="121"/>
        <v/>
      </c>
      <c r="C1485" s="11" t="str">
        <f t="shared" ref="C1485:C1548" si="124">IF(B1485="артикул",A1485,"")</f>
        <v/>
      </c>
      <c r="D1485" s="11" t="str">
        <f t="shared" ref="D1485:D1548" si="125">IF(B1485="артикул",A1486,"")</f>
        <v/>
      </c>
      <c r="E1485" s="11" t="str">
        <f t="shared" si="122"/>
        <v/>
      </c>
      <c r="F1485" s="11" t="str">
        <f t="shared" si="123"/>
        <v/>
      </c>
      <c r="G1485" s="10" t="str">
        <v/>
      </c>
      <c r="H1485" s="11" t="str">
        <v/>
      </c>
      <c r="I1485" s="11" t="str">
        <v/>
      </c>
    </row>
    <row r="1486" spans="2:9">
      <c r="B1486" s="11" t="str">
        <f t="shared" si="121"/>
        <v/>
      </c>
      <c r="C1486" s="11" t="str">
        <f t="shared" si="124"/>
        <v/>
      </c>
      <c r="D1486" s="11" t="str">
        <f t="shared" si="125"/>
        <v/>
      </c>
      <c r="E1486" s="11" t="str">
        <f t="shared" si="122"/>
        <v/>
      </c>
      <c r="F1486" s="11" t="str">
        <f t="shared" si="123"/>
        <v/>
      </c>
      <c r="G1486" s="10" t="str">
        <v/>
      </c>
      <c r="H1486" s="11" t="str">
        <v/>
      </c>
      <c r="I1486" s="11" t="str">
        <v/>
      </c>
    </row>
    <row r="1487" spans="2:9">
      <c r="B1487" s="11" t="str">
        <f t="shared" si="121"/>
        <v/>
      </c>
      <c r="C1487" s="11" t="str">
        <f t="shared" si="124"/>
        <v/>
      </c>
      <c r="D1487" s="11" t="str">
        <f t="shared" si="125"/>
        <v/>
      </c>
      <c r="E1487" s="11" t="str">
        <f t="shared" si="122"/>
        <v/>
      </c>
      <c r="F1487" s="11" t="str">
        <f t="shared" si="123"/>
        <v/>
      </c>
      <c r="G1487" s="10" t="str">
        <v/>
      </c>
      <c r="H1487" s="11" t="str">
        <v/>
      </c>
      <c r="I1487" s="11" t="str">
        <v/>
      </c>
    </row>
    <row r="1488" spans="2:9">
      <c r="B1488" s="11" t="str">
        <f t="shared" si="121"/>
        <v/>
      </c>
      <c r="C1488" s="11" t="str">
        <f t="shared" si="124"/>
        <v/>
      </c>
      <c r="D1488" s="11" t="str">
        <f t="shared" si="125"/>
        <v/>
      </c>
      <c r="E1488" s="11" t="str">
        <f t="shared" si="122"/>
        <v/>
      </c>
      <c r="F1488" s="11" t="str">
        <f t="shared" si="123"/>
        <v/>
      </c>
      <c r="G1488" s="10" t="str">
        <v/>
      </c>
      <c r="H1488" s="11" t="str">
        <v/>
      </c>
      <c r="I1488" s="11" t="str">
        <v/>
      </c>
    </row>
    <row r="1489" spans="2:9">
      <c r="B1489" s="11" t="str">
        <f t="shared" si="121"/>
        <v/>
      </c>
      <c r="C1489" s="11" t="str">
        <f t="shared" si="124"/>
        <v/>
      </c>
      <c r="D1489" s="11" t="str">
        <f t="shared" si="125"/>
        <v/>
      </c>
      <c r="E1489" s="11" t="str">
        <f t="shared" si="122"/>
        <v/>
      </c>
      <c r="F1489" s="11" t="str">
        <f t="shared" si="123"/>
        <v/>
      </c>
      <c r="G1489" s="10" t="str">
        <v/>
      </c>
      <c r="H1489" s="11" t="str">
        <v/>
      </c>
      <c r="I1489" s="11" t="str">
        <v/>
      </c>
    </row>
    <row r="1490" spans="2:9">
      <c r="B1490" s="11" t="str">
        <f t="shared" si="121"/>
        <v/>
      </c>
      <c r="C1490" s="11" t="str">
        <f t="shared" si="124"/>
        <v/>
      </c>
      <c r="D1490" s="11" t="str">
        <f t="shared" si="125"/>
        <v/>
      </c>
      <c r="E1490" s="11" t="str">
        <f t="shared" si="122"/>
        <v/>
      </c>
      <c r="F1490" s="11" t="str">
        <f t="shared" si="123"/>
        <v/>
      </c>
      <c r="G1490" s="10" t="str">
        <v/>
      </c>
      <c r="H1490" s="11" t="str">
        <v/>
      </c>
      <c r="I1490" s="11" t="str">
        <v/>
      </c>
    </row>
    <row r="1491" spans="2:9">
      <c r="B1491" s="11" t="str">
        <f t="shared" si="121"/>
        <v/>
      </c>
      <c r="C1491" s="11" t="str">
        <f t="shared" si="124"/>
        <v/>
      </c>
      <c r="D1491" s="11" t="str">
        <f t="shared" si="125"/>
        <v/>
      </c>
      <c r="E1491" s="11" t="str">
        <f t="shared" si="122"/>
        <v/>
      </c>
      <c r="F1491" s="11" t="str">
        <f t="shared" si="123"/>
        <v/>
      </c>
      <c r="G1491" s="10" t="str">
        <v/>
      </c>
      <c r="H1491" s="11" t="str">
        <v/>
      </c>
      <c r="I1491" s="11" t="str">
        <v/>
      </c>
    </row>
    <row r="1492" spans="2:9">
      <c r="B1492" s="11" t="str">
        <f t="shared" si="121"/>
        <v/>
      </c>
      <c r="C1492" s="11" t="str">
        <f t="shared" si="124"/>
        <v/>
      </c>
      <c r="D1492" s="11" t="str">
        <f t="shared" si="125"/>
        <v/>
      </c>
      <c r="E1492" s="11" t="str">
        <f t="shared" si="122"/>
        <v/>
      </c>
      <c r="F1492" s="11" t="str">
        <f t="shared" si="123"/>
        <v/>
      </c>
      <c r="G1492" s="10" t="str">
        <v/>
      </c>
      <c r="H1492" s="11" t="str">
        <v/>
      </c>
      <c r="I1492" s="11" t="str">
        <v/>
      </c>
    </row>
    <row r="1493" spans="2:9">
      <c r="B1493" s="11" t="str">
        <f t="shared" si="121"/>
        <v/>
      </c>
      <c r="C1493" s="11" t="str">
        <f t="shared" si="124"/>
        <v/>
      </c>
      <c r="D1493" s="11" t="str">
        <f t="shared" si="125"/>
        <v/>
      </c>
      <c r="E1493" s="11" t="str">
        <f t="shared" si="122"/>
        <v/>
      </c>
      <c r="F1493" s="11" t="str">
        <f t="shared" si="123"/>
        <v/>
      </c>
      <c r="G1493" s="10" t="str">
        <v/>
      </c>
      <c r="H1493" s="11" t="str">
        <v/>
      </c>
      <c r="I1493" s="11" t="str">
        <v/>
      </c>
    </row>
    <row r="1494" spans="2:9">
      <c r="B1494" s="11" t="str">
        <f t="shared" si="121"/>
        <v/>
      </c>
      <c r="C1494" s="11" t="str">
        <f t="shared" si="124"/>
        <v/>
      </c>
      <c r="D1494" s="11" t="str">
        <f t="shared" si="125"/>
        <v/>
      </c>
      <c r="E1494" s="11" t="str">
        <f t="shared" si="122"/>
        <v/>
      </c>
      <c r="F1494" s="11" t="str">
        <f t="shared" si="123"/>
        <v/>
      </c>
      <c r="G1494" s="10" t="str">
        <v/>
      </c>
      <c r="H1494" s="11" t="str">
        <v/>
      </c>
      <c r="I1494" s="11" t="str">
        <v/>
      </c>
    </row>
    <row r="1495" spans="2:9">
      <c r="B1495" s="11" t="str">
        <f t="shared" si="121"/>
        <v/>
      </c>
      <c r="C1495" s="11" t="str">
        <f t="shared" si="124"/>
        <v/>
      </c>
      <c r="D1495" s="11" t="str">
        <f t="shared" si="125"/>
        <v/>
      </c>
      <c r="E1495" s="11" t="str">
        <f t="shared" si="122"/>
        <v/>
      </c>
      <c r="F1495" s="11" t="str">
        <f t="shared" si="123"/>
        <v/>
      </c>
      <c r="G1495" s="10" t="str">
        <v/>
      </c>
      <c r="H1495" s="11" t="str">
        <v/>
      </c>
      <c r="I1495" s="11" t="str">
        <v/>
      </c>
    </row>
    <row r="1496" spans="2:9">
      <c r="B1496" s="11" t="str">
        <f t="shared" si="121"/>
        <v/>
      </c>
      <c r="C1496" s="11" t="str">
        <f t="shared" si="124"/>
        <v/>
      </c>
      <c r="D1496" s="11" t="str">
        <f t="shared" si="125"/>
        <v/>
      </c>
      <c r="E1496" s="11" t="str">
        <f t="shared" si="122"/>
        <v/>
      </c>
      <c r="F1496" s="11" t="str">
        <f t="shared" si="123"/>
        <v/>
      </c>
      <c r="G1496" s="10" t="str">
        <v/>
      </c>
      <c r="H1496" s="11" t="str">
        <v/>
      </c>
      <c r="I1496" s="11" t="str">
        <v/>
      </c>
    </row>
    <row r="1497" spans="2:9">
      <c r="B1497" s="11" t="str">
        <f t="shared" si="121"/>
        <v/>
      </c>
      <c r="C1497" s="11" t="str">
        <f t="shared" si="124"/>
        <v/>
      </c>
      <c r="D1497" s="11" t="str">
        <f t="shared" si="125"/>
        <v/>
      </c>
      <c r="E1497" s="11" t="str">
        <f t="shared" si="122"/>
        <v/>
      </c>
      <c r="F1497" s="11" t="str">
        <f t="shared" si="123"/>
        <v/>
      </c>
      <c r="G1497" s="10" t="str">
        <v/>
      </c>
      <c r="H1497" s="11" t="str">
        <v/>
      </c>
      <c r="I1497" s="11" t="str">
        <v/>
      </c>
    </row>
    <row r="1498" spans="2:9">
      <c r="B1498" s="11" t="str">
        <f t="shared" si="121"/>
        <v/>
      </c>
      <c r="C1498" s="11" t="str">
        <f t="shared" si="124"/>
        <v/>
      </c>
      <c r="D1498" s="11" t="str">
        <f t="shared" si="125"/>
        <v/>
      </c>
      <c r="E1498" s="11" t="str">
        <f t="shared" si="122"/>
        <v/>
      </c>
      <c r="F1498" s="11" t="str">
        <f t="shared" si="123"/>
        <v/>
      </c>
      <c r="G1498" s="10" t="str">
        <v/>
      </c>
      <c r="H1498" s="11" t="str">
        <v/>
      </c>
      <c r="I1498" s="11" t="str">
        <v/>
      </c>
    </row>
    <row r="1499" spans="2:9">
      <c r="B1499" s="11" t="str">
        <f t="shared" si="121"/>
        <v/>
      </c>
      <c r="C1499" s="11" t="str">
        <f t="shared" si="124"/>
        <v/>
      </c>
      <c r="D1499" s="11" t="str">
        <f t="shared" si="125"/>
        <v/>
      </c>
      <c r="E1499" s="11" t="str">
        <f t="shared" si="122"/>
        <v/>
      </c>
      <c r="F1499" s="11" t="str">
        <f t="shared" si="123"/>
        <v/>
      </c>
      <c r="G1499" s="10" t="str">
        <v/>
      </c>
      <c r="H1499" s="11" t="str">
        <v/>
      </c>
      <c r="I1499" s="11" t="str">
        <v/>
      </c>
    </row>
    <row r="1500" spans="2:9">
      <c r="B1500" s="11" t="str">
        <f t="shared" si="121"/>
        <v/>
      </c>
      <c r="C1500" s="11" t="str">
        <f t="shared" si="124"/>
        <v/>
      </c>
      <c r="D1500" s="11" t="str">
        <f t="shared" si="125"/>
        <v/>
      </c>
      <c r="E1500" s="11" t="str">
        <f t="shared" si="122"/>
        <v/>
      </c>
      <c r="F1500" s="11" t="str">
        <f t="shared" si="123"/>
        <v/>
      </c>
      <c r="G1500" s="10" t="str">
        <v/>
      </c>
      <c r="H1500" s="11" t="str">
        <v/>
      </c>
      <c r="I1500" s="11" t="str">
        <v/>
      </c>
    </row>
    <row r="1501" spans="2:9">
      <c r="B1501" s="11" t="str">
        <f t="shared" si="121"/>
        <v/>
      </c>
      <c r="C1501" s="11" t="str">
        <f t="shared" si="124"/>
        <v/>
      </c>
      <c r="D1501" s="11" t="str">
        <f t="shared" si="125"/>
        <v/>
      </c>
      <c r="E1501" s="11" t="str">
        <f t="shared" si="122"/>
        <v/>
      </c>
      <c r="F1501" s="11" t="str">
        <f t="shared" si="123"/>
        <v/>
      </c>
      <c r="G1501" s="10" t="str">
        <v/>
      </c>
      <c r="H1501" s="11" t="str">
        <v/>
      </c>
      <c r="I1501" s="11" t="str">
        <v/>
      </c>
    </row>
    <row r="1502" spans="2:9">
      <c r="B1502" s="11" t="str">
        <f t="shared" si="121"/>
        <v/>
      </c>
      <c r="C1502" s="11" t="str">
        <f t="shared" si="124"/>
        <v/>
      </c>
      <c r="D1502" s="11" t="str">
        <f t="shared" si="125"/>
        <v/>
      </c>
      <c r="E1502" s="11" t="str">
        <f t="shared" si="122"/>
        <v/>
      </c>
      <c r="F1502" s="11" t="str">
        <f t="shared" si="123"/>
        <v/>
      </c>
      <c r="G1502" s="10" t="str">
        <v/>
      </c>
      <c r="H1502" s="11" t="str">
        <v/>
      </c>
      <c r="I1502" s="11" t="str">
        <v/>
      </c>
    </row>
    <row r="1503" spans="2:9">
      <c r="B1503" s="11" t="str">
        <f t="shared" si="121"/>
        <v/>
      </c>
      <c r="C1503" s="11" t="str">
        <f t="shared" si="124"/>
        <v/>
      </c>
      <c r="D1503" s="11" t="str">
        <f t="shared" si="125"/>
        <v/>
      </c>
      <c r="E1503" s="11" t="str">
        <f t="shared" si="122"/>
        <v/>
      </c>
      <c r="F1503" s="11" t="str">
        <f t="shared" si="123"/>
        <v/>
      </c>
      <c r="G1503" s="10" t="str">
        <v/>
      </c>
      <c r="H1503" s="11" t="str">
        <v/>
      </c>
      <c r="I1503" s="11" t="str">
        <v/>
      </c>
    </row>
    <row r="1504" spans="2:9">
      <c r="B1504" s="11" t="str">
        <f t="shared" si="121"/>
        <v/>
      </c>
      <c r="C1504" s="11" t="str">
        <f t="shared" si="124"/>
        <v/>
      </c>
      <c r="D1504" s="11" t="str">
        <f t="shared" si="125"/>
        <v/>
      </c>
      <c r="E1504" s="11" t="str">
        <f t="shared" si="122"/>
        <v/>
      </c>
      <c r="F1504" s="11" t="str">
        <f t="shared" si="123"/>
        <v/>
      </c>
      <c r="G1504" s="10" t="str">
        <v/>
      </c>
      <c r="H1504" s="11" t="str">
        <v/>
      </c>
      <c r="I1504" s="11" t="str">
        <v/>
      </c>
    </row>
    <row r="1505" spans="2:9">
      <c r="B1505" s="11" t="str">
        <f t="shared" si="121"/>
        <v/>
      </c>
      <c r="C1505" s="11" t="str">
        <f t="shared" si="124"/>
        <v/>
      </c>
      <c r="D1505" s="11" t="str">
        <f t="shared" si="125"/>
        <v/>
      </c>
      <c r="E1505" s="11" t="str">
        <f t="shared" si="122"/>
        <v/>
      </c>
      <c r="F1505" s="11" t="str">
        <f t="shared" si="123"/>
        <v/>
      </c>
      <c r="G1505" s="10" t="str">
        <v/>
      </c>
      <c r="H1505" s="11" t="str">
        <v/>
      </c>
      <c r="I1505" s="11" t="str">
        <v/>
      </c>
    </row>
    <row r="1506" spans="2:9">
      <c r="B1506" s="11" t="str">
        <f t="shared" si="121"/>
        <v/>
      </c>
      <c r="C1506" s="11" t="str">
        <f t="shared" si="124"/>
        <v/>
      </c>
      <c r="D1506" s="11" t="str">
        <f t="shared" si="125"/>
        <v/>
      </c>
      <c r="E1506" s="11" t="str">
        <f t="shared" si="122"/>
        <v/>
      </c>
      <c r="F1506" s="11" t="str">
        <f t="shared" si="123"/>
        <v/>
      </c>
      <c r="G1506" s="10" t="str">
        <v/>
      </c>
      <c r="H1506" s="11" t="str">
        <v/>
      </c>
      <c r="I1506" s="11" t="str">
        <v/>
      </c>
    </row>
    <row r="1507" spans="2:9">
      <c r="B1507" s="11" t="str">
        <f t="shared" si="121"/>
        <v/>
      </c>
      <c r="C1507" s="11" t="str">
        <f t="shared" si="124"/>
        <v/>
      </c>
      <c r="D1507" s="11" t="str">
        <f t="shared" si="125"/>
        <v/>
      </c>
      <c r="E1507" s="11" t="str">
        <f t="shared" si="122"/>
        <v/>
      </c>
      <c r="F1507" s="11" t="str">
        <f t="shared" si="123"/>
        <v/>
      </c>
      <c r="G1507" s="10" t="str">
        <v/>
      </c>
      <c r="H1507" s="11" t="str">
        <v/>
      </c>
      <c r="I1507" s="11" t="str">
        <v/>
      </c>
    </row>
    <row r="1508" spans="2:9">
      <c r="B1508" s="11" t="str">
        <f t="shared" si="121"/>
        <v/>
      </c>
      <c r="C1508" s="11" t="str">
        <f t="shared" si="124"/>
        <v/>
      </c>
      <c r="D1508" s="11" t="str">
        <f t="shared" si="125"/>
        <v/>
      </c>
      <c r="E1508" s="11" t="str">
        <f t="shared" si="122"/>
        <v/>
      </c>
      <c r="F1508" s="11" t="str">
        <f t="shared" si="123"/>
        <v/>
      </c>
      <c r="G1508" s="10" t="str">
        <v/>
      </c>
      <c r="H1508" s="11" t="str">
        <v/>
      </c>
      <c r="I1508" s="11" t="str">
        <v/>
      </c>
    </row>
    <row r="1509" spans="2:9">
      <c r="B1509" s="11" t="str">
        <f t="shared" si="121"/>
        <v/>
      </c>
      <c r="C1509" s="11" t="str">
        <f t="shared" si="124"/>
        <v/>
      </c>
      <c r="D1509" s="11" t="str">
        <f t="shared" si="125"/>
        <v/>
      </c>
      <c r="E1509" s="11" t="str">
        <f t="shared" si="122"/>
        <v/>
      </c>
      <c r="F1509" s="11" t="str">
        <f t="shared" si="123"/>
        <v/>
      </c>
      <c r="G1509" s="10" t="str">
        <v/>
      </c>
      <c r="H1509" s="11" t="str">
        <v/>
      </c>
      <c r="I1509" s="11" t="str">
        <v/>
      </c>
    </row>
    <row r="1510" spans="2:9">
      <c r="B1510" s="11" t="str">
        <f t="shared" si="121"/>
        <v/>
      </c>
      <c r="C1510" s="11" t="str">
        <f t="shared" si="124"/>
        <v/>
      </c>
      <c r="D1510" s="11" t="str">
        <f t="shared" si="125"/>
        <v/>
      </c>
      <c r="E1510" s="11" t="str">
        <f t="shared" si="122"/>
        <v/>
      </c>
      <c r="F1510" s="11" t="str">
        <f t="shared" si="123"/>
        <v/>
      </c>
      <c r="G1510" s="10" t="str">
        <v/>
      </c>
      <c r="H1510" s="11" t="str">
        <v/>
      </c>
      <c r="I1510" s="11" t="str">
        <v/>
      </c>
    </row>
    <row r="1511" spans="2:9">
      <c r="B1511" s="11" t="str">
        <f t="shared" si="121"/>
        <v/>
      </c>
      <c r="C1511" s="11" t="str">
        <f t="shared" si="124"/>
        <v/>
      </c>
      <c r="D1511" s="11" t="str">
        <f t="shared" si="125"/>
        <v/>
      </c>
      <c r="E1511" s="11" t="str">
        <f t="shared" si="122"/>
        <v/>
      </c>
      <c r="F1511" s="11" t="str">
        <f t="shared" si="123"/>
        <v/>
      </c>
      <c r="G1511" s="10" t="str">
        <v/>
      </c>
      <c r="H1511" s="11" t="str">
        <v/>
      </c>
      <c r="I1511" s="11" t="str">
        <v/>
      </c>
    </row>
    <row r="1512" spans="2:9">
      <c r="B1512" s="11" t="str">
        <f t="shared" si="121"/>
        <v/>
      </c>
      <c r="C1512" s="11" t="str">
        <f t="shared" si="124"/>
        <v/>
      </c>
      <c r="D1512" s="11" t="str">
        <f t="shared" si="125"/>
        <v/>
      </c>
      <c r="E1512" s="11" t="str">
        <f t="shared" si="122"/>
        <v/>
      </c>
      <c r="F1512" s="11" t="str">
        <f t="shared" si="123"/>
        <v/>
      </c>
      <c r="G1512" s="10" t="str">
        <v/>
      </c>
      <c r="H1512" s="11" t="str">
        <v/>
      </c>
      <c r="I1512" s="11" t="str">
        <v/>
      </c>
    </row>
    <row r="1513" spans="2:9">
      <c r="B1513" s="11" t="str">
        <f t="shared" si="121"/>
        <v/>
      </c>
      <c r="C1513" s="11" t="str">
        <f t="shared" si="124"/>
        <v/>
      </c>
      <c r="D1513" s="11" t="str">
        <f t="shared" si="125"/>
        <v/>
      </c>
      <c r="E1513" s="11" t="str">
        <f t="shared" si="122"/>
        <v/>
      </c>
      <c r="F1513" s="11" t="str">
        <f t="shared" si="123"/>
        <v/>
      </c>
      <c r="G1513" s="10" t="str">
        <v/>
      </c>
      <c r="H1513" s="11" t="str">
        <v/>
      </c>
      <c r="I1513" s="11" t="str">
        <v/>
      </c>
    </row>
    <row r="1514" spans="2:9">
      <c r="B1514" s="11" t="str">
        <f t="shared" si="121"/>
        <v/>
      </c>
      <c r="C1514" s="11" t="str">
        <f t="shared" si="124"/>
        <v/>
      </c>
      <c r="D1514" s="11" t="str">
        <f t="shared" si="125"/>
        <v/>
      </c>
      <c r="E1514" s="11" t="str">
        <f t="shared" si="122"/>
        <v/>
      </c>
      <c r="F1514" s="11" t="str">
        <f t="shared" si="123"/>
        <v/>
      </c>
      <c r="G1514" s="10" t="str">
        <v/>
      </c>
      <c r="H1514" s="11" t="str">
        <v/>
      </c>
      <c r="I1514" s="11" t="str">
        <v/>
      </c>
    </row>
    <row r="1515" spans="2:9">
      <c r="B1515" s="11" t="str">
        <f t="shared" si="121"/>
        <v/>
      </c>
      <c r="C1515" s="11" t="str">
        <f t="shared" si="124"/>
        <v/>
      </c>
      <c r="D1515" s="11" t="str">
        <f t="shared" si="125"/>
        <v/>
      </c>
      <c r="E1515" s="11" t="str">
        <f t="shared" si="122"/>
        <v/>
      </c>
      <c r="F1515" s="11" t="str">
        <f t="shared" si="123"/>
        <v/>
      </c>
      <c r="G1515" s="10" t="str">
        <v/>
      </c>
      <c r="H1515" s="11" t="str">
        <v/>
      </c>
      <c r="I1515" s="11" t="str">
        <v/>
      </c>
    </row>
    <row r="1516" spans="2:9">
      <c r="B1516" s="11" t="str">
        <f t="shared" si="121"/>
        <v/>
      </c>
      <c r="C1516" s="11" t="str">
        <f t="shared" si="124"/>
        <v/>
      </c>
      <c r="D1516" s="11" t="str">
        <f t="shared" si="125"/>
        <v/>
      </c>
      <c r="E1516" s="11" t="str">
        <f t="shared" si="122"/>
        <v/>
      </c>
      <c r="F1516" s="11" t="str">
        <f t="shared" si="123"/>
        <v/>
      </c>
      <c r="G1516" s="10" t="str">
        <v/>
      </c>
      <c r="H1516" s="11" t="str">
        <v/>
      </c>
      <c r="I1516" s="11" t="str">
        <v/>
      </c>
    </row>
    <row r="1517" spans="2:9">
      <c r="B1517" s="11" t="str">
        <f t="shared" si="121"/>
        <v/>
      </c>
      <c r="C1517" s="11" t="str">
        <f t="shared" si="124"/>
        <v/>
      </c>
      <c r="D1517" s="11" t="str">
        <f t="shared" si="125"/>
        <v/>
      </c>
      <c r="E1517" s="11" t="str">
        <f t="shared" si="122"/>
        <v/>
      </c>
      <c r="F1517" s="11" t="str">
        <f t="shared" si="123"/>
        <v/>
      </c>
      <c r="G1517" s="10" t="str">
        <v/>
      </c>
      <c r="H1517" s="11" t="str">
        <v/>
      </c>
      <c r="I1517" s="11" t="str">
        <v/>
      </c>
    </row>
    <row r="1518" spans="2:9">
      <c r="B1518" s="11" t="str">
        <f t="shared" si="121"/>
        <v/>
      </c>
      <c r="C1518" s="11" t="str">
        <f t="shared" si="124"/>
        <v/>
      </c>
      <c r="D1518" s="11" t="str">
        <f t="shared" si="125"/>
        <v/>
      </c>
      <c r="E1518" s="11" t="str">
        <f t="shared" si="122"/>
        <v/>
      </c>
      <c r="F1518" s="11" t="str">
        <f t="shared" si="123"/>
        <v/>
      </c>
      <c r="G1518" s="10" t="str">
        <v/>
      </c>
      <c r="H1518" s="11" t="str">
        <v/>
      </c>
      <c r="I1518" s="11" t="str">
        <v/>
      </c>
    </row>
    <row r="1519" spans="2:9">
      <c r="B1519" s="11" t="str">
        <f t="shared" si="121"/>
        <v/>
      </c>
      <c r="C1519" s="11" t="str">
        <f t="shared" si="124"/>
        <v/>
      </c>
      <c r="D1519" s="11" t="str">
        <f t="shared" si="125"/>
        <v/>
      </c>
      <c r="E1519" s="11" t="str">
        <f t="shared" si="122"/>
        <v/>
      </c>
      <c r="F1519" s="11" t="str">
        <f t="shared" si="123"/>
        <v/>
      </c>
      <c r="G1519" s="10" t="str">
        <v/>
      </c>
      <c r="H1519" s="11" t="str">
        <v/>
      </c>
      <c r="I1519" s="11" t="str">
        <v/>
      </c>
    </row>
    <row r="1520" spans="2:9">
      <c r="B1520" s="11" t="str">
        <f t="shared" si="121"/>
        <v/>
      </c>
      <c r="C1520" s="11" t="str">
        <f t="shared" si="124"/>
        <v/>
      </c>
      <c r="D1520" s="11" t="str">
        <f t="shared" si="125"/>
        <v/>
      </c>
      <c r="E1520" s="11" t="str">
        <f t="shared" si="122"/>
        <v/>
      </c>
      <c r="F1520" s="11" t="str">
        <f t="shared" si="123"/>
        <v/>
      </c>
      <c r="G1520" s="10" t="str">
        <v/>
      </c>
      <c r="H1520" s="11" t="str">
        <v/>
      </c>
      <c r="I1520" s="11" t="str">
        <v/>
      </c>
    </row>
    <row r="1521" spans="2:9">
      <c r="B1521" s="11" t="str">
        <f t="shared" si="121"/>
        <v/>
      </c>
      <c r="C1521" s="11" t="str">
        <f t="shared" si="124"/>
        <v/>
      </c>
      <c r="D1521" s="11" t="str">
        <f t="shared" si="125"/>
        <v/>
      </c>
      <c r="E1521" s="11" t="str">
        <f t="shared" si="122"/>
        <v/>
      </c>
      <c r="F1521" s="11" t="str">
        <f t="shared" si="123"/>
        <v/>
      </c>
      <c r="G1521" s="10" t="str">
        <v/>
      </c>
      <c r="H1521" s="11" t="str">
        <v/>
      </c>
      <c r="I1521" s="11" t="str">
        <v/>
      </c>
    </row>
    <row r="1522" spans="2:9">
      <c r="B1522" s="11" t="str">
        <f t="shared" si="121"/>
        <v/>
      </c>
      <c r="C1522" s="11" t="str">
        <f t="shared" si="124"/>
        <v/>
      </c>
      <c r="D1522" s="11" t="str">
        <f t="shared" si="125"/>
        <v/>
      </c>
      <c r="E1522" s="11" t="str">
        <f t="shared" si="122"/>
        <v/>
      </c>
      <c r="F1522" s="11" t="str">
        <f t="shared" si="123"/>
        <v/>
      </c>
      <c r="G1522" s="10" t="str">
        <v/>
      </c>
      <c r="H1522" s="11" t="str">
        <v/>
      </c>
      <c r="I1522" s="11" t="str">
        <v/>
      </c>
    </row>
    <row r="1523" spans="2:9">
      <c r="B1523" s="11" t="str">
        <f t="shared" si="121"/>
        <v/>
      </c>
      <c r="C1523" s="11" t="str">
        <f t="shared" si="124"/>
        <v/>
      </c>
      <c r="D1523" s="11" t="str">
        <f t="shared" si="125"/>
        <v/>
      </c>
      <c r="E1523" s="11" t="str">
        <f t="shared" si="122"/>
        <v/>
      </c>
      <c r="F1523" s="11" t="str">
        <f t="shared" si="123"/>
        <v/>
      </c>
      <c r="G1523" s="10" t="str">
        <v/>
      </c>
      <c r="H1523" s="11" t="str">
        <v/>
      </c>
      <c r="I1523" s="11" t="str">
        <v/>
      </c>
    </row>
    <row r="1524" spans="2:9">
      <c r="B1524" s="11" t="str">
        <f t="shared" si="121"/>
        <v/>
      </c>
      <c r="C1524" s="11" t="str">
        <f t="shared" si="124"/>
        <v/>
      </c>
      <c r="D1524" s="11" t="str">
        <f t="shared" si="125"/>
        <v/>
      </c>
      <c r="E1524" s="11" t="str">
        <f t="shared" si="122"/>
        <v/>
      </c>
      <c r="F1524" s="11" t="str">
        <f t="shared" si="123"/>
        <v/>
      </c>
      <c r="G1524" s="10" t="str">
        <v/>
      </c>
      <c r="H1524" s="11" t="str">
        <v/>
      </c>
      <c r="I1524" s="11" t="str">
        <v/>
      </c>
    </row>
    <row r="1525" spans="2:9">
      <c r="B1525" s="11" t="str">
        <f t="shared" si="121"/>
        <v/>
      </c>
      <c r="C1525" s="11" t="str">
        <f t="shared" si="124"/>
        <v/>
      </c>
      <c r="D1525" s="11" t="str">
        <f t="shared" si="125"/>
        <v/>
      </c>
      <c r="E1525" s="11" t="str">
        <f t="shared" si="122"/>
        <v/>
      </c>
      <c r="F1525" s="11" t="str">
        <f t="shared" si="123"/>
        <v/>
      </c>
      <c r="G1525" s="10" t="str">
        <v/>
      </c>
      <c r="H1525" s="11" t="str">
        <v/>
      </c>
      <c r="I1525" s="11" t="str">
        <v/>
      </c>
    </row>
    <row r="1526" spans="2:9">
      <c r="B1526" s="11" t="str">
        <f t="shared" si="121"/>
        <v/>
      </c>
      <c r="C1526" s="11" t="str">
        <f t="shared" si="124"/>
        <v/>
      </c>
      <c r="D1526" s="11" t="str">
        <f t="shared" si="125"/>
        <v/>
      </c>
      <c r="E1526" s="11" t="str">
        <f t="shared" si="122"/>
        <v/>
      </c>
      <c r="F1526" s="11" t="str">
        <f t="shared" si="123"/>
        <v/>
      </c>
      <c r="G1526" s="10" t="str">
        <v/>
      </c>
      <c r="H1526" s="11" t="str">
        <v/>
      </c>
      <c r="I1526" s="11" t="str">
        <v/>
      </c>
    </row>
    <row r="1527" spans="2:9">
      <c r="B1527" s="11" t="str">
        <f t="shared" si="121"/>
        <v/>
      </c>
      <c r="C1527" s="11" t="str">
        <f t="shared" si="124"/>
        <v/>
      </c>
      <c r="D1527" s="11" t="str">
        <f t="shared" si="125"/>
        <v/>
      </c>
      <c r="E1527" s="11" t="str">
        <f t="shared" si="122"/>
        <v/>
      </c>
      <c r="F1527" s="11" t="str">
        <f t="shared" si="123"/>
        <v/>
      </c>
      <c r="G1527" s="10" t="str">
        <v/>
      </c>
      <c r="H1527" s="11" t="str">
        <v/>
      </c>
      <c r="I1527" s="11" t="str">
        <v/>
      </c>
    </row>
    <row r="1528" spans="2:9">
      <c r="B1528" s="11" t="str">
        <f t="shared" si="121"/>
        <v/>
      </c>
      <c r="C1528" s="11" t="str">
        <f t="shared" si="124"/>
        <v/>
      </c>
      <c r="D1528" s="11" t="str">
        <f t="shared" si="125"/>
        <v/>
      </c>
      <c r="E1528" s="11" t="str">
        <f t="shared" si="122"/>
        <v/>
      </c>
      <c r="F1528" s="11" t="str">
        <f t="shared" si="123"/>
        <v/>
      </c>
      <c r="G1528" s="10" t="str">
        <v/>
      </c>
      <c r="H1528" s="11" t="str">
        <v/>
      </c>
      <c r="I1528" s="11" t="str">
        <v/>
      </c>
    </row>
    <row r="1529" spans="2:9">
      <c r="B1529" s="11" t="str">
        <f t="shared" si="121"/>
        <v/>
      </c>
      <c r="C1529" s="11" t="str">
        <f t="shared" si="124"/>
        <v/>
      </c>
      <c r="D1529" s="11" t="str">
        <f t="shared" si="125"/>
        <v/>
      </c>
      <c r="E1529" s="11" t="str">
        <f t="shared" si="122"/>
        <v/>
      </c>
      <c r="F1529" s="11" t="str">
        <f t="shared" si="123"/>
        <v/>
      </c>
      <c r="G1529" s="10" t="str">
        <v/>
      </c>
      <c r="H1529" s="11" t="str">
        <v/>
      </c>
      <c r="I1529" s="11" t="str">
        <v/>
      </c>
    </row>
    <row r="1530" spans="2:9">
      <c r="B1530" s="11" t="str">
        <f t="shared" si="121"/>
        <v/>
      </c>
      <c r="C1530" s="11" t="str">
        <f t="shared" si="124"/>
        <v/>
      </c>
      <c r="D1530" s="11" t="str">
        <f t="shared" si="125"/>
        <v/>
      </c>
      <c r="E1530" s="11" t="str">
        <f t="shared" si="122"/>
        <v/>
      </c>
      <c r="F1530" s="11" t="str">
        <f t="shared" si="123"/>
        <v/>
      </c>
      <c r="G1530" s="10" t="str">
        <v/>
      </c>
      <c r="H1530" s="11" t="str">
        <v/>
      </c>
      <c r="I1530" s="11" t="str">
        <v/>
      </c>
    </row>
    <row r="1531" spans="2:9">
      <c r="B1531" s="11" t="str">
        <f t="shared" si="121"/>
        <v/>
      </c>
      <c r="C1531" s="11" t="str">
        <f t="shared" si="124"/>
        <v/>
      </c>
      <c r="D1531" s="11" t="str">
        <f t="shared" si="125"/>
        <v/>
      </c>
      <c r="E1531" s="11" t="str">
        <f t="shared" si="122"/>
        <v/>
      </c>
      <c r="F1531" s="11" t="str">
        <f t="shared" si="123"/>
        <v/>
      </c>
      <c r="G1531" s="10" t="str">
        <v/>
      </c>
      <c r="H1531" s="11" t="str">
        <v/>
      </c>
      <c r="I1531" s="11" t="str">
        <v/>
      </c>
    </row>
    <row r="1532" spans="2:9">
      <c r="B1532" s="11" t="str">
        <f t="shared" si="121"/>
        <v/>
      </c>
      <c r="C1532" s="11" t="str">
        <f t="shared" si="124"/>
        <v/>
      </c>
      <c r="D1532" s="11" t="str">
        <f t="shared" si="125"/>
        <v/>
      </c>
      <c r="E1532" s="11" t="str">
        <f t="shared" si="122"/>
        <v/>
      </c>
      <c r="F1532" s="11" t="str">
        <f t="shared" si="123"/>
        <v/>
      </c>
      <c r="G1532" s="10" t="str">
        <v/>
      </c>
      <c r="H1532" s="11" t="str">
        <v/>
      </c>
      <c r="I1532" s="11" t="str">
        <v/>
      </c>
    </row>
    <row r="1533" spans="2:9">
      <c r="B1533" s="11" t="str">
        <f t="shared" si="121"/>
        <v/>
      </c>
      <c r="C1533" s="11" t="str">
        <f t="shared" si="124"/>
        <v/>
      </c>
      <c r="D1533" s="11" t="str">
        <f t="shared" si="125"/>
        <v/>
      </c>
      <c r="E1533" s="11" t="str">
        <f t="shared" si="122"/>
        <v/>
      </c>
      <c r="F1533" s="11" t="str">
        <f t="shared" si="123"/>
        <v/>
      </c>
      <c r="G1533" s="10" t="str">
        <v/>
      </c>
      <c r="H1533" s="11" t="str">
        <v/>
      </c>
      <c r="I1533" s="11" t="str">
        <v/>
      </c>
    </row>
    <row r="1534" spans="2:9">
      <c r="B1534" s="11" t="str">
        <f t="shared" si="121"/>
        <v/>
      </c>
      <c r="C1534" s="11" t="str">
        <f t="shared" si="124"/>
        <v/>
      </c>
      <c r="D1534" s="11" t="str">
        <f t="shared" si="125"/>
        <v/>
      </c>
      <c r="E1534" s="11" t="str">
        <f t="shared" si="122"/>
        <v/>
      </c>
      <c r="F1534" s="11" t="str">
        <f t="shared" si="123"/>
        <v/>
      </c>
      <c r="G1534" s="10" t="str">
        <v/>
      </c>
      <c r="H1534" s="11" t="str">
        <v/>
      </c>
      <c r="I1534" s="11" t="str">
        <v/>
      </c>
    </row>
    <row r="1535" spans="2:9">
      <c r="B1535" s="11" t="str">
        <f t="shared" si="121"/>
        <v/>
      </c>
      <c r="C1535" s="11" t="str">
        <f t="shared" si="124"/>
        <v/>
      </c>
      <c r="D1535" s="11" t="str">
        <f t="shared" si="125"/>
        <v/>
      </c>
      <c r="E1535" s="11" t="str">
        <f t="shared" si="122"/>
        <v/>
      </c>
      <c r="F1535" s="11" t="str">
        <f t="shared" si="123"/>
        <v/>
      </c>
      <c r="G1535" s="10" t="str">
        <v/>
      </c>
      <c r="H1535" s="11" t="str">
        <v/>
      </c>
      <c r="I1535" s="11" t="str">
        <v/>
      </c>
    </row>
    <row r="1536" spans="2:9">
      <c r="B1536" s="11" t="str">
        <f t="shared" si="121"/>
        <v/>
      </c>
      <c r="C1536" s="11" t="str">
        <f t="shared" si="124"/>
        <v/>
      </c>
      <c r="D1536" s="11" t="str">
        <f t="shared" si="125"/>
        <v/>
      </c>
      <c r="E1536" s="11" t="str">
        <f t="shared" si="122"/>
        <v/>
      </c>
      <c r="F1536" s="11" t="str">
        <f t="shared" si="123"/>
        <v/>
      </c>
      <c r="G1536" s="10" t="str">
        <v/>
      </c>
      <c r="H1536" s="11" t="str">
        <v/>
      </c>
      <c r="I1536" s="11" t="str">
        <v/>
      </c>
    </row>
    <row r="1537" spans="2:9">
      <c r="B1537" s="11" t="str">
        <f t="shared" ref="B1537:B1600" si="126">IFERROR(IF(FIND(" ",A1537)=6,IF(IFERROR(FIND(" PB",A1537),"")&lt;&gt;"","артикул",IF(IFERROR(FIND(" CRN",A1537),"")&lt;&gt;"","артикул","")),""),"")</f>
        <v/>
      </c>
      <c r="C1537" s="11" t="str">
        <f t="shared" si="124"/>
        <v/>
      </c>
      <c r="D1537" s="11" t="str">
        <f t="shared" si="125"/>
        <v/>
      </c>
      <c r="E1537" s="11" t="str">
        <f t="shared" si="122"/>
        <v/>
      </c>
      <c r="F1537" s="11" t="str">
        <f t="shared" si="123"/>
        <v/>
      </c>
      <c r="G1537" s="10" t="str">
        <v/>
      </c>
      <c r="H1537" s="11" t="str">
        <v/>
      </c>
      <c r="I1537" s="11" t="str">
        <v/>
      </c>
    </row>
    <row r="1538" spans="2:9">
      <c r="B1538" s="11" t="str">
        <f t="shared" si="126"/>
        <v/>
      </c>
      <c r="C1538" s="11" t="str">
        <f t="shared" si="124"/>
        <v/>
      </c>
      <c r="D1538" s="11" t="str">
        <f t="shared" si="125"/>
        <v/>
      </c>
      <c r="E1538" s="11" t="str">
        <f t="shared" ref="E1538:E1601" si="127" xml:space="preserve">
IF(B1538="Артикул",
IF(
AND(RIGHT(A1539,1)="%",
RIGHT(A1540,1)="%",
RIGHT(A1541,1)="%",
RIGHT(A1542,1)="%"),MID(A1543,FIND(" ",A1543),50),
IF(
AND(RIGHT(A1539,1)="%",
RIGHT(A1540,1)="%",
RIGHT(A1541,1)="%"),MID(A1542,FIND(" ",A1542),50),
IF(
AND(RIGHT(A1539,1)="%",
RIGHT(A1540,1)="%"),
MID(A1541,FIND(" ",A1541),50),
IF(
RIGHT(A1539,1)="%",
MID(A1540,FIND(" ",A1540),50),"")))),"")</f>
        <v/>
      </c>
      <c r="F1538" s="11" t="str">
        <f t="shared" ref="F1538:F1601" si="128">IFERROR(
IF(
AND(LEFT(A1538,8)="Discount",FIND("%",A1538)&gt;0),
MID(A1538,
FIND(" ",A1538),
FIND("%",A1538)-FIND(" ",A1538))
*-1,""),"")</f>
        <v/>
      </c>
      <c r="G1538" s="10" t="str">
        <v/>
      </c>
      <c r="H1538" s="11" t="str">
        <v/>
      </c>
      <c r="I1538" s="11" t="str">
        <v/>
      </c>
    </row>
    <row r="1539" spans="2:9">
      <c r="B1539" s="11" t="str">
        <f t="shared" si="126"/>
        <v/>
      </c>
      <c r="C1539" s="11" t="str">
        <f t="shared" si="124"/>
        <v/>
      </c>
      <c r="D1539" s="11" t="str">
        <f t="shared" si="125"/>
        <v/>
      </c>
      <c r="E1539" s="11" t="str">
        <f t="shared" si="127"/>
        <v/>
      </c>
      <c r="F1539" s="11" t="str">
        <f t="shared" si="128"/>
        <v/>
      </c>
      <c r="G1539" s="10" t="str">
        <v/>
      </c>
      <c r="H1539" s="11" t="str">
        <v/>
      </c>
      <c r="I1539" s="11" t="str">
        <v/>
      </c>
    </row>
    <row r="1540" spans="2:9">
      <c r="B1540" s="11" t="str">
        <f t="shared" si="126"/>
        <v/>
      </c>
      <c r="C1540" s="11" t="str">
        <f t="shared" si="124"/>
        <v/>
      </c>
      <c r="D1540" s="11" t="str">
        <f t="shared" si="125"/>
        <v/>
      </c>
      <c r="E1540" s="11" t="str">
        <f t="shared" si="127"/>
        <v/>
      </c>
      <c r="F1540" s="11" t="str">
        <f t="shared" si="128"/>
        <v/>
      </c>
      <c r="G1540" s="10" t="str">
        <v/>
      </c>
      <c r="H1540" s="11" t="str">
        <v/>
      </c>
      <c r="I1540" s="11" t="str">
        <v/>
      </c>
    </row>
    <row r="1541" spans="2:9">
      <c r="B1541" s="11" t="str">
        <f t="shared" si="126"/>
        <v/>
      </c>
      <c r="C1541" s="11" t="str">
        <f t="shared" si="124"/>
        <v/>
      </c>
      <c r="D1541" s="11" t="str">
        <f t="shared" si="125"/>
        <v/>
      </c>
      <c r="E1541" s="11" t="str">
        <f t="shared" si="127"/>
        <v/>
      </c>
      <c r="F1541" s="11" t="str">
        <f t="shared" si="128"/>
        <v/>
      </c>
      <c r="G1541" s="10" t="str">
        <v/>
      </c>
      <c r="H1541" s="11" t="str">
        <v/>
      </c>
      <c r="I1541" s="11" t="str">
        <v/>
      </c>
    </row>
    <row r="1542" spans="2:9">
      <c r="B1542" s="11" t="str">
        <f t="shared" si="126"/>
        <v/>
      </c>
      <c r="C1542" s="11" t="str">
        <f t="shared" si="124"/>
        <v/>
      </c>
      <c r="D1542" s="11" t="str">
        <f t="shared" si="125"/>
        <v/>
      </c>
      <c r="E1542" s="11" t="str">
        <f t="shared" si="127"/>
        <v/>
      </c>
      <c r="F1542" s="11" t="str">
        <f t="shared" si="128"/>
        <v/>
      </c>
      <c r="G1542" s="10" t="str">
        <v/>
      </c>
      <c r="H1542" s="11" t="str">
        <v/>
      </c>
      <c r="I1542" s="11" t="str">
        <v/>
      </c>
    </row>
    <row r="1543" spans="2:9">
      <c r="B1543" s="11" t="str">
        <f t="shared" si="126"/>
        <v/>
      </c>
      <c r="C1543" s="11" t="str">
        <f t="shared" si="124"/>
        <v/>
      </c>
      <c r="D1543" s="11" t="str">
        <f t="shared" si="125"/>
        <v/>
      </c>
      <c r="E1543" s="11" t="str">
        <f t="shared" si="127"/>
        <v/>
      </c>
      <c r="F1543" s="11" t="str">
        <f t="shared" si="128"/>
        <v/>
      </c>
      <c r="G1543" s="10" t="str">
        <v/>
      </c>
      <c r="H1543" s="11" t="str">
        <v/>
      </c>
      <c r="I1543" s="11" t="str">
        <v/>
      </c>
    </row>
    <row r="1544" spans="2:9">
      <c r="B1544" s="11" t="str">
        <f t="shared" si="126"/>
        <v/>
      </c>
      <c r="C1544" s="11" t="str">
        <f t="shared" si="124"/>
        <v/>
      </c>
      <c r="D1544" s="11" t="str">
        <f t="shared" si="125"/>
        <v/>
      </c>
      <c r="E1544" s="11" t="str">
        <f t="shared" si="127"/>
        <v/>
      </c>
      <c r="F1544" s="11" t="str">
        <f t="shared" si="128"/>
        <v/>
      </c>
      <c r="G1544" s="10" t="str">
        <v/>
      </c>
      <c r="H1544" s="11" t="str">
        <v/>
      </c>
      <c r="I1544" s="11" t="str">
        <v/>
      </c>
    </row>
    <row r="1545" spans="2:9">
      <c r="B1545" s="11" t="str">
        <f t="shared" si="126"/>
        <v/>
      </c>
      <c r="C1545" s="11" t="str">
        <f t="shared" si="124"/>
        <v/>
      </c>
      <c r="D1545" s="11" t="str">
        <f t="shared" si="125"/>
        <v/>
      </c>
      <c r="E1545" s="11" t="str">
        <f t="shared" si="127"/>
        <v/>
      </c>
      <c r="F1545" s="11" t="str">
        <f t="shared" si="128"/>
        <v/>
      </c>
      <c r="G1545" s="10" t="str">
        <v/>
      </c>
      <c r="H1545" s="11" t="str">
        <v/>
      </c>
      <c r="I1545" s="11" t="str">
        <v/>
      </c>
    </row>
    <row r="1546" spans="2:9">
      <c r="B1546" s="11" t="str">
        <f t="shared" si="126"/>
        <v/>
      </c>
      <c r="C1546" s="11" t="str">
        <f t="shared" si="124"/>
        <v/>
      </c>
      <c r="D1546" s="11" t="str">
        <f t="shared" si="125"/>
        <v/>
      </c>
      <c r="E1546" s="11" t="str">
        <f t="shared" si="127"/>
        <v/>
      </c>
      <c r="F1546" s="11" t="str">
        <f t="shared" si="128"/>
        <v/>
      </c>
      <c r="G1546" s="10" t="str">
        <v/>
      </c>
      <c r="H1546" s="11" t="str">
        <v/>
      </c>
      <c r="I1546" s="11" t="str">
        <v/>
      </c>
    </row>
    <row r="1547" spans="2:9">
      <c r="B1547" s="11" t="str">
        <f t="shared" si="126"/>
        <v/>
      </c>
      <c r="C1547" s="11" t="str">
        <f t="shared" si="124"/>
        <v/>
      </c>
      <c r="D1547" s="11" t="str">
        <f t="shared" si="125"/>
        <v/>
      </c>
      <c r="E1547" s="11" t="str">
        <f t="shared" si="127"/>
        <v/>
      </c>
      <c r="F1547" s="11" t="str">
        <f t="shared" si="128"/>
        <v/>
      </c>
      <c r="G1547" s="10" t="str">
        <v/>
      </c>
      <c r="H1547" s="11" t="str">
        <v/>
      </c>
      <c r="I1547" s="11" t="str">
        <v/>
      </c>
    </row>
    <row r="1548" spans="2:9">
      <c r="B1548" s="11" t="str">
        <f t="shared" si="126"/>
        <v/>
      </c>
      <c r="C1548" s="11" t="str">
        <f t="shared" si="124"/>
        <v/>
      </c>
      <c r="D1548" s="11" t="str">
        <f t="shared" si="125"/>
        <v/>
      </c>
      <c r="E1548" s="11" t="str">
        <f t="shared" si="127"/>
        <v/>
      </c>
      <c r="F1548" s="11" t="str">
        <f t="shared" si="128"/>
        <v/>
      </c>
      <c r="G1548" s="10" t="str">
        <v/>
      </c>
      <c r="H1548" s="11" t="str">
        <v/>
      </c>
      <c r="I1548" s="11" t="str">
        <v/>
      </c>
    </row>
    <row r="1549" spans="2:9">
      <c r="B1549" s="11" t="str">
        <f t="shared" si="126"/>
        <v/>
      </c>
      <c r="C1549" s="11" t="str">
        <f t="shared" ref="C1549:C1612" si="129">IF(B1549="артикул",A1549,"")</f>
        <v/>
      </c>
      <c r="D1549" s="11" t="str">
        <f t="shared" ref="D1549:D1612" si="130">IF(B1549="артикул",A1550,"")</f>
        <v/>
      </c>
      <c r="E1549" s="11" t="str">
        <f t="shared" si="127"/>
        <v/>
      </c>
      <c r="F1549" s="11" t="str">
        <f t="shared" si="128"/>
        <v/>
      </c>
      <c r="G1549" s="10" t="str">
        <v/>
      </c>
      <c r="H1549" s="11" t="str">
        <v/>
      </c>
      <c r="I1549" s="11" t="str">
        <v/>
      </c>
    </row>
    <row r="1550" spans="2:9">
      <c r="B1550" s="11" t="str">
        <f t="shared" si="126"/>
        <v/>
      </c>
      <c r="C1550" s="11" t="str">
        <f t="shared" si="129"/>
        <v/>
      </c>
      <c r="D1550" s="11" t="str">
        <f t="shared" si="130"/>
        <v/>
      </c>
      <c r="E1550" s="11" t="str">
        <f t="shared" si="127"/>
        <v/>
      </c>
      <c r="F1550" s="11" t="str">
        <f t="shared" si="128"/>
        <v/>
      </c>
      <c r="G1550" s="10" t="str">
        <v/>
      </c>
      <c r="H1550" s="11" t="str">
        <v/>
      </c>
      <c r="I1550" s="11" t="str">
        <v/>
      </c>
    </row>
    <row r="1551" spans="2:9">
      <c r="B1551" s="11" t="str">
        <f t="shared" si="126"/>
        <v/>
      </c>
      <c r="C1551" s="11" t="str">
        <f t="shared" si="129"/>
        <v/>
      </c>
      <c r="D1551" s="11" t="str">
        <f t="shared" si="130"/>
        <v/>
      </c>
      <c r="E1551" s="11" t="str">
        <f t="shared" si="127"/>
        <v/>
      </c>
      <c r="F1551" s="11" t="str">
        <f t="shared" si="128"/>
        <v/>
      </c>
      <c r="G1551" s="10" t="str">
        <v/>
      </c>
      <c r="H1551" s="11" t="str">
        <v/>
      </c>
      <c r="I1551" s="11" t="str">
        <v/>
      </c>
    </row>
    <row r="1552" spans="2:9">
      <c r="B1552" s="11" t="str">
        <f t="shared" si="126"/>
        <v/>
      </c>
      <c r="C1552" s="11" t="str">
        <f t="shared" si="129"/>
        <v/>
      </c>
      <c r="D1552" s="11" t="str">
        <f t="shared" si="130"/>
        <v/>
      </c>
      <c r="E1552" s="11" t="str">
        <f t="shared" si="127"/>
        <v/>
      </c>
      <c r="F1552" s="11" t="str">
        <f t="shared" si="128"/>
        <v/>
      </c>
      <c r="G1552" s="10" t="str">
        <v/>
      </c>
      <c r="H1552" s="11" t="str">
        <v/>
      </c>
      <c r="I1552" s="11" t="str">
        <v/>
      </c>
    </row>
    <row r="1553" spans="2:9">
      <c r="B1553" s="11" t="str">
        <f t="shared" si="126"/>
        <v/>
      </c>
      <c r="C1553" s="11" t="str">
        <f t="shared" si="129"/>
        <v/>
      </c>
      <c r="D1553" s="11" t="str">
        <f t="shared" si="130"/>
        <v/>
      </c>
      <c r="E1553" s="11" t="str">
        <f t="shared" si="127"/>
        <v/>
      </c>
      <c r="F1553" s="11" t="str">
        <f t="shared" si="128"/>
        <v/>
      </c>
      <c r="G1553" s="10" t="str">
        <v/>
      </c>
      <c r="H1553" s="11" t="str">
        <v/>
      </c>
      <c r="I1553" s="11" t="str">
        <v/>
      </c>
    </row>
    <row r="1554" spans="2:9">
      <c r="B1554" s="11" t="str">
        <f t="shared" si="126"/>
        <v/>
      </c>
      <c r="C1554" s="11" t="str">
        <f t="shared" si="129"/>
        <v/>
      </c>
      <c r="D1554" s="11" t="str">
        <f t="shared" si="130"/>
        <v/>
      </c>
      <c r="E1554" s="11" t="str">
        <f t="shared" si="127"/>
        <v/>
      </c>
      <c r="F1554" s="11" t="str">
        <f t="shared" si="128"/>
        <v/>
      </c>
      <c r="G1554" s="10" t="str">
        <v/>
      </c>
      <c r="H1554" s="11" t="str">
        <v/>
      </c>
      <c r="I1554" s="11" t="str">
        <v/>
      </c>
    </row>
    <row r="1555" spans="2:9">
      <c r="B1555" s="11" t="str">
        <f t="shared" si="126"/>
        <v/>
      </c>
      <c r="C1555" s="11" t="str">
        <f t="shared" si="129"/>
        <v/>
      </c>
      <c r="D1555" s="11" t="str">
        <f t="shared" si="130"/>
        <v/>
      </c>
      <c r="E1555" s="11" t="str">
        <f t="shared" si="127"/>
        <v/>
      </c>
      <c r="F1555" s="11" t="str">
        <f t="shared" si="128"/>
        <v/>
      </c>
      <c r="G1555" s="10" t="str">
        <v/>
      </c>
      <c r="H1555" s="11" t="str">
        <v/>
      </c>
      <c r="I1555" s="11" t="str">
        <v/>
      </c>
    </row>
    <row r="1556" spans="2:9">
      <c r="B1556" s="11" t="str">
        <f t="shared" si="126"/>
        <v/>
      </c>
      <c r="C1556" s="11" t="str">
        <f t="shared" si="129"/>
        <v/>
      </c>
      <c r="D1556" s="11" t="str">
        <f t="shared" si="130"/>
        <v/>
      </c>
      <c r="E1556" s="11" t="str">
        <f t="shared" si="127"/>
        <v/>
      </c>
      <c r="F1556" s="11" t="str">
        <f t="shared" si="128"/>
        <v/>
      </c>
      <c r="G1556" s="10" t="str">
        <v/>
      </c>
      <c r="H1556" s="11" t="str">
        <v/>
      </c>
      <c r="I1556" s="11" t="str">
        <v/>
      </c>
    </row>
    <row r="1557" spans="2:9">
      <c r="B1557" s="11" t="str">
        <f t="shared" si="126"/>
        <v/>
      </c>
      <c r="C1557" s="11" t="str">
        <f t="shared" si="129"/>
        <v/>
      </c>
      <c r="D1557" s="11" t="str">
        <f t="shared" si="130"/>
        <v/>
      </c>
      <c r="E1557" s="11" t="str">
        <f t="shared" si="127"/>
        <v/>
      </c>
      <c r="F1557" s="11" t="str">
        <f t="shared" si="128"/>
        <v/>
      </c>
      <c r="G1557" s="10" t="str">
        <v/>
      </c>
      <c r="H1557" s="11" t="str">
        <v/>
      </c>
      <c r="I1557" s="11" t="str">
        <v/>
      </c>
    </row>
    <row r="1558" spans="2:9">
      <c r="B1558" s="11" t="str">
        <f t="shared" si="126"/>
        <v/>
      </c>
      <c r="C1558" s="11" t="str">
        <f t="shared" si="129"/>
        <v/>
      </c>
      <c r="D1558" s="11" t="str">
        <f t="shared" si="130"/>
        <v/>
      </c>
      <c r="E1558" s="11" t="str">
        <f t="shared" si="127"/>
        <v/>
      </c>
      <c r="F1558" s="11" t="str">
        <f t="shared" si="128"/>
        <v/>
      </c>
      <c r="G1558" s="10" t="str">
        <v/>
      </c>
      <c r="H1558" s="11" t="str">
        <v/>
      </c>
      <c r="I1558" s="11" t="str">
        <v/>
      </c>
    </row>
    <row r="1559" spans="2:9">
      <c r="B1559" s="11" t="str">
        <f t="shared" si="126"/>
        <v/>
      </c>
      <c r="C1559" s="11" t="str">
        <f t="shared" si="129"/>
        <v/>
      </c>
      <c r="D1559" s="11" t="str">
        <f t="shared" si="130"/>
        <v/>
      </c>
      <c r="E1559" s="11" t="str">
        <f t="shared" si="127"/>
        <v/>
      </c>
      <c r="F1559" s="11" t="str">
        <f t="shared" si="128"/>
        <v/>
      </c>
      <c r="G1559" s="10" t="str">
        <v/>
      </c>
      <c r="H1559" s="11" t="str">
        <v/>
      </c>
      <c r="I1559" s="11" t="str">
        <v/>
      </c>
    </row>
    <row r="1560" spans="2:9">
      <c r="B1560" s="11" t="str">
        <f t="shared" si="126"/>
        <v/>
      </c>
      <c r="C1560" s="11" t="str">
        <f t="shared" si="129"/>
        <v/>
      </c>
      <c r="D1560" s="11" t="str">
        <f t="shared" si="130"/>
        <v/>
      </c>
      <c r="E1560" s="11" t="str">
        <f t="shared" si="127"/>
        <v/>
      </c>
      <c r="F1560" s="11" t="str">
        <f t="shared" si="128"/>
        <v/>
      </c>
      <c r="G1560" s="10" t="str">
        <v/>
      </c>
      <c r="H1560" s="11" t="str">
        <v/>
      </c>
      <c r="I1560" s="11" t="str">
        <v/>
      </c>
    </row>
    <row r="1561" spans="2:9">
      <c r="B1561" s="11" t="str">
        <f t="shared" si="126"/>
        <v/>
      </c>
      <c r="C1561" s="11" t="str">
        <f t="shared" si="129"/>
        <v/>
      </c>
      <c r="D1561" s="11" t="str">
        <f t="shared" si="130"/>
        <v/>
      </c>
      <c r="E1561" s="11" t="str">
        <f t="shared" si="127"/>
        <v/>
      </c>
      <c r="F1561" s="11" t="str">
        <f t="shared" si="128"/>
        <v/>
      </c>
      <c r="G1561" s="10" t="str">
        <v/>
      </c>
      <c r="H1561" s="11" t="str">
        <v/>
      </c>
      <c r="I1561" s="11" t="str">
        <v/>
      </c>
    </row>
    <row r="1562" spans="2:9">
      <c r="B1562" s="11" t="str">
        <f t="shared" si="126"/>
        <v/>
      </c>
      <c r="C1562" s="11" t="str">
        <f t="shared" si="129"/>
        <v/>
      </c>
      <c r="D1562" s="11" t="str">
        <f t="shared" si="130"/>
        <v/>
      </c>
      <c r="E1562" s="11" t="str">
        <f t="shared" si="127"/>
        <v/>
      </c>
      <c r="F1562" s="11" t="str">
        <f t="shared" si="128"/>
        <v/>
      </c>
      <c r="G1562" s="10" t="str">
        <v/>
      </c>
      <c r="H1562" s="11" t="str">
        <v/>
      </c>
      <c r="I1562" s="11" t="str">
        <v/>
      </c>
    </row>
    <row r="1563" spans="2:9">
      <c r="B1563" s="11" t="str">
        <f t="shared" si="126"/>
        <v/>
      </c>
      <c r="C1563" s="11" t="str">
        <f t="shared" si="129"/>
        <v/>
      </c>
      <c r="D1563" s="11" t="str">
        <f t="shared" si="130"/>
        <v/>
      </c>
      <c r="E1563" s="11" t="str">
        <f t="shared" si="127"/>
        <v/>
      </c>
      <c r="F1563" s="11" t="str">
        <f t="shared" si="128"/>
        <v/>
      </c>
      <c r="G1563" s="10" t="str">
        <v/>
      </c>
      <c r="H1563" s="11" t="str">
        <v/>
      </c>
      <c r="I1563" s="11" t="str">
        <v/>
      </c>
    </row>
    <row r="1564" spans="2:9">
      <c r="B1564" s="11" t="str">
        <f t="shared" si="126"/>
        <v/>
      </c>
      <c r="C1564" s="11" t="str">
        <f t="shared" si="129"/>
        <v/>
      </c>
      <c r="D1564" s="11" t="str">
        <f t="shared" si="130"/>
        <v/>
      </c>
      <c r="E1564" s="11" t="str">
        <f t="shared" si="127"/>
        <v/>
      </c>
      <c r="F1564" s="11" t="str">
        <f t="shared" si="128"/>
        <v/>
      </c>
      <c r="G1564" s="10" t="str">
        <v/>
      </c>
      <c r="H1564" s="11" t="str">
        <v/>
      </c>
      <c r="I1564" s="11" t="str">
        <v/>
      </c>
    </row>
    <row r="1565" spans="2:9">
      <c r="B1565" s="11" t="str">
        <f t="shared" si="126"/>
        <v/>
      </c>
      <c r="C1565" s="11" t="str">
        <f t="shared" si="129"/>
        <v/>
      </c>
      <c r="D1565" s="11" t="str">
        <f t="shared" si="130"/>
        <v/>
      </c>
      <c r="E1565" s="11" t="str">
        <f t="shared" si="127"/>
        <v/>
      </c>
      <c r="F1565" s="11" t="str">
        <f t="shared" si="128"/>
        <v/>
      </c>
      <c r="G1565" s="10" t="str">
        <v/>
      </c>
      <c r="H1565" s="11" t="str">
        <v/>
      </c>
      <c r="I1565" s="11" t="str">
        <v/>
      </c>
    </row>
    <row r="1566" spans="2:9">
      <c r="B1566" s="11" t="str">
        <f t="shared" si="126"/>
        <v/>
      </c>
      <c r="C1566" s="11" t="str">
        <f t="shared" si="129"/>
        <v/>
      </c>
      <c r="D1566" s="11" t="str">
        <f t="shared" si="130"/>
        <v/>
      </c>
      <c r="E1566" s="11" t="str">
        <f t="shared" si="127"/>
        <v/>
      </c>
      <c r="F1566" s="11" t="str">
        <f t="shared" si="128"/>
        <v/>
      </c>
      <c r="G1566" s="10" t="str">
        <v/>
      </c>
      <c r="H1566" s="11" t="str">
        <v/>
      </c>
      <c r="I1566" s="11" t="str">
        <v/>
      </c>
    </row>
    <row r="1567" spans="2:9">
      <c r="B1567" s="11" t="str">
        <f t="shared" si="126"/>
        <v/>
      </c>
      <c r="C1567" s="11" t="str">
        <f t="shared" si="129"/>
        <v/>
      </c>
      <c r="D1567" s="11" t="str">
        <f t="shared" si="130"/>
        <v/>
      </c>
      <c r="E1567" s="11" t="str">
        <f t="shared" si="127"/>
        <v/>
      </c>
      <c r="F1567" s="11" t="str">
        <f t="shared" si="128"/>
        <v/>
      </c>
      <c r="G1567" s="10" t="str">
        <v/>
      </c>
      <c r="H1567" s="11" t="str">
        <v/>
      </c>
      <c r="I1567" s="11" t="str">
        <v/>
      </c>
    </row>
    <row r="1568" spans="2:9">
      <c r="B1568" s="11" t="str">
        <f t="shared" si="126"/>
        <v/>
      </c>
      <c r="C1568" s="11" t="str">
        <f t="shared" si="129"/>
        <v/>
      </c>
      <c r="D1568" s="11" t="str">
        <f t="shared" si="130"/>
        <v/>
      </c>
      <c r="E1568" s="11" t="str">
        <f t="shared" si="127"/>
        <v/>
      </c>
      <c r="F1568" s="11" t="str">
        <f t="shared" si="128"/>
        <v/>
      </c>
      <c r="G1568" s="10" t="str">
        <v/>
      </c>
      <c r="H1568" s="11" t="str">
        <v/>
      </c>
      <c r="I1568" s="11" t="str">
        <v/>
      </c>
    </row>
    <row r="1569" spans="2:9">
      <c r="B1569" s="11" t="str">
        <f t="shared" si="126"/>
        <v/>
      </c>
      <c r="C1569" s="11" t="str">
        <f t="shared" si="129"/>
        <v/>
      </c>
      <c r="D1569" s="11" t="str">
        <f t="shared" si="130"/>
        <v/>
      </c>
      <c r="E1569" s="11" t="str">
        <f t="shared" si="127"/>
        <v/>
      </c>
      <c r="F1569" s="11" t="str">
        <f t="shared" si="128"/>
        <v/>
      </c>
      <c r="G1569" s="10" t="str">
        <v/>
      </c>
      <c r="H1569" s="11" t="str">
        <v/>
      </c>
      <c r="I1569" s="11" t="str">
        <v/>
      </c>
    </row>
    <row r="1570" spans="2:9">
      <c r="B1570" s="11" t="str">
        <f t="shared" si="126"/>
        <v/>
      </c>
      <c r="C1570" s="11" t="str">
        <f t="shared" si="129"/>
        <v/>
      </c>
      <c r="D1570" s="11" t="str">
        <f t="shared" si="130"/>
        <v/>
      </c>
      <c r="E1570" s="11" t="str">
        <f t="shared" si="127"/>
        <v/>
      </c>
      <c r="F1570" s="11" t="str">
        <f t="shared" si="128"/>
        <v/>
      </c>
      <c r="G1570" s="10" t="str">
        <v/>
      </c>
      <c r="H1570" s="11" t="str">
        <v/>
      </c>
      <c r="I1570" s="11" t="str">
        <v/>
      </c>
    </row>
    <row r="1571" spans="2:9">
      <c r="B1571" s="11" t="str">
        <f t="shared" si="126"/>
        <v/>
      </c>
      <c r="C1571" s="11" t="str">
        <f t="shared" si="129"/>
        <v/>
      </c>
      <c r="D1571" s="11" t="str">
        <f t="shared" si="130"/>
        <v/>
      </c>
      <c r="E1571" s="11" t="str">
        <f t="shared" si="127"/>
        <v/>
      </c>
      <c r="F1571" s="11" t="str">
        <f t="shared" si="128"/>
        <v/>
      </c>
      <c r="G1571" s="10" t="str">
        <v/>
      </c>
      <c r="H1571" s="11" t="str">
        <v/>
      </c>
      <c r="I1571" s="11" t="str">
        <v/>
      </c>
    </row>
    <row r="1572" spans="2:9">
      <c r="B1572" s="11" t="str">
        <f t="shared" si="126"/>
        <v/>
      </c>
      <c r="C1572" s="11" t="str">
        <f t="shared" si="129"/>
        <v/>
      </c>
      <c r="D1572" s="11" t="str">
        <f t="shared" si="130"/>
        <v/>
      </c>
      <c r="E1572" s="11" t="str">
        <f t="shared" si="127"/>
        <v/>
      </c>
      <c r="F1572" s="11" t="str">
        <f t="shared" si="128"/>
        <v/>
      </c>
      <c r="G1572" s="10" t="str">
        <v/>
      </c>
      <c r="H1572" s="11" t="str">
        <v/>
      </c>
      <c r="I1572" s="11" t="str">
        <v/>
      </c>
    </row>
    <row r="1573" spans="2:9">
      <c r="B1573" s="11" t="str">
        <f t="shared" si="126"/>
        <v/>
      </c>
      <c r="C1573" s="11" t="str">
        <f t="shared" si="129"/>
        <v/>
      </c>
      <c r="D1573" s="11" t="str">
        <f t="shared" si="130"/>
        <v/>
      </c>
      <c r="E1573" s="11" t="str">
        <f t="shared" si="127"/>
        <v/>
      </c>
      <c r="F1573" s="11" t="str">
        <f t="shared" si="128"/>
        <v/>
      </c>
      <c r="G1573" s="10" t="str">
        <v/>
      </c>
      <c r="H1573" s="11" t="str">
        <v/>
      </c>
      <c r="I1573" s="11" t="str">
        <v/>
      </c>
    </row>
    <row r="1574" spans="2:9">
      <c r="B1574" s="11" t="str">
        <f t="shared" si="126"/>
        <v/>
      </c>
      <c r="C1574" s="11" t="str">
        <f t="shared" si="129"/>
        <v/>
      </c>
      <c r="D1574" s="11" t="str">
        <f t="shared" si="130"/>
        <v/>
      </c>
      <c r="E1574" s="11" t="str">
        <f t="shared" si="127"/>
        <v/>
      </c>
      <c r="F1574" s="11" t="str">
        <f t="shared" si="128"/>
        <v/>
      </c>
      <c r="G1574" s="10" t="str">
        <v/>
      </c>
      <c r="H1574" s="11" t="str">
        <v/>
      </c>
      <c r="I1574" s="11" t="str">
        <v/>
      </c>
    </row>
    <row r="1575" spans="2:9">
      <c r="B1575" s="11" t="str">
        <f t="shared" si="126"/>
        <v/>
      </c>
      <c r="C1575" s="11" t="str">
        <f t="shared" si="129"/>
        <v/>
      </c>
      <c r="D1575" s="11" t="str">
        <f t="shared" si="130"/>
        <v/>
      </c>
      <c r="E1575" s="11" t="str">
        <f t="shared" si="127"/>
        <v/>
      </c>
      <c r="F1575" s="11" t="str">
        <f t="shared" si="128"/>
        <v/>
      </c>
      <c r="G1575" s="10" t="str">
        <v/>
      </c>
      <c r="H1575" s="11" t="str">
        <v/>
      </c>
      <c r="I1575" s="11" t="str">
        <v/>
      </c>
    </row>
    <row r="1576" spans="2:9">
      <c r="B1576" s="11" t="str">
        <f t="shared" si="126"/>
        <v/>
      </c>
      <c r="C1576" s="11" t="str">
        <f t="shared" si="129"/>
        <v/>
      </c>
      <c r="D1576" s="11" t="str">
        <f t="shared" si="130"/>
        <v/>
      </c>
      <c r="E1576" s="11" t="str">
        <f t="shared" si="127"/>
        <v/>
      </c>
      <c r="F1576" s="11" t="str">
        <f t="shared" si="128"/>
        <v/>
      </c>
      <c r="G1576" s="10" t="str">
        <v/>
      </c>
      <c r="H1576" s="11" t="str">
        <v/>
      </c>
      <c r="I1576" s="11" t="str">
        <v/>
      </c>
    </row>
    <row r="1577" spans="2:9">
      <c r="B1577" s="11" t="str">
        <f t="shared" si="126"/>
        <v/>
      </c>
      <c r="C1577" s="11" t="str">
        <f t="shared" si="129"/>
        <v/>
      </c>
      <c r="D1577" s="11" t="str">
        <f t="shared" si="130"/>
        <v/>
      </c>
      <c r="E1577" s="11" t="str">
        <f t="shared" si="127"/>
        <v/>
      </c>
      <c r="F1577" s="11" t="str">
        <f t="shared" si="128"/>
        <v/>
      </c>
      <c r="G1577" s="10" t="str">
        <v/>
      </c>
      <c r="H1577" s="11" t="str">
        <v/>
      </c>
      <c r="I1577" s="11" t="str">
        <v/>
      </c>
    </row>
    <row r="1578" spans="2:9">
      <c r="B1578" s="11" t="str">
        <f t="shared" si="126"/>
        <v/>
      </c>
      <c r="C1578" s="11" t="str">
        <f t="shared" si="129"/>
        <v/>
      </c>
      <c r="D1578" s="11" t="str">
        <f t="shared" si="130"/>
        <v/>
      </c>
      <c r="E1578" s="11" t="str">
        <f t="shared" si="127"/>
        <v/>
      </c>
      <c r="F1578" s="11" t="str">
        <f t="shared" si="128"/>
        <v/>
      </c>
      <c r="G1578" s="10" t="str">
        <v/>
      </c>
      <c r="H1578" s="11" t="str">
        <v/>
      </c>
      <c r="I1578" s="11" t="str">
        <v/>
      </c>
    </row>
    <row r="1579" spans="2:9">
      <c r="B1579" s="11" t="str">
        <f t="shared" si="126"/>
        <v/>
      </c>
      <c r="C1579" s="11" t="str">
        <f t="shared" si="129"/>
        <v/>
      </c>
      <c r="D1579" s="11" t="str">
        <f t="shared" si="130"/>
        <v/>
      </c>
      <c r="E1579" s="11" t="str">
        <f t="shared" si="127"/>
        <v/>
      </c>
      <c r="F1579" s="11" t="str">
        <f t="shared" si="128"/>
        <v/>
      </c>
      <c r="G1579" s="10" t="str">
        <v/>
      </c>
      <c r="H1579" s="11" t="str">
        <v/>
      </c>
      <c r="I1579" s="11" t="str">
        <v/>
      </c>
    </row>
    <row r="1580" spans="2:9">
      <c r="B1580" s="11" t="str">
        <f t="shared" si="126"/>
        <v/>
      </c>
      <c r="C1580" s="11" t="str">
        <f t="shared" si="129"/>
        <v/>
      </c>
      <c r="D1580" s="11" t="str">
        <f t="shared" si="130"/>
        <v/>
      </c>
      <c r="E1580" s="11" t="str">
        <f t="shared" si="127"/>
        <v/>
      </c>
      <c r="F1580" s="11" t="str">
        <f t="shared" si="128"/>
        <v/>
      </c>
      <c r="G1580" s="10" t="str">
        <v/>
      </c>
      <c r="H1580" s="11" t="str">
        <v/>
      </c>
      <c r="I1580" s="11" t="str">
        <v/>
      </c>
    </row>
    <row r="1581" spans="2:9">
      <c r="B1581" s="11" t="str">
        <f t="shared" si="126"/>
        <v/>
      </c>
      <c r="C1581" s="11" t="str">
        <f t="shared" si="129"/>
        <v/>
      </c>
      <c r="D1581" s="11" t="str">
        <f t="shared" si="130"/>
        <v/>
      </c>
      <c r="E1581" s="11" t="str">
        <f t="shared" si="127"/>
        <v/>
      </c>
      <c r="F1581" s="11" t="str">
        <f t="shared" si="128"/>
        <v/>
      </c>
      <c r="G1581" s="10" t="str">
        <v/>
      </c>
      <c r="H1581" s="11" t="str">
        <v/>
      </c>
      <c r="I1581" s="11" t="str">
        <v/>
      </c>
    </row>
    <row r="1582" spans="2:9">
      <c r="B1582" s="11" t="str">
        <f t="shared" si="126"/>
        <v/>
      </c>
      <c r="C1582" s="11" t="str">
        <f t="shared" si="129"/>
        <v/>
      </c>
      <c r="D1582" s="11" t="str">
        <f t="shared" si="130"/>
        <v/>
      </c>
      <c r="E1582" s="11" t="str">
        <f t="shared" si="127"/>
        <v/>
      </c>
      <c r="F1582" s="11" t="str">
        <f t="shared" si="128"/>
        <v/>
      </c>
      <c r="G1582" s="10" t="str">
        <v/>
      </c>
      <c r="H1582" s="11" t="str">
        <v/>
      </c>
      <c r="I1582" s="11" t="str">
        <v/>
      </c>
    </row>
    <row r="1583" spans="2:9">
      <c r="B1583" s="11" t="str">
        <f t="shared" si="126"/>
        <v/>
      </c>
      <c r="C1583" s="11" t="str">
        <f t="shared" si="129"/>
        <v/>
      </c>
      <c r="D1583" s="11" t="str">
        <f t="shared" si="130"/>
        <v/>
      </c>
      <c r="E1583" s="11" t="str">
        <f t="shared" si="127"/>
        <v/>
      </c>
      <c r="F1583" s="11" t="str">
        <f t="shared" si="128"/>
        <v/>
      </c>
      <c r="G1583" s="10" t="str">
        <v/>
      </c>
      <c r="H1583" s="11" t="str">
        <v/>
      </c>
      <c r="I1583" s="11" t="str">
        <v/>
      </c>
    </row>
    <row r="1584" spans="2:9">
      <c r="B1584" s="11" t="str">
        <f t="shared" si="126"/>
        <v/>
      </c>
      <c r="C1584" s="11" t="str">
        <f t="shared" si="129"/>
        <v/>
      </c>
      <c r="D1584" s="11" t="str">
        <f t="shared" si="130"/>
        <v/>
      </c>
      <c r="E1584" s="11" t="str">
        <f t="shared" si="127"/>
        <v/>
      </c>
      <c r="F1584" s="11" t="str">
        <f t="shared" si="128"/>
        <v/>
      </c>
      <c r="G1584" s="10" t="str">
        <v/>
      </c>
      <c r="H1584" s="11" t="str">
        <v/>
      </c>
      <c r="I1584" s="11" t="str">
        <v/>
      </c>
    </row>
    <row r="1585" spans="2:9">
      <c r="B1585" s="11" t="str">
        <f t="shared" si="126"/>
        <v/>
      </c>
      <c r="C1585" s="11" t="str">
        <f t="shared" si="129"/>
        <v/>
      </c>
      <c r="D1585" s="11" t="str">
        <f t="shared" si="130"/>
        <v/>
      </c>
      <c r="E1585" s="11" t="str">
        <f t="shared" si="127"/>
        <v/>
      </c>
      <c r="F1585" s="11" t="str">
        <f t="shared" si="128"/>
        <v/>
      </c>
      <c r="G1585" s="10" t="str">
        <v/>
      </c>
      <c r="H1585" s="11" t="str">
        <v/>
      </c>
      <c r="I1585" s="11" t="str">
        <v/>
      </c>
    </row>
    <row r="1586" spans="2:9">
      <c r="B1586" s="11" t="str">
        <f t="shared" si="126"/>
        <v/>
      </c>
      <c r="C1586" s="11" t="str">
        <f t="shared" si="129"/>
        <v/>
      </c>
      <c r="D1586" s="11" t="str">
        <f t="shared" si="130"/>
        <v/>
      </c>
      <c r="E1586" s="11" t="str">
        <f t="shared" si="127"/>
        <v/>
      </c>
      <c r="F1586" s="11" t="str">
        <f t="shared" si="128"/>
        <v/>
      </c>
      <c r="G1586" s="10" t="str">
        <v/>
      </c>
      <c r="H1586" s="11" t="str">
        <v/>
      </c>
      <c r="I1586" s="11" t="str">
        <v/>
      </c>
    </row>
    <row r="1587" spans="2:9">
      <c r="B1587" s="11" t="str">
        <f t="shared" si="126"/>
        <v/>
      </c>
      <c r="C1587" s="11" t="str">
        <f t="shared" si="129"/>
        <v/>
      </c>
      <c r="D1587" s="11" t="str">
        <f t="shared" si="130"/>
        <v/>
      </c>
      <c r="E1587" s="11" t="str">
        <f t="shared" si="127"/>
        <v/>
      </c>
      <c r="F1587" s="11" t="str">
        <f t="shared" si="128"/>
        <v/>
      </c>
      <c r="G1587" s="10" t="str">
        <v/>
      </c>
      <c r="H1587" s="11" t="str">
        <v/>
      </c>
      <c r="I1587" s="11" t="str">
        <v/>
      </c>
    </row>
    <row r="1588" spans="2:9">
      <c r="B1588" s="11" t="str">
        <f t="shared" si="126"/>
        <v/>
      </c>
      <c r="C1588" s="11" t="str">
        <f t="shared" si="129"/>
        <v/>
      </c>
      <c r="D1588" s="11" t="str">
        <f t="shared" si="130"/>
        <v/>
      </c>
      <c r="E1588" s="11" t="str">
        <f t="shared" si="127"/>
        <v/>
      </c>
      <c r="F1588" s="11" t="str">
        <f t="shared" si="128"/>
        <v/>
      </c>
      <c r="G1588" s="10" t="str">
        <v/>
      </c>
      <c r="H1588" s="11" t="str">
        <v/>
      </c>
      <c r="I1588" s="11" t="str">
        <v/>
      </c>
    </row>
    <row r="1589" spans="2:9">
      <c r="B1589" s="11" t="str">
        <f t="shared" si="126"/>
        <v/>
      </c>
      <c r="C1589" s="11" t="str">
        <f t="shared" si="129"/>
        <v/>
      </c>
      <c r="D1589" s="11" t="str">
        <f t="shared" si="130"/>
        <v/>
      </c>
      <c r="E1589" s="11" t="str">
        <f t="shared" si="127"/>
        <v/>
      </c>
      <c r="F1589" s="11" t="str">
        <f t="shared" si="128"/>
        <v/>
      </c>
      <c r="G1589" s="10" t="str">
        <v/>
      </c>
      <c r="H1589" s="11" t="str">
        <v/>
      </c>
      <c r="I1589" s="11" t="str">
        <v/>
      </c>
    </row>
    <row r="1590" spans="2:9">
      <c r="B1590" s="11" t="str">
        <f t="shared" si="126"/>
        <v/>
      </c>
      <c r="C1590" s="11" t="str">
        <f t="shared" si="129"/>
        <v/>
      </c>
      <c r="D1590" s="11" t="str">
        <f t="shared" si="130"/>
        <v/>
      </c>
      <c r="E1590" s="11" t="str">
        <f t="shared" si="127"/>
        <v/>
      </c>
      <c r="F1590" s="11" t="str">
        <f t="shared" si="128"/>
        <v/>
      </c>
      <c r="G1590" s="10" t="str">
        <v/>
      </c>
      <c r="H1590" s="11" t="str">
        <v/>
      </c>
      <c r="I1590" s="11" t="str">
        <v/>
      </c>
    </row>
    <row r="1591" spans="2:9">
      <c r="B1591" s="11" t="str">
        <f t="shared" si="126"/>
        <v/>
      </c>
      <c r="C1591" s="11" t="str">
        <f t="shared" si="129"/>
        <v/>
      </c>
      <c r="D1591" s="11" t="str">
        <f t="shared" si="130"/>
        <v/>
      </c>
      <c r="E1591" s="11" t="str">
        <f t="shared" si="127"/>
        <v/>
      </c>
      <c r="F1591" s="11" t="str">
        <f t="shared" si="128"/>
        <v/>
      </c>
      <c r="G1591" s="10" t="str">
        <v/>
      </c>
      <c r="H1591" s="11" t="str">
        <v/>
      </c>
      <c r="I1591" s="11" t="str">
        <v/>
      </c>
    </row>
    <row r="1592" spans="2:9">
      <c r="B1592" s="11" t="str">
        <f t="shared" si="126"/>
        <v/>
      </c>
      <c r="C1592" s="11" t="str">
        <f t="shared" si="129"/>
        <v/>
      </c>
      <c r="D1592" s="11" t="str">
        <f t="shared" si="130"/>
        <v/>
      </c>
      <c r="E1592" s="11" t="str">
        <f t="shared" si="127"/>
        <v/>
      </c>
      <c r="F1592" s="11" t="str">
        <f t="shared" si="128"/>
        <v/>
      </c>
      <c r="G1592" s="10" t="str">
        <v/>
      </c>
      <c r="H1592" s="11" t="str">
        <v/>
      </c>
      <c r="I1592" s="11" t="str">
        <v/>
      </c>
    </row>
    <row r="1593" spans="2:9">
      <c r="B1593" s="11" t="str">
        <f t="shared" si="126"/>
        <v/>
      </c>
      <c r="C1593" s="11" t="str">
        <f t="shared" si="129"/>
        <v/>
      </c>
      <c r="D1593" s="11" t="str">
        <f t="shared" si="130"/>
        <v/>
      </c>
      <c r="E1593" s="11" t="str">
        <f t="shared" si="127"/>
        <v/>
      </c>
      <c r="F1593" s="11" t="str">
        <f t="shared" si="128"/>
        <v/>
      </c>
      <c r="G1593" s="10" t="str">
        <v/>
      </c>
      <c r="H1593" s="11" t="str">
        <v/>
      </c>
      <c r="I1593" s="11" t="str">
        <v/>
      </c>
    </row>
    <row r="1594" spans="2:9">
      <c r="B1594" s="11" t="str">
        <f t="shared" si="126"/>
        <v/>
      </c>
      <c r="C1594" s="11" t="str">
        <f t="shared" si="129"/>
        <v/>
      </c>
      <c r="D1594" s="11" t="str">
        <f t="shared" si="130"/>
        <v/>
      </c>
      <c r="E1594" s="11" t="str">
        <f t="shared" si="127"/>
        <v/>
      </c>
      <c r="F1594" s="11" t="str">
        <f t="shared" si="128"/>
        <v/>
      </c>
      <c r="G1594" s="10" t="str">
        <v/>
      </c>
      <c r="H1594" s="11" t="str">
        <v/>
      </c>
      <c r="I1594" s="11" t="str">
        <v/>
      </c>
    </row>
    <row r="1595" spans="2:9">
      <c r="B1595" s="11" t="str">
        <f t="shared" si="126"/>
        <v/>
      </c>
      <c r="C1595" s="11" t="str">
        <f t="shared" si="129"/>
        <v/>
      </c>
      <c r="D1595" s="11" t="str">
        <f t="shared" si="130"/>
        <v/>
      </c>
      <c r="E1595" s="11" t="str">
        <f t="shared" si="127"/>
        <v/>
      </c>
      <c r="F1595" s="11" t="str">
        <f t="shared" si="128"/>
        <v/>
      </c>
      <c r="G1595" s="10" t="str">
        <v/>
      </c>
      <c r="H1595" s="11" t="str">
        <v/>
      </c>
      <c r="I1595" s="11" t="str">
        <v/>
      </c>
    </row>
    <row r="1596" spans="2:9">
      <c r="B1596" s="11" t="str">
        <f t="shared" si="126"/>
        <v/>
      </c>
      <c r="C1596" s="11" t="str">
        <f t="shared" si="129"/>
        <v/>
      </c>
      <c r="D1596" s="11" t="str">
        <f t="shared" si="130"/>
        <v/>
      </c>
      <c r="E1596" s="11" t="str">
        <f t="shared" si="127"/>
        <v/>
      </c>
      <c r="F1596" s="11" t="str">
        <f t="shared" si="128"/>
        <v/>
      </c>
      <c r="G1596" s="10" t="str">
        <v/>
      </c>
      <c r="H1596" s="11" t="str">
        <v/>
      </c>
      <c r="I1596" s="11" t="str">
        <v/>
      </c>
    </row>
    <row r="1597" spans="2:9">
      <c r="B1597" s="11" t="str">
        <f t="shared" si="126"/>
        <v/>
      </c>
      <c r="C1597" s="11" t="str">
        <f t="shared" si="129"/>
        <v/>
      </c>
      <c r="D1597" s="11" t="str">
        <f t="shared" si="130"/>
        <v/>
      </c>
      <c r="E1597" s="11" t="str">
        <f t="shared" si="127"/>
        <v/>
      </c>
      <c r="F1597" s="11" t="str">
        <f t="shared" si="128"/>
        <v/>
      </c>
      <c r="G1597" s="10" t="str">
        <v/>
      </c>
      <c r="H1597" s="11" t="str">
        <v/>
      </c>
      <c r="I1597" s="11" t="str">
        <v/>
      </c>
    </row>
    <row r="1598" spans="2:9">
      <c r="B1598" s="11" t="str">
        <f t="shared" si="126"/>
        <v/>
      </c>
      <c r="C1598" s="11" t="str">
        <f t="shared" si="129"/>
        <v/>
      </c>
      <c r="D1598" s="11" t="str">
        <f t="shared" si="130"/>
        <v/>
      </c>
      <c r="E1598" s="11" t="str">
        <f t="shared" si="127"/>
        <v/>
      </c>
      <c r="F1598" s="11" t="str">
        <f t="shared" si="128"/>
        <v/>
      </c>
      <c r="G1598" s="10" t="str">
        <v/>
      </c>
      <c r="H1598" s="11" t="str">
        <v/>
      </c>
      <c r="I1598" s="11" t="str">
        <v/>
      </c>
    </row>
    <row r="1599" spans="2:9">
      <c r="B1599" s="11" t="str">
        <f t="shared" si="126"/>
        <v/>
      </c>
      <c r="C1599" s="11" t="str">
        <f t="shared" si="129"/>
        <v/>
      </c>
      <c r="D1599" s="11" t="str">
        <f t="shared" si="130"/>
        <v/>
      </c>
      <c r="E1599" s="11" t="str">
        <f t="shared" si="127"/>
        <v/>
      </c>
      <c r="F1599" s="11" t="str">
        <f t="shared" si="128"/>
        <v/>
      </c>
      <c r="G1599" s="10" t="str">
        <v/>
      </c>
      <c r="H1599" s="11" t="str">
        <v/>
      </c>
      <c r="I1599" s="11" t="str">
        <v/>
      </c>
    </row>
    <row r="1600" spans="2:9">
      <c r="B1600" s="11" t="str">
        <f t="shared" si="126"/>
        <v/>
      </c>
      <c r="C1600" s="11" t="str">
        <f t="shared" si="129"/>
        <v/>
      </c>
      <c r="D1600" s="11" t="str">
        <f t="shared" si="130"/>
        <v/>
      </c>
      <c r="E1600" s="11" t="str">
        <f t="shared" si="127"/>
        <v/>
      </c>
      <c r="F1600" s="11" t="str">
        <f t="shared" si="128"/>
        <v/>
      </c>
      <c r="G1600" s="10" t="str">
        <v/>
      </c>
      <c r="H1600" s="11" t="str">
        <v/>
      </c>
      <c r="I1600" s="11" t="str">
        <v/>
      </c>
    </row>
    <row r="1601" spans="2:9">
      <c r="B1601" s="11" t="str">
        <f t="shared" ref="B1601:B1664" si="131">IFERROR(IF(FIND(" ",A1601)=6,IF(IFERROR(FIND(" PB",A1601),"")&lt;&gt;"","артикул",IF(IFERROR(FIND(" CRN",A1601),"")&lt;&gt;"","артикул","")),""),"")</f>
        <v/>
      </c>
      <c r="C1601" s="11" t="str">
        <f t="shared" si="129"/>
        <v/>
      </c>
      <c r="D1601" s="11" t="str">
        <f t="shared" si="130"/>
        <v/>
      </c>
      <c r="E1601" s="11" t="str">
        <f t="shared" si="127"/>
        <v/>
      </c>
      <c r="F1601" s="11" t="str">
        <f t="shared" si="128"/>
        <v/>
      </c>
      <c r="G1601" s="10" t="str">
        <v/>
      </c>
      <c r="H1601" s="11" t="str">
        <v/>
      </c>
      <c r="I1601" s="11" t="str">
        <v/>
      </c>
    </row>
    <row r="1602" spans="2:9">
      <c r="B1602" s="11" t="str">
        <f t="shared" si="131"/>
        <v/>
      </c>
      <c r="C1602" s="11" t="str">
        <f t="shared" si="129"/>
        <v/>
      </c>
      <c r="D1602" s="11" t="str">
        <f t="shared" si="130"/>
        <v/>
      </c>
      <c r="E1602" s="11" t="str">
        <f t="shared" ref="E1602:E1665" si="132" xml:space="preserve">
IF(B1602="Артикул",
IF(
AND(RIGHT(A1603,1)="%",
RIGHT(A1604,1)="%",
RIGHT(A1605,1)="%",
RIGHT(A1606,1)="%"),MID(A1607,FIND(" ",A1607),50),
IF(
AND(RIGHT(A1603,1)="%",
RIGHT(A1604,1)="%",
RIGHT(A1605,1)="%"),MID(A1606,FIND(" ",A1606),50),
IF(
AND(RIGHT(A1603,1)="%",
RIGHT(A1604,1)="%"),
MID(A1605,FIND(" ",A1605),50),
IF(
RIGHT(A1603,1)="%",
MID(A1604,FIND(" ",A1604),50),"")))),"")</f>
        <v/>
      </c>
      <c r="F1602" s="11" t="str">
        <f t="shared" ref="F1602:F1665" si="133">IFERROR(
IF(
AND(LEFT(A1602,8)="Discount",FIND("%",A1602)&gt;0),
MID(A1602,
FIND(" ",A1602),
FIND("%",A1602)-FIND(" ",A1602))
*-1,""),"")</f>
        <v/>
      </c>
      <c r="G1602" s="10" t="str">
        <v/>
      </c>
      <c r="H1602" s="11" t="str">
        <v/>
      </c>
      <c r="I1602" s="11" t="str">
        <v/>
      </c>
    </row>
    <row r="1603" spans="2:9">
      <c r="B1603" s="11" t="str">
        <f t="shared" si="131"/>
        <v/>
      </c>
      <c r="C1603" s="11" t="str">
        <f t="shared" si="129"/>
        <v/>
      </c>
      <c r="D1603" s="11" t="str">
        <f t="shared" si="130"/>
        <v/>
      </c>
      <c r="E1603" s="11" t="str">
        <f t="shared" si="132"/>
        <v/>
      </c>
      <c r="F1603" s="11" t="str">
        <f t="shared" si="133"/>
        <v/>
      </c>
      <c r="G1603" s="10" t="str">
        <v/>
      </c>
      <c r="H1603" s="11" t="str">
        <v/>
      </c>
      <c r="I1603" s="11" t="str">
        <v/>
      </c>
    </row>
    <row r="1604" spans="2:9">
      <c r="B1604" s="11" t="str">
        <f t="shared" si="131"/>
        <v/>
      </c>
      <c r="C1604" s="11" t="str">
        <f t="shared" si="129"/>
        <v/>
      </c>
      <c r="D1604" s="11" t="str">
        <f t="shared" si="130"/>
        <v/>
      </c>
      <c r="E1604" s="11" t="str">
        <f t="shared" si="132"/>
        <v/>
      </c>
      <c r="F1604" s="11" t="str">
        <f t="shared" si="133"/>
        <v/>
      </c>
      <c r="G1604" s="10" t="str">
        <v/>
      </c>
      <c r="H1604" s="11" t="str">
        <v/>
      </c>
      <c r="I1604" s="11" t="str">
        <v/>
      </c>
    </row>
    <row r="1605" spans="2:9">
      <c r="B1605" s="11" t="str">
        <f t="shared" si="131"/>
        <v/>
      </c>
      <c r="C1605" s="11" t="str">
        <f t="shared" si="129"/>
        <v/>
      </c>
      <c r="D1605" s="11" t="str">
        <f t="shared" si="130"/>
        <v/>
      </c>
      <c r="E1605" s="11" t="str">
        <f t="shared" si="132"/>
        <v/>
      </c>
      <c r="F1605" s="11" t="str">
        <f t="shared" si="133"/>
        <v/>
      </c>
      <c r="G1605" s="10" t="str">
        <v/>
      </c>
      <c r="H1605" s="11" t="str">
        <v/>
      </c>
      <c r="I1605" s="11" t="str">
        <v/>
      </c>
    </row>
    <row r="1606" spans="2:9">
      <c r="B1606" s="11" t="str">
        <f t="shared" si="131"/>
        <v/>
      </c>
      <c r="C1606" s="11" t="str">
        <f t="shared" si="129"/>
        <v/>
      </c>
      <c r="D1606" s="11" t="str">
        <f t="shared" si="130"/>
        <v/>
      </c>
      <c r="E1606" s="11" t="str">
        <f t="shared" si="132"/>
        <v/>
      </c>
      <c r="F1606" s="11" t="str">
        <f t="shared" si="133"/>
        <v/>
      </c>
      <c r="G1606" s="10" t="str">
        <v/>
      </c>
      <c r="H1606" s="11" t="str">
        <v/>
      </c>
      <c r="I1606" s="11" t="str">
        <v/>
      </c>
    </row>
    <row r="1607" spans="2:9">
      <c r="B1607" s="11" t="str">
        <f t="shared" si="131"/>
        <v/>
      </c>
      <c r="C1607" s="11" t="str">
        <f t="shared" si="129"/>
        <v/>
      </c>
      <c r="D1607" s="11" t="str">
        <f t="shared" si="130"/>
        <v/>
      </c>
      <c r="E1607" s="11" t="str">
        <f t="shared" si="132"/>
        <v/>
      </c>
      <c r="F1607" s="11" t="str">
        <f t="shared" si="133"/>
        <v/>
      </c>
      <c r="G1607" s="10" t="str">
        <v/>
      </c>
      <c r="H1607" s="11" t="str">
        <v/>
      </c>
      <c r="I1607" s="11" t="str">
        <v/>
      </c>
    </row>
    <row r="1608" spans="2:9">
      <c r="B1608" s="11" t="str">
        <f t="shared" si="131"/>
        <v/>
      </c>
      <c r="C1608" s="11" t="str">
        <f t="shared" si="129"/>
        <v/>
      </c>
      <c r="D1608" s="11" t="str">
        <f t="shared" si="130"/>
        <v/>
      </c>
      <c r="E1608" s="11" t="str">
        <f t="shared" si="132"/>
        <v/>
      </c>
      <c r="F1608" s="11" t="str">
        <f t="shared" si="133"/>
        <v/>
      </c>
      <c r="G1608" s="10" t="str">
        <v/>
      </c>
      <c r="H1608" s="11" t="str">
        <v/>
      </c>
      <c r="I1608" s="11" t="str">
        <v/>
      </c>
    </row>
    <row r="1609" spans="2:9">
      <c r="B1609" s="11" t="str">
        <f t="shared" si="131"/>
        <v/>
      </c>
      <c r="C1609" s="11" t="str">
        <f t="shared" si="129"/>
        <v/>
      </c>
      <c r="D1609" s="11" t="str">
        <f t="shared" si="130"/>
        <v/>
      </c>
      <c r="E1609" s="11" t="str">
        <f t="shared" si="132"/>
        <v/>
      </c>
      <c r="F1609" s="11" t="str">
        <f t="shared" si="133"/>
        <v/>
      </c>
      <c r="G1609" s="10" t="str">
        <v/>
      </c>
      <c r="H1609" s="11" t="str">
        <v/>
      </c>
      <c r="I1609" s="11" t="str">
        <v/>
      </c>
    </row>
    <row r="1610" spans="2:9">
      <c r="B1610" s="11" t="str">
        <f t="shared" si="131"/>
        <v/>
      </c>
      <c r="C1610" s="11" t="str">
        <f t="shared" si="129"/>
        <v/>
      </c>
      <c r="D1610" s="11" t="str">
        <f t="shared" si="130"/>
        <v/>
      </c>
      <c r="E1610" s="11" t="str">
        <f t="shared" si="132"/>
        <v/>
      </c>
      <c r="F1610" s="11" t="str">
        <f t="shared" si="133"/>
        <v/>
      </c>
      <c r="G1610" s="10" t="str">
        <v/>
      </c>
      <c r="H1610" s="11" t="str">
        <v/>
      </c>
      <c r="I1610" s="11" t="str">
        <v/>
      </c>
    </row>
    <row r="1611" spans="2:9">
      <c r="B1611" s="11" t="str">
        <f t="shared" si="131"/>
        <v/>
      </c>
      <c r="C1611" s="11" t="str">
        <f t="shared" si="129"/>
        <v/>
      </c>
      <c r="D1611" s="11" t="str">
        <f t="shared" si="130"/>
        <v/>
      </c>
      <c r="E1611" s="11" t="str">
        <f t="shared" si="132"/>
        <v/>
      </c>
      <c r="F1611" s="11" t="str">
        <f t="shared" si="133"/>
        <v/>
      </c>
      <c r="G1611" s="10" t="str">
        <v/>
      </c>
      <c r="H1611" s="11" t="str">
        <v/>
      </c>
      <c r="I1611" s="11" t="str">
        <v/>
      </c>
    </row>
    <row r="1612" spans="2:9">
      <c r="B1612" s="11" t="str">
        <f t="shared" si="131"/>
        <v/>
      </c>
      <c r="C1612" s="11" t="str">
        <f t="shared" si="129"/>
        <v/>
      </c>
      <c r="D1612" s="11" t="str">
        <f t="shared" si="130"/>
        <v/>
      </c>
      <c r="E1612" s="11" t="str">
        <f t="shared" si="132"/>
        <v/>
      </c>
      <c r="F1612" s="11" t="str">
        <f t="shared" si="133"/>
        <v/>
      </c>
      <c r="G1612" s="10" t="str">
        <v/>
      </c>
      <c r="H1612" s="11" t="str">
        <v/>
      </c>
      <c r="I1612" s="11" t="str">
        <v/>
      </c>
    </row>
    <row r="1613" spans="2:9">
      <c r="B1613" s="11" t="str">
        <f t="shared" si="131"/>
        <v/>
      </c>
      <c r="C1613" s="11" t="str">
        <f t="shared" ref="C1613:C1676" si="134">IF(B1613="артикул",A1613,"")</f>
        <v/>
      </c>
      <c r="D1613" s="11" t="str">
        <f t="shared" ref="D1613:D1676" si="135">IF(B1613="артикул",A1614,"")</f>
        <v/>
      </c>
      <c r="E1613" s="11" t="str">
        <f t="shared" si="132"/>
        <v/>
      </c>
      <c r="F1613" s="11" t="str">
        <f t="shared" si="133"/>
        <v/>
      </c>
      <c r="G1613" s="10" t="str">
        <v/>
      </c>
      <c r="H1613" s="11" t="str">
        <v/>
      </c>
      <c r="I1613" s="11" t="str">
        <v/>
      </c>
    </row>
    <row r="1614" spans="2:9">
      <c r="B1614" s="11" t="str">
        <f t="shared" si="131"/>
        <v/>
      </c>
      <c r="C1614" s="11" t="str">
        <f t="shared" si="134"/>
        <v/>
      </c>
      <c r="D1614" s="11" t="str">
        <f t="shared" si="135"/>
        <v/>
      </c>
      <c r="E1614" s="11" t="str">
        <f t="shared" si="132"/>
        <v/>
      </c>
      <c r="F1614" s="11" t="str">
        <f t="shared" si="133"/>
        <v/>
      </c>
      <c r="G1614" s="10" t="str">
        <v/>
      </c>
      <c r="H1614" s="11" t="str">
        <v/>
      </c>
      <c r="I1614" s="11" t="str">
        <v/>
      </c>
    </row>
    <row r="1615" spans="2:9">
      <c r="B1615" s="11" t="str">
        <f t="shared" si="131"/>
        <v/>
      </c>
      <c r="C1615" s="11" t="str">
        <f t="shared" si="134"/>
        <v/>
      </c>
      <c r="D1615" s="11" t="str">
        <f t="shared" si="135"/>
        <v/>
      </c>
      <c r="E1615" s="11" t="str">
        <f t="shared" si="132"/>
        <v/>
      </c>
      <c r="F1615" s="11" t="str">
        <f t="shared" si="133"/>
        <v/>
      </c>
      <c r="G1615" s="10" t="str">
        <v/>
      </c>
      <c r="H1615" s="11" t="str">
        <v/>
      </c>
      <c r="I1615" s="11" t="str">
        <v/>
      </c>
    </row>
    <row r="1616" spans="2:9">
      <c r="B1616" s="11" t="str">
        <f t="shared" si="131"/>
        <v/>
      </c>
      <c r="C1616" s="11" t="str">
        <f t="shared" si="134"/>
        <v/>
      </c>
      <c r="D1616" s="11" t="str">
        <f t="shared" si="135"/>
        <v/>
      </c>
      <c r="E1616" s="11" t="str">
        <f t="shared" si="132"/>
        <v/>
      </c>
      <c r="F1616" s="11" t="str">
        <f t="shared" si="133"/>
        <v/>
      </c>
      <c r="G1616" s="10" t="str">
        <v/>
      </c>
      <c r="H1616" s="11" t="str">
        <v/>
      </c>
      <c r="I1616" s="11" t="str">
        <v/>
      </c>
    </row>
    <row r="1617" spans="2:9">
      <c r="B1617" s="11" t="str">
        <f t="shared" si="131"/>
        <v/>
      </c>
      <c r="C1617" s="11" t="str">
        <f t="shared" si="134"/>
        <v/>
      </c>
      <c r="D1617" s="11" t="str">
        <f t="shared" si="135"/>
        <v/>
      </c>
      <c r="E1617" s="11" t="str">
        <f t="shared" si="132"/>
        <v/>
      </c>
      <c r="F1617" s="11" t="str">
        <f t="shared" si="133"/>
        <v/>
      </c>
      <c r="G1617" s="10" t="str">
        <v/>
      </c>
      <c r="H1617" s="11" t="str">
        <v/>
      </c>
      <c r="I1617" s="11" t="str">
        <v/>
      </c>
    </row>
    <row r="1618" spans="2:9">
      <c r="B1618" s="11" t="str">
        <f t="shared" si="131"/>
        <v/>
      </c>
      <c r="C1618" s="11" t="str">
        <f t="shared" si="134"/>
        <v/>
      </c>
      <c r="D1618" s="11" t="str">
        <f t="shared" si="135"/>
        <v/>
      </c>
      <c r="E1618" s="11" t="str">
        <f t="shared" si="132"/>
        <v/>
      </c>
      <c r="F1618" s="11" t="str">
        <f t="shared" si="133"/>
        <v/>
      </c>
      <c r="G1618" s="10" t="str">
        <v/>
      </c>
      <c r="H1618" s="11" t="str">
        <v/>
      </c>
      <c r="I1618" s="11" t="str">
        <v/>
      </c>
    </row>
    <row r="1619" spans="2:9">
      <c r="B1619" s="11" t="str">
        <f t="shared" si="131"/>
        <v/>
      </c>
      <c r="C1619" s="11" t="str">
        <f t="shared" si="134"/>
        <v/>
      </c>
      <c r="D1619" s="11" t="str">
        <f t="shared" si="135"/>
        <v/>
      </c>
      <c r="E1619" s="11" t="str">
        <f t="shared" si="132"/>
        <v/>
      </c>
      <c r="F1619" s="11" t="str">
        <f t="shared" si="133"/>
        <v/>
      </c>
      <c r="G1619" s="10" t="str">
        <v/>
      </c>
      <c r="H1619" s="11" t="str">
        <v/>
      </c>
      <c r="I1619" s="11" t="str">
        <v/>
      </c>
    </row>
    <row r="1620" spans="2:9">
      <c r="B1620" s="11" t="str">
        <f t="shared" si="131"/>
        <v/>
      </c>
      <c r="C1620" s="11" t="str">
        <f t="shared" si="134"/>
        <v/>
      </c>
      <c r="D1620" s="11" t="str">
        <f t="shared" si="135"/>
        <v/>
      </c>
      <c r="E1620" s="11" t="str">
        <f t="shared" si="132"/>
        <v/>
      </c>
      <c r="F1620" s="11" t="str">
        <f t="shared" si="133"/>
        <v/>
      </c>
      <c r="G1620" s="10" t="str">
        <v/>
      </c>
      <c r="H1620" s="11" t="str">
        <v/>
      </c>
      <c r="I1620" s="11" t="str">
        <v/>
      </c>
    </row>
    <row r="1621" spans="2:9">
      <c r="B1621" s="11" t="str">
        <f t="shared" si="131"/>
        <v/>
      </c>
      <c r="C1621" s="11" t="str">
        <f t="shared" si="134"/>
        <v/>
      </c>
      <c r="D1621" s="11" t="str">
        <f t="shared" si="135"/>
        <v/>
      </c>
      <c r="E1621" s="11" t="str">
        <f t="shared" si="132"/>
        <v/>
      </c>
      <c r="F1621" s="11" t="str">
        <f t="shared" si="133"/>
        <v/>
      </c>
      <c r="G1621" s="10" t="str">
        <v/>
      </c>
      <c r="H1621" s="11" t="str">
        <v/>
      </c>
      <c r="I1621" s="11" t="str">
        <v/>
      </c>
    </row>
    <row r="1622" spans="2:9">
      <c r="B1622" s="11" t="str">
        <f t="shared" si="131"/>
        <v/>
      </c>
      <c r="C1622" s="11" t="str">
        <f t="shared" si="134"/>
        <v/>
      </c>
      <c r="D1622" s="11" t="str">
        <f t="shared" si="135"/>
        <v/>
      </c>
      <c r="E1622" s="11" t="str">
        <f t="shared" si="132"/>
        <v/>
      </c>
      <c r="F1622" s="11" t="str">
        <f t="shared" si="133"/>
        <v/>
      </c>
      <c r="G1622" s="10" t="str">
        <v/>
      </c>
      <c r="H1622" s="11" t="str">
        <v/>
      </c>
      <c r="I1622" s="11" t="str">
        <v/>
      </c>
    </row>
    <row r="1623" spans="2:9">
      <c r="B1623" s="11" t="str">
        <f t="shared" si="131"/>
        <v/>
      </c>
      <c r="C1623" s="11" t="str">
        <f t="shared" si="134"/>
        <v/>
      </c>
      <c r="D1623" s="11" t="str">
        <f t="shared" si="135"/>
        <v/>
      </c>
      <c r="E1623" s="11" t="str">
        <f t="shared" si="132"/>
        <v/>
      </c>
      <c r="F1623" s="11" t="str">
        <f t="shared" si="133"/>
        <v/>
      </c>
      <c r="G1623" s="10" t="str">
        <v/>
      </c>
      <c r="H1623" s="11" t="str">
        <v/>
      </c>
      <c r="I1623" s="11" t="str">
        <v/>
      </c>
    </row>
    <row r="1624" spans="2:9">
      <c r="B1624" s="11" t="str">
        <f t="shared" si="131"/>
        <v/>
      </c>
      <c r="C1624" s="11" t="str">
        <f t="shared" si="134"/>
        <v/>
      </c>
      <c r="D1624" s="11" t="str">
        <f t="shared" si="135"/>
        <v/>
      </c>
      <c r="E1624" s="11" t="str">
        <f t="shared" si="132"/>
        <v/>
      </c>
      <c r="F1624" s="11" t="str">
        <f t="shared" si="133"/>
        <v/>
      </c>
      <c r="G1624" s="10" t="str">
        <v/>
      </c>
      <c r="H1624" s="11" t="str">
        <v/>
      </c>
      <c r="I1624" s="11" t="str">
        <v/>
      </c>
    </row>
    <row r="1625" spans="2:9">
      <c r="B1625" s="11" t="str">
        <f t="shared" si="131"/>
        <v/>
      </c>
      <c r="C1625" s="11" t="str">
        <f t="shared" si="134"/>
        <v/>
      </c>
      <c r="D1625" s="11" t="str">
        <f t="shared" si="135"/>
        <v/>
      </c>
      <c r="E1625" s="11" t="str">
        <f t="shared" si="132"/>
        <v/>
      </c>
      <c r="F1625" s="11" t="str">
        <f t="shared" si="133"/>
        <v/>
      </c>
      <c r="G1625" s="10" t="str">
        <v/>
      </c>
      <c r="H1625" s="11" t="str">
        <v/>
      </c>
      <c r="I1625" s="11" t="str">
        <v/>
      </c>
    </row>
    <row r="1626" spans="2:9">
      <c r="B1626" s="11" t="str">
        <f t="shared" si="131"/>
        <v/>
      </c>
      <c r="C1626" s="11" t="str">
        <f t="shared" si="134"/>
        <v/>
      </c>
      <c r="D1626" s="11" t="str">
        <f t="shared" si="135"/>
        <v/>
      </c>
      <c r="E1626" s="11" t="str">
        <f t="shared" si="132"/>
        <v/>
      </c>
      <c r="F1626" s="11" t="str">
        <f t="shared" si="133"/>
        <v/>
      </c>
      <c r="G1626" s="10" t="str">
        <v/>
      </c>
      <c r="H1626" s="11" t="str">
        <v/>
      </c>
      <c r="I1626" s="11" t="str">
        <v/>
      </c>
    </row>
    <row r="1627" spans="2:9">
      <c r="B1627" s="11" t="str">
        <f t="shared" si="131"/>
        <v/>
      </c>
      <c r="C1627" s="11" t="str">
        <f t="shared" si="134"/>
        <v/>
      </c>
      <c r="D1627" s="11" t="str">
        <f t="shared" si="135"/>
        <v/>
      </c>
      <c r="E1627" s="11" t="str">
        <f t="shared" si="132"/>
        <v/>
      </c>
      <c r="F1627" s="11" t="str">
        <f t="shared" si="133"/>
        <v/>
      </c>
      <c r="G1627" s="10" t="str">
        <v/>
      </c>
      <c r="H1627" s="11" t="str">
        <v/>
      </c>
      <c r="I1627" s="11" t="str">
        <v/>
      </c>
    </row>
    <row r="1628" spans="2:9">
      <c r="B1628" s="11" t="str">
        <f t="shared" si="131"/>
        <v/>
      </c>
      <c r="C1628" s="11" t="str">
        <f t="shared" si="134"/>
        <v/>
      </c>
      <c r="D1628" s="11" t="str">
        <f t="shared" si="135"/>
        <v/>
      </c>
      <c r="E1628" s="11" t="str">
        <f t="shared" si="132"/>
        <v/>
      </c>
      <c r="F1628" s="11" t="str">
        <f t="shared" si="133"/>
        <v/>
      </c>
      <c r="G1628" s="10" t="str">
        <v/>
      </c>
      <c r="H1628" s="11" t="str">
        <v/>
      </c>
      <c r="I1628" s="11" t="str">
        <v/>
      </c>
    </row>
    <row r="1629" spans="2:9">
      <c r="B1629" s="11" t="str">
        <f t="shared" si="131"/>
        <v/>
      </c>
      <c r="C1629" s="11" t="str">
        <f t="shared" si="134"/>
        <v/>
      </c>
      <c r="D1629" s="11" t="str">
        <f t="shared" si="135"/>
        <v/>
      </c>
      <c r="E1629" s="11" t="str">
        <f t="shared" si="132"/>
        <v/>
      </c>
      <c r="F1629" s="11" t="str">
        <f t="shared" si="133"/>
        <v/>
      </c>
      <c r="G1629" s="10" t="str">
        <v/>
      </c>
      <c r="H1629" s="11" t="str">
        <v/>
      </c>
      <c r="I1629" s="11" t="str">
        <v/>
      </c>
    </row>
    <row r="1630" spans="2:9">
      <c r="B1630" s="11" t="str">
        <f t="shared" si="131"/>
        <v/>
      </c>
      <c r="C1630" s="11" t="str">
        <f t="shared" si="134"/>
        <v/>
      </c>
      <c r="D1630" s="11" t="str">
        <f t="shared" si="135"/>
        <v/>
      </c>
      <c r="E1630" s="11" t="str">
        <f t="shared" si="132"/>
        <v/>
      </c>
      <c r="F1630" s="11" t="str">
        <f t="shared" si="133"/>
        <v/>
      </c>
      <c r="G1630" s="10" t="str">
        <v/>
      </c>
      <c r="H1630" s="11" t="str">
        <v/>
      </c>
      <c r="I1630" s="11" t="str">
        <v/>
      </c>
    </row>
    <row r="1631" spans="2:9">
      <c r="B1631" s="11" t="str">
        <f t="shared" si="131"/>
        <v/>
      </c>
      <c r="C1631" s="11" t="str">
        <f t="shared" si="134"/>
        <v/>
      </c>
      <c r="D1631" s="11" t="str">
        <f t="shared" si="135"/>
        <v/>
      </c>
      <c r="E1631" s="11" t="str">
        <f t="shared" si="132"/>
        <v/>
      </c>
      <c r="F1631" s="11" t="str">
        <f t="shared" si="133"/>
        <v/>
      </c>
      <c r="G1631" s="10" t="str">
        <v/>
      </c>
      <c r="H1631" s="11" t="str">
        <v/>
      </c>
      <c r="I1631" s="11" t="str">
        <v/>
      </c>
    </row>
    <row r="1632" spans="2:9">
      <c r="B1632" s="11" t="str">
        <f t="shared" si="131"/>
        <v/>
      </c>
      <c r="C1632" s="11" t="str">
        <f t="shared" si="134"/>
        <v/>
      </c>
      <c r="D1632" s="11" t="str">
        <f t="shared" si="135"/>
        <v/>
      </c>
      <c r="E1632" s="11" t="str">
        <f t="shared" si="132"/>
        <v/>
      </c>
      <c r="F1632" s="11" t="str">
        <f t="shared" si="133"/>
        <v/>
      </c>
      <c r="G1632" s="10" t="str">
        <v/>
      </c>
      <c r="H1632" s="11" t="str">
        <v/>
      </c>
      <c r="I1632" s="11" t="str">
        <v/>
      </c>
    </row>
    <row r="1633" spans="2:9">
      <c r="B1633" s="11" t="str">
        <f t="shared" si="131"/>
        <v/>
      </c>
      <c r="C1633" s="11" t="str">
        <f t="shared" si="134"/>
        <v/>
      </c>
      <c r="D1633" s="11" t="str">
        <f t="shared" si="135"/>
        <v/>
      </c>
      <c r="E1633" s="11" t="str">
        <f t="shared" si="132"/>
        <v/>
      </c>
      <c r="F1633" s="11" t="str">
        <f t="shared" si="133"/>
        <v/>
      </c>
      <c r="G1633" s="10" t="str">
        <v/>
      </c>
      <c r="H1633" s="11" t="str">
        <v/>
      </c>
      <c r="I1633" s="11" t="str">
        <v/>
      </c>
    </row>
    <row r="1634" spans="2:9">
      <c r="B1634" s="11" t="str">
        <f t="shared" si="131"/>
        <v/>
      </c>
      <c r="C1634" s="11" t="str">
        <f t="shared" si="134"/>
        <v/>
      </c>
      <c r="D1634" s="11" t="str">
        <f t="shared" si="135"/>
        <v/>
      </c>
      <c r="E1634" s="11" t="str">
        <f t="shared" si="132"/>
        <v/>
      </c>
      <c r="F1634" s="11" t="str">
        <f t="shared" si="133"/>
        <v/>
      </c>
      <c r="G1634" s="10" t="str">
        <v/>
      </c>
      <c r="H1634" s="11" t="str">
        <v/>
      </c>
      <c r="I1634" s="11" t="str">
        <v/>
      </c>
    </row>
    <row r="1635" spans="2:9">
      <c r="B1635" s="11" t="str">
        <f t="shared" si="131"/>
        <v/>
      </c>
      <c r="C1635" s="11" t="str">
        <f t="shared" si="134"/>
        <v/>
      </c>
      <c r="D1635" s="11" t="str">
        <f t="shared" si="135"/>
        <v/>
      </c>
      <c r="E1635" s="11" t="str">
        <f t="shared" si="132"/>
        <v/>
      </c>
      <c r="F1635" s="11" t="str">
        <f t="shared" si="133"/>
        <v/>
      </c>
      <c r="G1635" s="10" t="str">
        <v/>
      </c>
      <c r="H1635" s="11" t="str">
        <v/>
      </c>
      <c r="I1635" s="11" t="str">
        <v/>
      </c>
    </row>
    <row r="1636" spans="2:9">
      <c r="B1636" s="11" t="str">
        <f t="shared" si="131"/>
        <v/>
      </c>
      <c r="C1636" s="11" t="str">
        <f t="shared" si="134"/>
        <v/>
      </c>
      <c r="D1636" s="11" t="str">
        <f t="shared" si="135"/>
        <v/>
      </c>
      <c r="E1636" s="11" t="str">
        <f t="shared" si="132"/>
        <v/>
      </c>
      <c r="F1636" s="11" t="str">
        <f t="shared" si="133"/>
        <v/>
      </c>
      <c r="G1636" s="10" t="str">
        <v/>
      </c>
      <c r="H1636" s="11" t="str">
        <v/>
      </c>
      <c r="I1636" s="11" t="str">
        <v/>
      </c>
    </row>
    <row r="1637" spans="2:9">
      <c r="B1637" s="11" t="str">
        <f t="shared" si="131"/>
        <v/>
      </c>
      <c r="C1637" s="11" t="str">
        <f t="shared" si="134"/>
        <v/>
      </c>
      <c r="D1637" s="11" t="str">
        <f t="shared" si="135"/>
        <v/>
      </c>
      <c r="E1637" s="11" t="str">
        <f t="shared" si="132"/>
        <v/>
      </c>
      <c r="F1637" s="11" t="str">
        <f t="shared" si="133"/>
        <v/>
      </c>
      <c r="G1637" s="10" t="str">
        <v/>
      </c>
      <c r="H1637" s="11" t="str">
        <v/>
      </c>
      <c r="I1637" s="11" t="str">
        <v/>
      </c>
    </row>
    <row r="1638" spans="2:9">
      <c r="B1638" s="11" t="str">
        <f t="shared" si="131"/>
        <v/>
      </c>
      <c r="C1638" s="11" t="str">
        <f t="shared" si="134"/>
        <v/>
      </c>
      <c r="D1638" s="11" t="str">
        <f t="shared" si="135"/>
        <v/>
      </c>
      <c r="E1638" s="11" t="str">
        <f t="shared" si="132"/>
        <v/>
      </c>
      <c r="F1638" s="11" t="str">
        <f t="shared" si="133"/>
        <v/>
      </c>
      <c r="G1638" s="10" t="str">
        <v/>
      </c>
      <c r="H1638" s="11" t="str">
        <v/>
      </c>
      <c r="I1638" s="11" t="str">
        <v/>
      </c>
    </row>
    <row r="1639" spans="2:9">
      <c r="B1639" s="11" t="str">
        <f t="shared" si="131"/>
        <v/>
      </c>
      <c r="C1639" s="11" t="str">
        <f t="shared" si="134"/>
        <v/>
      </c>
      <c r="D1639" s="11" t="str">
        <f t="shared" si="135"/>
        <v/>
      </c>
      <c r="E1639" s="11" t="str">
        <f t="shared" si="132"/>
        <v/>
      </c>
      <c r="F1639" s="11" t="str">
        <f t="shared" si="133"/>
        <v/>
      </c>
      <c r="G1639" s="10" t="str">
        <v/>
      </c>
      <c r="H1639" s="11" t="str">
        <v/>
      </c>
      <c r="I1639" s="11" t="str">
        <v/>
      </c>
    </row>
    <row r="1640" spans="2:9">
      <c r="B1640" s="11" t="str">
        <f t="shared" si="131"/>
        <v/>
      </c>
      <c r="C1640" s="11" t="str">
        <f t="shared" si="134"/>
        <v/>
      </c>
      <c r="D1640" s="11" t="str">
        <f t="shared" si="135"/>
        <v/>
      </c>
      <c r="E1640" s="11" t="str">
        <f t="shared" si="132"/>
        <v/>
      </c>
      <c r="F1640" s="11" t="str">
        <f t="shared" si="133"/>
        <v/>
      </c>
      <c r="G1640" s="10" t="str">
        <v/>
      </c>
      <c r="H1640" s="11" t="str">
        <v/>
      </c>
      <c r="I1640" s="11" t="str">
        <v/>
      </c>
    </row>
    <row r="1641" spans="2:9">
      <c r="B1641" s="11" t="str">
        <f t="shared" si="131"/>
        <v/>
      </c>
      <c r="C1641" s="11" t="str">
        <f t="shared" si="134"/>
        <v/>
      </c>
      <c r="D1641" s="11" t="str">
        <f t="shared" si="135"/>
        <v/>
      </c>
      <c r="E1641" s="11" t="str">
        <f t="shared" si="132"/>
        <v/>
      </c>
      <c r="F1641" s="11" t="str">
        <f t="shared" si="133"/>
        <v/>
      </c>
      <c r="G1641" s="10" t="str">
        <v/>
      </c>
      <c r="H1641" s="11" t="str">
        <v/>
      </c>
      <c r="I1641" s="11" t="str">
        <v/>
      </c>
    </row>
    <row r="1642" spans="2:9">
      <c r="B1642" s="11" t="str">
        <f t="shared" si="131"/>
        <v/>
      </c>
      <c r="C1642" s="11" t="str">
        <f t="shared" si="134"/>
        <v/>
      </c>
      <c r="D1642" s="11" t="str">
        <f t="shared" si="135"/>
        <v/>
      </c>
      <c r="E1642" s="11" t="str">
        <f t="shared" si="132"/>
        <v/>
      </c>
      <c r="F1642" s="11" t="str">
        <f t="shared" si="133"/>
        <v/>
      </c>
      <c r="G1642" s="10" t="str">
        <v/>
      </c>
      <c r="H1642" s="11" t="str">
        <v/>
      </c>
      <c r="I1642" s="11" t="str">
        <v/>
      </c>
    </row>
    <row r="1643" spans="2:9">
      <c r="B1643" s="11" t="str">
        <f t="shared" si="131"/>
        <v/>
      </c>
      <c r="C1643" s="11" t="str">
        <f t="shared" si="134"/>
        <v/>
      </c>
      <c r="D1643" s="11" t="str">
        <f t="shared" si="135"/>
        <v/>
      </c>
      <c r="E1643" s="11" t="str">
        <f t="shared" si="132"/>
        <v/>
      </c>
      <c r="F1643" s="11" t="str">
        <f t="shared" si="133"/>
        <v/>
      </c>
      <c r="G1643" s="10" t="str">
        <v/>
      </c>
      <c r="H1643" s="11" t="str">
        <v/>
      </c>
      <c r="I1643" s="11" t="str">
        <v/>
      </c>
    </row>
    <row r="1644" spans="2:9">
      <c r="B1644" s="11" t="str">
        <f t="shared" si="131"/>
        <v/>
      </c>
      <c r="C1644" s="11" t="str">
        <f t="shared" si="134"/>
        <v/>
      </c>
      <c r="D1644" s="11" t="str">
        <f t="shared" si="135"/>
        <v/>
      </c>
      <c r="E1644" s="11" t="str">
        <f t="shared" si="132"/>
        <v/>
      </c>
      <c r="F1644" s="11" t="str">
        <f t="shared" si="133"/>
        <v/>
      </c>
      <c r="G1644" s="10" t="str">
        <v/>
      </c>
      <c r="H1644" s="11" t="str">
        <v/>
      </c>
      <c r="I1644" s="11" t="str">
        <v/>
      </c>
    </row>
    <row r="1645" spans="2:9">
      <c r="B1645" s="11" t="str">
        <f t="shared" si="131"/>
        <v/>
      </c>
      <c r="C1645" s="11" t="str">
        <f t="shared" si="134"/>
        <v/>
      </c>
      <c r="D1645" s="11" t="str">
        <f t="shared" si="135"/>
        <v/>
      </c>
      <c r="E1645" s="11" t="str">
        <f t="shared" si="132"/>
        <v/>
      </c>
      <c r="F1645" s="11" t="str">
        <f t="shared" si="133"/>
        <v/>
      </c>
      <c r="G1645" s="10" t="str">
        <v/>
      </c>
      <c r="H1645" s="11" t="str">
        <v/>
      </c>
      <c r="I1645" s="11" t="str">
        <v/>
      </c>
    </row>
    <row r="1646" spans="2:9">
      <c r="B1646" s="11" t="str">
        <f t="shared" si="131"/>
        <v/>
      </c>
      <c r="C1646" s="11" t="str">
        <f t="shared" si="134"/>
        <v/>
      </c>
      <c r="D1646" s="11" t="str">
        <f t="shared" si="135"/>
        <v/>
      </c>
      <c r="E1646" s="11" t="str">
        <f t="shared" si="132"/>
        <v/>
      </c>
      <c r="F1646" s="11" t="str">
        <f t="shared" si="133"/>
        <v/>
      </c>
      <c r="G1646" s="10" t="str">
        <v/>
      </c>
      <c r="H1646" s="11" t="str">
        <v/>
      </c>
      <c r="I1646" s="11" t="str">
        <v/>
      </c>
    </row>
    <row r="1647" spans="2:9">
      <c r="B1647" s="11" t="str">
        <f t="shared" si="131"/>
        <v/>
      </c>
      <c r="C1647" s="11" t="str">
        <f t="shared" si="134"/>
        <v/>
      </c>
      <c r="D1647" s="11" t="str">
        <f t="shared" si="135"/>
        <v/>
      </c>
      <c r="E1647" s="11" t="str">
        <f t="shared" si="132"/>
        <v/>
      </c>
      <c r="F1647" s="11" t="str">
        <f t="shared" si="133"/>
        <v/>
      </c>
      <c r="G1647" s="10" t="str">
        <v/>
      </c>
      <c r="H1647" s="11" t="str">
        <v/>
      </c>
      <c r="I1647" s="11" t="str">
        <v/>
      </c>
    </row>
    <row r="1648" spans="2:9">
      <c r="B1648" s="11" t="str">
        <f t="shared" si="131"/>
        <v/>
      </c>
      <c r="C1648" s="11" t="str">
        <f t="shared" si="134"/>
        <v/>
      </c>
      <c r="D1648" s="11" t="str">
        <f t="shared" si="135"/>
        <v/>
      </c>
      <c r="E1648" s="11" t="str">
        <f t="shared" si="132"/>
        <v/>
      </c>
      <c r="F1648" s="11" t="str">
        <f t="shared" si="133"/>
        <v/>
      </c>
      <c r="G1648" s="10" t="str">
        <v/>
      </c>
      <c r="H1648" s="11" t="str">
        <v/>
      </c>
      <c r="I1648" s="11" t="str">
        <v/>
      </c>
    </row>
    <row r="1649" spans="2:9">
      <c r="B1649" s="11" t="str">
        <f t="shared" si="131"/>
        <v/>
      </c>
      <c r="C1649" s="11" t="str">
        <f t="shared" si="134"/>
        <v/>
      </c>
      <c r="D1649" s="11" t="str">
        <f t="shared" si="135"/>
        <v/>
      </c>
      <c r="E1649" s="11" t="str">
        <f t="shared" si="132"/>
        <v/>
      </c>
      <c r="F1649" s="11" t="str">
        <f t="shared" si="133"/>
        <v/>
      </c>
      <c r="G1649" s="10" t="str">
        <v/>
      </c>
      <c r="H1649" s="11" t="str">
        <v/>
      </c>
      <c r="I1649" s="11" t="str">
        <v/>
      </c>
    </row>
    <row r="1650" spans="2:9">
      <c r="B1650" s="11" t="str">
        <f t="shared" si="131"/>
        <v/>
      </c>
      <c r="C1650" s="11" t="str">
        <f t="shared" si="134"/>
        <v/>
      </c>
      <c r="D1650" s="11" t="str">
        <f t="shared" si="135"/>
        <v/>
      </c>
      <c r="E1650" s="11" t="str">
        <f t="shared" si="132"/>
        <v/>
      </c>
      <c r="F1650" s="11" t="str">
        <f t="shared" si="133"/>
        <v/>
      </c>
      <c r="G1650" s="10" t="str">
        <v/>
      </c>
      <c r="H1650" s="11" t="str">
        <v/>
      </c>
      <c r="I1650" s="11" t="str">
        <v/>
      </c>
    </row>
    <row r="1651" spans="2:9">
      <c r="B1651" s="11" t="str">
        <f t="shared" si="131"/>
        <v/>
      </c>
      <c r="C1651" s="11" t="str">
        <f t="shared" si="134"/>
        <v/>
      </c>
      <c r="D1651" s="11" t="str">
        <f t="shared" si="135"/>
        <v/>
      </c>
      <c r="E1651" s="11" t="str">
        <f t="shared" si="132"/>
        <v/>
      </c>
      <c r="F1651" s="11" t="str">
        <f t="shared" si="133"/>
        <v/>
      </c>
      <c r="G1651" s="10" t="str">
        <v/>
      </c>
      <c r="H1651" s="11" t="str">
        <v/>
      </c>
      <c r="I1651" s="11" t="str">
        <v/>
      </c>
    </row>
    <row r="1652" spans="2:9">
      <c r="B1652" s="11" t="str">
        <f t="shared" si="131"/>
        <v/>
      </c>
      <c r="C1652" s="11" t="str">
        <f t="shared" si="134"/>
        <v/>
      </c>
      <c r="D1652" s="11" t="str">
        <f t="shared" si="135"/>
        <v/>
      </c>
      <c r="E1652" s="11" t="str">
        <f t="shared" si="132"/>
        <v/>
      </c>
      <c r="F1652" s="11" t="str">
        <f t="shared" si="133"/>
        <v/>
      </c>
      <c r="G1652" s="10" t="str">
        <v/>
      </c>
      <c r="H1652" s="11" t="str">
        <v/>
      </c>
      <c r="I1652" s="11" t="str">
        <v/>
      </c>
    </row>
    <row r="1653" spans="2:9">
      <c r="B1653" s="11" t="str">
        <f t="shared" si="131"/>
        <v/>
      </c>
      <c r="C1653" s="11" t="str">
        <f t="shared" si="134"/>
        <v/>
      </c>
      <c r="D1653" s="11" t="str">
        <f t="shared" si="135"/>
        <v/>
      </c>
      <c r="E1653" s="11" t="str">
        <f t="shared" si="132"/>
        <v/>
      </c>
      <c r="F1653" s="11" t="str">
        <f t="shared" si="133"/>
        <v/>
      </c>
      <c r="G1653" s="10" t="str">
        <v/>
      </c>
      <c r="H1653" s="11" t="str">
        <v/>
      </c>
      <c r="I1653" s="11" t="str">
        <v/>
      </c>
    </row>
    <row r="1654" spans="2:9">
      <c r="B1654" s="11" t="str">
        <f t="shared" si="131"/>
        <v/>
      </c>
      <c r="C1654" s="11" t="str">
        <f t="shared" si="134"/>
        <v/>
      </c>
      <c r="D1654" s="11" t="str">
        <f t="shared" si="135"/>
        <v/>
      </c>
      <c r="E1654" s="11" t="str">
        <f t="shared" si="132"/>
        <v/>
      </c>
      <c r="F1654" s="11" t="str">
        <f t="shared" si="133"/>
        <v/>
      </c>
      <c r="G1654" s="10" t="str">
        <v/>
      </c>
      <c r="H1654" s="11" t="str">
        <v/>
      </c>
      <c r="I1654" s="11" t="str">
        <v/>
      </c>
    </row>
    <row r="1655" spans="2:9">
      <c r="B1655" s="11" t="str">
        <f t="shared" si="131"/>
        <v/>
      </c>
      <c r="C1655" s="11" t="str">
        <f t="shared" si="134"/>
        <v/>
      </c>
      <c r="D1655" s="11" t="str">
        <f t="shared" si="135"/>
        <v/>
      </c>
      <c r="E1655" s="11" t="str">
        <f t="shared" si="132"/>
        <v/>
      </c>
      <c r="F1655" s="11" t="str">
        <f t="shared" si="133"/>
        <v/>
      </c>
      <c r="G1655" s="10" t="str">
        <v/>
      </c>
      <c r="H1655" s="11" t="str">
        <v/>
      </c>
      <c r="I1655" s="11" t="str">
        <v/>
      </c>
    </row>
    <row r="1656" spans="2:9">
      <c r="B1656" s="11" t="str">
        <f t="shared" si="131"/>
        <v/>
      </c>
      <c r="C1656" s="11" t="str">
        <f t="shared" si="134"/>
        <v/>
      </c>
      <c r="D1656" s="11" t="str">
        <f t="shared" si="135"/>
        <v/>
      </c>
      <c r="E1656" s="11" t="str">
        <f t="shared" si="132"/>
        <v/>
      </c>
      <c r="F1656" s="11" t="str">
        <f t="shared" si="133"/>
        <v/>
      </c>
      <c r="G1656" s="10" t="str">
        <v/>
      </c>
      <c r="H1656" s="11" t="str">
        <v/>
      </c>
      <c r="I1656" s="11" t="str">
        <v/>
      </c>
    </row>
    <row r="1657" spans="2:9">
      <c r="B1657" s="11" t="str">
        <f t="shared" si="131"/>
        <v/>
      </c>
      <c r="C1657" s="11" t="str">
        <f t="shared" si="134"/>
        <v/>
      </c>
      <c r="D1657" s="11" t="str">
        <f t="shared" si="135"/>
        <v/>
      </c>
      <c r="E1657" s="11" t="str">
        <f t="shared" si="132"/>
        <v/>
      </c>
      <c r="F1657" s="11" t="str">
        <f t="shared" si="133"/>
        <v/>
      </c>
      <c r="G1657" s="10" t="str">
        <v/>
      </c>
      <c r="H1657" s="11" t="str">
        <v/>
      </c>
      <c r="I1657" s="11" t="str">
        <v/>
      </c>
    </row>
    <row r="1658" spans="2:9">
      <c r="B1658" s="11" t="str">
        <f t="shared" si="131"/>
        <v/>
      </c>
      <c r="C1658" s="11" t="str">
        <f t="shared" si="134"/>
        <v/>
      </c>
      <c r="D1658" s="11" t="str">
        <f t="shared" si="135"/>
        <v/>
      </c>
      <c r="E1658" s="11" t="str">
        <f t="shared" si="132"/>
        <v/>
      </c>
      <c r="F1658" s="11" t="str">
        <f t="shared" si="133"/>
        <v/>
      </c>
      <c r="G1658" s="10" t="str">
        <v/>
      </c>
      <c r="H1658" s="11" t="str">
        <v/>
      </c>
      <c r="I1658" s="11" t="str">
        <v/>
      </c>
    </row>
    <row r="1659" spans="2:9">
      <c r="B1659" s="11" t="str">
        <f t="shared" si="131"/>
        <v/>
      </c>
      <c r="C1659" s="11" t="str">
        <f t="shared" si="134"/>
        <v/>
      </c>
      <c r="D1659" s="11" t="str">
        <f t="shared" si="135"/>
        <v/>
      </c>
      <c r="E1659" s="11" t="str">
        <f t="shared" si="132"/>
        <v/>
      </c>
      <c r="F1659" s="11" t="str">
        <f t="shared" si="133"/>
        <v/>
      </c>
      <c r="G1659" s="10" t="str">
        <v/>
      </c>
      <c r="H1659" s="11" t="str">
        <v/>
      </c>
      <c r="I1659" s="11" t="str">
        <v/>
      </c>
    </row>
    <row r="1660" spans="2:9">
      <c r="B1660" s="11" t="str">
        <f t="shared" si="131"/>
        <v/>
      </c>
      <c r="C1660" s="11" t="str">
        <f t="shared" si="134"/>
        <v/>
      </c>
      <c r="D1660" s="11" t="str">
        <f t="shared" si="135"/>
        <v/>
      </c>
      <c r="E1660" s="11" t="str">
        <f t="shared" si="132"/>
        <v/>
      </c>
      <c r="F1660" s="11" t="str">
        <f t="shared" si="133"/>
        <v/>
      </c>
      <c r="G1660" s="10" t="str">
        <v/>
      </c>
      <c r="H1660" s="11" t="str">
        <v/>
      </c>
      <c r="I1660" s="11" t="str">
        <v/>
      </c>
    </row>
    <row r="1661" spans="2:9">
      <c r="B1661" s="11" t="str">
        <f t="shared" si="131"/>
        <v/>
      </c>
      <c r="C1661" s="11" t="str">
        <f t="shared" si="134"/>
        <v/>
      </c>
      <c r="D1661" s="11" t="str">
        <f t="shared" si="135"/>
        <v/>
      </c>
      <c r="E1661" s="11" t="str">
        <f t="shared" si="132"/>
        <v/>
      </c>
      <c r="F1661" s="11" t="str">
        <f t="shared" si="133"/>
        <v/>
      </c>
      <c r="G1661" s="10" t="str">
        <v/>
      </c>
      <c r="H1661" s="11" t="str">
        <v/>
      </c>
      <c r="I1661" s="11" t="str">
        <v/>
      </c>
    </row>
    <row r="1662" spans="2:9">
      <c r="B1662" s="11" t="str">
        <f t="shared" si="131"/>
        <v/>
      </c>
      <c r="C1662" s="11" t="str">
        <f t="shared" si="134"/>
        <v/>
      </c>
      <c r="D1662" s="11" t="str">
        <f t="shared" si="135"/>
        <v/>
      </c>
      <c r="E1662" s="11" t="str">
        <f t="shared" si="132"/>
        <v/>
      </c>
      <c r="F1662" s="11" t="str">
        <f t="shared" si="133"/>
        <v/>
      </c>
      <c r="G1662" s="10" t="str">
        <v/>
      </c>
      <c r="H1662" s="11" t="str">
        <v/>
      </c>
      <c r="I1662" s="11" t="str">
        <v/>
      </c>
    </row>
    <row r="1663" spans="2:9">
      <c r="B1663" s="11" t="str">
        <f t="shared" si="131"/>
        <v/>
      </c>
      <c r="C1663" s="11" t="str">
        <f t="shared" si="134"/>
        <v/>
      </c>
      <c r="D1663" s="11" t="str">
        <f t="shared" si="135"/>
        <v/>
      </c>
      <c r="E1663" s="11" t="str">
        <f t="shared" si="132"/>
        <v/>
      </c>
      <c r="F1663" s="11" t="str">
        <f t="shared" si="133"/>
        <v/>
      </c>
      <c r="G1663" s="10" t="str">
        <v/>
      </c>
      <c r="H1663" s="11" t="str">
        <v/>
      </c>
      <c r="I1663" s="11" t="str">
        <v/>
      </c>
    </row>
    <row r="1664" spans="2:9">
      <c r="B1664" s="11" t="str">
        <f t="shared" si="131"/>
        <v/>
      </c>
      <c r="C1664" s="11" t="str">
        <f t="shared" si="134"/>
        <v/>
      </c>
      <c r="D1664" s="11" t="str">
        <f t="shared" si="135"/>
        <v/>
      </c>
      <c r="E1664" s="11" t="str">
        <f t="shared" si="132"/>
        <v/>
      </c>
      <c r="F1664" s="11" t="str">
        <f t="shared" si="133"/>
        <v/>
      </c>
      <c r="G1664" s="10" t="str">
        <v/>
      </c>
      <c r="H1664" s="11" t="str">
        <v/>
      </c>
      <c r="I1664" s="11" t="str">
        <v/>
      </c>
    </row>
    <row r="1665" spans="2:9">
      <c r="B1665" s="11" t="str">
        <f t="shared" ref="B1665:B1728" si="136">IFERROR(IF(FIND(" ",A1665)=6,IF(IFERROR(FIND(" PB",A1665),"")&lt;&gt;"","артикул",IF(IFERROR(FIND(" CRN",A1665),"")&lt;&gt;"","артикул","")),""),"")</f>
        <v/>
      </c>
      <c r="C1665" s="11" t="str">
        <f t="shared" si="134"/>
        <v/>
      </c>
      <c r="D1665" s="11" t="str">
        <f t="shared" si="135"/>
        <v/>
      </c>
      <c r="E1665" s="11" t="str">
        <f t="shared" si="132"/>
        <v/>
      </c>
      <c r="F1665" s="11" t="str">
        <f t="shared" si="133"/>
        <v/>
      </c>
      <c r="G1665" s="10" t="str">
        <v/>
      </c>
      <c r="H1665" s="11" t="str">
        <v/>
      </c>
      <c r="I1665" s="11" t="str">
        <v/>
      </c>
    </row>
    <row r="1666" spans="2:9">
      <c r="B1666" s="11" t="str">
        <f t="shared" si="136"/>
        <v/>
      </c>
      <c r="C1666" s="11" t="str">
        <f t="shared" si="134"/>
        <v/>
      </c>
      <c r="D1666" s="11" t="str">
        <f t="shared" si="135"/>
        <v/>
      </c>
      <c r="E1666" s="11" t="str">
        <f t="shared" ref="E1666:E1729" si="137" xml:space="preserve">
IF(B1666="Артикул",
IF(
AND(RIGHT(A1667,1)="%",
RIGHT(A1668,1)="%",
RIGHT(A1669,1)="%",
RIGHT(A1670,1)="%"),MID(A1671,FIND(" ",A1671),50),
IF(
AND(RIGHT(A1667,1)="%",
RIGHT(A1668,1)="%",
RIGHT(A1669,1)="%"),MID(A1670,FIND(" ",A1670),50),
IF(
AND(RIGHT(A1667,1)="%",
RIGHT(A1668,1)="%"),
MID(A1669,FIND(" ",A1669),50),
IF(
RIGHT(A1667,1)="%",
MID(A1668,FIND(" ",A1668),50),"")))),"")</f>
        <v/>
      </c>
      <c r="F1666" s="11" t="str">
        <f t="shared" ref="F1666:F1729" si="138">IFERROR(
IF(
AND(LEFT(A1666,8)="Discount",FIND("%",A1666)&gt;0),
MID(A1666,
FIND(" ",A1666),
FIND("%",A1666)-FIND(" ",A1666))
*-1,""),"")</f>
        <v/>
      </c>
      <c r="G1666" s="10" t="str">
        <v/>
      </c>
      <c r="H1666" s="11" t="str">
        <v/>
      </c>
      <c r="I1666" s="11" t="str">
        <v/>
      </c>
    </row>
    <row r="1667" spans="2:9">
      <c r="B1667" s="11" t="str">
        <f t="shared" si="136"/>
        <v/>
      </c>
      <c r="C1667" s="11" t="str">
        <f t="shared" si="134"/>
        <v/>
      </c>
      <c r="D1667" s="11" t="str">
        <f t="shared" si="135"/>
        <v/>
      </c>
      <c r="E1667" s="11" t="str">
        <f t="shared" si="137"/>
        <v/>
      </c>
      <c r="F1667" s="11" t="str">
        <f t="shared" si="138"/>
        <v/>
      </c>
      <c r="G1667" s="10" t="str">
        <v/>
      </c>
      <c r="H1667" s="11" t="str">
        <v/>
      </c>
      <c r="I1667" s="11" t="str">
        <v/>
      </c>
    </row>
    <row r="1668" spans="2:9">
      <c r="B1668" s="11" t="str">
        <f t="shared" si="136"/>
        <v/>
      </c>
      <c r="C1668" s="11" t="str">
        <f t="shared" si="134"/>
        <v/>
      </c>
      <c r="D1668" s="11" t="str">
        <f t="shared" si="135"/>
        <v/>
      </c>
      <c r="E1668" s="11" t="str">
        <f t="shared" si="137"/>
        <v/>
      </c>
      <c r="F1668" s="11" t="str">
        <f t="shared" si="138"/>
        <v/>
      </c>
      <c r="G1668" s="10" t="str">
        <v/>
      </c>
      <c r="H1668" s="11" t="str">
        <v/>
      </c>
      <c r="I1668" s="11" t="str">
        <v/>
      </c>
    </row>
    <row r="1669" spans="2:9">
      <c r="B1669" s="11" t="str">
        <f t="shared" si="136"/>
        <v/>
      </c>
      <c r="C1669" s="11" t="str">
        <f t="shared" si="134"/>
        <v/>
      </c>
      <c r="D1669" s="11" t="str">
        <f t="shared" si="135"/>
        <v/>
      </c>
      <c r="E1669" s="11" t="str">
        <f t="shared" si="137"/>
        <v/>
      </c>
      <c r="F1669" s="11" t="str">
        <f t="shared" si="138"/>
        <v/>
      </c>
      <c r="G1669" s="10" t="str">
        <v/>
      </c>
      <c r="H1669" s="11" t="str">
        <v/>
      </c>
      <c r="I1669" s="11" t="str">
        <v/>
      </c>
    </row>
    <row r="1670" spans="2:9">
      <c r="B1670" s="11" t="str">
        <f t="shared" si="136"/>
        <v/>
      </c>
      <c r="C1670" s="11" t="str">
        <f t="shared" si="134"/>
        <v/>
      </c>
      <c r="D1670" s="11" t="str">
        <f t="shared" si="135"/>
        <v/>
      </c>
      <c r="E1670" s="11" t="str">
        <f t="shared" si="137"/>
        <v/>
      </c>
      <c r="F1670" s="11" t="str">
        <f t="shared" si="138"/>
        <v/>
      </c>
      <c r="G1670" s="10" t="str">
        <v/>
      </c>
      <c r="H1670" s="11" t="str">
        <v/>
      </c>
      <c r="I1670" s="11" t="str">
        <v/>
      </c>
    </row>
    <row r="1671" spans="2:9">
      <c r="B1671" s="11" t="str">
        <f t="shared" si="136"/>
        <v/>
      </c>
      <c r="C1671" s="11" t="str">
        <f t="shared" si="134"/>
        <v/>
      </c>
      <c r="D1671" s="11" t="str">
        <f t="shared" si="135"/>
        <v/>
      </c>
      <c r="E1671" s="11" t="str">
        <f t="shared" si="137"/>
        <v/>
      </c>
      <c r="F1671" s="11" t="str">
        <f t="shared" si="138"/>
        <v/>
      </c>
      <c r="G1671" s="10" t="str">
        <v/>
      </c>
      <c r="H1671" s="11" t="str">
        <v/>
      </c>
      <c r="I1671" s="11" t="str">
        <v/>
      </c>
    </row>
    <row r="1672" spans="2:9">
      <c r="B1672" s="11" t="str">
        <f t="shared" si="136"/>
        <v/>
      </c>
      <c r="C1672" s="11" t="str">
        <f t="shared" si="134"/>
        <v/>
      </c>
      <c r="D1672" s="11" t="str">
        <f t="shared" si="135"/>
        <v/>
      </c>
      <c r="E1672" s="11" t="str">
        <f t="shared" si="137"/>
        <v/>
      </c>
      <c r="F1672" s="11" t="str">
        <f t="shared" si="138"/>
        <v/>
      </c>
      <c r="G1672" s="10" t="str">
        <v/>
      </c>
      <c r="H1672" s="11" t="str">
        <v/>
      </c>
      <c r="I1672" s="11" t="str">
        <v/>
      </c>
    </row>
    <row r="1673" spans="2:9">
      <c r="B1673" s="11" t="str">
        <f t="shared" si="136"/>
        <v/>
      </c>
      <c r="C1673" s="11" t="str">
        <f t="shared" si="134"/>
        <v/>
      </c>
      <c r="D1673" s="11" t="str">
        <f t="shared" si="135"/>
        <v/>
      </c>
      <c r="E1673" s="11" t="str">
        <f t="shared" si="137"/>
        <v/>
      </c>
      <c r="F1673" s="11" t="str">
        <f t="shared" si="138"/>
        <v/>
      </c>
      <c r="G1673" s="10" t="str">
        <v/>
      </c>
      <c r="H1673" s="11" t="str">
        <v/>
      </c>
      <c r="I1673" s="11" t="str">
        <v/>
      </c>
    </row>
    <row r="1674" spans="2:9">
      <c r="B1674" s="11" t="str">
        <f t="shared" si="136"/>
        <v/>
      </c>
      <c r="C1674" s="11" t="str">
        <f t="shared" si="134"/>
        <v/>
      </c>
      <c r="D1674" s="11" t="str">
        <f t="shared" si="135"/>
        <v/>
      </c>
      <c r="E1674" s="11" t="str">
        <f t="shared" si="137"/>
        <v/>
      </c>
      <c r="F1674" s="11" t="str">
        <f t="shared" si="138"/>
        <v/>
      </c>
      <c r="G1674" s="10" t="str">
        <v/>
      </c>
      <c r="H1674" s="11" t="str">
        <v/>
      </c>
      <c r="I1674" s="11" t="str">
        <v/>
      </c>
    </row>
    <row r="1675" spans="2:9">
      <c r="B1675" s="11" t="str">
        <f t="shared" si="136"/>
        <v/>
      </c>
      <c r="C1675" s="11" t="str">
        <f t="shared" si="134"/>
        <v/>
      </c>
      <c r="D1675" s="11" t="str">
        <f t="shared" si="135"/>
        <v/>
      </c>
      <c r="E1675" s="11" t="str">
        <f t="shared" si="137"/>
        <v/>
      </c>
      <c r="F1675" s="11" t="str">
        <f t="shared" si="138"/>
        <v/>
      </c>
      <c r="G1675" s="10" t="str">
        <v/>
      </c>
      <c r="H1675" s="11" t="str">
        <v/>
      </c>
      <c r="I1675" s="11" t="str">
        <v/>
      </c>
    </row>
    <row r="1676" spans="2:9">
      <c r="B1676" s="11" t="str">
        <f t="shared" si="136"/>
        <v/>
      </c>
      <c r="C1676" s="11" t="str">
        <f t="shared" si="134"/>
        <v/>
      </c>
      <c r="D1676" s="11" t="str">
        <f t="shared" si="135"/>
        <v/>
      </c>
      <c r="E1676" s="11" t="str">
        <f t="shared" si="137"/>
        <v/>
      </c>
      <c r="F1676" s="11" t="str">
        <f t="shared" si="138"/>
        <v/>
      </c>
      <c r="G1676" s="10" t="str">
        <v/>
      </c>
      <c r="H1676" s="11" t="str">
        <v/>
      </c>
      <c r="I1676" s="11" t="str">
        <v/>
      </c>
    </row>
    <row r="1677" spans="2:9">
      <c r="B1677" s="11" t="str">
        <f t="shared" si="136"/>
        <v/>
      </c>
      <c r="C1677" s="11" t="str">
        <f t="shared" ref="C1677:C1740" si="139">IF(B1677="артикул",A1677,"")</f>
        <v/>
      </c>
      <c r="D1677" s="11" t="str">
        <f t="shared" ref="D1677:D1740" si="140">IF(B1677="артикул",A1678,"")</f>
        <v/>
      </c>
      <c r="E1677" s="11" t="str">
        <f t="shared" si="137"/>
        <v/>
      </c>
      <c r="F1677" s="11" t="str">
        <f t="shared" si="138"/>
        <v/>
      </c>
      <c r="G1677" s="10" t="str">
        <v/>
      </c>
      <c r="H1677" s="11" t="str">
        <v/>
      </c>
      <c r="I1677" s="11" t="str">
        <v/>
      </c>
    </row>
    <row r="1678" spans="2:9">
      <c r="B1678" s="11" t="str">
        <f t="shared" si="136"/>
        <v/>
      </c>
      <c r="C1678" s="11" t="str">
        <f t="shared" si="139"/>
        <v/>
      </c>
      <c r="D1678" s="11" t="str">
        <f t="shared" si="140"/>
        <v/>
      </c>
      <c r="E1678" s="11" t="str">
        <f t="shared" si="137"/>
        <v/>
      </c>
      <c r="F1678" s="11" t="str">
        <f t="shared" si="138"/>
        <v/>
      </c>
      <c r="G1678" s="10" t="str">
        <v/>
      </c>
      <c r="H1678" s="11" t="str">
        <v/>
      </c>
      <c r="I1678" s="11" t="str">
        <v/>
      </c>
    </row>
    <row r="1679" spans="2:9">
      <c r="B1679" s="11" t="str">
        <f t="shared" si="136"/>
        <v/>
      </c>
      <c r="C1679" s="11" t="str">
        <f t="shared" si="139"/>
        <v/>
      </c>
      <c r="D1679" s="11" t="str">
        <f t="shared" si="140"/>
        <v/>
      </c>
      <c r="E1679" s="11" t="str">
        <f t="shared" si="137"/>
        <v/>
      </c>
      <c r="F1679" s="11" t="str">
        <f t="shared" si="138"/>
        <v/>
      </c>
      <c r="G1679" s="10" t="str">
        <v/>
      </c>
      <c r="H1679" s="11" t="str">
        <v/>
      </c>
      <c r="I1679" s="11" t="str">
        <v/>
      </c>
    </row>
    <row r="1680" spans="2:9">
      <c r="B1680" s="11" t="str">
        <f t="shared" si="136"/>
        <v/>
      </c>
      <c r="C1680" s="11" t="str">
        <f t="shared" si="139"/>
        <v/>
      </c>
      <c r="D1680" s="11" t="str">
        <f t="shared" si="140"/>
        <v/>
      </c>
      <c r="E1680" s="11" t="str">
        <f t="shared" si="137"/>
        <v/>
      </c>
      <c r="F1680" s="11" t="str">
        <f t="shared" si="138"/>
        <v/>
      </c>
      <c r="G1680" s="10" t="str">
        <v/>
      </c>
      <c r="H1680" s="11" t="str">
        <v/>
      </c>
      <c r="I1680" s="11" t="str">
        <v/>
      </c>
    </row>
    <row r="1681" spans="2:9">
      <c r="B1681" s="11" t="str">
        <f t="shared" si="136"/>
        <v/>
      </c>
      <c r="C1681" s="11" t="str">
        <f t="shared" si="139"/>
        <v/>
      </c>
      <c r="D1681" s="11" t="str">
        <f t="shared" si="140"/>
        <v/>
      </c>
      <c r="E1681" s="11" t="str">
        <f t="shared" si="137"/>
        <v/>
      </c>
      <c r="F1681" s="11" t="str">
        <f t="shared" si="138"/>
        <v/>
      </c>
      <c r="G1681" s="10" t="str">
        <v/>
      </c>
      <c r="H1681" s="11" t="str">
        <v/>
      </c>
      <c r="I1681" s="11" t="str">
        <v/>
      </c>
    </row>
    <row r="1682" spans="2:9">
      <c r="B1682" s="11" t="str">
        <f t="shared" si="136"/>
        <v/>
      </c>
      <c r="C1682" s="11" t="str">
        <f t="shared" si="139"/>
        <v/>
      </c>
      <c r="D1682" s="11" t="str">
        <f t="shared" si="140"/>
        <v/>
      </c>
      <c r="E1682" s="11" t="str">
        <f t="shared" si="137"/>
        <v/>
      </c>
      <c r="F1682" s="11" t="str">
        <f t="shared" si="138"/>
        <v/>
      </c>
      <c r="G1682" s="10" t="str">
        <v/>
      </c>
      <c r="H1682" s="11" t="str">
        <v/>
      </c>
      <c r="I1682" s="11" t="str">
        <v/>
      </c>
    </row>
    <row r="1683" spans="2:9">
      <c r="B1683" s="11" t="str">
        <f t="shared" si="136"/>
        <v/>
      </c>
      <c r="C1683" s="11" t="str">
        <f t="shared" si="139"/>
        <v/>
      </c>
      <c r="D1683" s="11" t="str">
        <f t="shared" si="140"/>
        <v/>
      </c>
      <c r="E1683" s="11" t="str">
        <f t="shared" si="137"/>
        <v/>
      </c>
      <c r="F1683" s="11" t="str">
        <f t="shared" si="138"/>
        <v/>
      </c>
      <c r="G1683" s="10" t="str">
        <v/>
      </c>
      <c r="H1683" s="11" t="str">
        <v/>
      </c>
      <c r="I1683" s="11" t="str">
        <v/>
      </c>
    </row>
    <row r="1684" spans="2:9">
      <c r="B1684" s="11" t="str">
        <f t="shared" si="136"/>
        <v/>
      </c>
      <c r="C1684" s="11" t="str">
        <f t="shared" si="139"/>
        <v/>
      </c>
      <c r="D1684" s="11" t="str">
        <f t="shared" si="140"/>
        <v/>
      </c>
      <c r="E1684" s="11" t="str">
        <f t="shared" si="137"/>
        <v/>
      </c>
      <c r="F1684" s="11" t="str">
        <f t="shared" si="138"/>
        <v/>
      </c>
      <c r="G1684" s="10" t="str">
        <v/>
      </c>
      <c r="H1684" s="11" t="str">
        <v/>
      </c>
      <c r="I1684" s="11" t="str">
        <v/>
      </c>
    </row>
    <row r="1685" spans="2:9">
      <c r="B1685" s="11" t="str">
        <f t="shared" si="136"/>
        <v/>
      </c>
      <c r="C1685" s="11" t="str">
        <f t="shared" si="139"/>
        <v/>
      </c>
      <c r="D1685" s="11" t="str">
        <f t="shared" si="140"/>
        <v/>
      </c>
      <c r="E1685" s="11" t="str">
        <f t="shared" si="137"/>
        <v/>
      </c>
      <c r="F1685" s="11" t="str">
        <f t="shared" si="138"/>
        <v/>
      </c>
      <c r="G1685" s="10" t="str">
        <v/>
      </c>
      <c r="H1685" s="11" t="str">
        <v/>
      </c>
      <c r="I1685" s="11" t="str">
        <v/>
      </c>
    </row>
    <row r="1686" spans="2:9">
      <c r="B1686" s="11" t="str">
        <f t="shared" si="136"/>
        <v/>
      </c>
      <c r="C1686" s="11" t="str">
        <f t="shared" si="139"/>
        <v/>
      </c>
      <c r="D1686" s="11" t="str">
        <f t="shared" si="140"/>
        <v/>
      </c>
      <c r="E1686" s="11" t="str">
        <f t="shared" si="137"/>
        <v/>
      </c>
      <c r="F1686" s="11" t="str">
        <f t="shared" si="138"/>
        <v/>
      </c>
      <c r="G1686" s="10" t="str">
        <v/>
      </c>
      <c r="H1686" s="11" t="str">
        <v/>
      </c>
      <c r="I1686" s="11" t="str">
        <v/>
      </c>
    </row>
    <row r="1687" spans="2:9">
      <c r="B1687" s="11" t="str">
        <f t="shared" si="136"/>
        <v/>
      </c>
      <c r="C1687" s="11" t="str">
        <f t="shared" si="139"/>
        <v/>
      </c>
      <c r="D1687" s="11" t="str">
        <f t="shared" si="140"/>
        <v/>
      </c>
      <c r="E1687" s="11" t="str">
        <f t="shared" si="137"/>
        <v/>
      </c>
      <c r="F1687" s="11" t="str">
        <f t="shared" si="138"/>
        <v/>
      </c>
      <c r="G1687" s="10" t="str">
        <v/>
      </c>
      <c r="H1687" s="11" t="str">
        <v/>
      </c>
      <c r="I1687" s="11" t="str">
        <v/>
      </c>
    </row>
    <row r="1688" spans="2:9">
      <c r="B1688" s="11" t="str">
        <f t="shared" si="136"/>
        <v/>
      </c>
      <c r="C1688" s="11" t="str">
        <f t="shared" si="139"/>
        <v/>
      </c>
      <c r="D1688" s="11" t="str">
        <f t="shared" si="140"/>
        <v/>
      </c>
      <c r="E1688" s="11" t="str">
        <f t="shared" si="137"/>
        <v/>
      </c>
      <c r="F1688" s="11" t="str">
        <f t="shared" si="138"/>
        <v/>
      </c>
      <c r="G1688" s="10" t="str">
        <v/>
      </c>
      <c r="H1688" s="11" t="str">
        <v/>
      </c>
      <c r="I1688" s="11" t="str">
        <v/>
      </c>
    </row>
    <row r="1689" spans="2:9">
      <c r="B1689" s="11" t="str">
        <f t="shared" si="136"/>
        <v/>
      </c>
      <c r="C1689" s="11" t="str">
        <f t="shared" si="139"/>
        <v/>
      </c>
      <c r="D1689" s="11" t="str">
        <f t="shared" si="140"/>
        <v/>
      </c>
      <c r="E1689" s="11" t="str">
        <f t="shared" si="137"/>
        <v/>
      </c>
      <c r="F1689" s="11" t="str">
        <f t="shared" si="138"/>
        <v/>
      </c>
      <c r="G1689" s="10" t="str">
        <v/>
      </c>
      <c r="H1689" s="11" t="str">
        <v/>
      </c>
      <c r="I1689" s="11" t="str">
        <v/>
      </c>
    </row>
    <row r="1690" spans="2:9">
      <c r="B1690" s="11" t="str">
        <f t="shared" si="136"/>
        <v/>
      </c>
      <c r="C1690" s="11" t="str">
        <f t="shared" si="139"/>
        <v/>
      </c>
      <c r="D1690" s="11" t="str">
        <f t="shared" si="140"/>
        <v/>
      </c>
      <c r="E1690" s="11" t="str">
        <f t="shared" si="137"/>
        <v/>
      </c>
      <c r="F1690" s="11" t="str">
        <f t="shared" si="138"/>
        <v/>
      </c>
      <c r="G1690" s="10" t="str">
        <v/>
      </c>
      <c r="H1690" s="11" t="str">
        <v/>
      </c>
      <c r="I1690" s="11" t="str">
        <v/>
      </c>
    </row>
    <row r="1691" spans="2:9">
      <c r="B1691" s="11" t="str">
        <f t="shared" si="136"/>
        <v/>
      </c>
      <c r="C1691" s="11" t="str">
        <f t="shared" si="139"/>
        <v/>
      </c>
      <c r="D1691" s="11" t="str">
        <f t="shared" si="140"/>
        <v/>
      </c>
      <c r="E1691" s="11" t="str">
        <f t="shared" si="137"/>
        <v/>
      </c>
      <c r="F1691" s="11" t="str">
        <f t="shared" si="138"/>
        <v/>
      </c>
      <c r="G1691" s="10" t="str">
        <v/>
      </c>
      <c r="H1691" s="11" t="str">
        <v/>
      </c>
      <c r="I1691" s="11" t="str">
        <v/>
      </c>
    </row>
    <row r="1692" spans="2:9">
      <c r="B1692" s="11" t="str">
        <f t="shared" si="136"/>
        <v/>
      </c>
      <c r="C1692" s="11" t="str">
        <f t="shared" si="139"/>
        <v/>
      </c>
      <c r="D1692" s="11" t="str">
        <f t="shared" si="140"/>
        <v/>
      </c>
      <c r="E1692" s="11" t="str">
        <f t="shared" si="137"/>
        <v/>
      </c>
      <c r="F1692" s="11" t="str">
        <f t="shared" si="138"/>
        <v/>
      </c>
      <c r="G1692" s="10" t="str">
        <v/>
      </c>
      <c r="H1692" s="11" t="str">
        <v/>
      </c>
      <c r="I1692" s="11" t="str">
        <v/>
      </c>
    </row>
    <row r="1693" spans="2:9">
      <c r="B1693" s="11" t="str">
        <f t="shared" si="136"/>
        <v/>
      </c>
      <c r="C1693" s="11" t="str">
        <f t="shared" si="139"/>
        <v/>
      </c>
      <c r="D1693" s="11" t="str">
        <f t="shared" si="140"/>
        <v/>
      </c>
      <c r="E1693" s="11" t="str">
        <f t="shared" si="137"/>
        <v/>
      </c>
      <c r="F1693" s="11" t="str">
        <f t="shared" si="138"/>
        <v/>
      </c>
      <c r="G1693" s="10" t="str">
        <v/>
      </c>
      <c r="H1693" s="11" t="str">
        <v/>
      </c>
      <c r="I1693" s="11" t="str">
        <v/>
      </c>
    </row>
    <row r="1694" spans="2:9">
      <c r="B1694" s="11" t="str">
        <f t="shared" si="136"/>
        <v/>
      </c>
      <c r="C1694" s="11" t="str">
        <f t="shared" si="139"/>
        <v/>
      </c>
      <c r="D1694" s="11" t="str">
        <f t="shared" si="140"/>
        <v/>
      </c>
      <c r="E1694" s="11" t="str">
        <f t="shared" si="137"/>
        <v/>
      </c>
      <c r="F1694" s="11" t="str">
        <f t="shared" si="138"/>
        <v/>
      </c>
      <c r="G1694" s="10" t="str">
        <v/>
      </c>
      <c r="H1694" s="11" t="str">
        <v/>
      </c>
      <c r="I1694" s="11" t="str">
        <v/>
      </c>
    </row>
    <row r="1695" spans="2:9">
      <c r="B1695" s="11" t="str">
        <f t="shared" si="136"/>
        <v/>
      </c>
      <c r="C1695" s="11" t="str">
        <f t="shared" si="139"/>
        <v/>
      </c>
      <c r="D1695" s="11" t="str">
        <f t="shared" si="140"/>
        <v/>
      </c>
      <c r="E1695" s="11" t="str">
        <f t="shared" si="137"/>
        <v/>
      </c>
      <c r="F1695" s="11" t="str">
        <f t="shared" si="138"/>
        <v/>
      </c>
      <c r="G1695" s="10" t="str">
        <v/>
      </c>
      <c r="H1695" s="11" t="str">
        <v/>
      </c>
      <c r="I1695" s="11" t="str">
        <v/>
      </c>
    </row>
    <row r="1696" spans="2:9">
      <c r="B1696" s="11" t="str">
        <f t="shared" si="136"/>
        <v/>
      </c>
      <c r="C1696" s="11" t="str">
        <f t="shared" si="139"/>
        <v/>
      </c>
      <c r="D1696" s="11" t="str">
        <f t="shared" si="140"/>
        <v/>
      </c>
      <c r="E1696" s="11" t="str">
        <f t="shared" si="137"/>
        <v/>
      </c>
      <c r="F1696" s="11" t="str">
        <f t="shared" si="138"/>
        <v/>
      </c>
      <c r="G1696" s="10" t="str">
        <v/>
      </c>
      <c r="H1696" s="11" t="str">
        <v/>
      </c>
      <c r="I1696" s="11" t="str">
        <v/>
      </c>
    </row>
    <row r="1697" spans="2:9">
      <c r="B1697" s="11" t="str">
        <f t="shared" si="136"/>
        <v/>
      </c>
      <c r="C1697" s="11" t="str">
        <f t="shared" si="139"/>
        <v/>
      </c>
      <c r="D1697" s="11" t="str">
        <f t="shared" si="140"/>
        <v/>
      </c>
      <c r="E1697" s="11" t="str">
        <f t="shared" si="137"/>
        <v/>
      </c>
      <c r="F1697" s="11" t="str">
        <f t="shared" si="138"/>
        <v/>
      </c>
      <c r="G1697" s="10" t="str">
        <v/>
      </c>
      <c r="H1697" s="11" t="str">
        <v/>
      </c>
      <c r="I1697" s="11" t="str">
        <v/>
      </c>
    </row>
    <row r="1698" spans="2:9">
      <c r="B1698" s="11" t="str">
        <f t="shared" si="136"/>
        <v/>
      </c>
      <c r="C1698" s="11" t="str">
        <f t="shared" si="139"/>
        <v/>
      </c>
      <c r="D1698" s="11" t="str">
        <f t="shared" si="140"/>
        <v/>
      </c>
      <c r="E1698" s="11" t="str">
        <f t="shared" si="137"/>
        <v/>
      </c>
      <c r="F1698" s="11" t="str">
        <f t="shared" si="138"/>
        <v/>
      </c>
      <c r="G1698" s="10" t="str">
        <v/>
      </c>
      <c r="H1698" s="11" t="str">
        <v/>
      </c>
      <c r="I1698" s="11" t="str">
        <v/>
      </c>
    </row>
    <row r="1699" spans="2:9">
      <c r="B1699" s="11" t="str">
        <f t="shared" si="136"/>
        <v/>
      </c>
      <c r="C1699" s="11" t="str">
        <f t="shared" si="139"/>
        <v/>
      </c>
      <c r="D1699" s="11" t="str">
        <f t="shared" si="140"/>
        <v/>
      </c>
      <c r="E1699" s="11" t="str">
        <f t="shared" si="137"/>
        <v/>
      </c>
      <c r="F1699" s="11" t="str">
        <f t="shared" si="138"/>
        <v/>
      </c>
      <c r="G1699" s="10" t="str">
        <v/>
      </c>
      <c r="H1699" s="11" t="str">
        <v/>
      </c>
      <c r="I1699" s="11" t="str">
        <v/>
      </c>
    </row>
    <row r="1700" spans="2:9">
      <c r="B1700" s="11" t="str">
        <f t="shared" si="136"/>
        <v/>
      </c>
      <c r="C1700" s="11" t="str">
        <f t="shared" si="139"/>
        <v/>
      </c>
      <c r="D1700" s="11" t="str">
        <f t="shared" si="140"/>
        <v/>
      </c>
      <c r="E1700" s="11" t="str">
        <f t="shared" si="137"/>
        <v/>
      </c>
      <c r="F1700" s="11" t="str">
        <f t="shared" si="138"/>
        <v/>
      </c>
      <c r="G1700" s="10" t="str">
        <v/>
      </c>
      <c r="H1700" s="11" t="str">
        <v/>
      </c>
      <c r="I1700" s="11" t="str">
        <v/>
      </c>
    </row>
    <row r="1701" spans="2:9">
      <c r="B1701" s="11" t="str">
        <f t="shared" si="136"/>
        <v/>
      </c>
      <c r="C1701" s="11" t="str">
        <f t="shared" si="139"/>
        <v/>
      </c>
      <c r="D1701" s="11" t="str">
        <f t="shared" si="140"/>
        <v/>
      </c>
      <c r="E1701" s="11" t="str">
        <f t="shared" si="137"/>
        <v/>
      </c>
      <c r="F1701" s="11" t="str">
        <f t="shared" si="138"/>
        <v/>
      </c>
      <c r="G1701" s="10" t="str">
        <v/>
      </c>
      <c r="H1701" s="11" t="str">
        <v/>
      </c>
      <c r="I1701" s="11" t="str">
        <v/>
      </c>
    </row>
    <row r="1702" spans="2:9">
      <c r="B1702" s="11" t="str">
        <f t="shared" si="136"/>
        <v/>
      </c>
      <c r="C1702" s="11" t="str">
        <f t="shared" si="139"/>
        <v/>
      </c>
      <c r="D1702" s="11" t="str">
        <f t="shared" si="140"/>
        <v/>
      </c>
      <c r="E1702" s="11" t="str">
        <f t="shared" si="137"/>
        <v/>
      </c>
      <c r="F1702" s="11" t="str">
        <f t="shared" si="138"/>
        <v/>
      </c>
      <c r="G1702" s="10" t="str">
        <v/>
      </c>
      <c r="H1702" s="11" t="str">
        <v/>
      </c>
      <c r="I1702" s="11" t="str">
        <v/>
      </c>
    </row>
    <row r="1703" spans="2:9">
      <c r="B1703" s="11" t="str">
        <f t="shared" si="136"/>
        <v/>
      </c>
      <c r="C1703" s="11" t="str">
        <f t="shared" si="139"/>
        <v/>
      </c>
      <c r="D1703" s="11" t="str">
        <f t="shared" si="140"/>
        <v/>
      </c>
      <c r="E1703" s="11" t="str">
        <f t="shared" si="137"/>
        <v/>
      </c>
      <c r="F1703" s="11" t="str">
        <f t="shared" si="138"/>
        <v/>
      </c>
      <c r="G1703" s="10" t="str">
        <v/>
      </c>
      <c r="H1703" s="11" t="str">
        <v/>
      </c>
      <c r="I1703" s="11" t="str">
        <v/>
      </c>
    </row>
    <row r="1704" spans="2:9">
      <c r="B1704" s="11" t="str">
        <f t="shared" si="136"/>
        <v/>
      </c>
      <c r="C1704" s="11" t="str">
        <f t="shared" si="139"/>
        <v/>
      </c>
      <c r="D1704" s="11" t="str">
        <f t="shared" si="140"/>
        <v/>
      </c>
      <c r="E1704" s="11" t="str">
        <f t="shared" si="137"/>
        <v/>
      </c>
      <c r="F1704" s="11" t="str">
        <f t="shared" si="138"/>
        <v/>
      </c>
      <c r="G1704" s="10" t="str">
        <v/>
      </c>
      <c r="H1704" s="11" t="str">
        <v/>
      </c>
      <c r="I1704" s="11" t="str">
        <v/>
      </c>
    </row>
    <row r="1705" spans="2:9">
      <c r="B1705" s="11" t="str">
        <f t="shared" si="136"/>
        <v/>
      </c>
      <c r="C1705" s="11" t="str">
        <f t="shared" si="139"/>
        <v/>
      </c>
      <c r="D1705" s="11" t="str">
        <f t="shared" si="140"/>
        <v/>
      </c>
      <c r="E1705" s="11" t="str">
        <f t="shared" si="137"/>
        <v/>
      </c>
      <c r="F1705" s="11" t="str">
        <f t="shared" si="138"/>
        <v/>
      </c>
      <c r="G1705" s="10" t="str">
        <v/>
      </c>
      <c r="H1705" s="11" t="str">
        <v/>
      </c>
      <c r="I1705" s="11" t="str">
        <v/>
      </c>
    </row>
    <row r="1706" spans="2:9">
      <c r="B1706" s="11" t="str">
        <f t="shared" si="136"/>
        <v/>
      </c>
      <c r="C1706" s="11" t="str">
        <f t="shared" si="139"/>
        <v/>
      </c>
      <c r="D1706" s="11" t="str">
        <f t="shared" si="140"/>
        <v/>
      </c>
      <c r="E1706" s="11" t="str">
        <f t="shared" si="137"/>
        <v/>
      </c>
      <c r="F1706" s="11" t="str">
        <f t="shared" si="138"/>
        <v/>
      </c>
      <c r="G1706" s="10" t="str">
        <v/>
      </c>
      <c r="H1706" s="11" t="str">
        <v/>
      </c>
      <c r="I1706" s="11" t="str">
        <v/>
      </c>
    </row>
    <row r="1707" spans="2:9">
      <c r="B1707" s="11" t="str">
        <f t="shared" si="136"/>
        <v/>
      </c>
      <c r="C1707" s="11" t="str">
        <f t="shared" si="139"/>
        <v/>
      </c>
      <c r="D1707" s="11" t="str">
        <f t="shared" si="140"/>
        <v/>
      </c>
      <c r="E1707" s="11" t="str">
        <f t="shared" si="137"/>
        <v/>
      </c>
      <c r="F1707" s="11" t="str">
        <f t="shared" si="138"/>
        <v/>
      </c>
      <c r="G1707" s="10" t="str">
        <v/>
      </c>
      <c r="H1707" s="11" t="str">
        <v/>
      </c>
      <c r="I1707" s="11" t="str">
        <v/>
      </c>
    </row>
    <row r="1708" spans="2:9">
      <c r="B1708" s="11" t="str">
        <f t="shared" si="136"/>
        <v/>
      </c>
      <c r="C1708" s="11" t="str">
        <f t="shared" si="139"/>
        <v/>
      </c>
      <c r="D1708" s="11" t="str">
        <f t="shared" si="140"/>
        <v/>
      </c>
      <c r="E1708" s="11" t="str">
        <f t="shared" si="137"/>
        <v/>
      </c>
      <c r="F1708" s="11" t="str">
        <f t="shared" si="138"/>
        <v/>
      </c>
      <c r="G1708" s="10" t="str">
        <v/>
      </c>
      <c r="H1708" s="11" t="str">
        <v/>
      </c>
      <c r="I1708" s="11" t="str">
        <v/>
      </c>
    </row>
    <row r="1709" spans="2:9">
      <c r="B1709" s="11" t="str">
        <f t="shared" si="136"/>
        <v/>
      </c>
      <c r="C1709" s="11" t="str">
        <f t="shared" si="139"/>
        <v/>
      </c>
      <c r="D1709" s="11" t="str">
        <f t="shared" si="140"/>
        <v/>
      </c>
      <c r="E1709" s="11" t="str">
        <f t="shared" si="137"/>
        <v/>
      </c>
      <c r="F1709" s="11" t="str">
        <f t="shared" si="138"/>
        <v/>
      </c>
      <c r="G1709" s="10" t="str">
        <v/>
      </c>
      <c r="H1709" s="11" t="str">
        <v/>
      </c>
      <c r="I1709" s="11" t="str">
        <v/>
      </c>
    </row>
    <row r="1710" spans="2:9">
      <c r="B1710" s="11" t="str">
        <f t="shared" si="136"/>
        <v/>
      </c>
      <c r="C1710" s="11" t="str">
        <f t="shared" si="139"/>
        <v/>
      </c>
      <c r="D1710" s="11" t="str">
        <f t="shared" si="140"/>
        <v/>
      </c>
      <c r="E1710" s="11" t="str">
        <f t="shared" si="137"/>
        <v/>
      </c>
      <c r="F1710" s="11" t="str">
        <f t="shared" si="138"/>
        <v/>
      </c>
      <c r="G1710" s="10" t="str">
        <v/>
      </c>
      <c r="H1710" s="11" t="str">
        <v/>
      </c>
      <c r="I1710" s="11" t="str">
        <v/>
      </c>
    </row>
    <row r="1711" spans="2:9">
      <c r="B1711" s="11" t="str">
        <f t="shared" si="136"/>
        <v/>
      </c>
      <c r="C1711" s="11" t="str">
        <f t="shared" si="139"/>
        <v/>
      </c>
      <c r="D1711" s="11" t="str">
        <f t="shared" si="140"/>
        <v/>
      </c>
      <c r="E1711" s="11" t="str">
        <f t="shared" si="137"/>
        <v/>
      </c>
      <c r="F1711" s="11" t="str">
        <f t="shared" si="138"/>
        <v/>
      </c>
      <c r="G1711" s="10" t="str">
        <v/>
      </c>
      <c r="H1711" s="11" t="str">
        <v/>
      </c>
      <c r="I1711" s="11" t="str">
        <v/>
      </c>
    </row>
    <row r="1712" spans="2:9">
      <c r="B1712" s="11" t="str">
        <f t="shared" si="136"/>
        <v/>
      </c>
      <c r="C1712" s="11" t="str">
        <f t="shared" si="139"/>
        <v/>
      </c>
      <c r="D1712" s="11" t="str">
        <f t="shared" si="140"/>
        <v/>
      </c>
      <c r="E1712" s="11" t="str">
        <f t="shared" si="137"/>
        <v/>
      </c>
      <c r="F1712" s="11" t="str">
        <f t="shared" si="138"/>
        <v/>
      </c>
      <c r="G1712" s="10" t="str">
        <v/>
      </c>
      <c r="H1712" s="11" t="str">
        <v/>
      </c>
      <c r="I1712" s="11" t="str">
        <v/>
      </c>
    </row>
    <row r="1713" spans="2:9">
      <c r="B1713" s="11" t="str">
        <f t="shared" si="136"/>
        <v/>
      </c>
      <c r="C1713" s="11" t="str">
        <f t="shared" si="139"/>
        <v/>
      </c>
      <c r="D1713" s="11" t="str">
        <f t="shared" si="140"/>
        <v/>
      </c>
      <c r="E1713" s="11" t="str">
        <f t="shared" si="137"/>
        <v/>
      </c>
      <c r="F1713" s="11" t="str">
        <f t="shared" si="138"/>
        <v/>
      </c>
      <c r="G1713" s="10" t="str">
        <v/>
      </c>
      <c r="H1713" s="11" t="str">
        <v/>
      </c>
      <c r="I1713" s="11" t="str">
        <v/>
      </c>
    </row>
    <row r="1714" spans="2:9">
      <c r="B1714" s="11" t="str">
        <f t="shared" si="136"/>
        <v/>
      </c>
      <c r="C1714" s="11" t="str">
        <f t="shared" si="139"/>
        <v/>
      </c>
      <c r="D1714" s="11" t="str">
        <f t="shared" si="140"/>
        <v/>
      </c>
      <c r="E1714" s="11" t="str">
        <f t="shared" si="137"/>
        <v/>
      </c>
      <c r="F1714" s="11" t="str">
        <f t="shared" si="138"/>
        <v/>
      </c>
      <c r="G1714" s="10" t="str">
        <v/>
      </c>
      <c r="H1714" s="11" t="str">
        <v/>
      </c>
      <c r="I1714" s="11" t="str">
        <v/>
      </c>
    </row>
    <row r="1715" spans="2:9">
      <c r="B1715" s="11" t="str">
        <f t="shared" si="136"/>
        <v/>
      </c>
      <c r="C1715" s="11" t="str">
        <f t="shared" si="139"/>
        <v/>
      </c>
      <c r="D1715" s="11" t="str">
        <f t="shared" si="140"/>
        <v/>
      </c>
      <c r="E1715" s="11" t="str">
        <f t="shared" si="137"/>
        <v/>
      </c>
      <c r="F1715" s="11" t="str">
        <f t="shared" si="138"/>
        <v/>
      </c>
      <c r="G1715" s="10" t="str">
        <v/>
      </c>
      <c r="H1715" s="11" t="str">
        <v/>
      </c>
      <c r="I1715" s="11" t="str">
        <v/>
      </c>
    </row>
    <row r="1716" spans="2:9">
      <c r="B1716" s="11" t="str">
        <f t="shared" si="136"/>
        <v/>
      </c>
      <c r="C1716" s="11" t="str">
        <f t="shared" si="139"/>
        <v/>
      </c>
      <c r="D1716" s="11" t="str">
        <f t="shared" si="140"/>
        <v/>
      </c>
      <c r="E1716" s="11" t="str">
        <f t="shared" si="137"/>
        <v/>
      </c>
      <c r="F1716" s="11" t="str">
        <f t="shared" si="138"/>
        <v/>
      </c>
      <c r="G1716" s="10" t="str">
        <v/>
      </c>
      <c r="H1716" s="11" t="str">
        <v/>
      </c>
      <c r="I1716" s="11" t="str">
        <v/>
      </c>
    </row>
    <row r="1717" spans="2:9">
      <c r="B1717" s="11" t="str">
        <f t="shared" si="136"/>
        <v/>
      </c>
      <c r="C1717" s="11" t="str">
        <f t="shared" si="139"/>
        <v/>
      </c>
      <c r="D1717" s="11" t="str">
        <f t="shared" si="140"/>
        <v/>
      </c>
      <c r="E1717" s="11" t="str">
        <f t="shared" si="137"/>
        <v/>
      </c>
      <c r="F1717" s="11" t="str">
        <f t="shared" si="138"/>
        <v/>
      </c>
      <c r="G1717" s="10" t="str">
        <v/>
      </c>
      <c r="H1717" s="11" t="str">
        <v/>
      </c>
      <c r="I1717" s="11" t="str">
        <v/>
      </c>
    </row>
    <row r="1718" spans="2:9">
      <c r="B1718" s="11" t="str">
        <f t="shared" si="136"/>
        <v/>
      </c>
      <c r="C1718" s="11" t="str">
        <f t="shared" si="139"/>
        <v/>
      </c>
      <c r="D1718" s="11" t="str">
        <f t="shared" si="140"/>
        <v/>
      </c>
      <c r="E1718" s="11" t="str">
        <f t="shared" si="137"/>
        <v/>
      </c>
      <c r="F1718" s="11" t="str">
        <f t="shared" si="138"/>
        <v/>
      </c>
      <c r="G1718" s="10" t="str">
        <v/>
      </c>
      <c r="H1718" s="11" t="str">
        <v/>
      </c>
      <c r="I1718" s="11" t="str">
        <v/>
      </c>
    </row>
    <row r="1719" spans="2:9">
      <c r="B1719" s="11" t="str">
        <f t="shared" si="136"/>
        <v/>
      </c>
      <c r="C1719" s="11" t="str">
        <f t="shared" si="139"/>
        <v/>
      </c>
      <c r="D1719" s="11" t="str">
        <f t="shared" si="140"/>
        <v/>
      </c>
      <c r="E1719" s="11" t="str">
        <f t="shared" si="137"/>
        <v/>
      </c>
      <c r="F1719" s="11" t="str">
        <f t="shared" si="138"/>
        <v/>
      </c>
      <c r="G1719" s="10" t="str">
        <v/>
      </c>
      <c r="H1719" s="11" t="str">
        <v/>
      </c>
      <c r="I1719" s="11" t="str">
        <v/>
      </c>
    </row>
    <row r="1720" spans="2:9">
      <c r="B1720" s="11" t="str">
        <f t="shared" si="136"/>
        <v/>
      </c>
      <c r="C1720" s="11" t="str">
        <f t="shared" si="139"/>
        <v/>
      </c>
      <c r="D1720" s="11" t="str">
        <f t="shared" si="140"/>
        <v/>
      </c>
      <c r="E1720" s="11" t="str">
        <f t="shared" si="137"/>
        <v/>
      </c>
      <c r="F1720" s="11" t="str">
        <f t="shared" si="138"/>
        <v/>
      </c>
      <c r="G1720" s="10" t="str">
        <v/>
      </c>
      <c r="H1720" s="11" t="str">
        <v/>
      </c>
      <c r="I1720" s="11" t="str">
        <v/>
      </c>
    </row>
    <row r="1721" spans="2:9">
      <c r="B1721" s="11" t="str">
        <f t="shared" si="136"/>
        <v/>
      </c>
      <c r="C1721" s="11" t="str">
        <f t="shared" si="139"/>
        <v/>
      </c>
      <c r="D1721" s="11" t="str">
        <f t="shared" si="140"/>
        <v/>
      </c>
      <c r="E1721" s="11" t="str">
        <f t="shared" si="137"/>
        <v/>
      </c>
      <c r="F1721" s="11" t="str">
        <f t="shared" si="138"/>
        <v/>
      </c>
      <c r="G1721" s="10" t="str">
        <v/>
      </c>
      <c r="H1721" s="11" t="str">
        <v/>
      </c>
      <c r="I1721" s="11" t="str">
        <v/>
      </c>
    </row>
    <row r="1722" spans="2:9">
      <c r="B1722" s="11" t="str">
        <f t="shared" si="136"/>
        <v/>
      </c>
      <c r="C1722" s="11" t="str">
        <f t="shared" si="139"/>
        <v/>
      </c>
      <c r="D1722" s="11" t="str">
        <f t="shared" si="140"/>
        <v/>
      </c>
      <c r="E1722" s="11" t="str">
        <f t="shared" si="137"/>
        <v/>
      </c>
      <c r="F1722" s="11" t="str">
        <f t="shared" si="138"/>
        <v/>
      </c>
      <c r="G1722" s="10" t="str">
        <v/>
      </c>
      <c r="H1722" s="11" t="str">
        <v/>
      </c>
      <c r="I1722" s="11" t="str">
        <v/>
      </c>
    </row>
    <row r="1723" spans="2:9">
      <c r="B1723" s="11" t="str">
        <f t="shared" si="136"/>
        <v/>
      </c>
      <c r="C1723" s="11" t="str">
        <f t="shared" si="139"/>
        <v/>
      </c>
      <c r="D1723" s="11" t="str">
        <f t="shared" si="140"/>
        <v/>
      </c>
      <c r="E1723" s="11" t="str">
        <f t="shared" si="137"/>
        <v/>
      </c>
      <c r="F1723" s="11" t="str">
        <f t="shared" si="138"/>
        <v/>
      </c>
      <c r="G1723" s="10" t="str">
        <v/>
      </c>
      <c r="H1723" s="11" t="str">
        <v/>
      </c>
      <c r="I1723" s="11" t="str">
        <v/>
      </c>
    </row>
    <row r="1724" spans="2:9">
      <c r="B1724" s="11" t="str">
        <f t="shared" si="136"/>
        <v/>
      </c>
      <c r="C1724" s="11" t="str">
        <f t="shared" si="139"/>
        <v/>
      </c>
      <c r="D1724" s="11" t="str">
        <f t="shared" si="140"/>
        <v/>
      </c>
      <c r="E1724" s="11" t="str">
        <f t="shared" si="137"/>
        <v/>
      </c>
      <c r="F1724" s="11" t="str">
        <f t="shared" si="138"/>
        <v/>
      </c>
      <c r="G1724" s="10" t="str">
        <v/>
      </c>
      <c r="H1724" s="11" t="str">
        <v/>
      </c>
      <c r="I1724" s="11" t="str">
        <v/>
      </c>
    </row>
    <row r="1725" spans="2:9">
      <c r="B1725" s="11" t="str">
        <f t="shared" si="136"/>
        <v/>
      </c>
      <c r="C1725" s="11" t="str">
        <f t="shared" si="139"/>
        <v/>
      </c>
      <c r="D1725" s="11" t="str">
        <f t="shared" si="140"/>
        <v/>
      </c>
      <c r="E1725" s="11" t="str">
        <f t="shared" si="137"/>
        <v/>
      </c>
      <c r="F1725" s="11" t="str">
        <f t="shared" si="138"/>
        <v/>
      </c>
      <c r="G1725" s="10" t="str">
        <v/>
      </c>
      <c r="H1725" s="11" t="str">
        <v/>
      </c>
      <c r="I1725" s="11" t="str">
        <v/>
      </c>
    </row>
    <row r="1726" spans="2:9">
      <c r="B1726" s="11" t="str">
        <f t="shared" si="136"/>
        <v/>
      </c>
      <c r="C1726" s="11" t="str">
        <f t="shared" si="139"/>
        <v/>
      </c>
      <c r="D1726" s="11" t="str">
        <f t="shared" si="140"/>
        <v/>
      </c>
      <c r="E1726" s="11" t="str">
        <f t="shared" si="137"/>
        <v/>
      </c>
      <c r="F1726" s="11" t="str">
        <f t="shared" si="138"/>
        <v/>
      </c>
      <c r="G1726" s="10" t="str">
        <v/>
      </c>
      <c r="H1726" s="11" t="str">
        <v/>
      </c>
      <c r="I1726" s="11" t="str">
        <v/>
      </c>
    </row>
    <row r="1727" spans="2:9">
      <c r="B1727" s="11" t="str">
        <f t="shared" si="136"/>
        <v/>
      </c>
      <c r="C1727" s="11" t="str">
        <f t="shared" si="139"/>
        <v/>
      </c>
      <c r="D1727" s="11" t="str">
        <f t="shared" si="140"/>
        <v/>
      </c>
      <c r="E1727" s="11" t="str">
        <f t="shared" si="137"/>
        <v/>
      </c>
      <c r="F1727" s="11" t="str">
        <f t="shared" si="138"/>
        <v/>
      </c>
      <c r="G1727" s="10" t="str">
        <v/>
      </c>
      <c r="H1727" s="11" t="str">
        <v/>
      </c>
      <c r="I1727" s="11" t="str">
        <v/>
      </c>
    </row>
    <row r="1728" spans="2:9">
      <c r="B1728" s="11" t="str">
        <f t="shared" si="136"/>
        <v/>
      </c>
      <c r="C1728" s="11" t="str">
        <f t="shared" si="139"/>
        <v/>
      </c>
      <c r="D1728" s="11" t="str">
        <f t="shared" si="140"/>
        <v/>
      </c>
      <c r="E1728" s="11" t="str">
        <f t="shared" si="137"/>
        <v/>
      </c>
      <c r="F1728" s="11" t="str">
        <f t="shared" si="138"/>
        <v/>
      </c>
      <c r="G1728" s="10" t="str">
        <v/>
      </c>
      <c r="H1728" s="11" t="str">
        <v/>
      </c>
      <c r="I1728" s="11" t="str">
        <v/>
      </c>
    </row>
    <row r="1729" spans="2:9">
      <c r="B1729" s="11" t="str">
        <f t="shared" ref="B1729:B1792" si="141">IFERROR(IF(FIND(" ",A1729)=6,IF(IFERROR(FIND(" PB",A1729),"")&lt;&gt;"","артикул",IF(IFERROR(FIND(" CRN",A1729),"")&lt;&gt;"","артикул","")),""),"")</f>
        <v/>
      </c>
      <c r="C1729" s="11" t="str">
        <f t="shared" si="139"/>
        <v/>
      </c>
      <c r="D1729" s="11" t="str">
        <f t="shared" si="140"/>
        <v/>
      </c>
      <c r="E1729" s="11" t="str">
        <f t="shared" si="137"/>
        <v/>
      </c>
      <c r="F1729" s="11" t="str">
        <f t="shared" si="138"/>
        <v/>
      </c>
      <c r="G1729" s="10" t="str">
        <v/>
      </c>
      <c r="H1729" s="11" t="str">
        <v/>
      </c>
      <c r="I1729" s="11" t="str">
        <v/>
      </c>
    </row>
    <row r="1730" spans="2:9">
      <c r="B1730" s="11" t="str">
        <f t="shared" si="141"/>
        <v/>
      </c>
      <c r="C1730" s="11" t="str">
        <f t="shared" si="139"/>
        <v/>
      </c>
      <c r="D1730" s="11" t="str">
        <f t="shared" si="140"/>
        <v/>
      </c>
      <c r="E1730" s="11" t="str">
        <f t="shared" ref="E1730:E1793" si="142" xml:space="preserve">
IF(B1730="Артикул",
IF(
AND(RIGHT(A1731,1)="%",
RIGHT(A1732,1)="%",
RIGHT(A1733,1)="%",
RIGHT(A1734,1)="%"),MID(A1735,FIND(" ",A1735),50),
IF(
AND(RIGHT(A1731,1)="%",
RIGHT(A1732,1)="%",
RIGHT(A1733,1)="%"),MID(A1734,FIND(" ",A1734),50),
IF(
AND(RIGHT(A1731,1)="%",
RIGHT(A1732,1)="%"),
MID(A1733,FIND(" ",A1733),50),
IF(
RIGHT(A1731,1)="%",
MID(A1732,FIND(" ",A1732),50),"")))),"")</f>
        <v/>
      </c>
      <c r="F1730" s="11" t="str">
        <f t="shared" ref="F1730:F1793" si="143">IFERROR(
IF(
AND(LEFT(A1730,8)="Discount",FIND("%",A1730)&gt;0),
MID(A1730,
FIND(" ",A1730),
FIND("%",A1730)-FIND(" ",A1730))
*-1,""),"")</f>
        <v/>
      </c>
      <c r="G1730" s="10" t="str">
        <v/>
      </c>
      <c r="H1730" s="11" t="str">
        <v/>
      </c>
      <c r="I1730" s="11" t="str">
        <v/>
      </c>
    </row>
    <row r="1731" spans="2:9">
      <c r="B1731" s="11" t="str">
        <f t="shared" si="141"/>
        <v/>
      </c>
      <c r="C1731" s="11" t="str">
        <f t="shared" si="139"/>
        <v/>
      </c>
      <c r="D1731" s="11" t="str">
        <f t="shared" si="140"/>
        <v/>
      </c>
      <c r="E1731" s="11" t="str">
        <f t="shared" si="142"/>
        <v/>
      </c>
      <c r="F1731" s="11" t="str">
        <f t="shared" si="143"/>
        <v/>
      </c>
      <c r="G1731" s="10" t="str">
        <v/>
      </c>
      <c r="H1731" s="11" t="str">
        <v/>
      </c>
      <c r="I1731" s="11" t="str">
        <v/>
      </c>
    </row>
    <row r="1732" spans="2:9">
      <c r="B1732" s="11" t="str">
        <f t="shared" si="141"/>
        <v/>
      </c>
      <c r="C1732" s="11" t="str">
        <f t="shared" si="139"/>
        <v/>
      </c>
      <c r="D1732" s="11" t="str">
        <f t="shared" si="140"/>
        <v/>
      </c>
      <c r="E1732" s="11" t="str">
        <f t="shared" si="142"/>
        <v/>
      </c>
      <c r="F1732" s="11" t="str">
        <f t="shared" si="143"/>
        <v/>
      </c>
      <c r="G1732" s="10" t="str">
        <v/>
      </c>
      <c r="H1732" s="11" t="str">
        <v/>
      </c>
      <c r="I1732" s="11" t="str">
        <v/>
      </c>
    </row>
    <row r="1733" spans="2:9">
      <c r="B1733" s="11" t="str">
        <f t="shared" si="141"/>
        <v/>
      </c>
      <c r="C1733" s="11" t="str">
        <f t="shared" si="139"/>
        <v/>
      </c>
      <c r="D1733" s="11" t="str">
        <f t="shared" si="140"/>
        <v/>
      </c>
      <c r="E1733" s="11" t="str">
        <f t="shared" si="142"/>
        <v/>
      </c>
      <c r="F1733" s="11" t="str">
        <f t="shared" si="143"/>
        <v/>
      </c>
      <c r="G1733" s="10" t="str">
        <v/>
      </c>
      <c r="H1733" s="11" t="str">
        <v/>
      </c>
      <c r="I1733" s="11" t="str">
        <v/>
      </c>
    </row>
    <row r="1734" spans="2:9">
      <c r="B1734" s="11" t="str">
        <f t="shared" si="141"/>
        <v/>
      </c>
      <c r="C1734" s="11" t="str">
        <f t="shared" si="139"/>
        <v/>
      </c>
      <c r="D1734" s="11" t="str">
        <f t="shared" si="140"/>
        <v/>
      </c>
      <c r="E1734" s="11" t="str">
        <f t="shared" si="142"/>
        <v/>
      </c>
      <c r="F1734" s="11" t="str">
        <f t="shared" si="143"/>
        <v/>
      </c>
      <c r="G1734" s="10" t="str">
        <v/>
      </c>
      <c r="H1734" s="11" t="str">
        <v/>
      </c>
      <c r="I1734" s="11" t="str">
        <v/>
      </c>
    </row>
    <row r="1735" spans="2:9">
      <c r="B1735" s="11" t="str">
        <f t="shared" si="141"/>
        <v/>
      </c>
      <c r="C1735" s="11" t="str">
        <f t="shared" si="139"/>
        <v/>
      </c>
      <c r="D1735" s="11" t="str">
        <f t="shared" si="140"/>
        <v/>
      </c>
      <c r="E1735" s="11" t="str">
        <f t="shared" si="142"/>
        <v/>
      </c>
      <c r="F1735" s="11" t="str">
        <f t="shared" si="143"/>
        <v/>
      </c>
      <c r="G1735" s="10" t="str">
        <v/>
      </c>
      <c r="H1735" s="11" t="str">
        <v/>
      </c>
      <c r="I1735" s="11" t="str">
        <v/>
      </c>
    </row>
    <row r="1736" spans="2:9">
      <c r="B1736" s="11" t="str">
        <f t="shared" si="141"/>
        <v/>
      </c>
      <c r="C1736" s="11" t="str">
        <f t="shared" si="139"/>
        <v/>
      </c>
      <c r="D1736" s="11" t="str">
        <f t="shared" si="140"/>
        <v/>
      </c>
      <c r="E1736" s="11" t="str">
        <f t="shared" si="142"/>
        <v/>
      </c>
      <c r="F1736" s="11" t="str">
        <f t="shared" si="143"/>
        <v/>
      </c>
      <c r="G1736" s="10" t="str">
        <v/>
      </c>
      <c r="H1736" s="11" t="str">
        <v/>
      </c>
      <c r="I1736" s="11" t="str">
        <v/>
      </c>
    </row>
    <row r="1737" spans="2:9">
      <c r="B1737" s="11" t="str">
        <f t="shared" si="141"/>
        <v/>
      </c>
      <c r="C1737" s="11" t="str">
        <f t="shared" si="139"/>
        <v/>
      </c>
      <c r="D1737" s="11" t="str">
        <f t="shared" si="140"/>
        <v/>
      </c>
      <c r="E1737" s="11" t="str">
        <f t="shared" si="142"/>
        <v/>
      </c>
      <c r="F1737" s="11" t="str">
        <f t="shared" si="143"/>
        <v/>
      </c>
      <c r="G1737" s="10" t="str">
        <v/>
      </c>
      <c r="H1737" s="11" t="str">
        <v/>
      </c>
      <c r="I1737" s="11" t="str">
        <v/>
      </c>
    </row>
    <row r="1738" spans="2:9">
      <c r="B1738" s="11" t="str">
        <f t="shared" si="141"/>
        <v/>
      </c>
      <c r="C1738" s="11" t="str">
        <f t="shared" si="139"/>
        <v/>
      </c>
      <c r="D1738" s="11" t="str">
        <f t="shared" si="140"/>
        <v/>
      </c>
      <c r="E1738" s="11" t="str">
        <f t="shared" si="142"/>
        <v/>
      </c>
      <c r="F1738" s="11" t="str">
        <f t="shared" si="143"/>
        <v/>
      </c>
      <c r="G1738" s="10" t="str">
        <v/>
      </c>
      <c r="H1738" s="11" t="str">
        <v/>
      </c>
      <c r="I1738" s="11" t="str">
        <v/>
      </c>
    </row>
    <row r="1739" spans="2:9">
      <c r="B1739" s="11" t="str">
        <f t="shared" si="141"/>
        <v/>
      </c>
      <c r="C1739" s="11" t="str">
        <f t="shared" si="139"/>
        <v/>
      </c>
      <c r="D1739" s="11" t="str">
        <f t="shared" si="140"/>
        <v/>
      </c>
      <c r="E1739" s="11" t="str">
        <f t="shared" si="142"/>
        <v/>
      </c>
      <c r="F1739" s="11" t="str">
        <f t="shared" si="143"/>
        <v/>
      </c>
      <c r="G1739" s="10" t="str">
        <v/>
      </c>
      <c r="H1739" s="11" t="str">
        <v/>
      </c>
      <c r="I1739" s="11" t="str">
        <v/>
      </c>
    </row>
    <row r="1740" spans="2:9">
      <c r="B1740" s="11" t="str">
        <f t="shared" si="141"/>
        <v/>
      </c>
      <c r="C1740" s="11" t="str">
        <f t="shared" si="139"/>
        <v/>
      </c>
      <c r="D1740" s="11" t="str">
        <f t="shared" si="140"/>
        <v/>
      </c>
      <c r="E1740" s="11" t="str">
        <f t="shared" si="142"/>
        <v/>
      </c>
      <c r="F1740" s="11" t="str">
        <f t="shared" si="143"/>
        <v/>
      </c>
      <c r="G1740" s="10" t="str">
        <v/>
      </c>
      <c r="H1740" s="11" t="str">
        <v/>
      </c>
      <c r="I1740" s="11" t="str">
        <v/>
      </c>
    </row>
    <row r="1741" spans="2:9">
      <c r="B1741" s="11" t="str">
        <f t="shared" si="141"/>
        <v/>
      </c>
      <c r="C1741" s="11" t="str">
        <f t="shared" ref="C1741:C1804" si="144">IF(B1741="артикул",A1741,"")</f>
        <v/>
      </c>
      <c r="D1741" s="11" t="str">
        <f t="shared" ref="D1741:D1804" si="145">IF(B1741="артикул",A1742,"")</f>
        <v/>
      </c>
      <c r="E1741" s="11" t="str">
        <f t="shared" si="142"/>
        <v/>
      </c>
      <c r="F1741" s="11" t="str">
        <f t="shared" si="143"/>
        <v/>
      </c>
      <c r="G1741" s="10" t="str">
        <v/>
      </c>
      <c r="H1741" s="11" t="str">
        <v/>
      </c>
      <c r="I1741" s="11" t="str">
        <v/>
      </c>
    </row>
    <row r="1742" spans="2:9">
      <c r="B1742" s="11" t="str">
        <f t="shared" si="141"/>
        <v/>
      </c>
      <c r="C1742" s="11" t="str">
        <f t="shared" si="144"/>
        <v/>
      </c>
      <c r="D1742" s="11" t="str">
        <f t="shared" si="145"/>
        <v/>
      </c>
      <c r="E1742" s="11" t="str">
        <f t="shared" si="142"/>
        <v/>
      </c>
      <c r="F1742" s="11" t="str">
        <f t="shared" si="143"/>
        <v/>
      </c>
      <c r="G1742" s="10" t="str">
        <v/>
      </c>
      <c r="H1742" s="11" t="str">
        <v/>
      </c>
      <c r="I1742" s="11" t="str">
        <v/>
      </c>
    </row>
    <row r="1743" spans="2:9">
      <c r="B1743" s="11" t="str">
        <f t="shared" si="141"/>
        <v/>
      </c>
      <c r="C1743" s="11" t="str">
        <f t="shared" si="144"/>
        <v/>
      </c>
      <c r="D1743" s="11" t="str">
        <f t="shared" si="145"/>
        <v/>
      </c>
      <c r="E1743" s="11" t="str">
        <f t="shared" si="142"/>
        <v/>
      </c>
      <c r="F1743" s="11" t="str">
        <f t="shared" si="143"/>
        <v/>
      </c>
      <c r="G1743" s="10" t="str">
        <v/>
      </c>
      <c r="H1743" s="11" t="str">
        <v/>
      </c>
      <c r="I1743" s="11" t="str">
        <v/>
      </c>
    </row>
    <row r="1744" spans="2:9">
      <c r="B1744" s="11" t="str">
        <f t="shared" si="141"/>
        <v/>
      </c>
      <c r="C1744" s="11" t="str">
        <f t="shared" si="144"/>
        <v/>
      </c>
      <c r="D1744" s="11" t="str">
        <f t="shared" si="145"/>
        <v/>
      </c>
      <c r="E1744" s="11" t="str">
        <f t="shared" si="142"/>
        <v/>
      </c>
      <c r="F1744" s="11" t="str">
        <f t="shared" si="143"/>
        <v/>
      </c>
      <c r="G1744" s="10" t="str">
        <v/>
      </c>
      <c r="H1744" s="11" t="str">
        <v/>
      </c>
      <c r="I1744" s="11" t="str">
        <v/>
      </c>
    </row>
    <row r="1745" spans="2:9">
      <c r="B1745" s="11" t="str">
        <f t="shared" si="141"/>
        <v/>
      </c>
      <c r="C1745" s="11" t="str">
        <f t="shared" si="144"/>
        <v/>
      </c>
      <c r="D1745" s="11" t="str">
        <f t="shared" si="145"/>
        <v/>
      </c>
      <c r="E1745" s="11" t="str">
        <f t="shared" si="142"/>
        <v/>
      </c>
      <c r="F1745" s="11" t="str">
        <f t="shared" si="143"/>
        <v/>
      </c>
      <c r="G1745" s="10" t="str">
        <v/>
      </c>
      <c r="H1745" s="11" t="str">
        <v/>
      </c>
      <c r="I1745" s="11" t="str">
        <v/>
      </c>
    </row>
    <row r="1746" spans="2:9">
      <c r="B1746" s="11" t="str">
        <f t="shared" si="141"/>
        <v/>
      </c>
      <c r="C1746" s="11" t="str">
        <f t="shared" si="144"/>
        <v/>
      </c>
      <c r="D1746" s="11" t="str">
        <f t="shared" si="145"/>
        <v/>
      </c>
      <c r="E1746" s="11" t="str">
        <f t="shared" si="142"/>
        <v/>
      </c>
      <c r="F1746" s="11" t="str">
        <f t="shared" si="143"/>
        <v/>
      </c>
      <c r="G1746" s="10" t="str">
        <v/>
      </c>
      <c r="H1746" s="11" t="str">
        <v/>
      </c>
      <c r="I1746" s="11" t="str">
        <v/>
      </c>
    </row>
    <row r="1747" spans="2:9">
      <c r="B1747" s="11" t="str">
        <f t="shared" si="141"/>
        <v/>
      </c>
      <c r="C1747" s="11" t="str">
        <f t="shared" si="144"/>
        <v/>
      </c>
      <c r="D1747" s="11" t="str">
        <f t="shared" si="145"/>
        <v/>
      </c>
      <c r="E1747" s="11" t="str">
        <f t="shared" si="142"/>
        <v/>
      </c>
      <c r="F1747" s="11" t="str">
        <f t="shared" si="143"/>
        <v/>
      </c>
      <c r="G1747" s="10" t="str">
        <v/>
      </c>
      <c r="H1747" s="11" t="str">
        <v/>
      </c>
      <c r="I1747" s="11" t="str">
        <v/>
      </c>
    </row>
    <row r="1748" spans="2:9">
      <c r="B1748" s="11" t="str">
        <f t="shared" si="141"/>
        <v/>
      </c>
      <c r="C1748" s="11" t="str">
        <f t="shared" si="144"/>
        <v/>
      </c>
      <c r="D1748" s="11" t="str">
        <f t="shared" si="145"/>
        <v/>
      </c>
      <c r="E1748" s="11" t="str">
        <f t="shared" si="142"/>
        <v/>
      </c>
      <c r="F1748" s="11" t="str">
        <f t="shared" si="143"/>
        <v/>
      </c>
      <c r="G1748" s="10" t="str">
        <v/>
      </c>
      <c r="H1748" s="11" t="str">
        <v/>
      </c>
      <c r="I1748" s="11" t="str">
        <v/>
      </c>
    </row>
    <row r="1749" spans="2:9">
      <c r="B1749" s="11" t="str">
        <f t="shared" si="141"/>
        <v/>
      </c>
      <c r="C1749" s="11" t="str">
        <f t="shared" si="144"/>
        <v/>
      </c>
      <c r="D1749" s="11" t="str">
        <f t="shared" si="145"/>
        <v/>
      </c>
      <c r="E1749" s="11" t="str">
        <f t="shared" si="142"/>
        <v/>
      </c>
      <c r="F1749" s="11" t="str">
        <f t="shared" si="143"/>
        <v/>
      </c>
      <c r="G1749" s="10" t="str">
        <v/>
      </c>
      <c r="H1749" s="11" t="str">
        <v/>
      </c>
      <c r="I1749" s="11" t="str">
        <v/>
      </c>
    </row>
    <row r="1750" spans="2:9">
      <c r="B1750" s="11" t="str">
        <f t="shared" si="141"/>
        <v/>
      </c>
      <c r="C1750" s="11" t="str">
        <f t="shared" si="144"/>
        <v/>
      </c>
      <c r="D1750" s="11" t="str">
        <f t="shared" si="145"/>
        <v/>
      </c>
      <c r="E1750" s="11" t="str">
        <f t="shared" si="142"/>
        <v/>
      </c>
      <c r="F1750" s="11" t="str">
        <f t="shared" si="143"/>
        <v/>
      </c>
      <c r="G1750" s="10" t="str">
        <v/>
      </c>
      <c r="H1750" s="11" t="str">
        <v/>
      </c>
      <c r="I1750" s="11" t="str">
        <v/>
      </c>
    </row>
    <row r="1751" spans="2:9">
      <c r="B1751" s="11" t="str">
        <f t="shared" si="141"/>
        <v/>
      </c>
      <c r="C1751" s="11" t="str">
        <f t="shared" si="144"/>
        <v/>
      </c>
      <c r="D1751" s="11" t="str">
        <f t="shared" si="145"/>
        <v/>
      </c>
      <c r="E1751" s="11" t="str">
        <f t="shared" si="142"/>
        <v/>
      </c>
      <c r="F1751" s="11" t="str">
        <f t="shared" si="143"/>
        <v/>
      </c>
      <c r="G1751" s="10" t="str">
        <v/>
      </c>
      <c r="H1751" s="11" t="str">
        <v/>
      </c>
      <c r="I1751" s="11" t="str">
        <v/>
      </c>
    </row>
    <row r="1752" spans="2:9">
      <c r="B1752" s="11" t="str">
        <f t="shared" si="141"/>
        <v/>
      </c>
      <c r="C1752" s="11" t="str">
        <f t="shared" si="144"/>
        <v/>
      </c>
      <c r="D1752" s="11" t="str">
        <f t="shared" si="145"/>
        <v/>
      </c>
      <c r="E1752" s="11" t="str">
        <f t="shared" si="142"/>
        <v/>
      </c>
      <c r="F1752" s="11" t="str">
        <f t="shared" si="143"/>
        <v/>
      </c>
      <c r="G1752" s="10" t="str">
        <v/>
      </c>
      <c r="H1752" s="11" t="str">
        <v/>
      </c>
      <c r="I1752" s="11" t="str">
        <v/>
      </c>
    </row>
    <row r="1753" spans="2:9">
      <c r="B1753" s="11" t="str">
        <f t="shared" si="141"/>
        <v/>
      </c>
      <c r="C1753" s="11" t="str">
        <f t="shared" si="144"/>
        <v/>
      </c>
      <c r="D1753" s="11" t="str">
        <f t="shared" si="145"/>
        <v/>
      </c>
      <c r="E1753" s="11" t="str">
        <f t="shared" si="142"/>
        <v/>
      </c>
      <c r="F1753" s="11" t="str">
        <f t="shared" si="143"/>
        <v/>
      </c>
      <c r="G1753" s="10" t="str">
        <v/>
      </c>
      <c r="H1753" s="11" t="str">
        <v/>
      </c>
      <c r="I1753" s="11" t="str">
        <v/>
      </c>
    </row>
    <row r="1754" spans="2:9">
      <c r="B1754" s="11" t="str">
        <f t="shared" si="141"/>
        <v/>
      </c>
      <c r="C1754" s="11" t="str">
        <f t="shared" si="144"/>
        <v/>
      </c>
      <c r="D1754" s="11" t="str">
        <f t="shared" si="145"/>
        <v/>
      </c>
      <c r="E1754" s="11" t="str">
        <f t="shared" si="142"/>
        <v/>
      </c>
      <c r="F1754" s="11" t="str">
        <f t="shared" si="143"/>
        <v/>
      </c>
      <c r="G1754" s="10" t="str">
        <v/>
      </c>
      <c r="H1754" s="11" t="str">
        <v/>
      </c>
      <c r="I1754" s="11" t="str">
        <v/>
      </c>
    </row>
    <row r="1755" spans="2:9">
      <c r="B1755" s="11" t="str">
        <f t="shared" si="141"/>
        <v/>
      </c>
      <c r="C1755" s="11" t="str">
        <f t="shared" si="144"/>
        <v/>
      </c>
      <c r="D1755" s="11" t="str">
        <f t="shared" si="145"/>
        <v/>
      </c>
      <c r="E1755" s="11" t="str">
        <f t="shared" si="142"/>
        <v/>
      </c>
      <c r="F1755" s="11" t="str">
        <f t="shared" si="143"/>
        <v/>
      </c>
      <c r="G1755" s="10" t="str">
        <v/>
      </c>
      <c r="H1755" s="11" t="str">
        <v/>
      </c>
      <c r="I1755" s="11" t="str">
        <v/>
      </c>
    </row>
    <row r="1756" spans="2:9">
      <c r="B1756" s="11" t="str">
        <f t="shared" si="141"/>
        <v/>
      </c>
      <c r="C1756" s="11" t="str">
        <f t="shared" si="144"/>
        <v/>
      </c>
      <c r="D1756" s="11" t="str">
        <f t="shared" si="145"/>
        <v/>
      </c>
      <c r="E1756" s="11" t="str">
        <f t="shared" si="142"/>
        <v/>
      </c>
      <c r="F1756" s="11" t="str">
        <f t="shared" si="143"/>
        <v/>
      </c>
      <c r="G1756" s="10" t="str">
        <v/>
      </c>
      <c r="H1756" s="11" t="str">
        <v/>
      </c>
      <c r="I1756" s="11" t="str">
        <v/>
      </c>
    </row>
    <row r="1757" spans="2:9">
      <c r="B1757" s="11" t="str">
        <f t="shared" si="141"/>
        <v/>
      </c>
      <c r="C1757" s="11" t="str">
        <f t="shared" si="144"/>
        <v/>
      </c>
      <c r="D1757" s="11" t="str">
        <f t="shared" si="145"/>
        <v/>
      </c>
      <c r="E1757" s="11" t="str">
        <f t="shared" si="142"/>
        <v/>
      </c>
      <c r="F1757" s="11" t="str">
        <f t="shared" si="143"/>
        <v/>
      </c>
      <c r="G1757" s="10" t="str">
        <v/>
      </c>
      <c r="H1757" s="11" t="str">
        <v/>
      </c>
      <c r="I1757" s="11" t="str">
        <v/>
      </c>
    </row>
    <row r="1758" spans="2:9">
      <c r="B1758" s="11" t="str">
        <f t="shared" si="141"/>
        <v/>
      </c>
      <c r="C1758" s="11" t="str">
        <f t="shared" si="144"/>
        <v/>
      </c>
      <c r="D1758" s="11" t="str">
        <f t="shared" si="145"/>
        <v/>
      </c>
      <c r="E1758" s="11" t="str">
        <f t="shared" si="142"/>
        <v/>
      </c>
      <c r="F1758" s="11" t="str">
        <f t="shared" si="143"/>
        <v/>
      </c>
      <c r="G1758" s="10" t="str">
        <v/>
      </c>
      <c r="H1758" s="11" t="str">
        <v/>
      </c>
      <c r="I1758" s="11" t="str">
        <v/>
      </c>
    </row>
    <row r="1759" spans="2:9">
      <c r="B1759" s="11" t="str">
        <f t="shared" si="141"/>
        <v/>
      </c>
      <c r="C1759" s="11" t="str">
        <f t="shared" si="144"/>
        <v/>
      </c>
      <c r="D1759" s="11" t="str">
        <f t="shared" si="145"/>
        <v/>
      </c>
      <c r="E1759" s="11" t="str">
        <f t="shared" si="142"/>
        <v/>
      </c>
      <c r="F1759" s="11" t="str">
        <f t="shared" si="143"/>
        <v/>
      </c>
      <c r="G1759" s="10" t="str">
        <v/>
      </c>
      <c r="H1759" s="11" t="str">
        <v/>
      </c>
      <c r="I1759" s="11" t="str">
        <v/>
      </c>
    </row>
    <row r="1760" spans="2:9">
      <c r="B1760" s="11" t="str">
        <f t="shared" si="141"/>
        <v/>
      </c>
      <c r="C1760" s="11" t="str">
        <f t="shared" si="144"/>
        <v/>
      </c>
      <c r="D1760" s="11" t="str">
        <f t="shared" si="145"/>
        <v/>
      </c>
      <c r="E1760" s="11" t="str">
        <f t="shared" si="142"/>
        <v/>
      </c>
      <c r="F1760" s="11" t="str">
        <f t="shared" si="143"/>
        <v/>
      </c>
      <c r="G1760" s="10" t="str">
        <v/>
      </c>
      <c r="H1760" s="11" t="str">
        <v/>
      </c>
      <c r="I1760" s="11" t="str">
        <v/>
      </c>
    </row>
    <row r="1761" spans="2:9">
      <c r="B1761" s="11" t="str">
        <f t="shared" si="141"/>
        <v/>
      </c>
      <c r="C1761" s="11" t="str">
        <f t="shared" si="144"/>
        <v/>
      </c>
      <c r="D1761" s="11" t="str">
        <f t="shared" si="145"/>
        <v/>
      </c>
      <c r="E1761" s="11" t="str">
        <f t="shared" si="142"/>
        <v/>
      </c>
      <c r="F1761" s="11" t="str">
        <f t="shared" si="143"/>
        <v/>
      </c>
      <c r="G1761" s="10" t="str">
        <v/>
      </c>
      <c r="H1761" s="11" t="str">
        <v/>
      </c>
      <c r="I1761" s="11" t="str">
        <v/>
      </c>
    </row>
    <row r="1762" spans="2:9">
      <c r="B1762" s="11" t="str">
        <f t="shared" si="141"/>
        <v/>
      </c>
      <c r="C1762" s="11" t="str">
        <f t="shared" si="144"/>
        <v/>
      </c>
      <c r="D1762" s="11" t="str">
        <f t="shared" si="145"/>
        <v/>
      </c>
      <c r="E1762" s="11" t="str">
        <f t="shared" si="142"/>
        <v/>
      </c>
      <c r="F1762" s="11" t="str">
        <f t="shared" si="143"/>
        <v/>
      </c>
      <c r="G1762" s="10" t="str">
        <v/>
      </c>
      <c r="H1762" s="11" t="str">
        <v/>
      </c>
      <c r="I1762" s="11" t="str">
        <v/>
      </c>
    </row>
    <row r="1763" spans="2:9">
      <c r="B1763" s="11" t="str">
        <f t="shared" si="141"/>
        <v/>
      </c>
      <c r="C1763" s="11" t="str">
        <f t="shared" si="144"/>
        <v/>
      </c>
      <c r="D1763" s="11" t="str">
        <f t="shared" si="145"/>
        <v/>
      </c>
      <c r="E1763" s="11" t="str">
        <f t="shared" si="142"/>
        <v/>
      </c>
      <c r="F1763" s="11" t="str">
        <f t="shared" si="143"/>
        <v/>
      </c>
      <c r="G1763" s="10" t="str">
        <v/>
      </c>
      <c r="H1763" s="11" t="str">
        <v/>
      </c>
      <c r="I1763" s="11" t="str">
        <v/>
      </c>
    </row>
    <row r="1764" spans="2:9">
      <c r="B1764" s="11" t="str">
        <f t="shared" si="141"/>
        <v/>
      </c>
      <c r="C1764" s="11" t="str">
        <f t="shared" si="144"/>
        <v/>
      </c>
      <c r="D1764" s="11" t="str">
        <f t="shared" si="145"/>
        <v/>
      </c>
      <c r="E1764" s="11" t="str">
        <f t="shared" si="142"/>
        <v/>
      </c>
      <c r="F1764" s="11" t="str">
        <f t="shared" si="143"/>
        <v/>
      </c>
      <c r="G1764" s="10" t="str">
        <v/>
      </c>
      <c r="H1764" s="11" t="str">
        <v/>
      </c>
      <c r="I1764" s="11" t="str">
        <v/>
      </c>
    </row>
    <row r="1765" spans="2:9">
      <c r="B1765" s="11" t="str">
        <f t="shared" si="141"/>
        <v/>
      </c>
      <c r="C1765" s="11" t="str">
        <f t="shared" si="144"/>
        <v/>
      </c>
      <c r="D1765" s="11" t="str">
        <f t="shared" si="145"/>
        <v/>
      </c>
      <c r="E1765" s="11" t="str">
        <f t="shared" si="142"/>
        <v/>
      </c>
      <c r="F1765" s="11" t="str">
        <f t="shared" si="143"/>
        <v/>
      </c>
      <c r="G1765" s="10" t="str">
        <v/>
      </c>
      <c r="H1765" s="11" t="str">
        <v/>
      </c>
      <c r="I1765" s="11" t="str">
        <v/>
      </c>
    </row>
    <row r="1766" spans="2:9">
      <c r="B1766" s="11" t="str">
        <f t="shared" si="141"/>
        <v/>
      </c>
      <c r="C1766" s="11" t="str">
        <f t="shared" si="144"/>
        <v/>
      </c>
      <c r="D1766" s="11" t="str">
        <f t="shared" si="145"/>
        <v/>
      </c>
      <c r="E1766" s="11" t="str">
        <f t="shared" si="142"/>
        <v/>
      </c>
      <c r="F1766" s="11" t="str">
        <f t="shared" si="143"/>
        <v/>
      </c>
      <c r="G1766" s="10" t="str">
        <v/>
      </c>
      <c r="H1766" s="11" t="str">
        <v/>
      </c>
      <c r="I1766" s="11" t="str">
        <v/>
      </c>
    </row>
    <row r="1767" spans="2:9">
      <c r="B1767" s="11" t="str">
        <f t="shared" si="141"/>
        <v/>
      </c>
      <c r="C1767" s="11" t="str">
        <f t="shared" si="144"/>
        <v/>
      </c>
      <c r="D1767" s="11" t="str">
        <f t="shared" si="145"/>
        <v/>
      </c>
      <c r="E1767" s="11" t="str">
        <f t="shared" si="142"/>
        <v/>
      </c>
      <c r="F1767" s="11" t="str">
        <f t="shared" si="143"/>
        <v/>
      </c>
      <c r="G1767" s="10" t="str">
        <v/>
      </c>
      <c r="H1767" s="11" t="str">
        <v/>
      </c>
      <c r="I1767" s="11" t="str">
        <v/>
      </c>
    </row>
    <row r="1768" spans="2:9">
      <c r="B1768" s="11" t="str">
        <f t="shared" si="141"/>
        <v/>
      </c>
      <c r="C1768" s="11" t="str">
        <f t="shared" si="144"/>
        <v/>
      </c>
      <c r="D1768" s="11" t="str">
        <f t="shared" si="145"/>
        <v/>
      </c>
      <c r="E1768" s="11" t="str">
        <f t="shared" si="142"/>
        <v/>
      </c>
      <c r="F1768" s="11" t="str">
        <f t="shared" si="143"/>
        <v/>
      </c>
      <c r="G1768" s="10" t="str">
        <v/>
      </c>
      <c r="H1768" s="11" t="str">
        <v/>
      </c>
      <c r="I1768" s="11" t="str">
        <v/>
      </c>
    </row>
    <row r="1769" spans="2:9">
      <c r="B1769" s="11" t="str">
        <f t="shared" si="141"/>
        <v/>
      </c>
      <c r="C1769" s="11" t="str">
        <f t="shared" si="144"/>
        <v/>
      </c>
      <c r="D1769" s="11" t="str">
        <f t="shared" si="145"/>
        <v/>
      </c>
      <c r="E1769" s="11" t="str">
        <f t="shared" si="142"/>
        <v/>
      </c>
      <c r="F1769" s="11" t="str">
        <f t="shared" si="143"/>
        <v/>
      </c>
      <c r="G1769" s="10" t="str">
        <v/>
      </c>
      <c r="H1769" s="11" t="str">
        <v/>
      </c>
      <c r="I1769" s="11" t="str">
        <v/>
      </c>
    </row>
    <row r="1770" spans="2:9">
      <c r="B1770" s="11" t="str">
        <f t="shared" si="141"/>
        <v/>
      </c>
      <c r="C1770" s="11" t="str">
        <f t="shared" si="144"/>
        <v/>
      </c>
      <c r="D1770" s="11" t="str">
        <f t="shared" si="145"/>
        <v/>
      </c>
      <c r="E1770" s="11" t="str">
        <f t="shared" si="142"/>
        <v/>
      </c>
      <c r="F1770" s="11" t="str">
        <f t="shared" si="143"/>
        <v/>
      </c>
      <c r="G1770" s="10" t="str">
        <v/>
      </c>
      <c r="H1770" s="11" t="str">
        <v/>
      </c>
      <c r="I1770" s="11" t="str">
        <v/>
      </c>
    </row>
    <row r="1771" spans="2:9">
      <c r="B1771" s="11" t="str">
        <f t="shared" si="141"/>
        <v/>
      </c>
      <c r="C1771" s="11" t="str">
        <f t="shared" si="144"/>
        <v/>
      </c>
      <c r="D1771" s="11" t="str">
        <f t="shared" si="145"/>
        <v/>
      </c>
      <c r="E1771" s="11" t="str">
        <f t="shared" si="142"/>
        <v/>
      </c>
      <c r="F1771" s="11" t="str">
        <f t="shared" si="143"/>
        <v/>
      </c>
      <c r="G1771" s="10" t="str">
        <v/>
      </c>
      <c r="H1771" s="11" t="str">
        <v/>
      </c>
      <c r="I1771" s="11" t="str">
        <v/>
      </c>
    </row>
    <row r="1772" spans="2:9">
      <c r="B1772" s="11" t="str">
        <f t="shared" si="141"/>
        <v/>
      </c>
      <c r="C1772" s="11" t="str">
        <f t="shared" si="144"/>
        <v/>
      </c>
      <c r="D1772" s="11" t="str">
        <f t="shared" si="145"/>
        <v/>
      </c>
      <c r="E1772" s="11" t="str">
        <f t="shared" si="142"/>
        <v/>
      </c>
      <c r="F1772" s="11" t="str">
        <f t="shared" si="143"/>
        <v/>
      </c>
      <c r="G1772" s="10" t="str">
        <v/>
      </c>
      <c r="H1772" s="11" t="str">
        <v/>
      </c>
      <c r="I1772" s="11" t="str">
        <v/>
      </c>
    </row>
    <row r="1773" spans="2:9">
      <c r="B1773" s="11" t="str">
        <f t="shared" si="141"/>
        <v/>
      </c>
      <c r="C1773" s="11" t="str">
        <f t="shared" si="144"/>
        <v/>
      </c>
      <c r="D1773" s="11" t="str">
        <f t="shared" si="145"/>
        <v/>
      </c>
      <c r="E1773" s="11" t="str">
        <f t="shared" si="142"/>
        <v/>
      </c>
      <c r="F1773" s="11" t="str">
        <f t="shared" si="143"/>
        <v/>
      </c>
      <c r="G1773" s="10" t="str">
        <v/>
      </c>
      <c r="H1773" s="11" t="str">
        <v/>
      </c>
      <c r="I1773" s="11" t="str">
        <v/>
      </c>
    </row>
    <row r="1774" spans="2:9">
      <c r="B1774" s="11" t="str">
        <f t="shared" si="141"/>
        <v/>
      </c>
      <c r="C1774" s="11" t="str">
        <f t="shared" si="144"/>
        <v/>
      </c>
      <c r="D1774" s="11" t="str">
        <f t="shared" si="145"/>
        <v/>
      </c>
      <c r="E1774" s="11" t="str">
        <f t="shared" si="142"/>
        <v/>
      </c>
      <c r="F1774" s="11" t="str">
        <f t="shared" si="143"/>
        <v/>
      </c>
      <c r="G1774" s="10" t="str">
        <v/>
      </c>
      <c r="H1774" s="11" t="str">
        <v/>
      </c>
      <c r="I1774" s="11" t="str">
        <v/>
      </c>
    </row>
    <row r="1775" spans="2:9">
      <c r="B1775" s="11" t="str">
        <f t="shared" si="141"/>
        <v/>
      </c>
      <c r="C1775" s="11" t="str">
        <f t="shared" si="144"/>
        <v/>
      </c>
      <c r="D1775" s="11" t="str">
        <f t="shared" si="145"/>
        <v/>
      </c>
      <c r="E1775" s="11" t="str">
        <f t="shared" si="142"/>
        <v/>
      </c>
      <c r="F1775" s="11" t="str">
        <f t="shared" si="143"/>
        <v/>
      </c>
      <c r="G1775" s="10" t="str">
        <v/>
      </c>
      <c r="H1775" s="11" t="str">
        <v/>
      </c>
      <c r="I1775" s="11" t="str">
        <v/>
      </c>
    </row>
    <row r="1776" spans="2:9">
      <c r="B1776" s="11" t="str">
        <f t="shared" si="141"/>
        <v/>
      </c>
      <c r="C1776" s="11" t="str">
        <f t="shared" si="144"/>
        <v/>
      </c>
      <c r="D1776" s="11" t="str">
        <f t="shared" si="145"/>
        <v/>
      </c>
      <c r="E1776" s="11" t="str">
        <f t="shared" si="142"/>
        <v/>
      </c>
      <c r="F1776" s="11" t="str">
        <f t="shared" si="143"/>
        <v/>
      </c>
      <c r="G1776" s="10" t="str">
        <v/>
      </c>
      <c r="H1776" s="11" t="str">
        <v/>
      </c>
      <c r="I1776" s="11" t="str">
        <v/>
      </c>
    </row>
    <row r="1777" spans="2:9">
      <c r="B1777" s="11" t="str">
        <f t="shared" si="141"/>
        <v/>
      </c>
      <c r="C1777" s="11" t="str">
        <f t="shared" si="144"/>
        <v/>
      </c>
      <c r="D1777" s="11" t="str">
        <f t="shared" si="145"/>
        <v/>
      </c>
      <c r="E1777" s="11" t="str">
        <f t="shared" si="142"/>
        <v/>
      </c>
      <c r="F1777" s="11" t="str">
        <f t="shared" si="143"/>
        <v/>
      </c>
      <c r="G1777" s="10" t="str">
        <v/>
      </c>
      <c r="H1777" s="11" t="str">
        <v/>
      </c>
      <c r="I1777" s="11" t="str">
        <v/>
      </c>
    </row>
    <row r="1778" spans="2:9">
      <c r="B1778" s="11" t="str">
        <f t="shared" si="141"/>
        <v/>
      </c>
      <c r="C1778" s="11" t="str">
        <f t="shared" si="144"/>
        <v/>
      </c>
      <c r="D1778" s="11" t="str">
        <f t="shared" si="145"/>
        <v/>
      </c>
      <c r="E1778" s="11" t="str">
        <f t="shared" si="142"/>
        <v/>
      </c>
      <c r="F1778" s="11" t="str">
        <f t="shared" si="143"/>
        <v/>
      </c>
      <c r="G1778" s="10" t="str">
        <v/>
      </c>
      <c r="H1778" s="11" t="str">
        <v/>
      </c>
      <c r="I1778" s="11" t="str">
        <v/>
      </c>
    </row>
    <row r="1779" spans="2:9">
      <c r="B1779" s="11" t="str">
        <f t="shared" si="141"/>
        <v/>
      </c>
      <c r="C1779" s="11" t="str">
        <f t="shared" si="144"/>
        <v/>
      </c>
      <c r="D1779" s="11" t="str">
        <f t="shared" si="145"/>
        <v/>
      </c>
      <c r="E1779" s="11" t="str">
        <f t="shared" si="142"/>
        <v/>
      </c>
      <c r="F1779" s="11" t="str">
        <f t="shared" si="143"/>
        <v/>
      </c>
      <c r="G1779" s="10" t="str">
        <v/>
      </c>
      <c r="H1779" s="11" t="str">
        <v/>
      </c>
      <c r="I1779" s="11" t="str">
        <v/>
      </c>
    </row>
    <row r="1780" spans="2:9">
      <c r="B1780" s="11" t="str">
        <f t="shared" si="141"/>
        <v/>
      </c>
      <c r="C1780" s="11" t="str">
        <f t="shared" si="144"/>
        <v/>
      </c>
      <c r="D1780" s="11" t="str">
        <f t="shared" si="145"/>
        <v/>
      </c>
      <c r="E1780" s="11" t="str">
        <f t="shared" si="142"/>
        <v/>
      </c>
      <c r="F1780" s="11" t="str">
        <f t="shared" si="143"/>
        <v/>
      </c>
      <c r="G1780" s="10" t="str">
        <v/>
      </c>
      <c r="H1780" s="11" t="str">
        <v/>
      </c>
      <c r="I1780" s="11" t="str">
        <v/>
      </c>
    </row>
    <row r="1781" spans="2:9">
      <c r="B1781" s="11" t="str">
        <f t="shared" si="141"/>
        <v/>
      </c>
      <c r="C1781" s="11" t="str">
        <f t="shared" si="144"/>
        <v/>
      </c>
      <c r="D1781" s="11" t="str">
        <f t="shared" si="145"/>
        <v/>
      </c>
      <c r="E1781" s="11" t="str">
        <f t="shared" si="142"/>
        <v/>
      </c>
      <c r="F1781" s="11" t="str">
        <f t="shared" si="143"/>
        <v/>
      </c>
      <c r="G1781" s="10" t="str">
        <v/>
      </c>
      <c r="H1781" s="11" t="str">
        <v/>
      </c>
      <c r="I1781" s="11" t="str">
        <v/>
      </c>
    </row>
    <row r="1782" spans="2:9">
      <c r="B1782" s="11" t="str">
        <f t="shared" si="141"/>
        <v/>
      </c>
      <c r="C1782" s="11" t="str">
        <f t="shared" si="144"/>
        <v/>
      </c>
      <c r="D1782" s="11" t="str">
        <f t="shared" si="145"/>
        <v/>
      </c>
      <c r="E1782" s="11" t="str">
        <f t="shared" si="142"/>
        <v/>
      </c>
      <c r="F1782" s="11" t="str">
        <f t="shared" si="143"/>
        <v/>
      </c>
      <c r="G1782" s="10" t="str">
        <v/>
      </c>
      <c r="H1782" s="11" t="str">
        <v/>
      </c>
      <c r="I1782" s="11" t="str">
        <v/>
      </c>
    </row>
    <row r="1783" spans="2:9">
      <c r="B1783" s="11" t="str">
        <f t="shared" si="141"/>
        <v/>
      </c>
      <c r="C1783" s="11" t="str">
        <f t="shared" si="144"/>
        <v/>
      </c>
      <c r="D1783" s="11" t="str">
        <f t="shared" si="145"/>
        <v/>
      </c>
      <c r="E1783" s="11" t="str">
        <f t="shared" si="142"/>
        <v/>
      </c>
      <c r="F1783" s="11" t="str">
        <f t="shared" si="143"/>
        <v/>
      </c>
      <c r="G1783" s="10" t="str">
        <v/>
      </c>
      <c r="H1783" s="11" t="str">
        <v/>
      </c>
      <c r="I1783" s="11" t="str">
        <v/>
      </c>
    </row>
    <row r="1784" spans="2:9">
      <c r="B1784" s="11" t="str">
        <f t="shared" si="141"/>
        <v/>
      </c>
      <c r="C1784" s="11" t="str">
        <f t="shared" si="144"/>
        <v/>
      </c>
      <c r="D1784" s="11" t="str">
        <f t="shared" si="145"/>
        <v/>
      </c>
      <c r="E1784" s="11" t="str">
        <f t="shared" si="142"/>
        <v/>
      </c>
      <c r="F1784" s="11" t="str">
        <f t="shared" si="143"/>
        <v/>
      </c>
      <c r="G1784" s="10" t="str">
        <v/>
      </c>
      <c r="H1784" s="11" t="str">
        <v/>
      </c>
      <c r="I1784" s="11" t="str">
        <v/>
      </c>
    </row>
    <row r="1785" spans="2:9">
      <c r="B1785" s="11" t="str">
        <f t="shared" si="141"/>
        <v/>
      </c>
      <c r="C1785" s="11" t="str">
        <f t="shared" si="144"/>
        <v/>
      </c>
      <c r="D1785" s="11" t="str">
        <f t="shared" si="145"/>
        <v/>
      </c>
      <c r="E1785" s="11" t="str">
        <f t="shared" si="142"/>
        <v/>
      </c>
      <c r="F1785" s="11" t="str">
        <f t="shared" si="143"/>
        <v/>
      </c>
      <c r="G1785" s="10" t="str">
        <v/>
      </c>
      <c r="H1785" s="11" t="str">
        <v/>
      </c>
      <c r="I1785" s="11" t="str">
        <v/>
      </c>
    </row>
    <row r="1786" spans="2:9">
      <c r="B1786" s="11" t="str">
        <f t="shared" si="141"/>
        <v/>
      </c>
      <c r="C1786" s="11" t="str">
        <f t="shared" si="144"/>
        <v/>
      </c>
      <c r="D1786" s="11" t="str">
        <f t="shared" si="145"/>
        <v/>
      </c>
      <c r="E1786" s="11" t="str">
        <f t="shared" si="142"/>
        <v/>
      </c>
      <c r="F1786" s="11" t="str">
        <f t="shared" si="143"/>
        <v/>
      </c>
      <c r="G1786" s="10" t="str">
        <v/>
      </c>
      <c r="H1786" s="11" t="str">
        <v/>
      </c>
      <c r="I1786" s="11" t="str">
        <v/>
      </c>
    </row>
    <row r="1787" spans="2:9">
      <c r="B1787" s="11" t="str">
        <f t="shared" si="141"/>
        <v/>
      </c>
      <c r="C1787" s="11" t="str">
        <f t="shared" si="144"/>
        <v/>
      </c>
      <c r="D1787" s="11" t="str">
        <f t="shared" si="145"/>
        <v/>
      </c>
      <c r="E1787" s="11" t="str">
        <f t="shared" si="142"/>
        <v/>
      </c>
      <c r="F1787" s="11" t="str">
        <f t="shared" si="143"/>
        <v/>
      </c>
      <c r="G1787" s="10" t="str">
        <v/>
      </c>
      <c r="H1787" s="11" t="str">
        <v/>
      </c>
      <c r="I1787" s="11" t="str">
        <v/>
      </c>
    </row>
    <row r="1788" spans="2:9">
      <c r="B1788" s="11" t="str">
        <f t="shared" si="141"/>
        <v/>
      </c>
      <c r="C1788" s="11" t="str">
        <f t="shared" si="144"/>
        <v/>
      </c>
      <c r="D1788" s="11" t="str">
        <f t="shared" si="145"/>
        <v/>
      </c>
      <c r="E1788" s="11" t="str">
        <f t="shared" si="142"/>
        <v/>
      </c>
      <c r="F1788" s="11" t="str">
        <f t="shared" si="143"/>
        <v/>
      </c>
      <c r="G1788" s="10" t="str">
        <v/>
      </c>
      <c r="H1788" s="11" t="str">
        <v/>
      </c>
      <c r="I1788" s="11" t="str">
        <v/>
      </c>
    </row>
    <row r="1789" spans="2:9">
      <c r="B1789" s="11" t="str">
        <f t="shared" si="141"/>
        <v/>
      </c>
      <c r="C1789" s="11" t="str">
        <f t="shared" si="144"/>
        <v/>
      </c>
      <c r="D1789" s="11" t="str">
        <f t="shared" si="145"/>
        <v/>
      </c>
      <c r="E1789" s="11" t="str">
        <f t="shared" si="142"/>
        <v/>
      </c>
      <c r="F1789" s="11" t="str">
        <f t="shared" si="143"/>
        <v/>
      </c>
      <c r="G1789" s="10" t="str">
        <v/>
      </c>
      <c r="H1789" s="11" t="str">
        <v/>
      </c>
      <c r="I1789" s="11" t="str">
        <v/>
      </c>
    </row>
    <row r="1790" spans="2:9">
      <c r="B1790" s="11" t="str">
        <f t="shared" si="141"/>
        <v/>
      </c>
      <c r="C1790" s="11" t="str">
        <f t="shared" si="144"/>
        <v/>
      </c>
      <c r="D1790" s="11" t="str">
        <f t="shared" si="145"/>
        <v/>
      </c>
      <c r="E1790" s="11" t="str">
        <f t="shared" si="142"/>
        <v/>
      </c>
      <c r="F1790" s="11" t="str">
        <f t="shared" si="143"/>
        <v/>
      </c>
      <c r="G1790" s="10" t="str">
        <v/>
      </c>
      <c r="H1790" s="11" t="str">
        <v/>
      </c>
      <c r="I1790" s="11" t="str">
        <v/>
      </c>
    </row>
    <row r="1791" spans="2:9">
      <c r="B1791" s="11" t="str">
        <f t="shared" si="141"/>
        <v/>
      </c>
      <c r="C1791" s="11" t="str">
        <f t="shared" si="144"/>
        <v/>
      </c>
      <c r="D1791" s="11" t="str">
        <f t="shared" si="145"/>
        <v/>
      </c>
      <c r="E1791" s="11" t="str">
        <f t="shared" si="142"/>
        <v/>
      </c>
      <c r="F1791" s="11" t="str">
        <f t="shared" si="143"/>
        <v/>
      </c>
      <c r="G1791" s="10" t="str">
        <v/>
      </c>
      <c r="H1791" s="11" t="str">
        <v/>
      </c>
      <c r="I1791" s="11" t="str">
        <v/>
      </c>
    </row>
    <row r="1792" spans="2:9">
      <c r="B1792" s="11" t="str">
        <f t="shared" si="141"/>
        <v/>
      </c>
      <c r="C1792" s="11" t="str">
        <f t="shared" si="144"/>
        <v/>
      </c>
      <c r="D1792" s="11" t="str">
        <f t="shared" si="145"/>
        <v/>
      </c>
      <c r="E1792" s="11" t="str">
        <f t="shared" si="142"/>
        <v/>
      </c>
      <c r="F1792" s="11" t="str">
        <f t="shared" si="143"/>
        <v/>
      </c>
      <c r="G1792" s="10" t="str">
        <v/>
      </c>
      <c r="H1792" s="11" t="str">
        <v/>
      </c>
      <c r="I1792" s="11" t="str">
        <v/>
      </c>
    </row>
    <row r="1793" spans="2:9">
      <c r="B1793" s="11" t="str">
        <f t="shared" ref="B1793:B1856" si="146">IFERROR(IF(FIND(" ",A1793)=6,IF(IFERROR(FIND(" PB",A1793),"")&lt;&gt;"","артикул",IF(IFERROR(FIND(" CRN",A1793),"")&lt;&gt;"","артикул","")),""),"")</f>
        <v/>
      </c>
      <c r="C1793" s="11" t="str">
        <f t="shared" si="144"/>
        <v/>
      </c>
      <c r="D1793" s="11" t="str">
        <f t="shared" si="145"/>
        <v/>
      </c>
      <c r="E1793" s="11" t="str">
        <f t="shared" si="142"/>
        <v/>
      </c>
      <c r="F1793" s="11" t="str">
        <f t="shared" si="143"/>
        <v/>
      </c>
      <c r="G1793" s="10" t="str">
        <v/>
      </c>
      <c r="H1793" s="11" t="str">
        <v/>
      </c>
      <c r="I1793" s="11" t="str">
        <v/>
      </c>
    </row>
    <row r="1794" spans="2:9">
      <c r="B1794" s="11" t="str">
        <f t="shared" si="146"/>
        <v/>
      </c>
      <c r="C1794" s="11" t="str">
        <f t="shared" si="144"/>
        <v/>
      </c>
      <c r="D1794" s="11" t="str">
        <f t="shared" si="145"/>
        <v/>
      </c>
      <c r="E1794" s="11" t="str">
        <f t="shared" ref="E1794:E1857" si="147" xml:space="preserve">
IF(B1794="Артикул",
IF(
AND(RIGHT(A1795,1)="%",
RIGHT(A1796,1)="%",
RIGHT(A1797,1)="%",
RIGHT(A1798,1)="%"),MID(A1799,FIND(" ",A1799),50),
IF(
AND(RIGHT(A1795,1)="%",
RIGHT(A1796,1)="%",
RIGHT(A1797,1)="%"),MID(A1798,FIND(" ",A1798),50),
IF(
AND(RIGHT(A1795,1)="%",
RIGHT(A1796,1)="%"),
MID(A1797,FIND(" ",A1797),50),
IF(
RIGHT(A1795,1)="%",
MID(A1796,FIND(" ",A1796),50),"")))),"")</f>
        <v/>
      </c>
      <c r="F1794" s="11" t="str">
        <f t="shared" ref="F1794:F1857" si="148">IFERROR(
IF(
AND(LEFT(A1794,8)="Discount",FIND("%",A1794)&gt;0),
MID(A1794,
FIND(" ",A1794),
FIND("%",A1794)-FIND(" ",A1794))
*-1,""),"")</f>
        <v/>
      </c>
      <c r="G1794" s="10" t="str">
        <v/>
      </c>
      <c r="H1794" s="11" t="str">
        <v/>
      </c>
      <c r="I1794" s="11" t="str">
        <v/>
      </c>
    </row>
    <row r="1795" spans="2:9">
      <c r="B1795" s="11" t="str">
        <f t="shared" si="146"/>
        <v/>
      </c>
      <c r="C1795" s="11" t="str">
        <f t="shared" si="144"/>
        <v/>
      </c>
      <c r="D1795" s="11" t="str">
        <f t="shared" si="145"/>
        <v/>
      </c>
      <c r="E1795" s="11" t="str">
        <f t="shared" si="147"/>
        <v/>
      </c>
      <c r="F1795" s="11" t="str">
        <f t="shared" si="148"/>
        <v/>
      </c>
      <c r="G1795" s="10" t="str">
        <v/>
      </c>
      <c r="H1795" s="11" t="str">
        <v/>
      </c>
      <c r="I1795" s="11" t="str">
        <v/>
      </c>
    </row>
    <row r="1796" spans="2:9">
      <c r="B1796" s="11" t="str">
        <f t="shared" si="146"/>
        <v/>
      </c>
      <c r="C1796" s="11" t="str">
        <f t="shared" si="144"/>
        <v/>
      </c>
      <c r="D1796" s="11" t="str">
        <f t="shared" si="145"/>
        <v/>
      </c>
      <c r="E1796" s="11" t="str">
        <f t="shared" si="147"/>
        <v/>
      </c>
      <c r="F1796" s="11" t="str">
        <f t="shared" si="148"/>
        <v/>
      </c>
      <c r="G1796" s="10" t="str">
        <v/>
      </c>
      <c r="H1796" s="11" t="str">
        <v/>
      </c>
      <c r="I1796" s="11" t="str">
        <v/>
      </c>
    </row>
    <row r="1797" spans="2:9">
      <c r="B1797" s="11" t="str">
        <f t="shared" si="146"/>
        <v/>
      </c>
      <c r="C1797" s="11" t="str">
        <f t="shared" si="144"/>
        <v/>
      </c>
      <c r="D1797" s="11" t="str">
        <f t="shared" si="145"/>
        <v/>
      </c>
      <c r="E1797" s="11" t="str">
        <f t="shared" si="147"/>
        <v/>
      </c>
      <c r="F1797" s="11" t="str">
        <f t="shared" si="148"/>
        <v/>
      </c>
      <c r="G1797" s="10" t="str">
        <v/>
      </c>
      <c r="H1797" s="11" t="str">
        <v/>
      </c>
      <c r="I1797" s="11" t="str">
        <v/>
      </c>
    </row>
    <row r="1798" spans="2:9">
      <c r="B1798" s="11" t="str">
        <f t="shared" si="146"/>
        <v/>
      </c>
      <c r="C1798" s="11" t="str">
        <f t="shared" si="144"/>
        <v/>
      </c>
      <c r="D1798" s="11" t="str">
        <f t="shared" si="145"/>
        <v/>
      </c>
      <c r="E1798" s="11" t="str">
        <f t="shared" si="147"/>
        <v/>
      </c>
      <c r="F1798" s="11" t="str">
        <f t="shared" si="148"/>
        <v/>
      </c>
      <c r="G1798" s="10" t="str">
        <v/>
      </c>
      <c r="H1798" s="11" t="str">
        <v/>
      </c>
      <c r="I1798" s="11" t="str">
        <v/>
      </c>
    </row>
    <row r="1799" spans="2:9">
      <c r="B1799" s="11" t="str">
        <f t="shared" si="146"/>
        <v/>
      </c>
      <c r="C1799" s="11" t="str">
        <f t="shared" si="144"/>
        <v/>
      </c>
      <c r="D1799" s="11" t="str">
        <f t="shared" si="145"/>
        <v/>
      </c>
      <c r="E1799" s="11" t="str">
        <f t="shared" si="147"/>
        <v/>
      </c>
      <c r="F1799" s="11" t="str">
        <f t="shared" si="148"/>
        <v/>
      </c>
      <c r="G1799" s="10" t="str">
        <v/>
      </c>
      <c r="H1799" s="11" t="str">
        <v/>
      </c>
      <c r="I1799" s="11" t="str">
        <v/>
      </c>
    </row>
    <row r="1800" spans="2:9">
      <c r="B1800" s="11" t="str">
        <f t="shared" si="146"/>
        <v/>
      </c>
      <c r="C1800" s="11" t="str">
        <f t="shared" si="144"/>
        <v/>
      </c>
      <c r="D1800" s="11" t="str">
        <f t="shared" si="145"/>
        <v/>
      </c>
      <c r="E1800" s="11" t="str">
        <f t="shared" si="147"/>
        <v/>
      </c>
      <c r="F1800" s="11" t="str">
        <f t="shared" si="148"/>
        <v/>
      </c>
      <c r="G1800" s="10" t="str">
        <v/>
      </c>
      <c r="H1800" s="11" t="str">
        <v/>
      </c>
      <c r="I1800" s="11" t="str">
        <v/>
      </c>
    </row>
    <row r="1801" spans="2:9">
      <c r="B1801" s="11" t="str">
        <f t="shared" si="146"/>
        <v/>
      </c>
      <c r="C1801" s="11" t="str">
        <f t="shared" si="144"/>
        <v/>
      </c>
      <c r="D1801" s="11" t="str">
        <f t="shared" si="145"/>
        <v/>
      </c>
      <c r="E1801" s="11" t="str">
        <f t="shared" si="147"/>
        <v/>
      </c>
      <c r="F1801" s="11" t="str">
        <f t="shared" si="148"/>
        <v/>
      </c>
      <c r="G1801" s="10" t="str">
        <v/>
      </c>
      <c r="H1801" s="11" t="str">
        <v/>
      </c>
      <c r="I1801" s="11" t="str">
        <v/>
      </c>
    </row>
    <row r="1802" spans="2:9">
      <c r="B1802" s="11" t="str">
        <f t="shared" si="146"/>
        <v/>
      </c>
      <c r="C1802" s="11" t="str">
        <f t="shared" si="144"/>
        <v/>
      </c>
      <c r="D1802" s="11" t="str">
        <f t="shared" si="145"/>
        <v/>
      </c>
      <c r="E1802" s="11" t="str">
        <f t="shared" si="147"/>
        <v/>
      </c>
      <c r="F1802" s="11" t="str">
        <f t="shared" si="148"/>
        <v/>
      </c>
      <c r="G1802" s="10" t="str">
        <v/>
      </c>
      <c r="H1802" s="11" t="str">
        <v/>
      </c>
      <c r="I1802" s="11" t="str">
        <v/>
      </c>
    </row>
    <row r="1803" spans="2:9">
      <c r="B1803" s="11" t="str">
        <f t="shared" si="146"/>
        <v/>
      </c>
      <c r="C1803" s="11" t="str">
        <f t="shared" si="144"/>
        <v/>
      </c>
      <c r="D1803" s="11" t="str">
        <f t="shared" si="145"/>
        <v/>
      </c>
      <c r="E1803" s="11" t="str">
        <f t="shared" si="147"/>
        <v/>
      </c>
      <c r="F1803" s="11" t="str">
        <f t="shared" si="148"/>
        <v/>
      </c>
      <c r="G1803" s="10" t="str">
        <v/>
      </c>
      <c r="H1803" s="11" t="str">
        <v/>
      </c>
      <c r="I1803" s="11" t="str">
        <v/>
      </c>
    </row>
    <row r="1804" spans="2:9">
      <c r="B1804" s="11" t="str">
        <f t="shared" si="146"/>
        <v/>
      </c>
      <c r="C1804" s="11" t="str">
        <f t="shared" si="144"/>
        <v/>
      </c>
      <c r="D1804" s="11" t="str">
        <f t="shared" si="145"/>
        <v/>
      </c>
      <c r="E1804" s="11" t="str">
        <f t="shared" si="147"/>
        <v/>
      </c>
      <c r="F1804" s="11" t="str">
        <f t="shared" si="148"/>
        <v/>
      </c>
      <c r="G1804" s="10" t="str">
        <v/>
      </c>
      <c r="H1804" s="11" t="str">
        <v/>
      </c>
      <c r="I1804" s="11" t="str">
        <v/>
      </c>
    </row>
    <row r="1805" spans="2:9">
      <c r="B1805" s="11" t="str">
        <f t="shared" si="146"/>
        <v/>
      </c>
      <c r="C1805" s="11" t="str">
        <f t="shared" ref="C1805:C1868" si="149">IF(B1805="артикул",A1805,"")</f>
        <v/>
      </c>
      <c r="D1805" s="11" t="str">
        <f t="shared" ref="D1805:D1868" si="150">IF(B1805="артикул",A1806,"")</f>
        <v/>
      </c>
      <c r="E1805" s="11" t="str">
        <f t="shared" si="147"/>
        <v/>
      </c>
      <c r="F1805" s="11" t="str">
        <f t="shared" si="148"/>
        <v/>
      </c>
      <c r="G1805" s="10" t="str">
        <v/>
      </c>
      <c r="H1805" s="11" t="str">
        <v/>
      </c>
      <c r="I1805" s="11" t="str">
        <v/>
      </c>
    </row>
    <row r="1806" spans="2:9">
      <c r="B1806" s="11" t="str">
        <f t="shared" si="146"/>
        <v/>
      </c>
      <c r="C1806" s="11" t="str">
        <f t="shared" si="149"/>
        <v/>
      </c>
      <c r="D1806" s="11" t="str">
        <f t="shared" si="150"/>
        <v/>
      </c>
      <c r="E1806" s="11" t="str">
        <f t="shared" si="147"/>
        <v/>
      </c>
      <c r="F1806" s="11" t="str">
        <f t="shared" si="148"/>
        <v/>
      </c>
      <c r="G1806" s="10" t="str">
        <v/>
      </c>
      <c r="H1806" s="11" t="str">
        <v/>
      </c>
      <c r="I1806" s="11" t="str">
        <v/>
      </c>
    </row>
    <row r="1807" spans="2:9">
      <c r="B1807" s="11" t="str">
        <f t="shared" si="146"/>
        <v/>
      </c>
      <c r="C1807" s="11" t="str">
        <f t="shared" si="149"/>
        <v/>
      </c>
      <c r="D1807" s="11" t="str">
        <f t="shared" si="150"/>
        <v/>
      </c>
      <c r="E1807" s="11" t="str">
        <f t="shared" si="147"/>
        <v/>
      </c>
      <c r="F1807" s="11" t="str">
        <f t="shared" si="148"/>
        <v/>
      </c>
      <c r="G1807" s="10" t="str">
        <v/>
      </c>
      <c r="H1807" s="11" t="str">
        <v/>
      </c>
      <c r="I1807" s="11" t="str">
        <v/>
      </c>
    </row>
    <row r="1808" spans="2:9">
      <c r="B1808" s="11" t="str">
        <f t="shared" si="146"/>
        <v/>
      </c>
      <c r="C1808" s="11" t="str">
        <f t="shared" si="149"/>
        <v/>
      </c>
      <c r="D1808" s="11" t="str">
        <f t="shared" si="150"/>
        <v/>
      </c>
      <c r="E1808" s="11" t="str">
        <f t="shared" si="147"/>
        <v/>
      </c>
      <c r="F1808" s="11" t="str">
        <f t="shared" si="148"/>
        <v/>
      </c>
      <c r="G1808" s="10" t="str">
        <v/>
      </c>
      <c r="H1808" s="11" t="str">
        <v/>
      </c>
      <c r="I1808" s="11" t="str">
        <v/>
      </c>
    </row>
    <row r="1809" spans="2:9">
      <c r="B1809" s="11" t="str">
        <f t="shared" si="146"/>
        <v/>
      </c>
      <c r="C1809" s="11" t="str">
        <f t="shared" si="149"/>
        <v/>
      </c>
      <c r="D1809" s="11" t="str">
        <f t="shared" si="150"/>
        <v/>
      </c>
      <c r="E1809" s="11" t="str">
        <f t="shared" si="147"/>
        <v/>
      </c>
      <c r="F1809" s="11" t="str">
        <f t="shared" si="148"/>
        <v/>
      </c>
      <c r="G1809" s="10" t="str">
        <v/>
      </c>
      <c r="H1809" s="11" t="str">
        <v/>
      </c>
      <c r="I1809" s="11" t="str">
        <v/>
      </c>
    </row>
    <row r="1810" spans="2:9">
      <c r="B1810" s="11" t="str">
        <f t="shared" si="146"/>
        <v/>
      </c>
      <c r="C1810" s="11" t="str">
        <f t="shared" si="149"/>
        <v/>
      </c>
      <c r="D1810" s="11" t="str">
        <f t="shared" si="150"/>
        <v/>
      </c>
      <c r="E1810" s="11" t="str">
        <f t="shared" si="147"/>
        <v/>
      </c>
      <c r="F1810" s="11" t="str">
        <f t="shared" si="148"/>
        <v/>
      </c>
      <c r="G1810" s="10" t="str">
        <v/>
      </c>
      <c r="H1810" s="11" t="str">
        <v/>
      </c>
      <c r="I1810" s="11" t="str">
        <v/>
      </c>
    </row>
    <row r="1811" spans="2:9">
      <c r="B1811" s="11" t="str">
        <f t="shared" si="146"/>
        <v/>
      </c>
      <c r="C1811" s="11" t="str">
        <f t="shared" si="149"/>
        <v/>
      </c>
      <c r="D1811" s="11" t="str">
        <f t="shared" si="150"/>
        <v/>
      </c>
      <c r="E1811" s="11" t="str">
        <f t="shared" si="147"/>
        <v/>
      </c>
      <c r="F1811" s="11" t="str">
        <f t="shared" si="148"/>
        <v/>
      </c>
      <c r="G1811" s="10" t="str">
        <v/>
      </c>
      <c r="H1811" s="11" t="str">
        <v/>
      </c>
      <c r="I1811" s="11" t="str">
        <v/>
      </c>
    </row>
    <row r="1812" spans="2:9">
      <c r="B1812" s="11" t="str">
        <f t="shared" si="146"/>
        <v/>
      </c>
      <c r="C1812" s="11" t="str">
        <f t="shared" si="149"/>
        <v/>
      </c>
      <c r="D1812" s="11" t="str">
        <f t="shared" si="150"/>
        <v/>
      </c>
      <c r="E1812" s="11" t="str">
        <f t="shared" si="147"/>
        <v/>
      </c>
      <c r="F1812" s="11" t="str">
        <f t="shared" si="148"/>
        <v/>
      </c>
      <c r="G1812" s="10" t="str">
        <v/>
      </c>
      <c r="H1812" s="11" t="str">
        <v/>
      </c>
      <c r="I1812" s="11" t="str">
        <v/>
      </c>
    </row>
    <row r="1813" spans="2:9">
      <c r="B1813" s="11" t="str">
        <f t="shared" si="146"/>
        <v/>
      </c>
      <c r="C1813" s="11" t="str">
        <f t="shared" si="149"/>
        <v/>
      </c>
      <c r="D1813" s="11" t="str">
        <f t="shared" si="150"/>
        <v/>
      </c>
      <c r="E1813" s="11" t="str">
        <f t="shared" si="147"/>
        <v/>
      </c>
      <c r="F1813" s="11" t="str">
        <f t="shared" si="148"/>
        <v/>
      </c>
      <c r="G1813" s="10" t="str">
        <v/>
      </c>
      <c r="H1813" s="11" t="str">
        <v/>
      </c>
      <c r="I1813" s="11" t="str">
        <v/>
      </c>
    </row>
    <row r="1814" spans="2:9">
      <c r="B1814" s="11" t="str">
        <f t="shared" si="146"/>
        <v/>
      </c>
      <c r="C1814" s="11" t="str">
        <f t="shared" si="149"/>
        <v/>
      </c>
      <c r="D1814" s="11" t="str">
        <f t="shared" si="150"/>
        <v/>
      </c>
      <c r="E1814" s="11" t="str">
        <f t="shared" si="147"/>
        <v/>
      </c>
      <c r="F1814" s="11" t="str">
        <f t="shared" si="148"/>
        <v/>
      </c>
      <c r="G1814" s="10" t="str">
        <v/>
      </c>
      <c r="H1814" s="11" t="str">
        <v/>
      </c>
      <c r="I1814" s="11" t="str">
        <v/>
      </c>
    </row>
    <row r="1815" spans="2:9">
      <c r="B1815" s="11" t="str">
        <f t="shared" si="146"/>
        <v/>
      </c>
      <c r="C1815" s="11" t="str">
        <f t="shared" si="149"/>
        <v/>
      </c>
      <c r="D1815" s="11" t="str">
        <f t="shared" si="150"/>
        <v/>
      </c>
      <c r="E1815" s="11" t="str">
        <f t="shared" si="147"/>
        <v/>
      </c>
      <c r="F1815" s="11" t="str">
        <f t="shared" si="148"/>
        <v/>
      </c>
      <c r="G1815" s="10" t="str">
        <v/>
      </c>
      <c r="H1815" s="11" t="str">
        <v/>
      </c>
      <c r="I1815" s="11" t="str">
        <v/>
      </c>
    </row>
    <row r="1816" spans="2:9">
      <c r="B1816" s="11" t="str">
        <f t="shared" si="146"/>
        <v/>
      </c>
      <c r="C1816" s="11" t="str">
        <f t="shared" si="149"/>
        <v/>
      </c>
      <c r="D1816" s="11" t="str">
        <f t="shared" si="150"/>
        <v/>
      </c>
      <c r="E1816" s="11" t="str">
        <f t="shared" si="147"/>
        <v/>
      </c>
      <c r="F1816" s="11" t="str">
        <f t="shared" si="148"/>
        <v/>
      </c>
      <c r="G1816" s="10" t="str">
        <v/>
      </c>
      <c r="H1816" s="11" t="str">
        <v/>
      </c>
      <c r="I1816" s="11" t="str">
        <v/>
      </c>
    </row>
    <row r="1817" spans="2:9">
      <c r="B1817" s="11" t="str">
        <f t="shared" si="146"/>
        <v/>
      </c>
      <c r="C1817" s="11" t="str">
        <f t="shared" si="149"/>
        <v/>
      </c>
      <c r="D1817" s="11" t="str">
        <f t="shared" si="150"/>
        <v/>
      </c>
      <c r="E1817" s="11" t="str">
        <f t="shared" si="147"/>
        <v/>
      </c>
      <c r="F1817" s="11" t="str">
        <f t="shared" si="148"/>
        <v/>
      </c>
      <c r="G1817" s="10" t="str">
        <v/>
      </c>
      <c r="H1817" s="11" t="str">
        <v/>
      </c>
      <c r="I1817" s="11" t="str">
        <v/>
      </c>
    </row>
    <row r="1818" spans="2:9">
      <c r="B1818" s="11" t="str">
        <f t="shared" si="146"/>
        <v/>
      </c>
      <c r="C1818" s="11" t="str">
        <f t="shared" si="149"/>
        <v/>
      </c>
      <c r="D1818" s="11" t="str">
        <f t="shared" si="150"/>
        <v/>
      </c>
      <c r="E1818" s="11" t="str">
        <f t="shared" si="147"/>
        <v/>
      </c>
      <c r="F1818" s="11" t="str">
        <f t="shared" si="148"/>
        <v/>
      </c>
      <c r="G1818" s="10" t="str">
        <v/>
      </c>
      <c r="H1818" s="11" t="str">
        <v/>
      </c>
      <c r="I1818" s="11" t="str">
        <v/>
      </c>
    </row>
    <row r="1819" spans="2:9">
      <c r="B1819" s="11" t="str">
        <f t="shared" si="146"/>
        <v/>
      </c>
      <c r="C1819" s="11" t="str">
        <f t="shared" si="149"/>
        <v/>
      </c>
      <c r="D1819" s="11" t="str">
        <f t="shared" si="150"/>
        <v/>
      </c>
      <c r="E1819" s="11" t="str">
        <f t="shared" si="147"/>
        <v/>
      </c>
      <c r="F1819" s="11" t="str">
        <f t="shared" si="148"/>
        <v/>
      </c>
      <c r="G1819" s="10" t="str">
        <v/>
      </c>
      <c r="H1819" s="11" t="str">
        <v/>
      </c>
      <c r="I1819" s="11" t="str">
        <v/>
      </c>
    </row>
    <row r="1820" spans="2:9">
      <c r="B1820" s="11" t="str">
        <f t="shared" si="146"/>
        <v/>
      </c>
      <c r="C1820" s="11" t="str">
        <f t="shared" si="149"/>
        <v/>
      </c>
      <c r="D1820" s="11" t="str">
        <f t="shared" si="150"/>
        <v/>
      </c>
      <c r="E1820" s="11" t="str">
        <f t="shared" si="147"/>
        <v/>
      </c>
      <c r="F1820" s="11" t="str">
        <f t="shared" si="148"/>
        <v/>
      </c>
      <c r="G1820" s="10" t="str">
        <v/>
      </c>
      <c r="H1820" s="11" t="str">
        <v/>
      </c>
      <c r="I1820" s="11" t="str">
        <v/>
      </c>
    </row>
    <row r="1821" spans="2:9">
      <c r="B1821" s="11" t="str">
        <f t="shared" si="146"/>
        <v/>
      </c>
      <c r="C1821" s="11" t="str">
        <f t="shared" si="149"/>
        <v/>
      </c>
      <c r="D1821" s="11" t="str">
        <f t="shared" si="150"/>
        <v/>
      </c>
      <c r="E1821" s="11" t="str">
        <f t="shared" si="147"/>
        <v/>
      </c>
      <c r="F1821" s="11" t="str">
        <f t="shared" si="148"/>
        <v/>
      </c>
      <c r="G1821" s="10" t="str">
        <v/>
      </c>
      <c r="H1821" s="11" t="str">
        <v/>
      </c>
      <c r="I1821" s="11" t="str">
        <v/>
      </c>
    </row>
    <row r="1822" spans="2:9">
      <c r="B1822" s="11" t="str">
        <f t="shared" si="146"/>
        <v/>
      </c>
      <c r="C1822" s="11" t="str">
        <f t="shared" si="149"/>
        <v/>
      </c>
      <c r="D1822" s="11" t="str">
        <f t="shared" si="150"/>
        <v/>
      </c>
      <c r="E1822" s="11" t="str">
        <f t="shared" si="147"/>
        <v/>
      </c>
      <c r="F1822" s="11" t="str">
        <f t="shared" si="148"/>
        <v/>
      </c>
      <c r="G1822" s="10" t="str">
        <v/>
      </c>
      <c r="H1822" s="11" t="str">
        <v/>
      </c>
      <c r="I1822" s="11" t="str">
        <v/>
      </c>
    </row>
    <row r="1823" spans="2:9">
      <c r="B1823" s="11" t="str">
        <f t="shared" si="146"/>
        <v/>
      </c>
      <c r="C1823" s="11" t="str">
        <f t="shared" si="149"/>
        <v/>
      </c>
      <c r="D1823" s="11" t="str">
        <f t="shared" si="150"/>
        <v/>
      </c>
      <c r="E1823" s="11" t="str">
        <f t="shared" si="147"/>
        <v/>
      </c>
      <c r="F1823" s="11" t="str">
        <f t="shared" si="148"/>
        <v/>
      </c>
      <c r="G1823" s="10" t="str">
        <v/>
      </c>
      <c r="H1823" s="11" t="str">
        <v/>
      </c>
      <c r="I1823" s="11" t="str">
        <v/>
      </c>
    </row>
    <row r="1824" spans="2:9">
      <c r="B1824" s="11" t="str">
        <f t="shared" si="146"/>
        <v/>
      </c>
      <c r="C1824" s="11" t="str">
        <f t="shared" si="149"/>
        <v/>
      </c>
      <c r="D1824" s="11" t="str">
        <f t="shared" si="150"/>
        <v/>
      </c>
      <c r="E1824" s="11" t="str">
        <f t="shared" si="147"/>
        <v/>
      </c>
      <c r="F1824" s="11" t="str">
        <f t="shared" si="148"/>
        <v/>
      </c>
      <c r="G1824" s="10" t="str">
        <v/>
      </c>
      <c r="H1824" s="11" t="str">
        <v/>
      </c>
      <c r="I1824" s="11" t="str">
        <v/>
      </c>
    </row>
    <row r="1825" spans="2:9">
      <c r="B1825" s="11" t="str">
        <f t="shared" si="146"/>
        <v/>
      </c>
      <c r="C1825" s="11" t="str">
        <f t="shared" si="149"/>
        <v/>
      </c>
      <c r="D1825" s="11" t="str">
        <f t="shared" si="150"/>
        <v/>
      </c>
      <c r="E1825" s="11" t="str">
        <f t="shared" si="147"/>
        <v/>
      </c>
      <c r="F1825" s="11" t="str">
        <f t="shared" si="148"/>
        <v/>
      </c>
      <c r="G1825" s="10" t="str">
        <v/>
      </c>
      <c r="H1825" s="11" t="str">
        <v/>
      </c>
      <c r="I1825" s="11" t="str">
        <v/>
      </c>
    </row>
    <row r="1826" spans="2:9">
      <c r="B1826" s="11" t="str">
        <f t="shared" si="146"/>
        <v/>
      </c>
      <c r="C1826" s="11" t="str">
        <f t="shared" si="149"/>
        <v/>
      </c>
      <c r="D1826" s="11" t="str">
        <f t="shared" si="150"/>
        <v/>
      </c>
      <c r="E1826" s="11" t="str">
        <f t="shared" si="147"/>
        <v/>
      </c>
      <c r="F1826" s="11" t="str">
        <f t="shared" si="148"/>
        <v/>
      </c>
      <c r="G1826" s="10" t="str">
        <v/>
      </c>
      <c r="H1826" s="11" t="str">
        <v/>
      </c>
      <c r="I1826" s="11" t="str">
        <v/>
      </c>
    </row>
    <row r="1827" spans="2:9">
      <c r="B1827" s="11" t="str">
        <f t="shared" si="146"/>
        <v/>
      </c>
      <c r="C1827" s="11" t="str">
        <f t="shared" si="149"/>
        <v/>
      </c>
      <c r="D1827" s="11" t="str">
        <f t="shared" si="150"/>
        <v/>
      </c>
      <c r="E1827" s="11" t="str">
        <f t="shared" si="147"/>
        <v/>
      </c>
      <c r="F1827" s="11" t="str">
        <f t="shared" si="148"/>
        <v/>
      </c>
      <c r="G1827" s="10" t="str">
        <v/>
      </c>
      <c r="H1827" s="11" t="str">
        <v/>
      </c>
      <c r="I1827" s="11" t="str">
        <v/>
      </c>
    </row>
    <row r="1828" spans="2:9">
      <c r="B1828" s="11" t="str">
        <f t="shared" si="146"/>
        <v/>
      </c>
      <c r="C1828" s="11" t="str">
        <f t="shared" si="149"/>
        <v/>
      </c>
      <c r="D1828" s="11" t="str">
        <f t="shared" si="150"/>
        <v/>
      </c>
      <c r="E1828" s="11" t="str">
        <f t="shared" si="147"/>
        <v/>
      </c>
      <c r="F1828" s="11" t="str">
        <f t="shared" si="148"/>
        <v/>
      </c>
      <c r="G1828" s="10" t="str">
        <v/>
      </c>
      <c r="H1828" s="11" t="str">
        <v/>
      </c>
      <c r="I1828" s="11" t="str">
        <v/>
      </c>
    </row>
    <row r="1829" spans="2:9">
      <c r="B1829" s="11" t="str">
        <f t="shared" si="146"/>
        <v/>
      </c>
      <c r="C1829" s="11" t="str">
        <f t="shared" si="149"/>
        <v/>
      </c>
      <c r="D1829" s="11" t="str">
        <f t="shared" si="150"/>
        <v/>
      </c>
      <c r="E1829" s="11" t="str">
        <f t="shared" si="147"/>
        <v/>
      </c>
      <c r="F1829" s="11" t="str">
        <f t="shared" si="148"/>
        <v/>
      </c>
      <c r="G1829" s="10" t="str">
        <v/>
      </c>
      <c r="H1829" s="11" t="str">
        <v/>
      </c>
      <c r="I1829" s="11" t="str">
        <v/>
      </c>
    </row>
    <row r="1830" spans="2:9">
      <c r="B1830" s="11" t="str">
        <f t="shared" si="146"/>
        <v/>
      </c>
      <c r="C1830" s="11" t="str">
        <f t="shared" si="149"/>
        <v/>
      </c>
      <c r="D1830" s="11" t="str">
        <f t="shared" si="150"/>
        <v/>
      </c>
      <c r="E1830" s="11" t="str">
        <f t="shared" si="147"/>
        <v/>
      </c>
      <c r="F1830" s="11" t="str">
        <f t="shared" si="148"/>
        <v/>
      </c>
      <c r="G1830" s="10" t="str">
        <v/>
      </c>
      <c r="H1830" s="11" t="str">
        <v/>
      </c>
      <c r="I1830" s="11" t="str">
        <v/>
      </c>
    </row>
    <row r="1831" spans="2:9">
      <c r="B1831" s="11" t="str">
        <f t="shared" si="146"/>
        <v/>
      </c>
      <c r="C1831" s="11" t="str">
        <f t="shared" si="149"/>
        <v/>
      </c>
      <c r="D1831" s="11" t="str">
        <f t="shared" si="150"/>
        <v/>
      </c>
      <c r="E1831" s="11" t="str">
        <f t="shared" si="147"/>
        <v/>
      </c>
      <c r="F1831" s="11" t="str">
        <f t="shared" si="148"/>
        <v/>
      </c>
      <c r="G1831" s="10" t="str">
        <v/>
      </c>
      <c r="H1831" s="11" t="str">
        <v/>
      </c>
      <c r="I1831" s="11" t="str">
        <v/>
      </c>
    </row>
    <row r="1832" spans="2:9">
      <c r="B1832" s="11" t="str">
        <f t="shared" si="146"/>
        <v/>
      </c>
      <c r="C1832" s="11" t="str">
        <f t="shared" si="149"/>
        <v/>
      </c>
      <c r="D1832" s="11" t="str">
        <f t="shared" si="150"/>
        <v/>
      </c>
      <c r="E1832" s="11" t="str">
        <f t="shared" si="147"/>
        <v/>
      </c>
      <c r="F1832" s="11" t="str">
        <f t="shared" si="148"/>
        <v/>
      </c>
      <c r="G1832" s="10" t="str">
        <v/>
      </c>
      <c r="H1832" s="11" t="str">
        <v/>
      </c>
      <c r="I1832" s="11" t="str">
        <v/>
      </c>
    </row>
    <row r="1833" spans="2:9">
      <c r="B1833" s="11" t="str">
        <f t="shared" si="146"/>
        <v/>
      </c>
      <c r="C1833" s="11" t="str">
        <f t="shared" si="149"/>
        <v/>
      </c>
      <c r="D1833" s="11" t="str">
        <f t="shared" si="150"/>
        <v/>
      </c>
      <c r="E1833" s="11" t="str">
        <f t="shared" si="147"/>
        <v/>
      </c>
      <c r="F1833" s="11" t="str">
        <f t="shared" si="148"/>
        <v/>
      </c>
      <c r="G1833" s="10" t="str">
        <v/>
      </c>
      <c r="H1833" s="11" t="str">
        <v/>
      </c>
      <c r="I1833" s="11" t="str">
        <v/>
      </c>
    </row>
    <row r="1834" spans="2:9">
      <c r="B1834" s="11" t="str">
        <f t="shared" si="146"/>
        <v/>
      </c>
      <c r="C1834" s="11" t="str">
        <f t="shared" si="149"/>
        <v/>
      </c>
      <c r="D1834" s="11" t="str">
        <f t="shared" si="150"/>
        <v/>
      </c>
      <c r="E1834" s="11" t="str">
        <f t="shared" si="147"/>
        <v/>
      </c>
      <c r="F1834" s="11" t="str">
        <f t="shared" si="148"/>
        <v/>
      </c>
      <c r="G1834" s="10" t="str">
        <v/>
      </c>
      <c r="H1834" s="11" t="str">
        <v/>
      </c>
      <c r="I1834" s="11" t="str">
        <v/>
      </c>
    </row>
    <row r="1835" spans="2:9">
      <c r="B1835" s="11" t="str">
        <f t="shared" si="146"/>
        <v/>
      </c>
      <c r="C1835" s="11" t="str">
        <f t="shared" si="149"/>
        <v/>
      </c>
      <c r="D1835" s="11" t="str">
        <f t="shared" si="150"/>
        <v/>
      </c>
      <c r="E1835" s="11" t="str">
        <f t="shared" si="147"/>
        <v/>
      </c>
      <c r="F1835" s="11" t="str">
        <f t="shared" si="148"/>
        <v/>
      </c>
      <c r="G1835" s="10" t="str">
        <v/>
      </c>
      <c r="H1835" s="11" t="str">
        <v/>
      </c>
      <c r="I1835" s="11" t="str">
        <v/>
      </c>
    </row>
    <row r="1836" spans="2:9">
      <c r="B1836" s="11" t="str">
        <f t="shared" si="146"/>
        <v/>
      </c>
      <c r="C1836" s="11" t="str">
        <f t="shared" si="149"/>
        <v/>
      </c>
      <c r="D1836" s="11" t="str">
        <f t="shared" si="150"/>
        <v/>
      </c>
      <c r="E1836" s="11" t="str">
        <f t="shared" si="147"/>
        <v/>
      </c>
      <c r="F1836" s="11" t="str">
        <f t="shared" si="148"/>
        <v/>
      </c>
      <c r="G1836" s="10" t="str">
        <v/>
      </c>
      <c r="H1836" s="11" t="str">
        <v/>
      </c>
      <c r="I1836" s="11" t="str">
        <v/>
      </c>
    </row>
    <row r="1837" spans="2:9">
      <c r="B1837" s="11" t="str">
        <f t="shared" si="146"/>
        <v/>
      </c>
      <c r="C1837" s="11" t="str">
        <f t="shared" si="149"/>
        <v/>
      </c>
      <c r="D1837" s="11" t="str">
        <f t="shared" si="150"/>
        <v/>
      </c>
      <c r="E1837" s="11" t="str">
        <f t="shared" si="147"/>
        <v/>
      </c>
      <c r="F1837" s="11" t="str">
        <f t="shared" si="148"/>
        <v/>
      </c>
      <c r="G1837" s="10" t="str">
        <v/>
      </c>
      <c r="H1837" s="11" t="str">
        <v/>
      </c>
      <c r="I1837" s="11" t="str">
        <v/>
      </c>
    </row>
    <row r="1838" spans="2:9">
      <c r="B1838" s="11" t="str">
        <f t="shared" si="146"/>
        <v/>
      </c>
      <c r="C1838" s="11" t="str">
        <f t="shared" si="149"/>
        <v/>
      </c>
      <c r="D1838" s="11" t="str">
        <f t="shared" si="150"/>
        <v/>
      </c>
      <c r="E1838" s="11" t="str">
        <f t="shared" si="147"/>
        <v/>
      </c>
      <c r="F1838" s="11" t="str">
        <f t="shared" si="148"/>
        <v/>
      </c>
      <c r="G1838" s="10" t="str">
        <v/>
      </c>
      <c r="H1838" s="11" t="str">
        <v/>
      </c>
      <c r="I1838" s="11" t="str">
        <v/>
      </c>
    </row>
    <row r="1839" spans="2:9">
      <c r="B1839" s="11" t="str">
        <f t="shared" si="146"/>
        <v/>
      </c>
      <c r="C1839" s="11" t="str">
        <f t="shared" si="149"/>
        <v/>
      </c>
      <c r="D1839" s="11" t="str">
        <f t="shared" si="150"/>
        <v/>
      </c>
      <c r="E1839" s="11" t="str">
        <f t="shared" si="147"/>
        <v/>
      </c>
      <c r="F1839" s="11" t="str">
        <f t="shared" si="148"/>
        <v/>
      </c>
      <c r="G1839" s="10" t="str">
        <v/>
      </c>
      <c r="H1839" s="11" t="str">
        <v/>
      </c>
      <c r="I1839" s="11" t="str">
        <v/>
      </c>
    </row>
    <row r="1840" spans="2:9">
      <c r="B1840" s="11" t="str">
        <f t="shared" si="146"/>
        <v/>
      </c>
      <c r="C1840" s="11" t="str">
        <f t="shared" si="149"/>
        <v/>
      </c>
      <c r="D1840" s="11" t="str">
        <f t="shared" si="150"/>
        <v/>
      </c>
      <c r="E1840" s="11" t="str">
        <f t="shared" si="147"/>
        <v/>
      </c>
      <c r="F1840" s="11" t="str">
        <f t="shared" si="148"/>
        <v/>
      </c>
      <c r="G1840" s="10" t="str">
        <v/>
      </c>
      <c r="H1840" s="11" t="str">
        <v/>
      </c>
      <c r="I1840" s="11" t="str">
        <v/>
      </c>
    </row>
    <row r="1841" spans="2:9">
      <c r="B1841" s="11" t="str">
        <f t="shared" si="146"/>
        <v/>
      </c>
      <c r="C1841" s="11" t="str">
        <f t="shared" si="149"/>
        <v/>
      </c>
      <c r="D1841" s="11" t="str">
        <f t="shared" si="150"/>
        <v/>
      </c>
      <c r="E1841" s="11" t="str">
        <f t="shared" si="147"/>
        <v/>
      </c>
      <c r="F1841" s="11" t="str">
        <f t="shared" si="148"/>
        <v/>
      </c>
      <c r="G1841" s="10" t="str">
        <v/>
      </c>
      <c r="H1841" s="11" t="str">
        <v/>
      </c>
      <c r="I1841" s="11" t="str">
        <v/>
      </c>
    </row>
    <row r="1842" spans="2:9">
      <c r="B1842" s="11" t="str">
        <f t="shared" si="146"/>
        <v/>
      </c>
      <c r="C1842" s="11" t="str">
        <f t="shared" si="149"/>
        <v/>
      </c>
      <c r="D1842" s="11" t="str">
        <f t="shared" si="150"/>
        <v/>
      </c>
      <c r="E1842" s="11" t="str">
        <f t="shared" si="147"/>
        <v/>
      </c>
      <c r="F1842" s="11" t="str">
        <f t="shared" si="148"/>
        <v/>
      </c>
      <c r="G1842" s="10" t="str">
        <v/>
      </c>
      <c r="H1842" s="11" t="str">
        <v/>
      </c>
      <c r="I1842" s="11" t="str">
        <v/>
      </c>
    </row>
    <row r="1843" spans="2:9">
      <c r="B1843" s="11" t="str">
        <f t="shared" si="146"/>
        <v/>
      </c>
      <c r="C1843" s="11" t="str">
        <f t="shared" si="149"/>
        <v/>
      </c>
      <c r="D1843" s="11" t="str">
        <f t="shared" si="150"/>
        <v/>
      </c>
      <c r="E1843" s="11" t="str">
        <f t="shared" si="147"/>
        <v/>
      </c>
      <c r="F1843" s="11" t="str">
        <f t="shared" si="148"/>
        <v/>
      </c>
      <c r="G1843" s="10" t="str">
        <v/>
      </c>
      <c r="H1843" s="11" t="str">
        <v/>
      </c>
      <c r="I1843" s="11" t="str">
        <v/>
      </c>
    </row>
    <row r="1844" spans="2:9">
      <c r="B1844" s="11" t="str">
        <f t="shared" si="146"/>
        <v/>
      </c>
      <c r="C1844" s="11" t="str">
        <f t="shared" si="149"/>
        <v/>
      </c>
      <c r="D1844" s="11" t="str">
        <f t="shared" si="150"/>
        <v/>
      </c>
      <c r="E1844" s="11" t="str">
        <f t="shared" si="147"/>
        <v/>
      </c>
      <c r="F1844" s="11" t="str">
        <f t="shared" si="148"/>
        <v/>
      </c>
      <c r="G1844" s="10" t="str">
        <v/>
      </c>
      <c r="H1844" s="11" t="str">
        <v/>
      </c>
      <c r="I1844" s="11" t="str">
        <v/>
      </c>
    </row>
    <row r="1845" spans="2:9">
      <c r="B1845" s="11" t="str">
        <f t="shared" si="146"/>
        <v/>
      </c>
      <c r="C1845" s="11" t="str">
        <f t="shared" si="149"/>
        <v/>
      </c>
      <c r="D1845" s="11" t="str">
        <f t="shared" si="150"/>
        <v/>
      </c>
      <c r="E1845" s="11" t="str">
        <f t="shared" si="147"/>
        <v/>
      </c>
      <c r="F1845" s="11" t="str">
        <f t="shared" si="148"/>
        <v/>
      </c>
      <c r="G1845" s="10" t="str">
        <v/>
      </c>
      <c r="H1845" s="11" t="str">
        <v/>
      </c>
      <c r="I1845" s="11" t="str">
        <v/>
      </c>
    </row>
    <row r="1846" spans="2:9">
      <c r="B1846" s="11" t="str">
        <f t="shared" si="146"/>
        <v/>
      </c>
      <c r="C1846" s="11" t="str">
        <f t="shared" si="149"/>
        <v/>
      </c>
      <c r="D1846" s="11" t="str">
        <f t="shared" si="150"/>
        <v/>
      </c>
      <c r="E1846" s="11" t="str">
        <f t="shared" si="147"/>
        <v/>
      </c>
      <c r="F1846" s="11" t="str">
        <f t="shared" si="148"/>
        <v/>
      </c>
      <c r="G1846" s="10" t="str">
        <v/>
      </c>
      <c r="H1846" s="11" t="str">
        <v/>
      </c>
      <c r="I1846" s="11" t="str">
        <v/>
      </c>
    </row>
    <row r="1847" spans="2:9">
      <c r="B1847" s="11" t="str">
        <f t="shared" si="146"/>
        <v/>
      </c>
      <c r="C1847" s="11" t="str">
        <f t="shared" si="149"/>
        <v/>
      </c>
      <c r="D1847" s="11" t="str">
        <f t="shared" si="150"/>
        <v/>
      </c>
      <c r="E1847" s="11" t="str">
        <f t="shared" si="147"/>
        <v/>
      </c>
      <c r="F1847" s="11" t="str">
        <f t="shared" si="148"/>
        <v/>
      </c>
      <c r="G1847" s="10" t="str">
        <v/>
      </c>
      <c r="H1847" s="11" t="str">
        <v/>
      </c>
      <c r="I1847" s="11" t="str">
        <v/>
      </c>
    </row>
    <row r="1848" spans="2:9">
      <c r="B1848" s="11" t="str">
        <f t="shared" si="146"/>
        <v/>
      </c>
      <c r="C1848" s="11" t="str">
        <f t="shared" si="149"/>
        <v/>
      </c>
      <c r="D1848" s="11" t="str">
        <f t="shared" si="150"/>
        <v/>
      </c>
      <c r="E1848" s="11" t="str">
        <f t="shared" si="147"/>
        <v/>
      </c>
      <c r="F1848" s="11" t="str">
        <f t="shared" si="148"/>
        <v/>
      </c>
      <c r="G1848" s="10" t="str">
        <v/>
      </c>
      <c r="H1848" s="11" t="str">
        <v/>
      </c>
      <c r="I1848" s="11" t="str">
        <v/>
      </c>
    </row>
    <row r="1849" spans="2:9">
      <c r="B1849" s="11" t="str">
        <f t="shared" si="146"/>
        <v/>
      </c>
      <c r="C1849" s="11" t="str">
        <f t="shared" si="149"/>
        <v/>
      </c>
      <c r="D1849" s="11" t="str">
        <f t="shared" si="150"/>
        <v/>
      </c>
      <c r="E1849" s="11" t="str">
        <f t="shared" si="147"/>
        <v/>
      </c>
      <c r="F1849" s="11" t="str">
        <f t="shared" si="148"/>
        <v/>
      </c>
      <c r="G1849" s="10" t="str">
        <v/>
      </c>
      <c r="H1849" s="11" t="str">
        <v/>
      </c>
      <c r="I1849" s="11" t="str">
        <v/>
      </c>
    </row>
    <row r="1850" spans="2:9">
      <c r="B1850" s="11" t="str">
        <f t="shared" si="146"/>
        <v/>
      </c>
      <c r="C1850" s="11" t="str">
        <f t="shared" si="149"/>
        <v/>
      </c>
      <c r="D1850" s="11" t="str">
        <f t="shared" si="150"/>
        <v/>
      </c>
      <c r="E1850" s="11" t="str">
        <f t="shared" si="147"/>
        <v/>
      </c>
      <c r="F1850" s="11" t="str">
        <f t="shared" si="148"/>
        <v/>
      </c>
      <c r="G1850" s="10" t="str">
        <v/>
      </c>
      <c r="H1850" s="11" t="str">
        <v/>
      </c>
      <c r="I1850" s="11" t="str">
        <v/>
      </c>
    </row>
    <row r="1851" spans="2:9">
      <c r="B1851" s="11" t="str">
        <f t="shared" si="146"/>
        <v/>
      </c>
      <c r="C1851" s="11" t="str">
        <f t="shared" si="149"/>
        <v/>
      </c>
      <c r="D1851" s="11" t="str">
        <f t="shared" si="150"/>
        <v/>
      </c>
      <c r="E1851" s="11" t="str">
        <f t="shared" si="147"/>
        <v/>
      </c>
      <c r="F1851" s="11" t="str">
        <f t="shared" si="148"/>
        <v/>
      </c>
      <c r="G1851" s="10" t="str">
        <v/>
      </c>
      <c r="H1851" s="11" t="str">
        <v/>
      </c>
      <c r="I1851" s="11" t="str">
        <v/>
      </c>
    </row>
    <row r="1852" spans="2:9">
      <c r="B1852" s="11" t="str">
        <f t="shared" si="146"/>
        <v/>
      </c>
      <c r="C1852" s="11" t="str">
        <f t="shared" si="149"/>
        <v/>
      </c>
      <c r="D1852" s="11" t="str">
        <f t="shared" si="150"/>
        <v/>
      </c>
      <c r="E1852" s="11" t="str">
        <f t="shared" si="147"/>
        <v/>
      </c>
      <c r="F1852" s="11" t="str">
        <f t="shared" si="148"/>
        <v/>
      </c>
      <c r="G1852" s="10" t="str">
        <v/>
      </c>
      <c r="H1852" s="11" t="str">
        <v/>
      </c>
      <c r="I1852" s="11" t="str">
        <v/>
      </c>
    </row>
    <row r="1853" spans="2:9">
      <c r="B1853" s="11" t="str">
        <f t="shared" si="146"/>
        <v/>
      </c>
      <c r="C1853" s="11" t="str">
        <f t="shared" si="149"/>
        <v/>
      </c>
      <c r="D1853" s="11" t="str">
        <f t="shared" si="150"/>
        <v/>
      </c>
      <c r="E1853" s="11" t="str">
        <f t="shared" si="147"/>
        <v/>
      </c>
      <c r="F1853" s="11" t="str">
        <f t="shared" si="148"/>
        <v/>
      </c>
      <c r="G1853" s="10" t="str">
        <v/>
      </c>
      <c r="H1853" s="11" t="str">
        <v/>
      </c>
      <c r="I1853" s="11" t="str">
        <v/>
      </c>
    </row>
    <row r="1854" spans="2:9">
      <c r="B1854" s="11" t="str">
        <f t="shared" si="146"/>
        <v/>
      </c>
      <c r="C1854" s="11" t="str">
        <f t="shared" si="149"/>
        <v/>
      </c>
      <c r="D1854" s="11" t="str">
        <f t="shared" si="150"/>
        <v/>
      </c>
      <c r="E1854" s="11" t="str">
        <f t="shared" si="147"/>
        <v/>
      </c>
      <c r="F1854" s="11" t="str">
        <f t="shared" si="148"/>
        <v/>
      </c>
      <c r="G1854" s="10" t="str">
        <v/>
      </c>
      <c r="H1854" s="11" t="str">
        <v/>
      </c>
      <c r="I1854" s="11" t="str">
        <v/>
      </c>
    </row>
    <row r="1855" spans="2:9">
      <c r="B1855" s="11" t="str">
        <f t="shared" si="146"/>
        <v/>
      </c>
      <c r="C1855" s="11" t="str">
        <f t="shared" si="149"/>
        <v/>
      </c>
      <c r="D1855" s="11" t="str">
        <f t="shared" si="150"/>
        <v/>
      </c>
      <c r="E1855" s="11" t="str">
        <f t="shared" si="147"/>
        <v/>
      </c>
      <c r="F1855" s="11" t="str">
        <f t="shared" si="148"/>
        <v/>
      </c>
      <c r="G1855" s="10" t="str">
        <v/>
      </c>
      <c r="H1855" s="11" t="str">
        <v/>
      </c>
      <c r="I1855" s="11" t="str">
        <v/>
      </c>
    </row>
    <row r="1856" spans="2:9">
      <c r="B1856" s="11" t="str">
        <f t="shared" si="146"/>
        <v/>
      </c>
      <c r="C1856" s="11" t="str">
        <f t="shared" si="149"/>
        <v/>
      </c>
      <c r="D1856" s="11" t="str">
        <f t="shared" si="150"/>
        <v/>
      </c>
      <c r="E1856" s="11" t="str">
        <f t="shared" si="147"/>
        <v/>
      </c>
      <c r="F1856" s="11" t="str">
        <f t="shared" si="148"/>
        <v/>
      </c>
      <c r="G1856" s="10" t="str">
        <v/>
      </c>
      <c r="H1856" s="11" t="str">
        <v/>
      </c>
      <c r="I1856" s="11" t="str">
        <v/>
      </c>
    </row>
    <row r="1857" spans="2:9">
      <c r="B1857" s="11" t="str">
        <f t="shared" ref="B1857:B1920" si="151">IFERROR(IF(FIND(" ",A1857)=6,IF(IFERROR(FIND(" PB",A1857),"")&lt;&gt;"","артикул",IF(IFERROR(FIND(" CRN",A1857),"")&lt;&gt;"","артикул","")),""),"")</f>
        <v/>
      </c>
      <c r="C1857" s="11" t="str">
        <f t="shared" si="149"/>
        <v/>
      </c>
      <c r="D1857" s="11" t="str">
        <f t="shared" si="150"/>
        <v/>
      </c>
      <c r="E1857" s="11" t="str">
        <f t="shared" si="147"/>
        <v/>
      </c>
      <c r="F1857" s="11" t="str">
        <f t="shared" si="148"/>
        <v/>
      </c>
      <c r="G1857" s="10" t="str">
        <v/>
      </c>
      <c r="H1857" s="11" t="str">
        <v/>
      </c>
      <c r="I1857" s="11" t="str">
        <v/>
      </c>
    </row>
    <row r="1858" spans="2:9">
      <c r="B1858" s="11" t="str">
        <f t="shared" si="151"/>
        <v/>
      </c>
      <c r="C1858" s="11" t="str">
        <f t="shared" si="149"/>
        <v/>
      </c>
      <c r="D1858" s="11" t="str">
        <f t="shared" si="150"/>
        <v/>
      </c>
      <c r="E1858" s="11" t="str">
        <f t="shared" ref="E1858:E1921" si="152" xml:space="preserve">
IF(B1858="Артикул",
IF(
AND(RIGHT(A1859,1)="%",
RIGHT(A1860,1)="%",
RIGHT(A1861,1)="%",
RIGHT(A1862,1)="%"),MID(A1863,FIND(" ",A1863),50),
IF(
AND(RIGHT(A1859,1)="%",
RIGHT(A1860,1)="%",
RIGHT(A1861,1)="%"),MID(A1862,FIND(" ",A1862),50),
IF(
AND(RIGHT(A1859,1)="%",
RIGHT(A1860,1)="%"),
MID(A1861,FIND(" ",A1861),50),
IF(
RIGHT(A1859,1)="%",
MID(A1860,FIND(" ",A1860),50),"")))),"")</f>
        <v/>
      </c>
      <c r="F1858" s="11" t="str">
        <f t="shared" ref="F1858:F1921" si="153">IFERROR(
IF(
AND(LEFT(A1858,8)="Discount",FIND("%",A1858)&gt;0),
MID(A1858,
FIND(" ",A1858),
FIND("%",A1858)-FIND(" ",A1858))
*-1,""),"")</f>
        <v/>
      </c>
      <c r="G1858" s="10" t="str">
        <v/>
      </c>
      <c r="H1858" s="11" t="str">
        <v/>
      </c>
      <c r="I1858" s="11" t="str">
        <v/>
      </c>
    </row>
    <row r="1859" spans="2:9">
      <c r="B1859" s="11" t="str">
        <f t="shared" si="151"/>
        <v/>
      </c>
      <c r="C1859" s="11" t="str">
        <f t="shared" si="149"/>
        <v/>
      </c>
      <c r="D1859" s="11" t="str">
        <f t="shared" si="150"/>
        <v/>
      </c>
      <c r="E1859" s="11" t="str">
        <f t="shared" si="152"/>
        <v/>
      </c>
      <c r="F1859" s="11" t="str">
        <f t="shared" si="153"/>
        <v/>
      </c>
      <c r="G1859" s="10" t="str">
        <v/>
      </c>
      <c r="H1859" s="11" t="str">
        <v/>
      </c>
      <c r="I1859" s="11" t="str">
        <v/>
      </c>
    </row>
    <row r="1860" spans="2:9">
      <c r="B1860" s="11" t="str">
        <f t="shared" si="151"/>
        <v/>
      </c>
      <c r="C1860" s="11" t="str">
        <f t="shared" si="149"/>
        <v/>
      </c>
      <c r="D1860" s="11" t="str">
        <f t="shared" si="150"/>
        <v/>
      </c>
      <c r="E1860" s="11" t="str">
        <f t="shared" si="152"/>
        <v/>
      </c>
      <c r="F1860" s="11" t="str">
        <f t="shared" si="153"/>
        <v/>
      </c>
      <c r="G1860" s="10" t="str">
        <v/>
      </c>
      <c r="H1860" s="11" t="str">
        <v/>
      </c>
      <c r="I1860" s="11" t="str">
        <v/>
      </c>
    </row>
    <row r="1861" spans="2:9">
      <c r="B1861" s="11" t="str">
        <f t="shared" si="151"/>
        <v/>
      </c>
      <c r="C1861" s="11" t="str">
        <f t="shared" si="149"/>
        <v/>
      </c>
      <c r="D1861" s="11" t="str">
        <f t="shared" si="150"/>
        <v/>
      </c>
      <c r="E1861" s="11" t="str">
        <f t="shared" si="152"/>
        <v/>
      </c>
      <c r="F1861" s="11" t="str">
        <f t="shared" si="153"/>
        <v/>
      </c>
      <c r="G1861" s="10" t="str">
        <v/>
      </c>
      <c r="H1861" s="11" t="str">
        <v/>
      </c>
      <c r="I1861" s="11" t="str">
        <v/>
      </c>
    </row>
    <row r="1862" spans="2:9">
      <c r="B1862" s="11" t="str">
        <f t="shared" si="151"/>
        <v/>
      </c>
      <c r="C1862" s="11" t="str">
        <f t="shared" si="149"/>
        <v/>
      </c>
      <c r="D1862" s="11" t="str">
        <f t="shared" si="150"/>
        <v/>
      </c>
      <c r="E1862" s="11" t="str">
        <f t="shared" si="152"/>
        <v/>
      </c>
      <c r="F1862" s="11" t="str">
        <f t="shared" si="153"/>
        <v/>
      </c>
      <c r="G1862" s="10" t="str">
        <v/>
      </c>
      <c r="H1862" s="11" t="str">
        <v/>
      </c>
      <c r="I1862" s="11" t="str">
        <v/>
      </c>
    </row>
    <row r="1863" spans="2:9">
      <c r="B1863" s="11" t="str">
        <f t="shared" si="151"/>
        <v/>
      </c>
      <c r="C1863" s="11" t="str">
        <f t="shared" si="149"/>
        <v/>
      </c>
      <c r="D1863" s="11" t="str">
        <f t="shared" si="150"/>
        <v/>
      </c>
      <c r="E1863" s="11" t="str">
        <f t="shared" si="152"/>
        <v/>
      </c>
      <c r="F1863" s="11" t="str">
        <f t="shared" si="153"/>
        <v/>
      </c>
      <c r="G1863" s="10" t="str">
        <v/>
      </c>
      <c r="H1863" s="11" t="str">
        <v/>
      </c>
      <c r="I1863" s="11" t="str">
        <v/>
      </c>
    </row>
    <row r="1864" spans="2:9">
      <c r="B1864" s="11" t="str">
        <f t="shared" si="151"/>
        <v/>
      </c>
      <c r="C1864" s="11" t="str">
        <f t="shared" si="149"/>
        <v/>
      </c>
      <c r="D1864" s="11" t="str">
        <f t="shared" si="150"/>
        <v/>
      </c>
      <c r="E1864" s="11" t="str">
        <f t="shared" si="152"/>
        <v/>
      </c>
      <c r="F1864" s="11" t="str">
        <f t="shared" si="153"/>
        <v/>
      </c>
      <c r="G1864" s="10" t="str">
        <v/>
      </c>
      <c r="H1864" s="11" t="str">
        <v/>
      </c>
      <c r="I1864" s="11" t="str">
        <v/>
      </c>
    </row>
    <row r="1865" spans="2:9">
      <c r="B1865" s="11" t="str">
        <f t="shared" si="151"/>
        <v/>
      </c>
      <c r="C1865" s="11" t="str">
        <f t="shared" si="149"/>
        <v/>
      </c>
      <c r="D1865" s="11" t="str">
        <f t="shared" si="150"/>
        <v/>
      </c>
      <c r="E1865" s="11" t="str">
        <f t="shared" si="152"/>
        <v/>
      </c>
      <c r="F1865" s="11" t="str">
        <f t="shared" si="153"/>
        <v/>
      </c>
      <c r="G1865" s="10" t="str">
        <v/>
      </c>
      <c r="H1865" s="11" t="str">
        <v/>
      </c>
      <c r="I1865" s="11" t="str">
        <v/>
      </c>
    </row>
    <row r="1866" spans="2:9">
      <c r="B1866" s="11" t="str">
        <f t="shared" si="151"/>
        <v/>
      </c>
      <c r="C1866" s="11" t="str">
        <f t="shared" si="149"/>
        <v/>
      </c>
      <c r="D1866" s="11" t="str">
        <f t="shared" si="150"/>
        <v/>
      </c>
      <c r="E1866" s="11" t="str">
        <f t="shared" si="152"/>
        <v/>
      </c>
      <c r="F1866" s="11" t="str">
        <f t="shared" si="153"/>
        <v/>
      </c>
      <c r="G1866" s="10" t="str">
        <v/>
      </c>
      <c r="H1866" s="11" t="str">
        <v/>
      </c>
      <c r="I1866" s="11" t="str">
        <v/>
      </c>
    </row>
    <row r="1867" spans="2:9">
      <c r="B1867" s="11" t="str">
        <f t="shared" si="151"/>
        <v/>
      </c>
      <c r="C1867" s="11" t="str">
        <f t="shared" si="149"/>
        <v/>
      </c>
      <c r="D1867" s="11" t="str">
        <f t="shared" si="150"/>
        <v/>
      </c>
      <c r="E1867" s="11" t="str">
        <f t="shared" si="152"/>
        <v/>
      </c>
      <c r="F1867" s="11" t="str">
        <f t="shared" si="153"/>
        <v/>
      </c>
      <c r="G1867" s="10" t="str">
        <v/>
      </c>
      <c r="H1867" s="11" t="str">
        <v/>
      </c>
      <c r="I1867" s="11" t="str">
        <v/>
      </c>
    </row>
    <row r="1868" spans="2:9">
      <c r="B1868" s="11" t="str">
        <f t="shared" si="151"/>
        <v/>
      </c>
      <c r="C1868" s="11" t="str">
        <f t="shared" si="149"/>
        <v/>
      </c>
      <c r="D1868" s="11" t="str">
        <f t="shared" si="150"/>
        <v/>
      </c>
      <c r="E1868" s="11" t="str">
        <f t="shared" si="152"/>
        <v/>
      </c>
      <c r="F1868" s="11" t="str">
        <f t="shared" si="153"/>
        <v/>
      </c>
      <c r="G1868" s="10" t="str">
        <v/>
      </c>
      <c r="H1868" s="11" t="str">
        <v/>
      </c>
      <c r="I1868" s="11" t="str">
        <v/>
      </c>
    </row>
    <row r="1869" spans="2:9">
      <c r="B1869" s="11" t="str">
        <f t="shared" si="151"/>
        <v/>
      </c>
      <c r="C1869" s="11" t="str">
        <f t="shared" ref="C1869:C1932" si="154">IF(B1869="артикул",A1869,"")</f>
        <v/>
      </c>
      <c r="D1869" s="11" t="str">
        <f t="shared" ref="D1869:D1932" si="155">IF(B1869="артикул",A1870,"")</f>
        <v/>
      </c>
      <c r="E1869" s="11" t="str">
        <f t="shared" si="152"/>
        <v/>
      </c>
      <c r="F1869" s="11" t="str">
        <f t="shared" si="153"/>
        <v/>
      </c>
      <c r="G1869" s="10" t="str">
        <v/>
      </c>
      <c r="H1869" s="11" t="str">
        <v/>
      </c>
      <c r="I1869" s="11" t="str">
        <v/>
      </c>
    </row>
    <row r="1870" spans="2:9">
      <c r="B1870" s="11" t="str">
        <f t="shared" si="151"/>
        <v/>
      </c>
      <c r="C1870" s="11" t="str">
        <f t="shared" si="154"/>
        <v/>
      </c>
      <c r="D1870" s="11" t="str">
        <f t="shared" si="155"/>
        <v/>
      </c>
      <c r="E1870" s="11" t="str">
        <f t="shared" si="152"/>
        <v/>
      </c>
      <c r="F1870" s="11" t="str">
        <f t="shared" si="153"/>
        <v/>
      </c>
      <c r="G1870" s="10" t="str">
        <v/>
      </c>
      <c r="H1870" s="11" t="str">
        <v/>
      </c>
      <c r="I1870" s="11" t="str">
        <v/>
      </c>
    </row>
    <row r="1871" spans="2:9">
      <c r="B1871" s="11" t="str">
        <f t="shared" si="151"/>
        <v/>
      </c>
      <c r="C1871" s="11" t="str">
        <f t="shared" si="154"/>
        <v/>
      </c>
      <c r="D1871" s="11" t="str">
        <f t="shared" si="155"/>
        <v/>
      </c>
      <c r="E1871" s="11" t="str">
        <f t="shared" si="152"/>
        <v/>
      </c>
      <c r="F1871" s="11" t="str">
        <f t="shared" si="153"/>
        <v/>
      </c>
      <c r="G1871" s="10" t="str">
        <v/>
      </c>
      <c r="H1871" s="11" t="str">
        <v/>
      </c>
      <c r="I1871" s="11" t="str">
        <v/>
      </c>
    </row>
    <row r="1872" spans="2:9">
      <c r="B1872" s="11" t="str">
        <f t="shared" si="151"/>
        <v/>
      </c>
      <c r="C1872" s="11" t="str">
        <f t="shared" si="154"/>
        <v/>
      </c>
      <c r="D1872" s="11" t="str">
        <f t="shared" si="155"/>
        <v/>
      </c>
      <c r="E1872" s="11" t="str">
        <f t="shared" si="152"/>
        <v/>
      </c>
      <c r="F1872" s="11" t="str">
        <f t="shared" si="153"/>
        <v/>
      </c>
      <c r="G1872" s="10" t="str">
        <v/>
      </c>
      <c r="H1872" s="11" t="str">
        <v/>
      </c>
      <c r="I1872" s="11" t="str">
        <v/>
      </c>
    </row>
    <row r="1873" spans="2:9">
      <c r="B1873" s="11" t="str">
        <f t="shared" si="151"/>
        <v/>
      </c>
      <c r="C1873" s="11" t="str">
        <f t="shared" si="154"/>
        <v/>
      </c>
      <c r="D1873" s="11" t="str">
        <f t="shared" si="155"/>
        <v/>
      </c>
      <c r="E1873" s="11" t="str">
        <f t="shared" si="152"/>
        <v/>
      </c>
      <c r="F1873" s="11" t="str">
        <f t="shared" si="153"/>
        <v/>
      </c>
      <c r="G1873" s="10" t="str">
        <v/>
      </c>
      <c r="H1873" s="11" t="str">
        <v/>
      </c>
      <c r="I1873" s="11" t="str">
        <v/>
      </c>
    </row>
    <row r="1874" spans="2:9">
      <c r="B1874" s="11" t="str">
        <f t="shared" si="151"/>
        <v/>
      </c>
      <c r="C1874" s="11" t="str">
        <f t="shared" si="154"/>
        <v/>
      </c>
      <c r="D1874" s="11" t="str">
        <f t="shared" si="155"/>
        <v/>
      </c>
      <c r="E1874" s="11" t="str">
        <f t="shared" si="152"/>
        <v/>
      </c>
      <c r="F1874" s="11" t="str">
        <f t="shared" si="153"/>
        <v/>
      </c>
      <c r="G1874" s="10" t="str">
        <v/>
      </c>
      <c r="H1874" s="11" t="str">
        <v/>
      </c>
      <c r="I1874" s="11" t="str">
        <v/>
      </c>
    </row>
    <row r="1875" spans="2:9">
      <c r="B1875" s="11" t="str">
        <f t="shared" si="151"/>
        <v/>
      </c>
      <c r="C1875" s="11" t="str">
        <f t="shared" si="154"/>
        <v/>
      </c>
      <c r="D1875" s="11" t="str">
        <f t="shared" si="155"/>
        <v/>
      </c>
      <c r="E1875" s="11" t="str">
        <f t="shared" si="152"/>
        <v/>
      </c>
      <c r="F1875" s="11" t="str">
        <f t="shared" si="153"/>
        <v/>
      </c>
      <c r="G1875" s="10" t="str">
        <v/>
      </c>
      <c r="H1875" s="11" t="str">
        <v/>
      </c>
      <c r="I1875" s="11" t="str">
        <v/>
      </c>
    </row>
    <row r="1876" spans="2:9">
      <c r="B1876" s="11" t="str">
        <f t="shared" si="151"/>
        <v/>
      </c>
      <c r="C1876" s="11" t="str">
        <f t="shared" si="154"/>
        <v/>
      </c>
      <c r="D1876" s="11" t="str">
        <f t="shared" si="155"/>
        <v/>
      </c>
      <c r="E1876" s="11" t="str">
        <f t="shared" si="152"/>
        <v/>
      </c>
      <c r="F1876" s="11" t="str">
        <f t="shared" si="153"/>
        <v/>
      </c>
      <c r="G1876" s="10" t="str">
        <v/>
      </c>
      <c r="H1876" s="11" t="str">
        <v/>
      </c>
      <c r="I1876" s="11" t="str">
        <v/>
      </c>
    </row>
    <row r="1877" spans="2:9">
      <c r="B1877" s="11" t="str">
        <f t="shared" si="151"/>
        <v/>
      </c>
      <c r="C1877" s="11" t="str">
        <f t="shared" si="154"/>
        <v/>
      </c>
      <c r="D1877" s="11" t="str">
        <f t="shared" si="155"/>
        <v/>
      </c>
      <c r="E1877" s="11" t="str">
        <f t="shared" si="152"/>
        <v/>
      </c>
      <c r="F1877" s="11" t="str">
        <f t="shared" si="153"/>
        <v/>
      </c>
      <c r="G1877" s="10" t="str">
        <v/>
      </c>
      <c r="H1877" s="11" t="str">
        <v/>
      </c>
      <c r="I1877" s="11" t="str">
        <v/>
      </c>
    </row>
    <row r="1878" spans="2:9">
      <c r="B1878" s="11" t="str">
        <f t="shared" si="151"/>
        <v/>
      </c>
      <c r="C1878" s="11" t="str">
        <f t="shared" si="154"/>
        <v/>
      </c>
      <c r="D1878" s="11" t="str">
        <f t="shared" si="155"/>
        <v/>
      </c>
      <c r="E1878" s="11" t="str">
        <f t="shared" si="152"/>
        <v/>
      </c>
      <c r="F1878" s="11" t="str">
        <f t="shared" si="153"/>
        <v/>
      </c>
      <c r="G1878" s="10" t="str">
        <v/>
      </c>
      <c r="H1878" s="11" t="str">
        <v/>
      </c>
      <c r="I1878" s="11" t="str">
        <v/>
      </c>
    </row>
    <row r="1879" spans="2:9">
      <c r="B1879" s="11" t="str">
        <f t="shared" si="151"/>
        <v/>
      </c>
      <c r="C1879" s="11" t="str">
        <f t="shared" si="154"/>
        <v/>
      </c>
      <c r="D1879" s="11" t="str">
        <f t="shared" si="155"/>
        <v/>
      </c>
      <c r="E1879" s="11" t="str">
        <f t="shared" si="152"/>
        <v/>
      </c>
      <c r="F1879" s="11" t="str">
        <f t="shared" si="153"/>
        <v/>
      </c>
      <c r="G1879" s="10" t="str">
        <v/>
      </c>
      <c r="H1879" s="11" t="str">
        <v/>
      </c>
      <c r="I1879" s="11" t="str">
        <v/>
      </c>
    </row>
    <row r="1880" spans="2:9">
      <c r="B1880" s="11" t="str">
        <f t="shared" si="151"/>
        <v/>
      </c>
      <c r="C1880" s="11" t="str">
        <f t="shared" si="154"/>
        <v/>
      </c>
      <c r="D1880" s="11" t="str">
        <f t="shared" si="155"/>
        <v/>
      </c>
      <c r="E1880" s="11" t="str">
        <f t="shared" si="152"/>
        <v/>
      </c>
      <c r="F1880" s="11" t="str">
        <f t="shared" si="153"/>
        <v/>
      </c>
      <c r="G1880" s="10" t="str">
        <v/>
      </c>
      <c r="H1880" s="11" t="str">
        <v/>
      </c>
      <c r="I1880" s="11" t="str">
        <v/>
      </c>
    </row>
    <row r="1881" spans="2:9">
      <c r="B1881" s="11" t="str">
        <f t="shared" si="151"/>
        <v/>
      </c>
      <c r="C1881" s="11" t="str">
        <f t="shared" si="154"/>
        <v/>
      </c>
      <c r="D1881" s="11" t="str">
        <f t="shared" si="155"/>
        <v/>
      </c>
      <c r="E1881" s="11" t="str">
        <f t="shared" si="152"/>
        <v/>
      </c>
      <c r="F1881" s="11" t="str">
        <f t="shared" si="153"/>
        <v/>
      </c>
      <c r="G1881" s="10" t="str">
        <v/>
      </c>
      <c r="H1881" s="11" t="str">
        <v/>
      </c>
      <c r="I1881" s="11" t="str">
        <v/>
      </c>
    </row>
    <row r="1882" spans="2:9">
      <c r="B1882" s="11" t="str">
        <f t="shared" si="151"/>
        <v/>
      </c>
      <c r="C1882" s="11" t="str">
        <f t="shared" si="154"/>
        <v/>
      </c>
      <c r="D1882" s="11" t="str">
        <f t="shared" si="155"/>
        <v/>
      </c>
      <c r="E1882" s="11" t="str">
        <f t="shared" si="152"/>
        <v/>
      </c>
      <c r="F1882" s="11" t="str">
        <f t="shared" si="153"/>
        <v/>
      </c>
      <c r="G1882" s="10" t="str">
        <v/>
      </c>
      <c r="H1882" s="11" t="str">
        <v/>
      </c>
      <c r="I1882" s="11" t="str">
        <v/>
      </c>
    </row>
    <row r="1883" spans="2:9">
      <c r="B1883" s="11" t="str">
        <f t="shared" si="151"/>
        <v/>
      </c>
      <c r="C1883" s="11" t="str">
        <f t="shared" si="154"/>
        <v/>
      </c>
      <c r="D1883" s="11" t="str">
        <f t="shared" si="155"/>
        <v/>
      </c>
      <c r="E1883" s="11" t="str">
        <f t="shared" si="152"/>
        <v/>
      </c>
      <c r="F1883" s="11" t="str">
        <f t="shared" si="153"/>
        <v/>
      </c>
      <c r="G1883" s="10" t="str">
        <v/>
      </c>
      <c r="H1883" s="11" t="str">
        <v/>
      </c>
      <c r="I1883" s="11" t="str">
        <v/>
      </c>
    </row>
    <row r="1884" spans="2:9">
      <c r="B1884" s="11" t="str">
        <f t="shared" si="151"/>
        <v/>
      </c>
      <c r="C1884" s="11" t="str">
        <f t="shared" si="154"/>
        <v/>
      </c>
      <c r="D1884" s="11" t="str">
        <f t="shared" si="155"/>
        <v/>
      </c>
      <c r="E1884" s="11" t="str">
        <f t="shared" si="152"/>
        <v/>
      </c>
      <c r="F1884" s="11" t="str">
        <f t="shared" si="153"/>
        <v/>
      </c>
      <c r="G1884" s="10" t="str">
        <v/>
      </c>
      <c r="H1884" s="11" t="str">
        <v/>
      </c>
      <c r="I1884" s="11" t="str">
        <v/>
      </c>
    </row>
    <row r="1885" spans="2:9">
      <c r="B1885" s="11" t="str">
        <f t="shared" si="151"/>
        <v/>
      </c>
      <c r="C1885" s="11" t="str">
        <f t="shared" si="154"/>
        <v/>
      </c>
      <c r="D1885" s="11" t="str">
        <f t="shared" si="155"/>
        <v/>
      </c>
      <c r="E1885" s="11" t="str">
        <f t="shared" si="152"/>
        <v/>
      </c>
      <c r="F1885" s="11" t="str">
        <f t="shared" si="153"/>
        <v/>
      </c>
      <c r="G1885" s="10" t="str">
        <v/>
      </c>
      <c r="H1885" s="11" t="str">
        <v/>
      </c>
      <c r="I1885" s="11" t="str">
        <v/>
      </c>
    </row>
    <row r="1886" spans="2:9">
      <c r="B1886" s="11" t="str">
        <f t="shared" si="151"/>
        <v/>
      </c>
      <c r="C1886" s="11" t="str">
        <f t="shared" si="154"/>
        <v/>
      </c>
      <c r="D1886" s="11" t="str">
        <f t="shared" si="155"/>
        <v/>
      </c>
      <c r="E1886" s="11" t="str">
        <f t="shared" si="152"/>
        <v/>
      </c>
      <c r="F1886" s="11" t="str">
        <f t="shared" si="153"/>
        <v/>
      </c>
      <c r="G1886" s="10" t="str">
        <v/>
      </c>
      <c r="H1886" s="11" t="str">
        <v/>
      </c>
      <c r="I1886" s="11" t="str">
        <v/>
      </c>
    </row>
    <row r="1887" spans="2:9">
      <c r="B1887" s="11" t="str">
        <f t="shared" si="151"/>
        <v/>
      </c>
      <c r="C1887" s="11" t="str">
        <f t="shared" si="154"/>
        <v/>
      </c>
      <c r="D1887" s="11" t="str">
        <f t="shared" si="155"/>
        <v/>
      </c>
      <c r="E1887" s="11" t="str">
        <f t="shared" si="152"/>
        <v/>
      </c>
      <c r="F1887" s="11" t="str">
        <f t="shared" si="153"/>
        <v/>
      </c>
      <c r="G1887" s="10" t="str">
        <v/>
      </c>
      <c r="H1887" s="11" t="str">
        <v/>
      </c>
      <c r="I1887" s="11" t="str">
        <v/>
      </c>
    </row>
    <row r="1888" spans="2:9">
      <c r="B1888" s="11" t="str">
        <f t="shared" si="151"/>
        <v/>
      </c>
      <c r="C1888" s="11" t="str">
        <f t="shared" si="154"/>
        <v/>
      </c>
      <c r="D1888" s="11" t="str">
        <f t="shared" si="155"/>
        <v/>
      </c>
      <c r="E1888" s="11" t="str">
        <f t="shared" si="152"/>
        <v/>
      </c>
      <c r="F1888" s="11" t="str">
        <f t="shared" si="153"/>
        <v/>
      </c>
      <c r="G1888" s="10" t="str">
        <v/>
      </c>
      <c r="H1888" s="11" t="str">
        <v/>
      </c>
      <c r="I1888" s="11" t="str">
        <v/>
      </c>
    </row>
    <row r="1889" spans="2:9">
      <c r="B1889" s="11" t="str">
        <f t="shared" si="151"/>
        <v/>
      </c>
      <c r="C1889" s="11" t="str">
        <f t="shared" si="154"/>
        <v/>
      </c>
      <c r="D1889" s="11" t="str">
        <f t="shared" si="155"/>
        <v/>
      </c>
      <c r="E1889" s="11" t="str">
        <f t="shared" si="152"/>
        <v/>
      </c>
      <c r="F1889" s="11" t="str">
        <f t="shared" si="153"/>
        <v/>
      </c>
      <c r="G1889" s="10" t="str">
        <v/>
      </c>
      <c r="H1889" s="11" t="str">
        <v/>
      </c>
      <c r="I1889" s="11" t="str">
        <v/>
      </c>
    </row>
    <row r="1890" spans="2:9">
      <c r="B1890" s="11" t="str">
        <f t="shared" si="151"/>
        <v/>
      </c>
      <c r="C1890" s="11" t="str">
        <f t="shared" si="154"/>
        <v/>
      </c>
      <c r="D1890" s="11" t="str">
        <f t="shared" si="155"/>
        <v/>
      </c>
      <c r="E1890" s="11" t="str">
        <f t="shared" si="152"/>
        <v/>
      </c>
      <c r="F1890" s="11" t="str">
        <f t="shared" si="153"/>
        <v/>
      </c>
      <c r="G1890" s="10" t="str">
        <v/>
      </c>
      <c r="H1890" s="11" t="str">
        <v/>
      </c>
      <c r="I1890" s="11" t="str">
        <v/>
      </c>
    </row>
    <row r="1891" spans="2:9">
      <c r="B1891" s="11" t="str">
        <f t="shared" si="151"/>
        <v/>
      </c>
      <c r="C1891" s="11" t="str">
        <f t="shared" si="154"/>
        <v/>
      </c>
      <c r="D1891" s="11" t="str">
        <f t="shared" si="155"/>
        <v/>
      </c>
      <c r="E1891" s="11" t="str">
        <f t="shared" si="152"/>
        <v/>
      </c>
      <c r="F1891" s="11" t="str">
        <f t="shared" si="153"/>
        <v/>
      </c>
      <c r="G1891" s="10" t="str">
        <v/>
      </c>
      <c r="H1891" s="11" t="str">
        <v/>
      </c>
      <c r="I1891" s="11" t="str">
        <v/>
      </c>
    </row>
    <row r="1892" spans="2:9">
      <c r="B1892" s="11" t="str">
        <f t="shared" si="151"/>
        <v/>
      </c>
      <c r="C1892" s="11" t="str">
        <f t="shared" si="154"/>
        <v/>
      </c>
      <c r="D1892" s="11" t="str">
        <f t="shared" si="155"/>
        <v/>
      </c>
      <c r="E1892" s="11" t="str">
        <f t="shared" si="152"/>
        <v/>
      </c>
      <c r="F1892" s="11" t="str">
        <f t="shared" si="153"/>
        <v/>
      </c>
      <c r="G1892" s="10" t="str">
        <v/>
      </c>
      <c r="H1892" s="11" t="str">
        <v/>
      </c>
      <c r="I1892" s="11" t="str">
        <v/>
      </c>
    </row>
    <row r="1893" spans="2:9">
      <c r="B1893" s="11" t="str">
        <f t="shared" si="151"/>
        <v/>
      </c>
      <c r="C1893" s="11" t="str">
        <f t="shared" si="154"/>
        <v/>
      </c>
      <c r="D1893" s="11" t="str">
        <f t="shared" si="155"/>
        <v/>
      </c>
      <c r="E1893" s="11" t="str">
        <f t="shared" si="152"/>
        <v/>
      </c>
      <c r="F1893" s="11" t="str">
        <f t="shared" si="153"/>
        <v/>
      </c>
      <c r="G1893" s="10" t="str">
        <v/>
      </c>
      <c r="H1893" s="11" t="str">
        <v/>
      </c>
      <c r="I1893" s="11" t="str">
        <v/>
      </c>
    </row>
    <row r="1894" spans="2:9">
      <c r="B1894" s="11" t="str">
        <f t="shared" si="151"/>
        <v/>
      </c>
      <c r="C1894" s="11" t="str">
        <f t="shared" si="154"/>
        <v/>
      </c>
      <c r="D1894" s="11" t="str">
        <f t="shared" si="155"/>
        <v/>
      </c>
      <c r="E1894" s="11" t="str">
        <f t="shared" si="152"/>
        <v/>
      </c>
      <c r="F1894" s="11" t="str">
        <f t="shared" si="153"/>
        <v/>
      </c>
      <c r="G1894" s="10" t="str">
        <v/>
      </c>
      <c r="H1894" s="11" t="str">
        <v/>
      </c>
      <c r="I1894" s="11" t="str">
        <v/>
      </c>
    </row>
    <row r="1895" spans="2:9">
      <c r="B1895" s="11" t="str">
        <f t="shared" si="151"/>
        <v/>
      </c>
      <c r="C1895" s="11" t="str">
        <f t="shared" si="154"/>
        <v/>
      </c>
      <c r="D1895" s="11" t="str">
        <f t="shared" si="155"/>
        <v/>
      </c>
      <c r="E1895" s="11" t="str">
        <f t="shared" si="152"/>
        <v/>
      </c>
      <c r="F1895" s="11" t="str">
        <f t="shared" si="153"/>
        <v/>
      </c>
      <c r="G1895" s="10" t="str">
        <v/>
      </c>
      <c r="H1895" s="11" t="str">
        <v/>
      </c>
      <c r="I1895" s="11" t="str">
        <v/>
      </c>
    </row>
    <row r="1896" spans="2:9">
      <c r="B1896" s="11" t="str">
        <f t="shared" si="151"/>
        <v/>
      </c>
      <c r="C1896" s="11" t="str">
        <f t="shared" si="154"/>
        <v/>
      </c>
      <c r="D1896" s="11" t="str">
        <f t="shared" si="155"/>
        <v/>
      </c>
      <c r="E1896" s="11" t="str">
        <f t="shared" si="152"/>
        <v/>
      </c>
      <c r="F1896" s="11" t="str">
        <f t="shared" si="153"/>
        <v/>
      </c>
      <c r="G1896" s="10" t="str">
        <v/>
      </c>
      <c r="H1896" s="11" t="str">
        <v/>
      </c>
      <c r="I1896" s="11" t="str">
        <v/>
      </c>
    </row>
    <row r="1897" spans="2:9">
      <c r="B1897" s="11" t="str">
        <f t="shared" si="151"/>
        <v/>
      </c>
      <c r="C1897" s="11" t="str">
        <f t="shared" si="154"/>
        <v/>
      </c>
      <c r="D1897" s="11" t="str">
        <f t="shared" si="155"/>
        <v/>
      </c>
      <c r="E1897" s="11" t="str">
        <f t="shared" si="152"/>
        <v/>
      </c>
      <c r="F1897" s="11" t="str">
        <f t="shared" si="153"/>
        <v/>
      </c>
      <c r="G1897" s="10" t="str">
        <v/>
      </c>
      <c r="H1897" s="11" t="str">
        <v/>
      </c>
      <c r="I1897" s="11" t="str">
        <v/>
      </c>
    </row>
    <row r="1898" spans="2:9">
      <c r="B1898" s="11" t="str">
        <f t="shared" si="151"/>
        <v/>
      </c>
      <c r="C1898" s="11" t="str">
        <f t="shared" si="154"/>
        <v/>
      </c>
      <c r="D1898" s="11" t="str">
        <f t="shared" si="155"/>
        <v/>
      </c>
      <c r="E1898" s="11" t="str">
        <f t="shared" si="152"/>
        <v/>
      </c>
      <c r="F1898" s="11" t="str">
        <f t="shared" si="153"/>
        <v/>
      </c>
      <c r="G1898" s="10" t="str">
        <v/>
      </c>
      <c r="H1898" s="11" t="str">
        <v/>
      </c>
      <c r="I1898" s="11" t="str">
        <v/>
      </c>
    </row>
    <row r="1899" spans="2:9">
      <c r="B1899" s="11" t="str">
        <f t="shared" si="151"/>
        <v/>
      </c>
      <c r="C1899" s="11" t="str">
        <f t="shared" si="154"/>
        <v/>
      </c>
      <c r="D1899" s="11" t="str">
        <f t="shared" si="155"/>
        <v/>
      </c>
      <c r="E1899" s="11" t="str">
        <f t="shared" si="152"/>
        <v/>
      </c>
      <c r="F1899" s="11" t="str">
        <f t="shared" si="153"/>
        <v/>
      </c>
      <c r="G1899" s="10" t="str">
        <v/>
      </c>
      <c r="H1899" s="11" t="str">
        <v/>
      </c>
      <c r="I1899" s="11" t="str">
        <v/>
      </c>
    </row>
    <row r="1900" spans="2:9">
      <c r="B1900" s="11" t="str">
        <f t="shared" si="151"/>
        <v/>
      </c>
      <c r="C1900" s="11" t="str">
        <f t="shared" si="154"/>
        <v/>
      </c>
      <c r="D1900" s="11" t="str">
        <f t="shared" si="155"/>
        <v/>
      </c>
      <c r="E1900" s="11" t="str">
        <f t="shared" si="152"/>
        <v/>
      </c>
      <c r="F1900" s="11" t="str">
        <f t="shared" si="153"/>
        <v/>
      </c>
      <c r="G1900" s="10" t="str">
        <v/>
      </c>
      <c r="H1900" s="11" t="str">
        <v/>
      </c>
      <c r="I1900" s="11" t="str">
        <v/>
      </c>
    </row>
    <row r="1901" spans="2:9">
      <c r="B1901" s="11" t="str">
        <f t="shared" si="151"/>
        <v/>
      </c>
      <c r="C1901" s="11" t="str">
        <f t="shared" si="154"/>
        <v/>
      </c>
      <c r="D1901" s="11" t="str">
        <f t="shared" si="155"/>
        <v/>
      </c>
      <c r="E1901" s="11" t="str">
        <f t="shared" si="152"/>
        <v/>
      </c>
      <c r="F1901" s="11" t="str">
        <f t="shared" si="153"/>
        <v/>
      </c>
      <c r="G1901" s="10" t="str">
        <v/>
      </c>
      <c r="H1901" s="11" t="str">
        <v/>
      </c>
      <c r="I1901" s="11" t="str">
        <v/>
      </c>
    </row>
    <row r="1902" spans="2:9">
      <c r="B1902" s="11" t="str">
        <f t="shared" si="151"/>
        <v/>
      </c>
      <c r="C1902" s="11" t="str">
        <f t="shared" si="154"/>
        <v/>
      </c>
      <c r="D1902" s="11" t="str">
        <f t="shared" si="155"/>
        <v/>
      </c>
      <c r="E1902" s="11" t="str">
        <f t="shared" si="152"/>
        <v/>
      </c>
      <c r="F1902" s="11" t="str">
        <f t="shared" si="153"/>
        <v/>
      </c>
      <c r="G1902" s="10" t="str">
        <v/>
      </c>
      <c r="H1902" s="11" t="str">
        <v/>
      </c>
      <c r="I1902" s="11" t="str">
        <v/>
      </c>
    </row>
    <row r="1903" spans="2:9">
      <c r="B1903" s="11" t="str">
        <f t="shared" si="151"/>
        <v/>
      </c>
      <c r="C1903" s="11" t="str">
        <f t="shared" si="154"/>
        <v/>
      </c>
      <c r="D1903" s="11" t="str">
        <f t="shared" si="155"/>
        <v/>
      </c>
      <c r="E1903" s="11" t="str">
        <f t="shared" si="152"/>
        <v/>
      </c>
      <c r="F1903" s="11" t="str">
        <f t="shared" si="153"/>
        <v/>
      </c>
      <c r="G1903" s="10" t="str">
        <v/>
      </c>
      <c r="H1903" s="11" t="str">
        <v/>
      </c>
      <c r="I1903" s="11" t="str">
        <v/>
      </c>
    </row>
    <row r="1904" spans="2:9">
      <c r="B1904" s="11" t="str">
        <f t="shared" si="151"/>
        <v/>
      </c>
      <c r="C1904" s="11" t="str">
        <f t="shared" si="154"/>
        <v/>
      </c>
      <c r="D1904" s="11" t="str">
        <f t="shared" si="155"/>
        <v/>
      </c>
      <c r="E1904" s="11" t="str">
        <f t="shared" si="152"/>
        <v/>
      </c>
      <c r="F1904" s="11" t="str">
        <f t="shared" si="153"/>
        <v/>
      </c>
      <c r="G1904" s="10" t="str">
        <v/>
      </c>
      <c r="H1904" s="11" t="str">
        <v/>
      </c>
      <c r="I1904" s="11" t="str">
        <v/>
      </c>
    </row>
    <row r="1905" spans="2:9">
      <c r="B1905" s="11" t="str">
        <f t="shared" si="151"/>
        <v/>
      </c>
      <c r="C1905" s="11" t="str">
        <f t="shared" si="154"/>
        <v/>
      </c>
      <c r="D1905" s="11" t="str">
        <f t="shared" si="155"/>
        <v/>
      </c>
      <c r="E1905" s="11" t="str">
        <f t="shared" si="152"/>
        <v/>
      </c>
      <c r="F1905" s="11" t="str">
        <f t="shared" si="153"/>
        <v/>
      </c>
      <c r="G1905" s="10" t="str">
        <v/>
      </c>
      <c r="H1905" s="11" t="str">
        <v/>
      </c>
      <c r="I1905" s="11" t="str">
        <v/>
      </c>
    </row>
    <row r="1906" spans="2:9">
      <c r="B1906" s="11" t="str">
        <f t="shared" si="151"/>
        <v/>
      </c>
      <c r="C1906" s="11" t="str">
        <f t="shared" si="154"/>
        <v/>
      </c>
      <c r="D1906" s="11" t="str">
        <f t="shared" si="155"/>
        <v/>
      </c>
      <c r="E1906" s="11" t="str">
        <f t="shared" si="152"/>
        <v/>
      </c>
      <c r="F1906" s="11" t="str">
        <f t="shared" si="153"/>
        <v/>
      </c>
      <c r="G1906" s="10" t="str">
        <v/>
      </c>
      <c r="H1906" s="11" t="str">
        <v/>
      </c>
      <c r="I1906" s="11" t="str">
        <v/>
      </c>
    </row>
    <row r="1907" spans="2:9">
      <c r="B1907" s="11" t="str">
        <f t="shared" si="151"/>
        <v/>
      </c>
      <c r="C1907" s="11" t="str">
        <f t="shared" si="154"/>
        <v/>
      </c>
      <c r="D1907" s="11" t="str">
        <f t="shared" si="155"/>
        <v/>
      </c>
      <c r="E1907" s="11" t="str">
        <f t="shared" si="152"/>
        <v/>
      </c>
      <c r="F1907" s="11" t="str">
        <f t="shared" si="153"/>
        <v/>
      </c>
      <c r="G1907" s="10" t="str">
        <v/>
      </c>
      <c r="H1907" s="11" t="str">
        <v/>
      </c>
      <c r="I1907" s="11" t="str">
        <v/>
      </c>
    </row>
    <row r="1908" spans="2:9">
      <c r="B1908" s="11" t="str">
        <f t="shared" si="151"/>
        <v/>
      </c>
      <c r="C1908" s="11" t="str">
        <f t="shared" si="154"/>
        <v/>
      </c>
      <c r="D1908" s="11" t="str">
        <f t="shared" si="155"/>
        <v/>
      </c>
      <c r="E1908" s="11" t="str">
        <f t="shared" si="152"/>
        <v/>
      </c>
      <c r="F1908" s="11" t="str">
        <f t="shared" si="153"/>
        <v/>
      </c>
      <c r="G1908" s="10" t="str">
        <v/>
      </c>
      <c r="H1908" s="11" t="str">
        <v/>
      </c>
      <c r="I1908" s="11" t="str">
        <v/>
      </c>
    </row>
    <row r="1909" spans="2:9">
      <c r="B1909" s="11" t="str">
        <f t="shared" si="151"/>
        <v/>
      </c>
      <c r="C1909" s="11" t="str">
        <f t="shared" si="154"/>
        <v/>
      </c>
      <c r="D1909" s="11" t="str">
        <f t="shared" si="155"/>
        <v/>
      </c>
      <c r="E1909" s="11" t="str">
        <f t="shared" si="152"/>
        <v/>
      </c>
      <c r="F1909" s="11" t="str">
        <f t="shared" si="153"/>
        <v/>
      </c>
      <c r="G1909" s="10" t="str">
        <v/>
      </c>
      <c r="H1909" s="11" t="str">
        <v/>
      </c>
      <c r="I1909" s="11" t="str">
        <v/>
      </c>
    </row>
    <row r="1910" spans="2:9">
      <c r="B1910" s="11" t="str">
        <f t="shared" si="151"/>
        <v/>
      </c>
      <c r="C1910" s="11" t="str">
        <f t="shared" si="154"/>
        <v/>
      </c>
      <c r="D1910" s="11" t="str">
        <f t="shared" si="155"/>
        <v/>
      </c>
      <c r="E1910" s="11" t="str">
        <f t="shared" si="152"/>
        <v/>
      </c>
      <c r="F1910" s="11" t="str">
        <f t="shared" si="153"/>
        <v/>
      </c>
      <c r="G1910" s="10" t="str">
        <v/>
      </c>
      <c r="H1910" s="11" t="str">
        <v/>
      </c>
      <c r="I1910" s="11" t="str">
        <v/>
      </c>
    </row>
    <row r="1911" spans="2:9">
      <c r="B1911" s="11" t="str">
        <f t="shared" si="151"/>
        <v/>
      </c>
      <c r="C1911" s="11" t="str">
        <f t="shared" si="154"/>
        <v/>
      </c>
      <c r="D1911" s="11" t="str">
        <f t="shared" si="155"/>
        <v/>
      </c>
      <c r="E1911" s="11" t="str">
        <f t="shared" si="152"/>
        <v/>
      </c>
      <c r="F1911" s="11" t="str">
        <f t="shared" si="153"/>
        <v/>
      </c>
      <c r="G1911" s="10" t="str">
        <v/>
      </c>
      <c r="H1911" s="11" t="str">
        <v/>
      </c>
      <c r="I1911" s="11" t="str">
        <v/>
      </c>
    </row>
    <row r="1912" spans="2:9">
      <c r="B1912" s="11" t="str">
        <f t="shared" si="151"/>
        <v/>
      </c>
      <c r="C1912" s="11" t="str">
        <f t="shared" si="154"/>
        <v/>
      </c>
      <c r="D1912" s="11" t="str">
        <f t="shared" si="155"/>
        <v/>
      </c>
      <c r="E1912" s="11" t="str">
        <f t="shared" si="152"/>
        <v/>
      </c>
      <c r="F1912" s="11" t="str">
        <f t="shared" si="153"/>
        <v/>
      </c>
      <c r="G1912" s="10" t="str">
        <v/>
      </c>
      <c r="H1912" s="11" t="str">
        <v/>
      </c>
      <c r="I1912" s="11" t="str">
        <v/>
      </c>
    </row>
    <row r="1913" spans="2:9">
      <c r="B1913" s="11" t="str">
        <f t="shared" si="151"/>
        <v/>
      </c>
      <c r="C1913" s="11" t="str">
        <f t="shared" si="154"/>
        <v/>
      </c>
      <c r="D1913" s="11" t="str">
        <f t="shared" si="155"/>
        <v/>
      </c>
      <c r="E1913" s="11" t="str">
        <f t="shared" si="152"/>
        <v/>
      </c>
      <c r="F1913" s="11" t="str">
        <f t="shared" si="153"/>
        <v/>
      </c>
      <c r="G1913" s="10" t="str">
        <v/>
      </c>
      <c r="H1913" s="11" t="str">
        <v/>
      </c>
      <c r="I1913" s="11" t="str">
        <v/>
      </c>
    </row>
    <row r="1914" spans="2:9">
      <c r="B1914" s="11" t="str">
        <f t="shared" si="151"/>
        <v/>
      </c>
      <c r="C1914" s="11" t="str">
        <f t="shared" si="154"/>
        <v/>
      </c>
      <c r="D1914" s="11" t="str">
        <f t="shared" si="155"/>
        <v/>
      </c>
      <c r="E1914" s="11" t="str">
        <f t="shared" si="152"/>
        <v/>
      </c>
      <c r="F1914" s="11" t="str">
        <f t="shared" si="153"/>
        <v/>
      </c>
      <c r="G1914" s="10" t="str">
        <v/>
      </c>
      <c r="H1914" s="11" t="str">
        <v/>
      </c>
      <c r="I1914" s="11" t="str">
        <v/>
      </c>
    </row>
    <row r="1915" spans="2:9">
      <c r="B1915" s="11" t="str">
        <f t="shared" si="151"/>
        <v/>
      </c>
      <c r="C1915" s="11" t="str">
        <f t="shared" si="154"/>
        <v/>
      </c>
      <c r="D1915" s="11" t="str">
        <f t="shared" si="155"/>
        <v/>
      </c>
      <c r="E1915" s="11" t="str">
        <f t="shared" si="152"/>
        <v/>
      </c>
      <c r="F1915" s="11" t="str">
        <f t="shared" si="153"/>
        <v/>
      </c>
      <c r="G1915" s="10" t="str">
        <v/>
      </c>
      <c r="H1915" s="11" t="str">
        <v/>
      </c>
      <c r="I1915" s="11" t="str">
        <v/>
      </c>
    </row>
    <row r="1916" spans="2:9">
      <c r="B1916" s="11" t="str">
        <f t="shared" si="151"/>
        <v/>
      </c>
      <c r="C1916" s="11" t="str">
        <f t="shared" si="154"/>
        <v/>
      </c>
      <c r="D1916" s="11" t="str">
        <f t="shared" si="155"/>
        <v/>
      </c>
      <c r="E1916" s="11" t="str">
        <f t="shared" si="152"/>
        <v/>
      </c>
      <c r="F1916" s="11" t="str">
        <f t="shared" si="153"/>
        <v/>
      </c>
      <c r="G1916" s="10" t="str">
        <v/>
      </c>
      <c r="H1916" s="11" t="str">
        <v/>
      </c>
      <c r="I1916" s="11" t="str">
        <v/>
      </c>
    </row>
    <row r="1917" spans="2:9">
      <c r="B1917" s="11" t="str">
        <f t="shared" si="151"/>
        <v/>
      </c>
      <c r="C1917" s="11" t="str">
        <f t="shared" si="154"/>
        <v/>
      </c>
      <c r="D1917" s="11" t="str">
        <f t="shared" si="155"/>
        <v/>
      </c>
      <c r="E1917" s="11" t="str">
        <f t="shared" si="152"/>
        <v/>
      </c>
      <c r="F1917" s="11" t="str">
        <f t="shared" si="153"/>
        <v/>
      </c>
      <c r="G1917" s="10" t="str">
        <v/>
      </c>
      <c r="H1917" s="11" t="str">
        <v/>
      </c>
      <c r="I1917" s="11" t="str">
        <v/>
      </c>
    </row>
    <row r="1918" spans="2:9">
      <c r="B1918" s="11" t="str">
        <f t="shared" si="151"/>
        <v/>
      </c>
      <c r="C1918" s="11" t="str">
        <f t="shared" si="154"/>
        <v/>
      </c>
      <c r="D1918" s="11" t="str">
        <f t="shared" si="155"/>
        <v/>
      </c>
      <c r="E1918" s="11" t="str">
        <f t="shared" si="152"/>
        <v/>
      </c>
      <c r="F1918" s="11" t="str">
        <f t="shared" si="153"/>
        <v/>
      </c>
      <c r="G1918" s="10" t="str">
        <v/>
      </c>
      <c r="H1918" s="11" t="str">
        <v/>
      </c>
      <c r="I1918" s="11" t="str">
        <v/>
      </c>
    </row>
    <row r="1919" spans="2:9">
      <c r="B1919" s="11" t="str">
        <f t="shared" si="151"/>
        <v/>
      </c>
      <c r="C1919" s="11" t="str">
        <f t="shared" si="154"/>
        <v/>
      </c>
      <c r="D1919" s="11" t="str">
        <f t="shared" si="155"/>
        <v/>
      </c>
      <c r="E1919" s="11" t="str">
        <f t="shared" si="152"/>
        <v/>
      </c>
      <c r="F1919" s="11" t="str">
        <f t="shared" si="153"/>
        <v/>
      </c>
      <c r="G1919" s="10" t="str">
        <v/>
      </c>
      <c r="H1919" s="11" t="str">
        <v/>
      </c>
      <c r="I1919" s="11" t="str">
        <v/>
      </c>
    </row>
    <row r="1920" spans="2:9">
      <c r="B1920" s="11" t="str">
        <f t="shared" si="151"/>
        <v/>
      </c>
      <c r="C1920" s="11" t="str">
        <f t="shared" si="154"/>
        <v/>
      </c>
      <c r="D1920" s="11" t="str">
        <f t="shared" si="155"/>
        <v/>
      </c>
      <c r="E1920" s="11" t="str">
        <f t="shared" si="152"/>
        <v/>
      </c>
      <c r="F1920" s="11" t="str">
        <f t="shared" si="153"/>
        <v/>
      </c>
      <c r="G1920" s="10" t="str">
        <v/>
      </c>
      <c r="H1920" s="11" t="str">
        <v/>
      </c>
      <c r="I1920" s="11" t="str">
        <v/>
      </c>
    </row>
    <row r="1921" spans="2:9">
      <c r="B1921" s="11" t="str">
        <f t="shared" ref="B1921:B1984" si="156">IFERROR(IF(FIND(" ",A1921)=6,IF(IFERROR(FIND(" PB",A1921),"")&lt;&gt;"","артикул",IF(IFERROR(FIND(" CRN",A1921),"")&lt;&gt;"","артикул","")),""),"")</f>
        <v/>
      </c>
      <c r="C1921" s="11" t="str">
        <f t="shared" si="154"/>
        <v/>
      </c>
      <c r="D1921" s="11" t="str">
        <f t="shared" si="155"/>
        <v/>
      </c>
      <c r="E1921" s="11" t="str">
        <f t="shared" si="152"/>
        <v/>
      </c>
      <c r="F1921" s="11" t="str">
        <f t="shared" si="153"/>
        <v/>
      </c>
      <c r="G1921" s="10" t="str">
        <v/>
      </c>
      <c r="H1921" s="11" t="str">
        <v/>
      </c>
      <c r="I1921" s="11" t="str">
        <v/>
      </c>
    </row>
    <row r="1922" spans="2:9">
      <c r="B1922" s="11" t="str">
        <f t="shared" si="156"/>
        <v/>
      </c>
      <c r="C1922" s="11" t="str">
        <f t="shared" si="154"/>
        <v/>
      </c>
      <c r="D1922" s="11" t="str">
        <f t="shared" si="155"/>
        <v/>
      </c>
      <c r="E1922" s="11" t="str">
        <f t="shared" ref="E1922:E1985" si="157" xml:space="preserve">
IF(B1922="Артикул",
IF(
AND(RIGHT(A1923,1)="%",
RIGHT(A1924,1)="%",
RIGHT(A1925,1)="%",
RIGHT(A1926,1)="%"),MID(A1927,FIND(" ",A1927),50),
IF(
AND(RIGHT(A1923,1)="%",
RIGHT(A1924,1)="%",
RIGHT(A1925,1)="%"),MID(A1926,FIND(" ",A1926),50),
IF(
AND(RIGHT(A1923,1)="%",
RIGHT(A1924,1)="%"),
MID(A1925,FIND(" ",A1925),50),
IF(
RIGHT(A1923,1)="%",
MID(A1924,FIND(" ",A1924),50),"")))),"")</f>
        <v/>
      </c>
      <c r="F1922" s="11" t="str">
        <f t="shared" ref="F1922:F1985" si="158">IFERROR(
IF(
AND(LEFT(A1922,8)="Discount",FIND("%",A1922)&gt;0),
MID(A1922,
FIND(" ",A1922),
FIND("%",A1922)-FIND(" ",A1922))
*-1,""),"")</f>
        <v/>
      </c>
      <c r="G1922" s="10" t="str">
        <v/>
      </c>
      <c r="H1922" s="11" t="str">
        <v/>
      </c>
      <c r="I1922" s="11" t="str">
        <v/>
      </c>
    </row>
    <row r="1923" spans="2:9">
      <c r="B1923" s="11" t="str">
        <f t="shared" si="156"/>
        <v/>
      </c>
      <c r="C1923" s="11" t="str">
        <f t="shared" si="154"/>
        <v/>
      </c>
      <c r="D1923" s="11" t="str">
        <f t="shared" si="155"/>
        <v/>
      </c>
      <c r="E1923" s="11" t="str">
        <f t="shared" si="157"/>
        <v/>
      </c>
      <c r="F1923" s="11" t="str">
        <f t="shared" si="158"/>
        <v/>
      </c>
      <c r="G1923" s="10" t="str">
        <v/>
      </c>
      <c r="H1923" s="11" t="str">
        <v/>
      </c>
      <c r="I1923" s="11" t="str">
        <v/>
      </c>
    </row>
    <row r="1924" spans="2:9">
      <c r="B1924" s="11" t="str">
        <f t="shared" si="156"/>
        <v/>
      </c>
      <c r="C1924" s="11" t="str">
        <f t="shared" si="154"/>
        <v/>
      </c>
      <c r="D1924" s="11" t="str">
        <f t="shared" si="155"/>
        <v/>
      </c>
      <c r="E1924" s="11" t="str">
        <f t="shared" si="157"/>
        <v/>
      </c>
      <c r="F1924" s="11" t="str">
        <f t="shared" si="158"/>
        <v/>
      </c>
      <c r="G1924" s="10" t="str">
        <v/>
      </c>
      <c r="H1924" s="11" t="str">
        <v/>
      </c>
      <c r="I1924" s="11" t="str">
        <v/>
      </c>
    </row>
    <row r="1925" spans="2:9">
      <c r="B1925" s="11" t="str">
        <f t="shared" si="156"/>
        <v/>
      </c>
      <c r="C1925" s="11" t="str">
        <f t="shared" si="154"/>
        <v/>
      </c>
      <c r="D1925" s="11" t="str">
        <f t="shared" si="155"/>
        <v/>
      </c>
      <c r="E1925" s="11" t="str">
        <f t="shared" si="157"/>
        <v/>
      </c>
      <c r="F1925" s="11" t="str">
        <f t="shared" si="158"/>
        <v/>
      </c>
      <c r="G1925" s="10" t="str">
        <v/>
      </c>
      <c r="H1925" s="11" t="str">
        <v/>
      </c>
      <c r="I1925" s="11" t="str">
        <v/>
      </c>
    </row>
    <row r="1926" spans="2:9">
      <c r="B1926" s="11" t="str">
        <f t="shared" si="156"/>
        <v/>
      </c>
      <c r="C1926" s="11" t="str">
        <f t="shared" si="154"/>
        <v/>
      </c>
      <c r="D1926" s="11" t="str">
        <f t="shared" si="155"/>
        <v/>
      </c>
      <c r="E1926" s="11" t="str">
        <f t="shared" si="157"/>
        <v/>
      </c>
      <c r="F1926" s="11" t="str">
        <f t="shared" si="158"/>
        <v/>
      </c>
      <c r="G1926" s="10" t="str">
        <v/>
      </c>
      <c r="H1926" s="11" t="str">
        <v/>
      </c>
      <c r="I1926" s="11" t="str">
        <v/>
      </c>
    </row>
    <row r="1927" spans="2:9">
      <c r="B1927" s="11" t="str">
        <f t="shared" si="156"/>
        <v/>
      </c>
      <c r="C1927" s="11" t="str">
        <f t="shared" si="154"/>
        <v/>
      </c>
      <c r="D1927" s="11" t="str">
        <f t="shared" si="155"/>
        <v/>
      </c>
      <c r="E1927" s="11" t="str">
        <f t="shared" si="157"/>
        <v/>
      </c>
      <c r="F1927" s="11" t="str">
        <f t="shared" si="158"/>
        <v/>
      </c>
      <c r="G1927" s="10" t="str">
        <v/>
      </c>
      <c r="H1927" s="11" t="str">
        <v/>
      </c>
      <c r="I1927" s="11" t="str">
        <v/>
      </c>
    </row>
    <row r="1928" spans="2:9">
      <c r="B1928" s="11" t="str">
        <f t="shared" si="156"/>
        <v/>
      </c>
      <c r="C1928" s="11" t="str">
        <f t="shared" si="154"/>
        <v/>
      </c>
      <c r="D1928" s="11" t="str">
        <f t="shared" si="155"/>
        <v/>
      </c>
      <c r="E1928" s="11" t="str">
        <f t="shared" si="157"/>
        <v/>
      </c>
      <c r="F1928" s="11" t="str">
        <f t="shared" si="158"/>
        <v/>
      </c>
      <c r="G1928" s="10" t="str">
        <v/>
      </c>
      <c r="H1928" s="11" t="str">
        <v/>
      </c>
      <c r="I1928" s="11" t="str">
        <v/>
      </c>
    </row>
    <row r="1929" spans="2:9">
      <c r="B1929" s="11" t="str">
        <f t="shared" si="156"/>
        <v/>
      </c>
      <c r="C1929" s="11" t="str">
        <f t="shared" si="154"/>
        <v/>
      </c>
      <c r="D1929" s="11" t="str">
        <f t="shared" si="155"/>
        <v/>
      </c>
      <c r="E1929" s="11" t="str">
        <f t="shared" si="157"/>
        <v/>
      </c>
      <c r="F1929" s="11" t="str">
        <f t="shared" si="158"/>
        <v/>
      </c>
      <c r="G1929" s="10" t="str">
        <v/>
      </c>
      <c r="H1929" s="11" t="str">
        <v/>
      </c>
      <c r="I1929" s="11" t="str">
        <v/>
      </c>
    </row>
    <row r="1930" spans="2:9">
      <c r="B1930" s="11" t="str">
        <f t="shared" si="156"/>
        <v/>
      </c>
      <c r="C1930" s="11" t="str">
        <f t="shared" si="154"/>
        <v/>
      </c>
      <c r="D1930" s="11" t="str">
        <f t="shared" si="155"/>
        <v/>
      </c>
      <c r="E1930" s="11" t="str">
        <f t="shared" si="157"/>
        <v/>
      </c>
      <c r="F1930" s="11" t="str">
        <f t="shared" si="158"/>
        <v/>
      </c>
      <c r="G1930" s="10" t="str">
        <v/>
      </c>
      <c r="H1930" s="11" t="str">
        <v/>
      </c>
      <c r="I1930" s="11" t="str">
        <v/>
      </c>
    </row>
    <row r="1931" spans="2:9">
      <c r="B1931" s="11" t="str">
        <f t="shared" si="156"/>
        <v/>
      </c>
      <c r="C1931" s="11" t="str">
        <f t="shared" si="154"/>
        <v/>
      </c>
      <c r="D1931" s="11" t="str">
        <f t="shared" si="155"/>
        <v/>
      </c>
      <c r="E1931" s="11" t="str">
        <f t="shared" si="157"/>
        <v/>
      </c>
      <c r="F1931" s="11" t="str">
        <f t="shared" si="158"/>
        <v/>
      </c>
      <c r="G1931" s="10" t="str">
        <v/>
      </c>
      <c r="H1931" s="11" t="str">
        <v/>
      </c>
      <c r="I1931" s="11" t="str">
        <v/>
      </c>
    </row>
    <row r="1932" spans="2:9">
      <c r="B1932" s="11" t="str">
        <f t="shared" si="156"/>
        <v/>
      </c>
      <c r="C1932" s="11" t="str">
        <f t="shared" si="154"/>
        <v/>
      </c>
      <c r="D1932" s="11" t="str">
        <f t="shared" si="155"/>
        <v/>
      </c>
      <c r="E1932" s="11" t="str">
        <f t="shared" si="157"/>
        <v/>
      </c>
      <c r="F1932" s="11" t="str">
        <f t="shared" si="158"/>
        <v/>
      </c>
      <c r="G1932" s="10" t="str">
        <v/>
      </c>
      <c r="H1932" s="11" t="str">
        <v/>
      </c>
      <c r="I1932" s="11" t="str">
        <v/>
      </c>
    </row>
    <row r="1933" spans="2:9">
      <c r="B1933" s="11" t="str">
        <f t="shared" si="156"/>
        <v/>
      </c>
      <c r="C1933" s="11" t="str">
        <f t="shared" ref="C1933:C1996" si="159">IF(B1933="артикул",A1933,"")</f>
        <v/>
      </c>
      <c r="D1933" s="11" t="str">
        <f t="shared" ref="D1933:D1996" si="160">IF(B1933="артикул",A1934,"")</f>
        <v/>
      </c>
      <c r="E1933" s="11" t="str">
        <f t="shared" si="157"/>
        <v/>
      </c>
      <c r="F1933" s="11" t="str">
        <f t="shared" si="158"/>
        <v/>
      </c>
      <c r="G1933" s="10" t="str">
        <v/>
      </c>
      <c r="H1933" s="11" t="str">
        <v/>
      </c>
      <c r="I1933" s="11" t="str">
        <v/>
      </c>
    </row>
    <row r="1934" spans="2:9">
      <c r="B1934" s="11" t="str">
        <f t="shared" si="156"/>
        <v/>
      </c>
      <c r="C1934" s="11" t="str">
        <f t="shared" si="159"/>
        <v/>
      </c>
      <c r="D1934" s="11" t="str">
        <f t="shared" si="160"/>
        <v/>
      </c>
      <c r="E1934" s="11" t="str">
        <f t="shared" si="157"/>
        <v/>
      </c>
      <c r="F1934" s="11" t="str">
        <f t="shared" si="158"/>
        <v/>
      </c>
      <c r="G1934" s="10" t="str">
        <v/>
      </c>
      <c r="H1934" s="11" t="str">
        <v/>
      </c>
      <c r="I1934" s="11" t="str">
        <v/>
      </c>
    </row>
    <row r="1935" spans="2:9">
      <c r="B1935" s="11" t="str">
        <f t="shared" si="156"/>
        <v/>
      </c>
      <c r="C1935" s="11" t="str">
        <f t="shared" si="159"/>
        <v/>
      </c>
      <c r="D1935" s="11" t="str">
        <f t="shared" si="160"/>
        <v/>
      </c>
      <c r="E1935" s="11" t="str">
        <f t="shared" si="157"/>
        <v/>
      </c>
      <c r="F1935" s="11" t="str">
        <f t="shared" si="158"/>
        <v/>
      </c>
      <c r="G1935" s="10" t="str">
        <v/>
      </c>
      <c r="H1935" s="11" t="str">
        <v/>
      </c>
      <c r="I1935" s="11" t="str">
        <v/>
      </c>
    </row>
    <row r="1936" spans="2:9">
      <c r="B1936" s="11" t="str">
        <f t="shared" si="156"/>
        <v/>
      </c>
      <c r="C1936" s="11" t="str">
        <f t="shared" si="159"/>
        <v/>
      </c>
      <c r="D1936" s="11" t="str">
        <f t="shared" si="160"/>
        <v/>
      </c>
      <c r="E1936" s="11" t="str">
        <f t="shared" si="157"/>
        <v/>
      </c>
      <c r="F1936" s="11" t="str">
        <f t="shared" si="158"/>
        <v/>
      </c>
      <c r="G1936" s="10" t="str">
        <v/>
      </c>
      <c r="H1936" s="11" t="str">
        <v/>
      </c>
      <c r="I1936" s="11" t="str">
        <v/>
      </c>
    </row>
    <row r="1937" spans="2:9">
      <c r="B1937" s="11" t="str">
        <f t="shared" si="156"/>
        <v/>
      </c>
      <c r="C1937" s="11" t="str">
        <f t="shared" si="159"/>
        <v/>
      </c>
      <c r="D1937" s="11" t="str">
        <f t="shared" si="160"/>
        <v/>
      </c>
      <c r="E1937" s="11" t="str">
        <f t="shared" si="157"/>
        <v/>
      </c>
      <c r="F1937" s="11" t="str">
        <f t="shared" si="158"/>
        <v/>
      </c>
      <c r="G1937" s="10" t="str">
        <v/>
      </c>
      <c r="H1937" s="11" t="str">
        <v/>
      </c>
      <c r="I1937" s="11" t="str">
        <v/>
      </c>
    </row>
    <row r="1938" spans="2:9">
      <c r="B1938" s="11" t="str">
        <f t="shared" si="156"/>
        <v/>
      </c>
      <c r="C1938" s="11" t="str">
        <f t="shared" si="159"/>
        <v/>
      </c>
      <c r="D1938" s="11" t="str">
        <f t="shared" si="160"/>
        <v/>
      </c>
      <c r="E1938" s="11" t="str">
        <f t="shared" si="157"/>
        <v/>
      </c>
      <c r="F1938" s="11" t="str">
        <f t="shared" si="158"/>
        <v/>
      </c>
      <c r="G1938" s="10" t="str">
        <v/>
      </c>
      <c r="H1938" s="11" t="str">
        <v/>
      </c>
      <c r="I1938" s="11" t="str">
        <v/>
      </c>
    </row>
    <row r="1939" spans="2:9">
      <c r="B1939" s="11" t="str">
        <f t="shared" si="156"/>
        <v/>
      </c>
      <c r="C1939" s="11" t="str">
        <f t="shared" si="159"/>
        <v/>
      </c>
      <c r="D1939" s="11" t="str">
        <f t="shared" si="160"/>
        <v/>
      </c>
      <c r="E1939" s="11" t="str">
        <f t="shared" si="157"/>
        <v/>
      </c>
      <c r="F1939" s="11" t="str">
        <f t="shared" si="158"/>
        <v/>
      </c>
      <c r="G1939" s="10" t="str">
        <v/>
      </c>
      <c r="H1939" s="11" t="str">
        <v/>
      </c>
      <c r="I1939" s="11" t="str">
        <v/>
      </c>
    </row>
    <row r="1940" spans="2:9">
      <c r="B1940" s="11" t="str">
        <f t="shared" si="156"/>
        <v/>
      </c>
      <c r="C1940" s="11" t="str">
        <f t="shared" si="159"/>
        <v/>
      </c>
      <c r="D1940" s="11" t="str">
        <f t="shared" si="160"/>
        <v/>
      </c>
      <c r="E1940" s="11" t="str">
        <f t="shared" si="157"/>
        <v/>
      </c>
      <c r="F1940" s="11" t="str">
        <f t="shared" si="158"/>
        <v/>
      </c>
      <c r="G1940" s="10" t="str">
        <v/>
      </c>
      <c r="H1940" s="11" t="str">
        <v/>
      </c>
      <c r="I1940" s="11" t="str">
        <v/>
      </c>
    </row>
    <row r="1941" spans="2:9">
      <c r="B1941" s="11" t="str">
        <f t="shared" si="156"/>
        <v/>
      </c>
      <c r="C1941" s="11" t="str">
        <f t="shared" si="159"/>
        <v/>
      </c>
      <c r="D1941" s="11" t="str">
        <f t="shared" si="160"/>
        <v/>
      </c>
      <c r="E1941" s="11" t="str">
        <f t="shared" si="157"/>
        <v/>
      </c>
      <c r="F1941" s="11" t="str">
        <f t="shared" si="158"/>
        <v/>
      </c>
      <c r="G1941" s="10" t="str">
        <v/>
      </c>
      <c r="H1941" s="11" t="str">
        <v/>
      </c>
      <c r="I1941" s="11" t="str">
        <v/>
      </c>
    </row>
    <row r="1942" spans="2:9">
      <c r="B1942" s="11" t="str">
        <f t="shared" si="156"/>
        <v/>
      </c>
      <c r="C1942" s="11" t="str">
        <f t="shared" si="159"/>
        <v/>
      </c>
      <c r="D1942" s="11" t="str">
        <f t="shared" si="160"/>
        <v/>
      </c>
      <c r="E1942" s="11" t="str">
        <f t="shared" si="157"/>
        <v/>
      </c>
      <c r="F1942" s="11" t="str">
        <f t="shared" si="158"/>
        <v/>
      </c>
      <c r="G1942" s="10" t="str">
        <v/>
      </c>
      <c r="H1942" s="11" t="str">
        <v/>
      </c>
      <c r="I1942" s="11" t="str">
        <v/>
      </c>
    </row>
    <row r="1943" spans="2:9">
      <c r="B1943" s="11" t="str">
        <f t="shared" si="156"/>
        <v/>
      </c>
      <c r="C1943" s="11" t="str">
        <f t="shared" si="159"/>
        <v/>
      </c>
      <c r="D1943" s="11" t="str">
        <f t="shared" si="160"/>
        <v/>
      </c>
      <c r="E1943" s="11" t="str">
        <f t="shared" si="157"/>
        <v/>
      </c>
      <c r="F1943" s="11" t="str">
        <f t="shared" si="158"/>
        <v/>
      </c>
      <c r="G1943" s="10" t="str">
        <v/>
      </c>
      <c r="H1943" s="11" t="str">
        <v/>
      </c>
      <c r="I1943" s="11" t="str">
        <v/>
      </c>
    </row>
    <row r="1944" spans="2:9">
      <c r="B1944" s="11" t="str">
        <f t="shared" si="156"/>
        <v/>
      </c>
      <c r="C1944" s="11" t="str">
        <f t="shared" si="159"/>
        <v/>
      </c>
      <c r="D1944" s="11" t="str">
        <f t="shared" si="160"/>
        <v/>
      </c>
      <c r="E1944" s="11" t="str">
        <f t="shared" si="157"/>
        <v/>
      </c>
      <c r="F1944" s="11" t="str">
        <f t="shared" si="158"/>
        <v/>
      </c>
      <c r="G1944" s="10" t="str">
        <v/>
      </c>
      <c r="H1944" s="11" t="str">
        <v/>
      </c>
      <c r="I1944" s="11" t="str">
        <v/>
      </c>
    </row>
    <row r="1945" spans="2:9">
      <c r="B1945" s="11" t="str">
        <f t="shared" si="156"/>
        <v/>
      </c>
      <c r="C1945" s="11" t="str">
        <f t="shared" si="159"/>
        <v/>
      </c>
      <c r="D1945" s="11" t="str">
        <f t="shared" si="160"/>
        <v/>
      </c>
      <c r="E1945" s="11" t="str">
        <f t="shared" si="157"/>
        <v/>
      </c>
      <c r="F1945" s="11" t="str">
        <f t="shared" si="158"/>
        <v/>
      </c>
      <c r="G1945" s="10" t="str">
        <v/>
      </c>
      <c r="H1945" s="11" t="str">
        <v/>
      </c>
      <c r="I1945" s="11" t="str">
        <v/>
      </c>
    </row>
    <row r="1946" spans="2:9">
      <c r="B1946" s="11" t="str">
        <f t="shared" si="156"/>
        <v/>
      </c>
      <c r="C1946" s="11" t="str">
        <f t="shared" si="159"/>
        <v/>
      </c>
      <c r="D1946" s="11" t="str">
        <f t="shared" si="160"/>
        <v/>
      </c>
      <c r="E1946" s="11" t="str">
        <f t="shared" si="157"/>
        <v/>
      </c>
      <c r="F1946" s="11" t="str">
        <f t="shared" si="158"/>
        <v/>
      </c>
      <c r="G1946" s="10" t="str">
        <v/>
      </c>
      <c r="H1946" s="11" t="str">
        <v/>
      </c>
      <c r="I1946" s="11" t="str">
        <v/>
      </c>
    </row>
    <row r="1947" spans="2:9">
      <c r="B1947" s="11" t="str">
        <f t="shared" si="156"/>
        <v/>
      </c>
      <c r="C1947" s="11" t="str">
        <f t="shared" si="159"/>
        <v/>
      </c>
      <c r="D1947" s="11" t="str">
        <f t="shared" si="160"/>
        <v/>
      </c>
      <c r="E1947" s="11" t="str">
        <f t="shared" si="157"/>
        <v/>
      </c>
      <c r="F1947" s="11" t="str">
        <f t="shared" si="158"/>
        <v/>
      </c>
      <c r="G1947" s="10" t="str">
        <v/>
      </c>
      <c r="H1947" s="11" t="str">
        <v/>
      </c>
      <c r="I1947" s="11" t="str">
        <v/>
      </c>
    </row>
    <row r="1948" spans="2:9">
      <c r="B1948" s="11" t="str">
        <f t="shared" si="156"/>
        <v/>
      </c>
      <c r="C1948" s="11" t="str">
        <f t="shared" si="159"/>
        <v/>
      </c>
      <c r="D1948" s="11" t="str">
        <f t="shared" si="160"/>
        <v/>
      </c>
      <c r="E1948" s="11" t="str">
        <f t="shared" si="157"/>
        <v/>
      </c>
      <c r="F1948" s="11" t="str">
        <f t="shared" si="158"/>
        <v/>
      </c>
      <c r="G1948" s="10" t="str">
        <v/>
      </c>
      <c r="H1948" s="11" t="str">
        <v/>
      </c>
      <c r="I1948" s="11" t="str">
        <v/>
      </c>
    </row>
    <row r="1949" spans="2:9">
      <c r="B1949" s="11" t="str">
        <f t="shared" si="156"/>
        <v/>
      </c>
      <c r="C1949" s="11" t="str">
        <f t="shared" si="159"/>
        <v/>
      </c>
      <c r="D1949" s="11" t="str">
        <f t="shared" si="160"/>
        <v/>
      </c>
      <c r="E1949" s="11" t="str">
        <f t="shared" si="157"/>
        <v/>
      </c>
      <c r="F1949" s="11" t="str">
        <f t="shared" si="158"/>
        <v/>
      </c>
      <c r="G1949" s="10" t="str">
        <v/>
      </c>
      <c r="H1949" s="11" t="str">
        <v/>
      </c>
      <c r="I1949" s="11" t="str">
        <v/>
      </c>
    </row>
    <row r="1950" spans="2:9">
      <c r="B1950" s="11" t="str">
        <f t="shared" si="156"/>
        <v/>
      </c>
      <c r="C1950" s="11" t="str">
        <f t="shared" si="159"/>
        <v/>
      </c>
      <c r="D1950" s="11" t="str">
        <f t="shared" si="160"/>
        <v/>
      </c>
      <c r="E1950" s="11" t="str">
        <f t="shared" si="157"/>
        <v/>
      </c>
      <c r="F1950" s="11" t="str">
        <f t="shared" si="158"/>
        <v/>
      </c>
      <c r="G1950" s="10" t="str">
        <v/>
      </c>
      <c r="H1950" s="11" t="str">
        <v/>
      </c>
      <c r="I1950" s="11" t="str">
        <v/>
      </c>
    </row>
    <row r="1951" spans="2:9">
      <c r="B1951" s="11" t="str">
        <f t="shared" si="156"/>
        <v/>
      </c>
      <c r="C1951" s="11" t="str">
        <f t="shared" si="159"/>
        <v/>
      </c>
      <c r="D1951" s="11" t="str">
        <f t="shared" si="160"/>
        <v/>
      </c>
      <c r="E1951" s="11" t="str">
        <f t="shared" si="157"/>
        <v/>
      </c>
      <c r="F1951" s="11" t="str">
        <f t="shared" si="158"/>
        <v/>
      </c>
      <c r="G1951" s="10" t="str">
        <v/>
      </c>
      <c r="H1951" s="11" t="str">
        <v/>
      </c>
      <c r="I1951" s="11" t="str">
        <v/>
      </c>
    </row>
    <row r="1952" spans="2:9">
      <c r="B1952" s="11" t="str">
        <f t="shared" si="156"/>
        <v/>
      </c>
      <c r="C1952" s="11" t="str">
        <f t="shared" si="159"/>
        <v/>
      </c>
      <c r="D1952" s="11" t="str">
        <f t="shared" si="160"/>
        <v/>
      </c>
      <c r="E1952" s="11" t="str">
        <f t="shared" si="157"/>
        <v/>
      </c>
      <c r="F1952" s="11" t="str">
        <f t="shared" si="158"/>
        <v/>
      </c>
      <c r="G1952" s="10" t="str">
        <v/>
      </c>
      <c r="H1952" s="11" t="str">
        <v/>
      </c>
      <c r="I1952" s="11" t="str">
        <v/>
      </c>
    </row>
    <row r="1953" spans="2:9">
      <c r="B1953" s="11" t="str">
        <f t="shared" si="156"/>
        <v/>
      </c>
      <c r="C1953" s="11" t="str">
        <f t="shared" si="159"/>
        <v/>
      </c>
      <c r="D1953" s="11" t="str">
        <f t="shared" si="160"/>
        <v/>
      </c>
      <c r="E1953" s="11" t="str">
        <f t="shared" si="157"/>
        <v/>
      </c>
      <c r="F1953" s="11" t="str">
        <f t="shared" si="158"/>
        <v/>
      </c>
      <c r="G1953" s="10" t="str">
        <v/>
      </c>
      <c r="H1953" s="11" t="str">
        <v/>
      </c>
      <c r="I1953" s="11" t="str">
        <v/>
      </c>
    </row>
    <row r="1954" spans="2:9">
      <c r="B1954" s="11" t="str">
        <f t="shared" si="156"/>
        <v/>
      </c>
      <c r="C1954" s="11" t="str">
        <f t="shared" si="159"/>
        <v/>
      </c>
      <c r="D1954" s="11" t="str">
        <f t="shared" si="160"/>
        <v/>
      </c>
      <c r="E1954" s="11" t="str">
        <f t="shared" si="157"/>
        <v/>
      </c>
      <c r="F1954" s="11" t="str">
        <f t="shared" si="158"/>
        <v/>
      </c>
      <c r="G1954" s="10" t="str">
        <v/>
      </c>
      <c r="H1954" s="11" t="str">
        <v/>
      </c>
      <c r="I1954" s="11" t="str">
        <v/>
      </c>
    </row>
    <row r="1955" spans="2:9">
      <c r="B1955" s="11" t="str">
        <f t="shared" si="156"/>
        <v/>
      </c>
      <c r="C1955" s="11" t="str">
        <f t="shared" si="159"/>
        <v/>
      </c>
      <c r="D1955" s="11" t="str">
        <f t="shared" si="160"/>
        <v/>
      </c>
      <c r="E1955" s="11" t="str">
        <f t="shared" si="157"/>
        <v/>
      </c>
      <c r="F1955" s="11" t="str">
        <f t="shared" si="158"/>
        <v/>
      </c>
      <c r="G1955" s="10" t="str">
        <v/>
      </c>
      <c r="H1955" s="11" t="str">
        <v/>
      </c>
      <c r="I1955" s="11" t="str">
        <v/>
      </c>
    </row>
    <row r="1956" spans="2:9">
      <c r="B1956" s="11" t="str">
        <f t="shared" si="156"/>
        <v/>
      </c>
      <c r="C1956" s="11" t="str">
        <f t="shared" si="159"/>
        <v/>
      </c>
      <c r="D1956" s="11" t="str">
        <f t="shared" si="160"/>
        <v/>
      </c>
      <c r="E1956" s="11" t="str">
        <f t="shared" si="157"/>
        <v/>
      </c>
      <c r="F1956" s="11" t="str">
        <f t="shared" si="158"/>
        <v/>
      </c>
      <c r="G1956" s="10" t="str">
        <v/>
      </c>
      <c r="H1956" s="11" t="str">
        <v/>
      </c>
      <c r="I1956" s="11" t="str">
        <v/>
      </c>
    </row>
    <row r="1957" spans="2:9">
      <c r="B1957" s="11" t="str">
        <f t="shared" si="156"/>
        <v/>
      </c>
      <c r="C1957" s="11" t="str">
        <f t="shared" si="159"/>
        <v/>
      </c>
      <c r="D1957" s="11" t="str">
        <f t="shared" si="160"/>
        <v/>
      </c>
      <c r="E1957" s="11" t="str">
        <f t="shared" si="157"/>
        <v/>
      </c>
      <c r="F1957" s="11" t="str">
        <f t="shared" si="158"/>
        <v/>
      </c>
      <c r="G1957" s="10" t="str">
        <v/>
      </c>
      <c r="H1957" s="11" t="str">
        <v/>
      </c>
      <c r="I1957" s="11" t="str">
        <v/>
      </c>
    </row>
    <row r="1958" spans="2:9">
      <c r="B1958" s="11" t="str">
        <f t="shared" si="156"/>
        <v/>
      </c>
      <c r="C1958" s="11" t="str">
        <f t="shared" si="159"/>
        <v/>
      </c>
      <c r="D1958" s="11" t="str">
        <f t="shared" si="160"/>
        <v/>
      </c>
      <c r="E1958" s="11" t="str">
        <f t="shared" si="157"/>
        <v/>
      </c>
      <c r="F1958" s="11" t="str">
        <f t="shared" si="158"/>
        <v/>
      </c>
      <c r="G1958" s="10" t="str">
        <v/>
      </c>
      <c r="H1958" s="11" t="str">
        <v/>
      </c>
      <c r="I1958" s="11" t="str">
        <v/>
      </c>
    </row>
    <row r="1959" spans="2:9">
      <c r="B1959" s="11" t="str">
        <f t="shared" si="156"/>
        <v/>
      </c>
      <c r="C1959" s="11" t="str">
        <f t="shared" si="159"/>
        <v/>
      </c>
      <c r="D1959" s="11" t="str">
        <f t="shared" si="160"/>
        <v/>
      </c>
      <c r="E1959" s="11" t="str">
        <f t="shared" si="157"/>
        <v/>
      </c>
      <c r="F1959" s="11" t="str">
        <f t="shared" si="158"/>
        <v/>
      </c>
      <c r="G1959" s="10" t="str">
        <v/>
      </c>
      <c r="H1959" s="11" t="str">
        <v/>
      </c>
      <c r="I1959" s="11" t="str">
        <v/>
      </c>
    </row>
    <row r="1960" spans="2:9">
      <c r="B1960" s="11" t="str">
        <f t="shared" si="156"/>
        <v/>
      </c>
      <c r="C1960" s="11" t="str">
        <f t="shared" si="159"/>
        <v/>
      </c>
      <c r="D1960" s="11" t="str">
        <f t="shared" si="160"/>
        <v/>
      </c>
      <c r="E1960" s="11" t="str">
        <f t="shared" si="157"/>
        <v/>
      </c>
      <c r="F1960" s="11" t="str">
        <f t="shared" si="158"/>
        <v/>
      </c>
      <c r="G1960" s="10" t="str">
        <v/>
      </c>
      <c r="H1960" s="11" t="str">
        <v/>
      </c>
      <c r="I1960" s="11" t="str">
        <v/>
      </c>
    </row>
    <row r="1961" spans="2:9">
      <c r="B1961" s="11" t="str">
        <f t="shared" si="156"/>
        <v/>
      </c>
      <c r="C1961" s="11" t="str">
        <f t="shared" si="159"/>
        <v/>
      </c>
      <c r="D1961" s="11" t="str">
        <f t="shared" si="160"/>
        <v/>
      </c>
      <c r="E1961" s="11" t="str">
        <f t="shared" si="157"/>
        <v/>
      </c>
      <c r="F1961" s="11" t="str">
        <f t="shared" si="158"/>
        <v/>
      </c>
      <c r="G1961" s="10" t="str">
        <v/>
      </c>
      <c r="H1961" s="11" t="str">
        <v/>
      </c>
      <c r="I1961" s="11" t="str">
        <v/>
      </c>
    </row>
    <row r="1962" spans="2:9">
      <c r="B1962" s="11" t="str">
        <f t="shared" si="156"/>
        <v/>
      </c>
      <c r="C1962" s="11" t="str">
        <f t="shared" si="159"/>
        <v/>
      </c>
      <c r="D1962" s="11" t="str">
        <f t="shared" si="160"/>
        <v/>
      </c>
      <c r="E1962" s="11" t="str">
        <f t="shared" si="157"/>
        <v/>
      </c>
      <c r="F1962" s="11" t="str">
        <f t="shared" si="158"/>
        <v/>
      </c>
      <c r="G1962" s="10" t="str">
        <v/>
      </c>
      <c r="H1962" s="11" t="str">
        <v/>
      </c>
      <c r="I1962" s="11" t="str">
        <v/>
      </c>
    </row>
    <row r="1963" spans="2:9">
      <c r="B1963" s="11" t="str">
        <f t="shared" si="156"/>
        <v/>
      </c>
      <c r="C1963" s="11" t="str">
        <f t="shared" si="159"/>
        <v/>
      </c>
      <c r="D1963" s="11" t="str">
        <f t="shared" si="160"/>
        <v/>
      </c>
      <c r="E1963" s="11" t="str">
        <f t="shared" si="157"/>
        <v/>
      </c>
      <c r="F1963" s="11" t="str">
        <f t="shared" si="158"/>
        <v/>
      </c>
      <c r="G1963" s="10" t="str">
        <v/>
      </c>
      <c r="H1963" s="11" t="str">
        <v/>
      </c>
      <c r="I1963" s="11" t="str">
        <v/>
      </c>
    </row>
    <row r="1964" spans="2:9">
      <c r="B1964" s="11" t="str">
        <f t="shared" si="156"/>
        <v/>
      </c>
      <c r="C1964" s="11" t="str">
        <f t="shared" si="159"/>
        <v/>
      </c>
      <c r="D1964" s="11" t="str">
        <f t="shared" si="160"/>
        <v/>
      </c>
      <c r="E1964" s="11" t="str">
        <f t="shared" si="157"/>
        <v/>
      </c>
      <c r="F1964" s="11" t="str">
        <f t="shared" si="158"/>
        <v/>
      </c>
      <c r="G1964" s="10" t="str">
        <v/>
      </c>
      <c r="H1964" s="11" t="str">
        <v/>
      </c>
      <c r="I1964" s="11" t="str">
        <v/>
      </c>
    </row>
    <row r="1965" spans="2:9">
      <c r="B1965" s="11" t="str">
        <f t="shared" si="156"/>
        <v/>
      </c>
      <c r="C1965" s="11" t="str">
        <f t="shared" si="159"/>
        <v/>
      </c>
      <c r="D1965" s="11" t="str">
        <f t="shared" si="160"/>
        <v/>
      </c>
      <c r="E1965" s="11" t="str">
        <f t="shared" si="157"/>
        <v/>
      </c>
      <c r="F1965" s="11" t="str">
        <f t="shared" si="158"/>
        <v/>
      </c>
      <c r="G1965" s="10" t="str">
        <v/>
      </c>
      <c r="H1965" s="11" t="str">
        <v/>
      </c>
      <c r="I1965" s="11" t="str">
        <v/>
      </c>
    </row>
    <row r="1966" spans="2:9">
      <c r="B1966" s="11" t="str">
        <f t="shared" si="156"/>
        <v/>
      </c>
      <c r="C1966" s="11" t="str">
        <f t="shared" si="159"/>
        <v/>
      </c>
      <c r="D1966" s="11" t="str">
        <f t="shared" si="160"/>
        <v/>
      </c>
      <c r="E1966" s="11" t="str">
        <f t="shared" si="157"/>
        <v/>
      </c>
      <c r="F1966" s="11" t="str">
        <f t="shared" si="158"/>
        <v/>
      </c>
      <c r="G1966" s="10" t="str">
        <v/>
      </c>
      <c r="H1966" s="11" t="str">
        <v/>
      </c>
      <c r="I1966" s="11" t="str">
        <v/>
      </c>
    </row>
    <row r="1967" spans="2:9">
      <c r="B1967" s="11" t="str">
        <f t="shared" si="156"/>
        <v/>
      </c>
      <c r="C1967" s="11" t="str">
        <f t="shared" si="159"/>
        <v/>
      </c>
      <c r="D1967" s="11" t="str">
        <f t="shared" si="160"/>
        <v/>
      </c>
      <c r="E1967" s="11" t="str">
        <f t="shared" si="157"/>
        <v/>
      </c>
      <c r="F1967" s="11" t="str">
        <f t="shared" si="158"/>
        <v/>
      </c>
      <c r="G1967" s="10" t="str">
        <v/>
      </c>
      <c r="H1967" s="11" t="str">
        <v/>
      </c>
      <c r="I1967" s="11" t="str">
        <v/>
      </c>
    </row>
    <row r="1968" spans="2:9">
      <c r="B1968" s="11" t="str">
        <f t="shared" si="156"/>
        <v/>
      </c>
      <c r="C1968" s="11" t="str">
        <f t="shared" si="159"/>
        <v/>
      </c>
      <c r="D1968" s="11" t="str">
        <f t="shared" si="160"/>
        <v/>
      </c>
      <c r="E1968" s="11" t="str">
        <f t="shared" si="157"/>
        <v/>
      </c>
      <c r="F1968" s="11" t="str">
        <f t="shared" si="158"/>
        <v/>
      </c>
      <c r="G1968" s="10" t="str">
        <v/>
      </c>
      <c r="H1968" s="11" t="str">
        <v/>
      </c>
      <c r="I1968" s="11" t="str">
        <v/>
      </c>
    </row>
    <row r="1969" spans="2:9">
      <c r="B1969" s="11" t="str">
        <f t="shared" si="156"/>
        <v/>
      </c>
      <c r="C1969" s="11" t="str">
        <f t="shared" si="159"/>
        <v/>
      </c>
      <c r="D1969" s="11" t="str">
        <f t="shared" si="160"/>
        <v/>
      </c>
      <c r="E1969" s="11" t="str">
        <f t="shared" si="157"/>
        <v/>
      </c>
      <c r="F1969" s="11" t="str">
        <f t="shared" si="158"/>
        <v/>
      </c>
      <c r="G1969" s="10" t="str">
        <v/>
      </c>
      <c r="H1969" s="11" t="str">
        <v/>
      </c>
      <c r="I1969" s="11" t="str">
        <v/>
      </c>
    </row>
    <row r="1970" spans="2:9">
      <c r="B1970" s="11" t="str">
        <f t="shared" si="156"/>
        <v/>
      </c>
      <c r="C1970" s="11" t="str">
        <f t="shared" si="159"/>
        <v/>
      </c>
      <c r="D1970" s="11" t="str">
        <f t="shared" si="160"/>
        <v/>
      </c>
      <c r="E1970" s="11" t="str">
        <f t="shared" si="157"/>
        <v/>
      </c>
      <c r="F1970" s="11" t="str">
        <f t="shared" si="158"/>
        <v/>
      </c>
      <c r="G1970" s="10" t="str">
        <v/>
      </c>
      <c r="H1970" s="11" t="str">
        <v/>
      </c>
      <c r="I1970" s="11" t="str">
        <v/>
      </c>
    </row>
    <row r="1971" spans="2:9">
      <c r="B1971" s="11" t="str">
        <f t="shared" si="156"/>
        <v/>
      </c>
      <c r="C1971" s="11" t="str">
        <f t="shared" si="159"/>
        <v/>
      </c>
      <c r="D1971" s="11" t="str">
        <f t="shared" si="160"/>
        <v/>
      </c>
      <c r="E1971" s="11" t="str">
        <f t="shared" si="157"/>
        <v/>
      </c>
      <c r="F1971" s="11" t="str">
        <f t="shared" si="158"/>
        <v/>
      </c>
      <c r="G1971" s="10" t="str">
        <v/>
      </c>
      <c r="H1971" s="11" t="str">
        <v/>
      </c>
      <c r="I1971" s="11" t="str">
        <v/>
      </c>
    </row>
    <row r="1972" spans="2:9">
      <c r="B1972" s="11" t="str">
        <f t="shared" si="156"/>
        <v/>
      </c>
      <c r="C1972" s="11" t="str">
        <f t="shared" si="159"/>
        <v/>
      </c>
      <c r="D1972" s="11" t="str">
        <f t="shared" si="160"/>
        <v/>
      </c>
      <c r="E1972" s="11" t="str">
        <f t="shared" si="157"/>
        <v/>
      </c>
      <c r="F1972" s="11" t="str">
        <f t="shared" si="158"/>
        <v/>
      </c>
      <c r="G1972" s="10" t="str">
        <v/>
      </c>
      <c r="H1972" s="11" t="str">
        <v/>
      </c>
      <c r="I1972" s="11" t="str">
        <v/>
      </c>
    </row>
    <row r="1973" spans="2:9">
      <c r="B1973" s="11" t="str">
        <f t="shared" si="156"/>
        <v/>
      </c>
      <c r="C1973" s="11" t="str">
        <f t="shared" si="159"/>
        <v/>
      </c>
      <c r="D1973" s="11" t="str">
        <f t="shared" si="160"/>
        <v/>
      </c>
      <c r="E1973" s="11" t="str">
        <f t="shared" si="157"/>
        <v/>
      </c>
      <c r="F1973" s="11" t="str">
        <f t="shared" si="158"/>
        <v/>
      </c>
      <c r="G1973" s="10" t="str">
        <v/>
      </c>
      <c r="H1973" s="11" t="str">
        <v/>
      </c>
      <c r="I1973" s="11" t="str">
        <v/>
      </c>
    </row>
    <row r="1974" spans="2:9">
      <c r="B1974" s="11" t="str">
        <f t="shared" si="156"/>
        <v/>
      </c>
      <c r="C1974" s="11" t="str">
        <f t="shared" si="159"/>
        <v/>
      </c>
      <c r="D1974" s="11" t="str">
        <f t="shared" si="160"/>
        <v/>
      </c>
      <c r="E1974" s="11" t="str">
        <f t="shared" si="157"/>
        <v/>
      </c>
      <c r="F1974" s="11" t="str">
        <f t="shared" si="158"/>
        <v/>
      </c>
      <c r="G1974" s="10" t="str">
        <v/>
      </c>
      <c r="H1974" s="11" t="str">
        <v/>
      </c>
      <c r="I1974" s="11" t="str">
        <v/>
      </c>
    </row>
    <row r="1975" spans="2:9">
      <c r="B1975" s="11" t="str">
        <f t="shared" si="156"/>
        <v/>
      </c>
      <c r="C1975" s="11" t="str">
        <f t="shared" si="159"/>
        <v/>
      </c>
      <c r="D1975" s="11" t="str">
        <f t="shared" si="160"/>
        <v/>
      </c>
      <c r="E1975" s="11" t="str">
        <f t="shared" si="157"/>
        <v/>
      </c>
      <c r="F1975" s="11" t="str">
        <f t="shared" si="158"/>
        <v/>
      </c>
      <c r="G1975" s="10" t="str">
        <v/>
      </c>
      <c r="H1975" s="11" t="str">
        <v/>
      </c>
      <c r="I1975" s="11" t="str">
        <v/>
      </c>
    </row>
    <row r="1976" spans="2:9">
      <c r="B1976" s="11" t="str">
        <f t="shared" si="156"/>
        <v/>
      </c>
      <c r="C1976" s="11" t="str">
        <f t="shared" si="159"/>
        <v/>
      </c>
      <c r="D1976" s="11" t="str">
        <f t="shared" si="160"/>
        <v/>
      </c>
      <c r="E1976" s="11" t="str">
        <f t="shared" si="157"/>
        <v/>
      </c>
      <c r="F1976" s="11" t="str">
        <f t="shared" si="158"/>
        <v/>
      </c>
      <c r="G1976" s="10" t="str">
        <v/>
      </c>
      <c r="H1976" s="11" t="str">
        <v/>
      </c>
      <c r="I1976" s="11" t="str">
        <v/>
      </c>
    </row>
    <row r="1977" spans="2:9">
      <c r="B1977" s="11" t="str">
        <f t="shared" si="156"/>
        <v/>
      </c>
      <c r="C1977" s="11" t="str">
        <f t="shared" si="159"/>
        <v/>
      </c>
      <c r="D1977" s="11" t="str">
        <f t="shared" si="160"/>
        <v/>
      </c>
      <c r="E1977" s="11" t="str">
        <f t="shared" si="157"/>
        <v/>
      </c>
      <c r="F1977" s="11" t="str">
        <f t="shared" si="158"/>
        <v/>
      </c>
      <c r="G1977" s="10" t="str">
        <v/>
      </c>
      <c r="H1977" s="11" t="str">
        <v/>
      </c>
      <c r="I1977" s="11" t="str">
        <v/>
      </c>
    </row>
    <row r="1978" spans="2:9">
      <c r="B1978" s="11" t="str">
        <f t="shared" si="156"/>
        <v/>
      </c>
      <c r="C1978" s="11" t="str">
        <f t="shared" si="159"/>
        <v/>
      </c>
      <c r="D1978" s="11" t="str">
        <f t="shared" si="160"/>
        <v/>
      </c>
      <c r="E1978" s="11" t="str">
        <f t="shared" si="157"/>
        <v/>
      </c>
      <c r="F1978" s="11" t="str">
        <f t="shared" si="158"/>
        <v/>
      </c>
      <c r="G1978" s="10" t="str">
        <v/>
      </c>
      <c r="H1978" s="11" t="str">
        <v/>
      </c>
      <c r="I1978" s="11" t="str">
        <v/>
      </c>
    </row>
    <row r="1979" spans="2:9">
      <c r="B1979" s="11" t="str">
        <f t="shared" si="156"/>
        <v/>
      </c>
      <c r="C1979" s="11" t="str">
        <f t="shared" si="159"/>
        <v/>
      </c>
      <c r="D1979" s="11" t="str">
        <f t="shared" si="160"/>
        <v/>
      </c>
      <c r="E1979" s="11" t="str">
        <f t="shared" si="157"/>
        <v/>
      </c>
      <c r="F1979" s="11" t="str">
        <f t="shared" si="158"/>
        <v/>
      </c>
      <c r="G1979" s="10" t="str">
        <v/>
      </c>
      <c r="H1979" s="11" t="str">
        <v/>
      </c>
      <c r="I1979" s="11" t="str">
        <v/>
      </c>
    </row>
    <row r="1980" spans="2:9">
      <c r="B1980" s="11" t="str">
        <f t="shared" si="156"/>
        <v/>
      </c>
      <c r="C1980" s="11" t="str">
        <f t="shared" si="159"/>
        <v/>
      </c>
      <c r="D1980" s="11" t="str">
        <f t="shared" si="160"/>
        <v/>
      </c>
      <c r="E1980" s="11" t="str">
        <f t="shared" si="157"/>
        <v/>
      </c>
      <c r="F1980" s="11" t="str">
        <f t="shared" si="158"/>
        <v/>
      </c>
      <c r="G1980" s="10" t="str">
        <v/>
      </c>
      <c r="H1980" s="11" t="str">
        <v/>
      </c>
      <c r="I1980" s="11" t="str">
        <v/>
      </c>
    </row>
    <row r="1981" spans="2:9">
      <c r="B1981" s="11" t="str">
        <f t="shared" si="156"/>
        <v/>
      </c>
      <c r="C1981" s="11" t="str">
        <f t="shared" si="159"/>
        <v/>
      </c>
      <c r="D1981" s="11" t="str">
        <f t="shared" si="160"/>
        <v/>
      </c>
      <c r="E1981" s="11" t="str">
        <f t="shared" si="157"/>
        <v/>
      </c>
      <c r="F1981" s="11" t="str">
        <f t="shared" si="158"/>
        <v/>
      </c>
      <c r="G1981" s="10" t="str">
        <v/>
      </c>
      <c r="H1981" s="11" t="str">
        <v/>
      </c>
      <c r="I1981" s="11" t="str">
        <v/>
      </c>
    </row>
    <row r="1982" spans="2:9">
      <c r="B1982" s="11" t="str">
        <f t="shared" si="156"/>
        <v/>
      </c>
      <c r="C1982" s="11" t="str">
        <f t="shared" si="159"/>
        <v/>
      </c>
      <c r="D1982" s="11" t="str">
        <f t="shared" si="160"/>
        <v/>
      </c>
      <c r="E1982" s="11" t="str">
        <f t="shared" si="157"/>
        <v/>
      </c>
      <c r="F1982" s="11" t="str">
        <f t="shared" si="158"/>
        <v/>
      </c>
      <c r="G1982" s="10" t="str">
        <v/>
      </c>
      <c r="H1982" s="11" t="str">
        <v/>
      </c>
      <c r="I1982" s="11" t="str">
        <v/>
      </c>
    </row>
    <row r="1983" spans="2:9">
      <c r="B1983" s="11" t="str">
        <f t="shared" si="156"/>
        <v/>
      </c>
      <c r="C1983" s="11" t="str">
        <f t="shared" si="159"/>
        <v/>
      </c>
      <c r="D1983" s="11" t="str">
        <f t="shared" si="160"/>
        <v/>
      </c>
      <c r="E1983" s="11" t="str">
        <f t="shared" si="157"/>
        <v/>
      </c>
      <c r="F1983" s="11" t="str">
        <f t="shared" si="158"/>
        <v/>
      </c>
      <c r="G1983" s="10" t="str">
        <v/>
      </c>
      <c r="H1983" s="11" t="str">
        <v/>
      </c>
      <c r="I1983" s="11" t="str">
        <v/>
      </c>
    </row>
    <row r="1984" spans="2:9">
      <c r="B1984" s="11" t="str">
        <f t="shared" si="156"/>
        <v/>
      </c>
      <c r="C1984" s="11" t="str">
        <f t="shared" si="159"/>
        <v/>
      </c>
      <c r="D1984" s="11" t="str">
        <f t="shared" si="160"/>
        <v/>
      </c>
      <c r="E1984" s="11" t="str">
        <f t="shared" si="157"/>
        <v/>
      </c>
      <c r="F1984" s="11" t="str">
        <f t="shared" si="158"/>
        <v/>
      </c>
      <c r="G1984" s="10" t="str">
        <v/>
      </c>
      <c r="H1984" s="11" t="str">
        <v/>
      </c>
      <c r="I1984" s="11" t="str">
        <v/>
      </c>
    </row>
    <row r="1985" spans="2:9">
      <c r="B1985" s="11" t="str">
        <f t="shared" ref="B1985:B2048" si="161">IFERROR(IF(FIND(" ",A1985)=6,IF(IFERROR(FIND(" PB",A1985),"")&lt;&gt;"","артикул",IF(IFERROR(FIND(" CRN",A1985),"")&lt;&gt;"","артикул","")),""),"")</f>
        <v/>
      </c>
      <c r="C1985" s="11" t="str">
        <f t="shared" si="159"/>
        <v/>
      </c>
      <c r="D1985" s="11" t="str">
        <f t="shared" si="160"/>
        <v/>
      </c>
      <c r="E1985" s="11" t="str">
        <f t="shared" si="157"/>
        <v/>
      </c>
      <c r="F1985" s="11" t="str">
        <f t="shared" si="158"/>
        <v/>
      </c>
      <c r="G1985" s="10" t="str">
        <v/>
      </c>
      <c r="H1985" s="11" t="str">
        <v/>
      </c>
      <c r="I1985" s="11" t="str">
        <v/>
      </c>
    </row>
    <row r="1986" spans="2:9">
      <c r="B1986" s="11" t="str">
        <f t="shared" si="161"/>
        <v/>
      </c>
      <c r="C1986" s="11" t="str">
        <f t="shared" si="159"/>
        <v/>
      </c>
      <c r="D1986" s="11" t="str">
        <f t="shared" si="160"/>
        <v/>
      </c>
      <c r="E1986" s="11" t="str">
        <f t="shared" ref="E1986:E2049" si="162" xml:space="preserve">
IF(B1986="Артикул",
IF(
AND(RIGHT(A1987,1)="%",
RIGHT(A1988,1)="%",
RIGHT(A1989,1)="%",
RIGHT(A1990,1)="%"),MID(A1991,FIND(" ",A1991),50),
IF(
AND(RIGHT(A1987,1)="%",
RIGHT(A1988,1)="%",
RIGHT(A1989,1)="%"),MID(A1990,FIND(" ",A1990),50),
IF(
AND(RIGHT(A1987,1)="%",
RIGHT(A1988,1)="%"),
MID(A1989,FIND(" ",A1989),50),
IF(
RIGHT(A1987,1)="%",
MID(A1988,FIND(" ",A1988),50),"")))),"")</f>
        <v/>
      </c>
      <c r="F1986" s="11" t="str">
        <f t="shared" ref="F1986:F2049" si="163">IFERROR(
IF(
AND(LEFT(A1986,8)="Discount",FIND("%",A1986)&gt;0),
MID(A1986,
FIND(" ",A1986),
FIND("%",A1986)-FIND(" ",A1986))
*-1,""),"")</f>
        <v/>
      </c>
      <c r="G1986" s="10" t="str">
        <v/>
      </c>
      <c r="H1986" s="11" t="str">
        <v/>
      </c>
      <c r="I1986" s="11" t="str">
        <v/>
      </c>
    </row>
    <row r="1987" spans="2:9">
      <c r="B1987" s="11" t="str">
        <f t="shared" si="161"/>
        <v/>
      </c>
      <c r="C1987" s="11" t="str">
        <f t="shared" si="159"/>
        <v/>
      </c>
      <c r="D1987" s="11" t="str">
        <f t="shared" si="160"/>
        <v/>
      </c>
      <c r="E1987" s="11" t="str">
        <f t="shared" si="162"/>
        <v/>
      </c>
      <c r="F1987" s="11" t="str">
        <f t="shared" si="163"/>
        <v/>
      </c>
      <c r="G1987" s="10" t="str">
        <v/>
      </c>
      <c r="H1987" s="11" t="str">
        <v/>
      </c>
      <c r="I1987" s="11" t="str">
        <v/>
      </c>
    </row>
    <row r="1988" spans="2:9">
      <c r="B1988" s="11" t="str">
        <f t="shared" si="161"/>
        <v/>
      </c>
      <c r="C1988" s="11" t="str">
        <f t="shared" si="159"/>
        <v/>
      </c>
      <c r="D1988" s="11" t="str">
        <f t="shared" si="160"/>
        <v/>
      </c>
      <c r="E1988" s="11" t="str">
        <f t="shared" si="162"/>
        <v/>
      </c>
      <c r="F1988" s="11" t="str">
        <f t="shared" si="163"/>
        <v/>
      </c>
      <c r="G1988" s="10" t="str">
        <v/>
      </c>
      <c r="H1988" s="11" t="str">
        <v/>
      </c>
      <c r="I1988" s="11" t="str">
        <v/>
      </c>
    </row>
    <row r="1989" spans="2:9">
      <c r="B1989" s="11" t="str">
        <f t="shared" si="161"/>
        <v/>
      </c>
      <c r="C1989" s="11" t="str">
        <f t="shared" si="159"/>
        <v/>
      </c>
      <c r="D1989" s="11" t="str">
        <f t="shared" si="160"/>
        <v/>
      </c>
      <c r="E1989" s="11" t="str">
        <f t="shared" si="162"/>
        <v/>
      </c>
      <c r="F1989" s="11" t="str">
        <f t="shared" si="163"/>
        <v/>
      </c>
      <c r="G1989" s="10" t="str">
        <v/>
      </c>
      <c r="H1989" s="11" t="str">
        <v/>
      </c>
      <c r="I1989" s="11" t="str">
        <v/>
      </c>
    </row>
    <row r="1990" spans="2:9">
      <c r="B1990" s="11" t="str">
        <f t="shared" si="161"/>
        <v/>
      </c>
      <c r="C1990" s="11" t="str">
        <f t="shared" si="159"/>
        <v/>
      </c>
      <c r="D1990" s="11" t="str">
        <f t="shared" si="160"/>
        <v/>
      </c>
      <c r="E1990" s="11" t="str">
        <f t="shared" si="162"/>
        <v/>
      </c>
      <c r="F1990" s="11" t="str">
        <f t="shared" si="163"/>
        <v/>
      </c>
      <c r="G1990" s="10" t="str">
        <v/>
      </c>
      <c r="H1990" s="11" t="str">
        <v/>
      </c>
      <c r="I1990" s="11" t="str">
        <v/>
      </c>
    </row>
    <row r="1991" spans="2:9">
      <c r="B1991" s="11" t="str">
        <f t="shared" si="161"/>
        <v/>
      </c>
      <c r="C1991" s="11" t="str">
        <f t="shared" si="159"/>
        <v/>
      </c>
      <c r="D1991" s="11" t="str">
        <f t="shared" si="160"/>
        <v/>
      </c>
      <c r="E1991" s="11" t="str">
        <f t="shared" si="162"/>
        <v/>
      </c>
      <c r="F1991" s="11" t="str">
        <f t="shared" si="163"/>
        <v/>
      </c>
      <c r="G1991" s="10" t="str">
        <v/>
      </c>
      <c r="H1991" s="11" t="str">
        <v/>
      </c>
      <c r="I1991" s="11" t="str">
        <v/>
      </c>
    </row>
    <row r="1992" spans="2:9">
      <c r="B1992" s="11" t="str">
        <f t="shared" si="161"/>
        <v/>
      </c>
      <c r="C1992" s="11" t="str">
        <f t="shared" si="159"/>
        <v/>
      </c>
      <c r="D1992" s="11" t="str">
        <f t="shared" si="160"/>
        <v/>
      </c>
      <c r="E1992" s="11" t="str">
        <f t="shared" si="162"/>
        <v/>
      </c>
      <c r="F1992" s="11" t="str">
        <f t="shared" si="163"/>
        <v/>
      </c>
      <c r="G1992" s="10" t="str">
        <v/>
      </c>
      <c r="H1992" s="11" t="str">
        <v/>
      </c>
      <c r="I1992" s="11" t="str">
        <v/>
      </c>
    </row>
    <row r="1993" spans="2:9">
      <c r="B1993" s="11" t="str">
        <f t="shared" si="161"/>
        <v/>
      </c>
      <c r="C1993" s="11" t="str">
        <f t="shared" si="159"/>
        <v/>
      </c>
      <c r="D1993" s="11" t="str">
        <f t="shared" si="160"/>
        <v/>
      </c>
      <c r="E1993" s="11" t="str">
        <f t="shared" si="162"/>
        <v/>
      </c>
      <c r="F1993" s="11" t="str">
        <f t="shared" si="163"/>
        <v/>
      </c>
      <c r="G1993" s="10" t="str">
        <v/>
      </c>
      <c r="H1993" s="11" t="str">
        <v/>
      </c>
      <c r="I1993" s="11" t="str">
        <v/>
      </c>
    </row>
    <row r="1994" spans="2:9">
      <c r="B1994" s="11" t="str">
        <f t="shared" si="161"/>
        <v/>
      </c>
      <c r="C1994" s="11" t="str">
        <f t="shared" si="159"/>
        <v/>
      </c>
      <c r="D1994" s="11" t="str">
        <f t="shared" si="160"/>
        <v/>
      </c>
      <c r="E1994" s="11" t="str">
        <f t="shared" si="162"/>
        <v/>
      </c>
      <c r="F1994" s="11" t="str">
        <f t="shared" si="163"/>
        <v/>
      </c>
      <c r="G1994" s="10" t="str">
        <v/>
      </c>
      <c r="H1994" s="11" t="str">
        <v/>
      </c>
      <c r="I1994" s="11" t="str">
        <v/>
      </c>
    </row>
    <row r="1995" spans="2:9">
      <c r="B1995" s="11" t="str">
        <f t="shared" si="161"/>
        <v/>
      </c>
      <c r="C1995" s="11" t="str">
        <f t="shared" si="159"/>
        <v/>
      </c>
      <c r="D1995" s="11" t="str">
        <f t="shared" si="160"/>
        <v/>
      </c>
      <c r="E1995" s="11" t="str">
        <f t="shared" si="162"/>
        <v/>
      </c>
      <c r="F1995" s="11" t="str">
        <f t="shared" si="163"/>
        <v/>
      </c>
      <c r="G1995" s="10" t="str">
        <v/>
      </c>
      <c r="H1995" s="11" t="str">
        <v/>
      </c>
      <c r="I1995" s="11" t="str">
        <v/>
      </c>
    </row>
    <row r="1996" spans="2:9">
      <c r="B1996" s="11" t="str">
        <f t="shared" si="161"/>
        <v/>
      </c>
      <c r="C1996" s="11" t="str">
        <f t="shared" si="159"/>
        <v/>
      </c>
      <c r="D1996" s="11" t="str">
        <f t="shared" si="160"/>
        <v/>
      </c>
      <c r="E1996" s="11" t="str">
        <f t="shared" si="162"/>
        <v/>
      </c>
      <c r="F1996" s="11" t="str">
        <f t="shared" si="163"/>
        <v/>
      </c>
      <c r="G1996" s="10" t="str">
        <v/>
      </c>
      <c r="H1996" s="11" t="str">
        <v/>
      </c>
      <c r="I1996" s="11" t="str">
        <v/>
      </c>
    </row>
    <row r="1997" spans="2:9">
      <c r="B1997" s="11" t="str">
        <f t="shared" si="161"/>
        <v/>
      </c>
      <c r="C1997" s="11" t="str">
        <f t="shared" ref="C1997:C2060" si="164">IF(B1997="артикул",A1997,"")</f>
        <v/>
      </c>
      <c r="D1997" s="11" t="str">
        <f t="shared" ref="D1997:D2060" si="165">IF(B1997="артикул",A1998,"")</f>
        <v/>
      </c>
      <c r="E1997" s="11" t="str">
        <f t="shared" si="162"/>
        <v/>
      </c>
      <c r="F1997" s="11" t="str">
        <f t="shared" si="163"/>
        <v/>
      </c>
      <c r="G1997" s="10" t="str">
        <v/>
      </c>
      <c r="H1997" s="11" t="str">
        <v/>
      </c>
      <c r="I1997" s="11" t="str">
        <v/>
      </c>
    </row>
    <row r="1998" spans="2:9">
      <c r="B1998" s="11" t="str">
        <f t="shared" si="161"/>
        <v/>
      </c>
      <c r="C1998" s="11" t="str">
        <f t="shared" si="164"/>
        <v/>
      </c>
      <c r="D1998" s="11" t="str">
        <f t="shared" si="165"/>
        <v/>
      </c>
      <c r="E1998" s="11" t="str">
        <f t="shared" si="162"/>
        <v/>
      </c>
      <c r="F1998" s="11" t="str">
        <f t="shared" si="163"/>
        <v/>
      </c>
      <c r="G1998" s="10" t="str">
        <v/>
      </c>
      <c r="H1998" s="11" t="str">
        <v/>
      </c>
      <c r="I1998" s="11" t="str">
        <v/>
      </c>
    </row>
    <row r="1999" spans="2:9">
      <c r="B1999" s="11" t="str">
        <f t="shared" si="161"/>
        <v/>
      </c>
      <c r="C1999" s="11" t="str">
        <f t="shared" si="164"/>
        <v/>
      </c>
      <c r="D1999" s="11" t="str">
        <f t="shared" si="165"/>
        <v/>
      </c>
      <c r="E1999" s="11" t="str">
        <f t="shared" si="162"/>
        <v/>
      </c>
      <c r="F1999" s="11" t="str">
        <f t="shared" si="163"/>
        <v/>
      </c>
      <c r="G1999" s="10" t="str">
        <v/>
      </c>
      <c r="H1999" s="11" t="str">
        <v/>
      </c>
      <c r="I1999" s="11" t="str">
        <v/>
      </c>
    </row>
    <row r="2000" spans="2:9">
      <c r="B2000" s="11" t="str">
        <f t="shared" si="161"/>
        <v/>
      </c>
      <c r="C2000" s="11" t="str">
        <f t="shared" si="164"/>
        <v/>
      </c>
      <c r="D2000" s="11" t="str">
        <f t="shared" si="165"/>
        <v/>
      </c>
      <c r="E2000" s="11" t="str">
        <f t="shared" si="162"/>
        <v/>
      </c>
      <c r="F2000" s="11" t="str">
        <f t="shared" si="163"/>
        <v/>
      </c>
      <c r="G2000" s="10" t="str">
        <v/>
      </c>
      <c r="H2000" s="11" t="str">
        <v/>
      </c>
      <c r="I2000" s="11" t="str">
        <v/>
      </c>
    </row>
    <row r="2001" spans="2:9">
      <c r="B2001" s="11" t="str">
        <f t="shared" si="161"/>
        <v/>
      </c>
      <c r="C2001" s="11" t="str">
        <f t="shared" si="164"/>
        <v/>
      </c>
      <c r="D2001" s="11" t="str">
        <f t="shared" si="165"/>
        <v/>
      </c>
      <c r="E2001" s="11" t="str">
        <f t="shared" si="162"/>
        <v/>
      </c>
      <c r="F2001" s="11" t="str">
        <f t="shared" si="163"/>
        <v/>
      </c>
      <c r="G2001" s="10" t="str">
        <v/>
      </c>
      <c r="H2001" s="11" t="str">
        <v/>
      </c>
      <c r="I2001" s="11" t="str">
        <v/>
      </c>
    </row>
    <row r="2002" spans="2:9">
      <c r="B2002" s="11" t="str">
        <f t="shared" si="161"/>
        <v/>
      </c>
      <c r="C2002" s="11" t="str">
        <f t="shared" si="164"/>
        <v/>
      </c>
      <c r="D2002" s="11" t="str">
        <f t="shared" si="165"/>
        <v/>
      </c>
      <c r="E2002" s="11" t="str">
        <f t="shared" si="162"/>
        <v/>
      </c>
      <c r="F2002" s="11" t="str">
        <f t="shared" si="163"/>
        <v/>
      </c>
      <c r="G2002" s="10" t="str">
        <v/>
      </c>
      <c r="H2002" s="11" t="str">
        <v/>
      </c>
      <c r="I2002" s="11" t="str">
        <v/>
      </c>
    </row>
    <row r="2003" spans="2:9">
      <c r="B2003" s="11" t="str">
        <f t="shared" si="161"/>
        <v/>
      </c>
      <c r="C2003" s="11" t="str">
        <f t="shared" si="164"/>
        <v/>
      </c>
      <c r="D2003" s="11" t="str">
        <f t="shared" si="165"/>
        <v/>
      </c>
      <c r="E2003" s="11" t="str">
        <f t="shared" si="162"/>
        <v/>
      </c>
      <c r="F2003" s="11" t="str">
        <f t="shared" si="163"/>
        <v/>
      </c>
      <c r="G2003" s="10" t="str">
        <v/>
      </c>
      <c r="H2003" s="11" t="str">
        <v/>
      </c>
      <c r="I2003" s="11" t="str">
        <v/>
      </c>
    </row>
    <row r="2004" spans="2:9">
      <c r="B2004" s="11" t="str">
        <f t="shared" si="161"/>
        <v/>
      </c>
      <c r="C2004" s="11" t="str">
        <f t="shared" si="164"/>
        <v/>
      </c>
      <c r="D2004" s="11" t="str">
        <f t="shared" si="165"/>
        <v/>
      </c>
      <c r="E2004" s="11" t="str">
        <f t="shared" si="162"/>
        <v/>
      </c>
      <c r="F2004" s="11" t="str">
        <f t="shared" si="163"/>
        <v/>
      </c>
      <c r="G2004" s="10" t="str">
        <v/>
      </c>
      <c r="H2004" s="11" t="str">
        <v/>
      </c>
      <c r="I2004" s="11" t="str">
        <v/>
      </c>
    </row>
    <row r="2005" spans="2:9">
      <c r="B2005" s="11" t="str">
        <f t="shared" si="161"/>
        <v/>
      </c>
      <c r="C2005" s="11" t="str">
        <f t="shared" si="164"/>
        <v/>
      </c>
      <c r="D2005" s="11" t="str">
        <f t="shared" si="165"/>
        <v/>
      </c>
      <c r="E2005" s="11" t="str">
        <f t="shared" si="162"/>
        <v/>
      </c>
      <c r="F2005" s="11" t="str">
        <f t="shared" si="163"/>
        <v/>
      </c>
      <c r="G2005" s="10" t="str">
        <v/>
      </c>
      <c r="H2005" s="11" t="str">
        <v/>
      </c>
      <c r="I2005" s="11" t="str">
        <v/>
      </c>
    </row>
    <row r="2006" spans="2:9">
      <c r="B2006" s="11" t="str">
        <f t="shared" si="161"/>
        <v/>
      </c>
      <c r="C2006" s="11" t="str">
        <f t="shared" si="164"/>
        <v/>
      </c>
      <c r="D2006" s="11" t="str">
        <f t="shared" si="165"/>
        <v/>
      </c>
      <c r="E2006" s="11" t="str">
        <f t="shared" si="162"/>
        <v/>
      </c>
      <c r="F2006" s="11" t="str">
        <f t="shared" si="163"/>
        <v/>
      </c>
      <c r="G2006" s="10" t="str">
        <v/>
      </c>
      <c r="H2006" s="11" t="str">
        <v/>
      </c>
      <c r="I2006" s="11" t="str">
        <v/>
      </c>
    </row>
    <row r="2007" spans="2:9">
      <c r="B2007" s="11" t="str">
        <f t="shared" si="161"/>
        <v/>
      </c>
      <c r="C2007" s="11" t="str">
        <f t="shared" si="164"/>
        <v/>
      </c>
      <c r="D2007" s="11" t="str">
        <f t="shared" si="165"/>
        <v/>
      </c>
      <c r="E2007" s="11" t="str">
        <f t="shared" si="162"/>
        <v/>
      </c>
      <c r="F2007" s="11" t="str">
        <f t="shared" si="163"/>
        <v/>
      </c>
      <c r="G2007" s="10" t="str">
        <v/>
      </c>
      <c r="H2007" s="11" t="str">
        <v/>
      </c>
      <c r="I2007" s="11" t="str">
        <v/>
      </c>
    </row>
    <row r="2008" spans="2:9">
      <c r="B2008" s="11" t="str">
        <f t="shared" si="161"/>
        <v/>
      </c>
      <c r="C2008" s="11" t="str">
        <f t="shared" si="164"/>
        <v/>
      </c>
      <c r="D2008" s="11" t="str">
        <f t="shared" si="165"/>
        <v/>
      </c>
      <c r="E2008" s="11" t="str">
        <f t="shared" si="162"/>
        <v/>
      </c>
      <c r="F2008" s="11" t="str">
        <f t="shared" si="163"/>
        <v/>
      </c>
      <c r="G2008" s="10" t="str">
        <v/>
      </c>
      <c r="H2008" s="11" t="str">
        <v/>
      </c>
      <c r="I2008" s="11" t="str">
        <v/>
      </c>
    </row>
    <row r="2009" spans="2:9">
      <c r="B2009" s="11" t="str">
        <f t="shared" si="161"/>
        <v/>
      </c>
      <c r="C2009" s="11" t="str">
        <f t="shared" si="164"/>
        <v/>
      </c>
      <c r="D2009" s="11" t="str">
        <f t="shared" si="165"/>
        <v/>
      </c>
      <c r="E2009" s="11" t="str">
        <f t="shared" si="162"/>
        <v/>
      </c>
      <c r="F2009" s="11" t="str">
        <f t="shared" si="163"/>
        <v/>
      </c>
      <c r="G2009" s="10" t="str">
        <v/>
      </c>
      <c r="H2009" s="11" t="str">
        <v/>
      </c>
      <c r="I2009" s="11" t="str">
        <v/>
      </c>
    </row>
    <row r="2010" spans="2:9">
      <c r="B2010" s="11" t="str">
        <f t="shared" si="161"/>
        <v/>
      </c>
      <c r="C2010" s="11" t="str">
        <f t="shared" si="164"/>
        <v/>
      </c>
      <c r="D2010" s="11" t="str">
        <f t="shared" si="165"/>
        <v/>
      </c>
      <c r="E2010" s="11" t="str">
        <f t="shared" si="162"/>
        <v/>
      </c>
      <c r="F2010" s="11" t="str">
        <f t="shared" si="163"/>
        <v/>
      </c>
      <c r="G2010" s="10" t="str">
        <v/>
      </c>
      <c r="H2010" s="11" t="str">
        <v/>
      </c>
      <c r="I2010" s="11" t="str">
        <v/>
      </c>
    </row>
    <row r="2011" spans="2:9">
      <c r="B2011" s="11" t="str">
        <f t="shared" si="161"/>
        <v/>
      </c>
      <c r="C2011" s="11" t="str">
        <f t="shared" si="164"/>
        <v/>
      </c>
      <c r="D2011" s="11" t="str">
        <f t="shared" si="165"/>
        <v/>
      </c>
      <c r="E2011" s="11" t="str">
        <f t="shared" si="162"/>
        <v/>
      </c>
      <c r="F2011" s="11" t="str">
        <f t="shared" si="163"/>
        <v/>
      </c>
      <c r="G2011" s="10" t="str">
        <v/>
      </c>
      <c r="H2011" s="11" t="str">
        <v/>
      </c>
      <c r="I2011" s="11" t="str">
        <v/>
      </c>
    </row>
    <row r="2012" spans="2:9">
      <c r="B2012" s="11" t="str">
        <f t="shared" si="161"/>
        <v/>
      </c>
      <c r="C2012" s="11" t="str">
        <f t="shared" si="164"/>
        <v/>
      </c>
      <c r="D2012" s="11" t="str">
        <f t="shared" si="165"/>
        <v/>
      </c>
      <c r="E2012" s="11" t="str">
        <f t="shared" si="162"/>
        <v/>
      </c>
      <c r="F2012" s="11" t="str">
        <f t="shared" si="163"/>
        <v/>
      </c>
      <c r="G2012" s="10" t="str">
        <v/>
      </c>
      <c r="H2012" s="11" t="str">
        <v/>
      </c>
      <c r="I2012" s="11" t="str">
        <v/>
      </c>
    </row>
    <row r="2013" spans="2:9">
      <c r="B2013" s="11" t="str">
        <f t="shared" si="161"/>
        <v/>
      </c>
      <c r="C2013" s="11" t="str">
        <f t="shared" si="164"/>
        <v/>
      </c>
      <c r="D2013" s="11" t="str">
        <f t="shared" si="165"/>
        <v/>
      </c>
      <c r="E2013" s="11" t="str">
        <f t="shared" si="162"/>
        <v/>
      </c>
      <c r="F2013" s="11" t="str">
        <f t="shared" si="163"/>
        <v/>
      </c>
      <c r="G2013" s="10" t="str">
        <v/>
      </c>
      <c r="H2013" s="11" t="str">
        <v/>
      </c>
      <c r="I2013" s="11" t="str">
        <v/>
      </c>
    </row>
    <row r="2014" spans="2:9">
      <c r="B2014" s="11" t="str">
        <f t="shared" si="161"/>
        <v/>
      </c>
      <c r="C2014" s="11" t="str">
        <f t="shared" si="164"/>
        <v/>
      </c>
      <c r="D2014" s="11" t="str">
        <f t="shared" si="165"/>
        <v/>
      </c>
      <c r="E2014" s="11" t="str">
        <f t="shared" si="162"/>
        <v/>
      </c>
      <c r="F2014" s="11" t="str">
        <f t="shared" si="163"/>
        <v/>
      </c>
      <c r="G2014" s="10" t="str">
        <v/>
      </c>
      <c r="H2014" s="11" t="str">
        <v/>
      </c>
      <c r="I2014" s="11" t="str">
        <v/>
      </c>
    </row>
    <row r="2015" spans="2:9">
      <c r="B2015" s="11" t="str">
        <f t="shared" si="161"/>
        <v/>
      </c>
      <c r="C2015" s="11" t="str">
        <f t="shared" si="164"/>
        <v/>
      </c>
      <c r="D2015" s="11" t="str">
        <f t="shared" si="165"/>
        <v/>
      </c>
      <c r="E2015" s="11" t="str">
        <f t="shared" si="162"/>
        <v/>
      </c>
      <c r="F2015" s="11" t="str">
        <f t="shared" si="163"/>
        <v/>
      </c>
      <c r="G2015" s="10" t="str">
        <v/>
      </c>
      <c r="H2015" s="11" t="str">
        <v/>
      </c>
      <c r="I2015" s="11" t="str">
        <v/>
      </c>
    </row>
    <row r="2016" spans="2:9">
      <c r="B2016" s="11" t="str">
        <f t="shared" si="161"/>
        <v/>
      </c>
      <c r="C2016" s="11" t="str">
        <f t="shared" si="164"/>
        <v/>
      </c>
      <c r="D2016" s="11" t="str">
        <f t="shared" si="165"/>
        <v/>
      </c>
      <c r="E2016" s="11" t="str">
        <f t="shared" si="162"/>
        <v/>
      </c>
      <c r="F2016" s="11" t="str">
        <f t="shared" si="163"/>
        <v/>
      </c>
      <c r="G2016" s="10" t="str">
        <v/>
      </c>
      <c r="H2016" s="11" t="str">
        <v/>
      </c>
      <c r="I2016" s="11" t="str">
        <v/>
      </c>
    </row>
    <row r="2017" spans="2:9">
      <c r="B2017" s="11" t="str">
        <f t="shared" si="161"/>
        <v/>
      </c>
      <c r="C2017" s="11" t="str">
        <f t="shared" si="164"/>
        <v/>
      </c>
      <c r="D2017" s="11" t="str">
        <f t="shared" si="165"/>
        <v/>
      </c>
      <c r="E2017" s="11" t="str">
        <f t="shared" si="162"/>
        <v/>
      </c>
      <c r="F2017" s="11" t="str">
        <f t="shared" si="163"/>
        <v/>
      </c>
      <c r="G2017" s="10" t="str">
        <v/>
      </c>
      <c r="H2017" s="11" t="str">
        <v/>
      </c>
      <c r="I2017" s="11" t="str">
        <v/>
      </c>
    </row>
    <row r="2018" spans="2:9">
      <c r="B2018" s="11" t="str">
        <f t="shared" si="161"/>
        <v/>
      </c>
      <c r="C2018" s="11" t="str">
        <f t="shared" si="164"/>
        <v/>
      </c>
      <c r="D2018" s="11" t="str">
        <f t="shared" si="165"/>
        <v/>
      </c>
      <c r="E2018" s="11" t="str">
        <f t="shared" si="162"/>
        <v/>
      </c>
      <c r="F2018" s="11" t="str">
        <f t="shared" si="163"/>
        <v/>
      </c>
      <c r="G2018" s="10" t="str">
        <v/>
      </c>
      <c r="H2018" s="11" t="str">
        <v/>
      </c>
      <c r="I2018" s="11" t="str">
        <v/>
      </c>
    </row>
    <row r="2019" spans="2:9">
      <c r="B2019" s="11" t="str">
        <f t="shared" si="161"/>
        <v/>
      </c>
      <c r="C2019" s="11" t="str">
        <f t="shared" si="164"/>
        <v/>
      </c>
      <c r="D2019" s="11" t="str">
        <f t="shared" si="165"/>
        <v/>
      </c>
      <c r="E2019" s="11" t="str">
        <f t="shared" si="162"/>
        <v/>
      </c>
      <c r="F2019" s="11" t="str">
        <f t="shared" si="163"/>
        <v/>
      </c>
      <c r="G2019" s="10" t="str">
        <v/>
      </c>
      <c r="H2019" s="11" t="str">
        <v/>
      </c>
      <c r="I2019" s="11" t="str">
        <v/>
      </c>
    </row>
    <row r="2020" spans="2:9">
      <c r="B2020" s="11" t="str">
        <f t="shared" si="161"/>
        <v/>
      </c>
      <c r="C2020" s="11" t="str">
        <f t="shared" si="164"/>
        <v/>
      </c>
      <c r="D2020" s="11" t="str">
        <f t="shared" si="165"/>
        <v/>
      </c>
      <c r="E2020" s="11" t="str">
        <f t="shared" si="162"/>
        <v/>
      </c>
      <c r="F2020" s="11" t="str">
        <f t="shared" si="163"/>
        <v/>
      </c>
      <c r="G2020" s="10" t="str">
        <v/>
      </c>
      <c r="H2020" s="11" t="str">
        <v/>
      </c>
      <c r="I2020" s="11" t="str">
        <v/>
      </c>
    </row>
    <row r="2021" spans="2:9">
      <c r="B2021" s="11" t="str">
        <f t="shared" si="161"/>
        <v/>
      </c>
      <c r="C2021" s="11" t="str">
        <f t="shared" si="164"/>
        <v/>
      </c>
      <c r="D2021" s="11" t="str">
        <f t="shared" si="165"/>
        <v/>
      </c>
      <c r="E2021" s="11" t="str">
        <f t="shared" si="162"/>
        <v/>
      </c>
      <c r="F2021" s="11" t="str">
        <f t="shared" si="163"/>
        <v/>
      </c>
      <c r="G2021" s="10" t="str">
        <v/>
      </c>
      <c r="H2021" s="11" t="str">
        <v/>
      </c>
      <c r="I2021" s="11" t="str">
        <v/>
      </c>
    </row>
    <row r="2022" spans="2:9">
      <c r="B2022" s="11" t="str">
        <f t="shared" si="161"/>
        <v/>
      </c>
      <c r="C2022" s="11" t="str">
        <f t="shared" si="164"/>
        <v/>
      </c>
      <c r="D2022" s="11" t="str">
        <f t="shared" si="165"/>
        <v/>
      </c>
      <c r="E2022" s="11" t="str">
        <f t="shared" si="162"/>
        <v/>
      </c>
      <c r="F2022" s="11" t="str">
        <f t="shared" si="163"/>
        <v/>
      </c>
      <c r="G2022" s="10" t="str">
        <v/>
      </c>
      <c r="H2022" s="11" t="str">
        <v/>
      </c>
      <c r="I2022" s="11" t="str">
        <v/>
      </c>
    </row>
    <row r="2023" spans="2:9">
      <c r="B2023" s="11" t="str">
        <f t="shared" si="161"/>
        <v/>
      </c>
      <c r="C2023" s="11" t="str">
        <f t="shared" si="164"/>
        <v/>
      </c>
      <c r="D2023" s="11" t="str">
        <f t="shared" si="165"/>
        <v/>
      </c>
      <c r="E2023" s="11" t="str">
        <f t="shared" si="162"/>
        <v/>
      </c>
      <c r="F2023" s="11" t="str">
        <f t="shared" si="163"/>
        <v/>
      </c>
      <c r="G2023" s="10" t="str">
        <v/>
      </c>
      <c r="H2023" s="11" t="str">
        <v/>
      </c>
      <c r="I2023" s="11" t="str">
        <v/>
      </c>
    </row>
    <row r="2024" spans="2:9">
      <c r="B2024" s="11" t="str">
        <f t="shared" si="161"/>
        <v/>
      </c>
      <c r="C2024" s="11" t="str">
        <f t="shared" si="164"/>
        <v/>
      </c>
      <c r="D2024" s="11" t="str">
        <f t="shared" si="165"/>
        <v/>
      </c>
      <c r="E2024" s="11" t="str">
        <f t="shared" si="162"/>
        <v/>
      </c>
      <c r="F2024" s="11" t="str">
        <f t="shared" si="163"/>
        <v/>
      </c>
      <c r="G2024" s="10" t="str">
        <v/>
      </c>
      <c r="H2024" s="11" t="str">
        <v/>
      </c>
      <c r="I2024" s="11" t="str">
        <v/>
      </c>
    </row>
    <row r="2025" spans="2:9">
      <c r="B2025" s="11" t="str">
        <f t="shared" si="161"/>
        <v/>
      </c>
      <c r="C2025" s="11" t="str">
        <f t="shared" si="164"/>
        <v/>
      </c>
      <c r="D2025" s="11" t="str">
        <f t="shared" si="165"/>
        <v/>
      </c>
      <c r="E2025" s="11" t="str">
        <f t="shared" si="162"/>
        <v/>
      </c>
      <c r="F2025" s="11" t="str">
        <f t="shared" si="163"/>
        <v/>
      </c>
      <c r="G2025" s="10" t="str">
        <v/>
      </c>
      <c r="H2025" s="11" t="str">
        <v/>
      </c>
      <c r="I2025" s="11" t="str">
        <v/>
      </c>
    </row>
    <row r="2026" spans="2:9">
      <c r="B2026" s="11" t="str">
        <f t="shared" si="161"/>
        <v/>
      </c>
      <c r="C2026" s="11" t="str">
        <f t="shared" si="164"/>
        <v/>
      </c>
      <c r="D2026" s="11" t="str">
        <f t="shared" si="165"/>
        <v/>
      </c>
      <c r="E2026" s="11" t="str">
        <f t="shared" si="162"/>
        <v/>
      </c>
      <c r="F2026" s="11" t="str">
        <f t="shared" si="163"/>
        <v/>
      </c>
      <c r="G2026" s="10" t="str">
        <v/>
      </c>
      <c r="H2026" s="11" t="str">
        <v/>
      </c>
      <c r="I2026" s="11" t="str">
        <v/>
      </c>
    </row>
    <row r="2027" spans="2:9">
      <c r="B2027" s="11" t="str">
        <f t="shared" si="161"/>
        <v/>
      </c>
      <c r="C2027" s="11" t="str">
        <f t="shared" si="164"/>
        <v/>
      </c>
      <c r="D2027" s="11" t="str">
        <f t="shared" si="165"/>
        <v/>
      </c>
      <c r="E2027" s="11" t="str">
        <f t="shared" si="162"/>
        <v/>
      </c>
      <c r="F2027" s="11" t="str">
        <f t="shared" si="163"/>
        <v/>
      </c>
      <c r="G2027" s="10" t="str">
        <v/>
      </c>
      <c r="H2027" s="11" t="str">
        <v/>
      </c>
      <c r="I2027" s="11" t="str">
        <v/>
      </c>
    </row>
    <row r="2028" spans="2:9">
      <c r="B2028" s="11" t="str">
        <f t="shared" si="161"/>
        <v/>
      </c>
      <c r="C2028" s="11" t="str">
        <f t="shared" si="164"/>
        <v/>
      </c>
      <c r="D2028" s="11" t="str">
        <f t="shared" si="165"/>
        <v/>
      </c>
      <c r="E2028" s="11" t="str">
        <f t="shared" si="162"/>
        <v/>
      </c>
      <c r="F2028" s="11" t="str">
        <f t="shared" si="163"/>
        <v/>
      </c>
      <c r="G2028" s="10" t="str">
        <v/>
      </c>
      <c r="H2028" s="11" t="str">
        <v/>
      </c>
      <c r="I2028" s="11" t="str">
        <v/>
      </c>
    </row>
    <row r="2029" spans="2:9">
      <c r="B2029" s="11" t="str">
        <f t="shared" si="161"/>
        <v/>
      </c>
      <c r="C2029" s="11" t="str">
        <f t="shared" si="164"/>
        <v/>
      </c>
      <c r="D2029" s="11" t="str">
        <f t="shared" si="165"/>
        <v/>
      </c>
      <c r="E2029" s="11" t="str">
        <f t="shared" si="162"/>
        <v/>
      </c>
      <c r="F2029" s="11" t="str">
        <f t="shared" si="163"/>
        <v/>
      </c>
      <c r="G2029" s="10" t="str">
        <v/>
      </c>
      <c r="H2029" s="11" t="str">
        <v/>
      </c>
      <c r="I2029" s="11" t="str">
        <v/>
      </c>
    </row>
    <row r="2030" spans="2:9">
      <c r="B2030" s="11" t="str">
        <f t="shared" si="161"/>
        <v/>
      </c>
      <c r="C2030" s="11" t="str">
        <f t="shared" si="164"/>
        <v/>
      </c>
      <c r="D2030" s="11" t="str">
        <f t="shared" si="165"/>
        <v/>
      </c>
      <c r="E2030" s="11" t="str">
        <f t="shared" si="162"/>
        <v/>
      </c>
      <c r="F2030" s="11" t="str">
        <f t="shared" si="163"/>
        <v/>
      </c>
      <c r="G2030" s="10" t="str">
        <v/>
      </c>
      <c r="H2030" s="11" t="str">
        <v/>
      </c>
      <c r="I2030" s="11" t="str">
        <v/>
      </c>
    </row>
    <row r="2031" spans="2:9">
      <c r="B2031" s="11" t="str">
        <f t="shared" si="161"/>
        <v/>
      </c>
      <c r="C2031" s="11" t="str">
        <f t="shared" si="164"/>
        <v/>
      </c>
      <c r="D2031" s="11" t="str">
        <f t="shared" si="165"/>
        <v/>
      </c>
      <c r="E2031" s="11" t="str">
        <f t="shared" si="162"/>
        <v/>
      </c>
      <c r="F2031" s="11" t="str">
        <f t="shared" si="163"/>
        <v/>
      </c>
      <c r="G2031" s="10" t="str">
        <v/>
      </c>
      <c r="H2031" s="11" t="str">
        <v/>
      </c>
      <c r="I2031" s="11" t="str">
        <v/>
      </c>
    </row>
    <row r="2032" spans="2:9">
      <c r="B2032" s="11" t="str">
        <f t="shared" si="161"/>
        <v/>
      </c>
      <c r="C2032" s="11" t="str">
        <f t="shared" si="164"/>
        <v/>
      </c>
      <c r="D2032" s="11" t="str">
        <f t="shared" si="165"/>
        <v/>
      </c>
      <c r="E2032" s="11" t="str">
        <f t="shared" si="162"/>
        <v/>
      </c>
      <c r="F2032" s="11" t="str">
        <f t="shared" si="163"/>
        <v/>
      </c>
      <c r="G2032" s="10" t="str">
        <v/>
      </c>
      <c r="H2032" s="11" t="str">
        <v/>
      </c>
      <c r="I2032" s="11" t="str">
        <v/>
      </c>
    </row>
    <row r="2033" spans="2:9">
      <c r="B2033" s="11" t="str">
        <f t="shared" si="161"/>
        <v/>
      </c>
      <c r="C2033" s="11" t="str">
        <f t="shared" si="164"/>
        <v/>
      </c>
      <c r="D2033" s="11" t="str">
        <f t="shared" si="165"/>
        <v/>
      </c>
      <c r="E2033" s="11" t="str">
        <f t="shared" si="162"/>
        <v/>
      </c>
      <c r="F2033" s="11" t="str">
        <f t="shared" si="163"/>
        <v/>
      </c>
      <c r="G2033" s="10" t="str">
        <v/>
      </c>
      <c r="H2033" s="11" t="str">
        <v/>
      </c>
      <c r="I2033" s="11" t="str">
        <v/>
      </c>
    </row>
    <row r="2034" spans="2:9">
      <c r="B2034" s="11" t="str">
        <f t="shared" si="161"/>
        <v/>
      </c>
      <c r="C2034" s="11" t="str">
        <f t="shared" si="164"/>
        <v/>
      </c>
      <c r="D2034" s="11" t="str">
        <f t="shared" si="165"/>
        <v/>
      </c>
      <c r="E2034" s="11" t="str">
        <f t="shared" si="162"/>
        <v/>
      </c>
      <c r="F2034" s="11" t="str">
        <f t="shared" si="163"/>
        <v/>
      </c>
      <c r="G2034" s="10" t="str">
        <v/>
      </c>
      <c r="H2034" s="11" t="str">
        <v/>
      </c>
      <c r="I2034" s="11" t="str">
        <v/>
      </c>
    </row>
    <row r="2035" spans="2:9">
      <c r="B2035" s="11" t="str">
        <f t="shared" si="161"/>
        <v/>
      </c>
      <c r="C2035" s="11" t="str">
        <f t="shared" si="164"/>
        <v/>
      </c>
      <c r="D2035" s="11" t="str">
        <f t="shared" si="165"/>
        <v/>
      </c>
      <c r="E2035" s="11" t="str">
        <f t="shared" si="162"/>
        <v/>
      </c>
      <c r="F2035" s="11" t="str">
        <f t="shared" si="163"/>
        <v/>
      </c>
      <c r="G2035" s="10" t="str">
        <v/>
      </c>
      <c r="H2035" s="11" t="str">
        <v/>
      </c>
      <c r="I2035" s="11" t="str">
        <v/>
      </c>
    </row>
    <row r="2036" spans="2:9">
      <c r="B2036" s="11" t="str">
        <f t="shared" si="161"/>
        <v/>
      </c>
      <c r="C2036" s="11" t="str">
        <f t="shared" si="164"/>
        <v/>
      </c>
      <c r="D2036" s="11" t="str">
        <f t="shared" si="165"/>
        <v/>
      </c>
      <c r="E2036" s="11" t="str">
        <f t="shared" si="162"/>
        <v/>
      </c>
      <c r="F2036" s="11" t="str">
        <f t="shared" si="163"/>
        <v/>
      </c>
      <c r="G2036" s="10" t="str">
        <v/>
      </c>
      <c r="H2036" s="11" t="str">
        <v/>
      </c>
      <c r="I2036" s="11" t="str">
        <v/>
      </c>
    </row>
    <row r="2037" spans="2:9">
      <c r="B2037" s="11" t="str">
        <f t="shared" si="161"/>
        <v/>
      </c>
      <c r="C2037" s="11" t="str">
        <f t="shared" si="164"/>
        <v/>
      </c>
      <c r="D2037" s="11" t="str">
        <f t="shared" si="165"/>
        <v/>
      </c>
      <c r="E2037" s="11" t="str">
        <f t="shared" si="162"/>
        <v/>
      </c>
      <c r="F2037" s="11" t="str">
        <f t="shared" si="163"/>
        <v/>
      </c>
      <c r="G2037" s="10" t="str">
        <v/>
      </c>
      <c r="H2037" s="11" t="str">
        <v/>
      </c>
      <c r="I2037" s="11" t="str">
        <v/>
      </c>
    </row>
    <row r="2038" spans="2:9">
      <c r="B2038" s="11" t="str">
        <f t="shared" si="161"/>
        <v/>
      </c>
      <c r="C2038" s="11" t="str">
        <f t="shared" si="164"/>
        <v/>
      </c>
      <c r="D2038" s="11" t="str">
        <f t="shared" si="165"/>
        <v/>
      </c>
      <c r="E2038" s="11" t="str">
        <f t="shared" si="162"/>
        <v/>
      </c>
      <c r="F2038" s="11" t="str">
        <f t="shared" si="163"/>
        <v/>
      </c>
      <c r="G2038" s="10" t="str">
        <v/>
      </c>
      <c r="H2038" s="11" t="str">
        <v/>
      </c>
      <c r="I2038" s="11" t="str">
        <v/>
      </c>
    </row>
    <row r="2039" spans="2:9">
      <c r="B2039" s="11" t="str">
        <f t="shared" si="161"/>
        <v/>
      </c>
      <c r="C2039" s="11" t="str">
        <f t="shared" si="164"/>
        <v/>
      </c>
      <c r="D2039" s="11" t="str">
        <f t="shared" si="165"/>
        <v/>
      </c>
      <c r="E2039" s="11" t="str">
        <f t="shared" si="162"/>
        <v/>
      </c>
      <c r="F2039" s="11" t="str">
        <f t="shared" si="163"/>
        <v/>
      </c>
      <c r="G2039" s="10" t="str">
        <v/>
      </c>
      <c r="H2039" s="11" t="str">
        <v/>
      </c>
      <c r="I2039" s="11" t="str">
        <v/>
      </c>
    </row>
    <row r="2040" spans="2:9">
      <c r="B2040" s="11" t="str">
        <f t="shared" si="161"/>
        <v/>
      </c>
      <c r="C2040" s="11" t="str">
        <f t="shared" si="164"/>
        <v/>
      </c>
      <c r="D2040" s="11" t="str">
        <f t="shared" si="165"/>
        <v/>
      </c>
      <c r="E2040" s="11" t="str">
        <f t="shared" si="162"/>
        <v/>
      </c>
      <c r="F2040" s="11" t="str">
        <f t="shared" si="163"/>
        <v/>
      </c>
      <c r="G2040" s="10" t="str">
        <v/>
      </c>
      <c r="H2040" s="11" t="str">
        <v/>
      </c>
      <c r="I2040" s="11" t="str">
        <v/>
      </c>
    </row>
    <row r="2041" spans="2:9">
      <c r="B2041" s="11" t="str">
        <f t="shared" si="161"/>
        <v/>
      </c>
      <c r="C2041" s="11" t="str">
        <f t="shared" si="164"/>
        <v/>
      </c>
      <c r="D2041" s="11" t="str">
        <f t="shared" si="165"/>
        <v/>
      </c>
      <c r="E2041" s="11" t="str">
        <f t="shared" si="162"/>
        <v/>
      </c>
      <c r="F2041" s="11" t="str">
        <f t="shared" si="163"/>
        <v/>
      </c>
      <c r="G2041" s="10" t="str">
        <v/>
      </c>
      <c r="H2041" s="11" t="str">
        <v/>
      </c>
      <c r="I2041" s="11" t="str">
        <v/>
      </c>
    </row>
    <row r="2042" spans="2:9">
      <c r="B2042" s="11" t="str">
        <f t="shared" si="161"/>
        <v/>
      </c>
      <c r="C2042" s="11" t="str">
        <f t="shared" si="164"/>
        <v/>
      </c>
      <c r="D2042" s="11" t="str">
        <f t="shared" si="165"/>
        <v/>
      </c>
      <c r="E2042" s="11" t="str">
        <f t="shared" si="162"/>
        <v/>
      </c>
      <c r="F2042" s="11" t="str">
        <f t="shared" si="163"/>
        <v/>
      </c>
      <c r="G2042" s="10" t="str">
        <v/>
      </c>
      <c r="H2042" s="11" t="str">
        <v/>
      </c>
      <c r="I2042" s="11" t="str">
        <v/>
      </c>
    </row>
    <row r="2043" spans="2:9">
      <c r="B2043" s="11" t="str">
        <f t="shared" si="161"/>
        <v/>
      </c>
      <c r="C2043" s="11" t="str">
        <f t="shared" si="164"/>
        <v/>
      </c>
      <c r="D2043" s="11" t="str">
        <f t="shared" si="165"/>
        <v/>
      </c>
      <c r="E2043" s="11" t="str">
        <f t="shared" si="162"/>
        <v/>
      </c>
      <c r="F2043" s="11" t="str">
        <f t="shared" si="163"/>
        <v/>
      </c>
      <c r="G2043" s="10" t="str">
        <v/>
      </c>
      <c r="H2043" s="11" t="str">
        <v/>
      </c>
      <c r="I2043" s="11" t="str">
        <v/>
      </c>
    </row>
    <row r="2044" spans="2:9">
      <c r="B2044" s="11" t="str">
        <f t="shared" si="161"/>
        <v/>
      </c>
      <c r="C2044" s="11" t="str">
        <f t="shared" si="164"/>
        <v/>
      </c>
      <c r="D2044" s="11" t="str">
        <f t="shared" si="165"/>
        <v/>
      </c>
      <c r="E2044" s="11" t="str">
        <f t="shared" si="162"/>
        <v/>
      </c>
      <c r="F2044" s="11" t="str">
        <f t="shared" si="163"/>
        <v/>
      </c>
      <c r="G2044" s="10" t="str">
        <v/>
      </c>
      <c r="H2044" s="11" t="str">
        <v/>
      </c>
      <c r="I2044" s="11" t="str">
        <v/>
      </c>
    </row>
    <row r="2045" spans="2:9">
      <c r="B2045" s="11" t="str">
        <f t="shared" si="161"/>
        <v/>
      </c>
      <c r="C2045" s="11" t="str">
        <f t="shared" si="164"/>
        <v/>
      </c>
      <c r="D2045" s="11" t="str">
        <f t="shared" si="165"/>
        <v/>
      </c>
      <c r="E2045" s="11" t="str">
        <f t="shared" si="162"/>
        <v/>
      </c>
      <c r="F2045" s="11" t="str">
        <f t="shared" si="163"/>
        <v/>
      </c>
      <c r="G2045" s="10" t="str">
        <v/>
      </c>
      <c r="H2045" s="11" t="str">
        <v/>
      </c>
      <c r="I2045" s="11" t="str">
        <v/>
      </c>
    </row>
    <row r="2046" spans="2:9">
      <c r="B2046" s="11" t="str">
        <f t="shared" si="161"/>
        <v/>
      </c>
      <c r="C2046" s="11" t="str">
        <f t="shared" si="164"/>
        <v/>
      </c>
      <c r="D2046" s="11" t="str">
        <f t="shared" si="165"/>
        <v/>
      </c>
      <c r="E2046" s="11" t="str">
        <f t="shared" si="162"/>
        <v/>
      </c>
      <c r="F2046" s="11" t="str">
        <f t="shared" si="163"/>
        <v/>
      </c>
      <c r="G2046" s="10" t="str">
        <v/>
      </c>
      <c r="H2046" s="11" t="str">
        <v/>
      </c>
      <c r="I2046" s="11" t="str">
        <v/>
      </c>
    </row>
    <row r="2047" spans="2:9">
      <c r="B2047" s="11" t="str">
        <f t="shared" si="161"/>
        <v/>
      </c>
      <c r="C2047" s="11" t="str">
        <f t="shared" si="164"/>
        <v/>
      </c>
      <c r="D2047" s="11" t="str">
        <f t="shared" si="165"/>
        <v/>
      </c>
      <c r="E2047" s="11" t="str">
        <f t="shared" si="162"/>
        <v/>
      </c>
      <c r="F2047" s="11" t="str">
        <f t="shared" si="163"/>
        <v/>
      </c>
      <c r="G2047" s="10" t="str">
        <v/>
      </c>
      <c r="H2047" s="11" t="str">
        <v/>
      </c>
      <c r="I2047" s="11" t="str">
        <v/>
      </c>
    </row>
    <row r="2048" spans="2:9">
      <c r="B2048" s="11" t="str">
        <f t="shared" si="161"/>
        <v/>
      </c>
      <c r="C2048" s="11" t="str">
        <f t="shared" si="164"/>
        <v/>
      </c>
      <c r="D2048" s="11" t="str">
        <f t="shared" si="165"/>
        <v/>
      </c>
      <c r="E2048" s="11" t="str">
        <f t="shared" si="162"/>
        <v/>
      </c>
      <c r="F2048" s="11" t="str">
        <f t="shared" si="163"/>
        <v/>
      </c>
      <c r="G2048" s="10" t="str">
        <v/>
      </c>
      <c r="H2048" s="11" t="str">
        <v/>
      </c>
      <c r="I2048" s="11" t="str">
        <v/>
      </c>
    </row>
    <row r="2049" spans="2:9">
      <c r="B2049" s="11" t="str">
        <f t="shared" ref="B2049:B2112" si="166">IFERROR(IF(FIND(" ",A2049)=6,IF(IFERROR(FIND(" PB",A2049),"")&lt;&gt;"","артикул",IF(IFERROR(FIND(" CRN",A2049),"")&lt;&gt;"","артикул","")),""),"")</f>
        <v/>
      </c>
      <c r="C2049" s="11" t="str">
        <f t="shared" si="164"/>
        <v/>
      </c>
      <c r="D2049" s="11" t="str">
        <f t="shared" si="165"/>
        <v/>
      </c>
      <c r="E2049" s="11" t="str">
        <f t="shared" si="162"/>
        <v/>
      </c>
      <c r="F2049" s="11" t="str">
        <f t="shared" si="163"/>
        <v/>
      </c>
      <c r="G2049" s="10" t="str">
        <v/>
      </c>
      <c r="H2049" s="11" t="str">
        <v/>
      </c>
      <c r="I2049" s="11" t="str">
        <v/>
      </c>
    </row>
    <row r="2050" spans="2:9">
      <c r="B2050" s="11" t="str">
        <f t="shared" si="166"/>
        <v/>
      </c>
      <c r="C2050" s="11" t="str">
        <f t="shared" si="164"/>
        <v/>
      </c>
      <c r="D2050" s="11" t="str">
        <f t="shared" si="165"/>
        <v/>
      </c>
      <c r="E2050" s="11" t="str">
        <f t="shared" ref="E2050:E2113" si="167" xml:space="preserve">
IF(B2050="Артикул",
IF(
AND(RIGHT(A2051,1)="%",
RIGHT(A2052,1)="%",
RIGHT(A2053,1)="%",
RIGHT(A2054,1)="%"),MID(A2055,FIND(" ",A2055),50),
IF(
AND(RIGHT(A2051,1)="%",
RIGHT(A2052,1)="%",
RIGHT(A2053,1)="%"),MID(A2054,FIND(" ",A2054),50),
IF(
AND(RIGHT(A2051,1)="%",
RIGHT(A2052,1)="%"),
MID(A2053,FIND(" ",A2053),50),
IF(
RIGHT(A2051,1)="%",
MID(A2052,FIND(" ",A2052),50),"")))),"")</f>
        <v/>
      </c>
      <c r="F2050" s="11" t="str">
        <f t="shared" ref="F2050:F2113" si="168">IFERROR(
IF(
AND(LEFT(A2050,8)="Discount",FIND("%",A2050)&gt;0),
MID(A2050,
FIND(" ",A2050),
FIND("%",A2050)-FIND(" ",A2050))
*-1,""),"")</f>
        <v/>
      </c>
      <c r="G2050" s="10" t="str">
        <v/>
      </c>
      <c r="H2050" s="11" t="str">
        <v/>
      </c>
      <c r="I2050" s="11" t="str">
        <v/>
      </c>
    </row>
    <row r="2051" spans="2:9">
      <c r="B2051" s="11" t="str">
        <f t="shared" si="166"/>
        <v/>
      </c>
      <c r="C2051" s="11" t="str">
        <f t="shared" si="164"/>
        <v/>
      </c>
      <c r="D2051" s="11" t="str">
        <f t="shared" si="165"/>
        <v/>
      </c>
      <c r="E2051" s="11" t="str">
        <f t="shared" si="167"/>
        <v/>
      </c>
      <c r="F2051" s="11" t="str">
        <f t="shared" si="168"/>
        <v/>
      </c>
      <c r="G2051" s="10" t="str">
        <v/>
      </c>
      <c r="H2051" s="11" t="str">
        <v/>
      </c>
      <c r="I2051" s="11" t="str">
        <v/>
      </c>
    </row>
    <row r="2052" spans="2:9">
      <c r="B2052" s="11" t="str">
        <f t="shared" si="166"/>
        <v/>
      </c>
      <c r="C2052" s="11" t="str">
        <f t="shared" si="164"/>
        <v/>
      </c>
      <c r="D2052" s="11" t="str">
        <f t="shared" si="165"/>
        <v/>
      </c>
      <c r="E2052" s="11" t="str">
        <f t="shared" si="167"/>
        <v/>
      </c>
      <c r="F2052" s="11" t="str">
        <f t="shared" si="168"/>
        <v/>
      </c>
      <c r="G2052" s="10" t="str">
        <v/>
      </c>
      <c r="H2052" s="11" t="str">
        <v/>
      </c>
      <c r="I2052" s="11" t="str">
        <v/>
      </c>
    </row>
    <row r="2053" spans="2:9">
      <c r="B2053" s="11" t="str">
        <f t="shared" si="166"/>
        <v/>
      </c>
      <c r="C2053" s="11" t="str">
        <f t="shared" si="164"/>
        <v/>
      </c>
      <c r="D2053" s="11" t="str">
        <f t="shared" si="165"/>
        <v/>
      </c>
      <c r="E2053" s="11" t="str">
        <f t="shared" si="167"/>
        <v/>
      </c>
      <c r="F2053" s="11" t="str">
        <f t="shared" si="168"/>
        <v/>
      </c>
      <c r="G2053" s="10" t="str">
        <v/>
      </c>
      <c r="H2053" s="11" t="str">
        <v/>
      </c>
      <c r="I2053" s="11" t="str">
        <v/>
      </c>
    </row>
    <row r="2054" spans="2:9">
      <c r="B2054" s="11" t="str">
        <f t="shared" si="166"/>
        <v/>
      </c>
      <c r="C2054" s="11" t="str">
        <f t="shared" si="164"/>
        <v/>
      </c>
      <c r="D2054" s="11" t="str">
        <f t="shared" si="165"/>
        <v/>
      </c>
      <c r="E2054" s="11" t="str">
        <f t="shared" si="167"/>
        <v/>
      </c>
      <c r="F2054" s="11" t="str">
        <f t="shared" si="168"/>
        <v/>
      </c>
      <c r="G2054" s="10" t="str">
        <v/>
      </c>
      <c r="H2054" s="11" t="str">
        <v/>
      </c>
      <c r="I2054" s="11" t="str">
        <v/>
      </c>
    </row>
    <row r="2055" spans="2:9">
      <c r="B2055" s="11" t="str">
        <f t="shared" si="166"/>
        <v/>
      </c>
      <c r="C2055" s="11" t="str">
        <f t="shared" si="164"/>
        <v/>
      </c>
      <c r="D2055" s="11" t="str">
        <f t="shared" si="165"/>
        <v/>
      </c>
      <c r="E2055" s="11" t="str">
        <f t="shared" si="167"/>
        <v/>
      </c>
      <c r="F2055" s="11" t="str">
        <f t="shared" si="168"/>
        <v/>
      </c>
      <c r="G2055" s="10" t="str">
        <v/>
      </c>
      <c r="H2055" s="11" t="str">
        <v/>
      </c>
      <c r="I2055" s="11" t="str">
        <v/>
      </c>
    </row>
    <row r="2056" spans="2:9">
      <c r="B2056" s="11" t="str">
        <f t="shared" si="166"/>
        <v/>
      </c>
      <c r="C2056" s="11" t="str">
        <f t="shared" si="164"/>
        <v/>
      </c>
      <c r="D2056" s="11" t="str">
        <f t="shared" si="165"/>
        <v/>
      </c>
      <c r="E2056" s="11" t="str">
        <f t="shared" si="167"/>
        <v/>
      </c>
      <c r="F2056" s="11" t="str">
        <f t="shared" si="168"/>
        <v/>
      </c>
      <c r="G2056" s="10" t="str">
        <v/>
      </c>
      <c r="H2056" s="11" t="str">
        <v/>
      </c>
      <c r="I2056" s="11" t="str">
        <v/>
      </c>
    </row>
    <row r="2057" spans="2:9">
      <c r="B2057" s="11" t="str">
        <f t="shared" si="166"/>
        <v/>
      </c>
      <c r="C2057" s="11" t="str">
        <f t="shared" si="164"/>
        <v/>
      </c>
      <c r="D2057" s="11" t="str">
        <f t="shared" si="165"/>
        <v/>
      </c>
      <c r="E2057" s="11" t="str">
        <f t="shared" si="167"/>
        <v/>
      </c>
      <c r="F2057" s="11" t="str">
        <f t="shared" si="168"/>
        <v/>
      </c>
      <c r="G2057" s="10" t="str">
        <v/>
      </c>
      <c r="H2057" s="11" t="str">
        <v/>
      </c>
      <c r="I2057" s="11" t="str">
        <v/>
      </c>
    </row>
    <row r="2058" spans="2:9">
      <c r="B2058" s="11" t="str">
        <f t="shared" si="166"/>
        <v/>
      </c>
      <c r="C2058" s="11" t="str">
        <f t="shared" si="164"/>
        <v/>
      </c>
      <c r="D2058" s="11" t="str">
        <f t="shared" si="165"/>
        <v/>
      </c>
      <c r="E2058" s="11" t="str">
        <f t="shared" si="167"/>
        <v/>
      </c>
      <c r="F2058" s="11" t="str">
        <f t="shared" si="168"/>
        <v/>
      </c>
      <c r="G2058" s="10" t="str">
        <v/>
      </c>
      <c r="H2058" s="11" t="str">
        <v/>
      </c>
      <c r="I2058" s="11" t="str">
        <v/>
      </c>
    </row>
    <row r="2059" spans="2:9">
      <c r="B2059" s="11" t="str">
        <f t="shared" si="166"/>
        <v/>
      </c>
      <c r="C2059" s="11" t="str">
        <f t="shared" si="164"/>
        <v/>
      </c>
      <c r="D2059" s="11" t="str">
        <f t="shared" si="165"/>
        <v/>
      </c>
      <c r="E2059" s="11" t="str">
        <f t="shared" si="167"/>
        <v/>
      </c>
      <c r="F2059" s="11" t="str">
        <f t="shared" si="168"/>
        <v/>
      </c>
      <c r="G2059" s="10" t="str">
        <v/>
      </c>
      <c r="H2059" s="11" t="str">
        <v/>
      </c>
      <c r="I2059" s="11" t="str">
        <v/>
      </c>
    </row>
    <row r="2060" spans="2:9">
      <c r="B2060" s="11" t="str">
        <f t="shared" si="166"/>
        <v/>
      </c>
      <c r="C2060" s="11" t="str">
        <f t="shared" si="164"/>
        <v/>
      </c>
      <c r="D2060" s="11" t="str">
        <f t="shared" si="165"/>
        <v/>
      </c>
      <c r="E2060" s="11" t="str">
        <f t="shared" si="167"/>
        <v/>
      </c>
      <c r="F2060" s="11" t="str">
        <f t="shared" si="168"/>
        <v/>
      </c>
      <c r="G2060" s="10" t="str">
        <v/>
      </c>
      <c r="H2060" s="11" t="str">
        <v/>
      </c>
      <c r="I2060" s="11" t="str">
        <v/>
      </c>
    </row>
    <row r="2061" spans="2:9">
      <c r="B2061" s="11" t="str">
        <f t="shared" si="166"/>
        <v/>
      </c>
      <c r="C2061" s="11" t="str">
        <f t="shared" ref="C2061:C2124" si="169">IF(B2061="артикул",A2061,"")</f>
        <v/>
      </c>
      <c r="D2061" s="11" t="str">
        <f t="shared" ref="D2061:D2124" si="170">IF(B2061="артикул",A2062,"")</f>
        <v/>
      </c>
      <c r="E2061" s="11" t="str">
        <f t="shared" si="167"/>
        <v/>
      </c>
      <c r="F2061" s="11" t="str">
        <f t="shared" si="168"/>
        <v/>
      </c>
      <c r="G2061" s="10" t="str">
        <v/>
      </c>
      <c r="H2061" s="11" t="str">
        <v/>
      </c>
      <c r="I2061" s="11" t="str">
        <v/>
      </c>
    </row>
    <row r="2062" spans="2:9">
      <c r="B2062" s="11" t="str">
        <f t="shared" si="166"/>
        <v/>
      </c>
      <c r="C2062" s="11" t="str">
        <f t="shared" si="169"/>
        <v/>
      </c>
      <c r="D2062" s="11" t="str">
        <f t="shared" si="170"/>
        <v/>
      </c>
      <c r="E2062" s="11" t="str">
        <f t="shared" si="167"/>
        <v/>
      </c>
      <c r="F2062" s="11" t="str">
        <f t="shared" si="168"/>
        <v/>
      </c>
      <c r="G2062" s="10" t="str">
        <v/>
      </c>
      <c r="H2062" s="11" t="str">
        <v/>
      </c>
      <c r="I2062" s="11" t="str">
        <v/>
      </c>
    </row>
    <row r="2063" spans="2:9">
      <c r="B2063" s="11" t="str">
        <f t="shared" si="166"/>
        <v/>
      </c>
      <c r="C2063" s="11" t="str">
        <f t="shared" si="169"/>
        <v/>
      </c>
      <c r="D2063" s="11" t="str">
        <f t="shared" si="170"/>
        <v/>
      </c>
      <c r="E2063" s="11" t="str">
        <f t="shared" si="167"/>
        <v/>
      </c>
      <c r="F2063" s="11" t="str">
        <f t="shared" si="168"/>
        <v/>
      </c>
      <c r="G2063" s="10" t="str">
        <v/>
      </c>
      <c r="H2063" s="11" t="str">
        <v/>
      </c>
      <c r="I2063" s="11" t="str">
        <v/>
      </c>
    </row>
    <row r="2064" spans="2:9">
      <c r="B2064" s="11" t="str">
        <f t="shared" si="166"/>
        <v/>
      </c>
      <c r="C2064" s="11" t="str">
        <f t="shared" si="169"/>
        <v/>
      </c>
      <c r="D2064" s="11" t="str">
        <f t="shared" si="170"/>
        <v/>
      </c>
      <c r="E2064" s="11" t="str">
        <f t="shared" si="167"/>
        <v/>
      </c>
      <c r="F2064" s="11" t="str">
        <f t="shared" si="168"/>
        <v/>
      </c>
      <c r="G2064" s="10" t="str">
        <v/>
      </c>
      <c r="H2064" s="11" t="str">
        <v/>
      </c>
      <c r="I2064" s="11" t="str">
        <v/>
      </c>
    </row>
    <row r="2065" spans="2:9">
      <c r="B2065" s="11" t="str">
        <f t="shared" si="166"/>
        <v/>
      </c>
      <c r="C2065" s="11" t="str">
        <f t="shared" si="169"/>
        <v/>
      </c>
      <c r="D2065" s="11" t="str">
        <f t="shared" si="170"/>
        <v/>
      </c>
      <c r="E2065" s="11" t="str">
        <f t="shared" si="167"/>
        <v/>
      </c>
      <c r="F2065" s="11" t="str">
        <f t="shared" si="168"/>
        <v/>
      </c>
      <c r="G2065" s="10" t="str">
        <v/>
      </c>
      <c r="H2065" s="11" t="str">
        <v/>
      </c>
      <c r="I2065" s="11" t="str">
        <v/>
      </c>
    </row>
    <row r="2066" spans="2:9">
      <c r="B2066" s="11" t="str">
        <f t="shared" si="166"/>
        <v/>
      </c>
      <c r="C2066" s="11" t="str">
        <f t="shared" si="169"/>
        <v/>
      </c>
      <c r="D2066" s="11" t="str">
        <f t="shared" si="170"/>
        <v/>
      </c>
      <c r="E2066" s="11" t="str">
        <f t="shared" si="167"/>
        <v/>
      </c>
      <c r="F2066" s="11" t="str">
        <f t="shared" si="168"/>
        <v/>
      </c>
      <c r="G2066" s="10" t="str">
        <v/>
      </c>
      <c r="H2066" s="11" t="str">
        <v/>
      </c>
      <c r="I2066" s="11" t="str">
        <v/>
      </c>
    </row>
    <row r="2067" spans="2:9">
      <c r="B2067" s="11" t="str">
        <f t="shared" si="166"/>
        <v/>
      </c>
      <c r="C2067" s="11" t="str">
        <f t="shared" si="169"/>
        <v/>
      </c>
      <c r="D2067" s="11" t="str">
        <f t="shared" si="170"/>
        <v/>
      </c>
      <c r="E2067" s="11" t="str">
        <f t="shared" si="167"/>
        <v/>
      </c>
      <c r="F2067" s="11" t="str">
        <f t="shared" si="168"/>
        <v/>
      </c>
      <c r="G2067" s="10" t="str">
        <v/>
      </c>
      <c r="H2067" s="11" t="str">
        <v/>
      </c>
      <c r="I2067" s="11" t="str">
        <v/>
      </c>
    </row>
    <row r="2068" spans="2:9">
      <c r="B2068" s="11" t="str">
        <f t="shared" si="166"/>
        <v/>
      </c>
      <c r="C2068" s="11" t="str">
        <f t="shared" si="169"/>
        <v/>
      </c>
      <c r="D2068" s="11" t="str">
        <f t="shared" si="170"/>
        <v/>
      </c>
      <c r="E2068" s="11" t="str">
        <f t="shared" si="167"/>
        <v/>
      </c>
      <c r="F2068" s="11" t="str">
        <f t="shared" si="168"/>
        <v/>
      </c>
      <c r="G2068" s="10" t="str">
        <v/>
      </c>
      <c r="H2068" s="11" t="str">
        <v/>
      </c>
      <c r="I2068" s="11" t="str">
        <v/>
      </c>
    </row>
    <row r="2069" spans="2:9">
      <c r="B2069" s="11" t="str">
        <f t="shared" si="166"/>
        <v/>
      </c>
      <c r="C2069" s="11" t="str">
        <f t="shared" si="169"/>
        <v/>
      </c>
      <c r="D2069" s="11" t="str">
        <f t="shared" si="170"/>
        <v/>
      </c>
      <c r="E2069" s="11" t="str">
        <f t="shared" si="167"/>
        <v/>
      </c>
      <c r="F2069" s="11" t="str">
        <f t="shared" si="168"/>
        <v/>
      </c>
      <c r="G2069" s="10" t="str">
        <v/>
      </c>
      <c r="H2069" s="11" t="str">
        <v/>
      </c>
      <c r="I2069" s="11" t="str">
        <v/>
      </c>
    </row>
    <row r="2070" spans="2:9">
      <c r="B2070" s="11" t="str">
        <f t="shared" si="166"/>
        <v/>
      </c>
      <c r="C2070" s="11" t="str">
        <f t="shared" si="169"/>
        <v/>
      </c>
      <c r="D2070" s="11" t="str">
        <f t="shared" si="170"/>
        <v/>
      </c>
      <c r="E2070" s="11" t="str">
        <f t="shared" si="167"/>
        <v/>
      </c>
      <c r="F2070" s="11" t="str">
        <f t="shared" si="168"/>
        <v/>
      </c>
      <c r="G2070" s="10" t="str">
        <v/>
      </c>
      <c r="H2070" s="11" t="str">
        <v/>
      </c>
      <c r="I2070" s="11" t="str">
        <v/>
      </c>
    </row>
    <row r="2071" spans="2:9">
      <c r="B2071" s="11" t="str">
        <f t="shared" si="166"/>
        <v/>
      </c>
      <c r="C2071" s="11" t="str">
        <f t="shared" si="169"/>
        <v/>
      </c>
      <c r="D2071" s="11" t="str">
        <f t="shared" si="170"/>
        <v/>
      </c>
      <c r="E2071" s="11" t="str">
        <f t="shared" si="167"/>
        <v/>
      </c>
      <c r="F2071" s="11" t="str">
        <f t="shared" si="168"/>
        <v/>
      </c>
      <c r="G2071" s="10" t="str">
        <v/>
      </c>
      <c r="H2071" s="11" t="str">
        <v/>
      </c>
      <c r="I2071" s="11" t="str">
        <v/>
      </c>
    </row>
    <row r="2072" spans="2:9">
      <c r="B2072" s="11" t="str">
        <f t="shared" si="166"/>
        <v/>
      </c>
      <c r="C2072" s="11" t="str">
        <f t="shared" si="169"/>
        <v/>
      </c>
      <c r="D2072" s="11" t="str">
        <f t="shared" si="170"/>
        <v/>
      </c>
      <c r="E2072" s="11" t="str">
        <f t="shared" si="167"/>
        <v/>
      </c>
      <c r="F2072" s="11" t="str">
        <f t="shared" si="168"/>
        <v/>
      </c>
      <c r="G2072" s="10" t="str">
        <v/>
      </c>
      <c r="H2072" s="11" t="str">
        <v/>
      </c>
      <c r="I2072" s="11" t="str">
        <v/>
      </c>
    </row>
    <row r="2073" spans="2:9">
      <c r="B2073" s="11" t="str">
        <f t="shared" si="166"/>
        <v/>
      </c>
      <c r="C2073" s="11" t="str">
        <f t="shared" si="169"/>
        <v/>
      </c>
      <c r="D2073" s="11" t="str">
        <f t="shared" si="170"/>
        <v/>
      </c>
      <c r="E2073" s="11" t="str">
        <f t="shared" si="167"/>
        <v/>
      </c>
      <c r="F2073" s="11" t="str">
        <f t="shared" si="168"/>
        <v/>
      </c>
      <c r="G2073" s="10" t="str">
        <v/>
      </c>
      <c r="H2073" s="11" t="str">
        <v/>
      </c>
      <c r="I2073" s="11" t="str">
        <v/>
      </c>
    </row>
    <row r="2074" spans="2:9">
      <c r="B2074" s="11" t="str">
        <f t="shared" si="166"/>
        <v/>
      </c>
      <c r="C2074" s="11" t="str">
        <f t="shared" si="169"/>
        <v/>
      </c>
      <c r="D2074" s="11" t="str">
        <f t="shared" si="170"/>
        <v/>
      </c>
      <c r="E2074" s="11" t="str">
        <f t="shared" si="167"/>
        <v/>
      </c>
      <c r="F2074" s="11" t="str">
        <f t="shared" si="168"/>
        <v/>
      </c>
      <c r="G2074" s="10" t="str">
        <v/>
      </c>
      <c r="H2074" s="11" t="str">
        <v/>
      </c>
      <c r="I2074" s="11" t="str">
        <v/>
      </c>
    </row>
    <row r="2075" spans="2:9">
      <c r="B2075" s="11" t="str">
        <f t="shared" si="166"/>
        <v/>
      </c>
      <c r="C2075" s="11" t="str">
        <f t="shared" si="169"/>
        <v/>
      </c>
      <c r="D2075" s="11" t="str">
        <f t="shared" si="170"/>
        <v/>
      </c>
      <c r="E2075" s="11" t="str">
        <f t="shared" si="167"/>
        <v/>
      </c>
      <c r="F2075" s="11" t="str">
        <f t="shared" si="168"/>
        <v/>
      </c>
      <c r="G2075" s="10" t="str">
        <v/>
      </c>
      <c r="H2075" s="11" t="str">
        <v/>
      </c>
      <c r="I2075" s="11" t="str">
        <v/>
      </c>
    </row>
    <row r="2076" spans="2:9">
      <c r="B2076" s="11" t="str">
        <f t="shared" si="166"/>
        <v/>
      </c>
      <c r="C2076" s="11" t="str">
        <f t="shared" si="169"/>
        <v/>
      </c>
      <c r="D2076" s="11" t="str">
        <f t="shared" si="170"/>
        <v/>
      </c>
      <c r="E2076" s="11" t="str">
        <f t="shared" si="167"/>
        <v/>
      </c>
      <c r="F2076" s="11" t="str">
        <f t="shared" si="168"/>
        <v/>
      </c>
      <c r="G2076" s="10" t="str">
        <v/>
      </c>
      <c r="H2076" s="11" t="str">
        <v/>
      </c>
      <c r="I2076" s="11" t="str">
        <v/>
      </c>
    </row>
    <row r="2077" spans="2:9">
      <c r="B2077" s="11" t="str">
        <f t="shared" si="166"/>
        <v/>
      </c>
      <c r="C2077" s="11" t="str">
        <f t="shared" si="169"/>
        <v/>
      </c>
      <c r="D2077" s="11" t="str">
        <f t="shared" si="170"/>
        <v/>
      </c>
      <c r="E2077" s="11" t="str">
        <f t="shared" si="167"/>
        <v/>
      </c>
      <c r="F2077" s="11" t="str">
        <f t="shared" si="168"/>
        <v/>
      </c>
      <c r="G2077" s="10" t="str">
        <v/>
      </c>
      <c r="H2077" s="11" t="str">
        <v/>
      </c>
      <c r="I2077" s="11" t="str">
        <v/>
      </c>
    </row>
    <row r="2078" spans="2:9">
      <c r="B2078" s="11" t="str">
        <f t="shared" si="166"/>
        <v/>
      </c>
      <c r="C2078" s="11" t="str">
        <f t="shared" si="169"/>
        <v/>
      </c>
      <c r="D2078" s="11" t="str">
        <f t="shared" si="170"/>
        <v/>
      </c>
      <c r="E2078" s="11" t="str">
        <f t="shared" si="167"/>
        <v/>
      </c>
      <c r="F2078" s="11" t="str">
        <f t="shared" si="168"/>
        <v/>
      </c>
      <c r="G2078" s="10" t="str">
        <v/>
      </c>
      <c r="H2078" s="11" t="str">
        <v/>
      </c>
      <c r="I2078" s="11" t="str">
        <v/>
      </c>
    </row>
    <row r="2079" spans="2:9">
      <c r="B2079" s="11" t="str">
        <f t="shared" si="166"/>
        <v/>
      </c>
      <c r="C2079" s="11" t="str">
        <f t="shared" si="169"/>
        <v/>
      </c>
      <c r="D2079" s="11" t="str">
        <f t="shared" si="170"/>
        <v/>
      </c>
      <c r="E2079" s="11" t="str">
        <f t="shared" si="167"/>
        <v/>
      </c>
      <c r="F2079" s="11" t="str">
        <f t="shared" si="168"/>
        <v/>
      </c>
      <c r="G2079" s="10" t="str">
        <v/>
      </c>
      <c r="H2079" s="11" t="str">
        <v/>
      </c>
      <c r="I2079" s="11" t="str">
        <v/>
      </c>
    </row>
    <row r="2080" spans="2:9">
      <c r="B2080" s="11" t="str">
        <f t="shared" si="166"/>
        <v/>
      </c>
      <c r="C2080" s="11" t="str">
        <f t="shared" si="169"/>
        <v/>
      </c>
      <c r="D2080" s="11" t="str">
        <f t="shared" si="170"/>
        <v/>
      </c>
      <c r="E2080" s="11" t="str">
        <f t="shared" si="167"/>
        <v/>
      </c>
      <c r="F2080" s="11" t="str">
        <f t="shared" si="168"/>
        <v/>
      </c>
      <c r="G2080" s="10" t="str">
        <v/>
      </c>
      <c r="H2080" s="11" t="str">
        <v/>
      </c>
      <c r="I2080" s="11" t="str">
        <v/>
      </c>
    </row>
    <row r="2081" spans="2:9">
      <c r="B2081" s="11" t="str">
        <f t="shared" si="166"/>
        <v/>
      </c>
      <c r="C2081" s="11" t="str">
        <f t="shared" si="169"/>
        <v/>
      </c>
      <c r="D2081" s="11" t="str">
        <f t="shared" si="170"/>
        <v/>
      </c>
      <c r="E2081" s="11" t="str">
        <f t="shared" si="167"/>
        <v/>
      </c>
      <c r="F2081" s="11" t="str">
        <f t="shared" si="168"/>
        <v/>
      </c>
      <c r="G2081" s="10" t="str">
        <v/>
      </c>
      <c r="H2081" s="11" t="str">
        <v/>
      </c>
      <c r="I2081" s="11" t="str">
        <v/>
      </c>
    </row>
    <row r="2082" spans="2:9">
      <c r="B2082" s="11" t="str">
        <f t="shared" si="166"/>
        <v/>
      </c>
      <c r="C2082" s="11" t="str">
        <f t="shared" si="169"/>
        <v/>
      </c>
      <c r="D2082" s="11" t="str">
        <f t="shared" si="170"/>
        <v/>
      </c>
      <c r="E2082" s="11" t="str">
        <f t="shared" si="167"/>
        <v/>
      </c>
      <c r="F2082" s="11" t="str">
        <f t="shared" si="168"/>
        <v/>
      </c>
      <c r="G2082" s="10" t="str">
        <v/>
      </c>
      <c r="H2082" s="11" t="str">
        <v/>
      </c>
      <c r="I2082" s="11" t="str">
        <v/>
      </c>
    </row>
    <row r="2083" spans="2:9">
      <c r="B2083" s="11" t="str">
        <f t="shared" si="166"/>
        <v/>
      </c>
      <c r="C2083" s="11" t="str">
        <f t="shared" si="169"/>
        <v/>
      </c>
      <c r="D2083" s="11" t="str">
        <f t="shared" si="170"/>
        <v/>
      </c>
      <c r="E2083" s="11" t="str">
        <f t="shared" si="167"/>
        <v/>
      </c>
      <c r="F2083" s="11" t="str">
        <f t="shared" si="168"/>
        <v/>
      </c>
      <c r="G2083" s="10" t="str">
        <v/>
      </c>
      <c r="H2083" s="11" t="str">
        <v/>
      </c>
      <c r="I2083" s="11" t="str">
        <v/>
      </c>
    </row>
    <row r="2084" spans="2:9">
      <c r="B2084" s="11" t="str">
        <f t="shared" si="166"/>
        <v/>
      </c>
      <c r="C2084" s="11" t="str">
        <f t="shared" si="169"/>
        <v/>
      </c>
      <c r="D2084" s="11" t="str">
        <f t="shared" si="170"/>
        <v/>
      </c>
      <c r="E2084" s="11" t="str">
        <f t="shared" si="167"/>
        <v/>
      </c>
      <c r="F2084" s="11" t="str">
        <f t="shared" si="168"/>
        <v/>
      </c>
      <c r="G2084" s="10" t="str">
        <v/>
      </c>
      <c r="H2084" s="11" t="str">
        <v/>
      </c>
      <c r="I2084" s="11" t="str">
        <v/>
      </c>
    </row>
    <row r="2085" spans="2:9">
      <c r="B2085" s="11" t="str">
        <f t="shared" si="166"/>
        <v/>
      </c>
      <c r="C2085" s="11" t="str">
        <f t="shared" si="169"/>
        <v/>
      </c>
      <c r="D2085" s="11" t="str">
        <f t="shared" si="170"/>
        <v/>
      </c>
      <c r="E2085" s="11" t="str">
        <f t="shared" si="167"/>
        <v/>
      </c>
      <c r="F2085" s="11" t="str">
        <f t="shared" si="168"/>
        <v/>
      </c>
      <c r="G2085" s="10" t="str">
        <v/>
      </c>
      <c r="H2085" s="11" t="str">
        <v/>
      </c>
      <c r="I2085" s="11" t="str">
        <v/>
      </c>
    </row>
    <row r="2086" spans="2:9">
      <c r="B2086" s="11" t="str">
        <f t="shared" si="166"/>
        <v/>
      </c>
      <c r="C2086" s="11" t="str">
        <f t="shared" si="169"/>
        <v/>
      </c>
      <c r="D2086" s="11" t="str">
        <f t="shared" si="170"/>
        <v/>
      </c>
      <c r="E2086" s="11" t="str">
        <f t="shared" si="167"/>
        <v/>
      </c>
      <c r="F2086" s="11" t="str">
        <f t="shared" si="168"/>
        <v/>
      </c>
      <c r="G2086" s="10" t="str">
        <v/>
      </c>
      <c r="H2086" s="11" t="str">
        <v/>
      </c>
      <c r="I2086" s="11" t="str">
        <v/>
      </c>
    </row>
    <row r="2087" spans="2:9">
      <c r="B2087" s="11" t="str">
        <f t="shared" si="166"/>
        <v/>
      </c>
      <c r="C2087" s="11" t="str">
        <f t="shared" si="169"/>
        <v/>
      </c>
      <c r="D2087" s="11" t="str">
        <f t="shared" si="170"/>
        <v/>
      </c>
      <c r="E2087" s="11" t="str">
        <f t="shared" si="167"/>
        <v/>
      </c>
      <c r="F2087" s="11" t="str">
        <f t="shared" si="168"/>
        <v/>
      </c>
      <c r="G2087" s="10" t="str">
        <v/>
      </c>
      <c r="H2087" s="11" t="str">
        <v/>
      </c>
      <c r="I2087" s="11" t="str">
        <v/>
      </c>
    </row>
    <row r="2088" spans="2:9">
      <c r="B2088" s="11" t="str">
        <f t="shared" si="166"/>
        <v/>
      </c>
      <c r="C2088" s="11" t="str">
        <f t="shared" si="169"/>
        <v/>
      </c>
      <c r="D2088" s="11" t="str">
        <f t="shared" si="170"/>
        <v/>
      </c>
      <c r="E2088" s="11" t="str">
        <f t="shared" si="167"/>
        <v/>
      </c>
      <c r="F2088" s="11" t="str">
        <f t="shared" si="168"/>
        <v/>
      </c>
      <c r="G2088" s="10" t="str">
        <v/>
      </c>
      <c r="H2088" s="11" t="str">
        <v/>
      </c>
      <c r="I2088" s="11" t="str">
        <v/>
      </c>
    </row>
    <row r="2089" spans="2:9">
      <c r="B2089" s="11" t="str">
        <f t="shared" si="166"/>
        <v/>
      </c>
      <c r="C2089" s="11" t="str">
        <f t="shared" si="169"/>
        <v/>
      </c>
      <c r="D2089" s="11" t="str">
        <f t="shared" si="170"/>
        <v/>
      </c>
      <c r="E2089" s="11" t="str">
        <f t="shared" si="167"/>
        <v/>
      </c>
      <c r="F2089" s="11" t="str">
        <f t="shared" si="168"/>
        <v/>
      </c>
      <c r="G2089" s="10" t="str">
        <v/>
      </c>
      <c r="H2089" s="11" t="str">
        <v/>
      </c>
      <c r="I2089" s="11" t="str">
        <v/>
      </c>
    </row>
    <row r="2090" spans="2:9">
      <c r="B2090" s="11" t="str">
        <f t="shared" si="166"/>
        <v/>
      </c>
      <c r="C2090" s="11" t="str">
        <f t="shared" si="169"/>
        <v/>
      </c>
      <c r="D2090" s="11" t="str">
        <f t="shared" si="170"/>
        <v/>
      </c>
      <c r="E2090" s="11" t="str">
        <f t="shared" si="167"/>
        <v/>
      </c>
      <c r="F2090" s="11" t="str">
        <f t="shared" si="168"/>
        <v/>
      </c>
      <c r="G2090" s="10" t="str">
        <v/>
      </c>
      <c r="H2090" s="11" t="str">
        <v/>
      </c>
      <c r="I2090" s="11" t="str">
        <v/>
      </c>
    </row>
    <row r="2091" spans="2:9">
      <c r="B2091" s="11" t="str">
        <f t="shared" si="166"/>
        <v/>
      </c>
      <c r="C2091" s="11" t="str">
        <f t="shared" si="169"/>
        <v/>
      </c>
      <c r="D2091" s="11" t="str">
        <f t="shared" si="170"/>
        <v/>
      </c>
      <c r="E2091" s="11" t="str">
        <f t="shared" si="167"/>
        <v/>
      </c>
      <c r="F2091" s="11" t="str">
        <f t="shared" si="168"/>
        <v/>
      </c>
      <c r="G2091" s="10" t="str">
        <v/>
      </c>
      <c r="H2091" s="11" t="str">
        <v/>
      </c>
      <c r="I2091" s="11" t="str">
        <v/>
      </c>
    </row>
    <row r="2092" spans="2:9">
      <c r="B2092" s="11" t="str">
        <f t="shared" si="166"/>
        <v/>
      </c>
      <c r="C2092" s="11" t="str">
        <f t="shared" si="169"/>
        <v/>
      </c>
      <c r="D2092" s="11" t="str">
        <f t="shared" si="170"/>
        <v/>
      </c>
      <c r="E2092" s="11" t="str">
        <f t="shared" si="167"/>
        <v/>
      </c>
      <c r="F2092" s="11" t="str">
        <f t="shared" si="168"/>
        <v/>
      </c>
      <c r="G2092" s="10" t="str">
        <v/>
      </c>
      <c r="H2092" s="11" t="str">
        <v/>
      </c>
      <c r="I2092" s="11" t="str">
        <v/>
      </c>
    </row>
    <row r="2093" spans="2:9">
      <c r="B2093" s="11" t="str">
        <f t="shared" si="166"/>
        <v/>
      </c>
      <c r="C2093" s="11" t="str">
        <f t="shared" si="169"/>
        <v/>
      </c>
      <c r="D2093" s="11" t="str">
        <f t="shared" si="170"/>
        <v/>
      </c>
      <c r="E2093" s="11" t="str">
        <f t="shared" si="167"/>
        <v/>
      </c>
      <c r="F2093" s="11" t="str">
        <f t="shared" si="168"/>
        <v/>
      </c>
      <c r="G2093" s="10" t="str">
        <v/>
      </c>
      <c r="H2093" s="11" t="str">
        <v/>
      </c>
      <c r="I2093" s="11" t="str">
        <v/>
      </c>
    </row>
    <row r="2094" spans="2:9">
      <c r="B2094" s="11" t="str">
        <f t="shared" si="166"/>
        <v/>
      </c>
      <c r="C2094" s="11" t="str">
        <f t="shared" si="169"/>
        <v/>
      </c>
      <c r="D2094" s="11" t="str">
        <f t="shared" si="170"/>
        <v/>
      </c>
      <c r="E2094" s="11" t="str">
        <f t="shared" si="167"/>
        <v/>
      </c>
      <c r="F2094" s="11" t="str">
        <f t="shared" si="168"/>
        <v/>
      </c>
      <c r="G2094" s="10" t="str">
        <v/>
      </c>
      <c r="H2094" s="11" t="str">
        <v/>
      </c>
      <c r="I2094" s="11" t="str">
        <v/>
      </c>
    </row>
    <row r="2095" spans="2:9">
      <c r="B2095" s="11" t="str">
        <f t="shared" si="166"/>
        <v/>
      </c>
      <c r="C2095" s="11" t="str">
        <f t="shared" si="169"/>
        <v/>
      </c>
      <c r="D2095" s="11" t="str">
        <f t="shared" si="170"/>
        <v/>
      </c>
      <c r="E2095" s="11" t="str">
        <f t="shared" si="167"/>
        <v/>
      </c>
      <c r="F2095" s="11" t="str">
        <f t="shared" si="168"/>
        <v/>
      </c>
      <c r="G2095" s="10" t="str">
        <v/>
      </c>
      <c r="H2095" s="11" t="str">
        <v/>
      </c>
      <c r="I2095" s="11" t="str">
        <v/>
      </c>
    </row>
    <row r="2096" spans="2:9">
      <c r="B2096" s="11" t="str">
        <f t="shared" si="166"/>
        <v/>
      </c>
      <c r="C2096" s="11" t="str">
        <f t="shared" si="169"/>
        <v/>
      </c>
      <c r="D2096" s="11" t="str">
        <f t="shared" si="170"/>
        <v/>
      </c>
      <c r="E2096" s="11" t="str">
        <f t="shared" si="167"/>
        <v/>
      </c>
      <c r="F2096" s="11" t="str">
        <f t="shared" si="168"/>
        <v/>
      </c>
      <c r="G2096" s="10" t="str">
        <v/>
      </c>
      <c r="H2096" s="11" t="str">
        <v/>
      </c>
      <c r="I2096" s="11" t="str">
        <v/>
      </c>
    </row>
    <row r="2097" spans="2:9">
      <c r="B2097" s="11" t="str">
        <f t="shared" si="166"/>
        <v/>
      </c>
      <c r="C2097" s="11" t="str">
        <f t="shared" si="169"/>
        <v/>
      </c>
      <c r="D2097" s="11" t="str">
        <f t="shared" si="170"/>
        <v/>
      </c>
      <c r="E2097" s="11" t="str">
        <f t="shared" si="167"/>
        <v/>
      </c>
      <c r="F2097" s="11" t="str">
        <f t="shared" si="168"/>
        <v/>
      </c>
      <c r="G2097" s="10" t="str">
        <v/>
      </c>
      <c r="H2097" s="11" t="str">
        <v/>
      </c>
      <c r="I2097" s="11" t="str">
        <v/>
      </c>
    </row>
    <row r="2098" spans="2:9">
      <c r="B2098" s="11" t="str">
        <f t="shared" si="166"/>
        <v/>
      </c>
      <c r="C2098" s="11" t="str">
        <f t="shared" si="169"/>
        <v/>
      </c>
      <c r="D2098" s="11" t="str">
        <f t="shared" si="170"/>
        <v/>
      </c>
      <c r="E2098" s="11" t="str">
        <f t="shared" si="167"/>
        <v/>
      </c>
      <c r="F2098" s="11" t="str">
        <f t="shared" si="168"/>
        <v/>
      </c>
      <c r="G2098" s="10" t="str">
        <v/>
      </c>
      <c r="H2098" s="11" t="str">
        <v/>
      </c>
      <c r="I2098" s="11" t="str">
        <v/>
      </c>
    </row>
    <row r="2099" spans="2:9">
      <c r="B2099" s="11" t="str">
        <f t="shared" si="166"/>
        <v/>
      </c>
      <c r="C2099" s="11" t="str">
        <f t="shared" si="169"/>
        <v/>
      </c>
      <c r="D2099" s="11" t="str">
        <f t="shared" si="170"/>
        <v/>
      </c>
      <c r="E2099" s="11" t="str">
        <f t="shared" si="167"/>
        <v/>
      </c>
      <c r="F2099" s="11" t="str">
        <f t="shared" si="168"/>
        <v/>
      </c>
      <c r="G2099" s="10" t="str">
        <v/>
      </c>
      <c r="H2099" s="11" t="str">
        <v/>
      </c>
      <c r="I2099" s="11" t="str">
        <v/>
      </c>
    </row>
    <row r="2100" spans="2:9">
      <c r="B2100" s="11" t="str">
        <f t="shared" si="166"/>
        <v/>
      </c>
      <c r="C2100" s="11" t="str">
        <f t="shared" si="169"/>
        <v/>
      </c>
      <c r="D2100" s="11" t="str">
        <f t="shared" si="170"/>
        <v/>
      </c>
      <c r="E2100" s="11" t="str">
        <f t="shared" si="167"/>
        <v/>
      </c>
      <c r="F2100" s="11" t="str">
        <f t="shared" si="168"/>
        <v/>
      </c>
      <c r="G2100" s="10" t="str">
        <v/>
      </c>
      <c r="H2100" s="11" t="str">
        <v/>
      </c>
      <c r="I2100" s="11" t="str">
        <v/>
      </c>
    </row>
    <row r="2101" spans="2:9">
      <c r="B2101" s="11" t="str">
        <f t="shared" si="166"/>
        <v/>
      </c>
      <c r="C2101" s="11" t="str">
        <f t="shared" si="169"/>
        <v/>
      </c>
      <c r="D2101" s="11" t="str">
        <f t="shared" si="170"/>
        <v/>
      </c>
      <c r="E2101" s="11" t="str">
        <f t="shared" si="167"/>
        <v/>
      </c>
      <c r="F2101" s="11" t="str">
        <f t="shared" si="168"/>
        <v/>
      </c>
      <c r="G2101" s="10" t="str">
        <v/>
      </c>
      <c r="H2101" s="11" t="str">
        <v/>
      </c>
      <c r="I2101" s="11" t="str">
        <v/>
      </c>
    </row>
    <row r="2102" spans="2:9">
      <c r="B2102" s="11" t="str">
        <f t="shared" si="166"/>
        <v/>
      </c>
      <c r="C2102" s="11" t="str">
        <f t="shared" si="169"/>
        <v/>
      </c>
      <c r="D2102" s="11" t="str">
        <f t="shared" si="170"/>
        <v/>
      </c>
      <c r="E2102" s="11" t="str">
        <f t="shared" si="167"/>
        <v/>
      </c>
      <c r="F2102" s="11" t="str">
        <f t="shared" si="168"/>
        <v/>
      </c>
      <c r="G2102" s="10" t="str">
        <v/>
      </c>
      <c r="H2102" s="11" t="str">
        <v/>
      </c>
      <c r="I2102" s="11" t="str">
        <v/>
      </c>
    </row>
    <row r="2103" spans="2:9">
      <c r="B2103" s="11" t="str">
        <f t="shared" si="166"/>
        <v/>
      </c>
      <c r="C2103" s="11" t="str">
        <f t="shared" si="169"/>
        <v/>
      </c>
      <c r="D2103" s="11" t="str">
        <f t="shared" si="170"/>
        <v/>
      </c>
      <c r="E2103" s="11" t="str">
        <f t="shared" si="167"/>
        <v/>
      </c>
      <c r="F2103" s="11" t="str">
        <f t="shared" si="168"/>
        <v/>
      </c>
      <c r="G2103" s="10" t="str">
        <v/>
      </c>
      <c r="H2103" s="11" t="str">
        <v/>
      </c>
      <c r="I2103" s="11" t="str">
        <v/>
      </c>
    </row>
    <row r="2104" spans="2:9">
      <c r="B2104" s="11" t="str">
        <f t="shared" si="166"/>
        <v/>
      </c>
      <c r="C2104" s="11" t="str">
        <f t="shared" si="169"/>
        <v/>
      </c>
      <c r="D2104" s="11" t="str">
        <f t="shared" si="170"/>
        <v/>
      </c>
      <c r="E2104" s="11" t="str">
        <f t="shared" si="167"/>
        <v/>
      </c>
      <c r="F2104" s="11" t="str">
        <f t="shared" si="168"/>
        <v/>
      </c>
      <c r="G2104" s="10" t="str">
        <v/>
      </c>
      <c r="H2104" s="11" t="str">
        <v/>
      </c>
      <c r="I2104" s="11" t="str">
        <v/>
      </c>
    </row>
    <row r="2105" spans="2:9">
      <c r="B2105" s="11" t="str">
        <f t="shared" si="166"/>
        <v/>
      </c>
      <c r="C2105" s="11" t="str">
        <f t="shared" si="169"/>
        <v/>
      </c>
      <c r="D2105" s="11" t="str">
        <f t="shared" si="170"/>
        <v/>
      </c>
      <c r="E2105" s="11" t="str">
        <f t="shared" si="167"/>
        <v/>
      </c>
      <c r="F2105" s="11" t="str">
        <f t="shared" si="168"/>
        <v/>
      </c>
      <c r="G2105" s="10" t="str">
        <v/>
      </c>
      <c r="H2105" s="11" t="str">
        <v/>
      </c>
      <c r="I2105" s="11" t="str">
        <v/>
      </c>
    </row>
    <row r="2106" spans="2:9">
      <c r="B2106" s="11" t="str">
        <f t="shared" si="166"/>
        <v/>
      </c>
      <c r="C2106" s="11" t="str">
        <f t="shared" si="169"/>
        <v/>
      </c>
      <c r="D2106" s="11" t="str">
        <f t="shared" si="170"/>
        <v/>
      </c>
      <c r="E2106" s="11" t="str">
        <f t="shared" si="167"/>
        <v/>
      </c>
      <c r="F2106" s="11" t="str">
        <f t="shared" si="168"/>
        <v/>
      </c>
      <c r="G2106" s="10" t="str">
        <v/>
      </c>
      <c r="H2106" s="11" t="str">
        <v/>
      </c>
      <c r="I2106" s="11" t="str">
        <v/>
      </c>
    </row>
    <row r="2107" spans="2:9">
      <c r="B2107" s="11" t="str">
        <f t="shared" si="166"/>
        <v/>
      </c>
      <c r="C2107" s="11" t="str">
        <f t="shared" si="169"/>
        <v/>
      </c>
      <c r="D2107" s="11" t="str">
        <f t="shared" si="170"/>
        <v/>
      </c>
      <c r="E2107" s="11" t="str">
        <f t="shared" si="167"/>
        <v/>
      </c>
      <c r="F2107" s="11" t="str">
        <f t="shared" si="168"/>
        <v/>
      </c>
      <c r="G2107" s="10" t="str">
        <v/>
      </c>
      <c r="H2107" s="11" t="str">
        <v/>
      </c>
      <c r="I2107" s="11" t="str">
        <v/>
      </c>
    </row>
    <row r="2108" spans="2:9">
      <c r="B2108" s="11" t="str">
        <f t="shared" si="166"/>
        <v/>
      </c>
      <c r="C2108" s="11" t="str">
        <f t="shared" si="169"/>
        <v/>
      </c>
      <c r="D2108" s="11" t="str">
        <f t="shared" si="170"/>
        <v/>
      </c>
      <c r="E2108" s="11" t="str">
        <f t="shared" si="167"/>
        <v/>
      </c>
      <c r="F2108" s="11" t="str">
        <f t="shared" si="168"/>
        <v/>
      </c>
      <c r="G2108" s="10" t="str">
        <v/>
      </c>
      <c r="H2108" s="11" t="str">
        <v/>
      </c>
      <c r="I2108" s="11" t="str">
        <v/>
      </c>
    </row>
    <row r="2109" spans="2:9">
      <c r="B2109" s="11" t="str">
        <f t="shared" si="166"/>
        <v/>
      </c>
      <c r="C2109" s="11" t="str">
        <f t="shared" si="169"/>
        <v/>
      </c>
      <c r="D2109" s="11" t="str">
        <f t="shared" si="170"/>
        <v/>
      </c>
      <c r="E2109" s="11" t="str">
        <f t="shared" si="167"/>
        <v/>
      </c>
      <c r="F2109" s="11" t="str">
        <f t="shared" si="168"/>
        <v/>
      </c>
      <c r="G2109" s="10" t="str">
        <v/>
      </c>
      <c r="H2109" s="11" t="str">
        <v/>
      </c>
      <c r="I2109" s="11" t="str">
        <v/>
      </c>
    </row>
    <row r="2110" spans="2:9">
      <c r="B2110" s="11" t="str">
        <f t="shared" si="166"/>
        <v/>
      </c>
      <c r="C2110" s="11" t="str">
        <f t="shared" si="169"/>
        <v/>
      </c>
      <c r="D2110" s="11" t="str">
        <f t="shared" si="170"/>
        <v/>
      </c>
      <c r="E2110" s="11" t="str">
        <f t="shared" si="167"/>
        <v/>
      </c>
      <c r="F2110" s="11" t="str">
        <f t="shared" si="168"/>
        <v/>
      </c>
      <c r="G2110" s="10" t="str">
        <v/>
      </c>
      <c r="H2110" s="11" t="str">
        <v/>
      </c>
      <c r="I2110" s="11" t="str">
        <v/>
      </c>
    </row>
    <row r="2111" spans="2:9">
      <c r="B2111" s="11" t="str">
        <f t="shared" si="166"/>
        <v/>
      </c>
      <c r="C2111" s="11" t="str">
        <f t="shared" si="169"/>
        <v/>
      </c>
      <c r="D2111" s="11" t="str">
        <f t="shared" si="170"/>
        <v/>
      </c>
      <c r="E2111" s="11" t="str">
        <f t="shared" si="167"/>
        <v/>
      </c>
      <c r="F2111" s="11" t="str">
        <f t="shared" si="168"/>
        <v/>
      </c>
      <c r="G2111" s="10" t="str">
        <v/>
      </c>
      <c r="H2111" s="11" t="str">
        <v/>
      </c>
      <c r="I2111" s="11" t="str">
        <v/>
      </c>
    </row>
    <row r="2112" spans="2:9">
      <c r="B2112" s="11" t="str">
        <f t="shared" si="166"/>
        <v/>
      </c>
      <c r="C2112" s="11" t="str">
        <f t="shared" si="169"/>
        <v/>
      </c>
      <c r="D2112" s="11" t="str">
        <f t="shared" si="170"/>
        <v/>
      </c>
      <c r="E2112" s="11" t="str">
        <f t="shared" si="167"/>
        <v/>
      </c>
      <c r="F2112" s="11" t="str">
        <f t="shared" si="168"/>
        <v/>
      </c>
      <c r="G2112" s="10" t="str">
        <v/>
      </c>
      <c r="H2112" s="11" t="str">
        <v/>
      </c>
      <c r="I2112" s="11" t="str">
        <v/>
      </c>
    </row>
    <row r="2113" spans="2:9">
      <c r="B2113" s="11" t="str">
        <f t="shared" ref="B2113:B2176" si="171">IFERROR(IF(FIND(" ",A2113)=6,IF(IFERROR(FIND(" PB",A2113),"")&lt;&gt;"","артикул",IF(IFERROR(FIND(" CRN",A2113),"")&lt;&gt;"","артикул","")),""),"")</f>
        <v/>
      </c>
      <c r="C2113" s="11" t="str">
        <f t="shared" si="169"/>
        <v/>
      </c>
      <c r="D2113" s="11" t="str">
        <f t="shared" si="170"/>
        <v/>
      </c>
      <c r="E2113" s="11" t="str">
        <f t="shared" si="167"/>
        <v/>
      </c>
      <c r="F2113" s="11" t="str">
        <f t="shared" si="168"/>
        <v/>
      </c>
      <c r="G2113" s="10" t="str">
        <v/>
      </c>
      <c r="H2113" s="11" t="str">
        <v/>
      </c>
      <c r="I2113" s="11" t="str">
        <v/>
      </c>
    </row>
    <row r="2114" spans="2:9">
      <c r="B2114" s="11" t="str">
        <f t="shared" si="171"/>
        <v/>
      </c>
      <c r="C2114" s="11" t="str">
        <f t="shared" si="169"/>
        <v/>
      </c>
      <c r="D2114" s="11" t="str">
        <f t="shared" si="170"/>
        <v/>
      </c>
      <c r="E2114" s="11" t="str">
        <f t="shared" ref="E2114:E2177" si="172" xml:space="preserve">
IF(B2114="Артикул",
IF(
AND(RIGHT(A2115,1)="%",
RIGHT(A2116,1)="%",
RIGHT(A2117,1)="%",
RIGHT(A2118,1)="%"),MID(A2119,FIND(" ",A2119),50),
IF(
AND(RIGHT(A2115,1)="%",
RIGHT(A2116,1)="%",
RIGHT(A2117,1)="%"),MID(A2118,FIND(" ",A2118),50),
IF(
AND(RIGHT(A2115,1)="%",
RIGHT(A2116,1)="%"),
MID(A2117,FIND(" ",A2117),50),
IF(
RIGHT(A2115,1)="%",
MID(A2116,FIND(" ",A2116),50),"")))),"")</f>
        <v/>
      </c>
      <c r="F2114" s="11" t="str">
        <f t="shared" ref="F2114:F2177" si="173">IFERROR(
IF(
AND(LEFT(A2114,8)="Discount",FIND("%",A2114)&gt;0),
MID(A2114,
FIND(" ",A2114),
FIND("%",A2114)-FIND(" ",A2114))
*-1,""),"")</f>
        <v/>
      </c>
      <c r="G2114" s="10" t="str">
        <v/>
      </c>
      <c r="H2114" s="11" t="str">
        <v/>
      </c>
      <c r="I2114" s="11" t="str">
        <v/>
      </c>
    </row>
    <row r="2115" spans="2:9">
      <c r="B2115" s="11" t="str">
        <f t="shared" si="171"/>
        <v/>
      </c>
      <c r="C2115" s="11" t="str">
        <f t="shared" si="169"/>
        <v/>
      </c>
      <c r="D2115" s="11" t="str">
        <f t="shared" si="170"/>
        <v/>
      </c>
      <c r="E2115" s="11" t="str">
        <f t="shared" si="172"/>
        <v/>
      </c>
      <c r="F2115" s="11" t="str">
        <f t="shared" si="173"/>
        <v/>
      </c>
      <c r="G2115" s="10" t="str">
        <v/>
      </c>
      <c r="H2115" s="11" t="str">
        <v/>
      </c>
      <c r="I2115" s="11" t="str">
        <v/>
      </c>
    </row>
    <row r="2116" spans="2:9">
      <c r="B2116" s="11" t="str">
        <f t="shared" si="171"/>
        <v/>
      </c>
      <c r="C2116" s="11" t="str">
        <f t="shared" si="169"/>
        <v/>
      </c>
      <c r="D2116" s="11" t="str">
        <f t="shared" si="170"/>
        <v/>
      </c>
      <c r="E2116" s="11" t="str">
        <f t="shared" si="172"/>
        <v/>
      </c>
      <c r="F2116" s="11" t="str">
        <f t="shared" si="173"/>
        <v/>
      </c>
      <c r="G2116" s="10" t="str">
        <v/>
      </c>
      <c r="H2116" s="11" t="str">
        <v/>
      </c>
      <c r="I2116" s="11" t="str">
        <v/>
      </c>
    </row>
    <row r="2117" spans="2:9">
      <c r="B2117" s="11" t="str">
        <f t="shared" si="171"/>
        <v/>
      </c>
      <c r="C2117" s="11" t="str">
        <f t="shared" si="169"/>
        <v/>
      </c>
      <c r="D2117" s="11" t="str">
        <f t="shared" si="170"/>
        <v/>
      </c>
      <c r="E2117" s="11" t="str">
        <f t="shared" si="172"/>
        <v/>
      </c>
      <c r="F2117" s="11" t="str">
        <f t="shared" si="173"/>
        <v/>
      </c>
      <c r="G2117" s="10" t="str">
        <v/>
      </c>
      <c r="H2117" s="11" t="str">
        <v/>
      </c>
      <c r="I2117" s="11" t="str">
        <v/>
      </c>
    </row>
    <row r="2118" spans="2:9">
      <c r="B2118" s="11" t="str">
        <f t="shared" si="171"/>
        <v/>
      </c>
      <c r="C2118" s="11" t="str">
        <f t="shared" si="169"/>
        <v/>
      </c>
      <c r="D2118" s="11" t="str">
        <f t="shared" si="170"/>
        <v/>
      </c>
      <c r="E2118" s="11" t="str">
        <f t="shared" si="172"/>
        <v/>
      </c>
      <c r="F2118" s="11" t="str">
        <f t="shared" si="173"/>
        <v/>
      </c>
      <c r="G2118" s="10" t="str">
        <v/>
      </c>
      <c r="H2118" s="11" t="str">
        <v/>
      </c>
      <c r="I2118" s="11" t="str">
        <v/>
      </c>
    </row>
    <row r="2119" spans="2:9">
      <c r="B2119" s="11" t="str">
        <f t="shared" si="171"/>
        <v/>
      </c>
      <c r="C2119" s="11" t="str">
        <f t="shared" si="169"/>
        <v/>
      </c>
      <c r="D2119" s="11" t="str">
        <f t="shared" si="170"/>
        <v/>
      </c>
      <c r="E2119" s="11" t="str">
        <f t="shared" si="172"/>
        <v/>
      </c>
      <c r="F2119" s="11" t="str">
        <f t="shared" si="173"/>
        <v/>
      </c>
      <c r="G2119" s="10" t="str">
        <v/>
      </c>
      <c r="H2119" s="11" t="str">
        <v/>
      </c>
      <c r="I2119" s="11" t="str">
        <v/>
      </c>
    </row>
    <row r="2120" spans="2:9">
      <c r="B2120" s="11" t="str">
        <f t="shared" si="171"/>
        <v/>
      </c>
      <c r="C2120" s="11" t="str">
        <f t="shared" si="169"/>
        <v/>
      </c>
      <c r="D2120" s="11" t="str">
        <f t="shared" si="170"/>
        <v/>
      </c>
      <c r="E2120" s="11" t="str">
        <f t="shared" si="172"/>
        <v/>
      </c>
      <c r="F2120" s="11" t="str">
        <f t="shared" si="173"/>
        <v/>
      </c>
      <c r="G2120" s="10" t="str">
        <v/>
      </c>
      <c r="H2120" s="11" t="str">
        <v/>
      </c>
      <c r="I2120" s="11" t="str">
        <v/>
      </c>
    </row>
    <row r="2121" spans="2:9">
      <c r="B2121" s="11" t="str">
        <f t="shared" si="171"/>
        <v/>
      </c>
      <c r="C2121" s="11" t="str">
        <f t="shared" si="169"/>
        <v/>
      </c>
      <c r="D2121" s="11" t="str">
        <f t="shared" si="170"/>
        <v/>
      </c>
      <c r="E2121" s="11" t="str">
        <f t="shared" si="172"/>
        <v/>
      </c>
      <c r="F2121" s="11" t="str">
        <f t="shared" si="173"/>
        <v/>
      </c>
      <c r="G2121" s="10" t="str">
        <v/>
      </c>
      <c r="H2121" s="11" t="str">
        <v/>
      </c>
      <c r="I2121" s="11" t="str">
        <v/>
      </c>
    </row>
    <row r="2122" spans="2:9">
      <c r="B2122" s="11" t="str">
        <f t="shared" si="171"/>
        <v/>
      </c>
      <c r="C2122" s="11" t="str">
        <f t="shared" si="169"/>
        <v/>
      </c>
      <c r="D2122" s="11" t="str">
        <f t="shared" si="170"/>
        <v/>
      </c>
      <c r="E2122" s="11" t="str">
        <f t="shared" si="172"/>
        <v/>
      </c>
      <c r="F2122" s="11" t="str">
        <f t="shared" si="173"/>
        <v/>
      </c>
      <c r="G2122" s="10" t="str">
        <v/>
      </c>
      <c r="H2122" s="11" t="str">
        <v/>
      </c>
      <c r="I2122" s="11" t="str">
        <v/>
      </c>
    </row>
    <row r="2123" spans="2:9">
      <c r="B2123" s="11" t="str">
        <f t="shared" si="171"/>
        <v/>
      </c>
      <c r="C2123" s="11" t="str">
        <f t="shared" si="169"/>
        <v/>
      </c>
      <c r="D2123" s="11" t="str">
        <f t="shared" si="170"/>
        <v/>
      </c>
      <c r="E2123" s="11" t="str">
        <f t="shared" si="172"/>
        <v/>
      </c>
      <c r="F2123" s="11" t="str">
        <f t="shared" si="173"/>
        <v/>
      </c>
      <c r="G2123" s="10" t="str">
        <v/>
      </c>
      <c r="H2123" s="11" t="str">
        <v/>
      </c>
      <c r="I2123" s="11" t="str">
        <v/>
      </c>
    </row>
    <row r="2124" spans="2:9">
      <c r="B2124" s="11" t="str">
        <f t="shared" si="171"/>
        <v/>
      </c>
      <c r="C2124" s="11" t="str">
        <f t="shared" si="169"/>
        <v/>
      </c>
      <c r="D2124" s="11" t="str">
        <f t="shared" si="170"/>
        <v/>
      </c>
      <c r="E2124" s="11" t="str">
        <f t="shared" si="172"/>
        <v/>
      </c>
      <c r="F2124" s="11" t="str">
        <f t="shared" si="173"/>
        <v/>
      </c>
      <c r="G2124" s="10" t="str">
        <v/>
      </c>
      <c r="H2124" s="11" t="str">
        <v/>
      </c>
      <c r="I2124" s="11" t="str">
        <v/>
      </c>
    </row>
    <row r="2125" spans="2:9">
      <c r="B2125" s="11" t="str">
        <f t="shared" si="171"/>
        <v/>
      </c>
      <c r="C2125" s="11" t="str">
        <f t="shared" ref="C2125:C2188" si="174">IF(B2125="артикул",A2125,"")</f>
        <v/>
      </c>
      <c r="D2125" s="11" t="str">
        <f t="shared" ref="D2125:D2188" si="175">IF(B2125="артикул",A2126,"")</f>
        <v/>
      </c>
      <c r="E2125" s="11" t="str">
        <f t="shared" si="172"/>
        <v/>
      </c>
      <c r="F2125" s="11" t="str">
        <f t="shared" si="173"/>
        <v/>
      </c>
      <c r="G2125" s="10" t="str">
        <v/>
      </c>
      <c r="H2125" s="11" t="str">
        <v/>
      </c>
      <c r="I2125" s="11" t="str">
        <v/>
      </c>
    </row>
    <row r="2126" spans="2:9">
      <c r="B2126" s="11" t="str">
        <f t="shared" si="171"/>
        <v/>
      </c>
      <c r="C2126" s="11" t="str">
        <f t="shared" si="174"/>
        <v/>
      </c>
      <c r="D2126" s="11" t="str">
        <f t="shared" si="175"/>
        <v/>
      </c>
      <c r="E2126" s="11" t="str">
        <f t="shared" si="172"/>
        <v/>
      </c>
      <c r="F2126" s="11" t="str">
        <f t="shared" si="173"/>
        <v/>
      </c>
      <c r="G2126" s="10" t="str">
        <v/>
      </c>
      <c r="H2126" s="11" t="str">
        <v/>
      </c>
      <c r="I2126" s="11" t="str">
        <v/>
      </c>
    </row>
    <row r="2127" spans="2:9">
      <c r="B2127" s="11" t="str">
        <f t="shared" si="171"/>
        <v/>
      </c>
      <c r="C2127" s="11" t="str">
        <f t="shared" si="174"/>
        <v/>
      </c>
      <c r="D2127" s="11" t="str">
        <f t="shared" si="175"/>
        <v/>
      </c>
      <c r="E2127" s="11" t="str">
        <f t="shared" si="172"/>
        <v/>
      </c>
      <c r="F2127" s="11" t="str">
        <f t="shared" si="173"/>
        <v/>
      </c>
      <c r="G2127" s="10" t="str">
        <v/>
      </c>
      <c r="H2127" s="11" t="str">
        <v/>
      </c>
      <c r="I2127" s="11" t="str">
        <v/>
      </c>
    </row>
    <row r="2128" spans="2:9">
      <c r="B2128" s="11" t="str">
        <f t="shared" si="171"/>
        <v/>
      </c>
      <c r="C2128" s="11" t="str">
        <f t="shared" si="174"/>
        <v/>
      </c>
      <c r="D2128" s="11" t="str">
        <f t="shared" si="175"/>
        <v/>
      </c>
      <c r="E2128" s="11" t="str">
        <f t="shared" si="172"/>
        <v/>
      </c>
      <c r="F2128" s="11" t="str">
        <f t="shared" si="173"/>
        <v/>
      </c>
      <c r="G2128" s="10" t="str">
        <v/>
      </c>
      <c r="H2128" s="11" t="str">
        <v/>
      </c>
      <c r="I2128" s="11" t="str">
        <v/>
      </c>
    </row>
    <row r="2129" spans="2:9">
      <c r="B2129" s="11" t="str">
        <f t="shared" si="171"/>
        <v/>
      </c>
      <c r="C2129" s="11" t="str">
        <f t="shared" si="174"/>
        <v/>
      </c>
      <c r="D2129" s="11" t="str">
        <f t="shared" si="175"/>
        <v/>
      </c>
      <c r="E2129" s="11" t="str">
        <f t="shared" si="172"/>
        <v/>
      </c>
      <c r="F2129" s="11" t="str">
        <f t="shared" si="173"/>
        <v/>
      </c>
      <c r="G2129" s="10" t="str">
        <v/>
      </c>
      <c r="H2129" s="11" t="str">
        <v/>
      </c>
      <c r="I2129" s="11" t="str">
        <v/>
      </c>
    </row>
    <row r="2130" spans="2:9">
      <c r="B2130" s="11" t="str">
        <f t="shared" si="171"/>
        <v/>
      </c>
      <c r="C2130" s="11" t="str">
        <f t="shared" si="174"/>
        <v/>
      </c>
      <c r="D2130" s="11" t="str">
        <f t="shared" si="175"/>
        <v/>
      </c>
      <c r="E2130" s="11" t="str">
        <f t="shared" si="172"/>
        <v/>
      </c>
      <c r="F2130" s="11" t="str">
        <f t="shared" si="173"/>
        <v/>
      </c>
      <c r="G2130" s="10" t="str">
        <v/>
      </c>
      <c r="H2130" s="11" t="str">
        <v/>
      </c>
      <c r="I2130" s="11" t="str">
        <v/>
      </c>
    </row>
    <row r="2131" spans="2:9">
      <c r="B2131" s="11" t="str">
        <f t="shared" si="171"/>
        <v/>
      </c>
      <c r="C2131" s="11" t="str">
        <f t="shared" si="174"/>
        <v/>
      </c>
      <c r="D2131" s="11" t="str">
        <f t="shared" si="175"/>
        <v/>
      </c>
      <c r="E2131" s="11" t="str">
        <f t="shared" si="172"/>
        <v/>
      </c>
      <c r="F2131" s="11" t="str">
        <f t="shared" si="173"/>
        <v/>
      </c>
      <c r="G2131" s="10" t="str">
        <v/>
      </c>
      <c r="H2131" s="11" t="str">
        <v/>
      </c>
      <c r="I2131" s="11" t="str">
        <v/>
      </c>
    </row>
    <row r="2132" spans="2:9">
      <c r="B2132" s="11" t="str">
        <f t="shared" si="171"/>
        <v/>
      </c>
      <c r="C2132" s="11" t="str">
        <f t="shared" si="174"/>
        <v/>
      </c>
      <c r="D2132" s="11" t="str">
        <f t="shared" si="175"/>
        <v/>
      </c>
      <c r="E2132" s="11" t="str">
        <f t="shared" si="172"/>
        <v/>
      </c>
      <c r="F2132" s="11" t="str">
        <f t="shared" si="173"/>
        <v/>
      </c>
      <c r="G2132" s="10" t="str">
        <v/>
      </c>
      <c r="H2132" s="11" t="str">
        <v/>
      </c>
      <c r="I2132" s="11" t="str">
        <v/>
      </c>
    </row>
    <row r="2133" spans="2:9">
      <c r="B2133" s="11" t="str">
        <f t="shared" si="171"/>
        <v/>
      </c>
      <c r="C2133" s="11" t="str">
        <f t="shared" si="174"/>
        <v/>
      </c>
      <c r="D2133" s="11" t="str">
        <f t="shared" si="175"/>
        <v/>
      </c>
      <c r="E2133" s="11" t="str">
        <f t="shared" si="172"/>
        <v/>
      </c>
      <c r="F2133" s="11" t="str">
        <f t="shared" si="173"/>
        <v/>
      </c>
      <c r="G2133" s="10" t="str">
        <v/>
      </c>
      <c r="H2133" s="11" t="str">
        <v/>
      </c>
      <c r="I2133" s="11" t="str">
        <v/>
      </c>
    </row>
    <row r="2134" spans="2:9">
      <c r="B2134" s="11" t="str">
        <f t="shared" si="171"/>
        <v/>
      </c>
      <c r="C2134" s="11" t="str">
        <f t="shared" si="174"/>
        <v/>
      </c>
      <c r="D2134" s="11" t="str">
        <f t="shared" si="175"/>
        <v/>
      </c>
      <c r="E2134" s="11" t="str">
        <f t="shared" si="172"/>
        <v/>
      </c>
      <c r="F2134" s="11" t="str">
        <f t="shared" si="173"/>
        <v/>
      </c>
      <c r="G2134" s="10" t="str">
        <v/>
      </c>
      <c r="H2134" s="11" t="str">
        <v/>
      </c>
      <c r="I2134" s="11" t="str">
        <v/>
      </c>
    </row>
    <row r="2135" spans="2:9">
      <c r="B2135" s="11" t="str">
        <f t="shared" si="171"/>
        <v/>
      </c>
      <c r="C2135" s="11" t="str">
        <f t="shared" si="174"/>
        <v/>
      </c>
      <c r="D2135" s="11" t="str">
        <f t="shared" si="175"/>
        <v/>
      </c>
      <c r="E2135" s="11" t="str">
        <f t="shared" si="172"/>
        <v/>
      </c>
      <c r="F2135" s="11" t="str">
        <f t="shared" si="173"/>
        <v/>
      </c>
      <c r="G2135" s="10" t="str">
        <v/>
      </c>
      <c r="H2135" s="11" t="str">
        <v/>
      </c>
      <c r="I2135" s="11" t="str">
        <v/>
      </c>
    </row>
    <row r="2136" spans="2:9">
      <c r="B2136" s="11" t="str">
        <f t="shared" si="171"/>
        <v/>
      </c>
      <c r="C2136" s="11" t="str">
        <f t="shared" si="174"/>
        <v/>
      </c>
      <c r="D2136" s="11" t="str">
        <f t="shared" si="175"/>
        <v/>
      </c>
      <c r="E2136" s="11" t="str">
        <f t="shared" si="172"/>
        <v/>
      </c>
      <c r="F2136" s="11" t="str">
        <f t="shared" si="173"/>
        <v/>
      </c>
      <c r="G2136" s="10" t="str">
        <v/>
      </c>
      <c r="H2136" s="11" t="str">
        <v/>
      </c>
      <c r="I2136" s="11" t="str">
        <v/>
      </c>
    </row>
    <row r="2137" spans="2:9">
      <c r="B2137" s="11" t="str">
        <f t="shared" si="171"/>
        <v/>
      </c>
      <c r="C2137" s="11" t="str">
        <f t="shared" si="174"/>
        <v/>
      </c>
      <c r="D2137" s="11" t="str">
        <f t="shared" si="175"/>
        <v/>
      </c>
      <c r="E2137" s="11" t="str">
        <f t="shared" si="172"/>
        <v/>
      </c>
      <c r="F2137" s="11" t="str">
        <f t="shared" si="173"/>
        <v/>
      </c>
      <c r="G2137" s="10" t="str">
        <v/>
      </c>
      <c r="H2137" s="11" t="str">
        <v/>
      </c>
      <c r="I2137" s="11" t="str">
        <v/>
      </c>
    </row>
    <row r="2138" spans="2:9">
      <c r="B2138" s="11" t="str">
        <f t="shared" si="171"/>
        <v/>
      </c>
      <c r="C2138" s="11" t="str">
        <f t="shared" si="174"/>
        <v/>
      </c>
      <c r="D2138" s="11" t="str">
        <f t="shared" si="175"/>
        <v/>
      </c>
      <c r="E2138" s="11" t="str">
        <f t="shared" si="172"/>
        <v/>
      </c>
      <c r="F2138" s="11" t="str">
        <f t="shared" si="173"/>
        <v/>
      </c>
      <c r="G2138" s="10" t="str">
        <v/>
      </c>
      <c r="H2138" s="11" t="str">
        <v/>
      </c>
      <c r="I2138" s="11" t="str">
        <v/>
      </c>
    </row>
    <row r="2139" spans="2:9">
      <c r="B2139" s="11" t="str">
        <f t="shared" si="171"/>
        <v/>
      </c>
      <c r="C2139" s="11" t="str">
        <f t="shared" si="174"/>
        <v/>
      </c>
      <c r="D2139" s="11" t="str">
        <f t="shared" si="175"/>
        <v/>
      </c>
      <c r="E2139" s="11" t="str">
        <f t="shared" si="172"/>
        <v/>
      </c>
      <c r="F2139" s="11" t="str">
        <f t="shared" si="173"/>
        <v/>
      </c>
      <c r="G2139" s="10" t="str">
        <v/>
      </c>
      <c r="H2139" s="11" t="str">
        <v/>
      </c>
      <c r="I2139" s="11" t="str">
        <v/>
      </c>
    </row>
    <row r="2140" spans="2:9">
      <c r="B2140" s="11" t="str">
        <f t="shared" si="171"/>
        <v/>
      </c>
      <c r="C2140" s="11" t="str">
        <f t="shared" si="174"/>
        <v/>
      </c>
      <c r="D2140" s="11" t="str">
        <f t="shared" si="175"/>
        <v/>
      </c>
      <c r="E2140" s="11" t="str">
        <f t="shared" si="172"/>
        <v/>
      </c>
      <c r="F2140" s="11" t="str">
        <f t="shared" si="173"/>
        <v/>
      </c>
      <c r="G2140" s="10" t="str">
        <v/>
      </c>
      <c r="H2140" s="11" t="str">
        <v/>
      </c>
      <c r="I2140" s="11" t="str">
        <v/>
      </c>
    </row>
    <row r="2141" spans="2:9">
      <c r="B2141" s="11" t="str">
        <f t="shared" si="171"/>
        <v/>
      </c>
      <c r="C2141" s="11" t="str">
        <f t="shared" si="174"/>
        <v/>
      </c>
      <c r="D2141" s="11" t="str">
        <f t="shared" si="175"/>
        <v/>
      </c>
      <c r="E2141" s="11" t="str">
        <f t="shared" si="172"/>
        <v/>
      </c>
      <c r="F2141" s="11" t="str">
        <f t="shared" si="173"/>
        <v/>
      </c>
      <c r="G2141" s="10" t="str">
        <v/>
      </c>
      <c r="H2141" s="11" t="str">
        <v/>
      </c>
      <c r="I2141" s="11" t="str">
        <v/>
      </c>
    </row>
    <row r="2142" spans="2:9">
      <c r="B2142" s="11" t="str">
        <f t="shared" si="171"/>
        <v/>
      </c>
      <c r="C2142" s="11" t="str">
        <f t="shared" si="174"/>
        <v/>
      </c>
      <c r="D2142" s="11" t="str">
        <f t="shared" si="175"/>
        <v/>
      </c>
      <c r="E2142" s="11" t="str">
        <f t="shared" si="172"/>
        <v/>
      </c>
      <c r="F2142" s="11" t="str">
        <f t="shared" si="173"/>
        <v/>
      </c>
      <c r="G2142" s="10" t="str">
        <v/>
      </c>
      <c r="H2142" s="11" t="str">
        <v/>
      </c>
      <c r="I2142" s="11" t="str">
        <v/>
      </c>
    </row>
    <row r="2143" spans="2:9">
      <c r="B2143" s="11" t="str">
        <f t="shared" si="171"/>
        <v/>
      </c>
      <c r="C2143" s="11" t="str">
        <f t="shared" si="174"/>
        <v/>
      </c>
      <c r="D2143" s="11" t="str">
        <f t="shared" si="175"/>
        <v/>
      </c>
      <c r="E2143" s="11" t="str">
        <f t="shared" si="172"/>
        <v/>
      </c>
      <c r="F2143" s="11" t="str">
        <f t="shared" si="173"/>
        <v/>
      </c>
      <c r="G2143" s="10" t="str">
        <v/>
      </c>
      <c r="H2143" s="11" t="str">
        <v/>
      </c>
      <c r="I2143" s="11" t="str">
        <v/>
      </c>
    </row>
    <row r="2144" spans="2:9">
      <c r="B2144" s="11" t="str">
        <f t="shared" si="171"/>
        <v/>
      </c>
      <c r="C2144" s="11" t="str">
        <f t="shared" si="174"/>
        <v/>
      </c>
      <c r="D2144" s="11" t="str">
        <f t="shared" si="175"/>
        <v/>
      </c>
      <c r="E2144" s="11" t="str">
        <f t="shared" si="172"/>
        <v/>
      </c>
      <c r="F2144" s="11" t="str">
        <f t="shared" si="173"/>
        <v/>
      </c>
      <c r="G2144" s="10" t="str">
        <v/>
      </c>
      <c r="H2144" s="11" t="str">
        <v/>
      </c>
      <c r="I2144" s="11" t="str">
        <v/>
      </c>
    </row>
    <row r="2145" spans="2:9">
      <c r="B2145" s="11" t="str">
        <f t="shared" si="171"/>
        <v/>
      </c>
      <c r="C2145" s="11" t="str">
        <f t="shared" si="174"/>
        <v/>
      </c>
      <c r="D2145" s="11" t="str">
        <f t="shared" si="175"/>
        <v/>
      </c>
      <c r="E2145" s="11" t="str">
        <f t="shared" si="172"/>
        <v/>
      </c>
      <c r="F2145" s="11" t="str">
        <f t="shared" si="173"/>
        <v/>
      </c>
      <c r="G2145" s="10" t="str">
        <v/>
      </c>
      <c r="H2145" s="11" t="str">
        <v/>
      </c>
      <c r="I2145" s="11" t="str">
        <v/>
      </c>
    </row>
    <row r="2146" spans="2:9">
      <c r="B2146" s="11" t="str">
        <f t="shared" si="171"/>
        <v/>
      </c>
      <c r="C2146" s="11" t="str">
        <f t="shared" si="174"/>
        <v/>
      </c>
      <c r="D2146" s="11" t="str">
        <f t="shared" si="175"/>
        <v/>
      </c>
      <c r="E2146" s="11" t="str">
        <f t="shared" si="172"/>
        <v/>
      </c>
      <c r="F2146" s="11" t="str">
        <f t="shared" si="173"/>
        <v/>
      </c>
      <c r="G2146" s="10" t="str">
        <v/>
      </c>
      <c r="H2146" s="11" t="str">
        <v/>
      </c>
      <c r="I2146" s="11" t="str">
        <v/>
      </c>
    </row>
    <row r="2147" spans="2:9">
      <c r="B2147" s="11" t="str">
        <f t="shared" si="171"/>
        <v/>
      </c>
      <c r="C2147" s="11" t="str">
        <f t="shared" si="174"/>
        <v/>
      </c>
      <c r="D2147" s="11" t="str">
        <f t="shared" si="175"/>
        <v/>
      </c>
      <c r="E2147" s="11" t="str">
        <f t="shared" si="172"/>
        <v/>
      </c>
      <c r="F2147" s="11" t="str">
        <f t="shared" si="173"/>
        <v/>
      </c>
      <c r="G2147" s="10" t="str">
        <v/>
      </c>
      <c r="H2147" s="11" t="str">
        <v/>
      </c>
      <c r="I2147" s="11" t="str">
        <v/>
      </c>
    </row>
    <row r="2148" spans="2:9">
      <c r="B2148" s="11" t="str">
        <f t="shared" si="171"/>
        <v/>
      </c>
      <c r="C2148" s="11" t="str">
        <f t="shared" si="174"/>
        <v/>
      </c>
      <c r="D2148" s="11" t="str">
        <f t="shared" si="175"/>
        <v/>
      </c>
      <c r="E2148" s="11" t="str">
        <f t="shared" si="172"/>
        <v/>
      </c>
      <c r="F2148" s="11" t="str">
        <f t="shared" si="173"/>
        <v/>
      </c>
      <c r="G2148" s="10" t="str">
        <v/>
      </c>
      <c r="H2148" s="11" t="str">
        <v/>
      </c>
      <c r="I2148" s="11" t="str">
        <v/>
      </c>
    </row>
    <row r="2149" spans="2:9">
      <c r="B2149" s="11" t="str">
        <f t="shared" si="171"/>
        <v/>
      </c>
      <c r="C2149" s="11" t="str">
        <f t="shared" si="174"/>
        <v/>
      </c>
      <c r="D2149" s="11" t="str">
        <f t="shared" si="175"/>
        <v/>
      </c>
      <c r="E2149" s="11" t="str">
        <f t="shared" si="172"/>
        <v/>
      </c>
      <c r="F2149" s="11" t="str">
        <f t="shared" si="173"/>
        <v/>
      </c>
      <c r="G2149" s="10" t="str">
        <v/>
      </c>
      <c r="H2149" s="11" t="str">
        <v/>
      </c>
      <c r="I2149" s="11" t="str">
        <v/>
      </c>
    </row>
    <row r="2150" spans="2:9">
      <c r="B2150" s="11" t="str">
        <f t="shared" si="171"/>
        <v/>
      </c>
      <c r="C2150" s="11" t="str">
        <f t="shared" si="174"/>
        <v/>
      </c>
      <c r="D2150" s="11" t="str">
        <f t="shared" si="175"/>
        <v/>
      </c>
      <c r="E2150" s="11" t="str">
        <f t="shared" si="172"/>
        <v/>
      </c>
      <c r="F2150" s="11" t="str">
        <f t="shared" si="173"/>
        <v/>
      </c>
      <c r="G2150" s="10" t="str">
        <v/>
      </c>
      <c r="H2150" s="11" t="str">
        <v/>
      </c>
      <c r="I2150" s="11" t="str">
        <v/>
      </c>
    </row>
    <row r="2151" spans="2:9">
      <c r="B2151" s="11" t="str">
        <f t="shared" si="171"/>
        <v/>
      </c>
      <c r="C2151" s="11" t="str">
        <f t="shared" si="174"/>
        <v/>
      </c>
      <c r="D2151" s="11" t="str">
        <f t="shared" si="175"/>
        <v/>
      </c>
      <c r="E2151" s="11" t="str">
        <f t="shared" si="172"/>
        <v/>
      </c>
      <c r="F2151" s="11" t="str">
        <f t="shared" si="173"/>
        <v/>
      </c>
      <c r="G2151" s="10" t="str">
        <v/>
      </c>
      <c r="H2151" s="11" t="str">
        <v/>
      </c>
      <c r="I2151" s="11" t="str">
        <v/>
      </c>
    </row>
    <row r="2152" spans="2:9">
      <c r="B2152" s="11" t="str">
        <f t="shared" si="171"/>
        <v/>
      </c>
      <c r="C2152" s="11" t="str">
        <f t="shared" si="174"/>
        <v/>
      </c>
      <c r="D2152" s="11" t="str">
        <f t="shared" si="175"/>
        <v/>
      </c>
      <c r="E2152" s="11" t="str">
        <f t="shared" si="172"/>
        <v/>
      </c>
      <c r="F2152" s="11" t="str">
        <f t="shared" si="173"/>
        <v/>
      </c>
      <c r="G2152" s="10" t="str">
        <v/>
      </c>
      <c r="H2152" s="11" t="str">
        <v/>
      </c>
      <c r="I2152" s="11" t="str">
        <v/>
      </c>
    </row>
    <row r="2153" spans="2:9">
      <c r="B2153" s="11" t="str">
        <f t="shared" si="171"/>
        <v/>
      </c>
      <c r="C2153" s="11" t="str">
        <f t="shared" si="174"/>
        <v/>
      </c>
      <c r="D2153" s="11" t="str">
        <f t="shared" si="175"/>
        <v/>
      </c>
      <c r="E2153" s="11" t="str">
        <f t="shared" si="172"/>
        <v/>
      </c>
      <c r="F2153" s="11" t="str">
        <f t="shared" si="173"/>
        <v/>
      </c>
      <c r="G2153" s="10" t="str">
        <v/>
      </c>
      <c r="H2153" s="11" t="str">
        <v/>
      </c>
      <c r="I2153" s="11" t="str">
        <v/>
      </c>
    </row>
    <row r="2154" spans="2:9">
      <c r="B2154" s="11" t="str">
        <f t="shared" si="171"/>
        <v/>
      </c>
      <c r="C2154" s="11" t="str">
        <f t="shared" si="174"/>
        <v/>
      </c>
      <c r="D2154" s="11" t="str">
        <f t="shared" si="175"/>
        <v/>
      </c>
      <c r="E2154" s="11" t="str">
        <f t="shared" si="172"/>
        <v/>
      </c>
      <c r="F2154" s="11" t="str">
        <f t="shared" si="173"/>
        <v/>
      </c>
      <c r="G2154" s="10" t="str">
        <v/>
      </c>
      <c r="H2154" s="11" t="str">
        <v/>
      </c>
      <c r="I2154" s="11" t="str">
        <v/>
      </c>
    </row>
    <row r="2155" spans="2:9">
      <c r="B2155" s="11" t="str">
        <f t="shared" si="171"/>
        <v/>
      </c>
      <c r="C2155" s="11" t="str">
        <f t="shared" si="174"/>
        <v/>
      </c>
      <c r="D2155" s="11" t="str">
        <f t="shared" si="175"/>
        <v/>
      </c>
      <c r="E2155" s="11" t="str">
        <f t="shared" si="172"/>
        <v/>
      </c>
      <c r="F2155" s="11" t="str">
        <f t="shared" si="173"/>
        <v/>
      </c>
      <c r="G2155" s="10" t="str">
        <v/>
      </c>
      <c r="H2155" s="11" t="str">
        <v/>
      </c>
      <c r="I2155" s="11" t="str">
        <v/>
      </c>
    </row>
    <row r="2156" spans="2:9">
      <c r="B2156" s="11" t="str">
        <f t="shared" si="171"/>
        <v/>
      </c>
      <c r="C2156" s="11" t="str">
        <f t="shared" si="174"/>
        <v/>
      </c>
      <c r="D2156" s="11" t="str">
        <f t="shared" si="175"/>
        <v/>
      </c>
      <c r="E2156" s="11" t="str">
        <f t="shared" si="172"/>
        <v/>
      </c>
      <c r="F2156" s="11" t="str">
        <f t="shared" si="173"/>
        <v/>
      </c>
      <c r="G2156" s="10" t="str">
        <v/>
      </c>
      <c r="H2156" s="11" t="str">
        <v/>
      </c>
      <c r="I2156" s="11" t="str">
        <v/>
      </c>
    </row>
    <row r="2157" spans="2:9">
      <c r="B2157" s="11" t="str">
        <f t="shared" si="171"/>
        <v/>
      </c>
      <c r="C2157" s="11" t="str">
        <f t="shared" si="174"/>
        <v/>
      </c>
      <c r="D2157" s="11" t="str">
        <f t="shared" si="175"/>
        <v/>
      </c>
      <c r="E2157" s="11" t="str">
        <f t="shared" si="172"/>
        <v/>
      </c>
      <c r="F2157" s="11" t="str">
        <f t="shared" si="173"/>
        <v/>
      </c>
      <c r="G2157" s="10" t="str">
        <v/>
      </c>
      <c r="H2157" s="11" t="str">
        <v/>
      </c>
      <c r="I2157" s="11" t="str">
        <v/>
      </c>
    </row>
    <row r="2158" spans="2:9">
      <c r="B2158" s="11" t="str">
        <f t="shared" si="171"/>
        <v/>
      </c>
      <c r="C2158" s="11" t="str">
        <f t="shared" si="174"/>
        <v/>
      </c>
      <c r="D2158" s="11" t="str">
        <f t="shared" si="175"/>
        <v/>
      </c>
      <c r="E2158" s="11" t="str">
        <f t="shared" si="172"/>
        <v/>
      </c>
      <c r="F2158" s="11" t="str">
        <f t="shared" si="173"/>
        <v/>
      </c>
      <c r="G2158" s="10" t="str">
        <v/>
      </c>
      <c r="H2158" s="11" t="str">
        <v/>
      </c>
      <c r="I2158" s="11" t="str">
        <v/>
      </c>
    </row>
    <row r="2159" spans="2:9">
      <c r="B2159" s="11" t="str">
        <f t="shared" si="171"/>
        <v/>
      </c>
      <c r="C2159" s="11" t="str">
        <f t="shared" si="174"/>
        <v/>
      </c>
      <c r="D2159" s="11" t="str">
        <f t="shared" si="175"/>
        <v/>
      </c>
      <c r="E2159" s="11" t="str">
        <f t="shared" si="172"/>
        <v/>
      </c>
      <c r="F2159" s="11" t="str">
        <f t="shared" si="173"/>
        <v/>
      </c>
      <c r="G2159" s="10" t="str">
        <v/>
      </c>
      <c r="H2159" s="11" t="str">
        <v/>
      </c>
      <c r="I2159" s="11" t="str">
        <v/>
      </c>
    </row>
    <row r="2160" spans="2:9">
      <c r="B2160" s="11" t="str">
        <f t="shared" si="171"/>
        <v/>
      </c>
      <c r="C2160" s="11" t="str">
        <f t="shared" si="174"/>
        <v/>
      </c>
      <c r="D2160" s="11" t="str">
        <f t="shared" si="175"/>
        <v/>
      </c>
      <c r="E2160" s="11" t="str">
        <f t="shared" si="172"/>
        <v/>
      </c>
      <c r="F2160" s="11" t="str">
        <f t="shared" si="173"/>
        <v/>
      </c>
      <c r="G2160" s="10" t="str">
        <v/>
      </c>
      <c r="H2160" s="11" t="str">
        <v/>
      </c>
      <c r="I2160" s="11" t="str">
        <v/>
      </c>
    </row>
    <row r="2161" spans="2:9">
      <c r="B2161" s="11" t="str">
        <f t="shared" si="171"/>
        <v/>
      </c>
      <c r="C2161" s="11" t="str">
        <f t="shared" si="174"/>
        <v/>
      </c>
      <c r="D2161" s="11" t="str">
        <f t="shared" si="175"/>
        <v/>
      </c>
      <c r="E2161" s="11" t="str">
        <f t="shared" si="172"/>
        <v/>
      </c>
      <c r="F2161" s="11" t="str">
        <f t="shared" si="173"/>
        <v/>
      </c>
      <c r="G2161" s="10" t="str">
        <v/>
      </c>
      <c r="H2161" s="11" t="str">
        <v/>
      </c>
      <c r="I2161" s="11" t="str">
        <v/>
      </c>
    </row>
    <row r="2162" spans="2:9">
      <c r="B2162" s="11" t="str">
        <f t="shared" si="171"/>
        <v/>
      </c>
      <c r="C2162" s="11" t="str">
        <f t="shared" si="174"/>
        <v/>
      </c>
      <c r="D2162" s="11" t="str">
        <f t="shared" si="175"/>
        <v/>
      </c>
      <c r="E2162" s="11" t="str">
        <f t="shared" si="172"/>
        <v/>
      </c>
      <c r="F2162" s="11" t="str">
        <f t="shared" si="173"/>
        <v/>
      </c>
      <c r="G2162" s="10" t="str">
        <v/>
      </c>
      <c r="H2162" s="11" t="str">
        <v/>
      </c>
      <c r="I2162" s="11" t="str">
        <v/>
      </c>
    </row>
    <row r="2163" spans="2:9">
      <c r="B2163" s="11" t="str">
        <f t="shared" si="171"/>
        <v/>
      </c>
      <c r="C2163" s="11" t="str">
        <f t="shared" si="174"/>
        <v/>
      </c>
      <c r="D2163" s="11" t="str">
        <f t="shared" si="175"/>
        <v/>
      </c>
      <c r="E2163" s="11" t="str">
        <f t="shared" si="172"/>
        <v/>
      </c>
      <c r="F2163" s="11" t="str">
        <f t="shared" si="173"/>
        <v/>
      </c>
      <c r="G2163" s="10" t="str">
        <v/>
      </c>
      <c r="H2163" s="11" t="str">
        <v/>
      </c>
      <c r="I2163" s="11" t="str">
        <v/>
      </c>
    </row>
    <row r="2164" spans="2:9">
      <c r="B2164" s="11" t="str">
        <f t="shared" si="171"/>
        <v/>
      </c>
      <c r="C2164" s="11" t="str">
        <f t="shared" si="174"/>
        <v/>
      </c>
      <c r="D2164" s="11" t="str">
        <f t="shared" si="175"/>
        <v/>
      </c>
      <c r="E2164" s="11" t="str">
        <f t="shared" si="172"/>
        <v/>
      </c>
      <c r="F2164" s="11" t="str">
        <f t="shared" si="173"/>
        <v/>
      </c>
      <c r="G2164" s="10" t="str">
        <v/>
      </c>
      <c r="H2164" s="11" t="str">
        <v/>
      </c>
      <c r="I2164" s="11" t="str">
        <v/>
      </c>
    </row>
    <row r="2165" spans="2:9">
      <c r="B2165" s="11" t="str">
        <f t="shared" si="171"/>
        <v/>
      </c>
      <c r="C2165" s="11" t="str">
        <f t="shared" si="174"/>
        <v/>
      </c>
      <c r="D2165" s="11" t="str">
        <f t="shared" si="175"/>
        <v/>
      </c>
      <c r="E2165" s="11" t="str">
        <f t="shared" si="172"/>
        <v/>
      </c>
      <c r="F2165" s="11" t="str">
        <f t="shared" si="173"/>
        <v/>
      </c>
      <c r="G2165" s="10" t="str">
        <v/>
      </c>
      <c r="H2165" s="11" t="str">
        <v/>
      </c>
      <c r="I2165" s="11" t="str">
        <v/>
      </c>
    </row>
    <row r="2166" spans="2:9">
      <c r="B2166" s="11" t="str">
        <f t="shared" si="171"/>
        <v/>
      </c>
      <c r="C2166" s="11" t="str">
        <f t="shared" si="174"/>
        <v/>
      </c>
      <c r="D2166" s="11" t="str">
        <f t="shared" si="175"/>
        <v/>
      </c>
      <c r="E2166" s="11" t="str">
        <f t="shared" si="172"/>
        <v/>
      </c>
      <c r="F2166" s="11" t="str">
        <f t="shared" si="173"/>
        <v/>
      </c>
      <c r="G2166" s="10" t="str">
        <v/>
      </c>
      <c r="H2166" s="11" t="str">
        <v/>
      </c>
      <c r="I2166" s="11" t="str">
        <v/>
      </c>
    </row>
    <row r="2167" spans="2:9">
      <c r="B2167" s="11" t="str">
        <f t="shared" si="171"/>
        <v/>
      </c>
      <c r="C2167" s="11" t="str">
        <f t="shared" si="174"/>
        <v/>
      </c>
      <c r="D2167" s="11" t="str">
        <f t="shared" si="175"/>
        <v/>
      </c>
      <c r="E2167" s="11" t="str">
        <f t="shared" si="172"/>
        <v/>
      </c>
      <c r="F2167" s="11" t="str">
        <f t="shared" si="173"/>
        <v/>
      </c>
      <c r="G2167" s="10" t="str">
        <v/>
      </c>
      <c r="H2167" s="11" t="str">
        <v/>
      </c>
      <c r="I2167" s="11" t="str">
        <v/>
      </c>
    </row>
    <row r="2168" spans="2:9">
      <c r="B2168" s="11" t="str">
        <f t="shared" si="171"/>
        <v/>
      </c>
      <c r="C2168" s="11" t="str">
        <f t="shared" si="174"/>
        <v/>
      </c>
      <c r="D2168" s="11" t="str">
        <f t="shared" si="175"/>
        <v/>
      </c>
      <c r="E2168" s="11" t="str">
        <f t="shared" si="172"/>
        <v/>
      </c>
      <c r="F2168" s="11" t="str">
        <f t="shared" si="173"/>
        <v/>
      </c>
      <c r="G2168" s="10" t="str">
        <v/>
      </c>
      <c r="H2168" s="11" t="str">
        <v/>
      </c>
      <c r="I2168" s="11" t="str">
        <v/>
      </c>
    </row>
    <row r="2169" spans="2:9">
      <c r="B2169" s="11" t="str">
        <f t="shared" si="171"/>
        <v/>
      </c>
      <c r="C2169" s="11" t="str">
        <f t="shared" si="174"/>
        <v/>
      </c>
      <c r="D2169" s="11" t="str">
        <f t="shared" si="175"/>
        <v/>
      </c>
      <c r="E2169" s="11" t="str">
        <f t="shared" si="172"/>
        <v/>
      </c>
      <c r="F2169" s="11" t="str">
        <f t="shared" si="173"/>
        <v/>
      </c>
      <c r="G2169" s="10" t="str">
        <v/>
      </c>
      <c r="H2169" s="11" t="str">
        <v/>
      </c>
      <c r="I2169" s="11" t="str">
        <v/>
      </c>
    </row>
    <row r="2170" spans="2:9">
      <c r="B2170" s="11" t="str">
        <f t="shared" si="171"/>
        <v/>
      </c>
      <c r="C2170" s="11" t="str">
        <f t="shared" si="174"/>
        <v/>
      </c>
      <c r="D2170" s="11" t="str">
        <f t="shared" si="175"/>
        <v/>
      </c>
      <c r="E2170" s="11" t="str">
        <f t="shared" si="172"/>
        <v/>
      </c>
      <c r="F2170" s="11" t="str">
        <f t="shared" si="173"/>
        <v/>
      </c>
      <c r="G2170" s="10" t="str">
        <v/>
      </c>
      <c r="H2170" s="11" t="str">
        <v/>
      </c>
      <c r="I2170" s="11" t="str">
        <v/>
      </c>
    </row>
    <row r="2171" spans="2:9">
      <c r="B2171" s="11" t="str">
        <f t="shared" si="171"/>
        <v/>
      </c>
      <c r="C2171" s="11" t="str">
        <f t="shared" si="174"/>
        <v/>
      </c>
      <c r="D2171" s="11" t="str">
        <f t="shared" si="175"/>
        <v/>
      </c>
      <c r="E2171" s="11" t="str">
        <f t="shared" si="172"/>
        <v/>
      </c>
      <c r="F2171" s="11" t="str">
        <f t="shared" si="173"/>
        <v/>
      </c>
      <c r="G2171" s="10" t="str">
        <v/>
      </c>
      <c r="H2171" s="11" t="str">
        <v/>
      </c>
      <c r="I2171" s="11" t="str">
        <v/>
      </c>
    </row>
    <row r="2172" spans="2:9">
      <c r="B2172" s="11" t="str">
        <f t="shared" si="171"/>
        <v/>
      </c>
      <c r="C2172" s="11" t="str">
        <f t="shared" si="174"/>
        <v/>
      </c>
      <c r="D2172" s="11" t="str">
        <f t="shared" si="175"/>
        <v/>
      </c>
      <c r="E2172" s="11" t="str">
        <f t="shared" si="172"/>
        <v/>
      </c>
      <c r="F2172" s="11" t="str">
        <f t="shared" si="173"/>
        <v/>
      </c>
      <c r="G2172" s="10" t="str">
        <v/>
      </c>
      <c r="H2172" s="11" t="str">
        <v/>
      </c>
      <c r="I2172" s="11" t="str">
        <v/>
      </c>
    </row>
    <row r="2173" spans="2:9">
      <c r="B2173" s="11" t="str">
        <f t="shared" si="171"/>
        <v/>
      </c>
      <c r="C2173" s="11" t="str">
        <f t="shared" si="174"/>
        <v/>
      </c>
      <c r="D2173" s="11" t="str">
        <f t="shared" si="175"/>
        <v/>
      </c>
      <c r="E2173" s="11" t="str">
        <f t="shared" si="172"/>
        <v/>
      </c>
      <c r="F2173" s="11" t="str">
        <f t="shared" si="173"/>
        <v/>
      </c>
      <c r="G2173" s="10" t="str">
        <v/>
      </c>
      <c r="H2173" s="11" t="str">
        <v/>
      </c>
      <c r="I2173" s="11" t="str">
        <v/>
      </c>
    </row>
    <row r="2174" spans="2:9">
      <c r="B2174" s="11" t="str">
        <f t="shared" si="171"/>
        <v/>
      </c>
      <c r="C2174" s="11" t="str">
        <f t="shared" si="174"/>
        <v/>
      </c>
      <c r="D2174" s="11" t="str">
        <f t="shared" si="175"/>
        <v/>
      </c>
      <c r="E2174" s="11" t="str">
        <f t="shared" si="172"/>
        <v/>
      </c>
      <c r="F2174" s="11" t="str">
        <f t="shared" si="173"/>
        <v/>
      </c>
      <c r="G2174" s="10" t="str">
        <v/>
      </c>
      <c r="H2174" s="11" t="str">
        <v/>
      </c>
      <c r="I2174" s="11" t="str">
        <v/>
      </c>
    </row>
    <row r="2175" spans="2:9">
      <c r="B2175" s="11" t="str">
        <f t="shared" si="171"/>
        <v/>
      </c>
      <c r="C2175" s="11" t="str">
        <f t="shared" si="174"/>
        <v/>
      </c>
      <c r="D2175" s="11" t="str">
        <f t="shared" si="175"/>
        <v/>
      </c>
      <c r="E2175" s="11" t="str">
        <f t="shared" si="172"/>
        <v/>
      </c>
      <c r="F2175" s="11" t="str">
        <f t="shared" si="173"/>
        <v/>
      </c>
      <c r="G2175" s="10" t="str">
        <v/>
      </c>
      <c r="H2175" s="11" t="str">
        <v/>
      </c>
      <c r="I2175" s="11" t="str">
        <v/>
      </c>
    </row>
    <row r="2176" spans="2:9">
      <c r="B2176" s="11" t="str">
        <f t="shared" si="171"/>
        <v/>
      </c>
      <c r="C2176" s="11" t="str">
        <f t="shared" si="174"/>
        <v/>
      </c>
      <c r="D2176" s="11" t="str">
        <f t="shared" si="175"/>
        <v/>
      </c>
      <c r="E2176" s="11" t="str">
        <f t="shared" si="172"/>
        <v/>
      </c>
      <c r="F2176" s="11" t="str">
        <f t="shared" si="173"/>
        <v/>
      </c>
      <c r="G2176" s="10" t="str">
        <v/>
      </c>
      <c r="H2176" s="11" t="str">
        <v/>
      </c>
      <c r="I2176" s="11" t="str">
        <v/>
      </c>
    </row>
    <row r="2177" spans="2:9">
      <c r="B2177" s="11" t="str">
        <f t="shared" ref="B2177:B2240" si="176">IFERROR(IF(FIND(" ",A2177)=6,IF(IFERROR(FIND(" PB",A2177),"")&lt;&gt;"","артикул",IF(IFERROR(FIND(" CRN",A2177),"")&lt;&gt;"","артикул","")),""),"")</f>
        <v/>
      </c>
      <c r="C2177" s="11" t="str">
        <f t="shared" si="174"/>
        <v/>
      </c>
      <c r="D2177" s="11" t="str">
        <f t="shared" si="175"/>
        <v/>
      </c>
      <c r="E2177" s="11" t="str">
        <f t="shared" si="172"/>
        <v/>
      </c>
      <c r="F2177" s="11" t="str">
        <f t="shared" si="173"/>
        <v/>
      </c>
      <c r="G2177" s="10" t="str">
        <v/>
      </c>
      <c r="H2177" s="11" t="str">
        <v/>
      </c>
      <c r="I2177" s="11" t="str">
        <v/>
      </c>
    </row>
    <row r="2178" spans="2:9">
      <c r="B2178" s="11" t="str">
        <f t="shared" si="176"/>
        <v/>
      </c>
      <c r="C2178" s="11" t="str">
        <f t="shared" si="174"/>
        <v/>
      </c>
      <c r="D2178" s="11" t="str">
        <f t="shared" si="175"/>
        <v/>
      </c>
      <c r="E2178" s="11" t="str">
        <f t="shared" ref="E2178:E2241" si="177" xml:space="preserve">
IF(B2178="Артикул",
IF(
AND(RIGHT(A2179,1)="%",
RIGHT(A2180,1)="%",
RIGHT(A2181,1)="%",
RIGHT(A2182,1)="%"),MID(A2183,FIND(" ",A2183),50),
IF(
AND(RIGHT(A2179,1)="%",
RIGHT(A2180,1)="%",
RIGHT(A2181,1)="%"),MID(A2182,FIND(" ",A2182),50),
IF(
AND(RIGHT(A2179,1)="%",
RIGHT(A2180,1)="%"),
MID(A2181,FIND(" ",A2181),50),
IF(
RIGHT(A2179,1)="%",
MID(A2180,FIND(" ",A2180),50),"")))),"")</f>
        <v/>
      </c>
      <c r="F2178" s="11" t="str">
        <f t="shared" ref="F2178:F2241" si="178">IFERROR(
IF(
AND(LEFT(A2178,8)="Discount",FIND("%",A2178)&gt;0),
MID(A2178,
FIND(" ",A2178),
FIND("%",A2178)-FIND(" ",A2178))
*-1,""),"")</f>
        <v/>
      </c>
      <c r="G2178" s="10" t="str">
        <v/>
      </c>
      <c r="H2178" s="11" t="str">
        <v/>
      </c>
      <c r="I2178" s="11" t="str">
        <v/>
      </c>
    </row>
    <row r="2179" spans="2:9">
      <c r="B2179" s="11" t="str">
        <f t="shared" si="176"/>
        <v/>
      </c>
      <c r="C2179" s="11" t="str">
        <f t="shared" si="174"/>
        <v/>
      </c>
      <c r="D2179" s="11" t="str">
        <f t="shared" si="175"/>
        <v/>
      </c>
      <c r="E2179" s="11" t="str">
        <f t="shared" si="177"/>
        <v/>
      </c>
      <c r="F2179" s="11" t="str">
        <f t="shared" si="178"/>
        <v/>
      </c>
      <c r="G2179" s="10" t="str">
        <v/>
      </c>
      <c r="H2179" s="11" t="str">
        <v/>
      </c>
      <c r="I2179" s="11" t="str">
        <v/>
      </c>
    </row>
    <row r="2180" spans="2:9">
      <c r="B2180" s="11" t="str">
        <f t="shared" si="176"/>
        <v/>
      </c>
      <c r="C2180" s="11" t="str">
        <f t="shared" si="174"/>
        <v/>
      </c>
      <c r="D2180" s="11" t="str">
        <f t="shared" si="175"/>
        <v/>
      </c>
      <c r="E2180" s="11" t="str">
        <f t="shared" si="177"/>
        <v/>
      </c>
      <c r="F2180" s="11" t="str">
        <f t="shared" si="178"/>
        <v/>
      </c>
      <c r="G2180" s="10" t="str">
        <v/>
      </c>
      <c r="H2180" s="11" t="str">
        <v/>
      </c>
      <c r="I2180" s="11" t="str">
        <v/>
      </c>
    </row>
    <row r="2181" spans="2:9">
      <c r="B2181" s="11" t="str">
        <f t="shared" si="176"/>
        <v/>
      </c>
      <c r="C2181" s="11" t="str">
        <f t="shared" si="174"/>
        <v/>
      </c>
      <c r="D2181" s="11" t="str">
        <f t="shared" si="175"/>
        <v/>
      </c>
      <c r="E2181" s="11" t="str">
        <f t="shared" si="177"/>
        <v/>
      </c>
      <c r="F2181" s="11" t="str">
        <f t="shared" si="178"/>
        <v/>
      </c>
      <c r="G2181" s="10" t="str">
        <v/>
      </c>
      <c r="H2181" s="11" t="str">
        <v/>
      </c>
      <c r="I2181" s="11" t="str">
        <v/>
      </c>
    </row>
    <row r="2182" spans="2:9">
      <c r="B2182" s="11" t="str">
        <f t="shared" si="176"/>
        <v/>
      </c>
      <c r="C2182" s="11" t="str">
        <f t="shared" si="174"/>
        <v/>
      </c>
      <c r="D2182" s="11" t="str">
        <f t="shared" si="175"/>
        <v/>
      </c>
      <c r="E2182" s="11" t="str">
        <f t="shared" si="177"/>
        <v/>
      </c>
      <c r="F2182" s="11" t="str">
        <f t="shared" si="178"/>
        <v/>
      </c>
      <c r="G2182" s="10" t="str">
        <v/>
      </c>
      <c r="H2182" s="11" t="str">
        <v/>
      </c>
      <c r="I2182" s="11" t="str">
        <v/>
      </c>
    </row>
    <row r="2183" spans="2:9">
      <c r="B2183" s="11" t="str">
        <f t="shared" si="176"/>
        <v/>
      </c>
      <c r="C2183" s="11" t="str">
        <f t="shared" si="174"/>
        <v/>
      </c>
      <c r="D2183" s="11" t="str">
        <f t="shared" si="175"/>
        <v/>
      </c>
      <c r="E2183" s="11" t="str">
        <f t="shared" si="177"/>
        <v/>
      </c>
      <c r="F2183" s="11" t="str">
        <f t="shared" si="178"/>
        <v/>
      </c>
      <c r="G2183" s="10" t="str">
        <v/>
      </c>
      <c r="H2183" s="11" t="str">
        <v/>
      </c>
      <c r="I2183" s="11" t="str">
        <v/>
      </c>
    </row>
    <row r="2184" spans="2:9">
      <c r="B2184" s="11" t="str">
        <f t="shared" si="176"/>
        <v/>
      </c>
      <c r="C2184" s="11" t="str">
        <f t="shared" si="174"/>
        <v/>
      </c>
      <c r="D2184" s="11" t="str">
        <f t="shared" si="175"/>
        <v/>
      </c>
      <c r="E2184" s="11" t="str">
        <f t="shared" si="177"/>
        <v/>
      </c>
      <c r="F2184" s="11" t="str">
        <f t="shared" si="178"/>
        <v/>
      </c>
      <c r="G2184" s="10" t="str">
        <v/>
      </c>
      <c r="H2184" s="11" t="str">
        <v/>
      </c>
      <c r="I2184" s="11" t="str">
        <v/>
      </c>
    </row>
    <row r="2185" spans="2:9">
      <c r="B2185" s="11" t="str">
        <f t="shared" si="176"/>
        <v/>
      </c>
      <c r="C2185" s="11" t="str">
        <f t="shared" si="174"/>
        <v/>
      </c>
      <c r="D2185" s="11" t="str">
        <f t="shared" si="175"/>
        <v/>
      </c>
      <c r="E2185" s="11" t="str">
        <f t="shared" si="177"/>
        <v/>
      </c>
      <c r="F2185" s="11" t="str">
        <f t="shared" si="178"/>
        <v/>
      </c>
      <c r="G2185" s="10" t="str">
        <v/>
      </c>
      <c r="H2185" s="11" t="str">
        <v/>
      </c>
      <c r="I2185" s="11" t="str">
        <v/>
      </c>
    </row>
    <row r="2186" spans="2:9">
      <c r="B2186" s="11" t="str">
        <f t="shared" si="176"/>
        <v/>
      </c>
      <c r="C2186" s="11" t="str">
        <f t="shared" si="174"/>
        <v/>
      </c>
      <c r="D2186" s="11" t="str">
        <f t="shared" si="175"/>
        <v/>
      </c>
      <c r="E2186" s="11" t="str">
        <f t="shared" si="177"/>
        <v/>
      </c>
      <c r="F2186" s="11" t="str">
        <f t="shared" si="178"/>
        <v/>
      </c>
      <c r="G2186" s="10" t="str">
        <v/>
      </c>
      <c r="H2186" s="11" t="str">
        <v/>
      </c>
      <c r="I2186" s="11" t="str">
        <v/>
      </c>
    </row>
    <row r="2187" spans="2:9">
      <c r="B2187" s="11" t="str">
        <f t="shared" si="176"/>
        <v/>
      </c>
      <c r="C2187" s="11" t="str">
        <f t="shared" si="174"/>
        <v/>
      </c>
      <c r="D2187" s="11" t="str">
        <f t="shared" si="175"/>
        <v/>
      </c>
      <c r="E2187" s="11" t="str">
        <f t="shared" si="177"/>
        <v/>
      </c>
      <c r="F2187" s="11" t="str">
        <f t="shared" si="178"/>
        <v/>
      </c>
      <c r="G2187" s="10" t="str">
        <v/>
      </c>
      <c r="H2187" s="11" t="str">
        <v/>
      </c>
      <c r="I2187" s="11" t="str">
        <v/>
      </c>
    </row>
    <row r="2188" spans="2:9">
      <c r="B2188" s="11" t="str">
        <f t="shared" si="176"/>
        <v/>
      </c>
      <c r="C2188" s="11" t="str">
        <f t="shared" si="174"/>
        <v/>
      </c>
      <c r="D2188" s="11" t="str">
        <f t="shared" si="175"/>
        <v/>
      </c>
      <c r="E2188" s="11" t="str">
        <f t="shared" si="177"/>
        <v/>
      </c>
      <c r="F2188" s="11" t="str">
        <f t="shared" si="178"/>
        <v/>
      </c>
      <c r="G2188" s="10" t="str">
        <v/>
      </c>
      <c r="H2188" s="11" t="str">
        <v/>
      </c>
      <c r="I2188" s="11" t="str">
        <v/>
      </c>
    </row>
    <row r="2189" spans="2:9">
      <c r="B2189" s="11" t="str">
        <f t="shared" si="176"/>
        <v/>
      </c>
      <c r="C2189" s="11" t="str">
        <f t="shared" ref="C2189:C2252" si="179">IF(B2189="артикул",A2189,"")</f>
        <v/>
      </c>
      <c r="D2189" s="11" t="str">
        <f t="shared" ref="D2189:D2252" si="180">IF(B2189="артикул",A2190,"")</f>
        <v/>
      </c>
      <c r="E2189" s="11" t="str">
        <f t="shared" si="177"/>
        <v/>
      </c>
      <c r="F2189" s="11" t="str">
        <f t="shared" si="178"/>
        <v/>
      </c>
      <c r="G2189" s="10" t="str">
        <v/>
      </c>
      <c r="H2189" s="11" t="str">
        <v/>
      </c>
      <c r="I2189" s="11" t="str">
        <v/>
      </c>
    </row>
    <row r="2190" spans="2:9">
      <c r="B2190" s="11" t="str">
        <f t="shared" si="176"/>
        <v/>
      </c>
      <c r="C2190" s="11" t="str">
        <f t="shared" si="179"/>
        <v/>
      </c>
      <c r="D2190" s="11" t="str">
        <f t="shared" si="180"/>
        <v/>
      </c>
      <c r="E2190" s="11" t="str">
        <f t="shared" si="177"/>
        <v/>
      </c>
      <c r="F2190" s="11" t="str">
        <f t="shared" si="178"/>
        <v/>
      </c>
      <c r="G2190" s="10" t="str">
        <v/>
      </c>
      <c r="H2190" s="11" t="str">
        <v/>
      </c>
      <c r="I2190" s="11" t="str">
        <v/>
      </c>
    </row>
    <row r="2191" spans="2:9">
      <c r="B2191" s="11" t="str">
        <f t="shared" si="176"/>
        <v/>
      </c>
      <c r="C2191" s="11" t="str">
        <f t="shared" si="179"/>
        <v/>
      </c>
      <c r="D2191" s="11" t="str">
        <f t="shared" si="180"/>
        <v/>
      </c>
      <c r="E2191" s="11" t="str">
        <f t="shared" si="177"/>
        <v/>
      </c>
      <c r="F2191" s="11" t="str">
        <f t="shared" si="178"/>
        <v/>
      </c>
      <c r="G2191" s="10" t="str">
        <v/>
      </c>
      <c r="H2191" s="11" t="str">
        <v/>
      </c>
      <c r="I2191" s="11" t="str">
        <v/>
      </c>
    </row>
    <row r="2192" spans="2:9">
      <c r="B2192" s="11" t="str">
        <f t="shared" si="176"/>
        <v/>
      </c>
      <c r="C2192" s="11" t="str">
        <f t="shared" si="179"/>
        <v/>
      </c>
      <c r="D2192" s="11" t="str">
        <f t="shared" si="180"/>
        <v/>
      </c>
      <c r="E2192" s="11" t="str">
        <f t="shared" si="177"/>
        <v/>
      </c>
      <c r="F2192" s="11" t="str">
        <f t="shared" si="178"/>
        <v/>
      </c>
      <c r="G2192" s="10" t="str">
        <v/>
      </c>
      <c r="H2192" s="11" t="str">
        <v/>
      </c>
      <c r="I2192" s="11" t="str">
        <v/>
      </c>
    </row>
    <row r="2193" spans="2:9">
      <c r="B2193" s="11" t="str">
        <f t="shared" si="176"/>
        <v/>
      </c>
      <c r="C2193" s="11" t="str">
        <f t="shared" si="179"/>
        <v/>
      </c>
      <c r="D2193" s="11" t="str">
        <f t="shared" si="180"/>
        <v/>
      </c>
      <c r="E2193" s="11" t="str">
        <f t="shared" si="177"/>
        <v/>
      </c>
      <c r="F2193" s="11" t="str">
        <f t="shared" si="178"/>
        <v/>
      </c>
      <c r="G2193" s="10" t="str">
        <v/>
      </c>
      <c r="H2193" s="11" t="str">
        <v/>
      </c>
      <c r="I2193" s="11" t="str">
        <v/>
      </c>
    </row>
    <row r="2194" spans="2:9">
      <c r="B2194" s="11" t="str">
        <f t="shared" si="176"/>
        <v/>
      </c>
      <c r="C2194" s="11" t="str">
        <f t="shared" si="179"/>
        <v/>
      </c>
      <c r="D2194" s="11" t="str">
        <f t="shared" si="180"/>
        <v/>
      </c>
      <c r="E2194" s="11" t="str">
        <f t="shared" si="177"/>
        <v/>
      </c>
      <c r="F2194" s="11" t="str">
        <f t="shared" si="178"/>
        <v/>
      </c>
      <c r="G2194" s="10" t="str">
        <v/>
      </c>
      <c r="H2194" s="11" t="str">
        <v/>
      </c>
      <c r="I2194" s="11" t="str">
        <v/>
      </c>
    </row>
    <row r="2195" spans="2:9">
      <c r="B2195" s="11" t="str">
        <f t="shared" si="176"/>
        <v/>
      </c>
      <c r="C2195" s="11" t="str">
        <f t="shared" si="179"/>
        <v/>
      </c>
      <c r="D2195" s="11" t="str">
        <f t="shared" si="180"/>
        <v/>
      </c>
      <c r="E2195" s="11" t="str">
        <f t="shared" si="177"/>
        <v/>
      </c>
      <c r="F2195" s="11" t="str">
        <f t="shared" si="178"/>
        <v/>
      </c>
      <c r="G2195" s="10" t="str">
        <v/>
      </c>
      <c r="H2195" s="11" t="str">
        <v/>
      </c>
      <c r="I2195" s="11" t="str">
        <v/>
      </c>
    </row>
    <row r="2196" spans="2:9">
      <c r="B2196" s="11" t="str">
        <f t="shared" si="176"/>
        <v/>
      </c>
      <c r="C2196" s="11" t="str">
        <f t="shared" si="179"/>
        <v/>
      </c>
      <c r="D2196" s="11" t="str">
        <f t="shared" si="180"/>
        <v/>
      </c>
      <c r="E2196" s="11" t="str">
        <f t="shared" si="177"/>
        <v/>
      </c>
      <c r="F2196" s="11" t="str">
        <f t="shared" si="178"/>
        <v/>
      </c>
      <c r="G2196" s="10" t="str">
        <v/>
      </c>
      <c r="H2196" s="11" t="str">
        <v/>
      </c>
      <c r="I2196" s="11" t="str">
        <v/>
      </c>
    </row>
    <row r="2197" spans="2:9">
      <c r="B2197" s="11" t="str">
        <f t="shared" si="176"/>
        <v/>
      </c>
      <c r="C2197" s="11" t="str">
        <f t="shared" si="179"/>
        <v/>
      </c>
      <c r="D2197" s="11" t="str">
        <f t="shared" si="180"/>
        <v/>
      </c>
      <c r="E2197" s="11" t="str">
        <f t="shared" si="177"/>
        <v/>
      </c>
      <c r="F2197" s="11" t="str">
        <f t="shared" si="178"/>
        <v/>
      </c>
      <c r="G2197" s="10" t="str">
        <v/>
      </c>
      <c r="H2197" s="11" t="str">
        <v/>
      </c>
      <c r="I2197" s="11" t="str">
        <v/>
      </c>
    </row>
    <row r="2198" spans="2:9">
      <c r="B2198" s="11" t="str">
        <f t="shared" si="176"/>
        <v/>
      </c>
      <c r="C2198" s="11" t="str">
        <f t="shared" si="179"/>
        <v/>
      </c>
      <c r="D2198" s="11" t="str">
        <f t="shared" si="180"/>
        <v/>
      </c>
      <c r="E2198" s="11" t="str">
        <f t="shared" si="177"/>
        <v/>
      </c>
      <c r="F2198" s="11" t="str">
        <f t="shared" si="178"/>
        <v/>
      </c>
      <c r="G2198" s="10" t="str">
        <v/>
      </c>
      <c r="H2198" s="11" t="str">
        <v/>
      </c>
      <c r="I2198" s="11" t="str">
        <v/>
      </c>
    </row>
    <row r="2199" spans="2:9">
      <c r="B2199" s="11" t="str">
        <f t="shared" si="176"/>
        <v/>
      </c>
      <c r="C2199" s="11" t="str">
        <f t="shared" si="179"/>
        <v/>
      </c>
      <c r="D2199" s="11" t="str">
        <f t="shared" si="180"/>
        <v/>
      </c>
      <c r="E2199" s="11" t="str">
        <f t="shared" si="177"/>
        <v/>
      </c>
      <c r="F2199" s="11" t="str">
        <f t="shared" si="178"/>
        <v/>
      </c>
      <c r="G2199" s="10" t="str">
        <v/>
      </c>
      <c r="H2199" s="11" t="str">
        <v/>
      </c>
      <c r="I2199" s="11" t="str">
        <v/>
      </c>
    </row>
    <row r="2200" spans="2:9">
      <c r="B2200" s="11" t="str">
        <f t="shared" si="176"/>
        <v/>
      </c>
      <c r="C2200" s="11" t="str">
        <f t="shared" si="179"/>
        <v/>
      </c>
      <c r="D2200" s="11" t="str">
        <f t="shared" si="180"/>
        <v/>
      </c>
      <c r="E2200" s="11" t="str">
        <f t="shared" si="177"/>
        <v/>
      </c>
      <c r="F2200" s="11" t="str">
        <f t="shared" si="178"/>
        <v/>
      </c>
      <c r="G2200" s="10" t="str">
        <v/>
      </c>
      <c r="H2200" s="11" t="str">
        <v/>
      </c>
      <c r="I2200" s="11" t="str">
        <v/>
      </c>
    </row>
    <row r="2201" spans="2:9">
      <c r="B2201" s="11" t="str">
        <f t="shared" si="176"/>
        <v/>
      </c>
      <c r="C2201" s="11" t="str">
        <f t="shared" si="179"/>
        <v/>
      </c>
      <c r="D2201" s="11" t="str">
        <f t="shared" si="180"/>
        <v/>
      </c>
      <c r="E2201" s="11" t="str">
        <f t="shared" si="177"/>
        <v/>
      </c>
      <c r="F2201" s="11" t="str">
        <f t="shared" si="178"/>
        <v/>
      </c>
      <c r="G2201" s="10" t="str">
        <v/>
      </c>
      <c r="H2201" s="11" t="str">
        <v/>
      </c>
      <c r="I2201" s="11" t="str">
        <v/>
      </c>
    </row>
    <row r="2202" spans="2:9">
      <c r="B2202" s="11" t="str">
        <f t="shared" si="176"/>
        <v/>
      </c>
      <c r="C2202" s="11" t="str">
        <f t="shared" si="179"/>
        <v/>
      </c>
      <c r="D2202" s="11" t="str">
        <f t="shared" si="180"/>
        <v/>
      </c>
      <c r="E2202" s="11" t="str">
        <f t="shared" si="177"/>
        <v/>
      </c>
      <c r="F2202" s="11" t="str">
        <f t="shared" si="178"/>
        <v/>
      </c>
      <c r="G2202" s="10" t="str">
        <v/>
      </c>
      <c r="H2202" s="11" t="str">
        <v/>
      </c>
      <c r="I2202" s="11" t="str">
        <v/>
      </c>
    </row>
    <row r="2203" spans="2:9">
      <c r="B2203" s="11" t="str">
        <f t="shared" si="176"/>
        <v/>
      </c>
      <c r="C2203" s="11" t="str">
        <f t="shared" si="179"/>
        <v/>
      </c>
      <c r="D2203" s="11" t="str">
        <f t="shared" si="180"/>
        <v/>
      </c>
      <c r="E2203" s="11" t="str">
        <f t="shared" si="177"/>
        <v/>
      </c>
      <c r="F2203" s="11" t="str">
        <f t="shared" si="178"/>
        <v/>
      </c>
      <c r="G2203" s="10" t="str">
        <v/>
      </c>
      <c r="H2203" s="11" t="str">
        <v/>
      </c>
      <c r="I2203" s="11" t="str">
        <v/>
      </c>
    </row>
    <row r="2204" spans="2:9">
      <c r="B2204" s="11" t="str">
        <f t="shared" si="176"/>
        <v/>
      </c>
      <c r="C2204" s="11" t="str">
        <f t="shared" si="179"/>
        <v/>
      </c>
      <c r="D2204" s="11" t="str">
        <f t="shared" si="180"/>
        <v/>
      </c>
      <c r="E2204" s="11" t="str">
        <f t="shared" si="177"/>
        <v/>
      </c>
      <c r="F2204" s="11" t="str">
        <f t="shared" si="178"/>
        <v/>
      </c>
      <c r="G2204" s="10" t="str">
        <v/>
      </c>
      <c r="H2204" s="11" t="str">
        <v/>
      </c>
      <c r="I2204" s="11" t="str">
        <v/>
      </c>
    </row>
    <row r="2205" spans="2:9">
      <c r="B2205" s="11" t="str">
        <f t="shared" si="176"/>
        <v/>
      </c>
      <c r="C2205" s="11" t="str">
        <f t="shared" si="179"/>
        <v/>
      </c>
      <c r="D2205" s="11" t="str">
        <f t="shared" si="180"/>
        <v/>
      </c>
      <c r="E2205" s="11" t="str">
        <f t="shared" si="177"/>
        <v/>
      </c>
      <c r="F2205" s="11" t="str">
        <f t="shared" si="178"/>
        <v/>
      </c>
      <c r="G2205" s="10" t="str">
        <v/>
      </c>
      <c r="H2205" s="11" t="str">
        <v/>
      </c>
      <c r="I2205" s="11" t="str">
        <v/>
      </c>
    </row>
    <row r="2206" spans="2:9">
      <c r="B2206" s="11" t="str">
        <f t="shared" si="176"/>
        <v/>
      </c>
      <c r="C2206" s="11" t="str">
        <f t="shared" si="179"/>
        <v/>
      </c>
      <c r="D2206" s="11" t="str">
        <f t="shared" si="180"/>
        <v/>
      </c>
      <c r="E2206" s="11" t="str">
        <f t="shared" si="177"/>
        <v/>
      </c>
      <c r="F2206" s="11" t="str">
        <f t="shared" si="178"/>
        <v/>
      </c>
      <c r="G2206" s="10" t="str">
        <v/>
      </c>
      <c r="H2206" s="11" t="str">
        <v/>
      </c>
      <c r="I2206" s="11" t="str">
        <v/>
      </c>
    </row>
    <row r="2207" spans="2:9">
      <c r="B2207" s="11" t="str">
        <f t="shared" si="176"/>
        <v/>
      </c>
      <c r="C2207" s="11" t="str">
        <f t="shared" si="179"/>
        <v/>
      </c>
      <c r="D2207" s="11" t="str">
        <f t="shared" si="180"/>
        <v/>
      </c>
      <c r="E2207" s="11" t="str">
        <f t="shared" si="177"/>
        <v/>
      </c>
      <c r="F2207" s="11" t="str">
        <f t="shared" si="178"/>
        <v/>
      </c>
      <c r="G2207" s="10" t="str">
        <v/>
      </c>
      <c r="H2207" s="11" t="str">
        <v/>
      </c>
      <c r="I2207" s="11" t="str">
        <v/>
      </c>
    </row>
    <row r="2208" spans="2:9">
      <c r="B2208" s="11" t="str">
        <f t="shared" si="176"/>
        <v/>
      </c>
      <c r="C2208" s="11" t="str">
        <f t="shared" si="179"/>
        <v/>
      </c>
      <c r="D2208" s="11" t="str">
        <f t="shared" si="180"/>
        <v/>
      </c>
      <c r="E2208" s="11" t="str">
        <f t="shared" si="177"/>
        <v/>
      </c>
      <c r="F2208" s="11" t="str">
        <f t="shared" si="178"/>
        <v/>
      </c>
      <c r="G2208" s="10" t="str">
        <v/>
      </c>
      <c r="H2208" s="11" t="str">
        <v/>
      </c>
      <c r="I2208" s="11" t="str">
        <v/>
      </c>
    </row>
    <row r="2209" spans="2:9">
      <c r="B2209" s="11" t="str">
        <f t="shared" si="176"/>
        <v/>
      </c>
      <c r="C2209" s="11" t="str">
        <f t="shared" si="179"/>
        <v/>
      </c>
      <c r="D2209" s="11" t="str">
        <f t="shared" si="180"/>
        <v/>
      </c>
      <c r="E2209" s="11" t="str">
        <f t="shared" si="177"/>
        <v/>
      </c>
      <c r="F2209" s="11" t="str">
        <f t="shared" si="178"/>
        <v/>
      </c>
      <c r="G2209" s="10" t="str">
        <v/>
      </c>
      <c r="H2209" s="11" t="str">
        <v/>
      </c>
      <c r="I2209" s="11" t="str">
        <v/>
      </c>
    </row>
    <row r="2210" spans="2:9">
      <c r="B2210" s="11" t="str">
        <f t="shared" si="176"/>
        <v/>
      </c>
      <c r="C2210" s="11" t="str">
        <f t="shared" si="179"/>
        <v/>
      </c>
      <c r="D2210" s="11" t="str">
        <f t="shared" si="180"/>
        <v/>
      </c>
      <c r="E2210" s="11" t="str">
        <f t="shared" si="177"/>
        <v/>
      </c>
      <c r="F2210" s="11" t="str">
        <f t="shared" si="178"/>
        <v/>
      </c>
      <c r="G2210" s="10" t="str">
        <v/>
      </c>
      <c r="H2210" s="11" t="str">
        <v/>
      </c>
      <c r="I2210" s="11" t="str">
        <v/>
      </c>
    </row>
    <row r="2211" spans="2:9">
      <c r="B2211" s="11" t="str">
        <f t="shared" si="176"/>
        <v/>
      </c>
      <c r="C2211" s="11" t="str">
        <f t="shared" si="179"/>
        <v/>
      </c>
      <c r="D2211" s="11" t="str">
        <f t="shared" si="180"/>
        <v/>
      </c>
      <c r="E2211" s="11" t="str">
        <f t="shared" si="177"/>
        <v/>
      </c>
      <c r="F2211" s="11" t="str">
        <f t="shared" si="178"/>
        <v/>
      </c>
      <c r="G2211" s="10" t="str">
        <v/>
      </c>
      <c r="H2211" s="11" t="str">
        <v/>
      </c>
      <c r="I2211" s="11" t="str">
        <v/>
      </c>
    </row>
    <row r="2212" spans="2:9">
      <c r="B2212" s="11" t="str">
        <f t="shared" si="176"/>
        <v/>
      </c>
      <c r="C2212" s="11" t="str">
        <f t="shared" si="179"/>
        <v/>
      </c>
      <c r="D2212" s="11" t="str">
        <f t="shared" si="180"/>
        <v/>
      </c>
      <c r="E2212" s="11" t="str">
        <f t="shared" si="177"/>
        <v/>
      </c>
      <c r="F2212" s="11" t="str">
        <f t="shared" si="178"/>
        <v/>
      </c>
      <c r="G2212" s="10" t="str">
        <v/>
      </c>
      <c r="H2212" s="11" t="str">
        <v/>
      </c>
      <c r="I2212" s="11" t="str">
        <v/>
      </c>
    </row>
    <row r="2213" spans="2:9">
      <c r="B2213" s="11" t="str">
        <f t="shared" si="176"/>
        <v/>
      </c>
      <c r="C2213" s="11" t="str">
        <f t="shared" si="179"/>
        <v/>
      </c>
      <c r="D2213" s="11" t="str">
        <f t="shared" si="180"/>
        <v/>
      </c>
      <c r="E2213" s="11" t="str">
        <f t="shared" si="177"/>
        <v/>
      </c>
      <c r="F2213" s="11" t="str">
        <f t="shared" si="178"/>
        <v/>
      </c>
      <c r="G2213" s="10" t="str">
        <v/>
      </c>
      <c r="H2213" s="11" t="str">
        <v/>
      </c>
      <c r="I2213" s="11" t="str">
        <v/>
      </c>
    </row>
    <row r="2214" spans="2:9">
      <c r="B2214" s="11" t="str">
        <f t="shared" si="176"/>
        <v/>
      </c>
      <c r="C2214" s="11" t="str">
        <f t="shared" si="179"/>
        <v/>
      </c>
      <c r="D2214" s="11" t="str">
        <f t="shared" si="180"/>
        <v/>
      </c>
      <c r="E2214" s="11" t="str">
        <f t="shared" si="177"/>
        <v/>
      </c>
      <c r="F2214" s="11" t="str">
        <f t="shared" si="178"/>
        <v/>
      </c>
      <c r="G2214" s="10" t="str">
        <v/>
      </c>
      <c r="H2214" s="11" t="str">
        <v/>
      </c>
      <c r="I2214" s="11" t="str">
        <v/>
      </c>
    </row>
    <row r="2215" spans="2:9">
      <c r="B2215" s="11" t="str">
        <f t="shared" si="176"/>
        <v/>
      </c>
      <c r="C2215" s="11" t="str">
        <f t="shared" si="179"/>
        <v/>
      </c>
      <c r="D2215" s="11" t="str">
        <f t="shared" si="180"/>
        <v/>
      </c>
      <c r="E2215" s="11" t="str">
        <f t="shared" si="177"/>
        <v/>
      </c>
      <c r="F2215" s="11" t="str">
        <f t="shared" si="178"/>
        <v/>
      </c>
      <c r="G2215" s="10" t="str">
        <v/>
      </c>
      <c r="H2215" s="11" t="str">
        <v/>
      </c>
      <c r="I2215" s="11" t="str">
        <v/>
      </c>
    </row>
    <row r="2216" spans="2:9">
      <c r="B2216" s="11" t="str">
        <f t="shared" si="176"/>
        <v/>
      </c>
      <c r="C2216" s="11" t="str">
        <f t="shared" si="179"/>
        <v/>
      </c>
      <c r="D2216" s="11" t="str">
        <f t="shared" si="180"/>
        <v/>
      </c>
      <c r="E2216" s="11" t="str">
        <f t="shared" si="177"/>
        <v/>
      </c>
      <c r="F2216" s="11" t="str">
        <f t="shared" si="178"/>
        <v/>
      </c>
      <c r="G2216" s="10" t="str">
        <v/>
      </c>
      <c r="H2216" s="11" t="str">
        <v/>
      </c>
      <c r="I2216" s="11" t="str">
        <v/>
      </c>
    </row>
    <row r="2217" spans="2:9">
      <c r="B2217" s="11" t="str">
        <f t="shared" si="176"/>
        <v/>
      </c>
      <c r="C2217" s="11" t="str">
        <f t="shared" si="179"/>
        <v/>
      </c>
      <c r="D2217" s="11" t="str">
        <f t="shared" si="180"/>
        <v/>
      </c>
      <c r="E2217" s="11" t="str">
        <f t="shared" si="177"/>
        <v/>
      </c>
      <c r="F2217" s="11" t="str">
        <f t="shared" si="178"/>
        <v/>
      </c>
      <c r="G2217" s="10" t="str">
        <v/>
      </c>
      <c r="H2217" s="11" t="str">
        <v/>
      </c>
      <c r="I2217" s="11" t="str">
        <v/>
      </c>
    </row>
    <row r="2218" spans="2:9">
      <c r="B2218" s="11" t="str">
        <f t="shared" si="176"/>
        <v/>
      </c>
      <c r="C2218" s="11" t="str">
        <f t="shared" si="179"/>
        <v/>
      </c>
      <c r="D2218" s="11" t="str">
        <f t="shared" si="180"/>
        <v/>
      </c>
      <c r="E2218" s="11" t="str">
        <f t="shared" si="177"/>
        <v/>
      </c>
      <c r="F2218" s="11" t="str">
        <f t="shared" si="178"/>
        <v/>
      </c>
      <c r="G2218" s="10" t="str">
        <v/>
      </c>
      <c r="H2218" s="11" t="str">
        <v/>
      </c>
      <c r="I2218" s="11" t="str">
        <v/>
      </c>
    </row>
    <row r="2219" spans="2:9">
      <c r="B2219" s="11" t="str">
        <f t="shared" si="176"/>
        <v/>
      </c>
      <c r="C2219" s="11" t="str">
        <f t="shared" si="179"/>
        <v/>
      </c>
      <c r="D2219" s="11" t="str">
        <f t="shared" si="180"/>
        <v/>
      </c>
      <c r="E2219" s="11" t="str">
        <f t="shared" si="177"/>
        <v/>
      </c>
      <c r="F2219" s="11" t="str">
        <f t="shared" si="178"/>
        <v/>
      </c>
      <c r="G2219" s="10" t="str">
        <v/>
      </c>
      <c r="H2219" s="11" t="str">
        <v/>
      </c>
      <c r="I2219" s="11" t="str">
        <v/>
      </c>
    </row>
    <row r="2220" spans="2:9">
      <c r="B2220" s="11" t="str">
        <f t="shared" si="176"/>
        <v/>
      </c>
      <c r="C2220" s="11" t="str">
        <f t="shared" si="179"/>
        <v/>
      </c>
      <c r="D2220" s="11" t="str">
        <f t="shared" si="180"/>
        <v/>
      </c>
      <c r="E2220" s="11" t="str">
        <f t="shared" si="177"/>
        <v/>
      </c>
      <c r="F2220" s="11" t="str">
        <f t="shared" si="178"/>
        <v/>
      </c>
      <c r="G2220" s="10" t="str">
        <v/>
      </c>
      <c r="H2220" s="11" t="str">
        <v/>
      </c>
      <c r="I2220" s="11" t="str">
        <v/>
      </c>
    </row>
    <row r="2221" spans="2:9">
      <c r="B2221" s="11" t="str">
        <f t="shared" si="176"/>
        <v/>
      </c>
      <c r="C2221" s="11" t="str">
        <f t="shared" si="179"/>
        <v/>
      </c>
      <c r="D2221" s="11" t="str">
        <f t="shared" si="180"/>
        <v/>
      </c>
      <c r="E2221" s="11" t="str">
        <f t="shared" si="177"/>
        <v/>
      </c>
      <c r="F2221" s="11" t="str">
        <f t="shared" si="178"/>
        <v/>
      </c>
      <c r="G2221" s="10" t="str">
        <v/>
      </c>
      <c r="H2221" s="11" t="str">
        <v/>
      </c>
      <c r="I2221" s="11" t="str">
        <v/>
      </c>
    </row>
    <row r="2222" spans="2:9">
      <c r="B2222" s="11" t="str">
        <f t="shared" si="176"/>
        <v/>
      </c>
      <c r="C2222" s="11" t="str">
        <f t="shared" si="179"/>
        <v/>
      </c>
      <c r="D2222" s="11" t="str">
        <f t="shared" si="180"/>
        <v/>
      </c>
      <c r="E2222" s="11" t="str">
        <f t="shared" si="177"/>
        <v/>
      </c>
      <c r="F2222" s="11" t="str">
        <f t="shared" si="178"/>
        <v/>
      </c>
      <c r="G2222" s="10" t="str">
        <v/>
      </c>
      <c r="H2222" s="11" t="str">
        <v/>
      </c>
      <c r="I2222" s="11" t="str">
        <v/>
      </c>
    </row>
    <row r="2223" spans="2:9">
      <c r="B2223" s="11" t="str">
        <f t="shared" si="176"/>
        <v/>
      </c>
      <c r="C2223" s="11" t="str">
        <f t="shared" si="179"/>
        <v/>
      </c>
      <c r="D2223" s="11" t="str">
        <f t="shared" si="180"/>
        <v/>
      </c>
      <c r="E2223" s="11" t="str">
        <f t="shared" si="177"/>
        <v/>
      </c>
      <c r="F2223" s="11" t="str">
        <f t="shared" si="178"/>
        <v/>
      </c>
      <c r="G2223" s="10" t="str">
        <v/>
      </c>
      <c r="H2223" s="11" t="str">
        <v/>
      </c>
      <c r="I2223" s="11" t="str">
        <v/>
      </c>
    </row>
    <row r="2224" spans="2:9">
      <c r="B2224" s="11" t="str">
        <f t="shared" si="176"/>
        <v/>
      </c>
      <c r="C2224" s="11" t="str">
        <f t="shared" si="179"/>
        <v/>
      </c>
      <c r="D2224" s="11" t="str">
        <f t="shared" si="180"/>
        <v/>
      </c>
      <c r="E2224" s="11" t="str">
        <f t="shared" si="177"/>
        <v/>
      </c>
      <c r="F2224" s="11" t="str">
        <f t="shared" si="178"/>
        <v/>
      </c>
      <c r="G2224" s="10" t="str">
        <v/>
      </c>
      <c r="H2224" s="11" t="str">
        <v/>
      </c>
      <c r="I2224" s="11" t="str">
        <v/>
      </c>
    </row>
    <row r="2225" spans="2:9">
      <c r="B2225" s="11" t="str">
        <f t="shared" si="176"/>
        <v/>
      </c>
      <c r="C2225" s="11" t="str">
        <f t="shared" si="179"/>
        <v/>
      </c>
      <c r="D2225" s="11" t="str">
        <f t="shared" si="180"/>
        <v/>
      </c>
      <c r="E2225" s="11" t="str">
        <f t="shared" si="177"/>
        <v/>
      </c>
      <c r="F2225" s="11" t="str">
        <f t="shared" si="178"/>
        <v/>
      </c>
      <c r="G2225" s="10" t="str">
        <v/>
      </c>
      <c r="H2225" s="11" t="str">
        <v/>
      </c>
      <c r="I2225" s="11" t="str">
        <v/>
      </c>
    </row>
    <row r="2226" spans="2:9">
      <c r="B2226" s="11" t="str">
        <f t="shared" si="176"/>
        <v/>
      </c>
      <c r="C2226" s="11" t="str">
        <f t="shared" si="179"/>
        <v/>
      </c>
      <c r="D2226" s="11" t="str">
        <f t="shared" si="180"/>
        <v/>
      </c>
      <c r="E2226" s="11" t="str">
        <f t="shared" si="177"/>
        <v/>
      </c>
      <c r="F2226" s="11" t="str">
        <f t="shared" si="178"/>
        <v/>
      </c>
      <c r="G2226" s="10" t="str">
        <v/>
      </c>
      <c r="H2226" s="11" t="str">
        <v/>
      </c>
      <c r="I2226" s="11" t="str">
        <v/>
      </c>
    </row>
    <row r="2227" spans="2:9">
      <c r="B2227" s="11" t="str">
        <f t="shared" si="176"/>
        <v/>
      </c>
      <c r="C2227" s="11" t="str">
        <f t="shared" si="179"/>
        <v/>
      </c>
      <c r="D2227" s="11" t="str">
        <f t="shared" si="180"/>
        <v/>
      </c>
      <c r="E2227" s="11" t="str">
        <f t="shared" si="177"/>
        <v/>
      </c>
      <c r="F2227" s="11" t="str">
        <f t="shared" si="178"/>
        <v/>
      </c>
      <c r="G2227" s="10" t="str">
        <v/>
      </c>
      <c r="H2227" s="11" t="str">
        <v/>
      </c>
      <c r="I2227" s="11" t="str">
        <v/>
      </c>
    </row>
    <row r="2228" spans="2:9">
      <c r="B2228" s="11" t="str">
        <f t="shared" si="176"/>
        <v/>
      </c>
      <c r="C2228" s="11" t="str">
        <f t="shared" si="179"/>
        <v/>
      </c>
      <c r="D2228" s="11" t="str">
        <f t="shared" si="180"/>
        <v/>
      </c>
      <c r="E2228" s="11" t="str">
        <f t="shared" si="177"/>
        <v/>
      </c>
      <c r="F2228" s="11" t="str">
        <f t="shared" si="178"/>
        <v/>
      </c>
      <c r="G2228" s="10" t="str">
        <v/>
      </c>
      <c r="H2228" s="11" t="str">
        <v/>
      </c>
      <c r="I2228" s="11" t="str">
        <v/>
      </c>
    </row>
    <row r="2229" spans="2:9">
      <c r="B2229" s="11" t="str">
        <f t="shared" si="176"/>
        <v/>
      </c>
      <c r="C2229" s="11" t="str">
        <f t="shared" si="179"/>
        <v/>
      </c>
      <c r="D2229" s="11" t="str">
        <f t="shared" si="180"/>
        <v/>
      </c>
      <c r="E2229" s="11" t="str">
        <f t="shared" si="177"/>
        <v/>
      </c>
      <c r="F2229" s="11" t="str">
        <f t="shared" si="178"/>
        <v/>
      </c>
      <c r="G2229" s="10" t="str">
        <v/>
      </c>
      <c r="H2229" s="11" t="str">
        <v/>
      </c>
      <c r="I2229" s="11" t="str">
        <v/>
      </c>
    </row>
    <row r="2230" spans="2:9">
      <c r="B2230" s="11" t="str">
        <f t="shared" si="176"/>
        <v/>
      </c>
      <c r="C2230" s="11" t="str">
        <f t="shared" si="179"/>
        <v/>
      </c>
      <c r="D2230" s="11" t="str">
        <f t="shared" si="180"/>
        <v/>
      </c>
      <c r="E2230" s="11" t="str">
        <f t="shared" si="177"/>
        <v/>
      </c>
      <c r="F2230" s="11" t="str">
        <f t="shared" si="178"/>
        <v/>
      </c>
      <c r="G2230" s="10" t="str">
        <v/>
      </c>
      <c r="H2230" s="11" t="str">
        <v/>
      </c>
      <c r="I2230" s="11" t="str">
        <v/>
      </c>
    </row>
    <row r="2231" spans="2:9">
      <c r="B2231" s="11" t="str">
        <f t="shared" si="176"/>
        <v/>
      </c>
      <c r="C2231" s="11" t="str">
        <f t="shared" si="179"/>
        <v/>
      </c>
      <c r="D2231" s="11" t="str">
        <f t="shared" si="180"/>
        <v/>
      </c>
      <c r="E2231" s="11" t="str">
        <f t="shared" si="177"/>
        <v/>
      </c>
      <c r="F2231" s="11" t="str">
        <f t="shared" si="178"/>
        <v/>
      </c>
      <c r="G2231" s="10" t="str">
        <v/>
      </c>
      <c r="H2231" s="11" t="str">
        <v/>
      </c>
      <c r="I2231" s="11" t="str">
        <v/>
      </c>
    </row>
    <row r="2232" spans="2:9">
      <c r="B2232" s="11" t="str">
        <f t="shared" si="176"/>
        <v/>
      </c>
      <c r="C2232" s="11" t="str">
        <f t="shared" si="179"/>
        <v/>
      </c>
      <c r="D2232" s="11" t="str">
        <f t="shared" si="180"/>
        <v/>
      </c>
      <c r="E2232" s="11" t="str">
        <f t="shared" si="177"/>
        <v/>
      </c>
      <c r="F2232" s="11" t="str">
        <f t="shared" si="178"/>
        <v/>
      </c>
      <c r="G2232" s="10" t="str">
        <v/>
      </c>
      <c r="H2232" s="11" t="str">
        <v/>
      </c>
      <c r="I2232" s="11" t="str">
        <v/>
      </c>
    </row>
    <row r="2233" spans="2:9">
      <c r="B2233" s="11" t="str">
        <f t="shared" si="176"/>
        <v/>
      </c>
      <c r="C2233" s="11" t="str">
        <f t="shared" si="179"/>
        <v/>
      </c>
      <c r="D2233" s="11" t="str">
        <f t="shared" si="180"/>
        <v/>
      </c>
      <c r="E2233" s="11" t="str">
        <f t="shared" si="177"/>
        <v/>
      </c>
      <c r="F2233" s="11" t="str">
        <f t="shared" si="178"/>
        <v/>
      </c>
      <c r="G2233" s="10" t="str">
        <v/>
      </c>
      <c r="H2233" s="11" t="str">
        <v/>
      </c>
      <c r="I2233" s="11" t="str">
        <v/>
      </c>
    </row>
    <row r="2234" spans="2:9">
      <c r="B2234" s="11" t="str">
        <f t="shared" si="176"/>
        <v/>
      </c>
      <c r="C2234" s="11" t="str">
        <f t="shared" si="179"/>
        <v/>
      </c>
      <c r="D2234" s="11" t="str">
        <f t="shared" si="180"/>
        <v/>
      </c>
      <c r="E2234" s="11" t="str">
        <f t="shared" si="177"/>
        <v/>
      </c>
      <c r="F2234" s="11" t="str">
        <f t="shared" si="178"/>
        <v/>
      </c>
      <c r="G2234" s="10" t="str">
        <v/>
      </c>
      <c r="H2234" s="11" t="str">
        <v/>
      </c>
      <c r="I2234" s="11" t="str">
        <v/>
      </c>
    </row>
    <row r="2235" spans="2:9">
      <c r="B2235" s="11" t="str">
        <f t="shared" si="176"/>
        <v/>
      </c>
      <c r="C2235" s="11" t="str">
        <f t="shared" si="179"/>
        <v/>
      </c>
      <c r="D2235" s="11" t="str">
        <f t="shared" si="180"/>
        <v/>
      </c>
      <c r="E2235" s="11" t="str">
        <f t="shared" si="177"/>
        <v/>
      </c>
      <c r="F2235" s="11" t="str">
        <f t="shared" si="178"/>
        <v/>
      </c>
      <c r="G2235" s="10" t="str">
        <v/>
      </c>
      <c r="H2235" s="11" t="str">
        <v/>
      </c>
      <c r="I2235" s="11" t="str">
        <v/>
      </c>
    </row>
    <row r="2236" spans="2:9">
      <c r="B2236" s="11" t="str">
        <f t="shared" si="176"/>
        <v/>
      </c>
      <c r="C2236" s="11" t="str">
        <f t="shared" si="179"/>
        <v/>
      </c>
      <c r="D2236" s="11" t="str">
        <f t="shared" si="180"/>
        <v/>
      </c>
      <c r="E2236" s="11" t="str">
        <f t="shared" si="177"/>
        <v/>
      </c>
      <c r="F2236" s="11" t="str">
        <f t="shared" si="178"/>
        <v/>
      </c>
      <c r="G2236" s="10" t="str">
        <v/>
      </c>
      <c r="H2236" s="11" t="str">
        <v/>
      </c>
      <c r="I2236" s="11" t="str">
        <v/>
      </c>
    </row>
    <row r="2237" spans="2:9">
      <c r="B2237" s="11" t="str">
        <f t="shared" si="176"/>
        <v/>
      </c>
      <c r="C2237" s="11" t="str">
        <f t="shared" si="179"/>
        <v/>
      </c>
      <c r="D2237" s="11" t="str">
        <f t="shared" si="180"/>
        <v/>
      </c>
      <c r="E2237" s="11" t="str">
        <f t="shared" si="177"/>
        <v/>
      </c>
      <c r="F2237" s="11" t="str">
        <f t="shared" si="178"/>
        <v/>
      </c>
      <c r="G2237" s="10" t="str">
        <v/>
      </c>
      <c r="H2237" s="11" t="str">
        <v/>
      </c>
      <c r="I2237" s="11" t="str">
        <v/>
      </c>
    </row>
    <row r="2238" spans="2:9">
      <c r="B2238" s="11" t="str">
        <f t="shared" si="176"/>
        <v/>
      </c>
      <c r="C2238" s="11" t="str">
        <f t="shared" si="179"/>
        <v/>
      </c>
      <c r="D2238" s="11" t="str">
        <f t="shared" si="180"/>
        <v/>
      </c>
      <c r="E2238" s="11" t="str">
        <f t="shared" si="177"/>
        <v/>
      </c>
      <c r="F2238" s="11" t="str">
        <f t="shared" si="178"/>
        <v/>
      </c>
      <c r="G2238" s="10" t="str">
        <v/>
      </c>
      <c r="H2238" s="11" t="str">
        <v/>
      </c>
      <c r="I2238" s="11" t="str">
        <v/>
      </c>
    </row>
    <row r="2239" spans="2:9">
      <c r="B2239" s="11" t="str">
        <f t="shared" si="176"/>
        <v/>
      </c>
      <c r="C2239" s="11" t="str">
        <f t="shared" si="179"/>
        <v/>
      </c>
      <c r="D2239" s="11" t="str">
        <f t="shared" si="180"/>
        <v/>
      </c>
      <c r="E2239" s="11" t="str">
        <f t="shared" si="177"/>
        <v/>
      </c>
      <c r="F2239" s="11" t="str">
        <f t="shared" si="178"/>
        <v/>
      </c>
      <c r="G2239" s="10" t="str">
        <v/>
      </c>
      <c r="H2239" s="11" t="str">
        <v/>
      </c>
      <c r="I2239" s="11" t="str">
        <v/>
      </c>
    </row>
    <row r="2240" spans="2:9">
      <c r="B2240" s="11" t="str">
        <f t="shared" si="176"/>
        <v/>
      </c>
      <c r="C2240" s="11" t="str">
        <f t="shared" si="179"/>
        <v/>
      </c>
      <c r="D2240" s="11" t="str">
        <f t="shared" si="180"/>
        <v/>
      </c>
      <c r="E2240" s="11" t="str">
        <f t="shared" si="177"/>
        <v/>
      </c>
      <c r="F2240" s="11" t="str">
        <f t="shared" si="178"/>
        <v/>
      </c>
      <c r="G2240" s="10" t="str">
        <v/>
      </c>
      <c r="H2240" s="11" t="str">
        <v/>
      </c>
      <c r="I2240" s="11" t="str">
        <v/>
      </c>
    </row>
    <row r="2241" spans="2:9">
      <c r="B2241" s="11" t="str">
        <f t="shared" ref="B2241:B2304" si="181">IFERROR(IF(FIND(" ",A2241)=6,IF(IFERROR(FIND(" PB",A2241),"")&lt;&gt;"","артикул",IF(IFERROR(FIND(" CRN",A2241),"")&lt;&gt;"","артикул","")),""),"")</f>
        <v/>
      </c>
      <c r="C2241" s="11" t="str">
        <f t="shared" si="179"/>
        <v/>
      </c>
      <c r="D2241" s="11" t="str">
        <f t="shared" si="180"/>
        <v/>
      </c>
      <c r="E2241" s="11" t="str">
        <f t="shared" si="177"/>
        <v/>
      </c>
      <c r="F2241" s="11" t="str">
        <f t="shared" si="178"/>
        <v/>
      </c>
      <c r="G2241" s="10" t="str">
        <v/>
      </c>
      <c r="H2241" s="11" t="str">
        <v/>
      </c>
      <c r="I2241" s="11" t="str">
        <v/>
      </c>
    </row>
    <row r="2242" spans="2:9">
      <c r="B2242" s="11" t="str">
        <f t="shared" si="181"/>
        <v/>
      </c>
      <c r="C2242" s="11" t="str">
        <f t="shared" si="179"/>
        <v/>
      </c>
      <c r="D2242" s="11" t="str">
        <f t="shared" si="180"/>
        <v/>
      </c>
      <c r="E2242" s="11" t="str">
        <f t="shared" ref="E2242:E2305" si="182" xml:space="preserve">
IF(B2242="Артикул",
IF(
AND(RIGHT(A2243,1)="%",
RIGHT(A2244,1)="%",
RIGHT(A2245,1)="%",
RIGHT(A2246,1)="%"),MID(A2247,FIND(" ",A2247),50),
IF(
AND(RIGHT(A2243,1)="%",
RIGHT(A2244,1)="%",
RIGHT(A2245,1)="%"),MID(A2246,FIND(" ",A2246),50),
IF(
AND(RIGHT(A2243,1)="%",
RIGHT(A2244,1)="%"),
MID(A2245,FIND(" ",A2245),50),
IF(
RIGHT(A2243,1)="%",
MID(A2244,FIND(" ",A2244),50),"")))),"")</f>
        <v/>
      </c>
      <c r="F2242" s="11" t="str">
        <f t="shared" ref="F2242:F2305" si="183">IFERROR(
IF(
AND(LEFT(A2242,8)="Discount",FIND("%",A2242)&gt;0),
MID(A2242,
FIND(" ",A2242),
FIND("%",A2242)-FIND(" ",A2242))
*-1,""),"")</f>
        <v/>
      </c>
      <c r="G2242" s="10" t="str">
        <v/>
      </c>
      <c r="H2242" s="11" t="str">
        <v/>
      </c>
      <c r="I2242" s="11" t="str">
        <v/>
      </c>
    </row>
    <row r="2243" spans="2:9">
      <c r="B2243" s="11" t="str">
        <f t="shared" si="181"/>
        <v/>
      </c>
      <c r="C2243" s="11" t="str">
        <f t="shared" si="179"/>
        <v/>
      </c>
      <c r="D2243" s="11" t="str">
        <f t="shared" si="180"/>
        <v/>
      </c>
      <c r="E2243" s="11" t="str">
        <f t="shared" si="182"/>
        <v/>
      </c>
      <c r="F2243" s="11" t="str">
        <f t="shared" si="183"/>
        <v/>
      </c>
      <c r="G2243" s="10" t="str">
        <v/>
      </c>
      <c r="H2243" s="11" t="str">
        <v/>
      </c>
      <c r="I2243" s="11" t="str">
        <v/>
      </c>
    </row>
    <row r="2244" spans="2:9">
      <c r="B2244" s="11" t="str">
        <f t="shared" si="181"/>
        <v/>
      </c>
      <c r="C2244" s="11" t="str">
        <f t="shared" si="179"/>
        <v/>
      </c>
      <c r="D2244" s="11" t="str">
        <f t="shared" si="180"/>
        <v/>
      </c>
      <c r="E2244" s="11" t="str">
        <f t="shared" si="182"/>
        <v/>
      </c>
      <c r="F2244" s="11" t="str">
        <f t="shared" si="183"/>
        <v/>
      </c>
      <c r="G2244" s="10" t="str">
        <v/>
      </c>
      <c r="H2244" s="11" t="str">
        <v/>
      </c>
      <c r="I2244" s="11" t="str">
        <v/>
      </c>
    </row>
    <row r="2245" spans="2:9">
      <c r="B2245" s="11" t="str">
        <f t="shared" si="181"/>
        <v/>
      </c>
      <c r="C2245" s="11" t="str">
        <f t="shared" si="179"/>
        <v/>
      </c>
      <c r="D2245" s="11" t="str">
        <f t="shared" si="180"/>
        <v/>
      </c>
      <c r="E2245" s="11" t="str">
        <f t="shared" si="182"/>
        <v/>
      </c>
      <c r="F2245" s="11" t="str">
        <f t="shared" si="183"/>
        <v/>
      </c>
      <c r="G2245" s="10" t="str">
        <v/>
      </c>
      <c r="H2245" s="11" t="str">
        <v/>
      </c>
      <c r="I2245" s="11" t="str">
        <v/>
      </c>
    </row>
    <row r="2246" spans="2:9">
      <c r="B2246" s="11" t="str">
        <f t="shared" si="181"/>
        <v/>
      </c>
      <c r="C2246" s="11" t="str">
        <f t="shared" si="179"/>
        <v/>
      </c>
      <c r="D2246" s="11" t="str">
        <f t="shared" si="180"/>
        <v/>
      </c>
      <c r="E2246" s="11" t="str">
        <f t="shared" si="182"/>
        <v/>
      </c>
      <c r="F2246" s="11" t="str">
        <f t="shared" si="183"/>
        <v/>
      </c>
      <c r="G2246" s="10" t="str">
        <v/>
      </c>
      <c r="H2246" s="11" t="str">
        <v/>
      </c>
      <c r="I2246" s="11" t="str">
        <v/>
      </c>
    </row>
    <row r="2247" spans="2:9">
      <c r="B2247" s="11" t="str">
        <f t="shared" si="181"/>
        <v/>
      </c>
      <c r="C2247" s="11" t="str">
        <f t="shared" si="179"/>
        <v/>
      </c>
      <c r="D2247" s="11" t="str">
        <f t="shared" si="180"/>
        <v/>
      </c>
      <c r="E2247" s="11" t="str">
        <f t="shared" si="182"/>
        <v/>
      </c>
      <c r="F2247" s="11" t="str">
        <f t="shared" si="183"/>
        <v/>
      </c>
      <c r="G2247" s="10" t="str">
        <v/>
      </c>
      <c r="H2247" s="11" t="str">
        <v/>
      </c>
      <c r="I2247" s="11" t="str">
        <v/>
      </c>
    </row>
    <row r="2248" spans="2:9">
      <c r="B2248" s="11" t="str">
        <f t="shared" si="181"/>
        <v/>
      </c>
      <c r="C2248" s="11" t="str">
        <f t="shared" si="179"/>
        <v/>
      </c>
      <c r="D2248" s="11" t="str">
        <f t="shared" si="180"/>
        <v/>
      </c>
      <c r="E2248" s="11" t="str">
        <f t="shared" si="182"/>
        <v/>
      </c>
      <c r="F2248" s="11" t="str">
        <f t="shared" si="183"/>
        <v/>
      </c>
      <c r="G2248" s="10" t="str">
        <v/>
      </c>
      <c r="H2248" s="11" t="str">
        <v/>
      </c>
      <c r="I2248" s="11" t="str">
        <v/>
      </c>
    </row>
    <row r="2249" spans="2:9">
      <c r="B2249" s="11" t="str">
        <f t="shared" si="181"/>
        <v/>
      </c>
      <c r="C2249" s="11" t="str">
        <f t="shared" si="179"/>
        <v/>
      </c>
      <c r="D2249" s="11" t="str">
        <f t="shared" si="180"/>
        <v/>
      </c>
      <c r="E2249" s="11" t="str">
        <f t="shared" si="182"/>
        <v/>
      </c>
      <c r="F2249" s="11" t="str">
        <f t="shared" si="183"/>
        <v/>
      </c>
      <c r="G2249" s="10" t="str">
        <v/>
      </c>
      <c r="H2249" s="11" t="str">
        <v/>
      </c>
      <c r="I2249" s="11" t="str">
        <v/>
      </c>
    </row>
    <row r="2250" spans="2:9">
      <c r="B2250" s="11" t="str">
        <f t="shared" si="181"/>
        <v/>
      </c>
      <c r="C2250" s="11" t="str">
        <f t="shared" si="179"/>
        <v/>
      </c>
      <c r="D2250" s="11" t="str">
        <f t="shared" si="180"/>
        <v/>
      </c>
      <c r="E2250" s="11" t="str">
        <f t="shared" si="182"/>
        <v/>
      </c>
      <c r="F2250" s="11" t="str">
        <f t="shared" si="183"/>
        <v/>
      </c>
      <c r="G2250" s="10" t="str">
        <v/>
      </c>
      <c r="H2250" s="11" t="str">
        <v/>
      </c>
      <c r="I2250" s="11" t="str">
        <v/>
      </c>
    </row>
    <row r="2251" spans="2:9">
      <c r="B2251" s="11" t="str">
        <f t="shared" si="181"/>
        <v/>
      </c>
      <c r="C2251" s="11" t="str">
        <f t="shared" si="179"/>
        <v/>
      </c>
      <c r="D2251" s="11" t="str">
        <f t="shared" si="180"/>
        <v/>
      </c>
      <c r="E2251" s="11" t="str">
        <f t="shared" si="182"/>
        <v/>
      </c>
      <c r="F2251" s="11" t="str">
        <f t="shared" si="183"/>
        <v/>
      </c>
      <c r="G2251" s="10" t="str">
        <v/>
      </c>
      <c r="H2251" s="11" t="str">
        <v/>
      </c>
      <c r="I2251" s="11" t="str">
        <v/>
      </c>
    </row>
    <row r="2252" spans="2:9">
      <c r="B2252" s="11" t="str">
        <f t="shared" si="181"/>
        <v/>
      </c>
      <c r="C2252" s="11" t="str">
        <f t="shared" si="179"/>
        <v/>
      </c>
      <c r="D2252" s="11" t="str">
        <f t="shared" si="180"/>
        <v/>
      </c>
      <c r="E2252" s="11" t="str">
        <f t="shared" si="182"/>
        <v/>
      </c>
      <c r="F2252" s="11" t="str">
        <f t="shared" si="183"/>
        <v/>
      </c>
      <c r="G2252" s="10" t="str">
        <v/>
      </c>
      <c r="H2252" s="11" t="str">
        <v/>
      </c>
      <c r="I2252" s="11" t="str">
        <v/>
      </c>
    </row>
    <row r="2253" spans="2:9">
      <c r="B2253" s="11" t="str">
        <f t="shared" si="181"/>
        <v/>
      </c>
      <c r="C2253" s="11" t="str">
        <f t="shared" ref="C2253:C2316" si="184">IF(B2253="артикул",A2253,"")</f>
        <v/>
      </c>
      <c r="D2253" s="11" t="str">
        <f t="shared" ref="D2253:D2316" si="185">IF(B2253="артикул",A2254,"")</f>
        <v/>
      </c>
      <c r="E2253" s="11" t="str">
        <f t="shared" si="182"/>
        <v/>
      </c>
      <c r="F2253" s="11" t="str">
        <f t="shared" si="183"/>
        <v/>
      </c>
      <c r="G2253" s="10" t="str">
        <v/>
      </c>
      <c r="H2253" s="11" t="str">
        <v/>
      </c>
      <c r="I2253" s="11" t="str">
        <v/>
      </c>
    </row>
    <row r="2254" spans="2:9">
      <c r="B2254" s="11" t="str">
        <f t="shared" si="181"/>
        <v/>
      </c>
      <c r="C2254" s="11" t="str">
        <f t="shared" si="184"/>
        <v/>
      </c>
      <c r="D2254" s="11" t="str">
        <f t="shared" si="185"/>
        <v/>
      </c>
      <c r="E2254" s="11" t="str">
        <f t="shared" si="182"/>
        <v/>
      </c>
      <c r="F2254" s="11" t="str">
        <f t="shared" si="183"/>
        <v/>
      </c>
      <c r="G2254" s="10" t="str">
        <v/>
      </c>
      <c r="H2254" s="11" t="str">
        <v/>
      </c>
      <c r="I2254" s="11" t="str">
        <v/>
      </c>
    </row>
    <row r="2255" spans="2:9">
      <c r="B2255" s="11" t="str">
        <f t="shared" si="181"/>
        <v/>
      </c>
      <c r="C2255" s="11" t="str">
        <f t="shared" si="184"/>
        <v/>
      </c>
      <c r="D2255" s="11" t="str">
        <f t="shared" si="185"/>
        <v/>
      </c>
      <c r="E2255" s="11" t="str">
        <f t="shared" si="182"/>
        <v/>
      </c>
      <c r="F2255" s="11" t="str">
        <f t="shared" si="183"/>
        <v/>
      </c>
      <c r="G2255" s="10" t="str">
        <v/>
      </c>
      <c r="H2255" s="11" t="str">
        <v/>
      </c>
      <c r="I2255" s="11" t="str">
        <v/>
      </c>
    </row>
    <row r="2256" spans="2:9">
      <c r="B2256" s="11" t="str">
        <f t="shared" si="181"/>
        <v/>
      </c>
      <c r="C2256" s="11" t="str">
        <f t="shared" si="184"/>
        <v/>
      </c>
      <c r="D2256" s="11" t="str">
        <f t="shared" si="185"/>
        <v/>
      </c>
      <c r="E2256" s="11" t="str">
        <f t="shared" si="182"/>
        <v/>
      </c>
      <c r="F2256" s="11" t="str">
        <f t="shared" si="183"/>
        <v/>
      </c>
      <c r="G2256" s="10" t="str">
        <v/>
      </c>
      <c r="H2256" s="11" t="str">
        <v/>
      </c>
      <c r="I2256" s="11" t="str">
        <v/>
      </c>
    </row>
    <row r="2257" spans="2:9">
      <c r="B2257" s="11" t="str">
        <f t="shared" si="181"/>
        <v/>
      </c>
      <c r="C2257" s="11" t="str">
        <f t="shared" si="184"/>
        <v/>
      </c>
      <c r="D2257" s="11" t="str">
        <f t="shared" si="185"/>
        <v/>
      </c>
      <c r="E2257" s="11" t="str">
        <f t="shared" si="182"/>
        <v/>
      </c>
      <c r="F2257" s="11" t="str">
        <f t="shared" si="183"/>
        <v/>
      </c>
      <c r="G2257" s="10" t="str">
        <v/>
      </c>
      <c r="H2257" s="11" t="str">
        <v/>
      </c>
      <c r="I2257" s="11" t="str">
        <v/>
      </c>
    </row>
    <row r="2258" spans="2:9">
      <c r="B2258" s="11" t="str">
        <f t="shared" si="181"/>
        <v/>
      </c>
      <c r="C2258" s="11" t="str">
        <f t="shared" si="184"/>
        <v/>
      </c>
      <c r="D2258" s="11" t="str">
        <f t="shared" si="185"/>
        <v/>
      </c>
      <c r="E2258" s="11" t="str">
        <f t="shared" si="182"/>
        <v/>
      </c>
      <c r="F2258" s="11" t="str">
        <f t="shared" si="183"/>
        <v/>
      </c>
      <c r="G2258" s="10" t="str">
        <v/>
      </c>
      <c r="H2258" s="11" t="str">
        <v/>
      </c>
      <c r="I2258" s="11" t="str">
        <v/>
      </c>
    </row>
    <row r="2259" spans="2:9">
      <c r="B2259" s="11" t="str">
        <f t="shared" si="181"/>
        <v/>
      </c>
      <c r="C2259" s="11" t="str">
        <f t="shared" si="184"/>
        <v/>
      </c>
      <c r="D2259" s="11" t="str">
        <f t="shared" si="185"/>
        <v/>
      </c>
      <c r="E2259" s="11" t="str">
        <f t="shared" si="182"/>
        <v/>
      </c>
      <c r="F2259" s="11" t="str">
        <f t="shared" si="183"/>
        <v/>
      </c>
      <c r="G2259" s="10" t="str">
        <v/>
      </c>
      <c r="H2259" s="11" t="str">
        <v/>
      </c>
      <c r="I2259" s="11" t="str">
        <v/>
      </c>
    </row>
    <row r="2260" spans="2:9">
      <c r="B2260" s="11" t="str">
        <f t="shared" si="181"/>
        <v/>
      </c>
      <c r="C2260" s="11" t="str">
        <f t="shared" si="184"/>
        <v/>
      </c>
      <c r="D2260" s="11" t="str">
        <f t="shared" si="185"/>
        <v/>
      </c>
      <c r="E2260" s="11" t="str">
        <f t="shared" si="182"/>
        <v/>
      </c>
      <c r="F2260" s="11" t="str">
        <f t="shared" si="183"/>
        <v/>
      </c>
      <c r="G2260" s="10" t="str">
        <v/>
      </c>
      <c r="H2260" s="11" t="str">
        <v/>
      </c>
      <c r="I2260" s="11" t="str">
        <v/>
      </c>
    </row>
    <row r="2261" spans="2:9">
      <c r="B2261" s="11" t="str">
        <f t="shared" si="181"/>
        <v/>
      </c>
      <c r="C2261" s="11" t="str">
        <f t="shared" si="184"/>
        <v/>
      </c>
      <c r="D2261" s="11" t="str">
        <f t="shared" si="185"/>
        <v/>
      </c>
      <c r="E2261" s="11" t="str">
        <f t="shared" si="182"/>
        <v/>
      </c>
      <c r="F2261" s="11" t="str">
        <f t="shared" si="183"/>
        <v/>
      </c>
      <c r="G2261" s="10" t="str">
        <v/>
      </c>
      <c r="H2261" s="11" t="str">
        <v/>
      </c>
      <c r="I2261" s="11" t="str">
        <v/>
      </c>
    </row>
    <row r="2262" spans="2:9">
      <c r="B2262" s="11" t="str">
        <f t="shared" si="181"/>
        <v/>
      </c>
      <c r="C2262" s="11" t="str">
        <f t="shared" si="184"/>
        <v/>
      </c>
      <c r="D2262" s="11" t="str">
        <f t="shared" si="185"/>
        <v/>
      </c>
      <c r="E2262" s="11" t="str">
        <f t="shared" si="182"/>
        <v/>
      </c>
      <c r="F2262" s="11" t="str">
        <f t="shared" si="183"/>
        <v/>
      </c>
      <c r="G2262" s="10" t="str">
        <v/>
      </c>
      <c r="H2262" s="11" t="str">
        <v/>
      </c>
      <c r="I2262" s="11" t="str">
        <v/>
      </c>
    </row>
    <row r="2263" spans="2:9">
      <c r="B2263" s="11" t="str">
        <f t="shared" si="181"/>
        <v/>
      </c>
      <c r="C2263" s="11" t="str">
        <f t="shared" si="184"/>
        <v/>
      </c>
      <c r="D2263" s="11" t="str">
        <f t="shared" si="185"/>
        <v/>
      </c>
      <c r="E2263" s="11" t="str">
        <f t="shared" si="182"/>
        <v/>
      </c>
      <c r="F2263" s="11" t="str">
        <f t="shared" si="183"/>
        <v/>
      </c>
      <c r="G2263" s="10" t="str">
        <v/>
      </c>
      <c r="H2263" s="11" t="str">
        <v/>
      </c>
      <c r="I2263" s="11" t="str">
        <v/>
      </c>
    </row>
    <row r="2264" spans="2:9">
      <c r="B2264" s="11" t="str">
        <f t="shared" si="181"/>
        <v/>
      </c>
      <c r="C2264" s="11" t="str">
        <f t="shared" si="184"/>
        <v/>
      </c>
      <c r="D2264" s="11" t="str">
        <f t="shared" si="185"/>
        <v/>
      </c>
      <c r="E2264" s="11" t="str">
        <f t="shared" si="182"/>
        <v/>
      </c>
      <c r="F2264" s="11" t="str">
        <f t="shared" si="183"/>
        <v/>
      </c>
      <c r="G2264" s="10" t="str">
        <v/>
      </c>
      <c r="H2264" s="11" t="str">
        <v/>
      </c>
      <c r="I2264" s="11" t="str">
        <v/>
      </c>
    </row>
    <row r="2265" spans="2:9">
      <c r="B2265" s="11" t="str">
        <f t="shared" si="181"/>
        <v/>
      </c>
      <c r="C2265" s="11" t="str">
        <f t="shared" si="184"/>
        <v/>
      </c>
      <c r="D2265" s="11" t="str">
        <f t="shared" si="185"/>
        <v/>
      </c>
      <c r="E2265" s="11" t="str">
        <f t="shared" si="182"/>
        <v/>
      </c>
      <c r="F2265" s="11" t="str">
        <f t="shared" si="183"/>
        <v/>
      </c>
      <c r="G2265" s="10" t="str">
        <v/>
      </c>
      <c r="H2265" s="11" t="str">
        <v/>
      </c>
      <c r="I2265" s="11" t="str">
        <v/>
      </c>
    </row>
    <row r="2266" spans="2:9">
      <c r="B2266" s="11" t="str">
        <f t="shared" si="181"/>
        <v/>
      </c>
      <c r="C2266" s="11" t="str">
        <f t="shared" si="184"/>
        <v/>
      </c>
      <c r="D2266" s="11" t="str">
        <f t="shared" si="185"/>
        <v/>
      </c>
      <c r="E2266" s="11" t="str">
        <f t="shared" si="182"/>
        <v/>
      </c>
      <c r="F2266" s="11" t="str">
        <f t="shared" si="183"/>
        <v/>
      </c>
      <c r="G2266" s="10" t="str">
        <v/>
      </c>
      <c r="H2266" s="11" t="str">
        <v/>
      </c>
      <c r="I2266" s="11" t="str">
        <v/>
      </c>
    </row>
    <row r="2267" spans="2:9">
      <c r="B2267" s="11" t="str">
        <f t="shared" si="181"/>
        <v/>
      </c>
      <c r="C2267" s="11" t="str">
        <f t="shared" si="184"/>
        <v/>
      </c>
      <c r="D2267" s="11" t="str">
        <f t="shared" si="185"/>
        <v/>
      </c>
      <c r="E2267" s="11" t="str">
        <f t="shared" si="182"/>
        <v/>
      </c>
      <c r="F2267" s="11" t="str">
        <f t="shared" si="183"/>
        <v/>
      </c>
      <c r="G2267" s="10" t="str">
        <v/>
      </c>
      <c r="H2267" s="11" t="str">
        <v/>
      </c>
      <c r="I2267" s="11" t="str">
        <v/>
      </c>
    </row>
    <row r="2268" spans="2:9">
      <c r="B2268" s="11" t="str">
        <f t="shared" si="181"/>
        <v/>
      </c>
      <c r="C2268" s="11" t="str">
        <f t="shared" si="184"/>
        <v/>
      </c>
      <c r="D2268" s="11" t="str">
        <f t="shared" si="185"/>
        <v/>
      </c>
      <c r="E2268" s="11" t="str">
        <f t="shared" si="182"/>
        <v/>
      </c>
      <c r="F2268" s="11" t="str">
        <f t="shared" si="183"/>
        <v/>
      </c>
      <c r="G2268" s="10" t="str">
        <v/>
      </c>
      <c r="H2268" s="11" t="str">
        <v/>
      </c>
      <c r="I2268" s="11" t="str">
        <v/>
      </c>
    </row>
    <row r="2269" spans="2:9">
      <c r="B2269" s="11" t="str">
        <f t="shared" si="181"/>
        <v/>
      </c>
      <c r="C2269" s="11" t="str">
        <f t="shared" si="184"/>
        <v/>
      </c>
      <c r="D2269" s="11" t="str">
        <f t="shared" si="185"/>
        <v/>
      </c>
      <c r="E2269" s="11" t="str">
        <f t="shared" si="182"/>
        <v/>
      </c>
      <c r="F2269" s="11" t="str">
        <f t="shared" si="183"/>
        <v/>
      </c>
      <c r="G2269" s="10" t="str">
        <v/>
      </c>
      <c r="H2269" s="11" t="str">
        <v/>
      </c>
      <c r="I2269" s="11" t="str">
        <v/>
      </c>
    </row>
    <row r="2270" spans="2:9">
      <c r="B2270" s="11" t="str">
        <f t="shared" si="181"/>
        <v/>
      </c>
      <c r="C2270" s="11" t="str">
        <f t="shared" si="184"/>
        <v/>
      </c>
      <c r="D2270" s="11" t="str">
        <f t="shared" si="185"/>
        <v/>
      </c>
      <c r="E2270" s="11" t="str">
        <f t="shared" si="182"/>
        <v/>
      </c>
      <c r="F2270" s="11" t="str">
        <f t="shared" si="183"/>
        <v/>
      </c>
      <c r="G2270" s="10" t="str">
        <v/>
      </c>
      <c r="H2270" s="11" t="str">
        <v/>
      </c>
      <c r="I2270" s="11" t="str">
        <v/>
      </c>
    </row>
    <row r="2271" spans="2:9">
      <c r="B2271" s="11" t="str">
        <f t="shared" si="181"/>
        <v/>
      </c>
      <c r="C2271" s="11" t="str">
        <f t="shared" si="184"/>
        <v/>
      </c>
      <c r="D2271" s="11" t="str">
        <f t="shared" si="185"/>
        <v/>
      </c>
      <c r="E2271" s="11" t="str">
        <f t="shared" si="182"/>
        <v/>
      </c>
      <c r="F2271" s="11" t="str">
        <f t="shared" si="183"/>
        <v/>
      </c>
      <c r="G2271" s="10" t="str">
        <v/>
      </c>
      <c r="H2271" s="11" t="str">
        <v/>
      </c>
      <c r="I2271" s="11" t="str">
        <v/>
      </c>
    </row>
    <row r="2272" spans="2:9">
      <c r="B2272" s="11" t="str">
        <f t="shared" si="181"/>
        <v/>
      </c>
      <c r="C2272" s="11" t="str">
        <f t="shared" si="184"/>
        <v/>
      </c>
      <c r="D2272" s="11" t="str">
        <f t="shared" si="185"/>
        <v/>
      </c>
      <c r="E2272" s="11" t="str">
        <f t="shared" si="182"/>
        <v/>
      </c>
      <c r="F2272" s="11" t="str">
        <f t="shared" si="183"/>
        <v/>
      </c>
      <c r="G2272" s="10" t="str">
        <v/>
      </c>
      <c r="H2272" s="11" t="str">
        <v/>
      </c>
      <c r="I2272" s="11" t="str">
        <v/>
      </c>
    </row>
    <row r="2273" spans="2:9">
      <c r="B2273" s="11" t="str">
        <f t="shared" si="181"/>
        <v/>
      </c>
      <c r="C2273" s="11" t="str">
        <f t="shared" si="184"/>
        <v/>
      </c>
      <c r="D2273" s="11" t="str">
        <f t="shared" si="185"/>
        <v/>
      </c>
      <c r="E2273" s="11" t="str">
        <f t="shared" si="182"/>
        <v/>
      </c>
      <c r="F2273" s="11" t="str">
        <f t="shared" si="183"/>
        <v/>
      </c>
      <c r="G2273" s="10" t="str">
        <v/>
      </c>
      <c r="H2273" s="11" t="str">
        <v/>
      </c>
      <c r="I2273" s="11" t="str">
        <v/>
      </c>
    </row>
    <row r="2274" spans="2:9">
      <c r="B2274" s="11" t="str">
        <f t="shared" si="181"/>
        <v/>
      </c>
      <c r="C2274" s="11" t="str">
        <f t="shared" si="184"/>
        <v/>
      </c>
      <c r="D2274" s="11" t="str">
        <f t="shared" si="185"/>
        <v/>
      </c>
      <c r="E2274" s="11" t="str">
        <f t="shared" si="182"/>
        <v/>
      </c>
      <c r="F2274" s="11" t="str">
        <f t="shared" si="183"/>
        <v/>
      </c>
      <c r="G2274" s="10" t="str">
        <v/>
      </c>
      <c r="H2274" s="11" t="str">
        <v/>
      </c>
      <c r="I2274" s="11" t="str">
        <v/>
      </c>
    </row>
    <row r="2275" spans="2:9">
      <c r="B2275" s="11" t="str">
        <f t="shared" si="181"/>
        <v/>
      </c>
      <c r="C2275" s="11" t="str">
        <f t="shared" si="184"/>
        <v/>
      </c>
      <c r="D2275" s="11" t="str">
        <f t="shared" si="185"/>
        <v/>
      </c>
      <c r="E2275" s="11" t="str">
        <f t="shared" si="182"/>
        <v/>
      </c>
      <c r="F2275" s="11" t="str">
        <f t="shared" si="183"/>
        <v/>
      </c>
      <c r="G2275" s="10" t="str">
        <v/>
      </c>
      <c r="H2275" s="11" t="str">
        <v/>
      </c>
      <c r="I2275" s="11" t="str">
        <v/>
      </c>
    </row>
    <row r="2276" spans="2:9">
      <c r="B2276" s="11" t="str">
        <f t="shared" si="181"/>
        <v/>
      </c>
      <c r="C2276" s="11" t="str">
        <f t="shared" si="184"/>
        <v/>
      </c>
      <c r="D2276" s="11" t="str">
        <f t="shared" si="185"/>
        <v/>
      </c>
      <c r="E2276" s="11" t="str">
        <f t="shared" si="182"/>
        <v/>
      </c>
      <c r="F2276" s="11" t="str">
        <f t="shared" si="183"/>
        <v/>
      </c>
      <c r="G2276" s="10" t="str">
        <v/>
      </c>
      <c r="H2276" s="11" t="str">
        <v/>
      </c>
      <c r="I2276" s="11" t="str">
        <v/>
      </c>
    </row>
    <row r="2277" spans="2:9">
      <c r="B2277" s="11" t="str">
        <f t="shared" si="181"/>
        <v/>
      </c>
      <c r="C2277" s="11" t="str">
        <f t="shared" si="184"/>
        <v/>
      </c>
      <c r="D2277" s="11" t="str">
        <f t="shared" si="185"/>
        <v/>
      </c>
      <c r="E2277" s="11" t="str">
        <f t="shared" si="182"/>
        <v/>
      </c>
      <c r="F2277" s="11" t="str">
        <f t="shared" si="183"/>
        <v/>
      </c>
      <c r="G2277" s="10" t="str">
        <v/>
      </c>
      <c r="H2277" s="11" t="str">
        <v/>
      </c>
      <c r="I2277" s="11" t="str">
        <v/>
      </c>
    </row>
    <row r="2278" spans="2:9">
      <c r="B2278" s="11" t="str">
        <f t="shared" si="181"/>
        <v/>
      </c>
      <c r="C2278" s="11" t="str">
        <f t="shared" si="184"/>
        <v/>
      </c>
      <c r="D2278" s="11" t="str">
        <f t="shared" si="185"/>
        <v/>
      </c>
      <c r="E2278" s="11" t="str">
        <f t="shared" si="182"/>
        <v/>
      </c>
      <c r="F2278" s="11" t="str">
        <f t="shared" si="183"/>
        <v/>
      </c>
      <c r="G2278" s="10" t="str">
        <v/>
      </c>
      <c r="H2278" s="11" t="str">
        <v/>
      </c>
      <c r="I2278" s="11" t="str">
        <v/>
      </c>
    </row>
    <row r="2279" spans="2:9">
      <c r="B2279" s="11" t="str">
        <f t="shared" si="181"/>
        <v/>
      </c>
      <c r="C2279" s="11" t="str">
        <f t="shared" si="184"/>
        <v/>
      </c>
      <c r="D2279" s="11" t="str">
        <f t="shared" si="185"/>
        <v/>
      </c>
      <c r="E2279" s="11" t="str">
        <f t="shared" si="182"/>
        <v/>
      </c>
      <c r="F2279" s="11" t="str">
        <f t="shared" si="183"/>
        <v/>
      </c>
      <c r="G2279" s="10" t="str">
        <v/>
      </c>
      <c r="H2279" s="11" t="str">
        <v/>
      </c>
      <c r="I2279" s="11" t="str">
        <v/>
      </c>
    </row>
    <row r="2280" spans="2:9">
      <c r="B2280" s="11" t="str">
        <f t="shared" si="181"/>
        <v/>
      </c>
      <c r="C2280" s="11" t="str">
        <f t="shared" si="184"/>
        <v/>
      </c>
      <c r="D2280" s="11" t="str">
        <f t="shared" si="185"/>
        <v/>
      </c>
      <c r="E2280" s="11" t="str">
        <f t="shared" si="182"/>
        <v/>
      </c>
      <c r="F2280" s="11" t="str">
        <f t="shared" si="183"/>
        <v/>
      </c>
      <c r="G2280" s="10" t="str">
        <v/>
      </c>
      <c r="H2280" s="11" t="str">
        <v/>
      </c>
      <c r="I2280" s="11" t="str">
        <v/>
      </c>
    </row>
    <row r="2281" spans="2:9">
      <c r="B2281" s="11" t="str">
        <f t="shared" si="181"/>
        <v/>
      </c>
      <c r="C2281" s="11" t="str">
        <f t="shared" si="184"/>
        <v/>
      </c>
      <c r="D2281" s="11" t="str">
        <f t="shared" si="185"/>
        <v/>
      </c>
      <c r="E2281" s="11" t="str">
        <f t="shared" si="182"/>
        <v/>
      </c>
      <c r="F2281" s="11" t="str">
        <f t="shared" si="183"/>
        <v/>
      </c>
      <c r="G2281" s="10" t="str">
        <v/>
      </c>
      <c r="H2281" s="11" t="str">
        <v/>
      </c>
      <c r="I2281" s="11" t="str">
        <v/>
      </c>
    </row>
    <row r="2282" spans="2:9">
      <c r="B2282" s="11" t="str">
        <f t="shared" si="181"/>
        <v/>
      </c>
      <c r="C2282" s="11" t="str">
        <f t="shared" si="184"/>
        <v/>
      </c>
      <c r="D2282" s="11" t="str">
        <f t="shared" si="185"/>
        <v/>
      </c>
      <c r="E2282" s="11" t="str">
        <f t="shared" si="182"/>
        <v/>
      </c>
      <c r="F2282" s="11" t="str">
        <f t="shared" si="183"/>
        <v/>
      </c>
      <c r="G2282" s="10" t="str">
        <v/>
      </c>
      <c r="H2282" s="11" t="str">
        <v/>
      </c>
      <c r="I2282" s="11" t="str">
        <v/>
      </c>
    </row>
    <row r="2283" spans="2:9">
      <c r="B2283" s="11" t="str">
        <f t="shared" si="181"/>
        <v/>
      </c>
      <c r="C2283" s="11" t="str">
        <f t="shared" si="184"/>
        <v/>
      </c>
      <c r="D2283" s="11" t="str">
        <f t="shared" si="185"/>
        <v/>
      </c>
      <c r="E2283" s="11" t="str">
        <f t="shared" si="182"/>
        <v/>
      </c>
      <c r="F2283" s="11" t="str">
        <f t="shared" si="183"/>
        <v/>
      </c>
      <c r="G2283" s="10" t="str">
        <v/>
      </c>
      <c r="H2283" s="11" t="str">
        <v/>
      </c>
      <c r="I2283" s="11" t="str">
        <v/>
      </c>
    </row>
    <row r="2284" spans="2:9">
      <c r="B2284" s="11" t="str">
        <f t="shared" si="181"/>
        <v/>
      </c>
      <c r="C2284" s="11" t="str">
        <f t="shared" si="184"/>
        <v/>
      </c>
      <c r="D2284" s="11" t="str">
        <f t="shared" si="185"/>
        <v/>
      </c>
      <c r="E2284" s="11" t="str">
        <f t="shared" si="182"/>
        <v/>
      </c>
      <c r="F2284" s="11" t="str">
        <f t="shared" si="183"/>
        <v/>
      </c>
      <c r="G2284" s="10" t="str">
        <v/>
      </c>
      <c r="H2284" s="11" t="str">
        <v/>
      </c>
      <c r="I2284" s="11" t="str">
        <v/>
      </c>
    </row>
    <row r="2285" spans="2:9">
      <c r="B2285" s="11" t="str">
        <f t="shared" si="181"/>
        <v/>
      </c>
      <c r="C2285" s="11" t="str">
        <f t="shared" si="184"/>
        <v/>
      </c>
      <c r="D2285" s="11" t="str">
        <f t="shared" si="185"/>
        <v/>
      </c>
      <c r="E2285" s="11" t="str">
        <f t="shared" si="182"/>
        <v/>
      </c>
      <c r="F2285" s="11" t="str">
        <f t="shared" si="183"/>
        <v/>
      </c>
      <c r="G2285" s="10" t="str">
        <v/>
      </c>
      <c r="H2285" s="11" t="str">
        <v/>
      </c>
      <c r="I2285" s="11" t="str">
        <v/>
      </c>
    </row>
    <row r="2286" spans="2:9">
      <c r="B2286" s="11" t="str">
        <f t="shared" si="181"/>
        <v/>
      </c>
      <c r="C2286" s="11" t="str">
        <f t="shared" si="184"/>
        <v/>
      </c>
      <c r="D2286" s="11" t="str">
        <f t="shared" si="185"/>
        <v/>
      </c>
      <c r="E2286" s="11" t="str">
        <f t="shared" si="182"/>
        <v/>
      </c>
      <c r="F2286" s="11" t="str">
        <f t="shared" si="183"/>
        <v/>
      </c>
      <c r="G2286" s="10" t="str">
        <v/>
      </c>
      <c r="H2286" s="11" t="str">
        <v/>
      </c>
      <c r="I2286" s="11" t="str">
        <v/>
      </c>
    </row>
    <row r="2287" spans="2:9">
      <c r="B2287" s="11" t="str">
        <f t="shared" si="181"/>
        <v/>
      </c>
      <c r="C2287" s="11" t="str">
        <f t="shared" si="184"/>
        <v/>
      </c>
      <c r="D2287" s="11" t="str">
        <f t="shared" si="185"/>
        <v/>
      </c>
      <c r="E2287" s="11" t="str">
        <f t="shared" si="182"/>
        <v/>
      </c>
      <c r="F2287" s="11" t="str">
        <f t="shared" si="183"/>
        <v/>
      </c>
      <c r="G2287" s="10" t="str">
        <v/>
      </c>
      <c r="H2287" s="11" t="str">
        <v/>
      </c>
      <c r="I2287" s="11" t="str">
        <v/>
      </c>
    </row>
    <row r="2288" spans="2:9">
      <c r="B2288" s="11" t="str">
        <f t="shared" si="181"/>
        <v/>
      </c>
      <c r="C2288" s="11" t="str">
        <f t="shared" si="184"/>
        <v/>
      </c>
      <c r="D2288" s="11" t="str">
        <f t="shared" si="185"/>
        <v/>
      </c>
      <c r="E2288" s="11" t="str">
        <f t="shared" si="182"/>
        <v/>
      </c>
      <c r="F2288" s="11" t="str">
        <f t="shared" si="183"/>
        <v/>
      </c>
      <c r="G2288" s="10" t="str">
        <v/>
      </c>
      <c r="H2288" s="11" t="str">
        <v/>
      </c>
      <c r="I2288" s="11" t="str">
        <v/>
      </c>
    </row>
    <row r="2289" spans="2:9">
      <c r="B2289" s="11" t="str">
        <f t="shared" si="181"/>
        <v/>
      </c>
      <c r="C2289" s="11" t="str">
        <f t="shared" si="184"/>
        <v/>
      </c>
      <c r="D2289" s="11" t="str">
        <f t="shared" si="185"/>
        <v/>
      </c>
      <c r="E2289" s="11" t="str">
        <f t="shared" si="182"/>
        <v/>
      </c>
      <c r="F2289" s="11" t="str">
        <f t="shared" si="183"/>
        <v/>
      </c>
      <c r="G2289" s="10" t="str">
        <v/>
      </c>
      <c r="H2289" s="11" t="str">
        <v/>
      </c>
      <c r="I2289" s="11" t="str">
        <v/>
      </c>
    </row>
    <row r="2290" spans="2:9">
      <c r="B2290" s="11" t="str">
        <f t="shared" si="181"/>
        <v/>
      </c>
      <c r="C2290" s="11" t="str">
        <f t="shared" si="184"/>
        <v/>
      </c>
      <c r="D2290" s="11" t="str">
        <f t="shared" si="185"/>
        <v/>
      </c>
      <c r="E2290" s="11" t="str">
        <f t="shared" si="182"/>
        <v/>
      </c>
      <c r="F2290" s="11" t="str">
        <f t="shared" si="183"/>
        <v/>
      </c>
      <c r="G2290" s="10" t="str">
        <v/>
      </c>
      <c r="H2290" s="11" t="str">
        <v/>
      </c>
      <c r="I2290" s="11" t="str">
        <v/>
      </c>
    </row>
    <row r="2291" spans="2:9">
      <c r="B2291" s="11" t="str">
        <f t="shared" si="181"/>
        <v/>
      </c>
      <c r="C2291" s="11" t="str">
        <f t="shared" si="184"/>
        <v/>
      </c>
      <c r="D2291" s="11" t="str">
        <f t="shared" si="185"/>
        <v/>
      </c>
      <c r="E2291" s="11" t="str">
        <f t="shared" si="182"/>
        <v/>
      </c>
      <c r="F2291" s="11" t="str">
        <f t="shared" si="183"/>
        <v/>
      </c>
      <c r="G2291" s="10" t="str">
        <v/>
      </c>
      <c r="H2291" s="11" t="str">
        <v/>
      </c>
      <c r="I2291" s="11" t="str">
        <v/>
      </c>
    </row>
    <row r="2292" spans="2:9">
      <c r="B2292" s="11" t="str">
        <f t="shared" si="181"/>
        <v/>
      </c>
      <c r="C2292" s="11" t="str">
        <f t="shared" si="184"/>
        <v/>
      </c>
      <c r="D2292" s="11" t="str">
        <f t="shared" si="185"/>
        <v/>
      </c>
      <c r="E2292" s="11" t="str">
        <f t="shared" si="182"/>
        <v/>
      </c>
      <c r="F2292" s="11" t="str">
        <f t="shared" si="183"/>
        <v/>
      </c>
      <c r="G2292" s="10" t="str">
        <v/>
      </c>
      <c r="H2292" s="11" t="str">
        <v/>
      </c>
      <c r="I2292" s="11" t="str">
        <v/>
      </c>
    </row>
    <row r="2293" spans="2:9">
      <c r="B2293" s="11" t="str">
        <f t="shared" si="181"/>
        <v/>
      </c>
      <c r="C2293" s="11" t="str">
        <f t="shared" si="184"/>
        <v/>
      </c>
      <c r="D2293" s="11" t="str">
        <f t="shared" si="185"/>
        <v/>
      </c>
      <c r="E2293" s="11" t="str">
        <f t="shared" si="182"/>
        <v/>
      </c>
      <c r="F2293" s="11" t="str">
        <f t="shared" si="183"/>
        <v/>
      </c>
      <c r="G2293" s="10" t="str">
        <v/>
      </c>
      <c r="H2293" s="11" t="str">
        <v/>
      </c>
      <c r="I2293" s="11" t="str">
        <v/>
      </c>
    </row>
    <row r="2294" spans="2:9">
      <c r="B2294" s="11" t="str">
        <f t="shared" si="181"/>
        <v/>
      </c>
      <c r="C2294" s="11" t="str">
        <f t="shared" si="184"/>
        <v/>
      </c>
      <c r="D2294" s="11" t="str">
        <f t="shared" si="185"/>
        <v/>
      </c>
      <c r="E2294" s="11" t="str">
        <f t="shared" si="182"/>
        <v/>
      </c>
      <c r="F2294" s="11" t="str">
        <f t="shared" si="183"/>
        <v/>
      </c>
      <c r="G2294" s="10" t="str">
        <v/>
      </c>
      <c r="H2294" s="11" t="str">
        <v/>
      </c>
      <c r="I2294" s="11" t="str">
        <v/>
      </c>
    </row>
    <row r="2295" spans="2:9">
      <c r="B2295" s="11" t="str">
        <f t="shared" si="181"/>
        <v/>
      </c>
      <c r="C2295" s="11" t="str">
        <f t="shared" si="184"/>
        <v/>
      </c>
      <c r="D2295" s="11" t="str">
        <f t="shared" si="185"/>
        <v/>
      </c>
      <c r="E2295" s="11" t="str">
        <f t="shared" si="182"/>
        <v/>
      </c>
      <c r="F2295" s="11" t="str">
        <f t="shared" si="183"/>
        <v/>
      </c>
      <c r="G2295" s="10" t="str">
        <v/>
      </c>
      <c r="H2295" s="11" t="str">
        <v/>
      </c>
      <c r="I2295" s="11" t="str">
        <v/>
      </c>
    </row>
    <row r="2296" spans="2:9">
      <c r="B2296" s="11" t="str">
        <f t="shared" si="181"/>
        <v/>
      </c>
      <c r="C2296" s="11" t="str">
        <f t="shared" si="184"/>
        <v/>
      </c>
      <c r="D2296" s="11" t="str">
        <f t="shared" si="185"/>
        <v/>
      </c>
      <c r="E2296" s="11" t="str">
        <f t="shared" si="182"/>
        <v/>
      </c>
      <c r="F2296" s="11" t="str">
        <f t="shared" si="183"/>
        <v/>
      </c>
      <c r="G2296" s="10" t="str">
        <v/>
      </c>
      <c r="H2296" s="11" t="str">
        <v/>
      </c>
      <c r="I2296" s="11" t="str">
        <v/>
      </c>
    </row>
    <row r="2297" spans="2:9">
      <c r="B2297" s="11" t="str">
        <f t="shared" si="181"/>
        <v/>
      </c>
      <c r="C2297" s="11" t="str">
        <f t="shared" si="184"/>
        <v/>
      </c>
      <c r="D2297" s="11" t="str">
        <f t="shared" si="185"/>
        <v/>
      </c>
      <c r="E2297" s="11" t="str">
        <f t="shared" si="182"/>
        <v/>
      </c>
      <c r="F2297" s="11" t="str">
        <f t="shared" si="183"/>
        <v/>
      </c>
      <c r="G2297" s="10" t="str">
        <v/>
      </c>
      <c r="H2297" s="11" t="str">
        <v/>
      </c>
      <c r="I2297" s="11" t="str">
        <v/>
      </c>
    </row>
    <row r="2298" spans="2:9">
      <c r="B2298" s="11" t="str">
        <f t="shared" si="181"/>
        <v/>
      </c>
      <c r="C2298" s="11" t="str">
        <f t="shared" si="184"/>
        <v/>
      </c>
      <c r="D2298" s="11" t="str">
        <f t="shared" si="185"/>
        <v/>
      </c>
      <c r="E2298" s="11" t="str">
        <f t="shared" si="182"/>
        <v/>
      </c>
      <c r="F2298" s="11" t="str">
        <f t="shared" si="183"/>
        <v/>
      </c>
      <c r="G2298" s="10" t="str">
        <v/>
      </c>
      <c r="H2298" s="11" t="str">
        <v/>
      </c>
      <c r="I2298" s="11" t="str">
        <v/>
      </c>
    </row>
    <row r="2299" spans="2:9">
      <c r="B2299" s="11" t="str">
        <f t="shared" si="181"/>
        <v/>
      </c>
      <c r="C2299" s="11" t="str">
        <f t="shared" si="184"/>
        <v/>
      </c>
      <c r="D2299" s="11" t="str">
        <f t="shared" si="185"/>
        <v/>
      </c>
      <c r="E2299" s="11" t="str">
        <f t="shared" si="182"/>
        <v/>
      </c>
      <c r="F2299" s="11" t="str">
        <f t="shared" si="183"/>
        <v/>
      </c>
      <c r="G2299" s="10" t="str">
        <v/>
      </c>
      <c r="H2299" s="11" t="str">
        <v/>
      </c>
      <c r="I2299" s="11" t="str">
        <v/>
      </c>
    </row>
    <row r="2300" spans="2:9">
      <c r="B2300" s="11" t="str">
        <f t="shared" si="181"/>
        <v/>
      </c>
      <c r="C2300" s="11" t="str">
        <f t="shared" si="184"/>
        <v/>
      </c>
      <c r="D2300" s="11" t="str">
        <f t="shared" si="185"/>
        <v/>
      </c>
      <c r="E2300" s="11" t="str">
        <f t="shared" si="182"/>
        <v/>
      </c>
      <c r="F2300" s="11" t="str">
        <f t="shared" si="183"/>
        <v/>
      </c>
      <c r="G2300" s="10" t="str">
        <v/>
      </c>
      <c r="H2300" s="11" t="str">
        <v/>
      </c>
      <c r="I2300" s="11" t="str">
        <v/>
      </c>
    </row>
    <row r="2301" spans="2:9">
      <c r="B2301" s="11" t="str">
        <f t="shared" si="181"/>
        <v/>
      </c>
      <c r="C2301" s="11" t="str">
        <f t="shared" si="184"/>
        <v/>
      </c>
      <c r="D2301" s="11" t="str">
        <f t="shared" si="185"/>
        <v/>
      </c>
      <c r="E2301" s="11" t="str">
        <f t="shared" si="182"/>
        <v/>
      </c>
      <c r="F2301" s="11" t="str">
        <f t="shared" si="183"/>
        <v/>
      </c>
      <c r="G2301" s="10" t="str">
        <v/>
      </c>
      <c r="H2301" s="11" t="str">
        <v/>
      </c>
      <c r="I2301" s="11" t="str">
        <v/>
      </c>
    </row>
    <row r="2302" spans="2:9">
      <c r="B2302" s="11" t="str">
        <f t="shared" si="181"/>
        <v/>
      </c>
      <c r="C2302" s="11" t="str">
        <f t="shared" si="184"/>
        <v/>
      </c>
      <c r="D2302" s="11" t="str">
        <f t="shared" si="185"/>
        <v/>
      </c>
      <c r="E2302" s="11" t="str">
        <f t="shared" si="182"/>
        <v/>
      </c>
      <c r="F2302" s="11" t="str">
        <f t="shared" si="183"/>
        <v/>
      </c>
      <c r="G2302" s="10" t="str">
        <v/>
      </c>
      <c r="H2302" s="11" t="str">
        <v/>
      </c>
      <c r="I2302" s="11" t="str">
        <v/>
      </c>
    </row>
    <row r="2303" spans="2:9">
      <c r="B2303" s="11" t="str">
        <f t="shared" si="181"/>
        <v/>
      </c>
      <c r="C2303" s="11" t="str">
        <f t="shared" si="184"/>
        <v/>
      </c>
      <c r="D2303" s="11" t="str">
        <f t="shared" si="185"/>
        <v/>
      </c>
      <c r="E2303" s="11" t="str">
        <f t="shared" si="182"/>
        <v/>
      </c>
      <c r="F2303" s="11" t="str">
        <f t="shared" si="183"/>
        <v/>
      </c>
      <c r="G2303" s="10" t="str">
        <v/>
      </c>
      <c r="H2303" s="11" t="str">
        <v/>
      </c>
      <c r="I2303" s="11" t="str">
        <v/>
      </c>
    </row>
    <row r="2304" spans="2:9">
      <c r="B2304" s="11" t="str">
        <f t="shared" si="181"/>
        <v/>
      </c>
      <c r="C2304" s="11" t="str">
        <f t="shared" si="184"/>
        <v/>
      </c>
      <c r="D2304" s="11" t="str">
        <f t="shared" si="185"/>
        <v/>
      </c>
      <c r="E2304" s="11" t="str">
        <f t="shared" si="182"/>
        <v/>
      </c>
      <c r="F2304" s="11" t="str">
        <f t="shared" si="183"/>
        <v/>
      </c>
      <c r="G2304" s="10" t="str">
        <v/>
      </c>
      <c r="H2304" s="11" t="str">
        <v/>
      </c>
      <c r="I2304" s="11" t="str">
        <v/>
      </c>
    </row>
    <row r="2305" spans="2:9">
      <c r="B2305" s="11" t="str">
        <f t="shared" ref="B2305:B2368" si="186">IFERROR(IF(FIND(" ",A2305)=6,IF(IFERROR(FIND(" PB",A2305),"")&lt;&gt;"","артикул",IF(IFERROR(FIND(" CRN",A2305),"")&lt;&gt;"","артикул","")),""),"")</f>
        <v/>
      </c>
      <c r="C2305" s="11" t="str">
        <f t="shared" si="184"/>
        <v/>
      </c>
      <c r="D2305" s="11" t="str">
        <f t="shared" si="185"/>
        <v/>
      </c>
      <c r="E2305" s="11" t="str">
        <f t="shared" si="182"/>
        <v/>
      </c>
      <c r="F2305" s="11" t="str">
        <f t="shared" si="183"/>
        <v/>
      </c>
      <c r="G2305" s="10" t="str">
        <v/>
      </c>
      <c r="H2305" s="11" t="str">
        <v/>
      </c>
      <c r="I2305" s="11" t="str">
        <v/>
      </c>
    </row>
    <row r="2306" spans="2:9">
      <c r="B2306" s="11" t="str">
        <f t="shared" si="186"/>
        <v/>
      </c>
      <c r="C2306" s="11" t="str">
        <f t="shared" si="184"/>
        <v/>
      </c>
      <c r="D2306" s="11" t="str">
        <f t="shared" si="185"/>
        <v/>
      </c>
      <c r="E2306" s="11" t="str">
        <f t="shared" ref="E2306:E2369" si="187" xml:space="preserve">
IF(B2306="Артикул",
IF(
AND(RIGHT(A2307,1)="%",
RIGHT(A2308,1)="%",
RIGHT(A2309,1)="%",
RIGHT(A2310,1)="%"),MID(A2311,FIND(" ",A2311),50),
IF(
AND(RIGHT(A2307,1)="%",
RIGHT(A2308,1)="%",
RIGHT(A2309,1)="%"),MID(A2310,FIND(" ",A2310),50),
IF(
AND(RIGHT(A2307,1)="%",
RIGHT(A2308,1)="%"),
MID(A2309,FIND(" ",A2309),50),
IF(
RIGHT(A2307,1)="%",
MID(A2308,FIND(" ",A2308),50),"")))),"")</f>
        <v/>
      </c>
      <c r="F2306" s="11" t="str">
        <f t="shared" ref="F2306:F2369" si="188">IFERROR(
IF(
AND(LEFT(A2306,8)="Discount",FIND("%",A2306)&gt;0),
MID(A2306,
FIND(" ",A2306),
FIND("%",A2306)-FIND(" ",A2306))
*-1,""),"")</f>
        <v/>
      </c>
      <c r="G2306" s="10" t="str">
        <v/>
      </c>
      <c r="H2306" s="11" t="str">
        <v/>
      </c>
      <c r="I2306" s="11" t="str">
        <v/>
      </c>
    </row>
    <row r="2307" spans="2:9">
      <c r="B2307" s="11" t="str">
        <f t="shared" si="186"/>
        <v/>
      </c>
      <c r="C2307" s="11" t="str">
        <f t="shared" si="184"/>
        <v/>
      </c>
      <c r="D2307" s="11" t="str">
        <f t="shared" si="185"/>
        <v/>
      </c>
      <c r="E2307" s="11" t="str">
        <f t="shared" si="187"/>
        <v/>
      </c>
      <c r="F2307" s="11" t="str">
        <f t="shared" si="188"/>
        <v/>
      </c>
      <c r="G2307" s="10" t="str">
        <v/>
      </c>
      <c r="H2307" s="11" t="str">
        <v/>
      </c>
      <c r="I2307" s="11" t="str">
        <v/>
      </c>
    </row>
    <row r="2308" spans="2:9">
      <c r="B2308" s="11" t="str">
        <f t="shared" si="186"/>
        <v/>
      </c>
      <c r="C2308" s="11" t="str">
        <f t="shared" si="184"/>
        <v/>
      </c>
      <c r="D2308" s="11" t="str">
        <f t="shared" si="185"/>
        <v/>
      </c>
      <c r="E2308" s="11" t="str">
        <f t="shared" si="187"/>
        <v/>
      </c>
      <c r="F2308" s="11" t="str">
        <f t="shared" si="188"/>
        <v/>
      </c>
      <c r="G2308" s="10" t="str">
        <v/>
      </c>
      <c r="H2308" s="11" t="str">
        <v/>
      </c>
      <c r="I2308" s="11" t="str">
        <v/>
      </c>
    </row>
    <row r="2309" spans="2:9">
      <c r="B2309" s="11" t="str">
        <f t="shared" si="186"/>
        <v/>
      </c>
      <c r="C2309" s="11" t="str">
        <f t="shared" si="184"/>
        <v/>
      </c>
      <c r="D2309" s="11" t="str">
        <f t="shared" si="185"/>
        <v/>
      </c>
      <c r="E2309" s="11" t="str">
        <f t="shared" si="187"/>
        <v/>
      </c>
      <c r="F2309" s="11" t="str">
        <f t="shared" si="188"/>
        <v/>
      </c>
      <c r="G2309" s="10" t="str">
        <v/>
      </c>
      <c r="H2309" s="11" t="str">
        <v/>
      </c>
      <c r="I2309" s="11" t="str">
        <v/>
      </c>
    </row>
    <row r="2310" spans="2:9">
      <c r="B2310" s="11" t="str">
        <f t="shared" si="186"/>
        <v/>
      </c>
      <c r="C2310" s="11" t="str">
        <f t="shared" si="184"/>
        <v/>
      </c>
      <c r="D2310" s="11" t="str">
        <f t="shared" si="185"/>
        <v/>
      </c>
      <c r="E2310" s="11" t="str">
        <f t="shared" si="187"/>
        <v/>
      </c>
      <c r="F2310" s="11" t="str">
        <f t="shared" si="188"/>
        <v/>
      </c>
      <c r="G2310" s="10" t="str">
        <v/>
      </c>
      <c r="H2310" s="11" t="str">
        <v/>
      </c>
      <c r="I2310" s="11" t="str">
        <v/>
      </c>
    </row>
    <row r="2311" spans="2:9">
      <c r="B2311" s="11" t="str">
        <f t="shared" si="186"/>
        <v/>
      </c>
      <c r="C2311" s="11" t="str">
        <f t="shared" si="184"/>
        <v/>
      </c>
      <c r="D2311" s="11" t="str">
        <f t="shared" si="185"/>
        <v/>
      </c>
      <c r="E2311" s="11" t="str">
        <f t="shared" si="187"/>
        <v/>
      </c>
      <c r="F2311" s="11" t="str">
        <f t="shared" si="188"/>
        <v/>
      </c>
      <c r="G2311" s="10" t="str">
        <v/>
      </c>
      <c r="H2311" s="11" t="str">
        <v/>
      </c>
      <c r="I2311" s="11" t="str">
        <v/>
      </c>
    </row>
    <row r="2312" spans="2:9">
      <c r="B2312" s="11" t="str">
        <f t="shared" si="186"/>
        <v/>
      </c>
      <c r="C2312" s="11" t="str">
        <f t="shared" si="184"/>
        <v/>
      </c>
      <c r="D2312" s="11" t="str">
        <f t="shared" si="185"/>
        <v/>
      </c>
      <c r="E2312" s="11" t="str">
        <f t="shared" si="187"/>
        <v/>
      </c>
      <c r="F2312" s="11" t="str">
        <f t="shared" si="188"/>
        <v/>
      </c>
      <c r="G2312" s="10" t="str">
        <v/>
      </c>
      <c r="H2312" s="11" t="str">
        <v/>
      </c>
      <c r="I2312" s="11" t="str">
        <v/>
      </c>
    </row>
    <row r="2313" spans="2:9">
      <c r="B2313" s="11" t="str">
        <f t="shared" si="186"/>
        <v/>
      </c>
      <c r="C2313" s="11" t="str">
        <f t="shared" si="184"/>
        <v/>
      </c>
      <c r="D2313" s="11" t="str">
        <f t="shared" si="185"/>
        <v/>
      </c>
      <c r="E2313" s="11" t="str">
        <f t="shared" si="187"/>
        <v/>
      </c>
      <c r="F2313" s="11" t="str">
        <f t="shared" si="188"/>
        <v/>
      </c>
      <c r="G2313" s="10" t="str">
        <v/>
      </c>
      <c r="H2313" s="11" t="str">
        <v/>
      </c>
      <c r="I2313" s="11" t="str">
        <v/>
      </c>
    </row>
    <row r="2314" spans="2:9">
      <c r="B2314" s="11" t="str">
        <f t="shared" si="186"/>
        <v/>
      </c>
      <c r="C2314" s="11" t="str">
        <f t="shared" si="184"/>
        <v/>
      </c>
      <c r="D2314" s="11" t="str">
        <f t="shared" si="185"/>
        <v/>
      </c>
      <c r="E2314" s="11" t="str">
        <f t="shared" si="187"/>
        <v/>
      </c>
      <c r="F2314" s="11" t="str">
        <f t="shared" si="188"/>
        <v/>
      </c>
      <c r="G2314" s="10" t="str">
        <v/>
      </c>
      <c r="H2314" s="11" t="str">
        <v/>
      </c>
      <c r="I2314" s="11" t="str">
        <v/>
      </c>
    </row>
    <row r="2315" spans="2:9">
      <c r="B2315" s="11" t="str">
        <f t="shared" si="186"/>
        <v/>
      </c>
      <c r="C2315" s="11" t="str">
        <f t="shared" si="184"/>
        <v/>
      </c>
      <c r="D2315" s="11" t="str">
        <f t="shared" si="185"/>
        <v/>
      </c>
      <c r="E2315" s="11" t="str">
        <f t="shared" si="187"/>
        <v/>
      </c>
      <c r="F2315" s="11" t="str">
        <f t="shared" si="188"/>
        <v/>
      </c>
      <c r="G2315" s="10" t="str">
        <v/>
      </c>
      <c r="H2315" s="11" t="str">
        <v/>
      </c>
      <c r="I2315" s="11" t="str">
        <v/>
      </c>
    </row>
    <row r="2316" spans="2:9">
      <c r="B2316" s="11" t="str">
        <f t="shared" si="186"/>
        <v/>
      </c>
      <c r="C2316" s="11" t="str">
        <f t="shared" si="184"/>
        <v/>
      </c>
      <c r="D2316" s="11" t="str">
        <f t="shared" si="185"/>
        <v/>
      </c>
      <c r="E2316" s="11" t="str">
        <f t="shared" si="187"/>
        <v/>
      </c>
      <c r="F2316" s="11" t="str">
        <f t="shared" si="188"/>
        <v/>
      </c>
      <c r="G2316" s="10" t="str">
        <v/>
      </c>
      <c r="H2316" s="11" t="str">
        <v/>
      </c>
      <c r="I2316" s="11" t="str">
        <v/>
      </c>
    </row>
    <row r="2317" spans="2:9">
      <c r="B2317" s="11" t="str">
        <f t="shared" si="186"/>
        <v/>
      </c>
      <c r="C2317" s="11" t="str">
        <f t="shared" ref="C2317:C2380" si="189">IF(B2317="артикул",A2317,"")</f>
        <v/>
      </c>
      <c r="D2317" s="11" t="str">
        <f t="shared" ref="D2317:D2380" si="190">IF(B2317="артикул",A2318,"")</f>
        <v/>
      </c>
      <c r="E2317" s="11" t="str">
        <f t="shared" si="187"/>
        <v/>
      </c>
      <c r="F2317" s="11" t="str">
        <f t="shared" si="188"/>
        <v/>
      </c>
      <c r="G2317" s="10" t="str">
        <v/>
      </c>
      <c r="H2317" s="11" t="str">
        <v/>
      </c>
      <c r="I2317" s="11" t="str">
        <v/>
      </c>
    </row>
    <row r="2318" spans="2:9">
      <c r="B2318" s="11" t="str">
        <f t="shared" si="186"/>
        <v/>
      </c>
      <c r="C2318" s="11" t="str">
        <f t="shared" si="189"/>
        <v/>
      </c>
      <c r="D2318" s="11" t="str">
        <f t="shared" si="190"/>
        <v/>
      </c>
      <c r="E2318" s="11" t="str">
        <f t="shared" si="187"/>
        <v/>
      </c>
      <c r="F2318" s="11" t="str">
        <f t="shared" si="188"/>
        <v/>
      </c>
      <c r="G2318" s="10" t="str">
        <v/>
      </c>
      <c r="H2318" s="11" t="str">
        <v/>
      </c>
      <c r="I2318" s="11" t="str">
        <v/>
      </c>
    </row>
    <row r="2319" spans="2:9">
      <c r="B2319" s="11" t="str">
        <f t="shared" si="186"/>
        <v/>
      </c>
      <c r="C2319" s="11" t="str">
        <f t="shared" si="189"/>
        <v/>
      </c>
      <c r="D2319" s="11" t="str">
        <f t="shared" si="190"/>
        <v/>
      </c>
      <c r="E2319" s="11" t="str">
        <f t="shared" si="187"/>
        <v/>
      </c>
      <c r="F2319" s="11" t="str">
        <f t="shared" si="188"/>
        <v/>
      </c>
      <c r="G2319" s="10" t="str">
        <v/>
      </c>
      <c r="H2319" s="11" t="str">
        <v/>
      </c>
      <c r="I2319" s="11" t="str">
        <v/>
      </c>
    </row>
    <row r="2320" spans="2:9">
      <c r="B2320" s="11" t="str">
        <f t="shared" si="186"/>
        <v/>
      </c>
      <c r="C2320" s="11" t="str">
        <f t="shared" si="189"/>
        <v/>
      </c>
      <c r="D2320" s="11" t="str">
        <f t="shared" si="190"/>
        <v/>
      </c>
      <c r="E2320" s="11" t="str">
        <f t="shared" si="187"/>
        <v/>
      </c>
      <c r="F2320" s="11" t="str">
        <f t="shared" si="188"/>
        <v/>
      </c>
      <c r="G2320" s="10" t="str">
        <v/>
      </c>
      <c r="H2320" s="11" t="str">
        <v/>
      </c>
      <c r="I2320" s="11" t="str">
        <v/>
      </c>
    </row>
    <row r="2321" spans="2:9">
      <c r="B2321" s="11" t="str">
        <f t="shared" si="186"/>
        <v/>
      </c>
      <c r="C2321" s="11" t="str">
        <f t="shared" si="189"/>
        <v/>
      </c>
      <c r="D2321" s="11" t="str">
        <f t="shared" si="190"/>
        <v/>
      </c>
      <c r="E2321" s="11" t="str">
        <f t="shared" si="187"/>
        <v/>
      </c>
      <c r="F2321" s="11" t="str">
        <f t="shared" si="188"/>
        <v/>
      </c>
      <c r="G2321" s="10" t="str">
        <v/>
      </c>
      <c r="H2321" s="11" t="str">
        <v/>
      </c>
      <c r="I2321" s="11" t="str">
        <v/>
      </c>
    </row>
    <row r="2322" spans="2:9">
      <c r="B2322" s="11" t="str">
        <f t="shared" si="186"/>
        <v/>
      </c>
      <c r="C2322" s="11" t="str">
        <f t="shared" si="189"/>
        <v/>
      </c>
      <c r="D2322" s="11" t="str">
        <f t="shared" si="190"/>
        <v/>
      </c>
      <c r="E2322" s="11" t="str">
        <f t="shared" si="187"/>
        <v/>
      </c>
      <c r="F2322" s="11" t="str">
        <f t="shared" si="188"/>
        <v/>
      </c>
      <c r="G2322" s="10" t="str">
        <v/>
      </c>
      <c r="H2322" s="11" t="str">
        <v/>
      </c>
      <c r="I2322" s="11" t="str">
        <v/>
      </c>
    </row>
    <row r="2323" spans="2:9">
      <c r="B2323" s="11" t="str">
        <f t="shared" si="186"/>
        <v/>
      </c>
      <c r="C2323" s="11" t="str">
        <f t="shared" si="189"/>
        <v/>
      </c>
      <c r="D2323" s="11" t="str">
        <f t="shared" si="190"/>
        <v/>
      </c>
      <c r="E2323" s="11" t="str">
        <f t="shared" si="187"/>
        <v/>
      </c>
      <c r="F2323" s="11" t="str">
        <f t="shared" si="188"/>
        <v/>
      </c>
      <c r="G2323" s="10" t="str">
        <v/>
      </c>
      <c r="H2323" s="11" t="str">
        <v/>
      </c>
      <c r="I2323" s="11" t="str">
        <v/>
      </c>
    </row>
    <row r="2324" spans="2:9">
      <c r="B2324" s="11" t="str">
        <f t="shared" si="186"/>
        <v/>
      </c>
      <c r="C2324" s="11" t="str">
        <f t="shared" si="189"/>
        <v/>
      </c>
      <c r="D2324" s="11" t="str">
        <f t="shared" si="190"/>
        <v/>
      </c>
      <c r="E2324" s="11" t="str">
        <f t="shared" si="187"/>
        <v/>
      </c>
      <c r="F2324" s="11" t="str">
        <f t="shared" si="188"/>
        <v/>
      </c>
      <c r="G2324" s="10" t="str">
        <v/>
      </c>
      <c r="H2324" s="11" t="str">
        <v/>
      </c>
      <c r="I2324" s="11" t="str">
        <v/>
      </c>
    </row>
    <row r="2325" spans="2:9">
      <c r="B2325" s="11" t="str">
        <f t="shared" si="186"/>
        <v/>
      </c>
      <c r="C2325" s="11" t="str">
        <f t="shared" si="189"/>
        <v/>
      </c>
      <c r="D2325" s="11" t="str">
        <f t="shared" si="190"/>
        <v/>
      </c>
      <c r="E2325" s="11" t="str">
        <f t="shared" si="187"/>
        <v/>
      </c>
      <c r="F2325" s="11" t="str">
        <f t="shared" si="188"/>
        <v/>
      </c>
      <c r="G2325" s="10" t="str">
        <v/>
      </c>
      <c r="H2325" s="11" t="str">
        <v/>
      </c>
      <c r="I2325" s="11" t="str">
        <v/>
      </c>
    </row>
    <row r="2326" spans="2:9">
      <c r="B2326" s="11" t="str">
        <f t="shared" si="186"/>
        <v/>
      </c>
      <c r="C2326" s="11" t="str">
        <f t="shared" si="189"/>
        <v/>
      </c>
      <c r="D2326" s="11" t="str">
        <f t="shared" si="190"/>
        <v/>
      </c>
      <c r="E2326" s="11" t="str">
        <f t="shared" si="187"/>
        <v/>
      </c>
      <c r="F2326" s="11" t="str">
        <f t="shared" si="188"/>
        <v/>
      </c>
      <c r="G2326" s="10" t="str">
        <v/>
      </c>
      <c r="H2326" s="11" t="str">
        <v/>
      </c>
      <c r="I2326" s="11" t="str">
        <v/>
      </c>
    </row>
    <row r="2327" spans="2:9">
      <c r="B2327" s="11" t="str">
        <f t="shared" si="186"/>
        <v/>
      </c>
      <c r="C2327" s="11" t="str">
        <f t="shared" si="189"/>
        <v/>
      </c>
      <c r="D2327" s="11" t="str">
        <f t="shared" si="190"/>
        <v/>
      </c>
      <c r="E2327" s="11" t="str">
        <f t="shared" si="187"/>
        <v/>
      </c>
      <c r="F2327" s="11" t="str">
        <f t="shared" si="188"/>
        <v/>
      </c>
      <c r="G2327" s="10" t="str">
        <v/>
      </c>
      <c r="H2327" s="11" t="str">
        <v/>
      </c>
      <c r="I2327" s="11" t="str">
        <v/>
      </c>
    </row>
    <row r="2328" spans="2:9">
      <c r="B2328" s="11" t="str">
        <f t="shared" si="186"/>
        <v/>
      </c>
      <c r="C2328" s="11" t="str">
        <f t="shared" si="189"/>
        <v/>
      </c>
      <c r="D2328" s="11" t="str">
        <f t="shared" si="190"/>
        <v/>
      </c>
      <c r="E2328" s="11" t="str">
        <f t="shared" si="187"/>
        <v/>
      </c>
      <c r="F2328" s="11" t="str">
        <f t="shared" si="188"/>
        <v/>
      </c>
      <c r="G2328" s="10" t="str">
        <v/>
      </c>
      <c r="H2328" s="11" t="str">
        <v/>
      </c>
      <c r="I2328" s="11" t="str">
        <v/>
      </c>
    </row>
    <row r="2329" spans="2:9">
      <c r="B2329" s="11" t="str">
        <f t="shared" si="186"/>
        <v/>
      </c>
      <c r="C2329" s="11" t="str">
        <f t="shared" si="189"/>
        <v/>
      </c>
      <c r="D2329" s="11" t="str">
        <f t="shared" si="190"/>
        <v/>
      </c>
      <c r="E2329" s="11" t="str">
        <f t="shared" si="187"/>
        <v/>
      </c>
      <c r="F2329" s="11" t="str">
        <f t="shared" si="188"/>
        <v/>
      </c>
      <c r="G2329" s="10" t="str">
        <v/>
      </c>
      <c r="H2329" s="11" t="str">
        <v/>
      </c>
      <c r="I2329" s="11" t="str">
        <v/>
      </c>
    </row>
    <row r="2330" spans="2:9">
      <c r="B2330" s="11" t="str">
        <f t="shared" si="186"/>
        <v/>
      </c>
      <c r="C2330" s="11" t="str">
        <f t="shared" si="189"/>
        <v/>
      </c>
      <c r="D2330" s="11" t="str">
        <f t="shared" si="190"/>
        <v/>
      </c>
      <c r="E2330" s="11" t="str">
        <f t="shared" si="187"/>
        <v/>
      </c>
      <c r="F2330" s="11" t="str">
        <f t="shared" si="188"/>
        <v/>
      </c>
      <c r="G2330" s="10" t="str">
        <v/>
      </c>
      <c r="H2330" s="11" t="str">
        <v/>
      </c>
      <c r="I2330" s="11" t="str">
        <v/>
      </c>
    </row>
    <row r="2331" spans="2:9">
      <c r="B2331" s="11" t="str">
        <f t="shared" si="186"/>
        <v/>
      </c>
      <c r="C2331" s="11" t="str">
        <f t="shared" si="189"/>
        <v/>
      </c>
      <c r="D2331" s="11" t="str">
        <f t="shared" si="190"/>
        <v/>
      </c>
      <c r="E2331" s="11" t="str">
        <f t="shared" si="187"/>
        <v/>
      </c>
      <c r="F2331" s="11" t="str">
        <f t="shared" si="188"/>
        <v/>
      </c>
      <c r="G2331" s="10" t="str">
        <v/>
      </c>
      <c r="H2331" s="11" t="str">
        <v/>
      </c>
      <c r="I2331" s="11" t="str">
        <v/>
      </c>
    </row>
    <row r="2332" spans="2:9">
      <c r="B2332" s="11" t="str">
        <f t="shared" si="186"/>
        <v/>
      </c>
      <c r="C2332" s="11" t="str">
        <f t="shared" si="189"/>
        <v/>
      </c>
      <c r="D2332" s="11" t="str">
        <f t="shared" si="190"/>
        <v/>
      </c>
      <c r="E2332" s="11" t="str">
        <f t="shared" si="187"/>
        <v/>
      </c>
      <c r="F2332" s="11" t="str">
        <f t="shared" si="188"/>
        <v/>
      </c>
      <c r="G2332" s="10" t="str">
        <v/>
      </c>
      <c r="H2332" s="11" t="str">
        <v/>
      </c>
      <c r="I2332" s="11" t="str">
        <v/>
      </c>
    </row>
    <row r="2333" spans="2:9">
      <c r="B2333" s="11" t="str">
        <f t="shared" si="186"/>
        <v/>
      </c>
      <c r="C2333" s="11" t="str">
        <f t="shared" si="189"/>
        <v/>
      </c>
      <c r="D2333" s="11" t="str">
        <f t="shared" si="190"/>
        <v/>
      </c>
      <c r="E2333" s="11" t="str">
        <f t="shared" si="187"/>
        <v/>
      </c>
      <c r="F2333" s="11" t="str">
        <f t="shared" si="188"/>
        <v/>
      </c>
      <c r="G2333" s="10" t="str">
        <v/>
      </c>
      <c r="H2333" s="11" t="str">
        <v/>
      </c>
      <c r="I2333" s="11" t="str">
        <v/>
      </c>
    </row>
    <row r="2334" spans="2:9">
      <c r="B2334" s="11" t="str">
        <f t="shared" si="186"/>
        <v/>
      </c>
      <c r="C2334" s="11" t="str">
        <f t="shared" si="189"/>
        <v/>
      </c>
      <c r="D2334" s="11" t="str">
        <f t="shared" si="190"/>
        <v/>
      </c>
      <c r="E2334" s="11" t="str">
        <f t="shared" si="187"/>
        <v/>
      </c>
      <c r="F2334" s="11" t="str">
        <f t="shared" si="188"/>
        <v/>
      </c>
      <c r="G2334" s="10" t="str">
        <v/>
      </c>
      <c r="H2334" s="11" t="str">
        <v/>
      </c>
      <c r="I2334" s="11" t="str">
        <v/>
      </c>
    </row>
    <row r="2335" spans="2:9">
      <c r="B2335" s="11" t="str">
        <f t="shared" si="186"/>
        <v/>
      </c>
      <c r="C2335" s="11" t="str">
        <f t="shared" si="189"/>
        <v/>
      </c>
      <c r="D2335" s="11" t="str">
        <f t="shared" si="190"/>
        <v/>
      </c>
      <c r="E2335" s="11" t="str">
        <f t="shared" si="187"/>
        <v/>
      </c>
      <c r="F2335" s="11" t="str">
        <f t="shared" si="188"/>
        <v/>
      </c>
      <c r="G2335" s="10" t="str">
        <v/>
      </c>
      <c r="H2335" s="11" t="str">
        <v/>
      </c>
      <c r="I2335" s="11" t="str">
        <v/>
      </c>
    </row>
    <row r="2336" spans="2:9">
      <c r="B2336" s="11" t="str">
        <f t="shared" si="186"/>
        <v/>
      </c>
      <c r="C2336" s="11" t="str">
        <f t="shared" si="189"/>
        <v/>
      </c>
      <c r="D2336" s="11" t="str">
        <f t="shared" si="190"/>
        <v/>
      </c>
      <c r="E2336" s="11" t="str">
        <f t="shared" si="187"/>
        <v/>
      </c>
      <c r="F2336" s="11" t="str">
        <f t="shared" si="188"/>
        <v/>
      </c>
      <c r="G2336" s="10" t="str">
        <v/>
      </c>
      <c r="H2336" s="11" t="str">
        <v/>
      </c>
      <c r="I2336" s="11" t="str">
        <v/>
      </c>
    </row>
    <row r="2337" spans="2:9">
      <c r="B2337" s="11" t="str">
        <f t="shared" si="186"/>
        <v/>
      </c>
      <c r="C2337" s="11" t="str">
        <f t="shared" si="189"/>
        <v/>
      </c>
      <c r="D2337" s="11" t="str">
        <f t="shared" si="190"/>
        <v/>
      </c>
      <c r="E2337" s="11" t="str">
        <f t="shared" si="187"/>
        <v/>
      </c>
      <c r="F2337" s="11" t="str">
        <f t="shared" si="188"/>
        <v/>
      </c>
      <c r="G2337" s="10" t="str">
        <v/>
      </c>
      <c r="H2337" s="11" t="str">
        <v/>
      </c>
      <c r="I2337" s="11" t="str">
        <v/>
      </c>
    </row>
    <row r="2338" spans="2:9">
      <c r="B2338" s="11" t="str">
        <f t="shared" si="186"/>
        <v/>
      </c>
      <c r="C2338" s="11" t="str">
        <f t="shared" si="189"/>
        <v/>
      </c>
      <c r="D2338" s="11" t="str">
        <f t="shared" si="190"/>
        <v/>
      </c>
      <c r="E2338" s="11" t="str">
        <f t="shared" si="187"/>
        <v/>
      </c>
      <c r="F2338" s="11" t="str">
        <f t="shared" si="188"/>
        <v/>
      </c>
      <c r="G2338" s="10" t="str">
        <v/>
      </c>
      <c r="H2338" s="11" t="str">
        <v/>
      </c>
      <c r="I2338" s="11" t="str">
        <v/>
      </c>
    </row>
    <row r="2339" spans="2:9">
      <c r="B2339" s="11" t="str">
        <f t="shared" si="186"/>
        <v/>
      </c>
      <c r="C2339" s="11" t="str">
        <f t="shared" si="189"/>
        <v/>
      </c>
      <c r="D2339" s="11" t="str">
        <f t="shared" si="190"/>
        <v/>
      </c>
      <c r="E2339" s="11" t="str">
        <f t="shared" si="187"/>
        <v/>
      </c>
      <c r="F2339" s="11" t="str">
        <f t="shared" si="188"/>
        <v/>
      </c>
      <c r="G2339" s="10" t="str">
        <v/>
      </c>
      <c r="H2339" s="11" t="str">
        <v/>
      </c>
      <c r="I2339" s="11" t="str">
        <v/>
      </c>
    </row>
    <row r="2340" spans="2:9">
      <c r="B2340" s="11" t="str">
        <f t="shared" si="186"/>
        <v/>
      </c>
      <c r="C2340" s="11" t="str">
        <f t="shared" si="189"/>
        <v/>
      </c>
      <c r="D2340" s="11" t="str">
        <f t="shared" si="190"/>
        <v/>
      </c>
      <c r="E2340" s="11" t="str">
        <f t="shared" si="187"/>
        <v/>
      </c>
      <c r="F2340" s="11" t="str">
        <f t="shared" si="188"/>
        <v/>
      </c>
      <c r="G2340" s="10" t="str">
        <v/>
      </c>
      <c r="H2340" s="11" t="str">
        <v/>
      </c>
      <c r="I2340" s="11" t="str">
        <v/>
      </c>
    </row>
    <row r="2341" spans="2:9">
      <c r="B2341" s="11" t="str">
        <f t="shared" si="186"/>
        <v/>
      </c>
      <c r="C2341" s="11" t="str">
        <f t="shared" si="189"/>
        <v/>
      </c>
      <c r="D2341" s="11" t="str">
        <f t="shared" si="190"/>
        <v/>
      </c>
      <c r="E2341" s="11" t="str">
        <f t="shared" si="187"/>
        <v/>
      </c>
      <c r="F2341" s="11" t="str">
        <f t="shared" si="188"/>
        <v/>
      </c>
      <c r="G2341" s="10" t="str">
        <v/>
      </c>
      <c r="H2341" s="11" t="str">
        <v/>
      </c>
      <c r="I2341" s="11" t="str">
        <v/>
      </c>
    </row>
    <row r="2342" spans="2:9">
      <c r="B2342" s="11" t="str">
        <f t="shared" si="186"/>
        <v/>
      </c>
      <c r="C2342" s="11" t="str">
        <f t="shared" si="189"/>
        <v/>
      </c>
      <c r="D2342" s="11" t="str">
        <f t="shared" si="190"/>
        <v/>
      </c>
      <c r="E2342" s="11" t="str">
        <f t="shared" si="187"/>
        <v/>
      </c>
      <c r="F2342" s="11" t="str">
        <f t="shared" si="188"/>
        <v/>
      </c>
      <c r="G2342" s="10" t="str">
        <v/>
      </c>
      <c r="H2342" s="11" t="str">
        <v/>
      </c>
      <c r="I2342" s="11" t="str">
        <v/>
      </c>
    </row>
    <row r="2343" spans="2:9">
      <c r="B2343" s="11" t="str">
        <f t="shared" si="186"/>
        <v/>
      </c>
      <c r="C2343" s="11" t="str">
        <f t="shared" si="189"/>
        <v/>
      </c>
      <c r="D2343" s="11" t="str">
        <f t="shared" si="190"/>
        <v/>
      </c>
      <c r="E2343" s="11" t="str">
        <f t="shared" si="187"/>
        <v/>
      </c>
      <c r="F2343" s="11" t="str">
        <f t="shared" si="188"/>
        <v/>
      </c>
      <c r="G2343" s="10" t="str">
        <v/>
      </c>
      <c r="H2343" s="11" t="str">
        <v/>
      </c>
      <c r="I2343" s="11" t="str">
        <v/>
      </c>
    </row>
    <row r="2344" spans="2:9">
      <c r="B2344" s="11" t="str">
        <f t="shared" si="186"/>
        <v/>
      </c>
      <c r="C2344" s="11" t="str">
        <f t="shared" si="189"/>
        <v/>
      </c>
      <c r="D2344" s="11" t="str">
        <f t="shared" si="190"/>
        <v/>
      </c>
      <c r="E2344" s="11" t="str">
        <f t="shared" si="187"/>
        <v/>
      </c>
      <c r="F2344" s="11" t="str">
        <f t="shared" si="188"/>
        <v/>
      </c>
      <c r="G2344" s="10" t="str">
        <v/>
      </c>
      <c r="H2344" s="11" t="str">
        <v/>
      </c>
      <c r="I2344" s="11" t="str">
        <v/>
      </c>
    </row>
    <row r="2345" spans="2:9">
      <c r="B2345" s="11" t="str">
        <f t="shared" si="186"/>
        <v/>
      </c>
      <c r="C2345" s="11" t="str">
        <f t="shared" si="189"/>
        <v/>
      </c>
      <c r="D2345" s="11" t="str">
        <f t="shared" si="190"/>
        <v/>
      </c>
      <c r="E2345" s="11" t="str">
        <f t="shared" si="187"/>
        <v/>
      </c>
      <c r="F2345" s="11" t="str">
        <f t="shared" si="188"/>
        <v/>
      </c>
      <c r="G2345" s="10" t="str">
        <v/>
      </c>
      <c r="H2345" s="11" t="str">
        <v/>
      </c>
      <c r="I2345" s="11" t="str">
        <v/>
      </c>
    </row>
    <row r="2346" spans="2:9">
      <c r="B2346" s="11" t="str">
        <f t="shared" si="186"/>
        <v/>
      </c>
      <c r="C2346" s="11" t="str">
        <f t="shared" si="189"/>
        <v/>
      </c>
      <c r="D2346" s="11" t="str">
        <f t="shared" si="190"/>
        <v/>
      </c>
      <c r="E2346" s="11" t="str">
        <f t="shared" si="187"/>
        <v/>
      </c>
      <c r="F2346" s="11" t="str">
        <f t="shared" si="188"/>
        <v/>
      </c>
      <c r="G2346" s="10" t="str">
        <v/>
      </c>
      <c r="H2346" s="11" t="str">
        <v/>
      </c>
      <c r="I2346" s="11" t="str">
        <v/>
      </c>
    </row>
    <row r="2347" spans="2:9">
      <c r="B2347" s="11" t="str">
        <f t="shared" si="186"/>
        <v/>
      </c>
      <c r="C2347" s="11" t="str">
        <f t="shared" si="189"/>
        <v/>
      </c>
      <c r="D2347" s="11" t="str">
        <f t="shared" si="190"/>
        <v/>
      </c>
      <c r="E2347" s="11" t="str">
        <f t="shared" si="187"/>
        <v/>
      </c>
      <c r="F2347" s="11" t="str">
        <f t="shared" si="188"/>
        <v/>
      </c>
      <c r="G2347" s="10" t="str">
        <v/>
      </c>
      <c r="H2347" s="11" t="str">
        <v/>
      </c>
      <c r="I2347" s="11" t="str">
        <v/>
      </c>
    </row>
    <row r="2348" spans="2:9">
      <c r="B2348" s="11" t="str">
        <f t="shared" si="186"/>
        <v/>
      </c>
      <c r="C2348" s="11" t="str">
        <f t="shared" si="189"/>
        <v/>
      </c>
      <c r="D2348" s="11" t="str">
        <f t="shared" si="190"/>
        <v/>
      </c>
      <c r="E2348" s="11" t="str">
        <f t="shared" si="187"/>
        <v/>
      </c>
      <c r="F2348" s="11" t="str">
        <f t="shared" si="188"/>
        <v/>
      </c>
      <c r="G2348" s="10" t="str">
        <v/>
      </c>
      <c r="H2348" s="11" t="str">
        <v/>
      </c>
      <c r="I2348" s="11" t="str">
        <v/>
      </c>
    </row>
    <row r="2349" spans="2:9">
      <c r="B2349" s="11" t="str">
        <f t="shared" si="186"/>
        <v/>
      </c>
      <c r="C2349" s="11" t="str">
        <f t="shared" si="189"/>
        <v/>
      </c>
      <c r="D2349" s="11" t="str">
        <f t="shared" si="190"/>
        <v/>
      </c>
      <c r="E2349" s="11" t="str">
        <f t="shared" si="187"/>
        <v/>
      </c>
      <c r="F2349" s="11" t="str">
        <f t="shared" si="188"/>
        <v/>
      </c>
      <c r="G2349" s="10" t="str">
        <v/>
      </c>
      <c r="H2349" s="11" t="str">
        <v/>
      </c>
      <c r="I2349" s="11" t="str">
        <v/>
      </c>
    </row>
    <row r="2350" spans="2:9">
      <c r="B2350" s="11" t="str">
        <f t="shared" si="186"/>
        <v/>
      </c>
      <c r="C2350" s="11" t="str">
        <f t="shared" si="189"/>
        <v/>
      </c>
      <c r="D2350" s="11" t="str">
        <f t="shared" si="190"/>
        <v/>
      </c>
      <c r="E2350" s="11" t="str">
        <f t="shared" si="187"/>
        <v/>
      </c>
      <c r="F2350" s="11" t="str">
        <f t="shared" si="188"/>
        <v/>
      </c>
      <c r="G2350" s="10" t="str">
        <v/>
      </c>
      <c r="H2350" s="11" t="str">
        <v/>
      </c>
      <c r="I2350" s="11" t="str">
        <v/>
      </c>
    </row>
    <row r="2351" spans="2:9">
      <c r="B2351" s="11" t="str">
        <f t="shared" si="186"/>
        <v/>
      </c>
      <c r="C2351" s="11" t="str">
        <f t="shared" si="189"/>
        <v/>
      </c>
      <c r="D2351" s="11" t="str">
        <f t="shared" si="190"/>
        <v/>
      </c>
      <c r="E2351" s="11" t="str">
        <f t="shared" si="187"/>
        <v/>
      </c>
      <c r="F2351" s="11" t="str">
        <f t="shared" si="188"/>
        <v/>
      </c>
      <c r="G2351" s="10" t="str">
        <v/>
      </c>
      <c r="H2351" s="11" t="str">
        <v/>
      </c>
      <c r="I2351" s="11" t="str">
        <v/>
      </c>
    </row>
    <row r="2352" spans="2:9">
      <c r="B2352" s="11" t="str">
        <f t="shared" si="186"/>
        <v/>
      </c>
      <c r="C2352" s="11" t="str">
        <f t="shared" si="189"/>
        <v/>
      </c>
      <c r="D2352" s="11" t="str">
        <f t="shared" si="190"/>
        <v/>
      </c>
      <c r="E2352" s="11" t="str">
        <f t="shared" si="187"/>
        <v/>
      </c>
      <c r="F2352" s="11" t="str">
        <f t="shared" si="188"/>
        <v/>
      </c>
      <c r="G2352" s="10" t="str">
        <v/>
      </c>
      <c r="H2352" s="11" t="str">
        <v/>
      </c>
      <c r="I2352" s="11" t="str">
        <v/>
      </c>
    </row>
    <row r="2353" spans="2:9">
      <c r="B2353" s="11" t="str">
        <f t="shared" si="186"/>
        <v/>
      </c>
      <c r="C2353" s="11" t="str">
        <f t="shared" si="189"/>
        <v/>
      </c>
      <c r="D2353" s="11" t="str">
        <f t="shared" si="190"/>
        <v/>
      </c>
      <c r="E2353" s="11" t="str">
        <f t="shared" si="187"/>
        <v/>
      </c>
      <c r="F2353" s="11" t="str">
        <f t="shared" si="188"/>
        <v/>
      </c>
      <c r="G2353" s="10" t="str">
        <v/>
      </c>
      <c r="H2353" s="11" t="str">
        <v/>
      </c>
      <c r="I2353" s="11" t="str">
        <v/>
      </c>
    </row>
    <row r="2354" spans="2:9">
      <c r="B2354" s="11" t="str">
        <f t="shared" si="186"/>
        <v/>
      </c>
      <c r="C2354" s="11" t="str">
        <f t="shared" si="189"/>
        <v/>
      </c>
      <c r="D2354" s="11" t="str">
        <f t="shared" si="190"/>
        <v/>
      </c>
      <c r="E2354" s="11" t="str">
        <f t="shared" si="187"/>
        <v/>
      </c>
      <c r="F2354" s="11" t="str">
        <f t="shared" si="188"/>
        <v/>
      </c>
      <c r="G2354" s="10" t="str">
        <v/>
      </c>
      <c r="H2354" s="11" t="str">
        <v/>
      </c>
      <c r="I2354" s="11" t="str">
        <v/>
      </c>
    </row>
    <row r="2355" spans="2:9">
      <c r="B2355" s="11" t="str">
        <f t="shared" si="186"/>
        <v/>
      </c>
      <c r="C2355" s="11" t="str">
        <f t="shared" si="189"/>
        <v/>
      </c>
      <c r="D2355" s="11" t="str">
        <f t="shared" si="190"/>
        <v/>
      </c>
      <c r="E2355" s="11" t="str">
        <f t="shared" si="187"/>
        <v/>
      </c>
      <c r="F2355" s="11" t="str">
        <f t="shared" si="188"/>
        <v/>
      </c>
      <c r="G2355" s="10" t="str">
        <v/>
      </c>
      <c r="H2355" s="11" t="str">
        <v/>
      </c>
      <c r="I2355" s="11" t="str">
        <v/>
      </c>
    </row>
    <row r="2356" spans="2:9">
      <c r="B2356" s="11" t="str">
        <f t="shared" si="186"/>
        <v/>
      </c>
      <c r="C2356" s="11" t="str">
        <f t="shared" si="189"/>
        <v/>
      </c>
      <c r="D2356" s="11" t="str">
        <f t="shared" si="190"/>
        <v/>
      </c>
      <c r="E2356" s="11" t="str">
        <f t="shared" si="187"/>
        <v/>
      </c>
      <c r="F2356" s="11" t="str">
        <f t="shared" si="188"/>
        <v/>
      </c>
      <c r="G2356" s="10" t="str">
        <v/>
      </c>
      <c r="H2356" s="11" t="str">
        <v/>
      </c>
      <c r="I2356" s="11" t="str">
        <v/>
      </c>
    </row>
    <row r="2357" spans="2:9">
      <c r="B2357" s="11" t="str">
        <f t="shared" si="186"/>
        <v/>
      </c>
      <c r="C2357" s="11" t="str">
        <f t="shared" si="189"/>
        <v/>
      </c>
      <c r="D2357" s="11" t="str">
        <f t="shared" si="190"/>
        <v/>
      </c>
      <c r="E2357" s="11" t="str">
        <f t="shared" si="187"/>
        <v/>
      </c>
      <c r="F2357" s="11" t="str">
        <f t="shared" si="188"/>
        <v/>
      </c>
      <c r="G2357" s="10" t="str">
        <v/>
      </c>
      <c r="H2357" s="11" t="str">
        <v/>
      </c>
      <c r="I2357" s="11" t="str">
        <v/>
      </c>
    </row>
    <row r="2358" spans="2:9">
      <c r="B2358" s="11" t="str">
        <f t="shared" si="186"/>
        <v/>
      </c>
      <c r="C2358" s="11" t="str">
        <f t="shared" si="189"/>
        <v/>
      </c>
      <c r="D2358" s="11" t="str">
        <f t="shared" si="190"/>
        <v/>
      </c>
      <c r="E2358" s="11" t="str">
        <f t="shared" si="187"/>
        <v/>
      </c>
      <c r="F2358" s="11" t="str">
        <f t="shared" si="188"/>
        <v/>
      </c>
      <c r="G2358" s="10" t="str">
        <v/>
      </c>
      <c r="H2358" s="11" t="str">
        <v/>
      </c>
      <c r="I2358" s="11" t="str">
        <v/>
      </c>
    </row>
    <row r="2359" spans="2:9">
      <c r="B2359" s="11" t="str">
        <f t="shared" si="186"/>
        <v/>
      </c>
      <c r="C2359" s="11" t="str">
        <f t="shared" si="189"/>
        <v/>
      </c>
      <c r="D2359" s="11" t="str">
        <f t="shared" si="190"/>
        <v/>
      </c>
      <c r="E2359" s="11" t="str">
        <f t="shared" si="187"/>
        <v/>
      </c>
      <c r="F2359" s="11" t="str">
        <f t="shared" si="188"/>
        <v/>
      </c>
      <c r="G2359" s="10" t="str">
        <v/>
      </c>
      <c r="H2359" s="11" t="str">
        <v/>
      </c>
      <c r="I2359" s="11" t="str">
        <v/>
      </c>
    </row>
    <row r="2360" spans="2:9">
      <c r="B2360" s="11" t="str">
        <f t="shared" si="186"/>
        <v/>
      </c>
      <c r="C2360" s="11" t="str">
        <f t="shared" si="189"/>
        <v/>
      </c>
      <c r="D2360" s="11" t="str">
        <f t="shared" si="190"/>
        <v/>
      </c>
      <c r="E2360" s="11" t="str">
        <f t="shared" si="187"/>
        <v/>
      </c>
      <c r="F2360" s="11" t="str">
        <f t="shared" si="188"/>
        <v/>
      </c>
      <c r="G2360" s="10" t="str">
        <v/>
      </c>
      <c r="H2360" s="11" t="str">
        <v/>
      </c>
      <c r="I2360" s="11" t="str">
        <v/>
      </c>
    </row>
    <row r="2361" spans="2:9">
      <c r="B2361" s="11" t="str">
        <f t="shared" si="186"/>
        <v/>
      </c>
      <c r="C2361" s="11" t="str">
        <f t="shared" si="189"/>
        <v/>
      </c>
      <c r="D2361" s="11" t="str">
        <f t="shared" si="190"/>
        <v/>
      </c>
      <c r="E2361" s="11" t="str">
        <f t="shared" si="187"/>
        <v/>
      </c>
      <c r="F2361" s="11" t="str">
        <f t="shared" si="188"/>
        <v/>
      </c>
      <c r="G2361" s="10" t="str">
        <v/>
      </c>
      <c r="H2361" s="11" t="str">
        <v/>
      </c>
      <c r="I2361" s="11" t="str">
        <v/>
      </c>
    </row>
    <row r="2362" spans="2:9">
      <c r="B2362" s="11" t="str">
        <f t="shared" si="186"/>
        <v/>
      </c>
      <c r="C2362" s="11" t="str">
        <f t="shared" si="189"/>
        <v/>
      </c>
      <c r="D2362" s="11" t="str">
        <f t="shared" si="190"/>
        <v/>
      </c>
      <c r="E2362" s="11" t="str">
        <f t="shared" si="187"/>
        <v/>
      </c>
      <c r="F2362" s="11" t="str">
        <f t="shared" si="188"/>
        <v/>
      </c>
      <c r="G2362" s="10" t="str">
        <v/>
      </c>
      <c r="H2362" s="11" t="str">
        <v/>
      </c>
      <c r="I2362" s="11" t="str">
        <v/>
      </c>
    </row>
    <row r="2363" spans="2:9">
      <c r="B2363" s="11" t="str">
        <f t="shared" si="186"/>
        <v/>
      </c>
      <c r="C2363" s="11" t="str">
        <f t="shared" si="189"/>
        <v/>
      </c>
      <c r="D2363" s="11" t="str">
        <f t="shared" si="190"/>
        <v/>
      </c>
      <c r="E2363" s="11" t="str">
        <f t="shared" si="187"/>
        <v/>
      </c>
      <c r="F2363" s="11" t="str">
        <f t="shared" si="188"/>
        <v/>
      </c>
      <c r="G2363" s="10" t="str">
        <v/>
      </c>
      <c r="H2363" s="11" t="str">
        <v/>
      </c>
      <c r="I2363" s="11" t="str">
        <v/>
      </c>
    </row>
    <row r="2364" spans="2:9">
      <c r="B2364" s="11" t="str">
        <f t="shared" si="186"/>
        <v/>
      </c>
      <c r="C2364" s="11" t="str">
        <f t="shared" si="189"/>
        <v/>
      </c>
      <c r="D2364" s="11" t="str">
        <f t="shared" si="190"/>
        <v/>
      </c>
      <c r="E2364" s="11" t="str">
        <f t="shared" si="187"/>
        <v/>
      </c>
      <c r="F2364" s="11" t="str">
        <f t="shared" si="188"/>
        <v/>
      </c>
      <c r="G2364" s="10" t="str">
        <v/>
      </c>
      <c r="H2364" s="11" t="str">
        <v/>
      </c>
      <c r="I2364" s="11" t="str">
        <v/>
      </c>
    </row>
    <row r="2365" spans="2:9">
      <c r="B2365" s="11" t="str">
        <f t="shared" si="186"/>
        <v/>
      </c>
      <c r="C2365" s="11" t="str">
        <f t="shared" si="189"/>
        <v/>
      </c>
      <c r="D2365" s="11" t="str">
        <f t="shared" si="190"/>
        <v/>
      </c>
      <c r="E2365" s="11" t="str">
        <f t="shared" si="187"/>
        <v/>
      </c>
      <c r="F2365" s="11" t="str">
        <f t="shared" si="188"/>
        <v/>
      </c>
      <c r="G2365" s="10" t="str">
        <v/>
      </c>
      <c r="H2365" s="11" t="str">
        <v/>
      </c>
      <c r="I2365" s="11" t="str">
        <v/>
      </c>
    </row>
    <row r="2366" spans="2:9">
      <c r="B2366" s="11" t="str">
        <f t="shared" si="186"/>
        <v/>
      </c>
      <c r="C2366" s="11" t="str">
        <f t="shared" si="189"/>
        <v/>
      </c>
      <c r="D2366" s="11" t="str">
        <f t="shared" si="190"/>
        <v/>
      </c>
      <c r="E2366" s="11" t="str">
        <f t="shared" si="187"/>
        <v/>
      </c>
      <c r="F2366" s="11" t="str">
        <f t="shared" si="188"/>
        <v/>
      </c>
      <c r="G2366" s="10" t="str">
        <v/>
      </c>
      <c r="H2366" s="11" t="str">
        <v/>
      </c>
      <c r="I2366" s="11" t="str">
        <v/>
      </c>
    </row>
    <row r="2367" spans="2:9">
      <c r="B2367" s="11" t="str">
        <f t="shared" si="186"/>
        <v/>
      </c>
      <c r="C2367" s="11" t="str">
        <f t="shared" si="189"/>
        <v/>
      </c>
      <c r="D2367" s="11" t="str">
        <f t="shared" si="190"/>
        <v/>
      </c>
      <c r="E2367" s="11" t="str">
        <f t="shared" si="187"/>
        <v/>
      </c>
      <c r="F2367" s="11" t="str">
        <f t="shared" si="188"/>
        <v/>
      </c>
      <c r="G2367" s="10" t="str">
        <v/>
      </c>
      <c r="H2367" s="11" t="str">
        <v/>
      </c>
      <c r="I2367" s="11" t="str">
        <v/>
      </c>
    </row>
    <row r="2368" spans="2:9">
      <c r="B2368" s="11" t="str">
        <f t="shared" si="186"/>
        <v/>
      </c>
      <c r="C2368" s="11" t="str">
        <f t="shared" si="189"/>
        <v/>
      </c>
      <c r="D2368" s="11" t="str">
        <f t="shared" si="190"/>
        <v/>
      </c>
      <c r="E2368" s="11" t="str">
        <f t="shared" si="187"/>
        <v/>
      </c>
      <c r="F2368" s="11" t="str">
        <f t="shared" si="188"/>
        <v/>
      </c>
      <c r="G2368" s="10" t="str">
        <v/>
      </c>
      <c r="H2368" s="11" t="str">
        <v/>
      </c>
      <c r="I2368" s="11" t="str">
        <v/>
      </c>
    </row>
    <row r="2369" spans="2:9">
      <c r="B2369" s="11" t="str">
        <f t="shared" ref="B2369:B2432" si="191">IFERROR(IF(FIND(" ",A2369)=6,IF(IFERROR(FIND(" PB",A2369),"")&lt;&gt;"","артикул",IF(IFERROR(FIND(" CRN",A2369),"")&lt;&gt;"","артикул","")),""),"")</f>
        <v/>
      </c>
      <c r="C2369" s="11" t="str">
        <f t="shared" si="189"/>
        <v/>
      </c>
      <c r="D2369" s="11" t="str">
        <f t="shared" si="190"/>
        <v/>
      </c>
      <c r="E2369" s="11" t="str">
        <f t="shared" si="187"/>
        <v/>
      </c>
      <c r="F2369" s="11" t="str">
        <f t="shared" si="188"/>
        <v/>
      </c>
      <c r="G2369" s="10" t="str">
        <v/>
      </c>
      <c r="H2369" s="11" t="str">
        <v/>
      </c>
      <c r="I2369" s="11" t="str">
        <v/>
      </c>
    </row>
    <row r="2370" spans="2:9">
      <c r="B2370" s="11" t="str">
        <f t="shared" si="191"/>
        <v/>
      </c>
      <c r="C2370" s="11" t="str">
        <f t="shared" si="189"/>
        <v/>
      </c>
      <c r="D2370" s="11" t="str">
        <f t="shared" si="190"/>
        <v/>
      </c>
      <c r="E2370" s="11" t="str">
        <f t="shared" ref="E2370:E2433" si="192" xml:space="preserve">
IF(B2370="Артикул",
IF(
AND(RIGHT(A2371,1)="%",
RIGHT(A2372,1)="%",
RIGHT(A2373,1)="%",
RIGHT(A2374,1)="%"),MID(A2375,FIND(" ",A2375),50),
IF(
AND(RIGHT(A2371,1)="%",
RIGHT(A2372,1)="%",
RIGHT(A2373,1)="%"),MID(A2374,FIND(" ",A2374),50),
IF(
AND(RIGHT(A2371,1)="%",
RIGHT(A2372,1)="%"),
MID(A2373,FIND(" ",A2373),50),
IF(
RIGHT(A2371,1)="%",
MID(A2372,FIND(" ",A2372),50),"")))),"")</f>
        <v/>
      </c>
      <c r="F2370" s="11" t="str">
        <f t="shared" ref="F2370:F2433" si="193">IFERROR(
IF(
AND(LEFT(A2370,8)="Discount",FIND("%",A2370)&gt;0),
MID(A2370,
FIND(" ",A2370),
FIND("%",A2370)-FIND(" ",A2370))
*-1,""),"")</f>
        <v/>
      </c>
      <c r="G2370" s="10" t="str">
        <v/>
      </c>
      <c r="H2370" s="11" t="str">
        <v/>
      </c>
      <c r="I2370" s="11" t="str">
        <v/>
      </c>
    </row>
    <row r="2371" spans="2:9">
      <c r="B2371" s="11" t="str">
        <f t="shared" si="191"/>
        <v/>
      </c>
      <c r="C2371" s="11" t="str">
        <f t="shared" si="189"/>
        <v/>
      </c>
      <c r="D2371" s="11" t="str">
        <f t="shared" si="190"/>
        <v/>
      </c>
      <c r="E2371" s="11" t="str">
        <f t="shared" si="192"/>
        <v/>
      </c>
      <c r="F2371" s="11" t="str">
        <f t="shared" si="193"/>
        <v/>
      </c>
      <c r="G2371" s="10" t="str">
        <v/>
      </c>
      <c r="H2371" s="11" t="str">
        <v/>
      </c>
      <c r="I2371" s="11" t="str">
        <v/>
      </c>
    </row>
    <row r="2372" spans="2:9">
      <c r="B2372" s="11" t="str">
        <f t="shared" si="191"/>
        <v/>
      </c>
      <c r="C2372" s="11" t="str">
        <f t="shared" si="189"/>
        <v/>
      </c>
      <c r="D2372" s="11" t="str">
        <f t="shared" si="190"/>
        <v/>
      </c>
      <c r="E2372" s="11" t="str">
        <f t="shared" si="192"/>
        <v/>
      </c>
      <c r="F2372" s="11" t="str">
        <f t="shared" si="193"/>
        <v/>
      </c>
      <c r="G2372" s="10" t="str">
        <v/>
      </c>
      <c r="H2372" s="11" t="str">
        <v/>
      </c>
      <c r="I2372" s="11" t="str">
        <v/>
      </c>
    </row>
    <row r="2373" spans="2:9">
      <c r="B2373" s="11" t="str">
        <f t="shared" si="191"/>
        <v/>
      </c>
      <c r="C2373" s="11" t="str">
        <f t="shared" si="189"/>
        <v/>
      </c>
      <c r="D2373" s="11" t="str">
        <f t="shared" si="190"/>
        <v/>
      </c>
      <c r="E2373" s="11" t="str">
        <f t="shared" si="192"/>
        <v/>
      </c>
      <c r="F2373" s="11" t="str">
        <f t="shared" si="193"/>
        <v/>
      </c>
      <c r="G2373" s="10" t="str">
        <v/>
      </c>
      <c r="H2373" s="11" t="str">
        <v/>
      </c>
      <c r="I2373" s="11" t="str">
        <v/>
      </c>
    </row>
    <row r="2374" spans="2:9">
      <c r="B2374" s="11" t="str">
        <f t="shared" si="191"/>
        <v/>
      </c>
      <c r="C2374" s="11" t="str">
        <f t="shared" si="189"/>
        <v/>
      </c>
      <c r="D2374" s="11" t="str">
        <f t="shared" si="190"/>
        <v/>
      </c>
      <c r="E2374" s="11" t="str">
        <f t="shared" si="192"/>
        <v/>
      </c>
      <c r="F2374" s="11" t="str">
        <f t="shared" si="193"/>
        <v/>
      </c>
      <c r="G2374" s="10" t="str">
        <v/>
      </c>
      <c r="H2374" s="11" t="str">
        <v/>
      </c>
      <c r="I2374" s="11" t="str">
        <v/>
      </c>
    </row>
    <row r="2375" spans="2:9">
      <c r="B2375" s="11" t="str">
        <f t="shared" si="191"/>
        <v/>
      </c>
      <c r="C2375" s="11" t="str">
        <f t="shared" si="189"/>
        <v/>
      </c>
      <c r="D2375" s="11" t="str">
        <f t="shared" si="190"/>
        <v/>
      </c>
      <c r="E2375" s="11" t="str">
        <f t="shared" si="192"/>
        <v/>
      </c>
      <c r="F2375" s="11" t="str">
        <f t="shared" si="193"/>
        <v/>
      </c>
      <c r="G2375" s="10" t="str">
        <v/>
      </c>
      <c r="H2375" s="11" t="str">
        <v/>
      </c>
      <c r="I2375" s="11" t="str">
        <v/>
      </c>
    </row>
    <row r="2376" spans="2:9">
      <c r="B2376" s="11" t="str">
        <f t="shared" si="191"/>
        <v/>
      </c>
      <c r="C2376" s="11" t="str">
        <f t="shared" si="189"/>
        <v/>
      </c>
      <c r="D2376" s="11" t="str">
        <f t="shared" si="190"/>
        <v/>
      </c>
      <c r="E2376" s="11" t="str">
        <f t="shared" si="192"/>
        <v/>
      </c>
      <c r="F2376" s="11" t="str">
        <f t="shared" si="193"/>
        <v/>
      </c>
      <c r="G2376" s="10" t="str">
        <v/>
      </c>
      <c r="H2376" s="11" t="str">
        <v/>
      </c>
      <c r="I2376" s="11" t="str">
        <v/>
      </c>
    </row>
    <row r="2377" spans="2:9">
      <c r="B2377" s="11" t="str">
        <f t="shared" si="191"/>
        <v/>
      </c>
      <c r="C2377" s="11" t="str">
        <f t="shared" si="189"/>
        <v/>
      </c>
      <c r="D2377" s="11" t="str">
        <f t="shared" si="190"/>
        <v/>
      </c>
      <c r="E2377" s="11" t="str">
        <f t="shared" si="192"/>
        <v/>
      </c>
      <c r="F2377" s="11" t="str">
        <f t="shared" si="193"/>
        <v/>
      </c>
      <c r="G2377" s="10" t="str">
        <v/>
      </c>
      <c r="H2377" s="11" t="str">
        <v/>
      </c>
      <c r="I2377" s="11" t="str">
        <v/>
      </c>
    </row>
    <row r="2378" spans="2:9">
      <c r="B2378" s="11" t="str">
        <f t="shared" si="191"/>
        <v/>
      </c>
      <c r="C2378" s="11" t="str">
        <f t="shared" si="189"/>
        <v/>
      </c>
      <c r="D2378" s="11" t="str">
        <f t="shared" si="190"/>
        <v/>
      </c>
      <c r="E2378" s="11" t="str">
        <f t="shared" si="192"/>
        <v/>
      </c>
      <c r="F2378" s="11" t="str">
        <f t="shared" si="193"/>
        <v/>
      </c>
      <c r="G2378" s="10" t="str">
        <v/>
      </c>
      <c r="H2378" s="11" t="str">
        <v/>
      </c>
      <c r="I2378" s="11" t="str">
        <v/>
      </c>
    </row>
    <row r="2379" spans="2:9">
      <c r="B2379" s="11" t="str">
        <f t="shared" si="191"/>
        <v/>
      </c>
      <c r="C2379" s="11" t="str">
        <f t="shared" si="189"/>
        <v/>
      </c>
      <c r="D2379" s="11" t="str">
        <f t="shared" si="190"/>
        <v/>
      </c>
      <c r="E2379" s="11" t="str">
        <f t="shared" si="192"/>
        <v/>
      </c>
      <c r="F2379" s="11" t="str">
        <f t="shared" si="193"/>
        <v/>
      </c>
      <c r="G2379" s="10" t="str">
        <v/>
      </c>
      <c r="H2379" s="11" t="str">
        <v/>
      </c>
      <c r="I2379" s="11" t="str">
        <v/>
      </c>
    </row>
    <row r="2380" spans="2:9">
      <c r="B2380" s="11" t="str">
        <f t="shared" si="191"/>
        <v/>
      </c>
      <c r="C2380" s="11" t="str">
        <f t="shared" si="189"/>
        <v/>
      </c>
      <c r="D2380" s="11" t="str">
        <f t="shared" si="190"/>
        <v/>
      </c>
      <c r="E2380" s="11" t="str">
        <f t="shared" si="192"/>
        <v/>
      </c>
      <c r="F2380" s="11" t="str">
        <f t="shared" si="193"/>
        <v/>
      </c>
      <c r="G2380" s="10" t="str">
        <v/>
      </c>
      <c r="H2380" s="11" t="str">
        <v/>
      </c>
      <c r="I2380" s="11" t="str">
        <v/>
      </c>
    </row>
    <row r="2381" spans="2:9">
      <c r="B2381" s="11" t="str">
        <f t="shared" si="191"/>
        <v/>
      </c>
      <c r="C2381" s="11" t="str">
        <f t="shared" ref="C2381:C2444" si="194">IF(B2381="артикул",A2381,"")</f>
        <v/>
      </c>
      <c r="D2381" s="11" t="str">
        <f t="shared" ref="D2381:D2444" si="195">IF(B2381="артикул",A2382,"")</f>
        <v/>
      </c>
      <c r="E2381" s="11" t="str">
        <f t="shared" si="192"/>
        <v/>
      </c>
      <c r="F2381" s="11" t="str">
        <f t="shared" si="193"/>
        <v/>
      </c>
      <c r="G2381" s="10" t="str">
        <v/>
      </c>
      <c r="H2381" s="11" t="str">
        <v/>
      </c>
      <c r="I2381" s="11" t="str">
        <v/>
      </c>
    </row>
    <row r="2382" spans="2:9">
      <c r="B2382" s="11" t="str">
        <f t="shared" si="191"/>
        <v/>
      </c>
      <c r="C2382" s="11" t="str">
        <f t="shared" si="194"/>
        <v/>
      </c>
      <c r="D2382" s="11" t="str">
        <f t="shared" si="195"/>
        <v/>
      </c>
      <c r="E2382" s="11" t="str">
        <f t="shared" si="192"/>
        <v/>
      </c>
      <c r="F2382" s="11" t="str">
        <f t="shared" si="193"/>
        <v/>
      </c>
      <c r="G2382" s="10" t="str">
        <v/>
      </c>
      <c r="H2382" s="11" t="str">
        <v/>
      </c>
      <c r="I2382" s="11" t="str">
        <v/>
      </c>
    </row>
    <row r="2383" spans="2:9">
      <c r="B2383" s="11" t="str">
        <f t="shared" si="191"/>
        <v/>
      </c>
      <c r="C2383" s="11" t="str">
        <f t="shared" si="194"/>
        <v/>
      </c>
      <c r="D2383" s="11" t="str">
        <f t="shared" si="195"/>
        <v/>
      </c>
      <c r="E2383" s="11" t="str">
        <f t="shared" si="192"/>
        <v/>
      </c>
      <c r="F2383" s="11" t="str">
        <f t="shared" si="193"/>
        <v/>
      </c>
      <c r="G2383" s="10" t="str">
        <v/>
      </c>
      <c r="H2383" s="11" t="str">
        <v/>
      </c>
      <c r="I2383" s="11" t="str">
        <v/>
      </c>
    </row>
    <row r="2384" spans="2:9">
      <c r="B2384" s="11" t="str">
        <f t="shared" si="191"/>
        <v/>
      </c>
      <c r="C2384" s="11" t="str">
        <f t="shared" si="194"/>
        <v/>
      </c>
      <c r="D2384" s="11" t="str">
        <f t="shared" si="195"/>
        <v/>
      </c>
      <c r="E2384" s="11" t="str">
        <f t="shared" si="192"/>
        <v/>
      </c>
      <c r="F2384" s="11" t="str">
        <f t="shared" si="193"/>
        <v/>
      </c>
      <c r="G2384" s="10" t="str">
        <v/>
      </c>
      <c r="H2384" s="11" t="str">
        <v/>
      </c>
      <c r="I2384" s="11" t="str">
        <v/>
      </c>
    </row>
    <row r="2385" spans="2:9">
      <c r="B2385" s="11" t="str">
        <f t="shared" si="191"/>
        <v/>
      </c>
      <c r="C2385" s="11" t="str">
        <f t="shared" si="194"/>
        <v/>
      </c>
      <c r="D2385" s="11" t="str">
        <f t="shared" si="195"/>
        <v/>
      </c>
      <c r="E2385" s="11" t="str">
        <f t="shared" si="192"/>
        <v/>
      </c>
      <c r="F2385" s="11" t="str">
        <f t="shared" si="193"/>
        <v/>
      </c>
      <c r="G2385" s="10" t="str">
        <v/>
      </c>
      <c r="H2385" s="11" t="str">
        <v/>
      </c>
      <c r="I2385" s="11" t="str">
        <v/>
      </c>
    </row>
    <row r="2386" spans="2:9">
      <c r="B2386" s="11" t="str">
        <f t="shared" si="191"/>
        <v/>
      </c>
      <c r="C2386" s="11" t="str">
        <f t="shared" si="194"/>
        <v/>
      </c>
      <c r="D2386" s="11" t="str">
        <f t="shared" si="195"/>
        <v/>
      </c>
      <c r="E2386" s="11" t="str">
        <f t="shared" si="192"/>
        <v/>
      </c>
      <c r="F2386" s="11" t="str">
        <f t="shared" si="193"/>
        <v/>
      </c>
      <c r="G2386" s="10" t="str">
        <v/>
      </c>
      <c r="H2386" s="11" t="str">
        <v/>
      </c>
      <c r="I2386" s="11" t="str">
        <v/>
      </c>
    </row>
    <row r="2387" spans="2:9">
      <c r="B2387" s="11" t="str">
        <f t="shared" si="191"/>
        <v/>
      </c>
      <c r="C2387" s="11" t="str">
        <f t="shared" si="194"/>
        <v/>
      </c>
      <c r="D2387" s="11" t="str">
        <f t="shared" si="195"/>
        <v/>
      </c>
      <c r="E2387" s="11" t="str">
        <f t="shared" si="192"/>
        <v/>
      </c>
      <c r="F2387" s="11" t="str">
        <f t="shared" si="193"/>
        <v/>
      </c>
      <c r="G2387" s="10" t="str">
        <v/>
      </c>
      <c r="H2387" s="11" t="str">
        <v/>
      </c>
      <c r="I2387" s="11" t="str">
        <v/>
      </c>
    </row>
    <row r="2388" spans="2:9">
      <c r="B2388" s="11" t="str">
        <f t="shared" si="191"/>
        <v/>
      </c>
      <c r="C2388" s="11" t="str">
        <f t="shared" si="194"/>
        <v/>
      </c>
      <c r="D2388" s="11" t="str">
        <f t="shared" si="195"/>
        <v/>
      </c>
      <c r="E2388" s="11" t="str">
        <f t="shared" si="192"/>
        <v/>
      </c>
      <c r="F2388" s="11" t="str">
        <f t="shared" si="193"/>
        <v/>
      </c>
      <c r="G2388" s="10" t="str">
        <v/>
      </c>
      <c r="H2388" s="11" t="str">
        <v/>
      </c>
      <c r="I2388" s="11" t="str">
        <v/>
      </c>
    </row>
    <row r="2389" spans="2:9">
      <c r="B2389" s="11" t="str">
        <f t="shared" si="191"/>
        <v/>
      </c>
      <c r="C2389" s="11" t="str">
        <f t="shared" si="194"/>
        <v/>
      </c>
      <c r="D2389" s="11" t="str">
        <f t="shared" si="195"/>
        <v/>
      </c>
      <c r="E2389" s="11" t="str">
        <f t="shared" si="192"/>
        <v/>
      </c>
      <c r="F2389" s="11" t="str">
        <f t="shared" si="193"/>
        <v/>
      </c>
      <c r="G2389" s="10" t="str">
        <v/>
      </c>
      <c r="H2389" s="11" t="str">
        <v/>
      </c>
      <c r="I2389" s="11" t="str">
        <v/>
      </c>
    </row>
    <row r="2390" spans="2:9">
      <c r="B2390" s="11" t="str">
        <f t="shared" si="191"/>
        <v/>
      </c>
      <c r="C2390" s="11" t="str">
        <f t="shared" si="194"/>
        <v/>
      </c>
      <c r="D2390" s="11" t="str">
        <f t="shared" si="195"/>
        <v/>
      </c>
      <c r="E2390" s="11" t="str">
        <f t="shared" si="192"/>
        <v/>
      </c>
      <c r="F2390" s="11" t="str">
        <f t="shared" si="193"/>
        <v/>
      </c>
      <c r="G2390" s="10" t="str">
        <v/>
      </c>
      <c r="H2390" s="11" t="str">
        <v/>
      </c>
      <c r="I2390" s="11" t="str">
        <v/>
      </c>
    </row>
    <row r="2391" spans="2:9">
      <c r="B2391" s="11" t="str">
        <f t="shared" si="191"/>
        <v/>
      </c>
      <c r="C2391" s="11" t="str">
        <f t="shared" si="194"/>
        <v/>
      </c>
      <c r="D2391" s="11" t="str">
        <f t="shared" si="195"/>
        <v/>
      </c>
      <c r="E2391" s="11" t="str">
        <f t="shared" si="192"/>
        <v/>
      </c>
      <c r="F2391" s="11" t="str">
        <f t="shared" si="193"/>
        <v/>
      </c>
      <c r="G2391" s="10" t="str">
        <v/>
      </c>
      <c r="H2391" s="11" t="str">
        <v/>
      </c>
      <c r="I2391" s="11" t="str">
        <v/>
      </c>
    </row>
    <row r="2392" spans="2:9">
      <c r="B2392" s="11" t="str">
        <f t="shared" si="191"/>
        <v/>
      </c>
      <c r="C2392" s="11" t="str">
        <f t="shared" si="194"/>
        <v/>
      </c>
      <c r="D2392" s="11" t="str">
        <f t="shared" si="195"/>
        <v/>
      </c>
      <c r="E2392" s="11" t="str">
        <f t="shared" si="192"/>
        <v/>
      </c>
      <c r="F2392" s="11" t="str">
        <f t="shared" si="193"/>
        <v/>
      </c>
      <c r="G2392" s="10" t="str">
        <v/>
      </c>
      <c r="H2392" s="11" t="str">
        <v/>
      </c>
      <c r="I2392" s="11" t="str">
        <v/>
      </c>
    </row>
    <row r="2393" spans="2:9">
      <c r="B2393" s="11" t="str">
        <f t="shared" si="191"/>
        <v/>
      </c>
      <c r="C2393" s="11" t="str">
        <f t="shared" si="194"/>
        <v/>
      </c>
      <c r="D2393" s="11" t="str">
        <f t="shared" si="195"/>
        <v/>
      </c>
      <c r="E2393" s="11" t="str">
        <f t="shared" si="192"/>
        <v/>
      </c>
      <c r="F2393" s="11" t="str">
        <f t="shared" si="193"/>
        <v/>
      </c>
      <c r="G2393" s="10" t="str">
        <v/>
      </c>
      <c r="H2393" s="11" t="str">
        <v/>
      </c>
      <c r="I2393" s="11" t="str">
        <v/>
      </c>
    </row>
    <row r="2394" spans="2:9">
      <c r="B2394" s="11" t="str">
        <f t="shared" si="191"/>
        <v/>
      </c>
      <c r="C2394" s="11" t="str">
        <f t="shared" si="194"/>
        <v/>
      </c>
      <c r="D2394" s="11" t="str">
        <f t="shared" si="195"/>
        <v/>
      </c>
      <c r="E2394" s="11" t="str">
        <f t="shared" si="192"/>
        <v/>
      </c>
      <c r="F2394" s="11" t="str">
        <f t="shared" si="193"/>
        <v/>
      </c>
      <c r="G2394" s="10" t="str">
        <v/>
      </c>
      <c r="H2394" s="11" t="str">
        <v/>
      </c>
      <c r="I2394" s="11" t="str">
        <v/>
      </c>
    </row>
    <row r="2395" spans="2:9">
      <c r="B2395" s="11" t="str">
        <f t="shared" si="191"/>
        <v/>
      </c>
      <c r="C2395" s="11" t="str">
        <f t="shared" si="194"/>
        <v/>
      </c>
      <c r="D2395" s="11" t="str">
        <f t="shared" si="195"/>
        <v/>
      </c>
      <c r="E2395" s="11" t="str">
        <f t="shared" si="192"/>
        <v/>
      </c>
      <c r="F2395" s="11" t="str">
        <f t="shared" si="193"/>
        <v/>
      </c>
      <c r="G2395" s="10" t="str">
        <v/>
      </c>
      <c r="H2395" s="11" t="str">
        <v/>
      </c>
      <c r="I2395" s="11" t="str">
        <v/>
      </c>
    </row>
    <row r="2396" spans="2:9">
      <c r="B2396" s="11" t="str">
        <f t="shared" si="191"/>
        <v/>
      </c>
      <c r="C2396" s="11" t="str">
        <f t="shared" si="194"/>
        <v/>
      </c>
      <c r="D2396" s="11" t="str">
        <f t="shared" si="195"/>
        <v/>
      </c>
      <c r="E2396" s="11" t="str">
        <f t="shared" si="192"/>
        <v/>
      </c>
      <c r="F2396" s="11" t="str">
        <f t="shared" si="193"/>
        <v/>
      </c>
      <c r="G2396" s="10" t="str">
        <v/>
      </c>
      <c r="H2396" s="11" t="str">
        <v/>
      </c>
      <c r="I2396" s="11" t="str">
        <v/>
      </c>
    </row>
    <row r="2397" spans="2:9">
      <c r="B2397" s="11" t="str">
        <f t="shared" si="191"/>
        <v/>
      </c>
      <c r="C2397" s="11" t="str">
        <f t="shared" si="194"/>
        <v/>
      </c>
      <c r="D2397" s="11" t="str">
        <f t="shared" si="195"/>
        <v/>
      </c>
      <c r="E2397" s="11" t="str">
        <f t="shared" si="192"/>
        <v/>
      </c>
      <c r="F2397" s="11" t="str">
        <f t="shared" si="193"/>
        <v/>
      </c>
      <c r="G2397" s="10" t="str">
        <v/>
      </c>
      <c r="H2397" s="11" t="str">
        <v/>
      </c>
      <c r="I2397" s="11" t="str">
        <v/>
      </c>
    </row>
    <row r="2398" spans="2:9">
      <c r="B2398" s="11" t="str">
        <f t="shared" si="191"/>
        <v/>
      </c>
      <c r="C2398" s="11" t="str">
        <f t="shared" si="194"/>
        <v/>
      </c>
      <c r="D2398" s="11" t="str">
        <f t="shared" si="195"/>
        <v/>
      </c>
      <c r="E2398" s="11" t="str">
        <f t="shared" si="192"/>
        <v/>
      </c>
      <c r="F2398" s="11" t="str">
        <f t="shared" si="193"/>
        <v/>
      </c>
      <c r="G2398" s="10" t="str">
        <v/>
      </c>
      <c r="H2398" s="11" t="str">
        <v/>
      </c>
      <c r="I2398" s="11" t="str">
        <v/>
      </c>
    </row>
    <row r="2399" spans="2:9">
      <c r="B2399" s="11" t="str">
        <f t="shared" si="191"/>
        <v/>
      </c>
      <c r="C2399" s="11" t="str">
        <f t="shared" si="194"/>
        <v/>
      </c>
      <c r="D2399" s="11" t="str">
        <f t="shared" si="195"/>
        <v/>
      </c>
      <c r="E2399" s="11" t="str">
        <f t="shared" si="192"/>
        <v/>
      </c>
      <c r="F2399" s="11" t="str">
        <f t="shared" si="193"/>
        <v/>
      </c>
      <c r="G2399" s="10" t="str">
        <v/>
      </c>
      <c r="H2399" s="11" t="str">
        <v/>
      </c>
      <c r="I2399" s="11" t="str">
        <v/>
      </c>
    </row>
    <row r="2400" spans="2:9">
      <c r="B2400" s="11" t="str">
        <f t="shared" si="191"/>
        <v/>
      </c>
      <c r="C2400" s="11" t="str">
        <f t="shared" si="194"/>
        <v/>
      </c>
      <c r="D2400" s="11" t="str">
        <f t="shared" si="195"/>
        <v/>
      </c>
      <c r="E2400" s="11" t="str">
        <f t="shared" si="192"/>
        <v/>
      </c>
      <c r="F2400" s="11" t="str">
        <f t="shared" si="193"/>
        <v/>
      </c>
      <c r="G2400" s="10" t="str">
        <v/>
      </c>
      <c r="H2400" s="11" t="str">
        <v/>
      </c>
      <c r="I2400" s="11" t="str">
        <v/>
      </c>
    </row>
    <row r="2401" spans="2:9">
      <c r="B2401" s="11" t="str">
        <f t="shared" si="191"/>
        <v/>
      </c>
      <c r="C2401" s="11" t="str">
        <f t="shared" si="194"/>
        <v/>
      </c>
      <c r="D2401" s="11" t="str">
        <f t="shared" si="195"/>
        <v/>
      </c>
      <c r="E2401" s="11" t="str">
        <f t="shared" si="192"/>
        <v/>
      </c>
      <c r="F2401" s="11" t="str">
        <f t="shared" si="193"/>
        <v/>
      </c>
      <c r="G2401" s="10" t="str">
        <v/>
      </c>
      <c r="H2401" s="11" t="str">
        <v/>
      </c>
      <c r="I2401" s="11" t="str">
        <v/>
      </c>
    </row>
    <row r="2402" spans="2:9">
      <c r="B2402" s="11" t="str">
        <f t="shared" si="191"/>
        <v/>
      </c>
      <c r="C2402" s="11" t="str">
        <f t="shared" si="194"/>
        <v/>
      </c>
      <c r="D2402" s="11" t="str">
        <f t="shared" si="195"/>
        <v/>
      </c>
      <c r="E2402" s="11" t="str">
        <f t="shared" si="192"/>
        <v/>
      </c>
      <c r="F2402" s="11" t="str">
        <f t="shared" si="193"/>
        <v/>
      </c>
      <c r="G2402" s="10" t="str">
        <v/>
      </c>
      <c r="H2402" s="11" t="str">
        <v/>
      </c>
      <c r="I2402" s="11" t="str">
        <v/>
      </c>
    </row>
    <row r="2403" spans="2:9">
      <c r="B2403" s="11" t="str">
        <f t="shared" si="191"/>
        <v/>
      </c>
      <c r="C2403" s="11" t="str">
        <f t="shared" si="194"/>
        <v/>
      </c>
      <c r="D2403" s="11" t="str">
        <f t="shared" si="195"/>
        <v/>
      </c>
      <c r="E2403" s="11" t="str">
        <f t="shared" si="192"/>
        <v/>
      </c>
      <c r="F2403" s="11" t="str">
        <f t="shared" si="193"/>
        <v/>
      </c>
      <c r="G2403" s="10" t="str">
        <v/>
      </c>
      <c r="H2403" s="11" t="str">
        <v/>
      </c>
      <c r="I2403" s="11" t="str">
        <v/>
      </c>
    </row>
    <row r="2404" spans="2:9">
      <c r="B2404" s="11" t="str">
        <f t="shared" si="191"/>
        <v/>
      </c>
      <c r="C2404" s="11" t="str">
        <f t="shared" si="194"/>
        <v/>
      </c>
      <c r="D2404" s="11" t="str">
        <f t="shared" si="195"/>
        <v/>
      </c>
      <c r="E2404" s="11" t="str">
        <f t="shared" si="192"/>
        <v/>
      </c>
      <c r="F2404" s="11" t="str">
        <f t="shared" si="193"/>
        <v/>
      </c>
      <c r="G2404" s="10" t="str">
        <v/>
      </c>
      <c r="H2404" s="11" t="str">
        <v/>
      </c>
      <c r="I2404" s="11" t="str">
        <v/>
      </c>
    </row>
    <row r="2405" spans="2:9">
      <c r="B2405" s="11" t="str">
        <f t="shared" si="191"/>
        <v/>
      </c>
      <c r="C2405" s="11" t="str">
        <f t="shared" si="194"/>
        <v/>
      </c>
      <c r="D2405" s="11" t="str">
        <f t="shared" si="195"/>
        <v/>
      </c>
      <c r="E2405" s="11" t="str">
        <f t="shared" si="192"/>
        <v/>
      </c>
      <c r="F2405" s="11" t="str">
        <f t="shared" si="193"/>
        <v/>
      </c>
      <c r="G2405" s="10" t="str">
        <v/>
      </c>
      <c r="H2405" s="11" t="str">
        <v/>
      </c>
      <c r="I2405" s="11" t="str">
        <v/>
      </c>
    </row>
    <row r="2406" spans="2:9">
      <c r="B2406" s="11" t="str">
        <f t="shared" si="191"/>
        <v/>
      </c>
      <c r="C2406" s="11" t="str">
        <f t="shared" si="194"/>
        <v/>
      </c>
      <c r="D2406" s="11" t="str">
        <f t="shared" si="195"/>
        <v/>
      </c>
      <c r="E2406" s="11" t="str">
        <f t="shared" si="192"/>
        <v/>
      </c>
      <c r="F2406" s="11" t="str">
        <f t="shared" si="193"/>
        <v/>
      </c>
      <c r="G2406" s="10" t="str">
        <v/>
      </c>
      <c r="H2406" s="11" t="str">
        <v/>
      </c>
      <c r="I2406" s="11" t="str">
        <v/>
      </c>
    </row>
    <row r="2407" spans="2:9">
      <c r="B2407" s="11" t="str">
        <f t="shared" si="191"/>
        <v/>
      </c>
      <c r="C2407" s="11" t="str">
        <f t="shared" si="194"/>
        <v/>
      </c>
      <c r="D2407" s="11" t="str">
        <f t="shared" si="195"/>
        <v/>
      </c>
      <c r="E2407" s="11" t="str">
        <f t="shared" si="192"/>
        <v/>
      </c>
      <c r="F2407" s="11" t="str">
        <f t="shared" si="193"/>
        <v/>
      </c>
      <c r="G2407" s="10" t="str">
        <v/>
      </c>
      <c r="H2407" s="11" t="str">
        <v/>
      </c>
      <c r="I2407" s="11" t="str">
        <v/>
      </c>
    </row>
    <row r="2408" spans="2:9">
      <c r="B2408" s="11" t="str">
        <f t="shared" si="191"/>
        <v/>
      </c>
      <c r="C2408" s="11" t="str">
        <f t="shared" si="194"/>
        <v/>
      </c>
      <c r="D2408" s="11" t="str">
        <f t="shared" si="195"/>
        <v/>
      </c>
      <c r="E2408" s="11" t="str">
        <f t="shared" si="192"/>
        <v/>
      </c>
      <c r="F2408" s="11" t="str">
        <f t="shared" si="193"/>
        <v/>
      </c>
      <c r="G2408" s="10" t="str">
        <v/>
      </c>
      <c r="H2408" s="11" t="str">
        <v/>
      </c>
      <c r="I2408" s="11" t="str">
        <v/>
      </c>
    </row>
    <row r="2409" spans="2:9">
      <c r="B2409" s="11" t="str">
        <f t="shared" si="191"/>
        <v/>
      </c>
      <c r="C2409" s="11" t="str">
        <f t="shared" si="194"/>
        <v/>
      </c>
      <c r="D2409" s="11" t="str">
        <f t="shared" si="195"/>
        <v/>
      </c>
      <c r="E2409" s="11" t="str">
        <f t="shared" si="192"/>
        <v/>
      </c>
      <c r="F2409" s="11" t="str">
        <f t="shared" si="193"/>
        <v/>
      </c>
      <c r="G2409" s="10" t="str">
        <v/>
      </c>
      <c r="H2409" s="11" t="str">
        <v/>
      </c>
      <c r="I2409" s="11" t="str">
        <v/>
      </c>
    </row>
    <row r="2410" spans="2:9">
      <c r="B2410" s="11" t="str">
        <f t="shared" si="191"/>
        <v/>
      </c>
      <c r="C2410" s="11" t="str">
        <f t="shared" si="194"/>
        <v/>
      </c>
      <c r="D2410" s="11" t="str">
        <f t="shared" si="195"/>
        <v/>
      </c>
      <c r="E2410" s="11" t="str">
        <f t="shared" si="192"/>
        <v/>
      </c>
      <c r="F2410" s="11" t="str">
        <f t="shared" si="193"/>
        <v/>
      </c>
      <c r="G2410" s="10" t="str">
        <v/>
      </c>
      <c r="H2410" s="11" t="str">
        <v/>
      </c>
      <c r="I2410" s="11" t="str">
        <v/>
      </c>
    </row>
    <row r="2411" spans="2:9">
      <c r="B2411" s="11" t="str">
        <f t="shared" si="191"/>
        <v/>
      </c>
      <c r="C2411" s="11" t="str">
        <f t="shared" si="194"/>
        <v/>
      </c>
      <c r="D2411" s="11" t="str">
        <f t="shared" si="195"/>
        <v/>
      </c>
      <c r="E2411" s="11" t="str">
        <f t="shared" si="192"/>
        <v/>
      </c>
      <c r="F2411" s="11" t="str">
        <f t="shared" si="193"/>
        <v/>
      </c>
      <c r="G2411" s="10" t="str">
        <v/>
      </c>
      <c r="H2411" s="11" t="str">
        <v/>
      </c>
      <c r="I2411" s="11" t="str">
        <v/>
      </c>
    </row>
    <row r="2412" spans="2:9">
      <c r="B2412" s="11" t="str">
        <f t="shared" si="191"/>
        <v/>
      </c>
      <c r="C2412" s="11" t="str">
        <f t="shared" si="194"/>
        <v/>
      </c>
      <c r="D2412" s="11" t="str">
        <f t="shared" si="195"/>
        <v/>
      </c>
      <c r="E2412" s="11" t="str">
        <f t="shared" si="192"/>
        <v/>
      </c>
      <c r="F2412" s="11" t="str">
        <f t="shared" si="193"/>
        <v/>
      </c>
      <c r="G2412" s="10" t="str">
        <v/>
      </c>
      <c r="H2412" s="11" t="str">
        <v/>
      </c>
      <c r="I2412" s="11" t="str">
        <v/>
      </c>
    </row>
    <row r="2413" spans="2:9">
      <c r="B2413" s="11" t="str">
        <f t="shared" si="191"/>
        <v/>
      </c>
      <c r="C2413" s="11" t="str">
        <f t="shared" si="194"/>
        <v/>
      </c>
      <c r="D2413" s="11" t="str">
        <f t="shared" si="195"/>
        <v/>
      </c>
      <c r="E2413" s="11" t="str">
        <f t="shared" si="192"/>
        <v/>
      </c>
      <c r="F2413" s="11" t="str">
        <f t="shared" si="193"/>
        <v/>
      </c>
      <c r="G2413" s="10" t="str">
        <v/>
      </c>
      <c r="H2413" s="11" t="str">
        <v/>
      </c>
      <c r="I2413" s="11" t="str">
        <v/>
      </c>
    </row>
    <row r="2414" spans="2:9">
      <c r="B2414" s="11" t="str">
        <f t="shared" si="191"/>
        <v/>
      </c>
      <c r="C2414" s="11" t="str">
        <f t="shared" si="194"/>
        <v/>
      </c>
      <c r="D2414" s="11" t="str">
        <f t="shared" si="195"/>
        <v/>
      </c>
      <c r="E2414" s="11" t="str">
        <f t="shared" si="192"/>
        <v/>
      </c>
      <c r="F2414" s="11" t="str">
        <f t="shared" si="193"/>
        <v/>
      </c>
      <c r="G2414" s="10" t="str">
        <v/>
      </c>
      <c r="H2414" s="11" t="str">
        <v/>
      </c>
      <c r="I2414" s="11" t="str">
        <v/>
      </c>
    </row>
    <row r="2415" spans="2:9">
      <c r="B2415" s="11" t="str">
        <f t="shared" si="191"/>
        <v/>
      </c>
      <c r="C2415" s="11" t="str">
        <f t="shared" si="194"/>
        <v/>
      </c>
      <c r="D2415" s="11" t="str">
        <f t="shared" si="195"/>
        <v/>
      </c>
      <c r="E2415" s="11" t="str">
        <f t="shared" si="192"/>
        <v/>
      </c>
      <c r="F2415" s="11" t="str">
        <f t="shared" si="193"/>
        <v/>
      </c>
      <c r="G2415" s="10" t="str">
        <v/>
      </c>
      <c r="H2415" s="11" t="str">
        <v/>
      </c>
      <c r="I2415" s="11" t="str">
        <v/>
      </c>
    </row>
    <row r="2416" spans="2:9">
      <c r="B2416" s="11" t="str">
        <f t="shared" si="191"/>
        <v/>
      </c>
      <c r="C2416" s="11" t="str">
        <f t="shared" si="194"/>
        <v/>
      </c>
      <c r="D2416" s="11" t="str">
        <f t="shared" si="195"/>
        <v/>
      </c>
      <c r="E2416" s="11" t="str">
        <f t="shared" si="192"/>
        <v/>
      </c>
      <c r="F2416" s="11" t="str">
        <f t="shared" si="193"/>
        <v/>
      </c>
      <c r="G2416" s="10" t="str">
        <v/>
      </c>
      <c r="H2416" s="11" t="str">
        <v/>
      </c>
      <c r="I2416" s="11" t="str">
        <v/>
      </c>
    </row>
    <row r="2417" spans="2:9">
      <c r="B2417" s="11" t="str">
        <f t="shared" si="191"/>
        <v/>
      </c>
      <c r="C2417" s="11" t="str">
        <f t="shared" si="194"/>
        <v/>
      </c>
      <c r="D2417" s="11" t="str">
        <f t="shared" si="195"/>
        <v/>
      </c>
      <c r="E2417" s="11" t="str">
        <f t="shared" si="192"/>
        <v/>
      </c>
      <c r="F2417" s="11" t="str">
        <f t="shared" si="193"/>
        <v/>
      </c>
      <c r="G2417" s="10" t="str">
        <v/>
      </c>
      <c r="H2417" s="11" t="str">
        <v/>
      </c>
      <c r="I2417" s="11" t="str">
        <v/>
      </c>
    </row>
    <row r="2418" spans="2:9">
      <c r="B2418" s="11" t="str">
        <f t="shared" si="191"/>
        <v/>
      </c>
      <c r="C2418" s="11" t="str">
        <f t="shared" si="194"/>
        <v/>
      </c>
      <c r="D2418" s="11" t="str">
        <f t="shared" si="195"/>
        <v/>
      </c>
      <c r="E2418" s="11" t="str">
        <f t="shared" si="192"/>
        <v/>
      </c>
      <c r="F2418" s="11" t="str">
        <f t="shared" si="193"/>
        <v/>
      </c>
      <c r="G2418" s="10" t="str">
        <v/>
      </c>
      <c r="H2418" s="11" t="str">
        <v/>
      </c>
      <c r="I2418" s="11" t="str">
        <v/>
      </c>
    </row>
    <row r="2419" spans="2:9">
      <c r="B2419" s="11" t="str">
        <f t="shared" si="191"/>
        <v/>
      </c>
      <c r="C2419" s="11" t="str">
        <f t="shared" si="194"/>
        <v/>
      </c>
      <c r="D2419" s="11" t="str">
        <f t="shared" si="195"/>
        <v/>
      </c>
      <c r="E2419" s="11" t="str">
        <f t="shared" si="192"/>
        <v/>
      </c>
      <c r="F2419" s="11" t="str">
        <f t="shared" si="193"/>
        <v/>
      </c>
      <c r="G2419" s="10" t="str">
        <v/>
      </c>
      <c r="H2419" s="11" t="str">
        <v/>
      </c>
      <c r="I2419" s="11" t="str">
        <v/>
      </c>
    </row>
    <row r="2420" spans="2:9">
      <c r="B2420" s="11" t="str">
        <f t="shared" si="191"/>
        <v/>
      </c>
      <c r="C2420" s="11" t="str">
        <f t="shared" si="194"/>
        <v/>
      </c>
      <c r="D2420" s="11" t="str">
        <f t="shared" si="195"/>
        <v/>
      </c>
      <c r="E2420" s="11" t="str">
        <f t="shared" si="192"/>
        <v/>
      </c>
      <c r="F2420" s="11" t="str">
        <f t="shared" si="193"/>
        <v/>
      </c>
      <c r="G2420" s="10" t="str">
        <v/>
      </c>
      <c r="H2420" s="11" t="str">
        <v/>
      </c>
      <c r="I2420" s="11" t="str">
        <v/>
      </c>
    </row>
    <row r="2421" spans="2:9">
      <c r="B2421" s="11" t="str">
        <f t="shared" si="191"/>
        <v/>
      </c>
      <c r="C2421" s="11" t="str">
        <f t="shared" si="194"/>
        <v/>
      </c>
      <c r="D2421" s="11" t="str">
        <f t="shared" si="195"/>
        <v/>
      </c>
      <c r="E2421" s="11" t="str">
        <f t="shared" si="192"/>
        <v/>
      </c>
      <c r="F2421" s="11" t="str">
        <f t="shared" si="193"/>
        <v/>
      </c>
      <c r="G2421" s="10" t="str">
        <v/>
      </c>
      <c r="H2421" s="11" t="str">
        <v/>
      </c>
      <c r="I2421" s="11" t="str">
        <v/>
      </c>
    </row>
    <row r="2422" spans="2:9">
      <c r="B2422" s="11" t="str">
        <f t="shared" si="191"/>
        <v/>
      </c>
      <c r="C2422" s="11" t="str">
        <f t="shared" si="194"/>
        <v/>
      </c>
      <c r="D2422" s="11" t="str">
        <f t="shared" si="195"/>
        <v/>
      </c>
      <c r="E2422" s="11" t="str">
        <f t="shared" si="192"/>
        <v/>
      </c>
      <c r="F2422" s="11" t="str">
        <f t="shared" si="193"/>
        <v/>
      </c>
      <c r="G2422" s="10" t="str">
        <v/>
      </c>
      <c r="H2422" s="11" t="str">
        <v/>
      </c>
      <c r="I2422" s="11" t="str">
        <v/>
      </c>
    </row>
    <row r="2423" spans="2:9">
      <c r="B2423" s="11" t="str">
        <f t="shared" si="191"/>
        <v/>
      </c>
      <c r="C2423" s="11" t="str">
        <f t="shared" si="194"/>
        <v/>
      </c>
      <c r="D2423" s="11" t="str">
        <f t="shared" si="195"/>
        <v/>
      </c>
      <c r="E2423" s="11" t="str">
        <f t="shared" si="192"/>
        <v/>
      </c>
      <c r="F2423" s="11" t="str">
        <f t="shared" si="193"/>
        <v/>
      </c>
      <c r="G2423" s="10" t="str">
        <v/>
      </c>
      <c r="H2423" s="11" t="str">
        <v/>
      </c>
      <c r="I2423" s="11" t="str">
        <v/>
      </c>
    </row>
    <row r="2424" spans="2:9">
      <c r="B2424" s="11" t="str">
        <f t="shared" si="191"/>
        <v/>
      </c>
      <c r="C2424" s="11" t="str">
        <f t="shared" si="194"/>
        <v/>
      </c>
      <c r="D2424" s="11" t="str">
        <f t="shared" si="195"/>
        <v/>
      </c>
      <c r="E2424" s="11" t="str">
        <f t="shared" si="192"/>
        <v/>
      </c>
      <c r="F2424" s="11" t="str">
        <f t="shared" si="193"/>
        <v/>
      </c>
      <c r="G2424" s="10" t="str">
        <v/>
      </c>
      <c r="H2424" s="11" t="str">
        <v/>
      </c>
      <c r="I2424" s="11" t="str">
        <v/>
      </c>
    </row>
    <row r="2425" spans="2:9">
      <c r="B2425" s="11" t="str">
        <f t="shared" si="191"/>
        <v/>
      </c>
      <c r="C2425" s="11" t="str">
        <f t="shared" si="194"/>
        <v/>
      </c>
      <c r="D2425" s="11" t="str">
        <f t="shared" si="195"/>
        <v/>
      </c>
      <c r="E2425" s="11" t="str">
        <f t="shared" si="192"/>
        <v/>
      </c>
      <c r="F2425" s="11" t="str">
        <f t="shared" si="193"/>
        <v/>
      </c>
      <c r="G2425" s="10" t="str">
        <v/>
      </c>
      <c r="H2425" s="11" t="str">
        <v/>
      </c>
      <c r="I2425" s="11" t="str">
        <v/>
      </c>
    </row>
    <row r="2426" spans="2:9">
      <c r="B2426" s="11" t="str">
        <f t="shared" si="191"/>
        <v/>
      </c>
      <c r="C2426" s="11" t="str">
        <f t="shared" si="194"/>
        <v/>
      </c>
      <c r="D2426" s="11" t="str">
        <f t="shared" si="195"/>
        <v/>
      </c>
      <c r="E2426" s="11" t="str">
        <f t="shared" si="192"/>
        <v/>
      </c>
      <c r="F2426" s="11" t="str">
        <f t="shared" si="193"/>
        <v/>
      </c>
      <c r="G2426" s="10" t="str">
        <v/>
      </c>
      <c r="H2426" s="11" t="str">
        <v/>
      </c>
      <c r="I2426" s="11" t="str">
        <v/>
      </c>
    </row>
    <row r="2427" spans="2:9">
      <c r="B2427" s="11" t="str">
        <f t="shared" si="191"/>
        <v/>
      </c>
      <c r="C2427" s="11" t="str">
        <f t="shared" si="194"/>
        <v/>
      </c>
      <c r="D2427" s="11" t="str">
        <f t="shared" si="195"/>
        <v/>
      </c>
      <c r="E2427" s="11" t="str">
        <f t="shared" si="192"/>
        <v/>
      </c>
      <c r="F2427" s="11" t="str">
        <f t="shared" si="193"/>
        <v/>
      </c>
      <c r="G2427" s="10" t="str">
        <v/>
      </c>
      <c r="H2427" s="11" t="str">
        <v/>
      </c>
      <c r="I2427" s="11" t="str">
        <v/>
      </c>
    </row>
    <row r="2428" spans="2:9">
      <c r="B2428" s="11" t="str">
        <f t="shared" si="191"/>
        <v/>
      </c>
      <c r="C2428" s="11" t="str">
        <f t="shared" si="194"/>
        <v/>
      </c>
      <c r="D2428" s="11" t="str">
        <f t="shared" si="195"/>
        <v/>
      </c>
      <c r="E2428" s="11" t="str">
        <f t="shared" si="192"/>
        <v/>
      </c>
      <c r="F2428" s="11" t="str">
        <f t="shared" si="193"/>
        <v/>
      </c>
      <c r="G2428" s="10" t="str">
        <v/>
      </c>
      <c r="H2428" s="11" t="str">
        <v/>
      </c>
      <c r="I2428" s="11" t="str">
        <v/>
      </c>
    </row>
    <row r="2429" spans="2:9">
      <c r="B2429" s="11" t="str">
        <f t="shared" si="191"/>
        <v/>
      </c>
      <c r="C2429" s="11" t="str">
        <f t="shared" si="194"/>
        <v/>
      </c>
      <c r="D2429" s="11" t="str">
        <f t="shared" si="195"/>
        <v/>
      </c>
      <c r="E2429" s="11" t="str">
        <f t="shared" si="192"/>
        <v/>
      </c>
      <c r="F2429" s="11" t="str">
        <f t="shared" si="193"/>
        <v/>
      </c>
      <c r="G2429" s="10" t="str">
        <v/>
      </c>
      <c r="H2429" s="11" t="str">
        <v/>
      </c>
      <c r="I2429" s="11" t="str">
        <v/>
      </c>
    </row>
    <row r="2430" spans="2:9">
      <c r="B2430" s="11" t="str">
        <f t="shared" si="191"/>
        <v/>
      </c>
      <c r="C2430" s="11" t="str">
        <f t="shared" si="194"/>
        <v/>
      </c>
      <c r="D2430" s="11" t="str">
        <f t="shared" si="195"/>
        <v/>
      </c>
      <c r="E2430" s="11" t="str">
        <f t="shared" si="192"/>
        <v/>
      </c>
      <c r="F2430" s="11" t="str">
        <f t="shared" si="193"/>
        <v/>
      </c>
      <c r="G2430" s="10" t="str">
        <v/>
      </c>
      <c r="H2430" s="11" t="str">
        <v/>
      </c>
      <c r="I2430" s="11" t="str">
        <v/>
      </c>
    </row>
    <row r="2431" spans="2:9">
      <c r="B2431" s="11" t="str">
        <f t="shared" si="191"/>
        <v/>
      </c>
      <c r="C2431" s="11" t="str">
        <f t="shared" si="194"/>
        <v/>
      </c>
      <c r="D2431" s="11" t="str">
        <f t="shared" si="195"/>
        <v/>
      </c>
      <c r="E2431" s="11" t="str">
        <f t="shared" si="192"/>
        <v/>
      </c>
      <c r="F2431" s="11" t="str">
        <f t="shared" si="193"/>
        <v/>
      </c>
      <c r="G2431" s="10" t="str">
        <v/>
      </c>
      <c r="H2431" s="11" t="str">
        <v/>
      </c>
      <c r="I2431" s="11" t="str">
        <v/>
      </c>
    </row>
    <row r="2432" spans="2:9">
      <c r="B2432" s="11" t="str">
        <f t="shared" si="191"/>
        <v/>
      </c>
      <c r="C2432" s="11" t="str">
        <f t="shared" si="194"/>
        <v/>
      </c>
      <c r="D2432" s="11" t="str">
        <f t="shared" si="195"/>
        <v/>
      </c>
      <c r="E2432" s="11" t="str">
        <f t="shared" si="192"/>
        <v/>
      </c>
      <c r="F2432" s="11" t="str">
        <f t="shared" si="193"/>
        <v/>
      </c>
      <c r="G2432" s="10" t="str">
        <v/>
      </c>
      <c r="H2432" s="11" t="str">
        <v/>
      </c>
      <c r="I2432" s="11" t="str">
        <v/>
      </c>
    </row>
    <row r="2433" spans="2:9">
      <c r="B2433" s="11" t="str">
        <f t="shared" ref="B2433:B2496" si="196">IFERROR(IF(FIND(" ",A2433)=6,IF(IFERROR(FIND(" PB",A2433),"")&lt;&gt;"","артикул",IF(IFERROR(FIND(" CRN",A2433),"")&lt;&gt;"","артикул","")),""),"")</f>
        <v/>
      </c>
      <c r="C2433" s="11" t="str">
        <f t="shared" si="194"/>
        <v/>
      </c>
      <c r="D2433" s="11" t="str">
        <f t="shared" si="195"/>
        <v/>
      </c>
      <c r="E2433" s="11" t="str">
        <f t="shared" si="192"/>
        <v/>
      </c>
      <c r="F2433" s="11" t="str">
        <f t="shared" si="193"/>
        <v/>
      </c>
      <c r="G2433" s="10" t="str">
        <v/>
      </c>
      <c r="H2433" s="11" t="str">
        <v/>
      </c>
      <c r="I2433" s="11" t="str">
        <v/>
      </c>
    </row>
    <row r="2434" spans="2:9">
      <c r="B2434" s="11" t="str">
        <f t="shared" si="196"/>
        <v/>
      </c>
      <c r="C2434" s="11" t="str">
        <f t="shared" si="194"/>
        <v/>
      </c>
      <c r="D2434" s="11" t="str">
        <f t="shared" si="195"/>
        <v/>
      </c>
      <c r="E2434" s="11" t="str">
        <f t="shared" ref="E2434:E2497" si="197" xml:space="preserve">
IF(B2434="Артикул",
IF(
AND(RIGHT(A2435,1)="%",
RIGHT(A2436,1)="%",
RIGHT(A2437,1)="%",
RIGHT(A2438,1)="%"),MID(A2439,FIND(" ",A2439),50),
IF(
AND(RIGHT(A2435,1)="%",
RIGHT(A2436,1)="%",
RIGHT(A2437,1)="%"),MID(A2438,FIND(" ",A2438),50),
IF(
AND(RIGHT(A2435,1)="%",
RIGHT(A2436,1)="%"),
MID(A2437,FIND(" ",A2437),50),
IF(
RIGHT(A2435,1)="%",
MID(A2436,FIND(" ",A2436),50),"")))),"")</f>
        <v/>
      </c>
      <c r="F2434" s="11" t="str">
        <f t="shared" ref="F2434:F2497" si="198">IFERROR(
IF(
AND(LEFT(A2434,8)="Discount",FIND("%",A2434)&gt;0),
MID(A2434,
FIND(" ",A2434),
FIND("%",A2434)-FIND(" ",A2434))
*-1,""),"")</f>
        <v/>
      </c>
      <c r="G2434" s="10" t="str">
        <v/>
      </c>
      <c r="H2434" s="11" t="str">
        <v/>
      </c>
      <c r="I2434" s="11" t="str">
        <v/>
      </c>
    </row>
    <row r="2435" spans="2:9">
      <c r="B2435" s="11" t="str">
        <f t="shared" si="196"/>
        <v/>
      </c>
      <c r="C2435" s="11" t="str">
        <f t="shared" si="194"/>
        <v/>
      </c>
      <c r="D2435" s="11" t="str">
        <f t="shared" si="195"/>
        <v/>
      </c>
      <c r="E2435" s="11" t="str">
        <f t="shared" si="197"/>
        <v/>
      </c>
      <c r="F2435" s="11" t="str">
        <f t="shared" si="198"/>
        <v/>
      </c>
      <c r="G2435" s="10" t="str">
        <v/>
      </c>
      <c r="H2435" s="11" t="str">
        <v/>
      </c>
      <c r="I2435" s="11" t="str">
        <v/>
      </c>
    </row>
    <row r="2436" spans="2:9">
      <c r="B2436" s="11" t="str">
        <f t="shared" si="196"/>
        <v/>
      </c>
      <c r="C2436" s="11" t="str">
        <f t="shared" si="194"/>
        <v/>
      </c>
      <c r="D2436" s="11" t="str">
        <f t="shared" si="195"/>
        <v/>
      </c>
      <c r="E2436" s="11" t="str">
        <f t="shared" si="197"/>
        <v/>
      </c>
      <c r="F2436" s="11" t="str">
        <f t="shared" si="198"/>
        <v/>
      </c>
      <c r="G2436" s="10" t="str">
        <v/>
      </c>
      <c r="H2436" s="11" t="str">
        <v/>
      </c>
      <c r="I2436" s="11" t="str">
        <v/>
      </c>
    </row>
    <row r="2437" spans="2:9">
      <c r="B2437" s="11" t="str">
        <f t="shared" si="196"/>
        <v/>
      </c>
      <c r="C2437" s="11" t="str">
        <f t="shared" si="194"/>
        <v/>
      </c>
      <c r="D2437" s="11" t="str">
        <f t="shared" si="195"/>
        <v/>
      </c>
      <c r="E2437" s="11" t="str">
        <f t="shared" si="197"/>
        <v/>
      </c>
      <c r="F2437" s="11" t="str">
        <f t="shared" si="198"/>
        <v/>
      </c>
      <c r="G2437" s="10" t="str">
        <v/>
      </c>
      <c r="H2437" s="11" t="str">
        <v/>
      </c>
      <c r="I2437" s="11" t="str">
        <v/>
      </c>
    </row>
    <row r="2438" spans="2:9">
      <c r="B2438" s="11" t="str">
        <f t="shared" si="196"/>
        <v/>
      </c>
      <c r="C2438" s="11" t="str">
        <f t="shared" si="194"/>
        <v/>
      </c>
      <c r="D2438" s="11" t="str">
        <f t="shared" si="195"/>
        <v/>
      </c>
      <c r="E2438" s="11" t="str">
        <f t="shared" si="197"/>
        <v/>
      </c>
      <c r="F2438" s="11" t="str">
        <f t="shared" si="198"/>
        <v/>
      </c>
      <c r="G2438" s="10" t="str">
        <v/>
      </c>
      <c r="H2438" s="11" t="str">
        <v/>
      </c>
      <c r="I2438" s="11" t="str">
        <v/>
      </c>
    </row>
    <row r="2439" spans="2:9">
      <c r="B2439" s="11" t="str">
        <f t="shared" si="196"/>
        <v/>
      </c>
      <c r="C2439" s="11" t="str">
        <f t="shared" si="194"/>
        <v/>
      </c>
      <c r="D2439" s="11" t="str">
        <f t="shared" si="195"/>
        <v/>
      </c>
      <c r="E2439" s="11" t="str">
        <f t="shared" si="197"/>
        <v/>
      </c>
      <c r="F2439" s="11" t="str">
        <f t="shared" si="198"/>
        <v/>
      </c>
      <c r="G2439" s="10" t="str">
        <v/>
      </c>
      <c r="H2439" s="11" t="str">
        <v/>
      </c>
      <c r="I2439" s="11" t="str">
        <v/>
      </c>
    </row>
    <row r="2440" spans="2:9">
      <c r="B2440" s="11" t="str">
        <f t="shared" si="196"/>
        <v/>
      </c>
      <c r="C2440" s="11" t="str">
        <f t="shared" si="194"/>
        <v/>
      </c>
      <c r="D2440" s="11" t="str">
        <f t="shared" si="195"/>
        <v/>
      </c>
      <c r="E2440" s="11" t="str">
        <f t="shared" si="197"/>
        <v/>
      </c>
      <c r="F2440" s="11" t="str">
        <f t="shared" si="198"/>
        <v/>
      </c>
      <c r="G2440" s="10" t="str">
        <v/>
      </c>
      <c r="H2440" s="11" t="str">
        <v/>
      </c>
      <c r="I2440" s="11" t="str">
        <v/>
      </c>
    </row>
    <row r="2441" spans="2:9">
      <c r="B2441" s="11" t="str">
        <f t="shared" si="196"/>
        <v/>
      </c>
      <c r="C2441" s="11" t="str">
        <f t="shared" si="194"/>
        <v/>
      </c>
      <c r="D2441" s="11" t="str">
        <f t="shared" si="195"/>
        <v/>
      </c>
      <c r="E2441" s="11" t="str">
        <f t="shared" si="197"/>
        <v/>
      </c>
      <c r="F2441" s="11" t="str">
        <f t="shared" si="198"/>
        <v/>
      </c>
      <c r="G2441" s="10" t="str">
        <v/>
      </c>
      <c r="H2441" s="11" t="str">
        <v/>
      </c>
      <c r="I2441" s="11" t="str">
        <v/>
      </c>
    </row>
    <row r="2442" spans="2:9">
      <c r="B2442" s="11" t="str">
        <f t="shared" si="196"/>
        <v/>
      </c>
      <c r="C2442" s="11" t="str">
        <f t="shared" si="194"/>
        <v/>
      </c>
      <c r="D2442" s="11" t="str">
        <f t="shared" si="195"/>
        <v/>
      </c>
      <c r="E2442" s="11" t="str">
        <f t="shared" si="197"/>
        <v/>
      </c>
      <c r="F2442" s="11" t="str">
        <f t="shared" si="198"/>
        <v/>
      </c>
      <c r="G2442" s="10" t="str">
        <v/>
      </c>
      <c r="H2442" s="11" t="str">
        <v/>
      </c>
      <c r="I2442" s="11" t="str">
        <v/>
      </c>
    </row>
    <row r="2443" spans="2:9">
      <c r="B2443" s="11" t="str">
        <f t="shared" si="196"/>
        <v/>
      </c>
      <c r="C2443" s="11" t="str">
        <f t="shared" si="194"/>
        <v/>
      </c>
      <c r="D2443" s="11" t="str">
        <f t="shared" si="195"/>
        <v/>
      </c>
      <c r="E2443" s="11" t="str">
        <f t="shared" si="197"/>
        <v/>
      </c>
      <c r="F2443" s="11" t="str">
        <f t="shared" si="198"/>
        <v/>
      </c>
      <c r="G2443" s="10" t="str">
        <v/>
      </c>
      <c r="H2443" s="11" t="str">
        <v/>
      </c>
      <c r="I2443" s="11" t="str">
        <v/>
      </c>
    </row>
    <row r="2444" spans="2:9">
      <c r="B2444" s="11" t="str">
        <f t="shared" si="196"/>
        <v/>
      </c>
      <c r="C2444" s="11" t="str">
        <f t="shared" si="194"/>
        <v/>
      </c>
      <c r="D2444" s="11" t="str">
        <f t="shared" si="195"/>
        <v/>
      </c>
      <c r="E2444" s="11" t="str">
        <f t="shared" si="197"/>
        <v/>
      </c>
      <c r="F2444" s="11" t="str">
        <f t="shared" si="198"/>
        <v/>
      </c>
      <c r="G2444" s="10" t="str">
        <v/>
      </c>
      <c r="H2444" s="11" t="str">
        <v/>
      </c>
      <c r="I2444" s="11" t="str">
        <v/>
      </c>
    </row>
    <row r="2445" spans="2:9">
      <c r="B2445" s="11" t="str">
        <f t="shared" si="196"/>
        <v/>
      </c>
      <c r="C2445" s="11" t="str">
        <f t="shared" ref="C2445:C2508" si="199">IF(B2445="артикул",A2445,"")</f>
        <v/>
      </c>
      <c r="D2445" s="11" t="str">
        <f t="shared" ref="D2445:D2508" si="200">IF(B2445="артикул",A2446,"")</f>
        <v/>
      </c>
      <c r="E2445" s="11" t="str">
        <f t="shared" si="197"/>
        <v/>
      </c>
      <c r="F2445" s="11" t="str">
        <f t="shared" si="198"/>
        <v/>
      </c>
      <c r="G2445" s="10" t="str">
        <v/>
      </c>
      <c r="H2445" s="11" t="str">
        <v/>
      </c>
      <c r="I2445" s="11" t="str">
        <v/>
      </c>
    </row>
    <row r="2446" spans="2:9">
      <c r="B2446" s="11" t="str">
        <f t="shared" si="196"/>
        <v/>
      </c>
      <c r="C2446" s="11" t="str">
        <f t="shared" si="199"/>
        <v/>
      </c>
      <c r="D2446" s="11" t="str">
        <f t="shared" si="200"/>
        <v/>
      </c>
      <c r="E2446" s="11" t="str">
        <f t="shared" si="197"/>
        <v/>
      </c>
      <c r="F2446" s="11" t="str">
        <f t="shared" si="198"/>
        <v/>
      </c>
      <c r="G2446" s="10" t="str">
        <v/>
      </c>
      <c r="H2446" s="11" t="str">
        <v/>
      </c>
      <c r="I2446" s="11" t="str">
        <v/>
      </c>
    </row>
    <row r="2447" spans="2:9">
      <c r="B2447" s="11" t="str">
        <f t="shared" si="196"/>
        <v/>
      </c>
      <c r="C2447" s="11" t="str">
        <f t="shared" si="199"/>
        <v/>
      </c>
      <c r="D2447" s="11" t="str">
        <f t="shared" si="200"/>
        <v/>
      </c>
      <c r="E2447" s="11" t="str">
        <f t="shared" si="197"/>
        <v/>
      </c>
      <c r="F2447" s="11" t="str">
        <f t="shared" si="198"/>
        <v/>
      </c>
      <c r="G2447" s="10" t="str">
        <v/>
      </c>
      <c r="H2447" s="11" t="str">
        <v/>
      </c>
      <c r="I2447" s="11" t="str">
        <v/>
      </c>
    </row>
    <row r="2448" spans="2:9">
      <c r="B2448" s="11" t="str">
        <f t="shared" si="196"/>
        <v/>
      </c>
      <c r="C2448" s="11" t="str">
        <f t="shared" si="199"/>
        <v/>
      </c>
      <c r="D2448" s="11" t="str">
        <f t="shared" si="200"/>
        <v/>
      </c>
      <c r="E2448" s="11" t="str">
        <f t="shared" si="197"/>
        <v/>
      </c>
      <c r="F2448" s="11" t="str">
        <f t="shared" si="198"/>
        <v/>
      </c>
      <c r="G2448" s="10" t="str">
        <v/>
      </c>
      <c r="H2448" s="11" t="str">
        <v/>
      </c>
      <c r="I2448" s="11" t="str">
        <v/>
      </c>
    </row>
    <row r="2449" spans="2:9">
      <c r="B2449" s="11" t="str">
        <f t="shared" si="196"/>
        <v/>
      </c>
      <c r="C2449" s="11" t="str">
        <f t="shared" si="199"/>
        <v/>
      </c>
      <c r="D2449" s="11" t="str">
        <f t="shared" si="200"/>
        <v/>
      </c>
      <c r="E2449" s="11" t="str">
        <f t="shared" si="197"/>
        <v/>
      </c>
      <c r="F2449" s="11" t="str">
        <f t="shared" si="198"/>
        <v/>
      </c>
      <c r="G2449" s="10" t="str">
        <v/>
      </c>
      <c r="H2449" s="11" t="str">
        <v/>
      </c>
      <c r="I2449" s="11" t="str">
        <v/>
      </c>
    </row>
    <row r="2450" spans="2:9">
      <c r="B2450" s="11" t="str">
        <f t="shared" si="196"/>
        <v/>
      </c>
      <c r="C2450" s="11" t="str">
        <f t="shared" si="199"/>
        <v/>
      </c>
      <c r="D2450" s="11" t="str">
        <f t="shared" si="200"/>
        <v/>
      </c>
      <c r="E2450" s="11" t="str">
        <f t="shared" si="197"/>
        <v/>
      </c>
      <c r="F2450" s="11" t="str">
        <f t="shared" si="198"/>
        <v/>
      </c>
      <c r="G2450" s="10" t="str">
        <v/>
      </c>
      <c r="H2450" s="11" t="str">
        <v/>
      </c>
      <c r="I2450" s="11" t="str">
        <v/>
      </c>
    </row>
    <row r="2451" spans="2:9">
      <c r="B2451" s="11" t="str">
        <f t="shared" si="196"/>
        <v/>
      </c>
      <c r="C2451" s="11" t="str">
        <f t="shared" si="199"/>
        <v/>
      </c>
      <c r="D2451" s="11" t="str">
        <f t="shared" si="200"/>
        <v/>
      </c>
      <c r="E2451" s="11" t="str">
        <f t="shared" si="197"/>
        <v/>
      </c>
      <c r="F2451" s="11" t="str">
        <f t="shared" si="198"/>
        <v/>
      </c>
      <c r="G2451" s="10" t="str">
        <v/>
      </c>
      <c r="H2451" s="11" t="str">
        <v/>
      </c>
      <c r="I2451" s="11" t="str">
        <v/>
      </c>
    </row>
    <row r="2452" spans="2:9">
      <c r="B2452" s="11" t="str">
        <f t="shared" si="196"/>
        <v/>
      </c>
      <c r="C2452" s="11" t="str">
        <f t="shared" si="199"/>
        <v/>
      </c>
      <c r="D2452" s="11" t="str">
        <f t="shared" si="200"/>
        <v/>
      </c>
      <c r="E2452" s="11" t="str">
        <f t="shared" si="197"/>
        <v/>
      </c>
      <c r="F2452" s="11" t="str">
        <f t="shared" si="198"/>
        <v/>
      </c>
      <c r="G2452" s="10" t="str">
        <v/>
      </c>
      <c r="H2452" s="11" t="str">
        <v/>
      </c>
      <c r="I2452" s="11" t="str">
        <v/>
      </c>
    </row>
    <row r="2453" spans="2:9">
      <c r="B2453" s="11" t="str">
        <f t="shared" si="196"/>
        <v/>
      </c>
      <c r="C2453" s="11" t="str">
        <f t="shared" si="199"/>
        <v/>
      </c>
      <c r="D2453" s="11" t="str">
        <f t="shared" si="200"/>
        <v/>
      </c>
      <c r="E2453" s="11" t="str">
        <f t="shared" si="197"/>
        <v/>
      </c>
      <c r="F2453" s="11" t="str">
        <f t="shared" si="198"/>
        <v/>
      </c>
      <c r="G2453" s="10" t="str">
        <v/>
      </c>
      <c r="H2453" s="11" t="str">
        <v/>
      </c>
      <c r="I2453" s="11" t="str">
        <v/>
      </c>
    </row>
    <row r="2454" spans="2:9">
      <c r="B2454" s="11" t="str">
        <f t="shared" si="196"/>
        <v/>
      </c>
      <c r="C2454" s="11" t="str">
        <f t="shared" si="199"/>
        <v/>
      </c>
      <c r="D2454" s="11" t="str">
        <f t="shared" si="200"/>
        <v/>
      </c>
      <c r="E2454" s="11" t="str">
        <f t="shared" si="197"/>
        <v/>
      </c>
      <c r="F2454" s="11" t="str">
        <f t="shared" si="198"/>
        <v/>
      </c>
      <c r="G2454" s="10" t="str">
        <v/>
      </c>
      <c r="H2454" s="11" t="str">
        <v/>
      </c>
      <c r="I2454" s="11" t="str">
        <v/>
      </c>
    </row>
    <row r="2455" spans="2:9">
      <c r="B2455" s="11" t="str">
        <f t="shared" si="196"/>
        <v/>
      </c>
      <c r="C2455" s="11" t="str">
        <f t="shared" si="199"/>
        <v/>
      </c>
      <c r="D2455" s="11" t="str">
        <f t="shared" si="200"/>
        <v/>
      </c>
      <c r="E2455" s="11" t="str">
        <f t="shared" si="197"/>
        <v/>
      </c>
      <c r="F2455" s="11" t="str">
        <f t="shared" si="198"/>
        <v/>
      </c>
      <c r="G2455" s="10" t="str">
        <v/>
      </c>
      <c r="H2455" s="11" t="str">
        <v/>
      </c>
      <c r="I2455" s="11" t="str">
        <v/>
      </c>
    </row>
    <row r="2456" spans="2:9">
      <c r="B2456" s="11" t="str">
        <f t="shared" si="196"/>
        <v/>
      </c>
      <c r="C2456" s="11" t="str">
        <f t="shared" si="199"/>
        <v/>
      </c>
      <c r="D2456" s="11" t="str">
        <f t="shared" si="200"/>
        <v/>
      </c>
      <c r="E2456" s="11" t="str">
        <f t="shared" si="197"/>
        <v/>
      </c>
      <c r="F2456" s="11" t="str">
        <f t="shared" si="198"/>
        <v/>
      </c>
      <c r="G2456" s="10" t="str">
        <v/>
      </c>
      <c r="H2456" s="11" t="str">
        <v/>
      </c>
      <c r="I2456" s="11" t="str">
        <v/>
      </c>
    </row>
    <row r="2457" spans="2:9">
      <c r="B2457" s="11" t="str">
        <f t="shared" si="196"/>
        <v/>
      </c>
      <c r="C2457" s="11" t="str">
        <f t="shared" si="199"/>
        <v/>
      </c>
      <c r="D2457" s="11" t="str">
        <f t="shared" si="200"/>
        <v/>
      </c>
      <c r="E2457" s="11" t="str">
        <f t="shared" si="197"/>
        <v/>
      </c>
      <c r="F2457" s="11" t="str">
        <f t="shared" si="198"/>
        <v/>
      </c>
      <c r="G2457" s="10" t="str">
        <v/>
      </c>
      <c r="H2457" s="11" t="str">
        <v/>
      </c>
      <c r="I2457" s="11" t="str">
        <v/>
      </c>
    </row>
    <row r="2458" spans="2:9">
      <c r="B2458" s="11" t="str">
        <f t="shared" si="196"/>
        <v/>
      </c>
      <c r="C2458" s="11" t="str">
        <f t="shared" si="199"/>
        <v/>
      </c>
      <c r="D2458" s="11" t="str">
        <f t="shared" si="200"/>
        <v/>
      </c>
      <c r="E2458" s="11" t="str">
        <f t="shared" si="197"/>
        <v/>
      </c>
      <c r="F2458" s="11" t="str">
        <f t="shared" si="198"/>
        <v/>
      </c>
      <c r="G2458" s="10" t="str">
        <v/>
      </c>
      <c r="H2458" s="11" t="str">
        <v/>
      </c>
      <c r="I2458" s="11" t="str">
        <v/>
      </c>
    </row>
    <row r="2459" spans="2:9">
      <c r="B2459" s="11" t="str">
        <f t="shared" si="196"/>
        <v/>
      </c>
      <c r="C2459" s="11" t="str">
        <f t="shared" si="199"/>
        <v/>
      </c>
      <c r="D2459" s="11" t="str">
        <f t="shared" si="200"/>
        <v/>
      </c>
      <c r="E2459" s="11" t="str">
        <f t="shared" si="197"/>
        <v/>
      </c>
      <c r="F2459" s="11" t="str">
        <f t="shared" si="198"/>
        <v/>
      </c>
      <c r="G2459" s="10" t="str">
        <v/>
      </c>
      <c r="H2459" s="11" t="str">
        <v/>
      </c>
      <c r="I2459" s="11" t="str">
        <v/>
      </c>
    </row>
    <row r="2460" spans="2:9">
      <c r="B2460" s="11" t="str">
        <f t="shared" si="196"/>
        <v/>
      </c>
      <c r="C2460" s="11" t="str">
        <f t="shared" si="199"/>
        <v/>
      </c>
      <c r="D2460" s="11" t="str">
        <f t="shared" si="200"/>
        <v/>
      </c>
      <c r="E2460" s="11" t="str">
        <f t="shared" si="197"/>
        <v/>
      </c>
      <c r="F2460" s="11" t="str">
        <f t="shared" si="198"/>
        <v/>
      </c>
      <c r="G2460" s="10" t="str">
        <v/>
      </c>
      <c r="H2460" s="11" t="str">
        <v/>
      </c>
      <c r="I2460" s="11" t="str">
        <v/>
      </c>
    </row>
    <row r="2461" spans="2:9">
      <c r="B2461" s="11" t="str">
        <f t="shared" si="196"/>
        <v/>
      </c>
      <c r="C2461" s="11" t="str">
        <f t="shared" si="199"/>
        <v/>
      </c>
      <c r="D2461" s="11" t="str">
        <f t="shared" si="200"/>
        <v/>
      </c>
      <c r="E2461" s="11" t="str">
        <f t="shared" si="197"/>
        <v/>
      </c>
      <c r="F2461" s="11" t="str">
        <f t="shared" si="198"/>
        <v/>
      </c>
      <c r="G2461" s="10" t="str">
        <v/>
      </c>
      <c r="H2461" s="11" t="str">
        <v/>
      </c>
      <c r="I2461" s="11" t="str">
        <v/>
      </c>
    </row>
    <row r="2462" spans="2:9">
      <c r="B2462" s="11" t="str">
        <f t="shared" si="196"/>
        <v/>
      </c>
      <c r="C2462" s="11" t="str">
        <f t="shared" si="199"/>
        <v/>
      </c>
      <c r="D2462" s="11" t="str">
        <f t="shared" si="200"/>
        <v/>
      </c>
      <c r="E2462" s="11" t="str">
        <f t="shared" si="197"/>
        <v/>
      </c>
      <c r="F2462" s="11" t="str">
        <f t="shared" si="198"/>
        <v/>
      </c>
      <c r="G2462" s="10" t="str">
        <v/>
      </c>
      <c r="H2462" s="11" t="str">
        <v/>
      </c>
      <c r="I2462" s="11" t="str">
        <v/>
      </c>
    </row>
    <row r="2463" spans="2:9">
      <c r="B2463" s="11" t="str">
        <f t="shared" si="196"/>
        <v/>
      </c>
      <c r="C2463" s="11" t="str">
        <f t="shared" si="199"/>
        <v/>
      </c>
      <c r="D2463" s="11" t="str">
        <f t="shared" si="200"/>
        <v/>
      </c>
      <c r="E2463" s="11" t="str">
        <f t="shared" si="197"/>
        <v/>
      </c>
      <c r="F2463" s="11" t="str">
        <f t="shared" si="198"/>
        <v/>
      </c>
      <c r="G2463" s="10" t="str">
        <v/>
      </c>
      <c r="H2463" s="11" t="str">
        <v/>
      </c>
      <c r="I2463" s="11" t="str">
        <v/>
      </c>
    </row>
    <row r="2464" spans="2:9">
      <c r="B2464" s="11" t="str">
        <f t="shared" si="196"/>
        <v/>
      </c>
      <c r="C2464" s="11" t="str">
        <f t="shared" si="199"/>
        <v/>
      </c>
      <c r="D2464" s="11" t="str">
        <f t="shared" si="200"/>
        <v/>
      </c>
      <c r="E2464" s="11" t="str">
        <f t="shared" si="197"/>
        <v/>
      </c>
      <c r="F2464" s="11" t="str">
        <f t="shared" si="198"/>
        <v/>
      </c>
      <c r="G2464" s="10" t="str">
        <v/>
      </c>
      <c r="H2464" s="11" t="str">
        <v/>
      </c>
      <c r="I2464" s="11" t="str">
        <v/>
      </c>
    </row>
    <row r="2465" spans="2:9">
      <c r="B2465" s="11" t="str">
        <f t="shared" si="196"/>
        <v/>
      </c>
      <c r="C2465" s="11" t="str">
        <f t="shared" si="199"/>
        <v/>
      </c>
      <c r="D2465" s="11" t="str">
        <f t="shared" si="200"/>
        <v/>
      </c>
      <c r="E2465" s="11" t="str">
        <f t="shared" si="197"/>
        <v/>
      </c>
      <c r="F2465" s="11" t="str">
        <f t="shared" si="198"/>
        <v/>
      </c>
      <c r="G2465" s="10" t="str">
        <v/>
      </c>
      <c r="H2465" s="11" t="str">
        <v/>
      </c>
      <c r="I2465" s="11" t="str">
        <v/>
      </c>
    </row>
    <row r="2466" spans="2:9">
      <c r="B2466" s="11" t="str">
        <f t="shared" si="196"/>
        <v/>
      </c>
      <c r="C2466" s="11" t="str">
        <f t="shared" si="199"/>
        <v/>
      </c>
      <c r="D2466" s="11" t="str">
        <f t="shared" si="200"/>
        <v/>
      </c>
      <c r="E2466" s="11" t="str">
        <f t="shared" si="197"/>
        <v/>
      </c>
      <c r="F2466" s="11" t="str">
        <f t="shared" si="198"/>
        <v/>
      </c>
      <c r="G2466" s="10" t="str">
        <v/>
      </c>
      <c r="H2466" s="11" t="str">
        <v/>
      </c>
      <c r="I2466" s="11" t="str">
        <v/>
      </c>
    </row>
    <row r="2467" spans="2:9">
      <c r="B2467" s="11" t="str">
        <f t="shared" si="196"/>
        <v/>
      </c>
      <c r="C2467" s="11" t="str">
        <f t="shared" si="199"/>
        <v/>
      </c>
      <c r="D2467" s="11" t="str">
        <f t="shared" si="200"/>
        <v/>
      </c>
      <c r="E2467" s="11" t="str">
        <f t="shared" si="197"/>
        <v/>
      </c>
      <c r="F2467" s="11" t="str">
        <f t="shared" si="198"/>
        <v/>
      </c>
      <c r="G2467" s="10" t="str">
        <v/>
      </c>
      <c r="H2467" s="11" t="str">
        <v/>
      </c>
      <c r="I2467" s="11" t="str">
        <v/>
      </c>
    </row>
    <row r="2468" spans="2:9">
      <c r="B2468" s="11" t="str">
        <f t="shared" si="196"/>
        <v/>
      </c>
      <c r="C2468" s="11" t="str">
        <f t="shared" si="199"/>
        <v/>
      </c>
      <c r="D2468" s="11" t="str">
        <f t="shared" si="200"/>
        <v/>
      </c>
      <c r="E2468" s="11" t="str">
        <f t="shared" si="197"/>
        <v/>
      </c>
      <c r="F2468" s="11" t="str">
        <f t="shared" si="198"/>
        <v/>
      </c>
      <c r="G2468" s="10" t="str">
        <v/>
      </c>
      <c r="H2468" s="11" t="str">
        <v/>
      </c>
      <c r="I2468" s="11" t="str">
        <v/>
      </c>
    </row>
    <row r="2469" spans="2:9">
      <c r="B2469" s="11" t="str">
        <f t="shared" si="196"/>
        <v/>
      </c>
      <c r="C2469" s="11" t="str">
        <f t="shared" si="199"/>
        <v/>
      </c>
      <c r="D2469" s="11" t="str">
        <f t="shared" si="200"/>
        <v/>
      </c>
      <c r="E2469" s="11" t="str">
        <f t="shared" si="197"/>
        <v/>
      </c>
      <c r="F2469" s="11" t="str">
        <f t="shared" si="198"/>
        <v/>
      </c>
      <c r="G2469" s="10" t="str">
        <v/>
      </c>
      <c r="H2469" s="11" t="str">
        <v/>
      </c>
      <c r="I2469" s="11" t="str">
        <v/>
      </c>
    </row>
    <row r="2470" spans="2:9">
      <c r="B2470" s="11" t="str">
        <f t="shared" si="196"/>
        <v/>
      </c>
      <c r="C2470" s="11" t="str">
        <f t="shared" si="199"/>
        <v/>
      </c>
      <c r="D2470" s="11" t="str">
        <f t="shared" si="200"/>
        <v/>
      </c>
      <c r="E2470" s="11" t="str">
        <f t="shared" si="197"/>
        <v/>
      </c>
      <c r="F2470" s="11" t="str">
        <f t="shared" si="198"/>
        <v/>
      </c>
      <c r="G2470" s="10" t="str">
        <v/>
      </c>
      <c r="H2470" s="11" t="str">
        <v/>
      </c>
      <c r="I2470" s="11" t="str">
        <v/>
      </c>
    </row>
    <row r="2471" spans="2:9">
      <c r="B2471" s="11" t="str">
        <f t="shared" si="196"/>
        <v/>
      </c>
      <c r="C2471" s="11" t="str">
        <f t="shared" si="199"/>
        <v/>
      </c>
      <c r="D2471" s="11" t="str">
        <f t="shared" si="200"/>
        <v/>
      </c>
      <c r="E2471" s="11" t="str">
        <f t="shared" si="197"/>
        <v/>
      </c>
      <c r="F2471" s="11" t="str">
        <f t="shared" si="198"/>
        <v/>
      </c>
      <c r="G2471" s="10" t="str">
        <v/>
      </c>
      <c r="H2471" s="11" t="str">
        <v/>
      </c>
      <c r="I2471" s="11" t="str">
        <v/>
      </c>
    </row>
    <row r="2472" spans="2:9">
      <c r="B2472" s="11" t="str">
        <f t="shared" si="196"/>
        <v/>
      </c>
      <c r="C2472" s="11" t="str">
        <f t="shared" si="199"/>
        <v/>
      </c>
      <c r="D2472" s="11" t="str">
        <f t="shared" si="200"/>
        <v/>
      </c>
      <c r="E2472" s="11" t="str">
        <f t="shared" si="197"/>
        <v/>
      </c>
      <c r="F2472" s="11" t="str">
        <f t="shared" si="198"/>
        <v/>
      </c>
      <c r="G2472" s="10" t="str">
        <v/>
      </c>
      <c r="H2472" s="11" t="str">
        <v/>
      </c>
      <c r="I2472" s="11" t="str">
        <v/>
      </c>
    </row>
    <row r="2473" spans="2:9">
      <c r="B2473" s="11" t="str">
        <f t="shared" si="196"/>
        <v/>
      </c>
      <c r="C2473" s="11" t="str">
        <f t="shared" si="199"/>
        <v/>
      </c>
      <c r="D2473" s="11" t="str">
        <f t="shared" si="200"/>
        <v/>
      </c>
      <c r="E2473" s="11" t="str">
        <f t="shared" si="197"/>
        <v/>
      </c>
      <c r="F2473" s="11" t="str">
        <f t="shared" si="198"/>
        <v/>
      </c>
      <c r="G2473" s="10" t="str">
        <v/>
      </c>
      <c r="H2473" s="11" t="str">
        <v/>
      </c>
      <c r="I2473" s="11" t="str">
        <v/>
      </c>
    </row>
    <row r="2474" spans="2:9">
      <c r="B2474" s="11" t="str">
        <f t="shared" si="196"/>
        <v/>
      </c>
      <c r="C2474" s="11" t="str">
        <f t="shared" si="199"/>
        <v/>
      </c>
      <c r="D2474" s="11" t="str">
        <f t="shared" si="200"/>
        <v/>
      </c>
      <c r="E2474" s="11" t="str">
        <f t="shared" si="197"/>
        <v/>
      </c>
      <c r="F2474" s="11" t="str">
        <f t="shared" si="198"/>
        <v/>
      </c>
      <c r="G2474" s="10" t="str">
        <v/>
      </c>
      <c r="H2474" s="11" t="str">
        <v/>
      </c>
      <c r="I2474" s="11" t="str">
        <v/>
      </c>
    </row>
    <row r="2475" spans="2:9">
      <c r="B2475" s="11" t="str">
        <f t="shared" si="196"/>
        <v/>
      </c>
      <c r="C2475" s="11" t="str">
        <f t="shared" si="199"/>
        <v/>
      </c>
      <c r="D2475" s="11" t="str">
        <f t="shared" si="200"/>
        <v/>
      </c>
      <c r="E2475" s="11" t="str">
        <f t="shared" si="197"/>
        <v/>
      </c>
      <c r="F2475" s="11" t="str">
        <f t="shared" si="198"/>
        <v/>
      </c>
      <c r="G2475" s="10" t="str">
        <v/>
      </c>
      <c r="H2475" s="11" t="str">
        <v/>
      </c>
      <c r="I2475" s="11" t="str">
        <v/>
      </c>
    </row>
    <row r="2476" spans="2:9">
      <c r="B2476" s="11" t="str">
        <f t="shared" si="196"/>
        <v/>
      </c>
      <c r="C2476" s="11" t="str">
        <f t="shared" si="199"/>
        <v/>
      </c>
      <c r="D2476" s="11" t="str">
        <f t="shared" si="200"/>
        <v/>
      </c>
      <c r="E2476" s="11" t="str">
        <f t="shared" si="197"/>
        <v/>
      </c>
      <c r="F2476" s="11" t="str">
        <f t="shared" si="198"/>
        <v/>
      </c>
      <c r="G2476" s="10" t="str">
        <v/>
      </c>
      <c r="H2476" s="11" t="str">
        <v/>
      </c>
      <c r="I2476" s="11" t="str">
        <v/>
      </c>
    </row>
    <row r="2477" spans="2:9">
      <c r="B2477" s="11" t="str">
        <f t="shared" si="196"/>
        <v/>
      </c>
      <c r="C2477" s="11" t="str">
        <f t="shared" si="199"/>
        <v/>
      </c>
      <c r="D2477" s="11" t="str">
        <f t="shared" si="200"/>
        <v/>
      </c>
      <c r="E2477" s="11" t="str">
        <f t="shared" si="197"/>
        <v/>
      </c>
      <c r="F2477" s="11" t="str">
        <f t="shared" si="198"/>
        <v/>
      </c>
      <c r="G2477" s="10" t="str">
        <v/>
      </c>
      <c r="H2477" s="11" t="str">
        <v/>
      </c>
      <c r="I2477" s="11" t="str">
        <v/>
      </c>
    </row>
    <row r="2478" spans="2:9">
      <c r="B2478" s="11" t="str">
        <f t="shared" si="196"/>
        <v/>
      </c>
      <c r="C2478" s="11" t="str">
        <f t="shared" si="199"/>
        <v/>
      </c>
      <c r="D2478" s="11" t="str">
        <f t="shared" si="200"/>
        <v/>
      </c>
      <c r="E2478" s="11" t="str">
        <f t="shared" si="197"/>
        <v/>
      </c>
      <c r="F2478" s="11" t="str">
        <f t="shared" si="198"/>
        <v/>
      </c>
      <c r="G2478" s="10" t="str">
        <v/>
      </c>
      <c r="H2478" s="11" t="str">
        <v/>
      </c>
      <c r="I2478" s="11" t="str">
        <v/>
      </c>
    </row>
    <row r="2479" spans="2:9">
      <c r="B2479" s="11" t="str">
        <f t="shared" si="196"/>
        <v/>
      </c>
      <c r="C2479" s="11" t="str">
        <f t="shared" si="199"/>
        <v/>
      </c>
      <c r="D2479" s="11" t="str">
        <f t="shared" si="200"/>
        <v/>
      </c>
      <c r="E2479" s="11" t="str">
        <f t="shared" si="197"/>
        <v/>
      </c>
      <c r="F2479" s="11" t="str">
        <f t="shared" si="198"/>
        <v/>
      </c>
      <c r="G2479" s="10" t="str">
        <v/>
      </c>
      <c r="H2479" s="11" t="str">
        <v/>
      </c>
      <c r="I2479" s="11" t="str">
        <v/>
      </c>
    </row>
    <row r="2480" spans="2:9">
      <c r="B2480" s="11" t="str">
        <f t="shared" si="196"/>
        <v/>
      </c>
      <c r="C2480" s="11" t="str">
        <f t="shared" si="199"/>
        <v/>
      </c>
      <c r="D2480" s="11" t="str">
        <f t="shared" si="200"/>
        <v/>
      </c>
      <c r="E2480" s="11" t="str">
        <f t="shared" si="197"/>
        <v/>
      </c>
      <c r="F2480" s="11" t="str">
        <f t="shared" si="198"/>
        <v/>
      </c>
      <c r="G2480" s="10" t="str">
        <v/>
      </c>
      <c r="H2480" s="11" t="str">
        <v/>
      </c>
      <c r="I2480" s="11" t="str">
        <v/>
      </c>
    </row>
    <row r="2481" spans="2:9">
      <c r="B2481" s="11" t="str">
        <f t="shared" si="196"/>
        <v/>
      </c>
      <c r="C2481" s="11" t="str">
        <f t="shared" si="199"/>
        <v/>
      </c>
      <c r="D2481" s="11" t="str">
        <f t="shared" si="200"/>
        <v/>
      </c>
      <c r="E2481" s="11" t="str">
        <f t="shared" si="197"/>
        <v/>
      </c>
      <c r="F2481" s="11" t="str">
        <f t="shared" si="198"/>
        <v/>
      </c>
      <c r="G2481" s="10" t="str">
        <v/>
      </c>
      <c r="H2481" s="11" t="str">
        <v/>
      </c>
      <c r="I2481" s="11" t="str">
        <v/>
      </c>
    </row>
    <row r="2482" spans="2:9">
      <c r="B2482" s="11" t="str">
        <f t="shared" si="196"/>
        <v/>
      </c>
      <c r="C2482" s="11" t="str">
        <f t="shared" si="199"/>
        <v/>
      </c>
      <c r="D2482" s="11" t="str">
        <f t="shared" si="200"/>
        <v/>
      </c>
      <c r="E2482" s="11" t="str">
        <f t="shared" si="197"/>
        <v/>
      </c>
      <c r="F2482" s="11" t="str">
        <f t="shared" si="198"/>
        <v/>
      </c>
      <c r="G2482" s="10" t="str">
        <v/>
      </c>
      <c r="H2482" s="11" t="str">
        <v/>
      </c>
      <c r="I2482" s="11" t="str">
        <v/>
      </c>
    </row>
    <row r="2483" spans="2:9">
      <c r="B2483" s="11" t="str">
        <f t="shared" si="196"/>
        <v/>
      </c>
      <c r="C2483" s="11" t="str">
        <f t="shared" si="199"/>
        <v/>
      </c>
      <c r="D2483" s="11" t="str">
        <f t="shared" si="200"/>
        <v/>
      </c>
      <c r="E2483" s="11" t="str">
        <f t="shared" si="197"/>
        <v/>
      </c>
      <c r="F2483" s="11" t="str">
        <f t="shared" si="198"/>
        <v/>
      </c>
      <c r="G2483" s="10" t="str">
        <v/>
      </c>
      <c r="H2483" s="11" t="str">
        <v/>
      </c>
      <c r="I2483" s="11" t="str">
        <v/>
      </c>
    </row>
    <row r="2484" spans="2:9">
      <c r="B2484" s="11" t="str">
        <f t="shared" si="196"/>
        <v/>
      </c>
      <c r="C2484" s="11" t="str">
        <f t="shared" si="199"/>
        <v/>
      </c>
      <c r="D2484" s="11" t="str">
        <f t="shared" si="200"/>
        <v/>
      </c>
      <c r="E2484" s="11" t="str">
        <f t="shared" si="197"/>
        <v/>
      </c>
      <c r="F2484" s="11" t="str">
        <f t="shared" si="198"/>
        <v/>
      </c>
      <c r="G2484" s="10" t="str">
        <v/>
      </c>
      <c r="H2484" s="11" t="str">
        <v/>
      </c>
      <c r="I2484" s="11" t="str">
        <v/>
      </c>
    </row>
    <row r="2485" spans="2:9">
      <c r="B2485" s="11" t="str">
        <f t="shared" si="196"/>
        <v/>
      </c>
      <c r="C2485" s="11" t="str">
        <f t="shared" si="199"/>
        <v/>
      </c>
      <c r="D2485" s="11" t="str">
        <f t="shared" si="200"/>
        <v/>
      </c>
      <c r="E2485" s="11" t="str">
        <f t="shared" si="197"/>
        <v/>
      </c>
      <c r="F2485" s="11" t="str">
        <f t="shared" si="198"/>
        <v/>
      </c>
      <c r="G2485" s="10" t="str">
        <v/>
      </c>
      <c r="H2485" s="11" t="str">
        <v/>
      </c>
      <c r="I2485" s="11" t="str">
        <v/>
      </c>
    </row>
    <row r="2486" spans="2:9">
      <c r="B2486" s="11" t="str">
        <f t="shared" si="196"/>
        <v/>
      </c>
      <c r="C2486" s="11" t="str">
        <f t="shared" si="199"/>
        <v/>
      </c>
      <c r="D2486" s="11" t="str">
        <f t="shared" si="200"/>
        <v/>
      </c>
      <c r="E2486" s="11" t="str">
        <f t="shared" si="197"/>
        <v/>
      </c>
      <c r="F2486" s="11" t="str">
        <f t="shared" si="198"/>
        <v/>
      </c>
      <c r="G2486" s="10" t="str">
        <v/>
      </c>
      <c r="H2486" s="11" t="str">
        <v/>
      </c>
      <c r="I2486" s="11" t="str">
        <v/>
      </c>
    </row>
    <row r="2487" spans="2:9">
      <c r="B2487" s="11" t="str">
        <f t="shared" si="196"/>
        <v/>
      </c>
      <c r="C2487" s="11" t="str">
        <f t="shared" si="199"/>
        <v/>
      </c>
      <c r="D2487" s="11" t="str">
        <f t="shared" si="200"/>
        <v/>
      </c>
      <c r="E2487" s="11" t="str">
        <f t="shared" si="197"/>
        <v/>
      </c>
      <c r="F2487" s="11" t="str">
        <f t="shared" si="198"/>
        <v/>
      </c>
      <c r="G2487" s="10" t="str">
        <v/>
      </c>
      <c r="H2487" s="11" t="str">
        <v/>
      </c>
      <c r="I2487" s="11" t="str">
        <v/>
      </c>
    </row>
    <row r="2488" spans="2:9">
      <c r="B2488" s="11" t="str">
        <f t="shared" si="196"/>
        <v/>
      </c>
      <c r="C2488" s="11" t="str">
        <f t="shared" si="199"/>
        <v/>
      </c>
      <c r="D2488" s="11" t="str">
        <f t="shared" si="200"/>
        <v/>
      </c>
      <c r="E2488" s="11" t="str">
        <f t="shared" si="197"/>
        <v/>
      </c>
      <c r="F2488" s="11" t="str">
        <f t="shared" si="198"/>
        <v/>
      </c>
      <c r="G2488" s="10" t="str">
        <v/>
      </c>
      <c r="H2488" s="11" t="str">
        <v/>
      </c>
      <c r="I2488" s="11" t="str">
        <v/>
      </c>
    </row>
    <row r="2489" spans="2:9">
      <c r="B2489" s="11" t="str">
        <f t="shared" si="196"/>
        <v/>
      </c>
      <c r="C2489" s="11" t="str">
        <f t="shared" si="199"/>
        <v/>
      </c>
      <c r="D2489" s="11" t="str">
        <f t="shared" si="200"/>
        <v/>
      </c>
      <c r="E2489" s="11" t="str">
        <f t="shared" si="197"/>
        <v/>
      </c>
      <c r="F2489" s="11" t="str">
        <f t="shared" si="198"/>
        <v/>
      </c>
      <c r="G2489" s="10" t="str">
        <v/>
      </c>
      <c r="H2489" s="11" t="str">
        <v/>
      </c>
      <c r="I2489" s="11" t="str">
        <v/>
      </c>
    </row>
    <row r="2490" spans="2:9">
      <c r="B2490" s="11" t="str">
        <f t="shared" si="196"/>
        <v/>
      </c>
      <c r="C2490" s="11" t="str">
        <f t="shared" si="199"/>
        <v/>
      </c>
      <c r="D2490" s="11" t="str">
        <f t="shared" si="200"/>
        <v/>
      </c>
      <c r="E2490" s="11" t="str">
        <f t="shared" si="197"/>
        <v/>
      </c>
      <c r="F2490" s="11" t="str">
        <f t="shared" si="198"/>
        <v/>
      </c>
      <c r="G2490" s="10" t="str">
        <v/>
      </c>
      <c r="H2490" s="11" t="str">
        <v/>
      </c>
      <c r="I2490" s="11" t="str">
        <v/>
      </c>
    </row>
    <row r="2491" spans="2:9">
      <c r="B2491" s="11" t="str">
        <f t="shared" si="196"/>
        <v/>
      </c>
      <c r="C2491" s="11" t="str">
        <f t="shared" si="199"/>
        <v/>
      </c>
      <c r="D2491" s="11" t="str">
        <f t="shared" si="200"/>
        <v/>
      </c>
      <c r="E2491" s="11" t="str">
        <f t="shared" si="197"/>
        <v/>
      </c>
      <c r="F2491" s="11" t="str">
        <f t="shared" si="198"/>
        <v/>
      </c>
      <c r="G2491" s="10" t="str">
        <v/>
      </c>
      <c r="H2491" s="11" t="str">
        <v/>
      </c>
      <c r="I2491" s="11" t="str">
        <v/>
      </c>
    </row>
    <row r="2492" spans="2:9">
      <c r="B2492" s="11" t="str">
        <f t="shared" si="196"/>
        <v/>
      </c>
      <c r="C2492" s="11" t="str">
        <f t="shared" si="199"/>
        <v/>
      </c>
      <c r="D2492" s="11" t="str">
        <f t="shared" si="200"/>
        <v/>
      </c>
      <c r="E2492" s="11" t="str">
        <f t="shared" si="197"/>
        <v/>
      </c>
      <c r="F2492" s="11" t="str">
        <f t="shared" si="198"/>
        <v/>
      </c>
      <c r="G2492" s="10" t="str">
        <v/>
      </c>
      <c r="H2492" s="11" t="str">
        <v/>
      </c>
      <c r="I2492" s="11" t="str">
        <v/>
      </c>
    </row>
    <row r="2493" spans="2:9">
      <c r="B2493" s="11" t="str">
        <f t="shared" si="196"/>
        <v/>
      </c>
      <c r="C2493" s="11" t="str">
        <f t="shared" si="199"/>
        <v/>
      </c>
      <c r="D2493" s="11" t="str">
        <f t="shared" si="200"/>
        <v/>
      </c>
      <c r="E2493" s="11" t="str">
        <f t="shared" si="197"/>
        <v/>
      </c>
      <c r="F2493" s="11" t="str">
        <f t="shared" si="198"/>
        <v/>
      </c>
      <c r="G2493" s="10" t="str">
        <v/>
      </c>
      <c r="H2493" s="11" t="str">
        <v/>
      </c>
      <c r="I2493" s="11" t="str">
        <v/>
      </c>
    </row>
    <row r="2494" spans="2:9">
      <c r="B2494" s="11" t="str">
        <f t="shared" si="196"/>
        <v/>
      </c>
      <c r="C2494" s="11" t="str">
        <f t="shared" si="199"/>
        <v/>
      </c>
      <c r="D2494" s="11" t="str">
        <f t="shared" si="200"/>
        <v/>
      </c>
      <c r="E2494" s="11" t="str">
        <f t="shared" si="197"/>
        <v/>
      </c>
      <c r="F2494" s="11" t="str">
        <f t="shared" si="198"/>
        <v/>
      </c>
      <c r="G2494" s="10" t="str">
        <v/>
      </c>
      <c r="H2494" s="11" t="str">
        <v/>
      </c>
      <c r="I2494" s="11" t="str">
        <v/>
      </c>
    </row>
    <row r="2495" spans="2:9">
      <c r="B2495" s="11" t="str">
        <f t="shared" si="196"/>
        <v/>
      </c>
      <c r="C2495" s="11" t="str">
        <f t="shared" si="199"/>
        <v/>
      </c>
      <c r="D2495" s="11" t="str">
        <f t="shared" si="200"/>
        <v/>
      </c>
      <c r="E2495" s="11" t="str">
        <f t="shared" si="197"/>
        <v/>
      </c>
      <c r="F2495" s="11" t="str">
        <f t="shared" si="198"/>
        <v/>
      </c>
      <c r="G2495" s="10" t="str">
        <v/>
      </c>
      <c r="H2495" s="11" t="str">
        <v/>
      </c>
      <c r="I2495" s="11" t="str">
        <v/>
      </c>
    </row>
    <row r="2496" spans="2:9">
      <c r="B2496" s="11" t="str">
        <f t="shared" si="196"/>
        <v/>
      </c>
      <c r="C2496" s="11" t="str">
        <f t="shared" si="199"/>
        <v/>
      </c>
      <c r="D2496" s="11" t="str">
        <f t="shared" si="200"/>
        <v/>
      </c>
      <c r="E2496" s="11" t="str">
        <f t="shared" si="197"/>
        <v/>
      </c>
      <c r="F2496" s="11" t="str">
        <f t="shared" si="198"/>
        <v/>
      </c>
      <c r="G2496" s="10" t="str">
        <v/>
      </c>
      <c r="H2496" s="11" t="str">
        <v/>
      </c>
      <c r="I2496" s="11" t="str">
        <v/>
      </c>
    </row>
    <row r="2497" spans="2:9">
      <c r="B2497" s="11" t="str">
        <f t="shared" ref="B2497:B2560" si="201">IFERROR(IF(FIND(" ",A2497)=6,IF(IFERROR(FIND(" PB",A2497),"")&lt;&gt;"","артикул",IF(IFERROR(FIND(" CRN",A2497),"")&lt;&gt;"","артикул","")),""),"")</f>
        <v/>
      </c>
      <c r="C2497" s="11" t="str">
        <f t="shared" si="199"/>
        <v/>
      </c>
      <c r="D2497" s="11" t="str">
        <f t="shared" si="200"/>
        <v/>
      </c>
      <c r="E2497" s="11" t="str">
        <f t="shared" si="197"/>
        <v/>
      </c>
      <c r="F2497" s="11" t="str">
        <f t="shared" si="198"/>
        <v/>
      </c>
      <c r="G2497" s="10" t="str">
        <v/>
      </c>
      <c r="H2497" s="11" t="str">
        <v/>
      </c>
      <c r="I2497" s="11" t="str">
        <v/>
      </c>
    </row>
    <row r="2498" spans="2:9">
      <c r="B2498" s="11" t="str">
        <f t="shared" si="201"/>
        <v/>
      </c>
      <c r="C2498" s="11" t="str">
        <f t="shared" si="199"/>
        <v/>
      </c>
      <c r="D2498" s="11" t="str">
        <f t="shared" si="200"/>
        <v/>
      </c>
      <c r="E2498" s="11" t="str">
        <f t="shared" ref="E2498:E2561" si="202" xml:space="preserve">
IF(B2498="Артикул",
IF(
AND(RIGHT(A2499,1)="%",
RIGHT(A2500,1)="%",
RIGHT(A2501,1)="%",
RIGHT(A2502,1)="%"),MID(A2503,FIND(" ",A2503),50),
IF(
AND(RIGHT(A2499,1)="%",
RIGHT(A2500,1)="%",
RIGHT(A2501,1)="%"),MID(A2502,FIND(" ",A2502),50),
IF(
AND(RIGHT(A2499,1)="%",
RIGHT(A2500,1)="%"),
MID(A2501,FIND(" ",A2501),50),
IF(
RIGHT(A2499,1)="%",
MID(A2500,FIND(" ",A2500),50),"")))),"")</f>
        <v/>
      </c>
      <c r="F2498" s="11" t="str">
        <f t="shared" ref="F2498:F2561" si="203">IFERROR(
IF(
AND(LEFT(A2498,8)="Discount",FIND("%",A2498)&gt;0),
MID(A2498,
FIND(" ",A2498),
FIND("%",A2498)-FIND(" ",A2498))
*-1,""),"")</f>
        <v/>
      </c>
      <c r="G2498" s="10" t="str">
        <v/>
      </c>
      <c r="H2498" s="11" t="str">
        <v/>
      </c>
      <c r="I2498" s="11" t="str">
        <v/>
      </c>
    </row>
    <row r="2499" spans="2:9">
      <c r="B2499" s="11" t="str">
        <f t="shared" si="201"/>
        <v/>
      </c>
      <c r="C2499" s="11" t="str">
        <f t="shared" si="199"/>
        <v/>
      </c>
      <c r="D2499" s="11" t="str">
        <f t="shared" si="200"/>
        <v/>
      </c>
      <c r="E2499" s="11" t="str">
        <f t="shared" si="202"/>
        <v/>
      </c>
      <c r="F2499" s="11" t="str">
        <f t="shared" si="203"/>
        <v/>
      </c>
      <c r="G2499" s="10" t="str">
        <v/>
      </c>
      <c r="H2499" s="11" t="str">
        <v/>
      </c>
      <c r="I2499" s="11" t="str">
        <v/>
      </c>
    </row>
    <row r="2500" spans="2:9">
      <c r="B2500" s="11" t="str">
        <f t="shared" si="201"/>
        <v/>
      </c>
      <c r="C2500" s="11" t="str">
        <f t="shared" si="199"/>
        <v/>
      </c>
      <c r="D2500" s="11" t="str">
        <f t="shared" si="200"/>
        <v/>
      </c>
      <c r="E2500" s="11" t="str">
        <f t="shared" si="202"/>
        <v/>
      </c>
      <c r="F2500" s="11" t="str">
        <f t="shared" si="203"/>
        <v/>
      </c>
      <c r="G2500" s="10" t="str">
        <v/>
      </c>
      <c r="H2500" s="11" t="str">
        <v/>
      </c>
      <c r="I2500" s="11" t="str">
        <v/>
      </c>
    </row>
    <row r="2501" spans="2:9">
      <c r="B2501" s="11" t="str">
        <f t="shared" si="201"/>
        <v/>
      </c>
      <c r="C2501" s="11" t="str">
        <f t="shared" si="199"/>
        <v/>
      </c>
      <c r="D2501" s="11" t="str">
        <f t="shared" si="200"/>
        <v/>
      </c>
      <c r="E2501" s="11" t="str">
        <f t="shared" si="202"/>
        <v/>
      </c>
      <c r="F2501" s="11" t="str">
        <f t="shared" si="203"/>
        <v/>
      </c>
      <c r="G2501" s="10" t="str">
        <v/>
      </c>
      <c r="H2501" s="11" t="str">
        <v/>
      </c>
      <c r="I2501" s="11" t="str">
        <v/>
      </c>
    </row>
    <row r="2502" spans="2:9">
      <c r="B2502" s="11" t="str">
        <f t="shared" si="201"/>
        <v/>
      </c>
      <c r="C2502" s="11" t="str">
        <f t="shared" si="199"/>
        <v/>
      </c>
      <c r="D2502" s="11" t="str">
        <f t="shared" si="200"/>
        <v/>
      </c>
      <c r="E2502" s="11" t="str">
        <f t="shared" si="202"/>
        <v/>
      </c>
      <c r="F2502" s="11" t="str">
        <f t="shared" si="203"/>
        <v/>
      </c>
      <c r="G2502" s="10" t="str">
        <v/>
      </c>
      <c r="H2502" s="11" t="str">
        <v/>
      </c>
      <c r="I2502" s="11" t="str">
        <v/>
      </c>
    </row>
    <row r="2503" spans="2:9">
      <c r="B2503" s="11" t="str">
        <f t="shared" si="201"/>
        <v/>
      </c>
      <c r="C2503" s="11" t="str">
        <f t="shared" si="199"/>
        <v/>
      </c>
      <c r="D2503" s="11" t="str">
        <f t="shared" si="200"/>
        <v/>
      </c>
      <c r="E2503" s="11" t="str">
        <f t="shared" si="202"/>
        <v/>
      </c>
      <c r="F2503" s="11" t="str">
        <f t="shared" si="203"/>
        <v/>
      </c>
      <c r="G2503" s="10" t="str">
        <v/>
      </c>
      <c r="H2503" s="11" t="str">
        <v/>
      </c>
      <c r="I2503" s="11" t="str">
        <v/>
      </c>
    </row>
    <row r="2504" spans="2:9">
      <c r="B2504" s="11" t="str">
        <f t="shared" si="201"/>
        <v/>
      </c>
      <c r="C2504" s="11" t="str">
        <f t="shared" si="199"/>
        <v/>
      </c>
      <c r="D2504" s="11" t="str">
        <f t="shared" si="200"/>
        <v/>
      </c>
      <c r="E2504" s="11" t="str">
        <f t="shared" si="202"/>
        <v/>
      </c>
      <c r="F2504" s="11" t="str">
        <f t="shared" si="203"/>
        <v/>
      </c>
      <c r="G2504" s="10" t="str">
        <v/>
      </c>
      <c r="H2504" s="11" t="str">
        <v/>
      </c>
      <c r="I2504" s="11" t="str">
        <v/>
      </c>
    </row>
    <row r="2505" spans="2:9">
      <c r="B2505" s="11" t="str">
        <f t="shared" si="201"/>
        <v/>
      </c>
      <c r="C2505" s="11" t="str">
        <f t="shared" si="199"/>
        <v/>
      </c>
      <c r="D2505" s="11" t="str">
        <f t="shared" si="200"/>
        <v/>
      </c>
      <c r="E2505" s="11" t="str">
        <f t="shared" si="202"/>
        <v/>
      </c>
      <c r="F2505" s="11" t="str">
        <f t="shared" si="203"/>
        <v/>
      </c>
      <c r="G2505" s="10" t="str">
        <v/>
      </c>
      <c r="H2505" s="11" t="str">
        <v/>
      </c>
      <c r="I2505" s="11" t="str">
        <v/>
      </c>
    </row>
    <row r="2506" spans="2:9">
      <c r="B2506" s="11" t="str">
        <f t="shared" si="201"/>
        <v/>
      </c>
      <c r="C2506" s="11" t="str">
        <f t="shared" si="199"/>
        <v/>
      </c>
      <c r="D2506" s="11" t="str">
        <f t="shared" si="200"/>
        <v/>
      </c>
      <c r="E2506" s="11" t="str">
        <f t="shared" si="202"/>
        <v/>
      </c>
      <c r="F2506" s="11" t="str">
        <f t="shared" si="203"/>
        <v/>
      </c>
      <c r="G2506" s="10" t="str">
        <v/>
      </c>
      <c r="H2506" s="11" t="str">
        <v/>
      </c>
      <c r="I2506" s="11" t="str">
        <v/>
      </c>
    </row>
    <row r="2507" spans="2:9">
      <c r="B2507" s="11" t="str">
        <f t="shared" si="201"/>
        <v/>
      </c>
      <c r="C2507" s="11" t="str">
        <f t="shared" si="199"/>
        <v/>
      </c>
      <c r="D2507" s="11" t="str">
        <f t="shared" si="200"/>
        <v/>
      </c>
      <c r="E2507" s="11" t="str">
        <f t="shared" si="202"/>
        <v/>
      </c>
      <c r="F2507" s="11" t="str">
        <f t="shared" si="203"/>
        <v/>
      </c>
      <c r="G2507" s="10" t="str">
        <v/>
      </c>
      <c r="H2507" s="11" t="str">
        <v/>
      </c>
      <c r="I2507" s="11" t="str">
        <v/>
      </c>
    </row>
    <row r="2508" spans="2:9">
      <c r="B2508" s="11" t="str">
        <f t="shared" si="201"/>
        <v/>
      </c>
      <c r="C2508" s="11" t="str">
        <f t="shared" si="199"/>
        <v/>
      </c>
      <c r="D2508" s="11" t="str">
        <f t="shared" si="200"/>
        <v/>
      </c>
      <c r="E2508" s="11" t="str">
        <f t="shared" si="202"/>
        <v/>
      </c>
      <c r="F2508" s="11" t="str">
        <f t="shared" si="203"/>
        <v/>
      </c>
      <c r="G2508" s="10" t="str">
        <v/>
      </c>
      <c r="H2508" s="11" t="str">
        <v/>
      </c>
      <c r="I2508" s="11" t="str">
        <v/>
      </c>
    </row>
    <row r="2509" spans="2:9">
      <c r="B2509" s="11" t="str">
        <f t="shared" si="201"/>
        <v/>
      </c>
      <c r="C2509" s="11" t="str">
        <f t="shared" ref="C2509:C2572" si="204">IF(B2509="артикул",A2509,"")</f>
        <v/>
      </c>
      <c r="D2509" s="11" t="str">
        <f t="shared" ref="D2509:D2572" si="205">IF(B2509="артикул",A2510,"")</f>
        <v/>
      </c>
      <c r="E2509" s="11" t="str">
        <f t="shared" si="202"/>
        <v/>
      </c>
      <c r="F2509" s="11" t="str">
        <f t="shared" si="203"/>
        <v/>
      </c>
      <c r="G2509" s="10" t="str">
        <v/>
      </c>
      <c r="H2509" s="11" t="str">
        <v/>
      </c>
      <c r="I2509" s="11" t="str">
        <v/>
      </c>
    </row>
    <row r="2510" spans="2:9">
      <c r="B2510" s="11" t="str">
        <f t="shared" si="201"/>
        <v/>
      </c>
      <c r="C2510" s="11" t="str">
        <f t="shared" si="204"/>
        <v/>
      </c>
      <c r="D2510" s="11" t="str">
        <f t="shared" si="205"/>
        <v/>
      </c>
      <c r="E2510" s="11" t="str">
        <f t="shared" si="202"/>
        <v/>
      </c>
      <c r="F2510" s="11" t="str">
        <f t="shared" si="203"/>
        <v/>
      </c>
      <c r="G2510" s="10" t="str">
        <v/>
      </c>
      <c r="H2510" s="11" t="str">
        <v/>
      </c>
      <c r="I2510" s="11" t="str">
        <v/>
      </c>
    </row>
    <row r="2511" spans="2:9">
      <c r="B2511" s="11" t="str">
        <f t="shared" si="201"/>
        <v/>
      </c>
      <c r="C2511" s="11" t="str">
        <f t="shared" si="204"/>
        <v/>
      </c>
      <c r="D2511" s="11" t="str">
        <f t="shared" si="205"/>
        <v/>
      </c>
      <c r="E2511" s="11" t="str">
        <f t="shared" si="202"/>
        <v/>
      </c>
      <c r="F2511" s="11" t="str">
        <f t="shared" si="203"/>
        <v/>
      </c>
      <c r="G2511" s="10" t="str">
        <v/>
      </c>
      <c r="H2511" s="11" t="str">
        <v/>
      </c>
      <c r="I2511" s="11" t="str">
        <v/>
      </c>
    </row>
    <row r="2512" spans="2:9">
      <c r="B2512" s="11" t="str">
        <f t="shared" si="201"/>
        <v/>
      </c>
      <c r="C2512" s="11" t="str">
        <f t="shared" si="204"/>
        <v/>
      </c>
      <c r="D2512" s="11" t="str">
        <f t="shared" si="205"/>
        <v/>
      </c>
      <c r="E2512" s="11" t="str">
        <f t="shared" si="202"/>
        <v/>
      </c>
      <c r="F2512" s="11" t="str">
        <f t="shared" si="203"/>
        <v/>
      </c>
      <c r="G2512" s="10" t="str">
        <v/>
      </c>
      <c r="H2512" s="11" t="str">
        <v/>
      </c>
      <c r="I2512" s="11" t="str">
        <v/>
      </c>
    </row>
    <row r="2513" spans="2:9">
      <c r="B2513" s="11" t="str">
        <f t="shared" si="201"/>
        <v/>
      </c>
      <c r="C2513" s="11" t="str">
        <f t="shared" si="204"/>
        <v/>
      </c>
      <c r="D2513" s="11" t="str">
        <f t="shared" si="205"/>
        <v/>
      </c>
      <c r="E2513" s="11" t="str">
        <f t="shared" si="202"/>
        <v/>
      </c>
      <c r="F2513" s="11" t="str">
        <f t="shared" si="203"/>
        <v/>
      </c>
      <c r="G2513" s="10" t="str">
        <v/>
      </c>
      <c r="H2513" s="11" t="str">
        <v/>
      </c>
      <c r="I2513" s="11" t="str">
        <v/>
      </c>
    </row>
    <row r="2514" spans="2:9">
      <c r="B2514" s="11" t="str">
        <f t="shared" si="201"/>
        <v/>
      </c>
      <c r="C2514" s="11" t="str">
        <f t="shared" si="204"/>
        <v/>
      </c>
      <c r="D2514" s="11" t="str">
        <f t="shared" si="205"/>
        <v/>
      </c>
      <c r="E2514" s="11" t="str">
        <f t="shared" si="202"/>
        <v/>
      </c>
      <c r="F2514" s="11" t="str">
        <f t="shared" si="203"/>
        <v/>
      </c>
      <c r="G2514" s="10" t="str">
        <v/>
      </c>
      <c r="H2514" s="11" t="str">
        <v/>
      </c>
      <c r="I2514" s="11" t="str">
        <v/>
      </c>
    </row>
    <row r="2515" spans="2:9">
      <c r="B2515" s="11" t="str">
        <f t="shared" si="201"/>
        <v/>
      </c>
      <c r="C2515" s="11" t="str">
        <f t="shared" si="204"/>
        <v/>
      </c>
      <c r="D2515" s="11" t="str">
        <f t="shared" si="205"/>
        <v/>
      </c>
      <c r="E2515" s="11" t="str">
        <f t="shared" si="202"/>
        <v/>
      </c>
      <c r="F2515" s="11" t="str">
        <f t="shared" si="203"/>
        <v/>
      </c>
      <c r="G2515" s="10" t="str">
        <v/>
      </c>
      <c r="H2515" s="11" t="str">
        <v/>
      </c>
      <c r="I2515" s="11" t="str">
        <v/>
      </c>
    </row>
    <row r="2516" spans="2:9">
      <c r="B2516" s="11" t="str">
        <f t="shared" si="201"/>
        <v/>
      </c>
      <c r="C2516" s="11" t="str">
        <f t="shared" si="204"/>
        <v/>
      </c>
      <c r="D2516" s="11" t="str">
        <f t="shared" si="205"/>
        <v/>
      </c>
      <c r="E2516" s="11" t="str">
        <f t="shared" si="202"/>
        <v/>
      </c>
      <c r="F2516" s="11" t="str">
        <f t="shared" si="203"/>
        <v/>
      </c>
      <c r="G2516" s="10" t="str">
        <v/>
      </c>
      <c r="H2516" s="11" t="str">
        <v/>
      </c>
      <c r="I2516" s="11" t="str">
        <v/>
      </c>
    </row>
    <row r="2517" spans="2:9">
      <c r="B2517" s="11" t="str">
        <f t="shared" si="201"/>
        <v/>
      </c>
      <c r="C2517" s="11" t="str">
        <f t="shared" si="204"/>
        <v/>
      </c>
      <c r="D2517" s="11" t="str">
        <f t="shared" si="205"/>
        <v/>
      </c>
      <c r="E2517" s="11" t="str">
        <f t="shared" si="202"/>
        <v/>
      </c>
      <c r="F2517" s="11" t="str">
        <f t="shared" si="203"/>
        <v/>
      </c>
      <c r="G2517" s="10" t="str">
        <v/>
      </c>
      <c r="H2517" s="11" t="str">
        <v/>
      </c>
      <c r="I2517" s="11" t="str">
        <v/>
      </c>
    </row>
    <row r="2518" spans="2:9">
      <c r="B2518" s="11" t="str">
        <f t="shared" si="201"/>
        <v/>
      </c>
      <c r="C2518" s="11" t="str">
        <f t="shared" si="204"/>
        <v/>
      </c>
      <c r="D2518" s="11" t="str">
        <f t="shared" si="205"/>
        <v/>
      </c>
      <c r="E2518" s="11" t="str">
        <f t="shared" si="202"/>
        <v/>
      </c>
      <c r="F2518" s="11" t="str">
        <f t="shared" si="203"/>
        <v/>
      </c>
      <c r="G2518" s="10" t="str">
        <v/>
      </c>
      <c r="H2518" s="11" t="str">
        <v/>
      </c>
      <c r="I2518" s="11" t="str">
        <v/>
      </c>
    </row>
    <row r="2519" spans="2:9">
      <c r="B2519" s="11" t="str">
        <f t="shared" si="201"/>
        <v/>
      </c>
      <c r="C2519" s="11" t="str">
        <f t="shared" si="204"/>
        <v/>
      </c>
      <c r="D2519" s="11" t="str">
        <f t="shared" si="205"/>
        <v/>
      </c>
      <c r="E2519" s="11" t="str">
        <f t="shared" si="202"/>
        <v/>
      </c>
      <c r="F2519" s="11" t="str">
        <f t="shared" si="203"/>
        <v/>
      </c>
      <c r="G2519" s="10" t="str">
        <v/>
      </c>
      <c r="H2519" s="11" t="str">
        <v/>
      </c>
      <c r="I2519" s="11" t="str">
        <v/>
      </c>
    </row>
    <row r="2520" spans="2:9">
      <c r="B2520" s="11" t="str">
        <f t="shared" si="201"/>
        <v/>
      </c>
      <c r="C2520" s="11" t="str">
        <f t="shared" si="204"/>
        <v/>
      </c>
      <c r="D2520" s="11" t="str">
        <f t="shared" si="205"/>
        <v/>
      </c>
      <c r="E2520" s="11" t="str">
        <f t="shared" si="202"/>
        <v/>
      </c>
      <c r="F2520" s="11" t="str">
        <f t="shared" si="203"/>
        <v/>
      </c>
      <c r="G2520" s="10" t="str">
        <v/>
      </c>
      <c r="H2520" s="11" t="str">
        <v/>
      </c>
      <c r="I2520" s="11" t="str">
        <v/>
      </c>
    </row>
    <row r="2521" spans="2:9">
      <c r="B2521" s="11" t="str">
        <f t="shared" si="201"/>
        <v/>
      </c>
      <c r="C2521" s="11" t="str">
        <f t="shared" si="204"/>
        <v/>
      </c>
      <c r="D2521" s="11" t="str">
        <f t="shared" si="205"/>
        <v/>
      </c>
      <c r="E2521" s="11" t="str">
        <f t="shared" si="202"/>
        <v/>
      </c>
      <c r="F2521" s="11" t="str">
        <f t="shared" si="203"/>
        <v/>
      </c>
      <c r="G2521" s="10" t="str">
        <v/>
      </c>
      <c r="H2521" s="11" t="str">
        <v/>
      </c>
      <c r="I2521" s="11" t="str">
        <v/>
      </c>
    </row>
    <row r="2522" spans="2:9">
      <c r="B2522" s="11" t="str">
        <f t="shared" si="201"/>
        <v/>
      </c>
      <c r="C2522" s="11" t="str">
        <f t="shared" si="204"/>
        <v/>
      </c>
      <c r="D2522" s="11" t="str">
        <f t="shared" si="205"/>
        <v/>
      </c>
      <c r="E2522" s="11" t="str">
        <f t="shared" si="202"/>
        <v/>
      </c>
      <c r="F2522" s="11" t="str">
        <f t="shared" si="203"/>
        <v/>
      </c>
      <c r="G2522" s="10" t="str">
        <v/>
      </c>
      <c r="H2522" s="11" t="str">
        <v/>
      </c>
      <c r="I2522" s="11" t="str">
        <v/>
      </c>
    </row>
    <row r="2523" spans="2:9">
      <c r="B2523" s="11" t="str">
        <f t="shared" si="201"/>
        <v/>
      </c>
      <c r="C2523" s="11" t="str">
        <f t="shared" si="204"/>
        <v/>
      </c>
      <c r="D2523" s="11" t="str">
        <f t="shared" si="205"/>
        <v/>
      </c>
      <c r="E2523" s="11" t="str">
        <f t="shared" si="202"/>
        <v/>
      </c>
      <c r="F2523" s="11" t="str">
        <f t="shared" si="203"/>
        <v/>
      </c>
      <c r="G2523" s="10" t="str">
        <v/>
      </c>
      <c r="H2523" s="11" t="str">
        <v/>
      </c>
      <c r="I2523" s="11" t="str">
        <v/>
      </c>
    </row>
    <row r="2524" spans="2:9">
      <c r="B2524" s="11" t="str">
        <f t="shared" si="201"/>
        <v/>
      </c>
      <c r="C2524" s="11" t="str">
        <f t="shared" si="204"/>
        <v/>
      </c>
      <c r="D2524" s="11" t="str">
        <f t="shared" si="205"/>
        <v/>
      </c>
      <c r="E2524" s="11" t="str">
        <f t="shared" si="202"/>
        <v/>
      </c>
      <c r="F2524" s="11" t="str">
        <f t="shared" si="203"/>
        <v/>
      </c>
      <c r="G2524" s="10" t="str">
        <v/>
      </c>
      <c r="H2524" s="11" t="str">
        <v/>
      </c>
      <c r="I2524" s="11" t="str">
        <v/>
      </c>
    </row>
    <row r="2525" spans="2:9">
      <c r="B2525" s="11" t="str">
        <f t="shared" si="201"/>
        <v/>
      </c>
      <c r="C2525" s="11" t="str">
        <f t="shared" si="204"/>
        <v/>
      </c>
      <c r="D2525" s="11" t="str">
        <f t="shared" si="205"/>
        <v/>
      </c>
      <c r="E2525" s="11" t="str">
        <f t="shared" si="202"/>
        <v/>
      </c>
      <c r="F2525" s="11" t="str">
        <f t="shared" si="203"/>
        <v/>
      </c>
      <c r="G2525" s="10" t="str">
        <v/>
      </c>
      <c r="H2525" s="11" t="str">
        <v/>
      </c>
      <c r="I2525" s="11" t="str">
        <v/>
      </c>
    </row>
    <row r="2526" spans="2:9">
      <c r="B2526" s="11" t="str">
        <f t="shared" si="201"/>
        <v/>
      </c>
      <c r="C2526" s="11" t="str">
        <f t="shared" si="204"/>
        <v/>
      </c>
      <c r="D2526" s="11" t="str">
        <f t="shared" si="205"/>
        <v/>
      </c>
      <c r="E2526" s="11" t="str">
        <f t="shared" si="202"/>
        <v/>
      </c>
      <c r="F2526" s="11" t="str">
        <f t="shared" si="203"/>
        <v/>
      </c>
      <c r="G2526" s="10" t="str">
        <v/>
      </c>
      <c r="H2526" s="11" t="str">
        <v/>
      </c>
      <c r="I2526" s="11" t="str">
        <v/>
      </c>
    </row>
    <row r="2527" spans="2:9">
      <c r="B2527" s="11" t="str">
        <f t="shared" si="201"/>
        <v/>
      </c>
      <c r="C2527" s="11" t="str">
        <f t="shared" si="204"/>
        <v/>
      </c>
      <c r="D2527" s="11" t="str">
        <f t="shared" si="205"/>
        <v/>
      </c>
      <c r="E2527" s="11" t="str">
        <f t="shared" si="202"/>
        <v/>
      </c>
      <c r="F2527" s="11" t="str">
        <f t="shared" si="203"/>
        <v/>
      </c>
      <c r="G2527" s="10" t="str">
        <v/>
      </c>
      <c r="H2527" s="11" t="str">
        <v/>
      </c>
      <c r="I2527" s="11" t="str">
        <v/>
      </c>
    </row>
    <row r="2528" spans="2:9">
      <c r="B2528" s="11" t="str">
        <f t="shared" si="201"/>
        <v/>
      </c>
      <c r="C2528" s="11" t="str">
        <f t="shared" si="204"/>
        <v/>
      </c>
      <c r="D2528" s="11" t="str">
        <f t="shared" si="205"/>
        <v/>
      </c>
      <c r="E2528" s="11" t="str">
        <f t="shared" si="202"/>
        <v/>
      </c>
      <c r="F2528" s="11" t="str">
        <f t="shared" si="203"/>
        <v/>
      </c>
      <c r="G2528" s="10" t="str">
        <v/>
      </c>
      <c r="H2528" s="11" t="str">
        <v/>
      </c>
      <c r="I2528" s="11" t="str">
        <v/>
      </c>
    </row>
    <row r="2529" spans="2:9">
      <c r="B2529" s="11" t="str">
        <f t="shared" si="201"/>
        <v/>
      </c>
      <c r="C2529" s="11" t="str">
        <f t="shared" si="204"/>
        <v/>
      </c>
      <c r="D2529" s="11" t="str">
        <f t="shared" si="205"/>
        <v/>
      </c>
      <c r="E2529" s="11" t="str">
        <f t="shared" si="202"/>
        <v/>
      </c>
      <c r="F2529" s="11" t="str">
        <f t="shared" si="203"/>
        <v/>
      </c>
      <c r="G2529" s="10" t="str">
        <v/>
      </c>
      <c r="H2529" s="11" t="str">
        <v/>
      </c>
      <c r="I2529" s="11" t="str">
        <v/>
      </c>
    </row>
    <row r="2530" spans="2:9">
      <c r="B2530" s="11" t="str">
        <f t="shared" si="201"/>
        <v/>
      </c>
      <c r="C2530" s="11" t="str">
        <f t="shared" si="204"/>
        <v/>
      </c>
      <c r="D2530" s="11" t="str">
        <f t="shared" si="205"/>
        <v/>
      </c>
      <c r="E2530" s="11" t="str">
        <f t="shared" si="202"/>
        <v/>
      </c>
      <c r="F2530" s="11" t="str">
        <f t="shared" si="203"/>
        <v/>
      </c>
      <c r="G2530" s="10" t="str">
        <v/>
      </c>
      <c r="H2530" s="11" t="str">
        <v/>
      </c>
      <c r="I2530" s="11" t="str">
        <v/>
      </c>
    </row>
    <row r="2531" spans="2:9">
      <c r="B2531" s="11" t="str">
        <f t="shared" si="201"/>
        <v/>
      </c>
      <c r="C2531" s="11" t="str">
        <f t="shared" si="204"/>
        <v/>
      </c>
      <c r="D2531" s="11" t="str">
        <f t="shared" si="205"/>
        <v/>
      </c>
      <c r="E2531" s="11" t="str">
        <f t="shared" si="202"/>
        <v/>
      </c>
      <c r="F2531" s="11" t="str">
        <f t="shared" si="203"/>
        <v/>
      </c>
      <c r="G2531" s="10" t="str">
        <v/>
      </c>
      <c r="H2531" s="11" t="str">
        <v/>
      </c>
      <c r="I2531" s="11" t="str">
        <v/>
      </c>
    </row>
    <row r="2532" spans="2:9">
      <c r="B2532" s="11" t="str">
        <f t="shared" si="201"/>
        <v/>
      </c>
      <c r="C2532" s="11" t="str">
        <f t="shared" si="204"/>
        <v/>
      </c>
      <c r="D2532" s="11" t="str">
        <f t="shared" si="205"/>
        <v/>
      </c>
      <c r="E2532" s="11" t="str">
        <f t="shared" si="202"/>
        <v/>
      </c>
      <c r="F2532" s="11" t="str">
        <f t="shared" si="203"/>
        <v/>
      </c>
      <c r="G2532" s="10" t="str">
        <v/>
      </c>
      <c r="H2532" s="11" t="str">
        <v/>
      </c>
      <c r="I2532" s="11" t="str">
        <v/>
      </c>
    </row>
    <row r="2533" spans="2:9">
      <c r="B2533" s="11" t="str">
        <f t="shared" si="201"/>
        <v/>
      </c>
      <c r="C2533" s="11" t="str">
        <f t="shared" si="204"/>
        <v/>
      </c>
      <c r="D2533" s="11" t="str">
        <f t="shared" si="205"/>
        <v/>
      </c>
      <c r="E2533" s="11" t="str">
        <f t="shared" si="202"/>
        <v/>
      </c>
      <c r="F2533" s="11" t="str">
        <f t="shared" si="203"/>
        <v/>
      </c>
      <c r="G2533" s="10" t="str">
        <v/>
      </c>
      <c r="H2533" s="11" t="str">
        <v/>
      </c>
      <c r="I2533" s="11" t="str">
        <v/>
      </c>
    </row>
    <row r="2534" spans="2:9">
      <c r="B2534" s="11" t="str">
        <f t="shared" si="201"/>
        <v/>
      </c>
      <c r="C2534" s="11" t="str">
        <f t="shared" si="204"/>
        <v/>
      </c>
      <c r="D2534" s="11" t="str">
        <f t="shared" si="205"/>
        <v/>
      </c>
      <c r="E2534" s="11" t="str">
        <f t="shared" si="202"/>
        <v/>
      </c>
      <c r="F2534" s="11" t="str">
        <f t="shared" si="203"/>
        <v/>
      </c>
      <c r="G2534" s="10" t="str">
        <v/>
      </c>
      <c r="H2534" s="11" t="str">
        <v/>
      </c>
      <c r="I2534" s="11" t="str">
        <v/>
      </c>
    </row>
    <row r="2535" spans="2:9">
      <c r="B2535" s="11" t="str">
        <f t="shared" si="201"/>
        <v/>
      </c>
      <c r="C2535" s="11" t="str">
        <f t="shared" si="204"/>
        <v/>
      </c>
      <c r="D2535" s="11" t="str">
        <f t="shared" si="205"/>
        <v/>
      </c>
      <c r="E2535" s="11" t="str">
        <f t="shared" si="202"/>
        <v/>
      </c>
      <c r="F2535" s="11" t="str">
        <f t="shared" si="203"/>
        <v/>
      </c>
      <c r="G2535" s="10" t="str">
        <v/>
      </c>
      <c r="H2535" s="11" t="str">
        <v/>
      </c>
      <c r="I2535" s="11" t="str">
        <v/>
      </c>
    </row>
    <row r="2536" spans="2:9">
      <c r="B2536" s="11" t="str">
        <f t="shared" si="201"/>
        <v/>
      </c>
      <c r="C2536" s="11" t="str">
        <f t="shared" si="204"/>
        <v/>
      </c>
      <c r="D2536" s="11" t="str">
        <f t="shared" si="205"/>
        <v/>
      </c>
      <c r="E2536" s="11" t="str">
        <f t="shared" si="202"/>
        <v/>
      </c>
      <c r="F2536" s="11" t="str">
        <f t="shared" si="203"/>
        <v/>
      </c>
      <c r="G2536" s="10" t="str">
        <v/>
      </c>
      <c r="H2536" s="11" t="str">
        <v/>
      </c>
      <c r="I2536" s="11" t="str">
        <v/>
      </c>
    </row>
    <row r="2537" spans="2:9">
      <c r="B2537" s="11" t="str">
        <f t="shared" si="201"/>
        <v/>
      </c>
      <c r="C2537" s="11" t="str">
        <f t="shared" si="204"/>
        <v/>
      </c>
      <c r="D2537" s="11" t="str">
        <f t="shared" si="205"/>
        <v/>
      </c>
      <c r="E2537" s="11" t="str">
        <f t="shared" si="202"/>
        <v/>
      </c>
      <c r="F2537" s="11" t="str">
        <f t="shared" si="203"/>
        <v/>
      </c>
      <c r="G2537" s="10" t="str">
        <v/>
      </c>
      <c r="H2537" s="11" t="str">
        <v/>
      </c>
      <c r="I2537" s="11" t="str">
        <v/>
      </c>
    </row>
    <row r="2538" spans="2:9">
      <c r="B2538" s="11" t="str">
        <f t="shared" si="201"/>
        <v/>
      </c>
      <c r="C2538" s="11" t="str">
        <f t="shared" si="204"/>
        <v/>
      </c>
      <c r="D2538" s="11" t="str">
        <f t="shared" si="205"/>
        <v/>
      </c>
      <c r="E2538" s="11" t="str">
        <f t="shared" si="202"/>
        <v/>
      </c>
      <c r="F2538" s="11" t="str">
        <f t="shared" si="203"/>
        <v/>
      </c>
      <c r="G2538" s="10" t="str">
        <v/>
      </c>
      <c r="H2538" s="11" t="str">
        <v/>
      </c>
      <c r="I2538" s="11" t="str">
        <v/>
      </c>
    </row>
    <row r="2539" spans="2:9">
      <c r="B2539" s="11" t="str">
        <f t="shared" si="201"/>
        <v/>
      </c>
      <c r="C2539" s="11" t="str">
        <f t="shared" si="204"/>
        <v/>
      </c>
      <c r="D2539" s="11" t="str">
        <f t="shared" si="205"/>
        <v/>
      </c>
      <c r="E2539" s="11" t="str">
        <f t="shared" si="202"/>
        <v/>
      </c>
      <c r="F2539" s="11" t="str">
        <f t="shared" si="203"/>
        <v/>
      </c>
      <c r="G2539" s="10" t="str">
        <v/>
      </c>
      <c r="H2539" s="11" t="str">
        <v/>
      </c>
      <c r="I2539" s="11" t="str">
        <v/>
      </c>
    </row>
    <row r="2540" spans="2:9">
      <c r="B2540" s="11" t="str">
        <f t="shared" si="201"/>
        <v/>
      </c>
      <c r="C2540" s="11" t="str">
        <f t="shared" si="204"/>
        <v/>
      </c>
      <c r="D2540" s="11" t="str">
        <f t="shared" si="205"/>
        <v/>
      </c>
      <c r="E2540" s="11" t="str">
        <f t="shared" si="202"/>
        <v/>
      </c>
      <c r="F2540" s="11" t="str">
        <f t="shared" si="203"/>
        <v/>
      </c>
      <c r="G2540" s="10" t="str">
        <v/>
      </c>
      <c r="H2540" s="11" t="str">
        <v/>
      </c>
      <c r="I2540" s="11" t="str">
        <v/>
      </c>
    </row>
    <row r="2541" spans="2:9">
      <c r="B2541" s="11" t="str">
        <f t="shared" si="201"/>
        <v/>
      </c>
      <c r="C2541" s="11" t="str">
        <f t="shared" si="204"/>
        <v/>
      </c>
      <c r="D2541" s="11" t="str">
        <f t="shared" si="205"/>
        <v/>
      </c>
      <c r="E2541" s="11" t="str">
        <f t="shared" si="202"/>
        <v/>
      </c>
      <c r="F2541" s="11" t="str">
        <f t="shared" si="203"/>
        <v/>
      </c>
      <c r="G2541" s="10" t="str">
        <v/>
      </c>
      <c r="H2541" s="11" t="str">
        <v/>
      </c>
      <c r="I2541" s="11" t="str">
        <v/>
      </c>
    </row>
    <row r="2542" spans="2:9">
      <c r="B2542" s="11" t="str">
        <f t="shared" si="201"/>
        <v/>
      </c>
      <c r="C2542" s="11" t="str">
        <f t="shared" si="204"/>
        <v/>
      </c>
      <c r="D2542" s="11" t="str">
        <f t="shared" si="205"/>
        <v/>
      </c>
      <c r="E2542" s="11" t="str">
        <f t="shared" si="202"/>
        <v/>
      </c>
      <c r="F2542" s="11" t="str">
        <f t="shared" si="203"/>
        <v/>
      </c>
      <c r="G2542" s="10" t="str">
        <v/>
      </c>
      <c r="H2542" s="11" t="str">
        <v/>
      </c>
      <c r="I2542" s="11" t="str">
        <v/>
      </c>
    </row>
    <row r="2543" spans="2:9">
      <c r="B2543" s="11" t="str">
        <f t="shared" si="201"/>
        <v/>
      </c>
      <c r="C2543" s="11" t="str">
        <f t="shared" si="204"/>
        <v/>
      </c>
      <c r="D2543" s="11" t="str">
        <f t="shared" si="205"/>
        <v/>
      </c>
      <c r="E2543" s="11" t="str">
        <f t="shared" si="202"/>
        <v/>
      </c>
      <c r="F2543" s="11" t="str">
        <f t="shared" si="203"/>
        <v/>
      </c>
      <c r="G2543" s="10" t="str">
        <v/>
      </c>
      <c r="H2543" s="11" t="str">
        <v/>
      </c>
      <c r="I2543" s="11" t="str">
        <v/>
      </c>
    </row>
    <row r="2544" spans="2:9">
      <c r="B2544" s="11" t="str">
        <f t="shared" si="201"/>
        <v/>
      </c>
      <c r="C2544" s="11" t="str">
        <f t="shared" si="204"/>
        <v/>
      </c>
      <c r="D2544" s="11" t="str">
        <f t="shared" si="205"/>
        <v/>
      </c>
      <c r="E2544" s="11" t="str">
        <f t="shared" si="202"/>
        <v/>
      </c>
      <c r="F2544" s="11" t="str">
        <f t="shared" si="203"/>
        <v/>
      </c>
      <c r="G2544" s="10" t="str">
        <v/>
      </c>
      <c r="H2544" s="11" t="str">
        <v/>
      </c>
      <c r="I2544" s="11" t="str">
        <v/>
      </c>
    </row>
    <row r="2545" spans="2:9">
      <c r="B2545" s="11" t="str">
        <f t="shared" si="201"/>
        <v/>
      </c>
      <c r="C2545" s="11" t="str">
        <f t="shared" si="204"/>
        <v/>
      </c>
      <c r="D2545" s="11" t="str">
        <f t="shared" si="205"/>
        <v/>
      </c>
      <c r="E2545" s="11" t="str">
        <f t="shared" si="202"/>
        <v/>
      </c>
      <c r="F2545" s="11" t="str">
        <f t="shared" si="203"/>
        <v/>
      </c>
      <c r="G2545" s="10" t="str">
        <v/>
      </c>
      <c r="H2545" s="11" t="str">
        <v/>
      </c>
      <c r="I2545" s="11" t="str">
        <v/>
      </c>
    </row>
    <row r="2546" spans="2:9">
      <c r="B2546" s="11" t="str">
        <f t="shared" si="201"/>
        <v/>
      </c>
      <c r="C2546" s="11" t="str">
        <f t="shared" si="204"/>
        <v/>
      </c>
      <c r="D2546" s="11" t="str">
        <f t="shared" si="205"/>
        <v/>
      </c>
      <c r="E2546" s="11" t="str">
        <f t="shared" si="202"/>
        <v/>
      </c>
      <c r="F2546" s="11" t="str">
        <f t="shared" si="203"/>
        <v/>
      </c>
      <c r="G2546" s="10" t="str">
        <v/>
      </c>
      <c r="H2546" s="11" t="str">
        <v/>
      </c>
      <c r="I2546" s="11" t="str">
        <v/>
      </c>
    </row>
    <row r="2547" spans="2:9">
      <c r="B2547" s="11" t="str">
        <f t="shared" si="201"/>
        <v/>
      </c>
      <c r="C2547" s="11" t="str">
        <f t="shared" si="204"/>
        <v/>
      </c>
      <c r="D2547" s="11" t="str">
        <f t="shared" si="205"/>
        <v/>
      </c>
      <c r="E2547" s="11" t="str">
        <f t="shared" si="202"/>
        <v/>
      </c>
      <c r="F2547" s="11" t="str">
        <f t="shared" si="203"/>
        <v/>
      </c>
      <c r="G2547" s="10" t="str">
        <v/>
      </c>
      <c r="H2547" s="11" t="str">
        <v/>
      </c>
      <c r="I2547" s="11" t="str">
        <v/>
      </c>
    </row>
    <row r="2548" spans="2:9">
      <c r="B2548" s="11" t="str">
        <f t="shared" si="201"/>
        <v/>
      </c>
      <c r="C2548" s="11" t="str">
        <f t="shared" si="204"/>
        <v/>
      </c>
      <c r="D2548" s="11" t="str">
        <f t="shared" si="205"/>
        <v/>
      </c>
      <c r="E2548" s="11" t="str">
        <f t="shared" si="202"/>
        <v/>
      </c>
      <c r="F2548" s="11" t="str">
        <f t="shared" si="203"/>
        <v/>
      </c>
      <c r="G2548" s="10" t="str">
        <v/>
      </c>
      <c r="H2548" s="11" t="str">
        <v/>
      </c>
      <c r="I2548" s="11" t="str">
        <v/>
      </c>
    </row>
    <row r="2549" spans="2:9">
      <c r="B2549" s="11" t="str">
        <f t="shared" si="201"/>
        <v/>
      </c>
      <c r="C2549" s="11" t="str">
        <f t="shared" si="204"/>
        <v/>
      </c>
      <c r="D2549" s="11" t="str">
        <f t="shared" si="205"/>
        <v/>
      </c>
      <c r="E2549" s="11" t="str">
        <f t="shared" si="202"/>
        <v/>
      </c>
      <c r="F2549" s="11" t="str">
        <f t="shared" si="203"/>
        <v/>
      </c>
      <c r="G2549" s="10" t="str">
        <v/>
      </c>
      <c r="H2549" s="11" t="str">
        <v/>
      </c>
      <c r="I2549" s="11" t="str">
        <v/>
      </c>
    </row>
    <row r="2550" spans="2:9">
      <c r="B2550" s="11" t="str">
        <f t="shared" si="201"/>
        <v/>
      </c>
      <c r="C2550" s="11" t="str">
        <f t="shared" si="204"/>
        <v/>
      </c>
      <c r="D2550" s="11" t="str">
        <f t="shared" si="205"/>
        <v/>
      </c>
      <c r="E2550" s="11" t="str">
        <f t="shared" si="202"/>
        <v/>
      </c>
      <c r="F2550" s="11" t="str">
        <f t="shared" si="203"/>
        <v/>
      </c>
      <c r="G2550" s="10" t="str">
        <v/>
      </c>
      <c r="H2550" s="11" t="str">
        <v/>
      </c>
      <c r="I2550" s="11" t="str">
        <v/>
      </c>
    </row>
    <row r="2551" spans="2:9">
      <c r="B2551" s="11" t="str">
        <f t="shared" si="201"/>
        <v/>
      </c>
      <c r="C2551" s="11" t="str">
        <f t="shared" si="204"/>
        <v/>
      </c>
      <c r="D2551" s="11" t="str">
        <f t="shared" si="205"/>
        <v/>
      </c>
      <c r="E2551" s="11" t="str">
        <f t="shared" si="202"/>
        <v/>
      </c>
      <c r="F2551" s="11" t="str">
        <f t="shared" si="203"/>
        <v/>
      </c>
      <c r="G2551" s="10" t="str">
        <v/>
      </c>
      <c r="H2551" s="11" t="str">
        <v/>
      </c>
      <c r="I2551" s="11" t="str">
        <v/>
      </c>
    </row>
    <row r="2552" spans="2:9">
      <c r="B2552" s="11" t="str">
        <f t="shared" si="201"/>
        <v/>
      </c>
      <c r="C2552" s="11" t="str">
        <f t="shared" si="204"/>
        <v/>
      </c>
      <c r="D2552" s="11" t="str">
        <f t="shared" si="205"/>
        <v/>
      </c>
      <c r="E2552" s="11" t="str">
        <f t="shared" si="202"/>
        <v/>
      </c>
      <c r="F2552" s="11" t="str">
        <f t="shared" si="203"/>
        <v/>
      </c>
      <c r="G2552" s="10" t="str">
        <v/>
      </c>
      <c r="H2552" s="11" t="str">
        <v/>
      </c>
      <c r="I2552" s="11" t="str">
        <v/>
      </c>
    </row>
    <row r="2553" spans="2:9">
      <c r="B2553" s="11" t="str">
        <f t="shared" si="201"/>
        <v/>
      </c>
      <c r="C2553" s="11" t="str">
        <f t="shared" si="204"/>
        <v/>
      </c>
      <c r="D2553" s="11" t="str">
        <f t="shared" si="205"/>
        <v/>
      </c>
      <c r="E2553" s="11" t="str">
        <f t="shared" si="202"/>
        <v/>
      </c>
      <c r="F2553" s="11" t="str">
        <f t="shared" si="203"/>
        <v/>
      </c>
      <c r="G2553" s="10" t="str">
        <v/>
      </c>
      <c r="H2553" s="11" t="str">
        <v/>
      </c>
      <c r="I2553" s="11" t="str">
        <v/>
      </c>
    </row>
    <row r="2554" spans="2:9">
      <c r="B2554" s="11" t="str">
        <f t="shared" si="201"/>
        <v/>
      </c>
      <c r="C2554" s="11" t="str">
        <f t="shared" si="204"/>
        <v/>
      </c>
      <c r="D2554" s="11" t="str">
        <f t="shared" si="205"/>
        <v/>
      </c>
      <c r="E2554" s="11" t="str">
        <f t="shared" si="202"/>
        <v/>
      </c>
      <c r="F2554" s="11" t="str">
        <f t="shared" si="203"/>
        <v/>
      </c>
      <c r="G2554" s="10" t="str">
        <v/>
      </c>
      <c r="H2554" s="11" t="str">
        <v/>
      </c>
      <c r="I2554" s="11" t="str">
        <v/>
      </c>
    </row>
    <row r="2555" spans="2:9">
      <c r="B2555" s="11" t="str">
        <f t="shared" si="201"/>
        <v/>
      </c>
      <c r="C2555" s="11" t="str">
        <f t="shared" si="204"/>
        <v/>
      </c>
      <c r="D2555" s="11" t="str">
        <f t="shared" si="205"/>
        <v/>
      </c>
      <c r="E2555" s="11" t="str">
        <f t="shared" si="202"/>
        <v/>
      </c>
      <c r="F2555" s="11" t="str">
        <f t="shared" si="203"/>
        <v/>
      </c>
      <c r="G2555" s="10" t="str">
        <v/>
      </c>
      <c r="H2555" s="11" t="str">
        <v/>
      </c>
      <c r="I2555" s="11" t="str">
        <v/>
      </c>
    </row>
    <row r="2556" spans="2:9">
      <c r="B2556" s="11" t="str">
        <f t="shared" si="201"/>
        <v/>
      </c>
      <c r="C2556" s="11" t="str">
        <f t="shared" si="204"/>
        <v/>
      </c>
      <c r="D2556" s="11" t="str">
        <f t="shared" si="205"/>
        <v/>
      </c>
      <c r="E2556" s="11" t="str">
        <f t="shared" si="202"/>
        <v/>
      </c>
      <c r="F2556" s="11" t="str">
        <f t="shared" si="203"/>
        <v/>
      </c>
      <c r="G2556" s="10" t="str">
        <v/>
      </c>
      <c r="H2556" s="11" t="str">
        <v/>
      </c>
      <c r="I2556" s="11" t="str">
        <v/>
      </c>
    </row>
    <row r="2557" spans="2:9">
      <c r="B2557" s="11" t="str">
        <f t="shared" si="201"/>
        <v/>
      </c>
      <c r="C2557" s="11" t="str">
        <f t="shared" si="204"/>
        <v/>
      </c>
      <c r="D2557" s="11" t="str">
        <f t="shared" si="205"/>
        <v/>
      </c>
      <c r="E2557" s="11" t="str">
        <f t="shared" si="202"/>
        <v/>
      </c>
      <c r="F2557" s="11" t="str">
        <f t="shared" si="203"/>
        <v/>
      </c>
      <c r="G2557" s="10" t="str">
        <v/>
      </c>
      <c r="H2557" s="11" t="str">
        <v/>
      </c>
      <c r="I2557" s="11" t="str">
        <v/>
      </c>
    </row>
    <row r="2558" spans="2:9">
      <c r="B2558" s="11" t="str">
        <f t="shared" si="201"/>
        <v/>
      </c>
      <c r="C2558" s="11" t="str">
        <f t="shared" si="204"/>
        <v/>
      </c>
      <c r="D2558" s="11" t="str">
        <f t="shared" si="205"/>
        <v/>
      </c>
      <c r="E2558" s="11" t="str">
        <f t="shared" si="202"/>
        <v/>
      </c>
      <c r="F2558" s="11" t="str">
        <f t="shared" si="203"/>
        <v/>
      </c>
      <c r="G2558" s="10" t="str">
        <v/>
      </c>
      <c r="H2558" s="11" t="str">
        <v/>
      </c>
      <c r="I2558" s="11" t="str">
        <v/>
      </c>
    </row>
    <row r="2559" spans="2:9">
      <c r="B2559" s="11" t="str">
        <f t="shared" si="201"/>
        <v/>
      </c>
      <c r="C2559" s="11" t="str">
        <f t="shared" si="204"/>
        <v/>
      </c>
      <c r="D2559" s="11" t="str">
        <f t="shared" si="205"/>
        <v/>
      </c>
      <c r="E2559" s="11" t="str">
        <f t="shared" si="202"/>
        <v/>
      </c>
      <c r="F2559" s="11" t="str">
        <f t="shared" si="203"/>
        <v/>
      </c>
      <c r="G2559" s="10" t="str">
        <v/>
      </c>
      <c r="H2559" s="11" t="str">
        <v/>
      </c>
      <c r="I2559" s="11" t="str">
        <v/>
      </c>
    </row>
    <row r="2560" spans="2:9">
      <c r="B2560" s="11" t="str">
        <f t="shared" si="201"/>
        <v/>
      </c>
      <c r="C2560" s="11" t="str">
        <f t="shared" si="204"/>
        <v/>
      </c>
      <c r="D2560" s="11" t="str">
        <f t="shared" si="205"/>
        <v/>
      </c>
      <c r="E2560" s="11" t="str">
        <f t="shared" si="202"/>
        <v/>
      </c>
      <c r="F2560" s="11" t="str">
        <f t="shared" si="203"/>
        <v/>
      </c>
      <c r="G2560" s="10" t="str">
        <v/>
      </c>
      <c r="H2560" s="11" t="str">
        <v/>
      </c>
      <c r="I2560" s="11" t="str">
        <v/>
      </c>
    </row>
    <row r="2561" spans="2:9">
      <c r="B2561" s="11" t="str">
        <f t="shared" ref="B2561:B2624" si="206">IFERROR(IF(FIND(" ",A2561)=6,IF(IFERROR(FIND(" PB",A2561),"")&lt;&gt;"","артикул",IF(IFERROR(FIND(" CRN",A2561),"")&lt;&gt;"","артикул","")),""),"")</f>
        <v/>
      </c>
      <c r="C2561" s="11" t="str">
        <f t="shared" si="204"/>
        <v/>
      </c>
      <c r="D2561" s="11" t="str">
        <f t="shared" si="205"/>
        <v/>
      </c>
      <c r="E2561" s="11" t="str">
        <f t="shared" si="202"/>
        <v/>
      </c>
      <c r="F2561" s="11" t="str">
        <f t="shared" si="203"/>
        <v/>
      </c>
      <c r="G2561" s="10" t="str">
        <v/>
      </c>
      <c r="H2561" s="11" t="str">
        <v/>
      </c>
      <c r="I2561" s="11" t="str">
        <v/>
      </c>
    </row>
    <row r="2562" spans="2:9">
      <c r="B2562" s="11" t="str">
        <f t="shared" si="206"/>
        <v/>
      </c>
      <c r="C2562" s="11" t="str">
        <f t="shared" si="204"/>
        <v/>
      </c>
      <c r="D2562" s="11" t="str">
        <f t="shared" si="205"/>
        <v/>
      </c>
      <c r="E2562" s="11" t="str">
        <f t="shared" ref="E2562:E2625" si="207" xml:space="preserve">
IF(B2562="Артикул",
IF(
AND(RIGHT(A2563,1)="%",
RIGHT(A2564,1)="%",
RIGHT(A2565,1)="%",
RIGHT(A2566,1)="%"),MID(A2567,FIND(" ",A2567),50),
IF(
AND(RIGHT(A2563,1)="%",
RIGHT(A2564,1)="%",
RIGHT(A2565,1)="%"),MID(A2566,FIND(" ",A2566),50),
IF(
AND(RIGHT(A2563,1)="%",
RIGHT(A2564,1)="%"),
MID(A2565,FIND(" ",A2565),50),
IF(
RIGHT(A2563,1)="%",
MID(A2564,FIND(" ",A2564),50),"")))),"")</f>
        <v/>
      </c>
      <c r="F2562" s="11" t="str">
        <f t="shared" ref="F2562:F2625" si="208">IFERROR(
IF(
AND(LEFT(A2562,8)="Discount",FIND("%",A2562)&gt;0),
MID(A2562,
FIND(" ",A2562),
FIND("%",A2562)-FIND(" ",A2562))
*-1,""),"")</f>
        <v/>
      </c>
      <c r="G2562" s="10" t="str">
        <v/>
      </c>
      <c r="H2562" s="11" t="str">
        <v/>
      </c>
      <c r="I2562" s="11" t="str">
        <v/>
      </c>
    </row>
    <row r="2563" spans="2:9">
      <c r="B2563" s="11" t="str">
        <f t="shared" si="206"/>
        <v/>
      </c>
      <c r="C2563" s="11" t="str">
        <f t="shared" si="204"/>
        <v/>
      </c>
      <c r="D2563" s="11" t="str">
        <f t="shared" si="205"/>
        <v/>
      </c>
      <c r="E2563" s="11" t="str">
        <f t="shared" si="207"/>
        <v/>
      </c>
      <c r="F2563" s="11" t="str">
        <f t="shared" si="208"/>
        <v/>
      </c>
      <c r="G2563" s="10" t="str">
        <v/>
      </c>
      <c r="H2563" s="11" t="str">
        <v/>
      </c>
      <c r="I2563" s="11" t="str">
        <v/>
      </c>
    </row>
    <row r="2564" spans="2:9">
      <c r="B2564" s="11" t="str">
        <f t="shared" si="206"/>
        <v/>
      </c>
      <c r="C2564" s="11" t="str">
        <f t="shared" si="204"/>
        <v/>
      </c>
      <c r="D2564" s="11" t="str">
        <f t="shared" si="205"/>
        <v/>
      </c>
      <c r="E2564" s="11" t="str">
        <f t="shared" si="207"/>
        <v/>
      </c>
      <c r="F2564" s="11" t="str">
        <f t="shared" si="208"/>
        <v/>
      </c>
      <c r="G2564" s="10" t="str">
        <v/>
      </c>
      <c r="H2564" s="11" t="str">
        <v/>
      </c>
      <c r="I2564" s="11" t="str">
        <v/>
      </c>
    </row>
    <row r="2565" spans="2:9">
      <c r="B2565" s="11" t="str">
        <f t="shared" si="206"/>
        <v/>
      </c>
      <c r="C2565" s="11" t="str">
        <f t="shared" si="204"/>
        <v/>
      </c>
      <c r="D2565" s="11" t="str">
        <f t="shared" si="205"/>
        <v/>
      </c>
      <c r="E2565" s="11" t="str">
        <f t="shared" si="207"/>
        <v/>
      </c>
      <c r="F2565" s="11" t="str">
        <f t="shared" si="208"/>
        <v/>
      </c>
      <c r="G2565" s="10" t="str">
        <v/>
      </c>
      <c r="H2565" s="11" t="str">
        <v/>
      </c>
      <c r="I2565" s="11" t="str">
        <v/>
      </c>
    </row>
    <row r="2566" spans="2:9">
      <c r="B2566" s="11" t="str">
        <f t="shared" si="206"/>
        <v/>
      </c>
      <c r="C2566" s="11" t="str">
        <f t="shared" si="204"/>
        <v/>
      </c>
      <c r="D2566" s="11" t="str">
        <f t="shared" si="205"/>
        <v/>
      </c>
      <c r="E2566" s="11" t="str">
        <f t="shared" si="207"/>
        <v/>
      </c>
      <c r="F2566" s="11" t="str">
        <f t="shared" si="208"/>
        <v/>
      </c>
      <c r="G2566" s="10" t="str">
        <v/>
      </c>
      <c r="H2566" s="11" t="str">
        <v/>
      </c>
      <c r="I2566" s="11" t="str">
        <v/>
      </c>
    </row>
    <row r="2567" spans="2:9">
      <c r="B2567" s="11" t="str">
        <f t="shared" si="206"/>
        <v/>
      </c>
      <c r="C2567" s="11" t="str">
        <f t="shared" si="204"/>
        <v/>
      </c>
      <c r="D2567" s="11" t="str">
        <f t="shared" si="205"/>
        <v/>
      </c>
      <c r="E2567" s="11" t="str">
        <f t="shared" si="207"/>
        <v/>
      </c>
      <c r="F2567" s="11" t="str">
        <f t="shared" si="208"/>
        <v/>
      </c>
      <c r="G2567" s="10" t="str">
        <v/>
      </c>
      <c r="H2567" s="11" t="str">
        <v/>
      </c>
      <c r="I2567" s="11" t="str">
        <v/>
      </c>
    </row>
    <row r="2568" spans="2:9">
      <c r="B2568" s="11" t="str">
        <f t="shared" si="206"/>
        <v/>
      </c>
      <c r="C2568" s="11" t="str">
        <f t="shared" si="204"/>
        <v/>
      </c>
      <c r="D2568" s="11" t="str">
        <f t="shared" si="205"/>
        <v/>
      </c>
      <c r="E2568" s="11" t="str">
        <f t="shared" si="207"/>
        <v/>
      </c>
      <c r="F2568" s="11" t="str">
        <f t="shared" si="208"/>
        <v/>
      </c>
      <c r="G2568" s="10" t="str">
        <v/>
      </c>
      <c r="H2568" s="11" t="str">
        <v/>
      </c>
      <c r="I2568" s="11" t="str">
        <v/>
      </c>
    </row>
    <row r="2569" spans="2:9">
      <c r="B2569" s="11" t="str">
        <f t="shared" si="206"/>
        <v/>
      </c>
      <c r="C2569" s="11" t="str">
        <f t="shared" si="204"/>
        <v/>
      </c>
      <c r="D2569" s="11" t="str">
        <f t="shared" si="205"/>
        <v/>
      </c>
      <c r="E2569" s="11" t="str">
        <f t="shared" si="207"/>
        <v/>
      </c>
      <c r="F2569" s="11" t="str">
        <f t="shared" si="208"/>
        <v/>
      </c>
      <c r="G2569" s="10" t="str">
        <v/>
      </c>
      <c r="H2569" s="11" t="str">
        <v/>
      </c>
      <c r="I2569" s="11" t="str">
        <v/>
      </c>
    </row>
    <row r="2570" spans="2:9">
      <c r="B2570" s="11" t="str">
        <f t="shared" si="206"/>
        <v/>
      </c>
      <c r="C2570" s="11" t="str">
        <f t="shared" si="204"/>
        <v/>
      </c>
      <c r="D2570" s="11" t="str">
        <f t="shared" si="205"/>
        <v/>
      </c>
      <c r="E2570" s="11" t="str">
        <f t="shared" si="207"/>
        <v/>
      </c>
      <c r="F2570" s="11" t="str">
        <f t="shared" si="208"/>
        <v/>
      </c>
      <c r="G2570" s="10" t="str">
        <v/>
      </c>
      <c r="H2570" s="11" t="str">
        <v/>
      </c>
      <c r="I2570" s="11" t="str">
        <v/>
      </c>
    </row>
    <row r="2571" spans="2:9">
      <c r="B2571" s="11" t="str">
        <f t="shared" si="206"/>
        <v/>
      </c>
      <c r="C2571" s="11" t="str">
        <f t="shared" si="204"/>
        <v/>
      </c>
      <c r="D2571" s="11" t="str">
        <f t="shared" si="205"/>
        <v/>
      </c>
      <c r="E2571" s="11" t="str">
        <f t="shared" si="207"/>
        <v/>
      </c>
      <c r="F2571" s="11" t="str">
        <f t="shared" si="208"/>
        <v/>
      </c>
      <c r="G2571" s="10" t="str">
        <v/>
      </c>
      <c r="H2571" s="11" t="str">
        <v/>
      </c>
      <c r="I2571" s="11" t="str">
        <v/>
      </c>
    </row>
    <row r="2572" spans="2:9">
      <c r="B2572" s="11" t="str">
        <f t="shared" si="206"/>
        <v/>
      </c>
      <c r="C2572" s="11" t="str">
        <f t="shared" si="204"/>
        <v/>
      </c>
      <c r="D2572" s="11" t="str">
        <f t="shared" si="205"/>
        <v/>
      </c>
      <c r="E2572" s="11" t="str">
        <f t="shared" si="207"/>
        <v/>
      </c>
      <c r="F2572" s="11" t="str">
        <f t="shared" si="208"/>
        <v/>
      </c>
      <c r="G2572" s="10" t="str">
        <v/>
      </c>
      <c r="H2572" s="11" t="str">
        <v/>
      </c>
      <c r="I2572" s="11" t="str">
        <v/>
      </c>
    </row>
    <row r="2573" spans="2:9">
      <c r="B2573" s="11" t="str">
        <f t="shared" si="206"/>
        <v/>
      </c>
      <c r="C2573" s="11" t="str">
        <f t="shared" ref="C2573:C2636" si="209">IF(B2573="артикул",A2573,"")</f>
        <v/>
      </c>
      <c r="D2573" s="11" t="str">
        <f t="shared" ref="D2573:D2636" si="210">IF(B2573="артикул",A2574,"")</f>
        <v/>
      </c>
      <c r="E2573" s="11" t="str">
        <f t="shared" si="207"/>
        <v/>
      </c>
      <c r="F2573" s="11" t="str">
        <f t="shared" si="208"/>
        <v/>
      </c>
      <c r="G2573" s="10" t="str">
        <v/>
      </c>
      <c r="H2573" s="11" t="str">
        <v/>
      </c>
      <c r="I2573" s="11" t="str">
        <v/>
      </c>
    </row>
    <row r="2574" spans="2:9">
      <c r="B2574" s="11" t="str">
        <f t="shared" si="206"/>
        <v/>
      </c>
      <c r="C2574" s="11" t="str">
        <f t="shared" si="209"/>
        <v/>
      </c>
      <c r="D2574" s="11" t="str">
        <f t="shared" si="210"/>
        <v/>
      </c>
      <c r="E2574" s="11" t="str">
        <f t="shared" si="207"/>
        <v/>
      </c>
      <c r="F2574" s="11" t="str">
        <f t="shared" si="208"/>
        <v/>
      </c>
      <c r="G2574" s="10" t="str">
        <v/>
      </c>
      <c r="H2574" s="11" t="str">
        <v/>
      </c>
      <c r="I2574" s="11" t="str">
        <v/>
      </c>
    </row>
    <row r="2575" spans="2:9">
      <c r="B2575" s="11" t="str">
        <f t="shared" si="206"/>
        <v/>
      </c>
      <c r="C2575" s="11" t="str">
        <f t="shared" si="209"/>
        <v/>
      </c>
      <c r="D2575" s="11" t="str">
        <f t="shared" si="210"/>
        <v/>
      </c>
      <c r="E2575" s="11" t="str">
        <f t="shared" si="207"/>
        <v/>
      </c>
      <c r="F2575" s="11" t="str">
        <f t="shared" si="208"/>
        <v/>
      </c>
      <c r="G2575" s="10" t="str">
        <v/>
      </c>
      <c r="H2575" s="11" t="str">
        <v/>
      </c>
      <c r="I2575" s="11" t="str">
        <v/>
      </c>
    </row>
    <row r="2576" spans="2:9">
      <c r="B2576" s="11" t="str">
        <f t="shared" si="206"/>
        <v/>
      </c>
      <c r="C2576" s="11" t="str">
        <f t="shared" si="209"/>
        <v/>
      </c>
      <c r="D2576" s="11" t="str">
        <f t="shared" si="210"/>
        <v/>
      </c>
      <c r="E2576" s="11" t="str">
        <f t="shared" si="207"/>
        <v/>
      </c>
      <c r="F2576" s="11" t="str">
        <f t="shared" si="208"/>
        <v/>
      </c>
      <c r="G2576" s="10" t="str">
        <v/>
      </c>
      <c r="H2576" s="11" t="str">
        <v/>
      </c>
      <c r="I2576" s="11" t="str">
        <v/>
      </c>
    </row>
    <row r="2577" spans="2:9">
      <c r="B2577" s="11" t="str">
        <f t="shared" si="206"/>
        <v/>
      </c>
      <c r="C2577" s="11" t="str">
        <f t="shared" si="209"/>
        <v/>
      </c>
      <c r="D2577" s="11" t="str">
        <f t="shared" si="210"/>
        <v/>
      </c>
      <c r="E2577" s="11" t="str">
        <f t="shared" si="207"/>
        <v/>
      </c>
      <c r="F2577" s="11" t="str">
        <f t="shared" si="208"/>
        <v/>
      </c>
      <c r="G2577" s="10" t="str">
        <v/>
      </c>
      <c r="H2577" s="11" t="str">
        <v/>
      </c>
      <c r="I2577" s="11" t="str">
        <v/>
      </c>
    </row>
    <row r="2578" spans="2:9">
      <c r="B2578" s="11" t="str">
        <f t="shared" si="206"/>
        <v/>
      </c>
      <c r="C2578" s="11" t="str">
        <f t="shared" si="209"/>
        <v/>
      </c>
      <c r="D2578" s="11" t="str">
        <f t="shared" si="210"/>
        <v/>
      </c>
      <c r="E2578" s="11" t="str">
        <f t="shared" si="207"/>
        <v/>
      </c>
      <c r="F2578" s="11" t="str">
        <f t="shared" si="208"/>
        <v/>
      </c>
      <c r="G2578" s="10" t="str">
        <v/>
      </c>
      <c r="H2578" s="11" t="str">
        <v/>
      </c>
      <c r="I2578" s="11" t="str">
        <v/>
      </c>
    </row>
    <row r="2579" spans="2:9">
      <c r="B2579" s="11" t="str">
        <f t="shared" si="206"/>
        <v/>
      </c>
      <c r="C2579" s="11" t="str">
        <f t="shared" si="209"/>
        <v/>
      </c>
      <c r="D2579" s="11" t="str">
        <f t="shared" si="210"/>
        <v/>
      </c>
      <c r="E2579" s="11" t="str">
        <f t="shared" si="207"/>
        <v/>
      </c>
      <c r="F2579" s="11" t="str">
        <f t="shared" si="208"/>
        <v/>
      </c>
      <c r="G2579" s="10" t="str">
        <v/>
      </c>
      <c r="H2579" s="11" t="str">
        <v/>
      </c>
      <c r="I2579" s="11" t="str">
        <v/>
      </c>
    </row>
    <row r="2580" spans="2:9">
      <c r="B2580" s="11" t="str">
        <f t="shared" si="206"/>
        <v/>
      </c>
      <c r="C2580" s="11" t="str">
        <f t="shared" si="209"/>
        <v/>
      </c>
      <c r="D2580" s="11" t="str">
        <f t="shared" si="210"/>
        <v/>
      </c>
      <c r="E2580" s="11" t="str">
        <f t="shared" si="207"/>
        <v/>
      </c>
      <c r="F2580" s="11" t="str">
        <f t="shared" si="208"/>
        <v/>
      </c>
      <c r="G2580" s="10" t="str">
        <v/>
      </c>
      <c r="H2580" s="11" t="str">
        <v/>
      </c>
      <c r="I2580" s="11" t="str">
        <v/>
      </c>
    </row>
    <row r="2581" spans="2:9">
      <c r="B2581" s="11" t="str">
        <f t="shared" si="206"/>
        <v/>
      </c>
      <c r="C2581" s="11" t="str">
        <f t="shared" si="209"/>
        <v/>
      </c>
      <c r="D2581" s="11" t="str">
        <f t="shared" si="210"/>
        <v/>
      </c>
      <c r="E2581" s="11" t="str">
        <f t="shared" si="207"/>
        <v/>
      </c>
      <c r="F2581" s="11" t="str">
        <f t="shared" si="208"/>
        <v/>
      </c>
      <c r="G2581" s="10" t="str">
        <v/>
      </c>
      <c r="H2581" s="11" t="str">
        <v/>
      </c>
      <c r="I2581" s="11" t="str">
        <v/>
      </c>
    </row>
    <row r="2582" spans="2:9">
      <c r="B2582" s="11" t="str">
        <f t="shared" si="206"/>
        <v/>
      </c>
      <c r="C2582" s="11" t="str">
        <f t="shared" si="209"/>
        <v/>
      </c>
      <c r="D2582" s="11" t="str">
        <f t="shared" si="210"/>
        <v/>
      </c>
      <c r="E2582" s="11" t="str">
        <f t="shared" si="207"/>
        <v/>
      </c>
      <c r="F2582" s="11" t="str">
        <f t="shared" si="208"/>
        <v/>
      </c>
      <c r="G2582" s="10" t="str">
        <v/>
      </c>
      <c r="H2582" s="11" t="str">
        <v/>
      </c>
      <c r="I2582" s="11" t="str">
        <v/>
      </c>
    </row>
    <row r="2583" spans="2:9">
      <c r="B2583" s="11" t="str">
        <f t="shared" si="206"/>
        <v/>
      </c>
      <c r="C2583" s="11" t="str">
        <f t="shared" si="209"/>
        <v/>
      </c>
      <c r="D2583" s="11" t="str">
        <f t="shared" si="210"/>
        <v/>
      </c>
      <c r="E2583" s="11" t="str">
        <f t="shared" si="207"/>
        <v/>
      </c>
      <c r="F2583" s="11" t="str">
        <f t="shared" si="208"/>
        <v/>
      </c>
      <c r="G2583" s="10" t="str">
        <v/>
      </c>
      <c r="H2583" s="11" t="str">
        <v/>
      </c>
      <c r="I2583" s="11" t="str">
        <v/>
      </c>
    </row>
    <row r="2584" spans="2:9">
      <c r="B2584" s="11" t="str">
        <f t="shared" si="206"/>
        <v/>
      </c>
      <c r="C2584" s="11" t="str">
        <f t="shared" si="209"/>
        <v/>
      </c>
      <c r="D2584" s="11" t="str">
        <f t="shared" si="210"/>
        <v/>
      </c>
      <c r="E2584" s="11" t="str">
        <f t="shared" si="207"/>
        <v/>
      </c>
      <c r="F2584" s="11" t="str">
        <f t="shared" si="208"/>
        <v/>
      </c>
      <c r="G2584" s="10" t="str">
        <v/>
      </c>
      <c r="H2584" s="11" t="str">
        <v/>
      </c>
      <c r="I2584" s="11" t="str">
        <v/>
      </c>
    </row>
    <row r="2585" spans="2:9">
      <c r="B2585" s="11" t="str">
        <f t="shared" si="206"/>
        <v/>
      </c>
      <c r="C2585" s="11" t="str">
        <f t="shared" si="209"/>
        <v/>
      </c>
      <c r="D2585" s="11" t="str">
        <f t="shared" si="210"/>
        <v/>
      </c>
      <c r="E2585" s="11" t="str">
        <f t="shared" si="207"/>
        <v/>
      </c>
      <c r="F2585" s="11" t="str">
        <f t="shared" si="208"/>
        <v/>
      </c>
      <c r="G2585" s="10" t="str">
        <v/>
      </c>
      <c r="H2585" s="11" t="str">
        <v/>
      </c>
      <c r="I2585" s="11" t="str">
        <v/>
      </c>
    </row>
    <row r="2586" spans="2:9">
      <c r="B2586" s="11" t="str">
        <f t="shared" si="206"/>
        <v/>
      </c>
      <c r="C2586" s="11" t="str">
        <f t="shared" si="209"/>
        <v/>
      </c>
      <c r="D2586" s="11" t="str">
        <f t="shared" si="210"/>
        <v/>
      </c>
      <c r="E2586" s="11" t="str">
        <f t="shared" si="207"/>
        <v/>
      </c>
      <c r="F2586" s="11" t="str">
        <f t="shared" si="208"/>
        <v/>
      </c>
      <c r="G2586" s="10" t="str">
        <v/>
      </c>
      <c r="H2586" s="11" t="str">
        <v/>
      </c>
      <c r="I2586" s="11" t="str">
        <v/>
      </c>
    </row>
    <row r="2587" spans="2:9">
      <c r="B2587" s="11" t="str">
        <f t="shared" si="206"/>
        <v/>
      </c>
      <c r="C2587" s="11" t="str">
        <f t="shared" si="209"/>
        <v/>
      </c>
      <c r="D2587" s="11" t="str">
        <f t="shared" si="210"/>
        <v/>
      </c>
      <c r="E2587" s="11" t="str">
        <f t="shared" si="207"/>
        <v/>
      </c>
      <c r="F2587" s="11" t="str">
        <f t="shared" si="208"/>
        <v/>
      </c>
      <c r="G2587" s="10" t="str">
        <v/>
      </c>
      <c r="H2587" s="11" t="str">
        <v/>
      </c>
      <c r="I2587" s="11" t="str">
        <v/>
      </c>
    </row>
    <row r="2588" spans="2:9">
      <c r="B2588" s="11" t="str">
        <f t="shared" si="206"/>
        <v/>
      </c>
      <c r="C2588" s="11" t="str">
        <f t="shared" si="209"/>
        <v/>
      </c>
      <c r="D2588" s="11" t="str">
        <f t="shared" si="210"/>
        <v/>
      </c>
      <c r="E2588" s="11" t="str">
        <f t="shared" si="207"/>
        <v/>
      </c>
      <c r="F2588" s="11" t="str">
        <f t="shared" si="208"/>
        <v/>
      </c>
      <c r="G2588" s="10" t="str">
        <v/>
      </c>
      <c r="H2588" s="11" t="str">
        <v/>
      </c>
      <c r="I2588" s="11" t="str">
        <v/>
      </c>
    </row>
    <row r="2589" spans="2:9">
      <c r="B2589" s="11" t="str">
        <f t="shared" si="206"/>
        <v/>
      </c>
      <c r="C2589" s="11" t="str">
        <f t="shared" si="209"/>
        <v/>
      </c>
      <c r="D2589" s="11" t="str">
        <f t="shared" si="210"/>
        <v/>
      </c>
      <c r="E2589" s="11" t="str">
        <f t="shared" si="207"/>
        <v/>
      </c>
      <c r="F2589" s="11" t="str">
        <f t="shared" si="208"/>
        <v/>
      </c>
      <c r="G2589" s="10" t="str">
        <v/>
      </c>
      <c r="H2589" s="11" t="str">
        <v/>
      </c>
      <c r="I2589" s="11" t="str">
        <v/>
      </c>
    </row>
    <row r="2590" spans="2:9">
      <c r="B2590" s="11" t="str">
        <f t="shared" si="206"/>
        <v/>
      </c>
      <c r="C2590" s="11" t="str">
        <f t="shared" si="209"/>
        <v/>
      </c>
      <c r="D2590" s="11" t="str">
        <f t="shared" si="210"/>
        <v/>
      </c>
      <c r="E2590" s="11" t="str">
        <f t="shared" si="207"/>
        <v/>
      </c>
      <c r="F2590" s="11" t="str">
        <f t="shared" si="208"/>
        <v/>
      </c>
      <c r="G2590" s="10" t="str">
        <v/>
      </c>
      <c r="H2590" s="11" t="str">
        <v/>
      </c>
      <c r="I2590" s="11" t="str">
        <v/>
      </c>
    </row>
    <row r="2591" spans="2:9">
      <c r="B2591" s="11" t="str">
        <f t="shared" si="206"/>
        <v/>
      </c>
      <c r="C2591" s="11" t="str">
        <f t="shared" si="209"/>
        <v/>
      </c>
      <c r="D2591" s="11" t="str">
        <f t="shared" si="210"/>
        <v/>
      </c>
      <c r="E2591" s="11" t="str">
        <f t="shared" si="207"/>
        <v/>
      </c>
      <c r="F2591" s="11" t="str">
        <f t="shared" si="208"/>
        <v/>
      </c>
      <c r="G2591" s="10" t="str">
        <v/>
      </c>
      <c r="H2591" s="11" t="str">
        <v/>
      </c>
      <c r="I2591" s="11" t="str">
        <v/>
      </c>
    </row>
    <row r="2592" spans="2:9">
      <c r="B2592" s="11" t="str">
        <f t="shared" si="206"/>
        <v/>
      </c>
      <c r="C2592" s="11" t="str">
        <f t="shared" si="209"/>
        <v/>
      </c>
      <c r="D2592" s="11" t="str">
        <f t="shared" si="210"/>
        <v/>
      </c>
      <c r="E2592" s="11" t="str">
        <f t="shared" si="207"/>
        <v/>
      </c>
      <c r="F2592" s="11" t="str">
        <f t="shared" si="208"/>
        <v/>
      </c>
      <c r="G2592" s="10" t="str">
        <v/>
      </c>
      <c r="H2592" s="11" t="str">
        <v/>
      </c>
      <c r="I2592" s="11" t="str">
        <v/>
      </c>
    </row>
    <row r="2593" spans="2:9">
      <c r="B2593" s="11" t="str">
        <f t="shared" si="206"/>
        <v/>
      </c>
      <c r="C2593" s="11" t="str">
        <f t="shared" si="209"/>
        <v/>
      </c>
      <c r="D2593" s="11" t="str">
        <f t="shared" si="210"/>
        <v/>
      </c>
      <c r="E2593" s="11" t="str">
        <f t="shared" si="207"/>
        <v/>
      </c>
      <c r="F2593" s="11" t="str">
        <f t="shared" si="208"/>
        <v/>
      </c>
      <c r="G2593" s="10" t="str">
        <v/>
      </c>
      <c r="H2593" s="11" t="str">
        <v/>
      </c>
      <c r="I2593" s="11" t="str">
        <v/>
      </c>
    </row>
    <row r="2594" spans="2:9">
      <c r="B2594" s="11" t="str">
        <f t="shared" si="206"/>
        <v/>
      </c>
      <c r="C2594" s="11" t="str">
        <f t="shared" si="209"/>
        <v/>
      </c>
      <c r="D2594" s="11" t="str">
        <f t="shared" si="210"/>
        <v/>
      </c>
      <c r="E2594" s="11" t="str">
        <f t="shared" si="207"/>
        <v/>
      </c>
      <c r="F2594" s="11" t="str">
        <f t="shared" si="208"/>
        <v/>
      </c>
      <c r="G2594" s="10" t="str">
        <v/>
      </c>
      <c r="H2594" s="11" t="str">
        <v/>
      </c>
      <c r="I2594" s="11" t="str">
        <v/>
      </c>
    </row>
    <row r="2595" spans="2:9">
      <c r="B2595" s="11" t="str">
        <f t="shared" si="206"/>
        <v/>
      </c>
      <c r="C2595" s="11" t="str">
        <f t="shared" si="209"/>
        <v/>
      </c>
      <c r="D2595" s="11" t="str">
        <f t="shared" si="210"/>
        <v/>
      </c>
      <c r="E2595" s="11" t="str">
        <f t="shared" si="207"/>
        <v/>
      </c>
      <c r="F2595" s="11" t="str">
        <f t="shared" si="208"/>
        <v/>
      </c>
      <c r="G2595" s="10" t="str">
        <v/>
      </c>
      <c r="H2595" s="11" t="str">
        <v/>
      </c>
      <c r="I2595" s="11" t="str">
        <v/>
      </c>
    </row>
    <row r="2596" spans="2:9">
      <c r="B2596" s="11" t="str">
        <f t="shared" si="206"/>
        <v/>
      </c>
      <c r="C2596" s="11" t="str">
        <f t="shared" si="209"/>
        <v/>
      </c>
      <c r="D2596" s="11" t="str">
        <f t="shared" si="210"/>
        <v/>
      </c>
      <c r="E2596" s="11" t="str">
        <f t="shared" si="207"/>
        <v/>
      </c>
      <c r="F2596" s="11" t="str">
        <f t="shared" si="208"/>
        <v/>
      </c>
      <c r="G2596" s="10" t="str">
        <v/>
      </c>
      <c r="H2596" s="11" t="str">
        <v/>
      </c>
      <c r="I2596" s="11" t="str">
        <v/>
      </c>
    </row>
    <row r="2597" spans="2:9">
      <c r="B2597" s="11" t="str">
        <f t="shared" si="206"/>
        <v/>
      </c>
      <c r="C2597" s="11" t="str">
        <f t="shared" si="209"/>
        <v/>
      </c>
      <c r="D2597" s="11" t="str">
        <f t="shared" si="210"/>
        <v/>
      </c>
      <c r="E2597" s="11" t="str">
        <f t="shared" si="207"/>
        <v/>
      </c>
      <c r="F2597" s="11" t="str">
        <f t="shared" si="208"/>
        <v/>
      </c>
      <c r="G2597" s="10" t="str">
        <v/>
      </c>
      <c r="H2597" s="11" t="str">
        <v/>
      </c>
      <c r="I2597" s="11" t="str">
        <v/>
      </c>
    </row>
    <row r="2598" spans="2:9">
      <c r="B2598" s="11" t="str">
        <f t="shared" si="206"/>
        <v/>
      </c>
      <c r="C2598" s="11" t="str">
        <f t="shared" si="209"/>
        <v/>
      </c>
      <c r="D2598" s="11" t="str">
        <f t="shared" si="210"/>
        <v/>
      </c>
      <c r="E2598" s="11" t="str">
        <f t="shared" si="207"/>
        <v/>
      </c>
      <c r="F2598" s="11" t="str">
        <f t="shared" si="208"/>
        <v/>
      </c>
      <c r="G2598" s="10" t="str">
        <v/>
      </c>
      <c r="H2598" s="11" t="str">
        <v/>
      </c>
      <c r="I2598" s="11" t="str">
        <v/>
      </c>
    </row>
    <row r="2599" spans="2:9">
      <c r="B2599" s="11" t="str">
        <f t="shared" si="206"/>
        <v/>
      </c>
      <c r="C2599" s="11" t="str">
        <f t="shared" si="209"/>
        <v/>
      </c>
      <c r="D2599" s="11" t="str">
        <f t="shared" si="210"/>
        <v/>
      </c>
      <c r="E2599" s="11" t="str">
        <f t="shared" si="207"/>
        <v/>
      </c>
      <c r="F2599" s="11" t="str">
        <f t="shared" si="208"/>
        <v/>
      </c>
      <c r="G2599" s="10" t="str">
        <v/>
      </c>
      <c r="H2599" s="11" t="str">
        <v/>
      </c>
      <c r="I2599" s="11" t="str">
        <v/>
      </c>
    </row>
    <row r="2600" spans="2:9">
      <c r="B2600" s="11" t="str">
        <f t="shared" si="206"/>
        <v/>
      </c>
      <c r="C2600" s="11" t="str">
        <f t="shared" si="209"/>
        <v/>
      </c>
      <c r="D2600" s="11" t="str">
        <f t="shared" si="210"/>
        <v/>
      </c>
      <c r="E2600" s="11" t="str">
        <f t="shared" si="207"/>
        <v/>
      </c>
      <c r="F2600" s="11" t="str">
        <f t="shared" si="208"/>
        <v/>
      </c>
      <c r="G2600" s="10" t="str">
        <v/>
      </c>
      <c r="H2600" s="11" t="str">
        <v/>
      </c>
      <c r="I2600" s="11" t="str">
        <v/>
      </c>
    </row>
    <row r="2601" spans="2:9">
      <c r="B2601" s="11" t="str">
        <f t="shared" si="206"/>
        <v/>
      </c>
      <c r="C2601" s="11" t="str">
        <f t="shared" si="209"/>
        <v/>
      </c>
      <c r="D2601" s="11" t="str">
        <f t="shared" si="210"/>
        <v/>
      </c>
      <c r="E2601" s="11" t="str">
        <f t="shared" si="207"/>
        <v/>
      </c>
      <c r="F2601" s="11" t="str">
        <f t="shared" si="208"/>
        <v/>
      </c>
      <c r="G2601" s="10" t="str">
        <v/>
      </c>
      <c r="H2601" s="11" t="str">
        <v/>
      </c>
      <c r="I2601" s="11" t="str">
        <v/>
      </c>
    </row>
    <row r="2602" spans="2:9">
      <c r="B2602" s="11" t="str">
        <f t="shared" si="206"/>
        <v/>
      </c>
      <c r="C2602" s="11" t="str">
        <f t="shared" si="209"/>
        <v/>
      </c>
      <c r="D2602" s="11" t="str">
        <f t="shared" si="210"/>
        <v/>
      </c>
      <c r="E2602" s="11" t="str">
        <f t="shared" si="207"/>
        <v/>
      </c>
      <c r="F2602" s="11" t="str">
        <f t="shared" si="208"/>
        <v/>
      </c>
      <c r="G2602" s="10" t="str">
        <v/>
      </c>
      <c r="H2602" s="11" t="str">
        <v/>
      </c>
      <c r="I2602" s="11" t="str">
        <v/>
      </c>
    </row>
    <row r="2603" spans="2:9">
      <c r="B2603" s="11" t="str">
        <f t="shared" si="206"/>
        <v/>
      </c>
      <c r="C2603" s="11" t="str">
        <f t="shared" si="209"/>
        <v/>
      </c>
      <c r="D2603" s="11" t="str">
        <f t="shared" si="210"/>
        <v/>
      </c>
      <c r="E2603" s="11" t="str">
        <f t="shared" si="207"/>
        <v/>
      </c>
      <c r="F2603" s="11" t="str">
        <f t="shared" si="208"/>
        <v/>
      </c>
      <c r="G2603" s="10" t="str">
        <v/>
      </c>
      <c r="H2603" s="11" t="str">
        <v/>
      </c>
      <c r="I2603" s="11" t="str">
        <v/>
      </c>
    </row>
    <row r="2604" spans="2:9">
      <c r="B2604" s="11" t="str">
        <f t="shared" si="206"/>
        <v/>
      </c>
      <c r="C2604" s="11" t="str">
        <f t="shared" si="209"/>
        <v/>
      </c>
      <c r="D2604" s="11" t="str">
        <f t="shared" si="210"/>
        <v/>
      </c>
      <c r="E2604" s="11" t="str">
        <f t="shared" si="207"/>
        <v/>
      </c>
      <c r="F2604" s="11" t="str">
        <f t="shared" si="208"/>
        <v/>
      </c>
      <c r="G2604" s="10" t="str">
        <v/>
      </c>
      <c r="H2604" s="11" t="str">
        <v/>
      </c>
      <c r="I2604" s="11" t="str">
        <v/>
      </c>
    </row>
    <row r="2605" spans="2:9">
      <c r="B2605" s="11" t="str">
        <f t="shared" si="206"/>
        <v/>
      </c>
      <c r="C2605" s="11" t="str">
        <f t="shared" si="209"/>
        <v/>
      </c>
      <c r="D2605" s="11" t="str">
        <f t="shared" si="210"/>
        <v/>
      </c>
      <c r="E2605" s="11" t="str">
        <f t="shared" si="207"/>
        <v/>
      </c>
      <c r="F2605" s="11" t="str">
        <f t="shared" si="208"/>
        <v/>
      </c>
      <c r="G2605" s="10" t="str">
        <v/>
      </c>
      <c r="H2605" s="11" t="str">
        <v/>
      </c>
      <c r="I2605" s="11" t="str">
        <v/>
      </c>
    </row>
    <row r="2606" spans="2:9">
      <c r="B2606" s="11" t="str">
        <f t="shared" si="206"/>
        <v/>
      </c>
      <c r="C2606" s="11" t="str">
        <f t="shared" si="209"/>
        <v/>
      </c>
      <c r="D2606" s="11" t="str">
        <f t="shared" si="210"/>
        <v/>
      </c>
      <c r="E2606" s="11" t="str">
        <f t="shared" si="207"/>
        <v/>
      </c>
      <c r="F2606" s="11" t="str">
        <f t="shared" si="208"/>
        <v/>
      </c>
      <c r="G2606" s="10" t="str">
        <v/>
      </c>
      <c r="H2606" s="11" t="str">
        <v/>
      </c>
      <c r="I2606" s="11" t="str">
        <v/>
      </c>
    </row>
    <row r="2607" spans="2:9">
      <c r="B2607" s="11" t="str">
        <f t="shared" si="206"/>
        <v/>
      </c>
      <c r="C2607" s="11" t="str">
        <f t="shared" si="209"/>
        <v/>
      </c>
      <c r="D2607" s="11" t="str">
        <f t="shared" si="210"/>
        <v/>
      </c>
      <c r="E2607" s="11" t="str">
        <f t="shared" si="207"/>
        <v/>
      </c>
      <c r="F2607" s="11" t="str">
        <f t="shared" si="208"/>
        <v/>
      </c>
      <c r="G2607" s="10" t="str">
        <v/>
      </c>
      <c r="H2607" s="11" t="str">
        <v/>
      </c>
      <c r="I2607" s="11" t="str">
        <v/>
      </c>
    </row>
    <row r="2608" spans="2:9">
      <c r="B2608" s="11" t="str">
        <f t="shared" si="206"/>
        <v/>
      </c>
      <c r="C2608" s="11" t="str">
        <f t="shared" si="209"/>
        <v/>
      </c>
      <c r="D2608" s="11" t="str">
        <f t="shared" si="210"/>
        <v/>
      </c>
      <c r="E2608" s="11" t="str">
        <f t="shared" si="207"/>
        <v/>
      </c>
      <c r="F2608" s="11" t="str">
        <f t="shared" si="208"/>
        <v/>
      </c>
      <c r="G2608" s="10" t="str">
        <v/>
      </c>
      <c r="H2608" s="11" t="str">
        <v/>
      </c>
      <c r="I2608" s="11" t="str">
        <v/>
      </c>
    </row>
    <row r="2609" spans="2:9">
      <c r="B2609" s="11" t="str">
        <f t="shared" si="206"/>
        <v/>
      </c>
      <c r="C2609" s="11" t="str">
        <f t="shared" si="209"/>
        <v/>
      </c>
      <c r="D2609" s="11" t="str">
        <f t="shared" si="210"/>
        <v/>
      </c>
      <c r="E2609" s="11" t="str">
        <f t="shared" si="207"/>
        <v/>
      </c>
      <c r="F2609" s="11" t="str">
        <f t="shared" si="208"/>
        <v/>
      </c>
      <c r="G2609" s="10" t="str">
        <v/>
      </c>
      <c r="H2609" s="11" t="str">
        <v/>
      </c>
      <c r="I2609" s="11" t="str">
        <v/>
      </c>
    </row>
    <row r="2610" spans="2:9">
      <c r="B2610" s="11" t="str">
        <f t="shared" si="206"/>
        <v/>
      </c>
      <c r="C2610" s="11" t="str">
        <f t="shared" si="209"/>
        <v/>
      </c>
      <c r="D2610" s="11" t="str">
        <f t="shared" si="210"/>
        <v/>
      </c>
      <c r="E2610" s="11" t="str">
        <f t="shared" si="207"/>
        <v/>
      </c>
      <c r="F2610" s="11" t="str">
        <f t="shared" si="208"/>
        <v/>
      </c>
      <c r="G2610" s="10" t="str">
        <v/>
      </c>
      <c r="H2610" s="11" t="str">
        <v/>
      </c>
      <c r="I2610" s="11" t="str">
        <v/>
      </c>
    </row>
    <row r="2611" spans="2:9">
      <c r="B2611" s="11" t="str">
        <f t="shared" si="206"/>
        <v/>
      </c>
      <c r="C2611" s="11" t="str">
        <f t="shared" si="209"/>
        <v/>
      </c>
      <c r="D2611" s="11" t="str">
        <f t="shared" si="210"/>
        <v/>
      </c>
      <c r="E2611" s="11" t="str">
        <f t="shared" si="207"/>
        <v/>
      </c>
      <c r="F2611" s="11" t="str">
        <f t="shared" si="208"/>
        <v/>
      </c>
      <c r="G2611" s="10" t="str">
        <v/>
      </c>
      <c r="H2611" s="11" t="str">
        <v/>
      </c>
      <c r="I2611" s="11" t="str">
        <v/>
      </c>
    </row>
    <row r="2612" spans="2:9">
      <c r="B2612" s="11" t="str">
        <f t="shared" si="206"/>
        <v/>
      </c>
      <c r="C2612" s="11" t="str">
        <f t="shared" si="209"/>
        <v/>
      </c>
      <c r="D2612" s="11" t="str">
        <f t="shared" si="210"/>
        <v/>
      </c>
      <c r="E2612" s="11" t="str">
        <f t="shared" si="207"/>
        <v/>
      </c>
      <c r="F2612" s="11" t="str">
        <f t="shared" si="208"/>
        <v/>
      </c>
      <c r="G2612" s="10" t="str">
        <v/>
      </c>
      <c r="H2612" s="11" t="str">
        <v/>
      </c>
      <c r="I2612" s="11" t="str">
        <v/>
      </c>
    </row>
    <row r="2613" spans="2:9">
      <c r="B2613" s="11" t="str">
        <f t="shared" si="206"/>
        <v/>
      </c>
      <c r="C2613" s="11" t="str">
        <f t="shared" si="209"/>
        <v/>
      </c>
      <c r="D2613" s="11" t="str">
        <f t="shared" si="210"/>
        <v/>
      </c>
      <c r="E2613" s="11" t="str">
        <f t="shared" si="207"/>
        <v/>
      </c>
      <c r="F2613" s="11" t="str">
        <f t="shared" si="208"/>
        <v/>
      </c>
      <c r="G2613" s="10" t="str">
        <v/>
      </c>
      <c r="H2613" s="11" t="str">
        <v/>
      </c>
      <c r="I2613" s="11" t="str">
        <v/>
      </c>
    </row>
    <row r="2614" spans="2:9">
      <c r="B2614" s="11" t="str">
        <f t="shared" si="206"/>
        <v/>
      </c>
      <c r="C2614" s="11" t="str">
        <f t="shared" si="209"/>
        <v/>
      </c>
      <c r="D2614" s="11" t="str">
        <f t="shared" si="210"/>
        <v/>
      </c>
      <c r="E2614" s="11" t="str">
        <f t="shared" si="207"/>
        <v/>
      </c>
      <c r="F2614" s="11" t="str">
        <f t="shared" si="208"/>
        <v/>
      </c>
      <c r="G2614" s="10" t="str">
        <v/>
      </c>
      <c r="H2614" s="11" t="str">
        <v/>
      </c>
      <c r="I2614" s="11" t="str">
        <v/>
      </c>
    </row>
    <row r="2615" spans="2:9">
      <c r="B2615" s="11" t="str">
        <f t="shared" si="206"/>
        <v/>
      </c>
      <c r="C2615" s="11" t="str">
        <f t="shared" si="209"/>
        <v/>
      </c>
      <c r="D2615" s="11" t="str">
        <f t="shared" si="210"/>
        <v/>
      </c>
      <c r="E2615" s="11" t="str">
        <f t="shared" si="207"/>
        <v/>
      </c>
      <c r="F2615" s="11" t="str">
        <f t="shared" si="208"/>
        <v/>
      </c>
      <c r="G2615" s="10" t="str">
        <v/>
      </c>
      <c r="H2615" s="11" t="str">
        <v/>
      </c>
      <c r="I2615" s="11" t="str">
        <v/>
      </c>
    </row>
    <row r="2616" spans="2:9">
      <c r="B2616" s="11" t="str">
        <f t="shared" si="206"/>
        <v/>
      </c>
      <c r="C2616" s="11" t="str">
        <f t="shared" si="209"/>
        <v/>
      </c>
      <c r="D2616" s="11" t="str">
        <f t="shared" si="210"/>
        <v/>
      </c>
      <c r="E2616" s="11" t="str">
        <f t="shared" si="207"/>
        <v/>
      </c>
      <c r="F2616" s="11" t="str">
        <f t="shared" si="208"/>
        <v/>
      </c>
      <c r="G2616" s="10" t="str">
        <v/>
      </c>
      <c r="H2616" s="11" t="str">
        <v/>
      </c>
      <c r="I2616" s="11" t="str">
        <v/>
      </c>
    </row>
    <row r="2617" spans="2:9">
      <c r="B2617" s="11" t="str">
        <f t="shared" si="206"/>
        <v/>
      </c>
      <c r="C2617" s="11" t="str">
        <f t="shared" si="209"/>
        <v/>
      </c>
      <c r="D2617" s="11" t="str">
        <f t="shared" si="210"/>
        <v/>
      </c>
      <c r="E2617" s="11" t="str">
        <f t="shared" si="207"/>
        <v/>
      </c>
      <c r="F2617" s="11" t="str">
        <f t="shared" si="208"/>
        <v/>
      </c>
      <c r="G2617" s="10" t="str">
        <v/>
      </c>
      <c r="H2617" s="11" t="str">
        <v/>
      </c>
      <c r="I2617" s="11" t="str">
        <v/>
      </c>
    </row>
    <row r="2618" spans="2:9">
      <c r="B2618" s="11" t="str">
        <f t="shared" si="206"/>
        <v/>
      </c>
      <c r="C2618" s="11" t="str">
        <f t="shared" si="209"/>
        <v/>
      </c>
      <c r="D2618" s="11" t="str">
        <f t="shared" si="210"/>
        <v/>
      </c>
      <c r="E2618" s="11" t="str">
        <f t="shared" si="207"/>
        <v/>
      </c>
      <c r="F2618" s="11" t="str">
        <f t="shared" si="208"/>
        <v/>
      </c>
      <c r="G2618" s="10" t="str">
        <v/>
      </c>
      <c r="H2618" s="11" t="str">
        <v/>
      </c>
      <c r="I2618" s="11" t="str">
        <v/>
      </c>
    </row>
    <row r="2619" spans="2:9">
      <c r="B2619" s="11" t="str">
        <f t="shared" si="206"/>
        <v/>
      </c>
      <c r="C2619" s="11" t="str">
        <f t="shared" si="209"/>
        <v/>
      </c>
      <c r="D2619" s="11" t="str">
        <f t="shared" si="210"/>
        <v/>
      </c>
      <c r="E2619" s="11" t="str">
        <f t="shared" si="207"/>
        <v/>
      </c>
      <c r="F2619" s="11" t="str">
        <f t="shared" si="208"/>
        <v/>
      </c>
      <c r="G2619" s="10" t="str">
        <v/>
      </c>
      <c r="H2619" s="11" t="str">
        <v/>
      </c>
      <c r="I2619" s="11" t="str">
        <v/>
      </c>
    </row>
    <row r="2620" spans="2:9">
      <c r="B2620" s="11" t="str">
        <f t="shared" si="206"/>
        <v/>
      </c>
      <c r="C2620" s="11" t="str">
        <f t="shared" si="209"/>
        <v/>
      </c>
      <c r="D2620" s="11" t="str">
        <f t="shared" si="210"/>
        <v/>
      </c>
      <c r="E2620" s="11" t="str">
        <f t="shared" si="207"/>
        <v/>
      </c>
      <c r="F2620" s="11" t="str">
        <f t="shared" si="208"/>
        <v/>
      </c>
      <c r="G2620" s="10" t="str">
        <v/>
      </c>
      <c r="H2620" s="11" t="str">
        <v/>
      </c>
      <c r="I2620" s="11" t="str">
        <v/>
      </c>
    </row>
    <row r="2621" spans="2:9">
      <c r="B2621" s="11" t="str">
        <f t="shared" si="206"/>
        <v/>
      </c>
      <c r="C2621" s="11" t="str">
        <f t="shared" si="209"/>
        <v/>
      </c>
      <c r="D2621" s="11" t="str">
        <f t="shared" si="210"/>
        <v/>
      </c>
      <c r="E2621" s="11" t="str">
        <f t="shared" si="207"/>
        <v/>
      </c>
      <c r="F2621" s="11" t="str">
        <f t="shared" si="208"/>
        <v/>
      </c>
      <c r="G2621" s="10" t="str">
        <v/>
      </c>
      <c r="H2621" s="11" t="str">
        <v/>
      </c>
      <c r="I2621" s="11" t="str">
        <v/>
      </c>
    </row>
    <row r="2622" spans="2:9">
      <c r="B2622" s="11" t="str">
        <f t="shared" si="206"/>
        <v/>
      </c>
      <c r="C2622" s="11" t="str">
        <f t="shared" si="209"/>
        <v/>
      </c>
      <c r="D2622" s="11" t="str">
        <f t="shared" si="210"/>
        <v/>
      </c>
      <c r="E2622" s="11" t="str">
        <f t="shared" si="207"/>
        <v/>
      </c>
      <c r="F2622" s="11" t="str">
        <f t="shared" si="208"/>
        <v/>
      </c>
      <c r="G2622" s="10" t="str">
        <v/>
      </c>
      <c r="H2622" s="11" t="str">
        <v/>
      </c>
      <c r="I2622" s="11" t="str">
        <v/>
      </c>
    </row>
    <row r="2623" spans="2:9">
      <c r="B2623" s="11" t="str">
        <f t="shared" si="206"/>
        <v/>
      </c>
      <c r="C2623" s="11" t="str">
        <f t="shared" si="209"/>
        <v/>
      </c>
      <c r="D2623" s="11" t="str">
        <f t="shared" si="210"/>
        <v/>
      </c>
      <c r="E2623" s="11" t="str">
        <f t="shared" si="207"/>
        <v/>
      </c>
      <c r="F2623" s="11" t="str">
        <f t="shared" si="208"/>
        <v/>
      </c>
      <c r="G2623" s="10" t="str">
        <v/>
      </c>
      <c r="H2623" s="11" t="str">
        <v/>
      </c>
      <c r="I2623" s="11" t="str">
        <v/>
      </c>
    </row>
    <row r="2624" spans="2:9">
      <c r="B2624" s="11" t="str">
        <f t="shared" si="206"/>
        <v/>
      </c>
      <c r="C2624" s="11" t="str">
        <f t="shared" si="209"/>
        <v/>
      </c>
      <c r="D2624" s="11" t="str">
        <f t="shared" si="210"/>
        <v/>
      </c>
      <c r="E2624" s="11" t="str">
        <f t="shared" si="207"/>
        <v/>
      </c>
      <c r="F2624" s="11" t="str">
        <f t="shared" si="208"/>
        <v/>
      </c>
      <c r="G2624" s="10" t="str">
        <v/>
      </c>
      <c r="H2624" s="11" t="str">
        <v/>
      </c>
      <c r="I2624" s="11" t="str">
        <v/>
      </c>
    </row>
    <row r="2625" spans="2:9">
      <c r="B2625" s="11" t="str">
        <f t="shared" ref="B2625:B2688" si="211">IFERROR(IF(FIND(" ",A2625)=6,IF(IFERROR(FIND(" PB",A2625),"")&lt;&gt;"","артикул",IF(IFERROR(FIND(" CRN",A2625),"")&lt;&gt;"","артикул","")),""),"")</f>
        <v/>
      </c>
      <c r="C2625" s="11" t="str">
        <f t="shared" si="209"/>
        <v/>
      </c>
      <c r="D2625" s="11" t="str">
        <f t="shared" si="210"/>
        <v/>
      </c>
      <c r="E2625" s="11" t="str">
        <f t="shared" si="207"/>
        <v/>
      </c>
      <c r="F2625" s="11" t="str">
        <f t="shared" si="208"/>
        <v/>
      </c>
      <c r="G2625" s="10" t="str">
        <v/>
      </c>
      <c r="H2625" s="11" t="str">
        <v/>
      </c>
      <c r="I2625" s="11" t="str">
        <v/>
      </c>
    </row>
    <row r="2626" spans="2:9">
      <c r="B2626" s="11" t="str">
        <f t="shared" si="211"/>
        <v/>
      </c>
      <c r="C2626" s="11" t="str">
        <f t="shared" si="209"/>
        <v/>
      </c>
      <c r="D2626" s="11" t="str">
        <f t="shared" si="210"/>
        <v/>
      </c>
      <c r="E2626" s="11" t="str">
        <f t="shared" ref="E2626:E2689" si="212" xml:space="preserve">
IF(B2626="Артикул",
IF(
AND(RIGHT(A2627,1)="%",
RIGHT(A2628,1)="%",
RIGHT(A2629,1)="%",
RIGHT(A2630,1)="%"),MID(A2631,FIND(" ",A2631),50),
IF(
AND(RIGHT(A2627,1)="%",
RIGHT(A2628,1)="%",
RIGHT(A2629,1)="%"),MID(A2630,FIND(" ",A2630),50),
IF(
AND(RIGHT(A2627,1)="%",
RIGHT(A2628,1)="%"),
MID(A2629,FIND(" ",A2629),50),
IF(
RIGHT(A2627,1)="%",
MID(A2628,FIND(" ",A2628),50),"")))),"")</f>
        <v/>
      </c>
      <c r="F2626" s="11" t="str">
        <f t="shared" ref="F2626:F2689" si="213">IFERROR(
IF(
AND(LEFT(A2626,8)="Discount",FIND("%",A2626)&gt;0),
MID(A2626,
FIND(" ",A2626),
FIND("%",A2626)-FIND(" ",A2626))
*-1,""),"")</f>
        <v/>
      </c>
      <c r="G2626" s="10" t="str">
        <v/>
      </c>
      <c r="H2626" s="11" t="str">
        <v/>
      </c>
      <c r="I2626" s="11" t="str">
        <v/>
      </c>
    </row>
    <row r="2627" spans="2:9">
      <c r="B2627" s="11" t="str">
        <f t="shared" si="211"/>
        <v/>
      </c>
      <c r="C2627" s="11" t="str">
        <f t="shared" si="209"/>
        <v/>
      </c>
      <c r="D2627" s="11" t="str">
        <f t="shared" si="210"/>
        <v/>
      </c>
      <c r="E2627" s="11" t="str">
        <f t="shared" si="212"/>
        <v/>
      </c>
      <c r="F2627" s="11" t="str">
        <f t="shared" si="213"/>
        <v/>
      </c>
      <c r="G2627" s="10" t="str">
        <v/>
      </c>
      <c r="H2627" s="11" t="str">
        <v/>
      </c>
      <c r="I2627" s="11" t="str">
        <v/>
      </c>
    </row>
    <row r="2628" spans="2:9">
      <c r="B2628" s="11" t="str">
        <f t="shared" si="211"/>
        <v/>
      </c>
      <c r="C2628" s="11" t="str">
        <f t="shared" si="209"/>
        <v/>
      </c>
      <c r="D2628" s="11" t="str">
        <f t="shared" si="210"/>
        <v/>
      </c>
      <c r="E2628" s="11" t="str">
        <f t="shared" si="212"/>
        <v/>
      </c>
      <c r="F2628" s="11" t="str">
        <f t="shared" si="213"/>
        <v/>
      </c>
      <c r="G2628" s="10" t="str">
        <v/>
      </c>
      <c r="H2628" s="11" t="str">
        <v/>
      </c>
      <c r="I2628" s="11" t="str">
        <v/>
      </c>
    </row>
    <row r="2629" spans="2:9">
      <c r="B2629" s="11" t="str">
        <f t="shared" si="211"/>
        <v/>
      </c>
      <c r="C2629" s="11" t="str">
        <f t="shared" si="209"/>
        <v/>
      </c>
      <c r="D2629" s="11" t="str">
        <f t="shared" si="210"/>
        <v/>
      </c>
      <c r="E2629" s="11" t="str">
        <f t="shared" si="212"/>
        <v/>
      </c>
      <c r="F2629" s="11" t="str">
        <f t="shared" si="213"/>
        <v/>
      </c>
      <c r="G2629" s="10" t="str">
        <v/>
      </c>
      <c r="H2629" s="11" t="str">
        <v/>
      </c>
      <c r="I2629" s="11" t="str">
        <v/>
      </c>
    </row>
    <row r="2630" spans="2:9">
      <c r="B2630" s="11" t="str">
        <f t="shared" si="211"/>
        <v/>
      </c>
      <c r="C2630" s="11" t="str">
        <f t="shared" si="209"/>
        <v/>
      </c>
      <c r="D2630" s="11" t="str">
        <f t="shared" si="210"/>
        <v/>
      </c>
      <c r="E2630" s="11" t="str">
        <f t="shared" si="212"/>
        <v/>
      </c>
      <c r="F2630" s="11" t="str">
        <f t="shared" si="213"/>
        <v/>
      </c>
      <c r="G2630" s="10" t="str">
        <v/>
      </c>
      <c r="H2630" s="11" t="str">
        <v/>
      </c>
      <c r="I2630" s="11" t="str">
        <v/>
      </c>
    </row>
    <row r="2631" spans="2:9">
      <c r="B2631" s="11" t="str">
        <f t="shared" si="211"/>
        <v/>
      </c>
      <c r="C2631" s="11" t="str">
        <f t="shared" si="209"/>
        <v/>
      </c>
      <c r="D2631" s="11" t="str">
        <f t="shared" si="210"/>
        <v/>
      </c>
      <c r="E2631" s="11" t="str">
        <f t="shared" si="212"/>
        <v/>
      </c>
      <c r="F2631" s="11" t="str">
        <f t="shared" si="213"/>
        <v/>
      </c>
      <c r="G2631" s="10" t="str">
        <v/>
      </c>
      <c r="H2631" s="11" t="str">
        <v/>
      </c>
      <c r="I2631" s="11" t="str">
        <v/>
      </c>
    </row>
    <row r="2632" spans="2:9">
      <c r="B2632" s="11" t="str">
        <f t="shared" si="211"/>
        <v/>
      </c>
      <c r="C2632" s="11" t="str">
        <f t="shared" si="209"/>
        <v/>
      </c>
      <c r="D2632" s="11" t="str">
        <f t="shared" si="210"/>
        <v/>
      </c>
      <c r="E2632" s="11" t="str">
        <f t="shared" si="212"/>
        <v/>
      </c>
      <c r="F2632" s="11" t="str">
        <f t="shared" si="213"/>
        <v/>
      </c>
      <c r="G2632" s="10" t="str">
        <v/>
      </c>
      <c r="H2632" s="11" t="str">
        <v/>
      </c>
      <c r="I2632" s="11" t="str">
        <v/>
      </c>
    </row>
    <row r="2633" spans="2:9">
      <c r="B2633" s="11" t="str">
        <f t="shared" si="211"/>
        <v/>
      </c>
      <c r="C2633" s="11" t="str">
        <f t="shared" si="209"/>
        <v/>
      </c>
      <c r="D2633" s="11" t="str">
        <f t="shared" si="210"/>
        <v/>
      </c>
      <c r="E2633" s="11" t="str">
        <f t="shared" si="212"/>
        <v/>
      </c>
      <c r="F2633" s="11" t="str">
        <f t="shared" si="213"/>
        <v/>
      </c>
      <c r="G2633" s="10" t="str">
        <v/>
      </c>
      <c r="H2633" s="11" t="str">
        <v/>
      </c>
      <c r="I2633" s="11" t="str">
        <v/>
      </c>
    </row>
    <row r="2634" spans="2:9">
      <c r="B2634" s="11" t="str">
        <f t="shared" si="211"/>
        <v/>
      </c>
      <c r="C2634" s="11" t="str">
        <f t="shared" si="209"/>
        <v/>
      </c>
      <c r="D2634" s="11" t="str">
        <f t="shared" si="210"/>
        <v/>
      </c>
      <c r="E2634" s="11" t="str">
        <f t="shared" si="212"/>
        <v/>
      </c>
      <c r="F2634" s="11" t="str">
        <f t="shared" si="213"/>
        <v/>
      </c>
      <c r="G2634" s="10" t="str">
        <v/>
      </c>
      <c r="H2634" s="11" t="str">
        <v/>
      </c>
      <c r="I2634" s="11" t="str">
        <v/>
      </c>
    </row>
    <row r="2635" spans="2:9">
      <c r="B2635" s="11" t="str">
        <f t="shared" si="211"/>
        <v/>
      </c>
      <c r="C2635" s="11" t="str">
        <f t="shared" si="209"/>
        <v/>
      </c>
      <c r="D2635" s="11" t="str">
        <f t="shared" si="210"/>
        <v/>
      </c>
      <c r="E2635" s="11" t="str">
        <f t="shared" si="212"/>
        <v/>
      </c>
      <c r="F2635" s="11" t="str">
        <f t="shared" si="213"/>
        <v/>
      </c>
      <c r="G2635" s="10" t="str">
        <v/>
      </c>
      <c r="H2635" s="11" t="str">
        <v/>
      </c>
      <c r="I2635" s="11" t="str">
        <v/>
      </c>
    </row>
    <row r="2636" spans="2:9">
      <c r="B2636" s="11" t="str">
        <f t="shared" si="211"/>
        <v/>
      </c>
      <c r="C2636" s="11" t="str">
        <f t="shared" si="209"/>
        <v/>
      </c>
      <c r="D2636" s="11" t="str">
        <f t="shared" si="210"/>
        <v/>
      </c>
      <c r="E2636" s="11" t="str">
        <f t="shared" si="212"/>
        <v/>
      </c>
      <c r="F2636" s="11" t="str">
        <f t="shared" si="213"/>
        <v/>
      </c>
      <c r="G2636" s="10" t="str">
        <v/>
      </c>
      <c r="H2636" s="11" t="str">
        <v/>
      </c>
      <c r="I2636" s="11" t="str">
        <v/>
      </c>
    </row>
    <row r="2637" spans="2:9">
      <c r="B2637" s="11" t="str">
        <f t="shared" si="211"/>
        <v/>
      </c>
      <c r="C2637" s="11" t="str">
        <f t="shared" ref="C2637:C2700" si="214">IF(B2637="артикул",A2637,"")</f>
        <v/>
      </c>
      <c r="D2637" s="11" t="str">
        <f t="shared" ref="D2637:D2700" si="215">IF(B2637="артикул",A2638,"")</f>
        <v/>
      </c>
      <c r="E2637" s="11" t="str">
        <f t="shared" si="212"/>
        <v/>
      </c>
      <c r="F2637" s="11" t="str">
        <f t="shared" si="213"/>
        <v/>
      </c>
      <c r="G2637" s="10" t="str">
        <v/>
      </c>
      <c r="H2637" s="11" t="str">
        <v/>
      </c>
      <c r="I2637" s="11" t="str">
        <v/>
      </c>
    </row>
    <row r="2638" spans="2:9">
      <c r="B2638" s="11" t="str">
        <f t="shared" si="211"/>
        <v/>
      </c>
      <c r="C2638" s="11" t="str">
        <f t="shared" si="214"/>
        <v/>
      </c>
      <c r="D2638" s="11" t="str">
        <f t="shared" si="215"/>
        <v/>
      </c>
      <c r="E2638" s="11" t="str">
        <f t="shared" si="212"/>
        <v/>
      </c>
      <c r="F2638" s="11" t="str">
        <f t="shared" si="213"/>
        <v/>
      </c>
      <c r="G2638" s="10" t="str">
        <v/>
      </c>
      <c r="H2638" s="11" t="str">
        <v/>
      </c>
      <c r="I2638" s="11" t="str">
        <v/>
      </c>
    </row>
    <row r="2639" spans="2:9">
      <c r="B2639" s="11" t="str">
        <f t="shared" si="211"/>
        <v/>
      </c>
      <c r="C2639" s="11" t="str">
        <f t="shared" si="214"/>
        <v/>
      </c>
      <c r="D2639" s="11" t="str">
        <f t="shared" si="215"/>
        <v/>
      </c>
      <c r="E2639" s="11" t="str">
        <f t="shared" si="212"/>
        <v/>
      </c>
      <c r="F2639" s="11" t="str">
        <f t="shared" si="213"/>
        <v/>
      </c>
      <c r="G2639" s="10" t="str">
        <v/>
      </c>
      <c r="H2639" s="11" t="str">
        <v/>
      </c>
      <c r="I2639" s="11" t="str">
        <v/>
      </c>
    </row>
    <row r="2640" spans="2:9">
      <c r="B2640" s="11" t="str">
        <f t="shared" si="211"/>
        <v/>
      </c>
      <c r="C2640" s="11" t="str">
        <f t="shared" si="214"/>
        <v/>
      </c>
      <c r="D2640" s="11" t="str">
        <f t="shared" si="215"/>
        <v/>
      </c>
      <c r="E2640" s="11" t="str">
        <f t="shared" si="212"/>
        <v/>
      </c>
      <c r="F2640" s="11" t="str">
        <f t="shared" si="213"/>
        <v/>
      </c>
      <c r="G2640" s="10" t="str">
        <v/>
      </c>
      <c r="H2640" s="11" t="str">
        <v/>
      </c>
      <c r="I2640" s="11" t="str">
        <v/>
      </c>
    </row>
    <row r="2641" spans="2:9">
      <c r="B2641" s="11" t="str">
        <f t="shared" si="211"/>
        <v/>
      </c>
      <c r="C2641" s="11" t="str">
        <f t="shared" si="214"/>
        <v/>
      </c>
      <c r="D2641" s="11" t="str">
        <f t="shared" si="215"/>
        <v/>
      </c>
      <c r="E2641" s="11" t="str">
        <f t="shared" si="212"/>
        <v/>
      </c>
      <c r="F2641" s="11" t="str">
        <f t="shared" si="213"/>
        <v/>
      </c>
      <c r="G2641" s="10" t="str">
        <v/>
      </c>
      <c r="H2641" s="11" t="str">
        <v/>
      </c>
      <c r="I2641" s="11" t="str">
        <v/>
      </c>
    </row>
    <row r="2642" spans="2:9">
      <c r="B2642" s="11" t="str">
        <f t="shared" si="211"/>
        <v/>
      </c>
      <c r="C2642" s="11" t="str">
        <f t="shared" si="214"/>
        <v/>
      </c>
      <c r="D2642" s="11" t="str">
        <f t="shared" si="215"/>
        <v/>
      </c>
      <c r="E2642" s="11" t="str">
        <f t="shared" si="212"/>
        <v/>
      </c>
      <c r="F2642" s="11" t="str">
        <f t="shared" si="213"/>
        <v/>
      </c>
      <c r="G2642" s="10" t="str">
        <v/>
      </c>
      <c r="H2642" s="11" t="str">
        <v/>
      </c>
      <c r="I2642" s="11" t="str">
        <v/>
      </c>
    </row>
    <row r="2643" spans="2:9">
      <c r="B2643" s="11" t="str">
        <f t="shared" si="211"/>
        <v/>
      </c>
      <c r="C2643" s="11" t="str">
        <f t="shared" si="214"/>
        <v/>
      </c>
      <c r="D2643" s="11" t="str">
        <f t="shared" si="215"/>
        <v/>
      </c>
      <c r="E2643" s="11" t="str">
        <f t="shared" si="212"/>
        <v/>
      </c>
      <c r="F2643" s="11" t="str">
        <f t="shared" si="213"/>
        <v/>
      </c>
      <c r="G2643" s="10" t="str">
        <v/>
      </c>
      <c r="H2643" s="11" t="str">
        <v/>
      </c>
      <c r="I2643" s="11" t="str">
        <v/>
      </c>
    </row>
    <row r="2644" spans="2:9">
      <c r="B2644" s="11" t="str">
        <f t="shared" si="211"/>
        <v/>
      </c>
      <c r="C2644" s="11" t="str">
        <f t="shared" si="214"/>
        <v/>
      </c>
      <c r="D2644" s="11" t="str">
        <f t="shared" si="215"/>
        <v/>
      </c>
      <c r="E2644" s="11" t="str">
        <f t="shared" si="212"/>
        <v/>
      </c>
      <c r="F2644" s="11" t="str">
        <f t="shared" si="213"/>
        <v/>
      </c>
      <c r="G2644" s="10" t="str">
        <v/>
      </c>
      <c r="H2644" s="11" t="str">
        <v/>
      </c>
      <c r="I2644" s="11" t="str">
        <v/>
      </c>
    </row>
    <row r="2645" spans="2:9">
      <c r="B2645" s="11" t="str">
        <f t="shared" si="211"/>
        <v/>
      </c>
      <c r="C2645" s="11" t="str">
        <f t="shared" si="214"/>
        <v/>
      </c>
      <c r="D2645" s="11" t="str">
        <f t="shared" si="215"/>
        <v/>
      </c>
      <c r="E2645" s="11" t="str">
        <f t="shared" si="212"/>
        <v/>
      </c>
      <c r="F2645" s="11" t="str">
        <f t="shared" si="213"/>
        <v/>
      </c>
      <c r="G2645" s="10" t="str">
        <v/>
      </c>
      <c r="H2645" s="11" t="str">
        <v/>
      </c>
      <c r="I2645" s="11" t="str">
        <v/>
      </c>
    </row>
    <row r="2646" spans="2:9">
      <c r="B2646" s="11" t="str">
        <f t="shared" si="211"/>
        <v/>
      </c>
      <c r="C2646" s="11" t="str">
        <f t="shared" si="214"/>
        <v/>
      </c>
      <c r="D2646" s="11" t="str">
        <f t="shared" si="215"/>
        <v/>
      </c>
      <c r="E2646" s="11" t="str">
        <f t="shared" si="212"/>
        <v/>
      </c>
      <c r="F2646" s="11" t="str">
        <f t="shared" si="213"/>
        <v/>
      </c>
      <c r="G2646" s="10" t="str">
        <v/>
      </c>
      <c r="H2646" s="11" t="str">
        <v/>
      </c>
      <c r="I2646" s="11" t="str">
        <v/>
      </c>
    </row>
    <row r="2647" spans="2:9">
      <c r="B2647" s="11" t="str">
        <f t="shared" si="211"/>
        <v/>
      </c>
      <c r="C2647" s="11" t="str">
        <f t="shared" si="214"/>
        <v/>
      </c>
      <c r="D2647" s="11" t="str">
        <f t="shared" si="215"/>
        <v/>
      </c>
      <c r="E2647" s="11" t="str">
        <f t="shared" si="212"/>
        <v/>
      </c>
      <c r="F2647" s="11" t="str">
        <f t="shared" si="213"/>
        <v/>
      </c>
      <c r="G2647" s="10" t="str">
        <v/>
      </c>
      <c r="H2647" s="11" t="str">
        <v/>
      </c>
      <c r="I2647" s="11" t="str">
        <v/>
      </c>
    </row>
    <row r="2648" spans="2:9">
      <c r="B2648" s="11" t="str">
        <f t="shared" si="211"/>
        <v/>
      </c>
      <c r="C2648" s="11" t="str">
        <f t="shared" si="214"/>
        <v/>
      </c>
      <c r="D2648" s="11" t="str">
        <f t="shared" si="215"/>
        <v/>
      </c>
      <c r="E2648" s="11" t="str">
        <f t="shared" si="212"/>
        <v/>
      </c>
      <c r="F2648" s="11" t="str">
        <f t="shared" si="213"/>
        <v/>
      </c>
      <c r="G2648" s="10" t="str">
        <v/>
      </c>
      <c r="H2648" s="11" t="str">
        <v/>
      </c>
      <c r="I2648" s="11" t="str">
        <v/>
      </c>
    </row>
    <row r="2649" spans="2:9">
      <c r="B2649" s="11" t="str">
        <f t="shared" si="211"/>
        <v/>
      </c>
      <c r="C2649" s="11" t="str">
        <f t="shared" si="214"/>
        <v/>
      </c>
      <c r="D2649" s="11" t="str">
        <f t="shared" si="215"/>
        <v/>
      </c>
      <c r="E2649" s="11" t="str">
        <f t="shared" si="212"/>
        <v/>
      </c>
      <c r="F2649" s="11" t="str">
        <f t="shared" si="213"/>
        <v/>
      </c>
      <c r="G2649" s="10" t="str">
        <v/>
      </c>
      <c r="H2649" s="11" t="str">
        <v/>
      </c>
      <c r="I2649" s="11" t="str">
        <v/>
      </c>
    </row>
    <row r="2650" spans="2:9">
      <c r="B2650" s="11" t="str">
        <f t="shared" si="211"/>
        <v/>
      </c>
      <c r="C2650" s="11" t="str">
        <f t="shared" si="214"/>
        <v/>
      </c>
      <c r="D2650" s="11" t="str">
        <f t="shared" si="215"/>
        <v/>
      </c>
      <c r="E2650" s="11" t="str">
        <f t="shared" si="212"/>
        <v/>
      </c>
      <c r="F2650" s="11" t="str">
        <f t="shared" si="213"/>
        <v/>
      </c>
      <c r="G2650" s="10" t="str">
        <v/>
      </c>
      <c r="H2650" s="11" t="str">
        <v/>
      </c>
      <c r="I2650" s="11" t="str">
        <v/>
      </c>
    </row>
    <row r="2651" spans="2:9">
      <c r="B2651" s="11" t="str">
        <f t="shared" si="211"/>
        <v/>
      </c>
      <c r="C2651" s="11" t="str">
        <f t="shared" si="214"/>
        <v/>
      </c>
      <c r="D2651" s="11" t="str">
        <f t="shared" si="215"/>
        <v/>
      </c>
      <c r="E2651" s="11" t="str">
        <f t="shared" si="212"/>
        <v/>
      </c>
      <c r="F2651" s="11" t="str">
        <f t="shared" si="213"/>
        <v/>
      </c>
      <c r="G2651" s="10" t="str">
        <v/>
      </c>
      <c r="H2651" s="11" t="str">
        <v/>
      </c>
      <c r="I2651" s="11" t="str">
        <v/>
      </c>
    </row>
    <row r="2652" spans="2:9">
      <c r="B2652" s="11" t="str">
        <f t="shared" si="211"/>
        <v/>
      </c>
      <c r="C2652" s="11" t="str">
        <f t="shared" si="214"/>
        <v/>
      </c>
      <c r="D2652" s="11" t="str">
        <f t="shared" si="215"/>
        <v/>
      </c>
      <c r="E2652" s="11" t="str">
        <f t="shared" si="212"/>
        <v/>
      </c>
      <c r="F2652" s="11" t="str">
        <f t="shared" si="213"/>
        <v/>
      </c>
      <c r="G2652" s="10" t="str">
        <v/>
      </c>
      <c r="H2652" s="11" t="str">
        <v/>
      </c>
      <c r="I2652" s="11" t="str">
        <v/>
      </c>
    </row>
    <row r="2653" spans="2:9">
      <c r="B2653" s="11" t="str">
        <f t="shared" si="211"/>
        <v/>
      </c>
      <c r="C2653" s="11" t="str">
        <f t="shared" si="214"/>
        <v/>
      </c>
      <c r="D2653" s="11" t="str">
        <f t="shared" si="215"/>
        <v/>
      </c>
      <c r="E2653" s="11" t="str">
        <f t="shared" si="212"/>
        <v/>
      </c>
      <c r="F2653" s="11" t="str">
        <f t="shared" si="213"/>
        <v/>
      </c>
      <c r="G2653" s="10" t="str">
        <v/>
      </c>
      <c r="H2653" s="11" t="str">
        <v/>
      </c>
      <c r="I2653" s="11" t="str">
        <v/>
      </c>
    </row>
    <row r="2654" spans="2:9">
      <c r="B2654" s="11" t="str">
        <f t="shared" si="211"/>
        <v/>
      </c>
      <c r="C2654" s="11" t="str">
        <f t="shared" si="214"/>
        <v/>
      </c>
      <c r="D2654" s="11" t="str">
        <f t="shared" si="215"/>
        <v/>
      </c>
      <c r="E2654" s="11" t="str">
        <f t="shared" si="212"/>
        <v/>
      </c>
      <c r="F2654" s="11" t="str">
        <f t="shared" si="213"/>
        <v/>
      </c>
      <c r="G2654" s="10" t="str">
        <v/>
      </c>
      <c r="H2654" s="11" t="str">
        <v/>
      </c>
      <c r="I2654" s="11" t="str">
        <v/>
      </c>
    </row>
    <row r="2655" spans="2:9">
      <c r="B2655" s="11" t="str">
        <f t="shared" si="211"/>
        <v/>
      </c>
      <c r="C2655" s="11" t="str">
        <f t="shared" si="214"/>
        <v/>
      </c>
      <c r="D2655" s="11" t="str">
        <f t="shared" si="215"/>
        <v/>
      </c>
      <c r="E2655" s="11" t="str">
        <f t="shared" si="212"/>
        <v/>
      </c>
      <c r="F2655" s="11" t="str">
        <f t="shared" si="213"/>
        <v/>
      </c>
      <c r="G2655" s="10" t="str">
        <v/>
      </c>
      <c r="H2655" s="11" t="str">
        <v/>
      </c>
      <c r="I2655" s="11" t="str">
        <v/>
      </c>
    </row>
    <row r="2656" spans="2:9">
      <c r="B2656" s="11" t="str">
        <f t="shared" si="211"/>
        <v/>
      </c>
      <c r="C2656" s="11" t="str">
        <f t="shared" si="214"/>
        <v/>
      </c>
      <c r="D2656" s="11" t="str">
        <f t="shared" si="215"/>
        <v/>
      </c>
      <c r="E2656" s="11" t="str">
        <f t="shared" si="212"/>
        <v/>
      </c>
      <c r="F2656" s="11" t="str">
        <f t="shared" si="213"/>
        <v/>
      </c>
      <c r="G2656" s="10" t="str">
        <v/>
      </c>
      <c r="H2656" s="11" t="str">
        <v/>
      </c>
      <c r="I2656" s="11" t="str">
        <v/>
      </c>
    </row>
    <row r="2657" spans="2:9">
      <c r="B2657" s="11" t="str">
        <f t="shared" si="211"/>
        <v/>
      </c>
      <c r="C2657" s="11" t="str">
        <f t="shared" si="214"/>
        <v/>
      </c>
      <c r="D2657" s="11" t="str">
        <f t="shared" si="215"/>
        <v/>
      </c>
      <c r="E2657" s="11" t="str">
        <f t="shared" si="212"/>
        <v/>
      </c>
      <c r="F2657" s="11" t="str">
        <f t="shared" si="213"/>
        <v/>
      </c>
      <c r="G2657" s="10" t="str">
        <v/>
      </c>
      <c r="H2657" s="11" t="str">
        <v/>
      </c>
      <c r="I2657" s="11" t="str">
        <v/>
      </c>
    </row>
    <row r="2658" spans="2:9">
      <c r="B2658" s="11" t="str">
        <f t="shared" si="211"/>
        <v/>
      </c>
      <c r="C2658" s="11" t="str">
        <f t="shared" si="214"/>
        <v/>
      </c>
      <c r="D2658" s="11" t="str">
        <f t="shared" si="215"/>
        <v/>
      </c>
      <c r="E2658" s="11" t="str">
        <f t="shared" si="212"/>
        <v/>
      </c>
      <c r="F2658" s="11" t="str">
        <f t="shared" si="213"/>
        <v/>
      </c>
      <c r="G2658" s="10" t="str">
        <v/>
      </c>
      <c r="H2658" s="11" t="str">
        <v/>
      </c>
      <c r="I2658" s="11" t="str">
        <v/>
      </c>
    </row>
    <row r="2659" spans="2:9">
      <c r="B2659" s="11" t="str">
        <f t="shared" si="211"/>
        <v/>
      </c>
      <c r="C2659" s="11" t="str">
        <f t="shared" si="214"/>
        <v/>
      </c>
      <c r="D2659" s="11" t="str">
        <f t="shared" si="215"/>
        <v/>
      </c>
      <c r="E2659" s="11" t="str">
        <f t="shared" si="212"/>
        <v/>
      </c>
      <c r="F2659" s="11" t="str">
        <f t="shared" si="213"/>
        <v/>
      </c>
      <c r="G2659" s="10" t="str">
        <v/>
      </c>
      <c r="H2659" s="11" t="str">
        <v/>
      </c>
      <c r="I2659" s="11" t="str">
        <v/>
      </c>
    </row>
    <row r="2660" spans="2:9">
      <c r="B2660" s="11" t="str">
        <f t="shared" si="211"/>
        <v/>
      </c>
      <c r="C2660" s="11" t="str">
        <f t="shared" si="214"/>
        <v/>
      </c>
      <c r="D2660" s="11" t="str">
        <f t="shared" si="215"/>
        <v/>
      </c>
      <c r="E2660" s="11" t="str">
        <f t="shared" si="212"/>
        <v/>
      </c>
      <c r="F2660" s="11" t="str">
        <f t="shared" si="213"/>
        <v/>
      </c>
      <c r="G2660" s="10" t="str">
        <v/>
      </c>
      <c r="H2660" s="11" t="str">
        <v/>
      </c>
      <c r="I2660" s="11" t="str">
        <v/>
      </c>
    </row>
    <row r="2661" spans="2:9">
      <c r="B2661" s="11" t="str">
        <f t="shared" si="211"/>
        <v/>
      </c>
      <c r="C2661" s="11" t="str">
        <f t="shared" si="214"/>
        <v/>
      </c>
      <c r="D2661" s="11" t="str">
        <f t="shared" si="215"/>
        <v/>
      </c>
      <c r="E2661" s="11" t="str">
        <f t="shared" si="212"/>
        <v/>
      </c>
      <c r="F2661" s="11" t="str">
        <f t="shared" si="213"/>
        <v/>
      </c>
      <c r="G2661" s="10" t="str">
        <v/>
      </c>
      <c r="H2661" s="11" t="str">
        <v/>
      </c>
      <c r="I2661" s="11" t="str">
        <v/>
      </c>
    </row>
    <row r="2662" spans="2:9">
      <c r="B2662" s="11" t="str">
        <f t="shared" si="211"/>
        <v/>
      </c>
      <c r="C2662" s="11" t="str">
        <f t="shared" si="214"/>
        <v/>
      </c>
      <c r="D2662" s="11" t="str">
        <f t="shared" si="215"/>
        <v/>
      </c>
      <c r="E2662" s="11" t="str">
        <f t="shared" si="212"/>
        <v/>
      </c>
      <c r="F2662" s="11" t="str">
        <f t="shared" si="213"/>
        <v/>
      </c>
      <c r="G2662" s="10" t="str">
        <v/>
      </c>
      <c r="H2662" s="11" t="str">
        <v/>
      </c>
      <c r="I2662" s="11" t="str">
        <v/>
      </c>
    </row>
    <row r="2663" spans="2:9">
      <c r="B2663" s="11" t="str">
        <f t="shared" si="211"/>
        <v/>
      </c>
      <c r="C2663" s="11" t="str">
        <f t="shared" si="214"/>
        <v/>
      </c>
      <c r="D2663" s="11" t="str">
        <f t="shared" si="215"/>
        <v/>
      </c>
      <c r="E2663" s="11" t="str">
        <f t="shared" si="212"/>
        <v/>
      </c>
      <c r="F2663" s="11" t="str">
        <f t="shared" si="213"/>
        <v/>
      </c>
      <c r="G2663" s="10" t="str">
        <v/>
      </c>
      <c r="H2663" s="11" t="str">
        <v/>
      </c>
      <c r="I2663" s="11" t="str">
        <v/>
      </c>
    </row>
    <row r="2664" spans="2:9">
      <c r="B2664" s="11" t="str">
        <f t="shared" si="211"/>
        <v/>
      </c>
      <c r="C2664" s="11" t="str">
        <f t="shared" si="214"/>
        <v/>
      </c>
      <c r="D2664" s="11" t="str">
        <f t="shared" si="215"/>
        <v/>
      </c>
      <c r="E2664" s="11" t="str">
        <f t="shared" si="212"/>
        <v/>
      </c>
      <c r="F2664" s="11" t="str">
        <f t="shared" si="213"/>
        <v/>
      </c>
      <c r="G2664" s="10" t="str">
        <v/>
      </c>
      <c r="H2664" s="11" t="str">
        <v/>
      </c>
      <c r="I2664" s="11" t="str">
        <v/>
      </c>
    </row>
    <row r="2665" spans="2:9">
      <c r="B2665" s="11" t="str">
        <f t="shared" si="211"/>
        <v/>
      </c>
      <c r="C2665" s="11" t="str">
        <f t="shared" si="214"/>
        <v/>
      </c>
      <c r="D2665" s="11" t="str">
        <f t="shared" si="215"/>
        <v/>
      </c>
      <c r="E2665" s="11" t="str">
        <f t="shared" si="212"/>
        <v/>
      </c>
      <c r="F2665" s="11" t="str">
        <f t="shared" si="213"/>
        <v/>
      </c>
      <c r="G2665" s="10" t="str">
        <v/>
      </c>
      <c r="H2665" s="11" t="str">
        <v/>
      </c>
      <c r="I2665" s="11" t="str">
        <v/>
      </c>
    </row>
    <row r="2666" spans="2:9">
      <c r="B2666" s="11" t="str">
        <f t="shared" si="211"/>
        <v/>
      </c>
      <c r="C2666" s="11" t="str">
        <f t="shared" si="214"/>
        <v/>
      </c>
      <c r="D2666" s="11" t="str">
        <f t="shared" si="215"/>
        <v/>
      </c>
      <c r="E2666" s="11" t="str">
        <f t="shared" si="212"/>
        <v/>
      </c>
      <c r="F2666" s="11" t="str">
        <f t="shared" si="213"/>
        <v/>
      </c>
      <c r="G2666" s="10" t="str">
        <v/>
      </c>
      <c r="H2666" s="11" t="str">
        <v/>
      </c>
      <c r="I2666" s="11" t="str">
        <v/>
      </c>
    </row>
    <row r="2667" spans="2:9">
      <c r="B2667" s="11" t="str">
        <f t="shared" si="211"/>
        <v/>
      </c>
      <c r="C2667" s="11" t="str">
        <f t="shared" si="214"/>
        <v/>
      </c>
      <c r="D2667" s="11" t="str">
        <f t="shared" si="215"/>
        <v/>
      </c>
      <c r="E2667" s="11" t="str">
        <f t="shared" si="212"/>
        <v/>
      </c>
      <c r="F2667" s="11" t="str">
        <f t="shared" si="213"/>
        <v/>
      </c>
      <c r="G2667" s="10" t="str">
        <v/>
      </c>
      <c r="H2667" s="11" t="str">
        <v/>
      </c>
      <c r="I2667" s="11" t="str">
        <v/>
      </c>
    </row>
    <row r="2668" spans="2:9">
      <c r="B2668" s="11" t="str">
        <f t="shared" si="211"/>
        <v/>
      </c>
      <c r="C2668" s="11" t="str">
        <f t="shared" si="214"/>
        <v/>
      </c>
      <c r="D2668" s="11" t="str">
        <f t="shared" si="215"/>
        <v/>
      </c>
      <c r="E2668" s="11" t="str">
        <f t="shared" si="212"/>
        <v/>
      </c>
      <c r="F2668" s="11" t="str">
        <f t="shared" si="213"/>
        <v/>
      </c>
      <c r="G2668" s="10" t="str">
        <v/>
      </c>
      <c r="H2668" s="11" t="str">
        <v/>
      </c>
      <c r="I2668" s="11" t="str">
        <v/>
      </c>
    </row>
    <row r="2669" spans="2:9">
      <c r="B2669" s="11" t="str">
        <f t="shared" si="211"/>
        <v/>
      </c>
      <c r="C2669" s="11" t="str">
        <f t="shared" si="214"/>
        <v/>
      </c>
      <c r="D2669" s="11" t="str">
        <f t="shared" si="215"/>
        <v/>
      </c>
      <c r="E2669" s="11" t="str">
        <f t="shared" si="212"/>
        <v/>
      </c>
      <c r="F2669" s="11" t="str">
        <f t="shared" si="213"/>
        <v/>
      </c>
      <c r="G2669" s="10" t="str">
        <v/>
      </c>
      <c r="H2669" s="11" t="str">
        <v/>
      </c>
      <c r="I2669" s="11" t="str">
        <v/>
      </c>
    </row>
    <row r="2670" spans="2:9">
      <c r="B2670" s="11" t="str">
        <f t="shared" si="211"/>
        <v/>
      </c>
      <c r="C2670" s="11" t="str">
        <f t="shared" si="214"/>
        <v/>
      </c>
      <c r="D2670" s="11" t="str">
        <f t="shared" si="215"/>
        <v/>
      </c>
      <c r="E2670" s="11" t="str">
        <f t="shared" si="212"/>
        <v/>
      </c>
      <c r="F2670" s="11" t="str">
        <f t="shared" si="213"/>
        <v/>
      </c>
      <c r="G2670" s="10" t="str">
        <v/>
      </c>
      <c r="H2670" s="11" t="str">
        <v/>
      </c>
      <c r="I2670" s="11" t="str">
        <v/>
      </c>
    </row>
    <row r="2671" spans="2:9">
      <c r="B2671" s="11" t="str">
        <f t="shared" si="211"/>
        <v/>
      </c>
      <c r="C2671" s="11" t="str">
        <f t="shared" si="214"/>
        <v/>
      </c>
      <c r="D2671" s="11" t="str">
        <f t="shared" si="215"/>
        <v/>
      </c>
      <c r="E2671" s="11" t="str">
        <f t="shared" si="212"/>
        <v/>
      </c>
      <c r="F2671" s="11" t="str">
        <f t="shared" si="213"/>
        <v/>
      </c>
      <c r="G2671" s="10" t="str">
        <v/>
      </c>
      <c r="H2671" s="11" t="str">
        <v/>
      </c>
      <c r="I2671" s="11" t="str">
        <v/>
      </c>
    </row>
    <row r="2672" spans="2:9">
      <c r="B2672" s="11" t="str">
        <f t="shared" si="211"/>
        <v/>
      </c>
      <c r="C2672" s="11" t="str">
        <f t="shared" si="214"/>
        <v/>
      </c>
      <c r="D2672" s="11" t="str">
        <f t="shared" si="215"/>
        <v/>
      </c>
      <c r="E2672" s="11" t="str">
        <f t="shared" si="212"/>
        <v/>
      </c>
      <c r="F2672" s="11" t="str">
        <f t="shared" si="213"/>
        <v/>
      </c>
      <c r="G2672" s="10" t="str">
        <v/>
      </c>
      <c r="H2672" s="11" t="str">
        <v/>
      </c>
      <c r="I2672" s="11" t="str">
        <v/>
      </c>
    </row>
    <row r="2673" spans="2:9">
      <c r="B2673" s="11" t="str">
        <f t="shared" si="211"/>
        <v/>
      </c>
      <c r="C2673" s="11" t="str">
        <f t="shared" si="214"/>
        <v/>
      </c>
      <c r="D2673" s="11" t="str">
        <f t="shared" si="215"/>
        <v/>
      </c>
      <c r="E2673" s="11" t="str">
        <f t="shared" si="212"/>
        <v/>
      </c>
      <c r="F2673" s="11" t="str">
        <f t="shared" si="213"/>
        <v/>
      </c>
      <c r="G2673" s="10" t="str">
        <v/>
      </c>
      <c r="H2673" s="11" t="str">
        <v/>
      </c>
      <c r="I2673" s="11" t="str">
        <v/>
      </c>
    </row>
    <row r="2674" spans="2:9">
      <c r="B2674" s="11" t="str">
        <f t="shared" si="211"/>
        <v/>
      </c>
      <c r="C2674" s="11" t="str">
        <f t="shared" si="214"/>
        <v/>
      </c>
      <c r="D2674" s="11" t="str">
        <f t="shared" si="215"/>
        <v/>
      </c>
      <c r="E2674" s="11" t="str">
        <f t="shared" si="212"/>
        <v/>
      </c>
      <c r="F2674" s="11" t="str">
        <f t="shared" si="213"/>
        <v/>
      </c>
      <c r="G2674" s="10" t="str">
        <v/>
      </c>
      <c r="H2674" s="11" t="str">
        <v/>
      </c>
      <c r="I2674" s="11" t="str">
        <v/>
      </c>
    </row>
    <row r="2675" spans="2:9">
      <c r="B2675" s="11" t="str">
        <f t="shared" si="211"/>
        <v/>
      </c>
      <c r="C2675" s="11" t="str">
        <f t="shared" si="214"/>
        <v/>
      </c>
      <c r="D2675" s="11" t="str">
        <f t="shared" si="215"/>
        <v/>
      </c>
      <c r="E2675" s="11" t="str">
        <f t="shared" si="212"/>
        <v/>
      </c>
      <c r="F2675" s="11" t="str">
        <f t="shared" si="213"/>
        <v/>
      </c>
      <c r="G2675" s="10" t="str">
        <v/>
      </c>
      <c r="H2675" s="11" t="str">
        <v/>
      </c>
      <c r="I2675" s="11" t="str">
        <v/>
      </c>
    </row>
    <row r="2676" spans="2:9">
      <c r="B2676" s="11" t="str">
        <f t="shared" si="211"/>
        <v/>
      </c>
      <c r="C2676" s="11" t="str">
        <f t="shared" si="214"/>
        <v/>
      </c>
      <c r="D2676" s="11" t="str">
        <f t="shared" si="215"/>
        <v/>
      </c>
      <c r="E2676" s="11" t="str">
        <f t="shared" si="212"/>
        <v/>
      </c>
      <c r="F2676" s="11" t="str">
        <f t="shared" si="213"/>
        <v/>
      </c>
      <c r="G2676" s="10" t="str">
        <v/>
      </c>
      <c r="H2676" s="11" t="str">
        <v/>
      </c>
      <c r="I2676" s="11" t="str">
        <v/>
      </c>
    </row>
    <row r="2677" spans="2:9">
      <c r="B2677" s="11" t="str">
        <f t="shared" si="211"/>
        <v/>
      </c>
      <c r="C2677" s="11" t="str">
        <f t="shared" si="214"/>
        <v/>
      </c>
      <c r="D2677" s="11" t="str">
        <f t="shared" si="215"/>
        <v/>
      </c>
      <c r="E2677" s="11" t="str">
        <f t="shared" si="212"/>
        <v/>
      </c>
      <c r="F2677" s="11" t="str">
        <f t="shared" si="213"/>
        <v/>
      </c>
      <c r="G2677" s="10" t="str">
        <v/>
      </c>
      <c r="H2677" s="11" t="str">
        <v/>
      </c>
      <c r="I2677" s="11" t="str">
        <v/>
      </c>
    </row>
    <row r="2678" spans="2:9">
      <c r="B2678" s="11" t="str">
        <f t="shared" si="211"/>
        <v/>
      </c>
      <c r="C2678" s="11" t="str">
        <f t="shared" si="214"/>
        <v/>
      </c>
      <c r="D2678" s="11" t="str">
        <f t="shared" si="215"/>
        <v/>
      </c>
      <c r="E2678" s="11" t="str">
        <f t="shared" si="212"/>
        <v/>
      </c>
      <c r="F2678" s="11" t="str">
        <f t="shared" si="213"/>
        <v/>
      </c>
      <c r="G2678" s="10" t="str">
        <v/>
      </c>
      <c r="H2678" s="11" t="str">
        <v/>
      </c>
      <c r="I2678" s="11" t="str">
        <v/>
      </c>
    </row>
    <row r="2679" spans="2:9">
      <c r="B2679" s="11" t="str">
        <f t="shared" si="211"/>
        <v/>
      </c>
      <c r="C2679" s="11" t="str">
        <f t="shared" si="214"/>
        <v/>
      </c>
      <c r="D2679" s="11" t="str">
        <f t="shared" si="215"/>
        <v/>
      </c>
      <c r="E2679" s="11" t="str">
        <f t="shared" si="212"/>
        <v/>
      </c>
      <c r="F2679" s="11" t="str">
        <f t="shared" si="213"/>
        <v/>
      </c>
      <c r="G2679" s="10" t="str">
        <v/>
      </c>
      <c r="H2679" s="11" t="str">
        <v/>
      </c>
      <c r="I2679" s="11" t="str">
        <v/>
      </c>
    </row>
    <row r="2680" spans="2:9">
      <c r="B2680" s="11" t="str">
        <f t="shared" si="211"/>
        <v/>
      </c>
      <c r="C2680" s="11" t="str">
        <f t="shared" si="214"/>
        <v/>
      </c>
      <c r="D2680" s="11" t="str">
        <f t="shared" si="215"/>
        <v/>
      </c>
      <c r="E2680" s="11" t="str">
        <f t="shared" si="212"/>
        <v/>
      </c>
      <c r="F2680" s="11" t="str">
        <f t="shared" si="213"/>
        <v/>
      </c>
      <c r="G2680" s="10" t="str">
        <v/>
      </c>
      <c r="H2680" s="11" t="str">
        <v/>
      </c>
      <c r="I2680" s="11" t="str">
        <v/>
      </c>
    </row>
    <row r="2681" spans="2:9">
      <c r="B2681" s="11" t="str">
        <f t="shared" si="211"/>
        <v/>
      </c>
      <c r="C2681" s="11" t="str">
        <f t="shared" si="214"/>
        <v/>
      </c>
      <c r="D2681" s="11" t="str">
        <f t="shared" si="215"/>
        <v/>
      </c>
      <c r="E2681" s="11" t="str">
        <f t="shared" si="212"/>
        <v/>
      </c>
      <c r="F2681" s="11" t="str">
        <f t="shared" si="213"/>
        <v/>
      </c>
      <c r="G2681" s="10" t="str">
        <v/>
      </c>
      <c r="H2681" s="11" t="str">
        <v/>
      </c>
      <c r="I2681" s="11" t="str">
        <v/>
      </c>
    </row>
    <row r="2682" spans="2:9">
      <c r="B2682" s="11" t="str">
        <f t="shared" si="211"/>
        <v/>
      </c>
      <c r="C2682" s="11" t="str">
        <f t="shared" si="214"/>
        <v/>
      </c>
      <c r="D2682" s="11" t="str">
        <f t="shared" si="215"/>
        <v/>
      </c>
      <c r="E2682" s="11" t="str">
        <f t="shared" si="212"/>
        <v/>
      </c>
      <c r="F2682" s="11" t="str">
        <f t="shared" si="213"/>
        <v/>
      </c>
      <c r="G2682" s="10" t="str">
        <v/>
      </c>
      <c r="H2682" s="11" t="str">
        <v/>
      </c>
      <c r="I2682" s="11" t="str">
        <v/>
      </c>
    </row>
    <row r="2683" spans="2:9">
      <c r="B2683" s="11" t="str">
        <f t="shared" si="211"/>
        <v/>
      </c>
      <c r="C2683" s="11" t="str">
        <f t="shared" si="214"/>
        <v/>
      </c>
      <c r="D2683" s="11" t="str">
        <f t="shared" si="215"/>
        <v/>
      </c>
      <c r="E2683" s="11" t="str">
        <f t="shared" si="212"/>
        <v/>
      </c>
      <c r="F2683" s="11" t="str">
        <f t="shared" si="213"/>
        <v/>
      </c>
      <c r="G2683" s="10" t="str">
        <v/>
      </c>
      <c r="H2683" s="11" t="str">
        <v/>
      </c>
      <c r="I2683" s="11" t="str">
        <v/>
      </c>
    </row>
    <row r="2684" spans="2:9">
      <c r="B2684" s="11" t="str">
        <f t="shared" si="211"/>
        <v/>
      </c>
      <c r="C2684" s="11" t="str">
        <f t="shared" si="214"/>
        <v/>
      </c>
      <c r="D2684" s="11" t="str">
        <f t="shared" si="215"/>
        <v/>
      </c>
      <c r="E2684" s="11" t="str">
        <f t="shared" si="212"/>
        <v/>
      </c>
      <c r="F2684" s="11" t="str">
        <f t="shared" si="213"/>
        <v/>
      </c>
      <c r="G2684" s="10" t="str">
        <v/>
      </c>
      <c r="H2684" s="11" t="str">
        <v/>
      </c>
      <c r="I2684" s="11" t="str">
        <v/>
      </c>
    </row>
    <row r="2685" spans="2:9">
      <c r="B2685" s="11" t="str">
        <f t="shared" si="211"/>
        <v/>
      </c>
      <c r="C2685" s="11" t="str">
        <f t="shared" si="214"/>
        <v/>
      </c>
      <c r="D2685" s="11" t="str">
        <f t="shared" si="215"/>
        <v/>
      </c>
      <c r="E2685" s="11" t="str">
        <f t="shared" si="212"/>
        <v/>
      </c>
      <c r="F2685" s="11" t="str">
        <f t="shared" si="213"/>
        <v/>
      </c>
      <c r="G2685" s="10" t="str">
        <v/>
      </c>
      <c r="H2685" s="11" t="str">
        <v/>
      </c>
      <c r="I2685" s="11" t="str">
        <v/>
      </c>
    </row>
    <row r="2686" spans="2:9">
      <c r="B2686" s="11" t="str">
        <f t="shared" si="211"/>
        <v/>
      </c>
      <c r="C2686" s="11" t="str">
        <f t="shared" si="214"/>
        <v/>
      </c>
      <c r="D2686" s="11" t="str">
        <f t="shared" si="215"/>
        <v/>
      </c>
      <c r="E2686" s="11" t="str">
        <f t="shared" si="212"/>
        <v/>
      </c>
      <c r="F2686" s="11" t="str">
        <f t="shared" si="213"/>
        <v/>
      </c>
      <c r="G2686" s="10" t="str">
        <v/>
      </c>
      <c r="H2686" s="11" t="str">
        <v/>
      </c>
      <c r="I2686" s="11" t="str">
        <v/>
      </c>
    </row>
    <row r="2687" spans="2:9">
      <c r="B2687" s="11" t="str">
        <f t="shared" si="211"/>
        <v/>
      </c>
      <c r="C2687" s="11" t="str">
        <f t="shared" si="214"/>
        <v/>
      </c>
      <c r="D2687" s="11" t="str">
        <f t="shared" si="215"/>
        <v/>
      </c>
      <c r="E2687" s="11" t="str">
        <f t="shared" si="212"/>
        <v/>
      </c>
      <c r="F2687" s="11" t="str">
        <f t="shared" si="213"/>
        <v/>
      </c>
      <c r="G2687" s="10" t="str">
        <v/>
      </c>
      <c r="H2687" s="11" t="str">
        <v/>
      </c>
      <c r="I2687" s="11" t="str">
        <v/>
      </c>
    </row>
    <row r="2688" spans="2:9">
      <c r="B2688" s="11" t="str">
        <f t="shared" si="211"/>
        <v/>
      </c>
      <c r="C2688" s="11" t="str">
        <f t="shared" si="214"/>
        <v/>
      </c>
      <c r="D2688" s="11" t="str">
        <f t="shared" si="215"/>
        <v/>
      </c>
      <c r="E2688" s="11" t="str">
        <f t="shared" si="212"/>
        <v/>
      </c>
      <c r="F2688" s="11" t="str">
        <f t="shared" si="213"/>
        <v/>
      </c>
      <c r="G2688" s="10" t="str">
        <v/>
      </c>
      <c r="H2688" s="11" t="str">
        <v/>
      </c>
      <c r="I2688" s="11" t="str">
        <v/>
      </c>
    </row>
    <row r="2689" spans="2:9">
      <c r="B2689" s="11" t="str">
        <f t="shared" ref="B2689:B2752" si="216">IFERROR(IF(FIND(" ",A2689)=6,IF(IFERROR(FIND(" PB",A2689),"")&lt;&gt;"","артикул",IF(IFERROR(FIND(" CRN",A2689),"")&lt;&gt;"","артикул","")),""),"")</f>
        <v/>
      </c>
      <c r="C2689" s="11" t="str">
        <f t="shared" si="214"/>
        <v/>
      </c>
      <c r="D2689" s="11" t="str">
        <f t="shared" si="215"/>
        <v/>
      </c>
      <c r="E2689" s="11" t="str">
        <f t="shared" si="212"/>
        <v/>
      </c>
      <c r="F2689" s="11" t="str">
        <f t="shared" si="213"/>
        <v/>
      </c>
      <c r="G2689" s="10" t="str">
        <v/>
      </c>
      <c r="H2689" s="11" t="str">
        <v/>
      </c>
      <c r="I2689" s="11" t="str">
        <v/>
      </c>
    </row>
    <row r="2690" spans="2:9">
      <c r="B2690" s="11" t="str">
        <f t="shared" si="216"/>
        <v/>
      </c>
      <c r="C2690" s="11" t="str">
        <f t="shared" si="214"/>
        <v/>
      </c>
      <c r="D2690" s="11" t="str">
        <f t="shared" si="215"/>
        <v/>
      </c>
      <c r="E2690" s="11" t="str">
        <f t="shared" ref="E2690:E2753" si="217" xml:space="preserve">
IF(B2690="Артикул",
IF(
AND(RIGHT(A2691,1)="%",
RIGHT(A2692,1)="%",
RIGHT(A2693,1)="%",
RIGHT(A2694,1)="%"),MID(A2695,FIND(" ",A2695),50),
IF(
AND(RIGHT(A2691,1)="%",
RIGHT(A2692,1)="%",
RIGHT(A2693,1)="%"),MID(A2694,FIND(" ",A2694),50),
IF(
AND(RIGHT(A2691,1)="%",
RIGHT(A2692,1)="%"),
MID(A2693,FIND(" ",A2693),50),
IF(
RIGHT(A2691,1)="%",
MID(A2692,FIND(" ",A2692),50),"")))),"")</f>
        <v/>
      </c>
      <c r="F2690" s="11" t="str">
        <f t="shared" ref="F2690:F2753" si="218">IFERROR(
IF(
AND(LEFT(A2690,8)="Discount",FIND("%",A2690)&gt;0),
MID(A2690,
FIND(" ",A2690),
FIND("%",A2690)-FIND(" ",A2690))
*-1,""),"")</f>
        <v/>
      </c>
      <c r="G2690" s="10" t="str">
        <v/>
      </c>
      <c r="H2690" s="11" t="str">
        <v/>
      </c>
      <c r="I2690" s="11" t="str">
        <v/>
      </c>
    </row>
    <row r="2691" spans="2:9">
      <c r="B2691" s="11" t="str">
        <f t="shared" si="216"/>
        <v/>
      </c>
      <c r="C2691" s="11" t="str">
        <f t="shared" si="214"/>
        <v/>
      </c>
      <c r="D2691" s="11" t="str">
        <f t="shared" si="215"/>
        <v/>
      </c>
      <c r="E2691" s="11" t="str">
        <f t="shared" si="217"/>
        <v/>
      </c>
      <c r="F2691" s="11" t="str">
        <f t="shared" si="218"/>
        <v/>
      </c>
      <c r="G2691" s="10" t="str">
        <v/>
      </c>
      <c r="H2691" s="11" t="str">
        <v/>
      </c>
      <c r="I2691" s="11" t="str">
        <v/>
      </c>
    </row>
    <row r="2692" spans="2:9">
      <c r="B2692" s="11" t="str">
        <f t="shared" si="216"/>
        <v/>
      </c>
      <c r="C2692" s="11" t="str">
        <f t="shared" si="214"/>
        <v/>
      </c>
      <c r="D2692" s="11" t="str">
        <f t="shared" si="215"/>
        <v/>
      </c>
      <c r="E2692" s="11" t="str">
        <f t="shared" si="217"/>
        <v/>
      </c>
      <c r="F2692" s="11" t="str">
        <f t="shared" si="218"/>
        <v/>
      </c>
      <c r="G2692" s="10" t="str">
        <v/>
      </c>
      <c r="H2692" s="11" t="str">
        <v/>
      </c>
      <c r="I2692" s="11" t="str">
        <v/>
      </c>
    </row>
    <row r="2693" spans="2:9">
      <c r="B2693" s="11" t="str">
        <f t="shared" si="216"/>
        <v/>
      </c>
      <c r="C2693" s="11" t="str">
        <f t="shared" si="214"/>
        <v/>
      </c>
      <c r="D2693" s="11" t="str">
        <f t="shared" si="215"/>
        <v/>
      </c>
      <c r="E2693" s="11" t="str">
        <f t="shared" si="217"/>
        <v/>
      </c>
      <c r="F2693" s="11" t="str">
        <f t="shared" si="218"/>
        <v/>
      </c>
      <c r="G2693" s="10" t="str">
        <v/>
      </c>
      <c r="H2693" s="11" t="str">
        <v/>
      </c>
      <c r="I2693" s="11" t="str">
        <v/>
      </c>
    </row>
    <row r="2694" spans="2:9">
      <c r="B2694" s="11" t="str">
        <f t="shared" si="216"/>
        <v/>
      </c>
      <c r="C2694" s="11" t="str">
        <f t="shared" si="214"/>
        <v/>
      </c>
      <c r="D2694" s="11" t="str">
        <f t="shared" si="215"/>
        <v/>
      </c>
      <c r="E2694" s="11" t="str">
        <f t="shared" si="217"/>
        <v/>
      </c>
      <c r="F2694" s="11" t="str">
        <f t="shared" si="218"/>
        <v/>
      </c>
      <c r="G2694" s="10" t="str">
        <v/>
      </c>
      <c r="H2694" s="11" t="str">
        <v/>
      </c>
      <c r="I2694" s="11" t="str">
        <v/>
      </c>
    </row>
    <row r="2695" spans="2:9">
      <c r="B2695" s="11" t="str">
        <f t="shared" si="216"/>
        <v/>
      </c>
      <c r="C2695" s="11" t="str">
        <f t="shared" si="214"/>
        <v/>
      </c>
      <c r="D2695" s="11" t="str">
        <f t="shared" si="215"/>
        <v/>
      </c>
      <c r="E2695" s="11" t="str">
        <f t="shared" si="217"/>
        <v/>
      </c>
      <c r="F2695" s="11" t="str">
        <f t="shared" si="218"/>
        <v/>
      </c>
      <c r="G2695" s="10" t="str">
        <v/>
      </c>
      <c r="H2695" s="11" t="str">
        <v/>
      </c>
      <c r="I2695" s="11" t="str">
        <v/>
      </c>
    </row>
    <row r="2696" spans="2:9">
      <c r="B2696" s="11" t="str">
        <f t="shared" si="216"/>
        <v/>
      </c>
      <c r="C2696" s="11" t="str">
        <f t="shared" si="214"/>
        <v/>
      </c>
      <c r="D2696" s="11" t="str">
        <f t="shared" si="215"/>
        <v/>
      </c>
      <c r="E2696" s="11" t="str">
        <f t="shared" si="217"/>
        <v/>
      </c>
      <c r="F2696" s="11" t="str">
        <f t="shared" si="218"/>
        <v/>
      </c>
      <c r="G2696" s="10" t="str">
        <v/>
      </c>
      <c r="H2696" s="11" t="str">
        <v/>
      </c>
      <c r="I2696" s="11" t="str">
        <v/>
      </c>
    </row>
    <row r="2697" spans="2:9">
      <c r="B2697" s="11" t="str">
        <f t="shared" si="216"/>
        <v/>
      </c>
      <c r="C2697" s="11" t="str">
        <f t="shared" si="214"/>
        <v/>
      </c>
      <c r="D2697" s="11" t="str">
        <f t="shared" si="215"/>
        <v/>
      </c>
      <c r="E2697" s="11" t="str">
        <f t="shared" si="217"/>
        <v/>
      </c>
      <c r="F2697" s="11" t="str">
        <f t="shared" si="218"/>
        <v/>
      </c>
      <c r="G2697" s="10" t="str">
        <v/>
      </c>
      <c r="H2697" s="11" t="str">
        <v/>
      </c>
      <c r="I2697" s="11" t="str">
        <v/>
      </c>
    </row>
    <row r="2698" spans="2:9">
      <c r="B2698" s="11" t="str">
        <f t="shared" si="216"/>
        <v/>
      </c>
      <c r="C2698" s="11" t="str">
        <f t="shared" si="214"/>
        <v/>
      </c>
      <c r="D2698" s="11" t="str">
        <f t="shared" si="215"/>
        <v/>
      </c>
      <c r="E2698" s="11" t="str">
        <f t="shared" si="217"/>
        <v/>
      </c>
      <c r="F2698" s="11" t="str">
        <f t="shared" si="218"/>
        <v/>
      </c>
      <c r="G2698" s="10" t="str">
        <v/>
      </c>
      <c r="H2698" s="11" t="str">
        <v/>
      </c>
      <c r="I2698" s="11" t="str">
        <v/>
      </c>
    </row>
    <row r="2699" spans="2:9">
      <c r="B2699" s="11" t="str">
        <f t="shared" si="216"/>
        <v/>
      </c>
      <c r="C2699" s="11" t="str">
        <f t="shared" si="214"/>
        <v/>
      </c>
      <c r="D2699" s="11" t="str">
        <f t="shared" si="215"/>
        <v/>
      </c>
      <c r="E2699" s="11" t="str">
        <f t="shared" si="217"/>
        <v/>
      </c>
      <c r="F2699" s="11" t="str">
        <f t="shared" si="218"/>
        <v/>
      </c>
      <c r="G2699" s="10" t="str">
        <v/>
      </c>
      <c r="H2699" s="11" t="str">
        <v/>
      </c>
      <c r="I2699" s="11" t="str">
        <v/>
      </c>
    </row>
    <row r="2700" spans="2:9">
      <c r="B2700" s="11" t="str">
        <f t="shared" si="216"/>
        <v/>
      </c>
      <c r="C2700" s="11" t="str">
        <f t="shared" si="214"/>
        <v/>
      </c>
      <c r="D2700" s="11" t="str">
        <f t="shared" si="215"/>
        <v/>
      </c>
      <c r="E2700" s="11" t="str">
        <f t="shared" si="217"/>
        <v/>
      </c>
      <c r="F2700" s="11" t="str">
        <f t="shared" si="218"/>
        <v/>
      </c>
      <c r="G2700" s="10" t="str">
        <v/>
      </c>
      <c r="H2700" s="11" t="str">
        <v/>
      </c>
      <c r="I2700" s="11" t="str">
        <v/>
      </c>
    </row>
    <row r="2701" spans="2:9">
      <c r="B2701" s="11" t="str">
        <f t="shared" si="216"/>
        <v/>
      </c>
      <c r="C2701" s="11" t="str">
        <f t="shared" ref="C2701:C2764" si="219">IF(B2701="артикул",A2701,"")</f>
        <v/>
      </c>
      <c r="D2701" s="11" t="str">
        <f t="shared" ref="D2701:D2764" si="220">IF(B2701="артикул",A2702,"")</f>
        <v/>
      </c>
      <c r="E2701" s="11" t="str">
        <f t="shared" si="217"/>
        <v/>
      </c>
      <c r="F2701" s="11" t="str">
        <f t="shared" si="218"/>
        <v/>
      </c>
      <c r="G2701" s="10" t="str">
        <v/>
      </c>
      <c r="H2701" s="11" t="str">
        <v/>
      </c>
      <c r="I2701" s="11" t="str">
        <v/>
      </c>
    </row>
    <row r="2702" spans="2:9">
      <c r="B2702" s="11" t="str">
        <f t="shared" si="216"/>
        <v/>
      </c>
      <c r="C2702" s="11" t="str">
        <f t="shared" si="219"/>
        <v/>
      </c>
      <c r="D2702" s="11" t="str">
        <f t="shared" si="220"/>
        <v/>
      </c>
      <c r="E2702" s="11" t="str">
        <f t="shared" si="217"/>
        <v/>
      </c>
      <c r="F2702" s="11" t="str">
        <f t="shared" si="218"/>
        <v/>
      </c>
      <c r="G2702" s="10" t="str">
        <v/>
      </c>
      <c r="H2702" s="11" t="str">
        <v/>
      </c>
      <c r="I2702" s="11" t="str">
        <v/>
      </c>
    </row>
    <row r="2703" spans="2:9">
      <c r="B2703" s="11" t="str">
        <f t="shared" si="216"/>
        <v/>
      </c>
      <c r="C2703" s="11" t="str">
        <f t="shared" si="219"/>
        <v/>
      </c>
      <c r="D2703" s="11" t="str">
        <f t="shared" si="220"/>
        <v/>
      </c>
      <c r="E2703" s="11" t="str">
        <f t="shared" si="217"/>
        <v/>
      </c>
      <c r="F2703" s="11" t="str">
        <f t="shared" si="218"/>
        <v/>
      </c>
      <c r="G2703" s="10" t="str">
        <v/>
      </c>
      <c r="H2703" s="11" t="str">
        <v/>
      </c>
      <c r="I2703" s="11" t="str">
        <v/>
      </c>
    </row>
    <row r="2704" spans="2:9">
      <c r="B2704" s="11" t="str">
        <f t="shared" si="216"/>
        <v/>
      </c>
      <c r="C2704" s="11" t="str">
        <f t="shared" si="219"/>
        <v/>
      </c>
      <c r="D2704" s="11" t="str">
        <f t="shared" si="220"/>
        <v/>
      </c>
      <c r="E2704" s="11" t="str">
        <f t="shared" si="217"/>
        <v/>
      </c>
      <c r="F2704" s="11" t="str">
        <f t="shared" si="218"/>
        <v/>
      </c>
      <c r="G2704" s="10" t="str">
        <v/>
      </c>
      <c r="H2704" s="11" t="str">
        <v/>
      </c>
      <c r="I2704" s="11" t="str">
        <v/>
      </c>
    </row>
    <row r="2705" spans="2:9">
      <c r="B2705" s="11" t="str">
        <f t="shared" si="216"/>
        <v/>
      </c>
      <c r="C2705" s="11" t="str">
        <f t="shared" si="219"/>
        <v/>
      </c>
      <c r="D2705" s="11" t="str">
        <f t="shared" si="220"/>
        <v/>
      </c>
      <c r="E2705" s="11" t="str">
        <f t="shared" si="217"/>
        <v/>
      </c>
      <c r="F2705" s="11" t="str">
        <f t="shared" si="218"/>
        <v/>
      </c>
      <c r="G2705" s="10" t="str">
        <v/>
      </c>
      <c r="H2705" s="11" t="str">
        <v/>
      </c>
      <c r="I2705" s="11" t="str">
        <v/>
      </c>
    </row>
    <row r="2706" spans="2:9">
      <c r="B2706" s="11" t="str">
        <f t="shared" si="216"/>
        <v/>
      </c>
      <c r="C2706" s="11" t="str">
        <f t="shared" si="219"/>
        <v/>
      </c>
      <c r="D2706" s="11" t="str">
        <f t="shared" si="220"/>
        <v/>
      </c>
      <c r="E2706" s="11" t="str">
        <f t="shared" si="217"/>
        <v/>
      </c>
      <c r="F2706" s="11" t="str">
        <f t="shared" si="218"/>
        <v/>
      </c>
      <c r="G2706" s="10" t="str">
        <v/>
      </c>
      <c r="H2706" s="11" t="str">
        <v/>
      </c>
      <c r="I2706" s="11" t="str">
        <v/>
      </c>
    </row>
    <row r="2707" spans="2:9">
      <c r="B2707" s="11" t="str">
        <f t="shared" si="216"/>
        <v/>
      </c>
      <c r="C2707" s="11" t="str">
        <f t="shared" si="219"/>
        <v/>
      </c>
      <c r="D2707" s="11" t="str">
        <f t="shared" si="220"/>
        <v/>
      </c>
      <c r="E2707" s="11" t="str">
        <f t="shared" si="217"/>
        <v/>
      </c>
      <c r="F2707" s="11" t="str">
        <f t="shared" si="218"/>
        <v/>
      </c>
      <c r="G2707" s="10" t="str">
        <v/>
      </c>
      <c r="H2707" s="11" t="str">
        <v/>
      </c>
      <c r="I2707" s="11" t="str">
        <v/>
      </c>
    </row>
    <row r="2708" spans="2:9">
      <c r="B2708" s="11" t="str">
        <f t="shared" si="216"/>
        <v/>
      </c>
      <c r="C2708" s="11" t="str">
        <f t="shared" si="219"/>
        <v/>
      </c>
      <c r="D2708" s="11" t="str">
        <f t="shared" si="220"/>
        <v/>
      </c>
      <c r="E2708" s="11" t="str">
        <f t="shared" si="217"/>
        <v/>
      </c>
      <c r="F2708" s="11" t="str">
        <f t="shared" si="218"/>
        <v/>
      </c>
      <c r="G2708" s="10" t="str">
        <v/>
      </c>
      <c r="H2708" s="11" t="str">
        <v/>
      </c>
      <c r="I2708" s="11" t="str">
        <v/>
      </c>
    </row>
    <row r="2709" spans="2:9">
      <c r="B2709" s="11" t="str">
        <f t="shared" si="216"/>
        <v/>
      </c>
      <c r="C2709" s="11" t="str">
        <f t="shared" si="219"/>
        <v/>
      </c>
      <c r="D2709" s="11" t="str">
        <f t="shared" si="220"/>
        <v/>
      </c>
      <c r="E2709" s="11" t="str">
        <f t="shared" si="217"/>
        <v/>
      </c>
      <c r="F2709" s="11" t="str">
        <f t="shared" si="218"/>
        <v/>
      </c>
      <c r="G2709" s="10" t="str">
        <v/>
      </c>
      <c r="H2709" s="11" t="str">
        <v/>
      </c>
      <c r="I2709" s="11" t="str">
        <v/>
      </c>
    </row>
    <row r="2710" spans="2:9">
      <c r="B2710" s="11" t="str">
        <f t="shared" si="216"/>
        <v/>
      </c>
      <c r="C2710" s="11" t="str">
        <f t="shared" si="219"/>
        <v/>
      </c>
      <c r="D2710" s="11" t="str">
        <f t="shared" si="220"/>
        <v/>
      </c>
      <c r="E2710" s="11" t="str">
        <f t="shared" si="217"/>
        <v/>
      </c>
      <c r="F2710" s="11" t="str">
        <f t="shared" si="218"/>
        <v/>
      </c>
      <c r="G2710" s="10" t="str">
        <v/>
      </c>
      <c r="H2710" s="11" t="str">
        <v/>
      </c>
      <c r="I2710" s="11" t="str">
        <v/>
      </c>
    </row>
    <row r="2711" spans="2:9">
      <c r="B2711" s="11" t="str">
        <f t="shared" si="216"/>
        <v/>
      </c>
      <c r="C2711" s="11" t="str">
        <f t="shared" si="219"/>
        <v/>
      </c>
      <c r="D2711" s="11" t="str">
        <f t="shared" si="220"/>
        <v/>
      </c>
      <c r="E2711" s="11" t="str">
        <f t="shared" si="217"/>
        <v/>
      </c>
      <c r="F2711" s="11" t="str">
        <f t="shared" si="218"/>
        <v/>
      </c>
      <c r="G2711" s="10" t="str">
        <v/>
      </c>
      <c r="H2711" s="11" t="str">
        <v/>
      </c>
      <c r="I2711" s="11" t="str">
        <v/>
      </c>
    </row>
    <row r="2712" spans="2:9">
      <c r="B2712" s="11" t="str">
        <f t="shared" si="216"/>
        <v/>
      </c>
      <c r="C2712" s="11" t="str">
        <f t="shared" si="219"/>
        <v/>
      </c>
      <c r="D2712" s="11" t="str">
        <f t="shared" si="220"/>
        <v/>
      </c>
      <c r="E2712" s="11" t="str">
        <f t="shared" si="217"/>
        <v/>
      </c>
      <c r="F2712" s="11" t="str">
        <f t="shared" si="218"/>
        <v/>
      </c>
      <c r="G2712" s="10" t="str">
        <v/>
      </c>
      <c r="H2712" s="11" t="str">
        <v/>
      </c>
      <c r="I2712" s="11" t="str">
        <v/>
      </c>
    </row>
    <row r="2713" spans="2:9">
      <c r="B2713" s="11" t="str">
        <f t="shared" si="216"/>
        <v/>
      </c>
      <c r="C2713" s="11" t="str">
        <f t="shared" si="219"/>
        <v/>
      </c>
      <c r="D2713" s="11" t="str">
        <f t="shared" si="220"/>
        <v/>
      </c>
      <c r="E2713" s="11" t="str">
        <f t="shared" si="217"/>
        <v/>
      </c>
      <c r="F2713" s="11" t="str">
        <f t="shared" si="218"/>
        <v/>
      </c>
      <c r="G2713" s="10" t="str">
        <v/>
      </c>
      <c r="H2713" s="11" t="str">
        <v/>
      </c>
      <c r="I2713" s="11" t="str">
        <v/>
      </c>
    </row>
    <row r="2714" spans="2:9">
      <c r="B2714" s="11" t="str">
        <f t="shared" si="216"/>
        <v/>
      </c>
      <c r="C2714" s="11" t="str">
        <f t="shared" si="219"/>
        <v/>
      </c>
      <c r="D2714" s="11" t="str">
        <f t="shared" si="220"/>
        <v/>
      </c>
      <c r="E2714" s="11" t="str">
        <f t="shared" si="217"/>
        <v/>
      </c>
      <c r="F2714" s="11" t="str">
        <f t="shared" si="218"/>
        <v/>
      </c>
      <c r="G2714" s="10" t="str">
        <v/>
      </c>
      <c r="H2714" s="11" t="str">
        <v/>
      </c>
      <c r="I2714" s="11" t="str">
        <v/>
      </c>
    </row>
    <row r="2715" spans="2:9">
      <c r="B2715" s="11" t="str">
        <f t="shared" si="216"/>
        <v/>
      </c>
      <c r="C2715" s="11" t="str">
        <f t="shared" si="219"/>
        <v/>
      </c>
      <c r="D2715" s="11" t="str">
        <f t="shared" si="220"/>
        <v/>
      </c>
      <c r="E2715" s="11" t="str">
        <f t="shared" si="217"/>
        <v/>
      </c>
      <c r="F2715" s="11" t="str">
        <f t="shared" si="218"/>
        <v/>
      </c>
      <c r="G2715" s="10" t="str">
        <v/>
      </c>
      <c r="H2715" s="11" t="str">
        <v/>
      </c>
      <c r="I2715" s="11" t="str">
        <v/>
      </c>
    </row>
    <row r="2716" spans="2:9">
      <c r="B2716" s="11" t="str">
        <f t="shared" si="216"/>
        <v/>
      </c>
      <c r="C2716" s="11" t="str">
        <f t="shared" si="219"/>
        <v/>
      </c>
      <c r="D2716" s="11" t="str">
        <f t="shared" si="220"/>
        <v/>
      </c>
      <c r="E2716" s="11" t="str">
        <f t="shared" si="217"/>
        <v/>
      </c>
      <c r="F2716" s="11" t="str">
        <f t="shared" si="218"/>
        <v/>
      </c>
      <c r="G2716" s="10" t="str">
        <v/>
      </c>
      <c r="H2716" s="11" t="str">
        <v/>
      </c>
      <c r="I2716" s="11" t="str">
        <v/>
      </c>
    </row>
    <row r="2717" spans="2:9">
      <c r="B2717" s="11" t="str">
        <f t="shared" si="216"/>
        <v/>
      </c>
      <c r="C2717" s="11" t="str">
        <f t="shared" si="219"/>
        <v/>
      </c>
      <c r="D2717" s="11" t="str">
        <f t="shared" si="220"/>
        <v/>
      </c>
      <c r="E2717" s="11" t="str">
        <f t="shared" si="217"/>
        <v/>
      </c>
      <c r="F2717" s="11" t="str">
        <f t="shared" si="218"/>
        <v/>
      </c>
      <c r="G2717" s="10" t="str">
        <v/>
      </c>
      <c r="H2717" s="11" t="str">
        <v/>
      </c>
      <c r="I2717" s="11" t="str">
        <v/>
      </c>
    </row>
    <row r="2718" spans="2:9">
      <c r="B2718" s="11" t="str">
        <f t="shared" si="216"/>
        <v/>
      </c>
      <c r="C2718" s="11" t="str">
        <f t="shared" si="219"/>
        <v/>
      </c>
      <c r="D2718" s="11" t="str">
        <f t="shared" si="220"/>
        <v/>
      </c>
      <c r="E2718" s="11" t="str">
        <f t="shared" si="217"/>
        <v/>
      </c>
      <c r="F2718" s="11" t="str">
        <f t="shared" si="218"/>
        <v/>
      </c>
      <c r="G2718" s="10" t="str">
        <v/>
      </c>
      <c r="H2718" s="11" t="str">
        <v/>
      </c>
      <c r="I2718" s="11" t="str">
        <v/>
      </c>
    </row>
    <row r="2719" spans="2:9">
      <c r="B2719" s="11" t="str">
        <f t="shared" si="216"/>
        <v/>
      </c>
      <c r="C2719" s="11" t="str">
        <f t="shared" si="219"/>
        <v/>
      </c>
      <c r="D2719" s="11" t="str">
        <f t="shared" si="220"/>
        <v/>
      </c>
      <c r="E2719" s="11" t="str">
        <f t="shared" si="217"/>
        <v/>
      </c>
      <c r="F2719" s="11" t="str">
        <f t="shared" si="218"/>
        <v/>
      </c>
      <c r="G2719" s="10" t="str">
        <v/>
      </c>
      <c r="H2719" s="11" t="str">
        <v/>
      </c>
      <c r="I2719" s="11" t="str">
        <v/>
      </c>
    </row>
    <row r="2720" spans="2:9">
      <c r="B2720" s="11" t="str">
        <f t="shared" si="216"/>
        <v/>
      </c>
      <c r="C2720" s="11" t="str">
        <f t="shared" si="219"/>
        <v/>
      </c>
      <c r="D2720" s="11" t="str">
        <f t="shared" si="220"/>
        <v/>
      </c>
      <c r="E2720" s="11" t="str">
        <f t="shared" si="217"/>
        <v/>
      </c>
      <c r="F2720" s="11" t="str">
        <f t="shared" si="218"/>
        <v/>
      </c>
      <c r="G2720" s="10" t="str">
        <v/>
      </c>
      <c r="H2720" s="11" t="str">
        <v/>
      </c>
      <c r="I2720" s="11" t="str">
        <v/>
      </c>
    </row>
    <row r="2721" spans="2:9">
      <c r="B2721" s="11" t="str">
        <f t="shared" si="216"/>
        <v/>
      </c>
      <c r="C2721" s="11" t="str">
        <f t="shared" si="219"/>
        <v/>
      </c>
      <c r="D2721" s="11" t="str">
        <f t="shared" si="220"/>
        <v/>
      </c>
      <c r="E2721" s="11" t="str">
        <f t="shared" si="217"/>
        <v/>
      </c>
      <c r="F2721" s="11" t="str">
        <f t="shared" si="218"/>
        <v/>
      </c>
      <c r="G2721" s="10" t="str">
        <v/>
      </c>
      <c r="H2721" s="11" t="str">
        <v/>
      </c>
      <c r="I2721" s="11" t="str">
        <v/>
      </c>
    </row>
    <row r="2722" spans="2:9">
      <c r="B2722" s="11" t="str">
        <f t="shared" si="216"/>
        <v/>
      </c>
      <c r="C2722" s="11" t="str">
        <f t="shared" si="219"/>
        <v/>
      </c>
      <c r="D2722" s="11" t="str">
        <f t="shared" si="220"/>
        <v/>
      </c>
      <c r="E2722" s="11" t="str">
        <f t="shared" si="217"/>
        <v/>
      </c>
      <c r="F2722" s="11" t="str">
        <f t="shared" si="218"/>
        <v/>
      </c>
      <c r="G2722" s="10" t="str">
        <v/>
      </c>
      <c r="H2722" s="11" t="str">
        <v/>
      </c>
      <c r="I2722" s="11" t="str">
        <v/>
      </c>
    </row>
    <row r="2723" spans="2:9">
      <c r="B2723" s="11" t="str">
        <f t="shared" si="216"/>
        <v/>
      </c>
      <c r="C2723" s="11" t="str">
        <f t="shared" si="219"/>
        <v/>
      </c>
      <c r="D2723" s="11" t="str">
        <f t="shared" si="220"/>
        <v/>
      </c>
      <c r="E2723" s="11" t="str">
        <f t="shared" si="217"/>
        <v/>
      </c>
      <c r="F2723" s="11" t="str">
        <f t="shared" si="218"/>
        <v/>
      </c>
      <c r="G2723" s="10" t="str">
        <v/>
      </c>
      <c r="H2723" s="11" t="str">
        <v/>
      </c>
      <c r="I2723" s="11" t="str">
        <v/>
      </c>
    </row>
    <row r="2724" spans="2:9">
      <c r="B2724" s="11" t="str">
        <f t="shared" si="216"/>
        <v/>
      </c>
      <c r="C2724" s="11" t="str">
        <f t="shared" si="219"/>
        <v/>
      </c>
      <c r="D2724" s="11" t="str">
        <f t="shared" si="220"/>
        <v/>
      </c>
      <c r="E2724" s="11" t="str">
        <f t="shared" si="217"/>
        <v/>
      </c>
      <c r="F2724" s="11" t="str">
        <f t="shared" si="218"/>
        <v/>
      </c>
      <c r="G2724" s="10" t="str">
        <v/>
      </c>
      <c r="H2724" s="11" t="str">
        <v/>
      </c>
      <c r="I2724" s="11" t="str">
        <v/>
      </c>
    </row>
    <row r="2725" spans="2:9">
      <c r="B2725" s="11" t="str">
        <f t="shared" si="216"/>
        <v/>
      </c>
      <c r="C2725" s="11" t="str">
        <f t="shared" si="219"/>
        <v/>
      </c>
      <c r="D2725" s="11" t="str">
        <f t="shared" si="220"/>
        <v/>
      </c>
      <c r="E2725" s="11" t="str">
        <f t="shared" si="217"/>
        <v/>
      </c>
      <c r="F2725" s="11" t="str">
        <f t="shared" si="218"/>
        <v/>
      </c>
      <c r="G2725" s="10" t="str">
        <v/>
      </c>
      <c r="H2725" s="11" t="str">
        <v/>
      </c>
      <c r="I2725" s="11" t="str">
        <v/>
      </c>
    </row>
    <row r="2726" spans="2:9">
      <c r="B2726" s="11" t="str">
        <f t="shared" si="216"/>
        <v/>
      </c>
      <c r="C2726" s="11" t="str">
        <f t="shared" si="219"/>
        <v/>
      </c>
      <c r="D2726" s="11" t="str">
        <f t="shared" si="220"/>
        <v/>
      </c>
      <c r="E2726" s="11" t="str">
        <f t="shared" si="217"/>
        <v/>
      </c>
      <c r="F2726" s="11" t="str">
        <f t="shared" si="218"/>
        <v/>
      </c>
      <c r="G2726" s="10" t="str">
        <v/>
      </c>
      <c r="H2726" s="11" t="str">
        <v/>
      </c>
      <c r="I2726" s="11" t="str">
        <v/>
      </c>
    </row>
    <row r="2727" spans="2:9">
      <c r="B2727" s="11" t="str">
        <f t="shared" si="216"/>
        <v/>
      </c>
      <c r="C2727" s="11" t="str">
        <f t="shared" si="219"/>
        <v/>
      </c>
      <c r="D2727" s="11" t="str">
        <f t="shared" si="220"/>
        <v/>
      </c>
      <c r="E2727" s="11" t="str">
        <f t="shared" si="217"/>
        <v/>
      </c>
      <c r="F2727" s="11" t="str">
        <f t="shared" si="218"/>
        <v/>
      </c>
      <c r="G2727" s="10" t="str">
        <v/>
      </c>
      <c r="H2727" s="11" t="str">
        <v/>
      </c>
      <c r="I2727" s="11" t="str">
        <v/>
      </c>
    </row>
    <row r="2728" spans="2:9">
      <c r="B2728" s="11" t="str">
        <f t="shared" si="216"/>
        <v/>
      </c>
      <c r="C2728" s="11" t="str">
        <f t="shared" si="219"/>
        <v/>
      </c>
      <c r="D2728" s="11" t="str">
        <f t="shared" si="220"/>
        <v/>
      </c>
      <c r="E2728" s="11" t="str">
        <f t="shared" si="217"/>
        <v/>
      </c>
      <c r="F2728" s="11" t="str">
        <f t="shared" si="218"/>
        <v/>
      </c>
      <c r="G2728" s="10" t="str">
        <v/>
      </c>
      <c r="H2728" s="11" t="str">
        <v/>
      </c>
      <c r="I2728" s="11" t="str">
        <v/>
      </c>
    </row>
    <row r="2729" spans="2:9">
      <c r="B2729" s="11" t="str">
        <f t="shared" si="216"/>
        <v/>
      </c>
      <c r="C2729" s="11" t="str">
        <f t="shared" si="219"/>
        <v/>
      </c>
      <c r="D2729" s="11" t="str">
        <f t="shared" si="220"/>
        <v/>
      </c>
      <c r="E2729" s="11" t="str">
        <f t="shared" si="217"/>
        <v/>
      </c>
      <c r="F2729" s="11" t="str">
        <f t="shared" si="218"/>
        <v/>
      </c>
      <c r="G2729" s="10" t="str">
        <v/>
      </c>
      <c r="H2729" s="11" t="str">
        <v/>
      </c>
      <c r="I2729" s="11" t="str">
        <v/>
      </c>
    </row>
    <row r="2730" spans="2:9">
      <c r="B2730" s="11" t="str">
        <f t="shared" si="216"/>
        <v/>
      </c>
      <c r="C2730" s="11" t="str">
        <f t="shared" si="219"/>
        <v/>
      </c>
      <c r="D2730" s="11" t="str">
        <f t="shared" si="220"/>
        <v/>
      </c>
      <c r="E2730" s="11" t="str">
        <f t="shared" si="217"/>
        <v/>
      </c>
      <c r="F2730" s="11" t="str">
        <f t="shared" si="218"/>
        <v/>
      </c>
      <c r="G2730" s="10" t="str">
        <v/>
      </c>
      <c r="H2730" s="11" t="str">
        <v/>
      </c>
      <c r="I2730" s="11" t="str">
        <v/>
      </c>
    </row>
    <row r="2731" spans="2:9">
      <c r="B2731" s="11" t="str">
        <f t="shared" si="216"/>
        <v/>
      </c>
      <c r="C2731" s="11" t="str">
        <f t="shared" si="219"/>
        <v/>
      </c>
      <c r="D2731" s="11" t="str">
        <f t="shared" si="220"/>
        <v/>
      </c>
      <c r="E2731" s="11" t="str">
        <f t="shared" si="217"/>
        <v/>
      </c>
      <c r="F2731" s="11" t="str">
        <f t="shared" si="218"/>
        <v/>
      </c>
      <c r="G2731" s="10" t="str">
        <v/>
      </c>
      <c r="H2731" s="11" t="str">
        <v/>
      </c>
      <c r="I2731" s="11" t="str">
        <v/>
      </c>
    </row>
    <row r="2732" spans="2:9">
      <c r="B2732" s="11" t="str">
        <f t="shared" si="216"/>
        <v/>
      </c>
      <c r="C2732" s="11" t="str">
        <f t="shared" si="219"/>
        <v/>
      </c>
      <c r="D2732" s="11" t="str">
        <f t="shared" si="220"/>
        <v/>
      </c>
      <c r="E2732" s="11" t="str">
        <f t="shared" si="217"/>
        <v/>
      </c>
      <c r="F2732" s="11" t="str">
        <f t="shared" si="218"/>
        <v/>
      </c>
      <c r="G2732" s="10" t="str">
        <v/>
      </c>
      <c r="H2732" s="11" t="str">
        <v/>
      </c>
      <c r="I2732" s="11" t="str">
        <v/>
      </c>
    </row>
    <row r="2733" spans="2:9">
      <c r="B2733" s="11" t="str">
        <f t="shared" si="216"/>
        <v/>
      </c>
      <c r="C2733" s="11" t="str">
        <f t="shared" si="219"/>
        <v/>
      </c>
      <c r="D2733" s="11" t="str">
        <f t="shared" si="220"/>
        <v/>
      </c>
      <c r="E2733" s="11" t="str">
        <f t="shared" si="217"/>
        <v/>
      </c>
      <c r="F2733" s="11" t="str">
        <f t="shared" si="218"/>
        <v/>
      </c>
      <c r="G2733" s="10" t="str">
        <v/>
      </c>
      <c r="H2733" s="11" t="str">
        <v/>
      </c>
      <c r="I2733" s="11" t="str">
        <v/>
      </c>
    </row>
    <row r="2734" spans="2:9">
      <c r="B2734" s="11" t="str">
        <f t="shared" si="216"/>
        <v/>
      </c>
      <c r="C2734" s="11" t="str">
        <f t="shared" si="219"/>
        <v/>
      </c>
      <c r="D2734" s="11" t="str">
        <f t="shared" si="220"/>
        <v/>
      </c>
      <c r="E2734" s="11" t="str">
        <f t="shared" si="217"/>
        <v/>
      </c>
      <c r="F2734" s="11" t="str">
        <f t="shared" si="218"/>
        <v/>
      </c>
      <c r="G2734" s="10" t="str">
        <v/>
      </c>
      <c r="H2734" s="11" t="str">
        <v/>
      </c>
      <c r="I2734" s="11" t="str">
        <v/>
      </c>
    </row>
    <row r="2735" spans="2:9">
      <c r="B2735" s="11" t="str">
        <f t="shared" si="216"/>
        <v/>
      </c>
      <c r="C2735" s="11" t="str">
        <f t="shared" si="219"/>
        <v/>
      </c>
      <c r="D2735" s="11" t="str">
        <f t="shared" si="220"/>
        <v/>
      </c>
      <c r="E2735" s="11" t="str">
        <f t="shared" si="217"/>
        <v/>
      </c>
      <c r="F2735" s="11" t="str">
        <f t="shared" si="218"/>
        <v/>
      </c>
      <c r="G2735" s="10" t="str">
        <v/>
      </c>
      <c r="H2735" s="11" t="str">
        <v/>
      </c>
      <c r="I2735" s="11" t="str">
        <v/>
      </c>
    </row>
    <row r="2736" spans="2:9">
      <c r="B2736" s="11" t="str">
        <f t="shared" si="216"/>
        <v/>
      </c>
      <c r="C2736" s="11" t="str">
        <f t="shared" si="219"/>
        <v/>
      </c>
      <c r="D2736" s="11" t="str">
        <f t="shared" si="220"/>
        <v/>
      </c>
      <c r="E2736" s="11" t="str">
        <f t="shared" si="217"/>
        <v/>
      </c>
      <c r="F2736" s="11" t="str">
        <f t="shared" si="218"/>
        <v/>
      </c>
      <c r="G2736" s="10" t="str">
        <v/>
      </c>
      <c r="H2736" s="11" t="str">
        <v/>
      </c>
      <c r="I2736" s="11" t="str">
        <v/>
      </c>
    </row>
    <row r="2737" spans="2:9">
      <c r="B2737" s="11" t="str">
        <f t="shared" si="216"/>
        <v/>
      </c>
      <c r="C2737" s="11" t="str">
        <f t="shared" si="219"/>
        <v/>
      </c>
      <c r="D2737" s="11" t="str">
        <f t="shared" si="220"/>
        <v/>
      </c>
      <c r="E2737" s="11" t="str">
        <f t="shared" si="217"/>
        <v/>
      </c>
      <c r="F2737" s="11" t="str">
        <f t="shared" si="218"/>
        <v/>
      </c>
      <c r="G2737" s="10" t="str">
        <v/>
      </c>
      <c r="H2737" s="11" t="str">
        <v/>
      </c>
      <c r="I2737" s="11" t="str">
        <v/>
      </c>
    </row>
    <row r="2738" spans="2:9">
      <c r="B2738" s="11" t="str">
        <f t="shared" si="216"/>
        <v/>
      </c>
      <c r="C2738" s="11" t="str">
        <f t="shared" si="219"/>
        <v/>
      </c>
      <c r="D2738" s="11" t="str">
        <f t="shared" si="220"/>
        <v/>
      </c>
      <c r="E2738" s="11" t="str">
        <f t="shared" si="217"/>
        <v/>
      </c>
      <c r="F2738" s="11" t="str">
        <f t="shared" si="218"/>
        <v/>
      </c>
      <c r="G2738" s="10" t="str">
        <v/>
      </c>
      <c r="H2738" s="11" t="str">
        <v/>
      </c>
      <c r="I2738" s="11" t="str">
        <v/>
      </c>
    </row>
    <row r="2739" spans="2:9">
      <c r="B2739" s="11" t="str">
        <f t="shared" si="216"/>
        <v/>
      </c>
      <c r="C2739" s="11" t="str">
        <f t="shared" si="219"/>
        <v/>
      </c>
      <c r="D2739" s="11" t="str">
        <f t="shared" si="220"/>
        <v/>
      </c>
      <c r="E2739" s="11" t="str">
        <f t="shared" si="217"/>
        <v/>
      </c>
      <c r="F2739" s="11" t="str">
        <f t="shared" si="218"/>
        <v/>
      </c>
      <c r="G2739" s="10" t="str">
        <v/>
      </c>
      <c r="H2739" s="11" t="str">
        <v/>
      </c>
      <c r="I2739" s="11" t="str">
        <v/>
      </c>
    </row>
    <row r="2740" spans="2:9">
      <c r="B2740" s="11" t="str">
        <f t="shared" si="216"/>
        <v/>
      </c>
      <c r="C2740" s="11" t="str">
        <f t="shared" si="219"/>
        <v/>
      </c>
      <c r="D2740" s="11" t="str">
        <f t="shared" si="220"/>
        <v/>
      </c>
      <c r="E2740" s="11" t="str">
        <f t="shared" si="217"/>
        <v/>
      </c>
      <c r="F2740" s="11" t="str">
        <f t="shared" si="218"/>
        <v/>
      </c>
      <c r="G2740" s="10" t="str">
        <v/>
      </c>
      <c r="H2740" s="11" t="str">
        <v/>
      </c>
      <c r="I2740" s="11" t="str">
        <v/>
      </c>
    </row>
    <row r="2741" spans="2:9">
      <c r="B2741" s="11" t="str">
        <f t="shared" si="216"/>
        <v/>
      </c>
      <c r="C2741" s="11" t="str">
        <f t="shared" si="219"/>
        <v/>
      </c>
      <c r="D2741" s="11" t="str">
        <f t="shared" si="220"/>
        <v/>
      </c>
      <c r="E2741" s="11" t="str">
        <f t="shared" si="217"/>
        <v/>
      </c>
      <c r="F2741" s="11" t="str">
        <f t="shared" si="218"/>
        <v/>
      </c>
      <c r="G2741" s="10" t="str">
        <v/>
      </c>
      <c r="H2741" s="11" t="str">
        <v/>
      </c>
      <c r="I2741" s="11" t="str">
        <v/>
      </c>
    </row>
    <row r="2742" spans="2:9">
      <c r="B2742" s="11" t="str">
        <f t="shared" si="216"/>
        <v/>
      </c>
      <c r="C2742" s="11" t="str">
        <f t="shared" si="219"/>
        <v/>
      </c>
      <c r="D2742" s="11" t="str">
        <f t="shared" si="220"/>
        <v/>
      </c>
      <c r="E2742" s="11" t="str">
        <f t="shared" si="217"/>
        <v/>
      </c>
      <c r="F2742" s="11" t="str">
        <f t="shared" si="218"/>
        <v/>
      </c>
      <c r="G2742" s="10" t="str">
        <v/>
      </c>
      <c r="H2742" s="11" t="str">
        <v/>
      </c>
      <c r="I2742" s="11" t="str">
        <v/>
      </c>
    </row>
    <row r="2743" spans="2:9">
      <c r="B2743" s="11" t="str">
        <f t="shared" si="216"/>
        <v/>
      </c>
      <c r="C2743" s="11" t="str">
        <f t="shared" si="219"/>
        <v/>
      </c>
      <c r="D2743" s="11" t="str">
        <f t="shared" si="220"/>
        <v/>
      </c>
      <c r="E2743" s="11" t="str">
        <f t="shared" si="217"/>
        <v/>
      </c>
      <c r="F2743" s="11" t="str">
        <f t="shared" si="218"/>
        <v/>
      </c>
      <c r="G2743" s="10" t="str">
        <v/>
      </c>
      <c r="H2743" s="11" t="str">
        <v/>
      </c>
      <c r="I2743" s="11" t="str">
        <v/>
      </c>
    </row>
    <row r="2744" spans="2:9">
      <c r="B2744" s="11" t="str">
        <f t="shared" si="216"/>
        <v/>
      </c>
      <c r="C2744" s="11" t="str">
        <f t="shared" si="219"/>
        <v/>
      </c>
      <c r="D2744" s="11" t="str">
        <f t="shared" si="220"/>
        <v/>
      </c>
      <c r="E2744" s="11" t="str">
        <f t="shared" si="217"/>
        <v/>
      </c>
      <c r="F2744" s="11" t="str">
        <f t="shared" si="218"/>
        <v/>
      </c>
      <c r="G2744" s="10" t="str">
        <v/>
      </c>
      <c r="H2744" s="11" t="str">
        <v/>
      </c>
      <c r="I2744" s="11" t="str">
        <v/>
      </c>
    </row>
    <row r="2745" spans="2:9">
      <c r="B2745" s="11" t="str">
        <f t="shared" si="216"/>
        <v/>
      </c>
      <c r="C2745" s="11" t="str">
        <f t="shared" si="219"/>
        <v/>
      </c>
      <c r="D2745" s="11" t="str">
        <f t="shared" si="220"/>
        <v/>
      </c>
      <c r="E2745" s="11" t="str">
        <f t="shared" si="217"/>
        <v/>
      </c>
      <c r="F2745" s="11" t="str">
        <f t="shared" si="218"/>
        <v/>
      </c>
      <c r="G2745" s="10" t="str">
        <v/>
      </c>
      <c r="H2745" s="11" t="str">
        <v/>
      </c>
      <c r="I2745" s="11" t="str">
        <v/>
      </c>
    </row>
    <row r="2746" spans="2:9">
      <c r="B2746" s="11" t="str">
        <f t="shared" si="216"/>
        <v/>
      </c>
      <c r="C2746" s="11" t="str">
        <f t="shared" si="219"/>
        <v/>
      </c>
      <c r="D2746" s="11" t="str">
        <f t="shared" si="220"/>
        <v/>
      </c>
      <c r="E2746" s="11" t="str">
        <f t="shared" si="217"/>
        <v/>
      </c>
      <c r="F2746" s="11" t="str">
        <f t="shared" si="218"/>
        <v/>
      </c>
      <c r="G2746" s="10" t="str">
        <v/>
      </c>
      <c r="H2746" s="11" t="str">
        <v/>
      </c>
      <c r="I2746" s="11" t="str">
        <v/>
      </c>
    </row>
    <row r="2747" spans="2:9">
      <c r="B2747" s="11" t="str">
        <f t="shared" si="216"/>
        <v/>
      </c>
      <c r="C2747" s="11" t="str">
        <f t="shared" si="219"/>
        <v/>
      </c>
      <c r="D2747" s="11" t="str">
        <f t="shared" si="220"/>
        <v/>
      </c>
      <c r="E2747" s="11" t="str">
        <f t="shared" si="217"/>
        <v/>
      </c>
      <c r="F2747" s="11" t="str">
        <f t="shared" si="218"/>
        <v/>
      </c>
      <c r="G2747" s="10" t="str">
        <v/>
      </c>
      <c r="H2747" s="11" t="str">
        <v/>
      </c>
      <c r="I2747" s="11" t="str">
        <v/>
      </c>
    </row>
    <row r="2748" spans="2:9">
      <c r="B2748" s="11" t="str">
        <f t="shared" si="216"/>
        <v/>
      </c>
      <c r="C2748" s="11" t="str">
        <f t="shared" si="219"/>
        <v/>
      </c>
      <c r="D2748" s="11" t="str">
        <f t="shared" si="220"/>
        <v/>
      </c>
      <c r="E2748" s="11" t="str">
        <f t="shared" si="217"/>
        <v/>
      </c>
      <c r="F2748" s="11" t="str">
        <f t="shared" si="218"/>
        <v/>
      </c>
      <c r="G2748" s="10" t="str">
        <v/>
      </c>
      <c r="H2748" s="11" t="str">
        <v/>
      </c>
      <c r="I2748" s="11" t="str">
        <v/>
      </c>
    </row>
    <row r="2749" spans="2:9">
      <c r="B2749" s="11" t="str">
        <f t="shared" si="216"/>
        <v/>
      </c>
      <c r="C2749" s="11" t="str">
        <f t="shared" si="219"/>
        <v/>
      </c>
      <c r="D2749" s="11" t="str">
        <f t="shared" si="220"/>
        <v/>
      </c>
      <c r="E2749" s="11" t="str">
        <f t="shared" si="217"/>
        <v/>
      </c>
      <c r="F2749" s="11" t="str">
        <f t="shared" si="218"/>
        <v/>
      </c>
      <c r="G2749" s="10" t="str">
        <v/>
      </c>
      <c r="H2749" s="11" t="str">
        <v/>
      </c>
      <c r="I2749" s="11" t="str">
        <v/>
      </c>
    </row>
    <row r="2750" spans="2:9">
      <c r="B2750" s="11" t="str">
        <f t="shared" si="216"/>
        <v/>
      </c>
      <c r="C2750" s="11" t="str">
        <f t="shared" si="219"/>
        <v/>
      </c>
      <c r="D2750" s="11" t="str">
        <f t="shared" si="220"/>
        <v/>
      </c>
      <c r="E2750" s="11" t="str">
        <f t="shared" si="217"/>
        <v/>
      </c>
      <c r="F2750" s="11" t="str">
        <f t="shared" si="218"/>
        <v/>
      </c>
      <c r="G2750" s="10" t="str">
        <v/>
      </c>
      <c r="H2750" s="11" t="str">
        <v/>
      </c>
      <c r="I2750" s="11" t="str">
        <v/>
      </c>
    </row>
    <row r="2751" spans="2:9">
      <c r="B2751" s="11" t="str">
        <f t="shared" si="216"/>
        <v/>
      </c>
      <c r="C2751" s="11" t="str">
        <f t="shared" si="219"/>
        <v/>
      </c>
      <c r="D2751" s="11" t="str">
        <f t="shared" si="220"/>
        <v/>
      </c>
      <c r="E2751" s="11" t="str">
        <f t="shared" si="217"/>
        <v/>
      </c>
      <c r="F2751" s="11" t="str">
        <f t="shared" si="218"/>
        <v/>
      </c>
      <c r="G2751" s="10" t="str">
        <v/>
      </c>
      <c r="H2751" s="11" t="str">
        <v/>
      </c>
      <c r="I2751" s="11" t="str">
        <v/>
      </c>
    </row>
    <row r="2752" spans="2:9">
      <c r="B2752" s="11" t="str">
        <f t="shared" si="216"/>
        <v/>
      </c>
      <c r="C2752" s="11" t="str">
        <f t="shared" si="219"/>
        <v/>
      </c>
      <c r="D2752" s="11" t="str">
        <f t="shared" si="220"/>
        <v/>
      </c>
      <c r="E2752" s="11" t="str">
        <f t="shared" si="217"/>
        <v/>
      </c>
      <c r="F2752" s="11" t="str">
        <f t="shared" si="218"/>
        <v/>
      </c>
      <c r="G2752" s="10" t="str">
        <v/>
      </c>
      <c r="H2752" s="11" t="str">
        <v/>
      </c>
      <c r="I2752" s="11" t="str">
        <v/>
      </c>
    </row>
    <row r="2753" spans="2:9">
      <c r="B2753" s="11" t="str">
        <f t="shared" ref="B2753:B2816" si="221">IFERROR(IF(FIND(" ",A2753)=6,IF(IFERROR(FIND(" PB",A2753),"")&lt;&gt;"","артикул",IF(IFERROR(FIND(" CRN",A2753),"")&lt;&gt;"","артикул","")),""),"")</f>
        <v/>
      </c>
      <c r="C2753" s="11" t="str">
        <f t="shared" si="219"/>
        <v/>
      </c>
      <c r="D2753" s="11" t="str">
        <f t="shared" si="220"/>
        <v/>
      </c>
      <c r="E2753" s="11" t="str">
        <f t="shared" si="217"/>
        <v/>
      </c>
      <c r="F2753" s="11" t="str">
        <f t="shared" si="218"/>
        <v/>
      </c>
      <c r="G2753" s="10" t="str">
        <v/>
      </c>
      <c r="H2753" s="11" t="str">
        <v/>
      </c>
      <c r="I2753" s="11" t="str">
        <v/>
      </c>
    </row>
    <row r="2754" spans="2:9">
      <c r="B2754" s="11" t="str">
        <f t="shared" si="221"/>
        <v/>
      </c>
      <c r="C2754" s="11" t="str">
        <f t="shared" si="219"/>
        <v/>
      </c>
      <c r="D2754" s="11" t="str">
        <f t="shared" si="220"/>
        <v/>
      </c>
      <c r="E2754" s="11" t="str">
        <f t="shared" ref="E2754:E2817" si="222" xml:space="preserve">
IF(B2754="Артикул",
IF(
AND(RIGHT(A2755,1)="%",
RIGHT(A2756,1)="%",
RIGHT(A2757,1)="%",
RIGHT(A2758,1)="%"),MID(A2759,FIND(" ",A2759),50),
IF(
AND(RIGHT(A2755,1)="%",
RIGHT(A2756,1)="%",
RIGHT(A2757,1)="%"),MID(A2758,FIND(" ",A2758),50),
IF(
AND(RIGHT(A2755,1)="%",
RIGHT(A2756,1)="%"),
MID(A2757,FIND(" ",A2757),50),
IF(
RIGHT(A2755,1)="%",
MID(A2756,FIND(" ",A2756),50),"")))),"")</f>
        <v/>
      </c>
      <c r="F2754" s="11" t="str">
        <f t="shared" ref="F2754:F2817" si="223">IFERROR(
IF(
AND(LEFT(A2754,8)="Discount",FIND("%",A2754)&gt;0),
MID(A2754,
FIND(" ",A2754),
FIND("%",A2754)-FIND(" ",A2754))
*-1,""),"")</f>
        <v/>
      </c>
      <c r="G2754" s="10" t="str">
        <v/>
      </c>
      <c r="H2754" s="11" t="str">
        <v/>
      </c>
      <c r="I2754" s="11" t="str">
        <v/>
      </c>
    </row>
    <row r="2755" spans="2:9">
      <c r="B2755" s="11" t="str">
        <f t="shared" si="221"/>
        <v/>
      </c>
      <c r="C2755" s="11" t="str">
        <f t="shared" si="219"/>
        <v/>
      </c>
      <c r="D2755" s="11" t="str">
        <f t="shared" si="220"/>
        <v/>
      </c>
      <c r="E2755" s="11" t="str">
        <f t="shared" si="222"/>
        <v/>
      </c>
      <c r="F2755" s="11" t="str">
        <f t="shared" si="223"/>
        <v/>
      </c>
      <c r="G2755" s="10" t="str">
        <v/>
      </c>
      <c r="H2755" s="11" t="str">
        <v/>
      </c>
      <c r="I2755" s="11" t="str">
        <v/>
      </c>
    </row>
    <row r="2756" spans="2:9">
      <c r="B2756" s="11" t="str">
        <f t="shared" si="221"/>
        <v/>
      </c>
      <c r="C2756" s="11" t="str">
        <f t="shared" si="219"/>
        <v/>
      </c>
      <c r="D2756" s="11" t="str">
        <f t="shared" si="220"/>
        <v/>
      </c>
      <c r="E2756" s="11" t="str">
        <f t="shared" si="222"/>
        <v/>
      </c>
      <c r="F2756" s="11" t="str">
        <f t="shared" si="223"/>
        <v/>
      </c>
      <c r="G2756" s="10" t="str">
        <v/>
      </c>
      <c r="H2756" s="11" t="str">
        <v/>
      </c>
      <c r="I2756" s="11" t="str">
        <v/>
      </c>
    </row>
    <row r="2757" spans="2:9">
      <c r="B2757" s="11" t="str">
        <f t="shared" si="221"/>
        <v/>
      </c>
      <c r="C2757" s="11" t="str">
        <f t="shared" si="219"/>
        <v/>
      </c>
      <c r="D2757" s="11" t="str">
        <f t="shared" si="220"/>
        <v/>
      </c>
      <c r="E2757" s="11" t="str">
        <f t="shared" si="222"/>
        <v/>
      </c>
      <c r="F2757" s="11" t="str">
        <f t="shared" si="223"/>
        <v/>
      </c>
      <c r="G2757" s="10" t="str">
        <v/>
      </c>
      <c r="H2757" s="11" t="str">
        <v/>
      </c>
      <c r="I2757" s="11" t="str">
        <v/>
      </c>
    </row>
    <row r="2758" spans="2:9">
      <c r="B2758" s="11" t="str">
        <f t="shared" si="221"/>
        <v/>
      </c>
      <c r="C2758" s="11" t="str">
        <f t="shared" si="219"/>
        <v/>
      </c>
      <c r="D2758" s="11" t="str">
        <f t="shared" si="220"/>
        <v/>
      </c>
      <c r="E2758" s="11" t="str">
        <f t="shared" si="222"/>
        <v/>
      </c>
      <c r="F2758" s="11" t="str">
        <f t="shared" si="223"/>
        <v/>
      </c>
      <c r="G2758" s="10" t="str">
        <v/>
      </c>
      <c r="H2758" s="11" t="str">
        <v/>
      </c>
      <c r="I2758" s="11" t="str">
        <v/>
      </c>
    </row>
    <row r="2759" spans="2:9">
      <c r="B2759" s="11" t="str">
        <f t="shared" si="221"/>
        <v/>
      </c>
      <c r="C2759" s="11" t="str">
        <f t="shared" si="219"/>
        <v/>
      </c>
      <c r="D2759" s="11" t="str">
        <f t="shared" si="220"/>
        <v/>
      </c>
      <c r="E2759" s="11" t="str">
        <f t="shared" si="222"/>
        <v/>
      </c>
      <c r="F2759" s="11" t="str">
        <f t="shared" si="223"/>
        <v/>
      </c>
      <c r="G2759" s="10" t="str">
        <v/>
      </c>
      <c r="H2759" s="11" t="str">
        <v/>
      </c>
      <c r="I2759" s="11" t="str">
        <v/>
      </c>
    </row>
    <row r="2760" spans="2:9">
      <c r="B2760" s="11" t="str">
        <f t="shared" si="221"/>
        <v/>
      </c>
      <c r="C2760" s="11" t="str">
        <f t="shared" si="219"/>
        <v/>
      </c>
      <c r="D2760" s="11" t="str">
        <f t="shared" si="220"/>
        <v/>
      </c>
      <c r="E2760" s="11" t="str">
        <f t="shared" si="222"/>
        <v/>
      </c>
      <c r="F2760" s="11" t="str">
        <f t="shared" si="223"/>
        <v/>
      </c>
      <c r="G2760" s="10" t="str">
        <v/>
      </c>
      <c r="H2760" s="11" t="str">
        <v/>
      </c>
      <c r="I2760" s="11" t="str">
        <v/>
      </c>
    </row>
    <row r="2761" spans="2:9">
      <c r="B2761" s="11" t="str">
        <f t="shared" si="221"/>
        <v/>
      </c>
      <c r="C2761" s="11" t="str">
        <f t="shared" si="219"/>
        <v/>
      </c>
      <c r="D2761" s="11" t="str">
        <f t="shared" si="220"/>
        <v/>
      </c>
      <c r="E2761" s="11" t="str">
        <f t="shared" si="222"/>
        <v/>
      </c>
      <c r="F2761" s="11" t="str">
        <f t="shared" si="223"/>
        <v/>
      </c>
      <c r="G2761" s="10" t="str">
        <v/>
      </c>
      <c r="H2761" s="11" t="str">
        <v/>
      </c>
      <c r="I2761" s="11" t="str">
        <v/>
      </c>
    </row>
    <row r="2762" spans="2:9">
      <c r="B2762" s="11" t="str">
        <f t="shared" si="221"/>
        <v/>
      </c>
      <c r="C2762" s="11" t="str">
        <f t="shared" si="219"/>
        <v/>
      </c>
      <c r="D2762" s="11" t="str">
        <f t="shared" si="220"/>
        <v/>
      </c>
      <c r="E2762" s="11" t="str">
        <f t="shared" si="222"/>
        <v/>
      </c>
      <c r="F2762" s="11" t="str">
        <f t="shared" si="223"/>
        <v/>
      </c>
      <c r="G2762" s="10" t="str">
        <v/>
      </c>
      <c r="H2762" s="11" t="str">
        <v/>
      </c>
      <c r="I2762" s="11" t="str">
        <v/>
      </c>
    </row>
    <row r="2763" spans="2:9">
      <c r="B2763" s="11" t="str">
        <f t="shared" si="221"/>
        <v/>
      </c>
      <c r="C2763" s="11" t="str">
        <f t="shared" si="219"/>
        <v/>
      </c>
      <c r="D2763" s="11" t="str">
        <f t="shared" si="220"/>
        <v/>
      </c>
      <c r="E2763" s="11" t="str">
        <f t="shared" si="222"/>
        <v/>
      </c>
      <c r="F2763" s="11" t="str">
        <f t="shared" si="223"/>
        <v/>
      </c>
      <c r="G2763" s="10" t="str">
        <v/>
      </c>
      <c r="H2763" s="11" t="str">
        <v/>
      </c>
      <c r="I2763" s="11" t="str">
        <v/>
      </c>
    </row>
    <row r="2764" spans="2:9">
      <c r="B2764" s="11" t="str">
        <f t="shared" si="221"/>
        <v/>
      </c>
      <c r="C2764" s="11" t="str">
        <f t="shared" si="219"/>
        <v/>
      </c>
      <c r="D2764" s="11" t="str">
        <f t="shared" si="220"/>
        <v/>
      </c>
      <c r="E2764" s="11" t="str">
        <f t="shared" si="222"/>
        <v/>
      </c>
      <c r="F2764" s="11" t="str">
        <f t="shared" si="223"/>
        <v/>
      </c>
      <c r="G2764" s="10" t="str">
        <v/>
      </c>
      <c r="H2764" s="11" t="str">
        <v/>
      </c>
      <c r="I2764" s="11" t="str">
        <v/>
      </c>
    </row>
    <row r="2765" spans="2:9">
      <c r="B2765" s="11" t="str">
        <f t="shared" si="221"/>
        <v/>
      </c>
      <c r="C2765" s="11" t="str">
        <f t="shared" ref="C2765:C2828" si="224">IF(B2765="артикул",A2765,"")</f>
        <v/>
      </c>
      <c r="D2765" s="11" t="str">
        <f t="shared" ref="D2765:D2828" si="225">IF(B2765="артикул",A2766,"")</f>
        <v/>
      </c>
      <c r="E2765" s="11" t="str">
        <f t="shared" si="222"/>
        <v/>
      </c>
      <c r="F2765" s="11" t="str">
        <f t="shared" si="223"/>
        <v/>
      </c>
      <c r="G2765" s="10" t="str">
        <v/>
      </c>
      <c r="H2765" s="11" t="str">
        <v/>
      </c>
      <c r="I2765" s="11" t="str">
        <v/>
      </c>
    </row>
    <row r="2766" spans="2:9">
      <c r="B2766" s="11" t="str">
        <f t="shared" si="221"/>
        <v/>
      </c>
      <c r="C2766" s="11" t="str">
        <f t="shared" si="224"/>
        <v/>
      </c>
      <c r="D2766" s="11" t="str">
        <f t="shared" si="225"/>
        <v/>
      </c>
      <c r="E2766" s="11" t="str">
        <f t="shared" si="222"/>
        <v/>
      </c>
      <c r="F2766" s="11" t="str">
        <f t="shared" si="223"/>
        <v/>
      </c>
      <c r="G2766" s="10" t="str">
        <v/>
      </c>
      <c r="H2766" s="11" t="str">
        <v/>
      </c>
      <c r="I2766" s="11" t="str">
        <v/>
      </c>
    </row>
    <row r="2767" spans="2:9">
      <c r="B2767" s="11" t="str">
        <f t="shared" si="221"/>
        <v/>
      </c>
      <c r="C2767" s="11" t="str">
        <f t="shared" si="224"/>
        <v/>
      </c>
      <c r="D2767" s="11" t="str">
        <f t="shared" si="225"/>
        <v/>
      </c>
      <c r="E2767" s="11" t="str">
        <f t="shared" si="222"/>
        <v/>
      </c>
      <c r="F2767" s="11" t="str">
        <f t="shared" si="223"/>
        <v/>
      </c>
      <c r="G2767" s="10" t="str">
        <v/>
      </c>
      <c r="H2767" s="11" t="str">
        <v/>
      </c>
      <c r="I2767" s="11" t="str">
        <v/>
      </c>
    </row>
    <row r="2768" spans="2:9">
      <c r="B2768" s="11" t="str">
        <f t="shared" si="221"/>
        <v/>
      </c>
      <c r="C2768" s="11" t="str">
        <f t="shared" si="224"/>
        <v/>
      </c>
      <c r="D2768" s="11" t="str">
        <f t="shared" si="225"/>
        <v/>
      </c>
      <c r="E2768" s="11" t="str">
        <f t="shared" si="222"/>
        <v/>
      </c>
      <c r="F2768" s="11" t="str">
        <f t="shared" si="223"/>
        <v/>
      </c>
      <c r="G2768" s="10" t="str">
        <v/>
      </c>
      <c r="H2768" s="11" t="str">
        <v/>
      </c>
      <c r="I2768" s="11" t="str">
        <v/>
      </c>
    </row>
    <row r="2769" spans="2:9">
      <c r="B2769" s="11" t="str">
        <f t="shared" si="221"/>
        <v/>
      </c>
      <c r="C2769" s="11" t="str">
        <f t="shared" si="224"/>
        <v/>
      </c>
      <c r="D2769" s="11" t="str">
        <f t="shared" si="225"/>
        <v/>
      </c>
      <c r="E2769" s="11" t="str">
        <f t="shared" si="222"/>
        <v/>
      </c>
      <c r="F2769" s="11" t="str">
        <f t="shared" si="223"/>
        <v/>
      </c>
      <c r="G2769" s="10" t="str">
        <v/>
      </c>
      <c r="H2769" s="11" t="str">
        <v/>
      </c>
      <c r="I2769" s="11" t="str">
        <v/>
      </c>
    </row>
    <row r="2770" spans="2:9">
      <c r="B2770" s="11" t="str">
        <f t="shared" si="221"/>
        <v/>
      </c>
      <c r="C2770" s="11" t="str">
        <f t="shared" si="224"/>
        <v/>
      </c>
      <c r="D2770" s="11" t="str">
        <f t="shared" si="225"/>
        <v/>
      </c>
      <c r="E2770" s="11" t="str">
        <f t="shared" si="222"/>
        <v/>
      </c>
      <c r="F2770" s="11" t="str">
        <f t="shared" si="223"/>
        <v/>
      </c>
      <c r="G2770" s="10" t="str">
        <v/>
      </c>
      <c r="H2770" s="11" t="str">
        <v/>
      </c>
      <c r="I2770" s="11" t="str">
        <v/>
      </c>
    </row>
    <row r="2771" spans="2:9">
      <c r="B2771" s="11" t="str">
        <f t="shared" si="221"/>
        <v/>
      </c>
      <c r="C2771" s="11" t="str">
        <f t="shared" si="224"/>
        <v/>
      </c>
      <c r="D2771" s="11" t="str">
        <f t="shared" si="225"/>
        <v/>
      </c>
      <c r="E2771" s="11" t="str">
        <f t="shared" si="222"/>
        <v/>
      </c>
      <c r="F2771" s="11" t="str">
        <f t="shared" si="223"/>
        <v/>
      </c>
      <c r="G2771" s="10" t="str">
        <v/>
      </c>
      <c r="H2771" s="11" t="str">
        <v/>
      </c>
      <c r="I2771" s="11" t="str">
        <v/>
      </c>
    </row>
    <row r="2772" spans="2:9">
      <c r="B2772" s="11" t="str">
        <f t="shared" si="221"/>
        <v/>
      </c>
      <c r="C2772" s="11" t="str">
        <f t="shared" si="224"/>
        <v/>
      </c>
      <c r="D2772" s="11" t="str">
        <f t="shared" si="225"/>
        <v/>
      </c>
      <c r="E2772" s="11" t="str">
        <f t="shared" si="222"/>
        <v/>
      </c>
      <c r="F2772" s="11" t="str">
        <f t="shared" si="223"/>
        <v/>
      </c>
      <c r="G2772" s="10" t="str">
        <v/>
      </c>
      <c r="H2772" s="11" t="str">
        <v/>
      </c>
      <c r="I2772" s="11" t="str">
        <v/>
      </c>
    </row>
    <row r="2773" spans="2:9">
      <c r="B2773" s="11" t="str">
        <f t="shared" si="221"/>
        <v/>
      </c>
      <c r="C2773" s="11" t="str">
        <f t="shared" si="224"/>
        <v/>
      </c>
      <c r="D2773" s="11" t="str">
        <f t="shared" si="225"/>
        <v/>
      </c>
      <c r="E2773" s="11" t="str">
        <f t="shared" si="222"/>
        <v/>
      </c>
      <c r="F2773" s="11" t="str">
        <f t="shared" si="223"/>
        <v/>
      </c>
      <c r="G2773" s="10" t="str">
        <v/>
      </c>
      <c r="H2773" s="11" t="str">
        <v/>
      </c>
      <c r="I2773" s="11" t="str">
        <v/>
      </c>
    </row>
    <row r="2774" spans="2:9">
      <c r="B2774" s="11" t="str">
        <f t="shared" si="221"/>
        <v/>
      </c>
      <c r="C2774" s="11" t="str">
        <f t="shared" si="224"/>
        <v/>
      </c>
      <c r="D2774" s="11" t="str">
        <f t="shared" si="225"/>
        <v/>
      </c>
      <c r="E2774" s="11" t="str">
        <f t="shared" si="222"/>
        <v/>
      </c>
      <c r="F2774" s="11" t="str">
        <f t="shared" si="223"/>
        <v/>
      </c>
      <c r="G2774" s="10" t="str">
        <v/>
      </c>
      <c r="H2774" s="11" t="str">
        <v/>
      </c>
      <c r="I2774" s="11" t="str">
        <v/>
      </c>
    </row>
    <row r="2775" spans="2:9">
      <c r="B2775" s="11" t="str">
        <f t="shared" si="221"/>
        <v/>
      </c>
      <c r="C2775" s="11" t="str">
        <f t="shared" si="224"/>
        <v/>
      </c>
      <c r="D2775" s="11" t="str">
        <f t="shared" si="225"/>
        <v/>
      </c>
      <c r="E2775" s="11" t="str">
        <f t="shared" si="222"/>
        <v/>
      </c>
      <c r="F2775" s="11" t="str">
        <f t="shared" si="223"/>
        <v/>
      </c>
      <c r="G2775" s="10" t="str">
        <v/>
      </c>
      <c r="H2775" s="11" t="str">
        <v/>
      </c>
      <c r="I2775" s="11" t="str">
        <v/>
      </c>
    </row>
    <row r="2776" spans="2:9">
      <c r="B2776" s="11" t="str">
        <f t="shared" si="221"/>
        <v/>
      </c>
      <c r="C2776" s="11" t="str">
        <f t="shared" si="224"/>
        <v/>
      </c>
      <c r="D2776" s="11" t="str">
        <f t="shared" si="225"/>
        <v/>
      </c>
      <c r="E2776" s="11" t="str">
        <f t="shared" si="222"/>
        <v/>
      </c>
      <c r="F2776" s="11" t="str">
        <f t="shared" si="223"/>
        <v/>
      </c>
      <c r="G2776" s="10" t="str">
        <v/>
      </c>
      <c r="H2776" s="11" t="str">
        <v/>
      </c>
      <c r="I2776" s="11" t="str">
        <v/>
      </c>
    </row>
    <row r="2777" spans="2:9">
      <c r="B2777" s="11" t="str">
        <f t="shared" si="221"/>
        <v/>
      </c>
      <c r="C2777" s="11" t="str">
        <f t="shared" si="224"/>
        <v/>
      </c>
      <c r="D2777" s="11" t="str">
        <f t="shared" si="225"/>
        <v/>
      </c>
      <c r="E2777" s="11" t="str">
        <f t="shared" si="222"/>
        <v/>
      </c>
      <c r="F2777" s="11" t="str">
        <f t="shared" si="223"/>
        <v/>
      </c>
      <c r="G2777" s="10" t="str">
        <v/>
      </c>
      <c r="H2777" s="11" t="str">
        <v/>
      </c>
      <c r="I2777" s="11" t="str">
        <v/>
      </c>
    </row>
    <row r="2778" spans="2:9">
      <c r="B2778" s="11" t="str">
        <f t="shared" si="221"/>
        <v/>
      </c>
      <c r="C2778" s="11" t="str">
        <f t="shared" si="224"/>
        <v/>
      </c>
      <c r="D2778" s="11" t="str">
        <f t="shared" si="225"/>
        <v/>
      </c>
      <c r="E2778" s="11" t="str">
        <f t="shared" si="222"/>
        <v/>
      </c>
      <c r="F2778" s="11" t="str">
        <f t="shared" si="223"/>
        <v/>
      </c>
      <c r="G2778" s="10" t="str">
        <v/>
      </c>
      <c r="H2778" s="11" t="str">
        <v/>
      </c>
      <c r="I2778" s="11" t="str">
        <v/>
      </c>
    </row>
    <row r="2779" spans="2:9">
      <c r="B2779" s="11" t="str">
        <f t="shared" si="221"/>
        <v/>
      </c>
      <c r="C2779" s="11" t="str">
        <f t="shared" si="224"/>
        <v/>
      </c>
      <c r="D2779" s="11" t="str">
        <f t="shared" si="225"/>
        <v/>
      </c>
      <c r="E2779" s="11" t="str">
        <f t="shared" si="222"/>
        <v/>
      </c>
      <c r="F2779" s="11" t="str">
        <f t="shared" si="223"/>
        <v/>
      </c>
      <c r="G2779" s="10" t="str">
        <v/>
      </c>
      <c r="H2779" s="11" t="str">
        <v/>
      </c>
      <c r="I2779" s="11" t="str">
        <v/>
      </c>
    </row>
    <row r="2780" spans="2:9">
      <c r="B2780" s="11" t="str">
        <f t="shared" si="221"/>
        <v/>
      </c>
      <c r="C2780" s="11" t="str">
        <f t="shared" si="224"/>
        <v/>
      </c>
      <c r="D2780" s="11" t="str">
        <f t="shared" si="225"/>
        <v/>
      </c>
      <c r="E2780" s="11" t="str">
        <f t="shared" si="222"/>
        <v/>
      </c>
      <c r="F2780" s="11" t="str">
        <f t="shared" si="223"/>
        <v/>
      </c>
      <c r="G2780" s="10" t="str">
        <v/>
      </c>
      <c r="H2780" s="11" t="str">
        <v/>
      </c>
      <c r="I2780" s="11" t="str">
        <v/>
      </c>
    </row>
    <row r="2781" spans="2:9">
      <c r="B2781" s="11" t="str">
        <f t="shared" si="221"/>
        <v/>
      </c>
      <c r="C2781" s="11" t="str">
        <f t="shared" si="224"/>
        <v/>
      </c>
      <c r="D2781" s="11" t="str">
        <f t="shared" si="225"/>
        <v/>
      </c>
      <c r="E2781" s="11" t="str">
        <f t="shared" si="222"/>
        <v/>
      </c>
      <c r="F2781" s="11" t="str">
        <f t="shared" si="223"/>
        <v/>
      </c>
      <c r="G2781" s="10" t="str">
        <v/>
      </c>
      <c r="H2781" s="11" t="str">
        <v/>
      </c>
      <c r="I2781" s="11" t="str">
        <v/>
      </c>
    </row>
    <row r="2782" spans="2:9">
      <c r="B2782" s="11" t="str">
        <f t="shared" si="221"/>
        <v/>
      </c>
      <c r="C2782" s="11" t="str">
        <f t="shared" si="224"/>
        <v/>
      </c>
      <c r="D2782" s="11" t="str">
        <f t="shared" si="225"/>
        <v/>
      </c>
      <c r="E2782" s="11" t="str">
        <f t="shared" si="222"/>
        <v/>
      </c>
      <c r="F2782" s="11" t="str">
        <f t="shared" si="223"/>
        <v/>
      </c>
      <c r="G2782" s="10" t="str">
        <v/>
      </c>
      <c r="H2782" s="11" t="str">
        <v/>
      </c>
      <c r="I2782" s="11" t="str">
        <v/>
      </c>
    </row>
    <row r="2783" spans="2:9">
      <c r="B2783" s="11" t="str">
        <f t="shared" si="221"/>
        <v/>
      </c>
      <c r="C2783" s="11" t="str">
        <f t="shared" si="224"/>
        <v/>
      </c>
      <c r="D2783" s="11" t="str">
        <f t="shared" si="225"/>
        <v/>
      </c>
      <c r="E2783" s="11" t="str">
        <f t="shared" si="222"/>
        <v/>
      </c>
      <c r="F2783" s="11" t="str">
        <f t="shared" si="223"/>
        <v/>
      </c>
      <c r="G2783" s="10" t="str">
        <v/>
      </c>
      <c r="H2783" s="11" t="str">
        <v/>
      </c>
      <c r="I2783" s="11" t="str">
        <v/>
      </c>
    </row>
    <row r="2784" spans="2:9">
      <c r="B2784" s="11" t="str">
        <f t="shared" si="221"/>
        <v/>
      </c>
      <c r="C2784" s="11" t="str">
        <f t="shared" si="224"/>
        <v/>
      </c>
      <c r="D2784" s="11" t="str">
        <f t="shared" si="225"/>
        <v/>
      </c>
      <c r="E2784" s="11" t="str">
        <f t="shared" si="222"/>
        <v/>
      </c>
      <c r="F2784" s="11" t="str">
        <f t="shared" si="223"/>
        <v/>
      </c>
      <c r="G2784" s="10" t="str">
        <v/>
      </c>
      <c r="H2784" s="11" t="str">
        <v/>
      </c>
      <c r="I2784" s="11" t="str">
        <v/>
      </c>
    </row>
    <row r="2785" spans="2:9">
      <c r="B2785" s="11" t="str">
        <f t="shared" si="221"/>
        <v/>
      </c>
      <c r="C2785" s="11" t="str">
        <f t="shared" si="224"/>
        <v/>
      </c>
      <c r="D2785" s="11" t="str">
        <f t="shared" si="225"/>
        <v/>
      </c>
      <c r="E2785" s="11" t="str">
        <f t="shared" si="222"/>
        <v/>
      </c>
      <c r="F2785" s="11" t="str">
        <f t="shared" si="223"/>
        <v/>
      </c>
      <c r="G2785" s="10" t="str">
        <v/>
      </c>
      <c r="H2785" s="11" t="str">
        <v/>
      </c>
      <c r="I2785" s="11" t="str">
        <v/>
      </c>
    </row>
    <row r="2786" spans="2:9">
      <c r="B2786" s="11" t="str">
        <f t="shared" si="221"/>
        <v/>
      </c>
      <c r="C2786" s="11" t="str">
        <f t="shared" si="224"/>
        <v/>
      </c>
      <c r="D2786" s="11" t="str">
        <f t="shared" si="225"/>
        <v/>
      </c>
      <c r="E2786" s="11" t="str">
        <f t="shared" si="222"/>
        <v/>
      </c>
      <c r="F2786" s="11" t="str">
        <f t="shared" si="223"/>
        <v/>
      </c>
      <c r="G2786" s="10" t="str">
        <v/>
      </c>
      <c r="H2786" s="11" t="str">
        <v/>
      </c>
      <c r="I2786" s="11" t="str">
        <v/>
      </c>
    </row>
    <row r="2787" spans="2:9">
      <c r="B2787" s="11" t="str">
        <f t="shared" si="221"/>
        <v/>
      </c>
      <c r="C2787" s="11" t="str">
        <f t="shared" si="224"/>
        <v/>
      </c>
      <c r="D2787" s="11" t="str">
        <f t="shared" si="225"/>
        <v/>
      </c>
      <c r="E2787" s="11" t="str">
        <f t="shared" si="222"/>
        <v/>
      </c>
      <c r="F2787" s="11" t="str">
        <f t="shared" si="223"/>
        <v/>
      </c>
      <c r="G2787" s="10" t="str">
        <v/>
      </c>
      <c r="H2787" s="11" t="str">
        <v/>
      </c>
      <c r="I2787" s="11" t="str">
        <v/>
      </c>
    </row>
    <row r="2788" spans="2:9">
      <c r="B2788" s="11" t="str">
        <f t="shared" si="221"/>
        <v/>
      </c>
      <c r="C2788" s="11" t="str">
        <f t="shared" si="224"/>
        <v/>
      </c>
      <c r="D2788" s="11" t="str">
        <f t="shared" si="225"/>
        <v/>
      </c>
      <c r="E2788" s="11" t="str">
        <f t="shared" si="222"/>
        <v/>
      </c>
      <c r="F2788" s="11" t="str">
        <f t="shared" si="223"/>
        <v/>
      </c>
      <c r="G2788" s="10" t="str">
        <v/>
      </c>
      <c r="H2788" s="11" t="str">
        <v/>
      </c>
      <c r="I2788" s="11" t="str">
        <v/>
      </c>
    </row>
    <row r="2789" spans="2:9">
      <c r="B2789" s="11" t="str">
        <f t="shared" si="221"/>
        <v/>
      </c>
      <c r="C2789" s="11" t="str">
        <f t="shared" si="224"/>
        <v/>
      </c>
      <c r="D2789" s="11" t="str">
        <f t="shared" si="225"/>
        <v/>
      </c>
      <c r="E2789" s="11" t="str">
        <f t="shared" si="222"/>
        <v/>
      </c>
      <c r="F2789" s="11" t="str">
        <f t="shared" si="223"/>
        <v/>
      </c>
      <c r="G2789" s="10" t="str">
        <v/>
      </c>
      <c r="H2789" s="11" t="str">
        <v/>
      </c>
      <c r="I2789" s="11" t="str">
        <v/>
      </c>
    </row>
    <row r="2790" spans="2:9">
      <c r="B2790" s="11" t="str">
        <f t="shared" si="221"/>
        <v/>
      </c>
      <c r="C2790" s="11" t="str">
        <f t="shared" si="224"/>
        <v/>
      </c>
      <c r="D2790" s="11" t="str">
        <f t="shared" si="225"/>
        <v/>
      </c>
      <c r="E2790" s="11" t="str">
        <f t="shared" si="222"/>
        <v/>
      </c>
      <c r="F2790" s="11" t="str">
        <f t="shared" si="223"/>
        <v/>
      </c>
      <c r="G2790" s="10" t="str">
        <v/>
      </c>
      <c r="H2790" s="11" t="str">
        <v/>
      </c>
      <c r="I2790" s="11" t="str">
        <v/>
      </c>
    </row>
    <row r="2791" spans="2:9">
      <c r="B2791" s="11" t="str">
        <f t="shared" si="221"/>
        <v/>
      </c>
      <c r="C2791" s="11" t="str">
        <f t="shared" si="224"/>
        <v/>
      </c>
      <c r="D2791" s="11" t="str">
        <f t="shared" si="225"/>
        <v/>
      </c>
      <c r="E2791" s="11" t="str">
        <f t="shared" si="222"/>
        <v/>
      </c>
      <c r="F2791" s="11" t="str">
        <f t="shared" si="223"/>
        <v/>
      </c>
      <c r="G2791" s="10" t="str">
        <v/>
      </c>
      <c r="H2791" s="11" t="str">
        <v/>
      </c>
      <c r="I2791" s="11" t="str">
        <v/>
      </c>
    </row>
    <row r="2792" spans="2:9">
      <c r="B2792" s="11" t="str">
        <f t="shared" si="221"/>
        <v/>
      </c>
      <c r="C2792" s="11" t="str">
        <f t="shared" si="224"/>
        <v/>
      </c>
      <c r="D2792" s="11" t="str">
        <f t="shared" si="225"/>
        <v/>
      </c>
      <c r="E2792" s="11" t="str">
        <f t="shared" si="222"/>
        <v/>
      </c>
      <c r="F2792" s="11" t="str">
        <f t="shared" si="223"/>
        <v/>
      </c>
      <c r="G2792" s="10" t="str">
        <v/>
      </c>
      <c r="H2792" s="11" t="str">
        <v/>
      </c>
      <c r="I2792" s="11" t="str">
        <v/>
      </c>
    </row>
    <row r="2793" spans="2:9">
      <c r="B2793" s="11" t="str">
        <f t="shared" si="221"/>
        <v/>
      </c>
      <c r="C2793" s="11" t="str">
        <f t="shared" si="224"/>
        <v/>
      </c>
      <c r="D2793" s="11" t="str">
        <f t="shared" si="225"/>
        <v/>
      </c>
      <c r="E2793" s="11" t="str">
        <f t="shared" si="222"/>
        <v/>
      </c>
      <c r="F2793" s="11" t="str">
        <f t="shared" si="223"/>
        <v/>
      </c>
      <c r="G2793" s="10" t="str">
        <v/>
      </c>
      <c r="H2793" s="11" t="str">
        <v/>
      </c>
      <c r="I2793" s="11" t="str">
        <v/>
      </c>
    </row>
    <row r="2794" spans="2:9">
      <c r="B2794" s="11" t="str">
        <f t="shared" si="221"/>
        <v/>
      </c>
      <c r="C2794" s="11" t="str">
        <f t="shared" si="224"/>
        <v/>
      </c>
      <c r="D2794" s="11" t="str">
        <f t="shared" si="225"/>
        <v/>
      </c>
      <c r="E2794" s="11" t="str">
        <f t="shared" si="222"/>
        <v/>
      </c>
      <c r="F2794" s="11" t="str">
        <f t="shared" si="223"/>
        <v/>
      </c>
      <c r="G2794" s="10" t="str">
        <v/>
      </c>
      <c r="H2794" s="11" t="str">
        <v/>
      </c>
      <c r="I2794" s="11" t="str">
        <v/>
      </c>
    </row>
    <row r="2795" spans="2:9">
      <c r="B2795" s="11" t="str">
        <f t="shared" si="221"/>
        <v/>
      </c>
      <c r="C2795" s="11" t="str">
        <f t="shared" si="224"/>
        <v/>
      </c>
      <c r="D2795" s="11" t="str">
        <f t="shared" si="225"/>
        <v/>
      </c>
      <c r="E2795" s="11" t="str">
        <f t="shared" si="222"/>
        <v/>
      </c>
      <c r="F2795" s="11" t="str">
        <f t="shared" si="223"/>
        <v/>
      </c>
      <c r="G2795" s="10" t="str">
        <v/>
      </c>
      <c r="H2795" s="11" t="str">
        <v/>
      </c>
      <c r="I2795" s="11" t="str">
        <v/>
      </c>
    </row>
    <row r="2796" spans="2:9">
      <c r="B2796" s="11" t="str">
        <f t="shared" si="221"/>
        <v/>
      </c>
      <c r="C2796" s="11" t="str">
        <f t="shared" si="224"/>
        <v/>
      </c>
      <c r="D2796" s="11" t="str">
        <f t="shared" si="225"/>
        <v/>
      </c>
      <c r="E2796" s="11" t="str">
        <f t="shared" si="222"/>
        <v/>
      </c>
      <c r="F2796" s="11" t="str">
        <f t="shared" si="223"/>
        <v/>
      </c>
      <c r="G2796" s="10" t="str">
        <v/>
      </c>
      <c r="H2796" s="11" t="str">
        <v/>
      </c>
      <c r="I2796" s="11" t="str">
        <v/>
      </c>
    </row>
    <row r="2797" spans="2:9">
      <c r="B2797" s="11" t="str">
        <f t="shared" si="221"/>
        <v/>
      </c>
      <c r="C2797" s="11" t="str">
        <f t="shared" si="224"/>
        <v/>
      </c>
      <c r="D2797" s="11" t="str">
        <f t="shared" si="225"/>
        <v/>
      </c>
      <c r="E2797" s="11" t="str">
        <f t="shared" si="222"/>
        <v/>
      </c>
      <c r="F2797" s="11" t="str">
        <f t="shared" si="223"/>
        <v/>
      </c>
      <c r="G2797" s="10" t="str">
        <v/>
      </c>
      <c r="H2797" s="11" t="str">
        <v/>
      </c>
      <c r="I2797" s="11" t="str">
        <v/>
      </c>
    </row>
    <row r="2798" spans="2:9">
      <c r="B2798" s="11" t="str">
        <f t="shared" si="221"/>
        <v/>
      </c>
      <c r="C2798" s="11" t="str">
        <f t="shared" si="224"/>
        <v/>
      </c>
      <c r="D2798" s="11" t="str">
        <f t="shared" si="225"/>
        <v/>
      </c>
      <c r="E2798" s="11" t="str">
        <f t="shared" si="222"/>
        <v/>
      </c>
      <c r="F2798" s="11" t="str">
        <f t="shared" si="223"/>
        <v/>
      </c>
      <c r="G2798" s="10" t="str">
        <v/>
      </c>
      <c r="H2798" s="11" t="str">
        <v/>
      </c>
      <c r="I2798" s="11" t="str">
        <v/>
      </c>
    </row>
    <row r="2799" spans="2:9">
      <c r="B2799" s="11" t="str">
        <f t="shared" si="221"/>
        <v/>
      </c>
      <c r="C2799" s="11" t="str">
        <f t="shared" si="224"/>
        <v/>
      </c>
      <c r="D2799" s="11" t="str">
        <f t="shared" si="225"/>
        <v/>
      </c>
      <c r="E2799" s="11" t="str">
        <f t="shared" si="222"/>
        <v/>
      </c>
      <c r="F2799" s="11" t="str">
        <f t="shared" si="223"/>
        <v/>
      </c>
      <c r="G2799" s="10" t="str">
        <v/>
      </c>
      <c r="H2799" s="11" t="str">
        <v/>
      </c>
      <c r="I2799" s="11" t="str">
        <v/>
      </c>
    </row>
    <row r="2800" spans="2:9">
      <c r="B2800" s="11" t="str">
        <f t="shared" si="221"/>
        <v/>
      </c>
      <c r="C2800" s="11" t="str">
        <f t="shared" si="224"/>
        <v/>
      </c>
      <c r="D2800" s="11" t="str">
        <f t="shared" si="225"/>
        <v/>
      </c>
      <c r="E2800" s="11" t="str">
        <f t="shared" si="222"/>
        <v/>
      </c>
      <c r="F2800" s="11" t="str">
        <f t="shared" si="223"/>
        <v/>
      </c>
      <c r="G2800" s="10" t="str">
        <v/>
      </c>
      <c r="H2800" s="11" t="str">
        <v/>
      </c>
      <c r="I2800" s="11" t="str">
        <v/>
      </c>
    </row>
    <row r="2801" spans="2:9">
      <c r="B2801" s="11" t="str">
        <f t="shared" si="221"/>
        <v/>
      </c>
      <c r="C2801" s="11" t="str">
        <f t="shared" si="224"/>
        <v/>
      </c>
      <c r="D2801" s="11" t="str">
        <f t="shared" si="225"/>
        <v/>
      </c>
      <c r="E2801" s="11" t="str">
        <f t="shared" si="222"/>
        <v/>
      </c>
      <c r="F2801" s="11" t="str">
        <f t="shared" si="223"/>
        <v/>
      </c>
      <c r="G2801" s="10" t="str">
        <v/>
      </c>
      <c r="H2801" s="11" t="str">
        <v/>
      </c>
      <c r="I2801" s="11" t="str">
        <v/>
      </c>
    </row>
    <row r="2802" spans="2:9">
      <c r="B2802" s="11" t="str">
        <f t="shared" si="221"/>
        <v/>
      </c>
      <c r="C2802" s="11" t="str">
        <f t="shared" si="224"/>
        <v/>
      </c>
      <c r="D2802" s="11" t="str">
        <f t="shared" si="225"/>
        <v/>
      </c>
      <c r="E2802" s="11" t="str">
        <f t="shared" si="222"/>
        <v/>
      </c>
      <c r="F2802" s="11" t="str">
        <f t="shared" si="223"/>
        <v/>
      </c>
      <c r="G2802" s="10" t="str">
        <v/>
      </c>
      <c r="H2802" s="11" t="str">
        <v/>
      </c>
      <c r="I2802" s="11" t="str">
        <v/>
      </c>
    </row>
    <row r="2803" spans="2:9">
      <c r="B2803" s="11" t="str">
        <f t="shared" si="221"/>
        <v/>
      </c>
      <c r="C2803" s="11" t="str">
        <f t="shared" si="224"/>
        <v/>
      </c>
      <c r="D2803" s="11" t="str">
        <f t="shared" si="225"/>
        <v/>
      </c>
      <c r="E2803" s="11" t="str">
        <f t="shared" si="222"/>
        <v/>
      </c>
      <c r="F2803" s="11" t="str">
        <f t="shared" si="223"/>
        <v/>
      </c>
      <c r="G2803" s="10" t="str">
        <v/>
      </c>
      <c r="H2803" s="11" t="str">
        <v/>
      </c>
      <c r="I2803" s="11" t="str">
        <v/>
      </c>
    </row>
    <row r="2804" spans="2:9">
      <c r="B2804" s="11" t="str">
        <f t="shared" si="221"/>
        <v/>
      </c>
      <c r="C2804" s="11" t="str">
        <f t="shared" si="224"/>
        <v/>
      </c>
      <c r="D2804" s="11" t="str">
        <f t="shared" si="225"/>
        <v/>
      </c>
      <c r="E2804" s="11" t="str">
        <f t="shared" si="222"/>
        <v/>
      </c>
      <c r="F2804" s="11" t="str">
        <f t="shared" si="223"/>
        <v/>
      </c>
      <c r="G2804" s="10" t="str">
        <v/>
      </c>
      <c r="H2804" s="11" t="str">
        <v/>
      </c>
      <c r="I2804" s="11" t="str">
        <v/>
      </c>
    </row>
    <row r="2805" spans="2:9">
      <c r="B2805" s="11" t="str">
        <f t="shared" si="221"/>
        <v/>
      </c>
      <c r="C2805" s="11" t="str">
        <f t="shared" si="224"/>
        <v/>
      </c>
      <c r="D2805" s="11" t="str">
        <f t="shared" si="225"/>
        <v/>
      </c>
      <c r="E2805" s="11" t="str">
        <f t="shared" si="222"/>
        <v/>
      </c>
      <c r="F2805" s="11" t="str">
        <f t="shared" si="223"/>
        <v/>
      </c>
      <c r="G2805" s="10" t="str">
        <v/>
      </c>
      <c r="H2805" s="11" t="str">
        <v/>
      </c>
      <c r="I2805" s="11" t="str">
        <v/>
      </c>
    </row>
    <row r="2806" spans="2:9">
      <c r="B2806" s="11" t="str">
        <f t="shared" si="221"/>
        <v/>
      </c>
      <c r="C2806" s="11" t="str">
        <f t="shared" si="224"/>
        <v/>
      </c>
      <c r="D2806" s="11" t="str">
        <f t="shared" si="225"/>
        <v/>
      </c>
      <c r="E2806" s="11" t="str">
        <f t="shared" si="222"/>
        <v/>
      </c>
      <c r="F2806" s="11" t="str">
        <f t="shared" si="223"/>
        <v/>
      </c>
      <c r="G2806" s="10" t="str">
        <v/>
      </c>
      <c r="H2806" s="11" t="str">
        <v/>
      </c>
      <c r="I2806" s="11" t="str">
        <v/>
      </c>
    </row>
    <row r="2807" spans="2:9">
      <c r="B2807" s="11" t="str">
        <f t="shared" si="221"/>
        <v/>
      </c>
      <c r="C2807" s="11" t="str">
        <f t="shared" si="224"/>
        <v/>
      </c>
      <c r="D2807" s="11" t="str">
        <f t="shared" si="225"/>
        <v/>
      </c>
      <c r="E2807" s="11" t="str">
        <f t="shared" si="222"/>
        <v/>
      </c>
      <c r="F2807" s="11" t="str">
        <f t="shared" si="223"/>
        <v/>
      </c>
      <c r="G2807" s="10" t="str">
        <v/>
      </c>
      <c r="H2807" s="11" t="str">
        <v/>
      </c>
      <c r="I2807" s="11" t="str">
        <v/>
      </c>
    </row>
    <row r="2808" spans="2:9">
      <c r="B2808" s="11" t="str">
        <f t="shared" si="221"/>
        <v/>
      </c>
      <c r="C2808" s="11" t="str">
        <f t="shared" si="224"/>
        <v/>
      </c>
      <c r="D2808" s="11" t="str">
        <f t="shared" si="225"/>
        <v/>
      </c>
      <c r="E2808" s="11" t="str">
        <f t="shared" si="222"/>
        <v/>
      </c>
      <c r="F2808" s="11" t="str">
        <f t="shared" si="223"/>
        <v/>
      </c>
      <c r="G2808" s="10" t="str">
        <v/>
      </c>
      <c r="H2808" s="11" t="str">
        <v/>
      </c>
      <c r="I2808" s="11" t="str">
        <v/>
      </c>
    </row>
    <row r="2809" spans="2:9">
      <c r="B2809" s="11" t="str">
        <f t="shared" si="221"/>
        <v/>
      </c>
      <c r="C2809" s="11" t="str">
        <f t="shared" si="224"/>
        <v/>
      </c>
      <c r="D2809" s="11" t="str">
        <f t="shared" si="225"/>
        <v/>
      </c>
      <c r="E2809" s="11" t="str">
        <f t="shared" si="222"/>
        <v/>
      </c>
      <c r="F2809" s="11" t="str">
        <f t="shared" si="223"/>
        <v/>
      </c>
      <c r="G2809" s="10" t="str">
        <v/>
      </c>
      <c r="H2809" s="11" t="str">
        <v/>
      </c>
      <c r="I2809" s="11" t="str">
        <v/>
      </c>
    </row>
    <row r="2810" spans="2:9">
      <c r="B2810" s="11" t="str">
        <f t="shared" si="221"/>
        <v/>
      </c>
      <c r="C2810" s="11" t="str">
        <f t="shared" si="224"/>
        <v/>
      </c>
      <c r="D2810" s="11" t="str">
        <f t="shared" si="225"/>
        <v/>
      </c>
      <c r="E2810" s="11" t="str">
        <f t="shared" si="222"/>
        <v/>
      </c>
      <c r="F2810" s="11" t="str">
        <f t="shared" si="223"/>
        <v/>
      </c>
      <c r="G2810" s="10" t="str">
        <v/>
      </c>
      <c r="H2810" s="11" t="str">
        <v/>
      </c>
      <c r="I2810" s="11" t="str">
        <v/>
      </c>
    </row>
    <row r="2811" spans="2:9">
      <c r="B2811" s="11" t="str">
        <f t="shared" si="221"/>
        <v/>
      </c>
      <c r="C2811" s="11" t="str">
        <f t="shared" si="224"/>
        <v/>
      </c>
      <c r="D2811" s="11" t="str">
        <f t="shared" si="225"/>
        <v/>
      </c>
      <c r="E2811" s="11" t="str">
        <f t="shared" si="222"/>
        <v/>
      </c>
      <c r="F2811" s="11" t="str">
        <f t="shared" si="223"/>
        <v/>
      </c>
      <c r="G2811" s="10" t="str">
        <v/>
      </c>
      <c r="H2811" s="11" t="str">
        <v/>
      </c>
      <c r="I2811" s="11" t="str">
        <v/>
      </c>
    </row>
    <row r="2812" spans="2:9">
      <c r="B2812" s="11" t="str">
        <f t="shared" si="221"/>
        <v/>
      </c>
      <c r="C2812" s="11" t="str">
        <f t="shared" si="224"/>
        <v/>
      </c>
      <c r="D2812" s="11" t="str">
        <f t="shared" si="225"/>
        <v/>
      </c>
      <c r="E2812" s="11" t="str">
        <f t="shared" si="222"/>
        <v/>
      </c>
      <c r="F2812" s="11" t="str">
        <f t="shared" si="223"/>
        <v/>
      </c>
      <c r="G2812" s="10" t="str">
        <v/>
      </c>
      <c r="H2812" s="11" t="str">
        <v/>
      </c>
      <c r="I2812" s="11" t="str">
        <v/>
      </c>
    </row>
    <row r="2813" spans="2:9">
      <c r="B2813" s="11" t="str">
        <f t="shared" si="221"/>
        <v/>
      </c>
      <c r="C2813" s="11" t="str">
        <f t="shared" si="224"/>
        <v/>
      </c>
      <c r="D2813" s="11" t="str">
        <f t="shared" si="225"/>
        <v/>
      </c>
      <c r="E2813" s="11" t="str">
        <f t="shared" si="222"/>
        <v/>
      </c>
      <c r="F2813" s="11" t="str">
        <f t="shared" si="223"/>
        <v/>
      </c>
      <c r="G2813" s="10" t="str">
        <v/>
      </c>
      <c r="H2813" s="11" t="str">
        <v/>
      </c>
      <c r="I2813" s="11" t="str">
        <v/>
      </c>
    </row>
    <row r="2814" spans="2:9">
      <c r="B2814" s="11" t="str">
        <f t="shared" si="221"/>
        <v/>
      </c>
      <c r="C2814" s="11" t="str">
        <f t="shared" si="224"/>
        <v/>
      </c>
      <c r="D2814" s="11" t="str">
        <f t="shared" si="225"/>
        <v/>
      </c>
      <c r="E2814" s="11" t="str">
        <f t="shared" si="222"/>
        <v/>
      </c>
      <c r="F2814" s="11" t="str">
        <f t="shared" si="223"/>
        <v/>
      </c>
      <c r="G2814" s="10" t="str">
        <v/>
      </c>
      <c r="H2814" s="11" t="str">
        <v/>
      </c>
      <c r="I2814" s="11" t="str">
        <v/>
      </c>
    </row>
    <row r="2815" spans="2:9">
      <c r="B2815" s="11" t="str">
        <f t="shared" si="221"/>
        <v/>
      </c>
      <c r="C2815" s="11" t="str">
        <f t="shared" si="224"/>
        <v/>
      </c>
      <c r="D2815" s="11" t="str">
        <f t="shared" si="225"/>
        <v/>
      </c>
      <c r="E2815" s="11" t="str">
        <f t="shared" si="222"/>
        <v/>
      </c>
      <c r="F2815" s="11" t="str">
        <f t="shared" si="223"/>
        <v/>
      </c>
      <c r="G2815" s="10" t="str">
        <v/>
      </c>
      <c r="H2815" s="11" t="str">
        <v/>
      </c>
      <c r="I2815" s="11" t="str">
        <v/>
      </c>
    </row>
    <row r="2816" spans="2:9">
      <c r="B2816" s="11" t="str">
        <f t="shared" si="221"/>
        <v/>
      </c>
      <c r="C2816" s="11" t="str">
        <f t="shared" si="224"/>
        <v/>
      </c>
      <c r="D2816" s="11" t="str">
        <f t="shared" si="225"/>
        <v/>
      </c>
      <c r="E2816" s="11" t="str">
        <f t="shared" si="222"/>
        <v/>
      </c>
      <c r="F2816" s="11" t="str">
        <f t="shared" si="223"/>
        <v/>
      </c>
      <c r="G2816" s="10" t="str">
        <v/>
      </c>
      <c r="H2816" s="11" t="str">
        <v/>
      </c>
      <c r="I2816" s="11" t="str">
        <v/>
      </c>
    </row>
    <row r="2817" spans="2:9">
      <c r="B2817" s="11" t="str">
        <f t="shared" ref="B2817:B2880" si="226">IFERROR(IF(FIND(" ",A2817)=6,IF(IFERROR(FIND(" PB",A2817),"")&lt;&gt;"","артикул",IF(IFERROR(FIND(" CRN",A2817),"")&lt;&gt;"","артикул","")),""),"")</f>
        <v/>
      </c>
      <c r="C2817" s="11" t="str">
        <f t="shared" si="224"/>
        <v/>
      </c>
      <c r="D2817" s="11" t="str">
        <f t="shared" si="225"/>
        <v/>
      </c>
      <c r="E2817" s="11" t="str">
        <f t="shared" si="222"/>
        <v/>
      </c>
      <c r="F2817" s="11" t="str">
        <f t="shared" si="223"/>
        <v/>
      </c>
      <c r="G2817" s="10" t="str">
        <v/>
      </c>
      <c r="H2817" s="11" t="str">
        <v/>
      </c>
      <c r="I2817" s="11" t="str">
        <v/>
      </c>
    </row>
    <row r="2818" spans="2:9">
      <c r="B2818" s="11" t="str">
        <f t="shared" si="226"/>
        <v/>
      </c>
      <c r="C2818" s="11" t="str">
        <f t="shared" si="224"/>
        <v/>
      </c>
      <c r="D2818" s="11" t="str">
        <f t="shared" si="225"/>
        <v/>
      </c>
      <c r="E2818" s="11" t="str">
        <f t="shared" ref="E2818:E2881" si="227" xml:space="preserve">
IF(B2818="Артикул",
IF(
AND(RIGHT(A2819,1)="%",
RIGHT(A2820,1)="%",
RIGHT(A2821,1)="%",
RIGHT(A2822,1)="%"),MID(A2823,FIND(" ",A2823),50),
IF(
AND(RIGHT(A2819,1)="%",
RIGHT(A2820,1)="%",
RIGHT(A2821,1)="%"),MID(A2822,FIND(" ",A2822),50),
IF(
AND(RIGHT(A2819,1)="%",
RIGHT(A2820,1)="%"),
MID(A2821,FIND(" ",A2821),50),
IF(
RIGHT(A2819,1)="%",
MID(A2820,FIND(" ",A2820),50),"")))),"")</f>
        <v/>
      </c>
      <c r="F2818" s="11" t="str">
        <f t="shared" ref="F2818:F2881" si="228">IFERROR(
IF(
AND(LEFT(A2818,8)="Discount",FIND("%",A2818)&gt;0),
MID(A2818,
FIND(" ",A2818),
FIND("%",A2818)-FIND(" ",A2818))
*-1,""),"")</f>
        <v/>
      </c>
      <c r="G2818" s="10" t="str">
        <v/>
      </c>
      <c r="H2818" s="11" t="str">
        <v/>
      </c>
      <c r="I2818" s="11" t="str">
        <v/>
      </c>
    </row>
    <row r="2819" spans="2:9">
      <c r="B2819" s="11" t="str">
        <f t="shared" si="226"/>
        <v/>
      </c>
      <c r="C2819" s="11" t="str">
        <f t="shared" si="224"/>
        <v/>
      </c>
      <c r="D2819" s="11" t="str">
        <f t="shared" si="225"/>
        <v/>
      </c>
      <c r="E2819" s="11" t="str">
        <f t="shared" si="227"/>
        <v/>
      </c>
      <c r="F2819" s="11" t="str">
        <f t="shared" si="228"/>
        <v/>
      </c>
      <c r="G2819" s="10" t="str">
        <v/>
      </c>
      <c r="H2819" s="11" t="str">
        <v/>
      </c>
      <c r="I2819" s="11" t="str">
        <v/>
      </c>
    </row>
    <row r="2820" spans="2:9">
      <c r="B2820" s="11" t="str">
        <f t="shared" si="226"/>
        <v/>
      </c>
      <c r="C2820" s="11" t="str">
        <f t="shared" si="224"/>
        <v/>
      </c>
      <c r="D2820" s="11" t="str">
        <f t="shared" si="225"/>
        <v/>
      </c>
      <c r="E2820" s="11" t="str">
        <f t="shared" si="227"/>
        <v/>
      </c>
      <c r="F2820" s="11" t="str">
        <f t="shared" si="228"/>
        <v/>
      </c>
      <c r="G2820" s="10" t="str">
        <v/>
      </c>
      <c r="H2820" s="11" t="str">
        <v/>
      </c>
      <c r="I2820" s="11" t="str">
        <v/>
      </c>
    </row>
    <row r="2821" spans="2:9">
      <c r="B2821" s="11" t="str">
        <f t="shared" si="226"/>
        <v/>
      </c>
      <c r="C2821" s="11" t="str">
        <f t="shared" si="224"/>
        <v/>
      </c>
      <c r="D2821" s="11" t="str">
        <f t="shared" si="225"/>
        <v/>
      </c>
      <c r="E2821" s="11" t="str">
        <f t="shared" si="227"/>
        <v/>
      </c>
      <c r="F2821" s="11" t="str">
        <f t="shared" si="228"/>
        <v/>
      </c>
      <c r="G2821" s="10" t="str">
        <v/>
      </c>
      <c r="H2821" s="11" t="str">
        <v/>
      </c>
      <c r="I2821" s="11" t="str">
        <v/>
      </c>
    </row>
    <row r="2822" spans="2:9">
      <c r="B2822" s="11" t="str">
        <f t="shared" si="226"/>
        <v/>
      </c>
      <c r="C2822" s="11" t="str">
        <f t="shared" si="224"/>
        <v/>
      </c>
      <c r="D2822" s="11" t="str">
        <f t="shared" si="225"/>
        <v/>
      </c>
      <c r="E2822" s="11" t="str">
        <f t="shared" si="227"/>
        <v/>
      </c>
      <c r="F2822" s="11" t="str">
        <f t="shared" si="228"/>
        <v/>
      </c>
      <c r="G2822" s="10" t="str">
        <v/>
      </c>
      <c r="H2822" s="11" t="str">
        <v/>
      </c>
      <c r="I2822" s="11" t="str">
        <v/>
      </c>
    </row>
    <row r="2823" spans="2:9">
      <c r="B2823" s="11" t="str">
        <f t="shared" si="226"/>
        <v/>
      </c>
      <c r="C2823" s="11" t="str">
        <f t="shared" si="224"/>
        <v/>
      </c>
      <c r="D2823" s="11" t="str">
        <f t="shared" si="225"/>
        <v/>
      </c>
      <c r="E2823" s="11" t="str">
        <f t="shared" si="227"/>
        <v/>
      </c>
      <c r="F2823" s="11" t="str">
        <f t="shared" si="228"/>
        <v/>
      </c>
      <c r="G2823" s="10" t="str">
        <v/>
      </c>
      <c r="H2823" s="11" t="str">
        <v/>
      </c>
      <c r="I2823" s="11" t="str">
        <v/>
      </c>
    </row>
    <row r="2824" spans="2:9">
      <c r="B2824" s="11" t="str">
        <f t="shared" si="226"/>
        <v/>
      </c>
      <c r="C2824" s="11" t="str">
        <f t="shared" si="224"/>
        <v/>
      </c>
      <c r="D2824" s="11" t="str">
        <f t="shared" si="225"/>
        <v/>
      </c>
      <c r="E2824" s="11" t="str">
        <f t="shared" si="227"/>
        <v/>
      </c>
      <c r="F2824" s="11" t="str">
        <f t="shared" si="228"/>
        <v/>
      </c>
      <c r="G2824" s="10" t="str">
        <v/>
      </c>
      <c r="H2824" s="11" t="str">
        <v/>
      </c>
      <c r="I2824" s="11" t="str">
        <v/>
      </c>
    </row>
    <row r="2825" spans="2:9">
      <c r="B2825" s="11" t="str">
        <f t="shared" si="226"/>
        <v/>
      </c>
      <c r="C2825" s="11" t="str">
        <f t="shared" si="224"/>
        <v/>
      </c>
      <c r="D2825" s="11" t="str">
        <f t="shared" si="225"/>
        <v/>
      </c>
      <c r="E2825" s="11" t="str">
        <f t="shared" si="227"/>
        <v/>
      </c>
      <c r="F2825" s="11" t="str">
        <f t="shared" si="228"/>
        <v/>
      </c>
      <c r="G2825" s="10" t="str">
        <v/>
      </c>
      <c r="H2825" s="11" t="str">
        <v/>
      </c>
      <c r="I2825" s="11" t="str">
        <v/>
      </c>
    </row>
    <row r="2826" spans="2:9">
      <c r="B2826" s="11" t="str">
        <f t="shared" si="226"/>
        <v/>
      </c>
      <c r="C2826" s="11" t="str">
        <f t="shared" si="224"/>
        <v/>
      </c>
      <c r="D2826" s="11" t="str">
        <f t="shared" si="225"/>
        <v/>
      </c>
      <c r="E2826" s="11" t="str">
        <f t="shared" si="227"/>
        <v/>
      </c>
      <c r="F2826" s="11" t="str">
        <f t="shared" si="228"/>
        <v/>
      </c>
      <c r="G2826" s="10" t="str">
        <v/>
      </c>
      <c r="H2826" s="11" t="str">
        <v/>
      </c>
      <c r="I2826" s="11" t="str">
        <v/>
      </c>
    </row>
    <row r="2827" spans="2:9">
      <c r="B2827" s="11" t="str">
        <f t="shared" si="226"/>
        <v/>
      </c>
      <c r="C2827" s="11" t="str">
        <f t="shared" si="224"/>
        <v/>
      </c>
      <c r="D2827" s="11" t="str">
        <f t="shared" si="225"/>
        <v/>
      </c>
      <c r="E2827" s="11" t="str">
        <f t="shared" si="227"/>
        <v/>
      </c>
      <c r="F2827" s="11" t="str">
        <f t="shared" si="228"/>
        <v/>
      </c>
      <c r="G2827" s="10" t="str">
        <v/>
      </c>
      <c r="H2827" s="11" t="str">
        <v/>
      </c>
      <c r="I2827" s="11" t="str">
        <v/>
      </c>
    </row>
    <row r="2828" spans="2:9">
      <c r="B2828" s="11" t="str">
        <f t="shared" si="226"/>
        <v/>
      </c>
      <c r="C2828" s="11" t="str">
        <f t="shared" si="224"/>
        <v/>
      </c>
      <c r="D2828" s="11" t="str">
        <f t="shared" si="225"/>
        <v/>
      </c>
      <c r="E2828" s="11" t="str">
        <f t="shared" si="227"/>
        <v/>
      </c>
      <c r="F2828" s="11" t="str">
        <f t="shared" si="228"/>
        <v/>
      </c>
      <c r="G2828" s="10" t="str">
        <v/>
      </c>
      <c r="H2828" s="11" t="str">
        <v/>
      </c>
      <c r="I2828" s="11" t="str">
        <v/>
      </c>
    </row>
    <row r="2829" spans="2:9">
      <c r="B2829" s="11" t="str">
        <f t="shared" si="226"/>
        <v/>
      </c>
      <c r="C2829" s="11" t="str">
        <f t="shared" ref="C2829:C2892" si="229">IF(B2829="артикул",A2829,"")</f>
        <v/>
      </c>
      <c r="D2829" s="11" t="str">
        <f t="shared" ref="D2829:D2892" si="230">IF(B2829="артикул",A2830,"")</f>
        <v/>
      </c>
      <c r="E2829" s="11" t="str">
        <f t="shared" si="227"/>
        <v/>
      </c>
      <c r="F2829" s="11" t="str">
        <f t="shared" si="228"/>
        <v/>
      </c>
      <c r="G2829" s="10" t="str">
        <v/>
      </c>
      <c r="H2829" s="11" t="str">
        <v/>
      </c>
      <c r="I2829" s="11" t="str">
        <v/>
      </c>
    </row>
    <row r="2830" spans="2:9">
      <c r="B2830" s="11" t="str">
        <f t="shared" si="226"/>
        <v/>
      </c>
      <c r="C2830" s="11" t="str">
        <f t="shared" si="229"/>
        <v/>
      </c>
      <c r="D2830" s="11" t="str">
        <f t="shared" si="230"/>
        <v/>
      </c>
      <c r="E2830" s="11" t="str">
        <f t="shared" si="227"/>
        <v/>
      </c>
      <c r="F2830" s="11" t="str">
        <f t="shared" si="228"/>
        <v/>
      </c>
      <c r="G2830" s="10" t="str">
        <v/>
      </c>
      <c r="H2830" s="11" t="str">
        <v/>
      </c>
      <c r="I2830" s="11" t="str">
        <v/>
      </c>
    </row>
    <row r="2831" spans="2:9">
      <c r="B2831" s="11" t="str">
        <f t="shared" si="226"/>
        <v/>
      </c>
      <c r="C2831" s="11" t="str">
        <f t="shared" si="229"/>
        <v/>
      </c>
      <c r="D2831" s="11" t="str">
        <f t="shared" si="230"/>
        <v/>
      </c>
      <c r="E2831" s="11" t="str">
        <f t="shared" si="227"/>
        <v/>
      </c>
      <c r="F2831" s="11" t="str">
        <f t="shared" si="228"/>
        <v/>
      </c>
      <c r="G2831" s="10" t="str">
        <v/>
      </c>
      <c r="H2831" s="11" t="str">
        <v/>
      </c>
      <c r="I2831" s="11" t="str">
        <v/>
      </c>
    </row>
    <row r="2832" spans="2:9">
      <c r="B2832" s="11" t="str">
        <f t="shared" si="226"/>
        <v/>
      </c>
      <c r="C2832" s="11" t="str">
        <f t="shared" si="229"/>
        <v/>
      </c>
      <c r="D2832" s="11" t="str">
        <f t="shared" si="230"/>
        <v/>
      </c>
      <c r="E2832" s="11" t="str">
        <f t="shared" si="227"/>
        <v/>
      </c>
      <c r="F2832" s="11" t="str">
        <f t="shared" si="228"/>
        <v/>
      </c>
      <c r="G2832" s="10" t="str">
        <v/>
      </c>
      <c r="H2832" s="11" t="str">
        <v/>
      </c>
      <c r="I2832" s="11" t="str">
        <v/>
      </c>
    </row>
    <row r="2833" spans="2:9">
      <c r="B2833" s="11" t="str">
        <f t="shared" si="226"/>
        <v/>
      </c>
      <c r="C2833" s="11" t="str">
        <f t="shared" si="229"/>
        <v/>
      </c>
      <c r="D2833" s="11" t="str">
        <f t="shared" si="230"/>
        <v/>
      </c>
      <c r="E2833" s="11" t="str">
        <f t="shared" si="227"/>
        <v/>
      </c>
      <c r="F2833" s="11" t="str">
        <f t="shared" si="228"/>
        <v/>
      </c>
      <c r="G2833" s="10" t="str">
        <v/>
      </c>
      <c r="H2833" s="11" t="str">
        <v/>
      </c>
      <c r="I2833" s="11" t="str">
        <v/>
      </c>
    </row>
    <row r="2834" spans="2:9">
      <c r="B2834" s="11" t="str">
        <f t="shared" si="226"/>
        <v/>
      </c>
      <c r="C2834" s="11" t="str">
        <f t="shared" si="229"/>
        <v/>
      </c>
      <c r="D2834" s="11" t="str">
        <f t="shared" si="230"/>
        <v/>
      </c>
      <c r="E2834" s="11" t="str">
        <f t="shared" si="227"/>
        <v/>
      </c>
      <c r="F2834" s="11" t="str">
        <f t="shared" si="228"/>
        <v/>
      </c>
      <c r="G2834" s="10" t="str">
        <v/>
      </c>
      <c r="H2834" s="11" t="str">
        <v/>
      </c>
      <c r="I2834" s="11" t="str">
        <v/>
      </c>
    </row>
    <row r="2835" spans="2:9">
      <c r="B2835" s="11" t="str">
        <f t="shared" si="226"/>
        <v/>
      </c>
      <c r="C2835" s="11" t="str">
        <f t="shared" si="229"/>
        <v/>
      </c>
      <c r="D2835" s="11" t="str">
        <f t="shared" si="230"/>
        <v/>
      </c>
      <c r="E2835" s="11" t="str">
        <f t="shared" si="227"/>
        <v/>
      </c>
      <c r="F2835" s="11" t="str">
        <f t="shared" si="228"/>
        <v/>
      </c>
      <c r="G2835" s="10" t="str">
        <v/>
      </c>
      <c r="H2835" s="11" t="str">
        <v/>
      </c>
      <c r="I2835" s="11" t="str">
        <v/>
      </c>
    </row>
    <row r="2836" spans="2:9">
      <c r="B2836" s="11" t="str">
        <f t="shared" si="226"/>
        <v/>
      </c>
      <c r="C2836" s="11" t="str">
        <f t="shared" si="229"/>
        <v/>
      </c>
      <c r="D2836" s="11" t="str">
        <f t="shared" si="230"/>
        <v/>
      </c>
      <c r="E2836" s="11" t="str">
        <f t="shared" si="227"/>
        <v/>
      </c>
      <c r="F2836" s="11" t="str">
        <f t="shared" si="228"/>
        <v/>
      </c>
      <c r="G2836" s="10" t="str">
        <v/>
      </c>
      <c r="H2836" s="11" t="str">
        <v/>
      </c>
      <c r="I2836" s="11" t="str">
        <v/>
      </c>
    </row>
    <row r="2837" spans="2:9">
      <c r="B2837" s="11" t="str">
        <f t="shared" si="226"/>
        <v/>
      </c>
      <c r="C2837" s="11" t="str">
        <f t="shared" si="229"/>
        <v/>
      </c>
      <c r="D2837" s="11" t="str">
        <f t="shared" si="230"/>
        <v/>
      </c>
      <c r="E2837" s="11" t="str">
        <f t="shared" si="227"/>
        <v/>
      </c>
      <c r="F2837" s="11" t="str">
        <f t="shared" si="228"/>
        <v/>
      </c>
      <c r="G2837" s="10" t="str">
        <v/>
      </c>
      <c r="H2837" s="11" t="str">
        <v/>
      </c>
      <c r="I2837" s="11" t="str">
        <v/>
      </c>
    </row>
    <row r="2838" spans="2:9">
      <c r="B2838" s="11" t="str">
        <f t="shared" si="226"/>
        <v/>
      </c>
      <c r="C2838" s="11" t="str">
        <f t="shared" si="229"/>
        <v/>
      </c>
      <c r="D2838" s="11" t="str">
        <f t="shared" si="230"/>
        <v/>
      </c>
      <c r="E2838" s="11" t="str">
        <f t="shared" si="227"/>
        <v/>
      </c>
      <c r="F2838" s="11" t="str">
        <f t="shared" si="228"/>
        <v/>
      </c>
      <c r="G2838" s="10" t="str">
        <v/>
      </c>
      <c r="H2838" s="11" t="str">
        <v/>
      </c>
      <c r="I2838" s="11" t="str">
        <v/>
      </c>
    </row>
    <row r="2839" spans="2:9">
      <c r="B2839" s="11" t="str">
        <f t="shared" si="226"/>
        <v/>
      </c>
      <c r="C2839" s="11" t="str">
        <f t="shared" si="229"/>
        <v/>
      </c>
      <c r="D2839" s="11" t="str">
        <f t="shared" si="230"/>
        <v/>
      </c>
      <c r="E2839" s="11" t="str">
        <f t="shared" si="227"/>
        <v/>
      </c>
      <c r="F2839" s="11" t="str">
        <f t="shared" si="228"/>
        <v/>
      </c>
      <c r="G2839" s="10" t="str">
        <v/>
      </c>
      <c r="H2839" s="11" t="str">
        <v/>
      </c>
      <c r="I2839" s="11" t="str">
        <v/>
      </c>
    </row>
    <row r="2840" spans="2:9">
      <c r="B2840" s="11" t="str">
        <f t="shared" si="226"/>
        <v/>
      </c>
      <c r="C2840" s="11" t="str">
        <f t="shared" si="229"/>
        <v/>
      </c>
      <c r="D2840" s="11" t="str">
        <f t="shared" si="230"/>
        <v/>
      </c>
      <c r="E2840" s="11" t="str">
        <f t="shared" si="227"/>
        <v/>
      </c>
      <c r="F2840" s="11" t="str">
        <f t="shared" si="228"/>
        <v/>
      </c>
      <c r="G2840" s="10" t="str">
        <v/>
      </c>
      <c r="H2840" s="11" t="str">
        <v/>
      </c>
      <c r="I2840" s="11" t="str">
        <v/>
      </c>
    </row>
    <row r="2841" spans="2:9">
      <c r="B2841" s="11" t="str">
        <f t="shared" si="226"/>
        <v/>
      </c>
      <c r="C2841" s="11" t="str">
        <f t="shared" si="229"/>
        <v/>
      </c>
      <c r="D2841" s="11" t="str">
        <f t="shared" si="230"/>
        <v/>
      </c>
      <c r="E2841" s="11" t="str">
        <f t="shared" si="227"/>
        <v/>
      </c>
      <c r="F2841" s="11" t="str">
        <f t="shared" si="228"/>
        <v/>
      </c>
      <c r="G2841" s="10" t="str">
        <v/>
      </c>
      <c r="H2841" s="11" t="str">
        <v/>
      </c>
      <c r="I2841" s="11" t="str">
        <v/>
      </c>
    </row>
    <row r="2842" spans="2:9">
      <c r="B2842" s="11" t="str">
        <f t="shared" si="226"/>
        <v/>
      </c>
      <c r="C2842" s="11" t="str">
        <f t="shared" si="229"/>
        <v/>
      </c>
      <c r="D2842" s="11" t="str">
        <f t="shared" si="230"/>
        <v/>
      </c>
      <c r="E2842" s="11" t="str">
        <f t="shared" si="227"/>
        <v/>
      </c>
      <c r="F2842" s="11" t="str">
        <f t="shared" si="228"/>
        <v/>
      </c>
      <c r="G2842" s="10" t="str">
        <v/>
      </c>
      <c r="H2842" s="11" t="str">
        <v/>
      </c>
      <c r="I2842" s="11" t="str">
        <v/>
      </c>
    </row>
    <row r="2843" spans="2:9">
      <c r="B2843" s="11" t="str">
        <f t="shared" si="226"/>
        <v/>
      </c>
      <c r="C2843" s="11" t="str">
        <f t="shared" si="229"/>
        <v/>
      </c>
      <c r="D2843" s="11" t="str">
        <f t="shared" si="230"/>
        <v/>
      </c>
      <c r="E2843" s="11" t="str">
        <f t="shared" si="227"/>
        <v/>
      </c>
      <c r="F2843" s="11" t="str">
        <f t="shared" si="228"/>
        <v/>
      </c>
      <c r="G2843" s="10" t="str">
        <v/>
      </c>
      <c r="H2843" s="11" t="str">
        <v/>
      </c>
      <c r="I2843" s="11" t="str">
        <v/>
      </c>
    </row>
    <row r="2844" spans="2:9">
      <c r="B2844" s="11" t="str">
        <f t="shared" si="226"/>
        <v/>
      </c>
      <c r="C2844" s="11" t="str">
        <f t="shared" si="229"/>
        <v/>
      </c>
      <c r="D2844" s="11" t="str">
        <f t="shared" si="230"/>
        <v/>
      </c>
      <c r="E2844" s="11" t="str">
        <f t="shared" si="227"/>
        <v/>
      </c>
      <c r="F2844" s="11" t="str">
        <f t="shared" si="228"/>
        <v/>
      </c>
      <c r="G2844" s="10" t="str">
        <v/>
      </c>
      <c r="H2844" s="11" t="str">
        <v/>
      </c>
      <c r="I2844" s="11" t="str">
        <v/>
      </c>
    </row>
    <row r="2845" spans="2:9">
      <c r="B2845" s="11" t="str">
        <f t="shared" si="226"/>
        <v/>
      </c>
      <c r="C2845" s="11" t="str">
        <f t="shared" si="229"/>
        <v/>
      </c>
      <c r="D2845" s="11" t="str">
        <f t="shared" si="230"/>
        <v/>
      </c>
      <c r="E2845" s="11" t="str">
        <f t="shared" si="227"/>
        <v/>
      </c>
      <c r="F2845" s="11" t="str">
        <f t="shared" si="228"/>
        <v/>
      </c>
      <c r="G2845" s="10" t="str">
        <v/>
      </c>
      <c r="H2845" s="11" t="str">
        <v/>
      </c>
      <c r="I2845" s="11" t="str">
        <v/>
      </c>
    </row>
    <row r="2846" spans="2:9">
      <c r="B2846" s="11" t="str">
        <f t="shared" si="226"/>
        <v/>
      </c>
      <c r="C2846" s="11" t="str">
        <f t="shared" si="229"/>
        <v/>
      </c>
      <c r="D2846" s="11" t="str">
        <f t="shared" si="230"/>
        <v/>
      </c>
      <c r="E2846" s="11" t="str">
        <f t="shared" si="227"/>
        <v/>
      </c>
      <c r="F2846" s="11" t="str">
        <f t="shared" si="228"/>
        <v/>
      </c>
      <c r="G2846" s="10" t="str">
        <v/>
      </c>
      <c r="H2846" s="11" t="str">
        <v/>
      </c>
      <c r="I2846" s="11" t="str">
        <v/>
      </c>
    </row>
    <row r="2847" spans="2:9">
      <c r="B2847" s="11" t="str">
        <f t="shared" si="226"/>
        <v/>
      </c>
      <c r="C2847" s="11" t="str">
        <f t="shared" si="229"/>
        <v/>
      </c>
      <c r="D2847" s="11" t="str">
        <f t="shared" si="230"/>
        <v/>
      </c>
      <c r="E2847" s="11" t="str">
        <f t="shared" si="227"/>
        <v/>
      </c>
      <c r="F2847" s="11" t="str">
        <f t="shared" si="228"/>
        <v/>
      </c>
      <c r="G2847" s="10" t="str">
        <v/>
      </c>
      <c r="H2847" s="11" t="str">
        <v/>
      </c>
      <c r="I2847" s="11" t="str">
        <v/>
      </c>
    </row>
    <row r="2848" spans="2:9">
      <c r="B2848" s="11" t="str">
        <f t="shared" si="226"/>
        <v/>
      </c>
      <c r="C2848" s="11" t="str">
        <f t="shared" si="229"/>
        <v/>
      </c>
      <c r="D2848" s="11" t="str">
        <f t="shared" si="230"/>
        <v/>
      </c>
      <c r="E2848" s="11" t="str">
        <f t="shared" si="227"/>
        <v/>
      </c>
      <c r="F2848" s="11" t="str">
        <f t="shared" si="228"/>
        <v/>
      </c>
      <c r="G2848" s="10" t="str">
        <v/>
      </c>
      <c r="H2848" s="11" t="str">
        <v/>
      </c>
      <c r="I2848" s="11" t="str">
        <v/>
      </c>
    </row>
    <row r="2849" spans="2:9">
      <c r="B2849" s="11" t="str">
        <f t="shared" si="226"/>
        <v/>
      </c>
      <c r="C2849" s="11" t="str">
        <f t="shared" si="229"/>
        <v/>
      </c>
      <c r="D2849" s="11" t="str">
        <f t="shared" si="230"/>
        <v/>
      </c>
      <c r="E2849" s="11" t="str">
        <f t="shared" si="227"/>
        <v/>
      </c>
      <c r="F2849" s="11" t="str">
        <f t="shared" si="228"/>
        <v/>
      </c>
      <c r="G2849" s="10" t="str">
        <v/>
      </c>
      <c r="H2849" s="11" t="str">
        <v/>
      </c>
      <c r="I2849" s="11" t="str">
        <v/>
      </c>
    </row>
    <row r="2850" spans="2:9">
      <c r="B2850" s="11" t="str">
        <f t="shared" si="226"/>
        <v/>
      </c>
      <c r="C2850" s="11" t="str">
        <f t="shared" si="229"/>
        <v/>
      </c>
      <c r="D2850" s="11" t="str">
        <f t="shared" si="230"/>
        <v/>
      </c>
      <c r="E2850" s="11" t="str">
        <f t="shared" si="227"/>
        <v/>
      </c>
      <c r="F2850" s="11" t="str">
        <f t="shared" si="228"/>
        <v/>
      </c>
      <c r="G2850" s="10" t="str">
        <v/>
      </c>
      <c r="H2850" s="11" t="str">
        <v/>
      </c>
      <c r="I2850" s="11" t="str">
        <v/>
      </c>
    </row>
    <row r="2851" spans="2:9">
      <c r="B2851" s="11" t="str">
        <f t="shared" si="226"/>
        <v/>
      </c>
      <c r="C2851" s="11" t="str">
        <f t="shared" si="229"/>
        <v/>
      </c>
      <c r="D2851" s="11" t="str">
        <f t="shared" si="230"/>
        <v/>
      </c>
      <c r="E2851" s="11" t="str">
        <f t="shared" si="227"/>
        <v/>
      </c>
      <c r="F2851" s="11" t="str">
        <f t="shared" si="228"/>
        <v/>
      </c>
      <c r="G2851" s="10" t="str">
        <v/>
      </c>
      <c r="H2851" s="11" t="str">
        <v/>
      </c>
      <c r="I2851" s="11" t="str">
        <v/>
      </c>
    </row>
    <row r="2852" spans="2:9">
      <c r="B2852" s="11" t="str">
        <f t="shared" si="226"/>
        <v/>
      </c>
      <c r="C2852" s="11" t="str">
        <f t="shared" si="229"/>
        <v/>
      </c>
      <c r="D2852" s="11" t="str">
        <f t="shared" si="230"/>
        <v/>
      </c>
      <c r="E2852" s="11" t="str">
        <f t="shared" si="227"/>
        <v/>
      </c>
      <c r="F2852" s="11" t="str">
        <f t="shared" si="228"/>
        <v/>
      </c>
      <c r="G2852" s="10" t="str">
        <v/>
      </c>
      <c r="H2852" s="11" t="str">
        <v/>
      </c>
      <c r="I2852" s="11" t="str">
        <v/>
      </c>
    </row>
    <row r="2853" spans="2:9">
      <c r="B2853" s="11" t="str">
        <f t="shared" si="226"/>
        <v/>
      </c>
      <c r="C2853" s="11" t="str">
        <f t="shared" si="229"/>
        <v/>
      </c>
      <c r="D2853" s="11" t="str">
        <f t="shared" si="230"/>
        <v/>
      </c>
      <c r="E2853" s="11" t="str">
        <f t="shared" si="227"/>
        <v/>
      </c>
      <c r="F2853" s="11" t="str">
        <f t="shared" si="228"/>
        <v/>
      </c>
      <c r="G2853" s="10" t="str">
        <v/>
      </c>
      <c r="H2853" s="11" t="str">
        <v/>
      </c>
      <c r="I2853" s="11" t="str">
        <v/>
      </c>
    </row>
    <row r="2854" spans="2:9">
      <c r="B2854" s="11" t="str">
        <f t="shared" si="226"/>
        <v/>
      </c>
      <c r="C2854" s="11" t="str">
        <f t="shared" si="229"/>
        <v/>
      </c>
      <c r="D2854" s="11" t="str">
        <f t="shared" si="230"/>
        <v/>
      </c>
      <c r="E2854" s="11" t="str">
        <f t="shared" si="227"/>
        <v/>
      </c>
      <c r="F2854" s="11" t="str">
        <f t="shared" si="228"/>
        <v/>
      </c>
      <c r="G2854" s="10" t="str">
        <v/>
      </c>
      <c r="H2854" s="11" t="str">
        <v/>
      </c>
      <c r="I2854" s="11" t="str">
        <v/>
      </c>
    </row>
    <row r="2855" spans="2:9">
      <c r="B2855" s="11" t="str">
        <f t="shared" si="226"/>
        <v/>
      </c>
      <c r="C2855" s="11" t="str">
        <f t="shared" si="229"/>
        <v/>
      </c>
      <c r="D2855" s="11" t="str">
        <f t="shared" si="230"/>
        <v/>
      </c>
      <c r="E2855" s="11" t="str">
        <f t="shared" si="227"/>
        <v/>
      </c>
      <c r="F2855" s="11" t="str">
        <f t="shared" si="228"/>
        <v/>
      </c>
      <c r="G2855" s="10" t="str">
        <v/>
      </c>
      <c r="H2855" s="11" t="str">
        <v/>
      </c>
      <c r="I2855" s="11" t="str">
        <v/>
      </c>
    </row>
    <row r="2856" spans="2:9">
      <c r="B2856" s="11" t="str">
        <f t="shared" si="226"/>
        <v/>
      </c>
      <c r="C2856" s="11" t="str">
        <f t="shared" si="229"/>
        <v/>
      </c>
      <c r="D2856" s="11" t="str">
        <f t="shared" si="230"/>
        <v/>
      </c>
      <c r="E2856" s="11" t="str">
        <f t="shared" si="227"/>
        <v/>
      </c>
      <c r="F2856" s="11" t="str">
        <f t="shared" si="228"/>
        <v/>
      </c>
      <c r="G2856" s="10" t="str">
        <v/>
      </c>
      <c r="H2856" s="11" t="str">
        <v/>
      </c>
      <c r="I2856" s="11" t="str">
        <v/>
      </c>
    </row>
    <row r="2857" spans="2:9">
      <c r="B2857" s="11" t="str">
        <f t="shared" si="226"/>
        <v/>
      </c>
      <c r="C2857" s="11" t="str">
        <f t="shared" si="229"/>
        <v/>
      </c>
      <c r="D2857" s="11" t="str">
        <f t="shared" si="230"/>
        <v/>
      </c>
      <c r="E2857" s="11" t="str">
        <f t="shared" si="227"/>
        <v/>
      </c>
      <c r="F2857" s="11" t="str">
        <f t="shared" si="228"/>
        <v/>
      </c>
      <c r="G2857" s="10" t="str">
        <v/>
      </c>
      <c r="H2857" s="11" t="str">
        <v/>
      </c>
      <c r="I2857" s="11" t="str">
        <v/>
      </c>
    </row>
    <row r="2858" spans="2:9">
      <c r="B2858" s="11" t="str">
        <f t="shared" si="226"/>
        <v/>
      </c>
      <c r="C2858" s="11" t="str">
        <f t="shared" si="229"/>
        <v/>
      </c>
      <c r="D2858" s="11" t="str">
        <f t="shared" si="230"/>
        <v/>
      </c>
      <c r="E2858" s="11" t="str">
        <f t="shared" si="227"/>
        <v/>
      </c>
      <c r="F2858" s="11" t="str">
        <f t="shared" si="228"/>
        <v/>
      </c>
      <c r="G2858" s="10" t="str">
        <v/>
      </c>
      <c r="H2858" s="11" t="str">
        <v/>
      </c>
      <c r="I2858" s="11" t="str">
        <v/>
      </c>
    </row>
    <row r="2859" spans="2:9">
      <c r="B2859" s="11" t="str">
        <f t="shared" si="226"/>
        <v/>
      </c>
      <c r="C2859" s="11" t="str">
        <f t="shared" si="229"/>
        <v/>
      </c>
      <c r="D2859" s="11" t="str">
        <f t="shared" si="230"/>
        <v/>
      </c>
      <c r="E2859" s="11" t="str">
        <f t="shared" si="227"/>
        <v/>
      </c>
      <c r="F2859" s="11" t="str">
        <f t="shared" si="228"/>
        <v/>
      </c>
      <c r="G2859" s="10" t="str">
        <v/>
      </c>
      <c r="H2859" s="11" t="str">
        <v/>
      </c>
      <c r="I2859" s="11" t="str">
        <v/>
      </c>
    </row>
    <row r="2860" spans="2:9">
      <c r="B2860" s="11" t="str">
        <f t="shared" si="226"/>
        <v/>
      </c>
      <c r="C2860" s="11" t="str">
        <f t="shared" si="229"/>
        <v/>
      </c>
      <c r="D2860" s="11" t="str">
        <f t="shared" si="230"/>
        <v/>
      </c>
      <c r="E2860" s="11" t="str">
        <f t="shared" si="227"/>
        <v/>
      </c>
      <c r="F2860" s="11" t="str">
        <f t="shared" si="228"/>
        <v/>
      </c>
      <c r="G2860" s="10" t="str">
        <v/>
      </c>
      <c r="H2860" s="11" t="str">
        <v/>
      </c>
      <c r="I2860" s="11" t="str">
        <v/>
      </c>
    </row>
    <row r="2861" spans="2:9">
      <c r="B2861" s="11" t="str">
        <f t="shared" si="226"/>
        <v/>
      </c>
      <c r="C2861" s="11" t="str">
        <f t="shared" si="229"/>
        <v/>
      </c>
      <c r="D2861" s="11" t="str">
        <f t="shared" si="230"/>
        <v/>
      </c>
      <c r="E2861" s="11" t="str">
        <f t="shared" si="227"/>
        <v/>
      </c>
      <c r="F2861" s="11" t="str">
        <f t="shared" si="228"/>
        <v/>
      </c>
      <c r="G2861" s="10" t="str">
        <v/>
      </c>
      <c r="H2861" s="11" t="str">
        <v/>
      </c>
      <c r="I2861" s="11" t="str">
        <v/>
      </c>
    </row>
    <row r="2862" spans="2:9">
      <c r="B2862" s="11" t="str">
        <f t="shared" si="226"/>
        <v/>
      </c>
      <c r="C2862" s="11" t="str">
        <f t="shared" si="229"/>
        <v/>
      </c>
      <c r="D2862" s="11" t="str">
        <f t="shared" si="230"/>
        <v/>
      </c>
      <c r="E2862" s="11" t="str">
        <f t="shared" si="227"/>
        <v/>
      </c>
      <c r="F2862" s="11" t="str">
        <f t="shared" si="228"/>
        <v/>
      </c>
      <c r="G2862" s="10" t="str">
        <v/>
      </c>
      <c r="H2862" s="11" t="str">
        <v/>
      </c>
      <c r="I2862" s="11" t="str">
        <v/>
      </c>
    </row>
    <row r="2863" spans="2:9">
      <c r="B2863" s="11" t="str">
        <f t="shared" si="226"/>
        <v/>
      </c>
      <c r="C2863" s="11" t="str">
        <f t="shared" si="229"/>
        <v/>
      </c>
      <c r="D2863" s="11" t="str">
        <f t="shared" si="230"/>
        <v/>
      </c>
      <c r="E2863" s="11" t="str">
        <f t="shared" si="227"/>
        <v/>
      </c>
      <c r="F2863" s="11" t="str">
        <f t="shared" si="228"/>
        <v/>
      </c>
      <c r="G2863" s="10" t="str">
        <v/>
      </c>
      <c r="H2863" s="11" t="str">
        <v/>
      </c>
      <c r="I2863" s="11" t="str">
        <v/>
      </c>
    </row>
    <row r="2864" spans="2:9">
      <c r="B2864" s="11" t="str">
        <f t="shared" si="226"/>
        <v/>
      </c>
      <c r="C2864" s="11" t="str">
        <f t="shared" si="229"/>
        <v/>
      </c>
      <c r="D2864" s="11" t="str">
        <f t="shared" si="230"/>
        <v/>
      </c>
      <c r="E2864" s="11" t="str">
        <f t="shared" si="227"/>
        <v/>
      </c>
      <c r="F2864" s="11" t="str">
        <f t="shared" si="228"/>
        <v/>
      </c>
      <c r="G2864" s="10" t="str">
        <v/>
      </c>
      <c r="H2864" s="11" t="str">
        <v/>
      </c>
      <c r="I2864" s="11" t="str">
        <v/>
      </c>
    </row>
    <row r="2865" spans="2:9">
      <c r="B2865" s="11" t="str">
        <f t="shared" si="226"/>
        <v/>
      </c>
      <c r="C2865" s="11" t="str">
        <f t="shared" si="229"/>
        <v/>
      </c>
      <c r="D2865" s="11" t="str">
        <f t="shared" si="230"/>
        <v/>
      </c>
      <c r="E2865" s="11" t="str">
        <f t="shared" si="227"/>
        <v/>
      </c>
      <c r="F2865" s="11" t="str">
        <f t="shared" si="228"/>
        <v/>
      </c>
      <c r="G2865" s="10" t="str">
        <v/>
      </c>
      <c r="H2865" s="11" t="str">
        <v/>
      </c>
      <c r="I2865" s="11" t="str">
        <v/>
      </c>
    </row>
    <row r="2866" spans="2:9">
      <c r="B2866" s="11" t="str">
        <f t="shared" si="226"/>
        <v/>
      </c>
      <c r="C2866" s="11" t="str">
        <f t="shared" si="229"/>
        <v/>
      </c>
      <c r="D2866" s="11" t="str">
        <f t="shared" si="230"/>
        <v/>
      </c>
      <c r="E2866" s="11" t="str">
        <f t="shared" si="227"/>
        <v/>
      </c>
      <c r="F2866" s="11" t="str">
        <f t="shared" si="228"/>
        <v/>
      </c>
      <c r="G2866" s="10" t="str">
        <v/>
      </c>
      <c r="H2866" s="11" t="str">
        <v/>
      </c>
      <c r="I2866" s="11" t="str">
        <v/>
      </c>
    </row>
    <row r="2867" spans="2:9">
      <c r="B2867" s="11" t="str">
        <f t="shared" si="226"/>
        <v/>
      </c>
      <c r="C2867" s="11" t="str">
        <f t="shared" si="229"/>
        <v/>
      </c>
      <c r="D2867" s="11" t="str">
        <f t="shared" si="230"/>
        <v/>
      </c>
      <c r="E2867" s="11" t="str">
        <f t="shared" si="227"/>
        <v/>
      </c>
      <c r="F2867" s="11" t="str">
        <f t="shared" si="228"/>
        <v/>
      </c>
      <c r="G2867" s="10" t="str">
        <v/>
      </c>
      <c r="H2867" s="11" t="str">
        <v/>
      </c>
      <c r="I2867" s="11" t="str">
        <v/>
      </c>
    </row>
    <row r="2868" spans="2:9">
      <c r="B2868" s="11" t="str">
        <f t="shared" si="226"/>
        <v/>
      </c>
      <c r="C2868" s="11" t="str">
        <f t="shared" si="229"/>
        <v/>
      </c>
      <c r="D2868" s="11" t="str">
        <f t="shared" si="230"/>
        <v/>
      </c>
      <c r="E2868" s="11" t="str">
        <f t="shared" si="227"/>
        <v/>
      </c>
      <c r="F2868" s="11" t="str">
        <f t="shared" si="228"/>
        <v/>
      </c>
      <c r="G2868" s="10" t="str">
        <v/>
      </c>
      <c r="H2868" s="11" t="str">
        <v/>
      </c>
      <c r="I2868" s="11" t="str">
        <v/>
      </c>
    </row>
    <row r="2869" spans="2:9">
      <c r="B2869" s="11" t="str">
        <f t="shared" si="226"/>
        <v/>
      </c>
      <c r="C2869" s="11" t="str">
        <f t="shared" si="229"/>
        <v/>
      </c>
      <c r="D2869" s="11" t="str">
        <f t="shared" si="230"/>
        <v/>
      </c>
      <c r="E2869" s="11" t="str">
        <f t="shared" si="227"/>
        <v/>
      </c>
      <c r="F2869" s="11" t="str">
        <f t="shared" si="228"/>
        <v/>
      </c>
      <c r="G2869" s="10" t="str">
        <v/>
      </c>
      <c r="H2869" s="11" t="str">
        <v/>
      </c>
      <c r="I2869" s="11" t="str">
        <v/>
      </c>
    </row>
    <row r="2870" spans="2:9">
      <c r="B2870" s="11" t="str">
        <f t="shared" si="226"/>
        <v/>
      </c>
      <c r="C2870" s="11" t="str">
        <f t="shared" si="229"/>
        <v/>
      </c>
      <c r="D2870" s="11" t="str">
        <f t="shared" si="230"/>
        <v/>
      </c>
      <c r="E2870" s="11" t="str">
        <f t="shared" si="227"/>
        <v/>
      </c>
      <c r="F2870" s="11" t="str">
        <f t="shared" si="228"/>
        <v/>
      </c>
      <c r="G2870" s="10" t="str">
        <v/>
      </c>
      <c r="H2870" s="11" t="str">
        <v/>
      </c>
      <c r="I2870" s="11" t="str">
        <v/>
      </c>
    </row>
    <row r="2871" spans="2:9">
      <c r="B2871" s="11" t="str">
        <f t="shared" si="226"/>
        <v/>
      </c>
      <c r="C2871" s="11" t="str">
        <f t="shared" si="229"/>
        <v/>
      </c>
      <c r="D2871" s="11" t="str">
        <f t="shared" si="230"/>
        <v/>
      </c>
      <c r="E2871" s="11" t="str">
        <f t="shared" si="227"/>
        <v/>
      </c>
      <c r="F2871" s="11" t="str">
        <f t="shared" si="228"/>
        <v/>
      </c>
      <c r="G2871" s="10" t="str">
        <v/>
      </c>
      <c r="H2871" s="11" t="str">
        <v/>
      </c>
      <c r="I2871" s="11" t="str">
        <v/>
      </c>
    </row>
    <row r="2872" spans="2:9">
      <c r="B2872" s="11" t="str">
        <f t="shared" si="226"/>
        <v/>
      </c>
      <c r="C2872" s="11" t="str">
        <f t="shared" si="229"/>
        <v/>
      </c>
      <c r="D2872" s="11" t="str">
        <f t="shared" si="230"/>
        <v/>
      </c>
      <c r="E2872" s="11" t="str">
        <f t="shared" si="227"/>
        <v/>
      </c>
      <c r="F2872" s="11" t="str">
        <f t="shared" si="228"/>
        <v/>
      </c>
      <c r="G2872" s="10" t="str">
        <v/>
      </c>
      <c r="H2872" s="11" t="str">
        <v/>
      </c>
      <c r="I2872" s="11" t="str">
        <v/>
      </c>
    </row>
    <row r="2873" spans="2:9">
      <c r="B2873" s="11" t="str">
        <f t="shared" si="226"/>
        <v/>
      </c>
      <c r="C2873" s="11" t="str">
        <f t="shared" si="229"/>
        <v/>
      </c>
      <c r="D2873" s="11" t="str">
        <f t="shared" si="230"/>
        <v/>
      </c>
      <c r="E2873" s="11" t="str">
        <f t="shared" si="227"/>
        <v/>
      </c>
      <c r="F2873" s="11" t="str">
        <f t="shared" si="228"/>
        <v/>
      </c>
      <c r="G2873" s="10" t="str">
        <v/>
      </c>
      <c r="H2873" s="11" t="str">
        <v/>
      </c>
      <c r="I2873" s="11" t="str">
        <v/>
      </c>
    </row>
    <row r="2874" spans="2:9">
      <c r="B2874" s="11" t="str">
        <f t="shared" si="226"/>
        <v/>
      </c>
      <c r="C2874" s="11" t="str">
        <f t="shared" si="229"/>
        <v/>
      </c>
      <c r="D2874" s="11" t="str">
        <f t="shared" si="230"/>
        <v/>
      </c>
      <c r="E2874" s="11" t="str">
        <f t="shared" si="227"/>
        <v/>
      </c>
      <c r="F2874" s="11" t="str">
        <f t="shared" si="228"/>
        <v/>
      </c>
      <c r="G2874" s="10" t="str">
        <v/>
      </c>
      <c r="H2874" s="11" t="str">
        <v/>
      </c>
      <c r="I2874" s="11" t="str">
        <v/>
      </c>
    </row>
    <row r="2875" spans="2:9">
      <c r="B2875" s="11" t="str">
        <f t="shared" si="226"/>
        <v/>
      </c>
      <c r="C2875" s="11" t="str">
        <f t="shared" si="229"/>
        <v/>
      </c>
      <c r="D2875" s="11" t="str">
        <f t="shared" si="230"/>
        <v/>
      </c>
      <c r="E2875" s="11" t="str">
        <f t="shared" si="227"/>
        <v/>
      </c>
      <c r="F2875" s="11" t="str">
        <f t="shared" si="228"/>
        <v/>
      </c>
      <c r="G2875" s="10" t="str">
        <v/>
      </c>
      <c r="H2875" s="11" t="str">
        <v/>
      </c>
      <c r="I2875" s="11" t="str">
        <v/>
      </c>
    </row>
    <row r="2876" spans="2:9">
      <c r="B2876" s="11" t="str">
        <f t="shared" si="226"/>
        <v/>
      </c>
      <c r="C2876" s="11" t="str">
        <f t="shared" si="229"/>
        <v/>
      </c>
      <c r="D2876" s="11" t="str">
        <f t="shared" si="230"/>
        <v/>
      </c>
      <c r="E2876" s="11" t="str">
        <f t="shared" si="227"/>
        <v/>
      </c>
      <c r="F2876" s="11" t="str">
        <f t="shared" si="228"/>
        <v/>
      </c>
      <c r="G2876" s="10" t="str">
        <v/>
      </c>
      <c r="H2876" s="11" t="str">
        <v/>
      </c>
      <c r="I2876" s="11" t="str">
        <v/>
      </c>
    </row>
    <row r="2877" spans="2:9">
      <c r="B2877" s="11" t="str">
        <f t="shared" si="226"/>
        <v/>
      </c>
      <c r="C2877" s="11" t="str">
        <f t="shared" si="229"/>
        <v/>
      </c>
      <c r="D2877" s="11" t="str">
        <f t="shared" si="230"/>
        <v/>
      </c>
      <c r="E2877" s="11" t="str">
        <f t="shared" si="227"/>
        <v/>
      </c>
      <c r="F2877" s="11" t="str">
        <f t="shared" si="228"/>
        <v/>
      </c>
      <c r="G2877" s="10" t="str">
        <v/>
      </c>
      <c r="H2877" s="11" t="str">
        <v/>
      </c>
      <c r="I2877" s="11" t="str">
        <v/>
      </c>
    </row>
    <row r="2878" spans="2:9">
      <c r="B2878" s="11" t="str">
        <f t="shared" si="226"/>
        <v/>
      </c>
      <c r="C2878" s="11" t="str">
        <f t="shared" si="229"/>
        <v/>
      </c>
      <c r="D2878" s="11" t="str">
        <f t="shared" si="230"/>
        <v/>
      </c>
      <c r="E2878" s="11" t="str">
        <f t="shared" si="227"/>
        <v/>
      </c>
      <c r="F2878" s="11" t="str">
        <f t="shared" si="228"/>
        <v/>
      </c>
      <c r="G2878" s="10" t="str">
        <v/>
      </c>
      <c r="H2878" s="11" t="str">
        <v/>
      </c>
      <c r="I2878" s="11" t="str">
        <v/>
      </c>
    </row>
    <row r="2879" spans="2:9">
      <c r="B2879" s="11" t="str">
        <f t="shared" si="226"/>
        <v/>
      </c>
      <c r="C2879" s="11" t="str">
        <f t="shared" si="229"/>
        <v/>
      </c>
      <c r="D2879" s="11" t="str">
        <f t="shared" si="230"/>
        <v/>
      </c>
      <c r="E2879" s="11" t="str">
        <f t="shared" si="227"/>
        <v/>
      </c>
      <c r="F2879" s="11" t="str">
        <f t="shared" si="228"/>
        <v/>
      </c>
      <c r="G2879" s="10" t="str">
        <v/>
      </c>
      <c r="H2879" s="11" t="str">
        <v/>
      </c>
      <c r="I2879" s="11" t="str">
        <v/>
      </c>
    </row>
    <row r="2880" spans="2:9">
      <c r="B2880" s="11" t="str">
        <f t="shared" si="226"/>
        <v/>
      </c>
      <c r="C2880" s="11" t="str">
        <f t="shared" si="229"/>
        <v/>
      </c>
      <c r="D2880" s="11" t="str">
        <f t="shared" si="230"/>
        <v/>
      </c>
      <c r="E2880" s="11" t="str">
        <f t="shared" si="227"/>
        <v/>
      </c>
      <c r="F2880" s="11" t="str">
        <f t="shared" si="228"/>
        <v/>
      </c>
      <c r="G2880" s="10" t="str">
        <v/>
      </c>
      <c r="H2880" s="11" t="str">
        <v/>
      </c>
      <c r="I2880" s="11" t="str">
        <v/>
      </c>
    </row>
    <row r="2881" spans="2:9">
      <c r="B2881" s="11" t="str">
        <f t="shared" ref="B2881:B2944" si="231">IFERROR(IF(FIND(" ",A2881)=6,IF(IFERROR(FIND(" PB",A2881),"")&lt;&gt;"","артикул",IF(IFERROR(FIND(" CRN",A2881),"")&lt;&gt;"","артикул","")),""),"")</f>
        <v/>
      </c>
      <c r="C2881" s="11" t="str">
        <f t="shared" si="229"/>
        <v/>
      </c>
      <c r="D2881" s="11" t="str">
        <f t="shared" si="230"/>
        <v/>
      </c>
      <c r="E2881" s="11" t="str">
        <f t="shared" si="227"/>
        <v/>
      </c>
      <c r="F2881" s="11" t="str">
        <f t="shared" si="228"/>
        <v/>
      </c>
      <c r="G2881" s="10" t="str">
        <v/>
      </c>
      <c r="H2881" s="11" t="str">
        <v/>
      </c>
      <c r="I2881" s="11" t="str">
        <v/>
      </c>
    </row>
    <row r="2882" spans="2:9">
      <c r="B2882" s="11" t="str">
        <f t="shared" si="231"/>
        <v/>
      </c>
      <c r="C2882" s="11" t="str">
        <f t="shared" si="229"/>
        <v/>
      </c>
      <c r="D2882" s="11" t="str">
        <f t="shared" si="230"/>
        <v/>
      </c>
      <c r="E2882" s="11" t="str">
        <f t="shared" ref="E2882:E2945" si="232" xml:space="preserve">
IF(B2882="Артикул",
IF(
AND(RIGHT(A2883,1)="%",
RIGHT(A2884,1)="%",
RIGHT(A2885,1)="%",
RIGHT(A2886,1)="%"),MID(A2887,FIND(" ",A2887),50),
IF(
AND(RIGHT(A2883,1)="%",
RIGHT(A2884,1)="%",
RIGHT(A2885,1)="%"),MID(A2886,FIND(" ",A2886),50),
IF(
AND(RIGHT(A2883,1)="%",
RIGHT(A2884,1)="%"),
MID(A2885,FIND(" ",A2885),50),
IF(
RIGHT(A2883,1)="%",
MID(A2884,FIND(" ",A2884),50),"")))),"")</f>
        <v/>
      </c>
      <c r="F2882" s="11" t="str">
        <f t="shared" ref="F2882:F2945" si="233">IFERROR(
IF(
AND(LEFT(A2882,8)="Discount",FIND("%",A2882)&gt;0),
MID(A2882,
FIND(" ",A2882),
FIND("%",A2882)-FIND(" ",A2882))
*-1,""),"")</f>
        <v/>
      </c>
      <c r="G2882" s="10" t="str">
        <v/>
      </c>
      <c r="H2882" s="11" t="str">
        <v/>
      </c>
      <c r="I2882" s="11" t="str">
        <v/>
      </c>
    </row>
    <row r="2883" spans="2:9">
      <c r="B2883" s="11" t="str">
        <f t="shared" si="231"/>
        <v/>
      </c>
      <c r="C2883" s="11" t="str">
        <f t="shared" si="229"/>
        <v/>
      </c>
      <c r="D2883" s="11" t="str">
        <f t="shared" si="230"/>
        <v/>
      </c>
      <c r="E2883" s="11" t="str">
        <f t="shared" si="232"/>
        <v/>
      </c>
      <c r="F2883" s="11" t="str">
        <f t="shared" si="233"/>
        <v/>
      </c>
      <c r="G2883" s="10" t="str">
        <v/>
      </c>
      <c r="H2883" s="11" t="str">
        <v/>
      </c>
      <c r="I2883" s="11" t="str">
        <v/>
      </c>
    </row>
    <row r="2884" spans="2:9">
      <c r="B2884" s="11" t="str">
        <f t="shared" si="231"/>
        <v/>
      </c>
      <c r="C2884" s="11" t="str">
        <f t="shared" si="229"/>
        <v/>
      </c>
      <c r="D2884" s="11" t="str">
        <f t="shared" si="230"/>
        <v/>
      </c>
      <c r="E2884" s="11" t="str">
        <f t="shared" si="232"/>
        <v/>
      </c>
      <c r="F2884" s="11" t="str">
        <f t="shared" si="233"/>
        <v/>
      </c>
      <c r="G2884" s="10" t="str">
        <v/>
      </c>
      <c r="H2884" s="11" t="str">
        <v/>
      </c>
      <c r="I2884" s="11" t="str">
        <v/>
      </c>
    </row>
    <row r="2885" spans="2:9">
      <c r="B2885" s="11" t="str">
        <f t="shared" si="231"/>
        <v/>
      </c>
      <c r="C2885" s="11" t="str">
        <f t="shared" si="229"/>
        <v/>
      </c>
      <c r="D2885" s="11" t="str">
        <f t="shared" si="230"/>
        <v/>
      </c>
      <c r="E2885" s="11" t="str">
        <f t="shared" si="232"/>
        <v/>
      </c>
      <c r="F2885" s="11" t="str">
        <f t="shared" si="233"/>
        <v/>
      </c>
      <c r="G2885" s="10" t="str">
        <v/>
      </c>
      <c r="H2885" s="11" t="str">
        <v/>
      </c>
      <c r="I2885" s="11" t="str">
        <v/>
      </c>
    </row>
    <row r="2886" spans="2:9">
      <c r="B2886" s="11" t="str">
        <f t="shared" si="231"/>
        <v/>
      </c>
      <c r="C2886" s="11" t="str">
        <f t="shared" si="229"/>
        <v/>
      </c>
      <c r="D2886" s="11" t="str">
        <f t="shared" si="230"/>
        <v/>
      </c>
      <c r="E2886" s="11" t="str">
        <f t="shared" si="232"/>
        <v/>
      </c>
      <c r="F2886" s="11" t="str">
        <f t="shared" si="233"/>
        <v/>
      </c>
      <c r="G2886" s="10" t="str">
        <v/>
      </c>
      <c r="H2886" s="11" t="str">
        <v/>
      </c>
      <c r="I2886" s="11" t="str">
        <v/>
      </c>
    </row>
    <row r="2887" spans="2:9">
      <c r="B2887" s="11" t="str">
        <f t="shared" si="231"/>
        <v/>
      </c>
      <c r="C2887" s="11" t="str">
        <f t="shared" si="229"/>
        <v/>
      </c>
      <c r="D2887" s="11" t="str">
        <f t="shared" si="230"/>
        <v/>
      </c>
      <c r="E2887" s="11" t="str">
        <f t="shared" si="232"/>
        <v/>
      </c>
      <c r="F2887" s="11" t="str">
        <f t="shared" si="233"/>
        <v/>
      </c>
      <c r="G2887" s="10" t="str">
        <v/>
      </c>
      <c r="H2887" s="11" t="str">
        <v/>
      </c>
      <c r="I2887" s="11" t="str">
        <v/>
      </c>
    </row>
    <row r="2888" spans="2:9">
      <c r="B2888" s="11" t="str">
        <f t="shared" si="231"/>
        <v/>
      </c>
      <c r="C2888" s="11" t="str">
        <f t="shared" si="229"/>
        <v/>
      </c>
      <c r="D2888" s="11" t="str">
        <f t="shared" si="230"/>
        <v/>
      </c>
      <c r="E2888" s="11" t="str">
        <f t="shared" si="232"/>
        <v/>
      </c>
      <c r="F2888" s="11" t="str">
        <f t="shared" si="233"/>
        <v/>
      </c>
      <c r="G2888" s="10" t="str">
        <v/>
      </c>
      <c r="H2888" s="11" t="str">
        <v/>
      </c>
      <c r="I2888" s="11" t="str">
        <v/>
      </c>
    </row>
    <row r="2889" spans="2:9">
      <c r="B2889" s="11" t="str">
        <f t="shared" si="231"/>
        <v/>
      </c>
      <c r="C2889" s="11" t="str">
        <f t="shared" si="229"/>
        <v/>
      </c>
      <c r="D2889" s="11" t="str">
        <f t="shared" si="230"/>
        <v/>
      </c>
      <c r="E2889" s="11" t="str">
        <f t="shared" si="232"/>
        <v/>
      </c>
      <c r="F2889" s="11" t="str">
        <f t="shared" si="233"/>
        <v/>
      </c>
      <c r="G2889" s="10" t="str">
        <v/>
      </c>
      <c r="H2889" s="11" t="str">
        <v/>
      </c>
      <c r="I2889" s="11" t="str">
        <v/>
      </c>
    </row>
    <row r="2890" spans="2:9">
      <c r="B2890" s="11" t="str">
        <f t="shared" si="231"/>
        <v/>
      </c>
      <c r="C2890" s="11" t="str">
        <f t="shared" si="229"/>
        <v/>
      </c>
      <c r="D2890" s="11" t="str">
        <f t="shared" si="230"/>
        <v/>
      </c>
      <c r="E2890" s="11" t="str">
        <f t="shared" si="232"/>
        <v/>
      </c>
      <c r="F2890" s="11" t="str">
        <f t="shared" si="233"/>
        <v/>
      </c>
      <c r="G2890" s="10" t="str">
        <v/>
      </c>
      <c r="H2890" s="11" t="str">
        <v/>
      </c>
      <c r="I2890" s="11" t="str">
        <v/>
      </c>
    </row>
    <row r="2891" spans="2:9">
      <c r="B2891" s="11" t="str">
        <f t="shared" si="231"/>
        <v/>
      </c>
      <c r="C2891" s="11" t="str">
        <f t="shared" si="229"/>
        <v/>
      </c>
      <c r="D2891" s="11" t="str">
        <f t="shared" si="230"/>
        <v/>
      </c>
      <c r="E2891" s="11" t="str">
        <f t="shared" si="232"/>
        <v/>
      </c>
      <c r="F2891" s="11" t="str">
        <f t="shared" si="233"/>
        <v/>
      </c>
      <c r="G2891" s="10" t="str">
        <v/>
      </c>
      <c r="H2891" s="11" t="str">
        <v/>
      </c>
      <c r="I2891" s="11" t="str">
        <v/>
      </c>
    </row>
    <row r="2892" spans="2:9">
      <c r="B2892" s="11" t="str">
        <f t="shared" si="231"/>
        <v/>
      </c>
      <c r="C2892" s="11" t="str">
        <f t="shared" si="229"/>
        <v/>
      </c>
      <c r="D2892" s="11" t="str">
        <f t="shared" si="230"/>
        <v/>
      </c>
      <c r="E2892" s="11" t="str">
        <f t="shared" si="232"/>
        <v/>
      </c>
      <c r="F2892" s="11" t="str">
        <f t="shared" si="233"/>
        <v/>
      </c>
      <c r="G2892" s="10" t="str">
        <v/>
      </c>
      <c r="H2892" s="11" t="str">
        <v/>
      </c>
      <c r="I2892" s="11" t="str">
        <v/>
      </c>
    </row>
    <row r="2893" spans="2:9">
      <c r="B2893" s="11" t="str">
        <f t="shared" si="231"/>
        <v/>
      </c>
      <c r="C2893" s="11" t="str">
        <f t="shared" ref="C2893:C2956" si="234">IF(B2893="артикул",A2893,"")</f>
        <v/>
      </c>
      <c r="D2893" s="11" t="str">
        <f t="shared" ref="D2893:D2956" si="235">IF(B2893="артикул",A2894,"")</f>
        <v/>
      </c>
      <c r="E2893" s="11" t="str">
        <f t="shared" si="232"/>
        <v/>
      </c>
      <c r="F2893" s="11" t="str">
        <f t="shared" si="233"/>
        <v/>
      </c>
      <c r="G2893" s="10" t="str">
        <v/>
      </c>
      <c r="H2893" s="11" t="str">
        <v/>
      </c>
      <c r="I2893" s="11" t="str">
        <v/>
      </c>
    </row>
    <row r="2894" spans="2:9">
      <c r="B2894" s="11" t="str">
        <f t="shared" si="231"/>
        <v/>
      </c>
      <c r="C2894" s="11" t="str">
        <f t="shared" si="234"/>
        <v/>
      </c>
      <c r="D2894" s="11" t="str">
        <f t="shared" si="235"/>
        <v/>
      </c>
      <c r="E2894" s="11" t="str">
        <f t="shared" si="232"/>
        <v/>
      </c>
      <c r="F2894" s="11" t="str">
        <f t="shared" si="233"/>
        <v/>
      </c>
      <c r="G2894" s="10" t="str">
        <v/>
      </c>
      <c r="H2894" s="11" t="str">
        <v/>
      </c>
      <c r="I2894" s="11" t="str">
        <v/>
      </c>
    </row>
    <row r="2895" spans="2:9">
      <c r="B2895" s="11" t="str">
        <f t="shared" si="231"/>
        <v/>
      </c>
      <c r="C2895" s="11" t="str">
        <f t="shared" si="234"/>
        <v/>
      </c>
      <c r="D2895" s="11" t="str">
        <f t="shared" si="235"/>
        <v/>
      </c>
      <c r="E2895" s="11" t="str">
        <f t="shared" si="232"/>
        <v/>
      </c>
      <c r="F2895" s="11" t="str">
        <f t="shared" si="233"/>
        <v/>
      </c>
      <c r="G2895" s="10" t="str">
        <v/>
      </c>
      <c r="H2895" s="11" t="str">
        <v/>
      </c>
      <c r="I2895" s="11" t="str">
        <v/>
      </c>
    </row>
    <row r="2896" spans="2:9">
      <c r="B2896" s="11" t="str">
        <f t="shared" si="231"/>
        <v/>
      </c>
      <c r="C2896" s="11" t="str">
        <f t="shared" si="234"/>
        <v/>
      </c>
      <c r="D2896" s="11" t="str">
        <f t="shared" si="235"/>
        <v/>
      </c>
      <c r="E2896" s="11" t="str">
        <f t="shared" si="232"/>
        <v/>
      </c>
      <c r="F2896" s="11" t="str">
        <f t="shared" si="233"/>
        <v/>
      </c>
      <c r="G2896" s="10" t="str">
        <v/>
      </c>
      <c r="H2896" s="11" t="str">
        <v/>
      </c>
      <c r="I2896" s="11" t="str">
        <v/>
      </c>
    </row>
    <row r="2897" spans="2:9">
      <c r="B2897" s="11" t="str">
        <f t="shared" si="231"/>
        <v/>
      </c>
      <c r="C2897" s="11" t="str">
        <f t="shared" si="234"/>
        <v/>
      </c>
      <c r="D2897" s="11" t="str">
        <f t="shared" si="235"/>
        <v/>
      </c>
      <c r="E2897" s="11" t="str">
        <f t="shared" si="232"/>
        <v/>
      </c>
      <c r="F2897" s="11" t="str">
        <f t="shared" si="233"/>
        <v/>
      </c>
      <c r="G2897" s="10" t="str">
        <v/>
      </c>
      <c r="H2897" s="11" t="str">
        <v/>
      </c>
      <c r="I2897" s="11" t="str">
        <v/>
      </c>
    </row>
    <row r="2898" spans="2:9">
      <c r="B2898" s="11" t="str">
        <f t="shared" si="231"/>
        <v/>
      </c>
      <c r="C2898" s="11" t="str">
        <f t="shared" si="234"/>
        <v/>
      </c>
      <c r="D2898" s="11" t="str">
        <f t="shared" si="235"/>
        <v/>
      </c>
      <c r="E2898" s="11" t="str">
        <f t="shared" si="232"/>
        <v/>
      </c>
      <c r="F2898" s="11" t="str">
        <f t="shared" si="233"/>
        <v/>
      </c>
      <c r="G2898" s="10" t="str">
        <v/>
      </c>
      <c r="H2898" s="11" t="str">
        <v/>
      </c>
      <c r="I2898" s="11" t="str">
        <v/>
      </c>
    </row>
    <row r="2899" spans="2:9">
      <c r="B2899" s="11" t="str">
        <f t="shared" si="231"/>
        <v/>
      </c>
      <c r="C2899" s="11" t="str">
        <f t="shared" si="234"/>
        <v/>
      </c>
      <c r="D2899" s="11" t="str">
        <f t="shared" si="235"/>
        <v/>
      </c>
      <c r="E2899" s="11" t="str">
        <f t="shared" si="232"/>
        <v/>
      </c>
      <c r="F2899" s="11" t="str">
        <f t="shared" si="233"/>
        <v/>
      </c>
      <c r="G2899" s="10" t="str">
        <v/>
      </c>
      <c r="H2899" s="11" t="str">
        <v/>
      </c>
      <c r="I2899" s="11" t="str">
        <v/>
      </c>
    </row>
    <row r="2900" spans="2:9">
      <c r="B2900" s="11" t="str">
        <f t="shared" si="231"/>
        <v/>
      </c>
      <c r="C2900" s="11" t="str">
        <f t="shared" si="234"/>
        <v/>
      </c>
      <c r="D2900" s="11" t="str">
        <f t="shared" si="235"/>
        <v/>
      </c>
      <c r="E2900" s="11" t="str">
        <f t="shared" si="232"/>
        <v/>
      </c>
      <c r="F2900" s="11" t="str">
        <f t="shared" si="233"/>
        <v/>
      </c>
      <c r="G2900" s="10" t="str">
        <v/>
      </c>
      <c r="H2900" s="11" t="str">
        <v/>
      </c>
      <c r="I2900" s="11" t="str">
        <v/>
      </c>
    </row>
    <row r="2901" spans="2:9">
      <c r="B2901" s="11" t="str">
        <f t="shared" si="231"/>
        <v/>
      </c>
      <c r="C2901" s="11" t="str">
        <f t="shared" si="234"/>
        <v/>
      </c>
      <c r="D2901" s="11" t="str">
        <f t="shared" si="235"/>
        <v/>
      </c>
      <c r="E2901" s="11" t="str">
        <f t="shared" si="232"/>
        <v/>
      </c>
      <c r="F2901" s="11" t="str">
        <f t="shared" si="233"/>
        <v/>
      </c>
      <c r="G2901" s="10" t="str">
        <v/>
      </c>
      <c r="H2901" s="11" t="str">
        <v/>
      </c>
      <c r="I2901" s="11" t="str">
        <v/>
      </c>
    </row>
    <row r="2902" spans="2:9">
      <c r="B2902" s="11" t="str">
        <f t="shared" si="231"/>
        <v/>
      </c>
      <c r="C2902" s="11" t="str">
        <f t="shared" si="234"/>
        <v/>
      </c>
      <c r="D2902" s="11" t="str">
        <f t="shared" si="235"/>
        <v/>
      </c>
      <c r="E2902" s="11" t="str">
        <f t="shared" si="232"/>
        <v/>
      </c>
      <c r="F2902" s="11" t="str">
        <f t="shared" si="233"/>
        <v/>
      </c>
      <c r="G2902" s="10" t="str">
        <v/>
      </c>
      <c r="H2902" s="11" t="str">
        <v/>
      </c>
      <c r="I2902" s="11" t="str">
        <v/>
      </c>
    </row>
    <row r="2903" spans="2:9">
      <c r="B2903" s="11" t="str">
        <f t="shared" si="231"/>
        <v/>
      </c>
      <c r="C2903" s="11" t="str">
        <f t="shared" si="234"/>
        <v/>
      </c>
      <c r="D2903" s="11" t="str">
        <f t="shared" si="235"/>
        <v/>
      </c>
      <c r="E2903" s="11" t="str">
        <f t="shared" si="232"/>
        <v/>
      </c>
      <c r="F2903" s="11" t="str">
        <f t="shared" si="233"/>
        <v/>
      </c>
      <c r="G2903" s="10" t="str">
        <v/>
      </c>
      <c r="H2903" s="11" t="str">
        <v/>
      </c>
      <c r="I2903" s="11" t="str">
        <v/>
      </c>
    </row>
    <row r="2904" spans="2:9">
      <c r="B2904" s="11" t="str">
        <f t="shared" si="231"/>
        <v/>
      </c>
      <c r="C2904" s="11" t="str">
        <f t="shared" si="234"/>
        <v/>
      </c>
      <c r="D2904" s="11" t="str">
        <f t="shared" si="235"/>
        <v/>
      </c>
      <c r="E2904" s="11" t="str">
        <f t="shared" si="232"/>
        <v/>
      </c>
      <c r="F2904" s="11" t="str">
        <f t="shared" si="233"/>
        <v/>
      </c>
      <c r="G2904" s="10" t="str">
        <v/>
      </c>
      <c r="H2904" s="11" t="str">
        <v/>
      </c>
      <c r="I2904" s="11" t="str">
        <v/>
      </c>
    </row>
    <row r="2905" spans="2:9">
      <c r="B2905" s="11" t="str">
        <f t="shared" si="231"/>
        <v/>
      </c>
      <c r="C2905" s="11" t="str">
        <f t="shared" si="234"/>
        <v/>
      </c>
      <c r="D2905" s="11" t="str">
        <f t="shared" si="235"/>
        <v/>
      </c>
      <c r="E2905" s="11" t="str">
        <f t="shared" si="232"/>
        <v/>
      </c>
      <c r="F2905" s="11" t="str">
        <f t="shared" si="233"/>
        <v/>
      </c>
      <c r="G2905" s="10" t="str">
        <v/>
      </c>
      <c r="H2905" s="11" t="str">
        <v/>
      </c>
      <c r="I2905" s="11" t="str">
        <v/>
      </c>
    </row>
    <row r="2906" spans="2:9">
      <c r="B2906" s="11" t="str">
        <f t="shared" si="231"/>
        <v/>
      </c>
      <c r="C2906" s="11" t="str">
        <f t="shared" si="234"/>
        <v/>
      </c>
      <c r="D2906" s="11" t="str">
        <f t="shared" si="235"/>
        <v/>
      </c>
      <c r="E2906" s="11" t="str">
        <f t="shared" si="232"/>
        <v/>
      </c>
      <c r="F2906" s="11" t="str">
        <f t="shared" si="233"/>
        <v/>
      </c>
      <c r="G2906" s="10" t="str">
        <v/>
      </c>
      <c r="H2906" s="11" t="str">
        <v/>
      </c>
      <c r="I2906" s="11" t="str">
        <v/>
      </c>
    </row>
    <row r="2907" spans="2:9">
      <c r="B2907" s="11" t="str">
        <f t="shared" si="231"/>
        <v/>
      </c>
      <c r="C2907" s="11" t="str">
        <f t="shared" si="234"/>
        <v/>
      </c>
      <c r="D2907" s="11" t="str">
        <f t="shared" si="235"/>
        <v/>
      </c>
      <c r="E2907" s="11" t="str">
        <f t="shared" si="232"/>
        <v/>
      </c>
      <c r="F2907" s="11" t="str">
        <f t="shared" si="233"/>
        <v/>
      </c>
      <c r="G2907" s="10" t="str">
        <v/>
      </c>
      <c r="H2907" s="11" t="str">
        <v/>
      </c>
      <c r="I2907" s="11" t="str">
        <v/>
      </c>
    </row>
    <row r="2908" spans="2:9">
      <c r="B2908" s="11" t="str">
        <f t="shared" si="231"/>
        <v/>
      </c>
      <c r="C2908" s="11" t="str">
        <f t="shared" si="234"/>
        <v/>
      </c>
      <c r="D2908" s="11" t="str">
        <f t="shared" si="235"/>
        <v/>
      </c>
      <c r="E2908" s="11" t="str">
        <f t="shared" si="232"/>
        <v/>
      </c>
      <c r="F2908" s="11" t="str">
        <f t="shared" si="233"/>
        <v/>
      </c>
      <c r="G2908" s="10" t="str">
        <v/>
      </c>
      <c r="H2908" s="11" t="str">
        <v/>
      </c>
      <c r="I2908" s="11" t="str">
        <v/>
      </c>
    </row>
    <row r="2909" spans="2:9">
      <c r="B2909" s="11" t="str">
        <f t="shared" si="231"/>
        <v/>
      </c>
      <c r="C2909" s="11" t="str">
        <f t="shared" si="234"/>
        <v/>
      </c>
      <c r="D2909" s="11" t="str">
        <f t="shared" si="235"/>
        <v/>
      </c>
      <c r="E2909" s="11" t="str">
        <f t="shared" si="232"/>
        <v/>
      </c>
      <c r="F2909" s="11" t="str">
        <f t="shared" si="233"/>
        <v/>
      </c>
      <c r="G2909" s="10" t="str">
        <v/>
      </c>
      <c r="H2909" s="11" t="str">
        <v/>
      </c>
      <c r="I2909" s="11" t="str">
        <v/>
      </c>
    </row>
    <row r="2910" spans="2:9">
      <c r="B2910" s="11" t="str">
        <f t="shared" si="231"/>
        <v/>
      </c>
      <c r="C2910" s="11" t="str">
        <f t="shared" si="234"/>
        <v/>
      </c>
      <c r="D2910" s="11" t="str">
        <f t="shared" si="235"/>
        <v/>
      </c>
      <c r="E2910" s="11" t="str">
        <f t="shared" si="232"/>
        <v/>
      </c>
      <c r="F2910" s="11" t="str">
        <f t="shared" si="233"/>
        <v/>
      </c>
      <c r="G2910" s="10" t="str">
        <v/>
      </c>
      <c r="H2910" s="11" t="str">
        <v/>
      </c>
      <c r="I2910" s="11" t="str">
        <v/>
      </c>
    </row>
    <row r="2911" spans="2:9">
      <c r="B2911" s="11" t="str">
        <f t="shared" si="231"/>
        <v/>
      </c>
      <c r="C2911" s="11" t="str">
        <f t="shared" si="234"/>
        <v/>
      </c>
      <c r="D2911" s="11" t="str">
        <f t="shared" si="235"/>
        <v/>
      </c>
      <c r="E2911" s="11" t="str">
        <f t="shared" si="232"/>
        <v/>
      </c>
      <c r="F2911" s="11" t="str">
        <f t="shared" si="233"/>
        <v/>
      </c>
      <c r="G2911" s="10" t="str">
        <v/>
      </c>
      <c r="H2911" s="11" t="str">
        <v/>
      </c>
      <c r="I2911" s="11" t="str">
        <v/>
      </c>
    </row>
    <row r="2912" spans="2:9">
      <c r="B2912" s="11" t="str">
        <f t="shared" si="231"/>
        <v/>
      </c>
      <c r="C2912" s="11" t="str">
        <f t="shared" si="234"/>
        <v/>
      </c>
      <c r="D2912" s="11" t="str">
        <f t="shared" si="235"/>
        <v/>
      </c>
      <c r="E2912" s="11" t="str">
        <f t="shared" si="232"/>
        <v/>
      </c>
      <c r="F2912" s="11" t="str">
        <f t="shared" si="233"/>
        <v/>
      </c>
      <c r="G2912" s="10" t="str">
        <v/>
      </c>
      <c r="H2912" s="11" t="str">
        <v/>
      </c>
      <c r="I2912" s="11" t="str">
        <v/>
      </c>
    </row>
    <row r="2913" spans="2:9">
      <c r="B2913" s="11" t="str">
        <f t="shared" si="231"/>
        <v/>
      </c>
      <c r="C2913" s="11" t="str">
        <f t="shared" si="234"/>
        <v/>
      </c>
      <c r="D2913" s="11" t="str">
        <f t="shared" si="235"/>
        <v/>
      </c>
      <c r="E2913" s="11" t="str">
        <f t="shared" si="232"/>
        <v/>
      </c>
      <c r="F2913" s="11" t="str">
        <f t="shared" si="233"/>
        <v/>
      </c>
      <c r="G2913" s="10" t="str">
        <v/>
      </c>
      <c r="H2913" s="11" t="str">
        <v/>
      </c>
      <c r="I2913" s="11" t="str">
        <v/>
      </c>
    </row>
    <row r="2914" spans="2:9">
      <c r="B2914" s="11" t="str">
        <f t="shared" si="231"/>
        <v/>
      </c>
      <c r="C2914" s="11" t="str">
        <f t="shared" si="234"/>
        <v/>
      </c>
      <c r="D2914" s="11" t="str">
        <f t="shared" si="235"/>
        <v/>
      </c>
      <c r="E2914" s="11" t="str">
        <f t="shared" si="232"/>
        <v/>
      </c>
      <c r="F2914" s="11" t="str">
        <f t="shared" si="233"/>
        <v/>
      </c>
      <c r="G2914" s="10" t="str">
        <v/>
      </c>
      <c r="H2914" s="11" t="str">
        <v/>
      </c>
      <c r="I2914" s="11" t="str">
        <v/>
      </c>
    </row>
    <row r="2915" spans="2:9">
      <c r="B2915" s="11" t="str">
        <f t="shared" si="231"/>
        <v/>
      </c>
      <c r="C2915" s="11" t="str">
        <f t="shared" si="234"/>
        <v/>
      </c>
      <c r="D2915" s="11" t="str">
        <f t="shared" si="235"/>
        <v/>
      </c>
      <c r="E2915" s="11" t="str">
        <f t="shared" si="232"/>
        <v/>
      </c>
      <c r="F2915" s="11" t="str">
        <f t="shared" si="233"/>
        <v/>
      </c>
      <c r="G2915" s="10" t="str">
        <v/>
      </c>
      <c r="H2915" s="11" t="str">
        <v/>
      </c>
      <c r="I2915" s="11" t="str">
        <v/>
      </c>
    </row>
    <row r="2916" spans="2:9">
      <c r="B2916" s="11" t="str">
        <f t="shared" si="231"/>
        <v/>
      </c>
      <c r="C2916" s="11" t="str">
        <f t="shared" si="234"/>
        <v/>
      </c>
      <c r="D2916" s="11" t="str">
        <f t="shared" si="235"/>
        <v/>
      </c>
      <c r="E2916" s="11" t="str">
        <f t="shared" si="232"/>
        <v/>
      </c>
      <c r="F2916" s="11" t="str">
        <f t="shared" si="233"/>
        <v/>
      </c>
      <c r="G2916" s="10" t="str">
        <v/>
      </c>
      <c r="H2916" s="11" t="str">
        <v/>
      </c>
      <c r="I2916" s="11" t="str">
        <v/>
      </c>
    </row>
    <row r="2917" spans="2:9">
      <c r="B2917" s="11" t="str">
        <f t="shared" si="231"/>
        <v/>
      </c>
      <c r="C2917" s="11" t="str">
        <f t="shared" si="234"/>
        <v/>
      </c>
      <c r="D2917" s="11" t="str">
        <f t="shared" si="235"/>
        <v/>
      </c>
      <c r="E2917" s="11" t="str">
        <f t="shared" si="232"/>
        <v/>
      </c>
      <c r="F2917" s="11" t="str">
        <f t="shared" si="233"/>
        <v/>
      </c>
      <c r="G2917" s="10" t="str">
        <v/>
      </c>
      <c r="H2917" s="11" t="str">
        <v/>
      </c>
      <c r="I2917" s="11" t="str">
        <v/>
      </c>
    </row>
    <row r="2918" spans="2:9">
      <c r="B2918" s="11" t="str">
        <f t="shared" si="231"/>
        <v/>
      </c>
      <c r="C2918" s="11" t="str">
        <f t="shared" si="234"/>
        <v/>
      </c>
      <c r="D2918" s="11" t="str">
        <f t="shared" si="235"/>
        <v/>
      </c>
      <c r="E2918" s="11" t="str">
        <f t="shared" si="232"/>
        <v/>
      </c>
      <c r="F2918" s="11" t="str">
        <f t="shared" si="233"/>
        <v/>
      </c>
      <c r="G2918" s="10" t="str">
        <v/>
      </c>
      <c r="H2918" s="11" t="str">
        <v/>
      </c>
      <c r="I2918" s="11" t="str">
        <v/>
      </c>
    </row>
    <row r="2919" spans="2:9">
      <c r="B2919" s="11" t="str">
        <f t="shared" si="231"/>
        <v/>
      </c>
      <c r="C2919" s="11" t="str">
        <f t="shared" si="234"/>
        <v/>
      </c>
      <c r="D2919" s="11" t="str">
        <f t="shared" si="235"/>
        <v/>
      </c>
      <c r="E2919" s="11" t="str">
        <f t="shared" si="232"/>
        <v/>
      </c>
      <c r="F2919" s="11" t="str">
        <f t="shared" si="233"/>
        <v/>
      </c>
      <c r="G2919" s="10" t="str">
        <v/>
      </c>
      <c r="H2919" s="11" t="str">
        <v/>
      </c>
      <c r="I2919" s="11" t="str">
        <v/>
      </c>
    </row>
    <row r="2920" spans="2:9">
      <c r="B2920" s="11" t="str">
        <f t="shared" si="231"/>
        <v/>
      </c>
      <c r="C2920" s="11" t="str">
        <f t="shared" si="234"/>
        <v/>
      </c>
      <c r="D2920" s="11" t="str">
        <f t="shared" si="235"/>
        <v/>
      </c>
      <c r="E2920" s="11" t="str">
        <f t="shared" si="232"/>
        <v/>
      </c>
      <c r="F2920" s="11" t="str">
        <f t="shared" si="233"/>
        <v/>
      </c>
      <c r="G2920" s="10" t="str">
        <v/>
      </c>
      <c r="H2920" s="11" t="str">
        <v/>
      </c>
      <c r="I2920" s="11" t="str">
        <v/>
      </c>
    </row>
    <row r="2921" spans="2:9">
      <c r="B2921" s="11" t="str">
        <f t="shared" si="231"/>
        <v/>
      </c>
      <c r="C2921" s="11" t="str">
        <f t="shared" si="234"/>
        <v/>
      </c>
      <c r="D2921" s="11" t="str">
        <f t="shared" si="235"/>
        <v/>
      </c>
      <c r="E2921" s="11" t="str">
        <f t="shared" si="232"/>
        <v/>
      </c>
      <c r="F2921" s="11" t="str">
        <f t="shared" si="233"/>
        <v/>
      </c>
      <c r="G2921" s="10" t="str">
        <v/>
      </c>
      <c r="H2921" s="11" t="str">
        <v/>
      </c>
      <c r="I2921" s="11" t="str">
        <v/>
      </c>
    </row>
    <row r="2922" spans="2:9">
      <c r="B2922" s="11" t="str">
        <f t="shared" si="231"/>
        <v/>
      </c>
      <c r="C2922" s="11" t="str">
        <f t="shared" si="234"/>
        <v/>
      </c>
      <c r="D2922" s="11" t="str">
        <f t="shared" si="235"/>
        <v/>
      </c>
      <c r="E2922" s="11" t="str">
        <f t="shared" si="232"/>
        <v/>
      </c>
      <c r="F2922" s="11" t="str">
        <f t="shared" si="233"/>
        <v/>
      </c>
      <c r="G2922" s="10" t="str">
        <v/>
      </c>
      <c r="H2922" s="11" t="str">
        <v/>
      </c>
      <c r="I2922" s="11" t="str">
        <v/>
      </c>
    </row>
    <row r="2923" spans="2:9">
      <c r="B2923" s="11" t="str">
        <f t="shared" si="231"/>
        <v/>
      </c>
      <c r="C2923" s="11" t="str">
        <f t="shared" si="234"/>
        <v/>
      </c>
      <c r="D2923" s="11" t="str">
        <f t="shared" si="235"/>
        <v/>
      </c>
      <c r="E2923" s="11" t="str">
        <f t="shared" si="232"/>
        <v/>
      </c>
      <c r="F2923" s="11" t="str">
        <f t="shared" si="233"/>
        <v/>
      </c>
      <c r="G2923" s="10" t="str">
        <v/>
      </c>
      <c r="H2923" s="11" t="str">
        <v/>
      </c>
      <c r="I2923" s="11" t="str">
        <v/>
      </c>
    </row>
    <row r="2924" spans="2:9">
      <c r="B2924" s="11" t="str">
        <f t="shared" si="231"/>
        <v/>
      </c>
      <c r="C2924" s="11" t="str">
        <f t="shared" si="234"/>
        <v/>
      </c>
      <c r="D2924" s="11" t="str">
        <f t="shared" si="235"/>
        <v/>
      </c>
      <c r="E2924" s="11" t="str">
        <f t="shared" si="232"/>
        <v/>
      </c>
      <c r="F2924" s="11" t="str">
        <f t="shared" si="233"/>
        <v/>
      </c>
      <c r="G2924" s="10" t="str">
        <v/>
      </c>
      <c r="H2924" s="11" t="str">
        <v/>
      </c>
      <c r="I2924" s="11" t="str">
        <v/>
      </c>
    </row>
    <row r="2925" spans="2:9">
      <c r="B2925" s="11" t="str">
        <f t="shared" si="231"/>
        <v/>
      </c>
      <c r="C2925" s="11" t="str">
        <f t="shared" si="234"/>
        <v/>
      </c>
      <c r="D2925" s="11" t="str">
        <f t="shared" si="235"/>
        <v/>
      </c>
      <c r="E2925" s="11" t="str">
        <f t="shared" si="232"/>
        <v/>
      </c>
      <c r="F2925" s="11" t="str">
        <f t="shared" si="233"/>
        <v/>
      </c>
      <c r="G2925" s="10" t="str">
        <v/>
      </c>
      <c r="H2925" s="11" t="str">
        <v/>
      </c>
      <c r="I2925" s="11" t="str">
        <v/>
      </c>
    </row>
    <row r="2926" spans="2:9">
      <c r="B2926" s="11" t="str">
        <f t="shared" si="231"/>
        <v/>
      </c>
      <c r="C2926" s="11" t="str">
        <f t="shared" si="234"/>
        <v/>
      </c>
      <c r="D2926" s="11" t="str">
        <f t="shared" si="235"/>
        <v/>
      </c>
      <c r="E2926" s="11" t="str">
        <f t="shared" si="232"/>
        <v/>
      </c>
      <c r="F2926" s="11" t="str">
        <f t="shared" si="233"/>
        <v/>
      </c>
      <c r="G2926" s="10" t="str">
        <v/>
      </c>
      <c r="H2926" s="11" t="str">
        <v/>
      </c>
      <c r="I2926" s="11" t="str">
        <v/>
      </c>
    </row>
    <row r="2927" spans="2:9">
      <c r="B2927" s="11" t="str">
        <f t="shared" si="231"/>
        <v/>
      </c>
      <c r="C2927" s="11" t="str">
        <f t="shared" si="234"/>
        <v/>
      </c>
      <c r="D2927" s="11" t="str">
        <f t="shared" si="235"/>
        <v/>
      </c>
      <c r="E2927" s="11" t="str">
        <f t="shared" si="232"/>
        <v/>
      </c>
      <c r="F2927" s="11" t="str">
        <f t="shared" si="233"/>
        <v/>
      </c>
      <c r="G2927" s="10" t="str">
        <v/>
      </c>
      <c r="H2927" s="11" t="str">
        <v/>
      </c>
      <c r="I2927" s="11" t="str">
        <v/>
      </c>
    </row>
    <row r="2928" spans="2:9">
      <c r="B2928" s="11" t="str">
        <f t="shared" si="231"/>
        <v/>
      </c>
      <c r="C2928" s="11" t="str">
        <f t="shared" si="234"/>
        <v/>
      </c>
      <c r="D2928" s="11" t="str">
        <f t="shared" si="235"/>
        <v/>
      </c>
      <c r="E2928" s="11" t="str">
        <f t="shared" si="232"/>
        <v/>
      </c>
      <c r="F2928" s="11" t="str">
        <f t="shared" si="233"/>
        <v/>
      </c>
      <c r="G2928" s="10" t="str">
        <v/>
      </c>
      <c r="H2928" s="11" t="str">
        <v/>
      </c>
      <c r="I2928" s="11" t="str">
        <v/>
      </c>
    </row>
    <row r="2929" spans="2:9">
      <c r="B2929" s="11" t="str">
        <f t="shared" si="231"/>
        <v/>
      </c>
      <c r="C2929" s="11" t="str">
        <f t="shared" si="234"/>
        <v/>
      </c>
      <c r="D2929" s="11" t="str">
        <f t="shared" si="235"/>
        <v/>
      </c>
      <c r="E2929" s="11" t="str">
        <f t="shared" si="232"/>
        <v/>
      </c>
      <c r="F2929" s="11" t="str">
        <f t="shared" si="233"/>
        <v/>
      </c>
      <c r="G2929" s="10" t="str">
        <v/>
      </c>
      <c r="H2929" s="11" t="str">
        <v/>
      </c>
      <c r="I2929" s="11" t="str">
        <v/>
      </c>
    </row>
    <row r="2930" spans="2:9">
      <c r="B2930" s="11" t="str">
        <f t="shared" si="231"/>
        <v/>
      </c>
      <c r="C2930" s="11" t="str">
        <f t="shared" si="234"/>
        <v/>
      </c>
      <c r="D2930" s="11" t="str">
        <f t="shared" si="235"/>
        <v/>
      </c>
      <c r="E2930" s="11" t="str">
        <f t="shared" si="232"/>
        <v/>
      </c>
      <c r="F2930" s="11" t="str">
        <f t="shared" si="233"/>
        <v/>
      </c>
      <c r="G2930" s="10" t="str">
        <v/>
      </c>
      <c r="H2930" s="11" t="str">
        <v/>
      </c>
      <c r="I2930" s="11" t="str">
        <v/>
      </c>
    </row>
    <row r="2931" spans="2:9">
      <c r="B2931" s="11" t="str">
        <f t="shared" si="231"/>
        <v/>
      </c>
      <c r="C2931" s="11" t="str">
        <f t="shared" si="234"/>
        <v/>
      </c>
      <c r="D2931" s="11" t="str">
        <f t="shared" si="235"/>
        <v/>
      </c>
      <c r="E2931" s="11" t="str">
        <f t="shared" si="232"/>
        <v/>
      </c>
      <c r="F2931" s="11" t="str">
        <f t="shared" si="233"/>
        <v/>
      </c>
      <c r="G2931" s="10" t="str">
        <v/>
      </c>
      <c r="H2931" s="11" t="str">
        <v/>
      </c>
      <c r="I2931" s="11" t="str">
        <v/>
      </c>
    </row>
    <row r="2932" spans="2:9">
      <c r="B2932" s="11" t="str">
        <f t="shared" si="231"/>
        <v/>
      </c>
      <c r="C2932" s="11" t="str">
        <f t="shared" si="234"/>
        <v/>
      </c>
      <c r="D2932" s="11" t="str">
        <f t="shared" si="235"/>
        <v/>
      </c>
      <c r="E2932" s="11" t="str">
        <f t="shared" si="232"/>
        <v/>
      </c>
      <c r="F2932" s="11" t="str">
        <f t="shared" si="233"/>
        <v/>
      </c>
      <c r="G2932" s="10" t="str">
        <v/>
      </c>
      <c r="H2932" s="11" t="str">
        <v/>
      </c>
      <c r="I2932" s="11" t="str">
        <v/>
      </c>
    </row>
    <row r="2933" spans="2:9">
      <c r="B2933" s="11" t="str">
        <f t="shared" si="231"/>
        <v/>
      </c>
      <c r="C2933" s="11" t="str">
        <f t="shared" si="234"/>
        <v/>
      </c>
      <c r="D2933" s="11" t="str">
        <f t="shared" si="235"/>
        <v/>
      </c>
      <c r="E2933" s="11" t="str">
        <f t="shared" si="232"/>
        <v/>
      </c>
      <c r="F2933" s="11" t="str">
        <f t="shared" si="233"/>
        <v/>
      </c>
      <c r="G2933" s="10" t="str">
        <v/>
      </c>
      <c r="H2933" s="11" t="str">
        <v/>
      </c>
      <c r="I2933" s="11" t="str">
        <v/>
      </c>
    </row>
    <row r="2934" spans="2:9">
      <c r="B2934" s="11" t="str">
        <f t="shared" si="231"/>
        <v/>
      </c>
      <c r="C2934" s="11" t="str">
        <f t="shared" si="234"/>
        <v/>
      </c>
      <c r="D2934" s="11" t="str">
        <f t="shared" si="235"/>
        <v/>
      </c>
      <c r="E2934" s="11" t="str">
        <f t="shared" si="232"/>
        <v/>
      </c>
      <c r="F2934" s="11" t="str">
        <f t="shared" si="233"/>
        <v/>
      </c>
      <c r="G2934" s="10" t="str">
        <v/>
      </c>
      <c r="H2934" s="11" t="str">
        <v/>
      </c>
      <c r="I2934" s="11" t="str">
        <v/>
      </c>
    </row>
    <row r="2935" spans="2:9">
      <c r="B2935" s="11" t="str">
        <f t="shared" si="231"/>
        <v/>
      </c>
      <c r="C2935" s="11" t="str">
        <f t="shared" si="234"/>
        <v/>
      </c>
      <c r="D2935" s="11" t="str">
        <f t="shared" si="235"/>
        <v/>
      </c>
      <c r="E2935" s="11" t="str">
        <f t="shared" si="232"/>
        <v/>
      </c>
      <c r="F2935" s="11" t="str">
        <f t="shared" si="233"/>
        <v/>
      </c>
      <c r="G2935" s="10" t="str">
        <v/>
      </c>
      <c r="H2935" s="11" t="str">
        <v/>
      </c>
      <c r="I2935" s="11" t="str">
        <v/>
      </c>
    </row>
    <row r="2936" spans="2:9">
      <c r="B2936" s="11" t="str">
        <f t="shared" si="231"/>
        <v/>
      </c>
      <c r="C2936" s="11" t="str">
        <f t="shared" si="234"/>
        <v/>
      </c>
      <c r="D2936" s="11" t="str">
        <f t="shared" si="235"/>
        <v/>
      </c>
      <c r="E2936" s="11" t="str">
        <f t="shared" si="232"/>
        <v/>
      </c>
      <c r="F2936" s="11" t="str">
        <f t="shared" si="233"/>
        <v/>
      </c>
      <c r="G2936" s="10" t="str">
        <v/>
      </c>
      <c r="H2936" s="11" t="str">
        <v/>
      </c>
      <c r="I2936" s="11" t="str">
        <v/>
      </c>
    </row>
    <row r="2937" spans="2:9">
      <c r="B2937" s="11" t="str">
        <f t="shared" si="231"/>
        <v/>
      </c>
      <c r="C2937" s="11" t="str">
        <f t="shared" si="234"/>
        <v/>
      </c>
      <c r="D2937" s="11" t="str">
        <f t="shared" si="235"/>
        <v/>
      </c>
      <c r="E2937" s="11" t="str">
        <f t="shared" si="232"/>
        <v/>
      </c>
      <c r="F2937" s="11" t="str">
        <f t="shared" si="233"/>
        <v/>
      </c>
      <c r="G2937" s="10" t="str">
        <v/>
      </c>
      <c r="H2937" s="11" t="str">
        <v/>
      </c>
      <c r="I2937" s="11" t="str">
        <v/>
      </c>
    </row>
    <row r="2938" spans="2:9">
      <c r="B2938" s="11" t="str">
        <f t="shared" si="231"/>
        <v/>
      </c>
      <c r="C2938" s="11" t="str">
        <f t="shared" si="234"/>
        <v/>
      </c>
      <c r="D2938" s="11" t="str">
        <f t="shared" si="235"/>
        <v/>
      </c>
      <c r="E2938" s="11" t="str">
        <f t="shared" si="232"/>
        <v/>
      </c>
      <c r="F2938" s="11" t="str">
        <f t="shared" si="233"/>
        <v/>
      </c>
      <c r="G2938" s="10" t="str">
        <v/>
      </c>
      <c r="H2938" s="11" t="str">
        <v/>
      </c>
      <c r="I2938" s="11" t="str">
        <v/>
      </c>
    </row>
    <row r="2939" spans="2:9">
      <c r="B2939" s="11" t="str">
        <f t="shared" si="231"/>
        <v/>
      </c>
      <c r="C2939" s="11" t="str">
        <f t="shared" si="234"/>
        <v/>
      </c>
      <c r="D2939" s="11" t="str">
        <f t="shared" si="235"/>
        <v/>
      </c>
      <c r="E2939" s="11" t="str">
        <f t="shared" si="232"/>
        <v/>
      </c>
      <c r="F2939" s="11" t="str">
        <f t="shared" si="233"/>
        <v/>
      </c>
      <c r="G2939" s="10" t="str">
        <v/>
      </c>
      <c r="H2939" s="11" t="str">
        <v/>
      </c>
      <c r="I2939" s="11" t="str">
        <v/>
      </c>
    </row>
    <row r="2940" spans="2:9">
      <c r="B2940" s="11" t="str">
        <f t="shared" si="231"/>
        <v/>
      </c>
      <c r="C2940" s="11" t="str">
        <f t="shared" si="234"/>
        <v/>
      </c>
      <c r="D2940" s="11" t="str">
        <f t="shared" si="235"/>
        <v/>
      </c>
      <c r="E2940" s="11" t="str">
        <f t="shared" si="232"/>
        <v/>
      </c>
      <c r="F2940" s="11" t="str">
        <f t="shared" si="233"/>
        <v/>
      </c>
      <c r="G2940" s="10" t="str">
        <v/>
      </c>
      <c r="H2940" s="11" t="str">
        <v/>
      </c>
      <c r="I2940" s="11" t="str">
        <v/>
      </c>
    </row>
    <row r="2941" spans="2:9">
      <c r="B2941" s="11" t="str">
        <f t="shared" si="231"/>
        <v/>
      </c>
      <c r="C2941" s="11" t="str">
        <f t="shared" si="234"/>
        <v/>
      </c>
      <c r="D2941" s="11" t="str">
        <f t="shared" si="235"/>
        <v/>
      </c>
      <c r="E2941" s="11" t="str">
        <f t="shared" si="232"/>
        <v/>
      </c>
      <c r="F2941" s="11" t="str">
        <f t="shared" si="233"/>
        <v/>
      </c>
      <c r="G2941" s="10" t="str">
        <v/>
      </c>
      <c r="H2941" s="11" t="str">
        <v/>
      </c>
      <c r="I2941" s="11" t="str">
        <v/>
      </c>
    </row>
    <row r="2942" spans="2:9">
      <c r="B2942" s="11" t="str">
        <f t="shared" si="231"/>
        <v/>
      </c>
      <c r="C2942" s="11" t="str">
        <f t="shared" si="234"/>
        <v/>
      </c>
      <c r="D2942" s="11" t="str">
        <f t="shared" si="235"/>
        <v/>
      </c>
      <c r="E2942" s="11" t="str">
        <f t="shared" si="232"/>
        <v/>
      </c>
      <c r="F2942" s="11" t="str">
        <f t="shared" si="233"/>
        <v/>
      </c>
      <c r="G2942" s="10" t="str">
        <v/>
      </c>
      <c r="H2942" s="11" t="str">
        <v/>
      </c>
      <c r="I2942" s="11" t="str">
        <v/>
      </c>
    </row>
    <row r="2943" spans="2:9">
      <c r="B2943" s="11" t="str">
        <f t="shared" si="231"/>
        <v/>
      </c>
      <c r="C2943" s="11" t="str">
        <f t="shared" si="234"/>
        <v/>
      </c>
      <c r="D2943" s="11" t="str">
        <f t="shared" si="235"/>
        <v/>
      </c>
      <c r="E2943" s="11" t="str">
        <f t="shared" si="232"/>
        <v/>
      </c>
      <c r="F2943" s="11" t="str">
        <f t="shared" si="233"/>
        <v/>
      </c>
      <c r="G2943" s="10" t="str">
        <v/>
      </c>
      <c r="H2943" s="11" t="str">
        <v/>
      </c>
      <c r="I2943" s="11" t="str">
        <v/>
      </c>
    </row>
    <row r="2944" spans="2:9">
      <c r="B2944" s="11" t="str">
        <f t="shared" si="231"/>
        <v/>
      </c>
      <c r="C2944" s="11" t="str">
        <f t="shared" si="234"/>
        <v/>
      </c>
      <c r="D2944" s="11" t="str">
        <f t="shared" si="235"/>
        <v/>
      </c>
      <c r="E2944" s="11" t="str">
        <f t="shared" si="232"/>
        <v/>
      </c>
      <c r="F2944" s="11" t="str">
        <f t="shared" si="233"/>
        <v/>
      </c>
      <c r="G2944" s="10" t="str">
        <v/>
      </c>
      <c r="H2944" s="11" t="str">
        <v/>
      </c>
      <c r="I2944" s="11" t="str">
        <v/>
      </c>
    </row>
    <row r="2945" spans="2:9">
      <c r="B2945" s="11" t="str">
        <f t="shared" ref="B2945:B3008" si="236">IFERROR(IF(FIND(" ",A2945)=6,IF(IFERROR(FIND(" PB",A2945),"")&lt;&gt;"","артикул",IF(IFERROR(FIND(" CRN",A2945),"")&lt;&gt;"","артикул","")),""),"")</f>
        <v/>
      </c>
      <c r="C2945" s="11" t="str">
        <f t="shared" si="234"/>
        <v/>
      </c>
      <c r="D2945" s="11" t="str">
        <f t="shared" si="235"/>
        <v/>
      </c>
      <c r="E2945" s="11" t="str">
        <f t="shared" si="232"/>
        <v/>
      </c>
      <c r="F2945" s="11" t="str">
        <f t="shared" si="233"/>
        <v/>
      </c>
      <c r="G2945" s="10" t="str">
        <v/>
      </c>
      <c r="H2945" s="11" t="str">
        <v/>
      </c>
      <c r="I2945" s="11" t="str">
        <v/>
      </c>
    </row>
    <row r="2946" spans="2:9">
      <c r="B2946" s="11" t="str">
        <f t="shared" si="236"/>
        <v/>
      </c>
      <c r="C2946" s="11" t="str">
        <f t="shared" si="234"/>
        <v/>
      </c>
      <c r="D2946" s="11" t="str">
        <f t="shared" si="235"/>
        <v/>
      </c>
      <c r="E2946" s="11" t="str">
        <f t="shared" ref="E2946:E3009" si="237" xml:space="preserve">
IF(B2946="Артикул",
IF(
AND(RIGHT(A2947,1)="%",
RIGHT(A2948,1)="%",
RIGHT(A2949,1)="%",
RIGHT(A2950,1)="%"),MID(A2951,FIND(" ",A2951),50),
IF(
AND(RIGHT(A2947,1)="%",
RIGHT(A2948,1)="%",
RIGHT(A2949,1)="%"),MID(A2950,FIND(" ",A2950),50),
IF(
AND(RIGHT(A2947,1)="%",
RIGHT(A2948,1)="%"),
MID(A2949,FIND(" ",A2949),50),
IF(
RIGHT(A2947,1)="%",
MID(A2948,FIND(" ",A2948),50),"")))),"")</f>
        <v/>
      </c>
      <c r="F2946" s="11" t="str">
        <f t="shared" ref="F2946:F3009" si="238">IFERROR(
IF(
AND(LEFT(A2946,8)="Discount",FIND("%",A2946)&gt;0),
MID(A2946,
FIND(" ",A2946),
FIND("%",A2946)-FIND(" ",A2946))
*-1,""),"")</f>
        <v/>
      </c>
      <c r="G2946" s="10" t="str">
        <v/>
      </c>
      <c r="H2946" s="11" t="str">
        <v/>
      </c>
      <c r="I2946" s="11" t="str">
        <v/>
      </c>
    </row>
    <row r="2947" spans="2:9">
      <c r="B2947" s="11" t="str">
        <f t="shared" si="236"/>
        <v/>
      </c>
      <c r="C2947" s="11" t="str">
        <f t="shared" si="234"/>
        <v/>
      </c>
      <c r="D2947" s="11" t="str">
        <f t="shared" si="235"/>
        <v/>
      </c>
      <c r="E2947" s="11" t="str">
        <f t="shared" si="237"/>
        <v/>
      </c>
      <c r="F2947" s="11" t="str">
        <f t="shared" si="238"/>
        <v/>
      </c>
      <c r="G2947" s="10" t="str">
        <v/>
      </c>
      <c r="H2947" s="11" t="str">
        <v/>
      </c>
      <c r="I2947" s="11" t="str">
        <v/>
      </c>
    </row>
    <row r="2948" spans="2:9">
      <c r="B2948" s="11" t="str">
        <f t="shared" si="236"/>
        <v/>
      </c>
      <c r="C2948" s="11" t="str">
        <f t="shared" si="234"/>
        <v/>
      </c>
      <c r="D2948" s="11" t="str">
        <f t="shared" si="235"/>
        <v/>
      </c>
      <c r="E2948" s="11" t="str">
        <f t="shared" si="237"/>
        <v/>
      </c>
      <c r="F2948" s="11" t="str">
        <f t="shared" si="238"/>
        <v/>
      </c>
      <c r="G2948" s="10" t="str">
        <v/>
      </c>
      <c r="H2948" s="11" t="str">
        <v/>
      </c>
      <c r="I2948" s="11" t="str">
        <v/>
      </c>
    </row>
    <row r="2949" spans="2:9">
      <c r="B2949" s="11" t="str">
        <f t="shared" si="236"/>
        <v/>
      </c>
      <c r="C2949" s="11" t="str">
        <f t="shared" si="234"/>
        <v/>
      </c>
      <c r="D2949" s="11" t="str">
        <f t="shared" si="235"/>
        <v/>
      </c>
      <c r="E2949" s="11" t="str">
        <f t="shared" si="237"/>
        <v/>
      </c>
      <c r="F2949" s="11" t="str">
        <f t="shared" si="238"/>
        <v/>
      </c>
      <c r="G2949" s="10" t="str">
        <v/>
      </c>
      <c r="H2949" s="11" t="str">
        <v/>
      </c>
      <c r="I2949" s="11" t="str">
        <v/>
      </c>
    </row>
    <row r="2950" spans="2:9">
      <c r="B2950" s="11" t="str">
        <f t="shared" si="236"/>
        <v/>
      </c>
      <c r="C2950" s="11" t="str">
        <f t="shared" si="234"/>
        <v/>
      </c>
      <c r="D2950" s="11" t="str">
        <f t="shared" si="235"/>
        <v/>
      </c>
      <c r="E2950" s="11" t="str">
        <f t="shared" si="237"/>
        <v/>
      </c>
      <c r="F2950" s="11" t="str">
        <f t="shared" si="238"/>
        <v/>
      </c>
      <c r="G2950" s="10" t="str">
        <v/>
      </c>
      <c r="H2950" s="11" t="str">
        <v/>
      </c>
      <c r="I2950" s="11" t="str">
        <v/>
      </c>
    </row>
    <row r="2951" spans="2:9">
      <c r="B2951" s="11" t="str">
        <f t="shared" si="236"/>
        <v/>
      </c>
      <c r="C2951" s="11" t="str">
        <f t="shared" si="234"/>
        <v/>
      </c>
      <c r="D2951" s="11" t="str">
        <f t="shared" si="235"/>
        <v/>
      </c>
      <c r="E2951" s="11" t="str">
        <f t="shared" si="237"/>
        <v/>
      </c>
      <c r="F2951" s="11" t="str">
        <f t="shared" si="238"/>
        <v/>
      </c>
      <c r="G2951" s="10" t="str">
        <v/>
      </c>
      <c r="H2951" s="11" t="str">
        <v/>
      </c>
      <c r="I2951" s="11" t="str">
        <v/>
      </c>
    </row>
    <row r="2952" spans="2:9">
      <c r="B2952" s="11" t="str">
        <f t="shared" si="236"/>
        <v/>
      </c>
      <c r="C2952" s="11" t="str">
        <f t="shared" si="234"/>
        <v/>
      </c>
      <c r="D2952" s="11" t="str">
        <f t="shared" si="235"/>
        <v/>
      </c>
      <c r="E2952" s="11" t="str">
        <f t="shared" si="237"/>
        <v/>
      </c>
      <c r="F2952" s="11" t="str">
        <f t="shared" si="238"/>
        <v/>
      </c>
      <c r="G2952" s="10" t="str">
        <v/>
      </c>
      <c r="H2952" s="11" t="str">
        <v/>
      </c>
      <c r="I2952" s="11" t="str">
        <v/>
      </c>
    </row>
    <row r="2953" spans="2:9">
      <c r="B2953" s="11" t="str">
        <f t="shared" si="236"/>
        <v/>
      </c>
      <c r="C2953" s="11" t="str">
        <f t="shared" si="234"/>
        <v/>
      </c>
      <c r="D2953" s="11" t="str">
        <f t="shared" si="235"/>
        <v/>
      </c>
      <c r="E2953" s="11" t="str">
        <f t="shared" si="237"/>
        <v/>
      </c>
      <c r="F2953" s="11" t="str">
        <f t="shared" si="238"/>
        <v/>
      </c>
      <c r="G2953" s="10" t="str">
        <v/>
      </c>
      <c r="H2953" s="11" t="str">
        <v/>
      </c>
      <c r="I2953" s="11" t="str">
        <v/>
      </c>
    </row>
    <row r="2954" spans="2:9">
      <c r="B2954" s="11" t="str">
        <f t="shared" si="236"/>
        <v/>
      </c>
      <c r="C2954" s="11" t="str">
        <f t="shared" si="234"/>
        <v/>
      </c>
      <c r="D2954" s="11" t="str">
        <f t="shared" si="235"/>
        <v/>
      </c>
      <c r="E2954" s="11" t="str">
        <f t="shared" si="237"/>
        <v/>
      </c>
      <c r="F2954" s="11" t="str">
        <f t="shared" si="238"/>
        <v/>
      </c>
      <c r="G2954" s="10" t="str">
        <v/>
      </c>
      <c r="H2954" s="11" t="str">
        <v/>
      </c>
      <c r="I2954" s="11" t="str">
        <v/>
      </c>
    </row>
    <row r="2955" spans="2:9">
      <c r="B2955" s="11" t="str">
        <f t="shared" si="236"/>
        <v/>
      </c>
      <c r="C2955" s="11" t="str">
        <f t="shared" si="234"/>
        <v/>
      </c>
      <c r="D2955" s="11" t="str">
        <f t="shared" si="235"/>
        <v/>
      </c>
      <c r="E2955" s="11" t="str">
        <f t="shared" si="237"/>
        <v/>
      </c>
      <c r="F2955" s="11" t="str">
        <f t="shared" si="238"/>
        <v/>
      </c>
      <c r="G2955" s="10" t="str">
        <v/>
      </c>
      <c r="H2955" s="11" t="str">
        <v/>
      </c>
      <c r="I2955" s="11" t="str">
        <v/>
      </c>
    </row>
    <row r="2956" spans="2:9">
      <c r="B2956" s="11" t="str">
        <f t="shared" si="236"/>
        <v/>
      </c>
      <c r="C2956" s="11" t="str">
        <f t="shared" si="234"/>
        <v/>
      </c>
      <c r="D2956" s="11" t="str">
        <f t="shared" si="235"/>
        <v/>
      </c>
      <c r="E2956" s="11" t="str">
        <f t="shared" si="237"/>
        <v/>
      </c>
      <c r="F2956" s="11" t="str">
        <f t="shared" si="238"/>
        <v/>
      </c>
      <c r="G2956" s="10" t="str">
        <v/>
      </c>
      <c r="H2956" s="11" t="str">
        <v/>
      </c>
      <c r="I2956" s="11" t="str">
        <v/>
      </c>
    </row>
    <row r="2957" spans="2:9">
      <c r="B2957" s="11" t="str">
        <f t="shared" si="236"/>
        <v/>
      </c>
      <c r="C2957" s="11" t="str">
        <f t="shared" ref="C2957:C3020" si="239">IF(B2957="артикул",A2957,"")</f>
        <v/>
      </c>
      <c r="D2957" s="11" t="str">
        <f t="shared" ref="D2957:D3020" si="240">IF(B2957="артикул",A2958,"")</f>
        <v/>
      </c>
      <c r="E2957" s="11" t="str">
        <f t="shared" si="237"/>
        <v/>
      </c>
      <c r="F2957" s="11" t="str">
        <f t="shared" si="238"/>
        <v/>
      </c>
      <c r="G2957" s="10" t="str">
        <v/>
      </c>
      <c r="H2957" s="11" t="str">
        <v/>
      </c>
      <c r="I2957" s="11" t="str">
        <v/>
      </c>
    </row>
    <row r="2958" spans="2:9">
      <c r="B2958" s="11" t="str">
        <f t="shared" si="236"/>
        <v/>
      </c>
      <c r="C2958" s="11" t="str">
        <f t="shared" si="239"/>
        <v/>
      </c>
      <c r="D2958" s="11" t="str">
        <f t="shared" si="240"/>
        <v/>
      </c>
      <c r="E2958" s="11" t="str">
        <f t="shared" si="237"/>
        <v/>
      </c>
      <c r="F2958" s="11" t="str">
        <f t="shared" si="238"/>
        <v/>
      </c>
      <c r="G2958" s="10" t="str">
        <v/>
      </c>
      <c r="H2958" s="11" t="str">
        <v/>
      </c>
      <c r="I2958" s="11" t="str">
        <v/>
      </c>
    </row>
    <row r="2959" spans="2:9">
      <c r="B2959" s="11" t="str">
        <f t="shared" si="236"/>
        <v/>
      </c>
      <c r="C2959" s="11" t="str">
        <f t="shared" si="239"/>
        <v/>
      </c>
      <c r="D2959" s="11" t="str">
        <f t="shared" si="240"/>
        <v/>
      </c>
      <c r="E2959" s="11" t="str">
        <f t="shared" si="237"/>
        <v/>
      </c>
      <c r="F2959" s="11" t="str">
        <f t="shared" si="238"/>
        <v/>
      </c>
      <c r="G2959" s="10" t="str">
        <v/>
      </c>
      <c r="H2959" s="11" t="str">
        <v/>
      </c>
      <c r="I2959" s="11" t="str">
        <v/>
      </c>
    </row>
    <row r="2960" spans="2:9">
      <c r="B2960" s="11" t="str">
        <f t="shared" si="236"/>
        <v/>
      </c>
      <c r="C2960" s="11" t="str">
        <f t="shared" si="239"/>
        <v/>
      </c>
      <c r="D2960" s="11" t="str">
        <f t="shared" si="240"/>
        <v/>
      </c>
      <c r="E2960" s="11" t="str">
        <f t="shared" si="237"/>
        <v/>
      </c>
      <c r="F2960" s="11" t="str">
        <f t="shared" si="238"/>
        <v/>
      </c>
      <c r="G2960" s="10" t="str">
        <v/>
      </c>
      <c r="H2960" s="11" t="str">
        <v/>
      </c>
      <c r="I2960" s="11" t="str">
        <v/>
      </c>
    </row>
    <row r="2961" spans="2:9">
      <c r="B2961" s="11" t="str">
        <f t="shared" si="236"/>
        <v/>
      </c>
      <c r="C2961" s="11" t="str">
        <f t="shared" si="239"/>
        <v/>
      </c>
      <c r="D2961" s="11" t="str">
        <f t="shared" si="240"/>
        <v/>
      </c>
      <c r="E2961" s="11" t="str">
        <f t="shared" si="237"/>
        <v/>
      </c>
      <c r="F2961" s="11" t="str">
        <f t="shared" si="238"/>
        <v/>
      </c>
      <c r="G2961" s="10" t="str">
        <v/>
      </c>
      <c r="H2961" s="11" t="str">
        <v/>
      </c>
      <c r="I2961" s="11" t="str">
        <v/>
      </c>
    </row>
    <row r="2962" spans="2:9">
      <c r="B2962" s="11" t="str">
        <f t="shared" si="236"/>
        <v/>
      </c>
      <c r="C2962" s="11" t="str">
        <f t="shared" si="239"/>
        <v/>
      </c>
      <c r="D2962" s="11" t="str">
        <f t="shared" si="240"/>
        <v/>
      </c>
      <c r="E2962" s="11" t="str">
        <f t="shared" si="237"/>
        <v/>
      </c>
      <c r="F2962" s="11" t="str">
        <f t="shared" si="238"/>
        <v/>
      </c>
      <c r="G2962" s="10" t="str">
        <v/>
      </c>
      <c r="H2962" s="11" t="str">
        <v/>
      </c>
      <c r="I2962" s="11" t="str">
        <v/>
      </c>
    </row>
    <row r="2963" spans="2:9">
      <c r="B2963" s="11" t="str">
        <f t="shared" si="236"/>
        <v/>
      </c>
      <c r="C2963" s="11" t="str">
        <f t="shared" si="239"/>
        <v/>
      </c>
      <c r="D2963" s="11" t="str">
        <f t="shared" si="240"/>
        <v/>
      </c>
      <c r="E2963" s="11" t="str">
        <f t="shared" si="237"/>
        <v/>
      </c>
      <c r="F2963" s="11" t="str">
        <f t="shared" si="238"/>
        <v/>
      </c>
      <c r="G2963" s="10" t="str">
        <v/>
      </c>
      <c r="H2963" s="11" t="str">
        <v/>
      </c>
      <c r="I2963" s="11" t="str">
        <v/>
      </c>
    </row>
    <row r="2964" spans="2:9">
      <c r="B2964" s="11" t="str">
        <f t="shared" si="236"/>
        <v/>
      </c>
      <c r="C2964" s="11" t="str">
        <f t="shared" si="239"/>
        <v/>
      </c>
      <c r="D2964" s="11" t="str">
        <f t="shared" si="240"/>
        <v/>
      </c>
      <c r="E2964" s="11" t="str">
        <f t="shared" si="237"/>
        <v/>
      </c>
      <c r="F2964" s="11" t="str">
        <f t="shared" si="238"/>
        <v/>
      </c>
      <c r="G2964" s="10" t="str">
        <v/>
      </c>
      <c r="H2964" s="11" t="str">
        <v/>
      </c>
      <c r="I2964" s="11" t="str">
        <v/>
      </c>
    </row>
    <row r="2965" spans="2:9">
      <c r="B2965" s="11" t="str">
        <f t="shared" si="236"/>
        <v/>
      </c>
      <c r="C2965" s="11" t="str">
        <f t="shared" si="239"/>
        <v/>
      </c>
      <c r="D2965" s="11" t="str">
        <f t="shared" si="240"/>
        <v/>
      </c>
      <c r="E2965" s="11" t="str">
        <f t="shared" si="237"/>
        <v/>
      </c>
      <c r="F2965" s="11" t="str">
        <f t="shared" si="238"/>
        <v/>
      </c>
      <c r="G2965" s="10" t="str">
        <v/>
      </c>
      <c r="H2965" s="11" t="str">
        <v/>
      </c>
      <c r="I2965" s="11" t="str">
        <v/>
      </c>
    </row>
    <row r="2966" spans="2:9">
      <c r="B2966" s="11" t="str">
        <f t="shared" si="236"/>
        <v/>
      </c>
      <c r="C2966" s="11" t="str">
        <f t="shared" si="239"/>
        <v/>
      </c>
      <c r="D2966" s="11" t="str">
        <f t="shared" si="240"/>
        <v/>
      </c>
      <c r="E2966" s="11" t="str">
        <f t="shared" si="237"/>
        <v/>
      </c>
      <c r="F2966" s="11" t="str">
        <f t="shared" si="238"/>
        <v/>
      </c>
      <c r="G2966" s="10" t="str">
        <v/>
      </c>
      <c r="H2966" s="11" t="str">
        <v/>
      </c>
      <c r="I2966" s="11" t="str">
        <v/>
      </c>
    </row>
    <row r="2967" spans="2:9">
      <c r="B2967" s="11" t="str">
        <f t="shared" si="236"/>
        <v/>
      </c>
      <c r="C2967" s="11" t="str">
        <f t="shared" si="239"/>
        <v/>
      </c>
      <c r="D2967" s="11" t="str">
        <f t="shared" si="240"/>
        <v/>
      </c>
      <c r="E2967" s="11" t="str">
        <f t="shared" si="237"/>
        <v/>
      </c>
      <c r="F2967" s="11" t="str">
        <f t="shared" si="238"/>
        <v/>
      </c>
      <c r="G2967" s="10" t="str">
        <v/>
      </c>
      <c r="H2967" s="11" t="str">
        <v/>
      </c>
      <c r="I2967" s="11" t="str">
        <v/>
      </c>
    </row>
    <row r="2968" spans="2:9">
      <c r="B2968" s="11" t="str">
        <f t="shared" si="236"/>
        <v/>
      </c>
      <c r="C2968" s="11" t="str">
        <f t="shared" si="239"/>
        <v/>
      </c>
      <c r="D2968" s="11" t="str">
        <f t="shared" si="240"/>
        <v/>
      </c>
      <c r="E2968" s="11" t="str">
        <f t="shared" si="237"/>
        <v/>
      </c>
      <c r="F2968" s="11" t="str">
        <f t="shared" si="238"/>
        <v/>
      </c>
      <c r="G2968" s="10" t="str">
        <v/>
      </c>
      <c r="H2968" s="11" t="str">
        <v/>
      </c>
      <c r="I2968" s="11" t="str">
        <v/>
      </c>
    </row>
    <row r="2969" spans="2:9">
      <c r="B2969" s="11" t="str">
        <f t="shared" si="236"/>
        <v/>
      </c>
      <c r="C2969" s="11" t="str">
        <f t="shared" si="239"/>
        <v/>
      </c>
      <c r="D2969" s="11" t="str">
        <f t="shared" si="240"/>
        <v/>
      </c>
      <c r="E2969" s="11" t="str">
        <f t="shared" si="237"/>
        <v/>
      </c>
      <c r="F2969" s="11" t="str">
        <f t="shared" si="238"/>
        <v/>
      </c>
      <c r="G2969" s="10" t="str">
        <v/>
      </c>
      <c r="H2969" s="11" t="str">
        <v/>
      </c>
      <c r="I2969" s="11" t="str">
        <v/>
      </c>
    </row>
    <row r="2970" spans="2:9">
      <c r="B2970" s="11" t="str">
        <f t="shared" si="236"/>
        <v/>
      </c>
      <c r="C2970" s="11" t="str">
        <f t="shared" si="239"/>
        <v/>
      </c>
      <c r="D2970" s="11" t="str">
        <f t="shared" si="240"/>
        <v/>
      </c>
      <c r="E2970" s="11" t="str">
        <f t="shared" si="237"/>
        <v/>
      </c>
      <c r="F2970" s="11" t="str">
        <f t="shared" si="238"/>
        <v/>
      </c>
      <c r="G2970" s="10" t="str">
        <v/>
      </c>
      <c r="H2970" s="11" t="str">
        <v/>
      </c>
      <c r="I2970" s="11" t="str">
        <v/>
      </c>
    </row>
    <row r="2971" spans="2:9">
      <c r="B2971" s="11" t="str">
        <f t="shared" si="236"/>
        <v/>
      </c>
      <c r="C2971" s="11" t="str">
        <f t="shared" si="239"/>
        <v/>
      </c>
      <c r="D2971" s="11" t="str">
        <f t="shared" si="240"/>
        <v/>
      </c>
      <c r="E2971" s="11" t="str">
        <f t="shared" si="237"/>
        <v/>
      </c>
      <c r="F2971" s="11" t="str">
        <f t="shared" si="238"/>
        <v/>
      </c>
      <c r="G2971" s="10" t="str">
        <v/>
      </c>
      <c r="H2971" s="11" t="str">
        <v/>
      </c>
      <c r="I2971" s="11" t="str">
        <v/>
      </c>
    </row>
    <row r="2972" spans="2:9">
      <c r="B2972" s="11" t="str">
        <f t="shared" si="236"/>
        <v/>
      </c>
      <c r="C2972" s="11" t="str">
        <f t="shared" si="239"/>
        <v/>
      </c>
      <c r="D2972" s="11" t="str">
        <f t="shared" si="240"/>
        <v/>
      </c>
      <c r="E2972" s="11" t="str">
        <f t="shared" si="237"/>
        <v/>
      </c>
      <c r="F2972" s="11" t="str">
        <f t="shared" si="238"/>
        <v/>
      </c>
      <c r="G2972" s="10" t="str">
        <v/>
      </c>
      <c r="H2972" s="11" t="str">
        <v/>
      </c>
      <c r="I2972" s="11" t="str">
        <v/>
      </c>
    </row>
    <row r="2973" spans="2:9">
      <c r="B2973" s="11" t="str">
        <f t="shared" si="236"/>
        <v/>
      </c>
      <c r="C2973" s="11" t="str">
        <f t="shared" si="239"/>
        <v/>
      </c>
      <c r="D2973" s="11" t="str">
        <f t="shared" si="240"/>
        <v/>
      </c>
      <c r="E2973" s="11" t="str">
        <f t="shared" si="237"/>
        <v/>
      </c>
      <c r="F2973" s="11" t="str">
        <f t="shared" si="238"/>
        <v/>
      </c>
      <c r="G2973" s="10" t="str">
        <v/>
      </c>
      <c r="H2973" s="11" t="str">
        <v/>
      </c>
      <c r="I2973" s="11" t="str">
        <v/>
      </c>
    </row>
    <row r="2974" spans="2:9">
      <c r="B2974" s="11" t="str">
        <f t="shared" si="236"/>
        <v/>
      </c>
      <c r="C2974" s="11" t="str">
        <f t="shared" si="239"/>
        <v/>
      </c>
      <c r="D2974" s="11" t="str">
        <f t="shared" si="240"/>
        <v/>
      </c>
      <c r="E2974" s="11" t="str">
        <f t="shared" si="237"/>
        <v/>
      </c>
      <c r="F2974" s="11" t="str">
        <f t="shared" si="238"/>
        <v/>
      </c>
      <c r="G2974" s="10" t="str">
        <v/>
      </c>
      <c r="H2974" s="11" t="str">
        <v/>
      </c>
      <c r="I2974" s="11" t="str">
        <v/>
      </c>
    </row>
    <row r="2975" spans="2:9">
      <c r="B2975" s="11" t="str">
        <f t="shared" si="236"/>
        <v/>
      </c>
      <c r="C2975" s="11" t="str">
        <f t="shared" si="239"/>
        <v/>
      </c>
      <c r="D2975" s="11" t="str">
        <f t="shared" si="240"/>
        <v/>
      </c>
      <c r="E2975" s="11" t="str">
        <f t="shared" si="237"/>
        <v/>
      </c>
      <c r="F2975" s="11" t="str">
        <f t="shared" si="238"/>
        <v/>
      </c>
      <c r="G2975" s="10" t="str">
        <v/>
      </c>
      <c r="H2975" s="11" t="str">
        <v/>
      </c>
      <c r="I2975" s="11" t="str">
        <v/>
      </c>
    </row>
    <row r="2976" spans="2:9">
      <c r="B2976" s="11" t="str">
        <f t="shared" si="236"/>
        <v/>
      </c>
      <c r="C2976" s="11" t="str">
        <f t="shared" si="239"/>
        <v/>
      </c>
      <c r="D2976" s="11" t="str">
        <f t="shared" si="240"/>
        <v/>
      </c>
      <c r="E2976" s="11" t="str">
        <f t="shared" si="237"/>
        <v/>
      </c>
      <c r="F2976" s="11" t="str">
        <f t="shared" si="238"/>
        <v/>
      </c>
      <c r="G2976" s="10" t="str">
        <v/>
      </c>
      <c r="H2976" s="11" t="str">
        <v/>
      </c>
      <c r="I2976" s="11" t="str">
        <v/>
      </c>
    </row>
    <row r="2977" spans="2:9">
      <c r="B2977" s="11" t="str">
        <f t="shared" si="236"/>
        <v/>
      </c>
      <c r="C2977" s="11" t="str">
        <f t="shared" si="239"/>
        <v/>
      </c>
      <c r="D2977" s="11" t="str">
        <f t="shared" si="240"/>
        <v/>
      </c>
      <c r="E2977" s="11" t="str">
        <f t="shared" si="237"/>
        <v/>
      </c>
      <c r="F2977" s="11" t="str">
        <f t="shared" si="238"/>
        <v/>
      </c>
      <c r="G2977" s="10" t="str">
        <v/>
      </c>
      <c r="H2977" s="11" t="str">
        <v/>
      </c>
      <c r="I2977" s="11" t="str">
        <v/>
      </c>
    </row>
    <row r="2978" spans="2:9">
      <c r="B2978" s="11" t="str">
        <f t="shared" si="236"/>
        <v/>
      </c>
      <c r="C2978" s="11" t="str">
        <f t="shared" si="239"/>
        <v/>
      </c>
      <c r="D2978" s="11" t="str">
        <f t="shared" si="240"/>
        <v/>
      </c>
      <c r="E2978" s="11" t="str">
        <f t="shared" si="237"/>
        <v/>
      </c>
      <c r="F2978" s="11" t="str">
        <f t="shared" si="238"/>
        <v/>
      </c>
      <c r="G2978" s="10" t="str">
        <v/>
      </c>
      <c r="H2978" s="11" t="str">
        <v/>
      </c>
      <c r="I2978" s="11" t="str">
        <v/>
      </c>
    </row>
    <row r="2979" spans="2:9">
      <c r="B2979" s="11" t="str">
        <f t="shared" si="236"/>
        <v/>
      </c>
      <c r="C2979" s="11" t="str">
        <f t="shared" si="239"/>
        <v/>
      </c>
      <c r="D2979" s="11" t="str">
        <f t="shared" si="240"/>
        <v/>
      </c>
      <c r="E2979" s="11" t="str">
        <f t="shared" si="237"/>
        <v/>
      </c>
      <c r="F2979" s="11" t="str">
        <f t="shared" si="238"/>
        <v/>
      </c>
      <c r="G2979" s="10" t="str">
        <v/>
      </c>
      <c r="H2979" s="11" t="str">
        <v/>
      </c>
      <c r="I2979" s="11" t="str">
        <v/>
      </c>
    </row>
    <row r="2980" spans="2:9">
      <c r="B2980" s="11" t="str">
        <f t="shared" si="236"/>
        <v/>
      </c>
      <c r="C2980" s="11" t="str">
        <f t="shared" si="239"/>
        <v/>
      </c>
      <c r="D2980" s="11" t="str">
        <f t="shared" si="240"/>
        <v/>
      </c>
      <c r="E2980" s="11" t="str">
        <f t="shared" si="237"/>
        <v/>
      </c>
      <c r="F2980" s="11" t="str">
        <f t="shared" si="238"/>
        <v/>
      </c>
      <c r="G2980" s="10" t="str">
        <v/>
      </c>
      <c r="H2980" s="11" t="str">
        <v/>
      </c>
      <c r="I2980" s="11" t="str">
        <v/>
      </c>
    </row>
    <row r="2981" spans="2:9">
      <c r="B2981" s="11" t="str">
        <f t="shared" si="236"/>
        <v/>
      </c>
      <c r="C2981" s="11" t="str">
        <f t="shared" si="239"/>
        <v/>
      </c>
      <c r="D2981" s="11" t="str">
        <f t="shared" si="240"/>
        <v/>
      </c>
      <c r="E2981" s="11" t="str">
        <f t="shared" si="237"/>
        <v/>
      </c>
      <c r="F2981" s="11" t="str">
        <f t="shared" si="238"/>
        <v/>
      </c>
      <c r="G2981" s="10" t="str">
        <v/>
      </c>
      <c r="H2981" s="11" t="str">
        <v/>
      </c>
      <c r="I2981" s="11" t="str">
        <v/>
      </c>
    </row>
    <row r="2982" spans="2:9">
      <c r="B2982" s="11" t="str">
        <f t="shared" si="236"/>
        <v/>
      </c>
      <c r="C2982" s="11" t="str">
        <f t="shared" si="239"/>
        <v/>
      </c>
      <c r="D2982" s="11" t="str">
        <f t="shared" si="240"/>
        <v/>
      </c>
      <c r="E2982" s="11" t="str">
        <f t="shared" si="237"/>
        <v/>
      </c>
      <c r="F2982" s="11" t="str">
        <f t="shared" si="238"/>
        <v/>
      </c>
      <c r="G2982" s="10" t="str">
        <v/>
      </c>
      <c r="H2982" s="11" t="str">
        <v/>
      </c>
      <c r="I2982" s="11" t="str">
        <v/>
      </c>
    </row>
    <row r="2983" spans="2:9">
      <c r="B2983" s="11" t="str">
        <f t="shared" si="236"/>
        <v/>
      </c>
      <c r="C2983" s="11" t="str">
        <f t="shared" si="239"/>
        <v/>
      </c>
      <c r="D2983" s="11" t="str">
        <f t="shared" si="240"/>
        <v/>
      </c>
      <c r="E2983" s="11" t="str">
        <f t="shared" si="237"/>
        <v/>
      </c>
      <c r="F2983" s="11" t="str">
        <f t="shared" si="238"/>
        <v/>
      </c>
      <c r="G2983" s="10" t="str">
        <v/>
      </c>
      <c r="H2983" s="11" t="str">
        <v/>
      </c>
      <c r="I2983" s="11" t="str">
        <v/>
      </c>
    </row>
    <row r="2984" spans="2:9">
      <c r="B2984" s="11" t="str">
        <f t="shared" si="236"/>
        <v/>
      </c>
      <c r="C2984" s="11" t="str">
        <f t="shared" si="239"/>
        <v/>
      </c>
      <c r="D2984" s="11" t="str">
        <f t="shared" si="240"/>
        <v/>
      </c>
      <c r="E2984" s="11" t="str">
        <f t="shared" si="237"/>
        <v/>
      </c>
      <c r="F2984" s="11" t="str">
        <f t="shared" si="238"/>
        <v/>
      </c>
      <c r="G2984" s="10" t="str">
        <v/>
      </c>
      <c r="H2984" s="11" t="str">
        <v/>
      </c>
      <c r="I2984" s="11" t="str">
        <v/>
      </c>
    </row>
    <row r="2985" spans="2:9">
      <c r="B2985" s="11" t="str">
        <f t="shared" si="236"/>
        <v/>
      </c>
      <c r="C2985" s="11" t="str">
        <f t="shared" si="239"/>
        <v/>
      </c>
      <c r="D2985" s="11" t="str">
        <f t="shared" si="240"/>
        <v/>
      </c>
      <c r="E2985" s="11" t="str">
        <f t="shared" si="237"/>
        <v/>
      </c>
      <c r="F2985" s="11" t="str">
        <f t="shared" si="238"/>
        <v/>
      </c>
      <c r="G2985" s="10" t="str">
        <v/>
      </c>
      <c r="H2985" s="11" t="str">
        <v/>
      </c>
      <c r="I2985" s="11" t="str">
        <v/>
      </c>
    </row>
    <row r="2986" spans="2:9">
      <c r="B2986" s="11" t="str">
        <f t="shared" si="236"/>
        <v/>
      </c>
      <c r="C2986" s="11" t="str">
        <f t="shared" si="239"/>
        <v/>
      </c>
      <c r="D2986" s="11" t="str">
        <f t="shared" si="240"/>
        <v/>
      </c>
      <c r="E2986" s="11" t="str">
        <f t="shared" si="237"/>
        <v/>
      </c>
      <c r="F2986" s="11" t="str">
        <f t="shared" si="238"/>
        <v/>
      </c>
      <c r="G2986" s="10" t="str">
        <v/>
      </c>
      <c r="H2986" s="11" t="str">
        <v/>
      </c>
      <c r="I2986" s="11" t="str">
        <v/>
      </c>
    </row>
    <row r="2987" spans="2:9">
      <c r="B2987" s="11" t="str">
        <f t="shared" si="236"/>
        <v/>
      </c>
      <c r="C2987" s="11" t="str">
        <f t="shared" si="239"/>
        <v/>
      </c>
      <c r="D2987" s="11" t="str">
        <f t="shared" si="240"/>
        <v/>
      </c>
      <c r="E2987" s="11" t="str">
        <f t="shared" si="237"/>
        <v/>
      </c>
      <c r="F2987" s="11" t="str">
        <f t="shared" si="238"/>
        <v/>
      </c>
      <c r="G2987" s="10" t="str">
        <v/>
      </c>
      <c r="H2987" s="11" t="str">
        <v/>
      </c>
      <c r="I2987" s="11" t="str">
        <v/>
      </c>
    </row>
    <row r="2988" spans="2:9">
      <c r="B2988" s="11" t="str">
        <f t="shared" si="236"/>
        <v/>
      </c>
      <c r="C2988" s="11" t="str">
        <f t="shared" si="239"/>
        <v/>
      </c>
      <c r="D2988" s="11" t="str">
        <f t="shared" si="240"/>
        <v/>
      </c>
      <c r="E2988" s="11" t="str">
        <f t="shared" si="237"/>
        <v/>
      </c>
      <c r="F2988" s="11" t="str">
        <f t="shared" si="238"/>
        <v/>
      </c>
      <c r="G2988" s="10" t="str">
        <v/>
      </c>
      <c r="H2988" s="11" t="str">
        <v/>
      </c>
      <c r="I2988" s="11" t="str">
        <v/>
      </c>
    </row>
    <row r="2989" spans="2:9">
      <c r="B2989" s="11" t="str">
        <f t="shared" si="236"/>
        <v/>
      </c>
      <c r="C2989" s="11" t="str">
        <f t="shared" si="239"/>
        <v/>
      </c>
      <c r="D2989" s="11" t="str">
        <f t="shared" si="240"/>
        <v/>
      </c>
      <c r="E2989" s="11" t="str">
        <f t="shared" si="237"/>
        <v/>
      </c>
      <c r="F2989" s="11" t="str">
        <f t="shared" si="238"/>
        <v/>
      </c>
      <c r="G2989" s="10" t="str">
        <v/>
      </c>
      <c r="H2989" s="11" t="str">
        <v/>
      </c>
      <c r="I2989" s="11" t="str">
        <v/>
      </c>
    </row>
    <row r="2990" spans="2:9">
      <c r="B2990" s="11" t="str">
        <f t="shared" si="236"/>
        <v/>
      </c>
      <c r="C2990" s="11" t="str">
        <f t="shared" si="239"/>
        <v/>
      </c>
      <c r="D2990" s="11" t="str">
        <f t="shared" si="240"/>
        <v/>
      </c>
      <c r="E2990" s="11" t="str">
        <f t="shared" si="237"/>
        <v/>
      </c>
      <c r="F2990" s="11" t="str">
        <f t="shared" si="238"/>
        <v/>
      </c>
      <c r="G2990" s="10" t="str">
        <v/>
      </c>
      <c r="H2990" s="11" t="str">
        <v/>
      </c>
      <c r="I2990" s="11" t="str">
        <v/>
      </c>
    </row>
    <row r="2991" spans="2:9">
      <c r="B2991" s="11" t="str">
        <f t="shared" si="236"/>
        <v/>
      </c>
      <c r="C2991" s="11" t="str">
        <f t="shared" si="239"/>
        <v/>
      </c>
      <c r="D2991" s="11" t="str">
        <f t="shared" si="240"/>
        <v/>
      </c>
      <c r="E2991" s="11" t="str">
        <f t="shared" si="237"/>
        <v/>
      </c>
      <c r="F2991" s="11" t="str">
        <f t="shared" si="238"/>
        <v/>
      </c>
      <c r="G2991" s="10" t="str">
        <v/>
      </c>
      <c r="H2991" s="11" t="str">
        <v/>
      </c>
      <c r="I2991" s="11" t="str">
        <v/>
      </c>
    </row>
    <row r="2992" spans="2:9">
      <c r="B2992" s="11" t="str">
        <f t="shared" si="236"/>
        <v/>
      </c>
      <c r="C2992" s="11" t="str">
        <f t="shared" si="239"/>
        <v/>
      </c>
      <c r="D2992" s="11" t="str">
        <f t="shared" si="240"/>
        <v/>
      </c>
      <c r="E2992" s="11" t="str">
        <f t="shared" si="237"/>
        <v/>
      </c>
      <c r="F2992" s="11" t="str">
        <f t="shared" si="238"/>
        <v/>
      </c>
      <c r="G2992" s="10" t="str">
        <v/>
      </c>
      <c r="H2992" s="11" t="str">
        <v/>
      </c>
      <c r="I2992" s="11" t="str">
        <v/>
      </c>
    </row>
    <row r="2993" spans="2:9">
      <c r="B2993" s="11" t="str">
        <f t="shared" si="236"/>
        <v/>
      </c>
      <c r="C2993" s="11" t="str">
        <f t="shared" si="239"/>
        <v/>
      </c>
      <c r="D2993" s="11" t="str">
        <f t="shared" si="240"/>
        <v/>
      </c>
      <c r="E2993" s="11" t="str">
        <f t="shared" si="237"/>
        <v/>
      </c>
      <c r="F2993" s="11" t="str">
        <f t="shared" si="238"/>
        <v/>
      </c>
      <c r="G2993" s="10" t="str">
        <v/>
      </c>
      <c r="H2993" s="11" t="str">
        <v/>
      </c>
      <c r="I2993" s="11" t="str">
        <v/>
      </c>
    </row>
    <row r="2994" spans="2:9">
      <c r="B2994" s="11" t="str">
        <f t="shared" si="236"/>
        <v/>
      </c>
      <c r="C2994" s="11" t="str">
        <f t="shared" si="239"/>
        <v/>
      </c>
      <c r="D2994" s="11" t="str">
        <f t="shared" si="240"/>
        <v/>
      </c>
      <c r="E2994" s="11" t="str">
        <f t="shared" si="237"/>
        <v/>
      </c>
      <c r="F2994" s="11" t="str">
        <f t="shared" si="238"/>
        <v/>
      </c>
      <c r="G2994" s="10" t="str">
        <v/>
      </c>
      <c r="H2994" s="11" t="str">
        <v/>
      </c>
      <c r="I2994" s="11" t="str">
        <v/>
      </c>
    </row>
    <row r="2995" spans="2:9">
      <c r="B2995" s="11" t="str">
        <f t="shared" si="236"/>
        <v/>
      </c>
      <c r="C2995" s="11" t="str">
        <f t="shared" si="239"/>
        <v/>
      </c>
      <c r="D2995" s="11" t="str">
        <f t="shared" si="240"/>
        <v/>
      </c>
      <c r="E2995" s="11" t="str">
        <f t="shared" si="237"/>
        <v/>
      </c>
      <c r="F2995" s="11" t="str">
        <f t="shared" si="238"/>
        <v/>
      </c>
      <c r="G2995" s="10" t="str">
        <v/>
      </c>
      <c r="H2995" s="11" t="str">
        <v/>
      </c>
      <c r="I2995" s="11" t="str">
        <v/>
      </c>
    </row>
    <row r="2996" spans="2:9">
      <c r="B2996" s="11" t="str">
        <f t="shared" si="236"/>
        <v/>
      </c>
      <c r="C2996" s="11" t="str">
        <f t="shared" si="239"/>
        <v/>
      </c>
      <c r="D2996" s="11" t="str">
        <f t="shared" si="240"/>
        <v/>
      </c>
      <c r="E2996" s="11" t="str">
        <f t="shared" si="237"/>
        <v/>
      </c>
      <c r="F2996" s="11" t="str">
        <f t="shared" si="238"/>
        <v/>
      </c>
      <c r="G2996" s="10" t="str">
        <v/>
      </c>
      <c r="H2996" s="11" t="str">
        <v/>
      </c>
      <c r="I2996" s="11" t="str">
        <v/>
      </c>
    </row>
    <row r="2997" spans="2:9">
      <c r="B2997" s="11" t="str">
        <f t="shared" si="236"/>
        <v/>
      </c>
      <c r="C2997" s="11" t="str">
        <f t="shared" si="239"/>
        <v/>
      </c>
      <c r="D2997" s="11" t="str">
        <f t="shared" si="240"/>
        <v/>
      </c>
      <c r="E2997" s="11" t="str">
        <f t="shared" si="237"/>
        <v/>
      </c>
      <c r="F2997" s="11" t="str">
        <f t="shared" si="238"/>
        <v/>
      </c>
      <c r="G2997" s="10" t="str">
        <v/>
      </c>
      <c r="H2997" s="11" t="str">
        <v/>
      </c>
      <c r="I2997" s="11" t="str">
        <v/>
      </c>
    </row>
    <row r="2998" spans="2:9">
      <c r="B2998" s="11" t="str">
        <f t="shared" si="236"/>
        <v/>
      </c>
      <c r="C2998" s="11" t="str">
        <f t="shared" si="239"/>
        <v/>
      </c>
      <c r="D2998" s="11" t="str">
        <f t="shared" si="240"/>
        <v/>
      </c>
      <c r="E2998" s="11" t="str">
        <f t="shared" si="237"/>
        <v/>
      </c>
      <c r="F2998" s="11" t="str">
        <f t="shared" si="238"/>
        <v/>
      </c>
      <c r="G2998" s="10" t="str">
        <v/>
      </c>
      <c r="H2998" s="11" t="str">
        <v/>
      </c>
      <c r="I2998" s="11" t="str">
        <v/>
      </c>
    </row>
    <row r="2999" spans="2:9">
      <c r="B2999" s="11" t="str">
        <f t="shared" si="236"/>
        <v/>
      </c>
      <c r="C2999" s="11" t="str">
        <f t="shared" si="239"/>
        <v/>
      </c>
      <c r="D2999" s="11" t="str">
        <f t="shared" si="240"/>
        <v/>
      </c>
      <c r="E2999" s="11" t="str">
        <f t="shared" si="237"/>
        <v/>
      </c>
      <c r="F2999" s="11" t="str">
        <f t="shared" si="238"/>
        <v/>
      </c>
      <c r="G2999" s="10" t="str">
        <v/>
      </c>
      <c r="H2999" s="11" t="str">
        <v/>
      </c>
      <c r="I2999" s="11" t="str">
        <v/>
      </c>
    </row>
    <row r="3000" spans="2:9">
      <c r="B3000" s="11" t="str">
        <f t="shared" si="236"/>
        <v/>
      </c>
      <c r="C3000" s="11" t="str">
        <f t="shared" si="239"/>
        <v/>
      </c>
      <c r="D3000" s="11" t="str">
        <f t="shared" si="240"/>
        <v/>
      </c>
      <c r="E3000" s="11" t="str">
        <f t="shared" si="237"/>
        <v/>
      </c>
      <c r="F3000" s="11" t="str">
        <f t="shared" si="238"/>
        <v/>
      </c>
      <c r="G3000" s="10" t="str">
        <v/>
      </c>
      <c r="H3000" s="11" t="str">
        <v/>
      </c>
      <c r="I3000" s="11" t="str">
        <v/>
      </c>
    </row>
    <row r="3001" spans="2:9">
      <c r="B3001" s="11" t="str">
        <f t="shared" si="236"/>
        <v/>
      </c>
      <c r="C3001" s="11" t="str">
        <f t="shared" si="239"/>
        <v/>
      </c>
      <c r="D3001" s="11" t="str">
        <f t="shared" si="240"/>
        <v/>
      </c>
      <c r="E3001" s="11" t="str">
        <f t="shared" si="237"/>
        <v/>
      </c>
      <c r="F3001" s="11" t="str">
        <f t="shared" si="238"/>
        <v/>
      </c>
      <c r="G3001" s="10" t="str">
        <v/>
      </c>
      <c r="H3001" s="11" t="str">
        <v/>
      </c>
      <c r="I3001" s="11" t="str">
        <v/>
      </c>
    </row>
    <row r="3002" spans="2:9">
      <c r="B3002" s="11" t="str">
        <f t="shared" si="236"/>
        <v/>
      </c>
      <c r="C3002" s="11" t="str">
        <f t="shared" si="239"/>
        <v/>
      </c>
      <c r="D3002" s="11" t="str">
        <f t="shared" si="240"/>
        <v/>
      </c>
      <c r="E3002" s="11" t="str">
        <f t="shared" si="237"/>
        <v/>
      </c>
      <c r="F3002" s="11" t="str">
        <f t="shared" si="238"/>
        <v/>
      </c>
      <c r="G3002" s="10" t="str">
        <v/>
      </c>
      <c r="H3002" s="11" t="str">
        <v/>
      </c>
      <c r="I3002" s="11" t="str">
        <v/>
      </c>
    </row>
    <row r="3003" spans="2:9">
      <c r="B3003" s="11" t="str">
        <f t="shared" si="236"/>
        <v/>
      </c>
      <c r="C3003" s="11" t="str">
        <f t="shared" si="239"/>
        <v/>
      </c>
      <c r="D3003" s="11" t="str">
        <f t="shared" si="240"/>
        <v/>
      </c>
      <c r="E3003" s="11" t="str">
        <f t="shared" si="237"/>
        <v/>
      </c>
      <c r="F3003" s="11" t="str">
        <f t="shared" si="238"/>
        <v/>
      </c>
      <c r="G3003" s="10" t="str">
        <v/>
      </c>
      <c r="H3003" s="11" t="str">
        <v/>
      </c>
      <c r="I3003" s="11" t="str">
        <v/>
      </c>
    </row>
    <row r="3004" spans="2:9">
      <c r="B3004" s="11" t="str">
        <f t="shared" si="236"/>
        <v/>
      </c>
      <c r="C3004" s="11" t="str">
        <f t="shared" si="239"/>
        <v/>
      </c>
      <c r="D3004" s="11" t="str">
        <f t="shared" si="240"/>
        <v/>
      </c>
      <c r="E3004" s="11" t="str">
        <f t="shared" si="237"/>
        <v/>
      </c>
      <c r="F3004" s="11" t="str">
        <f t="shared" si="238"/>
        <v/>
      </c>
      <c r="G3004" s="10" t="str">
        <v/>
      </c>
      <c r="H3004" s="11" t="str">
        <v/>
      </c>
      <c r="I3004" s="11" t="str">
        <v/>
      </c>
    </row>
    <row r="3005" spans="2:9">
      <c r="B3005" s="11" t="str">
        <f t="shared" si="236"/>
        <v/>
      </c>
      <c r="C3005" s="11" t="str">
        <f t="shared" si="239"/>
        <v/>
      </c>
      <c r="D3005" s="11" t="str">
        <f t="shared" si="240"/>
        <v/>
      </c>
      <c r="E3005" s="11" t="str">
        <f t="shared" si="237"/>
        <v/>
      </c>
      <c r="F3005" s="11" t="str">
        <f t="shared" si="238"/>
        <v/>
      </c>
      <c r="G3005" s="10" t="str">
        <v/>
      </c>
      <c r="H3005" s="11" t="str">
        <v/>
      </c>
      <c r="I3005" s="11" t="str">
        <v/>
      </c>
    </row>
    <row r="3006" spans="2:9">
      <c r="B3006" s="11" t="str">
        <f t="shared" si="236"/>
        <v/>
      </c>
      <c r="C3006" s="11" t="str">
        <f t="shared" si="239"/>
        <v/>
      </c>
      <c r="D3006" s="11" t="str">
        <f t="shared" si="240"/>
        <v/>
      </c>
      <c r="E3006" s="11" t="str">
        <f t="shared" si="237"/>
        <v/>
      </c>
      <c r="F3006" s="11" t="str">
        <f t="shared" si="238"/>
        <v/>
      </c>
      <c r="G3006" s="10" t="str">
        <v/>
      </c>
      <c r="H3006" s="11" t="str">
        <v/>
      </c>
      <c r="I3006" s="11" t="str">
        <v/>
      </c>
    </row>
    <row r="3007" spans="2:9">
      <c r="B3007" s="11" t="str">
        <f t="shared" si="236"/>
        <v/>
      </c>
      <c r="C3007" s="11" t="str">
        <f t="shared" si="239"/>
        <v/>
      </c>
      <c r="D3007" s="11" t="str">
        <f t="shared" si="240"/>
        <v/>
      </c>
      <c r="E3007" s="11" t="str">
        <f t="shared" si="237"/>
        <v/>
      </c>
      <c r="F3007" s="11" t="str">
        <f t="shared" si="238"/>
        <v/>
      </c>
      <c r="G3007" s="10" t="str">
        <v/>
      </c>
      <c r="H3007" s="11" t="str">
        <v/>
      </c>
      <c r="I3007" s="11" t="str">
        <v/>
      </c>
    </row>
    <row r="3008" spans="2:9">
      <c r="B3008" s="11" t="str">
        <f t="shared" si="236"/>
        <v/>
      </c>
      <c r="C3008" s="11" t="str">
        <f t="shared" si="239"/>
        <v/>
      </c>
      <c r="D3008" s="11" t="str">
        <f t="shared" si="240"/>
        <v/>
      </c>
      <c r="E3008" s="11" t="str">
        <f t="shared" si="237"/>
        <v/>
      </c>
      <c r="F3008" s="11" t="str">
        <f t="shared" si="238"/>
        <v/>
      </c>
      <c r="G3008" s="10" t="str">
        <v/>
      </c>
      <c r="H3008" s="11" t="str">
        <v/>
      </c>
      <c r="I3008" s="11" t="str">
        <v/>
      </c>
    </row>
    <row r="3009" spans="2:9">
      <c r="B3009" s="11" t="str">
        <f t="shared" ref="B3009:B3072" si="241">IFERROR(IF(FIND(" ",A3009)=6,IF(IFERROR(FIND(" PB",A3009),"")&lt;&gt;"","артикул",IF(IFERROR(FIND(" CRN",A3009),"")&lt;&gt;"","артикул","")),""),"")</f>
        <v/>
      </c>
      <c r="C3009" s="11" t="str">
        <f t="shared" si="239"/>
        <v/>
      </c>
      <c r="D3009" s="11" t="str">
        <f t="shared" si="240"/>
        <v/>
      </c>
      <c r="E3009" s="11" t="str">
        <f t="shared" si="237"/>
        <v/>
      </c>
      <c r="F3009" s="11" t="str">
        <f t="shared" si="238"/>
        <v/>
      </c>
      <c r="G3009" s="10" t="str">
        <v/>
      </c>
      <c r="H3009" s="11" t="str">
        <v/>
      </c>
      <c r="I3009" s="11" t="str">
        <v/>
      </c>
    </row>
    <row r="3010" spans="2:9">
      <c r="B3010" s="11" t="str">
        <f t="shared" si="241"/>
        <v/>
      </c>
      <c r="C3010" s="11" t="str">
        <f t="shared" si="239"/>
        <v/>
      </c>
      <c r="D3010" s="11" t="str">
        <f t="shared" si="240"/>
        <v/>
      </c>
      <c r="E3010" s="11" t="str">
        <f t="shared" ref="E3010:E3073" si="242" xml:space="preserve">
IF(B3010="Артикул",
IF(
AND(RIGHT(A3011,1)="%",
RIGHT(A3012,1)="%",
RIGHT(A3013,1)="%",
RIGHT(A3014,1)="%"),MID(A3015,FIND(" ",A3015),50),
IF(
AND(RIGHT(A3011,1)="%",
RIGHT(A3012,1)="%",
RIGHT(A3013,1)="%"),MID(A3014,FIND(" ",A3014),50),
IF(
AND(RIGHT(A3011,1)="%",
RIGHT(A3012,1)="%"),
MID(A3013,FIND(" ",A3013),50),
IF(
RIGHT(A3011,1)="%",
MID(A3012,FIND(" ",A3012),50),"")))),"")</f>
        <v/>
      </c>
      <c r="F3010" s="11" t="str">
        <f t="shared" ref="F3010:F3073" si="243">IFERROR(
IF(
AND(LEFT(A3010,8)="Discount",FIND("%",A3010)&gt;0),
MID(A3010,
FIND(" ",A3010),
FIND("%",A3010)-FIND(" ",A3010))
*-1,""),"")</f>
        <v/>
      </c>
      <c r="G3010" s="10" t="str">
        <v/>
      </c>
      <c r="H3010" s="11" t="str">
        <v/>
      </c>
      <c r="I3010" s="11" t="str">
        <v/>
      </c>
    </row>
    <row r="3011" spans="2:9">
      <c r="B3011" s="11" t="str">
        <f t="shared" si="241"/>
        <v/>
      </c>
      <c r="C3011" s="11" t="str">
        <f t="shared" si="239"/>
        <v/>
      </c>
      <c r="D3011" s="11" t="str">
        <f t="shared" si="240"/>
        <v/>
      </c>
      <c r="E3011" s="11" t="str">
        <f t="shared" si="242"/>
        <v/>
      </c>
      <c r="F3011" s="11" t="str">
        <f t="shared" si="243"/>
        <v/>
      </c>
      <c r="G3011" s="10" t="str">
        <v/>
      </c>
      <c r="H3011" s="11" t="str">
        <v/>
      </c>
      <c r="I3011" s="11" t="str">
        <v/>
      </c>
    </row>
    <row r="3012" spans="2:9">
      <c r="B3012" s="11" t="str">
        <f t="shared" si="241"/>
        <v/>
      </c>
      <c r="C3012" s="11" t="str">
        <f t="shared" si="239"/>
        <v/>
      </c>
      <c r="D3012" s="11" t="str">
        <f t="shared" si="240"/>
        <v/>
      </c>
      <c r="E3012" s="11" t="str">
        <f t="shared" si="242"/>
        <v/>
      </c>
      <c r="F3012" s="11" t="str">
        <f t="shared" si="243"/>
        <v/>
      </c>
      <c r="G3012" s="10" t="str">
        <v/>
      </c>
      <c r="H3012" s="11" t="str">
        <v/>
      </c>
      <c r="I3012" s="11" t="str">
        <v/>
      </c>
    </row>
    <row r="3013" spans="2:9">
      <c r="B3013" s="11" t="str">
        <f t="shared" si="241"/>
        <v/>
      </c>
      <c r="C3013" s="11" t="str">
        <f t="shared" si="239"/>
        <v/>
      </c>
      <c r="D3013" s="11" t="str">
        <f t="shared" si="240"/>
        <v/>
      </c>
      <c r="E3013" s="11" t="str">
        <f t="shared" si="242"/>
        <v/>
      </c>
      <c r="F3013" s="11" t="str">
        <f t="shared" si="243"/>
        <v/>
      </c>
      <c r="G3013" s="10" t="str">
        <v/>
      </c>
      <c r="H3013" s="11" t="str">
        <v/>
      </c>
      <c r="I3013" s="11" t="str">
        <v/>
      </c>
    </row>
    <row r="3014" spans="2:9">
      <c r="B3014" s="11" t="str">
        <f t="shared" si="241"/>
        <v/>
      </c>
      <c r="C3014" s="11" t="str">
        <f t="shared" si="239"/>
        <v/>
      </c>
      <c r="D3014" s="11" t="str">
        <f t="shared" si="240"/>
        <v/>
      </c>
      <c r="E3014" s="11" t="str">
        <f t="shared" si="242"/>
        <v/>
      </c>
      <c r="F3014" s="11" t="str">
        <f t="shared" si="243"/>
        <v/>
      </c>
      <c r="G3014" s="10" t="str">
        <v/>
      </c>
      <c r="H3014" s="11" t="str">
        <v/>
      </c>
      <c r="I3014" s="11" t="str">
        <v/>
      </c>
    </row>
    <row r="3015" spans="2:9">
      <c r="B3015" s="11" t="str">
        <f t="shared" si="241"/>
        <v/>
      </c>
      <c r="C3015" s="11" t="str">
        <f t="shared" si="239"/>
        <v/>
      </c>
      <c r="D3015" s="11" t="str">
        <f t="shared" si="240"/>
        <v/>
      </c>
      <c r="E3015" s="11" t="str">
        <f t="shared" si="242"/>
        <v/>
      </c>
      <c r="F3015" s="11" t="str">
        <f t="shared" si="243"/>
        <v/>
      </c>
      <c r="G3015" s="10" t="str">
        <v/>
      </c>
      <c r="H3015" s="11" t="str">
        <v/>
      </c>
      <c r="I3015" s="11" t="str">
        <v/>
      </c>
    </row>
    <row r="3016" spans="2:9">
      <c r="B3016" s="11" t="str">
        <f t="shared" si="241"/>
        <v/>
      </c>
      <c r="C3016" s="11" t="str">
        <f t="shared" si="239"/>
        <v/>
      </c>
      <c r="D3016" s="11" t="str">
        <f t="shared" si="240"/>
        <v/>
      </c>
      <c r="E3016" s="11" t="str">
        <f t="shared" si="242"/>
        <v/>
      </c>
      <c r="F3016" s="11" t="str">
        <f t="shared" si="243"/>
        <v/>
      </c>
      <c r="G3016" s="10" t="str">
        <v/>
      </c>
      <c r="H3016" s="11" t="str">
        <v/>
      </c>
      <c r="I3016" s="11" t="str">
        <v/>
      </c>
    </row>
    <row r="3017" spans="2:9">
      <c r="B3017" s="11" t="str">
        <f t="shared" si="241"/>
        <v/>
      </c>
      <c r="C3017" s="11" t="str">
        <f t="shared" si="239"/>
        <v/>
      </c>
      <c r="D3017" s="11" t="str">
        <f t="shared" si="240"/>
        <v/>
      </c>
      <c r="E3017" s="11" t="str">
        <f t="shared" si="242"/>
        <v/>
      </c>
      <c r="F3017" s="11" t="str">
        <f t="shared" si="243"/>
        <v/>
      </c>
      <c r="G3017" s="10" t="str">
        <v/>
      </c>
      <c r="H3017" s="11" t="str">
        <v/>
      </c>
      <c r="I3017" s="11" t="str">
        <v/>
      </c>
    </row>
    <row r="3018" spans="2:9">
      <c r="B3018" s="11" t="str">
        <f t="shared" si="241"/>
        <v/>
      </c>
      <c r="C3018" s="11" t="str">
        <f t="shared" si="239"/>
        <v/>
      </c>
      <c r="D3018" s="11" t="str">
        <f t="shared" si="240"/>
        <v/>
      </c>
      <c r="E3018" s="11" t="str">
        <f t="shared" si="242"/>
        <v/>
      </c>
      <c r="F3018" s="11" t="str">
        <f t="shared" si="243"/>
        <v/>
      </c>
      <c r="G3018" s="10" t="str">
        <v/>
      </c>
      <c r="H3018" s="11" t="str">
        <v/>
      </c>
      <c r="I3018" s="11" t="str">
        <v/>
      </c>
    </row>
    <row r="3019" spans="2:9">
      <c r="B3019" s="11" t="str">
        <f t="shared" si="241"/>
        <v/>
      </c>
      <c r="C3019" s="11" t="str">
        <f t="shared" si="239"/>
        <v/>
      </c>
      <c r="D3019" s="11" t="str">
        <f t="shared" si="240"/>
        <v/>
      </c>
      <c r="E3019" s="11" t="str">
        <f t="shared" si="242"/>
        <v/>
      </c>
      <c r="F3019" s="11" t="str">
        <f t="shared" si="243"/>
        <v/>
      </c>
      <c r="G3019" s="10" t="str">
        <v/>
      </c>
      <c r="H3019" s="11" t="str">
        <v/>
      </c>
      <c r="I3019" s="11" t="str">
        <v/>
      </c>
    </row>
    <row r="3020" spans="2:9">
      <c r="B3020" s="11" t="str">
        <f t="shared" si="241"/>
        <v/>
      </c>
      <c r="C3020" s="11" t="str">
        <f t="shared" si="239"/>
        <v/>
      </c>
      <c r="D3020" s="11" t="str">
        <f t="shared" si="240"/>
        <v/>
      </c>
      <c r="E3020" s="11" t="str">
        <f t="shared" si="242"/>
        <v/>
      </c>
      <c r="F3020" s="11" t="str">
        <f t="shared" si="243"/>
        <v/>
      </c>
      <c r="G3020" s="10" t="str">
        <v/>
      </c>
      <c r="H3020" s="11" t="str">
        <v/>
      </c>
      <c r="I3020" s="11" t="str">
        <v/>
      </c>
    </row>
    <row r="3021" spans="2:9">
      <c r="B3021" s="11" t="str">
        <f t="shared" si="241"/>
        <v/>
      </c>
      <c r="C3021" s="11" t="str">
        <f t="shared" ref="C3021:C3084" si="244">IF(B3021="артикул",A3021,"")</f>
        <v/>
      </c>
      <c r="D3021" s="11" t="str">
        <f t="shared" ref="D3021:D3084" si="245">IF(B3021="артикул",A3022,"")</f>
        <v/>
      </c>
      <c r="E3021" s="11" t="str">
        <f t="shared" si="242"/>
        <v/>
      </c>
      <c r="F3021" s="11" t="str">
        <f t="shared" si="243"/>
        <v/>
      </c>
      <c r="G3021" s="10" t="str">
        <v/>
      </c>
      <c r="H3021" s="11" t="str">
        <v/>
      </c>
      <c r="I3021" s="11" t="str">
        <v/>
      </c>
    </row>
    <row r="3022" spans="2:9">
      <c r="B3022" s="11" t="str">
        <f t="shared" si="241"/>
        <v/>
      </c>
      <c r="C3022" s="11" t="str">
        <f t="shared" si="244"/>
        <v/>
      </c>
      <c r="D3022" s="11" t="str">
        <f t="shared" si="245"/>
        <v/>
      </c>
      <c r="E3022" s="11" t="str">
        <f t="shared" si="242"/>
        <v/>
      </c>
      <c r="F3022" s="11" t="str">
        <f t="shared" si="243"/>
        <v/>
      </c>
      <c r="G3022" s="10" t="str">
        <v/>
      </c>
      <c r="H3022" s="11" t="str">
        <v/>
      </c>
      <c r="I3022" s="11" t="str">
        <v/>
      </c>
    </row>
    <row r="3023" spans="2:9">
      <c r="B3023" s="11" t="str">
        <f t="shared" si="241"/>
        <v/>
      </c>
      <c r="C3023" s="11" t="str">
        <f t="shared" si="244"/>
        <v/>
      </c>
      <c r="D3023" s="11" t="str">
        <f t="shared" si="245"/>
        <v/>
      </c>
      <c r="E3023" s="11" t="str">
        <f t="shared" si="242"/>
        <v/>
      </c>
      <c r="F3023" s="11" t="str">
        <f t="shared" si="243"/>
        <v/>
      </c>
      <c r="G3023" s="10" t="str">
        <v/>
      </c>
      <c r="H3023" s="11" t="str">
        <v/>
      </c>
      <c r="I3023" s="11" t="str">
        <v/>
      </c>
    </row>
    <row r="3024" spans="2:9">
      <c r="B3024" s="11" t="str">
        <f t="shared" si="241"/>
        <v/>
      </c>
      <c r="C3024" s="11" t="str">
        <f t="shared" si="244"/>
        <v/>
      </c>
      <c r="D3024" s="11" t="str">
        <f t="shared" si="245"/>
        <v/>
      </c>
      <c r="E3024" s="11" t="str">
        <f t="shared" si="242"/>
        <v/>
      </c>
      <c r="F3024" s="11" t="str">
        <f t="shared" si="243"/>
        <v/>
      </c>
      <c r="G3024" s="10" t="str">
        <v/>
      </c>
      <c r="H3024" s="11" t="str">
        <v/>
      </c>
      <c r="I3024" s="11" t="str">
        <v/>
      </c>
    </row>
    <row r="3025" spans="2:9">
      <c r="B3025" s="11" t="str">
        <f t="shared" si="241"/>
        <v/>
      </c>
      <c r="C3025" s="11" t="str">
        <f t="shared" si="244"/>
        <v/>
      </c>
      <c r="D3025" s="11" t="str">
        <f t="shared" si="245"/>
        <v/>
      </c>
      <c r="E3025" s="11" t="str">
        <f t="shared" si="242"/>
        <v/>
      </c>
      <c r="F3025" s="11" t="str">
        <f t="shared" si="243"/>
        <v/>
      </c>
      <c r="G3025" s="10" t="str">
        <v/>
      </c>
      <c r="H3025" s="11" t="str">
        <v/>
      </c>
      <c r="I3025" s="11" t="str">
        <v/>
      </c>
    </row>
    <row r="3026" spans="2:9">
      <c r="B3026" s="11" t="str">
        <f t="shared" si="241"/>
        <v/>
      </c>
      <c r="C3026" s="11" t="str">
        <f t="shared" si="244"/>
        <v/>
      </c>
      <c r="D3026" s="11" t="str">
        <f t="shared" si="245"/>
        <v/>
      </c>
      <c r="E3026" s="11" t="str">
        <f t="shared" si="242"/>
        <v/>
      </c>
      <c r="F3026" s="11" t="str">
        <f t="shared" si="243"/>
        <v/>
      </c>
      <c r="G3026" s="10" t="str">
        <v/>
      </c>
      <c r="H3026" s="11" t="str">
        <v/>
      </c>
      <c r="I3026" s="11" t="str">
        <v/>
      </c>
    </row>
    <row r="3027" spans="2:9">
      <c r="B3027" s="11" t="str">
        <f t="shared" si="241"/>
        <v/>
      </c>
      <c r="C3027" s="11" t="str">
        <f t="shared" si="244"/>
        <v/>
      </c>
      <c r="D3027" s="11" t="str">
        <f t="shared" si="245"/>
        <v/>
      </c>
      <c r="E3027" s="11" t="str">
        <f t="shared" si="242"/>
        <v/>
      </c>
      <c r="F3027" s="11" t="str">
        <f t="shared" si="243"/>
        <v/>
      </c>
      <c r="G3027" s="10" t="str">
        <v/>
      </c>
      <c r="H3027" s="11" t="str">
        <v/>
      </c>
      <c r="I3027" s="11" t="str">
        <v/>
      </c>
    </row>
    <row r="3028" spans="2:9">
      <c r="B3028" s="11" t="str">
        <f t="shared" si="241"/>
        <v/>
      </c>
      <c r="C3028" s="11" t="str">
        <f t="shared" si="244"/>
        <v/>
      </c>
      <c r="D3028" s="11" t="str">
        <f t="shared" si="245"/>
        <v/>
      </c>
      <c r="E3028" s="11" t="str">
        <f t="shared" si="242"/>
        <v/>
      </c>
      <c r="F3028" s="11" t="str">
        <f t="shared" si="243"/>
        <v/>
      </c>
      <c r="G3028" s="10" t="str">
        <v/>
      </c>
      <c r="H3028" s="11" t="str">
        <v/>
      </c>
      <c r="I3028" s="11" t="str">
        <v/>
      </c>
    </row>
    <row r="3029" spans="2:9">
      <c r="B3029" s="11" t="str">
        <f t="shared" si="241"/>
        <v/>
      </c>
      <c r="C3029" s="11" t="str">
        <f t="shared" si="244"/>
        <v/>
      </c>
      <c r="D3029" s="11" t="str">
        <f t="shared" si="245"/>
        <v/>
      </c>
      <c r="E3029" s="11" t="str">
        <f t="shared" si="242"/>
        <v/>
      </c>
      <c r="F3029" s="11" t="str">
        <f t="shared" si="243"/>
        <v/>
      </c>
      <c r="G3029" s="10" t="str">
        <v/>
      </c>
      <c r="H3029" s="11" t="str">
        <v/>
      </c>
      <c r="I3029" s="11" t="str">
        <v/>
      </c>
    </row>
    <row r="3030" spans="2:9">
      <c r="B3030" s="11" t="str">
        <f t="shared" si="241"/>
        <v/>
      </c>
      <c r="C3030" s="11" t="str">
        <f t="shared" si="244"/>
        <v/>
      </c>
      <c r="D3030" s="11" t="str">
        <f t="shared" si="245"/>
        <v/>
      </c>
      <c r="E3030" s="11" t="str">
        <f t="shared" si="242"/>
        <v/>
      </c>
      <c r="F3030" s="11" t="str">
        <f t="shared" si="243"/>
        <v/>
      </c>
      <c r="G3030" s="10" t="str">
        <v/>
      </c>
      <c r="H3030" s="11" t="str">
        <v/>
      </c>
      <c r="I3030" s="11" t="str">
        <v/>
      </c>
    </row>
    <row r="3031" spans="2:9">
      <c r="B3031" s="11" t="str">
        <f t="shared" si="241"/>
        <v/>
      </c>
      <c r="C3031" s="11" t="str">
        <f t="shared" si="244"/>
        <v/>
      </c>
      <c r="D3031" s="11" t="str">
        <f t="shared" si="245"/>
        <v/>
      </c>
      <c r="E3031" s="11" t="str">
        <f t="shared" si="242"/>
        <v/>
      </c>
      <c r="F3031" s="11" t="str">
        <f t="shared" si="243"/>
        <v/>
      </c>
      <c r="G3031" s="10" t="str">
        <v/>
      </c>
      <c r="H3031" s="11" t="str">
        <v/>
      </c>
      <c r="I3031" s="11" t="str">
        <v/>
      </c>
    </row>
    <row r="3032" spans="2:9">
      <c r="B3032" s="11" t="str">
        <f t="shared" si="241"/>
        <v/>
      </c>
      <c r="C3032" s="11" t="str">
        <f t="shared" si="244"/>
        <v/>
      </c>
      <c r="D3032" s="11" t="str">
        <f t="shared" si="245"/>
        <v/>
      </c>
      <c r="E3032" s="11" t="str">
        <f t="shared" si="242"/>
        <v/>
      </c>
      <c r="F3032" s="11" t="str">
        <f t="shared" si="243"/>
        <v/>
      </c>
      <c r="G3032" s="10" t="str">
        <v/>
      </c>
      <c r="H3032" s="11" t="str">
        <v/>
      </c>
      <c r="I3032" s="11" t="str">
        <v/>
      </c>
    </row>
    <row r="3033" spans="2:9">
      <c r="B3033" s="11" t="str">
        <f t="shared" si="241"/>
        <v/>
      </c>
      <c r="C3033" s="11" t="str">
        <f t="shared" si="244"/>
        <v/>
      </c>
      <c r="D3033" s="11" t="str">
        <f t="shared" si="245"/>
        <v/>
      </c>
      <c r="E3033" s="11" t="str">
        <f t="shared" si="242"/>
        <v/>
      </c>
      <c r="F3033" s="11" t="str">
        <f t="shared" si="243"/>
        <v/>
      </c>
      <c r="G3033" s="10" t="str">
        <v/>
      </c>
      <c r="H3033" s="11" t="str">
        <v/>
      </c>
      <c r="I3033" s="11" t="str">
        <v/>
      </c>
    </row>
    <row r="3034" spans="2:9">
      <c r="B3034" s="11" t="str">
        <f t="shared" si="241"/>
        <v/>
      </c>
      <c r="C3034" s="11" t="str">
        <f t="shared" si="244"/>
        <v/>
      </c>
      <c r="D3034" s="11" t="str">
        <f t="shared" si="245"/>
        <v/>
      </c>
      <c r="E3034" s="11" t="str">
        <f t="shared" si="242"/>
        <v/>
      </c>
      <c r="F3034" s="11" t="str">
        <f t="shared" si="243"/>
        <v/>
      </c>
      <c r="G3034" s="10" t="str">
        <v/>
      </c>
      <c r="H3034" s="11" t="str">
        <v/>
      </c>
      <c r="I3034" s="11" t="str">
        <v/>
      </c>
    </row>
    <row r="3035" spans="2:9">
      <c r="B3035" s="11" t="str">
        <f t="shared" si="241"/>
        <v/>
      </c>
      <c r="C3035" s="11" t="str">
        <f t="shared" si="244"/>
        <v/>
      </c>
      <c r="D3035" s="11" t="str">
        <f t="shared" si="245"/>
        <v/>
      </c>
      <c r="E3035" s="11" t="str">
        <f t="shared" si="242"/>
        <v/>
      </c>
      <c r="F3035" s="11" t="str">
        <f t="shared" si="243"/>
        <v/>
      </c>
      <c r="G3035" s="10" t="str">
        <v/>
      </c>
      <c r="H3035" s="11" t="str">
        <v/>
      </c>
      <c r="I3035" s="11" t="str">
        <v/>
      </c>
    </row>
    <row r="3036" spans="2:9">
      <c r="B3036" s="11" t="str">
        <f t="shared" si="241"/>
        <v/>
      </c>
      <c r="C3036" s="11" t="str">
        <f t="shared" si="244"/>
        <v/>
      </c>
      <c r="D3036" s="11" t="str">
        <f t="shared" si="245"/>
        <v/>
      </c>
      <c r="E3036" s="11" t="str">
        <f t="shared" si="242"/>
        <v/>
      </c>
      <c r="F3036" s="11" t="str">
        <f t="shared" si="243"/>
        <v/>
      </c>
      <c r="G3036" s="10" t="str">
        <v/>
      </c>
      <c r="H3036" s="11" t="str">
        <v/>
      </c>
      <c r="I3036" s="11" t="str">
        <v/>
      </c>
    </row>
    <row r="3037" spans="2:9">
      <c r="B3037" s="11" t="str">
        <f t="shared" si="241"/>
        <v/>
      </c>
      <c r="C3037" s="11" t="str">
        <f t="shared" si="244"/>
        <v/>
      </c>
      <c r="D3037" s="11" t="str">
        <f t="shared" si="245"/>
        <v/>
      </c>
      <c r="E3037" s="11" t="str">
        <f t="shared" si="242"/>
        <v/>
      </c>
      <c r="F3037" s="11" t="str">
        <f t="shared" si="243"/>
        <v/>
      </c>
      <c r="G3037" s="10" t="str">
        <v/>
      </c>
      <c r="H3037" s="11" t="str">
        <v/>
      </c>
      <c r="I3037" s="11" t="str">
        <v/>
      </c>
    </row>
    <row r="3038" spans="2:9">
      <c r="B3038" s="11" t="str">
        <f t="shared" si="241"/>
        <v/>
      </c>
      <c r="C3038" s="11" t="str">
        <f t="shared" si="244"/>
        <v/>
      </c>
      <c r="D3038" s="11" t="str">
        <f t="shared" si="245"/>
        <v/>
      </c>
      <c r="E3038" s="11" t="str">
        <f t="shared" si="242"/>
        <v/>
      </c>
      <c r="F3038" s="11" t="str">
        <f t="shared" si="243"/>
        <v/>
      </c>
      <c r="G3038" s="10" t="str">
        <v/>
      </c>
      <c r="H3038" s="11" t="str">
        <v/>
      </c>
      <c r="I3038" s="11" t="str">
        <v/>
      </c>
    </row>
    <row r="3039" spans="2:9">
      <c r="B3039" s="11" t="str">
        <f t="shared" si="241"/>
        <v/>
      </c>
      <c r="C3039" s="11" t="str">
        <f t="shared" si="244"/>
        <v/>
      </c>
      <c r="D3039" s="11" t="str">
        <f t="shared" si="245"/>
        <v/>
      </c>
      <c r="E3039" s="11" t="str">
        <f t="shared" si="242"/>
        <v/>
      </c>
      <c r="F3039" s="11" t="str">
        <f t="shared" si="243"/>
        <v/>
      </c>
      <c r="G3039" s="10" t="str">
        <v/>
      </c>
      <c r="H3039" s="11" t="str">
        <v/>
      </c>
      <c r="I3039" s="11" t="str">
        <v/>
      </c>
    </row>
    <row r="3040" spans="2:9">
      <c r="B3040" s="11" t="str">
        <f t="shared" si="241"/>
        <v/>
      </c>
      <c r="C3040" s="11" t="str">
        <f t="shared" si="244"/>
        <v/>
      </c>
      <c r="D3040" s="11" t="str">
        <f t="shared" si="245"/>
        <v/>
      </c>
      <c r="E3040" s="11" t="str">
        <f t="shared" si="242"/>
        <v/>
      </c>
      <c r="F3040" s="11" t="str">
        <f t="shared" si="243"/>
        <v/>
      </c>
      <c r="G3040" s="10" t="str">
        <v/>
      </c>
      <c r="H3040" s="11" t="str">
        <v/>
      </c>
      <c r="I3040" s="11" t="str">
        <v/>
      </c>
    </row>
    <row r="3041" spans="2:9">
      <c r="B3041" s="11" t="str">
        <f t="shared" si="241"/>
        <v/>
      </c>
      <c r="C3041" s="11" t="str">
        <f t="shared" si="244"/>
        <v/>
      </c>
      <c r="D3041" s="11" t="str">
        <f t="shared" si="245"/>
        <v/>
      </c>
      <c r="E3041" s="11" t="str">
        <f t="shared" si="242"/>
        <v/>
      </c>
      <c r="F3041" s="11" t="str">
        <f t="shared" si="243"/>
        <v/>
      </c>
      <c r="G3041" s="10" t="str">
        <v/>
      </c>
      <c r="H3041" s="11" t="str">
        <v/>
      </c>
      <c r="I3041" s="11" t="str">
        <v/>
      </c>
    </row>
    <row r="3042" spans="2:9">
      <c r="B3042" s="11" t="str">
        <f t="shared" si="241"/>
        <v/>
      </c>
      <c r="C3042" s="11" t="str">
        <f t="shared" si="244"/>
        <v/>
      </c>
      <c r="D3042" s="11" t="str">
        <f t="shared" si="245"/>
        <v/>
      </c>
      <c r="E3042" s="11" t="str">
        <f t="shared" si="242"/>
        <v/>
      </c>
      <c r="F3042" s="11" t="str">
        <f t="shared" si="243"/>
        <v/>
      </c>
      <c r="G3042" s="10" t="str">
        <v/>
      </c>
      <c r="H3042" s="11" t="str">
        <v/>
      </c>
      <c r="I3042" s="11" t="str">
        <v/>
      </c>
    </row>
    <row r="3043" spans="2:9">
      <c r="B3043" s="11" t="str">
        <f t="shared" si="241"/>
        <v/>
      </c>
      <c r="C3043" s="11" t="str">
        <f t="shared" si="244"/>
        <v/>
      </c>
      <c r="D3043" s="11" t="str">
        <f t="shared" si="245"/>
        <v/>
      </c>
      <c r="E3043" s="11" t="str">
        <f t="shared" si="242"/>
        <v/>
      </c>
      <c r="F3043" s="11" t="str">
        <f t="shared" si="243"/>
        <v/>
      </c>
      <c r="G3043" s="10" t="str">
        <v/>
      </c>
      <c r="H3043" s="11" t="str">
        <v/>
      </c>
      <c r="I3043" s="11" t="str">
        <v/>
      </c>
    </row>
    <row r="3044" spans="2:9">
      <c r="B3044" s="11" t="str">
        <f t="shared" si="241"/>
        <v/>
      </c>
      <c r="C3044" s="11" t="str">
        <f t="shared" si="244"/>
        <v/>
      </c>
      <c r="D3044" s="11" t="str">
        <f t="shared" si="245"/>
        <v/>
      </c>
      <c r="E3044" s="11" t="str">
        <f t="shared" si="242"/>
        <v/>
      </c>
      <c r="F3044" s="11" t="str">
        <f t="shared" si="243"/>
        <v/>
      </c>
      <c r="G3044" s="10" t="str">
        <v/>
      </c>
      <c r="H3044" s="11" t="str">
        <v/>
      </c>
      <c r="I3044" s="11" t="str">
        <v/>
      </c>
    </row>
    <row r="3045" spans="2:9">
      <c r="B3045" s="11" t="str">
        <f t="shared" si="241"/>
        <v/>
      </c>
      <c r="C3045" s="11" t="str">
        <f t="shared" si="244"/>
        <v/>
      </c>
      <c r="D3045" s="11" t="str">
        <f t="shared" si="245"/>
        <v/>
      </c>
      <c r="E3045" s="11" t="str">
        <f t="shared" si="242"/>
        <v/>
      </c>
      <c r="F3045" s="11" t="str">
        <f t="shared" si="243"/>
        <v/>
      </c>
      <c r="G3045" s="10" t="str">
        <v/>
      </c>
      <c r="H3045" s="11" t="str">
        <v/>
      </c>
      <c r="I3045" s="11" t="str">
        <v/>
      </c>
    </row>
    <row r="3046" spans="2:9">
      <c r="B3046" s="11" t="str">
        <f t="shared" si="241"/>
        <v/>
      </c>
      <c r="C3046" s="11" t="str">
        <f t="shared" si="244"/>
        <v/>
      </c>
      <c r="D3046" s="11" t="str">
        <f t="shared" si="245"/>
        <v/>
      </c>
      <c r="E3046" s="11" t="str">
        <f t="shared" si="242"/>
        <v/>
      </c>
      <c r="F3046" s="11" t="str">
        <f t="shared" si="243"/>
        <v/>
      </c>
      <c r="G3046" s="10" t="str">
        <v/>
      </c>
      <c r="H3046" s="11" t="str">
        <v/>
      </c>
      <c r="I3046" s="11" t="str">
        <v/>
      </c>
    </row>
    <row r="3047" spans="2:9">
      <c r="B3047" s="11" t="str">
        <f t="shared" si="241"/>
        <v/>
      </c>
      <c r="C3047" s="11" t="str">
        <f t="shared" si="244"/>
        <v/>
      </c>
      <c r="D3047" s="11" t="str">
        <f t="shared" si="245"/>
        <v/>
      </c>
      <c r="E3047" s="11" t="str">
        <f t="shared" si="242"/>
        <v/>
      </c>
      <c r="F3047" s="11" t="str">
        <f t="shared" si="243"/>
        <v/>
      </c>
      <c r="G3047" s="10" t="str">
        <v/>
      </c>
      <c r="H3047" s="11" t="str">
        <v/>
      </c>
      <c r="I3047" s="11" t="str">
        <v/>
      </c>
    </row>
    <row r="3048" spans="2:9">
      <c r="B3048" s="11" t="str">
        <f t="shared" si="241"/>
        <v/>
      </c>
      <c r="C3048" s="11" t="str">
        <f t="shared" si="244"/>
        <v/>
      </c>
      <c r="D3048" s="11" t="str">
        <f t="shared" si="245"/>
        <v/>
      </c>
      <c r="E3048" s="11" t="str">
        <f t="shared" si="242"/>
        <v/>
      </c>
      <c r="F3048" s="11" t="str">
        <f t="shared" si="243"/>
        <v/>
      </c>
      <c r="G3048" s="10" t="str">
        <v/>
      </c>
      <c r="H3048" s="11" t="str">
        <v/>
      </c>
      <c r="I3048" s="11" t="str">
        <v/>
      </c>
    </row>
    <row r="3049" spans="2:9">
      <c r="B3049" s="11" t="str">
        <f t="shared" si="241"/>
        <v/>
      </c>
      <c r="C3049" s="11" t="str">
        <f t="shared" si="244"/>
        <v/>
      </c>
      <c r="D3049" s="11" t="str">
        <f t="shared" si="245"/>
        <v/>
      </c>
      <c r="E3049" s="11" t="str">
        <f t="shared" si="242"/>
        <v/>
      </c>
      <c r="F3049" s="11" t="str">
        <f t="shared" si="243"/>
        <v/>
      </c>
      <c r="G3049" s="10" t="str">
        <v/>
      </c>
      <c r="H3049" s="11" t="str">
        <v/>
      </c>
      <c r="I3049" s="11" t="str">
        <v/>
      </c>
    </row>
    <row r="3050" spans="2:9">
      <c r="B3050" s="11" t="str">
        <f t="shared" si="241"/>
        <v/>
      </c>
      <c r="C3050" s="11" t="str">
        <f t="shared" si="244"/>
        <v/>
      </c>
      <c r="D3050" s="11" t="str">
        <f t="shared" si="245"/>
        <v/>
      </c>
      <c r="E3050" s="11" t="str">
        <f t="shared" si="242"/>
        <v/>
      </c>
      <c r="F3050" s="11" t="str">
        <f t="shared" si="243"/>
        <v/>
      </c>
      <c r="G3050" s="10" t="str">
        <v/>
      </c>
      <c r="H3050" s="11" t="str">
        <v/>
      </c>
      <c r="I3050" s="11" t="str">
        <v/>
      </c>
    </row>
    <row r="3051" spans="2:9">
      <c r="B3051" s="11" t="str">
        <f t="shared" si="241"/>
        <v/>
      </c>
      <c r="C3051" s="11" t="str">
        <f t="shared" si="244"/>
        <v/>
      </c>
      <c r="D3051" s="11" t="str">
        <f t="shared" si="245"/>
        <v/>
      </c>
      <c r="E3051" s="11" t="str">
        <f t="shared" si="242"/>
        <v/>
      </c>
      <c r="F3051" s="11" t="str">
        <f t="shared" si="243"/>
        <v/>
      </c>
      <c r="G3051" s="10" t="str">
        <v/>
      </c>
      <c r="H3051" s="11" t="str">
        <v/>
      </c>
      <c r="I3051" s="11" t="str">
        <v/>
      </c>
    </row>
    <row r="3052" spans="2:9">
      <c r="B3052" s="11" t="str">
        <f t="shared" si="241"/>
        <v/>
      </c>
      <c r="C3052" s="11" t="str">
        <f t="shared" si="244"/>
        <v/>
      </c>
      <c r="D3052" s="11" t="str">
        <f t="shared" si="245"/>
        <v/>
      </c>
      <c r="E3052" s="11" t="str">
        <f t="shared" si="242"/>
        <v/>
      </c>
      <c r="F3052" s="11" t="str">
        <f t="shared" si="243"/>
        <v/>
      </c>
      <c r="G3052" s="10" t="str">
        <v/>
      </c>
      <c r="H3052" s="11" t="str">
        <v/>
      </c>
      <c r="I3052" s="11" t="str">
        <v/>
      </c>
    </row>
    <row r="3053" spans="2:9">
      <c r="B3053" s="11" t="str">
        <f t="shared" si="241"/>
        <v/>
      </c>
      <c r="C3053" s="11" t="str">
        <f t="shared" si="244"/>
        <v/>
      </c>
      <c r="D3053" s="11" t="str">
        <f t="shared" si="245"/>
        <v/>
      </c>
      <c r="E3053" s="11" t="str">
        <f t="shared" si="242"/>
        <v/>
      </c>
      <c r="F3053" s="11" t="str">
        <f t="shared" si="243"/>
        <v/>
      </c>
      <c r="G3053" s="10" t="str">
        <v/>
      </c>
      <c r="H3053" s="11" t="str">
        <v/>
      </c>
      <c r="I3053" s="11" t="str">
        <v/>
      </c>
    </row>
    <row r="3054" spans="2:9">
      <c r="B3054" s="11" t="str">
        <f t="shared" si="241"/>
        <v/>
      </c>
      <c r="C3054" s="11" t="str">
        <f t="shared" si="244"/>
        <v/>
      </c>
      <c r="D3054" s="11" t="str">
        <f t="shared" si="245"/>
        <v/>
      </c>
      <c r="E3054" s="11" t="str">
        <f t="shared" si="242"/>
        <v/>
      </c>
      <c r="F3054" s="11" t="str">
        <f t="shared" si="243"/>
        <v/>
      </c>
      <c r="G3054" s="10" t="str">
        <v/>
      </c>
      <c r="H3054" s="11" t="str">
        <v/>
      </c>
      <c r="I3054" s="11" t="str">
        <v/>
      </c>
    </row>
    <row r="3055" spans="2:9">
      <c r="B3055" s="11" t="str">
        <f t="shared" si="241"/>
        <v/>
      </c>
      <c r="C3055" s="11" t="str">
        <f t="shared" si="244"/>
        <v/>
      </c>
      <c r="D3055" s="11" t="str">
        <f t="shared" si="245"/>
        <v/>
      </c>
      <c r="E3055" s="11" t="str">
        <f t="shared" si="242"/>
        <v/>
      </c>
      <c r="F3055" s="11" t="str">
        <f t="shared" si="243"/>
        <v/>
      </c>
      <c r="G3055" s="10" t="str">
        <v/>
      </c>
      <c r="H3055" s="11" t="str">
        <v/>
      </c>
      <c r="I3055" s="11" t="str">
        <v/>
      </c>
    </row>
    <row r="3056" spans="2:9">
      <c r="B3056" s="11" t="str">
        <f t="shared" si="241"/>
        <v/>
      </c>
      <c r="C3056" s="11" t="str">
        <f t="shared" si="244"/>
        <v/>
      </c>
      <c r="D3056" s="11" t="str">
        <f t="shared" si="245"/>
        <v/>
      </c>
      <c r="E3056" s="11" t="str">
        <f t="shared" si="242"/>
        <v/>
      </c>
      <c r="F3056" s="11" t="str">
        <f t="shared" si="243"/>
        <v/>
      </c>
      <c r="G3056" s="10" t="str">
        <v/>
      </c>
      <c r="H3056" s="11" t="str">
        <v/>
      </c>
      <c r="I3056" s="11" t="str">
        <v/>
      </c>
    </row>
    <row r="3057" spans="2:9">
      <c r="B3057" s="11" t="str">
        <f t="shared" si="241"/>
        <v/>
      </c>
      <c r="C3057" s="11" t="str">
        <f t="shared" si="244"/>
        <v/>
      </c>
      <c r="D3057" s="11" t="str">
        <f t="shared" si="245"/>
        <v/>
      </c>
      <c r="E3057" s="11" t="str">
        <f t="shared" si="242"/>
        <v/>
      </c>
      <c r="F3057" s="11" t="str">
        <f t="shared" si="243"/>
        <v/>
      </c>
      <c r="G3057" s="10" t="str">
        <v/>
      </c>
      <c r="H3057" s="11" t="str">
        <v/>
      </c>
      <c r="I3057" s="11" t="str">
        <v/>
      </c>
    </row>
    <row r="3058" spans="2:9">
      <c r="B3058" s="11" t="str">
        <f t="shared" si="241"/>
        <v/>
      </c>
      <c r="C3058" s="11" t="str">
        <f t="shared" si="244"/>
        <v/>
      </c>
      <c r="D3058" s="11" t="str">
        <f t="shared" si="245"/>
        <v/>
      </c>
      <c r="E3058" s="11" t="str">
        <f t="shared" si="242"/>
        <v/>
      </c>
      <c r="F3058" s="11" t="str">
        <f t="shared" si="243"/>
        <v/>
      </c>
      <c r="G3058" s="10" t="str">
        <v/>
      </c>
      <c r="H3058" s="11" t="str">
        <v/>
      </c>
      <c r="I3058" s="11" t="str">
        <v/>
      </c>
    </row>
    <row r="3059" spans="2:9">
      <c r="B3059" s="11" t="str">
        <f t="shared" si="241"/>
        <v/>
      </c>
      <c r="C3059" s="11" t="str">
        <f t="shared" si="244"/>
        <v/>
      </c>
      <c r="D3059" s="11" t="str">
        <f t="shared" si="245"/>
        <v/>
      </c>
      <c r="E3059" s="11" t="str">
        <f t="shared" si="242"/>
        <v/>
      </c>
      <c r="F3059" s="11" t="str">
        <f t="shared" si="243"/>
        <v/>
      </c>
      <c r="G3059" s="10" t="str">
        <v/>
      </c>
      <c r="H3059" s="11" t="str">
        <v/>
      </c>
      <c r="I3059" s="11" t="str">
        <v/>
      </c>
    </row>
    <row r="3060" spans="2:9">
      <c r="B3060" s="11" t="str">
        <f t="shared" si="241"/>
        <v/>
      </c>
      <c r="C3060" s="11" t="str">
        <f t="shared" si="244"/>
        <v/>
      </c>
      <c r="D3060" s="11" t="str">
        <f t="shared" si="245"/>
        <v/>
      </c>
      <c r="E3060" s="11" t="str">
        <f t="shared" si="242"/>
        <v/>
      </c>
      <c r="F3060" s="11" t="str">
        <f t="shared" si="243"/>
        <v/>
      </c>
      <c r="G3060" s="10" t="str">
        <v/>
      </c>
      <c r="H3060" s="11" t="str">
        <v/>
      </c>
      <c r="I3060" s="11" t="str">
        <v/>
      </c>
    </row>
    <row r="3061" spans="2:9">
      <c r="B3061" s="11" t="str">
        <f t="shared" si="241"/>
        <v/>
      </c>
      <c r="C3061" s="11" t="str">
        <f t="shared" si="244"/>
        <v/>
      </c>
      <c r="D3061" s="11" t="str">
        <f t="shared" si="245"/>
        <v/>
      </c>
      <c r="E3061" s="11" t="str">
        <f t="shared" si="242"/>
        <v/>
      </c>
      <c r="F3061" s="11" t="str">
        <f t="shared" si="243"/>
        <v/>
      </c>
      <c r="G3061" s="10" t="str">
        <v/>
      </c>
      <c r="H3061" s="11" t="str">
        <v/>
      </c>
      <c r="I3061" s="11" t="str">
        <v/>
      </c>
    </row>
    <row r="3062" spans="2:9">
      <c r="B3062" s="11" t="str">
        <f t="shared" si="241"/>
        <v/>
      </c>
      <c r="C3062" s="11" t="str">
        <f t="shared" si="244"/>
        <v/>
      </c>
      <c r="D3062" s="11" t="str">
        <f t="shared" si="245"/>
        <v/>
      </c>
      <c r="E3062" s="11" t="str">
        <f t="shared" si="242"/>
        <v/>
      </c>
      <c r="F3062" s="11" t="str">
        <f t="shared" si="243"/>
        <v/>
      </c>
      <c r="G3062" s="10" t="str">
        <v/>
      </c>
      <c r="H3062" s="11" t="str">
        <v/>
      </c>
      <c r="I3062" s="11" t="str">
        <v/>
      </c>
    </row>
    <row r="3063" spans="2:9">
      <c r="B3063" s="11" t="str">
        <f t="shared" si="241"/>
        <v/>
      </c>
      <c r="C3063" s="11" t="str">
        <f t="shared" si="244"/>
        <v/>
      </c>
      <c r="D3063" s="11" t="str">
        <f t="shared" si="245"/>
        <v/>
      </c>
      <c r="E3063" s="11" t="str">
        <f t="shared" si="242"/>
        <v/>
      </c>
      <c r="F3063" s="11" t="str">
        <f t="shared" si="243"/>
        <v/>
      </c>
      <c r="G3063" s="10" t="str">
        <v/>
      </c>
      <c r="H3063" s="11" t="str">
        <v/>
      </c>
      <c r="I3063" s="11" t="str">
        <v/>
      </c>
    </row>
    <row r="3064" spans="2:9">
      <c r="B3064" s="11" t="str">
        <f t="shared" si="241"/>
        <v/>
      </c>
      <c r="C3064" s="11" t="str">
        <f t="shared" si="244"/>
        <v/>
      </c>
      <c r="D3064" s="11" t="str">
        <f t="shared" si="245"/>
        <v/>
      </c>
      <c r="E3064" s="11" t="str">
        <f t="shared" si="242"/>
        <v/>
      </c>
      <c r="F3064" s="11" t="str">
        <f t="shared" si="243"/>
        <v/>
      </c>
      <c r="G3064" s="10" t="str">
        <v/>
      </c>
      <c r="H3064" s="11" t="str">
        <v/>
      </c>
      <c r="I3064" s="11" t="str">
        <v/>
      </c>
    </row>
    <row r="3065" spans="2:9">
      <c r="B3065" s="11" t="str">
        <f t="shared" si="241"/>
        <v/>
      </c>
      <c r="C3065" s="11" t="str">
        <f t="shared" si="244"/>
        <v/>
      </c>
      <c r="D3065" s="11" t="str">
        <f t="shared" si="245"/>
        <v/>
      </c>
      <c r="E3065" s="11" t="str">
        <f t="shared" si="242"/>
        <v/>
      </c>
      <c r="F3065" s="11" t="str">
        <f t="shared" si="243"/>
        <v/>
      </c>
      <c r="G3065" s="10" t="str">
        <v/>
      </c>
      <c r="H3065" s="11" t="str">
        <v/>
      </c>
      <c r="I3065" s="11" t="str">
        <v/>
      </c>
    </row>
    <row r="3066" spans="2:9">
      <c r="B3066" s="11" t="str">
        <f t="shared" si="241"/>
        <v/>
      </c>
      <c r="C3066" s="11" t="str">
        <f t="shared" si="244"/>
        <v/>
      </c>
      <c r="D3066" s="11" t="str">
        <f t="shared" si="245"/>
        <v/>
      </c>
      <c r="E3066" s="11" t="str">
        <f t="shared" si="242"/>
        <v/>
      </c>
      <c r="F3066" s="11" t="str">
        <f t="shared" si="243"/>
        <v/>
      </c>
      <c r="G3066" s="10" t="str">
        <v/>
      </c>
      <c r="H3066" s="11" t="str">
        <v/>
      </c>
      <c r="I3066" s="11" t="str">
        <v/>
      </c>
    </row>
    <row r="3067" spans="2:9">
      <c r="B3067" s="11" t="str">
        <f t="shared" si="241"/>
        <v/>
      </c>
      <c r="C3067" s="11" t="str">
        <f t="shared" si="244"/>
        <v/>
      </c>
      <c r="D3067" s="11" t="str">
        <f t="shared" si="245"/>
        <v/>
      </c>
      <c r="E3067" s="11" t="str">
        <f t="shared" si="242"/>
        <v/>
      </c>
      <c r="F3067" s="11" t="str">
        <f t="shared" si="243"/>
        <v/>
      </c>
      <c r="G3067" s="10" t="str">
        <v/>
      </c>
      <c r="H3067" s="11" t="str">
        <v/>
      </c>
      <c r="I3067" s="11" t="str">
        <v/>
      </c>
    </row>
    <row r="3068" spans="2:9">
      <c r="B3068" s="11" t="str">
        <f t="shared" si="241"/>
        <v/>
      </c>
      <c r="C3068" s="11" t="str">
        <f t="shared" si="244"/>
        <v/>
      </c>
      <c r="D3068" s="11" t="str">
        <f t="shared" si="245"/>
        <v/>
      </c>
      <c r="E3068" s="11" t="str">
        <f t="shared" si="242"/>
        <v/>
      </c>
      <c r="F3068" s="11" t="str">
        <f t="shared" si="243"/>
        <v/>
      </c>
      <c r="G3068" s="10" t="str">
        <v/>
      </c>
      <c r="H3068" s="11" t="str">
        <v/>
      </c>
      <c r="I3068" s="11" t="str">
        <v/>
      </c>
    </row>
    <row r="3069" spans="2:9">
      <c r="B3069" s="11" t="str">
        <f t="shared" si="241"/>
        <v/>
      </c>
      <c r="C3069" s="11" t="str">
        <f t="shared" si="244"/>
        <v/>
      </c>
      <c r="D3069" s="11" t="str">
        <f t="shared" si="245"/>
        <v/>
      </c>
      <c r="E3069" s="11" t="str">
        <f t="shared" si="242"/>
        <v/>
      </c>
      <c r="F3069" s="11" t="str">
        <f t="shared" si="243"/>
        <v/>
      </c>
      <c r="G3069" s="10" t="str">
        <v/>
      </c>
      <c r="H3069" s="11" t="str">
        <v/>
      </c>
      <c r="I3069" s="11" t="str">
        <v/>
      </c>
    </row>
    <row r="3070" spans="2:9">
      <c r="B3070" s="11" t="str">
        <f t="shared" si="241"/>
        <v/>
      </c>
      <c r="C3070" s="11" t="str">
        <f t="shared" si="244"/>
        <v/>
      </c>
      <c r="D3070" s="11" t="str">
        <f t="shared" si="245"/>
        <v/>
      </c>
      <c r="E3070" s="11" t="str">
        <f t="shared" si="242"/>
        <v/>
      </c>
      <c r="F3070" s="11" t="str">
        <f t="shared" si="243"/>
        <v/>
      </c>
      <c r="G3070" s="10" t="str">
        <v/>
      </c>
      <c r="H3070" s="11" t="str">
        <v/>
      </c>
      <c r="I3070" s="11" t="str">
        <v/>
      </c>
    </row>
    <row r="3071" spans="2:9">
      <c r="B3071" s="11" t="str">
        <f t="shared" si="241"/>
        <v/>
      </c>
      <c r="C3071" s="11" t="str">
        <f t="shared" si="244"/>
        <v/>
      </c>
      <c r="D3071" s="11" t="str">
        <f t="shared" si="245"/>
        <v/>
      </c>
      <c r="E3071" s="11" t="str">
        <f t="shared" si="242"/>
        <v/>
      </c>
      <c r="F3071" s="11" t="str">
        <f t="shared" si="243"/>
        <v/>
      </c>
      <c r="G3071" s="10" t="str">
        <v/>
      </c>
      <c r="H3071" s="11" t="str">
        <v/>
      </c>
      <c r="I3071" s="11" t="str">
        <v/>
      </c>
    </row>
    <row r="3072" spans="2:9">
      <c r="B3072" s="11" t="str">
        <f t="shared" si="241"/>
        <v/>
      </c>
      <c r="C3072" s="11" t="str">
        <f t="shared" si="244"/>
        <v/>
      </c>
      <c r="D3072" s="11" t="str">
        <f t="shared" si="245"/>
        <v/>
      </c>
      <c r="E3072" s="11" t="str">
        <f t="shared" si="242"/>
        <v/>
      </c>
      <c r="F3072" s="11" t="str">
        <f t="shared" si="243"/>
        <v/>
      </c>
      <c r="G3072" s="10" t="str">
        <v/>
      </c>
      <c r="H3072" s="11" t="str">
        <v/>
      </c>
      <c r="I3072" s="11" t="str">
        <v/>
      </c>
    </row>
    <row r="3073" spans="2:9">
      <c r="B3073" s="11" t="str">
        <f t="shared" ref="B3073:B3136" si="246">IFERROR(IF(FIND(" ",A3073)=6,IF(IFERROR(FIND(" PB",A3073),"")&lt;&gt;"","артикул",IF(IFERROR(FIND(" CRN",A3073),"")&lt;&gt;"","артикул","")),""),"")</f>
        <v/>
      </c>
      <c r="C3073" s="11" t="str">
        <f t="shared" si="244"/>
        <v/>
      </c>
      <c r="D3073" s="11" t="str">
        <f t="shared" si="245"/>
        <v/>
      </c>
      <c r="E3073" s="11" t="str">
        <f t="shared" si="242"/>
        <v/>
      </c>
      <c r="F3073" s="11" t="str">
        <f t="shared" si="243"/>
        <v/>
      </c>
      <c r="G3073" s="10" t="str">
        <v/>
      </c>
      <c r="H3073" s="11" t="str">
        <v/>
      </c>
      <c r="I3073" s="11" t="str">
        <v/>
      </c>
    </row>
    <row r="3074" spans="2:9">
      <c r="B3074" s="11" t="str">
        <f t="shared" si="246"/>
        <v/>
      </c>
      <c r="C3074" s="11" t="str">
        <f t="shared" si="244"/>
        <v/>
      </c>
      <c r="D3074" s="11" t="str">
        <f t="shared" si="245"/>
        <v/>
      </c>
      <c r="E3074" s="11" t="str">
        <f t="shared" ref="E3074:E3137" si="247" xml:space="preserve">
IF(B3074="Артикул",
IF(
AND(RIGHT(A3075,1)="%",
RIGHT(A3076,1)="%",
RIGHT(A3077,1)="%",
RIGHT(A3078,1)="%"),MID(A3079,FIND(" ",A3079),50),
IF(
AND(RIGHT(A3075,1)="%",
RIGHT(A3076,1)="%",
RIGHT(A3077,1)="%"),MID(A3078,FIND(" ",A3078),50),
IF(
AND(RIGHT(A3075,1)="%",
RIGHT(A3076,1)="%"),
MID(A3077,FIND(" ",A3077),50),
IF(
RIGHT(A3075,1)="%",
MID(A3076,FIND(" ",A3076),50),"")))),"")</f>
        <v/>
      </c>
      <c r="F3074" s="11" t="str">
        <f t="shared" ref="F3074:F3137" si="248">IFERROR(
IF(
AND(LEFT(A3074,8)="Discount",FIND("%",A3074)&gt;0),
MID(A3074,
FIND(" ",A3074),
FIND("%",A3074)-FIND(" ",A3074))
*-1,""),"")</f>
        <v/>
      </c>
      <c r="G3074" s="10" t="str">
        <v/>
      </c>
      <c r="H3074" s="11" t="str">
        <v/>
      </c>
      <c r="I3074" s="11" t="str">
        <v/>
      </c>
    </row>
    <row r="3075" spans="2:9">
      <c r="B3075" s="11" t="str">
        <f t="shared" si="246"/>
        <v/>
      </c>
      <c r="C3075" s="11" t="str">
        <f t="shared" si="244"/>
        <v/>
      </c>
      <c r="D3075" s="11" t="str">
        <f t="shared" si="245"/>
        <v/>
      </c>
      <c r="E3075" s="11" t="str">
        <f t="shared" si="247"/>
        <v/>
      </c>
      <c r="F3075" s="11" t="str">
        <f t="shared" si="248"/>
        <v/>
      </c>
      <c r="G3075" s="10" t="str">
        <v/>
      </c>
      <c r="H3075" s="11" t="str">
        <v/>
      </c>
      <c r="I3075" s="11" t="str">
        <v/>
      </c>
    </row>
    <row r="3076" spans="2:9">
      <c r="B3076" s="11" t="str">
        <f t="shared" si="246"/>
        <v/>
      </c>
      <c r="C3076" s="11" t="str">
        <f t="shared" si="244"/>
        <v/>
      </c>
      <c r="D3076" s="11" t="str">
        <f t="shared" si="245"/>
        <v/>
      </c>
      <c r="E3076" s="11" t="str">
        <f t="shared" si="247"/>
        <v/>
      </c>
      <c r="F3076" s="11" t="str">
        <f t="shared" si="248"/>
        <v/>
      </c>
      <c r="G3076" s="10" t="str">
        <v/>
      </c>
      <c r="H3076" s="11" t="str">
        <v/>
      </c>
      <c r="I3076" s="11" t="str">
        <v/>
      </c>
    </row>
    <row r="3077" spans="2:9">
      <c r="B3077" s="11" t="str">
        <f t="shared" si="246"/>
        <v/>
      </c>
      <c r="C3077" s="11" t="str">
        <f t="shared" si="244"/>
        <v/>
      </c>
      <c r="D3077" s="11" t="str">
        <f t="shared" si="245"/>
        <v/>
      </c>
      <c r="E3077" s="11" t="str">
        <f t="shared" si="247"/>
        <v/>
      </c>
      <c r="F3077" s="11" t="str">
        <f t="shared" si="248"/>
        <v/>
      </c>
      <c r="G3077" s="10" t="str">
        <v/>
      </c>
      <c r="H3077" s="11" t="str">
        <v/>
      </c>
      <c r="I3077" s="11" t="str">
        <v/>
      </c>
    </row>
    <row r="3078" spans="2:9">
      <c r="B3078" s="11" t="str">
        <f t="shared" si="246"/>
        <v/>
      </c>
      <c r="C3078" s="11" t="str">
        <f t="shared" si="244"/>
        <v/>
      </c>
      <c r="D3078" s="11" t="str">
        <f t="shared" si="245"/>
        <v/>
      </c>
      <c r="E3078" s="11" t="str">
        <f t="shared" si="247"/>
        <v/>
      </c>
      <c r="F3078" s="11" t="str">
        <f t="shared" si="248"/>
        <v/>
      </c>
      <c r="G3078" s="10" t="str">
        <v/>
      </c>
      <c r="H3078" s="11" t="str">
        <v/>
      </c>
      <c r="I3078" s="11" t="str">
        <v/>
      </c>
    </row>
    <row r="3079" spans="2:9">
      <c r="B3079" s="11" t="str">
        <f t="shared" si="246"/>
        <v/>
      </c>
      <c r="C3079" s="11" t="str">
        <f t="shared" si="244"/>
        <v/>
      </c>
      <c r="D3079" s="11" t="str">
        <f t="shared" si="245"/>
        <v/>
      </c>
      <c r="E3079" s="11" t="str">
        <f t="shared" si="247"/>
        <v/>
      </c>
      <c r="F3079" s="11" t="str">
        <f t="shared" si="248"/>
        <v/>
      </c>
      <c r="G3079" s="10" t="str">
        <v/>
      </c>
      <c r="H3079" s="11" t="str">
        <v/>
      </c>
      <c r="I3079" s="11" t="str">
        <v/>
      </c>
    </row>
    <row r="3080" spans="2:9">
      <c r="B3080" s="11" t="str">
        <f t="shared" si="246"/>
        <v/>
      </c>
      <c r="C3080" s="11" t="str">
        <f t="shared" si="244"/>
        <v/>
      </c>
      <c r="D3080" s="11" t="str">
        <f t="shared" si="245"/>
        <v/>
      </c>
      <c r="E3080" s="11" t="str">
        <f t="shared" si="247"/>
        <v/>
      </c>
      <c r="F3080" s="11" t="str">
        <f t="shared" si="248"/>
        <v/>
      </c>
      <c r="G3080" s="10" t="str">
        <v/>
      </c>
      <c r="H3080" s="11" t="str">
        <v/>
      </c>
      <c r="I3080" s="11" t="str">
        <v/>
      </c>
    </row>
    <row r="3081" spans="2:9">
      <c r="B3081" s="11" t="str">
        <f t="shared" si="246"/>
        <v/>
      </c>
      <c r="C3081" s="11" t="str">
        <f t="shared" si="244"/>
        <v/>
      </c>
      <c r="D3081" s="11" t="str">
        <f t="shared" si="245"/>
        <v/>
      </c>
      <c r="E3081" s="11" t="str">
        <f t="shared" si="247"/>
        <v/>
      </c>
      <c r="F3081" s="11" t="str">
        <f t="shared" si="248"/>
        <v/>
      </c>
      <c r="G3081" s="10" t="str">
        <v/>
      </c>
      <c r="H3081" s="11" t="str">
        <v/>
      </c>
      <c r="I3081" s="11" t="str">
        <v/>
      </c>
    </row>
    <row r="3082" spans="2:9">
      <c r="B3082" s="11" t="str">
        <f t="shared" si="246"/>
        <v/>
      </c>
      <c r="C3082" s="11" t="str">
        <f t="shared" si="244"/>
        <v/>
      </c>
      <c r="D3082" s="11" t="str">
        <f t="shared" si="245"/>
        <v/>
      </c>
      <c r="E3082" s="11" t="str">
        <f t="shared" si="247"/>
        <v/>
      </c>
      <c r="F3082" s="11" t="str">
        <f t="shared" si="248"/>
        <v/>
      </c>
      <c r="G3082" s="10" t="str">
        <v/>
      </c>
      <c r="H3082" s="11" t="str">
        <v/>
      </c>
      <c r="I3082" s="11" t="str">
        <v/>
      </c>
    </row>
    <row r="3083" spans="2:9">
      <c r="B3083" s="11" t="str">
        <f t="shared" si="246"/>
        <v/>
      </c>
      <c r="C3083" s="11" t="str">
        <f t="shared" si="244"/>
        <v/>
      </c>
      <c r="D3083" s="11" t="str">
        <f t="shared" si="245"/>
        <v/>
      </c>
      <c r="E3083" s="11" t="str">
        <f t="shared" si="247"/>
        <v/>
      </c>
      <c r="F3083" s="11" t="str">
        <f t="shared" si="248"/>
        <v/>
      </c>
      <c r="G3083" s="10" t="str">
        <v/>
      </c>
      <c r="H3083" s="11" t="str">
        <v/>
      </c>
      <c r="I3083" s="11" t="str">
        <v/>
      </c>
    </row>
    <row r="3084" spans="2:9">
      <c r="B3084" s="11" t="str">
        <f t="shared" si="246"/>
        <v/>
      </c>
      <c r="C3084" s="11" t="str">
        <f t="shared" si="244"/>
        <v/>
      </c>
      <c r="D3084" s="11" t="str">
        <f t="shared" si="245"/>
        <v/>
      </c>
      <c r="E3084" s="11" t="str">
        <f t="shared" si="247"/>
        <v/>
      </c>
      <c r="F3084" s="11" t="str">
        <f t="shared" si="248"/>
        <v/>
      </c>
      <c r="G3084" s="10" t="str">
        <v/>
      </c>
      <c r="H3084" s="11" t="str">
        <v/>
      </c>
      <c r="I3084" s="11" t="str">
        <v/>
      </c>
    </row>
    <row r="3085" spans="2:9">
      <c r="B3085" s="11" t="str">
        <f t="shared" si="246"/>
        <v/>
      </c>
      <c r="C3085" s="11" t="str">
        <f t="shared" ref="C3085:C3148" si="249">IF(B3085="артикул",A3085,"")</f>
        <v/>
      </c>
      <c r="D3085" s="11" t="str">
        <f t="shared" ref="D3085:D3148" si="250">IF(B3085="артикул",A3086,"")</f>
        <v/>
      </c>
      <c r="E3085" s="11" t="str">
        <f t="shared" si="247"/>
        <v/>
      </c>
      <c r="F3085" s="11" t="str">
        <f t="shared" si="248"/>
        <v/>
      </c>
      <c r="G3085" s="10" t="str">
        <v/>
      </c>
      <c r="H3085" s="11" t="str">
        <v/>
      </c>
      <c r="I3085" s="11" t="str">
        <v/>
      </c>
    </row>
    <row r="3086" spans="2:9">
      <c r="B3086" s="11" t="str">
        <f t="shared" si="246"/>
        <v/>
      </c>
      <c r="C3086" s="11" t="str">
        <f t="shared" si="249"/>
        <v/>
      </c>
      <c r="D3086" s="11" t="str">
        <f t="shared" si="250"/>
        <v/>
      </c>
      <c r="E3086" s="11" t="str">
        <f t="shared" si="247"/>
        <v/>
      </c>
      <c r="F3086" s="11" t="str">
        <f t="shared" si="248"/>
        <v/>
      </c>
      <c r="G3086" s="10" t="str">
        <v/>
      </c>
      <c r="H3086" s="11" t="str">
        <v/>
      </c>
      <c r="I3086" s="11" t="str">
        <v/>
      </c>
    </row>
    <row r="3087" spans="2:9">
      <c r="B3087" s="11" t="str">
        <f t="shared" si="246"/>
        <v/>
      </c>
      <c r="C3087" s="11" t="str">
        <f t="shared" si="249"/>
        <v/>
      </c>
      <c r="D3087" s="11" t="str">
        <f t="shared" si="250"/>
        <v/>
      </c>
      <c r="E3087" s="11" t="str">
        <f t="shared" si="247"/>
        <v/>
      </c>
      <c r="F3087" s="11" t="str">
        <f t="shared" si="248"/>
        <v/>
      </c>
      <c r="G3087" s="10" t="str">
        <v/>
      </c>
      <c r="H3087" s="11" t="str">
        <v/>
      </c>
      <c r="I3087" s="11" t="str">
        <v/>
      </c>
    </row>
    <row r="3088" spans="2:9">
      <c r="B3088" s="11" t="str">
        <f t="shared" si="246"/>
        <v/>
      </c>
      <c r="C3088" s="11" t="str">
        <f t="shared" si="249"/>
        <v/>
      </c>
      <c r="D3088" s="11" t="str">
        <f t="shared" si="250"/>
        <v/>
      </c>
      <c r="E3088" s="11" t="str">
        <f t="shared" si="247"/>
        <v/>
      </c>
      <c r="F3088" s="11" t="str">
        <f t="shared" si="248"/>
        <v/>
      </c>
      <c r="G3088" s="10" t="str">
        <v/>
      </c>
      <c r="H3088" s="11" t="str">
        <v/>
      </c>
      <c r="I3088" s="11" t="str">
        <v/>
      </c>
    </row>
    <row r="3089" spans="2:9">
      <c r="B3089" s="11" t="str">
        <f t="shared" si="246"/>
        <v/>
      </c>
      <c r="C3089" s="11" t="str">
        <f t="shared" si="249"/>
        <v/>
      </c>
      <c r="D3089" s="11" t="str">
        <f t="shared" si="250"/>
        <v/>
      </c>
      <c r="E3089" s="11" t="str">
        <f t="shared" si="247"/>
        <v/>
      </c>
      <c r="F3089" s="11" t="str">
        <f t="shared" si="248"/>
        <v/>
      </c>
      <c r="G3089" s="10" t="str">
        <v/>
      </c>
      <c r="H3089" s="11" t="str">
        <v/>
      </c>
      <c r="I3089" s="11" t="str">
        <v/>
      </c>
    </row>
    <row r="3090" spans="2:9">
      <c r="B3090" s="11" t="str">
        <f t="shared" si="246"/>
        <v/>
      </c>
      <c r="C3090" s="11" t="str">
        <f t="shared" si="249"/>
        <v/>
      </c>
      <c r="D3090" s="11" t="str">
        <f t="shared" si="250"/>
        <v/>
      </c>
      <c r="E3090" s="11" t="str">
        <f t="shared" si="247"/>
        <v/>
      </c>
      <c r="F3090" s="11" t="str">
        <f t="shared" si="248"/>
        <v/>
      </c>
      <c r="G3090" s="10" t="str">
        <v/>
      </c>
      <c r="H3090" s="11" t="str">
        <v/>
      </c>
      <c r="I3090" s="11" t="str">
        <v/>
      </c>
    </row>
    <row r="3091" spans="2:9">
      <c r="B3091" s="11" t="str">
        <f t="shared" si="246"/>
        <v/>
      </c>
      <c r="C3091" s="11" t="str">
        <f t="shared" si="249"/>
        <v/>
      </c>
      <c r="D3091" s="11" t="str">
        <f t="shared" si="250"/>
        <v/>
      </c>
      <c r="E3091" s="11" t="str">
        <f t="shared" si="247"/>
        <v/>
      </c>
      <c r="F3091" s="11" t="str">
        <f t="shared" si="248"/>
        <v/>
      </c>
      <c r="G3091" s="10" t="str">
        <v/>
      </c>
      <c r="H3091" s="11" t="str">
        <v/>
      </c>
      <c r="I3091" s="11" t="str">
        <v/>
      </c>
    </row>
    <row r="3092" spans="2:9">
      <c r="B3092" s="11" t="str">
        <f t="shared" si="246"/>
        <v/>
      </c>
      <c r="C3092" s="11" t="str">
        <f t="shared" si="249"/>
        <v/>
      </c>
      <c r="D3092" s="11" t="str">
        <f t="shared" si="250"/>
        <v/>
      </c>
      <c r="E3092" s="11" t="str">
        <f t="shared" si="247"/>
        <v/>
      </c>
      <c r="F3092" s="11" t="str">
        <f t="shared" si="248"/>
        <v/>
      </c>
      <c r="G3092" s="10" t="str">
        <v/>
      </c>
      <c r="H3092" s="11" t="str">
        <v/>
      </c>
      <c r="I3092" s="11" t="str">
        <v/>
      </c>
    </row>
    <row r="3093" spans="2:9">
      <c r="B3093" s="11" t="str">
        <f t="shared" si="246"/>
        <v/>
      </c>
      <c r="C3093" s="11" t="str">
        <f t="shared" si="249"/>
        <v/>
      </c>
      <c r="D3093" s="11" t="str">
        <f t="shared" si="250"/>
        <v/>
      </c>
      <c r="E3093" s="11" t="str">
        <f t="shared" si="247"/>
        <v/>
      </c>
      <c r="F3093" s="11" t="str">
        <f t="shared" si="248"/>
        <v/>
      </c>
      <c r="G3093" s="10" t="str">
        <v/>
      </c>
      <c r="H3093" s="11" t="str">
        <v/>
      </c>
      <c r="I3093" s="11" t="str">
        <v/>
      </c>
    </row>
    <row r="3094" spans="2:9">
      <c r="B3094" s="11" t="str">
        <f t="shared" si="246"/>
        <v/>
      </c>
      <c r="C3094" s="11" t="str">
        <f t="shared" si="249"/>
        <v/>
      </c>
      <c r="D3094" s="11" t="str">
        <f t="shared" si="250"/>
        <v/>
      </c>
      <c r="E3094" s="11" t="str">
        <f t="shared" si="247"/>
        <v/>
      </c>
      <c r="F3094" s="11" t="str">
        <f t="shared" si="248"/>
        <v/>
      </c>
      <c r="G3094" s="10" t="str">
        <v/>
      </c>
      <c r="H3094" s="11" t="str">
        <v/>
      </c>
      <c r="I3094" s="11" t="str">
        <v/>
      </c>
    </row>
    <row r="3095" spans="2:9">
      <c r="B3095" s="11" t="str">
        <f t="shared" si="246"/>
        <v/>
      </c>
      <c r="C3095" s="11" t="str">
        <f t="shared" si="249"/>
        <v/>
      </c>
      <c r="D3095" s="11" t="str">
        <f t="shared" si="250"/>
        <v/>
      </c>
      <c r="E3095" s="11" t="str">
        <f t="shared" si="247"/>
        <v/>
      </c>
      <c r="F3095" s="11" t="str">
        <f t="shared" si="248"/>
        <v/>
      </c>
      <c r="G3095" s="10" t="str">
        <v/>
      </c>
      <c r="H3095" s="11" t="str">
        <v/>
      </c>
      <c r="I3095" s="11" t="str">
        <v/>
      </c>
    </row>
    <row r="3096" spans="2:9">
      <c r="B3096" s="11" t="str">
        <f t="shared" si="246"/>
        <v/>
      </c>
      <c r="C3096" s="11" t="str">
        <f t="shared" si="249"/>
        <v/>
      </c>
      <c r="D3096" s="11" t="str">
        <f t="shared" si="250"/>
        <v/>
      </c>
      <c r="E3096" s="11" t="str">
        <f t="shared" si="247"/>
        <v/>
      </c>
      <c r="F3096" s="11" t="str">
        <f t="shared" si="248"/>
        <v/>
      </c>
      <c r="G3096" s="10" t="str">
        <v/>
      </c>
      <c r="H3096" s="11" t="str">
        <v/>
      </c>
      <c r="I3096" s="11" t="str">
        <v/>
      </c>
    </row>
    <row r="3097" spans="2:9">
      <c r="B3097" s="11" t="str">
        <f t="shared" si="246"/>
        <v/>
      </c>
      <c r="C3097" s="11" t="str">
        <f t="shared" si="249"/>
        <v/>
      </c>
      <c r="D3097" s="11" t="str">
        <f t="shared" si="250"/>
        <v/>
      </c>
      <c r="E3097" s="11" t="str">
        <f t="shared" si="247"/>
        <v/>
      </c>
      <c r="F3097" s="11" t="str">
        <f t="shared" si="248"/>
        <v/>
      </c>
      <c r="G3097" s="10" t="str">
        <v/>
      </c>
      <c r="H3097" s="11" t="str">
        <v/>
      </c>
      <c r="I3097" s="11" t="str">
        <v/>
      </c>
    </row>
    <row r="3098" spans="2:9">
      <c r="B3098" s="11" t="str">
        <f t="shared" si="246"/>
        <v/>
      </c>
      <c r="C3098" s="11" t="str">
        <f t="shared" si="249"/>
        <v/>
      </c>
      <c r="D3098" s="11" t="str">
        <f t="shared" si="250"/>
        <v/>
      </c>
      <c r="E3098" s="11" t="str">
        <f t="shared" si="247"/>
        <v/>
      </c>
      <c r="F3098" s="11" t="str">
        <f t="shared" si="248"/>
        <v/>
      </c>
      <c r="G3098" s="10" t="str">
        <v/>
      </c>
      <c r="H3098" s="11" t="str">
        <v/>
      </c>
      <c r="I3098" s="11" t="str">
        <v/>
      </c>
    </row>
    <row r="3099" spans="2:9">
      <c r="B3099" s="11" t="str">
        <f t="shared" si="246"/>
        <v/>
      </c>
      <c r="C3099" s="11" t="str">
        <f t="shared" si="249"/>
        <v/>
      </c>
      <c r="D3099" s="11" t="str">
        <f t="shared" si="250"/>
        <v/>
      </c>
      <c r="E3099" s="11" t="str">
        <f t="shared" si="247"/>
        <v/>
      </c>
      <c r="F3099" s="11" t="str">
        <f t="shared" si="248"/>
        <v/>
      </c>
      <c r="G3099" s="10" t="str">
        <v/>
      </c>
      <c r="H3099" s="11" t="str">
        <v/>
      </c>
      <c r="I3099" s="11" t="str">
        <v/>
      </c>
    </row>
    <row r="3100" spans="2:9">
      <c r="B3100" s="11" t="str">
        <f t="shared" si="246"/>
        <v/>
      </c>
      <c r="C3100" s="11" t="str">
        <f t="shared" si="249"/>
        <v/>
      </c>
      <c r="D3100" s="11" t="str">
        <f t="shared" si="250"/>
        <v/>
      </c>
      <c r="E3100" s="11" t="str">
        <f t="shared" si="247"/>
        <v/>
      </c>
      <c r="F3100" s="11" t="str">
        <f t="shared" si="248"/>
        <v/>
      </c>
      <c r="G3100" s="10" t="str">
        <v/>
      </c>
      <c r="H3100" s="11" t="str">
        <v/>
      </c>
      <c r="I3100" s="11" t="str">
        <v/>
      </c>
    </row>
    <row r="3101" spans="2:9">
      <c r="B3101" s="11" t="str">
        <f t="shared" si="246"/>
        <v/>
      </c>
      <c r="C3101" s="11" t="str">
        <f t="shared" si="249"/>
        <v/>
      </c>
      <c r="D3101" s="11" t="str">
        <f t="shared" si="250"/>
        <v/>
      </c>
      <c r="E3101" s="11" t="str">
        <f t="shared" si="247"/>
        <v/>
      </c>
      <c r="F3101" s="11" t="str">
        <f t="shared" si="248"/>
        <v/>
      </c>
      <c r="G3101" s="10" t="str">
        <v/>
      </c>
      <c r="H3101" s="11" t="str">
        <v/>
      </c>
      <c r="I3101" s="11" t="str">
        <v/>
      </c>
    </row>
    <row r="3102" spans="2:9">
      <c r="B3102" s="11" t="str">
        <f t="shared" si="246"/>
        <v/>
      </c>
      <c r="C3102" s="11" t="str">
        <f t="shared" si="249"/>
        <v/>
      </c>
      <c r="D3102" s="11" t="str">
        <f t="shared" si="250"/>
        <v/>
      </c>
      <c r="E3102" s="11" t="str">
        <f t="shared" si="247"/>
        <v/>
      </c>
      <c r="F3102" s="11" t="str">
        <f t="shared" si="248"/>
        <v/>
      </c>
      <c r="G3102" s="10" t="str">
        <v/>
      </c>
      <c r="H3102" s="11" t="str">
        <v/>
      </c>
      <c r="I3102" s="11" t="str">
        <v/>
      </c>
    </row>
    <row r="3103" spans="2:9">
      <c r="B3103" s="11" t="str">
        <f t="shared" si="246"/>
        <v/>
      </c>
      <c r="C3103" s="11" t="str">
        <f t="shared" si="249"/>
        <v/>
      </c>
      <c r="D3103" s="11" t="str">
        <f t="shared" si="250"/>
        <v/>
      </c>
      <c r="E3103" s="11" t="str">
        <f t="shared" si="247"/>
        <v/>
      </c>
      <c r="F3103" s="11" t="str">
        <f t="shared" si="248"/>
        <v/>
      </c>
      <c r="G3103" s="10" t="str">
        <v/>
      </c>
      <c r="H3103" s="11" t="str">
        <v/>
      </c>
      <c r="I3103" s="11" t="str">
        <v/>
      </c>
    </row>
    <row r="3104" spans="2:9">
      <c r="B3104" s="11" t="str">
        <f t="shared" si="246"/>
        <v/>
      </c>
      <c r="C3104" s="11" t="str">
        <f t="shared" si="249"/>
        <v/>
      </c>
      <c r="D3104" s="11" t="str">
        <f t="shared" si="250"/>
        <v/>
      </c>
      <c r="E3104" s="11" t="str">
        <f t="shared" si="247"/>
        <v/>
      </c>
      <c r="F3104" s="11" t="str">
        <f t="shared" si="248"/>
        <v/>
      </c>
      <c r="G3104" s="10" t="str">
        <v/>
      </c>
      <c r="H3104" s="11" t="str">
        <v/>
      </c>
      <c r="I3104" s="11" t="str">
        <v/>
      </c>
    </row>
    <row r="3105" spans="2:9">
      <c r="B3105" s="11" t="str">
        <f t="shared" si="246"/>
        <v/>
      </c>
      <c r="C3105" s="11" t="str">
        <f t="shared" si="249"/>
        <v/>
      </c>
      <c r="D3105" s="11" t="str">
        <f t="shared" si="250"/>
        <v/>
      </c>
      <c r="E3105" s="11" t="str">
        <f t="shared" si="247"/>
        <v/>
      </c>
      <c r="F3105" s="11" t="str">
        <f t="shared" si="248"/>
        <v/>
      </c>
      <c r="G3105" s="10" t="str">
        <v/>
      </c>
      <c r="H3105" s="11" t="str">
        <v/>
      </c>
      <c r="I3105" s="11" t="str">
        <v/>
      </c>
    </row>
    <row r="3106" spans="2:9">
      <c r="B3106" s="11" t="str">
        <f t="shared" si="246"/>
        <v/>
      </c>
      <c r="C3106" s="11" t="str">
        <f t="shared" si="249"/>
        <v/>
      </c>
      <c r="D3106" s="11" t="str">
        <f t="shared" si="250"/>
        <v/>
      </c>
      <c r="E3106" s="11" t="str">
        <f t="shared" si="247"/>
        <v/>
      </c>
      <c r="F3106" s="11" t="str">
        <f t="shared" si="248"/>
        <v/>
      </c>
      <c r="G3106" s="10" t="str">
        <v/>
      </c>
      <c r="H3106" s="11" t="str">
        <v/>
      </c>
      <c r="I3106" s="11" t="str">
        <v/>
      </c>
    </row>
    <row r="3107" spans="2:9">
      <c r="B3107" s="11" t="str">
        <f t="shared" si="246"/>
        <v/>
      </c>
      <c r="C3107" s="11" t="str">
        <f t="shared" si="249"/>
        <v/>
      </c>
      <c r="D3107" s="11" t="str">
        <f t="shared" si="250"/>
        <v/>
      </c>
      <c r="E3107" s="11" t="str">
        <f t="shared" si="247"/>
        <v/>
      </c>
      <c r="F3107" s="11" t="str">
        <f t="shared" si="248"/>
        <v/>
      </c>
      <c r="G3107" s="10" t="str">
        <v/>
      </c>
      <c r="H3107" s="11" t="str">
        <v/>
      </c>
      <c r="I3107" s="11" t="str">
        <v/>
      </c>
    </row>
    <row r="3108" spans="2:9">
      <c r="B3108" s="11" t="str">
        <f t="shared" si="246"/>
        <v/>
      </c>
      <c r="C3108" s="11" t="str">
        <f t="shared" si="249"/>
        <v/>
      </c>
      <c r="D3108" s="11" t="str">
        <f t="shared" si="250"/>
        <v/>
      </c>
      <c r="E3108" s="11" t="str">
        <f t="shared" si="247"/>
        <v/>
      </c>
      <c r="F3108" s="11" t="str">
        <f t="shared" si="248"/>
        <v/>
      </c>
      <c r="G3108" s="10" t="str">
        <v/>
      </c>
      <c r="H3108" s="11" t="str">
        <v/>
      </c>
      <c r="I3108" s="11" t="str">
        <v/>
      </c>
    </row>
    <row r="3109" spans="2:9">
      <c r="B3109" s="11" t="str">
        <f t="shared" si="246"/>
        <v/>
      </c>
      <c r="C3109" s="11" t="str">
        <f t="shared" si="249"/>
        <v/>
      </c>
      <c r="D3109" s="11" t="str">
        <f t="shared" si="250"/>
        <v/>
      </c>
      <c r="E3109" s="11" t="str">
        <f t="shared" si="247"/>
        <v/>
      </c>
      <c r="F3109" s="11" t="str">
        <f t="shared" si="248"/>
        <v/>
      </c>
      <c r="G3109" s="10" t="str">
        <v/>
      </c>
      <c r="H3109" s="11" t="str">
        <v/>
      </c>
      <c r="I3109" s="11" t="str">
        <v/>
      </c>
    </row>
    <row r="3110" spans="2:9">
      <c r="B3110" s="11" t="str">
        <f t="shared" si="246"/>
        <v/>
      </c>
      <c r="C3110" s="11" t="str">
        <f t="shared" si="249"/>
        <v/>
      </c>
      <c r="D3110" s="11" t="str">
        <f t="shared" si="250"/>
        <v/>
      </c>
      <c r="E3110" s="11" t="str">
        <f t="shared" si="247"/>
        <v/>
      </c>
      <c r="F3110" s="11" t="str">
        <f t="shared" si="248"/>
        <v/>
      </c>
      <c r="G3110" s="10" t="str">
        <v/>
      </c>
      <c r="H3110" s="11" t="str">
        <v/>
      </c>
      <c r="I3110" s="11" t="str">
        <v/>
      </c>
    </row>
    <row r="3111" spans="2:9">
      <c r="B3111" s="11" t="str">
        <f t="shared" si="246"/>
        <v/>
      </c>
      <c r="C3111" s="11" t="str">
        <f t="shared" si="249"/>
        <v/>
      </c>
      <c r="D3111" s="11" t="str">
        <f t="shared" si="250"/>
        <v/>
      </c>
      <c r="E3111" s="11" t="str">
        <f t="shared" si="247"/>
        <v/>
      </c>
      <c r="F3111" s="11" t="str">
        <f t="shared" si="248"/>
        <v/>
      </c>
      <c r="G3111" s="10" t="str">
        <v/>
      </c>
      <c r="H3111" s="11" t="str">
        <v/>
      </c>
      <c r="I3111" s="11" t="str">
        <v/>
      </c>
    </row>
    <row r="3112" spans="2:9">
      <c r="B3112" s="11" t="str">
        <f t="shared" si="246"/>
        <v/>
      </c>
      <c r="C3112" s="11" t="str">
        <f t="shared" si="249"/>
        <v/>
      </c>
      <c r="D3112" s="11" t="str">
        <f t="shared" si="250"/>
        <v/>
      </c>
      <c r="E3112" s="11" t="str">
        <f t="shared" si="247"/>
        <v/>
      </c>
      <c r="F3112" s="11" t="str">
        <f t="shared" si="248"/>
        <v/>
      </c>
      <c r="G3112" s="10" t="str">
        <v/>
      </c>
      <c r="H3112" s="11" t="str">
        <v/>
      </c>
      <c r="I3112" s="11" t="str">
        <v/>
      </c>
    </row>
    <row r="3113" spans="2:9">
      <c r="B3113" s="11" t="str">
        <f t="shared" si="246"/>
        <v/>
      </c>
      <c r="C3113" s="11" t="str">
        <f t="shared" si="249"/>
        <v/>
      </c>
      <c r="D3113" s="11" t="str">
        <f t="shared" si="250"/>
        <v/>
      </c>
      <c r="E3113" s="11" t="str">
        <f t="shared" si="247"/>
        <v/>
      </c>
      <c r="F3113" s="11" t="str">
        <f t="shared" si="248"/>
        <v/>
      </c>
      <c r="G3113" s="10" t="str">
        <v/>
      </c>
      <c r="H3113" s="11" t="str">
        <v/>
      </c>
      <c r="I3113" s="11" t="str">
        <v/>
      </c>
    </row>
    <row r="3114" spans="2:9">
      <c r="B3114" s="11" t="str">
        <f t="shared" si="246"/>
        <v/>
      </c>
      <c r="C3114" s="11" t="str">
        <f t="shared" si="249"/>
        <v/>
      </c>
      <c r="D3114" s="11" t="str">
        <f t="shared" si="250"/>
        <v/>
      </c>
      <c r="E3114" s="11" t="str">
        <f t="shared" si="247"/>
        <v/>
      </c>
      <c r="F3114" s="11" t="str">
        <f t="shared" si="248"/>
        <v/>
      </c>
      <c r="G3114" s="10" t="str">
        <v/>
      </c>
      <c r="H3114" s="11" t="str">
        <v/>
      </c>
      <c r="I3114" s="11" t="str">
        <v/>
      </c>
    </row>
    <row r="3115" spans="2:9">
      <c r="B3115" s="11" t="str">
        <f t="shared" si="246"/>
        <v/>
      </c>
      <c r="C3115" s="11" t="str">
        <f t="shared" si="249"/>
        <v/>
      </c>
      <c r="D3115" s="11" t="str">
        <f t="shared" si="250"/>
        <v/>
      </c>
      <c r="E3115" s="11" t="str">
        <f t="shared" si="247"/>
        <v/>
      </c>
      <c r="F3115" s="11" t="str">
        <f t="shared" si="248"/>
        <v/>
      </c>
      <c r="G3115" s="10" t="str">
        <v/>
      </c>
      <c r="H3115" s="11" t="str">
        <v/>
      </c>
      <c r="I3115" s="11" t="str">
        <v/>
      </c>
    </row>
    <row r="3116" spans="2:9">
      <c r="B3116" s="11" t="str">
        <f t="shared" si="246"/>
        <v/>
      </c>
      <c r="C3116" s="11" t="str">
        <f t="shared" si="249"/>
        <v/>
      </c>
      <c r="D3116" s="11" t="str">
        <f t="shared" si="250"/>
        <v/>
      </c>
      <c r="E3116" s="11" t="str">
        <f t="shared" si="247"/>
        <v/>
      </c>
      <c r="F3116" s="11" t="str">
        <f t="shared" si="248"/>
        <v/>
      </c>
      <c r="G3116" s="10" t="str">
        <v/>
      </c>
      <c r="H3116" s="11" t="str">
        <v/>
      </c>
      <c r="I3116" s="11" t="str">
        <v/>
      </c>
    </row>
    <row r="3117" spans="2:9">
      <c r="B3117" s="11" t="str">
        <f t="shared" si="246"/>
        <v/>
      </c>
      <c r="C3117" s="11" t="str">
        <f t="shared" si="249"/>
        <v/>
      </c>
      <c r="D3117" s="11" t="str">
        <f t="shared" si="250"/>
        <v/>
      </c>
      <c r="E3117" s="11" t="str">
        <f t="shared" si="247"/>
        <v/>
      </c>
      <c r="F3117" s="11" t="str">
        <f t="shared" si="248"/>
        <v/>
      </c>
      <c r="G3117" s="10" t="str">
        <v/>
      </c>
      <c r="H3117" s="11" t="str">
        <v/>
      </c>
      <c r="I3117" s="11" t="str">
        <v/>
      </c>
    </row>
    <row r="3118" spans="2:9">
      <c r="B3118" s="11" t="str">
        <f t="shared" si="246"/>
        <v/>
      </c>
      <c r="C3118" s="11" t="str">
        <f t="shared" si="249"/>
        <v/>
      </c>
      <c r="D3118" s="11" t="str">
        <f t="shared" si="250"/>
        <v/>
      </c>
      <c r="E3118" s="11" t="str">
        <f t="shared" si="247"/>
        <v/>
      </c>
      <c r="F3118" s="11" t="str">
        <f t="shared" si="248"/>
        <v/>
      </c>
      <c r="G3118" s="10" t="str">
        <v/>
      </c>
      <c r="H3118" s="11" t="str">
        <v/>
      </c>
      <c r="I3118" s="11" t="str">
        <v/>
      </c>
    </row>
    <row r="3119" spans="2:9">
      <c r="B3119" s="11" t="str">
        <f t="shared" si="246"/>
        <v/>
      </c>
      <c r="C3119" s="11" t="str">
        <f t="shared" si="249"/>
        <v/>
      </c>
      <c r="D3119" s="11" t="str">
        <f t="shared" si="250"/>
        <v/>
      </c>
      <c r="E3119" s="11" t="str">
        <f t="shared" si="247"/>
        <v/>
      </c>
      <c r="F3119" s="11" t="str">
        <f t="shared" si="248"/>
        <v/>
      </c>
      <c r="G3119" s="10" t="str">
        <v/>
      </c>
      <c r="H3119" s="11" t="str">
        <v/>
      </c>
      <c r="I3119" s="11" t="str">
        <v/>
      </c>
    </row>
    <row r="3120" spans="2:9">
      <c r="B3120" s="11" t="str">
        <f t="shared" si="246"/>
        <v/>
      </c>
      <c r="C3120" s="11" t="str">
        <f t="shared" si="249"/>
        <v/>
      </c>
      <c r="D3120" s="11" t="str">
        <f t="shared" si="250"/>
        <v/>
      </c>
      <c r="E3120" s="11" t="str">
        <f t="shared" si="247"/>
        <v/>
      </c>
      <c r="F3120" s="11" t="str">
        <f t="shared" si="248"/>
        <v/>
      </c>
      <c r="G3120" s="10" t="str">
        <v/>
      </c>
      <c r="H3120" s="11" t="str">
        <v/>
      </c>
      <c r="I3120" s="11" t="str">
        <v/>
      </c>
    </row>
    <row r="3121" spans="2:9">
      <c r="B3121" s="11" t="str">
        <f t="shared" si="246"/>
        <v/>
      </c>
      <c r="C3121" s="11" t="str">
        <f t="shared" si="249"/>
        <v/>
      </c>
      <c r="D3121" s="11" t="str">
        <f t="shared" si="250"/>
        <v/>
      </c>
      <c r="E3121" s="11" t="str">
        <f t="shared" si="247"/>
        <v/>
      </c>
      <c r="F3121" s="11" t="str">
        <f t="shared" si="248"/>
        <v/>
      </c>
      <c r="G3121" s="10" t="str">
        <v/>
      </c>
      <c r="H3121" s="11" t="str">
        <v/>
      </c>
      <c r="I3121" s="11" t="str">
        <v/>
      </c>
    </row>
    <row r="3122" spans="2:9">
      <c r="B3122" s="11" t="str">
        <f t="shared" si="246"/>
        <v/>
      </c>
      <c r="C3122" s="11" t="str">
        <f t="shared" si="249"/>
        <v/>
      </c>
      <c r="D3122" s="11" t="str">
        <f t="shared" si="250"/>
        <v/>
      </c>
      <c r="E3122" s="11" t="str">
        <f t="shared" si="247"/>
        <v/>
      </c>
      <c r="F3122" s="11" t="str">
        <f t="shared" si="248"/>
        <v/>
      </c>
      <c r="G3122" s="10" t="str">
        <v/>
      </c>
      <c r="H3122" s="11" t="str">
        <v/>
      </c>
      <c r="I3122" s="11" t="str">
        <v/>
      </c>
    </row>
    <row r="3123" spans="2:9">
      <c r="B3123" s="11" t="str">
        <f t="shared" si="246"/>
        <v/>
      </c>
      <c r="C3123" s="11" t="str">
        <f t="shared" si="249"/>
        <v/>
      </c>
      <c r="D3123" s="11" t="str">
        <f t="shared" si="250"/>
        <v/>
      </c>
      <c r="E3123" s="11" t="str">
        <f t="shared" si="247"/>
        <v/>
      </c>
      <c r="F3123" s="11" t="str">
        <f t="shared" si="248"/>
        <v/>
      </c>
      <c r="G3123" s="10" t="str">
        <v/>
      </c>
      <c r="H3123" s="11" t="str">
        <v/>
      </c>
      <c r="I3123" s="11" t="str">
        <v/>
      </c>
    </row>
    <row r="3124" spans="2:9">
      <c r="B3124" s="11" t="str">
        <f t="shared" si="246"/>
        <v/>
      </c>
      <c r="C3124" s="11" t="str">
        <f t="shared" si="249"/>
        <v/>
      </c>
      <c r="D3124" s="11" t="str">
        <f t="shared" si="250"/>
        <v/>
      </c>
      <c r="E3124" s="11" t="str">
        <f t="shared" si="247"/>
        <v/>
      </c>
      <c r="F3124" s="11" t="str">
        <f t="shared" si="248"/>
        <v/>
      </c>
      <c r="G3124" s="10" t="str">
        <v/>
      </c>
      <c r="H3124" s="11" t="str">
        <v/>
      </c>
      <c r="I3124" s="11" t="str">
        <v/>
      </c>
    </row>
    <row r="3125" spans="2:9">
      <c r="B3125" s="11" t="str">
        <f t="shared" si="246"/>
        <v/>
      </c>
      <c r="C3125" s="11" t="str">
        <f t="shared" si="249"/>
        <v/>
      </c>
      <c r="D3125" s="11" t="str">
        <f t="shared" si="250"/>
        <v/>
      </c>
      <c r="E3125" s="11" t="str">
        <f t="shared" si="247"/>
        <v/>
      </c>
      <c r="F3125" s="11" t="str">
        <f t="shared" si="248"/>
        <v/>
      </c>
      <c r="G3125" s="10" t="str">
        <v/>
      </c>
      <c r="H3125" s="11" t="str">
        <v/>
      </c>
      <c r="I3125" s="11" t="str">
        <v/>
      </c>
    </row>
    <row r="3126" spans="2:9">
      <c r="B3126" s="11" t="str">
        <f t="shared" si="246"/>
        <v/>
      </c>
      <c r="C3126" s="11" t="str">
        <f t="shared" si="249"/>
        <v/>
      </c>
      <c r="D3126" s="11" t="str">
        <f t="shared" si="250"/>
        <v/>
      </c>
      <c r="E3126" s="11" t="str">
        <f t="shared" si="247"/>
        <v/>
      </c>
      <c r="F3126" s="11" t="str">
        <f t="shared" si="248"/>
        <v/>
      </c>
      <c r="G3126" s="10" t="str">
        <v/>
      </c>
      <c r="H3126" s="11" t="str">
        <v/>
      </c>
      <c r="I3126" s="11" t="str">
        <v/>
      </c>
    </row>
    <row r="3127" spans="2:9">
      <c r="B3127" s="11" t="str">
        <f t="shared" si="246"/>
        <v/>
      </c>
      <c r="C3127" s="11" t="str">
        <f t="shared" si="249"/>
        <v/>
      </c>
      <c r="D3127" s="11" t="str">
        <f t="shared" si="250"/>
        <v/>
      </c>
      <c r="E3127" s="11" t="str">
        <f t="shared" si="247"/>
        <v/>
      </c>
      <c r="F3127" s="11" t="str">
        <f t="shared" si="248"/>
        <v/>
      </c>
      <c r="G3127" s="10" t="str">
        <v/>
      </c>
      <c r="H3127" s="11" t="str">
        <v/>
      </c>
      <c r="I3127" s="11" t="str">
        <v/>
      </c>
    </row>
    <row r="3128" spans="2:9">
      <c r="B3128" s="11" t="str">
        <f t="shared" si="246"/>
        <v/>
      </c>
      <c r="C3128" s="11" t="str">
        <f t="shared" si="249"/>
        <v/>
      </c>
      <c r="D3128" s="11" t="str">
        <f t="shared" si="250"/>
        <v/>
      </c>
      <c r="E3128" s="11" t="str">
        <f t="shared" si="247"/>
        <v/>
      </c>
      <c r="F3128" s="11" t="str">
        <f t="shared" si="248"/>
        <v/>
      </c>
      <c r="G3128" s="10" t="str">
        <v/>
      </c>
      <c r="H3128" s="11" t="str">
        <v/>
      </c>
      <c r="I3128" s="11" t="str">
        <v/>
      </c>
    </row>
    <row r="3129" spans="2:9">
      <c r="B3129" s="11" t="str">
        <f t="shared" si="246"/>
        <v/>
      </c>
      <c r="C3129" s="11" t="str">
        <f t="shared" si="249"/>
        <v/>
      </c>
      <c r="D3129" s="11" t="str">
        <f t="shared" si="250"/>
        <v/>
      </c>
      <c r="E3129" s="11" t="str">
        <f t="shared" si="247"/>
        <v/>
      </c>
      <c r="F3129" s="11" t="str">
        <f t="shared" si="248"/>
        <v/>
      </c>
      <c r="G3129" s="10" t="str">
        <v/>
      </c>
      <c r="H3129" s="11" t="str">
        <v/>
      </c>
      <c r="I3129" s="11" t="str">
        <v/>
      </c>
    </row>
    <row r="3130" spans="2:9">
      <c r="B3130" s="11" t="str">
        <f t="shared" si="246"/>
        <v/>
      </c>
      <c r="C3130" s="11" t="str">
        <f t="shared" si="249"/>
        <v/>
      </c>
      <c r="D3130" s="11" t="str">
        <f t="shared" si="250"/>
        <v/>
      </c>
      <c r="E3130" s="11" t="str">
        <f t="shared" si="247"/>
        <v/>
      </c>
      <c r="F3130" s="11" t="str">
        <f t="shared" si="248"/>
        <v/>
      </c>
      <c r="G3130" s="10" t="str">
        <v/>
      </c>
      <c r="H3130" s="11" t="str">
        <v/>
      </c>
      <c r="I3130" s="11" t="str">
        <v/>
      </c>
    </row>
    <row r="3131" spans="2:9">
      <c r="B3131" s="11" t="str">
        <f t="shared" si="246"/>
        <v/>
      </c>
      <c r="C3131" s="11" t="str">
        <f t="shared" si="249"/>
        <v/>
      </c>
      <c r="D3131" s="11" t="str">
        <f t="shared" si="250"/>
        <v/>
      </c>
      <c r="E3131" s="11" t="str">
        <f t="shared" si="247"/>
        <v/>
      </c>
      <c r="F3131" s="11" t="str">
        <f t="shared" si="248"/>
        <v/>
      </c>
      <c r="G3131" s="10" t="str">
        <v/>
      </c>
      <c r="H3131" s="11" t="str">
        <v/>
      </c>
      <c r="I3131" s="11" t="str">
        <v/>
      </c>
    </row>
    <row r="3132" spans="2:9">
      <c r="B3132" s="11" t="str">
        <f t="shared" si="246"/>
        <v/>
      </c>
      <c r="C3132" s="11" t="str">
        <f t="shared" si="249"/>
        <v/>
      </c>
      <c r="D3132" s="11" t="str">
        <f t="shared" si="250"/>
        <v/>
      </c>
      <c r="E3132" s="11" t="str">
        <f t="shared" si="247"/>
        <v/>
      </c>
      <c r="F3132" s="11" t="str">
        <f t="shared" si="248"/>
        <v/>
      </c>
      <c r="G3132" s="10" t="str">
        <v/>
      </c>
      <c r="H3132" s="11" t="str">
        <v/>
      </c>
      <c r="I3132" s="11" t="str">
        <v/>
      </c>
    </row>
    <row r="3133" spans="2:9">
      <c r="B3133" s="11" t="str">
        <f t="shared" si="246"/>
        <v/>
      </c>
      <c r="C3133" s="11" t="str">
        <f t="shared" si="249"/>
        <v/>
      </c>
      <c r="D3133" s="11" t="str">
        <f t="shared" si="250"/>
        <v/>
      </c>
      <c r="E3133" s="11" t="str">
        <f t="shared" si="247"/>
        <v/>
      </c>
      <c r="F3133" s="11" t="str">
        <f t="shared" si="248"/>
        <v/>
      </c>
      <c r="G3133" s="10" t="str">
        <v/>
      </c>
      <c r="H3133" s="11" t="str">
        <v/>
      </c>
      <c r="I3133" s="11" t="str">
        <v/>
      </c>
    </row>
    <row r="3134" spans="2:9">
      <c r="B3134" s="11" t="str">
        <f t="shared" si="246"/>
        <v/>
      </c>
      <c r="C3134" s="11" t="str">
        <f t="shared" si="249"/>
        <v/>
      </c>
      <c r="D3134" s="11" t="str">
        <f t="shared" si="250"/>
        <v/>
      </c>
      <c r="E3134" s="11" t="str">
        <f t="shared" si="247"/>
        <v/>
      </c>
      <c r="F3134" s="11" t="str">
        <f t="shared" si="248"/>
        <v/>
      </c>
      <c r="G3134" s="10" t="str">
        <v/>
      </c>
      <c r="H3134" s="11" t="str">
        <v/>
      </c>
      <c r="I3134" s="11" t="str">
        <v/>
      </c>
    </row>
    <row r="3135" spans="2:9">
      <c r="B3135" s="11" t="str">
        <f t="shared" si="246"/>
        <v/>
      </c>
      <c r="C3135" s="11" t="str">
        <f t="shared" si="249"/>
        <v/>
      </c>
      <c r="D3135" s="11" t="str">
        <f t="shared" si="250"/>
        <v/>
      </c>
      <c r="E3135" s="11" t="str">
        <f t="shared" si="247"/>
        <v/>
      </c>
      <c r="F3135" s="11" t="str">
        <f t="shared" si="248"/>
        <v/>
      </c>
      <c r="G3135" s="10" t="str">
        <v/>
      </c>
      <c r="H3135" s="11" t="str">
        <v/>
      </c>
      <c r="I3135" s="11" t="str">
        <v/>
      </c>
    </row>
    <row r="3136" spans="2:9">
      <c r="B3136" s="11" t="str">
        <f t="shared" si="246"/>
        <v/>
      </c>
      <c r="C3136" s="11" t="str">
        <f t="shared" si="249"/>
        <v/>
      </c>
      <c r="D3136" s="11" t="str">
        <f t="shared" si="250"/>
        <v/>
      </c>
      <c r="E3136" s="11" t="str">
        <f t="shared" si="247"/>
        <v/>
      </c>
      <c r="F3136" s="11" t="str">
        <f t="shared" si="248"/>
        <v/>
      </c>
      <c r="G3136" s="10" t="str">
        <v/>
      </c>
      <c r="H3136" s="11" t="str">
        <v/>
      </c>
      <c r="I3136" s="11" t="str">
        <v/>
      </c>
    </row>
    <row r="3137" spans="2:9">
      <c r="B3137" s="11" t="str">
        <f t="shared" ref="B3137:B3200" si="251">IFERROR(IF(FIND(" ",A3137)=6,IF(IFERROR(FIND(" PB",A3137),"")&lt;&gt;"","артикул",IF(IFERROR(FIND(" CRN",A3137),"")&lt;&gt;"","артикул","")),""),"")</f>
        <v/>
      </c>
      <c r="C3137" s="11" t="str">
        <f t="shared" si="249"/>
        <v/>
      </c>
      <c r="D3137" s="11" t="str">
        <f t="shared" si="250"/>
        <v/>
      </c>
      <c r="E3137" s="11" t="str">
        <f t="shared" si="247"/>
        <v/>
      </c>
      <c r="F3137" s="11" t="str">
        <f t="shared" si="248"/>
        <v/>
      </c>
      <c r="G3137" s="10" t="str">
        <v/>
      </c>
      <c r="H3137" s="11" t="str">
        <v/>
      </c>
      <c r="I3137" s="11" t="str">
        <v/>
      </c>
    </row>
    <row r="3138" spans="2:9">
      <c r="B3138" s="11" t="str">
        <f t="shared" si="251"/>
        <v/>
      </c>
      <c r="C3138" s="11" t="str">
        <f t="shared" si="249"/>
        <v/>
      </c>
      <c r="D3138" s="11" t="str">
        <f t="shared" si="250"/>
        <v/>
      </c>
      <c r="E3138" s="11" t="str">
        <f t="shared" ref="E3138:E3201" si="252" xml:space="preserve">
IF(B3138="Артикул",
IF(
AND(RIGHT(A3139,1)="%",
RIGHT(A3140,1)="%",
RIGHT(A3141,1)="%",
RIGHT(A3142,1)="%"),MID(A3143,FIND(" ",A3143),50),
IF(
AND(RIGHT(A3139,1)="%",
RIGHT(A3140,1)="%",
RIGHT(A3141,1)="%"),MID(A3142,FIND(" ",A3142),50),
IF(
AND(RIGHT(A3139,1)="%",
RIGHT(A3140,1)="%"),
MID(A3141,FIND(" ",A3141),50),
IF(
RIGHT(A3139,1)="%",
MID(A3140,FIND(" ",A3140),50),"")))),"")</f>
        <v/>
      </c>
      <c r="F3138" s="11" t="str">
        <f t="shared" ref="F3138:F3201" si="253">IFERROR(
IF(
AND(LEFT(A3138,8)="Discount",FIND("%",A3138)&gt;0),
MID(A3138,
FIND(" ",A3138),
FIND("%",A3138)-FIND(" ",A3138))
*-1,""),"")</f>
        <v/>
      </c>
      <c r="G3138" s="10" t="str">
        <v/>
      </c>
      <c r="H3138" s="11" t="str">
        <v/>
      </c>
      <c r="I3138" s="11" t="str">
        <v/>
      </c>
    </row>
    <row r="3139" spans="2:9">
      <c r="B3139" s="11" t="str">
        <f t="shared" si="251"/>
        <v/>
      </c>
      <c r="C3139" s="11" t="str">
        <f t="shared" si="249"/>
        <v/>
      </c>
      <c r="D3139" s="11" t="str">
        <f t="shared" si="250"/>
        <v/>
      </c>
      <c r="E3139" s="11" t="str">
        <f t="shared" si="252"/>
        <v/>
      </c>
      <c r="F3139" s="11" t="str">
        <f t="shared" si="253"/>
        <v/>
      </c>
      <c r="G3139" s="10" t="str">
        <v/>
      </c>
      <c r="H3139" s="11" t="str">
        <v/>
      </c>
      <c r="I3139" s="11" t="str">
        <v/>
      </c>
    </row>
    <row r="3140" spans="2:9">
      <c r="B3140" s="11" t="str">
        <f t="shared" si="251"/>
        <v/>
      </c>
      <c r="C3140" s="11" t="str">
        <f t="shared" si="249"/>
        <v/>
      </c>
      <c r="D3140" s="11" t="str">
        <f t="shared" si="250"/>
        <v/>
      </c>
      <c r="E3140" s="11" t="str">
        <f t="shared" si="252"/>
        <v/>
      </c>
      <c r="F3140" s="11" t="str">
        <f t="shared" si="253"/>
        <v/>
      </c>
      <c r="G3140" s="10" t="str">
        <v/>
      </c>
      <c r="H3140" s="11" t="str">
        <v/>
      </c>
      <c r="I3140" s="11" t="str">
        <v/>
      </c>
    </row>
    <row r="3141" spans="2:9">
      <c r="B3141" s="11" t="str">
        <f t="shared" si="251"/>
        <v/>
      </c>
      <c r="C3141" s="11" t="str">
        <f t="shared" si="249"/>
        <v/>
      </c>
      <c r="D3141" s="11" t="str">
        <f t="shared" si="250"/>
        <v/>
      </c>
      <c r="E3141" s="11" t="str">
        <f t="shared" si="252"/>
        <v/>
      </c>
      <c r="F3141" s="11" t="str">
        <f t="shared" si="253"/>
        <v/>
      </c>
      <c r="G3141" s="10" t="str">
        <v/>
      </c>
      <c r="H3141" s="11" t="str">
        <v/>
      </c>
      <c r="I3141" s="11" t="str">
        <v/>
      </c>
    </row>
    <row r="3142" spans="2:9">
      <c r="B3142" s="11" t="str">
        <f t="shared" si="251"/>
        <v/>
      </c>
      <c r="C3142" s="11" t="str">
        <f t="shared" si="249"/>
        <v/>
      </c>
      <c r="D3142" s="11" t="str">
        <f t="shared" si="250"/>
        <v/>
      </c>
      <c r="E3142" s="11" t="str">
        <f t="shared" si="252"/>
        <v/>
      </c>
      <c r="F3142" s="11" t="str">
        <f t="shared" si="253"/>
        <v/>
      </c>
      <c r="G3142" s="10" t="str">
        <v/>
      </c>
      <c r="H3142" s="11" t="str">
        <v/>
      </c>
      <c r="I3142" s="11" t="str">
        <v/>
      </c>
    </row>
    <row r="3143" spans="2:9">
      <c r="B3143" s="11" t="str">
        <f t="shared" si="251"/>
        <v/>
      </c>
      <c r="C3143" s="11" t="str">
        <f t="shared" si="249"/>
        <v/>
      </c>
      <c r="D3143" s="11" t="str">
        <f t="shared" si="250"/>
        <v/>
      </c>
      <c r="E3143" s="11" t="str">
        <f t="shared" si="252"/>
        <v/>
      </c>
      <c r="F3143" s="11" t="str">
        <f t="shared" si="253"/>
        <v/>
      </c>
      <c r="G3143" s="10" t="str">
        <v/>
      </c>
      <c r="H3143" s="11" t="str">
        <v/>
      </c>
      <c r="I3143" s="11" t="str">
        <v/>
      </c>
    </row>
    <row r="3144" spans="2:9">
      <c r="B3144" s="11" t="str">
        <f t="shared" si="251"/>
        <v/>
      </c>
      <c r="C3144" s="11" t="str">
        <f t="shared" si="249"/>
        <v/>
      </c>
      <c r="D3144" s="11" t="str">
        <f t="shared" si="250"/>
        <v/>
      </c>
      <c r="E3144" s="11" t="str">
        <f t="shared" si="252"/>
        <v/>
      </c>
      <c r="F3144" s="11" t="str">
        <f t="shared" si="253"/>
        <v/>
      </c>
      <c r="G3144" s="10" t="str">
        <v/>
      </c>
      <c r="H3144" s="11" t="str">
        <v/>
      </c>
      <c r="I3144" s="11" t="str">
        <v/>
      </c>
    </row>
    <row r="3145" spans="2:9">
      <c r="B3145" s="11" t="str">
        <f t="shared" si="251"/>
        <v/>
      </c>
      <c r="C3145" s="11" t="str">
        <f t="shared" si="249"/>
        <v/>
      </c>
      <c r="D3145" s="11" t="str">
        <f t="shared" si="250"/>
        <v/>
      </c>
      <c r="E3145" s="11" t="str">
        <f t="shared" si="252"/>
        <v/>
      </c>
      <c r="F3145" s="11" t="str">
        <f t="shared" si="253"/>
        <v/>
      </c>
      <c r="G3145" s="10" t="str">
        <v/>
      </c>
      <c r="H3145" s="11" t="str">
        <v/>
      </c>
      <c r="I3145" s="11" t="str">
        <v/>
      </c>
    </row>
    <row r="3146" spans="2:9">
      <c r="B3146" s="11" t="str">
        <f t="shared" si="251"/>
        <v/>
      </c>
      <c r="C3146" s="11" t="str">
        <f t="shared" si="249"/>
        <v/>
      </c>
      <c r="D3146" s="11" t="str">
        <f t="shared" si="250"/>
        <v/>
      </c>
      <c r="E3146" s="11" t="str">
        <f t="shared" si="252"/>
        <v/>
      </c>
      <c r="F3146" s="11" t="str">
        <f t="shared" si="253"/>
        <v/>
      </c>
      <c r="G3146" s="10" t="str">
        <v/>
      </c>
      <c r="H3146" s="11" t="str">
        <v/>
      </c>
      <c r="I3146" s="11" t="str">
        <v/>
      </c>
    </row>
    <row r="3147" spans="2:9">
      <c r="B3147" s="11" t="str">
        <f t="shared" si="251"/>
        <v/>
      </c>
      <c r="C3147" s="11" t="str">
        <f t="shared" si="249"/>
        <v/>
      </c>
      <c r="D3147" s="11" t="str">
        <f t="shared" si="250"/>
        <v/>
      </c>
      <c r="E3147" s="11" t="str">
        <f t="shared" si="252"/>
        <v/>
      </c>
      <c r="F3147" s="11" t="str">
        <f t="shared" si="253"/>
        <v/>
      </c>
      <c r="G3147" s="10" t="str">
        <v/>
      </c>
      <c r="H3147" s="11" t="str">
        <v/>
      </c>
      <c r="I3147" s="11" t="str">
        <v/>
      </c>
    </row>
    <row r="3148" spans="2:9">
      <c r="B3148" s="11" t="str">
        <f t="shared" si="251"/>
        <v/>
      </c>
      <c r="C3148" s="11" t="str">
        <f t="shared" si="249"/>
        <v/>
      </c>
      <c r="D3148" s="11" t="str">
        <f t="shared" si="250"/>
        <v/>
      </c>
      <c r="E3148" s="11" t="str">
        <f t="shared" si="252"/>
        <v/>
      </c>
      <c r="F3148" s="11" t="str">
        <f t="shared" si="253"/>
        <v/>
      </c>
      <c r="G3148" s="10" t="str">
        <v/>
      </c>
      <c r="H3148" s="11" t="str">
        <v/>
      </c>
      <c r="I3148" s="11" t="str">
        <v/>
      </c>
    </row>
    <row r="3149" spans="2:9">
      <c r="B3149" s="11" t="str">
        <f t="shared" si="251"/>
        <v/>
      </c>
      <c r="C3149" s="11" t="str">
        <f t="shared" ref="C3149:C3212" si="254">IF(B3149="артикул",A3149,"")</f>
        <v/>
      </c>
      <c r="D3149" s="11" t="str">
        <f t="shared" ref="D3149:D3212" si="255">IF(B3149="артикул",A3150,"")</f>
        <v/>
      </c>
      <c r="E3149" s="11" t="str">
        <f t="shared" si="252"/>
        <v/>
      </c>
      <c r="F3149" s="11" t="str">
        <f t="shared" si="253"/>
        <v/>
      </c>
      <c r="G3149" s="10" t="str">
        <v/>
      </c>
      <c r="H3149" s="11" t="str">
        <v/>
      </c>
      <c r="I3149" s="11" t="str">
        <v/>
      </c>
    </row>
    <row r="3150" spans="2:9">
      <c r="B3150" s="11" t="str">
        <f t="shared" si="251"/>
        <v/>
      </c>
      <c r="C3150" s="11" t="str">
        <f t="shared" si="254"/>
        <v/>
      </c>
      <c r="D3150" s="11" t="str">
        <f t="shared" si="255"/>
        <v/>
      </c>
      <c r="E3150" s="11" t="str">
        <f t="shared" si="252"/>
        <v/>
      </c>
      <c r="F3150" s="11" t="str">
        <f t="shared" si="253"/>
        <v/>
      </c>
      <c r="G3150" s="10" t="str">
        <v/>
      </c>
      <c r="H3150" s="11" t="str">
        <v/>
      </c>
      <c r="I3150" s="11" t="str">
        <v/>
      </c>
    </row>
    <row r="3151" spans="2:9">
      <c r="B3151" s="11" t="str">
        <f t="shared" si="251"/>
        <v/>
      </c>
      <c r="C3151" s="11" t="str">
        <f t="shared" si="254"/>
        <v/>
      </c>
      <c r="D3151" s="11" t="str">
        <f t="shared" si="255"/>
        <v/>
      </c>
      <c r="E3151" s="11" t="str">
        <f t="shared" si="252"/>
        <v/>
      </c>
      <c r="F3151" s="11" t="str">
        <f t="shared" si="253"/>
        <v/>
      </c>
      <c r="G3151" s="10" t="str">
        <v/>
      </c>
      <c r="H3151" s="11" t="str">
        <v/>
      </c>
      <c r="I3151" s="11" t="str">
        <v/>
      </c>
    </row>
    <row r="3152" spans="2:9">
      <c r="B3152" s="11" t="str">
        <f t="shared" si="251"/>
        <v/>
      </c>
      <c r="C3152" s="11" t="str">
        <f t="shared" si="254"/>
        <v/>
      </c>
      <c r="D3152" s="11" t="str">
        <f t="shared" si="255"/>
        <v/>
      </c>
      <c r="E3152" s="11" t="str">
        <f t="shared" si="252"/>
        <v/>
      </c>
      <c r="F3152" s="11" t="str">
        <f t="shared" si="253"/>
        <v/>
      </c>
      <c r="G3152" s="10" t="str">
        <v/>
      </c>
      <c r="H3152" s="11" t="str">
        <v/>
      </c>
      <c r="I3152" s="11" t="str">
        <v/>
      </c>
    </row>
    <row r="3153" spans="2:9">
      <c r="B3153" s="11" t="str">
        <f t="shared" si="251"/>
        <v/>
      </c>
      <c r="C3153" s="11" t="str">
        <f t="shared" si="254"/>
        <v/>
      </c>
      <c r="D3153" s="11" t="str">
        <f t="shared" si="255"/>
        <v/>
      </c>
      <c r="E3153" s="11" t="str">
        <f t="shared" si="252"/>
        <v/>
      </c>
      <c r="F3153" s="11" t="str">
        <f t="shared" si="253"/>
        <v/>
      </c>
      <c r="G3153" s="10" t="str">
        <v/>
      </c>
      <c r="H3153" s="11" t="str">
        <v/>
      </c>
      <c r="I3153" s="11" t="str">
        <v/>
      </c>
    </row>
    <row r="3154" spans="2:9">
      <c r="B3154" s="11" t="str">
        <f t="shared" si="251"/>
        <v/>
      </c>
      <c r="C3154" s="11" t="str">
        <f t="shared" si="254"/>
        <v/>
      </c>
      <c r="D3154" s="11" t="str">
        <f t="shared" si="255"/>
        <v/>
      </c>
      <c r="E3154" s="11" t="str">
        <f t="shared" si="252"/>
        <v/>
      </c>
      <c r="F3154" s="11" t="str">
        <f t="shared" si="253"/>
        <v/>
      </c>
      <c r="G3154" s="10" t="str">
        <v/>
      </c>
      <c r="H3154" s="11" t="str">
        <v/>
      </c>
      <c r="I3154" s="11" t="str">
        <v/>
      </c>
    </row>
    <row r="3155" spans="2:9">
      <c r="B3155" s="11" t="str">
        <f t="shared" si="251"/>
        <v/>
      </c>
      <c r="C3155" s="11" t="str">
        <f t="shared" si="254"/>
        <v/>
      </c>
      <c r="D3155" s="11" t="str">
        <f t="shared" si="255"/>
        <v/>
      </c>
      <c r="E3155" s="11" t="str">
        <f t="shared" si="252"/>
        <v/>
      </c>
      <c r="F3155" s="11" t="str">
        <f t="shared" si="253"/>
        <v/>
      </c>
      <c r="G3155" s="10" t="str">
        <v/>
      </c>
      <c r="H3155" s="11" t="str">
        <v/>
      </c>
      <c r="I3155" s="11" t="str">
        <v/>
      </c>
    </row>
    <row r="3156" spans="2:9">
      <c r="B3156" s="11" t="str">
        <f t="shared" si="251"/>
        <v/>
      </c>
      <c r="C3156" s="11" t="str">
        <f t="shared" si="254"/>
        <v/>
      </c>
      <c r="D3156" s="11" t="str">
        <f t="shared" si="255"/>
        <v/>
      </c>
      <c r="E3156" s="11" t="str">
        <f t="shared" si="252"/>
        <v/>
      </c>
      <c r="F3156" s="11" t="str">
        <f t="shared" si="253"/>
        <v/>
      </c>
      <c r="G3156" s="10" t="str">
        <v/>
      </c>
      <c r="H3156" s="11" t="str">
        <v/>
      </c>
      <c r="I3156" s="11" t="str">
        <v/>
      </c>
    </row>
    <row r="3157" spans="2:9">
      <c r="B3157" s="11" t="str">
        <f t="shared" si="251"/>
        <v/>
      </c>
      <c r="C3157" s="11" t="str">
        <f t="shared" si="254"/>
        <v/>
      </c>
      <c r="D3157" s="11" t="str">
        <f t="shared" si="255"/>
        <v/>
      </c>
      <c r="E3157" s="11" t="str">
        <f t="shared" si="252"/>
        <v/>
      </c>
      <c r="F3157" s="11" t="str">
        <f t="shared" si="253"/>
        <v/>
      </c>
      <c r="G3157" s="10" t="str">
        <v/>
      </c>
      <c r="H3157" s="11" t="str">
        <v/>
      </c>
      <c r="I3157" s="11" t="str">
        <v/>
      </c>
    </row>
    <row r="3158" spans="2:9">
      <c r="B3158" s="11" t="str">
        <f t="shared" si="251"/>
        <v/>
      </c>
      <c r="C3158" s="11" t="str">
        <f t="shared" si="254"/>
        <v/>
      </c>
      <c r="D3158" s="11" t="str">
        <f t="shared" si="255"/>
        <v/>
      </c>
      <c r="E3158" s="11" t="str">
        <f t="shared" si="252"/>
        <v/>
      </c>
      <c r="F3158" s="11" t="str">
        <f t="shared" si="253"/>
        <v/>
      </c>
      <c r="G3158" s="10" t="str">
        <v/>
      </c>
      <c r="H3158" s="11" t="str">
        <v/>
      </c>
      <c r="I3158" s="11" t="str">
        <v/>
      </c>
    </row>
    <row r="3159" spans="2:9">
      <c r="B3159" s="11" t="str">
        <f t="shared" si="251"/>
        <v/>
      </c>
      <c r="C3159" s="11" t="str">
        <f t="shared" si="254"/>
        <v/>
      </c>
      <c r="D3159" s="11" t="str">
        <f t="shared" si="255"/>
        <v/>
      </c>
      <c r="E3159" s="11" t="str">
        <f t="shared" si="252"/>
        <v/>
      </c>
      <c r="F3159" s="11" t="str">
        <f t="shared" si="253"/>
        <v/>
      </c>
      <c r="G3159" s="10" t="str">
        <v/>
      </c>
      <c r="H3159" s="11" t="str">
        <v/>
      </c>
      <c r="I3159" s="11" t="str">
        <v/>
      </c>
    </row>
    <row r="3160" spans="2:9">
      <c r="B3160" s="11" t="str">
        <f t="shared" si="251"/>
        <v/>
      </c>
      <c r="C3160" s="11" t="str">
        <f t="shared" si="254"/>
        <v/>
      </c>
      <c r="D3160" s="11" t="str">
        <f t="shared" si="255"/>
        <v/>
      </c>
      <c r="E3160" s="11" t="str">
        <f t="shared" si="252"/>
        <v/>
      </c>
      <c r="F3160" s="11" t="str">
        <f t="shared" si="253"/>
        <v/>
      </c>
      <c r="G3160" s="10" t="str">
        <v/>
      </c>
      <c r="H3160" s="11" t="str">
        <v/>
      </c>
      <c r="I3160" s="11" t="str">
        <v/>
      </c>
    </row>
    <row r="3161" spans="2:9">
      <c r="B3161" s="11" t="str">
        <f t="shared" si="251"/>
        <v/>
      </c>
      <c r="C3161" s="11" t="str">
        <f t="shared" si="254"/>
        <v/>
      </c>
      <c r="D3161" s="11" t="str">
        <f t="shared" si="255"/>
        <v/>
      </c>
      <c r="E3161" s="11" t="str">
        <f t="shared" si="252"/>
        <v/>
      </c>
      <c r="F3161" s="11" t="str">
        <f t="shared" si="253"/>
        <v/>
      </c>
      <c r="G3161" s="10" t="str">
        <v/>
      </c>
      <c r="H3161" s="11" t="str">
        <v/>
      </c>
      <c r="I3161" s="11" t="str">
        <v/>
      </c>
    </row>
    <row r="3162" spans="2:9">
      <c r="B3162" s="11" t="str">
        <f t="shared" si="251"/>
        <v/>
      </c>
      <c r="C3162" s="11" t="str">
        <f t="shared" si="254"/>
        <v/>
      </c>
      <c r="D3162" s="11" t="str">
        <f t="shared" si="255"/>
        <v/>
      </c>
      <c r="E3162" s="11" t="str">
        <f t="shared" si="252"/>
        <v/>
      </c>
      <c r="F3162" s="11" t="str">
        <f t="shared" si="253"/>
        <v/>
      </c>
      <c r="G3162" s="10" t="str">
        <v/>
      </c>
      <c r="H3162" s="11" t="str">
        <v/>
      </c>
      <c r="I3162" s="11" t="str">
        <v/>
      </c>
    </row>
    <row r="3163" spans="2:9">
      <c r="B3163" s="11" t="str">
        <f t="shared" si="251"/>
        <v/>
      </c>
      <c r="C3163" s="11" t="str">
        <f t="shared" si="254"/>
        <v/>
      </c>
      <c r="D3163" s="11" t="str">
        <f t="shared" si="255"/>
        <v/>
      </c>
      <c r="E3163" s="11" t="str">
        <f t="shared" si="252"/>
        <v/>
      </c>
      <c r="F3163" s="11" t="str">
        <f t="shared" si="253"/>
        <v/>
      </c>
      <c r="G3163" s="10" t="str">
        <v/>
      </c>
      <c r="H3163" s="11" t="str">
        <v/>
      </c>
      <c r="I3163" s="11" t="str">
        <v/>
      </c>
    </row>
    <row r="3164" spans="2:9">
      <c r="B3164" s="11" t="str">
        <f t="shared" si="251"/>
        <v/>
      </c>
      <c r="C3164" s="11" t="str">
        <f t="shared" si="254"/>
        <v/>
      </c>
      <c r="D3164" s="11" t="str">
        <f t="shared" si="255"/>
        <v/>
      </c>
      <c r="E3164" s="11" t="str">
        <f t="shared" si="252"/>
        <v/>
      </c>
      <c r="F3164" s="11" t="str">
        <f t="shared" si="253"/>
        <v/>
      </c>
      <c r="G3164" s="10" t="str">
        <v/>
      </c>
      <c r="H3164" s="11" t="str">
        <v/>
      </c>
      <c r="I3164" s="11" t="str">
        <v/>
      </c>
    </row>
    <row r="3165" spans="2:9">
      <c r="B3165" s="11" t="str">
        <f t="shared" si="251"/>
        <v/>
      </c>
      <c r="C3165" s="11" t="str">
        <f t="shared" si="254"/>
        <v/>
      </c>
      <c r="D3165" s="11" t="str">
        <f t="shared" si="255"/>
        <v/>
      </c>
      <c r="E3165" s="11" t="str">
        <f t="shared" si="252"/>
        <v/>
      </c>
      <c r="F3165" s="11" t="str">
        <f t="shared" si="253"/>
        <v/>
      </c>
      <c r="G3165" s="10" t="str">
        <v/>
      </c>
      <c r="H3165" s="11" t="str">
        <v/>
      </c>
      <c r="I3165" s="11" t="str">
        <v/>
      </c>
    </row>
    <row r="3166" spans="2:9">
      <c r="B3166" s="11" t="str">
        <f t="shared" si="251"/>
        <v/>
      </c>
      <c r="C3166" s="11" t="str">
        <f t="shared" si="254"/>
        <v/>
      </c>
      <c r="D3166" s="11" t="str">
        <f t="shared" si="255"/>
        <v/>
      </c>
      <c r="E3166" s="11" t="str">
        <f t="shared" si="252"/>
        <v/>
      </c>
      <c r="F3166" s="11" t="str">
        <f t="shared" si="253"/>
        <v/>
      </c>
      <c r="G3166" s="10" t="str">
        <v/>
      </c>
      <c r="H3166" s="11" t="str">
        <v/>
      </c>
      <c r="I3166" s="11" t="str">
        <v/>
      </c>
    </row>
    <row r="3167" spans="2:9">
      <c r="B3167" s="11" t="str">
        <f t="shared" si="251"/>
        <v/>
      </c>
      <c r="C3167" s="11" t="str">
        <f t="shared" si="254"/>
        <v/>
      </c>
      <c r="D3167" s="11" t="str">
        <f t="shared" si="255"/>
        <v/>
      </c>
      <c r="E3167" s="11" t="str">
        <f t="shared" si="252"/>
        <v/>
      </c>
      <c r="F3167" s="11" t="str">
        <f t="shared" si="253"/>
        <v/>
      </c>
      <c r="G3167" s="10" t="str">
        <v/>
      </c>
      <c r="H3167" s="11" t="str">
        <v/>
      </c>
      <c r="I3167" s="11" t="str">
        <v/>
      </c>
    </row>
    <row r="3168" spans="2:9">
      <c r="B3168" s="11" t="str">
        <f t="shared" si="251"/>
        <v/>
      </c>
      <c r="C3168" s="11" t="str">
        <f t="shared" si="254"/>
        <v/>
      </c>
      <c r="D3168" s="11" t="str">
        <f t="shared" si="255"/>
        <v/>
      </c>
      <c r="E3168" s="11" t="str">
        <f t="shared" si="252"/>
        <v/>
      </c>
      <c r="F3168" s="11" t="str">
        <f t="shared" si="253"/>
        <v/>
      </c>
      <c r="G3168" s="10" t="str">
        <v/>
      </c>
      <c r="H3168" s="11" t="str">
        <v/>
      </c>
      <c r="I3168" s="11" t="str">
        <v/>
      </c>
    </row>
    <row r="3169" spans="2:9">
      <c r="B3169" s="11" t="str">
        <f t="shared" si="251"/>
        <v/>
      </c>
      <c r="C3169" s="11" t="str">
        <f t="shared" si="254"/>
        <v/>
      </c>
      <c r="D3169" s="11" t="str">
        <f t="shared" si="255"/>
        <v/>
      </c>
      <c r="E3169" s="11" t="str">
        <f t="shared" si="252"/>
        <v/>
      </c>
      <c r="F3169" s="11" t="str">
        <f t="shared" si="253"/>
        <v/>
      </c>
      <c r="G3169" s="10" t="str">
        <v/>
      </c>
      <c r="H3169" s="11" t="str">
        <v/>
      </c>
      <c r="I3169" s="11" t="str">
        <v/>
      </c>
    </row>
    <row r="3170" spans="2:9">
      <c r="B3170" s="11" t="str">
        <f t="shared" si="251"/>
        <v/>
      </c>
      <c r="C3170" s="11" t="str">
        <f t="shared" si="254"/>
        <v/>
      </c>
      <c r="D3170" s="11" t="str">
        <f t="shared" si="255"/>
        <v/>
      </c>
      <c r="E3170" s="11" t="str">
        <f t="shared" si="252"/>
        <v/>
      </c>
      <c r="F3170" s="11" t="str">
        <f t="shared" si="253"/>
        <v/>
      </c>
      <c r="G3170" s="10" t="str">
        <v/>
      </c>
      <c r="H3170" s="11" t="str">
        <v/>
      </c>
      <c r="I3170" s="11" t="str">
        <v/>
      </c>
    </row>
    <row r="3171" spans="2:9">
      <c r="B3171" s="11" t="str">
        <f t="shared" si="251"/>
        <v/>
      </c>
      <c r="C3171" s="11" t="str">
        <f t="shared" si="254"/>
        <v/>
      </c>
      <c r="D3171" s="11" t="str">
        <f t="shared" si="255"/>
        <v/>
      </c>
      <c r="E3171" s="11" t="str">
        <f t="shared" si="252"/>
        <v/>
      </c>
      <c r="F3171" s="11" t="str">
        <f t="shared" si="253"/>
        <v/>
      </c>
      <c r="G3171" s="10" t="str">
        <v/>
      </c>
      <c r="H3171" s="11" t="str">
        <v/>
      </c>
      <c r="I3171" s="11" t="str">
        <v/>
      </c>
    </row>
    <row r="3172" spans="2:9">
      <c r="B3172" s="11" t="str">
        <f t="shared" si="251"/>
        <v/>
      </c>
      <c r="C3172" s="11" t="str">
        <f t="shared" si="254"/>
        <v/>
      </c>
      <c r="D3172" s="11" t="str">
        <f t="shared" si="255"/>
        <v/>
      </c>
      <c r="E3172" s="11" t="str">
        <f t="shared" si="252"/>
        <v/>
      </c>
      <c r="F3172" s="11" t="str">
        <f t="shared" si="253"/>
        <v/>
      </c>
      <c r="G3172" s="10" t="str">
        <v/>
      </c>
      <c r="H3172" s="11" t="str">
        <v/>
      </c>
      <c r="I3172" s="11" t="str">
        <v/>
      </c>
    </row>
    <row r="3173" spans="2:9">
      <c r="B3173" s="11" t="str">
        <f t="shared" si="251"/>
        <v/>
      </c>
      <c r="C3173" s="11" t="str">
        <f t="shared" si="254"/>
        <v/>
      </c>
      <c r="D3173" s="11" t="str">
        <f t="shared" si="255"/>
        <v/>
      </c>
      <c r="E3173" s="11" t="str">
        <f t="shared" si="252"/>
        <v/>
      </c>
      <c r="F3173" s="11" t="str">
        <f t="shared" si="253"/>
        <v/>
      </c>
      <c r="G3173" s="10" t="str">
        <v/>
      </c>
      <c r="H3173" s="11" t="str">
        <v/>
      </c>
      <c r="I3173" s="11" t="str">
        <v/>
      </c>
    </row>
    <row r="3174" spans="2:9">
      <c r="B3174" s="11" t="str">
        <f t="shared" si="251"/>
        <v/>
      </c>
      <c r="C3174" s="11" t="str">
        <f t="shared" si="254"/>
        <v/>
      </c>
      <c r="D3174" s="11" t="str">
        <f t="shared" si="255"/>
        <v/>
      </c>
      <c r="E3174" s="11" t="str">
        <f t="shared" si="252"/>
        <v/>
      </c>
      <c r="F3174" s="11" t="str">
        <f t="shared" si="253"/>
        <v/>
      </c>
      <c r="G3174" s="10" t="str">
        <v/>
      </c>
      <c r="H3174" s="11" t="str">
        <v/>
      </c>
      <c r="I3174" s="11" t="str">
        <v/>
      </c>
    </row>
    <row r="3175" spans="2:9">
      <c r="B3175" s="11" t="str">
        <f t="shared" si="251"/>
        <v/>
      </c>
      <c r="C3175" s="11" t="str">
        <f t="shared" si="254"/>
        <v/>
      </c>
      <c r="D3175" s="11" t="str">
        <f t="shared" si="255"/>
        <v/>
      </c>
      <c r="E3175" s="11" t="str">
        <f t="shared" si="252"/>
        <v/>
      </c>
      <c r="F3175" s="11" t="str">
        <f t="shared" si="253"/>
        <v/>
      </c>
      <c r="G3175" s="10" t="str">
        <v/>
      </c>
      <c r="H3175" s="11" t="str">
        <v/>
      </c>
      <c r="I3175" s="11" t="str">
        <v/>
      </c>
    </row>
    <row r="3176" spans="2:9">
      <c r="B3176" s="11" t="str">
        <f t="shared" si="251"/>
        <v/>
      </c>
      <c r="C3176" s="11" t="str">
        <f t="shared" si="254"/>
        <v/>
      </c>
      <c r="D3176" s="11" t="str">
        <f t="shared" si="255"/>
        <v/>
      </c>
      <c r="E3176" s="11" t="str">
        <f t="shared" si="252"/>
        <v/>
      </c>
      <c r="F3176" s="11" t="str">
        <f t="shared" si="253"/>
        <v/>
      </c>
      <c r="G3176" s="10" t="str">
        <v/>
      </c>
      <c r="H3176" s="11" t="str">
        <v/>
      </c>
      <c r="I3176" s="11" t="str">
        <v/>
      </c>
    </row>
    <row r="3177" spans="2:9">
      <c r="B3177" s="11" t="str">
        <f t="shared" si="251"/>
        <v/>
      </c>
      <c r="C3177" s="11" t="str">
        <f t="shared" si="254"/>
        <v/>
      </c>
      <c r="D3177" s="11" t="str">
        <f t="shared" si="255"/>
        <v/>
      </c>
      <c r="E3177" s="11" t="str">
        <f t="shared" si="252"/>
        <v/>
      </c>
      <c r="F3177" s="11" t="str">
        <f t="shared" si="253"/>
        <v/>
      </c>
      <c r="G3177" s="10" t="str">
        <v/>
      </c>
      <c r="H3177" s="11" t="str">
        <v/>
      </c>
      <c r="I3177" s="11" t="str">
        <v/>
      </c>
    </row>
    <row r="3178" spans="2:9">
      <c r="B3178" s="11" t="str">
        <f t="shared" si="251"/>
        <v/>
      </c>
      <c r="C3178" s="11" t="str">
        <f t="shared" si="254"/>
        <v/>
      </c>
      <c r="D3178" s="11" t="str">
        <f t="shared" si="255"/>
        <v/>
      </c>
      <c r="E3178" s="11" t="str">
        <f t="shared" si="252"/>
        <v/>
      </c>
      <c r="F3178" s="11" t="str">
        <f t="shared" si="253"/>
        <v/>
      </c>
      <c r="G3178" s="10" t="str">
        <v/>
      </c>
      <c r="H3178" s="11" t="str">
        <v/>
      </c>
      <c r="I3178" s="11" t="str">
        <v/>
      </c>
    </row>
    <row r="3179" spans="2:9">
      <c r="B3179" s="11" t="str">
        <f t="shared" si="251"/>
        <v/>
      </c>
      <c r="C3179" s="11" t="str">
        <f t="shared" si="254"/>
        <v/>
      </c>
      <c r="D3179" s="11" t="str">
        <f t="shared" si="255"/>
        <v/>
      </c>
      <c r="E3179" s="11" t="str">
        <f t="shared" si="252"/>
        <v/>
      </c>
      <c r="F3179" s="11" t="str">
        <f t="shared" si="253"/>
        <v/>
      </c>
      <c r="G3179" s="10" t="str">
        <v/>
      </c>
      <c r="H3179" s="11" t="str">
        <v/>
      </c>
      <c r="I3179" s="11" t="str">
        <v/>
      </c>
    </row>
    <row r="3180" spans="2:9">
      <c r="B3180" s="11" t="str">
        <f t="shared" si="251"/>
        <v/>
      </c>
      <c r="C3180" s="11" t="str">
        <f t="shared" si="254"/>
        <v/>
      </c>
      <c r="D3180" s="11" t="str">
        <f t="shared" si="255"/>
        <v/>
      </c>
      <c r="E3180" s="11" t="str">
        <f t="shared" si="252"/>
        <v/>
      </c>
      <c r="F3180" s="11" t="str">
        <f t="shared" si="253"/>
        <v/>
      </c>
      <c r="G3180" s="10" t="str">
        <v/>
      </c>
      <c r="H3180" s="11" t="str">
        <v/>
      </c>
      <c r="I3180" s="11" t="str">
        <v/>
      </c>
    </row>
    <row r="3181" spans="2:9">
      <c r="B3181" s="11" t="str">
        <f t="shared" si="251"/>
        <v/>
      </c>
      <c r="C3181" s="11" t="str">
        <f t="shared" si="254"/>
        <v/>
      </c>
      <c r="D3181" s="11" t="str">
        <f t="shared" si="255"/>
        <v/>
      </c>
      <c r="E3181" s="11" t="str">
        <f t="shared" si="252"/>
        <v/>
      </c>
      <c r="F3181" s="11" t="str">
        <f t="shared" si="253"/>
        <v/>
      </c>
      <c r="G3181" s="10" t="str">
        <v/>
      </c>
      <c r="H3181" s="11" t="str">
        <v/>
      </c>
      <c r="I3181" s="11" t="str">
        <v/>
      </c>
    </row>
    <row r="3182" spans="2:9">
      <c r="B3182" s="11" t="str">
        <f t="shared" si="251"/>
        <v/>
      </c>
      <c r="C3182" s="11" t="str">
        <f t="shared" si="254"/>
        <v/>
      </c>
      <c r="D3182" s="11" t="str">
        <f t="shared" si="255"/>
        <v/>
      </c>
      <c r="E3182" s="11" t="str">
        <f t="shared" si="252"/>
        <v/>
      </c>
      <c r="F3182" s="11" t="str">
        <f t="shared" si="253"/>
        <v/>
      </c>
      <c r="G3182" s="10" t="str">
        <v/>
      </c>
      <c r="H3182" s="11" t="str">
        <v/>
      </c>
      <c r="I3182" s="11" t="str">
        <v/>
      </c>
    </row>
    <row r="3183" spans="2:9">
      <c r="B3183" s="11" t="str">
        <f t="shared" si="251"/>
        <v/>
      </c>
      <c r="C3183" s="11" t="str">
        <f t="shared" si="254"/>
        <v/>
      </c>
      <c r="D3183" s="11" t="str">
        <f t="shared" si="255"/>
        <v/>
      </c>
      <c r="E3183" s="11" t="str">
        <f t="shared" si="252"/>
        <v/>
      </c>
      <c r="F3183" s="11" t="str">
        <f t="shared" si="253"/>
        <v/>
      </c>
      <c r="G3183" s="10" t="str">
        <v/>
      </c>
      <c r="H3183" s="11" t="str">
        <v/>
      </c>
      <c r="I3183" s="11" t="str">
        <v/>
      </c>
    </row>
    <row r="3184" spans="2:9">
      <c r="B3184" s="11" t="str">
        <f t="shared" si="251"/>
        <v/>
      </c>
      <c r="C3184" s="11" t="str">
        <f t="shared" si="254"/>
        <v/>
      </c>
      <c r="D3184" s="11" t="str">
        <f t="shared" si="255"/>
        <v/>
      </c>
      <c r="E3184" s="11" t="str">
        <f t="shared" si="252"/>
        <v/>
      </c>
      <c r="F3184" s="11" t="str">
        <f t="shared" si="253"/>
        <v/>
      </c>
      <c r="G3184" s="10" t="str">
        <v/>
      </c>
      <c r="H3184" s="11" t="str">
        <v/>
      </c>
      <c r="I3184" s="11" t="str">
        <v/>
      </c>
    </row>
    <row r="3185" spans="2:9">
      <c r="B3185" s="11" t="str">
        <f t="shared" si="251"/>
        <v/>
      </c>
      <c r="C3185" s="11" t="str">
        <f t="shared" si="254"/>
        <v/>
      </c>
      <c r="D3185" s="11" t="str">
        <f t="shared" si="255"/>
        <v/>
      </c>
      <c r="E3185" s="11" t="str">
        <f t="shared" si="252"/>
        <v/>
      </c>
      <c r="F3185" s="11" t="str">
        <f t="shared" si="253"/>
        <v/>
      </c>
      <c r="G3185" s="10" t="str">
        <v/>
      </c>
      <c r="H3185" s="11" t="str">
        <v/>
      </c>
      <c r="I3185" s="11" t="str">
        <v/>
      </c>
    </row>
    <row r="3186" spans="2:9">
      <c r="B3186" s="11" t="str">
        <f t="shared" si="251"/>
        <v/>
      </c>
      <c r="C3186" s="11" t="str">
        <f t="shared" si="254"/>
        <v/>
      </c>
      <c r="D3186" s="11" t="str">
        <f t="shared" si="255"/>
        <v/>
      </c>
      <c r="E3186" s="11" t="str">
        <f t="shared" si="252"/>
        <v/>
      </c>
      <c r="F3186" s="11" t="str">
        <f t="shared" si="253"/>
        <v/>
      </c>
      <c r="G3186" s="10" t="str">
        <v/>
      </c>
      <c r="H3186" s="11" t="str">
        <v/>
      </c>
      <c r="I3186" s="11" t="str">
        <v/>
      </c>
    </row>
    <row r="3187" spans="2:9">
      <c r="B3187" s="11" t="str">
        <f t="shared" si="251"/>
        <v/>
      </c>
      <c r="C3187" s="11" t="str">
        <f t="shared" si="254"/>
        <v/>
      </c>
      <c r="D3187" s="11" t="str">
        <f t="shared" si="255"/>
        <v/>
      </c>
      <c r="E3187" s="11" t="str">
        <f t="shared" si="252"/>
        <v/>
      </c>
      <c r="F3187" s="11" t="str">
        <f t="shared" si="253"/>
        <v/>
      </c>
      <c r="G3187" s="10" t="str">
        <v/>
      </c>
      <c r="H3187" s="11" t="str">
        <v/>
      </c>
      <c r="I3187" s="11" t="str">
        <v/>
      </c>
    </row>
    <row r="3188" spans="2:9">
      <c r="B3188" s="11" t="str">
        <f t="shared" si="251"/>
        <v/>
      </c>
      <c r="C3188" s="11" t="str">
        <f t="shared" si="254"/>
        <v/>
      </c>
      <c r="D3188" s="11" t="str">
        <f t="shared" si="255"/>
        <v/>
      </c>
      <c r="E3188" s="11" t="str">
        <f t="shared" si="252"/>
        <v/>
      </c>
      <c r="F3188" s="11" t="str">
        <f t="shared" si="253"/>
        <v/>
      </c>
      <c r="G3188" s="10" t="str">
        <v/>
      </c>
      <c r="H3188" s="11" t="str">
        <v/>
      </c>
      <c r="I3188" s="11" t="str">
        <v/>
      </c>
    </row>
    <row r="3189" spans="2:9">
      <c r="B3189" s="11" t="str">
        <f t="shared" si="251"/>
        <v/>
      </c>
      <c r="C3189" s="11" t="str">
        <f t="shared" si="254"/>
        <v/>
      </c>
      <c r="D3189" s="11" t="str">
        <f t="shared" si="255"/>
        <v/>
      </c>
      <c r="E3189" s="11" t="str">
        <f t="shared" si="252"/>
        <v/>
      </c>
      <c r="F3189" s="11" t="str">
        <f t="shared" si="253"/>
        <v/>
      </c>
      <c r="G3189" s="10" t="str">
        <v/>
      </c>
      <c r="H3189" s="11" t="str">
        <v/>
      </c>
      <c r="I3189" s="11" t="str">
        <v/>
      </c>
    </row>
    <row r="3190" spans="2:9">
      <c r="B3190" s="11" t="str">
        <f t="shared" si="251"/>
        <v/>
      </c>
      <c r="C3190" s="11" t="str">
        <f t="shared" si="254"/>
        <v/>
      </c>
      <c r="D3190" s="11" t="str">
        <f t="shared" si="255"/>
        <v/>
      </c>
      <c r="E3190" s="11" t="str">
        <f t="shared" si="252"/>
        <v/>
      </c>
      <c r="F3190" s="11" t="str">
        <f t="shared" si="253"/>
        <v/>
      </c>
      <c r="G3190" s="10" t="str">
        <v/>
      </c>
      <c r="H3190" s="11" t="str">
        <v/>
      </c>
      <c r="I3190" s="11" t="str">
        <v/>
      </c>
    </row>
    <row r="3191" spans="2:9">
      <c r="B3191" s="11" t="str">
        <f t="shared" si="251"/>
        <v/>
      </c>
      <c r="C3191" s="11" t="str">
        <f t="shared" si="254"/>
        <v/>
      </c>
      <c r="D3191" s="11" t="str">
        <f t="shared" si="255"/>
        <v/>
      </c>
      <c r="E3191" s="11" t="str">
        <f t="shared" si="252"/>
        <v/>
      </c>
      <c r="F3191" s="11" t="str">
        <f t="shared" si="253"/>
        <v/>
      </c>
      <c r="G3191" s="10" t="str">
        <v/>
      </c>
      <c r="H3191" s="11" t="str">
        <v/>
      </c>
      <c r="I3191" s="11" t="str">
        <v/>
      </c>
    </row>
    <row r="3192" spans="2:9">
      <c r="B3192" s="11" t="str">
        <f t="shared" si="251"/>
        <v/>
      </c>
      <c r="C3192" s="11" t="str">
        <f t="shared" si="254"/>
        <v/>
      </c>
      <c r="D3192" s="11" t="str">
        <f t="shared" si="255"/>
        <v/>
      </c>
      <c r="E3192" s="11" t="str">
        <f t="shared" si="252"/>
        <v/>
      </c>
      <c r="F3192" s="11" t="str">
        <f t="shared" si="253"/>
        <v/>
      </c>
      <c r="G3192" s="10" t="str">
        <v/>
      </c>
      <c r="H3192" s="11" t="str">
        <v/>
      </c>
      <c r="I3192" s="11" t="str">
        <v/>
      </c>
    </row>
    <row r="3193" spans="2:9">
      <c r="B3193" s="11" t="str">
        <f t="shared" si="251"/>
        <v/>
      </c>
      <c r="C3193" s="11" t="str">
        <f t="shared" si="254"/>
        <v/>
      </c>
      <c r="D3193" s="11" t="str">
        <f t="shared" si="255"/>
        <v/>
      </c>
      <c r="E3193" s="11" t="str">
        <f t="shared" si="252"/>
        <v/>
      </c>
      <c r="F3193" s="11" t="str">
        <f t="shared" si="253"/>
        <v/>
      </c>
      <c r="G3193" s="10" t="str">
        <v/>
      </c>
      <c r="H3193" s="11" t="str">
        <v/>
      </c>
      <c r="I3193" s="11" t="str">
        <v/>
      </c>
    </row>
    <row r="3194" spans="2:9">
      <c r="B3194" s="11" t="str">
        <f t="shared" si="251"/>
        <v/>
      </c>
      <c r="C3194" s="11" t="str">
        <f t="shared" si="254"/>
        <v/>
      </c>
      <c r="D3194" s="11" t="str">
        <f t="shared" si="255"/>
        <v/>
      </c>
      <c r="E3194" s="11" t="str">
        <f t="shared" si="252"/>
        <v/>
      </c>
      <c r="F3194" s="11" t="str">
        <f t="shared" si="253"/>
        <v/>
      </c>
      <c r="G3194" s="10" t="str">
        <v/>
      </c>
      <c r="H3194" s="11" t="str">
        <v/>
      </c>
      <c r="I3194" s="11" t="str">
        <v/>
      </c>
    </row>
    <row r="3195" spans="2:9">
      <c r="B3195" s="11" t="str">
        <f t="shared" si="251"/>
        <v/>
      </c>
      <c r="C3195" s="11" t="str">
        <f t="shared" si="254"/>
        <v/>
      </c>
      <c r="D3195" s="11" t="str">
        <f t="shared" si="255"/>
        <v/>
      </c>
      <c r="E3195" s="11" t="str">
        <f t="shared" si="252"/>
        <v/>
      </c>
      <c r="F3195" s="11" t="str">
        <f t="shared" si="253"/>
        <v/>
      </c>
      <c r="G3195" s="10" t="str">
        <v/>
      </c>
      <c r="H3195" s="11" t="str">
        <v/>
      </c>
      <c r="I3195" s="11" t="str">
        <v/>
      </c>
    </row>
    <row r="3196" spans="2:9">
      <c r="B3196" s="11" t="str">
        <f t="shared" si="251"/>
        <v/>
      </c>
      <c r="C3196" s="11" t="str">
        <f t="shared" si="254"/>
        <v/>
      </c>
      <c r="D3196" s="11" t="str">
        <f t="shared" si="255"/>
        <v/>
      </c>
      <c r="E3196" s="11" t="str">
        <f t="shared" si="252"/>
        <v/>
      </c>
      <c r="F3196" s="11" t="str">
        <f t="shared" si="253"/>
        <v/>
      </c>
      <c r="G3196" s="10" t="str">
        <v/>
      </c>
      <c r="H3196" s="11" t="str">
        <v/>
      </c>
      <c r="I3196" s="11" t="str">
        <v/>
      </c>
    </row>
    <row r="3197" spans="2:9">
      <c r="B3197" s="11" t="str">
        <f t="shared" si="251"/>
        <v/>
      </c>
      <c r="C3197" s="11" t="str">
        <f t="shared" si="254"/>
        <v/>
      </c>
      <c r="D3197" s="11" t="str">
        <f t="shared" si="255"/>
        <v/>
      </c>
      <c r="E3197" s="11" t="str">
        <f t="shared" si="252"/>
        <v/>
      </c>
      <c r="F3197" s="11" t="str">
        <f t="shared" si="253"/>
        <v/>
      </c>
      <c r="G3197" s="10" t="str">
        <v/>
      </c>
      <c r="H3197" s="11" t="str">
        <v/>
      </c>
      <c r="I3197" s="11" t="str">
        <v/>
      </c>
    </row>
    <row r="3198" spans="2:9">
      <c r="B3198" s="11" t="str">
        <f t="shared" si="251"/>
        <v/>
      </c>
      <c r="C3198" s="11" t="str">
        <f t="shared" si="254"/>
        <v/>
      </c>
      <c r="D3198" s="11" t="str">
        <f t="shared" si="255"/>
        <v/>
      </c>
      <c r="E3198" s="11" t="str">
        <f t="shared" si="252"/>
        <v/>
      </c>
      <c r="F3198" s="11" t="str">
        <f t="shared" si="253"/>
        <v/>
      </c>
      <c r="G3198" s="10" t="str">
        <v/>
      </c>
      <c r="H3198" s="11" t="str">
        <v/>
      </c>
      <c r="I3198" s="11" t="str">
        <v/>
      </c>
    </row>
    <row r="3199" spans="2:9">
      <c r="B3199" s="11" t="str">
        <f t="shared" si="251"/>
        <v/>
      </c>
      <c r="C3199" s="11" t="str">
        <f t="shared" si="254"/>
        <v/>
      </c>
      <c r="D3199" s="11" t="str">
        <f t="shared" si="255"/>
        <v/>
      </c>
      <c r="E3199" s="11" t="str">
        <f t="shared" si="252"/>
        <v/>
      </c>
      <c r="F3199" s="11" t="str">
        <f t="shared" si="253"/>
        <v/>
      </c>
      <c r="G3199" s="10" t="str">
        <v/>
      </c>
      <c r="H3199" s="11" t="str">
        <v/>
      </c>
      <c r="I3199" s="11" t="str">
        <v/>
      </c>
    </row>
    <row r="3200" spans="2:9">
      <c r="B3200" s="11" t="str">
        <f t="shared" si="251"/>
        <v/>
      </c>
      <c r="C3200" s="11" t="str">
        <f t="shared" si="254"/>
        <v/>
      </c>
      <c r="D3200" s="11" t="str">
        <f t="shared" si="255"/>
        <v/>
      </c>
      <c r="E3200" s="11" t="str">
        <f t="shared" si="252"/>
        <v/>
      </c>
      <c r="F3200" s="11" t="str">
        <f t="shared" si="253"/>
        <v/>
      </c>
      <c r="G3200" s="10" t="str">
        <v/>
      </c>
      <c r="H3200" s="11" t="str">
        <v/>
      </c>
      <c r="I3200" s="11" t="str">
        <v/>
      </c>
    </row>
    <row r="3201" spans="2:9">
      <c r="B3201" s="11" t="str">
        <f t="shared" ref="B3201:B3264" si="256">IFERROR(IF(FIND(" ",A3201)=6,IF(IFERROR(FIND(" PB",A3201),"")&lt;&gt;"","артикул",IF(IFERROR(FIND(" CRN",A3201),"")&lt;&gt;"","артикул","")),""),"")</f>
        <v/>
      </c>
      <c r="C3201" s="11" t="str">
        <f t="shared" si="254"/>
        <v/>
      </c>
      <c r="D3201" s="11" t="str">
        <f t="shared" si="255"/>
        <v/>
      </c>
      <c r="E3201" s="11" t="str">
        <f t="shared" si="252"/>
        <v/>
      </c>
      <c r="F3201" s="11" t="str">
        <f t="shared" si="253"/>
        <v/>
      </c>
      <c r="G3201" s="10" t="str">
        <v/>
      </c>
      <c r="H3201" s="11" t="str">
        <v/>
      </c>
      <c r="I3201" s="11" t="str">
        <v/>
      </c>
    </row>
    <row r="3202" spans="2:9">
      <c r="B3202" s="11" t="str">
        <f t="shared" si="256"/>
        <v/>
      </c>
      <c r="C3202" s="11" t="str">
        <f t="shared" si="254"/>
        <v/>
      </c>
      <c r="D3202" s="11" t="str">
        <f t="shared" si="255"/>
        <v/>
      </c>
      <c r="E3202" s="11" t="str">
        <f t="shared" ref="E3202:E3265" si="257" xml:space="preserve">
IF(B3202="Артикул",
IF(
AND(RIGHT(A3203,1)="%",
RIGHT(A3204,1)="%",
RIGHT(A3205,1)="%",
RIGHT(A3206,1)="%"),MID(A3207,FIND(" ",A3207),50),
IF(
AND(RIGHT(A3203,1)="%",
RIGHT(A3204,1)="%",
RIGHT(A3205,1)="%"),MID(A3206,FIND(" ",A3206),50),
IF(
AND(RIGHT(A3203,1)="%",
RIGHT(A3204,1)="%"),
MID(A3205,FIND(" ",A3205),50),
IF(
RIGHT(A3203,1)="%",
MID(A3204,FIND(" ",A3204),50),"")))),"")</f>
        <v/>
      </c>
      <c r="F3202" s="11" t="str">
        <f t="shared" ref="F3202:F3265" si="258">IFERROR(
IF(
AND(LEFT(A3202,8)="Discount",FIND("%",A3202)&gt;0),
MID(A3202,
FIND(" ",A3202),
FIND("%",A3202)-FIND(" ",A3202))
*-1,""),"")</f>
        <v/>
      </c>
      <c r="G3202" s="10" t="str">
        <v/>
      </c>
      <c r="H3202" s="11" t="str">
        <v/>
      </c>
      <c r="I3202" s="11" t="str">
        <v/>
      </c>
    </row>
    <row r="3203" spans="2:9">
      <c r="B3203" s="11" t="str">
        <f t="shared" si="256"/>
        <v/>
      </c>
      <c r="C3203" s="11" t="str">
        <f t="shared" si="254"/>
        <v/>
      </c>
      <c r="D3203" s="11" t="str">
        <f t="shared" si="255"/>
        <v/>
      </c>
      <c r="E3203" s="11" t="str">
        <f t="shared" si="257"/>
        <v/>
      </c>
      <c r="F3203" s="11" t="str">
        <f t="shared" si="258"/>
        <v/>
      </c>
      <c r="G3203" s="10" t="str">
        <v/>
      </c>
      <c r="H3203" s="11" t="str">
        <v/>
      </c>
      <c r="I3203" s="11" t="str">
        <v/>
      </c>
    </row>
    <row r="3204" spans="2:9">
      <c r="B3204" s="11" t="str">
        <f t="shared" si="256"/>
        <v/>
      </c>
      <c r="C3204" s="11" t="str">
        <f t="shared" si="254"/>
        <v/>
      </c>
      <c r="D3204" s="11" t="str">
        <f t="shared" si="255"/>
        <v/>
      </c>
      <c r="E3204" s="11" t="str">
        <f t="shared" si="257"/>
        <v/>
      </c>
      <c r="F3204" s="11" t="str">
        <f t="shared" si="258"/>
        <v/>
      </c>
      <c r="G3204" s="10" t="str">
        <v/>
      </c>
      <c r="H3204" s="11" t="str">
        <v/>
      </c>
      <c r="I3204" s="11" t="str">
        <v/>
      </c>
    </row>
    <row r="3205" spans="2:9">
      <c r="B3205" s="11" t="str">
        <f t="shared" si="256"/>
        <v/>
      </c>
      <c r="C3205" s="11" t="str">
        <f t="shared" si="254"/>
        <v/>
      </c>
      <c r="D3205" s="11" t="str">
        <f t="shared" si="255"/>
        <v/>
      </c>
      <c r="E3205" s="11" t="str">
        <f t="shared" si="257"/>
        <v/>
      </c>
      <c r="F3205" s="11" t="str">
        <f t="shared" si="258"/>
        <v/>
      </c>
      <c r="G3205" s="10" t="str">
        <v/>
      </c>
      <c r="H3205" s="11" t="str">
        <v/>
      </c>
      <c r="I3205" s="11" t="str">
        <v/>
      </c>
    </row>
    <row r="3206" spans="2:9">
      <c r="B3206" s="11" t="str">
        <f t="shared" si="256"/>
        <v/>
      </c>
      <c r="C3206" s="11" t="str">
        <f t="shared" si="254"/>
        <v/>
      </c>
      <c r="D3206" s="11" t="str">
        <f t="shared" si="255"/>
        <v/>
      </c>
      <c r="E3206" s="11" t="str">
        <f t="shared" si="257"/>
        <v/>
      </c>
      <c r="F3206" s="11" t="str">
        <f t="shared" si="258"/>
        <v/>
      </c>
      <c r="G3206" s="10" t="str">
        <v/>
      </c>
      <c r="H3206" s="11" t="str">
        <v/>
      </c>
      <c r="I3206" s="11" t="str">
        <v/>
      </c>
    </row>
    <row r="3207" spans="2:9">
      <c r="B3207" s="11" t="str">
        <f t="shared" si="256"/>
        <v/>
      </c>
      <c r="C3207" s="11" t="str">
        <f t="shared" si="254"/>
        <v/>
      </c>
      <c r="D3207" s="11" t="str">
        <f t="shared" si="255"/>
        <v/>
      </c>
      <c r="E3207" s="11" t="str">
        <f t="shared" si="257"/>
        <v/>
      </c>
      <c r="F3207" s="11" t="str">
        <f t="shared" si="258"/>
        <v/>
      </c>
      <c r="G3207" s="10" t="str">
        <v/>
      </c>
      <c r="H3207" s="11" t="str">
        <v/>
      </c>
      <c r="I3207" s="11" t="str">
        <v/>
      </c>
    </row>
    <row r="3208" spans="2:9">
      <c r="B3208" s="11" t="str">
        <f t="shared" si="256"/>
        <v/>
      </c>
      <c r="C3208" s="11" t="str">
        <f t="shared" si="254"/>
        <v/>
      </c>
      <c r="D3208" s="11" t="str">
        <f t="shared" si="255"/>
        <v/>
      </c>
      <c r="E3208" s="11" t="str">
        <f t="shared" si="257"/>
        <v/>
      </c>
      <c r="F3208" s="11" t="str">
        <f t="shared" si="258"/>
        <v/>
      </c>
      <c r="G3208" s="10" t="str">
        <v/>
      </c>
      <c r="H3208" s="11" t="str">
        <v/>
      </c>
      <c r="I3208" s="11" t="str">
        <v/>
      </c>
    </row>
    <row r="3209" spans="2:9">
      <c r="B3209" s="11" t="str">
        <f t="shared" si="256"/>
        <v/>
      </c>
      <c r="C3209" s="11" t="str">
        <f t="shared" si="254"/>
        <v/>
      </c>
      <c r="D3209" s="11" t="str">
        <f t="shared" si="255"/>
        <v/>
      </c>
      <c r="E3209" s="11" t="str">
        <f t="shared" si="257"/>
        <v/>
      </c>
      <c r="F3209" s="11" t="str">
        <f t="shared" si="258"/>
        <v/>
      </c>
      <c r="G3209" s="10" t="str">
        <v/>
      </c>
      <c r="H3209" s="11" t="str">
        <v/>
      </c>
      <c r="I3209" s="11" t="str">
        <v/>
      </c>
    </row>
    <row r="3210" spans="2:9">
      <c r="B3210" s="11" t="str">
        <f t="shared" si="256"/>
        <v/>
      </c>
      <c r="C3210" s="11" t="str">
        <f t="shared" si="254"/>
        <v/>
      </c>
      <c r="D3210" s="11" t="str">
        <f t="shared" si="255"/>
        <v/>
      </c>
      <c r="E3210" s="11" t="str">
        <f t="shared" si="257"/>
        <v/>
      </c>
      <c r="F3210" s="11" t="str">
        <f t="shared" si="258"/>
        <v/>
      </c>
      <c r="G3210" s="10" t="str">
        <v/>
      </c>
      <c r="H3210" s="11" t="str">
        <v/>
      </c>
      <c r="I3210" s="11" t="str">
        <v/>
      </c>
    </row>
    <row r="3211" spans="2:9">
      <c r="B3211" s="11" t="str">
        <f t="shared" si="256"/>
        <v/>
      </c>
      <c r="C3211" s="11" t="str">
        <f t="shared" si="254"/>
        <v/>
      </c>
      <c r="D3211" s="11" t="str">
        <f t="shared" si="255"/>
        <v/>
      </c>
      <c r="E3211" s="11" t="str">
        <f t="shared" si="257"/>
        <v/>
      </c>
      <c r="F3211" s="11" t="str">
        <f t="shared" si="258"/>
        <v/>
      </c>
      <c r="G3211" s="10" t="str">
        <v/>
      </c>
      <c r="H3211" s="11" t="str">
        <v/>
      </c>
      <c r="I3211" s="11" t="str">
        <v/>
      </c>
    </row>
    <row r="3212" spans="2:9">
      <c r="B3212" s="11" t="str">
        <f t="shared" si="256"/>
        <v/>
      </c>
      <c r="C3212" s="11" t="str">
        <f t="shared" si="254"/>
        <v/>
      </c>
      <c r="D3212" s="11" t="str">
        <f t="shared" si="255"/>
        <v/>
      </c>
      <c r="E3212" s="11" t="str">
        <f t="shared" si="257"/>
        <v/>
      </c>
      <c r="F3212" s="11" t="str">
        <f t="shared" si="258"/>
        <v/>
      </c>
      <c r="G3212" s="10" t="str">
        <v/>
      </c>
      <c r="H3212" s="11" t="str">
        <v/>
      </c>
      <c r="I3212" s="11" t="str">
        <v/>
      </c>
    </row>
    <row r="3213" spans="2:9">
      <c r="B3213" s="11" t="str">
        <f t="shared" si="256"/>
        <v/>
      </c>
      <c r="C3213" s="11" t="str">
        <f t="shared" ref="C3213:C3276" si="259">IF(B3213="артикул",A3213,"")</f>
        <v/>
      </c>
      <c r="D3213" s="11" t="str">
        <f t="shared" ref="D3213:D3276" si="260">IF(B3213="артикул",A3214,"")</f>
        <v/>
      </c>
      <c r="E3213" s="11" t="str">
        <f t="shared" si="257"/>
        <v/>
      </c>
      <c r="F3213" s="11" t="str">
        <f t="shared" si="258"/>
        <v/>
      </c>
      <c r="G3213" s="10" t="str">
        <v/>
      </c>
      <c r="H3213" s="11" t="str">
        <v/>
      </c>
      <c r="I3213" s="11" t="str">
        <v/>
      </c>
    </row>
    <row r="3214" spans="2:9">
      <c r="B3214" s="11" t="str">
        <f t="shared" si="256"/>
        <v/>
      </c>
      <c r="C3214" s="11" t="str">
        <f t="shared" si="259"/>
        <v/>
      </c>
      <c r="D3214" s="11" t="str">
        <f t="shared" si="260"/>
        <v/>
      </c>
      <c r="E3214" s="11" t="str">
        <f t="shared" si="257"/>
        <v/>
      </c>
      <c r="F3214" s="11" t="str">
        <f t="shared" si="258"/>
        <v/>
      </c>
      <c r="G3214" s="10" t="str">
        <v/>
      </c>
      <c r="H3214" s="11" t="str">
        <v/>
      </c>
      <c r="I3214" s="11" t="str">
        <v/>
      </c>
    </row>
    <row r="3215" spans="2:9">
      <c r="B3215" s="11" t="str">
        <f t="shared" si="256"/>
        <v/>
      </c>
      <c r="C3215" s="11" t="str">
        <f t="shared" si="259"/>
        <v/>
      </c>
      <c r="D3215" s="11" t="str">
        <f t="shared" si="260"/>
        <v/>
      </c>
      <c r="E3215" s="11" t="str">
        <f t="shared" si="257"/>
        <v/>
      </c>
      <c r="F3215" s="11" t="str">
        <f t="shared" si="258"/>
        <v/>
      </c>
      <c r="G3215" s="10" t="str">
        <v/>
      </c>
      <c r="H3215" s="11" t="str">
        <v/>
      </c>
      <c r="I3215" s="11" t="str">
        <v/>
      </c>
    </row>
    <row r="3216" spans="2:9">
      <c r="B3216" s="11" t="str">
        <f t="shared" si="256"/>
        <v/>
      </c>
      <c r="C3216" s="11" t="str">
        <f t="shared" si="259"/>
        <v/>
      </c>
      <c r="D3216" s="11" t="str">
        <f t="shared" si="260"/>
        <v/>
      </c>
      <c r="E3216" s="11" t="str">
        <f t="shared" si="257"/>
        <v/>
      </c>
      <c r="F3216" s="11" t="str">
        <f t="shared" si="258"/>
        <v/>
      </c>
      <c r="G3216" s="10" t="str">
        <v/>
      </c>
      <c r="H3216" s="11" t="str">
        <v/>
      </c>
      <c r="I3216" s="11" t="str">
        <v/>
      </c>
    </row>
    <row r="3217" spans="2:9">
      <c r="B3217" s="11" t="str">
        <f t="shared" si="256"/>
        <v/>
      </c>
      <c r="C3217" s="11" t="str">
        <f t="shared" si="259"/>
        <v/>
      </c>
      <c r="D3217" s="11" t="str">
        <f t="shared" si="260"/>
        <v/>
      </c>
      <c r="E3217" s="11" t="str">
        <f t="shared" si="257"/>
        <v/>
      </c>
      <c r="F3217" s="11" t="str">
        <f t="shared" si="258"/>
        <v/>
      </c>
      <c r="G3217" s="10" t="str">
        <v/>
      </c>
      <c r="H3217" s="11" t="str">
        <v/>
      </c>
      <c r="I3217" s="11" t="str">
        <v/>
      </c>
    </row>
    <row r="3218" spans="2:9">
      <c r="B3218" s="11" t="str">
        <f t="shared" si="256"/>
        <v/>
      </c>
      <c r="C3218" s="11" t="str">
        <f t="shared" si="259"/>
        <v/>
      </c>
      <c r="D3218" s="11" t="str">
        <f t="shared" si="260"/>
        <v/>
      </c>
      <c r="E3218" s="11" t="str">
        <f t="shared" si="257"/>
        <v/>
      </c>
      <c r="F3218" s="11" t="str">
        <f t="shared" si="258"/>
        <v/>
      </c>
      <c r="G3218" s="10" t="str">
        <v/>
      </c>
      <c r="H3218" s="11" t="str">
        <v/>
      </c>
      <c r="I3218" s="11" t="str">
        <v/>
      </c>
    </row>
    <row r="3219" spans="2:9">
      <c r="B3219" s="11" t="str">
        <f t="shared" si="256"/>
        <v/>
      </c>
      <c r="C3219" s="11" t="str">
        <f t="shared" si="259"/>
        <v/>
      </c>
      <c r="D3219" s="11" t="str">
        <f t="shared" si="260"/>
        <v/>
      </c>
      <c r="E3219" s="11" t="str">
        <f t="shared" si="257"/>
        <v/>
      </c>
      <c r="F3219" s="11" t="str">
        <f t="shared" si="258"/>
        <v/>
      </c>
      <c r="G3219" s="10" t="str">
        <v/>
      </c>
      <c r="H3219" s="11" t="str">
        <v/>
      </c>
      <c r="I3219" s="11" t="str">
        <v/>
      </c>
    </row>
    <row r="3220" spans="2:9">
      <c r="B3220" s="11" t="str">
        <f t="shared" si="256"/>
        <v/>
      </c>
      <c r="C3220" s="11" t="str">
        <f t="shared" si="259"/>
        <v/>
      </c>
      <c r="D3220" s="11" t="str">
        <f t="shared" si="260"/>
        <v/>
      </c>
      <c r="E3220" s="11" t="str">
        <f t="shared" si="257"/>
        <v/>
      </c>
      <c r="F3220" s="11" t="str">
        <f t="shared" si="258"/>
        <v/>
      </c>
      <c r="G3220" s="10" t="str">
        <v/>
      </c>
      <c r="H3220" s="11" t="str">
        <v/>
      </c>
      <c r="I3220" s="11" t="str">
        <v/>
      </c>
    </row>
    <row r="3221" spans="2:9">
      <c r="B3221" s="11" t="str">
        <f t="shared" si="256"/>
        <v/>
      </c>
      <c r="C3221" s="11" t="str">
        <f t="shared" si="259"/>
        <v/>
      </c>
      <c r="D3221" s="11" t="str">
        <f t="shared" si="260"/>
        <v/>
      </c>
      <c r="E3221" s="11" t="str">
        <f t="shared" si="257"/>
        <v/>
      </c>
      <c r="F3221" s="11" t="str">
        <f t="shared" si="258"/>
        <v/>
      </c>
      <c r="G3221" s="10" t="str">
        <v/>
      </c>
      <c r="H3221" s="11" t="str">
        <v/>
      </c>
      <c r="I3221" s="11" t="str">
        <v/>
      </c>
    </row>
    <row r="3222" spans="2:9">
      <c r="B3222" s="11" t="str">
        <f t="shared" si="256"/>
        <v/>
      </c>
      <c r="C3222" s="11" t="str">
        <f t="shared" si="259"/>
        <v/>
      </c>
      <c r="D3222" s="11" t="str">
        <f t="shared" si="260"/>
        <v/>
      </c>
      <c r="E3222" s="11" t="str">
        <f t="shared" si="257"/>
        <v/>
      </c>
      <c r="F3222" s="11" t="str">
        <f t="shared" si="258"/>
        <v/>
      </c>
      <c r="G3222" s="10" t="str">
        <v/>
      </c>
      <c r="H3222" s="11" t="str">
        <v/>
      </c>
      <c r="I3222" s="11" t="str">
        <v/>
      </c>
    </row>
    <row r="3223" spans="2:9">
      <c r="B3223" s="11" t="str">
        <f t="shared" si="256"/>
        <v/>
      </c>
      <c r="C3223" s="11" t="str">
        <f t="shared" si="259"/>
        <v/>
      </c>
      <c r="D3223" s="11" t="str">
        <f t="shared" si="260"/>
        <v/>
      </c>
      <c r="E3223" s="11" t="str">
        <f t="shared" si="257"/>
        <v/>
      </c>
      <c r="F3223" s="11" t="str">
        <f t="shared" si="258"/>
        <v/>
      </c>
      <c r="G3223" s="10" t="str">
        <v/>
      </c>
      <c r="H3223" s="11" t="str">
        <v/>
      </c>
      <c r="I3223" s="11" t="str">
        <v/>
      </c>
    </row>
    <row r="3224" spans="2:9">
      <c r="B3224" s="11" t="str">
        <f t="shared" si="256"/>
        <v/>
      </c>
      <c r="C3224" s="11" t="str">
        <f t="shared" si="259"/>
        <v/>
      </c>
      <c r="D3224" s="11" t="str">
        <f t="shared" si="260"/>
        <v/>
      </c>
      <c r="E3224" s="11" t="str">
        <f t="shared" si="257"/>
        <v/>
      </c>
      <c r="F3224" s="11" t="str">
        <f t="shared" si="258"/>
        <v/>
      </c>
      <c r="G3224" s="10" t="str">
        <v/>
      </c>
      <c r="H3224" s="11" t="str">
        <v/>
      </c>
      <c r="I3224" s="11" t="str">
        <v/>
      </c>
    </row>
    <row r="3225" spans="2:9">
      <c r="B3225" s="11" t="str">
        <f t="shared" si="256"/>
        <v/>
      </c>
      <c r="C3225" s="11" t="str">
        <f t="shared" si="259"/>
        <v/>
      </c>
      <c r="D3225" s="11" t="str">
        <f t="shared" si="260"/>
        <v/>
      </c>
      <c r="E3225" s="11" t="str">
        <f t="shared" si="257"/>
        <v/>
      </c>
      <c r="F3225" s="11" t="str">
        <f t="shared" si="258"/>
        <v/>
      </c>
      <c r="G3225" s="10" t="str">
        <v/>
      </c>
      <c r="H3225" s="11" t="str">
        <v/>
      </c>
      <c r="I3225" s="11" t="str">
        <v/>
      </c>
    </row>
    <row r="3226" spans="2:9">
      <c r="B3226" s="11" t="str">
        <f t="shared" si="256"/>
        <v/>
      </c>
      <c r="C3226" s="11" t="str">
        <f t="shared" si="259"/>
        <v/>
      </c>
      <c r="D3226" s="11" t="str">
        <f t="shared" si="260"/>
        <v/>
      </c>
      <c r="E3226" s="11" t="str">
        <f t="shared" si="257"/>
        <v/>
      </c>
      <c r="F3226" s="11" t="str">
        <f t="shared" si="258"/>
        <v/>
      </c>
      <c r="G3226" s="10" t="str">
        <v/>
      </c>
      <c r="H3226" s="11" t="str">
        <v/>
      </c>
      <c r="I3226" s="11" t="str">
        <v/>
      </c>
    </row>
    <row r="3227" spans="2:9">
      <c r="B3227" s="11" t="str">
        <f t="shared" si="256"/>
        <v/>
      </c>
      <c r="C3227" s="11" t="str">
        <f t="shared" si="259"/>
        <v/>
      </c>
      <c r="D3227" s="11" t="str">
        <f t="shared" si="260"/>
        <v/>
      </c>
      <c r="E3227" s="11" t="str">
        <f t="shared" si="257"/>
        <v/>
      </c>
      <c r="F3227" s="11" t="str">
        <f t="shared" si="258"/>
        <v/>
      </c>
      <c r="G3227" s="10" t="str">
        <v/>
      </c>
      <c r="H3227" s="11" t="str">
        <v/>
      </c>
      <c r="I3227" s="11" t="str">
        <v/>
      </c>
    </row>
    <row r="3228" spans="2:9">
      <c r="B3228" s="11" t="str">
        <f t="shared" si="256"/>
        <v/>
      </c>
      <c r="C3228" s="11" t="str">
        <f t="shared" si="259"/>
        <v/>
      </c>
      <c r="D3228" s="11" t="str">
        <f t="shared" si="260"/>
        <v/>
      </c>
      <c r="E3228" s="11" t="str">
        <f t="shared" si="257"/>
        <v/>
      </c>
      <c r="F3228" s="11" t="str">
        <f t="shared" si="258"/>
        <v/>
      </c>
      <c r="G3228" s="10" t="str">
        <v/>
      </c>
      <c r="H3228" s="11" t="str">
        <v/>
      </c>
      <c r="I3228" s="11" t="str">
        <v/>
      </c>
    </row>
    <row r="3229" spans="2:9">
      <c r="B3229" s="11" t="str">
        <f t="shared" si="256"/>
        <v/>
      </c>
      <c r="C3229" s="11" t="str">
        <f t="shared" si="259"/>
        <v/>
      </c>
      <c r="D3229" s="11" t="str">
        <f t="shared" si="260"/>
        <v/>
      </c>
      <c r="E3229" s="11" t="str">
        <f t="shared" si="257"/>
        <v/>
      </c>
      <c r="F3229" s="11" t="str">
        <f t="shared" si="258"/>
        <v/>
      </c>
      <c r="G3229" s="10" t="str">
        <v/>
      </c>
      <c r="H3229" s="11" t="str">
        <v/>
      </c>
      <c r="I3229" s="11" t="str">
        <v/>
      </c>
    </row>
    <row r="3230" spans="2:9">
      <c r="B3230" s="11" t="str">
        <f t="shared" si="256"/>
        <v/>
      </c>
      <c r="C3230" s="11" t="str">
        <f t="shared" si="259"/>
        <v/>
      </c>
      <c r="D3230" s="11" t="str">
        <f t="shared" si="260"/>
        <v/>
      </c>
      <c r="E3230" s="11" t="str">
        <f t="shared" si="257"/>
        <v/>
      </c>
      <c r="F3230" s="11" t="str">
        <f t="shared" si="258"/>
        <v/>
      </c>
      <c r="G3230" s="10" t="str">
        <v/>
      </c>
      <c r="H3230" s="11" t="str">
        <v/>
      </c>
      <c r="I3230" s="11" t="str">
        <v/>
      </c>
    </row>
    <row r="3231" spans="2:9">
      <c r="B3231" s="11" t="str">
        <f t="shared" si="256"/>
        <v/>
      </c>
      <c r="C3231" s="11" t="str">
        <f t="shared" si="259"/>
        <v/>
      </c>
      <c r="D3231" s="11" t="str">
        <f t="shared" si="260"/>
        <v/>
      </c>
      <c r="E3231" s="11" t="str">
        <f t="shared" si="257"/>
        <v/>
      </c>
      <c r="F3231" s="11" t="str">
        <f t="shared" si="258"/>
        <v/>
      </c>
      <c r="G3231" s="10" t="str">
        <v/>
      </c>
      <c r="H3231" s="11" t="str">
        <v/>
      </c>
      <c r="I3231" s="11" t="str">
        <v/>
      </c>
    </row>
    <row r="3232" spans="2:9">
      <c r="B3232" s="11" t="str">
        <f t="shared" si="256"/>
        <v/>
      </c>
      <c r="C3232" s="11" t="str">
        <f t="shared" si="259"/>
        <v/>
      </c>
      <c r="D3232" s="11" t="str">
        <f t="shared" si="260"/>
        <v/>
      </c>
      <c r="E3232" s="11" t="str">
        <f t="shared" si="257"/>
        <v/>
      </c>
      <c r="F3232" s="11" t="str">
        <f t="shared" si="258"/>
        <v/>
      </c>
      <c r="G3232" s="10" t="str">
        <v/>
      </c>
      <c r="H3232" s="11" t="str">
        <v/>
      </c>
      <c r="I3232" s="11" t="str">
        <v/>
      </c>
    </row>
    <row r="3233" spans="2:9">
      <c r="B3233" s="11" t="str">
        <f t="shared" si="256"/>
        <v/>
      </c>
      <c r="C3233" s="11" t="str">
        <f t="shared" si="259"/>
        <v/>
      </c>
      <c r="D3233" s="11" t="str">
        <f t="shared" si="260"/>
        <v/>
      </c>
      <c r="E3233" s="11" t="str">
        <f t="shared" si="257"/>
        <v/>
      </c>
      <c r="F3233" s="11" t="str">
        <f t="shared" si="258"/>
        <v/>
      </c>
      <c r="G3233" s="10" t="str">
        <v/>
      </c>
      <c r="H3233" s="11" t="str">
        <v/>
      </c>
      <c r="I3233" s="11" t="str">
        <v/>
      </c>
    </row>
    <row r="3234" spans="2:9">
      <c r="B3234" s="11" t="str">
        <f t="shared" si="256"/>
        <v/>
      </c>
      <c r="C3234" s="11" t="str">
        <f t="shared" si="259"/>
        <v/>
      </c>
      <c r="D3234" s="11" t="str">
        <f t="shared" si="260"/>
        <v/>
      </c>
      <c r="E3234" s="11" t="str">
        <f t="shared" si="257"/>
        <v/>
      </c>
      <c r="F3234" s="11" t="str">
        <f t="shared" si="258"/>
        <v/>
      </c>
      <c r="G3234" s="10" t="str">
        <v/>
      </c>
      <c r="H3234" s="11" t="str">
        <v/>
      </c>
      <c r="I3234" s="11" t="str">
        <v/>
      </c>
    </row>
    <row r="3235" spans="2:9">
      <c r="B3235" s="11" t="str">
        <f t="shared" si="256"/>
        <v/>
      </c>
      <c r="C3235" s="11" t="str">
        <f t="shared" si="259"/>
        <v/>
      </c>
      <c r="D3235" s="11" t="str">
        <f t="shared" si="260"/>
        <v/>
      </c>
      <c r="E3235" s="11" t="str">
        <f t="shared" si="257"/>
        <v/>
      </c>
      <c r="F3235" s="11" t="str">
        <f t="shared" si="258"/>
        <v/>
      </c>
      <c r="G3235" s="10" t="str">
        <v/>
      </c>
      <c r="H3235" s="11" t="str">
        <v/>
      </c>
      <c r="I3235" s="11" t="str">
        <v/>
      </c>
    </row>
    <row r="3236" spans="2:9">
      <c r="B3236" s="11" t="str">
        <f t="shared" si="256"/>
        <v/>
      </c>
      <c r="C3236" s="11" t="str">
        <f t="shared" si="259"/>
        <v/>
      </c>
      <c r="D3236" s="11" t="str">
        <f t="shared" si="260"/>
        <v/>
      </c>
      <c r="E3236" s="11" t="str">
        <f t="shared" si="257"/>
        <v/>
      </c>
      <c r="F3236" s="11" t="str">
        <f t="shared" si="258"/>
        <v/>
      </c>
      <c r="G3236" s="10" t="str">
        <v/>
      </c>
      <c r="H3236" s="11" t="str">
        <v/>
      </c>
      <c r="I3236" s="11" t="str">
        <v/>
      </c>
    </row>
    <row r="3237" spans="2:9">
      <c r="B3237" s="11" t="str">
        <f t="shared" si="256"/>
        <v/>
      </c>
      <c r="C3237" s="11" t="str">
        <f t="shared" si="259"/>
        <v/>
      </c>
      <c r="D3237" s="11" t="str">
        <f t="shared" si="260"/>
        <v/>
      </c>
      <c r="E3237" s="11" t="str">
        <f t="shared" si="257"/>
        <v/>
      </c>
      <c r="F3237" s="11" t="str">
        <f t="shared" si="258"/>
        <v/>
      </c>
      <c r="G3237" s="10" t="str">
        <v/>
      </c>
      <c r="H3237" s="11" t="str">
        <v/>
      </c>
      <c r="I3237" s="11" t="str">
        <v/>
      </c>
    </row>
    <row r="3238" spans="2:9">
      <c r="B3238" s="11" t="str">
        <f t="shared" si="256"/>
        <v/>
      </c>
      <c r="C3238" s="11" t="str">
        <f t="shared" si="259"/>
        <v/>
      </c>
      <c r="D3238" s="11" t="str">
        <f t="shared" si="260"/>
        <v/>
      </c>
      <c r="E3238" s="11" t="str">
        <f t="shared" si="257"/>
        <v/>
      </c>
      <c r="F3238" s="11" t="str">
        <f t="shared" si="258"/>
        <v/>
      </c>
      <c r="G3238" s="10" t="str">
        <v/>
      </c>
      <c r="H3238" s="11" t="str">
        <v/>
      </c>
      <c r="I3238" s="11" t="str">
        <v/>
      </c>
    </row>
    <row r="3239" spans="2:9">
      <c r="B3239" s="11" t="str">
        <f t="shared" si="256"/>
        <v/>
      </c>
      <c r="C3239" s="11" t="str">
        <f t="shared" si="259"/>
        <v/>
      </c>
      <c r="D3239" s="11" t="str">
        <f t="shared" si="260"/>
        <v/>
      </c>
      <c r="E3239" s="11" t="str">
        <f t="shared" si="257"/>
        <v/>
      </c>
      <c r="F3239" s="11" t="str">
        <f t="shared" si="258"/>
        <v/>
      </c>
      <c r="G3239" s="10" t="str">
        <v/>
      </c>
      <c r="H3239" s="11" t="str">
        <v/>
      </c>
      <c r="I3239" s="11" t="str">
        <v/>
      </c>
    </row>
    <row r="3240" spans="2:9">
      <c r="B3240" s="11" t="str">
        <f t="shared" si="256"/>
        <v/>
      </c>
      <c r="C3240" s="11" t="str">
        <f t="shared" si="259"/>
        <v/>
      </c>
      <c r="D3240" s="11" t="str">
        <f t="shared" si="260"/>
        <v/>
      </c>
      <c r="E3240" s="11" t="str">
        <f t="shared" si="257"/>
        <v/>
      </c>
      <c r="F3240" s="11" t="str">
        <f t="shared" si="258"/>
        <v/>
      </c>
      <c r="G3240" s="10" t="str">
        <v/>
      </c>
      <c r="H3240" s="11" t="str">
        <v/>
      </c>
      <c r="I3240" s="11" t="str">
        <v/>
      </c>
    </row>
    <row r="3241" spans="2:9">
      <c r="B3241" s="11" t="str">
        <f t="shared" si="256"/>
        <v/>
      </c>
      <c r="C3241" s="11" t="str">
        <f t="shared" si="259"/>
        <v/>
      </c>
      <c r="D3241" s="11" t="str">
        <f t="shared" si="260"/>
        <v/>
      </c>
      <c r="E3241" s="11" t="str">
        <f t="shared" si="257"/>
        <v/>
      </c>
      <c r="F3241" s="11" t="str">
        <f t="shared" si="258"/>
        <v/>
      </c>
      <c r="G3241" s="10" t="str">
        <v/>
      </c>
      <c r="H3241" s="11" t="str">
        <v/>
      </c>
      <c r="I3241" s="11" t="str">
        <v/>
      </c>
    </row>
    <row r="3242" spans="2:9">
      <c r="B3242" s="11" t="str">
        <f t="shared" si="256"/>
        <v/>
      </c>
      <c r="C3242" s="11" t="str">
        <f t="shared" si="259"/>
        <v/>
      </c>
      <c r="D3242" s="11" t="str">
        <f t="shared" si="260"/>
        <v/>
      </c>
      <c r="E3242" s="11" t="str">
        <f t="shared" si="257"/>
        <v/>
      </c>
      <c r="F3242" s="11" t="str">
        <f t="shared" si="258"/>
        <v/>
      </c>
      <c r="G3242" s="10" t="str">
        <v/>
      </c>
      <c r="H3242" s="11" t="str">
        <v/>
      </c>
      <c r="I3242" s="11" t="str">
        <v/>
      </c>
    </row>
    <row r="3243" spans="2:9">
      <c r="B3243" s="11" t="str">
        <f t="shared" si="256"/>
        <v/>
      </c>
      <c r="C3243" s="11" t="str">
        <f t="shared" si="259"/>
        <v/>
      </c>
      <c r="D3243" s="11" t="str">
        <f t="shared" si="260"/>
        <v/>
      </c>
      <c r="E3243" s="11" t="str">
        <f t="shared" si="257"/>
        <v/>
      </c>
      <c r="F3243" s="11" t="str">
        <f t="shared" si="258"/>
        <v/>
      </c>
      <c r="G3243" s="10" t="str">
        <v/>
      </c>
      <c r="H3243" s="11" t="str">
        <v/>
      </c>
      <c r="I3243" s="11" t="str">
        <v/>
      </c>
    </row>
    <row r="3244" spans="2:9">
      <c r="B3244" s="11" t="str">
        <f t="shared" si="256"/>
        <v/>
      </c>
      <c r="C3244" s="11" t="str">
        <f t="shared" si="259"/>
        <v/>
      </c>
      <c r="D3244" s="11" t="str">
        <f t="shared" si="260"/>
        <v/>
      </c>
      <c r="E3244" s="11" t="str">
        <f t="shared" si="257"/>
        <v/>
      </c>
      <c r="F3244" s="11" t="str">
        <f t="shared" si="258"/>
        <v/>
      </c>
      <c r="G3244" s="10" t="str">
        <v/>
      </c>
      <c r="H3244" s="11" t="str">
        <v/>
      </c>
      <c r="I3244" s="11" t="str">
        <v/>
      </c>
    </row>
    <row r="3245" spans="2:9">
      <c r="B3245" s="11" t="str">
        <f t="shared" si="256"/>
        <v/>
      </c>
      <c r="C3245" s="11" t="str">
        <f t="shared" si="259"/>
        <v/>
      </c>
      <c r="D3245" s="11" t="str">
        <f t="shared" si="260"/>
        <v/>
      </c>
      <c r="E3245" s="11" t="str">
        <f t="shared" si="257"/>
        <v/>
      </c>
      <c r="F3245" s="11" t="str">
        <f t="shared" si="258"/>
        <v/>
      </c>
      <c r="G3245" s="10" t="str">
        <v/>
      </c>
      <c r="H3245" s="11" t="str">
        <v/>
      </c>
      <c r="I3245" s="11" t="str">
        <v/>
      </c>
    </row>
    <row r="3246" spans="2:9">
      <c r="B3246" s="11" t="str">
        <f t="shared" si="256"/>
        <v/>
      </c>
      <c r="C3246" s="11" t="str">
        <f t="shared" si="259"/>
        <v/>
      </c>
      <c r="D3246" s="11" t="str">
        <f t="shared" si="260"/>
        <v/>
      </c>
      <c r="E3246" s="11" t="str">
        <f t="shared" si="257"/>
        <v/>
      </c>
      <c r="F3246" s="11" t="str">
        <f t="shared" si="258"/>
        <v/>
      </c>
      <c r="G3246" s="10" t="str">
        <v/>
      </c>
      <c r="H3246" s="11" t="str">
        <v/>
      </c>
      <c r="I3246" s="11" t="str">
        <v/>
      </c>
    </row>
    <row r="3247" spans="2:9">
      <c r="B3247" s="11" t="str">
        <f t="shared" si="256"/>
        <v/>
      </c>
      <c r="C3247" s="11" t="str">
        <f t="shared" si="259"/>
        <v/>
      </c>
      <c r="D3247" s="11" t="str">
        <f t="shared" si="260"/>
        <v/>
      </c>
      <c r="E3247" s="11" t="str">
        <f t="shared" si="257"/>
        <v/>
      </c>
      <c r="F3247" s="11" t="str">
        <f t="shared" si="258"/>
        <v/>
      </c>
      <c r="G3247" s="10" t="str">
        <v/>
      </c>
      <c r="H3247" s="11" t="str">
        <v/>
      </c>
      <c r="I3247" s="11" t="str">
        <v/>
      </c>
    </row>
    <row r="3248" spans="2:9">
      <c r="B3248" s="11" t="str">
        <f t="shared" si="256"/>
        <v/>
      </c>
      <c r="C3248" s="11" t="str">
        <f t="shared" si="259"/>
        <v/>
      </c>
      <c r="D3248" s="11" t="str">
        <f t="shared" si="260"/>
        <v/>
      </c>
      <c r="E3248" s="11" t="str">
        <f t="shared" si="257"/>
        <v/>
      </c>
      <c r="F3248" s="11" t="str">
        <f t="shared" si="258"/>
        <v/>
      </c>
      <c r="G3248" s="10" t="str">
        <v/>
      </c>
      <c r="H3248" s="11" t="str">
        <v/>
      </c>
      <c r="I3248" s="11" t="str">
        <v/>
      </c>
    </row>
    <row r="3249" spans="2:9">
      <c r="B3249" s="11" t="str">
        <f t="shared" si="256"/>
        <v/>
      </c>
      <c r="C3249" s="11" t="str">
        <f t="shared" si="259"/>
        <v/>
      </c>
      <c r="D3249" s="11" t="str">
        <f t="shared" si="260"/>
        <v/>
      </c>
      <c r="E3249" s="11" t="str">
        <f t="shared" si="257"/>
        <v/>
      </c>
      <c r="F3249" s="11" t="str">
        <f t="shared" si="258"/>
        <v/>
      </c>
      <c r="G3249" s="10" t="str">
        <v/>
      </c>
      <c r="H3249" s="11" t="str">
        <v/>
      </c>
      <c r="I3249" s="11" t="str">
        <v/>
      </c>
    </row>
    <row r="3250" spans="2:9">
      <c r="B3250" s="11" t="str">
        <f t="shared" si="256"/>
        <v/>
      </c>
      <c r="C3250" s="11" t="str">
        <f t="shared" si="259"/>
        <v/>
      </c>
      <c r="D3250" s="11" t="str">
        <f t="shared" si="260"/>
        <v/>
      </c>
      <c r="E3250" s="11" t="str">
        <f t="shared" si="257"/>
        <v/>
      </c>
      <c r="F3250" s="11" t="str">
        <f t="shared" si="258"/>
        <v/>
      </c>
      <c r="G3250" s="10" t="str">
        <v/>
      </c>
      <c r="H3250" s="11" t="str">
        <v/>
      </c>
      <c r="I3250" s="11" t="str">
        <v/>
      </c>
    </row>
    <row r="3251" spans="2:9">
      <c r="B3251" s="11" t="str">
        <f t="shared" si="256"/>
        <v/>
      </c>
      <c r="C3251" s="11" t="str">
        <f t="shared" si="259"/>
        <v/>
      </c>
      <c r="D3251" s="11" t="str">
        <f t="shared" si="260"/>
        <v/>
      </c>
      <c r="E3251" s="11" t="str">
        <f t="shared" si="257"/>
        <v/>
      </c>
      <c r="F3251" s="11" t="str">
        <f t="shared" si="258"/>
        <v/>
      </c>
      <c r="G3251" s="10" t="str">
        <v/>
      </c>
      <c r="H3251" s="11" t="str">
        <v/>
      </c>
      <c r="I3251" s="11" t="str">
        <v/>
      </c>
    </row>
    <row r="3252" spans="2:9">
      <c r="B3252" s="11" t="str">
        <f t="shared" si="256"/>
        <v/>
      </c>
      <c r="C3252" s="11" t="str">
        <f t="shared" si="259"/>
        <v/>
      </c>
      <c r="D3252" s="11" t="str">
        <f t="shared" si="260"/>
        <v/>
      </c>
      <c r="E3252" s="11" t="str">
        <f t="shared" si="257"/>
        <v/>
      </c>
      <c r="F3252" s="11" t="str">
        <f t="shared" si="258"/>
        <v/>
      </c>
      <c r="G3252" s="10" t="str">
        <v/>
      </c>
      <c r="H3252" s="11" t="str">
        <v/>
      </c>
      <c r="I3252" s="11" t="str">
        <v/>
      </c>
    </row>
    <row r="3253" spans="2:9">
      <c r="B3253" s="11" t="str">
        <f t="shared" si="256"/>
        <v/>
      </c>
      <c r="C3253" s="11" t="str">
        <f t="shared" si="259"/>
        <v/>
      </c>
      <c r="D3253" s="11" t="str">
        <f t="shared" si="260"/>
        <v/>
      </c>
      <c r="E3253" s="11" t="str">
        <f t="shared" si="257"/>
        <v/>
      </c>
      <c r="F3253" s="11" t="str">
        <f t="shared" si="258"/>
        <v/>
      </c>
      <c r="G3253" s="10" t="str">
        <v/>
      </c>
      <c r="H3253" s="11" t="str">
        <v/>
      </c>
      <c r="I3253" s="11" t="str">
        <v/>
      </c>
    </row>
    <row r="3254" spans="2:9">
      <c r="B3254" s="11" t="str">
        <f t="shared" si="256"/>
        <v/>
      </c>
      <c r="C3254" s="11" t="str">
        <f t="shared" si="259"/>
        <v/>
      </c>
      <c r="D3254" s="11" t="str">
        <f t="shared" si="260"/>
        <v/>
      </c>
      <c r="E3254" s="11" t="str">
        <f t="shared" si="257"/>
        <v/>
      </c>
      <c r="F3254" s="11" t="str">
        <f t="shared" si="258"/>
        <v/>
      </c>
      <c r="G3254" s="10" t="str">
        <v/>
      </c>
      <c r="H3254" s="11" t="str">
        <v/>
      </c>
      <c r="I3254" s="11" t="str">
        <v/>
      </c>
    </row>
    <row r="3255" spans="2:9">
      <c r="B3255" s="11" t="str">
        <f t="shared" si="256"/>
        <v/>
      </c>
      <c r="C3255" s="11" t="str">
        <f t="shared" si="259"/>
        <v/>
      </c>
      <c r="D3255" s="11" t="str">
        <f t="shared" si="260"/>
        <v/>
      </c>
      <c r="E3255" s="11" t="str">
        <f t="shared" si="257"/>
        <v/>
      </c>
      <c r="F3255" s="11" t="str">
        <f t="shared" si="258"/>
        <v/>
      </c>
      <c r="G3255" s="10" t="str">
        <v/>
      </c>
      <c r="H3255" s="11" t="str">
        <v/>
      </c>
      <c r="I3255" s="11" t="str">
        <v/>
      </c>
    </row>
    <row r="3256" spans="2:9">
      <c r="B3256" s="11" t="str">
        <f t="shared" si="256"/>
        <v/>
      </c>
      <c r="C3256" s="11" t="str">
        <f t="shared" si="259"/>
        <v/>
      </c>
      <c r="D3256" s="11" t="str">
        <f t="shared" si="260"/>
        <v/>
      </c>
      <c r="E3256" s="11" t="str">
        <f t="shared" si="257"/>
        <v/>
      </c>
      <c r="F3256" s="11" t="str">
        <f t="shared" si="258"/>
        <v/>
      </c>
      <c r="G3256" s="10" t="str">
        <v/>
      </c>
      <c r="H3256" s="11" t="str">
        <v/>
      </c>
      <c r="I3256" s="11" t="str">
        <v/>
      </c>
    </row>
    <row r="3257" spans="2:9">
      <c r="B3257" s="11" t="str">
        <f t="shared" si="256"/>
        <v/>
      </c>
      <c r="C3257" s="11" t="str">
        <f t="shared" si="259"/>
        <v/>
      </c>
      <c r="D3257" s="11" t="str">
        <f t="shared" si="260"/>
        <v/>
      </c>
      <c r="E3257" s="11" t="str">
        <f t="shared" si="257"/>
        <v/>
      </c>
      <c r="F3257" s="11" t="str">
        <f t="shared" si="258"/>
        <v/>
      </c>
      <c r="G3257" s="10" t="str">
        <v/>
      </c>
      <c r="H3257" s="11" t="str">
        <v/>
      </c>
      <c r="I3257" s="11" t="str">
        <v/>
      </c>
    </row>
    <row r="3258" spans="2:9">
      <c r="B3258" s="11" t="str">
        <f t="shared" si="256"/>
        <v/>
      </c>
      <c r="C3258" s="11" t="str">
        <f t="shared" si="259"/>
        <v/>
      </c>
      <c r="D3258" s="11" t="str">
        <f t="shared" si="260"/>
        <v/>
      </c>
      <c r="E3258" s="11" t="str">
        <f t="shared" si="257"/>
        <v/>
      </c>
      <c r="F3258" s="11" t="str">
        <f t="shared" si="258"/>
        <v/>
      </c>
      <c r="G3258" s="10" t="str">
        <v/>
      </c>
      <c r="H3258" s="11" t="str">
        <v/>
      </c>
      <c r="I3258" s="11" t="str">
        <v/>
      </c>
    </row>
    <row r="3259" spans="2:9">
      <c r="B3259" s="11" t="str">
        <f t="shared" si="256"/>
        <v/>
      </c>
      <c r="C3259" s="11" t="str">
        <f t="shared" si="259"/>
        <v/>
      </c>
      <c r="D3259" s="11" t="str">
        <f t="shared" si="260"/>
        <v/>
      </c>
      <c r="E3259" s="11" t="str">
        <f t="shared" si="257"/>
        <v/>
      </c>
      <c r="F3259" s="11" t="str">
        <f t="shared" si="258"/>
        <v/>
      </c>
      <c r="G3259" s="10" t="str">
        <v/>
      </c>
      <c r="H3259" s="11" t="str">
        <v/>
      </c>
      <c r="I3259" s="11" t="str">
        <v/>
      </c>
    </row>
    <row r="3260" spans="2:9">
      <c r="B3260" s="11" t="str">
        <f t="shared" si="256"/>
        <v/>
      </c>
      <c r="C3260" s="11" t="str">
        <f t="shared" si="259"/>
        <v/>
      </c>
      <c r="D3260" s="11" t="str">
        <f t="shared" si="260"/>
        <v/>
      </c>
      <c r="E3260" s="11" t="str">
        <f t="shared" si="257"/>
        <v/>
      </c>
      <c r="F3260" s="11" t="str">
        <f t="shared" si="258"/>
        <v/>
      </c>
      <c r="G3260" s="10" t="str">
        <v/>
      </c>
      <c r="H3260" s="11" t="str">
        <v/>
      </c>
      <c r="I3260" s="11" t="str">
        <v/>
      </c>
    </row>
    <row r="3261" spans="2:9">
      <c r="B3261" s="11" t="str">
        <f t="shared" si="256"/>
        <v/>
      </c>
      <c r="C3261" s="11" t="str">
        <f t="shared" si="259"/>
        <v/>
      </c>
      <c r="D3261" s="11" t="str">
        <f t="shared" si="260"/>
        <v/>
      </c>
      <c r="E3261" s="11" t="str">
        <f t="shared" si="257"/>
        <v/>
      </c>
      <c r="F3261" s="11" t="str">
        <f t="shared" si="258"/>
        <v/>
      </c>
      <c r="G3261" s="10" t="str">
        <v/>
      </c>
      <c r="H3261" s="11" t="str">
        <v/>
      </c>
      <c r="I3261" s="11" t="str">
        <v/>
      </c>
    </row>
    <row r="3262" spans="2:9">
      <c r="B3262" s="11" t="str">
        <f t="shared" si="256"/>
        <v/>
      </c>
      <c r="C3262" s="11" t="str">
        <f t="shared" si="259"/>
        <v/>
      </c>
      <c r="D3262" s="11" t="str">
        <f t="shared" si="260"/>
        <v/>
      </c>
      <c r="E3262" s="11" t="str">
        <f t="shared" si="257"/>
        <v/>
      </c>
      <c r="F3262" s="11" t="str">
        <f t="shared" si="258"/>
        <v/>
      </c>
      <c r="G3262" s="10" t="str">
        <v/>
      </c>
      <c r="H3262" s="11" t="str">
        <v/>
      </c>
      <c r="I3262" s="11" t="str">
        <v/>
      </c>
    </row>
    <row r="3263" spans="2:9">
      <c r="B3263" s="11" t="str">
        <f t="shared" si="256"/>
        <v/>
      </c>
      <c r="C3263" s="11" t="str">
        <f t="shared" si="259"/>
        <v/>
      </c>
      <c r="D3263" s="11" t="str">
        <f t="shared" si="260"/>
        <v/>
      </c>
      <c r="E3263" s="11" t="str">
        <f t="shared" si="257"/>
        <v/>
      </c>
      <c r="F3263" s="11" t="str">
        <f t="shared" si="258"/>
        <v/>
      </c>
      <c r="G3263" s="10" t="str">
        <v/>
      </c>
      <c r="H3263" s="11" t="str">
        <v/>
      </c>
      <c r="I3263" s="11" t="str">
        <v/>
      </c>
    </row>
    <row r="3264" spans="2:9">
      <c r="B3264" s="11" t="str">
        <f t="shared" si="256"/>
        <v/>
      </c>
      <c r="C3264" s="11" t="str">
        <f t="shared" si="259"/>
        <v/>
      </c>
      <c r="D3264" s="11" t="str">
        <f t="shared" si="260"/>
        <v/>
      </c>
      <c r="E3264" s="11" t="str">
        <f t="shared" si="257"/>
        <v/>
      </c>
      <c r="F3264" s="11" t="str">
        <f t="shared" si="258"/>
        <v/>
      </c>
      <c r="G3264" s="10" t="str">
        <v/>
      </c>
      <c r="H3264" s="11" t="str">
        <v/>
      </c>
      <c r="I3264" s="11" t="str">
        <v/>
      </c>
    </row>
    <row r="3265" spans="2:9">
      <c r="B3265" s="11" t="str">
        <f t="shared" ref="B3265:B3328" si="261">IFERROR(IF(FIND(" ",A3265)=6,IF(IFERROR(FIND(" PB",A3265),"")&lt;&gt;"","артикул",IF(IFERROR(FIND(" CRN",A3265),"")&lt;&gt;"","артикул","")),""),"")</f>
        <v/>
      </c>
      <c r="C3265" s="11" t="str">
        <f t="shared" si="259"/>
        <v/>
      </c>
      <c r="D3265" s="11" t="str">
        <f t="shared" si="260"/>
        <v/>
      </c>
      <c r="E3265" s="11" t="str">
        <f t="shared" si="257"/>
        <v/>
      </c>
      <c r="F3265" s="11" t="str">
        <f t="shared" si="258"/>
        <v/>
      </c>
      <c r="G3265" s="10" t="str">
        <v/>
      </c>
      <c r="H3265" s="11" t="str">
        <v/>
      </c>
      <c r="I3265" s="11" t="str">
        <v/>
      </c>
    </row>
    <row r="3266" spans="2:9">
      <c r="B3266" s="11" t="str">
        <f t="shared" si="261"/>
        <v/>
      </c>
      <c r="C3266" s="11" t="str">
        <f t="shared" si="259"/>
        <v/>
      </c>
      <c r="D3266" s="11" t="str">
        <f t="shared" si="260"/>
        <v/>
      </c>
      <c r="E3266" s="11" t="str">
        <f t="shared" ref="E3266:E3329" si="262" xml:space="preserve">
IF(B3266="Артикул",
IF(
AND(RIGHT(A3267,1)="%",
RIGHT(A3268,1)="%",
RIGHT(A3269,1)="%",
RIGHT(A3270,1)="%"),MID(A3271,FIND(" ",A3271),50),
IF(
AND(RIGHT(A3267,1)="%",
RIGHT(A3268,1)="%",
RIGHT(A3269,1)="%"),MID(A3270,FIND(" ",A3270),50),
IF(
AND(RIGHT(A3267,1)="%",
RIGHT(A3268,1)="%"),
MID(A3269,FIND(" ",A3269),50),
IF(
RIGHT(A3267,1)="%",
MID(A3268,FIND(" ",A3268),50),"")))),"")</f>
        <v/>
      </c>
      <c r="F3266" s="11" t="str">
        <f t="shared" ref="F3266:F3329" si="263">IFERROR(
IF(
AND(LEFT(A3266,8)="Discount",FIND("%",A3266)&gt;0),
MID(A3266,
FIND(" ",A3266),
FIND("%",A3266)-FIND(" ",A3266))
*-1,""),"")</f>
        <v/>
      </c>
      <c r="G3266" s="10" t="str">
        <v/>
      </c>
      <c r="H3266" s="11" t="str">
        <v/>
      </c>
      <c r="I3266" s="11" t="str">
        <v/>
      </c>
    </row>
    <row r="3267" spans="2:9">
      <c r="B3267" s="11" t="str">
        <f t="shared" si="261"/>
        <v/>
      </c>
      <c r="C3267" s="11" t="str">
        <f t="shared" si="259"/>
        <v/>
      </c>
      <c r="D3267" s="11" t="str">
        <f t="shared" si="260"/>
        <v/>
      </c>
      <c r="E3267" s="11" t="str">
        <f t="shared" si="262"/>
        <v/>
      </c>
      <c r="F3267" s="11" t="str">
        <f t="shared" si="263"/>
        <v/>
      </c>
      <c r="G3267" s="10" t="str">
        <v/>
      </c>
      <c r="H3267" s="11" t="str">
        <v/>
      </c>
      <c r="I3267" s="11" t="str">
        <v/>
      </c>
    </row>
    <row r="3268" spans="2:9">
      <c r="B3268" s="11" t="str">
        <f t="shared" si="261"/>
        <v/>
      </c>
      <c r="C3268" s="11" t="str">
        <f t="shared" si="259"/>
        <v/>
      </c>
      <c r="D3268" s="11" t="str">
        <f t="shared" si="260"/>
        <v/>
      </c>
      <c r="E3268" s="11" t="str">
        <f t="shared" si="262"/>
        <v/>
      </c>
      <c r="F3268" s="11" t="str">
        <f t="shared" si="263"/>
        <v/>
      </c>
      <c r="G3268" s="10" t="str">
        <v/>
      </c>
      <c r="H3268" s="11" t="str">
        <v/>
      </c>
      <c r="I3268" s="11" t="str">
        <v/>
      </c>
    </row>
    <row r="3269" spans="2:9">
      <c r="B3269" s="11" t="str">
        <f t="shared" si="261"/>
        <v/>
      </c>
      <c r="C3269" s="11" t="str">
        <f t="shared" si="259"/>
        <v/>
      </c>
      <c r="D3269" s="11" t="str">
        <f t="shared" si="260"/>
        <v/>
      </c>
      <c r="E3269" s="11" t="str">
        <f t="shared" si="262"/>
        <v/>
      </c>
      <c r="F3269" s="11" t="str">
        <f t="shared" si="263"/>
        <v/>
      </c>
      <c r="G3269" s="10" t="str">
        <v/>
      </c>
      <c r="H3269" s="11" t="str">
        <v/>
      </c>
      <c r="I3269" s="11" t="str">
        <v/>
      </c>
    </row>
    <row r="3270" spans="2:9">
      <c r="B3270" s="11" t="str">
        <f t="shared" si="261"/>
        <v/>
      </c>
      <c r="C3270" s="11" t="str">
        <f t="shared" si="259"/>
        <v/>
      </c>
      <c r="D3270" s="11" t="str">
        <f t="shared" si="260"/>
        <v/>
      </c>
      <c r="E3270" s="11" t="str">
        <f t="shared" si="262"/>
        <v/>
      </c>
      <c r="F3270" s="11" t="str">
        <f t="shared" si="263"/>
        <v/>
      </c>
      <c r="G3270" s="10" t="str">
        <v/>
      </c>
      <c r="H3270" s="11" t="str">
        <v/>
      </c>
      <c r="I3270" s="11" t="str">
        <v/>
      </c>
    </row>
    <row r="3271" spans="2:9">
      <c r="B3271" s="11" t="str">
        <f t="shared" si="261"/>
        <v/>
      </c>
      <c r="C3271" s="11" t="str">
        <f t="shared" si="259"/>
        <v/>
      </c>
      <c r="D3271" s="11" t="str">
        <f t="shared" si="260"/>
        <v/>
      </c>
      <c r="E3271" s="11" t="str">
        <f t="shared" si="262"/>
        <v/>
      </c>
      <c r="F3271" s="11" t="str">
        <f t="shared" si="263"/>
        <v/>
      </c>
      <c r="G3271" s="10" t="str">
        <v/>
      </c>
      <c r="H3271" s="11" t="str">
        <v/>
      </c>
      <c r="I3271" s="11" t="str">
        <v/>
      </c>
    </row>
    <row r="3272" spans="2:9">
      <c r="B3272" s="11" t="str">
        <f t="shared" si="261"/>
        <v/>
      </c>
      <c r="C3272" s="11" t="str">
        <f t="shared" si="259"/>
        <v/>
      </c>
      <c r="D3272" s="11" t="str">
        <f t="shared" si="260"/>
        <v/>
      </c>
      <c r="E3272" s="11" t="str">
        <f t="shared" si="262"/>
        <v/>
      </c>
      <c r="F3272" s="11" t="str">
        <f t="shared" si="263"/>
        <v/>
      </c>
      <c r="G3272" s="10" t="str">
        <v/>
      </c>
      <c r="H3272" s="11" t="str">
        <v/>
      </c>
      <c r="I3272" s="11" t="str">
        <v/>
      </c>
    </row>
    <row r="3273" spans="2:9">
      <c r="B3273" s="11" t="str">
        <f t="shared" si="261"/>
        <v/>
      </c>
      <c r="C3273" s="11" t="str">
        <f t="shared" si="259"/>
        <v/>
      </c>
      <c r="D3273" s="11" t="str">
        <f t="shared" si="260"/>
        <v/>
      </c>
      <c r="E3273" s="11" t="str">
        <f t="shared" si="262"/>
        <v/>
      </c>
      <c r="F3273" s="11" t="str">
        <f t="shared" si="263"/>
        <v/>
      </c>
      <c r="G3273" s="10" t="str">
        <v/>
      </c>
      <c r="H3273" s="11" t="str">
        <v/>
      </c>
      <c r="I3273" s="11" t="str">
        <v/>
      </c>
    </row>
    <row r="3274" spans="2:9">
      <c r="B3274" s="11" t="str">
        <f t="shared" si="261"/>
        <v/>
      </c>
      <c r="C3274" s="11" t="str">
        <f t="shared" si="259"/>
        <v/>
      </c>
      <c r="D3274" s="11" t="str">
        <f t="shared" si="260"/>
        <v/>
      </c>
      <c r="E3274" s="11" t="str">
        <f t="shared" si="262"/>
        <v/>
      </c>
      <c r="F3274" s="11" t="str">
        <f t="shared" si="263"/>
        <v/>
      </c>
      <c r="G3274" s="10" t="str">
        <v/>
      </c>
      <c r="H3274" s="11" t="str">
        <v/>
      </c>
      <c r="I3274" s="11" t="str">
        <v/>
      </c>
    </row>
    <row r="3275" spans="2:9">
      <c r="B3275" s="11" t="str">
        <f t="shared" si="261"/>
        <v/>
      </c>
      <c r="C3275" s="11" t="str">
        <f t="shared" si="259"/>
        <v/>
      </c>
      <c r="D3275" s="11" t="str">
        <f t="shared" si="260"/>
        <v/>
      </c>
      <c r="E3275" s="11" t="str">
        <f t="shared" si="262"/>
        <v/>
      </c>
      <c r="F3275" s="11" t="str">
        <f t="shared" si="263"/>
        <v/>
      </c>
      <c r="G3275" s="10" t="str">
        <v/>
      </c>
      <c r="H3275" s="11" t="str">
        <v/>
      </c>
      <c r="I3275" s="11" t="str">
        <v/>
      </c>
    </row>
    <row r="3276" spans="2:9">
      <c r="B3276" s="11" t="str">
        <f t="shared" si="261"/>
        <v/>
      </c>
      <c r="C3276" s="11" t="str">
        <f t="shared" si="259"/>
        <v/>
      </c>
      <c r="D3276" s="11" t="str">
        <f t="shared" si="260"/>
        <v/>
      </c>
      <c r="E3276" s="11" t="str">
        <f t="shared" si="262"/>
        <v/>
      </c>
      <c r="F3276" s="11" t="str">
        <f t="shared" si="263"/>
        <v/>
      </c>
      <c r="G3276" s="10" t="str">
        <v/>
      </c>
      <c r="H3276" s="11" t="str">
        <v/>
      </c>
      <c r="I3276" s="11" t="str">
        <v/>
      </c>
    </row>
    <row r="3277" spans="2:9">
      <c r="B3277" s="11" t="str">
        <f t="shared" si="261"/>
        <v/>
      </c>
      <c r="C3277" s="11" t="str">
        <f t="shared" ref="C3277:C3340" si="264">IF(B3277="артикул",A3277,"")</f>
        <v/>
      </c>
      <c r="D3277" s="11" t="str">
        <f t="shared" ref="D3277:D3340" si="265">IF(B3277="артикул",A3278,"")</f>
        <v/>
      </c>
      <c r="E3277" s="11" t="str">
        <f t="shared" si="262"/>
        <v/>
      </c>
      <c r="F3277" s="11" t="str">
        <f t="shared" si="263"/>
        <v/>
      </c>
      <c r="G3277" s="10" t="str">
        <v/>
      </c>
      <c r="H3277" s="11" t="str">
        <v/>
      </c>
      <c r="I3277" s="11" t="str">
        <v/>
      </c>
    </row>
    <row r="3278" spans="2:9">
      <c r="B3278" s="11" t="str">
        <f t="shared" si="261"/>
        <v/>
      </c>
      <c r="C3278" s="11" t="str">
        <f t="shared" si="264"/>
        <v/>
      </c>
      <c r="D3278" s="11" t="str">
        <f t="shared" si="265"/>
        <v/>
      </c>
      <c r="E3278" s="11" t="str">
        <f t="shared" si="262"/>
        <v/>
      </c>
      <c r="F3278" s="11" t="str">
        <f t="shared" si="263"/>
        <v/>
      </c>
      <c r="G3278" s="10" t="str">
        <v/>
      </c>
      <c r="H3278" s="11" t="str">
        <v/>
      </c>
      <c r="I3278" s="11" t="str">
        <v/>
      </c>
    </row>
    <row r="3279" spans="2:9">
      <c r="B3279" s="11" t="str">
        <f t="shared" si="261"/>
        <v/>
      </c>
      <c r="C3279" s="11" t="str">
        <f t="shared" si="264"/>
        <v/>
      </c>
      <c r="D3279" s="11" t="str">
        <f t="shared" si="265"/>
        <v/>
      </c>
      <c r="E3279" s="11" t="str">
        <f t="shared" si="262"/>
        <v/>
      </c>
      <c r="F3279" s="11" t="str">
        <f t="shared" si="263"/>
        <v/>
      </c>
      <c r="G3279" s="10" t="str">
        <v/>
      </c>
      <c r="H3279" s="11" t="str">
        <v/>
      </c>
      <c r="I3279" s="11" t="str">
        <v/>
      </c>
    </row>
    <row r="3280" spans="2:9">
      <c r="B3280" s="11" t="str">
        <f t="shared" si="261"/>
        <v/>
      </c>
      <c r="C3280" s="11" t="str">
        <f t="shared" si="264"/>
        <v/>
      </c>
      <c r="D3280" s="11" t="str">
        <f t="shared" si="265"/>
        <v/>
      </c>
      <c r="E3280" s="11" t="str">
        <f t="shared" si="262"/>
        <v/>
      </c>
      <c r="F3280" s="11" t="str">
        <f t="shared" si="263"/>
        <v/>
      </c>
      <c r="G3280" s="10" t="str">
        <v/>
      </c>
      <c r="H3280" s="11" t="str">
        <v/>
      </c>
      <c r="I3280" s="11" t="str">
        <v/>
      </c>
    </row>
    <row r="3281" spans="2:9">
      <c r="B3281" s="11" t="str">
        <f t="shared" si="261"/>
        <v/>
      </c>
      <c r="C3281" s="11" t="str">
        <f t="shared" si="264"/>
        <v/>
      </c>
      <c r="D3281" s="11" t="str">
        <f t="shared" si="265"/>
        <v/>
      </c>
      <c r="E3281" s="11" t="str">
        <f t="shared" si="262"/>
        <v/>
      </c>
      <c r="F3281" s="11" t="str">
        <f t="shared" si="263"/>
        <v/>
      </c>
      <c r="G3281" s="10" t="str">
        <v/>
      </c>
      <c r="H3281" s="11" t="str">
        <v/>
      </c>
      <c r="I3281" s="11" t="str">
        <v/>
      </c>
    </row>
    <row r="3282" spans="2:9">
      <c r="B3282" s="11" t="str">
        <f t="shared" si="261"/>
        <v/>
      </c>
      <c r="C3282" s="11" t="str">
        <f t="shared" si="264"/>
        <v/>
      </c>
      <c r="D3282" s="11" t="str">
        <f t="shared" si="265"/>
        <v/>
      </c>
      <c r="E3282" s="11" t="str">
        <f t="shared" si="262"/>
        <v/>
      </c>
      <c r="F3282" s="11" t="str">
        <f t="shared" si="263"/>
        <v/>
      </c>
      <c r="G3282" s="10" t="str">
        <v/>
      </c>
      <c r="H3282" s="11" t="str">
        <v/>
      </c>
      <c r="I3282" s="11" t="str">
        <v/>
      </c>
    </row>
    <row r="3283" spans="2:9">
      <c r="B3283" s="11" t="str">
        <f t="shared" si="261"/>
        <v/>
      </c>
      <c r="C3283" s="11" t="str">
        <f t="shared" si="264"/>
        <v/>
      </c>
      <c r="D3283" s="11" t="str">
        <f t="shared" si="265"/>
        <v/>
      </c>
      <c r="E3283" s="11" t="str">
        <f t="shared" si="262"/>
        <v/>
      </c>
      <c r="F3283" s="11" t="str">
        <f t="shared" si="263"/>
        <v/>
      </c>
      <c r="G3283" s="10" t="str">
        <v/>
      </c>
      <c r="H3283" s="11" t="str">
        <v/>
      </c>
      <c r="I3283" s="11" t="str">
        <v/>
      </c>
    </row>
    <row r="3284" spans="2:9">
      <c r="B3284" s="11" t="str">
        <f t="shared" si="261"/>
        <v/>
      </c>
      <c r="C3284" s="11" t="str">
        <f t="shared" si="264"/>
        <v/>
      </c>
      <c r="D3284" s="11" t="str">
        <f t="shared" si="265"/>
        <v/>
      </c>
      <c r="E3284" s="11" t="str">
        <f t="shared" si="262"/>
        <v/>
      </c>
      <c r="F3284" s="11" t="str">
        <f t="shared" si="263"/>
        <v/>
      </c>
      <c r="G3284" s="10" t="str">
        <v/>
      </c>
      <c r="H3284" s="11" t="str">
        <v/>
      </c>
      <c r="I3284" s="11" t="str">
        <v/>
      </c>
    </row>
    <row r="3285" spans="2:9">
      <c r="B3285" s="11" t="str">
        <f t="shared" si="261"/>
        <v/>
      </c>
      <c r="C3285" s="11" t="str">
        <f t="shared" si="264"/>
        <v/>
      </c>
      <c r="D3285" s="11" t="str">
        <f t="shared" si="265"/>
        <v/>
      </c>
      <c r="E3285" s="11" t="str">
        <f t="shared" si="262"/>
        <v/>
      </c>
      <c r="F3285" s="11" t="str">
        <f t="shared" si="263"/>
        <v/>
      </c>
      <c r="G3285" s="10" t="str">
        <v/>
      </c>
      <c r="H3285" s="11" t="str">
        <v/>
      </c>
      <c r="I3285" s="11" t="str">
        <v/>
      </c>
    </row>
    <row r="3286" spans="2:9">
      <c r="B3286" s="11" t="str">
        <f t="shared" si="261"/>
        <v/>
      </c>
      <c r="C3286" s="11" t="str">
        <f t="shared" si="264"/>
        <v/>
      </c>
      <c r="D3286" s="11" t="str">
        <f t="shared" si="265"/>
        <v/>
      </c>
      <c r="E3286" s="11" t="str">
        <f t="shared" si="262"/>
        <v/>
      </c>
      <c r="F3286" s="11" t="str">
        <f t="shared" si="263"/>
        <v/>
      </c>
      <c r="G3286" s="10" t="str">
        <v/>
      </c>
      <c r="H3286" s="11" t="str">
        <v/>
      </c>
      <c r="I3286" s="11" t="str">
        <v/>
      </c>
    </row>
    <row r="3287" spans="2:9">
      <c r="B3287" s="11" t="str">
        <f t="shared" si="261"/>
        <v/>
      </c>
      <c r="C3287" s="11" t="str">
        <f t="shared" si="264"/>
        <v/>
      </c>
      <c r="D3287" s="11" t="str">
        <f t="shared" si="265"/>
        <v/>
      </c>
      <c r="E3287" s="11" t="str">
        <f t="shared" si="262"/>
        <v/>
      </c>
      <c r="F3287" s="11" t="str">
        <f t="shared" si="263"/>
        <v/>
      </c>
      <c r="G3287" s="10" t="str">
        <v/>
      </c>
      <c r="H3287" s="11" t="str">
        <v/>
      </c>
      <c r="I3287" s="11" t="str">
        <v/>
      </c>
    </row>
    <row r="3288" spans="2:9">
      <c r="B3288" s="11" t="str">
        <f t="shared" si="261"/>
        <v/>
      </c>
      <c r="C3288" s="11" t="str">
        <f t="shared" si="264"/>
        <v/>
      </c>
      <c r="D3288" s="11" t="str">
        <f t="shared" si="265"/>
        <v/>
      </c>
      <c r="E3288" s="11" t="str">
        <f t="shared" si="262"/>
        <v/>
      </c>
      <c r="F3288" s="11" t="str">
        <f t="shared" si="263"/>
        <v/>
      </c>
      <c r="G3288" s="10" t="str">
        <v/>
      </c>
      <c r="H3288" s="11" t="str">
        <v/>
      </c>
      <c r="I3288" s="11" t="str">
        <v/>
      </c>
    </row>
    <row r="3289" spans="2:9">
      <c r="B3289" s="11" t="str">
        <f t="shared" si="261"/>
        <v/>
      </c>
      <c r="C3289" s="11" t="str">
        <f t="shared" si="264"/>
        <v/>
      </c>
      <c r="D3289" s="11" t="str">
        <f t="shared" si="265"/>
        <v/>
      </c>
      <c r="E3289" s="11" t="str">
        <f t="shared" si="262"/>
        <v/>
      </c>
      <c r="F3289" s="11" t="str">
        <f t="shared" si="263"/>
        <v/>
      </c>
      <c r="G3289" s="10" t="str">
        <v/>
      </c>
      <c r="H3289" s="11" t="str">
        <v/>
      </c>
      <c r="I3289" s="11" t="str">
        <v/>
      </c>
    </row>
    <row r="3290" spans="2:9">
      <c r="B3290" s="11" t="str">
        <f t="shared" si="261"/>
        <v/>
      </c>
      <c r="C3290" s="11" t="str">
        <f t="shared" si="264"/>
        <v/>
      </c>
      <c r="D3290" s="11" t="str">
        <f t="shared" si="265"/>
        <v/>
      </c>
      <c r="E3290" s="11" t="str">
        <f t="shared" si="262"/>
        <v/>
      </c>
      <c r="F3290" s="11" t="str">
        <f t="shared" si="263"/>
        <v/>
      </c>
      <c r="G3290" s="10" t="str">
        <v/>
      </c>
      <c r="H3290" s="11" t="str">
        <v/>
      </c>
      <c r="I3290" s="11" t="str">
        <v/>
      </c>
    </row>
    <row r="3291" spans="2:9">
      <c r="B3291" s="11" t="str">
        <f t="shared" si="261"/>
        <v/>
      </c>
      <c r="C3291" s="11" t="str">
        <f t="shared" si="264"/>
        <v/>
      </c>
      <c r="D3291" s="11" t="str">
        <f t="shared" si="265"/>
        <v/>
      </c>
      <c r="E3291" s="11" t="str">
        <f t="shared" si="262"/>
        <v/>
      </c>
      <c r="F3291" s="11" t="str">
        <f t="shared" si="263"/>
        <v/>
      </c>
      <c r="G3291" s="10" t="str">
        <v/>
      </c>
      <c r="H3291" s="11" t="str">
        <v/>
      </c>
      <c r="I3291" s="11" t="str">
        <v/>
      </c>
    </row>
    <row r="3292" spans="2:9">
      <c r="B3292" s="11" t="str">
        <f t="shared" si="261"/>
        <v/>
      </c>
      <c r="C3292" s="11" t="str">
        <f t="shared" si="264"/>
        <v/>
      </c>
      <c r="D3292" s="11" t="str">
        <f t="shared" si="265"/>
        <v/>
      </c>
      <c r="E3292" s="11" t="str">
        <f t="shared" si="262"/>
        <v/>
      </c>
      <c r="F3292" s="11" t="str">
        <f t="shared" si="263"/>
        <v/>
      </c>
      <c r="G3292" s="10" t="str">
        <v/>
      </c>
      <c r="H3292" s="11" t="str">
        <v/>
      </c>
      <c r="I3292" s="11" t="str">
        <v/>
      </c>
    </row>
    <row r="3293" spans="2:9">
      <c r="B3293" s="11" t="str">
        <f t="shared" si="261"/>
        <v/>
      </c>
      <c r="C3293" s="11" t="str">
        <f t="shared" si="264"/>
        <v/>
      </c>
      <c r="D3293" s="11" t="str">
        <f t="shared" si="265"/>
        <v/>
      </c>
      <c r="E3293" s="11" t="str">
        <f t="shared" si="262"/>
        <v/>
      </c>
      <c r="F3293" s="11" t="str">
        <f t="shared" si="263"/>
        <v/>
      </c>
      <c r="G3293" s="10" t="str">
        <v/>
      </c>
      <c r="H3293" s="11" t="str">
        <v/>
      </c>
      <c r="I3293" s="11" t="str">
        <v/>
      </c>
    </row>
    <row r="3294" spans="2:9">
      <c r="B3294" s="11" t="str">
        <f t="shared" si="261"/>
        <v/>
      </c>
      <c r="C3294" s="11" t="str">
        <f t="shared" si="264"/>
        <v/>
      </c>
      <c r="D3294" s="11" t="str">
        <f t="shared" si="265"/>
        <v/>
      </c>
      <c r="E3294" s="11" t="str">
        <f t="shared" si="262"/>
        <v/>
      </c>
      <c r="F3294" s="11" t="str">
        <f t="shared" si="263"/>
        <v/>
      </c>
      <c r="G3294" s="10" t="str">
        <v/>
      </c>
      <c r="H3294" s="11" t="str">
        <v/>
      </c>
      <c r="I3294" s="11" t="str">
        <v/>
      </c>
    </row>
    <row r="3295" spans="2:9">
      <c r="B3295" s="11" t="str">
        <f t="shared" si="261"/>
        <v/>
      </c>
      <c r="C3295" s="11" t="str">
        <f t="shared" si="264"/>
        <v/>
      </c>
      <c r="D3295" s="11" t="str">
        <f t="shared" si="265"/>
        <v/>
      </c>
      <c r="E3295" s="11" t="str">
        <f t="shared" si="262"/>
        <v/>
      </c>
      <c r="F3295" s="11" t="str">
        <f t="shared" si="263"/>
        <v/>
      </c>
      <c r="G3295" s="10" t="str">
        <v/>
      </c>
      <c r="H3295" s="11" t="str">
        <v/>
      </c>
      <c r="I3295" s="11" t="str">
        <v/>
      </c>
    </row>
    <row r="3296" spans="2:9">
      <c r="B3296" s="11" t="str">
        <f t="shared" si="261"/>
        <v/>
      </c>
      <c r="C3296" s="11" t="str">
        <f t="shared" si="264"/>
        <v/>
      </c>
      <c r="D3296" s="11" t="str">
        <f t="shared" si="265"/>
        <v/>
      </c>
      <c r="E3296" s="11" t="str">
        <f t="shared" si="262"/>
        <v/>
      </c>
      <c r="F3296" s="11" t="str">
        <f t="shared" si="263"/>
        <v/>
      </c>
      <c r="G3296" s="10" t="str">
        <v/>
      </c>
      <c r="H3296" s="11" t="str">
        <v/>
      </c>
      <c r="I3296" s="11" t="str">
        <v/>
      </c>
    </row>
    <row r="3297" spans="2:9">
      <c r="B3297" s="11" t="str">
        <f t="shared" si="261"/>
        <v/>
      </c>
      <c r="C3297" s="11" t="str">
        <f t="shared" si="264"/>
        <v/>
      </c>
      <c r="D3297" s="11" t="str">
        <f t="shared" si="265"/>
        <v/>
      </c>
      <c r="E3297" s="11" t="str">
        <f t="shared" si="262"/>
        <v/>
      </c>
      <c r="F3297" s="11" t="str">
        <f t="shared" si="263"/>
        <v/>
      </c>
      <c r="G3297" s="10" t="str">
        <v/>
      </c>
      <c r="H3297" s="11" t="str">
        <v/>
      </c>
      <c r="I3297" s="11" t="str">
        <v/>
      </c>
    </row>
    <row r="3298" spans="2:9">
      <c r="B3298" s="11" t="str">
        <f t="shared" si="261"/>
        <v/>
      </c>
      <c r="C3298" s="11" t="str">
        <f t="shared" si="264"/>
        <v/>
      </c>
      <c r="D3298" s="11" t="str">
        <f t="shared" si="265"/>
        <v/>
      </c>
      <c r="E3298" s="11" t="str">
        <f t="shared" si="262"/>
        <v/>
      </c>
      <c r="F3298" s="11" t="str">
        <f t="shared" si="263"/>
        <v/>
      </c>
      <c r="G3298" s="10" t="str">
        <v/>
      </c>
      <c r="H3298" s="11" t="str">
        <v/>
      </c>
      <c r="I3298" s="11" t="str">
        <v/>
      </c>
    </row>
    <row r="3299" spans="2:9">
      <c r="B3299" s="11" t="str">
        <f t="shared" si="261"/>
        <v/>
      </c>
      <c r="C3299" s="11" t="str">
        <f t="shared" si="264"/>
        <v/>
      </c>
      <c r="D3299" s="11" t="str">
        <f t="shared" si="265"/>
        <v/>
      </c>
      <c r="E3299" s="11" t="str">
        <f t="shared" si="262"/>
        <v/>
      </c>
      <c r="F3299" s="11" t="str">
        <f t="shared" si="263"/>
        <v/>
      </c>
      <c r="G3299" s="10" t="str">
        <v/>
      </c>
      <c r="H3299" s="11" t="str">
        <v/>
      </c>
      <c r="I3299" s="11" t="str">
        <v/>
      </c>
    </row>
    <row r="3300" spans="2:9">
      <c r="B3300" s="11" t="str">
        <f t="shared" si="261"/>
        <v/>
      </c>
      <c r="C3300" s="11" t="str">
        <f t="shared" si="264"/>
        <v/>
      </c>
      <c r="D3300" s="11" t="str">
        <f t="shared" si="265"/>
        <v/>
      </c>
      <c r="E3300" s="11" t="str">
        <f t="shared" si="262"/>
        <v/>
      </c>
      <c r="F3300" s="11" t="str">
        <f t="shared" si="263"/>
        <v/>
      </c>
      <c r="G3300" s="10" t="str">
        <v/>
      </c>
      <c r="H3300" s="11" t="str">
        <v/>
      </c>
      <c r="I3300" s="11" t="str">
        <v/>
      </c>
    </row>
    <row r="3301" spans="2:9">
      <c r="B3301" s="11" t="str">
        <f t="shared" si="261"/>
        <v/>
      </c>
      <c r="C3301" s="11" t="str">
        <f t="shared" si="264"/>
        <v/>
      </c>
      <c r="D3301" s="11" t="str">
        <f t="shared" si="265"/>
        <v/>
      </c>
      <c r="E3301" s="11" t="str">
        <f t="shared" si="262"/>
        <v/>
      </c>
      <c r="F3301" s="11" t="str">
        <f t="shared" si="263"/>
        <v/>
      </c>
      <c r="G3301" s="10" t="str">
        <v/>
      </c>
      <c r="H3301" s="11" t="str">
        <v/>
      </c>
      <c r="I3301" s="11" t="str">
        <v/>
      </c>
    </row>
    <row r="3302" spans="2:9">
      <c r="B3302" s="11" t="str">
        <f t="shared" si="261"/>
        <v/>
      </c>
      <c r="C3302" s="11" t="str">
        <f t="shared" si="264"/>
        <v/>
      </c>
      <c r="D3302" s="11" t="str">
        <f t="shared" si="265"/>
        <v/>
      </c>
      <c r="E3302" s="11" t="str">
        <f t="shared" si="262"/>
        <v/>
      </c>
      <c r="F3302" s="11" t="str">
        <f t="shared" si="263"/>
        <v/>
      </c>
      <c r="G3302" s="10" t="str">
        <v/>
      </c>
      <c r="H3302" s="11" t="str">
        <v/>
      </c>
      <c r="I3302" s="11" t="str">
        <v/>
      </c>
    </row>
    <row r="3303" spans="2:9">
      <c r="B3303" s="11" t="str">
        <f t="shared" si="261"/>
        <v/>
      </c>
      <c r="C3303" s="11" t="str">
        <f t="shared" si="264"/>
        <v/>
      </c>
      <c r="D3303" s="11" t="str">
        <f t="shared" si="265"/>
        <v/>
      </c>
      <c r="E3303" s="11" t="str">
        <f t="shared" si="262"/>
        <v/>
      </c>
      <c r="F3303" s="11" t="str">
        <f t="shared" si="263"/>
        <v/>
      </c>
      <c r="G3303" s="10" t="str">
        <v/>
      </c>
      <c r="H3303" s="11" t="str">
        <v/>
      </c>
      <c r="I3303" s="11" t="str">
        <v/>
      </c>
    </row>
    <row r="3304" spans="2:9">
      <c r="B3304" s="11" t="str">
        <f t="shared" si="261"/>
        <v/>
      </c>
      <c r="C3304" s="11" t="str">
        <f t="shared" si="264"/>
        <v/>
      </c>
      <c r="D3304" s="11" t="str">
        <f t="shared" si="265"/>
        <v/>
      </c>
      <c r="E3304" s="11" t="str">
        <f t="shared" si="262"/>
        <v/>
      </c>
      <c r="F3304" s="11" t="str">
        <f t="shared" si="263"/>
        <v/>
      </c>
      <c r="G3304" s="10" t="str">
        <v/>
      </c>
      <c r="H3304" s="11" t="str">
        <v/>
      </c>
      <c r="I3304" s="11" t="str">
        <v/>
      </c>
    </row>
    <row r="3305" spans="2:9">
      <c r="B3305" s="11" t="str">
        <f t="shared" si="261"/>
        <v/>
      </c>
      <c r="C3305" s="11" t="str">
        <f t="shared" si="264"/>
        <v/>
      </c>
      <c r="D3305" s="11" t="str">
        <f t="shared" si="265"/>
        <v/>
      </c>
      <c r="E3305" s="11" t="str">
        <f t="shared" si="262"/>
        <v/>
      </c>
      <c r="F3305" s="11" t="str">
        <f t="shared" si="263"/>
        <v/>
      </c>
      <c r="G3305" s="10" t="str">
        <v/>
      </c>
      <c r="H3305" s="11" t="str">
        <v/>
      </c>
      <c r="I3305" s="11" t="str">
        <v/>
      </c>
    </row>
    <row r="3306" spans="2:9">
      <c r="B3306" s="11" t="str">
        <f t="shared" si="261"/>
        <v/>
      </c>
      <c r="C3306" s="11" t="str">
        <f t="shared" si="264"/>
        <v/>
      </c>
      <c r="D3306" s="11" t="str">
        <f t="shared" si="265"/>
        <v/>
      </c>
      <c r="E3306" s="11" t="str">
        <f t="shared" si="262"/>
        <v/>
      </c>
      <c r="F3306" s="11" t="str">
        <f t="shared" si="263"/>
        <v/>
      </c>
      <c r="G3306" s="10" t="str">
        <v/>
      </c>
      <c r="H3306" s="11" t="str">
        <v/>
      </c>
      <c r="I3306" s="11" t="str">
        <v/>
      </c>
    </row>
    <row r="3307" spans="2:9">
      <c r="B3307" s="11" t="str">
        <f t="shared" si="261"/>
        <v/>
      </c>
      <c r="C3307" s="11" t="str">
        <f t="shared" si="264"/>
        <v/>
      </c>
      <c r="D3307" s="11" t="str">
        <f t="shared" si="265"/>
        <v/>
      </c>
      <c r="E3307" s="11" t="str">
        <f t="shared" si="262"/>
        <v/>
      </c>
      <c r="F3307" s="11" t="str">
        <f t="shared" si="263"/>
        <v/>
      </c>
      <c r="G3307" s="10" t="str">
        <v/>
      </c>
      <c r="H3307" s="11" t="str">
        <v/>
      </c>
      <c r="I3307" s="11" t="str">
        <v/>
      </c>
    </row>
    <row r="3308" spans="2:9">
      <c r="B3308" s="11" t="str">
        <f t="shared" si="261"/>
        <v/>
      </c>
      <c r="C3308" s="11" t="str">
        <f t="shared" si="264"/>
        <v/>
      </c>
      <c r="D3308" s="11" t="str">
        <f t="shared" si="265"/>
        <v/>
      </c>
      <c r="E3308" s="11" t="str">
        <f t="shared" si="262"/>
        <v/>
      </c>
      <c r="F3308" s="11" t="str">
        <f t="shared" si="263"/>
        <v/>
      </c>
      <c r="G3308" s="10" t="str">
        <v/>
      </c>
      <c r="H3308" s="11" t="str">
        <v/>
      </c>
      <c r="I3308" s="11" t="str">
        <v/>
      </c>
    </row>
    <row r="3309" spans="2:9">
      <c r="B3309" s="11" t="str">
        <f t="shared" si="261"/>
        <v/>
      </c>
      <c r="C3309" s="11" t="str">
        <f t="shared" si="264"/>
        <v/>
      </c>
      <c r="D3309" s="11" t="str">
        <f t="shared" si="265"/>
        <v/>
      </c>
      <c r="E3309" s="11" t="str">
        <f t="shared" si="262"/>
        <v/>
      </c>
      <c r="F3309" s="11" t="str">
        <f t="shared" si="263"/>
        <v/>
      </c>
      <c r="G3309" s="10" t="str">
        <v/>
      </c>
      <c r="H3309" s="11" t="str">
        <v/>
      </c>
      <c r="I3309" s="11" t="str">
        <v/>
      </c>
    </row>
    <row r="3310" spans="2:9">
      <c r="B3310" s="11" t="str">
        <f t="shared" si="261"/>
        <v/>
      </c>
      <c r="C3310" s="11" t="str">
        <f t="shared" si="264"/>
        <v/>
      </c>
      <c r="D3310" s="11" t="str">
        <f t="shared" si="265"/>
        <v/>
      </c>
      <c r="E3310" s="11" t="str">
        <f t="shared" si="262"/>
        <v/>
      </c>
      <c r="F3310" s="11" t="str">
        <f t="shared" si="263"/>
        <v/>
      </c>
      <c r="G3310" s="10" t="str">
        <v/>
      </c>
      <c r="H3310" s="11" t="str">
        <v/>
      </c>
      <c r="I3310" s="11" t="str">
        <v/>
      </c>
    </row>
    <row r="3311" spans="2:9">
      <c r="B3311" s="11" t="str">
        <f t="shared" si="261"/>
        <v/>
      </c>
      <c r="C3311" s="11" t="str">
        <f t="shared" si="264"/>
        <v/>
      </c>
      <c r="D3311" s="11" t="str">
        <f t="shared" si="265"/>
        <v/>
      </c>
      <c r="E3311" s="11" t="str">
        <f t="shared" si="262"/>
        <v/>
      </c>
      <c r="F3311" s="11" t="str">
        <f t="shared" si="263"/>
        <v/>
      </c>
      <c r="G3311" s="10" t="str">
        <v/>
      </c>
      <c r="H3311" s="11" t="str">
        <v/>
      </c>
      <c r="I3311" s="11" t="str">
        <v/>
      </c>
    </row>
    <row r="3312" spans="2:9">
      <c r="B3312" s="11" t="str">
        <f t="shared" si="261"/>
        <v/>
      </c>
      <c r="C3312" s="11" t="str">
        <f t="shared" si="264"/>
        <v/>
      </c>
      <c r="D3312" s="11" t="str">
        <f t="shared" si="265"/>
        <v/>
      </c>
      <c r="E3312" s="11" t="str">
        <f t="shared" si="262"/>
        <v/>
      </c>
      <c r="F3312" s="11" t="str">
        <f t="shared" si="263"/>
        <v/>
      </c>
      <c r="G3312" s="10" t="str">
        <v/>
      </c>
      <c r="H3312" s="11" t="str">
        <v/>
      </c>
      <c r="I3312" s="11" t="str">
        <v/>
      </c>
    </row>
    <row r="3313" spans="2:9">
      <c r="B3313" s="11" t="str">
        <f t="shared" si="261"/>
        <v/>
      </c>
      <c r="C3313" s="11" t="str">
        <f t="shared" si="264"/>
        <v/>
      </c>
      <c r="D3313" s="11" t="str">
        <f t="shared" si="265"/>
        <v/>
      </c>
      <c r="E3313" s="11" t="str">
        <f t="shared" si="262"/>
        <v/>
      </c>
      <c r="F3313" s="11" t="str">
        <f t="shared" si="263"/>
        <v/>
      </c>
      <c r="G3313" s="10" t="str">
        <v/>
      </c>
      <c r="H3313" s="11" t="str">
        <v/>
      </c>
      <c r="I3313" s="11" t="str">
        <v/>
      </c>
    </row>
    <row r="3314" spans="2:9">
      <c r="B3314" s="11" t="str">
        <f t="shared" si="261"/>
        <v/>
      </c>
      <c r="C3314" s="11" t="str">
        <f t="shared" si="264"/>
        <v/>
      </c>
      <c r="D3314" s="11" t="str">
        <f t="shared" si="265"/>
        <v/>
      </c>
      <c r="E3314" s="11" t="str">
        <f t="shared" si="262"/>
        <v/>
      </c>
      <c r="F3314" s="11" t="str">
        <f t="shared" si="263"/>
        <v/>
      </c>
      <c r="G3314" s="10" t="str">
        <v/>
      </c>
      <c r="H3314" s="11" t="str">
        <v/>
      </c>
      <c r="I3314" s="11" t="str">
        <v/>
      </c>
    </row>
    <row r="3315" spans="2:9">
      <c r="B3315" s="11" t="str">
        <f t="shared" si="261"/>
        <v/>
      </c>
      <c r="C3315" s="11" t="str">
        <f t="shared" si="264"/>
        <v/>
      </c>
      <c r="D3315" s="11" t="str">
        <f t="shared" si="265"/>
        <v/>
      </c>
      <c r="E3315" s="11" t="str">
        <f t="shared" si="262"/>
        <v/>
      </c>
      <c r="F3315" s="11" t="str">
        <f t="shared" si="263"/>
        <v/>
      </c>
      <c r="G3315" s="10" t="str">
        <v/>
      </c>
      <c r="H3315" s="11" t="str">
        <v/>
      </c>
      <c r="I3315" s="11" t="str">
        <v/>
      </c>
    </row>
    <row r="3316" spans="2:9">
      <c r="B3316" s="11" t="str">
        <f t="shared" si="261"/>
        <v/>
      </c>
      <c r="C3316" s="11" t="str">
        <f t="shared" si="264"/>
        <v/>
      </c>
      <c r="D3316" s="11" t="str">
        <f t="shared" si="265"/>
        <v/>
      </c>
      <c r="E3316" s="11" t="str">
        <f t="shared" si="262"/>
        <v/>
      </c>
      <c r="F3316" s="11" t="str">
        <f t="shared" si="263"/>
        <v/>
      </c>
      <c r="G3316" s="10" t="str">
        <v/>
      </c>
      <c r="H3316" s="11" t="str">
        <v/>
      </c>
      <c r="I3316" s="11" t="str">
        <v/>
      </c>
    </row>
    <row r="3317" spans="2:9">
      <c r="B3317" s="11" t="str">
        <f t="shared" si="261"/>
        <v/>
      </c>
      <c r="C3317" s="11" t="str">
        <f t="shared" si="264"/>
        <v/>
      </c>
      <c r="D3317" s="11" t="str">
        <f t="shared" si="265"/>
        <v/>
      </c>
      <c r="E3317" s="11" t="str">
        <f t="shared" si="262"/>
        <v/>
      </c>
      <c r="F3317" s="11" t="str">
        <f t="shared" si="263"/>
        <v/>
      </c>
      <c r="G3317" s="10" t="str">
        <v/>
      </c>
      <c r="H3317" s="11" t="str">
        <v/>
      </c>
      <c r="I3317" s="11" t="str">
        <v/>
      </c>
    </row>
    <row r="3318" spans="2:9">
      <c r="B3318" s="11" t="str">
        <f t="shared" si="261"/>
        <v/>
      </c>
      <c r="C3318" s="11" t="str">
        <f t="shared" si="264"/>
        <v/>
      </c>
      <c r="D3318" s="11" t="str">
        <f t="shared" si="265"/>
        <v/>
      </c>
      <c r="E3318" s="11" t="str">
        <f t="shared" si="262"/>
        <v/>
      </c>
      <c r="F3318" s="11" t="str">
        <f t="shared" si="263"/>
        <v/>
      </c>
      <c r="G3318" s="10" t="str">
        <v/>
      </c>
      <c r="H3318" s="11" t="str">
        <v/>
      </c>
      <c r="I3318" s="11" t="str">
        <v/>
      </c>
    </row>
    <row r="3319" spans="2:9">
      <c r="B3319" s="11" t="str">
        <f t="shared" si="261"/>
        <v/>
      </c>
      <c r="C3319" s="11" t="str">
        <f t="shared" si="264"/>
        <v/>
      </c>
      <c r="D3319" s="11" t="str">
        <f t="shared" si="265"/>
        <v/>
      </c>
      <c r="E3319" s="11" t="str">
        <f t="shared" si="262"/>
        <v/>
      </c>
      <c r="F3319" s="11" t="str">
        <f t="shared" si="263"/>
        <v/>
      </c>
      <c r="G3319" s="10" t="str">
        <v/>
      </c>
      <c r="H3319" s="11" t="str">
        <v/>
      </c>
      <c r="I3319" s="11" t="str">
        <v/>
      </c>
    </row>
    <row r="3320" spans="2:9">
      <c r="B3320" s="11" t="str">
        <f t="shared" si="261"/>
        <v/>
      </c>
      <c r="C3320" s="11" t="str">
        <f t="shared" si="264"/>
        <v/>
      </c>
      <c r="D3320" s="11" t="str">
        <f t="shared" si="265"/>
        <v/>
      </c>
      <c r="E3320" s="11" t="str">
        <f t="shared" si="262"/>
        <v/>
      </c>
      <c r="F3320" s="11" t="str">
        <f t="shared" si="263"/>
        <v/>
      </c>
      <c r="G3320" s="10" t="str">
        <v/>
      </c>
      <c r="H3320" s="11" t="str">
        <v/>
      </c>
      <c r="I3320" s="11" t="str">
        <v/>
      </c>
    </row>
    <row r="3321" spans="2:9">
      <c r="B3321" s="11" t="str">
        <f t="shared" si="261"/>
        <v/>
      </c>
      <c r="C3321" s="11" t="str">
        <f t="shared" si="264"/>
        <v/>
      </c>
      <c r="D3321" s="11" t="str">
        <f t="shared" si="265"/>
        <v/>
      </c>
      <c r="E3321" s="11" t="str">
        <f t="shared" si="262"/>
        <v/>
      </c>
      <c r="F3321" s="11" t="str">
        <f t="shared" si="263"/>
        <v/>
      </c>
      <c r="G3321" s="10" t="str">
        <v/>
      </c>
      <c r="H3321" s="11" t="str">
        <v/>
      </c>
      <c r="I3321" s="11" t="str">
        <v/>
      </c>
    </row>
    <row r="3322" spans="2:9">
      <c r="B3322" s="11" t="str">
        <f t="shared" si="261"/>
        <v/>
      </c>
      <c r="C3322" s="11" t="str">
        <f t="shared" si="264"/>
        <v/>
      </c>
      <c r="D3322" s="11" t="str">
        <f t="shared" si="265"/>
        <v/>
      </c>
      <c r="E3322" s="11" t="str">
        <f t="shared" si="262"/>
        <v/>
      </c>
      <c r="F3322" s="11" t="str">
        <f t="shared" si="263"/>
        <v/>
      </c>
      <c r="G3322" s="10" t="str">
        <v/>
      </c>
      <c r="H3322" s="11" t="str">
        <v/>
      </c>
      <c r="I3322" s="11" t="str">
        <v/>
      </c>
    </row>
    <row r="3323" spans="2:9">
      <c r="B3323" s="11" t="str">
        <f t="shared" si="261"/>
        <v/>
      </c>
      <c r="C3323" s="11" t="str">
        <f t="shared" si="264"/>
        <v/>
      </c>
      <c r="D3323" s="11" t="str">
        <f t="shared" si="265"/>
        <v/>
      </c>
      <c r="E3323" s="11" t="str">
        <f t="shared" si="262"/>
        <v/>
      </c>
      <c r="F3323" s="11" t="str">
        <f t="shared" si="263"/>
        <v/>
      </c>
      <c r="G3323" s="10" t="str">
        <v/>
      </c>
      <c r="H3323" s="11" t="str">
        <v/>
      </c>
      <c r="I3323" s="11" t="str">
        <v/>
      </c>
    </row>
    <row r="3324" spans="2:9">
      <c r="B3324" s="11" t="str">
        <f t="shared" si="261"/>
        <v/>
      </c>
      <c r="C3324" s="11" t="str">
        <f t="shared" si="264"/>
        <v/>
      </c>
      <c r="D3324" s="11" t="str">
        <f t="shared" si="265"/>
        <v/>
      </c>
      <c r="E3324" s="11" t="str">
        <f t="shared" si="262"/>
        <v/>
      </c>
      <c r="F3324" s="11" t="str">
        <f t="shared" si="263"/>
        <v/>
      </c>
      <c r="G3324" s="10" t="str">
        <v/>
      </c>
      <c r="H3324" s="11" t="str">
        <v/>
      </c>
      <c r="I3324" s="11" t="str">
        <v/>
      </c>
    </row>
    <row r="3325" spans="2:9">
      <c r="B3325" s="11" t="str">
        <f t="shared" si="261"/>
        <v/>
      </c>
      <c r="C3325" s="11" t="str">
        <f t="shared" si="264"/>
        <v/>
      </c>
      <c r="D3325" s="11" t="str">
        <f t="shared" si="265"/>
        <v/>
      </c>
      <c r="E3325" s="11" t="str">
        <f t="shared" si="262"/>
        <v/>
      </c>
      <c r="F3325" s="11" t="str">
        <f t="shared" si="263"/>
        <v/>
      </c>
      <c r="G3325" s="10" t="str">
        <v/>
      </c>
      <c r="H3325" s="11" t="str">
        <v/>
      </c>
      <c r="I3325" s="11" t="str">
        <v/>
      </c>
    </row>
    <row r="3326" spans="2:9">
      <c r="B3326" s="11" t="str">
        <f t="shared" si="261"/>
        <v/>
      </c>
      <c r="C3326" s="11" t="str">
        <f t="shared" si="264"/>
        <v/>
      </c>
      <c r="D3326" s="11" t="str">
        <f t="shared" si="265"/>
        <v/>
      </c>
      <c r="E3326" s="11" t="str">
        <f t="shared" si="262"/>
        <v/>
      </c>
      <c r="F3326" s="11" t="str">
        <f t="shared" si="263"/>
        <v/>
      </c>
      <c r="G3326" s="10" t="str">
        <v/>
      </c>
      <c r="H3326" s="11" t="str">
        <v/>
      </c>
      <c r="I3326" s="11" t="str">
        <v/>
      </c>
    </row>
    <row r="3327" spans="2:9">
      <c r="B3327" s="11" t="str">
        <f t="shared" si="261"/>
        <v/>
      </c>
      <c r="C3327" s="11" t="str">
        <f t="shared" si="264"/>
        <v/>
      </c>
      <c r="D3327" s="11" t="str">
        <f t="shared" si="265"/>
        <v/>
      </c>
      <c r="E3327" s="11" t="str">
        <f t="shared" si="262"/>
        <v/>
      </c>
      <c r="F3327" s="11" t="str">
        <f t="shared" si="263"/>
        <v/>
      </c>
      <c r="G3327" s="10" t="str">
        <v/>
      </c>
      <c r="H3327" s="11" t="str">
        <v/>
      </c>
      <c r="I3327" s="11" t="str">
        <v/>
      </c>
    </row>
    <row r="3328" spans="2:9">
      <c r="B3328" s="11" t="str">
        <f t="shared" si="261"/>
        <v/>
      </c>
      <c r="C3328" s="11" t="str">
        <f t="shared" si="264"/>
        <v/>
      </c>
      <c r="D3328" s="11" t="str">
        <f t="shared" si="265"/>
        <v/>
      </c>
      <c r="E3328" s="11" t="str">
        <f t="shared" si="262"/>
        <v/>
      </c>
      <c r="F3328" s="11" t="str">
        <f t="shared" si="263"/>
        <v/>
      </c>
      <c r="G3328" s="10" t="str">
        <v/>
      </c>
      <c r="H3328" s="11" t="str">
        <v/>
      </c>
      <c r="I3328" s="11" t="str">
        <v/>
      </c>
    </row>
    <row r="3329" spans="2:9">
      <c r="B3329" s="11" t="str">
        <f t="shared" ref="B3329:B3392" si="266">IFERROR(IF(FIND(" ",A3329)=6,IF(IFERROR(FIND(" PB",A3329),"")&lt;&gt;"","артикул",IF(IFERROR(FIND(" CRN",A3329),"")&lt;&gt;"","артикул","")),""),"")</f>
        <v/>
      </c>
      <c r="C3329" s="11" t="str">
        <f t="shared" si="264"/>
        <v/>
      </c>
      <c r="D3329" s="11" t="str">
        <f t="shared" si="265"/>
        <v/>
      </c>
      <c r="E3329" s="11" t="str">
        <f t="shared" si="262"/>
        <v/>
      </c>
      <c r="F3329" s="11" t="str">
        <f t="shared" si="263"/>
        <v/>
      </c>
      <c r="G3329" s="10" t="str">
        <v/>
      </c>
      <c r="H3329" s="11" t="str">
        <v/>
      </c>
      <c r="I3329" s="11" t="str">
        <v/>
      </c>
    </row>
    <row r="3330" spans="2:9">
      <c r="B3330" s="11" t="str">
        <f t="shared" si="266"/>
        <v/>
      </c>
      <c r="C3330" s="11" t="str">
        <f t="shared" si="264"/>
        <v/>
      </c>
      <c r="D3330" s="11" t="str">
        <f t="shared" si="265"/>
        <v/>
      </c>
      <c r="E3330" s="11" t="str">
        <f t="shared" ref="E3330:E3393" si="267" xml:space="preserve">
IF(B3330="Артикул",
IF(
AND(RIGHT(A3331,1)="%",
RIGHT(A3332,1)="%",
RIGHT(A3333,1)="%",
RIGHT(A3334,1)="%"),MID(A3335,FIND(" ",A3335),50),
IF(
AND(RIGHT(A3331,1)="%",
RIGHT(A3332,1)="%",
RIGHT(A3333,1)="%"),MID(A3334,FIND(" ",A3334),50),
IF(
AND(RIGHT(A3331,1)="%",
RIGHT(A3332,1)="%"),
MID(A3333,FIND(" ",A3333),50),
IF(
RIGHT(A3331,1)="%",
MID(A3332,FIND(" ",A3332),50),"")))),"")</f>
        <v/>
      </c>
      <c r="F3330" s="11" t="str">
        <f t="shared" ref="F3330:F3393" si="268">IFERROR(
IF(
AND(LEFT(A3330,8)="Discount",FIND("%",A3330)&gt;0),
MID(A3330,
FIND(" ",A3330),
FIND("%",A3330)-FIND(" ",A3330))
*-1,""),"")</f>
        <v/>
      </c>
      <c r="G3330" s="10" t="str">
        <v/>
      </c>
      <c r="H3330" s="11" t="str">
        <v/>
      </c>
      <c r="I3330" s="11" t="str">
        <v/>
      </c>
    </row>
    <row r="3331" spans="2:9">
      <c r="B3331" s="11" t="str">
        <f t="shared" si="266"/>
        <v/>
      </c>
      <c r="C3331" s="11" t="str">
        <f t="shared" si="264"/>
        <v/>
      </c>
      <c r="D3331" s="11" t="str">
        <f t="shared" si="265"/>
        <v/>
      </c>
      <c r="E3331" s="11" t="str">
        <f t="shared" si="267"/>
        <v/>
      </c>
      <c r="F3331" s="11" t="str">
        <f t="shared" si="268"/>
        <v/>
      </c>
      <c r="G3331" s="10" t="str">
        <v/>
      </c>
      <c r="H3331" s="11" t="str">
        <v/>
      </c>
      <c r="I3331" s="11" t="str">
        <v/>
      </c>
    </row>
    <row r="3332" spans="2:9">
      <c r="B3332" s="11" t="str">
        <f t="shared" si="266"/>
        <v/>
      </c>
      <c r="C3332" s="11" t="str">
        <f t="shared" si="264"/>
        <v/>
      </c>
      <c r="D3332" s="11" t="str">
        <f t="shared" si="265"/>
        <v/>
      </c>
      <c r="E3332" s="11" t="str">
        <f t="shared" si="267"/>
        <v/>
      </c>
      <c r="F3332" s="11" t="str">
        <f t="shared" si="268"/>
        <v/>
      </c>
      <c r="G3332" s="10" t="str">
        <v/>
      </c>
      <c r="H3332" s="11" t="str">
        <v/>
      </c>
      <c r="I3332" s="11" t="str">
        <v/>
      </c>
    </row>
    <row r="3333" spans="2:9">
      <c r="B3333" s="11" t="str">
        <f t="shared" si="266"/>
        <v/>
      </c>
      <c r="C3333" s="11" t="str">
        <f t="shared" si="264"/>
        <v/>
      </c>
      <c r="D3333" s="11" t="str">
        <f t="shared" si="265"/>
        <v/>
      </c>
      <c r="E3333" s="11" t="str">
        <f t="shared" si="267"/>
        <v/>
      </c>
      <c r="F3333" s="11" t="str">
        <f t="shared" si="268"/>
        <v/>
      </c>
      <c r="G3333" s="10" t="str">
        <v/>
      </c>
      <c r="H3333" s="11" t="str">
        <v/>
      </c>
      <c r="I3333" s="11" t="str">
        <v/>
      </c>
    </row>
    <row r="3334" spans="2:9">
      <c r="B3334" s="11" t="str">
        <f t="shared" si="266"/>
        <v/>
      </c>
      <c r="C3334" s="11" t="str">
        <f t="shared" si="264"/>
        <v/>
      </c>
      <c r="D3334" s="11" t="str">
        <f t="shared" si="265"/>
        <v/>
      </c>
      <c r="E3334" s="11" t="str">
        <f t="shared" si="267"/>
        <v/>
      </c>
      <c r="F3334" s="11" t="str">
        <f t="shared" si="268"/>
        <v/>
      </c>
      <c r="G3334" s="10" t="str">
        <v/>
      </c>
      <c r="H3334" s="11" t="str">
        <v/>
      </c>
      <c r="I3334" s="11" t="str">
        <v/>
      </c>
    </row>
    <row r="3335" spans="2:9">
      <c r="B3335" s="11" t="str">
        <f t="shared" si="266"/>
        <v/>
      </c>
      <c r="C3335" s="11" t="str">
        <f t="shared" si="264"/>
        <v/>
      </c>
      <c r="D3335" s="11" t="str">
        <f t="shared" si="265"/>
        <v/>
      </c>
      <c r="E3335" s="11" t="str">
        <f t="shared" si="267"/>
        <v/>
      </c>
      <c r="F3335" s="11" t="str">
        <f t="shared" si="268"/>
        <v/>
      </c>
      <c r="G3335" s="10" t="str">
        <v/>
      </c>
      <c r="H3335" s="11" t="str">
        <v/>
      </c>
      <c r="I3335" s="11" t="str">
        <v/>
      </c>
    </row>
    <row r="3336" spans="2:9">
      <c r="B3336" s="11" t="str">
        <f t="shared" si="266"/>
        <v/>
      </c>
      <c r="C3336" s="11" t="str">
        <f t="shared" si="264"/>
        <v/>
      </c>
      <c r="D3336" s="11" t="str">
        <f t="shared" si="265"/>
        <v/>
      </c>
      <c r="E3336" s="11" t="str">
        <f t="shared" si="267"/>
        <v/>
      </c>
      <c r="F3336" s="11" t="str">
        <f t="shared" si="268"/>
        <v/>
      </c>
      <c r="G3336" s="10" t="str">
        <v/>
      </c>
      <c r="H3336" s="11" t="str">
        <v/>
      </c>
      <c r="I3336" s="11" t="str">
        <v/>
      </c>
    </row>
    <row r="3337" spans="2:9">
      <c r="B3337" s="11" t="str">
        <f t="shared" si="266"/>
        <v/>
      </c>
      <c r="C3337" s="11" t="str">
        <f t="shared" si="264"/>
        <v/>
      </c>
      <c r="D3337" s="11" t="str">
        <f t="shared" si="265"/>
        <v/>
      </c>
      <c r="E3337" s="11" t="str">
        <f t="shared" si="267"/>
        <v/>
      </c>
      <c r="F3337" s="11" t="str">
        <f t="shared" si="268"/>
        <v/>
      </c>
      <c r="G3337" s="10" t="str">
        <v/>
      </c>
      <c r="H3337" s="11" t="str">
        <v/>
      </c>
      <c r="I3337" s="11" t="str">
        <v/>
      </c>
    </row>
    <row r="3338" spans="2:9">
      <c r="B3338" s="11" t="str">
        <f t="shared" si="266"/>
        <v/>
      </c>
      <c r="C3338" s="11" t="str">
        <f t="shared" si="264"/>
        <v/>
      </c>
      <c r="D3338" s="11" t="str">
        <f t="shared" si="265"/>
        <v/>
      </c>
      <c r="E3338" s="11" t="str">
        <f t="shared" si="267"/>
        <v/>
      </c>
      <c r="F3338" s="11" t="str">
        <f t="shared" si="268"/>
        <v/>
      </c>
      <c r="G3338" s="10" t="str">
        <v/>
      </c>
      <c r="H3338" s="11" t="str">
        <v/>
      </c>
      <c r="I3338" s="11" t="str">
        <v/>
      </c>
    </row>
    <row r="3339" spans="2:9">
      <c r="B3339" s="11" t="str">
        <f t="shared" si="266"/>
        <v/>
      </c>
      <c r="C3339" s="11" t="str">
        <f t="shared" si="264"/>
        <v/>
      </c>
      <c r="D3339" s="11" t="str">
        <f t="shared" si="265"/>
        <v/>
      </c>
      <c r="E3339" s="11" t="str">
        <f t="shared" si="267"/>
        <v/>
      </c>
      <c r="F3339" s="11" t="str">
        <f t="shared" si="268"/>
        <v/>
      </c>
      <c r="G3339" s="10" t="str">
        <v/>
      </c>
      <c r="H3339" s="11" t="str">
        <v/>
      </c>
      <c r="I3339" s="11" t="str">
        <v/>
      </c>
    </row>
    <row r="3340" spans="2:9">
      <c r="B3340" s="11" t="str">
        <f t="shared" si="266"/>
        <v/>
      </c>
      <c r="C3340" s="11" t="str">
        <f t="shared" si="264"/>
        <v/>
      </c>
      <c r="D3340" s="11" t="str">
        <f t="shared" si="265"/>
        <v/>
      </c>
      <c r="E3340" s="11" t="str">
        <f t="shared" si="267"/>
        <v/>
      </c>
      <c r="F3340" s="11" t="str">
        <f t="shared" si="268"/>
        <v/>
      </c>
      <c r="G3340" s="10" t="str">
        <v/>
      </c>
      <c r="H3340" s="11" t="str">
        <v/>
      </c>
      <c r="I3340" s="11" t="str">
        <v/>
      </c>
    </row>
    <row r="3341" spans="2:9">
      <c r="B3341" s="11" t="str">
        <f t="shared" si="266"/>
        <v/>
      </c>
      <c r="C3341" s="11" t="str">
        <f t="shared" ref="C3341:C3404" si="269">IF(B3341="артикул",A3341,"")</f>
        <v/>
      </c>
      <c r="D3341" s="11" t="str">
        <f t="shared" ref="D3341:D3404" si="270">IF(B3341="артикул",A3342,"")</f>
        <v/>
      </c>
      <c r="E3341" s="11" t="str">
        <f t="shared" si="267"/>
        <v/>
      </c>
      <c r="F3341" s="11" t="str">
        <f t="shared" si="268"/>
        <v/>
      </c>
      <c r="G3341" s="10" t="str">
        <v/>
      </c>
      <c r="H3341" s="11" t="str">
        <v/>
      </c>
      <c r="I3341" s="11" t="str">
        <v/>
      </c>
    </row>
    <row r="3342" spans="2:9">
      <c r="B3342" s="11" t="str">
        <f t="shared" si="266"/>
        <v/>
      </c>
      <c r="C3342" s="11" t="str">
        <f t="shared" si="269"/>
        <v/>
      </c>
      <c r="D3342" s="11" t="str">
        <f t="shared" si="270"/>
        <v/>
      </c>
      <c r="E3342" s="11" t="str">
        <f t="shared" si="267"/>
        <v/>
      </c>
      <c r="F3342" s="11" t="str">
        <f t="shared" si="268"/>
        <v/>
      </c>
      <c r="G3342" s="10" t="str">
        <v/>
      </c>
      <c r="H3342" s="11" t="str">
        <v/>
      </c>
      <c r="I3342" s="11" t="str">
        <v/>
      </c>
    </row>
    <row r="3343" spans="2:9">
      <c r="B3343" s="11" t="str">
        <f t="shared" si="266"/>
        <v/>
      </c>
      <c r="C3343" s="11" t="str">
        <f t="shared" si="269"/>
        <v/>
      </c>
      <c r="D3343" s="11" t="str">
        <f t="shared" si="270"/>
        <v/>
      </c>
      <c r="E3343" s="11" t="str">
        <f t="shared" si="267"/>
        <v/>
      </c>
      <c r="F3343" s="11" t="str">
        <f t="shared" si="268"/>
        <v/>
      </c>
      <c r="G3343" s="10" t="str">
        <v/>
      </c>
      <c r="H3343" s="11" t="str">
        <v/>
      </c>
      <c r="I3343" s="11" t="str">
        <v/>
      </c>
    </row>
    <row r="3344" spans="2:9">
      <c r="B3344" s="11" t="str">
        <f t="shared" si="266"/>
        <v/>
      </c>
      <c r="C3344" s="11" t="str">
        <f t="shared" si="269"/>
        <v/>
      </c>
      <c r="D3344" s="11" t="str">
        <f t="shared" si="270"/>
        <v/>
      </c>
      <c r="E3344" s="11" t="str">
        <f t="shared" si="267"/>
        <v/>
      </c>
      <c r="F3344" s="11" t="str">
        <f t="shared" si="268"/>
        <v/>
      </c>
      <c r="G3344" s="10" t="str">
        <v/>
      </c>
      <c r="H3344" s="11" t="str">
        <v/>
      </c>
      <c r="I3344" s="11" t="str">
        <v/>
      </c>
    </row>
    <row r="3345" spans="2:9">
      <c r="B3345" s="11" t="str">
        <f t="shared" si="266"/>
        <v/>
      </c>
      <c r="C3345" s="11" t="str">
        <f t="shared" si="269"/>
        <v/>
      </c>
      <c r="D3345" s="11" t="str">
        <f t="shared" si="270"/>
        <v/>
      </c>
      <c r="E3345" s="11" t="str">
        <f t="shared" si="267"/>
        <v/>
      </c>
      <c r="F3345" s="11" t="str">
        <f t="shared" si="268"/>
        <v/>
      </c>
      <c r="G3345" s="10" t="str">
        <v/>
      </c>
      <c r="H3345" s="11" t="str">
        <v/>
      </c>
      <c r="I3345" s="11" t="str">
        <v/>
      </c>
    </row>
    <row r="3346" spans="2:9">
      <c r="B3346" s="11" t="str">
        <f t="shared" si="266"/>
        <v/>
      </c>
      <c r="C3346" s="11" t="str">
        <f t="shared" si="269"/>
        <v/>
      </c>
      <c r="D3346" s="11" t="str">
        <f t="shared" si="270"/>
        <v/>
      </c>
      <c r="E3346" s="11" t="str">
        <f t="shared" si="267"/>
        <v/>
      </c>
      <c r="F3346" s="11" t="str">
        <f t="shared" si="268"/>
        <v/>
      </c>
      <c r="G3346" s="10" t="str">
        <v/>
      </c>
      <c r="H3346" s="11" t="str">
        <v/>
      </c>
      <c r="I3346" s="11" t="str">
        <v/>
      </c>
    </row>
    <row r="3347" spans="2:9">
      <c r="B3347" s="11" t="str">
        <f t="shared" si="266"/>
        <v/>
      </c>
      <c r="C3347" s="11" t="str">
        <f t="shared" si="269"/>
        <v/>
      </c>
      <c r="D3347" s="11" t="str">
        <f t="shared" si="270"/>
        <v/>
      </c>
      <c r="E3347" s="11" t="str">
        <f t="shared" si="267"/>
        <v/>
      </c>
      <c r="F3347" s="11" t="str">
        <f t="shared" si="268"/>
        <v/>
      </c>
      <c r="G3347" s="10" t="str">
        <v/>
      </c>
      <c r="H3347" s="11" t="str">
        <v/>
      </c>
      <c r="I3347" s="11" t="str">
        <v/>
      </c>
    </row>
    <row r="3348" spans="2:9">
      <c r="B3348" s="11" t="str">
        <f t="shared" si="266"/>
        <v/>
      </c>
      <c r="C3348" s="11" t="str">
        <f t="shared" si="269"/>
        <v/>
      </c>
      <c r="D3348" s="11" t="str">
        <f t="shared" si="270"/>
        <v/>
      </c>
      <c r="E3348" s="11" t="str">
        <f t="shared" si="267"/>
        <v/>
      </c>
      <c r="F3348" s="11" t="str">
        <f t="shared" si="268"/>
        <v/>
      </c>
      <c r="G3348" s="10" t="str">
        <v/>
      </c>
      <c r="H3348" s="11" t="str">
        <v/>
      </c>
      <c r="I3348" s="11" t="str">
        <v/>
      </c>
    </row>
    <row r="3349" spans="2:9">
      <c r="B3349" s="11" t="str">
        <f t="shared" si="266"/>
        <v/>
      </c>
      <c r="C3349" s="11" t="str">
        <f t="shared" si="269"/>
        <v/>
      </c>
      <c r="D3349" s="11" t="str">
        <f t="shared" si="270"/>
        <v/>
      </c>
      <c r="E3349" s="11" t="str">
        <f t="shared" si="267"/>
        <v/>
      </c>
      <c r="F3349" s="11" t="str">
        <f t="shared" si="268"/>
        <v/>
      </c>
      <c r="G3349" s="10" t="str">
        <v/>
      </c>
      <c r="H3349" s="11" t="str">
        <v/>
      </c>
      <c r="I3349" s="11" t="str">
        <v/>
      </c>
    </row>
    <row r="3350" spans="2:9">
      <c r="B3350" s="11" t="str">
        <f t="shared" si="266"/>
        <v/>
      </c>
      <c r="C3350" s="11" t="str">
        <f t="shared" si="269"/>
        <v/>
      </c>
      <c r="D3350" s="11" t="str">
        <f t="shared" si="270"/>
        <v/>
      </c>
      <c r="E3350" s="11" t="str">
        <f t="shared" si="267"/>
        <v/>
      </c>
      <c r="F3350" s="11" t="str">
        <f t="shared" si="268"/>
        <v/>
      </c>
      <c r="G3350" s="10" t="str">
        <v/>
      </c>
      <c r="H3350" s="11" t="str">
        <v/>
      </c>
      <c r="I3350" s="11" t="str">
        <v/>
      </c>
    </row>
    <row r="3351" spans="2:9">
      <c r="B3351" s="11" t="str">
        <f t="shared" si="266"/>
        <v/>
      </c>
      <c r="C3351" s="11" t="str">
        <f t="shared" si="269"/>
        <v/>
      </c>
      <c r="D3351" s="11" t="str">
        <f t="shared" si="270"/>
        <v/>
      </c>
      <c r="E3351" s="11" t="str">
        <f t="shared" si="267"/>
        <v/>
      </c>
      <c r="F3351" s="11" t="str">
        <f t="shared" si="268"/>
        <v/>
      </c>
      <c r="G3351" s="10" t="str">
        <v/>
      </c>
      <c r="H3351" s="11" t="str">
        <v/>
      </c>
      <c r="I3351" s="11" t="str">
        <v/>
      </c>
    </row>
    <row r="3352" spans="2:9">
      <c r="B3352" s="11" t="str">
        <f t="shared" si="266"/>
        <v/>
      </c>
      <c r="C3352" s="11" t="str">
        <f t="shared" si="269"/>
        <v/>
      </c>
      <c r="D3352" s="11" t="str">
        <f t="shared" si="270"/>
        <v/>
      </c>
      <c r="E3352" s="11" t="str">
        <f t="shared" si="267"/>
        <v/>
      </c>
      <c r="F3352" s="11" t="str">
        <f t="shared" si="268"/>
        <v/>
      </c>
      <c r="G3352" s="10" t="str">
        <v/>
      </c>
      <c r="H3352" s="11" t="str">
        <v/>
      </c>
      <c r="I3352" s="11" t="str">
        <v/>
      </c>
    </row>
    <row r="3353" spans="2:9">
      <c r="B3353" s="11" t="str">
        <f t="shared" si="266"/>
        <v/>
      </c>
      <c r="C3353" s="11" t="str">
        <f t="shared" si="269"/>
        <v/>
      </c>
      <c r="D3353" s="11" t="str">
        <f t="shared" si="270"/>
        <v/>
      </c>
      <c r="E3353" s="11" t="str">
        <f t="shared" si="267"/>
        <v/>
      </c>
      <c r="F3353" s="11" t="str">
        <f t="shared" si="268"/>
        <v/>
      </c>
      <c r="G3353" s="10" t="str">
        <v/>
      </c>
      <c r="H3353" s="11" t="str">
        <v/>
      </c>
      <c r="I3353" s="11" t="str">
        <v/>
      </c>
    </row>
    <row r="3354" spans="2:9">
      <c r="B3354" s="11" t="str">
        <f t="shared" si="266"/>
        <v/>
      </c>
      <c r="C3354" s="11" t="str">
        <f t="shared" si="269"/>
        <v/>
      </c>
      <c r="D3354" s="11" t="str">
        <f t="shared" si="270"/>
        <v/>
      </c>
      <c r="E3354" s="11" t="str">
        <f t="shared" si="267"/>
        <v/>
      </c>
      <c r="F3354" s="11" t="str">
        <f t="shared" si="268"/>
        <v/>
      </c>
      <c r="G3354" s="10" t="str">
        <v/>
      </c>
      <c r="H3354" s="11" t="str">
        <v/>
      </c>
      <c r="I3354" s="11" t="str">
        <v/>
      </c>
    </row>
    <row r="3355" spans="2:9">
      <c r="B3355" s="11" t="str">
        <f t="shared" si="266"/>
        <v/>
      </c>
      <c r="C3355" s="11" t="str">
        <f t="shared" si="269"/>
        <v/>
      </c>
      <c r="D3355" s="11" t="str">
        <f t="shared" si="270"/>
        <v/>
      </c>
      <c r="E3355" s="11" t="str">
        <f t="shared" si="267"/>
        <v/>
      </c>
      <c r="F3355" s="11" t="str">
        <f t="shared" si="268"/>
        <v/>
      </c>
      <c r="G3355" s="10" t="str">
        <v/>
      </c>
      <c r="H3355" s="11" t="str">
        <v/>
      </c>
      <c r="I3355" s="11" t="str">
        <v/>
      </c>
    </row>
    <row r="3356" spans="2:9">
      <c r="B3356" s="11" t="str">
        <f t="shared" si="266"/>
        <v/>
      </c>
      <c r="C3356" s="11" t="str">
        <f t="shared" si="269"/>
        <v/>
      </c>
      <c r="D3356" s="11" t="str">
        <f t="shared" si="270"/>
        <v/>
      </c>
      <c r="E3356" s="11" t="str">
        <f t="shared" si="267"/>
        <v/>
      </c>
      <c r="F3356" s="11" t="str">
        <f t="shared" si="268"/>
        <v/>
      </c>
      <c r="G3356" s="10" t="str">
        <v/>
      </c>
      <c r="H3356" s="11" t="str">
        <v/>
      </c>
      <c r="I3356" s="11" t="str">
        <v/>
      </c>
    </row>
    <row r="3357" spans="2:9">
      <c r="B3357" s="11" t="str">
        <f t="shared" si="266"/>
        <v/>
      </c>
      <c r="C3357" s="11" t="str">
        <f t="shared" si="269"/>
        <v/>
      </c>
      <c r="D3357" s="11" t="str">
        <f t="shared" si="270"/>
        <v/>
      </c>
      <c r="E3357" s="11" t="str">
        <f t="shared" si="267"/>
        <v/>
      </c>
      <c r="F3357" s="11" t="str">
        <f t="shared" si="268"/>
        <v/>
      </c>
      <c r="G3357" s="10" t="str">
        <v/>
      </c>
      <c r="H3357" s="11" t="str">
        <v/>
      </c>
      <c r="I3357" s="11" t="str">
        <v/>
      </c>
    </row>
    <row r="3358" spans="2:9">
      <c r="B3358" s="11" t="str">
        <f t="shared" si="266"/>
        <v/>
      </c>
      <c r="C3358" s="11" t="str">
        <f t="shared" si="269"/>
        <v/>
      </c>
      <c r="D3358" s="11" t="str">
        <f t="shared" si="270"/>
        <v/>
      </c>
      <c r="E3358" s="11" t="str">
        <f t="shared" si="267"/>
        <v/>
      </c>
      <c r="F3358" s="11" t="str">
        <f t="shared" si="268"/>
        <v/>
      </c>
      <c r="G3358" s="10" t="str">
        <v/>
      </c>
      <c r="H3358" s="11" t="str">
        <v/>
      </c>
      <c r="I3358" s="11" t="str">
        <v/>
      </c>
    </row>
    <row r="3359" spans="2:9">
      <c r="B3359" s="11" t="str">
        <f t="shared" si="266"/>
        <v/>
      </c>
      <c r="C3359" s="11" t="str">
        <f t="shared" si="269"/>
        <v/>
      </c>
      <c r="D3359" s="11" t="str">
        <f t="shared" si="270"/>
        <v/>
      </c>
      <c r="E3359" s="11" t="str">
        <f t="shared" si="267"/>
        <v/>
      </c>
      <c r="F3359" s="11" t="str">
        <f t="shared" si="268"/>
        <v/>
      </c>
      <c r="G3359" s="10" t="str">
        <v/>
      </c>
      <c r="H3359" s="11" t="str">
        <v/>
      </c>
      <c r="I3359" s="11" t="str">
        <v/>
      </c>
    </row>
    <row r="3360" spans="2:9">
      <c r="B3360" s="11" t="str">
        <f t="shared" si="266"/>
        <v/>
      </c>
      <c r="C3360" s="11" t="str">
        <f t="shared" si="269"/>
        <v/>
      </c>
      <c r="D3360" s="11" t="str">
        <f t="shared" si="270"/>
        <v/>
      </c>
      <c r="E3360" s="11" t="str">
        <f t="shared" si="267"/>
        <v/>
      </c>
      <c r="F3360" s="11" t="str">
        <f t="shared" si="268"/>
        <v/>
      </c>
      <c r="G3360" s="10" t="str">
        <v/>
      </c>
      <c r="H3360" s="11" t="str">
        <v/>
      </c>
      <c r="I3360" s="11" t="str">
        <v/>
      </c>
    </row>
    <row r="3361" spans="2:9">
      <c r="B3361" s="11" t="str">
        <f t="shared" si="266"/>
        <v/>
      </c>
      <c r="C3361" s="11" t="str">
        <f t="shared" si="269"/>
        <v/>
      </c>
      <c r="D3361" s="11" t="str">
        <f t="shared" si="270"/>
        <v/>
      </c>
      <c r="E3361" s="11" t="str">
        <f t="shared" si="267"/>
        <v/>
      </c>
      <c r="F3361" s="11" t="str">
        <f t="shared" si="268"/>
        <v/>
      </c>
      <c r="G3361" s="10" t="str">
        <v/>
      </c>
      <c r="H3361" s="11" t="str">
        <v/>
      </c>
      <c r="I3361" s="11" t="str">
        <v/>
      </c>
    </row>
    <row r="3362" spans="2:9">
      <c r="B3362" s="11" t="str">
        <f t="shared" si="266"/>
        <v/>
      </c>
      <c r="C3362" s="11" t="str">
        <f t="shared" si="269"/>
        <v/>
      </c>
      <c r="D3362" s="11" t="str">
        <f t="shared" si="270"/>
        <v/>
      </c>
      <c r="E3362" s="11" t="str">
        <f t="shared" si="267"/>
        <v/>
      </c>
      <c r="F3362" s="11" t="str">
        <f t="shared" si="268"/>
        <v/>
      </c>
      <c r="G3362" s="10" t="str">
        <v/>
      </c>
      <c r="H3362" s="11" t="str">
        <v/>
      </c>
      <c r="I3362" s="11" t="str">
        <v/>
      </c>
    </row>
    <row r="3363" spans="2:9">
      <c r="B3363" s="11" t="str">
        <f t="shared" si="266"/>
        <v/>
      </c>
      <c r="C3363" s="11" t="str">
        <f t="shared" si="269"/>
        <v/>
      </c>
      <c r="D3363" s="11" t="str">
        <f t="shared" si="270"/>
        <v/>
      </c>
      <c r="E3363" s="11" t="str">
        <f t="shared" si="267"/>
        <v/>
      </c>
      <c r="F3363" s="11" t="str">
        <f t="shared" si="268"/>
        <v/>
      </c>
      <c r="G3363" s="10" t="str">
        <v/>
      </c>
      <c r="H3363" s="11" t="str">
        <v/>
      </c>
      <c r="I3363" s="11" t="str">
        <v/>
      </c>
    </row>
    <row r="3364" spans="2:9">
      <c r="B3364" s="11" t="str">
        <f t="shared" si="266"/>
        <v/>
      </c>
      <c r="C3364" s="11" t="str">
        <f t="shared" si="269"/>
        <v/>
      </c>
      <c r="D3364" s="11" t="str">
        <f t="shared" si="270"/>
        <v/>
      </c>
      <c r="E3364" s="11" t="str">
        <f t="shared" si="267"/>
        <v/>
      </c>
      <c r="F3364" s="11" t="str">
        <f t="shared" si="268"/>
        <v/>
      </c>
      <c r="G3364" s="10" t="str">
        <v/>
      </c>
      <c r="H3364" s="11" t="str">
        <v/>
      </c>
      <c r="I3364" s="11" t="str">
        <v/>
      </c>
    </row>
    <row r="3365" spans="2:9">
      <c r="B3365" s="11" t="str">
        <f t="shared" si="266"/>
        <v/>
      </c>
      <c r="C3365" s="11" t="str">
        <f t="shared" si="269"/>
        <v/>
      </c>
      <c r="D3365" s="11" t="str">
        <f t="shared" si="270"/>
        <v/>
      </c>
      <c r="E3365" s="11" t="str">
        <f t="shared" si="267"/>
        <v/>
      </c>
      <c r="F3365" s="11" t="str">
        <f t="shared" si="268"/>
        <v/>
      </c>
      <c r="G3365" s="10" t="str">
        <v/>
      </c>
      <c r="H3365" s="11" t="str">
        <v/>
      </c>
      <c r="I3365" s="11" t="str">
        <v/>
      </c>
    </row>
    <row r="3366" spans="2:9">
      <c r="B3366" s="11" t="str">
        <f t="shared" si="266"/>
        <v/>
      </c>
      <c r="C3366" s="11" t="str">
        <f t="shared" si="269"/>
        <v/>
      </c>
      <c r="D3366" s="11" t="str">
        <f t="shared" si="270"/>
        <v/>
      </c>
      <c r="E3366" s="11" t="str">
        <f t="shared" si="267"/>
        <v/>
      </c>
      <c r="F3366" s="11" t="str">
        <f t="shared" si="268"/>
        <v/>
      </c>
      <c r="G3366" s="10" t="str">
        <v/>
      </c>
      <c r="H3366" s="11" t="str">
        <v/>
      </c>
      <c r="I3366" s="11" t="str">
        <v/>
      </c>
    </row>
    <row r="3367" spans="2:9">
      <c r="B3367" s="11" t="str">
        <f t="shared" si="266"/>
        <v/>
      </c>
      <c r="C3367" s="11" t="str">
        <f t="shared" si="269"/>
        <v/>
      </c>
      <c r="D3367" s="11" t="str">
        <f t="shared" si="270"/>
        <v/>
      </c>
      <c r="E3367" s="11" t="str">
        <f t="shared" si="267"/>
        <v/>
      </c>
      <c r="F3367" s="11" t="str">
        <f t="shared" si="268"/>
        <v/>
      </c>
      <c r="G3367" s="10" t="str">
        <v/>
      </c>
      <c r="H3367" s="11" t="str">
        <v/>
      </c>
      <c r="I3367" s="11" t="str">
        <v/>
      </c>
    </row>
    <row r="3368" spans="2:9">
      <c r="B3368" s="11" t="str">
        <f t="shared" si="266"/>
        <v/>
      </c>
      <c r="C3368" s="11" t="str">
        <f t="shared" si="269"/>
        <v/>
      </c>
      <c r="D3368" s="11" t="str">
        <f t="shared" si="270"/>
        <v/>
      </c>
      <c r="E3368" s="11" t="str">
        <f t="shared" si="267"/>
        <v/>
      </c>
      <c r="F3368" s="11" t="str">
        <f t="shared" si="268"/>
        <v/>
      </c>
      <c r="G3368" s="10" t="str">
        <v/>
      </c>
      <c r="H3368" s="11" t="str">
        <v/>
      </c>
      <c r="I3368" s="11" t="str">
        <v/>
      </c>
    </row>
    <row r="3369" spans="2:9">
      <c r="B3369" s="11" t="str">
        <f t="shared" si="266"/>
        <v/>
      </c>
      <c r="C3369" s="11" t="str">
        <f t="shared" si="269"/>
        <v/>
      </c>
      <c r="D3369" s="11" t="str">
        <f t="shared" si="270"/>
        <v/>
      </c>
      <c r="E3369" s="11" t="str">
        <f t="shared" si="267"/>
        <v/>
      </c>
      <c r="F3369" s="11" t="str">
        <f t="shared" si="268"/>
        <v/>
      </c>
      <c r="G3369" s="10" t="str">
        <v/>
      </c>
      <c r="H3369" s="11" t="str">
        <v/>
      </c>
      <c r="I3369" s="11" t="str">
        <v/>
      </c>
    </row>
    <row r="3370" spans="2:9">
      <c r="B3370" s="11" t="str">
        <f t="shared" si="266"/>
        <v/>
      </c>
      <c r="C3370" s="11" t="str">
        <f t="shared" si="269"/>
        <v/>
      </c>
      <c r="D3370" s="11" t="str">
        <f t="shared" si="270"/>
        <v/>
      </c>
      <c r="E3370" s="11" t="str">
        <f t="shared" si="267"/>
        <v/>
      </c>
      <c r="F3370" s="11" t="str">
        <f t="shared" si="268"/>
        <v/>
      </c>
      <c r="G3370" s="10" t="str">
        <v/>
      </c>
      <c r="H3370" s="11" t="str">
        <v/>
      </c>
      <c r="I3370" s="11" t="str">
        <v/>
      </c>
    </row>
    <row r="3371" spans="2:9">
      <c r="B3371" s="11" t="str">
        <f t="shared" si="266"/>
        <v/>
      </c>
      <c r="C3371" s="11" t="str">
        <f t="shared" si="269"/>
        <v/>
      </c>
      <c r="D3371" s="11" t="str">
        <f t="shared" si="270"/>
        <v/>
      </c>
      <c r="E3371" s="11" t="str">
        <f t="shared" si="267"/>
        <v/>
      </c>
      <c r="F3371" s="11" t="str">
        <f t="shared" si="268"/>
        <v/>
      </c>
      <c r="G3371" s="10" t="str">
        <v/>
      </c>
      <c r="H3371" s="11" t="str">
        <v/>
      </c>
      <c r="I3371" s="11" t="str">
        <v/>
      </c>
    </row>
    <row r="3372" spans="2:9">
      <c r="B3372" s="11" t="str">
        <f t="shared" si="266"/>
        <v/>
      </c>
      <c r="C3372" s="11" t="str">
        <f t="shared" si="269"/>
        <v/>
      </c>
      <c r="D3372" s="11" t="str">
        <f t="shared" si="270"/>
        <v/>
      </c>
      <c r="E3372" s="11" t="str">
        <f t="shared" si="267"/>
        <v/>
      </c>
      <c r="F3372" s="11" t="str">
        <f t="shared" si="268"/>
        <v/>
      </c>
      <c r="G3372" s="10" t="str">
        <v/>
      </c>
      <c r="H3372" s="11" t="str">
        <v/>
      </c>
      <c r="I3372" s="11" t="str">
        <v/>
      </c>
    </row>
    <row r="3373" spans="2:9">
      <c r="B3373" s="11" t="str">
        <f t="shared" si="266"/>
        <v/>
      </c>
      <c r="C3373" s="11" t="str">
        <f t="shared" si="269"/>
        <v/>
      </c>
      <c r="D3373" s="11" t="str">
        <f t="shared" si="270"/>
        <v/>
      </c>
      <c r="E3373" s="11" t="str">
        <f t="shared" si="267"/>
        <v/>
      </c>
      <c r="F3373" s="11" t="str">
        <f t="shared" si="268"/>
        <v/>
      </c>
      <c r="G3373" s="10" t="str">
        <v/>
      </c>
      <c r="H3373" s="11" t="str">
        <v/>
      </c>
      <c r="I3373" s="11" t="str">
        <v/>
      </c>
    </row>
    <row r="3374" spans="2:9">
      <c r="B3374" s="11" t="str">
        <f t="shared" si="266"/>
        <v/>
      </c>
      <c r="C3374" s="11" t="str">
        <f t="shared" si="269"/>
        <v/>
      </c>
      <c r="D3374" s="11" t="str">
        <f t="shared" si="270"/>
        <v/>
      </c>
      <c r="E3374" s="11" t="str">
        <f t="shared" si="267"/>
        <v/>
      </c>
      <c r="F3374" s="11" t="str">
        <f t="shared" si="268"/>
        <v/>
      </c>
      <c r="G3374" s="10" t="str">
        <v/>
      </c>
      <c r="H3374" s="11" t="str">
        <v/>
      </c>
      <c r="I3374" s="11" t="str">
        <v/>
      </c>
    </row>
    <row r="3375" spans="2:9">
      <c r="B3375" s="11" t="str">
        <f t="shared" si="266"/>
        <v/>
      </c>
      <c r="C3375" s="11" t="str">
        <f t="shared" si="269"/>
        <v/>
      </c>
      <c r="D3375" s="11" t="str">
        <f t="shared" si="270"/>
        <v/>
      </c>
      <c r="E3375" s="11" t="str">
        <f t="shared" si="267"/>
        <v/>
      </c>
      <c r="F3375" s="11" t="str">
        <f t="shared" si="268"/>
        <v/>
      </c>
      <c r="G3375" s="10" t="str">
        <v/>
      </c>
      <c r="H3375" s="11" t="str">
        <v/>
      </c>
      <c r="I3375" s="11" t="str">
        <v/>
      </c>
    </row>
    <row r="3376" spans="2:9">
      <c r="B3376" s="11" t="str">
        <f t="shared" si="266"/>
        <v/>
      </c>
      <c r="C3376" s="11" t="str">
        <f t="shared" si="269"/>
        <v/>
      </c>
      <c r="D3376" s="11" t="str">
        <f t="shared" si="270"/>
        <v/>
      </c>
      <c r="E3376" s="11" t="str">
        <f t="shared" si="267"/>
        <v/>
      </c>
      <c r="F3376" s="11" t="str">
        <f t="shared" si="268"/>
        <v/>
      </c>
      <c r="G3376" s="10" t="str">
        <v/>
      </c>
      <c r="H3376" s="11" t="str">
        <v/>
      </c>
      <c r="I3376" s="11" t="str">
        <v/>
      </c>
    </row>
    <row r="3377" spans="2:9">
      <c r="B3377" s="11" t="str">
        <f t="shared" si="266"/>
        <v/>
      </c>
      <c r="C3377" s="11" t="str">
        <f t="shared" si="269"/>
        <v/>
      </c>
      <c r="D3377" s="11" t="str">
        <f t="shared" si="270"/>
        <v/>
      </c>
      <c r="E3377" s="11" t="str">
        <f t="shared" si="267"/>
        <v/>
      </c>
      <c r="F3377" s="11" t="str">
        <f t="shared" si="268"/>
        <v/>
      </c>
      <c r="G3377" s="10" t="str">
        <v/>
      </c>
      <c r="H3377" s="11" t="str">
        <v/>
      </c>
      <c r="I3377" s="11" t="str">
        <v/>
      </c>
    </row>
    <row r="3378" spans="2:9">
      <c r="B3378" s="11" t="str">
        <f t="shared" si="266"/>
        <v/>
      </c>
      <c r="C3378" s="11" t="str">
        <f t="shared" si="269"/>
        <v/>
      </c>
      <c r="D3378" s="11" t="str">
        <f t="shared" si="270"/>
        <v/>
      </c>
      <c r="E3378" s="11" t="str">
        <f t="shared" si="267"/>
        <v/>
      </c>
      <c r="F3378" s="11" t="str">
        <f t="shared" si="268"/>
        <v/>
      </c>
      <c r="G3378" s="10" t="str">
        <v/>
      </c>
      <c r="H3378" s="11" t="str">
        <v/>
      </c>
      <c r="I3378" s="11" t="str">
        <v/>
      </c>
    </row>
    <row r="3379" spans="2:9">
      <c r="B3379" s="11" t="str">
        <f t="shared" si="266"/>
        <v/>
      </c>
      <c r="C3379" s="11" t="str">
        <f t="shared" si="269"/>
        <v/>
      </c>
      <c r="D3379" s="11" t="str">
        <f t="shared" si="270"/>
        <v/>
      </c>
      <c r="E3379" s="11" t="str">
        <f t="shared" si="267"/>
        <v/>
      </c>
      <c r="F3379" s="11" t="str">
        <f t="shared" si="268"/>
        <v/>
      </c>
      <c r="G3379" s="10" t="str">
        <v/>
      </c>
      <c r="H3379" s="11" t="str">
        <v/>
      </c>
      <c r="I3379" s="11" t="str">
        <v/>
      </c>
    </row>
    <row r="3380" spans="2:9">
      <c r="B3380" s="11" t="str">
        <f t="shared" si="266"/>
        <v/>
      </c>
      <c r="C3380" s="11" t="str">
        <f t="shared" si="269"/>
        <v/>
      </c>
      <c r="D3380" s="11" t="str">
        <f t="shared" si="270"/>
        <v/>
      </c>
      <c r="E3380" s="11" t="str">
        <f t="shared" si="267"/>
        <v/>
      </c>
      <c r="F3380" s="11" t="str">
        <f t="shared" si="268"/>
        <v/>
      </c>
      <c r="G3380" s="10" t="str">
        <v/>
      </c>
      <c r="H3380" s="11" t="str">
        <v/>
      </c>
      <c r="I3380" s="11" t="str">
        <v/>
      </c>
    </row>
    <row r="3381" spans="2:9">
      <c r="B3381" s="11" t="str">
        <f t="shared" si="266"/>
        <v/>
      </c>
      <c r="C3381" s="11" t="str">
        <f t="shared" si="269"/>
        <v/>
      </c>
      <c r="D3381" s="11" t="str">
        <f t="shared" si="270"/>
        <v/>
      </c>
      <c r="E3381" s="11" t="str">
        <f t="shared" si="267"/>
        <v/>
      </c>
      <c r="F3381" s="11" t="str">
        <f t="shared" si="268"/>
        <v/>
      </c>
      <c r="G3381" s="10" t="str">
        <v/>
      </c>
      <c r="H3381" s="11" t="str">
        <v/>
      </c>
      <c r="I3381" s="11" t="str">
        <v/>
      </c>
    </row>
    <row r="3382" spans="2:9">
      <c r="B3382" s="11" t="str">
        <f t="shared" si="266"/>
        <v/>
      </c>
      <c r="C3382" s="11" t="str">
        <f t="shared" si="269"/>
        <v/>
      </c>
      <c r="D3382" s="11" t="str">
        <f t="shared" si="270"/>
        <v/>
      </c>
      <c r="E3382" s="11" t="str">
        <f t="shared" si="267"/>
        <v/>
      </c>
      <c r="F3382" s="11" t="str">
        <f t="shared" si="268"/>
        <v/>
      </c>
      <c r="G3382" s="10" t="str">
        <v/>
      </c>
      <c r="H3382" s="11" t="str">
        <v/>
      </c>
      <c r="I3382" s="11" t="str">
        <v/>
      </c>
    </row>
    <row r="3383" spans="2:9">
      <c r="B3383" s="11" t="str">
        <f t="shared" si="266"/>
        <v/>
      </c>
      <c r="C3383" s="11" t="str">
        <f t="shared" si="269"/>
        <v/>
      </c>
      <c r="D3383" s="11" t="str">
        <f t="shared" si="270"/>
        <v/>
      </c>
      <c r="E3383" s="11" t="str">
        <f t="shared" si="267"/>
        <v/>
      </c>
      <c r="F3383" s="11" t="str">
        <f t="shared" si="268"/>
        <v/>
      </c>
      <c r="G3383" s="10" t="str">
        <v/>
      </c>
      <c r="H3383" s="11" t="str">
        <v/>
      </c>
      <c r="I3383" s="11" t="str">
        <v/>
      </c>
    </row>
    <row r="3384" spans="2:9">
      <c r="B3384" s="11" t="str">
        <f t="shared" si="266"/>
        <v/>
      </c>
      <c r="C3384" s="11" t="str">
        <f t="shared" si="269"/>
        <v/>
      </c>
      <c r="D3384" s="11" t="str">
        <f t="shared" si="270"/>
        <v/>
      </c>
      <c r="E3384" s="11" t="str">
        <f t="shared" si="267"/>
        <v/>
      </c>
      <c r="F3384" s="11" t="str">
        <f t="shared" si="268"/>
        <v/>
      </c>
      <c r="G3384" s="10" t="str">
        <v/>
      </c>
      <c r="H3384" s="11" t="str">
        <v/>
      </c>
      <c r="I3384" s="11" t="str">
        <v/>
      </c>
    </row>
    <row r="3385" spans="2:9">
      <c r="B3385" s="11" t="str">
        <f t="shared" si="266"/>
        <v/>
      </c>
      <c r="C3385" s="11" t="str">
        <f t="shared" si="269"/>
        <v/>
      </c>
      <c r="D3385" s="11" t="str">
        <f t="shared" si="270"/>
        <v/>
      </c>
      <c r="E3385" s="11" t="str">
        <f t="shared" si="267"/>
        <v/>
      </c>
      <c r="F3385" s="11" t="str">
        <f t="shared" si="268"/>
        <v/>
      </c>
      <c r="G3385" s="10" t="str">
        <v/>
      </c>
      <c r="H3385" s="11" t="str">
        <v/>
      </c>
      <c r="I3385" s="11" t="str">
        <v/>
      </c>
    </row>
    <row r="3386" spans="2:9">
      <c r="B3386" s="11" t="str">
        <f t="shared" si="266"/>
        <v/>
      </c>
      <c r="C3386" s="11" t="str">
        <f t="shared" si="269"/>
        <v/>
      </c>
      <c r="D3386" s="11" t="str">
        <f t="shared" si="270"/>
        <v/>
      </c>
      <c r="E3386" s="11" t="str">
        <f t="shared" si="267"/>
        <v/>
      </c>
      <c r="F3386" s="11" t="str">
        <f t="shared" si="268"/>
        <v/>
      </c>
      <c r="G3386" s="10" t="str">
        <v/>
      </c>
      <c r="H3386" s="11" t="str">
        <v/>
      </c>
      <c r="I3386" s="11" t="str">
        <v/>
      </c>
    </row>
    <row r="3387" spans="2:9">
      <c r="B3387" s="11" t="str">
        <f t="shared" si="266"/>
        <v/>
      </c>
      <c r="C3387" s="11" t="str">
        <f t="shared" si="269"/>
        <v/>
      </c>
      <c r="D3387" s="11" t="str">
        <f t="shared" si="270"/>
        <v/>
      </c>
      <c r="E3387" s="11" t="str">
        <f t="shared" si="267"/>
        <v/>
      </c>
      <c r="F3387" s="11" t="str">
        <f t="shared" si="268"/>
        <v/>
      </c>
      <c r="G3387" s="10" t="str">
        <v/>
      </c>
      <c r="H3387" s="11" t="str">
        <v/>
      </c>
      <c r="I3387" s="11" t="str">
        <v/>
      </c>
    </row>
    <row r="3388" spans="2:9">
      <c r="B3388" s="11" t="str">
        <f t="shared" si="266"/>
        <v/>
      </c>
      <c r="C3388" s="11" t="str">
        <f t="shared" si="269"/>
        <v/>
      </c>
      <c r="D3388" s="11" t="str">
        <f t="shared" si="270"/>
        <v/>
      </c>
      <c r="E3388" s="11" t="str">
        <f t="shared" si="267"/>
        <v/>
      </c>
      <c r="F3388" s="11" t="str">
        <f t="shared" si="268"/>
        <v/>
      </c>
      <c r="G3388" s="10" t="str">
        <v/>
      </c>
      <c r="H3388" s="11" t="str">
        <v/>
      </c>
      <c r="I3388" s="11" t="str">
        <v/>
      </c>
    </row>
    <row r="3389" spans="2:9">
      <c r="B3389" s="11" t="str">
        <f t="shared" si="266"/>
        <v/>
      </c>
      <c r="C3389" s="11" t="str">
        <f t="shared" si="269"/>
        <v/>
      </c>
      <c r="D3389" s="11" t="str">
        <f t="shared" si="270"/>
        <v/>
      </c>
      <c r="E3389" s="11" t="str">
        <f t="shared" si="267"/>
        <v/>
      </c>
      <c r="F3389" s="11" t="str">
        <f t="shared" si="268"/>
        <v/>
      </c>
      <c r="G3389" s="10" t="str">
        <v/>
      </c>
      <c r="H3389" s="11" t="str">
        <v/>
      </c>
      <c r="I3389" s="11" t="str">
        <v/>
      </c>
    </row>
    <row r="3390" spans="2:9">
      <c r="B3390" s="11" t="str">
        <f t="shared" si="266"/>
        <v/>
      </c>
      <c r="C3390" s="11" t="str">
        <f t="shared" si="269"/>
        <v/>
      </c>
      <c r="D3390" s="11" t="str">
        <f t="shared" si="270"/>
        <v/>
      </c>
      <c r="E3390" s="11" t="str">
        <f t="shared" si="267"/>
        <v/>
      </c>
      <c r="F3390" s="11" t="str">
        <f t="shared" si="268"/>
        <v/>
      </c>
      <c r="G3390" s="10" t="str">
        <v/>
      </c>
      <c r="H3390" s="11" t="str">
        <v/>
      </c>
      <c r="I3390" s="11" t="str">
        <v/>
      </c>
    </row>
    <row r="3391" spans="2:9">
      <c r="B3391" s="11" t="str">
        <f t="shared" si="266"/>
        <v/>
      </c>
      <c r="C3391" s="11" t="str">
        <f t="shared" si="269"/>
        <v/>
      </c>
      <c r="D3391" s="11" t="str">
        <f t="shared" si="270"/>
        <v/>
      </c>
      <c r="E3391" s="11" t="str">
        <f t="shared" si="267"/>
        <v/>
      </c>
      <c r="F3391" s="11" t="str">
        <f t="shared" si="268"/>
        <v/>
      </c>
      <c r="G3391" s="10" t="str">
        <v/>
      </c>
      <c r="H3391" s="11" t="str">
        <v/>
      </c>
      <c r="I3391" s="11" t="str">
        <v/>
      </c>
    </row>
    <row r="3392" spans="2:9">
      <c r="B3392" s="11" t="str">
        <f t="shared" si="266"/>
        <v/>
      </c>
      <c r="C3392" s="11" t="str">
        <f t="shared" si="269"/>
        <v/>
      </c>
      <c r="D3392" s="11" t="str">
        <f t="shared" si="270"/>
        <v/>
      </c>
      <c r="E3392" s="11" t="str">
        <f t="shared" si="267"/>
        <v/>
      </c>
      <c r="F3392" s="11" t="str">
        <f t="shared" si="268"/>
        <v/>
      </c>
      <c r="G3392" s="10" t="str">
        <v/>
      </c>
      <c r="H3392" s="11" t="str">
        <v/>
      </c>
      <c r="I3392" s="11" t="str">
        <v/>
      </c>
    </row>
    <row r="3393" spans="2:9">
      <c r="B3393" s="11" t="str">
        <f t="shared" ref="B3393:B3456" si="271">IFERROR(IF(FIND(" ",A3393)=6,IF(IFERROR(FIND(" PB",A3393),"")&lt;&gt;"","артикул",IF(IFERROR(FIND(" CRN",A3393),"")&lt;&gt;"","артикул","")),""),"")</f>
        <v/>
      </c>
      <c r="C3393" s="11" t="str">
        <f t="shared" si="269"/>
        <v/>
      </c>
      <c r="D3393" s="11" t="str">
        <f t="shared" si="270"/>
        <v/>
      </c>
      <c r="E3393" s="11" t="str">
        <f t="shared" si="267"/>
        <v/>
      </c>
      <c r="F3393" s="11" t="str">
        <f t="shared" si="268"/>
        <v/>
      </c>
      <c r="G3393" s="10" t="str">
        <v/>
      </c>
      <c r="H3393" s="11" t="str">
        <v/>
      </c>
      <c r="I3393" s="11" t="str">
        <v/>
      </c>
    </row>
    <row r="3394" spans="2:9">
      <c r="B3394" s="11" t="str">
        <f t="shared" si="271"/>
        <v/>
      </c>
      <c r="C3394" s="11" t="str">
        <f t="shared" si="269"/>
        <v/>
      </c>
      <c r="D3394" s="11" t="str">
        <f t="shared" si="270"/>
        <v/>
      </c>
      <c r="E3394" s="11" t="str">
        <f t="shared" ref="E3394:E3457" si="272" xml:space="preserve">
IF(B3394="Артикул",
IF(
AND(RIGHT(A3395,1)="%",
RIGHT(A3396,1)="%",
RIGHT(A3397,1)="%",
RIGHT(A3398,1)="%"),MID(A3399,FIND(" ",A3399),50),
IF(
AND(RIGHT(A3395,1)="%",
RIGHT(A3396,1)="%",
RIGHT(A3397,1)="%"),MID(A3398,FIND(" ",A3398),50),
IF(
AND(RIGHT(A3395,1)="%",
RIGHT(A3396,1)="%"),
MID(A3397,FIND(" ",A3397),50),
IF(
RIGHT(A3395,1)="%",
MID(A3396,FIND(" ",A3396),50),"")))),"")</f>
        <v/>
      </c>
      <c r="F3394" s="11" t="str">
        <f t="shared" ref="F3394:F3457" si="273">IFERROR(
IF(
AND(LEFT(A3394,8)="Discount",FIND("%",A3394)&gt;0),
MID(A3394,
FIND(" ",A3394),
FIND("%",A3394)-FIND(" ",A3394))
*-1,""),"")</f>
        <v/>
      </c>
      <c r="G3394" s="10" t="str">
        <v/>
      </c>
      <c r="H3394" s="11" t="str">
        <v/>
      </c>
      <c r="I3394" s="11" t="str">
        <v/>
      </c>
    </row>
    <row r="3395" spans="2:9">
      <c r="B3395" s="11" t="str">
        <f t="shared" si="271"/>
        <v/>
      </c>
      <c r="C3395" s="11" t="str">
        <f t="shared" si="269"/>
        <v/>
      </c>
      <c r="D3395" s="11" t="str">
        <f t="shared" si="270"/>
        <v/>
      </c>
      <c r="E3395" s="11" t="str">
        <f t="shared" si="272"/>
        <v/>
      </c>
      <c r="F3395" s="11" t="str">
        <f t="shared" si="273"/>
        <v/>
      </c>
      <c r="G3395" s="10" t="str">
        <v/>
      </c>
      <c r="H3395" s="11" t="str">
        <v/>
      </c>
      <c r="I3395" s="11" t="str">
        <v/>
      </c>
    </row>
    <row r="3396" spans="2:9">
      <c r="B3396" s="11" t="str">
        <f t="shared" si="271"/>
        <v/>
      </c>
      <c r="C3396" s="11" t="str">
        <f t="shared" si="269"/>
        <v/>
      </c>
      <c r="D3396" s="11" t="str">
        <f t="shared" si="270"/>
        <v/>
      </c>
      <c r="E3396" s="11" t="str">
        <f t="shared" si="272"/>
        <v/>
      </c>
      <c r="F3396" s="11" t="str">
        <f t="shared" si="273"/>
        <v/>
      </c>
      <c r="G3396" s="10" t="str">
        <v/>
      </c>
      <c r="H3396" s="11" t="str">
        <v/>
      </c>
      <c r="I3396" s="11" t="str">
        <v/>
      </c>
    </row>
    <row r="3397" spans="2:9">
      <c r="B3397" s="11" t="str">
        <f t="shared" si="271"/>
        <v/>
      </c>
      <c r="C3397" s="11" t="str">
        <f t="shared" si="269"/>
        <v/>
      </c>
      <c r="D3397" s="11" t="str">
        <f t="shared" si="270"/>
        <v/>
      </c>
      <c r="E3397" s="11" t="str">
        <f t="shared" si="272"/>
        <v/>
      </c>
      <c r="F3397" s="11" t="str">
        <f t="shared" si="273"/>
        <v/>
      </c>
      <c r="G3397" s="10" t="str">
        <v/>
      </c>
      <c r="H3397" s="11" t="str">
        <v/>
      </c>
      <c r="I3397" s="11" t="str">
        <v/>
      </c>
    </row>
    <row r="3398" spans="2:9">
      <c r="B3398" s="11" t="str">
        <f t="shared" si="271"/>
        <v/>
      </c>
      <c r="C3398" s="11" t="str">
        <f t="shared" si="269"/>
        <v/>
      </c>
      <c r="D3398" s="11" t="str">
        <f t="shared" si="270"/>
        <v/>
      </c>
      <c r="E3398" s="11" t="str">
        <f t="shared" si="272"/>
        <v/>
      </c>
      <c r="F3398" s="11" t="str">
        <f t="shared" si="273"/>
        <v/>
      </c>
      <c r="G3398" s="10" t="str">
        <v/>
      </c>
      <c r="H3398" s="11" t="str">
        <v/>
      </c>
      <c r="I3398" s="11" t="str">
        <v/>
      </c>
    </row>
    <row r="3399" spans="2:9">
      <c r="B3399" s="11" t="str">
        <f t="shared" si="271"/>
        <v/>
      </c>
      <c r="C3399" s="11" t="str">
        <f t="shared" si="269"/>
        <v/>
      </c>
      <c r="D3399" s="11" t="str">
        <f t="shared" si="270"/>
        <v/>
      </c>
      <c r="E3399" s="11" t="str">
        <f t="shared" si="272"/>
        <v/>
      </c>
      <c r="F3399" s="11" t="str">
        <f t="shared" si="273"/>
        <v/>
      </c>
      <c r="G3399" s="10" t="str">
        <v/>
      </c>
      <c r="H3399" s="11" t="str">
        <v/>
      </c>
      <c r="I3399" s="11" t="str">
        <v/>
      </c>
    </row>
    <row r="3400" spans="2:9">
      <c r="B3400" s="11" t="str">
        <f t="shared" si="271"/>
        <v/>
      </c>
      <c r="C3400" s="11" t="str">
        <f t="shared" si="269"/>
        <v/>
      </c>
      <c r="D3400" s="11" t="str">
        <f t="shared" si="270"/>
        <v/>
      </c>
      <c r="E3400" s="11" t="str">
        <f t="shared" si="272"/>
        <v/>
      </c>
      <c r="F3400" s="11" t="str">
        <f t="shared" si="273"/>
        <v/>
      </c>
      <c r="G3400" s="10" t="str">
        <v/>
      </c>
      <c r="H3400" s="11" t="str">
        <v/>
      </c>
      <c r="I3400" s="11" t="str">
        <v/>
      </c>
    </row>
    <row r="3401" spans="2:9">
      <c r="B3401" s="11" t="str">
        <f t="shared" si="271"/>
        <v/>
      </c>
      <c r="C3401" s="11" t="str">
        <f t="shared" si="269"/>
        <v/>
      </c>
      <c r="D3401" s="11" t="str">
        <f t="shared" si="270"/>
        <v/>
      </c>
      <c r="E3401" s="11" t="str">
        <f t="shared" si="272"/>
        <v/>
      </c>
      <c r="F3401" s="11" t="str">
        <f t="shared" si="273"/>
        <v/>
      </c>
      <c r="G3401" s="10" t="str">
        <v/>
      </c>
      <c r="H3401" s="11" t="str">
        <v/>
      </c>
      <c r="I3401" s="11" t="str">
        <v/>
      </c>
    </row>
    <row r="3402" spans="2:9">
      <c r="B3402" s="11" t="str">
        <f t="shared" si="271"/>
        <v/>
      </c>
      <c r="C3402" s="11" t="str">
        <f t="shared" si="269"/>
        <v/>
      </c>
      <c r="D3402" s="11" t="str">
        <f t="shared" si="270"/>
        <v/>
      </c>
      <c r="E3402" s="11" t="str">
        <f t="shared" si="272"/>
        <v/>
      </c>
      <c r="F3402" s="11" t="str">
        <f t="shared" si="273"/>
        <v/>
      </c>
      <c r="G3402" s="10" t="str">
        <v/>
      </c>
      <c r="H3402" s="11" t="str">
        <v/>
      </c>
      <c r="I3402" s="11" t="str">
        <v/>
      </c>
    </row>
    <row r="3403" spans="2:9">
      <c r="B3403" s="11" t="str">
        <f t="shared" si="271"/>
        <v/>
      </c>
      <c r="C3403" s="11" t="str">
        <f t="shared" si="269"/>
        <v/>
      </c>
      <c r="D3403" s="11" t="str">
        <f t="shared" si="270"/>
        <v/>
      </c>
      <c r="E3403" s="11" t="str">
        <f t="shared" si="272"/>
        <v/>
      </c>
      <c r="F3403" s="11" t="str">
        <f t="shared" si="273"/>
        <v/>
      </c>
      <c r="G3403" s="10" t="str">
        <v/>
      </c>
      <c r="H3403" s="11" t="str">
        <v/>
      </c>
      <c r="I3403" s="11" t="str">
        <v/>
      </c>
    </row>
    <row r="3404" spans="2:9">
      <c r="B3404" s="11" t="str">
        <f t="shared" si="271"/>
        <v/>
      </c>
      <c r="C3404" s="11" t="str">
        <f t="shared" si="269"/>
        <v/>
      </c>
      <c r="D3404" s="11" t="str">
        <f t="shared" si="270"/>
        <v/>
      </c>
      <c r="E3404" s="11" t="str">
        <f t="shared" si="272"/>
        <v/>
      </c>
      <c r="F3404" s="11" t="str">
        <f t="shared" si="273"/>
        <v/>
      </c>
      <c r="G3404" s="10" t="str">
        <v/>
      </c>
      <c r="H3404" s="11" t="str">
        <v/>
      </c>
      <c r="I3404" s="11" t="str">
        <v/>
      </c>
    </row>
    <row r="3405" spans="2:9">
      <c r="B3405" s="11" t="str">
        <f t="shared" si="271"/>
        <v/>
      </c>
      <c r="C3405" s="11" t="str">
        <f t="shared" ref="C3405:C3468" si="274">IF(B3405="артикул",A3405,"")</f>
        <v/>
      </c>
      <c r="D3405" s="11" t="str">
        <f t="shared" ref="D3405:D3468" si="275">IF(B3405="артикул",A3406,"")</f>
        <v/>
      </c>
      <c r="E3405" s="11" t="str">
        <f t="shared" si="272"/>
        <v/>
      </c>
      <c r="F3405" s="11" t="str">
        <f t="shared" si="273"/>
        <v/>
      </c>
      <c r="G3405" s="10" t="str">
        <v/>
      </c>
      <c r="H3405" s="11" t="str">
        <v/>
      </c>
      <c r="I3405" s="11" t="str">
        <v/>
      </c>
    </row>
    <row r="3406" spans="2:9">
      <c r="B3406" s="11" t="str">
        <f t="shared" si="271"/>
        <v/>
      </c>
      <c r="C3406" s="11" t="str">
        <f t="shared" si="274"/>
        <v/>
      </c>
      <c r="D3406" s="11" t="str">
        <f t="shared" si="275"/>
        <v/>
      </c>
      <c r="E3406" s="11" t="str">
        <f t="shared" si="272"/>
        <v/>
      </c>
      <c r="F3406" s="11" t="str">
        <f t="shared" si="273"/>
        <v/>
      </c>
      <c r="G3406" s="10" t="str">
        <v/>
      </c>
      <c r="H3406" s="11" t="str">
        <v/>
      </c>
      <c r="I3406" s="11" t="str">
        <v/>
      </c>
    </row>
    <row r="3407" spans="2:9">
      <c r="B3407" s="11" t="str">
        <f t="shared" si="271"/>
        <v/>
      </c>
      <c r="C3407" s="11" t="str">
        <f t="shared" si="274"/>
        <v/>
      </c>
      <c r="D3407" s="11" t="str">
        <f t="shared" si="275"/>
        <v/>
      </c>
      <c r="E3407" s="11" t="str">
        <f t="shared" si="272"/>
        <v/>
      </c>
      <c r="F3407" s="11" t="str">
        <f t="shared" si="273"/>
        <v/>
      </c>
      <c r="G3407" s="10" t="str">
        <v/>
      </c>
      <c r="H3407" s="11" t="str">
        <v/>
      </c>
      <c r="I3407" s="11" t="str">
        <v/>
      </c>
    </row>
    <row r="3408" spans="2:9">
      <c r="B3408" s="11" t="str">
        <f t="shared" si="271"/>
        <v/>
      </c>
      <c r="C3408" s="11" t="str">
        <f t="shared" si="274"/>
        <v/>
      </c>
      <c r="D3408" s="11" t="str">
        <f t="shared" si="275"/>
        <v/>
      </c>
      <c r="E3408" s="11" t="str">
        <f t="shared" si="272"/>
        <v/>
      </c>
      <c r="F3408" s="11" t="str">
        <f t="shared" si="273"/>
        <v/>
      </c>
      <c r="G3408" s="10" t="str">
        <v/>
      </c>
      <c r="H3408" s="11" t="str">
        <v/>
      </c>
      <c r="I3408" s="11" t="str">
        <v/>
      </c>
    </row>
    <row r="3409" spans="2:9">
      <c r="B3409" s="11" t="str">
        <f t="shared" si="271"/>
        <v/>
      </c>
      <c r="C3409" s="11" t="str">
        <f t="shared" si="274"/>
        <v/>
      </c>
      <c r="D3409" s="11" t="str">
        <f t="shared" si="275"/>
        <v/>
      </c>
      <c r="E3409" s="11" t="str">
        <f t="shared" si="272"/>
        <v/>
      </c>
      <c r="F3409" s="11" t="str">
        <f t="shared" si="273"/>
        <v/>
      </c>
      <c r="G3409" s="10" t="str">
        <v/>
      </c>
      <c r="H3409" s="11" t="str">
        <v/>
      </c>
      <c r="I3409" s="11" t="str">
        <v/>
      </c>
    </row>
    <row r="3410" spans="2:9">
      <c r="B3410" s="11" t="str">
        <f t="shared" si="271"/>
        <v/>
      </c>
      <c r="C3410" s="11" t="str">
        <f t="shared" si="274"/>
        <v/>
      </c>
      <c r="D3410" s="11" t="str">
        <f t="shared" si="275"/>
        <v/>
      </c>
      <c r="E3410" s="11" t="str">
        <f t="shared" si="272"/>
        <v/>
      </c>
      <c r="F3410" s="11" t="str">
        <f t="shared" si="273"/>
        <v/>
      </c>
      <c r="G3410" s="10" t="str">
        <v/>
      </c>
      <c r="H3410" s="11" t="str">
        <v/>
      </c>
      <c r="I3410" s="11" t="str">
        <v/>
      </c>
    </row>
    <row r="3411" spans="2:9">
      <c r="B3411" s="11" t="str">
        <f t="shared" si="271"/>
        <v/>
      </c>
      <c r="C3411" s="11" t="str">
        <f t="shared" si="274"/>
        <v/>
      </c>
      <c r="D3411" s="11" t="str">
        <f t="shared" si="275"/>
        <v/>
      </c>
      <c r="E3411" s="11" t="str">
        <f t="shared" si="272"/>
        <v/>
      </c>
      <c r="F3411" s="11" t="str">
        <f t="shared" si="273"/>
        <v/>
      </c>
      <c r="G3411" s="10" t="str">
        <v/>
      </c>
      <c r="H3411" s="11" t="str">
        <v/>
      </c>
      <c r="I3411" s="11" t="str">
        <v/>
      </c>
    </row>
    <row r="3412" spans="2:9">
      <c r="B3412" s="11" t="str">
        <f t="shared" si="271"/>
        <v/>
      </c>
      <c r="C3412" s="11" t="str">
        <f t="shared" si="274"/>
        <v/>
      </c>
      <c r="D3412" s="11" t="str">
        <f t="shared" si="275"/>
        <v/>
      </c>
      <c r="E3412" s="11" t="str">
        <f t="shared" si="272"/>
        <v/>
      </c>
      <c r="F3412" s="11" t="str">
        <f t="shared" si="273"/>
        <v/>
      </c>
      <c r="G3412" s="10" t="str">
        <v/>
      </c>
      <c r="H3412" s="11" t="str">
        <v/>
      </c>
      <c r="I3412" s="11" t="str">
        <v/>
      </c>
    </row>
    <row r="3413" spans="2:9">
      <c r="B3413" s="11" t="str">
        <f t="shared" si="271"/>
        <v/>
      </c>
      <c r="C3413" s="11" t="str">
        <f t="shared" si="274"/>
        <v/>
      </c>
      <c r="D3413" s="11" t="str">
        <f t="shared" si="275"/>
        <v/>
      </c>
      <c r="E3413" s="11" t="str">
        <f t="shared" si="272"/>
        <v/>
      </c>
      <c r="F3413" s="11" t="str">
        <f t="shared" si="273"/>
        <v/>
      </c>
      <c r="G3413" s="10" t="str">
        <v/>
      </c>
      <c r="H3413" s="11" t="str">
        <v/>
      </c>
      <c r="I3413" s="11" t="str">
        <v/>
      </c>
    </row>
    <row r="3414" spans="2:9">
      <c r="B3414" s="11" t="str">
        <f t="shared" si="271"/>
        <v/>
      </c>
      <c r="C3414" s="11" t="str">
        <f t="shared" si="274"/>
        <v/>
      </c>
      <c r="D3414" s="11" t="str">
        <f t="shared" si="275"/>
        <v/>
      </c>
      <c r="E3414" s="11" t="str">
        <f t="shared" si="272"/>
        <v/>
      </c>
      <c r="F3414" s="11" t="str">
        <f t="shared" si="273"/>
        <v/>
      </c>
      <c r="G3414" s="10" t="str">
        <v/>
      </c>
      <c r="H3414" s="11" t="str">
        <v/>
      </c>
      <c r="I3414" s="11" t="str">
        <v/>
      </c>
    </row>
    <row r="3415" spans="2:9">
      <c r="B3415" s="11" t="str">
        <f t="shared" si="271"/>
        <v/>
      </c>
      <c r="C3415" s="11" t="str">
        <f t="shared" si="274"/>
        <v/>
      </c>
      <c r="D3415" s="11" t="str">
        <f t="shared" si="275"/>
        <v/>
      </c>
      <c r="E3415" s="11" t="str">
        <f t="shared" si="272"/>
        <v/>
      </c>
      <c r="F3415" s="11" t="str">
        <f t="shared" si="273"/>
        <v/>
      </c>
      <c r="G3415" s="10" t="str">
        <v/>
      </c>
      <c r="H3415" s="11" t="str">
        <v/>
      </c>
      <c r="I3415" s="11" t="str">
        <v/>
      </c>
    </row>
    <row r="3416" spans="2:9">
      <c r="B3416" s="11" t="str">
        <f t="shared" si="271"/>
        <v/>
      </c>
      <c r="C3416" s="11" t="str">
        <f t="shared" si="274"/>
        <v/>
      </c>
      <c r="D3416" s="11" t="str">
        <f t="shared" si="275"/>
        <v/>
      </c>
      <c r="E3416" s="11" t="str">
        <f t="shared" si="272"/>
        <v/>
      </c>
      <c r="F3416" s="11" t="str">
        <f t="shared" si="273"/>
        <v/>
      </c>
      <c r="G3416" s="10" t="str">
        <v/>
      </c>
      <c r="H3416" s="11" t="str">
        <v/>
      </c>
      <c r="I3416" s="11" t="str">
        <v/>
      </c>
    </row>
    <row r="3417" spans="2:9">
      <c r="B3417" s="11" t="str">
        <f t="shared" si="271"/>
        <v/>
      </c>
      <c r="C3417" s="11" t="str">
        <f t="shared" si="274"/>
        <v/>
      </c>
      <c r="D3417" s="11" t="str">
        <f t="shared" si="275"/>
        <v/>
      </c>
      <c r="E3417" s="11" t="str">
        <f t="shared" si="272"/>
        <v/>
      </c>
      <c r="F3417" s="11" t="str">
        <f t="shared" si="273"/>
        <v/>
      </c>
      <c r="G3417" s="10" t="str">
        <v/>
      </c>
      <c r="H3417" s="11" t="str">
        <v/>
      </c>
      <c r="I3417" s="11" t="str">
        <v/>
      </c>
    </row>
    <row r="3418" spans="2:9">
      <c r="B3418" s="11" t="str">
        <f t="shared" si="271"/>
        <v/>
      </c>
      <c r="C3418" s="11" t="str">
        <f t="shared" si="274"/>
        <v/>
      </c>
      <c r="D3418" s="11" t="str">
        <f t="shared" si="275"/>
        <v/>
      </c>
      <c r="E3418" s="11" t="str">
        <f t="shared" si="272"/>
        <v/>
      </c>
      <c r="F3418" s="11" t="str">
        <f t="shared" si="273"/>
        <v/>
      </c>
      <c r="G3418" s="10" t="str">
        <v/>
      </c>
      <c r="H3418" s="11" t="str">
        <v/>
      </c>
      <c r="I3418" s="11" t="str">
        <v/>
      </c>
    </row>
    <row r="3419" spans="2:9">
      <c r="B3419" s="11" t="str">
        <f t="shared" si="271"/>
        <v/>
      </c>
      <c r="C3419" s="11" t="str">
        <f t="shared" si="274"/>
        <v/>
      </c>
      <c r="D3419" s="11" t="str">
        <f t="shared" si="275"/>
        <v/>
      </c>
      <c r="E3419" s="11" t="str">
        <f t="shared" si="272"/>
        <v/>
      </c>
      <c r="F3419" s="11" t="str">
        <f t="shared" si="273"/>
        <v/>
      </c>
      <c r="G3419" s="10" t="str">
        <v/>
      </c>
      <c r="H3419" s="11" t="str">
        <v/>
      </c>
      <c r="I3419" s="11" t="str">
        <v/>
      </c>
    </row>
    <row r="3420" spans="2:9">
      <c r="B3420" s="11" t="str">
        <f t="shared" si="271"/>
        <v/>
      </c>
      <c r="C3420" s="11" t="str">
        <f t="shared" si="274"/>
        <v/>
      </c>
      <c r="D3420" s="11" t="str">
        <f t="shared" si="275"/>
        <v/>
      </c>
      <c r="E3420" s="11" t="str">
        <f t="shared" si="272"/>
        <v/>
      </c>
      <c r="F3420" s="11" t="str">
        <f t="shared" si="273"/>
        <v/>
      </c>
      <c r="G3420" s="10" t="str">
        <v/>
      </c>
      <c r="H3420" s="11" t="str">
        <v/>
      </c>
      <c r="I3420" s="11" t="str">
        <v/>
      </c>
    </row>
    <row r="3421" spans="2:9">
      <c r="B3421" s="11" t="str">
        <f t="shared" si="271"/>
        <v/>
      </c>
      <c r="C3421" s="11" t="str">
        <f t="shared" si="274"/>
        <v/>
      </c>
      <c r="D3421" s="11" t="str">
        <f t="shared" si="275"/>
        <v/>
      </c>
      <c r="E3421" s="11" t="str">
        <f t="shared" si="272"/>
        <v/>
      </c>
      <c r="F3421" s="11" t="str">
        <f t="shared" si="273"/>
        <v/>
      </c>
      <c r="G3421" s="10" t="str">
        <v/>
      </c>
      <c r="H3421" s="11" t="str">
        <v/>
      </c>
      <c r="I3421" s="11" t="str">
        <v/>
      </c>
    </row>
    <row r="3422" spans="2:9">
      <c r="B3422" s="11" t="str">
        <f t="shared" si="271"/>
        <v/>
      </c>
      <c r="C3422" s="11" t="str">
        <f t="shared" si="274"/>
        <v/>
      </c>
      <c r="D3422" s="11" t="str">
        <f t="shared" si="275"/>
        <v/>
      </c>
      <c r="E3422" s="11" t="str">
        <f t="shared" si="272"/>
        <v/>
      </c>
      <c r="F3422" s="11" t="str">
        <f t="shared" si="273"/>
        <v/>
      </c>
      <c r="G3422" s="10" t="str">
        <v/>
      </c>
      <c r="H3422" s="11" t="str">
        <v/>
      </c>
      <c r="I3422" s="11" t="str">
        <v/>
      </c>
    </row>
    <row r="3423" spans="2:9">
      <c r="B3423" s="11" t="str">
        <f t="shared" si="271"/>
        <v/>
      </c>
      <c r="C3423" s="11" t="str">
        <f t="shared" si="274"/>
        <v/>
      </c>
      <c r="D3423" s="11" t="str">
        <f t="shared" si="275"/>
        <v/>
      </c>
      <c r="E3423" s="11" t="str">
        <f t="shared" si="272"/>
        <v/>
      </c>
      <c r="F3423" s="11" t="str">
        <f t="shared" si="273"/>
        <v/>
      </c>
      <c r="G3423" s="10" t="str">
        <v/>
      </c>
      <c r="H3423" s="11" t="str">
        <v/>
      </c>
      <c r="I3423" s="11" t="str">
        <v/>
      </c>
    </row>
    <row r="3424" spans="2:9">
      <c r="B3424" s="11" t="str">
        <f t="shared" si="271"/>
        <v/>
      </c>
      <c r="C3424" s="11" t="str">
        <f t="shared" si="274"/>
        <v/>
      </c>
      <c r="D3424" s="11" t="str">
        <f t="shared" si="275"/>
        <v/>
      </c>
      <c r="E3424" s="11" t="str">
        <f t="shared" si="272"/>
        <v/>
      </c>
      <c r="F3424" s="11" t="str">
        <f t="shared" si="273"/>
        <v/>
      </c>
      <c r="G3424" s="10" t="str">
        <v/>
      </c>
      <c r="H3424" s="11" t="str">
        <v/>
      </c>
      <c r="I3424" s="11" t="str">
        <v/>
      </c>
    </row>
    <row r="3425" spans="2:9">
      <c r="B3425" s="11" t="str">
        <f t="shared" si="271"/>
        <v/>
      </c>
      <c r="C3425" s="11" t="str">
        <f t="shared" si="274"/>
        <v/>
      </c>
      <c r="D3425" s="11" t="str">
        <f t="shared" si="275"/>
        <v/>
      </c>
      <c r="E3425" s="11" t="str">
        <f t="shared" si="272"/>
        <v/>
      </c>
      <c r="F3425" s="11" t="str">
        <f t="shared" si="273"/>
        <v/>
      </c>
      <c r="G3425" s="10" t="str">
        <v/>
      </c>
      <c r="H3425" s="11" t="str">
        <v/>
      </c>
      <c r="I3425" s="11" t="str">
        <v/>
      </c>
    </row>
    <row r="3426" spans="2:9">
      <c r="B3426" s="11" t="str">
        <f t="shared" si="271"/>
        <v/>
      </c>
      <c r="C3426" s="11" t="str">
        <f t="shared" si="274"/>
        <v/>
      </c>
      <c r="D3426" s="11" t="str">
        <f t="shared" si="275"/>
        <v/>
      </c>
      <c r="E3426" s="11" t="str">
        <f t="shared" si="272"/>
        <v/>
      </c>
      <c r="F3426" s="11" t="str">
        <f t="shared" si="273"/>
        <v/>
      </c>
      <c r="G3426" s="10" t="str">
        <v/>
      </c>
      <c r="H3426" s="11" t="str">
        <v/>
      </c>
      <c r="I3426" s="11" t="str">
        <v/>
      </c>
    </row>
    <row r="3427" spans="2:9">
      <c r="B3427" s="11" t="str">
        <f t="shared" si="271"/>
        <v/>
      </c>
      <c r="C3427" s="11" t="str">
        <f t="shared" si="274"/>
        <v/>
      </c>
      <c r="D3427" s="11" t="str">
        <f t="shared" si="275"/>
        <v/>
      </c>
      <c r="E3427" s="11" t="str">
        <f t="shared" si="272"/>
        <v/>
      </c>
      <c r="F3427" s="11" t="str">
        <f t="shared" si="273"/>
        <v/>
      </c>
      <c r="G3427" s="10" t="str">
        <v/>
      </c>
      <c r="H3427" s="11" t="str">
        <v/>
      </c>
      <c r="I3427" s="11" t="str">
        <v/>
      </c>
    </row>
    <row r="3428" spans="2:9">
      <c r="B3428" s="11" t="str">
        <f t="shared" si="271"/>
        <v/>
      </c>
      <c r="C3428" s="11" t="str">
        <f t="shared" si="274"/>
        <v/>
      </c>
      <c r="D3428" s="11" t="str">
        <f t="shared" si="275"/>
        <v/>
      </c>
      <c r="E3428" s="11" t="str">
        <f t="shared" si="272"/>
        <v/>
      </c>
      <c r="F3428" s="11" t="str">
        <f t="shared" si="273"/>
        <v/>
      </c>
      <c r="G3428" s="10" t="str">
        <v/>
      </c>
      <c r="H3428" s="11" t="str">
        <v/>
      </c>
      <c r="I3428" s="11" t="str">
        <v/>
      </c>
    </row>
    <row r="3429" spans="2:9">
      <c r="B3429" s="11" t="str">
        <f t="shared" si="271"/>
        <v/>
      </c>
      <c r="C3429" s="11" t="str">
        <f t="shared" si="274"/>
        <v/>
      </c>
      <c r="D3429" s="11" t="str">
        <f t="shared" si="275"/>
        <v/>
      </c>
      <c r="E3429" s="11" t="str">
        <f t="shared" si="272"/>
        <v/>
      </c>
      <c r="F3429" s="11" t="str">
        <f t="shared" si="273"/>
        <v/>
      </c>
      <c r="G3429" s="10" t="str">
        <v/>
      </c>
      <c r="H3429" s="11" t="str">
        <v/>
      </c>
      <c r="I3429" s="11" t="str">
        <v/>
      </c>
    </row>
    <row r="3430" spans="2:9">
      <c r="B3430" s="11" t="str">
        <f t="shared" si="271"/>
        <v/>
      </c>
      <c r="C3430" s="11" t="str">
        <f t="shared" si="274"/>
        <v/>
      </c>
      <c r="D3430" s="11" t="str">
        <f t="shared" si="275"/>
        <v/>
      </c>
      <c r="E3430" s="11" t="str">
        <f t="shared" si="272"/>
        <v/>
      </c>
      <c r="F3430" s="11" t="str">
        <f t="shared" si="273"/>
        <v/>
      </c>
      <c r="G3430" s="10" t="str">
        <v/>
      </c>
      <c r="H3430" s="11" t="str">
        <v/>
      </c>
      <c r="I3430" s="11" t="str">
        <v/>
      </c>
    </row>
    <row r="3431" spans="2:9">
      <c r="B3431" s="11" t="str">
        <f t="shared" si="271"/>
        <v/>
      </c>
      <c r="C3431" s="11" t="str">
        <f t="shared" si="274"/>
        <v/>
      </c>
      <c r="D3431" s="11" t="str">
        <f t="shared" si="275"/>
        <v/>
      </c>
      <c r="E3431" s="11" t="str">
        <f t="shared" si="272"/>
        <v/>
      </c>
      <c r="F3431" s="11" t="str">
        <f t="shared" si="273"/>
        <v/>
      </c>
      <c r="G3431" s="10" t="str">
        <v/>
      </c>
      <c r="H3431" s="11" t="str">
        <v/>
      </c>
      <c r="I3431" s="11" t="str">
        <v/>
      </c>
    </row>
    <row r="3432" spans="2:9">
      <c r="B3432" s="11" t="str">
        <f t="shared" si="271"/>
        <v/>
      </c>
      <c r="C3432" s="11" t="str">
        <f t="shared" si="274"/>
        <v/>
      </c>
      <c r="D3432" s="11" t="str">
        <f t="shared" si="275"/>
        <v/>
      </c>
      <c r="E3432" s="11" t="str">
        <f t="shared" si="272"/>
        <v/>
      </c>
      <c r="F3432" s="11" t="str">
        <f t="shared" si="273"/>
        <v/>
      </c>
      <c r="G3432" s="10" t="str">
        <v/>
      </c>
      <c r="H3432" s="11" t="str">
        <v/>
      </c>
      <c r="I3432" s="11" t="str">
        <v/>
      </c>
    </row>
    <row r="3433" spans="2:9">
      <c r="B3433" s="11" t="str">
        <f t="shared" si="271"/>
        <v/>
      </c>
      <c r="C3433" s="11" t="str">
        <f t="shared" si="274"/>
        <v/>
      </c>
      <c r="D3433" s="11" t="str">
        <f t="shared" si="275"/>
        <v/>
      </c>
      <c r="E3433" s="11" t="str">
        <f t="shared" si="272"/>
        <v/>
      </c>
      <c r="F3433" s="11" t="str">
        <f t="shared" si="273"/>
        <v/>
      </c>
      <c r="G3433" s="10" t="str">
        <v/>
      </c>
      <c r="H3433" s="11" t="str">
        <v/>
      </c>
      <c r="I3433" s="11" t="str">
        <v/>
      </c>
    </row>
    <row r="3434" spans="2:9">
      <c r="B3434" s="11" t="str">
        <f t="shared" si="271"/>
        <v/>
      </c>
      <c r="C3434" s="11" t="str">
        <f t="shared" si="274"/>
        <v/>
      </c>
      <c r="D3434" s="11" t="str">
        <f t="shared" si="275"/>
        <v/>
      </c>
      <c r="E3434" s="11" t="str">
        <f t="shared" si="272"/>
        <v/>
      </c>
      <c r="F3434" s="11" t="str">
        <f t="shared" si="273"/>
        <v/>
      </c>
      <c r="G3434" s="10" t="str">
        <v/>
      </c>
      <c r="H3434" s="11" t="str">
        <v/>
      </c>
      <c r="I3434" s="11" t="str">
        <v/>
      </c>
    </row>
    <row r="3435" spans="2:9">
      <c r="B3435" s="11" t="str">
        <f t="shared" si="271"/>
        <v/>
      </c>
      <c r="C3435" s="11" t="str">
        <f t="shared" si="274"/>
        <v/>
      </c>
      <c r="D3435" s="11" t="str">
        <f t="shared" si="275"/>
        <v/>
      </c>
      <c r="E3435" s="11" t="str">
        <f t="shared" si="272"/>
        <v/>
      </c>
      <c r="F3435" s="11" t="str">
        <f t="shared" si="273"/>
        <v/>
      </c>
      <c r="G3435" s="10" t="str">
        <v/>
      </c>
      <c r="H3435" s="11" t="str">
        <v/>
      </c>
      <c r="I3435" s="11" t="str">
        <v/>
      </c>
    </row>
    <row r="3436" spans="2:9">
      <c r="B3436" s="11" t="str">
        <f t="shared" si="271"/>
        <v/>
      </c>
      <c r="C3436" s="11" t="str">
        <f t="shared" si="274"/>
        <v/>
      </c>
      <c r="D3436" s="11" t="str">
        <f t="shared" si="275"/>
        <v/>
      </c>
      <c r="E3436" s="11" t="str">
        <f t="shared" si="272"/>
        <v/>
      </c>
      <c r="F3436" s="11" t="str">
        <f t="shared" si="273"/>
        <v/>
      </c>
      <c r="G3436" s="10" t="str">
        <v/>
      </c>
      <c r="H3436" s="11" t="str">
        <v/>
      </c>
      <c r="I3436" s="11" t="str">
        <v/>
      </c>
    </row>
    <row r="3437" spans="2:9">
      <c r="B3437" s="11" t="str">
        <f t="shared" si="271"/>
        <v/>
      </c>
      <c r="C3437" s="11" t="str">
        <f t="shared" si="274"/>
        <v/>
      </c>
      <c r="D3437" s="11" t="str">
        <f t="shared" si="275"/>
        <v/>
      </c>
      <c r="E3437" s="11" t="str">
        <f t="shared" si="272"/>
        <v/>
      </c>
      <c r="F3437" s="11" t="str">
        <f t="shared" si="273"/>
        <v/>
      </c>
      <c r="G3437" s="10" t="str">
        <v/>
      </c>
      <c r="H3437" s="11" t="str">
        <v/>
      </c>
      <c r="I3437" s="11" t="str">
        <v/>
      </c>
    </row>
    <row r="3438" spans="2:9">
      <c r="B3438" s="11" t="str">
        <f t="shared" si="271"/>
        <v/>
      </c>
      <c r="C3438" s="11" t="str">
        <f t="shared" si="274"/>
        <v/>
      </c>
      <c r="D3438" s="11" t="str">
        <f t="shared" si="275"/>
        <v/>
      </c>
      <c r="E3438" s="11" t="str">
        <f t="shared" si="272"/>
        <v/>
      </c>
      <c r="F3438" s="11" t="str">
        <f t="shared" si="273"/>
        <v/>
      </c>
      <c r="G3438" s="10" t="str">
        <v/>
      </c>
      <c r="H3438" s="11" t="str">
        <v/>
      </c>
      <c r="I3438" s="11" t="str">
        <v/>
      </c>
    </row>
    <row r="3439" spans="2:9">
      <c r="B3439" s="11" t="str">
        <f t="shared" si="271"/>
        <v/>
      </c>
      <c r="C3439" s="11" t="str">
        <f t="shared" si="274"/>
        <v/>
      </c>
      <c r="D3439" s="11" t="str">
        <f t="shared" si="275"/>
        <v/>
      </c>
      <c r="E3439" s="11" t="str">
        <f t="shared" si="272"/>
        <v/>
      </c>
      <c r="F3439" s="11" t="str">
        <f t="shared" si="273"/>
        <v/>
      </c>
      <c r="G3439" s="10" t="str">
        <v/>
      </c>
      <c r="H3439" s="11" t="str">
        <v/>
      </c>
      <c r="I3439" s="11" t="str">
        <v/>
      </c>
    </row>
    <row r="3440" spans="2:9">
      <c r="B3440" s="11" t="str">
        <f t="shared" si="271"/>
        <v/>
      </c>
      <c r="C3440" s="11" t="str">
        <f t="shared" si="274"/>
        <v/>
      </c>
      <c r="D3440" s="11" t="str">
        <f t="shared" si="275"/>
        <v/>
      </c>
      <c r="E3440" s="11" t="str">
        <f t="shared" si="272"/>
        <v/>
      </c>
      <c r="F3440" s="11" t="str">
        <f t="shared" si="273"/>
        <v/>
      </c>
      <c r="G3440" s="10" t="str">
        <v/>
      </c>
      <c r="H3440" s="11" t="str">
        <v/>
      </c>
      <c r="I3440" s="11" t="str">
        <v/>
      </c>
    </row>
    <row r="3441" spans="2:9">
      <c r="B3441" s="11" t="str">
        <f t="shared" si="271"/>
        <v/>
      </c>
      <c r="C3441" s="11" t="str">
        <f t="shared" si="274"/>
        <v/>
      </c>
      <c r="D3441" s="11" t="str">
        <f t="shared" si="275"/>
        <v/>
      </c>
      <c r="E3441" s="11" t="str">
        <f t="shared" si="272"/>
        <v/>
      </c>
      <c r="F3441" s="11" t="str">
        <f t="shared" si="273"/>
        <v/>
      </c>
      <c r="G3441" s="10" t="str">
        <v/>
      </c>
      <c r="H3441" s="11" t="str">
        <v/>
      </c>
      <c r="I3441" s="11" t="str">
        <v/>
      </c>
    </row>
    <row r="3442" spans="2:9">
      <c r="B3442" s="11" t="str">
        <f t="shared" si="271"/>
        <v/>
      </c>
      <c r="C3442" s="11" t="str">
        <f t="shared" si="274"/>
        <v/>
      </c>
      <c r="D3442" s="11" t="str">
        <f t="shared" si="275"/>
        <v/>
      </c>
      <c r="E3442" s="11" t="str">
        <f t="shared" si="272"/>
        <v/>
      </c>
      <c r="F3442" s="11" t="str">
        <f t="shared" si="273"/>
        <v/>
      </c>
      <c r="G3442" s="10" t="str">
        <v/>
      </c>
      <c r="H3442" s="11" t="str">
        <v/>
      </c>
      <c r="I3442" s="11" t="str">
        <v/>
      </c>
    </row>
    <row r="3443" spans="2:9">
      <c r="B3443" s="11" t="str">
        <f t="shared" si="271"/>
        <v/>
      </c>
      <c r="C3443" s="11" t="str">
        <f t="shared" si="274"/>
        <v/>
      </c>
      <c r="D3443" s="11" t="str">
        <f t="shared" si="275"/>
        <v/>
      </c>
      <c r="E3443" s="11" t="str">
        <f t="shared" si="272"/>
        <v/>
      </c>
      <c r="F3443" s="11" t="str">
        <f t="shared" si="273"/>
        <v/>
      </c>
      <c r="G3443" s="10" t="str">
        <v/>
      </c>
      <c r="H3443" s="11" t="str">
        <v/>
      </c>
      <c r="I3443" s="11" t="str">
        <v/>
      </c>
    </row>
    <row r="3444" spans="2:9">
      <c r="B3444" s="11" t="str">
        <f t="shared" si="271"/>
        <v/>
      </c>
      <c r="C3444" s="11" t="str">
        <f t="shared" si="274"/>
        <v/>
      </c>
      <c r="D3444" s="11" t="str">
        <f t="shared" si="275"/>
        <v/>
      </c>
      <c r="E3444" s="11" t="str">
        <f t="shared" si="272"/>
        <v/>
      </c>
      <c r="F3444" s="11" t="str">
        <f t="shared" si="273"/>
        <v/>
      </c>
      <c r="G3444" s="10" t="str">
        <v/>
      </c>
      <c r="H3444" s="11" t="str">
        <v/>
      </c>
      <c r="I3444" s="11" t="str">
        <v/>
      </c>
    </row>
    <row r="3445" spans="2:9">
      <c r="B3445" s="11" t="str">
        <f t="shared" si="271"/>
        <v/>
      </c>
      <c r="C3445" s="11" t="str">
        <f t="shared" si="274"/>
        <v/>
      </c>
      <c r="D3445" s="11" t="str">
        <f t="shared" si="275"/>
        <v/>
      </c>
      <c r="E3445" s="11" t="str">
        <f t="shared" si="272"/>
        <v/>
      </c>
      <c r="F3445" s="11" t="str">
        <f t="shared" si="273"/>
        <v/>
      </c>
      <c r="G3445" s="10" t="str">
        <v/>
      </c>
      <c r="H3445" s="11" t="str">
        <v/>
      </c>
      <c r="I3445" s="11" t="str">
        <v/>
      </c>
    </row>
    <row r="3446" spans="2:9">
      <c r="B3446" s="11" t="str">
        <f t="shared" si="271"/>
        <v/>
      </c>
      <c r="C3446" s="11" t="str">
        <f t="shared" si="274"/>
        <v/>
      </c>
      <c r="D3446" s="11" t="str">
        <f t="shared" si="275"/>
        <v/>
      </c>
      <c r="E3446" s="11" t="str">
        <f t="shared" si="272"/>
        <v/>
      </c>
      <c r="F3446" s="11" t="str">
        <f t="shared" si="273"/>
        <v/>
      </c>
      <c r="G3446" s="10" t="str">
        <v/>
      </c>
      <c r="H3446" s="11" t="str">
        <v/>
      </c>
      <c r="I3446" s="11" t="str">
        <v/>
      </c>
    </row>
    <row r="3447" spans="2:9">
      <c r="B3447" s="11" t="str">
        <f t="shared" si="271"/>
        <v/>
      </c>
      <c r="C3447" s="11" t="str">
        <f t="shared" si="274"/>
        <v/>
      </c>
      <c r="D3447" s="11" t="str">
        <f t="shared" si="275"/>
        <v/>
      </c>
      <c r="E3447" s="11" t="str">
        <f t="shared" si="272"/>
        <v/>
      </c>
      <c r="F3447" s="11" t="str">
        <f t="shared" si="273"/>
        <v/>
      </c>
      <c r="G3447" s="10" t="str">
        <v/>
      </c>
      <c r="H3447" s="11" t="str">
        <v/>
      </c>
      <c r="I3447" s="11" t="str">
        <v/>
      </c>
    </row>
    <row r="3448" spans="2:9">
      <c r="B3448" s="11" t="str">
        <f t="shared" si="271"/>
        <v/>
      </c>
      <c r="C3448" s="11" t="str">
        <f t="shared" si="274"/>
        <v/>
      </c>
      <c r="D3448" s="11" t="str">
        <f t="shared" si="275"/>
        <v/>
      </c>
      <c r="E3448" s="11" t="str">
        <f t="shared" si="272"/>
        <v/>
      </c>
      <c r="F3448" s="11" t="str">
        <f t="shared" si="273"/>
        <v/>
      </c>
      <c r="G3448" s="10" t="str">
        <v/>
      </c>
      <c r="H3448" s="11" t="str">
        <v/>
      </c>
      <c r="I3448" s="11" t="str">
        <v/>
      </c>
    </row>
    <row r="3449" spans="2:9">
      <c r="B3449" s="11" t="str">
        <f t="shared" si="271"/>
        <v/>
      </c>
      <c r="C3449" s="11" t="str">
        <f t="shared" si="274"/>
        <v/>
      </c>
      <c r="D3449" s="11" t="str">
        <f t="shared" si="275"/>
        <v/>
      </c>
      <c r="E3449" s="11" t="str">
        <f t="shared" si="272"/>
        <v/>
      </c>
      <c r="F3449" s="11" t="str">
        <f t="shared" si="273"/>
        <v/>
      </c>
      <c r="G3449" s="10" t="str">
        <v/>
      </c>
      <c r="H3449" s="11" t="str">
        <v/>
      </c>
      <c r="I3449" s="11" t="str">
        <v/>
      </c>
    </row>
    <row r="3450" spans="2:9">
      <c r="B3450" s="11" t="str">
        <f t="shared" si="271"/>
        <v/>
      </c>
      <c r="C3450" s="11" t="str">
        <f t="shared" si="274"/>
        <v/>
      </c>
      <c r="D3450" s="11" t="str">
        <f t="shared" si="275"/>
        <v/>
      </c>
      <c r="E3450" s="11" t="str">
        <f t="shared" si="272"/>
        <v/>
      </c>
      <c r="F3450" s="11" t="str">
        <f t="shared" si="273"/>
        <v/>
      </c>
      <c r="G3450" s="10" t="str">
        <v/>
      </c>
      <c r="H3450" s="11" t="str">
        <v/>
      </c>
      <c r="I3450" s="11" t="str">
        <v/>
      </c>
    </row>
    <row r="3451" spans="2:9">
      <c r="B3451" s="11" t="str">
        <f t="shared" si="271"/>
        <v/>
      </c>
      <c r="C3451" s="11" t="str">
        <f t="shared" si="274"/>
        <v/>
      </c>
      <c r="D3451" s="11" t="str">
        <f t="shared" si="275"/>
        <v/>
      </c>
      <c r="E3451" s="11" t="str">
        <f t="shared" si="272"/>
        <v/>
      </c>
      <c r="F3451" s="11" t="str">
        <f t="shared" si="273"/>
        <v/>
      </c>
      <c r="G3451" s="10" t="str">
        <v/>
      </c>
      <c r="H3451" s="11" t="str">
        <v/>
      </c>
      <c r="I3451" s="11" t="str">
        <v/>
      </c>
    </row>
    <row r="3452" spans="2:9">
      <c r="B3452" s="11" t="str">
        <f t="shared" si="271"/>
        <v/>
      </c>
      <c r="C3452" s="11" t="str">
        <f t="shared" si="274"/>
        <v/>
      </c>
      <c r="D3452" s="11" t="str">
        <f t="shared" si="275"/>
        <v/>
      </c>
      <c r="E3452" s="11" t="str">
        <f t="shared" si="272"/>
        <v/>
      </c>
      <c r="F3452" s="11" t="str">
        <f t="shared" si="273"/>
        <v/>
      </c>
      <c r="G3452" s="10" t="str">
        <v/>
      </c>
      <c r="H3452" s="11" t="str">
        <v/>
      </c>
      <c r="I3452" s="11" t="str">
        <v/>
      </c>
    </row>
    <row r="3453" spans="2:9">
      <c r="B3453" s="11" t="str">
        <f t="shared" si="271"/>
        <v/>
      </c>
      <c r="C3453" s="11" t="str">
        <f t="shared" si="274"/>
        <v/>
      </c>
      <c r="D3453" s="11" t="str">
        <f t="shared" si="275"/>
        <v/>
      </c>
      <c r="E3453" s="11" t="str">
        <f t="shared" si="272"/>
        <v/>
      </c>
      <c r="F3453" s="11" t="str">
        <f t="shared" si="273"/>
        <v/>
      </c>
      <c r="G3453" s="10" t="str">
        <v/>
      </c>
      <c r="H3453" s="11" t="str">
        <v/>
      </c>
      <c r="I3453" s="11" t="str">
        <v/>
      </c>
    </row>
    <row r="3454" spans="2:9">
      <c r="B3454" s="11" t="str">
        <f t="shared" si="271"/>
        <v/>
      </c>
      <c r="C3454" s="11" t="str">
        <f t="shared" si="274"/>
        <v/>
      </c>
      <c r="D3454" s="11" t="str">
        <f t="shared" si="275"/>
        <v/>
      </c>
      <c r="E3454" s="11" t="str">
        <f t="shared" si="272"/>
        <v/>
      </c>
      <c r="F3454" s="11" t="str">
        <f t="shared" si="273"/>
        <v/>
      </c>
      <c r="G3454" s="10" t="str">
        <v/>
      </c>
      <c r="H3454" s="11" t="str">
        <v/>
      </c>
      <c r="I3454" s="11" t="str">
        <v/>
      </c>
    </row>
    <row r="3455" spans="2:9">
      <c r="B3455" s="11" t="str">
        <f t="shared" si="271"/>
        <v/>
      </c>
      <c r="C3455" s="11" t="str">
        <f t="shared" si="274"/>
        <v/>
      </c>
      <c r="D3455" s="11" t="str">
        <f t="shared" si="275"/>
        <v/>
      </c>
      <c r="E3455" s="11" t="str">
        <f t="shared" si="272"/>
        <v/>
      </c>
      <c r="F3455" s="11" t="str">
        <f t="shared" si="273"/>
        <v/>
      </c>
      <c r="G3455" s="10" t="str">
        <v/>
      </c>
      <c r="H3455" s="11" t="str">
        <v/>
      </c>
      <c r="I3455" s="11" t="str">
        <v/>
      </c>
    </row>
    <row r="3456" spans="2:9">
      <c r="B3456" s="11" t="str">
        <f t="shared" si="271"/>
        <v/>
      </c>
      <c r="C3456" s="11" t="str">
        <f t="shared" si="274"/>
        <v/>
      </c>
      <c r="D3456" s="11" t="str">
        <f t="shared" si="275"/>
        <v/>
      </c>
      <c r="E3456" s="11" t="str">
        <f t="shared" si="272"/>
        <v/>
      </c>
      <c r="F3456" s="11" t="str">
        <f t="shared" si="273"/>
        <v/>
      </c>
      <c r="G3456" s="10" t="str">
        <v/>
      </c>
      <c r="H3456" s="11" t="str">
        <v/>
      </c>
      <c r="I3456" s="11" t="str">
        <v/>
      </c>
    </row>
    <row r="3457" spans="2:9">
      <c r="B3457" s="11" t="str">
        <f t="shared" ref="B3457:B3520" si="276">IFERROR(IF(FIND(" ",A3457)=6,IF(IFERROR(FIND(" PB",A3457),"")&lt;&gt;"","артикул",IF(IFERROR(FIND(" CRN",A3457),"")&lt;&gt;"","артикул","")),""),"")</f>
        <v/>
      </c>
      <c r="C3457" s="11" t="str">
        <f t="shared" si="274"/>
        <v/>
      </c>
      <c r="D3457" s="11" t="str">
        <f t="shared" si="275"/>
        <v/>
      </c>
      <c r="E3457" s="11" t="str">
        <f t="shared" si="272"/>
        <v/>
      </c>
      <c r="F3457" s="11" t="str">
        <f t="shared" si="273"/>
        <v/>
      </c>
      <c r="G3457" s="10" t="str">
        <v/>
      </c>
      <c r="H3457" s="11" t="str">
        <v/>
      </c>
      <c r="I3457" s="11" t="str">
        <v/>
      </c>
    </row>
    <row r="3458" spans="2:9">
      <c r="B3458" s="11" t="str">
        <f t="shared" si="276"/>
        <v/>
      </c>
      <c r="C3458" s="11" t="str">
        <f t="shared" si="274"/>
        <v/>
      </c>
      <c r="D3458" s="11" t="str">
        <f t="shared" si="275"/>
        <v/>
      </c>
      <c r="E3458" s="11" t="str">
        <f t="shared" ref="E3458:E3521" si="277" xml:space="preserve">
IF(B3458="Артикул",
IF(
AND(RIGHT(A3459,1)="%",
RIGHT(A3460,1)="%",
RIGHT(A3461,1)="%",
RIGHT(A3462,1)="%"),MID(A3463,FIND(" ",A3463),50),
IF(
AND(RIGHT(A3459,1)="%",
RIGHT(A3460,1)="%",
RIGHT(A3461,1)="%"),MID(A3462,FIND(" ",A3462),50),
IF(
AND(RIGHT(A3459,1)="%",
RIGHT(A3460,1)="%"),
MID(A3461,FIND(" ",A3461),50),
IF(
RIGHT(A3459,1)="%",
MID(A3460,FIND(" ",A3460),50),"")))),"")</f>
        <v/>
      </c>
      <c r="F3458" s="11" t="str">
        <f t="shared" ref="F3458:F3521" si="278">IFERROR(
IF(
AND(LEFT(A3458,8)="Discount",FIND("%",A3458)&gt;0),
MID(A3458,
FIND(" ",A3458),
FIND("%",A3458)-FIND(" ",A3458))
*-1,""),"")</f>
        <v/>
      </c>
      <c r="G3458" s="10" t="str">
        <v/>
      </c>
      <c r="H3458" s="11" t="str">
        <v/>
      </c>
      <c r="I3458" s="11" t="str">
        <v/>
      </c>
    </row>
    <row r="3459" spans="2:9">
      <c r="B3459" s="11" t="str">
        <f t="shared" si="276"/>
        <v/>
      </c>
      <c r="C3459" s="11" t="str">
        <f t="shared" si="274"/>
        <v/>
      </c>
      <c r="D3459" s="11" t="str">
        <f t="shared" si="275"/>
        <v/>
      </c>
      <c r="E3459" s="11" t="str">
        <f t="shared" si="277"/>
        <v/>
      </c>
      <c r="F3459" s="11" t="str">
        <f t="shared" si="278"/>
        <v/>
      </c>
      <c r="G3459" s="10" t="str">
        <v/>
      </c>
      <c r="H3459" s="11" t="str">
        <v/>
      </c>
      <c r="I3459" s="11" t="str">
        <v/>
      </c>
    </row>
    <row r="3460" spans="2:9">
      <c r="B3460" s="11" t="str">
        <f t="shared" si="276"/>
        <v/>
      </c>
      <c r="C3460" s="11" t="str">
        <f t="shared" si="274"/>
        <v/>
      </c>
      <c r="D3460" s="11" t="str">
        <f t="shared" si="275"/>
        <v/>
      </c>
      <c r="E3460" s="11" t="str">
        <f t="shared" si="277"/>
        <v/>
      </c>
      <c r="F3460" s="11" t="str">
        <f t="shared" si="278"/>
        <v/>
      </c>
      <c r="G3460" s="10" t="str">
        <v/>
      </c>
      <c r="H3460" s="11" t="str">
        <v/>
      </c>
      <c r="I3460" s="11" t="str">
        <v/>
      </c>
    </row>
    <row r="3461" spans="2:9">
      <c r="B3461" s="11" t="str">
        <f t="shared" si="276"/>
        <v/>
      </c>
      <c r="C3461" s="11" t="str">
        <f t="shared" si="274"/>
        <v/>
      </c>
      <c r="D3461" s="11" t="str">
        <f t="shared" si="275"/>
        <v/>
      </c>
      <c r="E3461" s="11" t="str">
        <f t="shared" si="277"/>
        <v/>
      </c>
      <c r="F3461" s="11" t="str">
        <f t="shared" si="278"/>
        <v/>
      </c>
      <c r="G3461" s="10" t="str">
        <v/>
      </c>
      <c r="H3461" s="11" t="str">
        <v/>
      </c>
      <c r="I3461" s="11" t="str">
        <v/>
      </c>
    </row>
    <row r="3462" spans="2:9">
      <c r="B3462" s="11" t="str">
        <f t="shared" si="276"/>
        <v/>
      </c>
      <c r="C3462" s="11" t="str">
        <f t="shared" si="274"/>
        <v/>
      </c>
      <c r="D3462" s="11" t="str">
        <f t="shared" si="275"/>
        <v/>
      </c>
      <c r="E3462" s="11" t="str">
        <f t="shared" si="277"/>
        <v/>
      </c>
      <c r="F3462" s="11" t="str">
        <f t="shared" si="278"/>
        <v/>
      </c>
      <c r="G3462" s="10" t="str">
        <v/>
      </c>
      <c r="H3462" s="11" t="str">
        <v/>
      </c>
      <c r="I3462" s="11" t="str">
        <v/>
      </c>
    </row>
    <row r="3463" spans="2:9">
      <c r="B3463" s="11" t="str">
        <f t="shared" si="276"/>
        <v/>
      </c>
      <c r="C3463" s="11" t="str">
        <f t="shared" si="274"/>
        <v/>
      </c>
      <c r="D3463" s="11" t="str">
        <f t="shared" si="275"/>
        <v/>
      </c>
      <c r="E3463" s="11" t="str">
        <f t="shared" si="277"/>
        <v/>
      </c>
      <c r="F3463" s="11" t="str">
        <f t="shared" si="278"/>
        <v/>
      </c>
      <c r="G3463" s="10" t="str">
        <v/>
      </c>
      <c r="H3463" s="11" t="str">
        <v/>
      </c>
      <c r="I3463" s="11" t="str">
        <v/>
      </c>
    </row>
    <row r="3464" spans="2:9">
      <c r="B3464" s="11" t="str">
        <f t="shared" si="276"/>
        <v/>
      </c>
      <c r="C3464" s="11" t="str">
        <f t="shared" si="274"/>
        <v/>
      </c>
      <c r="D3464" s="11" t="str">
        <f t="shared" si="275"/>
        <v/>
      </c>
      <c r="E3464" s="11" t="str">
        <f t="shared" si="277"/>
        <v/>
      </c>
      <c r="F3464" s="11" t="str">
        <f t="shared" si="278"/>
        <v/>
      </c>
      <c r="G3464" s="10" t="str">
        <v/>
      </c>
      <c r="H3464" s="11" t="str">
        <v/>
      </c>
      <c r="I3464" s="11" t="str">
        <v/>
      </c>
    </row>
    <row r="3465" spans="2:9">
      <c r="B3465" s="11" t="str">
        <f t="shared" si="276"/>
        <v/>
      </c>
      <c r="C3465" s="11" t="str">
        <f t="shared" si="274"/>
        <v/>
      </c>
      <c r="D3465" s="11" t="str">
        <f t="shared" si="275"/>
        <v/>
      </c>
      <c r="E3465" s="11" t="str">
        <f t="shared" si="277"/>
        <v/>
      </c>
      <c r="F3465" s="11" t="str">
        <f t="shared" si="278"/>
        <v/>
      </c>
      <c r="G3465" s="10" t="str">
        <v/>
      </c>
      <c r="H3465" s="11" t="str">
        <v/>
      </c>
      <c r="I3465" s="11" t="str">
        <v/>
      </c>
    </row>
    <row r="3466" spans="2:9">
      <c r="B3466" s="11" t="str">
        <f t="shared" si="276"/>
        <v/>
      </c>
      <c r="C3466" s="11" t="str">
        <f t="shared" si="274"/>
        <v/>
      </c>
      <c r="D3466" s="11" t="str">
        <f t="shared" si="275"/>
        <v/>
      </c>
      <c r="E3466" s="11" t="str">
        <f t="shared" si="277"/>
        <v/>
      </c>
      <c r="F3466" s="11" t="str">
        <f t="shared" si="278"/>
        <v/>
      </c>
      <c r="G3466" s="10" t="str">
        <v/>
      </c>
      <c r="H3466" s="11" t="str">
        <v/>
      </c>
      <c r="I3466" s="11" t="str">
        <v/>
      </c>
    </row>
    <row r="3467" spans="2:9">
      <c r="B3467" s="11" t="str">
        <f t="shared" si="276"/>
        <v/>
      </c>
      <c r="C3467" s="11" t="str">
        <f t="shared" si="274"/>
        <v/>
      </c>
      <c r="D3467" s="11" t="str">
        <f t="shared" si="275"/>
        <v/>
      </c>
      <c r="E3467" s="11" t="str">
        <f t="shared" si="277"/>
        <v/>
      </c>
      <c r="F3467" s="11" t="str">
        <f t="shared" si="278"/>
        <v/>
      </c>
      <c r="G3467" s="10" t="str">
        <v/>
      </c>
      <c r="H3467" s="11" t="str">
        <v/>
      </c>
      <c r="I3467" s="11" t="str">
        <v/>
      </c>
    </row>
    <row r="3468" spans="2:9">
      <c r="B3468" s="11" t="str">
        <f t="shared" si="276"/>
        <v/>
      </c>
      <c r="C3468" s="11" t="str">
        <f t="shared" si="274"/>
        <v/>
      </c>
      <c r="D3468" s="11" t="str">
        <f t="shared" si="275"/>
        <v/>
      </c>
      <c r="E3468" s="11" t="str">
        <f t="shared" si="277"/>
        <v/>
      </c>
      <c r="F3468" s="11" t="str">
        <f t="shared" si="278"/>
        <v/>
      </c>
      <c r="G3468" s="10" t="str">
        <v/>
      </c>
      <c r="H3468" s="11" t="str">
        <v/>
      </c>
      <c r="I3468" s="11" t="str">
        <v/>
      </c>
    </row>
    <row r="3469" spans="2:9">
      <c r="B3469" s="11" t="str">
        <f t="shared" si="276"/>
        <v/>
      </c>
      <c r="C3469" s="11" t="str">
        <f t="shared" ref="C3469:C3532" si="279">IF(B3469="артикул",A3469,"")</f>
        <v/>
      </c>
      <c r="D3469" s="11" t="str">
        <f t="shared" ref="D3469:D3532" si="280">IF(B3469="артикул",A3470,"")</f>
        <v/>
      </c>
      <c r="E3469" s="11" t="str">
        <f t="shared" si="277"/>
        <v/>
      </c>
      <c r="F3469" s="11" t="str">
        <f t="shared" si="278"/>
        <v/>
      </c>
      <c r="G3469" s="10" t="str">
        <v/>
      </c>
      <c r="H3469" s="11" t="str">
        <v/>
      </c>
      <c r="I3469" s="11" t="str">
        <v/>
      </c>
    </row>
    <row r="3470" spans="2:9">
      <c r="B3470" s="11" t="str">
        <f t="shared" si="276"/>
        <v/>
      </c>
      <c r="C3470" s="11" t="str">
        <f t="shared" si="279"/>
        <v/>
      </c>
      <c r="D3470" s="11" t="str">
        <f t="shared" si="280"/>
        <v/>
      </c>
      <c r="E3470" s="11" t="str">
        <f t="shared" si="277"/>
        <v/>
      </c>
      <c r="F3470" s="11" t="str">
        <f t="shared" si="278"/>
        <v/>
      </c>
      <c r="G3470" s="10" t="str">
        <v/>
      </c>
      <c r="H3470" s="11" t="str">
        <v/>
      </c>
      <c r="I3470" s="11" t="str">
        <v/>
      </c>
    </row>
    <row r="3471" spans="2:9">
      <c r="B3471" s="11" t="str">
        <f t="shared" si="276"/>
        <v/>
      </c>
      <c r="C3471" s="11" t="str">
        <f t="shared" si="279"/>
        <v/>
      </c>
      <c r="D3471" s="11" t="str">
        <f t="shared" si="280"/>
        <v/>
      </c>
      <c r="E3471" s="11" t="str">
        <f t="shared" si="277"/>
        <v/>
      </c>
      <c r="F3471" s="11" t="str">
        <f t="shared" si="278"/>
        <v/>
      </c>
      <c r="G3471" s="10" t="str">
        <v/>
      </c>
      <c r="H3471" s="11" t="str">
        <v/>
      </c>
      <c r="I3471" s="11" t="str">
        <v/>
      </c>
    </row>
    <row r="3472" spans="2:9">
      <c r="B3472" s="11" t="str">
        <f t="shared" si="276"/>
        <v/>
      </c>
      <c r="C3472" s="11" t="str">
        <f t="shared" si="279"/>
        <v/>
      </c>
      <c r="D3472" s="11" t="str">
        <f t="shared" si="280"/>
        <v/>
      </c>
      <c r="E3472" s="11" t="str">
        <f t="shared" si="277"/>
        <v/>
      </c>
      <c r="F3472" s="11" t="str">
        <f t="shared" si="278"/>
        <v/>
      </c>
      <c r="G3472" s="10" t="str">
        <v/>
      </c>
      <c r="H3472" s="11" t="str">
        <v/>
      </c>
      <c r="I3472" s="11" t="str">
        <v/>
      </c>
    </row>
    <row r="3473" spans="2:9">
      <c r="B3473" s="11" t="str">
        <f t="shared" si="276"/>
        <v/>
      </c>
      <c r="C3473" s="11" t="str">
        <f t="shared" si="279"/>
        <v/>
      </c>
      <c r="D3473" s="11" t="str">
        <f t="shared" si="280"/>
        <v/>
      </c>
      <c r="E3473" s="11" t="str">
        <f t="shared" si="277"/>
        <v/>
      </c>
      <c r="F3473" s="11" t="str">
        <f t="shared" si="278"/>
        <v/>
      </c>
      <c r="G3473" s="10" t="str">
        <v/>
      </c>
      <c r="H3473" s="11" t="str">
        <v/>
      </c>
      <c r="I3473" s="11" t="str">
        <v/>
      </c>
    </row>
    <row r="3474" spans="2:9">
      <c r="B3474" s="11" t="str">
        <f t="shared" si="276"/>
        <v/>
      </c>
      <c r="C3474" s="11" t="str">
        <f t="shared" si="279"/>
        <v/>
      </c>
      <c r="D3474" s="11" t="str">
        <f t="shared" si="280"/>
        <v/>
      </c>
      <c r="E3474" s="11" t="str">
        <f t="shared" si="277"/>
        <v/>
      </c>
      <c r="F3474" s="11" t="str">
        <f t="shared" si="278"/>
        <v/>
      </c>
      <c r="G3474" s="10" t="str">
        <v/>
      </c>
      <c r="H3474" s="11" t="str">
        <v/>
      </c>
      <c r="I3474" s="11" t="str">
        <v/>
      </c>
    </row>
    <row r="3475" spans="2:9">
      <c r="B3475" s="11" t="str">
        <f t="shared" si="276"/>
        <v/>
      </c>
      <c r="C3475" s="11" t="str">
        <f t="shared" si="279"/>
        <v/>
      </c>
      <c r="D3475" s="11" t="str">
        <f t="shared" si="280"/>
        <v/>
      </c>
      <c r="E3475" s="11" t="str">
        <f t="shared" si="277"/>
        <v/>
      </c>
      <c r="F3475" s="11" t="str">
        <f t="shared" si="278"/>
        <v/>
      </c>
      <c r="G3475" s="10" t="str">
        <v/>
      </c>
      <c r="H3475" s="11" t="str">
        <v/>
      </c>
      <c r="I3475" s="11" t="str">
        <v/>
      </c>
    </row>
    <row r="3476" spans="2:9">
      <c r="B3476" s="11" t="str">
        <f t="shared" si="276"/>
        <v/>
      </c>
      <c r="C3476" s="11" t="str">
        <f t="shared" si="279"/>
        <v/>
      </c>
      <c r="D3476" s="11" t="str">
        <f t="shared" si="280"/>
        <v/>
      </c>
      <c r="E3476" s="11" t="str">
        <f t="shared" si="277"/>
        <v/>
      </c>
      <c r="F3476" s="11" t="str">
        <f t="shared" si="278"/>
        <v/>
      </c>
      <c r="G3476" s="10" t="str">
        <v/>
      </c>
      <c r="H3476" s="11" t="str">
        <v/>
      </c>
      <c r="I3476" s="11" t="str">
        <v/>
      </c>
    </row>
    <row r="3477" spans="2:9">
      <c r="B3477" s="11" t="str">
        <f t="shared" si="276"/>
        <v/>
      </c>
      <c r="C3477" s="11" t="str">
        <f t="shared" si="279"/>
        <v/>
      </c>
      <c r="D3477" s="11" t="str">
        <f t="shared" si="280"/>
        <v/>
      </c>
      <c r="E3477" s="11" t="str">
        <f t="shared" si="277"/>
        <v/>
      </c>
      <c r="F3477" s="11" t="str">
        <f t="shared" si="278"/>
        <v/>
      </c>
      <c r="G3477" s="10" t="str">
        <v/>
      </c>
      <c r="H3477" s="11" t="str">
        <v/>
      </c>
      <c r="I3477" s="11" t="str">
        <v/>
      </c>
    </row>
    <row r="3478" spans="2:9">
      <c r="B3478" s="11" t="str">
        <f t="shared" si="276"/>
        <v/>
      </c>
      <c r="C3478" s="11" t="str">
        <f t="shared" si="279"/>
        <v/>
      </c>
      <c r="D3478" s="11" t="str">
        <f t="shared" si="280"/>
        <v/>
      </c>
      <c r="E3478" s="11" t="str">
        <f t="shared" si="277"/>
        <v/>
      </c>
      <c r="F3478" s="11" t="str">
        <f t="shared" si="278"/>
        <v/>
      </c>
      <c r="G3478" s="10" t="str">
        <v/>
      </c>
      <c r="H3478" s="11" t="str">
        <v/>
      </c>
      <c r="I3478" s="11" t="str">
        <v/>
      </c>
    </row>
    <row r="3479" spans="2:9">
      <c r="B3479" s="11" t="str">
        <f t="shared" si="276"/>
        <v/>
      </c>
      <c r="C3479" s="11" t="str">
        <f t="shared" si="279"/>
        <v/>
      </c>
      <c r="D3479" s="11" t="str">
        <f t="shared" si="280"/>
        <v/>
      </c>
      <c r="E3479" s="11" t="str">
        <f t="shared" si="277"/>
        <v/>
      </c>
      <c r="F3479" s="11" t="str">
        <f t="shared" si="278"/>
        <v/>
      </c>
      <c r="G3479" s="10" t="str">
        <v/>
      </c>
      <c r="H3479" s="11" t="str">
        <v/>
      </c>
      <c r="I3479" s="11" t="str">
        <v/>
      </c>
    </row>
    <row r="3480" spans="2:9">
      <c r="B3480" s="11" t="str">
        <f t="shared" si="276"/>
        <v/>
      </c>
      <c r="C3480" s="11" t="str">
        <f t="shared" si="279"/>
        <v/>
      </c>
      <c r="D3480" s="11" t="str">
        <f t="shared" si="280"/>
        <v/>
      </c>
      <c r="E3480" s="11" t="str">
        <f t="shared" si="277"/>
        <v/>
      </c>
      <c r="F3480" s="11" t="str">
        <f t="shared" si="278"/>
        <v/>
      </c>
      <c r="G3480" s="10" t="str">
        <v/>
      </c>
      <c r="H3480" s="11" t="str">
        <v/>
      </c>
      <c r="I3480" s="11" t="str">
        <v/>
      </c>
    </row>
    <row r="3481" spans="2:9">
      <c r="B3481" s="11" t="str">
        <f t="shared" si="276"/>
        <v/>
      </c>
      <c r="C3481" s="11" t="str">
        <f t="shared" si="279"/>
        <v/>
      </c>
      <c r="D3481" s="11" t="str">
        <f t="shared" si="280"/>
        <v/>
      </c>
      <c r="E3481" s="11" t="str">
        <f t="shared" si="277"/>
        <v/>
      </c>
      <c r="F3481" s="11" t="str">
        <f t="shared" si="278"/>
        <v/>
      </c>
      <c r="G3481" s="10" t="str">
        <v/>
      </c>
      <c r="H3481" s="11" t="str">
        <v/>
      </c>
      <c r="I3481" s="11" t="str">
        <v/>
      </c>
    </row>
    <row r="3482" spans="2:9">
      <c r="B3482" s="11" t="str">
        <f t="shared" si="276"/>
        <v/>
      </c>
      <c r="C3482" s="11" t="str">
        <f t="shared" si="279"/>
        <v/>
      </c>
      <c r="D3482" s="11" t="str">
        <f t="shared" si="280"/>
        <v/>
      </c>
      <c r="E3482" s="11" t="str">
        <f t="shared" si="277"/>
        <v/>
      </c>
      <c r="F3482" s="11" t="str">
        <f t="shared" si="278"/>
        <v/>
      </c>
      <c r="G3482" s="10" t="str">
        <v/>
      </c>
      <c r="H3482" s="11" t="str">
        <v/>
      </c>
      <c r="I3482" s="11" t="str">
        <v/>
      </c>
    </row>
    <row r="3483" spans="2:9">
      <c r="B3483" s="11" t="str">
        <f t="shared" si="276"/>
        <v/>
      </c>
      <c r="C3483" s="11" t="str">
        <f t="shared" si="279"/>
        <v/>
      </c>
      <c r="D3483" s="11" t="str">
        <f t="shared" si="280"/>
        <v/>
      </c>
      <c r="E3483" s="11" t="str">
        <f t="shared" si="277"/>
        <v/>
      </c>
      <c r="F3483" s="11" t="str">
        <f t="shared" si="278"/>
        <v/>
      </c>
      <c r="G3483" s="10" t="str">
        <v/>
      </c>
      <c r="H3483" s="11" t="str">
        <v/>
      </c>
      <c r="I3483" s="11" t="str">
        <v/>
      </c>
    </row>
    <row r="3484" spans="2:9">
      <c r="B3484" s="11" t="str">
        <f t="shared" si="276"/>
        <v/>
      </c>
      <c r="C3484" s="11" t="str">
        <f t="shared" si="279"/>
        <v/>
      </c>
      <c r="D3484" s="11" t="str">
        <f t="shared" si="280"/>
        <v/>
      </c>
      <c r="E3484" s="11" t="str">
        <f t="shared" si="277"/>
        <v/>
      </c>
      <c r="F3484" s="11" t="str">
        <f t="shared" si="278"/>
        <v/>
      </c>
      <c r="G3484" s="10" t="str">
        <v/>
      </c>
      <c r="H3484" s="11" t="str">
        <v/>
      </c>
      <c r="I3484" s="11" t="str">
        <v/>
      </c>
    </row>
    <row r="3485" spans="2:9">
      <c r="B3485" s="11" t="str">
        <f t="shared" si="276"/>
        <v/>
      </c>
      <c r="C3485" s="11" t="str">
        <f t="shared" si="279"/>
        <v/>
      </c>
      <c r="D3485" s="11" t="str">
        <f t="shared" si="280"/>
        <v/>
      </c>
      <c r="E3485" s="11" t="str">
        <f t="shared" si="277"/>
        <v/>
      </c>
      <c r="F3485" s="11" t="str">
        <f t="shared" si="278"/>
        <v/>
      </c>
      <c r="G3485" s="10" t="str">
        <v/>
      </c>
      <c r="H3485" s="11" t="str">
        <v/>
      </c>
      <c r="I3485" s="11" t="str">
        <v/>
      </c>
    </row>
    <row r="3486" spans="2:9">
      <c r="B3486" s="11" t="str">
        <f t="shared" si="276"/>
        <v/>
      </c>
      <c r="C3486" s="11" t="str">
        <f t="shared" si="279"/>
        <v/>
      </c>
      <c r="D3486" s="11" t="str">
        <f t="shared" si="280"/>
        <v/>
      </c>
      <c r="E3486" s="11" t="str">
        <f t="shared" si="277"/>
        <v/>
      </c>
      <c r="F3486" s="11" t="str">
        <f t="shared" si="278"/>
        <v/>
      </c>
      <c r="G3486" s="10" t="str">
        <v/>
      </c>
      <c r="H3486" s="11" t="str">
        <v/>
      </c>
      <c r="I3486" s="11" t="str">
        <v/>
      </c>
    </row>
    <row r="3487" spans="2:9">
      <c r="B3487" s="11" t="str">
        <f t="shared" si="276"/>
        <v/>
      </c>
      <c r="C3487" s="11" t="str">
        <f t="shared" si="279"/>
        <v/>
      </c>
      <c r="D3487" s="11" t="str">
        <f t="shared" si="280"/>
        <v/>
      </c>
      <c r="E3487" s="11" t="str">
        <f t="shared" si="277"/>
        <v/>
      </c>
      <c r="F3487" s="11" t="str">
        <f t="shared" si="278"/>
        <v/>
      </c>
      <c r="G3487" s="10" t="str">
        <v/>
      </c>
      <c r="H3487" s="11" t="str">
        <v/>
      </c>
      <c r="I3487" s="11" t="str">
        <v/>
      </c>
    </row>
    <row r="3488" spans="2:9">
      <c r="B3488" s="11" t="str">
        <f t="shared" si="276"/>
        <v/>
      </c>
      <c r="C3488" s="11" t="str">
        <f t="shared" si="279"/>
        <v/>
      </c>
      <c r="D3488" s="11" t="str">
        <f t="shared" si="280"/>
        <v/>
      </c>
      <c r="E3488" s="11" t="str">
        <f t="shared" si="277"/>
        <v/>
      </c>
      <c r="F3488" s="11" t="str">
        <f t="shared" si="278"/>
        <v/>
      </c>
      <c r="G3488" s="10" t="str">
        <v/>
      </c>
      <c r="H3488" s="11" t="str">
        <v/>
      </c>
      <c r="I3488" s="11" t="str">
        <v/>
      </c>
    </row>
    <row r="3489" spans="2:9">
      <c r="B3489" s="11" t="str">
        <f t="shared" si="276"/>
        <v/>
      </c>
      <c r="C3489" s="11" t="str">
        <f t="shared" si="279"/>
        <v/>
      </c>
      <c r="D3489" s="11" t="str">
        <f t="shared" si="280"/>
        <v/>
      </c>
      <c r="E3489" s="11" t="str">
        <f t="shared" si="277"/>
        <v/>
      </c>
      <c r="F3489" s="11" t="str">
        <f t="shared" si="278"/>
        <v/>
      </c>
      <c r="G3489" s="10" t="str">
        <v/>
      </c>
      <c r="H3489" s="11" t="str">
        <v/>
      </c>
      <c r="I3489" s="11" t="str">
        <v/>
      </c>
    </row>
    <row r="3490" spans="2:9">
      <c r="B3490" s="11" t="str">
        <f t="shared" si="276"/>
        <v/>
      </c>
      <c r="C3490" s="11" t="str">
        <f t="shared" si="279"/>
        <v/>
      </c>
      <c r="D3490" s="11" t="str">
        <f t="shared" si="280"/>
        <v/>
      </c>
      <c r="E3490" s="11" t="str">
        <f t="shared" si="277"/>
        <v/>
      </c>
      <c r="F3490" s="11" t="str">
        <f t="shared" si="278"/>
        <v/>
      </c>
      <c r="G3490" s="10" t="str">
        <v/>
      </c>
      <c r="H3490" s="11" t="str">
        <v/>
      </c>
      <c r="I3490" s="11" t="str">
        <v/>
      </c>
    </row>
    <row r="3491" spans="2:9">
      <c r="B3491" s="11" t="str">
        <f t="shared" si="276"/>
        <v/>
      </c>
      <c r="C3491" s="11" t="str">
        <f t="shared" si="279"/>
        <v/>
      </c>
      <c r="D3491" s="11" t="str">
        <f t="shared" si="280"/>
        <v/>
      </c>
      <c r="E3491" s="11" t="str">
        <f t="shared" si="277"/>
        <v/>
      </c>
      <c r="F3491" s="11" t="str">
        <f t="shared" si="278"/>
        <v/>
      </c>
      <c r="G3491" s="10" t="str">
        <v/>
      </c>
      <c r="H3491" s="11" t="str">
        <v/>
      </c>
      <c r="I3491" s="11" t="str">
        <v/>
      </c>
    </row>
    <row r="3492" spans="2:9">
      <c r="B3492" s="11" t="str">
        <f t="shared" si="276"/>
        <v/>
      </c>
      <c r="C3492" s="11" t="str">
        <f t="shared" si="279"/>
        <v/>
      </c>
      <c r="D3492" s="11" t="str">
        <f t="shared" si="280"/>
        <v/>
      </c>
      <c r="E3492" s="11" t="str">
        <f t="shared" si="277"/>
        <v/>
      </c>
      <c r="F3492" s="11" t="str">
        <f t="shared" si="278"/>
        <v/>
      </c>
      <c r="G3492" s="10" t="str">
        <v/>
      </c>
      <c r="H3492" s="11" t="str">
        <v/>
      </c>
      <c r="I3492" s="11" t="str">
        <v/>
      </c>
    </row>
    <row r="3493" spans="2:9">
      <c r="B3493" s="11" t="str">
        <f t="shared" si="276"/>
        <v/>
      </c>
      <c r="C3493" s="11" t="str">
        <f t="shared" si="279"/>
        <v/>
      </c>
      <c r="D3493" s="11" t="str">
        <f t="shared" si="280"/>
        <v/>
      </c>
      <c r="E3493" s="11" t="str">
        <f t="shared" si="277"/>
        <v/>
      </c>
      <c r="F3493" s="11" t="str">
        <f t="shared" si="278"/>
        <v/>
      </c>
      <c r="G3493" s="10" t="str">
        <v/>
      </c>
      <c r="H3493" s="11" t="str">
        <v/>
      </c>
      <c r="I3493" s="11" t="str">
        <v/>
      </c>
    </row>
    <row r="3494" spans="2:9">
      <c r="B3494" s="11" t="str">
        <f t="shared" si="276"/>
        <v/>
      </c>
      <c r="C3494" s="11" t="str">
        <f t="shared" si="279"/>
        <v/>
      </c>
      <c r="D3494" s="11" t="str">
        <f t="shared" si="280"/>
        <v/>
      </c>
      <c r="E3494" s="11" t="str">
        <f t="shared" si="277"/>
        <v/>
      </c>
      <c r="F3494" s="11" t="str">
        <f t="shared" si="278"/>
        <v/>
      </c>
      <c r="G3494" s="10" t="str">
        <v/>
      </c>
      <c r="H3494" s="11" t="str">
        <v/>
      </c>
      <c r="I3494" s="11" t="str">
        <v/>
      </c>
    </row>
    <row r="3495" spans="2:9">
      <c r="B3495" s="11" t="str">
        <f t="shared" si="276"/>
        <v/>
      </c>
      <c r="C3495" s="11" t="str">
        <f t="shared" si="279"/>
        <v/>
      </c>
      <c r="D3495" s="11" t="str">
        <f t="shared" si="280"/>
        <v/>
      </c>
      <c r="E3495" s="11" t="str">
        <f t="shared" si="277"/>
        <v/>
      </c>
      <c r="F3495" s="11" t="str">
        <f t="shared" si="278"/>
        <v/>
      </c>
      <c r="G3495" s="10" t="str">
        <v/>
      </c>
      <c r="H3495" s="11" t="str">
        <v/>
      </c>
      <c r="I3495" s="11" t="str">
        <v/>
      </c>
    </row>
    <row r="3496" spans="2:9">
      <c r="B3496" s="11" t="str">
        <f t="shared" si="276"/>
        <v/>
      </c>
      <c r="C3496" s="11" t="str">
        <f t="shared" si="279"/>
        <v/>
      </c>
      <c r="D3496" s="11" t="str">
        <f t="shared" si="280"/>
        <v/>
      </c>
      <c r="E3496" s="11" t="str">
        <f t="shared" si="277"/>
        <v/>
      </c>
      <c r="F3496" s="11" t="str">
        <f t="shared" si="278"/>
        <v/>
      </c>
      <c r="G3496" s="10" t="str">
        <v/>
      </c>
      <c r="H3496" s="11" t="str">
        <v/>
      </c>
      <c r="I3496" s="11" t="str">
        <v/>
      </c>
    </row>
    <row r="3497" spans="2:9">
      <c r="B3497" s="11" t="str">
        <f t="shared" si="276"/>
        <v/>
      </c>
      <c r="C3497" s="11" t="str">
        <f t="shared" si="279"/>
        <v/>
      </c>
      <c r="D3497" s="11" t="str">
        <f t="shared" si="280"/>
        <v/>
      </c>
      <c r="E3497" s="11" t="str">
        <f t="shared" si="277"/>
        <v/>
      </c>
      <c r="F3497" s="11" t="str">
        <f t="shared" si="278"/>
        <v/>
      </c>
      <c r="G3497" s="10" t="str">
        <v/>
      </c>
      <c r="H3497" s="11" t="str">
        <v/>
      </c>
      <c r="I3497" s="11" t="str">
        <v/>
      </c>
    </row>
    <row r="3498" spans="2:9">
      <c r="B3498" s="11" t="str">
        <f t="shared" si="276"/>
        <v/>
      </c>
      <c r="C3498" s="11" t="str">
        <f t="shared" si="279"/>
        <v/>
      </c>
      <c r="D3498" s="11" t="str">
        <f t="shared" si="280"/>
        <v/>
      </c>
      <c r="E3498" s="11" t="str">
        <f t="shared" si="277"/>
        <v/>
      </c>
      <c r="F3498" s="11" t="str">
        <f t="shared" si="278"/>
        <v/>
      </c>
      <c r="G3498" s="10" t="str">
        <v/>
      </c>
      <c r="H3498" s="11" t="str">
        <v/>
      </c>
      <c r="I3498" s="11" t="str">
        <v/>
      </c>
    </row>
    <row r="3499" spans="2:9">
      <c r="B3499" s="11" t="str">
        <f t="shared" si="276"/>
        <v/>
      </c>
      <c r="C3499" s="11" t="str">
        <f t="shared" si="279"/>
        <v/>
      </c>
      <c r="D3499" s="11" t="str">
        <f t="shared" si="280"/>
        <v/>
      </c>
      <c r="E3499" s="11" t="str">
        <f t="shared" si="277"/>
        <v/>
      </c>
      <c r="F3499" s="11" t="str">
        <f t="shared" si="278"/>
        <v/>
      </c>
      <c r="G3499" s="10" t="str">
        <v/>
      </c>
      <c r="H3499" s="11" t="str">
        <v/>
      </c>
      <c r="I3499" s="11" t="str">
        <v/>
      </c>
    </row>
    <row r="3500" spans="2:9">
      <c r="B3500" s="11" t="str">
        <f t="shared" si="276"/>
        <v/>
      </c>
      <c r="C3500" s="11" t="str">
        <f t="shared" si="279"/>
        <v/>
      </c>
      <c r="D3500" s="11" t="str">
        <f t="shared" si="280"/>
        <v/>
      </c>
      <c r="E3500" s="11" t="str">
        <f t="shared" si="277"/>
        <v/>
      </c>
      <c r="F3500" s="11" t="str">
        <f t="shared" si="278"/>
        <v/>
      </c>
      <c r="G3500" s="10" t="str">
        <v/>
      </c>
      <c r="H3500" s="11" t="str">
        <v/>
      </c>
      <c r="I3500" s="11" t="str">
        <v/>
      </c>
    </row>
    <row r="3501" spans="2:9">
      <c r="B3501" s="11" t="str">
        <f t="shared" si="276"/>
        <v/>
      </c>
      <c r="C3501" s="11" t="str">
        <f t="shared" si="279"/>
        <v/>
      </c>
      <c r="D3501" s="11" t="str">
        <f t="shared" si="280"/>
        <v/>
      </c>
      <c r="E3501" s="11" t="str">
        <f t="shared" si="277"/>
        <v/>
      </c>
      <c r="F3501" s="11" t="str">
        <f t="shared" si="278"/>
        <v/>
      </c>
      <c r="G3501" s="10" t="str">
        <v/>
      </c>
      <c r="H3501" s="11" t="str">
        <v/>
      </c>
      <c r="I3501" s="11" t="str">
        <v/>
      </c>
    </row>
    <row r="3502" spans="2:9">
      <c r="B3502" s="11" t="str">
        <f t="shared" si="276"/>
        <v/>
      </c>
      <c r="C3502" s="11" t="str">
        <f t="shared" si="279"/>
        <v/>
      </c>
      <c r="D3502" s="11" t="str">
        <f t="shared" si="280"/>
        <v/>
      </c>
      <c r="E3502" s="11" t="str">
        <f t="shared" si="277"/>
        <v/>
      </c>
      <c r="F3502" s="11" t="str">
        <f t="shared" si="278"/>
        <v/>
      </c>
      <c r="G3502" s="10" t="str">
        <v/>
      </c>
      <c r="H3502" s="11" t="str">
        <v/>
      </c>
      <c r="I3502" s="11" t="str">
        <v/>
      </c>
    </row>
    <row r="3503" spans="2:9">
      <c r="B3503" s="11" t="str">
        <f t="shared" si="276"/>
        <v/>
      </c>
      <c r="C3503" s="11" t="str">
        <f t="shared" si="279"/>
        <v/>
      </c>
      <c r="D3503" s="11" t="str">
        <f t="shared" si="280"/>
        <v/>
      </c>
      <c r="E3503" s="11" t="str">
        <f t="shared" si="277"/>
        <v/>
      </c>
      <c r="F3503" s="11" t="str">
        <f t="shared" si="278"/>
        <v/>
      </c>
      <c r="G3503" s="10" t="str">
        <v/>
      </c>
      <c r="H3503" s="11" t="str">
        <v/>
      </c>
      <c r="I3503" s="11" t="str">
        <v/>
      </c>
    </row>
    <row r="3504" spans="2:9">
      <c r="B3504" s="11" t="str">
        <f t="shared" si="276"/>
        <v/>
      </c>
      <c r="C3504" s="11" t="str">
        <f t="shared" si="279"/>
        <v/>
      </c>
      <c r="D3504" s="11" t="str">
        <f t="shared" si="280"/>
        <v/>
      </c>
      <c r="E3504" s="11" t="str">
        <f t="shared" si="277"/>
        <v/>
      </c>
      <c r="F3504" s="11" t="str">
        <f t="shared" si="278"/>
        <v/>
      </c>
      <c r="G3504" s="10" t="str">
        <v/>
      </c>
      <c r="H3504" s="11" t="str">
        <v/>
      </c>
      <c r="I3504" s="11" t="str">
        <v/>
      </c>
    </row>
    <row r="3505" spans="2:9">
      <c r="B3505" s="11" t="str">
        <f t="shared" si="276"/>
        <v/>
      </c>
      <c r="C3505" s="11" t="str">
        <f t="shared" si="279"/>
        <v/>
      </c>
      <c r="D3505" s="11" t="str">
        <f t="shared" si="280"/>
        <v/>
      </c>
      <c r="E3505" s="11" t="str">
        <f t="shared" si="277"/>
        <v/>
      </c>
      <c r="F3505" s="11" t="str">
        <f t="shared" si="278"/>
        <v/>
      </c>
      <c r="G3505" s="10" t="str">
        <v/>
      </c>
      <c r="H3505" s="11" t="str">
        <v/>
      </c>
      <c r="I3505" s="11" t="str">
        <v/>
      </c>
    </row>
    <row r="3506" spans="2:9">
      <c r="B3506" s="11" t="str">
        <f t="shared" si="276"/>
        <v/>
      </c>
      <c r="C3506" s="11" t="str">
        <f t="shared" si="279"/>
        <v/>
      </c>
      <c r="D3506" s="11" t="str">
        <f t="shared" si="280"/>
        <v/>
      </c>
      <c r="E3506" s="11" t="str">
        <f t="shared" si="277"/>
        <v/>
      </c>
      <c r="F3506" s="11" t="str">
        <f t="shared" si="278"/>
        <v/>
      </c>
      <c r="G3506" s="10" t="str">
        <v/>
      </c>
      <c r="H3506" s="11" t="str">
        <v/>
      </c>
      <c r="I3506" s="11" t="str">
        <v/>
      </c>
    </row>
    <row r="3507" spans="2:9">
      <c r="B3507" s="11" t="str">
        <f t="shared" si="276"/>
        <v/>
      </c>
      <c r="C3507" s="11" t="str">
        <f t="shared" si="279"/>
        <v/>
      </c>
      <c r="D3507" s="11" t="str">
        <f t="shared" si="280"/>
        <v/>
      </c>
      <c r="E3507" s="11" t="str">
        <f t="shared" si="277"/>
        <v/>
      </c>
      <c r="F3507" s="11" t="str">
        <f t="shared" si="278"/>
        <v/>
      </c>
      <c r="G3507" s="10" t="str">
        <v/>
      </c>
      <c r="H3507" s="11" t="str">
        <v/>
      </c>
      <c r="I3507" s="11" t="str">
        <v/>
      </c>
    </row>
    <row r="3508" spans="2:9">
      <c r="B3508" s="11" t="str">
        <f t="shared" si="276"/>
        <v/>
      </c>
      <c r="C3508" s="11" t="str">
        <f t="shared" si="279"/>
        <v/>
      </c>
      <c r="D3508" s="11" t="str">
        <f t="shared" si="280"/>
        <v/>
      </c>
      <c r="E3508" s="11" t="str">
        <f t="shared" si="277"/>
        <v/>
      </c>
      <c r="F3508" s="11" t="str">
        <f t="shared" si="278"/>
        <v/>
      </c>
      <c r="G3508" s="10" t="str">
        <v/>
      </c>
      <c r="H3508" s="11" t="str">
        <v/>
      </c>
      <c r="I3508" s="11" t="str">
        <v/>
      </c>
    </row>
    <row r="3509" spans="2:9">
      <c r="B3509" s="11" t="str">
        <f t="shared" si="276"/>
        <v/>
      </c>
      <c r="C3509" s="11" t="str">
        <f t="shared" si="279"/>
        <v/>
      </c>
      <c r="D3509" s="11" t="str">
        <f t="shared" si="280"/>
        <v/>
      </c>
      <c r="E3509" s="11" t="str">
        <f t="shared" si="277"/>
        <v/>
      </c>
      <c r="F3509" s="11" t="str">
        <f t="shared" si="278"/>
        <v/>
      </c>
      <c r="G3509" s="10" t="str">
        <v/>
      </c>
      <c r="H3509" s="11" t="str">
        <v/>
      </c>
      <c r="I3509" s="11" t="str">
        <v/>
      </c>
    </row>
    <row r="3510" spans="2:9">
      <c r="B3510" s="11" t="str">
        <f t="shared" si="276"/>
        <v/>
      </c>
      <c r="C3510" s="11" t="str">
        <f t="shared" si="279"/>
        <v/>
      </c>
      <c r="D3510" s="11" t="str">
        <f t="shared" si="280"/>
        <v/>
      </c>
      <c r="E3510" s="11" t="str">
        <f t="shared" si="277"/>
        <v/>
      </c>
      <c r="F3510" s="11" t="str">
        <f t="shared" si="278"/>
        <v/>
      </c>
      <c r="G3510" s="10" t="str">
        <v/>
      </c>
      <c r="H3510" s="11" t="str">
        <v/>
      </c>
      <c r="I3510" s="11" t="str">
        <v/>
      </c>
    </row>
    <row r="3511" spans="2:9">
      <c r="B3511" s="11" t="str">
        <f t="shared" si="276"/>
        <v/>
      </c>
      <c r="C3511" s="11" t="str">
        <f t="shared" si="279"/>
        <v/>
      </c>
      <c r="D3511" s="11" t="str">
        <f t="shared" si="280"/>
        <v/>
      </c>
      <c r="E3511" s="11" t="str">
        <f t="shared" si="277"/>
        <v/>
      </c>
      <c r="F3511" s="11" t="str">
        <f t="shared" si="278"/>
        <v/>
      </c>
      <c r="G3511" s="10" t="str">
        <v/>
      </c>
      <c r="H3511" s="11" t="str">
        <v/>
      </c>
      <c r="I3511" s="11" t="str">
        <v/>
      </c>
    </row>
    <row r="3512" spans="2:9">
      <c r="B3512" s="11" t="str">
        <f t="shared" si="276"/>
        <v/>
      </c>
      <c r="C3512" s="11" t="str">
        <f t="shared" si="279"/>
        <v/>
      </c>
      <c r="D3512" s="11" t="str">
        <f t="shared" si="280"/>
        <v/>
      </c>
      <c r="E3512" s="11" t="str">
        <f t="shared" si="277"/>
        <v/>
      </c>
      <c r="F3512" s="11" t="str">
        <f t="shared" si="278"/>
        <v/>
      </c>
      <c r="G3512" s="10" t="str">
        <v/>
      </c>
      <c r="H3512" s="11" t="str">
        <v/>
      </c>
      <c r="I3512" s="11" t="str">
        <v/>
      </c>
    </row>
    <row r="3513" spans="2:9">
      <c r="B3513" s="11" t="str">
        <f t="shared" si="276"/>
        <v/>
      </c>
      <c r="C3513" s="11" t="str">
        <f t="shared" si="279"/>
        <v/>
      </c>
      <c r="D3513" s="11" t="str">
        <f t="shared" si="280"/>
        <v/>
      </c>
      <c r="E3513" s="11" t="str">
        <f t="shared" si="277"/>
        <v/>
      </c>
      <c r="F3513" s="11" t="str">
        <f t="shared" si="278"/>
        <v/>
      </c>
      <c r="G3513" s="10" t="str">
        <v/>
      </c>
      <c r="H3513" s="11" t="str">
        <v/>
      </c>
      <c r="I3513" s="11" t="str">
        <v/>
      </c>
    </row>
    <row r="3514" spans="2:9">
      <c r="B3514" s="11" t="str">
        <f t="shared" si="276"/>
        <v/>
      </c>
      <c r="C3514" s="11" t="str">
        <f t="shared" si="279"/>
        <v/>
      </c>
      <c r="D3514" s="11" t="str">
        <f t="shared" si="280"/>
        <v/>
      </c>
      <c r="E3514" s="11" t="str">
        <f t="shared" si="277"/>
        <v/>
      </c>
      <c r="F3514" s="11" t="str">
        <f t="shared" si="278"/>
        <v/>
      </c>
      <c r="G3514" s="10" t="str">
        <v/>
      </c>
      <c r="H3514" s="11" t="str">
        <v/>
      </c>
      <c r="I3514" s="11" t="str">
        <v/>
      </c>
    </row>
    <row r="3515" spans="2:9">
      <c r="B3515" s="11" t="str">
        <f t="shared" si="276"/>
        <v/>
      </c>
      <c r="C3515" s="11" t="str">
        <f t="shared" si="279"/>
        <v/>
      </c>
      <c r="D3515" s="11" t="str">
        <f t="shared" si="280"/>
        <v/>
      </c>
      <c r="E3515" s="11" t="str">
        <f t="shared" si="277"/>
        <v/>
      </c>
      <c r="F3515" s="11" t="str">
        <f t="shared" si="278"/>
        <v/>
      </c>
      <c r="G3515" s="10" t="str">
        <v/>
      </c>
      <c r="H3515" s="11" t="str">
        <v/>
      </c>
      <c r="I3515" s="11" t="str">
        <v/>
      </c>
    </row>
    <row r="3516" spans="2:9">
      <c r="B3516" s="11" t="str">
        <f t="shared" si="276"/>
        <v/>
      </c>
      <c r="C3516" s="11" t="str">
        <f t="shared" si="279"/>
        <v/>
      </c>
      <c r="D3516" s="11" t="str">
        <f t="shared" si="280"/>
        <v/>
      </c>
      <c r="E3516" s="11" t="str">
        <f t="shared" si="277"/>
        <v/>
      </c>
      <c r="F3516" s="11" t="str">
        <f t="shared" si="278"/>
        <v/>
      </c>
      <c r="G3516" s="10" t="str">
        <v/>
      </c>
      <c r="H3516" s="11" t="str">
        <v/>
      </c>
      <c r="I3516" s="11" t="str">
        <v/>
      </c>
    </row>
    <row r="3517" spans="2:9">
      <c r="B3517" s="11" t="str">
        <f t="shared" si="276"/>
        <v/>
      </c>
      <c r="C3517" s="11" t="str">
        <f t="shared" si="279"/>
        <v/>
      </c>
      <c r="D3517" s="11" t="str">
        <f t="shared" si="280"/>
        <v/>
      </c>
      <c r="E3517" s="11" t="str">
        <f t="shared" si="277"/>
        <v/>
      </c>
      <c r="F3517" s="11" t="str">
        <f t="shared" si="278"/>
        <v/>
      </c>
      <c r="G3517" s="10" t="str">
        <v/>
      </c>
      <c r="H3517" s="11" t="str">
        <v/>
      </c>
      <c r="I3517" s="11" t="str">
        <v/>
      </c>
    </row>
    <row r="3518" spans="2:9">
      <c r="B3518" s="11" t="str">
        <f t="shared" si="276"/>
        <v/>
      </c>
      <c r="C3518" s="11" t="str">
        <f t="shared" si="279"/>
        <v/>
      </c>
      <c r="D3518" s="11" t="str">
        <f t="shared" si="280"/>
        <v/>
      </c>
      <c r="E3518" s="11" t="str">
        <f t="shared" si="277"/>
        <v/>
      </c>
      <c r="F3518" s="11" t="str">
        <f t="shared" si="278"/>
        <v/>
      </c>
      <c r="G3518" s="10" t="str">
        <v/>
      </c>
      <c r="H3518" s="11" t="str">
        <v/>
      </c>
      <c r="I3518" s="11" t="str">
        <v/>
      </c>
    </row>
    <row r="3519" spans="2:9">
      <c r="B3519" s="11" t="str">
        <f t="shared" si="276"/>
        <v/>
      </c>
      <c r="C3519" s="11" t="str">
        <f t="shared" si="279"/>
        <v/>
      </c>
      <c r="D3519" s="11" t="str">
        <f t="shared" si="280"/>
        <v/>
      </c>
      <c r="E3519" s="11" t="str">
        <f t="shared" si="277"/>
        <v/>
      </c>
      <c r="F3519" s="11" t="str">
        <f t="shared" si="278"/>
        <v/>
      </c>
      <c r="G3519" s="10" t="str">
        <v/>
      </c>
      <c r="H3519" s="11" t="str">
        <v/>
      </c>
      <c r="I3519" s="11" t="str">
        <v/>
      </c>
    </row>
    <row r="3520" spans="2:9">
      <c r="B3520" s="11" t="str">
        <f t="shared" si="276"/>
        <v/>
      </c>
      <c r="C3520" s="11" t="str">
        <f t="shared" si="279"/>
        <v/>
      </c>
      <c r="D3520" s="11" t="str">
        <f t="shared" si="280"/>
        <v/>
      </c>
      <c r="E3520" s="11" t="str">
        <f t="shared" si="277"/>
        <v/>
      </c>
      <c r="F3520" s="11" t="str">
        <f t="shared" si="278"/>
        <v/>
      </c>
      <c r="G3520" s="10" t="str">
        <v/>
      </c>
      <c r="H3520" s="11" t="str">
        <v/>
      </c>
      <c r="I3520" s="11" t="str">
        <v/>
      </c>
    </row>
    <row r="3521" spans="2:9">
      <c r="B3521" s="11" t="str">
        <f t="shared" ref="B3521:B3584" si="281">IFERROR(IF(FIND(" ",A3521)=6,IF(IFERROR(FIND(" PB",A3521),"")&lt;&gt;"","артикул",IF(IFERROR(FIND(" CRN",A3521),"")&lt;&gt;"","артикул","")),""),"")</f>
        <v/>
      </c>
      <c r="C3521" s="11" t="str">
        <f t="shared" si="279"/>
        <v/>
      </c>
      <c r="D3521" s="11" t="str">
        <f t="shared" si="280"/>
        <v/>
      </c>
      <c r="E3521" s="11" t="str">
        <f t="shared" si="277"/>
        <v/>
      </c>
      <c r="F3521" s="11" t="str">
        <f t="shared" si="278"/>
        <v/>
      </c>
      <c r="G3521" s="10" t="str">
        <v/>
      </c>
      <c r="H3521" s="11" t="str">
        <v/>
      </c>
      <c r="I3521" s="11" t="str">
        <v/>
      </c>
    </row>
    <row r="3522" spans="2:9">
      <c r="B3522" s="11" t="str">
        <f t="shared" si="281"/>
        <v/>
      </c>
      <c r="C3522" s="11" t="str">
        <f t="shared" si="279"/>
        <v/>
      </c>
      <c r="D3522" s="11" t="str">
        <f t="shared" si="280"/>
        <v/>
      </c>
      <c r="E3522" s="11" t="str">
        <f t="shared" ref="E3522:E3585" si="282" xml:space="preserve">
IF(B3522="Артикул",
IF(
AND(RIGHT(A3523,1)="%",
RIGHT(A3524,1)="%",
RIGHT(A3525,1)="%",
RIGHT(A3526,1)="%"),MID(A3527,FIND(" ",A3527),50),
IF(
AND(RIGHT(A3523,1)="%",
RIGHT(A3524,1)="%",
RIGHT(A3525,1)="%"),MID(A3526,FIND(" ",A3526),50),
IF(
AND(RIGHT(A3523,1)="%",
RIGHT(A3524,1)="%"),
MID(A3525,FIND(" ",A3525),50),
IF(
RIGHT(A3523,1)="%",
MID(A3524,FIND(" ",A3524),50),"")))),"")</f>
        <v/>
      </c>
      <c r="F3522" s="11" t="str">
        <f t="shared" ref="F3522:F3585" si="283">IFERROR(
IF(
AND(LEFT(A3522,8)="Discount",FIND("%",A3522)&gt;0),
MID(A3522,
FIND(" ",A3522),
FIND("%",A3522)-FIND(" ",A3522))
*-1,""),"")</f>
        <v/>
      </c>
      <c r="G3522" s="10" t="str">
        <v/>
      </c>
      <c r="H3522" s="11" t="str">
        <v/>
      </c>
      <c r="I3522" s="11" t="str">
        <v/>
      </c>
    </row>
    <row r="3523" spans="2:9">
      <c r="B3523" s="11" t="str">
        <f t="shared" si="281"/>
        <v/>
      </c>
      <c r="C3523" s="11" t="str">
        <f t="shared" si="279"/>
        <v/>
      </c>
      <c r="D3523" s="11" t="str">
        <f t="shared" si="280"/>
        <v/>
      </c>
      <c r="E3523" s="11" t="str">
        <f t="shared" si="282"/>
        <v/>
      </c>
      <c r="F3523" s="11" t="str">
        <f t="shared" si="283"/>
        <v/>
      </c>
      <c r="G3523" s="10" t="str">
        <v/>
      </c>
      <c r="H3523" s="11" t="str">
        <v/>
      </c>
      <c r="I3523" s="11" t="str">
        <v/>
      </c>
    </row>
    <row r="3524" spans="2:9">
      <c r="B3524" s="11" t="str">
        <f t="shared" si="281"/>
        <v/>
      </c>
      <c r="C3524" s="11" t="str">
        <f t="shared" si="279"/>
        <v/>
      </c>
      <c r="D3524" s="11" t="str">
        <f t="shared" si="280"/>
        <v/>
      </c>
      <c r="E3524" s="11" t="str">
        <f t="shared" si="282"/>
        <v/>
      </c>
      <c r="F3524" s="11" t="str">
        <f t="shared" si="283"/>
        <v/>
      </c>
      <c r="G3524" s="10" t="str">
        <v/>
      </c>
      <c r="H3524" s="11" t="str">
        <v/>
      </c>
      <c r="I3524" s="11" t="str">
        <v/>
      </c>
    </row>
    <row r="3525" spans="2:9">
      <c r="B3525" s="11" t="str">
        <f t="shared" si="281"/>
        <v/>
      </c>
      <c r="C3525" s="11" t="str">
        <f t="shared" si="279"/>
        <v/>
      </c>
      <c r="D3525" s="11" t="str">
        <f t="shared" si="280"/>
        <v/>
      </c>
      <c r="E3525" s="11" t="str">
        <f t="shared" si="282"/>
        <v/>
      </c>
      <c r="F3525" s="11" t="str">
        <f t="shared" si="283"/>
        <v/>
      </c>
      <c r="G3525" s="10" t="str">
        <v/>
      </c>
      <c r="H3525" s="11" t="str">
        <v/>
      </c>
      <c r="I3525" s="11" t="str">
        <v/>
      </c>
    </row>
    <row r="3526" spans="2:9">
      <c r="B3526" s="11" t="str">
        <f t="shared" si="281"/>
        <v/>
      </c>
      <c r="C3526" s="11" t="str">
        <f t="shared" si="279"/>
        <v/>
      </c>
      <c r="D3526" s="11" t="str">
        <f t="shared" si="280"/>
        <v/>
      </c>
      <c r="E3526" s="11" t="str">
        <f t="shared" si="282"/>
        <v/>
      </c>
      <c r="F3526" s="11" t="str">
        <f t="shared" si="283"/>
        <v/>
      </c>
      <c r="G3526" s="10" t="str">
        <v/>
      </c>
      <c r="H3526" s="11" t="str">
        <v/>
      </c>
      <c r="I3526" s="11" t="str">
        <v/>
      </c>
    </row>
    <row r="3527" spans="2:9">
      <c r="B3527" s="11" t="str">
        <f t="shared" si="281"/>
        <v/>
      </c>
      <c r="C3527" s="11" t="str">
        <f t="shared" si="279"/>
        <v/>
      </c>
      <c r="D3527" s="11" t="str">
        <f t="shared" si="280"/>
        <v/>
      </c>
      <c r="E3527" s="11" t="str">
        <f t="shared" si="282"/>
        <v/>
      </c>
      <c r="F3527" s="11" t="str">
        <f t="shared" si="283"/>
        <v/>
      </c>
      <c r="G3527" s="10" t="str">
        <v/>
      </c>
      <c r="H3527" s="11" t="str">
        <v/>
      </c>
      <c r="I3527" s="11" t="str">
        <v/>
      </c>
    </row>
    <row r="3528" spans="2:9">
      <c r="B3528" s="11" t="str">
        <f t="shared" si="281"/>
        <v/>
      </c>
      <c r="C3528" s="11" t="str">
        <f t="shared" si="279"/>
        <v/>
      </c>
      <c r="D3528" s="11" t="str">
        <f t="shared" si="280"/>
        <v/>
      </c>
      <c r="E3528" s="11" t="str">
        <f t="shared" si="282"/>
        <v/>
      </c>
      <c r="F3528" s="11" t="str">
        <f t="shared" si="283"/>
        <v/>
      </c>
      <c r="G3528" s="10" t="str">
        <v/>
      </c>
      <c r="H3528" s="11" t="str">
        <v/>
      </c>
      <c r="I3528" s="11" t="str">
        <v/>
      </c>
    </row>
    <row r="3529" spans="2:9">
      <c r="B3529" s="11" t="str">
        <f t="shared" si="281"/>
        <v/>
      </c>
      <c r="C3529" s="11" t="str">
        <f t="shared" si="279"/>
        <v/>
      </c>
      <c r="D3529" s="11" t="str">
        <f t="shared" si="280"/>
        <v/>
      </c>
      <c r="E3529" s="11" t="str">
        <f t="shared" si="282"/>
        <v/>
      </c>
      <c r="F3529" s="11" t="str">
        <f t="shared" si="283"/>
        <v/>
      </c>
      <c r="G3529" s="10" t="str">
        <v/>
      </c>
      <c r="H3529" s="11" t="str">
        <v/>
      </c>
      <c r="I3529" s="11" t="str">
        <v/>
      </c>
    </row>
    <row r="3530" spans="2:9">
      <c r="B3530" s="11" t="str">
        <f t="shared" si="281"/>
        <v/>
      </c>
      <c r="C3530" s="11" t="str">
        <f t="shared" si="279"/>
        <v/>
      </c>
      <c r="D3530" s="11" t="str">
        <f t="shared" si="280"/>
        <v/>
      </c>
      <c r="E3530" s="11" t="str">
        <f t="shared" si="282"/>
        <v/>
      </c>
      <c r="F3530" s="11" t="str">
        <f t="shared" si="283"/>
        <v/>
      </c>
      <c r="G3530" s="10" t="str">
        <v/>
      </c>
      <c r="H3530" s="11" t="str">
        <v/>
      </c>
      <c r="I3530" s="11" t="str">
        <v/>
      </c>
    </row>
    <row r="3531" spans="2:9">
      <c r="B3531" s="11" t="str">
        <f t="shared" si="281"/>
        <v/>
      </c>
      <c r="C3531" s="11" t="str">
        <f t="shared" si="279"/>
        <v/>
      </c>
      <c r="D3531" s="11" t="str">
        <f t="shared" si="280"/>
        <v/>
      </c>
      <c r="E3531" s="11" t="str">
        <f t="shared" si="282"/>
        <v/>
      </c>
      <c r="F3531" s="11" t="str">
        <f t="shared" si="283"/>
        <v/>
      </c>
      <c r="G3531" s="10" t="str">
        <v/>
      </c>
      <c r="H3531" s="11" t="str">
        <v/>
      </c>
      <c r="I3531" s="11" t="str">
        <v/>
      </c>
    </row>
    <row r="3532" spans="2:9">
      <c r="B3532" s="11" t="str">
        <f t="shared" si="281"/>
        <v/>
      </c>
      <c r="C3532" s="11" t="str">
        <f t="shared" si="279"/>
        <v/>
      </c>
      <c r="D3532" s="11" t="str">
        <f t="shared" si="280"/>
        <v/>
      </c>
      <c r="E3532" s="11" t="str">
        <f t="shared" si="282"/>
        <v/>
      </c>
      <c r="F3532" s="11" t="str">
        <f t="shared" si="283"/>
        <v/>
      </c>
      <c r="G3532" s="10" t="str">
        <v/>
      </c>
      <c r="H3532" s="11" t="str">
        <v/>
      </c>
      <c r="I3532" s="11" t="str">
        <v/>
      </c>
    </row>
    <row r="3533" spans="2:9">
      <c r="B3533" s="11" t="str">
        <f t="shared" si="281"/>
        <v/>
      </c>
      <c r="C3533" s="11" t="str">
        <f t="shared" ref="C3533:C3596" si="284">IF(B3533="артикул",A3533,"")</f>
        <v/>
      </c>
      <c r="D3533" s="11" t="str">
        <f t="shared" ref="D3533:D3596" si="285">IF(B3533="артикул",A3534,"")</f>
        <v/>
      </c>
      <c r="E3533" s="11" t="str">
        <f t="shared" si="282"/>
        <v/>
      </c>
      <c r="F3533" s="11" t="str">
        <f t="shared" si="283"/>
        <v/>
      </c>
      <c r="G3533" s="10" t="str">
        <v/>
      </c>
      <c r="H3533" s="11" t="str">
        <v/>
      </c>
      <c r="I3533" s="11" t="str">
        <v/>
      </c>
    </row>
    <row r="3534" spans="2:9">
      <c r="B3534" s="11" t="str">
        <f t="shared" si="281"/>
        <v/>
      </c>
      <c r="C3534" s="11" t="str">
        <f t="shared" si="284"/>
        <v/>
      </c>
      <c r="D3534" s="11" t="str">
        <f t="shared" si="285"/>
        <v/>
      </c>
      <c r="E3534" s="11" t="str">
        <f t="shared" si="282"/>
        <v/>
      </c>
      <c r="F3534" s="11" t="str">
        <f t="shared" si="283"/>
        <v/>
      </c>
      <c r="G3534" s="10" t="str">
        <v/>
      </c>
      <c r="H3534" s="11" t="str">
        <v/>
      </c>
      <c r="I3534" s="11" t="str">
        <v/>
      </c>
    </row>
    <row r="3535" spans="2:9">
      <c r="B3535" s="11" t="str">
        <f t="shared" si="281"/>
        <v/>
      </c>
      <c r="C3535" s="11" t="str">
        <f t="shared" si="284"/>
        <v/>
      </c>
      <c r="D3535" s="11" t="str">
        <f t="shared" si="285"/>
        <v/>
      </c>
      <c r="E3535" s="11" t="str">
        <f t="shared" si="282"/>
        <v/>
      </c>
      <c r="F3535" s="11" t="str">
        <f t="shared" si="283"/>
        <v/>
      </c>
      <c r="G3535" s="10" t="str">
        <v/>
      </c>
      <c r="H3535" s="11" t="str">
        <v/>
      </c>
      <c r="I3535" s="11" t="str">
        <v/>
      </c>
    </row>
    <row r="3536" spans="2:9">
      <c r="B3536" s="11" t="str">
        <f t="shared" si="281"/>
        <v/>
      </c>
      <c r="C3536" s="11" t="str">
        <f t="shared" si="284"/>
        <v/>
      </c>
      <c r="D3536" s="11" t="str">
        <f t="shared" si="285"/>
        <v/>
      </c>
      <c r="E3536" s="11" t="str">
        <f t="shared" si="282"/>
        <v/>
      </c>
      <c r="F3536" s="11" t="str">
        <f t="shared" si="283"/>
        <v/>
      </c>
      <c r="G3536" s="10" t="str">
        <v/>
      </c>
      <c r="H3536" s="11" t="str">
        <v/>
      </c>
      <c r="I3536" s="11" t="str">
        <v/>
      </c>
    </row>
    <row r="3537" spans="2:9">
      <c r="B3537" s="11" t="str">
        <f t="shared" si="281"/>
        <v/>
      </c>
      <c r="C3537" s="11" t="str">
        <f t="shared" si="284"/>
        <v/>
      </c>
      <c r="D3537" s="11" t="str">
        <f t="shared" si="285"/>
        <v/>
      </c>
      <c r="E3537" s="11" t="str">
        <f t="shared" si="282"/>
        <v/>
      </c>
      <c r="F3537" s="11" t="str">
        <f t="shared" si="283"/>
        <v/>
      </c>
      <c r="G3537" s="10" t="str">
        <v/>
      </c>
      <c r="H3537" s="11" t="str">
        <v/>
      </c>
      <c r="I3537" s="11" t="str">
        <v/>
      </c>
    </row>
    <row r="3538" spans="2:9">
      <c r="B3538" s="11" t="str">
        <f t="shared" si="281"/>
        <v/>
      </c>
      <c r="C3538" s="11" t="str">
        <f t="shared" si="284"/>
        <v/>
      </c>
      <c r="D3538" s="11" t="str">
        <f t="shared" si="285"/>
        <v/>
      </c>
      <c r="E3538" s="11" t="str">
        <f t="shared" si="282"/>
        <v/>
      </c>
      <c r="F3538" s="11" t="str">
        <f t="shared" si="283"/>
        <v/>
      </c>
      <c r="G3538" s="10" t="str">
        <v/>
      </c>
      <c r="H3538" s="11" t="str">
        <v/>
      </c>
      <c r="I3538" s="11" t="str">
        <v/>
      </c>
    </row>
    <row r="3539" spans="2:9">
      <c r="B3539" s="11" t="str">
        <f t="shared" si="281"/>
        <v/>
      </c>
      <c r="C3539" s="11" t="str">
        <f t="shared" si="284"/>
        <v/>
      </c>
      <c r="D3539" s="11" t="str">
        <f t="shared" si="285"/>
        <v/>
      </c>
      <c r="E3539" s="11" t="str">
        <f t="shared" si="282"/>
        <v/>
      </c>
      <c r="F3539" s="11" t="str">
        <f t="shared" si="283"/>
        <v/>
      </c>
      <c r="G3539" s="10" t="str">
        <v/>
      </c>
      <c r="H3539" s="11" t="str">
        <v/>
      </c>
      <c r="I3539" s="11" t="str">
        <v/>
      </c>
    </row>
    <row r="3540" spans="2:9">
      <c r="B3540" s="11" t="str">
        <f t="shared" si="281"/>
        <v/>
      </c>
      <c r="C3540" s="11" t="str">
        <f t="shared" si="284"/>
        <v/>
      </c>
      <c r="D3540" s="11" t="str">
        <f t="shared" si="285"/>
        <v/>
      </c>
      <c r="E3540" s="11" t="str">
        <f t="shared" si="282"/>
        <v/>
      </c>
      <c r="F3540" s="11" t="str">
        <f t="shared" si="283"/>
        <v/>
      </c>
      <c r="G3540" s="10" t="str">
        <v/>
      </c>
      <c r="H3540" s="11" t="str">
        <v/>
      </c>
      <c r="I3540" s="11" t="str">
        <v/>
      </c>
    </row>
    <row r="3541" spans="2:9">
      <c r="B3541" s="11" t="str">
        <f t="shared" si="281"/>
        <v/>
      </c>
      <c r="C3541" s="11" t="str">
        <f t="shared" si="284"/>
        <v/>
      </c>
      <c r="D3541" s="11" t="str">
        <f t="shared" si="285"/>
        <v/>
      </c>
      <c r="E3541" s="11" t="str">
        <f t="shared" si="282"/>
        <v/>
      </c>
      <c r="F3541" s="11" t="str">
        <f t="shared" si="283"/>
        <v/>
      </c>
      <c r="G3541" s="10" t="str">
        <v/>
      </c>
      <c r="H3541" s="11" t="str">
        <v/>
      </c>
      <c r="I3541" s="11" t="str">
        <v/>
      </c>
    </row>
    <row r="3542" spans="2:9">
      <c r="B3542" s="11" t="str">
        <f t="shared" si="281"/>
        <v/>
      </c>
      <c r="C3542" s="11" t="str">
        <f t="shared" si="284"/>
        <v/>
      </c>
      <c r="D3542" s="11" t="str">
        <f t="shared" si="285"/>
        <v/>
      </c>
      <c r="E3542" s="11" t="str">
        <f t="shared" si="282"/>
        <v/>
      </c>
      <c r="F3542" s="11" t="str">
        <f t="shared" si="283"/>
        <v/>
      </c>
      <c r="G3542" s="10" t="str">
        <v/>
      </c>
      <c r="H3542" s="11" t="str">
        <v/>
      </c>
      <c r="I3542" s="11" t="str">
        <v/>
      </c>
    </row>
    <row r="3543" spans="2:9">
      <c r="B3543" s="11" t="str">
        <f t="shared" si="281"/>
        <v/>
      </c>
      <c r="C3543" s="11" t="str">
        <f t="shared" si="284"/>
        <v/>
      </c>
      <c r="D3543" s="11" t="str">
        <f t="shared" si="285"/>
        <v/>
      </c>
      <c r="E3543" s="11" t="str">
        <f t="shared" si="282"/>
        <v/>
      </c>
      <c r="F3543" s="11" t="str">
        <f t="shared" si="283"/>
        <v/>
      </c>
      <c r="G3543" s="10" t="str">
        <v/>
      </c>
      <c r="H3543" s="11" t="str">
        <v/>
      </c>
      <c r="I3543" s="11" t="str">
        <v/>
      </c>
    </row>
    <row r="3544" spans="2:9">
      <c r="B3544" s="11" t="str">
        <f t="shared" si="281"/>
        <v/>
      </c>
      <c r="C3544" s="11" t="str">
        <f t="shared" si="284"/>
        <v/>
      </c>
      <c r="D3544" s="11" t="str">
        <f t="shared" si="285"/>
        <v/>
      </c>
      <c r="E3544" s="11" t="str">
        <f t="shared" si="282"/>
        <v/>
      </c>
      <c r="F3544" s="11" t="str">
        <f t="shared" si="283"/>
        <v/>
      </c>
      <c r="G3544" s="10" t="str">
        <v/>
      </c>
      <c r="H3544" s="11" t="str">
        <v/>
      </c>
      <c r="I3544" s="11" t="str">
        <v/>
      </c>
    </row>
    <row r="3545" spans="2:9">
      <c r="B3545" s="11" t="str">
        <f t="shared" si="281"/>
        <v/>
      </c>
      <c r="C3545" s="11" t="str">
        <f t="shared" si="284"/>
        <v/>
      </c>
      <c r="D3545" s="11" t="str">
        <f t="shared" si="285"/>
        <v/>
      </c>
      <c r="E3545" s="11" t="str">
        <f t="shared" si="282"/>
        <v/>
      </c>
      <c r="F3545" s="11" t="str">
        <f t="shared" si="283"/>
        <v/>
      </c>
      <c r="G3545" s="10" t="str">
        <v/>
      </c>
      <c r="H3545" s="11" t="str">
        <v/>
      </c>
      <c r="I3545" s="11" t="str">
        <v/>
      </c>
    </row>
    <row r="3546" spans="2:9">
      <c r="B3546" s="11" t="str">
        <f t="shared" si="281"/>
        <v/>
      </c>
      <c r="C3546" s="11" t="str">
        <f t="shared" si="284"/>
        <v/>
      </c>
      <c r="D3546" s="11" t="str">
        <f t="shared" si="285"/>
        <v/>
      </c>
      <c r="E3546" s="11" t="str">
        <f t="shared" si="282"/>
        <v/>
      </c>
      <c r="F3546" s="11" t="str">
        <f t="shared" si="283"/>
        <v/>
      </c>
      <c r="G3546" s="10" t="str">
        <v/>
      </c>
      <c r="H3546" s="11" t="str">
        <v/>
      </c>
      <c r="I3546" s="11" t="str">
        <v/>
      </c>
    </row>
    <row r="3547" spans="2:9">
      <c r="B3547" s="11" t="str">
        <f t="shared" si="281"/>
        <v/>
      </c>
      <c r="C3547" s="11" t="str">
        <f t="shared" si="284"/>
        <v/>
      </c>
      <c r="D3547" s="11" t="str">
        <f t="shared" si="285"/>
        <v/>
      </c>
      <c r="E3547" s="11" t="str">
        <f t="shared" si="282"/>
        <v/>
      </c>
      <c r="F3547" s="11" t="str">
        <f t="shared" si="283"/>
        <v/>
      </c>
      <c r="G3547" s="10" t="str">
        <v/>
      </c>
      <c r="H3547" s="11" t="str">
        <v/>
      </c>
      <c r="I3547" s="11" t="str">
        <v/>
      </c>
    </row>
    <row r="3548" spans="2:9">
      <c r="B3548" s="11" t="str">
        <f t="shared" si="281"/>
        <v/>
      </c>
      <c r="C3548" s="11" t="str">
        <f t="shared" si="284"/>
        <v/>
      </c>
      <c r="D3548" s="11" t="str">
        <f t="shared" si="285"/>
        <v/>
      </c>
      <c r="E3548" s="11" t="str">
        <f t="shared" si="282"/>
        <v/>
      </c>
      <c r="F3548" s="11" t="str">
        <f t="shared" si="283"/>
        <v/>
      </c>
      <c r="G3548" s="10" t="str">
        <v/>
      </c>
      <c r="H3548" s="11" t="str">
        <v/>
      </c>
      <c r="I3548" s="11" t="str">
        <v/>
      </c>
    </row>
    <row r="3549" spans="2:9">
      <c r="B3549" s="11" t="str">
        <f t="shared" si="281"/>
        <v/>
      </c>
      <c r="C3549" s="11" t="str">
        <f t="shared" si="284"/>
        <v/>
      </c>
      <c r="D3549" s="11" t="str">
        <f t="shared" si="285"/>
        <v/>
      </c>
      <c r="E3549" s="11" t="str">
        <f t="shared" si="282"/>
        <v/>
      </c>
      <c r="F3549" s="11" t="str">
        <f t="shared" si="283"/>
        <v/>
      </c>
      <c r="G3549" s="10" t="str">
        <v/>
      </c>
      <c r="H3549" s="11" t="str">
        <v/>
      </c>
      <c r="I3549" s="11" t="str">
        <v/>
      </c>
    </row>
    <row r="3550" spans="2:9">
      <c r="B3550" s="11" t="str">
        <f t="shared" si="281"/>
        <v/>
      </c>
      <c r="C3550" s="11" t="str">
        <f t="shared" si="284"/>
        <v/>
      </c>
      <c r="D3550" s="11" t="str">
        <f t="shared" si="285"/>
        <v/>
      </c>
      <c r="E3550" s="11" t="str">
        <f t="shared" si="282"/>
        <v/>
      </c>
      <c r="F3550" s="11" t="str">
        <f t="shared" si="283"/>
        <v/>
      </c>
      <c r="G3550" s="10" t="str">
        <v/>
      </c>
      <c r="H3550" s="11" t="str">
        <v/>
      </c>
      <c r="I3550" s="11" t="str">
        <v/>
      </c>
    </row>
    <row r="3551" spans="2:9">
      <c r="B3551" s="11" t="str">
        <f t="shared" si="281"/>
        <v/>
      </c>
      <c r="C3551" s="11" t="str">
        <f t="shared" si="284"/>
        <v/>
      </c>
      <c r="D3551" s="11" t="str">
        <f t="shared" si="285"/>
        <v/>
      </c>
      <c r="E3551" s="11" t="str">
        <f t="shared" si="282"/>
        <v/>
      </c>
      <c r="F3551" s="11" t="str">
        <f t="shared" si="283"/>
        <v/>
      </c>
      <c r="G3551" s="10" t="str">
        <v/>
      </c>
      <c r="H3551" s="11" t="str">
        <v/>
      </c>
      <c r="I3551" s="11" t="str">
        <v/>
      </c>
    </row>
    <row r="3552" spans="2:9">
      <c r="B3552" s="11" t="str">
        <f t="shared" si="281"/>
        <v/>
      </c>
      <c r="C3552" s="11" t="str">
        <f t="shared" si="284"/>
        <v/>
      </c>
      <c r="D3552" s="11" t="str">
        <f t="shared" si="285"/>
        <v/>
      </c>
      <c r="E3552" s="11" t="str">
        <f t="shared" si="282"/>
        <v/>
      </c>
      <c r="F3552" s="11" t="str">
        <f t="shared" si="283"/>
        <v/>
      </c>
      <c r="G3552" s="10" t="str">
        <v/>
      </c>
      <c r="H3552" s="11" t="str">
        <v/>
      </c>
      <c r="I3552" s="11" t="str">
        <v/>
      </c>
    </row>
    <row r="3553" spans="2:9">
      <c r="B3553" s="11" t="str">
        <f t="shared" si="281"/>
        <v/>
      </c>
      <c r="C3553" s="11" t="str">
        <f t="shared" si="284"/>
        <v/>
      </c>
      <c r="D3553" s="11" t="str">
        <f t="shared" si="285"/>
        <v/>
      </c>
      <c r="E3553" s="11" t="str">
        <f t="shared" si="282"/>
        <v/>
      </c>
      <c r="F3553" s="11" t="str">
        <f t="shared" si="283"/>
        <v/>
      </c>
      <c r="G3553" s="10" t="str">
        <v/>
      </c>
      <c r="H3553" s="11" t="str">
        <v/>
      </c>
      <c r="I3553" s="11" t="str">
        <v/>
      </c>
    </row>
    <row r="3554" spans="2:9">
      <c r="B3554" s="11" t="str">
        <f t="shared" si="281"/>
        <v/>
      </c>
      <c r="C3554" s="11" t="str">
        <f t="shared" si="284"/>
        <v/>
      </c>
      <c r="D3554" s="11" t="str">
        <f t="shared" si="285"/>
        <v/>
      </c>
      <c r="E3554" s="11" t="str">
        <f t="shared" si="282"/>
        <v/>
      </c>
      <c r="F3554" s="11" t="str">
        <f t="shared" si="283"/>
        <v/>
      </c>
      <c r="G3554" s="10" t="str">
        <v/>
      </c>
      <c r="H3554" s="11" t="str">
        <v/>
      </c>
      <c r="I3554" s="11" t="str">
        <v/>
      </c>
    </row>
    <row r="3555" spans="2:9">
      <c r="B3555" s="11" t="str">
        <f t="shared" si="281"/>
        <v/>
      </c>
      <c r="C3555" s="11" t="str">
        <f t="shared" si="284"/>
        <v/>
      </c>
      <c r="D3555" s="11" t="str">
        <f t="shared" si="285"/>
        <v/>
      </c>
      <c r="E3555" s="11" t="str">
        <f t="shared" si="282"/>
        <v/>
      </c>
      <c r="F3555" s="11" t="str">
        <f t="shared" si="283"/>
        <v/>
      </c>
      <c r="G3555" s="10" t="str">
        <v/>
      </c>
      <c r="H3555" s="11" t="str">
        <v/>
      </c>
      <c r="I3555" s="11" t="str">
        <v/>
      </c>
    </row>
    <row r="3556" spans="2:9">
      <c r="B3556" s="11" t="str">
        <f t="shared" si="281"/>
        <v/>
      </c>
      <c r="C3556" s="11" t="str">
        <f t="shared" si="284"/>
        <v/>
      </c>
      <c r="D3556" s="11" t="str">
        <f t="shared" si="285"/>
        <v/>
      </c>
      <c r="E3556" s="11" t="str">
        <f t="shared" si="282"/>
        <v/>
      </c>
      <c r="F3556" s="11" t="str">
        <f t="shared" si="283"/>
        <v/>
      </c>
      <c r="G3556" s="10" t="str">
        <v/>
      </c>
      <c r="H3556" s="11" t="str">
        <v/>
      </c>
      <c r="I3556" s="11" t="str">
        <v/>
      </c>
    </row>
    <row r="3557" spans="2:9">
      <c r="B3557" s="11" t="str">
        <f t="shared" si="281"/>
        <v/>
      </c>
      <c r="C3557" s="11" t="str">
        <f t="shared" si="284"/>
        <v/>
      </c>
      <c r="D3557" s="11" t="str">
        <f t="shared" si="285"/>
        <v/>
      </c>
      <c r="E3557" s="11" t="str">
        <f t="shared" si="282"/>
        <v/>
      </c>
      <c r="F3557" s="11" t="str">
        <f t="shared" si="283"/>
        <v/>
      </c>
      <c r="G3557" s="10" t="str">
        <v/>
      </c>
      <c r="H3557" s="11" t="str">
        <v/>
      </c>
      <c r="I3557" s="11" t="str">
        <v/>
      </c>
    </row>
    <row r="3558" spans="2:9">
      <c r="B3558" s="11" t="str">
        <f t="shared" si="281"/>
        <v/>
      </c>
      <c r="C3558" s="11" t="str">
        <f t="shared" si="284"/>
        <v/>
      </c>
      <c r="D3558" s="11" t="str">
        <f t="shared" si="285"/>
        <v/>
      </c>
      <c r="E3558" s="11" t="str">
        <f t="shared" si="282"/>
        <v/>
      </c>
      <c r="F3558" s="11" t="str">
        <f t="shared" si="283"/>
        <v/>
      </c>
      <c r="G3558" s="10" t="str">
        <v/>
      </c>
      <c r="H3558" s="11" t="str">
        <v/>
      </c>
      <c r="I3558" s="11" t="str">
        <v/>
      </c>
    </row>
    <row r="3559" spans="2:9">
      <c r="B3559" s="11" t="str">
        <f t="shared" si="281"/>
        <v/>
      </c>
      <c r="C3559" s="11" t="str">
        <f t="shared" si="284"/>
        <v/>
      </c>
      <c r="D3559" s="11" t="str">
        <f t="shared" si="285"/>
        <v/>
      </c>
      <c r="E3559" s="11" t="str">
        <f t="shared" si="282"/>
        <v/>
      </c>
      <c r="F3559" s="11" t="str">
        <f t="shared" si="283"/>
        <v/>
      </c>
      <c r="G3559" s="10" t="str">
        <v/>
      </c>
      <c r="H3559" s="11" t="str">
        <v/>
      </c>
      <c r="I3559" s="11" t="str">
        <v/>
      </c>
    </row>
    <row r="3560" spans="2:9">
      <c r="B3560" s="11" t="str">
        <f t="shared" si="281"/>
        <v/>
      </c>
      <c r="C3560" s="11" t="str">
        <f t="shared" si="284"/>
        <v/>
      </c>
      <c r="D3560" s="11" t="str">
        <f t="shared" si="285"/>
        <v/>
      </c>
      <c r="E3560" s="11" t="str">
        <f t="shared" si="282"/>
        <v/>
      </c>
      <c r="F3560" s="11" t="str">
        <f t="shared" si="283"/>
        <v/>
      </c>
      <c r="G3560" s="10" t="str">
        <v/>
      </c>
      <c r="H3560" s="11" t="str">
        <v/>
      </c>
      <c r="I3560" s="11" t="str">
        <v/>
      </c>
    </row>
    <row r="3561" spans="2:9">
      <c r="B3561" s="11" t="str">
        <f t="shared" si="281"/>
        <v/>
      </c>
      <c r="C3561" s="11" t="str">
        <f t="shared" si="284"/>
        <v/>
      </c>
      <c r="D3561" s="11" t="str">
        <f t="shared" si="285"/>
        <v/>
      </c>
      <c r="E3561" s="11" t="str">
        <f t="shared" si="282"/>
        <v/>
      </c>
      <c r="F3561" s="11" t="str">
        <f t="shared" si="283"/>
        <v/>
      </c>
      <c r="G3561" s="10" t="str">
        <v/>
      </c>
      <c r="H3561" s="11" t="str">
        <v/>
      </c>
      <c r="I3561" s="11" t="str">
        <v/>
      </c>
    </row>
    <row r="3562" spans="2:9">
      <c r="B3562" s="11" t="str">
        <f t="shared" si="281"/>
        <v/>
      </c>
      <c r="C3562" s="11" t="str">
        <f t="shared" si="284"/>
        <v/>
      </c>
      <c r="D3562" s="11" t="str">
        <f t="shared" si="285"/>
        <v/>
      </c>
      <c r="E3562" s="11" t="str">
        <f t="shared" si="282"/>
        <v/>
      </c>
      <c r="F3562" s="11" t="str">
        <f t="shared" si="283"/>
        <v/>
      </c>
      <c r="G3562" s="10" t="str">
        <v/>
      </c>
      <c r="H3562" s="11" t="str">
        <v/>
      </c>
      <c r="I3562" s="11" t="str">
        <v/>
      </c>
    </row>
    <row r="3563" spans="2:9">
      <c r="B3563" s="11" t="str">
        <f t="shared" si="281"/>
        <v/>
      </c>
      <c r="C3563" s="11" t="str">
        <f t="shared" si="284"/>
        <v/>
      </c>
      <c r="D3563" s="11" t="str">
        <f t="shared" si="285"/>
        <v/>
      </c>
      <c r="E3563" s="11" t="str">
        <f t="shared" si="282"/>
        <v/>
      </c>
      <c r="F3563" s="11" t="str">
        <f t="shared" si="283"/>
        <v/>
      </c>
      <c r="G3563" s="10" t="str">
        <v/>
      </c>
      <c r="H3563" s="11" t="str">
        <v/>
      </c>
      <c r="I3563" s="11" t="str">
        <v/>
      </c>
    </row>
    <row r="3564" spans="2:9">
      <c r="B3564" s="11" t="str">
        <f t="shared" si="281"/>
        <v/>
      </c>
      <c r="C3564" s="11" t="str">
        <f t="shared" si="284"/>
        <v/>
      </c>
      <c r="D3564" s="11" t="str">
        <f t="shared" si="285"/>
        <v/>
      </c>
      <c r="E3564" s="11" t="str">
        <f t="shared" si="282"/>
        <v/>
      </c>
      <c r="F3564" s="11" t="str">
        <f t="shared" si="283"/>
        <v/>
      </c>
      <c r="G3564" s="10" t="str">
        <v/>
      </c>
      <c r="H3564" s="11" t="str">
        <v/>
      </c>
      <c r="I3564" s="11" t="str">
        <v/>
      </c>
    </row>
    <row r="3565" spans="2:9">
      <c r="B3565" s="11" t="str">
        <f t="shared" si="281"/>
        <v/>
      </c>
      <c r="C3565" s="11" t="str">
        <f t="shared" si="284"/>
        <v/>
      </c>
      <c r="D3565" s="11" t="str">
        <f t="shared" si="285"/>
        <v/>
      </c>
      <c r="E3565" s="11" t="str">
        <f t="shared" si="282"/>
        <v/>
      </c>
      <c r="F3565" s="11" t="str">
        <f t="shared" si="283"/>
        <v/>
      </c>
      <c r="G3565" s="10" t="str">
        <v/>
      </c>
      <c r="H3565" s="11" t="str">
        <v/>
      </c>
      <c r="I3565" s="11" t="str">
        <v/>
      </c>
    </row>
    <row r="3566" spans="2:9">
      <c r="B3566" s="11" t="str">
        <f t="shared" si="281"/>
        <v/>
      </c>
      <c r="C3566" s="11" t="str">
        <f t="shared" si="284"/>
        <v/>
      </c>
      <c r="D3566" s="11" t="str">
        <f t="shared" si="285"/>
        <v/>
      </c>
      <c r="E3566" s="11" t="str">
        <f t="shared" si="282"/>
        <v/>
      </c>
      <c r="F3566" s="11" t="str">
        <f t="shared" si="283"/>
        <v/>
      </c>
      <c r="G3566" s="10" t="str">
        <v/>
      </c>
      <c r="H3566" s="11" t="str">
        <v/>
      </c>
      <c r="I3566" s="11" t="str">
        <v/>
      </c>
    </row>
    <row r="3567" spans="2:9">
      <c r="B3567" s="11" t="str">
        <f t="shared" si="281"/>
        <v/>
      </c>
      <c r="C3567" s="11" t="str">
        <f t="shared" si="284"/>
        <v/>
      </c>
      <c r="D3567" s="11" t="str">
        <f t="shared" si="285"/>
        <v/>
      </c>
      <c r="E3567" s="11" t="str">
        <f t="shared" si="282"/>
        <v/>
      </c>
      <c r="F3567" s="11" t="str">
        <f t="shared" si="283"/>
        <v/>
      </c>
      <c r="G3567" s="10" t="str">
        <v/>
      </c>
      <c r="H3567" s="11" t="str">
        <v/>
      </c>
      <c r="I3567" s="11" t="str">
        <v/>
      </c>
    </row>
    <row r="3568" spans="2:9">
      <c r="B3568" s="11" t="str">
        <f t="shared" si="281"/>
        <v/>
      </c>
      <c r="C3568" s="11" t="str">
        <f t="shared" si="284"/>
        <v/>
      </c>
      <c r="D3568" s="11" t="str">
        <f t="shared" si="285"/>
        <v/>
      </c>
      <c r="E3568" s="11" t="str">
        <f t="shared" si="282"/>
        <v/>
      </c>
      <c r="F3568" s="11" t="str">
        <f t="shared" si="283"/>
        <v/>
      </c>
      <c r="G3568" s="10" t="str">
        <v/>
      </c>
      <c r="H3568" s="11" t="str">
        <v/>
      </c>
      <c r="I3568" s="11" t="str">
        <v/>
      </c>
    </row>
    <row r="3569" spans="2:9">
      <c r="B3569" s="11" t="str">
        <f t="shared" si="281"/>
        <v/>
      </c>
      <c r="C3569" s="11" t="str">
        <f t="shared" si="284"/>
        <v/>
      </c>
      <c r="D3569" s="11" t="str">
        <f t="shared" si="285"/>
        <v/>
      </c>
      <c r="E3569" s="11" t="str">
        <f t="shared" si="282"/>
        <v/>
      </c>
      <c r="F3569" s="11" t="str">
        <f t="shared" si="283"/>
        <v/>
      </c>
      <c r="G3569" s="10" t="str">
        <v/>
      </c>
      <c r="H3569" s="11" t="str">
        <v/>
      </c>
      <c r="I3569" s="11" t="str">
        <v/>
      </c>
    </row>
    <row r="3570" spans="2:9">
      <c r="B3570" s="11" t="str">
        <f t="shared" si="281"/>
        <v/>
      </c>
      <c r="C3570" s="11" t="str">
        <f t="shared" si="284"/>
        <v/>
      </c>
      <c r="D3570" s="11" t="str">
        <f t="shared" si="285"/>
        <v/>
      </c>
      <c r="E3570" s="11" t="str">
        <f t="shared" si="282"/>
        <v/>
      </c>
      <c r="F3570" s="11" t="str">
        <f t="shared" si="283"/>
        <v/>
      </c>
      <c r="G3570" s="10" t="str">
        <v/>
      </c>
      <c r="H3570" s="11" t="str">
        <v/>
      </c>
      <c r="I3570" s="11" t="str">
        <v/>
      </c>
    </row>
    <row r="3571" spans="2:9">
      <c r="B3571" s="11" t="str">
        <f t="shared" si="281"/>
        <v/>
      </c>
      <c r="C3571" s="11" t="str">
        <f t="shared" si="284"/>
        <v/>
      </c>
      <c r="D3571" s="11" t="str">
        <f t="shared" si="285"/>
        <v/>
      </c>
      <c r="E3571" s="11" t="str">
        <f t="shared" si="282"/>
        <v/>
      </c>
      <c r="F3571" s="11" t="str">
        <f t="shared" si="283"/>
        <v/>
      </c>
      <c r="G3571" s="10" t="str">
        <v/>
      </c>
      <c r="H3571" s="11" t="str">
        <v/>
      </c>
      <c r="I3571" s="11" t="str">
        <v/>
      </c>
    </row>
    <row r="3572" spans="2:9">
      <c r="B3572" s="11" t="str">
        <f t="shared" si="281"/>
        <v/>
      </c>
      <c r="C3572" s="11" t="str">
        <f t="shared" si="284"/>
        <v/>
      </c>
      <c r="D3572" s="11" t="str">
        <f t="shared" si="285"/>
        <v/>
      </c>
      <c r="E3572" s="11" t="str">
        <f t="shared" si="282"/>
        <v/>
      </c>
      <c r="F3572" s="11" t="str">
        <f t="shared" si="283"/>
        <v/>
      </c>
      <c r="G3572" s="10" t="str">
        <v/>
      </c>
      <c r="H3572" s="11" t="str">
        <v/>
      </c>
      <c r="I3572" s="11" t="str">
        <v/>
      </c>
    </row>
    <row r="3573" spans="2:9">
      <c r="B3573" s="11" t="str">
        <f t="shared" si="281"/>
        <v/>
      </c>
      <c r="C3573" s="11" t="str">
        <f t="shared" si="284"/>
        <v/>
      </c>
      <c r="D3573" s="11" t="str">
        <f t="shared" si="285"/>
        <v/>
      </c>
      <c r="E3573" s="11" t="str">
        <f t="shared" si="282"/>
        <v/>
      </c>
      <c r="F3573" s="11" t="str">
        <f t="shared" si="283"/>
        <v/>
      </c>
      <c r="G3573" s="10" t="str">
        <v/>
      </c>
      <c r="H3573" s="11" t="str">
        <v/>
      </c>
      <c r="I3573" s="11" t="str">
        <v/>
      </c>
    </row>
    <row r="3574" spans="2:9">
      <c r="B3574" s="11" t="str">
        <f t="shared" si="281"/>
        <v/>
      </c>
      <c r="C3574" s="11" t="str">
        <f t="shared" si="284"/>
        <v/>
      </c>
      <c r="D3574" s="11" t="str">
        <f t="shared" si="285"/>
        <v/>
      </c>
      <c r="E3574" s="11" t="str">
        <f t="shared" si="282"/>
        <v/>
      </c>
      <c r="F3574" s="11" t="str">
        <f t="shared" si="283"/>
        <v/>
      </c>
      <c r="G3574" s="10" t="str">
        <v/>
      </c>
      <c r="H3574" s="11" t="str">
        <v/>
      </c>
      <c r="I3574" s="11" t="str">
        <v/>
      </c>
    </row>
    <row r="3575" spans="2:9">
      <c r="B3575" s="11" t="str">
        <f t="shared" si="281"/>
        <v/>
      </c>
      <c r="C3575" s="11" t="str">
        <f t="shared" si="284"/>
        <v/>
      </c>
      <c r="D3575" s="11" t="str">
        <f t="shared" si="285"/>
        <v/>
      </c>
      <c r="E3575" s="11" t="str">
        <f t="shared" si="282"/>
        <v/>
      </c>
      <c r="F3575" s="11" t="str">
        <f t="shared" si="283"/>
        <v/>
      </c>
      <c r="G3575" s="10" t="str">
        <v/>
      </c>
      <c r="H3575" s="11" t="str">
        <v/>
      </c>
      <c r="I3575" s="11" t="str">
        <v/>
      </c>
    </row>
    <row r="3576" spans="2:9">
      <c r="B3576" s="11" t="str">
        <f t="shared" si="281"/>
        <v/>
      </c>
      <c r="C3576" s="11" t="str">
        <f t="shared" si="284"/>
        <v/>
      </c>
      <c r="D3576" s="11" t="str">
        <f t="shared" si="285"/>
        <v/>
      </c>
      <c r="E3576" s="11" t="str">
        <f t="shared" si="282"/>
        <v/>
      </c>
      <c r="F3576" s="11" t="str">
        <f t="shared" si="283"/>
        <v/>
      </c>
      <c r="G3576" s="10" t="str">
        <v/>
      </c>
      <c r="H3576" s="11" t="str">
        <v/>
      </c>
      <c r="I3576" s="11" t="str">
        <v/>
      </c>
    </row>
    <row r="3577" spans="2:9">
      <c r="B3577" s="11" t="str">
        <f t="shared" si="281"/>
        <v/>
      </c>
      <c r="C3577" s="11" t="str">
        <f t="shared" si="284"/>
        <v/>
      </c>
      <c r="D3577" s="11" t="str">
        <f t="shared" si="285"/>
        <v/>
      </c>
      <c r="E3577" s="11" t="str">
        <f t="shared" si="282"/>
        <v/>
      </c>
      <c r="F3577" s="11" t="str">
        <f t="shared" si="283"/>
        <v/>
      </c>
      <c r="G3577" s="10" t="str">
        <v/>
      </c>
      <c r="H3577" s="11" t="str">
        <v/>
      </c>
      <c r="I3577" s="11" t="str">
        <v/>
      </c>
    </row>
    <row r="3578" spans="2:9">
      <c r="B3578" s="11" t="str">
        <f t="shared" si="281"/>
        <v/>
      </c>
      <c r="C3578" s="11" t="str">
        <f t="shared" si="284"/>
        <v/>
      </c>
      <c r="D3578" s="11" t="str">
        <f t="shared" si="285"/>
        <v/>
      </c>
      <c r="E3578" s="11" t="str">
        <f t="shared" si="282"/>
        <v/>
      </c>
      <c r="F3578" s="11" t="str">
        <f t="shared" si="283"/>
        <v/>
      </c>
      <c r="G3578" s="10" t="str">
        <v/>
      </c>
      <c r="H3578" s="11" t="str">
        <v/>
      </c>
      <c r="I3578" s="11" t="str">
        <v/>
      </c>
    </row>
    <row r="3579" spans="2:9">
      <c r="B3579" s="11" t="str">
        <f t="shared" si="281"/>
        <v/>
      </c>
      <c r="C3579" s="11" t="str">
        <f t="shared" si="284"/>
        <v/>
      </c>
      <c r="D3579" s="11" t="str">
        <f t="shared" si="285"/>
        <v/>
      </c>
      <c r="E3579" s="11" t="str">
        <f t="shared" si="282"/>
        <v/>
      </c>
      <c r="F3579" s="11" t="str">
        <f t="shared" si="283"/>
        <v/>
      </c>
      <c r="G3579" s="10" t="str">
        <v/>
      </c>
      <c r="H3579" s="11" t="str">
        <v/>
      </c>
      <c r="I3579" s="11" t="str">
        <v/>
      </c>
    </row>
    <row r="3580" spans="2:9">
      <c r="B3580" s="11" t="str">
        <f t="shared" si="281"/>
        <v/>
      </c>
      <c r="C3580" s="11" t="str">
        <f t="shared" si="284"/>
        <v/>
      </c>
      <c r="D3580" s="11" t="str">
        <f t="shared" si="285"/>
        <v/>
      </c>
      <c r="E3580" s="11" t="str">
        <f t="shared" si="282"/>
        <v/>
      </c>
      <c r="F3580" s="11" t="str">
        <f t="shared" si="283"/>
        <v/>
      </c>
      <c r="G3580" s="10" t="str">
        <v/>
      </c>
      <c r="H3580" s="11" t="str">
        <v/>
      </c>
      <c r="I3580" s="11" t="str">
        <v/>
      </c>
    </row>
    <row r="3581" spans="2:9">
      <c r="B3581" s="11" t="str">
        <f t="shared" si="281"/>
        <v/>
      </c>
      <c r="C3581" s="11" t="str">
        <f t="shared" si="284"/>
        <v/>
      </c>
      <c r="D3581" s="11" t="str">
        <f t="shared" si="285"/>
        <v/>
      </c>
      <c r="E3581" s="11" t="str">
        <f t="shared" si="282"/>
        <v/>
      </c>
      <c r="F3581" s="11" t="str">
        <f t="shared" si="283"/>
        <v/>
      </c>
      <c r="G3581" s="10" t="str">
        <v/>
      </c>
      <c r="H3581" s="11" t="str">
        <v/>
      </c>
      <c r="I3581" s="11" t="str">
        <v/>
      </c>
    </row>
    <row r="3582" spans="2:9">
      <c r="B3582" s="11" t="str">
        <f t="shared" si="281"/>
        <v/>
      </c>
      <c r="C3582" s="11" t="str">
        <f t="shared" si="284"/>
        <v/>
      </c>
      <c r="D3582" s="11" t="str">
        <f t="shared" si="285"/>
        <v/>
      </c>
      <c r="E3582" s="11" t="str">
        <f t="shared" si="282"/>
        <v/>
      </c>
      <c r="F3582" s="11" t="str">
        <f t="shared" si="283"/>
        <v/>
      </c>
      <c r="G3582" s="10" t="str">
        <v/>
      </c>
      <c r="H3582" s="11" t="str">
        <v/>
      </c>
      <c r="I3582" s="11" t="str">
        <v/>
      </c>
    </row>
    <row r="3583" spans="2:9">
      <c r="B3583" s="11" t="str">
        <f t="shared" si="281"/>
        <v/>
      </c>
      <c r="C3583" s="11" t="str">
        <f t="shared" si="284"/>
        <v/>
      </c>
      <c r="D3583" s="11" t="str">
        <f t="shared" si="285"/>
        <v/>
      </c>
      <c r="E3583" s="11" t="str">
        <f t="shared" si="282"/>
        <v/>
      </c>
      <c r="F3583" s="11" t="str">
        <f t="shared" si="283"/>
        <v/>
      </c>
      <c r="G3583" s="10" t="str">
        <v/>
      </c>
      <c r="H3583" s="11" t="str">
        <v/>
      </c>
      <c r="I3583" s="11" t="str">
        <v/>
      </c>
    </row>
    <row r="3584" spans="2:9">
      <c r="B3584" s="11" t="str">
        <f t="shared" si="281"/>
        <v/>
      </c>
      <c r="C3584" s="11" t="str">
        <f t="shared" si="284"/>
        <v/>
      </c>
      <c r="D3584" s="11" t="str">
        <f t="shared" si="285"/>
        <v/>
      </c>
      <c r="E3584" s="11" t="str">
        <f t="shared" si="282"/>
        <v/>
      </c>
      <c r="F3584" s="11" t="str">
        <f t="shared" si="283"/>
        <v/>
      </c>
      <c r="G3584" s="10" t="str">
        <v/>
      </c>
      <c r="H3584" s="11" t="str">
        <v/>
      </c>
      <c r="I3584" s="11" t="str">
        <v/>
      </c>
    </row>
    <row r="3585" spans="2:9">
      <c r="B3585" s="11" t="str">
        <f t="shared" ref="B3585:B3648" si="286">IFERROR(IF(FIND(" ",A3585)=6,IF(IFERROR(FIND(" PB",A3585),"")&lt;&gt;"","артикул",IF(IFERROR(FIND(" CRN",A3585),"")&lt;&gt;"","артикул","")),""),"")</f>
        <v/>
      </c>
      <c r="C3585" s="11" t="str">
        <f t="shared" si="284"/>
        <v/>
      </c>
      <c r="D3585" s="11" t="str">
        <f t="shared" si="285"/>
        <v/>
      </c>
      <c r="E3585" s="11" t="str">
        <f t="shared" si="282"/>
        <v/>
      </c>
      <c r="F3585" s="11" t="str">
        <f t="shared" si="283"/>
        <v/>
      </c>
      <c r="G3585" s="10" t="str">
        <v/>
      </c>
      <c r="H3585" s="11" t="str">
        <v/>
      </c>
      <c r="I3585" s="11" t="str">
        <v/>
      </c>
    </row>
    <row r="3586" spans="2:9">
      <c r="B3586" s="11" t="str">
        <f t="shared" si="286"/>
        <v/>
      </c>
      <c r="C3586" s="11" t="str">
        <f t="shared" si="284"/>
        <v/>
      </c>
      <c r="D3586" s="11" t="str">
        <f t="shared" si="285"/>
        <v/>
      </c>
      <c r="E3586" s="11" t="str">
        <f t="shared" ref="E3586:E3649" si="287" xml:space="preserve">
IF(B3586="Артикул",
IF(
AND(RIGHT(A3587,1)="%",
RIGHT(A3588,1)="%",
RIGHT(A3589,1)="%",
RIGHT(A3590,1)="%"),MID(A3591,FIND(" ",A3591),50),
IF(
AND(RIGHT(A3587,1)="%",
RIGHT(A3588,1)="%",
RIGHT(A3589,1)="%"),MID(A3590,FIND(" ",A3590),50),
IF(
AND(RIGHT(A3587,1)="%",
RIGHT(A3588,1)="%"),
MID(A3589,FIND(" ",A3589),50),
IF(
RIGHT(A3587,1)="%",
MID(A3588,FIND(" ",A3588),50),"")))),"")</f>
        <v/>
      </c>
      <c r="F3586" s="11" t="str">
        <f t="shared" ref="F3586:F3649" si="288">IFERROR(
IF(
AND(LEFT(A3586,8)="Discount",FIND("%",A3586)&gt;0),
MID(A3586,
FIND(" ",A3586),
FIND("%",A3586)-FIND(" ",A3586))
*-1,""),"")</f>
        <v/>
      </c>
      <c r="G3586" s="10" t="str">
        <v/>
      </c>
      <c r="H3586" s="11" t="str">
        <v/>
      </c>
      <c r="I3586" s="11" t="str">
        <v/>
      </c>
    </row>
    <row r="3587" spans="2:9">
      <c r="B3587" s="11" t="str">
        <f t="shared" si="286"/>
        <v/>
      </c>
      <c r="C3587" s="11" t="str">
        <f t="shared" si="284"/>
        <v/>
      </c>
      <c r="D3587" s="11" t="str">
        <f t="shared" si="285"/>
        <v/>
      </c>
      <c r="E3587" s="11" t="str">
        <f t="shared" si="287"/>
        <v/>
      </c>
      <c r="F3587" s="11" t="str">
        <f t="shared" si="288"/>
        <v/>
      </c>
      <c r="G3587" s="10" t="str">
        <v/>
      </c>
      <c r="H3587" s="11" t="str">
        <v/>
      </c>
      <c r="I3587" s="11" t="str">
        <v/>
      </c>
    </row>
    <row r="3588" spans="2:9">
      <c r="B3588" s="11" t="str">
        <f t="shared" si="286"/>
        <v/>
      </c>
      <c r="C3588" s="11" t="str">
        <f t="shared" si="284"/>
        <v/>
      </c>
      <c r="D3588" s="11" t="str">
        <f t="shared" si="285"/>
        <v/>
      </c>
      <c r="E3588" s="11" t="str">
        <f t="shared" si="287"/>
        <v/>
      </c>
      <c r="F3588" s="11" t="str">
        <f t="shared" si="288"/>
        <v/>
      </c>
      <c r="G3588" s="10" t="str">
        <v/>
      </c>
      <c r="H3588" s="11" t="str">
        <v/>
      </c>
      <c r="I3588" s="11" t="str">
        <v/>
      </c>
    </row>
    <row r="3589" spans="2:9">
      <c r="B3589" s="11" t="str">
        <f t="shared" si="286"/>
        <v/>
      </c>
      <c r="C3589" s="11" t="str">
        <f t="shared" si="284"/>
        <v/>
      </c>
      <c r="D3589" s="11" t="str">
        <f t="shared" si="285"/>
        <v/>
      </c>
      <c r="E3589" s="11" t="str">
        <f t="shared" si="287"/>
        <v/>
      </c>
      <c r="F3589" s="11" t="str">
        <f t="shared" si="288"/>
        <v/>
      </c>
      <c r="G3589" s="10" t="str">
        <v/>
      </c>
      <c r="H3589" s="11" t="str">
        <v/>
      </c>
      <c r="I3589" s="11" t="str">
        <v/>
      </c>
    </row>
    <row r="3590" spans="2:9">
      <c r="B3590" s="11" t="str">
        <f t="shared" si="286"/>
        <v/>
      </c>
      <c r="C3590" s="11" t="str">
        <f t="shared" si="284"/>
        <v/>
      </c>
      <c r="D3590" s="11" t="str">
        <f t="shared" si="285"/>
        <v/>
      </c>
      <c r="E3590" s="11" t="str">
        <f t="shared" si="287"/>
        <v/>
      </c>
      <c r="F3590" s="11" t="str">
        <f t="shared" si="288"/>
        <v/>
      </c>
      <c r="G3590" s="10" t="str">
        <v/>
      </c>
      <c r="H3590" s="11" t="str">
        <v/>
      </c>
      <c r="I3590" s="11" t="str">
        <v/>
      </c>
    </row>
    <row r="3591" spans="2:9">
      <c r="B3591" s="11" t="str">
        <f t="shared" si="286"/>
        <v/>
      </c>
      <c r="C3591" s="11" t="str">
        <f t="shared" si="284"/>
        <v/>
      </c>
      <c r="D3591" s="11" t="str">
        <f t="shared" si="285"/>
        <v/>
      </c>
      <c r="E3591" s="11" t="str">
        <f t="shared" si="287"/>
        <v/>
      </c>
      <c r="F3591" s="11" t="str">
        <f t="shared" si="288"/>
        <v/>
      </c>
      <c r="G3591" s="10" t="str">
        <v/>
      </c>
      <c r="H3591" s="11" t="str">
        <v/>
      </c>
      <c r="I3591" s="11" t="str">
        <v/>
      </c>
    </row>
    <row r="3592" spans="2:9">
      <c r="B3592" s="11" t="str">
        <f t="shared" si="286"/>
        <v/>
      </c>
      <c r="C3592" s="11" t="str">
        <f t="shared" si="284"/>
        <v/>
      </c>
      <c r="D3592" s="11" t="str">
        <f t="shared" si="285"/>
        <v/>
      </c>
      <c r="E3592" s="11" t="str">
        <f t="shared" si="287"/>
        <v/>
      </c>
      <c r="F3592" s="11" t="str">
        <f t="shared" si="288"/>
        <v/>
      </c>
      <c r="G3592" s="10" t="str">
        <v/>
      </c>
      <c r="H3592" s="11" t="str">
        <v/>
      </c>
      <c r="I3592" s="11" t="str">
        <v/>
      </c>
    </row>
    <row r="3593" spans="2:9">
      <c r="B3593" s="11" t="str">
        <f t="shared" si="286"/>
        <v/>
      </c>
      <c r="C3593" s="11" t="str">
        <f t="shared" si="284"/>
        <v/>
      </c>
      <c r="D3593" s="11" t="str">
        <f t="shared" si="285"/>
        <v/>
      </c>
      <c r="E3593" s="11" t="str">
        <f t="shared" si="287"/>
        <v/>
      </c>
      <c r="F3593" s="11" t="str">
        <f t="shared" si="288"/>
        <v/>
      </c>
      <c r="G3593" s="10" t="str">
        <v/>
      </c>
      <c r="H3593" s="11" t="str">
        <v/>
      </c>
      <c r="I3593" s="11" t="str">
        <v/>
      </c>
    </row>
    <row r="3594" spans="2:9">
      <c r="B3594" s="11" t="str">
        <f t="shared" si="286"/>
        <v/>
      </c>
      <c r="C3594" s="11" t="str">
        <f t="shared" si="284"/>
        <v/>
      </c>
      <c r="D3594" s="11" t="str">
        <f t="shared" si="285"/>
        <v/>
      </c>
      <c r="E3594" s="11" t="str">
        <f t="shared" si="287"/>
        <v/>
      </c>
      <c r="F3594" s="11" t="str">
        <f t="shared" si="288"/>
        <v/>
      </c>
      <c r="G3594" s="10" t="str">
        <v/>
      </c>
      <c r="H3594" s="11" t="str">
        <v/>
      </c>
      <c r="I3594" s="11" t="str">
        <v/>
      </c>
    </row>
    <row r="3595" spans="2:9">
      <c r="B3595" s="11" t="str">
        <f t="shared" si="286"/>
        <v/>
      </c>
      <c r="C3595" s="11" t="str">
        <f t="shared" si="284"/>
        <v/>
      </c>
      <c r="D3595" s="11" t="str">
        <f t="shared" si="285"/>
        <v/>
      </c>
      <c r="E3595" s="11" t="str">
        <f t="shared" si="287"/>
        <v/>
      </c>
      <c r="F3595" s="11" t="str">
        <f t="shared" si="288"/>
        <v/>
      </c>
      <c r="G3595" s="10" t="str">
        <v/>
      </c>
      <c r="H3595" s="11" t="str">
        <v/>
      </c>
      <c r="I3595" s="11" t="str">
        <v/>
      </c>
    </row>
    <row r="3596" spans="2:9">
      <c r="B3596" s="11" t="str">
        <f t="shared" si="286"/>
        <v/>
      </c>
      <c r="C3596" s="11" t="str">
        <f t="shared" si="284"/>
        <v/>
      </c>
      <c r="D3596" s="11" t="str">
        <f t="shared" si="285"/>
        <v/>
      </c>
      <c r="E3596" s="11" t="str">
        <f t="shared" si="287"/>
        <v/>
      </c>
      <c r="F3596" s="11" t="str">
        <f t="shared" si="288"/>
        <v/>
      </c>
      <c r="G3596" s="10" t="str">
        <v/>
      </c>
      <c r="H3596" s="11" t="str">
        <v/>
      </c>
      <c r="I3596" s="11" t="str">
        <v/>
      </c>
    </row>
    <row r="3597" spans="2:9">
      <c r="B3597" s="11" t="str">
        <f t="shared" si="286"/>
        <v/>
      </c>
      <c r="C3597" s="11" t="str">
        <f t="shared" ref="C3597:C3660" si="289">IF(B3597="артикул",A3597,"")</f>
        <v/>
      </c>
      <c r="D3597" s="11" t="str">
        <f t="shared" ref="D3597:D3660" si="290">IF(B3597="артикул",A3598,"")</f>
        <v/>
      </c>
      <c r="E3597" s="11" t="str">
        <f t="shared" si="287"/>
        <v/>
      </c>
      <c r="F3597" s="11" t="str">
        <f t="shared" si="288"/>
        <v/>
      </c>
      <c r="G3597" s="10" t="str">
        <v/>
      </c>
      <c r="H3597" s="11" t="str">
        <v/>
      </c>
      <c r="I3597" s="11" t="str">
        <v/>
      </c>
    </row>
    <row r="3598" spans="2:9">
      <c r="B3598" s="11" t="str">
        <f t="shared" si="286"/>
        <v/>
      </c>
      <c r="C3598" s="11" t="str">
        <f t="shared" si="289"/>
        <v/>
      </c>
      <c r="D3598" s="11" t="str">
        <f t="shared" si="290"/>
        <v/>
      </c>
      <c r="E3598" s="11" t="str">
        <f t="shared" si="287"/>
        <v/>
      </c>
      <c r="F3598" s="11" t="str">
        <f t="shared" si="288"/>
        <v/>
      </c>
      <c r="G3598" s="10" t="str">
        <v/>
      </c>
      <c r="H3598" s="11" t="str">
        <v/>
      </c>
      <c r="I3598" s="11" t="str">
        <v/>
      </c>
    </row>
    <row r="3599" spans="2:9">
      <c r="B3599" s="11" t="str">
        <f t="shared" si="286"/>
        <v/>
      </c>
      <c r="C3599" s="11" t="str">
        <f t="shared" si="289"/>
        <v/>
      </c>
      <c r="D3599" s="11" t="str">
        <f t="shared" si="290"/>
        <v/>
      </c>
      <c r="E3599" s="11" t="str">
        <f t="shared" si="287"/>
        <v/>
      </c>
      <c r="F3599" s="11" t="str">
        <f t="shared" si="288"/>
        <v/>
      </c>
      <c r="G3599" s="10" t="str">
        <v/>
      </c>
      <c r="H3599" s="11" t="str">
        <v/>
      </c>
      <c r="I3599" s="11" t="str">
        <v/>
      </c>
    </row>
    <row r="3600" spans="2:9">
      <c r="B3600" s="11" t="str">
        <f t="shared" si="286"/>
        <v/>
      </c>
      <c r="C3600" s="11" t="str">
        <f t="shared" si="289"/>
        <v/>
      </c>
      <c r="D3600" s="11" t="str">
        <f t="shared" si="290"/>
        <v/>
      </c>
      <c r="E3600" s="11" t="str">
        <f t="shared" si="287"/>
        <v/>
      </c>
      <c r="F3600" s="11" t="str">
        <f t="shared" si="288"/>
        <v/>
      </c>
      <c r="G3600" s="10" t="str">
        <v/>
      </c>
      <c r="H3600" s="11" t="str">
        <v/>
      </c>
      <c r="I3600" s="11" t="str">
        <v/>
      </c>
    </row>
    <row r="3601" spans="2:9">
      <c r="B3601" s="11" t="str">
        <f t="shared" si="286"/>
        <v/>
      </c>
      <c r="C3601" s="11" t="str">
        <f t="shared" si="289"/>
        <v/>
      </c>
      <c r="D3601" s="11" t="str">
        <f t="shared" si="290"/>
        <v/>
      </c>
      <c r="E3601" s="11" t="str">
        <f t="shared" si="287"/>
        <v/>
      </c>
      <c r="F3601" s="11" t="str">
        <f t="shared" si="288"/>
        <v/>
      </c>
      <c r="G3601" s="10" t="str">
        <v/>
      </c>
      <c r="H3601" s="11" t="str">
        <v/>
      </c>
      <c r="I3601" s="11" t="str">
        <v/>
      </c>
    </row>
    <row r="3602" spans="2:9">
      <c r="B3602" s="11" t="str">
        <f t="shared" si="286"/>
        <v/>
      </c>
      <c r="C3602" s="11" t="str">
        <f t="shared" si="289"/>
        <v/>
      </c>
      <c r="D3602" s="11" t="str">
        <f t="shared" si="290"/>
        <v/>
      </c>
      <c r="E3602" s="11" t="str">
        <f t="shared" si="287"/>
        <v/>
      </c>
      <c r="F3602" s="11" t="str">
        <f t="shared" si="288"/>
        <v/>
      </c>
      <c r="G3602" s="10" t="str">
        <v/>
      </c>
      <c r="H3602" s="11" t="str">
        <v/>
      </c>
      <c r="I3602" s="11" t="str">
        <v/>
      </c>
    </row>
    <row r="3603" spans="2:9">
      <c r="B3603" s="11" t="str">
        <f t="shared" si="286"/>
        <v/>
      </c>
      <c r="C3603" s="11" t="str">
        <f t="shared" si="289"/>
        <v/>
      </c>
      <c r="D3603" s="11" t="str">
        <f t="shared" si="290"/>
        <v/>
      </c>
      <c r="E3603" s="11" t="str">
        <f t="shared" si="287"/>
        <v/>
      </c>
      <c r="F3603" s="11" t="str">
        <f t="shared" si="288"/>
        <v/>
      </c>
      <c r="G3603" s="10" t="str">
        <v/>
      </c>
      <c r="H3603" s="11" t="str">
        <v/>
      </c>
      <c r="I3603" s="11" t="str">
        <v/>
      </c>
    </row>
    <row r="3604" spans="2:9">
      <c r="B3604" s="11" t="str">
        <f t="shared" si="286"/>
        <v/>
      </c>
      <c r="C3604" s="11" t="str">
        <f t="shared" si="289"/>
        <v/>
      </c>
      <c r="D3604" s="11" t="str">
        <f t="shared" si="290"/>
        <v/>
      </c>
      <c r="E3604" s="11" t="str">
        <f t="shared" si="287"/>
        <v/>
      </c>
      <c r="F3604" s="11" t="str">
        <f t="shared" si="288"/>
        <v/>
      </c>
      <c r="G3604" s="10" t="str">
        <v/>
      </c>
      <c r="H3604" s="11" t="str">
        <v/>
      </c>
      <c r="I3604" s="11" t="str">
        <v/>
      </c>
    </row>
    <row r="3605" spans="2:9">
      <c r="B3605" s="11" t="str">
        <f t="shared" si="286"/>
        <v/>
      </c>
      <c r="C3605" s="11" t="str">
        <f t="shared" si="289"/>
        <v/>
      </c>
      <c r="D3605" s="11" t="str">
        <f t="shared" si="290"/>
        <v/>
      </c>
      <c r="E3605" s="11" t="str">
        <f t="shared" si="287"/>
        <v/>
      </c>
      <c r="F3605" s="11" t="str">
        <f t="shared" si="288"/>
        <v/>
      </c>
      <c r="G3605" s="10" t="str">
        <v/>
      </c>
      <c r="H3605" s="11" t="str">
        <v/>
      </c>
      <c r="I3605" s="11" t="str">
        <v/>
      </c>
    </row>
    <row r="3606" spans="2:9">
      <c r="B3606" s="11" t="str">
        <f t="shared" si="286"/>
        <v/>
      </c>
      <c r="C3606" s="11" t="str">
        <f t="shared" si="289"/>
        <v/>
      </c>
      <c r="D3606" s="11" t="str">
        <f t="shared" si="290"/>
        <v/>
      </c>
      <c r="E3606" s="11" t="str">
        <f t="shared" si="287"/>
        <v/>
      </c>
      <c r="F3606" s="11" t="str">
        <f t="shared" si="288"/>
        <v/>
      </c>
      <c r="G3606" s="10" t="str">
        <v/>
      </c>
      <c r="H3606" s="11" t="str">
        <v/>
      </c>
      <c r="I3606" s="11" t="str">
        <v/>
      </c>
    </row>
    <row r="3607" spans="2:9">
      <c r="B3607" s="11" t="str">
        <f t="shared" si="286"/>
        <v/>
      </c>
      <c r="C3607" s="11" t="str">
        <f t="shared" si="289"/>
        <v/>
      </c>
      <c r="D3607" s="11" t="str">
        <f t="shared" si="290"/>
        <v/>
      </c>
      <c r="E3607" s="11" t="str">
        <f t="shared" si="287"/>
        <v/>
      </c>
      <c r="F3607" s="11" t="str">
        <f t="shared" si="288"/>
        <v/>
      </c>
      <c r="G3607" s="10" t="str">
        <v/>
      </c>
      <c r="H3607" s="11" t="str">
        <v/>
      </c>
      <c r="I3607" s="11" t="str">
        <v/>
      </c>
    </row>
    <row r="3608" spans="2:9">
      <c r="B3608" s="11" t="str">
        <f t="shared" si="286"/>
        <v/>
      </c>
      <c r="C3608" s="11" t="str">
        <f t="shared" si="289"/>
        <v/>
      </c>
      <c r="D3608" s="11" t="str">
        <f t="shared" si="290"/>
        <v/>
      </c>
      <c r="E3608" s="11" t="str">
        <f t="shared" si="287"/>
        <v/>
      </c>
      <c r="F3608" s="11" t="str">
        <f t="shared" si="288"/>
        <v/>
      </c>
      <c r="G3608" s="10" t="str">
        <v/>
      </c>
      <c r="H3608" s="11" t="str">
        <v/>
      </c>
      <c r="I3608" s="11" t="str">
        <v/>
      </c>
    </row>
    <row r="3609" spans="2:9">
      <c r="B3609" s="11" t="str">
        <f t="shared" si="286"/>
        <v/>
      </c>
      <c r="C3609" s="11" t="str">
        <f t="shared" si="289"/>
        <v/>
      </c>
      <c r="D3609" s="11" t="str">
        <f t="shared" si="290"/>
        <v/>
      </c>
      <c r="E3609" s="11" t="str">
        <f t="shared" si="287"/>
        <v/>
      </c>
      <c r="F3609" s="11" t="str">
        <f t="shared" si="288"/>
        <v/>
      </c>
      <c r="G3609" s="10" t="str">
        <v/>
      </c>
      <c r="H3609" s="11" t="str">
        <v/>
      </c>
      <c r="I3609" s="11" t="str">
        <v/>
      </c>
    </row>
    <row r="3610" spans="2:9">
      <c r="B3610" s="11" t="str">
        <f t="shared" si="286"/>
        <v/>
      </c>
      <c r="C3610" s="11" t="str">
        <f t="shared" si="289"/>
        <v/>
      </c>
      <c r="D3610" s="11" t="str">
        <f t="shared" si="290"/>
        <v/>
      </c>
      <c r="E3610" s="11" t="str">
        <f t="shared" si="287"/>
        <v/>
      </c>
      <c r="F3610" s="11" t="str">
        <f t="shared" si="288"/>
        <v/>
      </c>
      <c r="G3610" s="10" t="str">
        <v/>
      </c>
      <c r="H3610" s="11" t="str">
        <v/>
      </c>
      <c r="I3610" s="11" t="str">
        <v/>
      </c>
    </row>
    <row r="3611" spans="2:9">
      <c r="B3611" s="11" t="str">
        <f t="shared" si="286"/>
        <v/>
      </c>
      <c r="C3611" s="11" t="str">
        <f t="shared" si="289"/>
        <v/>
      </c>
      <c r="D3611" s="11" t="str">
        <f t="shared" si="290"/>
        <v/>
      </c>
      <c r="E3611" s="11" t="str">
        <f t="shared" si="287"/>
        <v/>
      </c>
      <c r="F3611" s="11" t="str">
        <f t="shared" si="288"/>
        <v/>
      </c>
      <c r="G3611" s="10" t="str">
        <v/>
      </c>
      <c r="H3611" s="11" t="str">
        <v/>
      </c>
      <c r="I3611" s="11" t="str">
        <v/>
      </c>
    </row>
    <row r="3612" spans="2:9">
      <c r="B3612" s="11" t="str">
        <f t="shared" si="286"/>
        <v/>
      </c>
      <c r="C3612" s="11" t="str">
        <f t="shared" si="289"/>
        <v/>
      </c>
      <c r="D3612" s="11" t="str">
        <f t="shared" si="290"/>
        <v/>
      </c>
      <c r="E3612" s="11" t="str">
        <f t="shared" si="287"/>
        <v/>
      </c>
      <c r="F3612" s="11" t="str">
        <f t="shared" si="288"/>
        <v/>
      </c>
      <c r="G3612" s="10" t="str">
        <v/>
      </c>
      <c r="H3612" s="11" t="str">
        <v/>
      </c>
      <c r="I3612" s="11" t="str">
        <v/>
      </c>
    </row>
    <row r="3613" spans="2:9">
      <c r="B3613" s="11" t="str">
        <f t="shared" si="286"/>
        <v/>
      </c>
      <c r="C3613" s="11" t="str">
        <f t="shared" si="289"/>
        <v/>
      </c>
      <c r="D3613" s="11" t="str">
        <f t="shared" si="290"/>
        <v/>
      </c>
      <c r="E3613" s="11" t="str">
        <f t="shared" si="287"/>
        <v/>
      </c>
      <c r="F3613" s="11" t="str">
        <f t="shared" si="288"/>
        <v/>
      </c>
      <c r="G3613" s="10" t="str">
        <v/>
      </c>
      <c r="H3613" s="11" t="str">
        <v/>
      </c>
      <c r="I3613" s="11" t="str">
        <v/>
      </c>
    </row>
    <row r="3614" spans="2:9">
      <c r="B3614" s="11" t="str">
        <f t="shared" si="286"/>
        <v/>
      </c>
      <c r="C3614" s="11" t="str">
        <f t="shared" si="289"/>
        <v/>
      </c>
      <c r="D3614" s="11" t="str">
        <f t="shared" si="290"/>
        <v/>
      </c>
      <c r="E3614" s="11" t="str">
        <f t="shared" si="287"/>
        <v/>
      </c>
      <c r="F3614" s="11" t="str">
        <f t="shared" si="288"/>
        <v/>
      </c>
      <c r="G3614" s="10" t="str">
        <v/>
      </c>
      <c r="H3614" s="11" t="str">
        <v/>
      </c>
      <c r="I3614" s="11" t="str">
        <v/>
      </c>
    </row>
    <row r="3615" spans="2:9">
      <c r="B3615" s="11" t="str">
        <f t="shared" si="286"/>
        <v/>
      </c>
      <c r="C3615" s="11" t="str">
        <f t="shared" si="289"/>
        <v/>
      </c>
      <c r="D3615" s="11" t="str">
        <f t="shared" si="290"/>
        <v/>
      </c>
      <c r="E3615" s="11" t="str">
        <f t="shared" si="287"/>
        <v/>
      </c>
      <c r="F3615" s="11" t="str">
        <f t="shared" si="288"/>
        <v/>
      </c>
      <c r="G3615" s="10" t="str">
        <v/>
      </c>
      <c r="H3615" s="11" t="str">
        <v/>
      </c>
      <c r="I3615" s="11" t="str">
        <v/>
      </c>
    </row>
    <row r="3616" spans="2:9">
      <c r="B3616" s="11" t="str">
        <f t="shared" si="286"/>
        <v/>
      </c>
      <c r="C3616" s="11" t="str">
        <f t="shared" si="289"/>
        <v/>
      </c>
      <c r="D3616" s="11" t="str">
        <f t="shared" si="290"/>
        <v/>
      </c>
      <c r="E3616" s="11" t="str">
        <f t="shared" si="287"/>
        <v/>
      </c>
      <c r="F3616" s="11" t="str">
        <f t="shared" si="288"/>
        <v/>
      </c>
      <c r="G3616" s="10" t="str">
        <v/>
      </c>
      <c r="H3616" s="11" t="str">
        <v/>
      </c>
      <c r="I3616" s="11" t="str">
        <v/>
      </c>
    </row>
    <row r="3617" spans="2:9">
      <c r="B3617" s="11" t="str">
        <f t="shared" si="286"/>
        <v/>
      </c>
      <c r="C3617" s="11" t="str">
        <f t="shared" si="289"/>
        <v/>
      </c>
      <c r="D3617" s="11" t="str">
        <f t="shared" si="290"/>
        <v/>
      </c>
      <c r="E3617" s="11" t="str">
        <f t="shared" si="287"/>
        <v/>
      </c>
      <c r="F3617" s="11" t="str">
        <f t="shared" si="288"/>
        <v/>
      </c>
      <c r="G3617" s="10" t="str">
        <v/>
      </c>
      <c r="H3617" s="11" t="str">
        <v/>
      </c>
      <c r="I3617" s="11" t="str">
        <v/>
      </c>
    </row>
    <row r="3618" spans="2:9">
      <c r="B3618" s="11" t="str">
        <f t="shared" si="286"/>
        <v/>
      </c>
      <c r="C3618" s="11" t="str">
        <f t="shared" si="289"/>
        <v/>
      </c>
      <c r="D3618" s="11" t="str">
        <f t="shared" si="290"/>
        <v/>
      </c>
      <c r="E3618" s="11" t="str">
        <f t="shared" si="287"/>
        <v/>
      </c>
      <c r="F3618" s="11" t="str">
        <f t="shared" si="288"/>
        <v/>
      </c>
      <c r="G3618" s="10" t="str">
        <v/>
      </c>
      <c r="H3618" s="11" t="str">
        <v/>
      </c>
      <c r="I3618" s="11" t="str">
        <v/>
      </c>
    </row>
    <row r="3619" spans="2:9">
      <c r="B3619" s="11" t="str">
        <f t="shared" si="286"/>
        <v/>
      </c>
      <c r="C3619" s="11" t="str">
        <f t="shared" si="289"/>
        <v/>
      </c>
      <c r="D3619" s="11" t="str">
        <f t="shared" si="290"/>
        <v/>
      </c>
      <c r="E3619" s="11" t="str">
        <f t="shared" si="287"/>
        <v/>
      </c>
      <c r="F3619" s="11" t="str">
        <f t="shared" si="288"/>
        <v/>
      </c>
      <c r="G3619" s="10" t="str">
        <v/>
      </c>
      <c r="H3619" s="11" t="str">
        <v/>
      </c>
      <c r="I3619" s="11" t="str">
        <v/>
      </c>
    </row>
    <row r="3620" spans="2:9">
      <c r="B3620" s="11" t="str">
        <f t="shared" si="286"/>
        <v/>
      </c>
      <c r="C3620" s="11" t="str">
        <f t="shared" si="289"/>
        <v/>
      </c>
      <c r="D3620" s="11" t="str">
        <f t="shared" si="290"/>
        <v/>
      </c>
      <c r="E3620" s="11" t="str">
        <f t="shared" si="287"/>
        <v/>
      </c>
      <c r="F3620" s="11" t="str">
        <f t="shared" si="288"/>
        <v/>
      </c>
      <c r="G3620" s="10" t="str">
        <v/>
      </c>
      <c r="H3620" s="11" t="str">
        <v/>
      </c>
      <c r="I3620" s="11" t="str">
        <v/>
      </c>
    </row>
    <row r="3621" spans="2:9">
      <c r="B3621" s="11" t="str">
        <f t="shared" si="286"/>
        <v/>
      </c>
      <c r="C3621" s="11" t="str">
        <f t="shared" si="289"/>
        <v/>
      </c>
      <c r="D3621" s="11" t="str">
        <f t="shared" si="290"/>
        <v/>
      </c>
      <c r="E3621" s="11" t="str">
        <f t="shared" si="287"/>
        <v/>
      </c>
      <c r="F3621" s="11" t="str">
        <f t="shared" si="288"/>
        <v/>
      </c>
      <c r="G3621" s="10" t="str">
        <v/>
      </c>
      <c r="H3621" s="11" t="str">
        <v/>
      </c>
      <c r="I3621" s="11" t="str">
        <v/>
      </c>
    </row>
    <row r="3622" spans="2:9">
      <c r="B3622" s="11" t="str">
        <f t="shared" si="286"/>
        <v/>
      </c>
      <c r="C3622" s="11" t="str">
        <f t="shared" si="289"/>
        <v/>
      </c>
      <c r="D3622" s="11" t="str">
        <f t="shared" si="290"/>
        <v/>
      </c>
      <c r="E3622" s="11" t="str">
        <f t="shared" si="287"/>
        <v/>
      </c>
      <c r="F3622" s="11" t="str">
        <f t="shared" si="288"/>
        <v/>
      </c>
      <c r="G3622" s="10" t="str">
        <v/>
      </c>
      <c r="H3622" s="11" t="str">
        <v/>
      </c>
      <c r="I3622" s="11" t="str">
        <v/>
      </c>
    </row>
    <row r="3623" spans="2:9">
      <c r="B3623" s="11" t="str">
        <f t="shared" si="286"/>
        <v/>
      </c>
      <c r="C3623" s="11" t="str">
        <f t="shared" si="289"/>
        <v/>
      </c>
      <c r="D3623" s="11" t="str">
        <f t="shared" si="290"/>
        <v/>
      </c>
      <c r="E3623" s="11" t="str">
        <f t="shared" si="287"/>
        <v/>
      </c>
      <c r="F3623" s="11" t="str">
        <f t="shared" si="288"/>
        <v/>
      </c>
      <c r="G3623" s="10" t="str">
        <v/>
      </c>
      <c r="H3623" s="11" t="str">
        <v/>
      </c>
      <c r="I3623" s="11" t="str">
        <v/>
      </c>
    </row>
    <row r="3624" spans="2:9">
      <c r="B3624" s="11" t="str">
        <f t="shared" si="286"/>
        <v/>
      </c>
      <c r="C3624" s="11" t="str">
        <f t="shared" si="289"/>
        <v/>
      </c>
      <c r="D3624" s="11" t="str">
        <f t="shared" si="290"/>
        <v/>
      </c>
      <c r="E3624" s="11" t="str">
        <f t="shared" si="287"/>
        <v/>
      </c>
      <c r="F3624" s="11" t="str">
        <f t="shared" si="288"/>
        <v/>
      </c>
      <c r="G3624" s="10" t="str">
        <v/>
      </c>
      <c r="H3624" s="11" t="str">
        <v/>
      </c>
      <c r="I3624" s="11" t="str">
        <v/>
      </c>
    </row>
    <row r="3625" spans="2:9">
      <c r="B3625" s="11" t="str">
        <f t="shared" si="286"/>
        <v/>
      </c>
      <c r="C3625" s="11" t="str">
        <f t="shared" si="289"/>
        <v/>
      </c>
      <c r="D3625" s="11" t="str">
        <f t="shared" si="290"/>
        <v/>
      </c>
      <c r="E3625" s="11" t="str">
        <f t="shared" si="287"/>
        <v/>
      </c>
      <c r="F3625" s="11" t="str">
        <f t="shared" si="288"/>
        <v/>
      </c>
      <c r="G3625" s="10" t="str">
        <v/>
      </c>
      <c r="H3625" s="11" t="str">
        <v/>
      </c>
      <c r="I3625" s="11" t="str">
        <v/>
      </c>
    </row>
    <row r="3626" spans="2:9">
      <c r="B3626" s="11" t="str">
        <f t="shared" si="286"/>
        <v/>
      </c>
      <c r="C3626" s="11" t="str">
        <f t="shared" si="289"/>
        <v/>
      </c>
      <c r="D3626" s="11" t="str">
        <f t="shared" si="290"/>
        <v/>
      </c>
      <c r="E3626" s="11" t="str">
        <f t="shared" si="287"/>
        <v/>
      </c>
      <c r="F3626" s="11" t="str">
        <f t="shared" si="288"/>
        <v/>
      </c>
      <c r="G3626" s="10" t="str">
        <v/>
      </c>
      <c r="H3626" s="11" t="str">
        <v/>
      </c>
      <c r="I3626" s="11" t="str">
        <v/>
      </c>
    </row>
    <row r="3627" spans="2:9">
      <c r="B3627" s="11" t="str">
        <f t="shared" si="286"/>
        <v/>
      </c>
      <c r="C3627" s="11" t="str">
        <f t="shared" si="289"/>
        <v/>
      </c>
      <c r="D3627" s="11" t="str">
        <f t="shared" si="290"/>
        <v/>
      </c>
      <c r="E3627" s="11" t="str">
        <f t="shared" si="287"/>
        <v/>
      </c>
      <c r="F3627" s="11" t="str">
        <f t="shared" si="288"/>
        <v/>
      </c>
      <c r="G3627" s="10" t="str">
        <v/>
      </c>
      <c r="H3627" s="11" t="str">
        <v/>
      </c>
      <c r="I3627" s="11" t="str">
        <v/>
      </c>
    </row>
    <row r="3628" spans="2:9">
      <c r="B3628" s="11" t="str">
        <f t="shared" si="286"/>
        <v/>
      </c>
      <c r="C3628" s="11" t="str">
        <f t="shared" si="289"/>
        <v/>
      </c>
      <c r="D3628" s="11" t="str">
        <f t="shared" si="290"/>
        <v/>
      </c>
      <c r="E3628" s="11" t="str">
        <f t="shared" si="287"/>
        <v/>
      </c>
      <c r="F3628" s="11" t="str">
        <f t="shared" si="288"/>
        <v/>
      </c>
      <c r="G3628" s="10" t="str">
        <v/>
      </c>
      <c r="H3628" s="11" t="str">
        <v/>
      </c>
      <c r="I3628" s="11" t="str">
        <v/>
      </c>
    </row>
    <row r="3629" spans="2:9">
      <c r="B3629" s="11" t="str">
        <f t="shared" si="286"/>
        <v/>
      </c>
      <c r="C3629" s="11" t="str">
        <f t="shared" si="289"/>
        <v/>
      </c>
      <c r="D3629" s="11" t="str">
        <f t="shared" si="290"/>
        <v/>
      </c>
      <c r="E3629" s="11" t="str">
        <f t="shared" si="287"/>
        <v/>
      </c>
      <c r="F3629" s="11" t="str">
        <f t="shared" si="288"/>
        <v/>
      </c>
      <c r="G3629" s="10" t="str">
        <v/>
      </c>
      <c r="H3629" s="11" t="str">
        <v/>
      </c>
      <c r="I3629" s="11" t="str">
        <v/>
      </c>
    </row>
    <row r="3630" spans="2:9">
      <c r="B3630" s="11" t="str">
        <f t="shared" si="286"/>
        <v/>
      </c>
      <c r="C3630" s="11" t="str">
        <f t="shared" si="289"/>
        <v/>
      </c>
      <c r="D3630" s="11" t="str">
        <f t="shared" si="290"/>
        <v/>
      </c>
      <c r="E3630" s="11" t="str">
        <f t="shared" si="287"/>
        <v/>
      </c>
      <c r="F3630" s="11" t="str">
        <f t="shared" si="288"/>
        <v/>
      </c>
      <c r="G3630" s="10" t="str">
        <v/>
      </c>
      <c r="H3630" s="11" t="str">
        <v/>
      </c>
      <c r="I3630" s="11" t="str">
        <v/>
      </c>
    </row>
    <row r="3631" spans="2:9">
      <c r="B3631" s="11" t="str">
        <f t="shared" si="286"/>
        <v/>
      </c>
      <c r="C3631" s="11" t="str">
        <f t="shared" si="289"/>
        <v/>
      </c>
      <c r="D3631" s="11" t="str">
        <f t="shared" si="290"/>
        <v/>
      </c>
      <c r="E3631" s="11" t="str">
        <f t="shared" si="287"/>
        <v/>
      </c>
      <c r="F3631" s="11" t="str">
        <f t="shared" si="288"/>
        <v/>
      </c>
      <c r="G3631" s="10" t="str">
        <v/>
      </c>
      <c r="H3631" s="11" t="str">
        <v/>
      </c>
      <c r="I3631" s="11" t="str">
        <v/>
      </c>
    </row>
    <row r="3632" spans="2:9">
      <c r="B3632" s="11" t="str">
        <f t="shared" si="286"/>
        <v/>
      </c>
      <c r="C3632" s="11" t="str">
        <f t="shared" si="289"/>
        <v/>
      </c>
      <c r="D3632" s="11" t="str">
        <f t="shared" si="290"/>
        <v/>
      </c>
      <c r="E3632" s="11" t="str">
        <f t="shared" si="287"/>
        <v/>
      </c>
      <c r="F3632" s="11" t="str">
        <f t="shared" si="288"/>
        <v/>
      </c>
      <c r="G3632" s="10" t="str">
        <v/>
      </c>
      <c r="H3632" s="11" t="str">
        <v/>
      </c>
      <c r="I3632" s="11" t="str">
        <v/>
      </c>
    </row>
    <row r="3633" spans="2:9">
      <c r="B3633" s="11" t="str">
        <f t="shared" si="286"/>
        <v/>
      </c>
      <c r="C3633" s="11" t="str">
        <f t="shared" si="289"/>
        <v/>
      </c>
      <c r="D3633" s="11" t="str">
        <f t="shared" si="290"/>
        <v/>
      </c>
      <c r="E3633" s="11" t="str">
        <f t="shared" si="287"/>
        <v/>
      </c>
      <c r="F3633" s="11" t="str">
        <f t="shared" si="288"/>
        <v/>
      </c>
      <c r="G3633" s="10" t="str">
        <v/>
      </c>
      <c r="H3633" s="11" t="str">
        <v/>
      </c>
      <c r="I3633" s="11" t="str">
        <v/>
      </c>
    </row>
    <row r="3634" spans="2:9">
      <c r="B3634" s="11" t="str">
        <f t="shared" si="286"/>
        <v/>
      </c>
      <c r="C3634" s="11" t="str">
        <f t="shared" si="289"/>
        <v/>
      </c>
      <c r="D3634" s="11" t="str">
        <f t="shared" si="290"/>
        <v/>
      </c>
      <c r="E3634" s="11" t="str">
        <f t="shared" si="287"/>
        <v/>
      </c>
      <c r="F3634" s="11" t="str">
        <f t="shared" si="288"/>
        <v/>
      </c>
      <c r="G3634" s="10" t="str">
        <v/>
      </c>
      <c r="H3634" s="11" t="str">
        <v/>
      </c>
      <c r="I3634" s="11" t="str">
        <v/>
      </c>
    </row>
    <row r="3635" spans="2:9">
      <c r="B3635" s="11" t="str">
        <f t="shared" si="286"/>
        <v/>
      </c>
      <c r="C3635" s="11" t="str">
        <f t="shared" si="289"/>
        <v/>
      </c>
      <c r="D3635" s="11" t="str">
        <f t="shared" si="290"/>
        <v/>
      </c>
      <c r="E3635" s="11" t="str">
        <f t="shared" si="287"/>
        <v/>
      </c>
      <c r="F3635" s="11" t="str">
        <f t="shared" si="288"/>
        <v/>
      </c>
      <c r="G3635" s="10" t="str">
        <v/>
      </c>
      <c r="H3635" s="11" t="str">
        <v/>
      </c>
      <c r="I3635" s="11" t="str">
        <v/>
      </c>
    </row>
    <row r="3636" spans="2:9">
      <c r="B3636" s="11" t="str">
        <f t="shared" si="286"/>
        <v/>
      </c>
      <c r="C3636" s="11" t="str">
        <f t="shared" si="289"/>
        <v/>
      </c>
      <c r="D3636" s="11" t="str">
        <f t="shared" si="290"/>
        <v/>
      </c>
      <c r="E3636" s="11" t="str">
        <f t="shared" si="287"/>
        <v/>
      </c>
      <c r="F3636" s="11" t="str">
        <f t="shared" si="288"/>
        <v/>
      </c>
      <c r="G3636" s="10" t="str">
        <v/>
      </c>
      <c r="H3636" s="11" t="str">
        <v/>
      </c>
      <c r="I3636" s="11" t="str">
        <v/>
      </c>
    </row>
    <row r="3637" spans="2:9">
      <c r="B3637" s="11" t="str">
        <f t="shared" si="286"/>
        <v/>
      </c>
      <c r="C3637" s="11" t="str">
        <f t="shared" si="289"/>
        <v/>
      </c>
      <c r="D3637" s="11" t="str">
        <f t="shared" si="290"/>
        <v/>
      </c>
      <c r="E3637" s="11" t="str">
        <f t="shared" si="287"/>
        <v/>
      </c>
      <c r="F3637" s="11" t="str">
        <f t="shared" si="288"/>
        <v/>
      </c>
      <c r="G3637" s="10" t="str">
        <v/>
      </c>
      <c r="H3637" s="11" t="str">
        <v/>
      </c>
      <c r="I3637" s="11" t="str">
        <v/>
      </c>
    </row>
    <row r="3638" spans="2:9">
      <c r="B3638" s="11" t="str">
        <f t="shared" si="286"/>
        <v/>
      </c>
      <c r="C3638" s="11" t="str">
        <f t="shared" si="289"/>
        <v/>
      </c>
      <c r="D3638" s="11" t="str">
        <f t="shared" si="290"/>
        <v/>
      </c>
      <c r="E3638" s="11" t="str">
        <f t="shared" si="287"/>
        <v/>
      </c>
      <c r="F3638" s="11" t="str">
        <f t="shared" si="288"/>
        <v/>
      </c>
      <c r="G3638" s="10" t="str">
        <v/>
      </c>
      <c r="H3638" s="11" t="str">
        <v/>
      </c>
      <c r="I3638" s="11" t="str">
        <v/>
      </c>
    </row>
    <row r="3639" spans="2:9">
      <c r="B3639" s="11" t="str">
        <f t="shared" si="286"/>
        <v/>
      </c>
      <c r="C3639" s="11" t="str">
        <f t="shared" si="289"/>
        <v/>
      </c>
      <c r="D3639" s="11" t="str">
        <f t="shared" si="290"/>
        <v/>
      </c>
      <c r="E3639" s="11" t="str">
        <f t="shared" si="287"/>
        <v/>
      </c>
      <c r="F3639" s="11" t="str">
        <f t="shared" si="288"/>
        <v/>
      </c>
      <c r="G3639" s="10" t="str">
        <v/>
      </c>
      <c r="H3639" s="11" t="str">
        <v/>
      </c>
      <c r="I3639" s="11" t="str">
        <v/>
      </c>
    </row>
    <row r="3640" spans="2:9">
      <c r="B3640" s="11" t="str">
        <f t="shared" si="286"/>
        <v/>
      </c>
      <c r="C3640" s="11" t="str">
        <f t="shared" si="289"/>
        <v/>
      </c>
      <c r="D3640" s="11" t="str">
        <f t="shared" si="290"/>
        <v/>
      </c>
      <c r="E3640" s="11" t="str">
        <f t="shared" si="287"/>
        <v/>
      </c>
      <c r="F3640" s="11" t="str">
        <f t="shared" si="288"/>
        <v/>
      </c>
      <c r="G3640" s="10" t="str">
        <v/>
      </c>
      <c r="H3640" s="11" t="str">
        <v/>
      </c>
      <c r="I3640" s="11" t="str">
        <v/>
      </c>
    </row>
    <row r="3641" spans="2:9">
      <c r="B3641" s="11" t="str">
        <f t="shared" si="286"/>
        <v/>
      </c>
      <c r="C3641" s="11" t="str">
        <f t="shared" si="289"/>
        <v/>
      </c>
      <c r="D3641" s="11" t="str">
        <f t="shared" si="290"/>
        <v/>
      </c>
      <c r="E3641" s="11" t="str">
        <f t="shared" si="287"/>
        <v/>
      </c>
      <c r="F3641" s="11" t="str">
        <f t="shared" si="288"/>
        <v/>
      </c>
      <c r="G3641" s="10" t="str">
        <v/>
      </c>
      <c r="H3641" s="11" t="str">
        <v/>
      </c>
      <c r="I3641" s="11" t="str">
        <v/>
      </c>
    </row>
    <row r="3642" spans="2:9">
      <c r="B3642" s="11" t="str">
        <f t="shared" si="286"/>
        <v/>
      </c>
      <c r="C3642" s="11" t="str">
        <f t="shared" si="289"/>
        <v/>
      </c>
      <c r="D3642" s="11" t="str">
        <f t="shared" si="290"/>
        <v/>
      </c>
      <c r="E3642" s="11" t="str">
        <f t="shared" si="287"/>
        <v/>
      </c>
      <c r="F3642" s="11" t="str">
        <f t="shared" si="288"/>
        <v/>
      </c>
      <c r="G3642" s="10" t="str">
        <v/>
      </c>
      <c r="H3642" s="11" t="str">
        <v/>
      </c>
      <c r="I3642" s="11" t="str">
        <v/>
      </c>
    </row>
    <row r="3643" spans="2:9">
      <c r="B3643" s="11" t="str">
        <f t="shared" si="286"/>
        <v/>
      </c>
      <c r="C3643" s="11" t="str">
        <f t="shared" si="289"/>
        <v/>
      </c>
      <c r="D3643" s="11" t="str">
        <f t="shared" si="290"/>
        <v/>
      </c>
      <c r="E3643" s="11" t="str">
        <f t="shared" si="287"/>
        <v/>
      </c>
      <c r="F3643" s="11" t="str">
        <f t="shared" si="288"/>
        <v/>
      </c>
      <c r="G3643" s="10" t="str">
        <v/>
      </c>
      <c r="H3643" s="11" t="str">
        <v/>
      </c>
      <c r="I3643" s="11" t="str">
        <v/>
      </c>
    </row>
    <row r="3644" spans="2:9">
      <c r="B3644" s="11" t="str">
        <f t="shared" si="286"/>
        <v/>
      </c>
      <c r="C3644" s="11" t="str">
        <f t="shared" si="289"/>
        <v/>
      </c>
      <c r="D3644" s="11" t="str">
        <f t="shared" si="290"/>
        <v/>
      </c>
      <c r="E3644" s="11" t="str">
        <f t="shared" si="287"/>
        <v/>
      </c>
      <c r="F3644" s="11" t="str">
        <f t="shared" si="288"/>
        <v/>
      </c>
      <c r="G3644" s="10" t="str">
        <v/>
      </c>
      <c r="H3644" s="11" t="str">
        <v/>
      </c>
      <c r="I3644" s="11" t="str">
        <v/>
      </c>
    </row>
    <row r="3645" spans="2:9">
      <c r="B3645" s="11" t="str">
        <f t="shared" si="286"/>
        <v/>
      </c>
      <c r="C3645" s="11" t="str">
        <f t="shared" si="289"/>
        <v/>
      </c>
      <c r="D3645" s="11" t="str">
        <f t="shared" si="290"/>
        <v/>
      </c>
      <c r="E3645" s="11" t="str">
        <f t="shared" si="287"/>
        <v/>
      </c>
      <c r="F3645" s="11" t="str">
        <f t="shared" si="288"/>
        <v/>
      </c>
      <c r="G3645" s="10" t="str">
        <v/>
      </c>
      <c r="H3645" s="11" t="str">
        <v/>
      </c>
      <c r="I3645" s="11" t="str">
        <v/>
      </c>
    </row>
    <row r="3646" spans="2:9">
      <c r="B3646" s="11" t="str">
        <f t="shared" si="286"/>
        <v/>
      </c>
      <c r="C3646" s="11" t="str">
        <f t="shared" si="289"/>
        <v/>
      </c>
      <c r="D3646" s="11" t="str">
        <f t="shared" si="290"/>
        <v/>
      </c>
      <c r="E3646" s="11" t="str">
        <f t="shared" si="287"/>
        <v/>
      </c>
      <c r="F3646" s="11" t="str">
        <f t="shared" si="288"/>
        <v/>
      </c>
      <c r="G3646" s="10" t="str">
        <v/>
      </c>
      <c r="H3646" s="11" t="str">
        <v/>
      </c>
      <c r="I3646" s="11" t="str">
        <v/>
      </c>
    </row>
    <row r="3647" spans="2:9">
      <c r="B3647" s="11" t="str">
        <f t="shared" si="286"/>
        <v/>
      </c>
      <c r="C3647" s="11" t="str">
        <f t="shared" si="289"/>
        <v/>
      </c>
      <c r="D3647" s="11" t="str">
        <f t="shared" si="290"/>
        <v/>
      </c>
      <c r="E3647" s="11" t="str">
        <f t="shared" si="287"/>
        <v/>
      </c>
      <c r="F3647" s="11" t="str">
        <f t="shared" si="288"/>
        <v/>
      </c>
      <c r="G3647" s="10" t="str">
        <v/>
      </c>
      <c r="H3647" s="11" t="str">
        <v/>
      </c>
      <c r="I3647" s="11" t="str">
        <v/>
      </c>
    </row>
    <row r="3648" spans="2:9">
      <c r="B3648" s="11" t="str">
        <f t="shared" si="286"/>
        <v/>
      </c>
      <c r="C3648" s="11" t="str">
        <f t="shared" si="289"/>
        <v/>
      </c>
      <c r="D3648" s="11" t="str">
        <f t="shared" si="290"/>
        <v/>
      </c>
      <c r="E3648" s="11" t="str">
        <f t="shared" si="287"/>
        <v/>
      </c>
      <c r="F3648" s="11" t="str">
        <f t="shared" si="288"/>
        <v/>
      </c>
      <c r="G3648" s="10" t="str">
        <v/>
      </c>
      <c r="H3648" s="11" t="str">
        <v/>
      </c>
      <c r="I3648" s="11" t="str">
        <v/>
      </c>
    </row>
    <row r="3649" spans="2:9">
      <c r="B3649" s="11" t="str">
        <f t="shared" ref="B3649:B3712" si="291">IFERROR(IF(FIND(" ",A3649)=6,IF(IFERROR(FIND(" PB",A3649),"")&lt;&gt;"","артикул",IF(IFERROR(FIND(" CRN",A3649),"")&lt;&gt;"","артикул","")),""),"")</f>
        <v/>
      </c>
      <c r="C3649" s="11" t="str">
        <f t="shared" si="289"/>
        <v/>
      </c>
      <c r="D3649" s="11" t="str">
        <f t="shared" si="290"/>
        <v/>
      </c>
      <c r="E3649" s="11" t="str">
        <f t="shared" si="287"/>
        <v/>
      </c>
      <c r="F3649" s="11" t="str">
        <f t="shared" si="288"/>
        <v/>
      </c>
      <c r="G3649" s="10" t="str">
        <v/>
      </c>
      <c r="H3649" s="11" t="str">
        <v/>
      </c>
      <c r="I3649" s="11" t="str">
        <v/>
      </c>
    </row>
    <row r="3650" spans="2:9">
      <c r="B3650" s="11" t="str">
        <f t="shared" si="291"/>
        <v/>
      </c>
      <c r="C3650" s="11" t="str">
        <f t="shared" si="289"/>
        <v/>
      </c>
      <c r="D3650" s="11" t="str">
        <f t="shared" si="290"/>
        <v/>
      </c>
      <c r="E3650" s="11" t="str">
        <f t="shared" ref="E3650:E3713" si="292" xml:space="preserve">
IF(B3650="Артикул",
IF(
AND(RIGHT(A3651,1)="%",
RIGHT(A3652,1)="%",
RIGHT(A3653,1)="%",
RIGHT(A3654,1)="%"),MID(A3655,FIND(" ",A3655),50),
IF(
AND(RIGHT(A3651,1)="%",
RIGHT(A3652,1)="%",
RIGHT(A3653,1)="%"),MID(A3654,FIND(" ",A3654),50),
IF(
AND(RIGHT(A3651,1)="%",
RIGHT(A3652,1)="%"),
MID(A3653,FIND(" ",A3653),50),
IF(
RIGHT(A3651,1)="%",
MID(A3652,FIND(" ",A3652),50),"")))),"")</f>
        <v/>
      </c>
      <c r="F3650" s="11" t="str">
        <f t="shared" ref="F3650:F3713" si="293">IFERROR(
IF(
AND(LEFT(A3650,8)="Discount",FIND("%",A3650)&gt;0),
MID(A3650,
FIND(" ",A3650),
FIND("%",A3650)-FIND(" ",A3650))
*-1,""),"")</f>
        <v/>
      </c>
      <c r="G3650" s="10" t="str">
        <v/>
      </c>
      <c r="H3650" s="11" t="str">
        <v/>
      </c>
      <c r="I3650" s="11" t="str">
        <v/>
      </c>
    </row>
    <row r="3651" spans="2:9">
      <c r="B3651" s="11" t="str">
        <f t="shared" si="291"/>
        <v/>
      </c>
      <c r="C3651" s="11" t="str">
        <f t="shared" si="289"/>
        <v/>
      </c>
      <c r="D3651" s="11" t="str">
        <f t="shared" si="290"/>
        <v/>
      </c>
      <c r="E3651" s="11" t="str">
        <f t="shared" si="292"/>
        <v/>
      </c>
      <c r="F3651" s="11" t="str">
        <f t="shared" si="293"/>
        <v/>
      </c>
      <c r="G3651" s="10" t="str">
        <v/>
      </c>
      <c r="H3651" s="11" t="str">
        <v/>
      </c>
      <c r="I3651" s="11" t="str">
        <v/>
      </c>
    </row>
    <row r="3652" spans="2:9">
      <c r="B3652" s="11" t="str">
        <f t="shared" si="291"/>
        <v/>
      </c>
      <c r="C3652" s="11" t="str">
        <f t="shared" si="289"/>
        <v/>
      </c>
      <c r="D3652" s="11" t="str">
        <f t="shared" si="290"/>
        <v/>
      </c>
      <c r="E3652" s="11" t="str">
        <f t="shared" si="292"/>
        <v/>
      </c>
      <c r="F3652" s="11" t="str">
        <f t="shared" si="293"/>
        <v/>
      </c>
      <c r="G3652" s="10" t="str">
        <v/>
      </c>
      <c r="H3652" s="11" t="str">
        <v/>
      </c>
      <c r="I3652" s="11" t="str">
        <v/>
      </c>
    </row>
    <row r="3653" spans="2:9">
      <c r="B3653" s="11" t="str">
        <f t="shared" si="291"/>
        <v/>
      </c>
      <c r="C3653" s="11" t="str">
        <f t="shared" si="289"/>
        <v/>
      </c>
      <c r="D3653" s="11" t="str">
        <f t="shared" si="290"/>
        <v/>
      </c>
      <c r="E3653" s="11" t="str">
        <f t="shared" si="292"/>
        <v/>
      </c>
      <c r="F3653" s="11" t="str">
        <f t="shared" si="293"/>
        <v/>
      </c>
      <c r="G3653" s="10" t="str">
        <v/>
      </c>
      <c r="H3653" s="11" t="str">
        <v/>
      </c>
      <c r="I3653" s="11" t="str">
        <v/>
      </c>
    </row>
    <row r="3654" spans="2:9">
      <c r="B3654" s="11" t="str">
        <f t="shared" si="291"/>
        <v/>
      </c>
      <c r="C3654" s="11" t="str">
        <f t="shared" si="289"/>
        <v/>
      </c>
      <c r="D3654" s="11" t="str">
        <f t="shared" si="290"/>
        <v/>
      </c>
      <c r="E3654" s="11" t="str">
        <f t="shared" si="292"/>
        <v/>
      </c>
      <c r="F3654" s="11" t="str">
        <f t="shared" si="293"/>
        <v/>
      </c>
      <c r="G3654" s="10" t="str">
        <v/>
      </c>
      <c r="H3654" s="11" t="str">
        <v/>
      </c>
      <c r="I3654" s="11" t="str">
        <v/>
      </c>
    </row>
    <row r="3655" spans="2:9">
      <c r="B3655" s="11" t="str">
        <f t="shared" si="291"/>
        <v/>
      </c>
      <c r="C3655" s="11" t="str">
        <f t="shared" si="289"/>
        <v/>
      </c>
      <c r="D3655" s="11" t="str">
        <f t="shared" si="290"/>
        <v/>
      </c>
      <c r="E3655" s="11" t="str">
        <f t="shared" si="292"/>
        <v/>
      </c>
      <c r="F3655" s="11" t="str">
        <f t="shared" si="293"/>
        <v/>
      </c>
      <c r="G3655" s="10" t="str">
        <v/>
      </c>
      <c r="H3655" s="11" t="str">
        <v/>
      </c>
      <c r="I3655" s="11" t="str">
        <v/>
      </c>
    </row>
    <row r="3656" spans="2:9">
      <c r="B3656" s="11" t="str">
        <f t="shared" si="291"/>
        <v/>
      </c>
      <c r="C3656" s="11" t="str">
        <f t="shared" si="289"/>
        <v/>
      </c>
      <c r="D3656" s="11" t="str">
        <f t="shared" si="290"/>
        <v/>
      </c>
      <c r="E3656" s="11" t="str">
        <f t="shared" si="292"/>
        <v/>
      </c>
      <c r="F3656" s="11" t="str">
        <f t="shared" si="293"/>
        <v/>
      </c>
      <c r="G3656" s="10" t="str">
        <v/>
      </c>
      <c r="H3656" s="11" t="str">
        <v/>
      </c>
      <c r="I3656" s="11" t="str">
        <v/>
      </c>
    </row>
    <row r="3657" spans="2:9">
      <c r="B3657" s="11" t="str">
        <f t="shared" si="291"/>
        <v/>
      </c>
      <c r="C3657" s="11" t="str">
        <f t="shared" si="289"/>
        <v/>
      </c>
      <c r="D3657" s="11" t="str">
        <f t="shared" si="290"/>
        <v/>
      </c>
      <c r="E3657" s="11" t="str">
        <f t="shared" si="292"/>
        <v/>
      </c>
      <c r="F3657" s="11" t="str">
        <f t="shared" si="293"/>
        <v/>
      </c>
      <c r="G3657" s="10" t="str">
        <v/>
      </c>
      <c r="H3657" s="11" t="str">
        <v/>
      </c>
      <c r="I3657" s="11" t="str">
        <v/>
      </c>
    </row>
    <row r="3658" spans="2:9">
      <c r="B3658" s="11" t="str">
        <f t="shared" si="291"/>
        <v/>
      </c>
      <c r="C3658" s="11" t="str">
        <f t="shared" si="289"/>
        <v/>
      </c>
      <c r="D3658" s="11" t="str">
        <f t="shared" si="290"/>
        <v/>
      </c>
      <c r="E3658" s="11" t="str">
        <f t="shared" si="292"/>
        <v/>
      </c>
      <c r="F3658" s="11" t="str">
        <f t="shared" si="293"/>
        <v/>
      </c>
      <c r="G3658" s="10" t="str">
        <v/>
      </c>
      <c r="H3658" s="11" t="str">
        <v/>
      </c>
      <c r="I3658" s="11" t="str">
        <v/>
      </c>
    </row>
    <row r="3659" spans="2:9">
      <c r="B3659" s="11" t="str">
        <f t="shared" si="291"/>
        <v/>
      </c>
      <c r="C3659" s="11" t="str">
        <f t="shared" si="289"/>
        <v/>
      </c>
      <c r="D3659" s="11" t="str">
        <f t="shared" si="290"/>
        <v/>
      </c>
      <c r="E3659" s="11" t="str">
        <f t="shared" si="292"/>
        <v/>
      </c>
      <c r="F3659" s="11" t="str">
        <f t="shared" si="293"/>
        <v/>
      </c>
      <c r="G3659" s="10" t="str">
        <v/>
      </c>
      <c r="H3659" s="11" t="str">
        <v/>
      </c>
      <c r="I3659" s="11" t="str">
        <v/>
      </c>
    </row>
    <row r="3660" spans="2:9">
      <c r="B3660" s="11" t="str">
        <f t="shared" si="291"/>
        <v/>
      </c>
      <c r="C3660" s="11" t="str">
        <f t="shared" si="289"/>
        <v/>
      </c>
      <c r="D3660" s="11" t="str">
        <f t="shared" si="290"/>
        <v/>
      </c>
      <c r="E3660" s="11" t="str">
        <f t="shared" si="292"/>
        <v/>
      </c>
      <c r="F3660" s="11" t="str">
        <f t="shared" si="293"/>
        <v/>
      </c>
      <c r="G3660" s="10" t="str">
        <v/>
      </c>
      <c r="H3660" s="11" t="str">
        <v/>
      </c>
      <c r="I3660" s="11" t="str">
        <v/>
      </c>
    </row>
    <row r="3661" spans="2:9">
      <c r="B3661" s="11" t="str">
        <f t="shared" si="291"/>
        <v/>
      </c>
      <c r="C3661" s="11" t="str">
        <f t="shared" ref="C3661:C3724" si="294">IF(B3661="артикул",A3661,"")</f>
        <v/>
      </c>
      <c r="D3661" s="11" t="str">
        <f t="shared" ref="D3661:D3724" si="295">IF(B3661="артикул",A3662,"")</f>
        <v/>
      </c>
      <c r="E3661" s="11" t="str">
        <f t="shared" si="292"/>
        <v/>
      </c>
      <c r="F3661" s="11" t="str">
        <f t="shared" si="293"/>
        <v/>
      </c>
      <c r="G3661" s="10" t="str">
        <v/>
      </c>
      <c r="H3661" s="11" t="str">
        <v/>
      </c>
      <c r="I3661" s="11" t="str">
        <v/>
      </c>
    </row>
    <row r="3662" spans="2:9">
      <c r="B3662" s="11" t="str">
        <f t="shared" si="291"/>
        <v/>
      </c>
      <c r="C3662" s="11" t="str">
        <f t="shared" si="294"/>
        <v/>
      </c>
      <c r="D3662" s="11" t="str">
        <f t="shared" si="295"/>
        <v/>
      </c>
      <c r="E3662" s="11" t="str">
        <f t="shared" si="292"/>
        <v/>
      </c>
      <c r="F3662" s="11" t="str">
        <f t="shared" si="293"/>
        <v/>
      </c>
      <c r="G3662" s="10" t="str">
        <v/>
      </c>
      <c r="H3662" s="11" t="str">
        <v/>
      </c>
      <c r="I3662" s="11" t="str">
        <v/>
      </c>
    </row>
    <row r="3663" spans="2:9">
      <c r="B3663" s="11" t="str">
        <f t="shared" si="291"/>
        <v/>
      </c>
      <c r="C3663" s="11" t="str">
        <f t="shared" si="294"/>
        <v/>
      </c>
      <c r="D3663" s="11" t="str">
        <f t="shared" si="295"/>
        <v/>
      </c>
      <c r="E3663" s="11" t="str">
        <f t="shared" si="292"/>
        <v/>
      </c>
      <c r="F3663" s="11" t="str">
        <f t="shared" si="293"/>
        <v/>
      </c>
      <c r="G3663" s="10" t="str">
        <v/>
      </c>
      <c r="H3663" s="11" t="str">
        <v/>
      </c>
      <c r="I3663" s="11" t="str">
        <v/>
      </c>
    </row>
    <row r="3664" spans="2:9">
      <c r="B3664" s="11" t="str">
        <f t="shared" si="291"/>
        <v/>
      </c>
      <c r="C3664" s="11" t="str">
        <f t="shared" si="294"/>
        <v/>
      </c>
      <c r="D3664" s="11" t="str">
        <f t="shared" si="295"/>
        <v/>
      </c>
      <c r="E3664" s="11" t="str">
        <f t="shared" si="292"/>
        <v/>
      </c>
      <c r="F3664" s="11" t="str">
        <f t="shared" si="293"/>
        <v/>
      </c>
      <c r="G3664" s="10" t="str">
        <v/>
      </c>
      <c r="H3664" s="11" t="str">
        <v/>
      </c>
      <c r="I3664" s="11" t="str">
        <v/>
      </c>
    </row>
    <row r="3665" spans="2:9">
      <c r="B3665" s="11" t="str">
        <f t="shared" si="291"/>
        <v/>
      </c>
      <c r="C3665" s="11" t="str">
        <f t="shared" si="294"/>
        <v/>
      </c>
      <c r="D3665" s="11" t="str">
        <f t="shared" si="295"/>
        <v/>
      </c>
      <c r="E3665" s="11" t="str">
        <f t="shared" si="292"/>
        <v/>
      </c>
      <c r="F3665" s="11" t="str">
        <f t="shared" si="293"/>
        <v/>
      </c>
      <c r="G3665" s="10" t="str">
        <v/>
      </c>
      <c r="H3665" s="11" t="str">
        <v/>
      </c>
      <c r="I3665" s="11" t="str">
        <v/>
      </c>
    </row>
    <row r="3666" spans="2:9">
      <c r="B3666" s="11" t="str">
        <f t="shared" si="291"/>
        <v/>
      </c>
      <c r="C3666" s="11" t="str">
        <f t="shared" si="294"/>
        <v/>
      </c>
      <c r="D3666" s="11" t="str">
        <f t="shared" si="295"/>
        <v/>
      </c>
      <c r="E3666" s="11" t="str">
        <f t="shared" si="292"/>
        <v/>
      </c>
      <c r="F3666" s="11" t="str">
        <f t="shared" si="293"/>
        <v/>
      </c>
      <c r="G3666" s="10" t="str">
        <v/>
      </c>
      <c r="H3666" s="11" t="str">
        <v/>
      </c>
      <c r="I3666" s="11" t="str">
        <v/>
      </c>
    </row>
    <row r="3667" spans="2:9">
      <c r="B3667" s="11" t="str">
        <f t="shared" si="291"/>
        <v/>
      </c>
      <c r="C3667" s="11" t="str">
        <f t="shared" si="294"/>
        <v/>
      </c>
      <c r="D3667" s="11" t="str">
        <f t="shared" si="295"/>
        <v/>
      </c>
      <c r="E3667" s="11" t="str">
        <f t="shared" si="292"/>
        <v/>
      </c>
      <c r="F3667" s="11" t="str">
        <f t="shared" si="293"/>
        <v/>
      </c>
      <c r="G3667" s="10" t="str">
        <v/>
      </c>
      <c r="H3667" s="11" t="str">
        <v/>
      </c>
      <c r="I3667" s="11" t="str">
        <v/>
      </c>
    </row>
    <row r="3668" spans="2:9">
      <c r="B3668" s="11" t="str">
        <f t="shared" si="291"/>
        <v/>
      </c>
      <c r="C3668" s="11" t="str">
        <f t="shared" si="294"/>
        <v/>
      </c>
      <c r="D3668" s="11" t="str">
        <f t="shared" si="295"/>
        <v/>
      </c>
      <c r="E3668" s="11" t="str">
        <f t="shared" si="292"/>
        <v/>
      </c>
      <c r="F3668" s="11" t="str">
        <f t="shared" si="293"/>
        <v/>
      </c>
      <c r="G3668" s="10" t="str">
        <v/>
      </c>
      <c r="H3668" s="11" t="str">
        <v/>
      </c>
      <c r="I3668" s="11" t="str">
        <v/>
      </c>
    </row>
    <row r="3669" spans="2:9">
      <c r="B3669" s="11" t="str">
        <f t="shared" si="291"/>
        <v/>
      </c>
      <c r="C3669" s="11" t="str">
        <f t="shared" si="294"/>
        <v/>
      </c>
      <c r="D3669" s="11" t="str">
        <f t="shared" si="295"/>
        <v/>
      </c>
      <c r="E3669" s="11" t="str">
        <f t="shared" si="292"/>
        <v/>
      </c>
      <c r="F3669" s="11" t="str">
        <f t="shared" si="293"/>
        <v/>
      </c>
      <c r="G3669" s="10" t="str">
        <v/>
      </c>
      <c r="H3669" s="11" t="str">
        <v/>
      </c>
      <c r="I3669" s="11" t="str">
        <v/>
      </c>
    </row>
    <row r="3670" spans="2:9">
      <c r="B3670" s="11" t="str">
        <f t="shared" si="291"/>
        <v/>
      </c>
      <c r="C3670" s="11" t="str">
        <f t="shared" si="294"/>
        <v/>
      </c>
      <c r="D3670" s="11" t="str">
        <f t="shared" si="295"/>
        <v/>
      </c>
      <c r="E3670" s="11" t="str">
        <f t="shared" si="292"/>
        <v/>
      </c>
      <c r="F3670" s="11" t="str">
        <f t="shared" si="293"/>
        <v/>
      </c>
      <c r="G3670" s="10" t="str">
        <v/>
      </c>
      <c r="H3670" s="11" t="str">
        <v/>
      </c>
      <c r="I3670" s="11" t="str">
        <v/>
      </c>
    </row>
    <row r="3671" spans="2:9">
      <c r="B3671" s="11" t="str">
        <f t="shared" si="291"/>
        <v/>
      </c>
      <c r="C3671" s="11" t="str">
        <f t="shared" si="294"/>
        <v/>
      </c>
      <c r="D3671" s="11" t="str">
        <f t="shared" si="295"/>
        <v/>
      </c>
      <c r="E3671" s="11" t="str">
        <f t="shared" si="292"/>
        <v/>
      </c>
      <c r="F3671" s="11" t="str">
        <f t="shared" si="293"/>
        <v/>
      </c>
      <c r="G3671" s="10" t="str">
        <v/>
      </c>
      <c r="H3671" s="11" t="str">
        <v/>
      </c>
      <c r="I3671" s="11" t="str">
        <v/>
      </c>
    </row>
    <row r="3672" spans="2:9">
      <c r="B3672" s="11" t="str">
        <f t="shared" si="291"/>
        <v/>
      </c>
      <c r="C3672" s="11" t="str">
        <f t="shared" si="294"/>
        <v/>
      </c>
      <c r="D3672" s="11" t="str">
        <f t="shared" si="295"/>
        <v/>
      </c>
      <c r="E3672" s="11" t="str">
        <f t="shared" si="292"/>
        <v/>
      </c>
      <c r="F3672" s="11" t="str">
        <f t="shared" si="293"/>
        <v/>
      </c>
      <c r="G3672" s="10" t="str">
        <v/>
      </c>
      <c r="H3672" s="11" t="str">
        <v/>
      </c>
      <c r="I3672" s="11" t="str">
        <v/>
      </c>
    </row>
    <row r="3673" spans="2:9">
      <c r="B3673" s="11" t="str">
        <f t="shared" si="291"/>
        <v/>
      </c>
      <c r="C3673" s="11" t="str">
        <f t="shared" si="294"/>
        <v/>
      </c>
      <c r="D3673" s="11" t="str">
        <f t="shared" si="295"/>
        <v/>
      </c>
      <c r="E3673" s="11" t="str">
        <f t="shared" si="292"/>
        <v/>
      </c>
      <c r="F3673" s="11" t="str">
        <f t="shared" si="293"/>
        <v/>
      </c>
      <c r="G3673" s="10" t="str">
        <v/>
      </c>
      <c r="H3673" s="11" t="str">
        <v/>
      </c>
      <c r="I3673" s="11" t="str">
        <v/>
      </c>
    </row>
    <row r="3674" spans="2:9">
      <c r="B3674" s="11" t="str">
        <f t="shared" si="291"/>
        <v/>
      </c>
      <c r="C3674" s="11" t="str">
        <f t="shared" si="294"/>
        <v/>
      </c>
      <c r="D3674" s="11" t="str">
        <f t="shared" si="295"/>
        <v/>
      </c>
      <c r="E3674" s="11" t="str">
        <f t="shared" si="292"/>
        <v/>
      </c>
      <c r="F3674" s="11" t="str">
        <f t="shared" si="293"/>
        <v/>
      </c>
      <c r="G3674" s="10" t="str">
        <v/>
      </c>
      <c r="H3674" s="11" t="str">
        <v/>
      </c>
      <c r="I3674" s="11" t="str">
        <v/>
      </c>
    </row>
    <row r="3675" spans="2:9">
      <c r="B3675" s="11" t="str">
        <f t="shared" si="291"/>
        <v/>
      </c>
      <c r="C3675" s="11" t="str">
        <f t="shared" si="294"/>
        <v/>
      </c>
      <c r="D3675" s="11" t="str">
        <f t="shared" si="295"/>
        <v/>
      </c>
      <c r="E3675" s="11" t="str">
        <f t="shared" si="292"/>
        <v/>
      </c>
      <c r="F3675" s="11" t="str">
        <f t="shared" si="293"/>
        <v/>
      </c>
      <c r="G3675" s="10" t="str">
        <v/>
      </c>
      <c r="H3675" s="11" t="str">
        <v/>
      </c>
      <c r="I3675" s="11" t="str">
        <v/>
      </c>
    </row>
    <row r="3676" spans="2:9">
      <c r="B3676" s="11" t="str">
        <f t="shared" si="291"/>
        <v/>
      </c>
      <c r="C3676" s="11" t="str">
        <f t="shared" si="294"/>
        <v/>
      </c>
      <c r="D3676" s="11" t="str">
        <f t="shared" si="295"/>
        <v/>
      </c>
      <c r="E3676" s="11" t="str">
        <f t="shared" si="292"/>
        <v/>
      </c>
      <c r="F3676" s="11" t="str">
        <f t="shared" si="293"/>
        <v/>
      </c>
      <c r="G3676" s="10" t="str">
        <v/>
      </c>
      <c r="H3676" s="11" t="str">
        <v/>
      </c>
      <c r="I3676" s="11" t="str">
        <v/>
      </c>
    </row>
    <row r="3677" spans="2:9">
      <c r="B3677" s="11" t="str">
        <f t="shared" si="291"/>
        <v/>
      </c>
      <c r="C3677" s="11" t="str">
        <f t="shared" si="294"/>
        <v/>
      </c>
      <c r="D3677" s="11" t="str">
        <f t="shared" si="295"/>
        <v/>
      </c>
      <c r="E3677" s="11" t="str">
        <f t="shared" si="292"/>
        <v/>
      </c>
      <c r="F3677" s="11" t="str">
        <f t="shared" si="293"/>
        <v/>
      </c>
      <c r="G3677" s="10" t="str">
        <v/>
      </c>
      <c r="H3677" s="11" t="str">
        <v/>
      </c>
      <c r="I3677" s="11" t="str">
        <v/>
      </c>
    </row>
    <row r="3678" spans="2:9">
      <c r="B3678" s="11" t="str">
        <f t="shared" si="291"/>
        <v/>
      </c>
      <c r="C3678" s="11" t="str">
        <f t="shared" si="294"/>
        <v/>
      </c>
      <c r="D3678" s="11" t="str">
        <f t="shared" si="295"/>
        <v/>
      </c>
      <c r="E3678" s="11" t="str">
        <f t="shared" si="292"/>
        <v/>
      </c>
      <c r="F3678" s="11" t="str">
        <f t="shared" si="293"/>
        <v/>
      </c>
      <c r="G3678" s="10" t="str">
        <v/>
      </c>
      <c r="H3678" s="11" t="str">
        <v/>
      </c>
      <c r="I3678" s="11" t="str">
        <v/>
      </c>
    </row>
    <row r="3679" spans="2:9">
      <c r="B3679" s="11" t="str">
        <f t="shared" si="291"/>
        <v/>
      </c>
      <c r="C3679" s="11" t="str">
        <f t="shared" si="294"/>
        <v/>
      </c>
      <c r="D3679" s="11" t="str">
        <f t="shared" si="295"/>
        <v/>
      </c>
      <c r="E3679" s="11" t="str">
        <f t="shared" si="292"/>
        <v/>
      </c>
      <c r="F3679" s="11" t="str">
        <f t="shared" si="293"/>
        <v/>
      </c>
      <c r="G3679" s="10" t="str">
        <v/>
      </c>
      <c r="H3679" s="11" t="str">
        <v/>
      </c>
      <c r="I3679" s="11" t="str">
        <v/>
      </c>
    </row>
    <row r="3680" spans="2:9">
      <c r="B3680" s="11" t="str">
        <f t="shared" si="291"/>
        <v/>
      </c>
      <c r="C3680" s="11" t="str">
        <f t="shared" si="294"/>
        <v/>
      </c>
      <c r="D3680" s="11" t="str">
        <f t="shared" si="295"/>
        <v/>
      </c>
      <c r="E3680" s="11" t="str">
        <f t="shared" si="292"/>
        <v/>
      </c>
      <c r="F3680" s="11" t="str">
        <f t="shared" si="293"/>
        <v/>
      </c>
      <c r="G3680" s="10" t="str">
        <v/>
      </c>
      <c r="H3680" s="11" t="str">
        <v/>
      </c>
      <c r="I3680" s="11" t="str">
        <v/>
      </c>
    </row>
    <row r="3681" spans="2:9">
      <c r="B3681" s="11" t="str">
        <f t="shared" si="291"/>
        <v/>
      </c>
      <c r="C3681" s="11" t="str">
        <f t="shared" si="294"/>
        <v/>
      </c>
      <c r="D3681" s="11" t="str">
        <f t="shared" si="295"/>
        <v/>
      </c>
      <c r="E3681" s="11" t="str">
        <f t="shared" si="292"/>
        <v/>
      </c>
      <c r="F3681" s="11" t="str">
        <f t="shared" si="293"/>
        <v/>
      </c>
      <c r="G3681" s="10" t="str">
        <v/>
      </c>
      <c r="H3681" s="11" t="str">
        <v/>
      </c>
      <c r="I3681" s="11" t="str">
        <v/>
      </c>
    </row>
    <row r="3682" spans="2:9">
      <c r="B3682" s="11" t="str">
        <f t="shared" si="291"/>
        <v/>
      </c>
      <c r="C3682" s="11" t="str">
        <f t="shared" si="294"/>
        <v/>
      </c>
      <c r="D3682" s="11" t="str">
        <f t="shared" si="295"/>
        <v/>
      </c>
      <c r="E3682" s="11" t="str">
        <f t="shared" si="292"/>
        <v/>
      </c>
      <c r="F3682" s="11" t="str">
        <f t="shared" si="293"/>
        <v/>
      </c>
      <c r="G3682" s="10" t="str">
        <v/>
      </c>
      <c r="H3682" s="11" t="str">
        <v/>
      </c>
      <c r="I3682" s="11" t="str">
        <v/>
      </c>
    </row>
    <row r="3683" spans="2:9">
      <c r="B3683" s="11" t="str">
        <f t="shared" si="291"/>
        <v/>
      </c>
      <c r="C3683" s="11" t="str">
        <f t="shared" si="294"/>
        <v/>
      </c>
      <c r="D3683" s="11" t="str">
        <f t="shared" si="295"/>
        <v/>
      </c>
      <c r="E3683" s="11" t="str">
        <f t="shared" si="292"/>
        <v/>
      </c>
      <c r="F3683" s="11" t="str">
        <f t="shared" si="293"/>
        <v/>
      </c>
      <c r="G3683" s="10" t="str">
        <v/>
      </c>
      <c r="H3683" s="11" t="str">
        <v/>
      </c>
      <c r="I3683" s="11" t="str">
        <v/>
      </c>
    </row>
    <row r="3684" spans="2:9">
      <c r="B3684" s="11" t="str">
        <f t="shared" si="291"/>
        <v/>
      </c>
      <c r="C3684" s="11" t="str">
        <f t="shared" si="294"/>
        <v/>
      </c>
      <c r="D3684" s="11" t="str">
        <f t="shared" si="295"/>
        <v/>
      </c>
      <c r="E3684" s="11" t="str">
        <f t="shared" si="292"/>
        <v/>
      </c>
      <c r="F3684" s="11" t="str">
        <f t="shared" si="293"/>
        <v/>
      </c>
      <c r="G3684" s="10" t="str">
        <v/>
      </c>
      <c r="H3684" s="11" t="str">
        <v/>
      </c>
      <c r="I3684" s="11" t="str">
        <v/>
      </c>
    </row>
    <row r="3685" spans="2:9">
      <c r="B3685" s="11" t="str">
        <f t="shared" si="291"/>
        <v/>
      </c>
      <c r="C3685" s="11" t="str">
        <f t="shared" si="294"/>
        <v/>
      </c>
      <c r="D3685" s="11" t="str">
        <f t="shared" si="295"/>
        <v/>
      </c>
      <c r="E3685" s="11" t="str">
        <f t="shared" si="292"/>
        <v/>
      </c>
      <c r="F3685" s="11" t="str">
        <f t="shared" si="293"/>
        <v/>
      </c>
      <c r="G3685" s="10" t="str">
        <v/>
      </c>
      <c r="H3685" s="11" t="str">
        <v/>
      </c>
      <c r="I3685" s="11" t="str">
        <v/>
      </c>
    </row>
    <row r="3686" spans="2:9">
      <c r="B3686" s="11" t="str">
        <f t="shared" si="291"/>
        <v/>
      </c>
      <c r="C3686" s="11" t="str">
        <f t="shared" si="294"/>
        <v/>
      </c>
      <c r="D3686" s="11" t="str">
        <f t="shared" si="295"/>
        <v/>
      </c>
      <c r="E3686" s="11" t="str">
        <f t="shared" si="292"/>
        <v/>
      </c>
      <c r="F3686" s="11" t="str">
        <f t="shared" si="293"/>
        <v/>
      </c>
      <c r="G3686" s="10" t="str">
        <v/>
      </c>
      <c r="H3686" s="11" t="str">
        <v/>
      </c>
      <c r="I3686" s="11" t="str">
        <v/>
      </c>
    </row>
    <row r="3687" spans="2:9">
      <c r="B3687" s="11" t="str">
        <f t="shared" si="291"/>
        <v/>
      </c>
      <c r="C3687" s="11" t="str">
        <f t="shared" si="294"/>
        <v/>
      </c>
      <c r="D3687" s="11" t="str">
        <f t="shared" si="295"/>
        <v/>
      </c>
      <c r="E3687" s="11" t="str">
        <f t="shared" si="292"/>
        <v/>
      </c>
      <c r="F3687" s="11" t="str">
        <f t="shared" si="293"/>
        <v/>
      </c>
      <c r="G3687" s="10" t="str">
        <v/>
      </c>
      <c r="H3687" s="11" t="str">
        <v/>
      </c>
      <c r="I3687" s="11" t="str">
        <v/>
      </c>
    </row>
    <row r="3688" spans="2:9">
      <c r="B3688" s="11" t="str">
        <f t="shared" si="291"/>
        <v/>
      </c>
      <c r="C3688" s="11" t="str">
        <f t="shared" si="294"/>
        <v/>
      </c>
      <c r="D3688" s="11" t="str">
        <f t="shared" si="295"/>
        <v/>
      </c>
      <c r="E3688" s="11" t="str">
        <f t="shared" si="292"/>
        <v/>
      </c>
      <c r="F3688" s="11" t="str">
        <f t="shared" si="293"/>
        <v/>
      </c>
      <c r="G3688" s="10" t="str">
        <v/>
      </c>
      <c r="H3688" s="11" t="str">
        <v/>
      </c>
      <c r="I3688" s="11" t="str">
        <v/>
      </c>
    </row>
    <row r="3689" spans="2:9">
      <c r="B3689" s="11" t="str">
        <f t="shared" si="291"/>
        <v/>
      </c>
      <c r="C3689" s="11" t="str">
        <f t="shared" si="294"/>
        <v/>
      </c>
      <c r="D3689" s="11" t="str">
        <f t="shared" si="295"/>
        <v/>
      </c>
      <c r="E3689" s="11" t="str">
        <f t="shared" si="292"/>
        <v/>
      </c>
      <c r="F3689" s="11" t="str">
        <f t="shared" si="293"/>
        <v/>
      </c>
      <c r="G3689" s="10" t="str">
        <v/>
      </c>
      <c r="H3689" s="11" t="str">
        <v/>
      </c>
      <c r="I3689" s="11" t="str">
        <v/>
      </c>
    </row>
    <row r="3690" spans="2:9">
      <c r="B3690" s="11" t="str">
        <f t="shared" si="291"/>
        <v/>
      </c>
      <c r="C3690" s="11" t="str">
        <f t="shared" si="294"/>
        <v/>
      </c>
      <c r="D3690" s="11" t="str">
        <f t="shared" si="295"/>
        <v/>
      </c>
      <c r="E3690" s="11" t="str">
        <f t="shared" si="292"/>
        <v/>
      </c>
      <c r="F3690" s="11" t="str">
        <f t="shared" si="293"/>
        <v/>
      </c>
      <c r="G3690" s="10" t="str">
        <v/>
      </c>
      <c r="H3690" s="11" t="str">
        <v/>
      </c>
      <c r="I3690" s="11" t="str">
        <v/>
      </c>
    </row>
    <row r="3691" spans="2:9">
      <c r="B3691" s="11" t="str">
        <f t="shared" si="291"/>
        <v/>
      </c>
      <c r="C3691" s="11" t="str">
        <f t="shared" si="294"/>
        <v/>
      </c>
      <c r="D3691" s="11" t="str">
        <f t="shared" si="295"/>
        <v/>
      </c>
      <c r="E3691" s="11" t="str">
        <f t="shared" si="292"/>
        <v/>
      </c>
      <c r="F3691" s="11" t="str">
        <f t="shared" si="293"/>
        <v/>
      </c>
      <c r="G3691" s="10" t="str">
        <v/>
      </c>
      <c r="H3691" s="11" t="str">
        <v/>
      </c>
      <c r="I3691" s="11" t="str">
        <v/>
      </c>
    </row>
    <row r="3692" spans="2:9">
      <c r="B3692" s="11" t="str">
        <f t="shared" si="291"/>
        <v/>
      </c>
      <c r="C3692" s="11" t="str">
        <f t="shared" si="294"/>
        <v/>
      </c>
      <c r="D3692" s="11" t="str">
        <f t="shared" si="295"/>
        <v/>
      </c>
      <c r="E3692" s="11" t="str">
        <f t="shared" si="292"/>
        <v/>
      </c>
      <c r="F3692" s="11" t="str">
        <f t="shared" si="293"/>
        <v/>
      </c>
      <c r="G3692" s="10" t="str">
        <v/>
      </c>
      <c r="H3692" s="11" t="str">
        <v/>
      </c>
      <c r="I3692" s="11" t="str">
        <v/>
      </c>
    </row>
    <row r="3693" spans="2:9">
      <c r="B3693" s="11" t="str">
        <f t="shared" si="291"/>
        <v/>
      </c>
      <c r="C3693" s="11" t="str">
        <f t="shared" si="294"/>
        <v/>
      </c>
      <c r="D3693" s="11" t="str">
        <f t="shared" si="295"/>
        <v/>
      </c>
      <c r="E3693" s="11" t="str">
        <f t="shared" si="292"/>
        <v/>
      </c>
      <c r="F3693" s="11" t="str">
        <f t="shared" si="293"/>
        <v/>
      </c>
      <c r="G3693" s="10" t="str">
        <v/>
      </c>
      <c r="H3693" s="11" t="str">
        <v/>
      </c>
      <c r="I3693" s="11" t="str">
        <v/>
      </c>
    </row>
    <row r="3694" spans="2:9">
      <c r="B3694" s="11" t="str">
        <f t="shared" si="291"/>
        <v/>
      </c>
      <c r="C3694" s="11" t="str">
        <f t="shared" si="294"/>
        <v/>
      </c>
      <c r="D3694" s="11" t="str">
        <f t="shared" si="295"/>
        <v/>
      </c>
      <c r="E3694" s="11" t="str">
        <f t="shared" si="292"/>
        <v/>
      </c>
      <c r="F3694" s="11" t="str">
        <f t="shared" si="293"/>
        <v/>
      </c>
      <c r="G3694" s="10" t="str">
        <v/>
      </c>
      <c r="H3694" s="11" t="str">
        <v/>
      </c>
      <c r="I3694" s="11" t="str">
        <v/>
      </c>
    </row>
    <row r="3695" spans="2:9">
      <c r="B3695" s="11" t="str">
        <f t="shared" si="291"/>
        <v/>
      </c>
      <c r="C3695" s="11" t="str">
        <f t="shared" si="294"/>
        <v/>
      </c>
      <c r="D3695" s="11" t="str">
        <f t="shared" si="295"/>
        <v/>
      </c>
      <c r="E3695" s="11" t="str">
        <f t="shared" si="292"/>
        <v/>
      </c>
      <c r="F3695" s="11" t="str">
        <f t="shared" si="293"/>
        <v/>
      </c>
      <c r="G3695" s="10" t="str">
        <v/>
      </c>
      <c r="H3695" s="11" t="str">
        <v/>
      </c>
      <c r="I3695" s="11" t="str">
        <v/>
      </c>
    </row>
    <row r="3696" spans="2:9">
      <c r="B3696" s="11" t="str">
        <f t="shared" si="291"/>
        <v/>
      </c>
      <c r="C3696" s="11" t="str">
        <f t="shared" si="294"/>
        <v/>
      </c>
      <c r="D3696" s="11" t="str">
        <f t="shared" si="295"/>
        <v/>
      </c>
      <c r="E3696" s="11" t="str">
        <f t="shared" si="292"/>
        <v/>
      </c>
      <c r="F3696" s="11" t="str">
        <f t="shared" si="293"/>
        <v/>
      </c>
      <c r="G3696" s="10" t="str">
        <v/>
      </c>
      <c r="H3696" s="11" t="str">
        <v/>
      </c>
      <c r="I3696" s="11" t="str">
        <v/>
      </c>
    </row>
    <row r="3697" spans="2:9">
      <c r="B3697" s="11" t="str">
        <f t="shared" si="291"/>
        <v/>
      </c>
      <c r="C3697" s="11" t="str">
        <f t="shared" si="294"/>
        <v/>
      </c>
      <c r="D3697" s="11" t="str">
        <f t="shared" si="295"/>
        <v/>
      </c>
      <c r="E3697" s="11" t="str">
        <f t="shared" si="292"/>
        <v/>
      </c>
      <c r="F3697" s="11" t="str">
        <f t="shared" si="293"/>
        <v/>
      </c>
      <c r="G3697" s="10" t="str">
        <v/>
      </c>
      <c r="H3697" s="11" t="str">
        <v/>
      </c>
      <c r="I3697" s="11" t="str">
        <v/>
      </c>
    </row>
    <row r="3698" spans="2:9">
      <c r="B3698" s="11" t="str">
        <f t="shared" si="291"/>
        <v/>
      </c>
      <c r="C3698" s="11" t="str">
        <f t="shared" si="294"/>
        <v/>
      </c>
      <c r="D3698" s="11" t="str">
        <f t="shared" si="295"/>
        <v/>
      </c>
      <c r="E3698" s="11" t="str">
        <f t="shared" si="292"/>
        <v/>
      </c>
      <c r="F3698" s="11" t="str">
        <f t="shared" si="293"/>
        <v/>
      </c>
      <c r="G3698" s="10" t="str">
        <v/>
      </c>
      <c r="H3698" s="11" t="str">
        <v/>
      </c>
      <c r="I3698" s="11" t="str">
        <v/>
      </c>
    </row>
    <row r="3699" spans="2:9">
      <c r="B3699" s="11" t="str">
        <f t="shared" si="291"/>
        <v/>
      </c>
      <c r="C3699" s="11" t="str">
        <f t="shared" si="294"/>
        <v/>
      </c>
      <c r="D3699" s="11" t="str">
        <f t="shared" si="295"/>
        <v/>
      </c>
      <c r="E3699" s="11" t="str">
        <f t="shared" si="292"/>
        <v/>
      </c>
      <c r="F3699" s="11" t="str">
        <f t="shared" si="293"/>
        <v/>
      </c>
      <c r="G3699" s="10" t="str">
        <v/>
      </c>
      <c r="H3699" s="11" t="str">
        <v/>
      </c>
      <c r="I3699" s="11" t="str">
        <v/>
      </c>
    </row>
    <row r="3700" spans="2:9">
      <c r="B3700" s="11" t="str">
        <f t="shared" si="291"/>
        <v/>
      </c>
      <c r="C3700" s="11" t="str">
        <f t="shared" si="294"/>
        <v/>
      </c>
      <c r="D3700" s="11" t="str">
        <f t="shared" si="295"/>
        <v/>
      </c>
      <c r="E3700" s="11" t="str">
        <f t="shared" si="292"/>
        <v/>
      </c>
      <c r="F3700" s="11" t="str">
        <f t="shared" si="293"/>
        <v/>
      </c>
      <c r="G3700" s="10" t="str">
        <v/>
      </c>
      <c r="H3700" s="11" t="str">
        <v/>
      </c>
      <c r="I3700" s="11" t="str">
        <v/>
      </c>
    </row>
    <row r="3701" spans="2:9">
      <c r="B3701" s="11" t="str">
        <f t="shared" si="291"/>
        <v/>
      </c>
      <c r="C3701" s="11" t="str">
        <f t="shared" si="294"/>
        <v/>
      </c>
      <c r="D3701" s="11" t="str">
        <f t="shared" si="295"/>
        <v/>
      </c>
      <c r="E3701" s="11" t="str">
        <f t="shared" si="292"/>
        <v/>
      </c>
      <c r="F3701" s="11" t="str">
        <f t="shared" si="293"/>
        <v/>
      </c>
      <c r="G3701" s="10" t="str">
        <v/>
      </c>
      <c r="H3701" s="11" t="str">
        <v/>
      </c>
      <c r="I3701" s="11" t="str">
        <v/>
      </c>
    </row>
    <row r="3702" spans="2:9">
      <c r="B3702" s="11" t="str">
        <f t="shared" si="291"/>
        <v/>
      </c>
      <c r="C3702" s="11" t="str">
        <f t="shared" si="294"/>
        <v/>
      </c>
      <c r="D3702" s="11" t="str">
        <f t="shared" si="295"/>
        <v/>
      </c>
      <c r="E3702" s="11" t="str">
        <f t="shared" si="292"/>
        <v/>
      </c>
      <c r="F3702" s="11" t="str">
        <f t="shared" si="293"/>
        <v/>
      </c>
      <c r="G3702" s="10" t="str">
        <v/>
      </c>
      <c r="H3702" s="11" t="str">
        <v/>
      </c>
      <c r="I3702" s="11" t="str">
        <v/>
      </c>
    </row>
    <row r="3703" spans="2:9">
      <c r="B3703" s="11" t="str">
        <f t="shared" si="291"/>
        <v/>
      </c>
      <c r="C3703" s="11" t="str">
        <f t="shared" si="294"/>
        <v/>
      </c>
      <c r="D3703" s="11" t="str">
        <f t="shared" si="295"/>
        <v/>
      </c>
      <c r="E3703" s="11" t="str">
        <f t="shared" si="292"/>
        <v/>
      </c>
      <c r="F3703" s="11" t="str">
        <f t="shared" si="293"/>
        <v/>
      </c>
      <c r="G3703" s="10" t="str">
        <v/>
      </c>
      <c r="H3703" s="11" t="str">
        <v/>
      </c>
      <c r="I3703" s="11" t="str">
        <v/>
      </c>
    </row>
    <row r="3704" spans="2:9">
      <c r="B3704" s="11" t="str">
        <f t="shared" si="291"/>
        <v/>
      </c>
      <c r="C3704" s="11" t="str">
        <f t="shared" si="294"/>
        <v/>
      </c>
      <c r="D3704" s="11" t="str">
        <f t="shared" si="295"/>
        <v/>
      </c>
      <c r="E3704" s="11" t="str">
        <f t="shared" si="292"/>
        <v/>
      </c>
      <c r="F3704" s="11" t="str">
        <f t="shared" si="293"/>
        <v/>
      </c>
      <c r="G3704" s="10" t="str">
        <v/>
      </c>
      <c r="H3704" s="11" t="str">
        <v/>
      </c>
      <c r="I3704" s="11" t="str">
        <v/>
      </c>
    </row>
    <row r="3705" spans="2:9">
      <c r="B3705" s="11" t="str">
        <f t="shared" si="291"/>
        <v/>
      </c>
      <c r="C3705" s="11" t="str">
        <f t="shared" si="294"/>
        <v/>
      </c>
      <c r="D3705" s="11" t="str">
        <f t="shared" si="295"/>
        <v/>
      </c>
      <c r="E3705" s="11" t="str">
        <f t="shared" si="292"/>
        <v/>
      </c>
      <c r="F3705" s="11" t="str">
        <f t="shared" si="293"/>
        <v/>
      </c>
      <c r="G3705" s="10" t="str">
        <v/>
      </c>
      <c r="H3705" s="11" t="str">
        <v/>
      </c>
      <c r="I3705" s="11" t="str">
        <v/>
      </c>
    </row>
    <row r="3706" spans="2:9">
      <c r="B3706" s="11" t="str">
        <f t="shared" si="291"/>
        <v/>
      </c>
      <c r="C3706" s="11" t="str">
        <f t="shared" si="294"/>
        <v/>
      </c>
      <c r="D3706" s="11" t="str">
        <f t="shared" si="295"/>
        <v/>
      </c>
      <c r="E3706" s="11" t="str">
        <f t="shared" si="292"/>
        <v/>
      </c>
      <c r="F3706" s="11" t="str">
        <f t="shared" si="293"/>
        <v/>
      </c>
      <c r="G3706" s="10" t="str">
        <v/>
      </c>
      <c r="H3706" s="11" t="str">
        <v/>
      </c>
      <c r="I3706" s="11" t="str">
        <v/>
      </c>
    </row>
    <row r="3707" spans="2:9">
      <c r="B3707" s="11" t="str">
        <f t="shared" si="291"/>
        <v/>
      </c>
      <c r="C3707" s="11" t="str">
        <f t="shared" si="294"/>
        <v/>
      </c>
      <c r="D3707" s="11" t="str">
        <f t="shared" si="295"/>
        <v/>
      </c>
      <c r="E3707" s="11" t="str">
        <f t="shared" si="292"/>
        <v/>
      </c>
      <c r="F3707" s="11" t="str">
        <f t="shared" si="293"/>
        <v/>
      </c>
      <c r="G3707" s="10" t="str">
        <v/>
      </c>
      <c r="H3707" s="11" t="str">
        <v/>
      </c>
      <c r="I3707" s="11" t="str">
        <v/>
      </c>
    </row>
    <row r="3708" spans="2:9">
      <c r="B3708" s="11" t="str">
        <f t="shared" si="291"/>
        <v/>
      </c>
      <c r="C3708" s="11" t="str">
        <f t="shared" si="294"/>
        <v/>
      </c>
      <c r="D3708" s="11" t="str">
        <f t="shared" si="295"/>
        <v/>
      </c>
      <c r="E3708" s="11" t="str">
        <f t="shared" si="292"/>
        <v/>
      </c>
      <c r="F3708" s="11" t="str">
        <f t="shared" si="293"/>
        <v/>
      </c>
      <c r="G3708" s="10" t="str">
        <v/>
      </c>
      <c r="H3708" s="11" t="str">
        <v/>
      </c>
      <c r="I3708" s="11" t="str">
        <v/>
      </c>
    </row>
    <row r="3709" spans="2:9">
      <c r="B3709" s="11" t="str">
        <f t="shared" si="291"/>
        <v/>
      </c>
      <c r="C3709" s="11" t="str">
        <f t="shared" si="294"/>
        <v/>
      </c>
      <c r="D3709" s="11" t="str">
        <f t="shared" si="295"/>
        <v/>
      </c>
      <c r="E3709" s="11" t="str">
        <f t="shared" si="292"/>
        <v/>
      </c>
      <c r="F3709" s="11" t="str">
        <f t="shared" si="293"/>
        <v/>
      </c>
      <c r="G3709" s="10" t="str">
        <v/>
      </c>
      <c r="H3709" s="11" t="str">
        <v/>
      </c>
      <c r="I3709" s="11" t="str">
        <v/>
      </c>
    </row>
    <row r="3710" spans="2:9">
      <c r="B3710" s="11" t="str">
        <f t="shared" si="291"/>
        <v/>
      </c>
      <c r="C3710" s="11" t="str">
        <f t="shared" si="294"/>
        <v/>
      </c>
      <c r="D3710" s="11" t="str">
        <f t="shared" si="295"/>
        <v/>
      </c>
      <c r="E3710" s="11" t="str">
        <f t="shared" si="292"/>
        <v/>
      </c>
      <c r="F3710" s="11" t="str">
        <f t="shared" si="293"/>
        <v/>
      </c>
      <c r="G3710" s="10" t="str">
        <v/>
      </c>
      <c r="H3710" s="11" t="str">
        <v/>
      </c>
      <c r="I3710" s="11" t="str">
        <v/>
      </c>
    </row>
    <row r="3711" spans="2:9">
      <c r="B3711" s="11" t="str">
        <f t="shared" si="291"/>
        <v/>
      </c>
      <c r="C3711" s="11" t="str">
        <f t="shared" si="294"/>
        <v/>
      </c>
      <c r="D3711" s="11" t="str">
        <f t="shared" si="295"/>
        <v/>
      </c>
      <c r="E3711" s="11" t="str">
        <f t="shared" si="292"/>
        <v/>
      </c>
      <c r="F3711" s="11" t="str">
        <f t="shared" si="293"/>
        <v/>
      </c>
      <c r="G3711" s="10" t="str">
        <v/>
      </c>
      <c r="H3711" s="11" t="str">
        <v/>
      </c>
      <c r="I3711" s="11" t="str">
        <v/>
      </c>
    </row>
    <row r="3712" spans="2:9">
      <c r="B3712" s="11" t="str">
        <f t="shared" si="291"/>
        <v/>
      </c>
      <c r="C3712" s="11" t="str">
        <f t="shared" si="294"/>
        <v/>
      </c>
      <c r="D3712" s="11" t="str">
        <f t="shared" si="295"/>
        <v/>
      </c>
      <c r="E3712" s="11" t="str">
        <f t="shared" si="292"/>
        <v/>
      </c>
      <c r="F3712" s="11" t="str">
        <f t="shared" si="293"/>
        <v/>
      </c>
      <c r="G3712" s="10" t="str">
        <v/>
      </c>
      <c r="H3712" s="11" t="str">
        <v/>
      </c>
      <c r="I3712" s="11" t="str">
        <v/>
      </c>
    </row>
    <row r="3713" spans="2:9">
      <c r="B3713" s="11" t="str">
        <f t="shared" ref="B3713:B3776" si="296">IFERROR(IF(FIND(" ",A3713)=6,IF(IFERROR(FIND(" PB",A3713),"")&lt;&gt;"","артикул",IF(IFERROR(FIND(" CRN",A3713),"")&lt;&gt;"","артикул","")),""),"")</f>
        <v/>
      </c>
      <c r="C3713" s="11" t="str">
        <f t="shared" si="294"/>
        <v/>
      </c>
      <c r="D3713" s="11" t="str">
        <f t="shared" si="295"/>
        <v/>
      </c>
      <c r="E3713" s="11" t="str">
        <f t="shared" si="292"/>
        <v/>
      </c>
      <c r="F3713" s="11" t="str">
        <f t="shared" si="293"/>
        <v/>
      </c>
      <c r="G3713" s="10" t="str">
        <v/>
      </c>
      <c r="H3713" s="11" t="str">
        <v/>
      </c>
      <c r="I3713" s="11" t="str">
        <v/>
      </c>
    </row>
    <row r="3714" spans="2:9">
      <c r="B3714" s="11" t="str">
        <f t="shared" si="296"/>
        <v/>
      </c>
      <c r="C3714" s="11" t="str">
        <f t="shared" si="294"/>
        <v/>
      </c>
      <c r="D3714" s="11" t="str">
        <f t="shared" si="295"/>
        <v/>
      </c>
      <c r="E3714" s="11" t="str">
        <f t="shared" ref="E3714:E3777" si="297" xml:space="preserve">
IF(B3714="Артикул",
IF(
AND(RIGHT(A3715,1)="%",
RIGHT(A3716,1)="%",
RIGHT(A3717,1)="%",
RIGHT(A3718,1)="%"),MID(A3719,FIND(" ",A3719),50),
IF(
AND(RIGHT(A3715,1)="%",
RIGHT(A3716,1)="%",
RIGHT(A3717,1)="%"),MID(A3718,FIND(" ",A3718),50),
IF(
AND(RIGHT(A3715,1)="%",
RIGHT(A3716,1)="%"),
MID(A3717,FIND(" ",A3717),50),
IF(
RIGHT(A3715,1)="%",
MID(A3716,FIND(" ",A3716),50),"")))),"")</f>
        <v/>
      </c>
      <c r="F3714" s="11" t="str">
        <f t="shared" ref="F3714:F3777" si="298">IFERROR(
IF(
AND(LEFT(A3714,8)="Discount",FIND("%",A3714)&gt;0),
MID(A3714,
FIND(" ",A3714),
FIND("%",A3714)-FIND(" ",A3714))
*-1,""),"")</f>
        <v/>
      </c>
      <c r="G3714" s="10" t="str">
        <v/>
      </c>
      <c r="H3714" s="11" t="str">
        <v/>
      </c>
      <c r="I3714" s="11" t="str">
        <v/>
      </c>
    </row>
    <row r="3715" spans="2:9">
      <c r="B3715" s="11" t="str">
        <f t="shared" si="296"/>
        <v/>
      </c>
      <c r="C3715" s="11" t="str">
        <f t="shared" si="294"/>
        <v/>
      </c>
      <c r="D3715" s="11" t="str">
        <f t="shared" si="295"/>
        <v/>
      </c>
      <c r="E3715" s="11" t="str">
        <f t="shared" si="297"/>
        <v/>
      </c>
      <c r="F3715" s="11" t="str">
        <f t="shared" si="298"/>
        <v/>
      </c>
      <c r="G3715" s="10" t="str">
        <v/>
      </c>
      <c r="H3715" s="11" t="str">
        <v/>
      </c>
      <c r="I3715" s="11" t="str">
        <v/>
      </c>
    </row>
    <row r="3716" spans="2:9">
      <c r="B3716" s="11" t="str">
        <f t="shared" si="296"/>
        <v/>
      </c>
      <c r="C3716" s="11" t="str">
        <f t="shared" si="294"/>
        <v/>
      </c>
      <c r="D3716" s="11" t="str">
        <f t="shared" si="295"/>
        <v/>
      </c>
      <c r="E3716" s="11" t="str">
        <f t="shared" si="297"/>
        <v/>
      </c>
      <c r="F3716" s="11" t="str">
        <f t="shared" si="298"/>
        <v/>
      </c>
      <c r="G3716" s="10" t="str">
        <v/>
      </c>
      <c r="H3716" s="11" t="str">
        <v/>
      </c>
      <c r="I3716" s="11" t="str">
        <v/>
      </c>
    </row>
    <row r="3717" spans="2:9">
      <c r="B3717" s="11" t="str">
        <f t="shared" si="296"/>
        <v/>
      </c>
      <c r="C3717" s="11" t="str">
        <f t="shared" si="294"/>
        <v/>
      </c>
      <c r="D3717" s="11" t="str">
        <f t="shared" si="295"/>
        <v/>
      </c>
      <c r="E3717" s="11" t="str">
        <f t="shared" si="297"/>
        <v/>
      </c>
      <c r="F3717" s="11" t="str">
        <f t="shared" si="298"/>
        <v/>
      </c>
      <c r="G3717" s="10" t="str">
        <v/>
      </c>
      <c r="H3717" s="11" t="str">
        <v/>
      </c>
      <c r="I3717" s="11" t="str">
        <v/>
      </c>
    </row>
    <row r="3718" spans="2:9">
      <c r="B3718" s="11" t="str">
        <f t="shared" si="296"/>
        <v/>
      </c>
      <c r="C3718" s="11" t="str">
        <f t="shared" si="294"/>
        <v/>
      </c>
      <c r="D3718" s="11" t="str">
        <f t="shared" si="295"/>
        <v/>
      </c>
      <c r="E3718" s="11" t="str">
        <f t="shared" si="297"/>
        <v/>
      </c>
      <c r="F3718" s="11" t="str">
        <f t="shared" si="298"/>
        <v/>
      </c>
      <c r="G3718" s="10" t="str">
        <v/>
      </c>
      <c r="H3718" s="11" t="str">
        <v/>
      </c>
      <c r="I3718" s="11" t="str">
        <v/>
      </c>
    </row>
    <row r="3719" spans="2:9">
      <c r="B3719" s="11" t="str">
        <f t="shared" si="296"/>
        <v/>
      </c>
      <c r="C3719" s="11" t="str">
        <f t="shared" si="294"/>
        <v/>
      </c>
      <c r="D3719" s="11" t="str">
        <f t="shared" si="295"/>
        <v/>
      </c>
      <c r="E3719" s="11" t="str">
        <f t="shared" si="297"/>
        <v/>
      </c>
      <c r="F3719" s="11" t="str">
        <f t="shared" si="298"/>
        <v/>
      </c>
      <c r="G3719" s="10" t="str">
        <v/>
      </c>
      <c r="H3719" s="11" t="str">
        <v/>
      </c>
      <c r="I3719" s="11" t="str">
        <v/>
      </c>
    </row>
    <row r="3720" spans="2:9">
      <c r="B3720" s="11" t="str">
        <f t="shared" si="296"/>
        <v/>
      </c>
      <c r="C3720" s="11" t="str">
        <f t="shared" si="294"/>
        <v/>
      </c>
      <c r="D3720" s="11" t="str">
        <f t="shared" si="295"/>
        <v/>
      </c>
      <c r="E3720" s="11" t="str">
        <f t="shared" si="297"/>
        <v/>
      </c>
      <c r="F3720" s="11" t="str">
        <f t="shared" si="298"/>
        <v/>
      </c>
      <c r="G3720" s="10" t="str">
        <v/>
      </c>
      <c r="H3720" s="11" t="str">
        <v/>
      </c>
      <c r="I3720" s="11" t="str">
        <v/>
      </c>
    </row>
    <row r="3721" spans="2:9">
      <c r="B3721" s="11" t="str">
        <f t="shared" si="296"/>
        <v/>
      </c>
      <c r="C3721" s="11" t="str">
        <f t="shared" si="294"/>
        <v/>
      </c>
      <c r="D3721" s="11" t="str">
        <f t="shared" si="295"/>
        <v/>
      </c>
      <c r="E3721" s="11" t="str">
        <f t="shared" si="297"/>
        <v/>
      </c>
      <c r="F3721" s="11" t="str">
        <f t="shared" si="298"/>
        <v/>
      </c>
      <c r="G3721" s="10" t="str">
        <v/>
      </c>
      <c r="H3721" s="11" t="str">
        <v/>
      </c>
      <c r="I3721" s="11" t="str">
        <v/>
      </c>
    </row>
    <row r="3722" spans="2:9">
      <c r="B3722" s="11" t="str">
        <f t="shared" si="296"/>
        <v/>
      </c>
      <c r="C3722" s="11" t="str">
        <f t="shared" si="294"/>
        <v/>
      </c>
      <c r="D3722" s="11" t="str">
        <f t="shared" si="295"/>
        <v/>
      </c>
      <c r="E3722" s="11" t="str">
        <f t="shared" si="297"/>
        <v/>
      </c>
      <c r="F3722" s="11" t="str">
        <f t="shared" si="298"/>
        <v/>
      </c>
      <c r="G3722" s="10" t="str">
        <v/>
      </c>
      <c r="H3722" s="11" t="str">
        <v/>
      </c>
      <c r="I3722" s="11" t="str">
        <v/>
      </c>
    </row>
    <row r="3723" spans="2:9">
      <c r="B3723" s="11" t="str">
        <f t="shared" si="296"/>
        <v/>
      </c>
      <c r="C3723" s="11" t="str">
        <f t="shared" si="294"/>
        <v/>
      </c>
      <c r="D3723" s="11" t="str">
        <f t="shared" si="295"/>
        <v/>
      </c>
      <c r="E3723" s="11" t="str">
        <f t="shared" si="297"/>
        <v/>
      </c>
      <c r="F3723" s="11" t="str">
        <f t="shared" si="298"/>
        <v/>
      </c>
      <c r="G3723" s="10" t="str">
        <v/>
      </c>
      <c r="H3723" s="11" t="str">
        <v/>
      </c>
      <c r="I3723" s="11" t="str">
        <v/>
      </c>
    </row>
    <row r="3724" spans="2:9">
      <c r="B3724" s="11" t="str">
        <f t="shared" si="296"/>
        <v/>
      </c>
      <c r="C3724" s="11" t="str">
        <f t="shared" si="294"/>
        <v/>
      </c>
      <c r="D3724" s="11" t="str">
        <f t="shared" si="295"/>
        <v/>
      </c>
      <c r="E3724" s="11" t="str">
        <f t="shared" si="297"/>
        <v/>
      </c>
      <c r="F3724" s="11" t="str">
        <f t="shared" si="298"/>
        <v/>
      </c>
      <c r="G3724" s="10" t="str">
        <v/>
      </c>
      <c r="H3724" s="11" t="str">
        <v/>
      </c>
      <c r="I3724" s="11" t="str">
        <v/>
      </c>
    </row>
    <row r="3725" spans="2:9">
      <c r="B3725" s="11" t="str">
        <f t="shared" si="296"/>
        <v/>
      </c>
      <c r="C3725" s="11" t="str">
        <f t="shared" ref="C3725:C3788" si="299">IF(B3725="артикул",A3725,"")</f>
        <v/>
      </c>
      <c r="D3725" s="11" t="str">
        <f t="shared" ref="D3725:D3788" si="300">IF(B3725="артикул",A3726,"")</f>
        <v/>
      </c>
      <c r="E3725" s="11" t="str">
        <f t="shared" si="297"/>
        <v/>
      </c>
      <c r="F3725" s="11" t="str">
        <f t="shared" si="298"/>
        <v/>
      </c>
      <c r="G3725" s="10" t="str">
        <v/>
      </c>
      <c r="H3725" s="11" t="str">
        <v/>
      </c>
      <c r="I3725" s="11" t="str">
        <v/>
      </c>
    </row>
    <row r="3726" spans="2:9">
      <c r="B3726" s="11" t="str">
        <f t="shared" si="296"/>
        <v/>
      </c>
      <c r="C3726" s="11" t="str">
        <f t="shared" si="299"/>
        <v/>
      </c>
      <c r="D3726" s="11" t="str">
        <f t="shared" si="300"/>
        <v/>
      </c>
      <c r="E3726" s="11" t="str">
        <f t="shared" si="297"/>
        <v/>
      </c>
      <c r="F3726" s="11" t="str">
        <f t="shared" si="298"/>
        <v/>
      </c>
      <c r="G3726" s="10" t="str">
        <v/>
      </c>
      <c r="H3726" s="11" t="str">
        <v/>
      </c>
      <c r="I3726" s="11" t="str">
        <v/>
      </c>
    </row>
    <row r="3727" spans="2:9">
      <c r="B3727" s="11" t="str">
        <f t="shared" si="296"/>
        <v/>
      </c>
      <c r="C3727" s="11" t="str">
        <f t="shared" si="299"/>
        <v/>
      </c>
      <c r="D3727" s="11" t="str">
        <f t="shared" si="300"/>
        <v/>
      </c>
      <c r="E3727" s="11" t="str">
        <f t="shared" si="297"/>
        <v/>
      </c>
      <c r="F3727" s="11" t="str">
        <f t="shared" si="298"/>
        <v/>
      </c>
      <c r="G3727" s="10" t="str">
        <v/>
      </c>
      <c r="H3727" s="11" t="str">
        <v/>
      </c>
      <c r="I3727" s="11" t="str">
        <v/>
      </c>
    </row>
    <row r="3728" spans="2:9">
      <c r="B3728" s="11" t="str">
        <f t="shared" si="296"/>
        <v/>
      </c>
      <c r="C3728" s="11" t="str">
        <f t="shared" si="299"/>
        <v/>
      </c>
      <c r="D3728" s="11" t="str">
        <f t="shared" si="300"/>
        <v/>
      </c>
      <c r="E3728" s="11" t="str">
        <f t="shared" si="297"/>
        <v/>
      </c>
      <c r="F3728" s="11" t="str">
        <f t="shared" si="298"/>
        <v/>
      </c>
      <c r="G3728" s="10" t="str">
        <v/>
      </c>
      <c r="H3728" s="11" t="str">
        <v/>
      </c>
      <c r="I3728" s="11" t="str">
        <v/>
      </c>
    </row>
    <row r="3729" spans="2:9">
      <c r="B3729" s="11" t="str">
        <f t="shared" si="296"/>
        <v/>
      </c>
      <c r="C3729" s="11" t="str">
        <f t="shared" si="299"/>
        <v/>
      </c>
      <c r="D3729" s="11" t="str">
        <f t="shared" si="300"/>
        <v/>
      </c>
      <c r="E3729" s="11" t="str">
        <f t="shared" si="297"/>
        <v/>
      </c>
      <c r="F3729" s="11" t="str">
        <f t="shared" si="298"/>
        <v/>
      </c>
      <c r="G3729" s="10" t="str">
        <v/>
      </c>
      <c r="H3729" s="11" t="str">
        <v/>
      </c>
      <c r="I3729" s="11" t="str">
        <v/>
      </c>
    </row>
    <row r="3730" spans="2:9">
      <c r="B3730" s="11" t="str">
        <f t="shared" si="296"/>
        <v/>
      </c>
      <c r="C3730" s="11" t="str">
        <f t="shared" si="299"/>
        <v/>
      </c>
      <c r="D3730" s="11" t="str">
        <f t="shared" si="300"/>
        <v/>
      </c>
      <c r="E3730" s="11" t="str">
        <f t="shared" si="297"/>
        <v/>
      </c>
      <c r="F3730" s="11" t="str">
        <f t="shared" si="298"/>
        <v/>
      </c>
      <c r="G3730" s="10" t="str">
        <v/>
      </c>
      <c r="H3730" s="11" t="str">
        <v/>
      </c>
      <c r="I3730" s="11" t="str">
        <v/>
      </c>
    </row>
    <row r="3731" spans="2:9">
      <c r="B3731" s="11" t="str">
        <f t="shared" si="296"/>
        <v/>
      </c>
      <c r="C3731" s="11" t="str">
        <f t="shared" si="299"/>
        <v/>
      </c>
      <c r="D3731" s="11" t="str">
        <f t="shared" si="300"/>
        <v/>
      </c>
      <c r="E3731" s="11" t="str">
        <f t="shared" si="297"/>
        <v/>
      </c>
      <c r="F3731" s="11" t="str">
        <f t="shared" si="298"/>
        <v/>
      </c>
      <c r="G3731" s="10" t="str">
        <v/>
      </c>
      <c r="H3731" s="11" t="str">
        <v/>
      </c>
      <c r="I3731" s="11" t="str">
        <v/>
      </c>
    </row>
    <row r="3732" spans="2:9">
      <c r="B3732" s="11" t="str">
        <f t="shared" si="296"/>
        <v/>
      </c>
      <c r="C3732" s="11" t="str">
        <f t="shared" si="299"/>
        <v/>
      </c>
      <c r="D3732" s="11" t="str">
        <f t="shared" si="300"/>
        <v/>
      </c>
      <c r="E3732" s="11" t="str">
        <f t="shared" si="297"/>
        <v/>
      </c>
      <c r="F3732" s="11" t="str">
        <f t="shared" si="298"/>
        <v/>
      </c>
      <c r="G3732" s="10" t="str">
        <v/>
      </c>
      <c r="H3732" s="11" t="str">
        <v/>
      </c>
      <c r="I3732" s="11" t="str">
        <v/>
      </c>
    </row>
    <row r="3733" spans="2:9">
      <c r="B3733" s="11" t="str">
        <f t="shared" si="296"/>
        <v/>
      </c>
      <c r="C3733" s="11" t="str">
        <f t="shared" si="299"/>
        <v/>
      </c>
      <c r="D3733" s="11" t="str">
        <f t="shared" si="300"/>
        <v/>
      </c>
      <c r="E3733" s="11" t="str">
        <f t="shared" si="297"/>
        <v/>
      </c>
      <c r="F3733" s="11" t="str">
        <f t="shared" si="298"/>
        <v/>
      </c>
      <c r="G3733" s="10" t="str">
        <v/>
      </c>
      <c r="H3733" s="11" t="str">
        <v/>
      </c>
      <c r="I3733" s="11" t="str">
        <v/>
      </c>
    </row>
    <row r="3734" spans="2:9">
      <c r="B3734" s="11" t="str">
        <f t="shared" si="296"/>
        <v/>
      </c>
      <c r="C3734" s="11" t="str">
        <f t="shared" si="299"/>
        <v/>
      </c>
      <c r="D3734" s="11" t="str">
        <f t="shared" si="300"/>
        <v/>
      </c>
      <c r="E3734" s="11" t="str">
        <f t="shared" si="297"/>
        <v/>
      </c>
      <c r="F3734" s="11" t="str">
        <f t="shared" si="298"/>
        <v/>
      </c>
      <c r="G3734" s="10" t="str">
        <v/>
      </c>
      <c r="H3734" s="11" t="str">
        <v/>
      </c>
      <c r="I3734" s="11" t="str">
        <v/>
      </c>
    </row>
    <row r="3735" spans="2:9">
      <c r="B3735" s="11" t="str">
        <f t="shared" si="296"/>
        <v/>
      </c>
      <c r="C3735" s="11" t="str">
        <f t="shared" si="299"/>
        <v/>
      </c>
      <c r="D3735" s="11" t="str">
        <f t="shared" si="300"/>
        <v/>
      </c>
      <c r="E3735" s="11" t="str">
        <f t="shared" si="297"/>
        <v/>
      </c>
      <c r="F3735" s="11" t="str">
        <f t="shared" si="298"/>
        <v/>
      </c>
      <c r="G3735" s="10" t="str">
        <v/>
      </c>
      <c r="H3735" s="11" t="str">
        <v/>
      </c>
      <c r="I3735" s="11" t="str">
        <v/>
      </c>
    </row>
    <row r="3736" spans="2:9">
      <c r="B3736" s="11" t="str">
        <f t="shared" si="296"/>
        <v/>
      </c>
      <c r="C3736" s="11" t="str">
        <f t="shared" si="299"/>
        <v/>
      </c>
      <c r="D3736" s="11" t="str">
        <f t="shared" si="300"/>
        <v/>
      </c>
      <c r="E3736" s="11" t="str">
        <f t="shared" si="297"/>
        <v/>
      </c>
      <c r="F3736" s="11" t="str">
        <f t="shared" si="298"/>
        <v/>
      </c>
      <c r="G3736" s="10" t="str">
        <v/>
      </c>
      <c r="H3736" s="11" t="str">
        <v/>
      </c>
      <c r="I3736" s="11" t="str">
        <v/>
      </c>
    </row>
    <row r="3737" spans="2:9">
      <c r="B3737" s="11" t="str">
        <f t="shared" si="296"/>
        <v/>
      </c>
      <c r="C3737" s="11" t="str">
        <f t="shared" si="299"/>
        <v/>
      </c>
      <c r="D3737" s="11" t="str">
        <f t="shared" si="300"/>
        <v/>
      </c>
      <c r="E3737" s="11" t="str">
        <f t="shared" si="297"/>
        <v/>
      </c>
      <c r="F3737" s="11" t="str">
        <f t="shared" si="298"/>
        <v/>
      </c>
      <c r="G3737" s="10" t="str">
        <v/>
      </c>
      <c r="H3737" s="11" t="str">
        <v/>
      </c>
      <c r="I3737" s="11" t="str">
        <v/>
      </c>
    </row>
    <row r="3738" spans="2:9">
      <c r="B3738" s="11" t="str">
        <f t="shared" si="296"/>
        <v/>
      </c>
      <c r="C3738" s="11" t="str">
        <f t="shared" si="299"/>
        <v/>
      </c>
      <c r="D3738" s="11" t="str">
        <f t="shared" si="300"/>
        <v/>
      </c>
      <c r="E3738" s="11" t="str">
        <f t="shared" si="297"/>
        <v/>
      </c>
      <c r="F3738" s="11" t="str">
        <f t="shared" si="298"/>
        <v/>
      </c>
      <c r="G3738" s="10" t="str">
        <v/>
      </c>
      <c r="H3738" s="11" t="str">
        <v/>
      </c>
      <c r="I3738" s="11" t="str">
        <v/>
      </c>
    </row>
    <row r="3739" spans="2:9">
      <c r="B3739" s="11" t="str">
        <f t="shared" si="296"/>
        <v/>
      </c>
      <c r="C3739" s="11" t="str">
        <f t="shared" si="299"/>
        <v/>
      </c>
      <c r="D3739" s="11" t="str">
        <f t="shared" si="300"/>
        <v/>
      </c>
      <c r="E3739" s="11" t="str">
        <f t="shared" si="297"/>
        <v/>
      </c>
      <c r="F3739" s="11" t="str">
        <f t="shared" si="298"/>
        <v/>
      </c>
      <c r="G3739" s="10" t="str">
        <v/>
      </c>
      <c r="H3739" s="11" t="str">
        <v/>
      </c>
      <c r="I3739" s="11" t="str">
        <v/>
      </c>
    </row>
    <row r="3740" spans="2:9">
      <c r="B3740" s="11" t="str">
        <f t="shared" si="296"/>
        <v/>
      </c>
      <c r="C3740" s="11" t="str">
        <f t="shared" si="299"/>
        <v/>
      </c>
      <c r="D3740" s="11" t="str">
        <f t="shared" si="300"/>
        <v/>
      </c>
      <c r="E3740" s="11" t="str">
        <f t="shared" si="297"/>
        <v/>
      </c>
      <c r="F3740" s="11" t="str">
        <f t="shared" si="298"/>
        <v/>
      </c>
      <c r="G3740" s="10" t="str">
        <v/>
      </c>
      <c r="H3740" s="11" t="str">
        <v/>
      </c>
      <c r="I3740" s="11" t="str">
        <v/>
      </c>
    </row>
    <row r="3741" spans="2:9">
      <c r="B3741" s="11" t="str">
        <f t="shared" si="296"/>
        <v/>
      </c>
      <c r="C3741" s="11" t="str">
        <f t="shared" si="299"/>
        <v/>
      </c>
      <c r="D3741" s="11" t="str">
        <f t="shared" si="300"/>
        <v/>
      </c>
      <c r="E3741" s="11" t="str">
        <f t="shared" si="297"/>
        <v/>
      </c>
      <c r="F3741" s="11" t="str">
        <f t="shared" si="298"/>
        <v/>
      </c>
      <c r="G3741" s="10" t="str">
        <v/>
      </c>
      <c r="H3741" s="11" t="str">
        <v/>
      </c>
      <c r="I3741" s="11" t="str">
        <v/>
      </c>
    </row>
    <row r="3742" spans="2:9">
      <c r="B3742" s="11" t="str">
        <f t="shared" si="296"/>
        <v/>
      </c>
      <c r="C3742" s="11" t="str">
        <f t="shared" si="299"/>
        <v/>
      </c>
      <c r="D3742" s="11" t="str">
        <f t="shared" si="300"/>
        <v/>
      </c>
      <c r="E3742" s="11" t="str">
        <f t="shared" si="297"/>
        <v/>
      </c>
      <c r="F3742" s="11" t="str">
        <f t="shared" si="298"/>
        <v/>
      </c>
      <c r="G3742" s="10" t="str">
        <v/>
      </c>
      <c r="H3742" s="11" t="str">
        <v/>
      </c>
      <c r="I3742" s="11" t="str">
        <v/>
      </c>
    </row>
    <row r="3743" spans="2:9">
      <c r="B3743" s="11" t="str">
        <f t="shared" si="296"/>
        <v/>
      </c>
      <c r="C3743" s="11" t="str">
        <f t="shared" si="299"/>
        <v/>
      </c>
      <c r="D3743" s="11" t="str">
        <f t="shared" si="300"/>
        <v/>
      </c>
      <c r="E3743" s="11" t="str">
        <f t="shared" si="297"/>
        <v/>
      </c>
      <c r="F3743" s="11" t="str">
        <f t="shared" si="298"/>
        <v/>
      </c>
      <c r="G3743" s="10" t="str">
        <v/>
      </c>
      <c r="H3743" s="11" t="str">
        <v/>
      </c>
      <c r="I3743" s="11" t="str">
        <v/>
      </c>
    </row>
    <row r="3744" spans="2:9">
      <c r="B3744" s="11" t="str">
        <f t="shared" si="296"/>
        <v/>
      </c>
      <c r="C3744" s="11" t="str">
        <f t="shared" si="299"/>
        <v/>
      </c>
      <c r="D3744" s="11" t="str">
        <f t="shared" si="300"/>
        <v/>
      </c>
      <c r="E3744" s="11" t="str">
        <f t="shared" si="297"/>
        <v/>
      </c>
      <c r="F3744" s="11" t="str">
        <f t="shared" si="298"/>
        <v/>
      </c>
      <c r="G3744" s="10" t="str">
        <v/>
      </c>
      <c r="H3744" s="11" t="str">
        <v/>
      </c>
      <c r="I3744" s="11" t="str">
        <v/>
      </c>
    </row>
    <row r="3745" spans="2:9">
      <c r="B3745" s="11" t="str">
        <f t="shared" si="296"/>
        <v/>
      </c>
      <c r="C3745" s="11" t="str">
        <f t="shared" si="299"/>
        <v/>
      </c>
      <c r="D3745" s="11" t="str">
        <f t="shared" si="300"/>
        <v/>
      </c>
      <c r="E3745" s="11" t="str">
        <f t="shared" si="297"/>
        <v/>
      </c>
      <c r="F3745" s="11" t="str">
        <f t="shared" si="298"/>
        <v/>
      </c>
      <c r="G3745" s="10" t="str">
        <v/>
      </c>
      <c r="H3745" s="11" t="str">
        <v/>
      </c>
      <c r="I3745" s="11" t="str">
        <v/>
      </c>
    </row>
    <row r="3746" spans="2:9">
      <c r="B3746" s="11" t="str">
        <f t="shared" si="296"/>
        <v/>
      </c>
      <c r="C3746" s="11" t="str">
        <f t="shared" si="299"/>
        <v/>
      </c>
      <c r="D3746" s="11" t="str">
        <f t="shared" si="300"/>
        <v/>
      </c>
      <c r="E3746" s="11" t="str">
        <f t="shared" si="297"/>
        <v/>
      </c>
      <c r="F3746" s="11" t="str">
        <f t="shared" si="298"/>
        <v/>
      </c>
      <c r="G3746" s="10" t="str">
        <v/>
      </c>
      <c r="H3746" s="11" t="str">
        <v/>
      </c>
      <c r="I3746" s="11" t="str">
        <v/>
      </c>
    </row>
    <row r="3747" spans="2:9">
      <c r="B3747" s="11" t="str">
        <f t="shared" si="296"/>
        <v/>
      </c>
      <c r="C3747" s="11" t="str">
        <f t="shared" si="299"/>
        <v/>
      </c>
      <c r="D3747" s="11" t="str">
        <f t="shared" si="300"/>
        <v/>
      </c>
      <c r="E3747" s="11" t="str">
        <f t="shared" si="297"/>
        <v/>
      </c>
      <c r="F3747" s="11" t="str">
        <f t="shared" si="298"/>
        <v/>
      </c>
      <c r="G3747" s="10" t="str">
        <v/>
      </c>
      <c r="H3747" s="11" t="str">
        <v/>
      </c>
      <c r="I3747" s="11" t="str">
        <v/>
      </c>
    </row>
    <row r="3748" spans="2:9">
      <c r="B3748" s="11" t="str">
        <f t="shared" si="296"/>
        <v/>
      </c>
      <c r="C3748" s="11" t="str">
        <f t="shared" si="299"/>
        <v/>
      </c>
      <c r="D3748" s="11" t="str">
        <f t="shared" si="300"/>
        <v/>
      </c>
      <c r="E3748" s="11" t="str">
        <f t="shared" si="297"/>
        <v/>
      </c>
      <c r="F3748" s="11" t="str">
        <f t="shared" si="298"/>
        <v/>
      </c>
      <c r="G3748" s="10" t="str">
        <v/>
      </c>
      <c r="H3748" s="11" t="str">
        <v/>
      </c>
      <c r="I3748" s="11" t="str">
        <v/>
      </c>
    </row>
    <row r="3749" spans="2:9">
      <c r="B3749" s="11" t="str">
        <f t="shared" si="296"/>
        <v/>
      </c>
      <c r="C3749" s="11" t="str">
        <f t="shared" si="299"/>
        <v/>
      </c>
      <c r="D3749" s="11" t="str">
        <f t="shared" si="300"/>
        <v/>
      </c>
      <c r="E3749" s="11" t="str">
        <f t="shared" si="297"/>
        <v/>
      </c>
      <c r="F3749" s="11" t="str">
        <f t="shared" si="298"/>
        <v/>
      </c>
      <c r="G3749" s="10" t="str">
        <v/>
      </c>
      <c r="H3749" s="11" t="str">
        <v/>
      </c>
      <c r="I3749" s="11" t="str">
        <v/>
      </c>
    </row>
    <row r="3750" spans="2:9">
      <c r="B3750" s="11" t="str">
        <f t="shared" si="296"/>
        <v/>
      </c>
      <c r="C3750" s="11" t="str">
        <f t="shared" si="299"/>
        <v/>
      </c>
      <c r="D3750" s="11" t="str">
        <f t="shared" si="300"/>
        <v/>
      </c>
      <c r="E3750" s="11" t="str">
        <f t="shared" si="297"/>
        <v/>
      </c>
      <c r="F3750" s="11" t="str">
        <f t="shared" si="298"/>
        <v/>
      </c>
      <c r="G3750" s="10" t="str">
        <v/>
      </c>
      <c r="H3750" s="11" t="str">
        <v/>
      </c>
      <c r="I3750" s="11" t="str">
        <v/>
      </c>
    </row>
    <row r="3751" spans="2:9">
      <c r="B3751" s="11" t="str">
        <f t="shared" si="296"/>
        <v/>
      </c>
      <c r="C3751" s="11" t="str">
        <f t="shared" si="299"/>
        <v/>
      </c>
      <c r="D3751" s="11" t="str">
        <f t="shared" si="300"/>
        <v/>
      </c>
      <c r="E3751" s="11" t="str">
        <f t="shared" si="297"/>
        <v/>
      </c>
      <c r="F3751" s="11" t="str">
        <f t="shared" si="298"/>
        <v/>
      </c>
      <c r="G3751" s="10" t="str">
        <v/>
      </c>
      <c r="H3751" s="11" t="str">
        <v/>
      </c>
      <c r="I3751" s="11" t="str">
        <v/>
      </c>
    </row>
    <row r="3752" spans="2:9">
      <c r="B3752" s="11" t="str">
        <f t="shared" si="296"/>
        <v/>
      </c>
      <c r="C3752" s="11" t="str">
        <f t="shared" si="299"/>
        <v/>
      </c>
      <c r="D3752" s="11" t="str">
        <f t="shared" si="300"/>
        <v/>
      </c>
      <c r="E3752" s="11" t="str">
        <f t="shared" si="297"/>
        <v/>
      </c>
      <c r="F3752" s="11" t="str">
        <f t="shared" si="298"/>
        <v/>
      </c>
      <c r="G3752" s="10" t="str">
        <v/>
      </c>
      <c r="H3752" s="11" t="str">
        <v/>
      </c>
      <c r="I3752" s="11" t="str">
        <v/>
      </c>
    </row>
    <row r="3753" spans="2:9">
      <c r="B3753" s="11" t="str">
        <f t="shared" si="296"/>
        <v/>
      </c>
      <c r="C3753" s="11" t="str">
        <f t="shared" si="299"/>
        <v/>
      </c>
      <c r="D3753" s="11" t="str">
        <f t="shared" si="300"/>
        <v/>
      </c>
      <c r="E3753" s="11" t="str">
        <f t="shared" si="297"/>
        <v/>
      </c>
      <c r="F3753" s="11" t="str">
        <f t="shared" si="298"/>
        <v/>
      </c>
      <c r="G3753" s="10" t="str">
        <v/>
      </c>
      <c r="H3753" s="11" t="str">
        <v/>
      </c>
      <c r="I3753" s="11" t="str">
        <v/>
      </c>
    </row>
    <row r="3754" spans="2:9">
      <c r="B3754" s="11" t="str">
        <f t="shared" si="296"/>
        <v/>
      </c>
      <c r="C3754" s="11" t="str">
        <f t="shared" si="299"/>
        <v/>
      </c>
      <c r="D3754" s="11" t="str">
        <f t="shared" si="300"/>
        <v/>
      </c>
      <c r="E3754" s="11" t="str">
        <f t="shared" si="297"/>
        <v/>
      </c>
      <c r="F3754" s="11" t="str">
        <f t="shared" si="298"/>
        <v/>
      </c>
      <c r="G3754" s="10" t="str">
        <v/>
      </c>
      <c r="H3754" s="11" t="str">
        <v/>
      </c>
      <c r="I3754" s="11" t="str">
        <v/>
      </c>
    </row>
    <row r="3755" spans="2:9">
      <c r="B3755" s="11" t="str">
        <f t="shared" si="296"/>
        <v/>
      </c>
      <c r="C3755" s="11" t="str">
        <f t="shared" si="299"/>
        <v/>
      </c>
      <c r="D3755" s="11" t="str">
        <f t="shared" si="300"/>
        <v/>
      </c>
      <c r="E3755" s="11" t="str">
        <f t="shared" si="297"/>
        <v/>
      </c>
      <c r="F3755" s="11" t="str">
        <f t="shared" si="298"/>
        <v/>
      </c>
      <c r="G3755" s="10" t="str">
        <v/>
      </c>
      <c r="H3755" s="11" t="str">
        <v/>
      </c>
      <c r="I3755" s="11" t="str">
        <v/>
      </c>
    </row>
    <row r="3756" spans="2:9">
      <c r="B3756" s="11" t="str">
        <f t="shared" si="296"/>
        <v/>
      </c>
      <c r="C3756" s="11" t="str">
        <f t="shared" si="299"/>
        <v/>
      </c>
      <c r="D3756" s="11" t="str">
        <f t="shared" si="300"/>
        <v/>
      </c>
      <c r="E3756" s="11" t="str">
        <f t="shared" si="297"/>
        <v/>
      </c>
      <c r="F3756" s="11" t="str">
        <f t="shared" si="298"/>
        <v/>
      </c>
      <c r="G3756" s="10" t="str">
        <v/>
      </c>
      <c r="H3756" s="11" t="str">
        <v/>
      </c>
      <c r="I3756" s="11" t="str">
        <v/>
      </c>
    </row>
    <row r="3757" spans="2:9">
      <c r="B3757" s="11" t="str">
        <f t="shared" si="296"/>
        <v/>
      </c>
      <c r="C3757" s="11" t="str">
        <f t="shared" si="299"/>
        <v/>
      </c>
      <c r="D3757" s="11" t="str">
        <f t="shared" si="300"/>
        <v/>
      </c>
      <c r="E3757" s="11" t="str">
        <f t="shared" si="297"/>
        <v/>
      </c>
      <c r="F3757" s="11" t="str">
        <f t="shared" si="298"/>
        <v/>
      </c>
      <c r="G3757" s="10" t="str">
        <v/>
      </c>
      <c r="H3757" s="11" t="str">
        <v/>
      </c>
      <c r="I3757" s="11" t="str">
        <v/>
      </c>
    </row>
    <row r="3758" spans="2:9">
      <c r="B3758" s="11" t="str">
        <f t="shared" si="296"/>
        <v/>
      </c>
      <c r="C3758" s="11" t="str">
        <f t="shared" si="299"/>
        <v/>
      </c>
      <c r="D3758" s="11" t="str">
        <f t="shared" si="300"/>
        <v/>
      </c>
      <c r="E3758" s="11" t="str">
        <f t="shared" si="297"/>
        <v/>
      </c>
      <c r="F3758" s="11" t="str">
        <f t="shared" si="298"/>
        <v/>
      </c>
      <c r="G3758" s="10" t="str">
        <v/>
      </c>
      <c r="H3758" s="11" t="str">
        <v/>
      </c>
      <c r="I3758" s="11" t="str">
        <v/>
      </c>
    </row>
    <row r="3759" spans="2:9">
      <c r="B3759" s="11" t="str">
        <f t="shared" si="296"/>
        <v/>
      </c>
      <c r="C3759" s="11" t="str">
        <f t="shared" si="299"/>
        <v/>
      </c>
      <c r="D3759" s="11" t="str">
        <f t="shared" si="300"/>
        <v/>
      </c>
      <c r="E3759" s="11" t="str">
        <f t="shared" si="297"/>
        <v/>
      </c>
      <c r="F3759" s="11" t="str">
        <f t="shared" si="298"/>
        <v/>
      </c>
      <c r="G3759" s="10" t="str">
        <v/>
      </c>
      <c r="H3759" s="11" t="str">
        <v/>
      </c>
      <c r="I3759" s="11" t="str">
        <v/>
      </c>
    </row>
    <row r="3760" spans="2:9">
      <c r="B3760" s="11" t="str">
        <f t="shared" si="296"/>
        <v/>
      </c>
      <c r="C3760" s="11" t="str">
        <f t="shared" si="299"/>
        <v/>
      </c>
      <c r="D3760" s="11" t="str">
        <f t="shared" si="300"/>
        <v/>
      </c>
      <c r="E3760" s="11" t="str">
        <f t="shared" si="297"/>
        <v/>
      </c>
      <c r="F3760" s="11" t="str">
        <f t="shared" si="298"/>
        <v/>
      </c>
      <c r="G3760" s="10" t="str">
        <v/>
      </c>
      <c r="H3760" s="11" t="str">
        <v/>
      </c>
      <c r="I3760" s="11" t="str">
        <v/>
      </c>
    </row>
    <row r="3761" spans="2:9">
      <c r="B3761" s="11" t="str">
        <f t="shared" si="296"/>
        <v/>
      </c>
      <c r="C3761" s="11" t="str">
        <f t="shared" si="299"/>
        <v/>
      </c>
      <c r="D3761" s="11" t="str">
        <f t="shared" si="300"/>
        <v/>
      </c>
      <c r="E3761" s="11" t="str">
        <f t="shared" si="297"/>
        <v/>
      </c>
      <c r="F3761" s="11" t="str">
        <f t="shared" si="298"/>
        <v/>
      </c>
      <c r="G3761" s="10" t="str">
        <v/>
      </c>
      <c r="H3761" s="11" t="str">
        <v/>
      </c>
      <c r="I3761" s="11" t="str">
        <v/>
      </c>
    </row>
    <row r="3762" spans="2:9">
      <c r="B3762" s="11" t="str">
        <f t="shared" si="296"/>
        <v/>
      </c>
      <c r="C3762" s="11" t="str">
        <f t="shared" si="299"/>
        <v/>
      </c>
      <c r="D3762" s="11" t="str">
        <f t="shared" si="300"/>
        <v/>
      </c>
      <c r="E3762" s="11" t="str">
        <f t="shared" si="297"/>
        <v/>
      </c>
      <c r="F3762" s="11" t="str">
        <f t="shared" si="298"/>
        <v/>
      </c>
      <c r="G3762" s="10" t="str">
        <v/>
      </c>
      <c r="H3762" s="11" t="str">
        <v/>
      </c>
      <c r="I3762" s="11" t="str">
        <v/>
      </c>
    </row>
    <row r="3763" spans="2:9">
      <c r="B3763" s="11" t="str">
        <f t="shared" si="296"/>
        <v/>
      </c>
      <c r="C3763" s="11" t="str">
        <f t="shared" si="299"/>
        <v/>
      </c>
      <c r="D3763" s="11" t="str">
        <f t="shared" si="300"/>
        <v/>
      </c>
      <c r="E3763" s="11" t="str">
        <f t="shared" si="297"/>
        <v/>
      </c>
      <c r="F3763" s="11" t="str">
        <f t="shared" si="298"/>
        <v/>
      </c>
      <c r="G3763" s="10" t="str">
        <v/>
      </c>
      <c r="H3763" s="11" t="str">
        <v/>
      </c>
      <c r="I3763" s="11" t="str">
        <v/>
      </c>
    </row>
    <row r="3764" spans="2:9">
      <c r="B3764" s="11" t="str">
        <f t="shared" si="296"/>
        <v/>
      </c>
      <c r="C3764" s="11" t="str">
        <f t="shared" si="299"/>
        <v/>
      </c>
      <c r="D3764" s="11" t="str">
        <f t="shared" si="300"/>
        <v/>
      </c>
      <c r="E3764" s="11" t="str">
        <f t="shared" si="297"/>
        <v/>
      </c>
      <c r="F3764" s="11" t="str">
        <f t="shared" si="298"/>
        <v/>
      </c>
      <c r="G3764" s="10" t="str">
        <v/>
      </c>
      <c r="H3764" s="11" t="str">
        <v/>
      </c>
      <c r="I3764" s="11" t="str">
        <v/>
      </c>
    </row>
    <row r="3765" spans="2:9">
      <c r="B3765" s="11" t="str">
        <f t="shared" si="296"/>
        <v/>
      </c>
      <c r="C3765" s="11" t="str">
        <f t="shared" si="299"/>
        <v/>
      </c>
      <c r="D3765" s="11" t="str">
        <f t="shared" si="300"/>
        <v/>
      </c>
      <c r="E3765" s="11" t="str">
        <f t="shared" si="297"/>
        <v/>
      </c>
      <c r="F3765" s="11" t="str">
        <f t="shared" si="298"/>
        <v/>
      </c>
      <c r="G3765" s="10" t="str">
        <v/>
      </c>
      <c r="H3765" s="11" t="str">
        <v/>
      </c>
      <c r="I3765" s="11" t="str">
        <v/>
      </c>
    </row>
    <row r="3766" spans="2:9">
      <c r="B3766" s="11" t="str">
        <f t="shared" si="296"/>
        <v/>
      </c>
      <c r="C3766" s="11" t="str">
        <f t="shared" si="299"/>
        <v/>
      </c>
      <c r="D3766" s="11" t="str">
        <f t="shared" si="300"/>
        <v/>
      </c>
      <c r="E3766" s="11" t="str">
        <f t="shared" si="297"/>
        <v/>
      </c>
      <c r="F3766" s="11" t="str">
        <f t="shared" si="298"/>
        <v/>
      </c>
      <c r="G3766" s="10" t="str">
        <v/>
      </c>
      <c r="H3766" s="11" t="str">
        <v/>
      </c>
      <c r="I3766" s="11" t="str">
        <v/>
      </c>
    </row>
    <row r="3767" spans="2:9">
      <c r="B3767" s="11" t="str">
        <f t="shared" si="296"/>
        <v/>
      </c>
      <c r="C3767" s="11" t="str">
        <f t="shared" si="299"/>
        <v/>
      </c>
      <c r="D3767" s="11" t="str">
        <f t="shared" si="300"/>
        <v/>
      </c>
      <c r="E3767" s="11" t="str">
        <f t="shared" si="297"/>
        <v/>
      </c>
      <c r="F3767" s="11" t="str">
        <f t="shared" si="298"/>
        <v/>
      </c>
      <c r="G3767" s="10" t="str">
        <v/>
      </c>
      <c r="H3767" s="11" t="str">
        <v/>
      </c>
      <c r="I3767" s="11" t="str">
        <v/>
      </c>
    </row>
    <row r="3768" spans="2:9">
      <c r="B3768" s="11" t="str">
        <f t="shared" si="296"/>
        <v/>
      </c>
      <c r="C3768" s="11" t="str">
        <f t="shared" si="299"/>
        <v/>
      </c>
      <c r="D3768" s="11" t="str">
        <f t="shared" si="300"/>
        <v/>
      </c>
      <c r="E3768" s="11" t="str">
        <f t="shared" si="297"/>
        <v/>
      </c>
      <c r="F3768" s="11" t="str">
        <f t="shared" si="298"/>
        <v/>
      </c>
      <c r="G3768" s="10" t="str">
        <v/>
      </c>
      <c r="H3768" s="11" t="str">
        <v/>
      </c>
      <c r="I3768" s="11" t="str">
        <v/>
      </c>
    </row>
    <row r="3769" spans="2:9">
      <c r="B3769" s="11" t="str">
        <f t="shared" si="296"/>
        <v/>
      </c>
      <c r="C3769" s="11" t="str">
        <f t="shared" si="299"/>
        <v/>
      </c>
      <c r="D3769" s="11" t="str">
        <f t="shared" si="300"/>
        <v/>
      </c>
      <c r="E3769" s="11" t="str">
        <f t="shared" si="297"/>
        <v/>
      </c>
      <c r="F3769" s="11" t="str">
        <f t="shared" si="298"/>
        <v/>
      </c>
      <c r="G3769" s="10" t="str">
        <v/>
      </c>
      <c r="H3769" s="11" t="str">
        <v/>
      </c>
      <c r="I3769" s="11" t="str">
        <v/>
      </c>
    </row>
    <row r="3770" spans="2:9">
      <c r="B3770" s="11" t="str">
        <f t="shared" si="296"/>
        <v/>
      </c>
      <c r="C3770" s="11" t="str">
        <f t="shared" si="299"/>
        <v/>
      </c>
      <c r="D3770" s="11" t="str">
        <f t="shared" si="300"/>
        <v/>
      </c>
      <c r="E3770" s="11" t="str">
        <f t="shared" si="297"/>
        <v/>
      </c>
      <c r="F3770" s="11" t="str">
        <f t="shared" si="298"/>
        <v/>
      </c>
      <c r="G3770" s="10" t="str">
        <v/>
      </c>
      <c r="H3770" s="11" t="str">
        <v/>
      </c>
      <c r="I3770" s="11" t="str">
        <v/>
      </c>
    </row>
    <row r="3771" spans="2:9">
      <c r="B3771" s="11" t="str">
        <f t="shared" si="296"/>
        <v/>
      </c>
      <c r="C3771" s="11" t="str">
        <f t="shared" si="299"/>
        <v/>
      </c>
      <c r="D3771" s="11" t="str">
        <f t="shared" si="300"/>
        <v/>
      </c>
      <c r="E3771" s="11" t="str">
        <f t="shared" si="297"/>
        <v/>
      </c>
      <c r="F3771" s="11" t="str">
        <f t="shared" si="298"/>
        <v/>
      </c>
      <c r="G3771" s="10" t="str">
        <v/>
      </c>
      <c r="H3771" s="11" t="str">
        <v/>
      </c>
      <c r="I3771" s="11" t="str">
        <v/>
      </c>
    </row>
    <row r="3772" spans="2:9">
      <c r="B3772" s="11" t="str">
        <f t="shared" si="296"/>
        <v/>
      </c>
      <c r="C3772" s="11" t="str">
        <f t="shared" si="299"/>
        <v/>
      </c>
      <c r="D3772" s="11" t="str">
        <f t="shared" si="300"/>
        <v/>
      </c>
      <c r="E3772" s="11" t="str">
        <f t="shared" si="297"/>
        <v/>
      </c>
      <c r="F3772" s="11" t="str">
        <f t="shared" si="298"/>
        <v/>
      </c>
      <c r="G3772" s="10" t="str">
        <v/>
      </c>
      <c r="H3772" s="11" t="str">
        <v/>
      </c>
      <c r="I3772" s="11" t="str">
        <v/>
      </c>
    </row>
    <row r="3773" spans="2:9">
      <c r="B3773" s="11" t="str">
        <f t="shared" si="296"/>
        <v/>
      </c>
      <c r="C3773" s="11" t="str">
        <f t="shared" si="299"/>
        <v/>
      </c>
      <c r="D3773" s="11" t="str">
        <f t="shared" si="300"/>
        <v/>
      </c>
      <c r="E3773" s="11" t="str">
        <f t="shared" si="297"/>
        <v/>
      </c>
      <c r="F3773" s="11" t="str">
        <f t="shared" si="298"/>
        <v/>
      </c>
      <c r="G3773" s="10" t="str">
        <v/>
      </c>
      <c r="H3773" s="11" t="str">
        <v/>
      </c>
      <c r="I3773" s="11" t="str">
        <v/>
      </c>
    </row>
    <row r="3774" spans="2:9">
      <c r="B3774" s="11" t="str">
        <f t="shared" si="296"/>
        <v/>
      </c>
      <c r="C3774" s="11" t="str">
        <f t="shared" si="299"/>
        <v/>
      </c>
      <c r="D3774" s="11" t="str">
        <f t="shared" si="300"/>
        <v/>
      </c>
      <c r="E3774" s="11" t="str">
        <f t="shared" si="297"/>
        <v/>
      </c>
      <c r="F3774" s="11" t="str">
        <f t="shared" si="298"/>
        <v/>
      </c>
      <c r="G3774" s="10" t="str">
        <v/>
      </c>
      <c r="H3774" s="11" t="str">
        <v/>
      </c>
      <c r="I3774" s="11" t="str">
        <v/>
      </c>
    </row>
    <row r="3775" spans="2:9">
      <c r="B3775" s="11" t="str">
        <f t="shared" si="296"/>
        <v/>
      </c>
      <c r="C3775" s="11" t="str">
        <f t="shared" si="299"/>
        <v/>
      </c>
      <c r="D3775" s="11" t="str">
        <f t="shared" si="300"/>
        <v/>
      </c>
      <c r="E3775" s="11" t="str">
        <f t="shared" si="297"/>
        <v/>
      </c>
      <c r="F3775" s="11" t="str">
        <f t="shared" si="298"/>
        <v/>
      </c>
      <c r="G3775" s="10" t="str">
        <v/>
      </c>
      <c r="H3775" s="11" t="str">
        <v/>
      </c>
      <c r="I3775" s="11" t="str">
        <v/>
      </c>
    </row>
    <row r="3776" spans="2:9">
      <c r="B3776" s="11" t="str">
        <f t="shared" si="296"/>
        <v/>
      </c>
      <c r="C3776" s="11" t="str">
        <f t="shared" si="299"/>
        <v/>
      </c>
      <c r="D3776" s="11" t="str">
        <f t="shared" si="300"/>
        <v/>
      </c>
      <c r="E3776" s="11" t="str">
        <f t="shared" si="297"/>
        <v/>
      </c>
      <c r="F3776" s="11" t="str">
        <f t="shared" si="298"/>
        <v/>
      </c>
      <c r="G3776" s="10" t="str">
        <v/>
      </c>
      <c r="H3776" s="11" t="str">
        <v/>
      </c>
      <c r="I3776" s="11" t="str">
        <v/>
      </c>
    </row>
    <row r="3777" spans="2:9">
      <c r="B3777" s="11" t="str">
        <f t="shared" ref="B3777:B3840" si="301">IFERROR(IF(FIND(" ",A3777)=6,IF(IFERROR(FIND(" PB",A3777),"")&lt;&gt;"","артикул",IF(IFERROR(FIND(" CRN",A3777),"")&lt;&gt;"","артикул","")),""),"")</f>
        <v/>
      </c>
      <c r="C3777" s="11" t="str">
        <f t="shared" si="299"/>
        <v/>
      </c>
      <c r="D3777" s="11" t="str">
        <f t="shared" si="300"/>
        <v/>
      </c>
      <c r="E3777" s="11" t="str">
        <f t="shared" si="297"/>
        <v/>
      </c>
      <c r="F3777" s="11" t="str">
        <f t="shared" si="298"/>
        <v/>
      </c>
      <c r="G3777" s="10" t="str">
        <v/>
      </c>
      <c r="H3777" s="11" t="str">
        <v/>
      </c>
      <c r="I3777" s="11" t="str">
        <v/>
      </c>
    </row>
    <row r="3778" spans="2:9">
      <c r="B3778" s="11" t="str">
        <f t="shared" si="301"/>
        <v/>
      </c>
      <c r="C3778" s="11" t="str">
        <f t="shared" si="299"/>
        <v/>
      </c>
      <c r="D3778" s="11" t="str">
        <f t="shared" si="300"/>
        <v/>
      </c>
      <c r="E3778" s="11" t="str">
        <f t="shared" ref="E3778:E3841" si="302" xml:space="preserve">
IF(B3778="Артикул",
IF(
AND(RIGHT(A3779,1)="%",
RIGHT(A3780,1)="%",
RIGHT(A3781,1)="%",
RIGHT(A3782,1)="%"),MID(A3783,FIND(" ",A3783),50),
IF(
AND(RIGHT(A3779,1)="%",
RIGHT(A3780,1)="%",
RIGHT(A3781,1)="%"),MID(A3782,FIND(" ",A3782),50),
IF(
AND(RIGHT(A3779,1)="%",
RIGHT(A3780,1)="%"),
MID(A3781,FIND(" ",A3781),50),
IF(
RIGHT(A3779,1)="%",
MID(A3780,FIND(" ",A3780),50),"")))),"")</f>
        <v/>
      </c>
      <c r="F3778" s="11" t="str">
        <f t="shared" ref="F3778:F3841" si="303">IFERROR(
IF(
AND(LEFT(A3778,8)="Discount",FIND("%",A3778)&gt;0),
MID(A3778,
FIND(" ",A3778),
FIND("%",A3778)-FIND(" ",A3778))
*-1,""),"")</f>
        <v/>
      </c>
      <c r="G3778" s="10" t="str">
        <v/>
      </c>
      <c r="H3778" s="11" t="str">
        <v/>
      </c>
      <c r="I3778" s="11" t="str">
        <v/>
      </c>
    </row>
    <row r="3779" spans="2:9">
      <c r="B3779" s="11" t="str">
        <f t="shared" si="301"/>
        <v/>
      </c>
      <c r="C3779" s="11" t="str">
        <f t="shared" si="299"/>
        <v/>
      </c>
      <c r="D3779" s="11" t="str">
        <f t="shared" si="300"/>
        <v/>
      </c>
      <c r="E3779" s="11" t="str">
        <f t="shared" si="302"/>
        <v/>
      </c>
      <c r="F3779" s="11" t="str">
        <f t="shared" si="303"/>
        <v/>
      </c>
      <c r="G3779" s="10" t="str">
        <v/>
      </c>
      <c r="H3779" s="11" t="str">
        <v/>
      </c>
      <c r="I3779" s="11" t="str">
        <v/>
      </c>
    </row>
    <row r="3780" spans="2:9">
      <c r="B3780" s="11" t="str">
        <f t="shared" si="301"/>
        <v/>
      </c>
      <c r="C3780" s="11" t="str">
        <f t="shared" si="299"/>
        <v/>
      </c>
      <c r="D3780" s="11" t="str">
        <f t="shared" si="300"/>
        <v/>
      </c>
      <c r="E3780" s="11" t="str">
        <f t="shared" si="302"/>
        <v/>
      </c>
      <c r="F3780" s="11" t="str">
        <f t="shared" si="303"/>
        <v/>
      </c>
      <c r="G3780" s="10" t="str">
        <v/>
      </c>
      <c r="H3780" s="11" t="str">
        <v/>
      </c>
      <c r="I3780" s="11" t="str">
        <v/>
      </c>
    </row>
    <row r="3781" spans="2:9">
      <c r="B3781" s="11" t="str">
        <f t="shared" si="301"/>
        <v/>
      </c>
      <c r="C3781" s="11" t="str">
        <f t="shared" si="299"/>
        <v/>
      </c>
      <c r="D3781" s="11" t="str">
        <f t="shared" si="300"/>
        <v/>
      </c>
      <c r="E3781" s="11" t="str">
        <f t="shared" si="302"/>
        <v/>
      </c>
      <c r="F3781" s="11" t="str">
        <f t="shared" si="303"/>
        <v/>
      </c>
      <c r="G3781" s="10" t="str">
        <v/>
      </c>
      <c r="H3781" s="11" t="str">
        <v/>
      </c>
      <c r="I3781" s="11" t="str">
        <v/>
      </c>
    </row>
    <row r="3782" spans="2:9">
      <c r="B3782" s="11" t="str">
        <f t="shared" si="301"/>
        <v/>
      </c>
      <c r="C3782" s="11" t="str">
        <f t="shared" si="299"/>
        <v/>
      </c>
      <c r="D3782" s="11" t="str">
        <f t="shared" si="300"/>
        <v/>
      </c>
      <c r="E3782" s="11" t="str">
        <f t="shared" si="302"/>
        <v/>
      </c>
      <c r="F3782" s="11" t="str">
        <f t="shared" si="303"/>
        <v/>
      </c>
      <c r="G3782" s="10" t="str">
        <v/>
      </c>
      <c r="H3782" s="11" t="str">
        <v/>
      </c>
      <c r="I3782" s="11" t="str">
        <v/>
      </c>
    </row>
    <row r="3783" spans="2:9">
      <c r="B3783" s="11" t="str">
        <f t="shared" si="301"/>
        <v/>
      </c>
      <c r="C3783" s="11" t="str">
        <f t="shared" si="299"/>
        <v/>
      </c>
      <c r="D3783" s="11" t="str">
        <f t="shared" si="300"/>
        <v/>
      </c>
      <c r="E3783" s="11" t="str">
        <f t="shared" si="302"/>
        <v/>
      </c>
      <c r="F3783" s="11" t="str">
        <f t="shared" si="303"/>
        <v/>
      </c>
      <c r="G3783" s="10" t="str">
        <v/>
      </c>
      <c r="H3783" s="11" t="str">
        <v/>
      </c>
      <c r="I3783" s="11" t="str">
        <v/>
      </c>
    </row>
    <row r="3784" spans="2:9">
      <c r="B3784" s="11" t="str">
        <f t="shared" si="301"/>
        <v/>
      </c>
      <c r="C3784" s="11" t="str">
        <f t="shared" si="299"/>
        <v/>
      </c>
      <c r="D3784" s="11" t="str">
        <f t="shared" si="300"/>
        <v/>
      </c>
      <c r="E3784" s="11" t="str">
        <f t="shared" si="302"/>
        <v/>
      </c>
      <c r="F3784" s="11" t="str">
        <f t="shared" si="303"/>
        <v/>
      </c>
      <c r="G3784" s="10" t="str">
        <v/>
      </c>
      <c r="H3784" s="11" t="str">
        <v/>
      </c>
      <c r="I3784" s="11" t="str">
        <v/>
      </c>
    </row>
    <row r="3785" spans="2:9">
      <c r="B3785" s="11" t="str">
        <f t="shared" si="301"/>
        <v/>
      </c>
      <c r="C3785" s="11" t="str">
        <f t="shared" si="299"/>
        <v/>
      </c>
      <c r="D3785" s="11" t="str">
        <f t="shared" si="300"/>
        <v/>
      </c>
      <c r="E3785" s="11" t="str">
        <f t="shared" si="302"/>
        <v/>
      </c>
      <c r="F3785" s="11" t="str">
        <f t="shared" si="303"/>
        <v/>
      </c>
      <c r="G3785" s="10" t="str">
        <v/>
      </c>
      <c r="H3785" s="11" t="str">
        <v/>
      </c>
      <c r="I3785" s="11" t="str">
        <v/>
      </c>
    </row>
    <row r="3786" spans="2:9">
      <c r="B3786" s="11" t="str">
        <f t="shared" si="301"/>
        <v/>
      </c>
      <c r="C3786" s="11" t="str">
        <f t="shared" si="299"/>
        <v/>
      </c>
      <c r="D3786" s="11" t="str">
        <f t="shared" si="300"/>
        <v/>
      </c>
      <c r="E3786" s="11" t="str">
        <f t="shared" si="302"/>
        <v/>
      </c>
      <c r="F3786" s="11" t="str">
        <f t="shared" si="303"/>
        <v/>
      </c>
      <c r="G3786" s="10" t="str">
        <v/>
      </c>
      <c r="H3786" s="11" t="str">
        <v/>
      </c>
      <c r="I3786" s="11" t="str">
        <v/>
      </c>
    </row>
    <row r="3787" spans="2:9">
      <c r="B3787" s="11" t="str">
        <f t="shared" si="301"/>
        <v/>
      </c>
      <c r="C3787" s="11" t="str">
        <f t="shared" si="299"/>
        <v/>
      </c>
      <c r="D3787" s="11" t="str">
        <f t="shared" si="300"/>
        <v/>
      </c>
      <c r="E3787" s="11" t="str">
        <f t="shared" si="302"/>
        <v/>
      </c>
      <c r="F3787" s="11" t="str">
        <f t="shared" si="303"/>
        <v/>
      </c>
      <c r="G3787" s="10" t="str">
        <v/>
      </c>
      <c r="H3787" s="11" t="str">
        <v/>
      </c>
      <c r="I3787" s="11" t="str">
        <v/>
      </c>
    </row>
    <row r="3788" spans="2:9">
      <c r="B3788" s="11" t="str">
        <f t="shared" si="301"/>
        <v/>
      </c>
      <c r="C3788" s="11" t="str">
        <f t="shared" si="299"/>
        <v/>
      </c>
      <c r="D3788" s="11" t="str">
        <f t="shared" si="300"/>
        <v/>
      </c>
      <c r="E3788" s="11" t="str">
        <f t="shared" si="302"/>
        <v/>
      </c>
      <c r="F3788" s="11" t="str">
        <f t="shared" si="303"/>
        <v/>
      </c>
      <c r="G3788" s="10" t="str">
        <v/>
      </c>
      <c r="H3788" s="11" t="str">
        <v/>
      </c>
      <c r="I3788" s="11" t="str">
        <v/>
      </c>
    </row>
    <row r="3789" spans="2:9">
      <c r="B3789" s="11" t="str">
        <f t="shared" si="301"/>
        <v/>
      </c>
      <c r="C3789" s="11" t="str">
        <f t="shared" ref="C3789:C3852" si="304">IF(B3789="артикул",A3789,"")</f>
        <v/>
      </c>
      <c r="D3789" s="11" t="str">
        <f t="shared" ref="D3789:D3852" si="305">IF(B3789="артикул",A3790,"")</f>
        <v/>
      </c>
      <c r="E3789" s="11" t="str">
        <f t="shared" si="302"/>
        <v/>
      </c>
      <c r="F3789" s="11" t="str">
        <f t="shared" si="303"/>
        <v/>
      </c>
      <c r="G3789" s="10" t="str">
        <v/>
      </c>
      <c r="H3789" s="11" t="str">
        <v/>
      </c>
      <c r="I3789" s="11" t="str">
        <v/>
      </c>
    </row>
    <row r="3790" spans="2:9">
      <c r="B3790" s="11" t="str">
        <f t="shared" si="301"/>
        <v/>
      </c>
      <c r="C3790" s="11" t="str">
        <f t="shared" si="304"/>
        <v/>
      </c>
      <c r="D3790" s="11" t="str">
        <f t="shared" si="305"/>
        <v/>
      </c>
      <c r="E3790" s="11" t="str">
        <f t="shared" si="302"/>
        <v/>
      </c>
      <c r="F3790" s="11" t="str">
        <f t="shared" si="303"/>
        <v/>
      </c>
      <c r="G3790" s="10" t="str">
        <v/>
      </c>
      <c r="H3790" s="11" t="str">
        <v/>
      </c>
      <c r="I3790" s="11" t="str">
        <v/>
      </c>
    </row>
    <row r="3791" spans="2:9">
      <c r="B3791" s="11" t="str">
        <f t="shared" si="301"/>
        <v/>
      </c>
      <c r="C3791" s="11" t="str">
        <f t="shared" si="304"/>
        <v/>
      </c>
      <c r="D3791" s="11" t="str">
        <f t="shared" si="305"/>
        <v/>
      </c>
      <c r="E3791" s="11" t="str">
        <f t="shared" si="302"/>
        <v/>
      </c>
      <c r="F3791" s="11" t="str">
        <f t="shared" si="303"/>
        <v/>
      </c>
      <c r="G3791" s="10" t="str">
        <v/>
      </c>
      <c r="H3791" s="11" t="str">
        <v/>
      </c>
      <c r="I3791" s="11" t="str">
        <v/>
      </c>
    </row>
    <row r="3792" spans="2:9">
      <c r="B3792" s="11" t="str">
        <f t="shared" si="301"/>
        <v/>
      </c>
      <c r="C3792" s="11" t="str">
        <f t="shared" si="304"/>
        <v/>
      </c>
      <c r="D3792" s="11" t="str">
        <f t="shared" si="305"/>
        <v/>
      </c>
      <c r="E3792" s="11" t="str">
        <f t="shared" si="302"/>
        <v/>
      </c>
      <c r="F3792" s="11" t="str">
        <f t="shared" si="303"/>
        <v/>
      </c>
      <c r="G3792" s="10" t="str">
        <v/>
      </c>
      <c r="H3792" s="11" t="str">
        <v/>
      </c>
      <c r="I3792" s="11" t="str">
        <v/>
      </c>
    </row>
    <row r="3793" spans="2:9">
      <c r="B3793" s="11" t="str">
        <f t="shared" si="301"/>
        <v/>
      </c>
      <c r="C3793" s="11" t="str">
        <f t="shared" si="304"/>
        <v/>
      </c>
      <c r="D3793" s="11" t="str">
        <f t="shared" si="305"/>
        <v/>
      </c>
      <c r="E3793" s="11" t="str">
        <f t="shared" si="302"/>
        <v/>
      </c>
      <c r="F3793" s="11" t="str">
        <f t="shared" si="303"/>
        <v/>
      </c>
      <c r="G3793" s="10" t="str">
        <v/>
      </c>
      <c r="H3793" s="11" t="str">
        <v/>
      </c>
      <c r="I3793" s="11" t="str">
        <v/>
      </c>
    </row>
    <row r="3794" spans="2:9">
      <c r="B3794" s="11" t="str">
        <f t="shared" si="301"/>
        <v/>
      </c>
      <c r="C3794" s="11" t="str">
        <f t="shared" si="304"/>
        <v/>
      </c>
      <c r="D3794" s="11" t="str">
        <f t="shared" si="305"/>
        <v/>
      </c>
      <c r="E3794" s="11" t="str">
        <f t="shared" si="302"/>
        <v/>
      </c>
      <c r="F3794" s="11" t="str">
        <f t="shared" si="303"/>
        <v/>
      </c>
      <c r="G3794" s="10" t="str">
        <v/>
      </c>
      <c r="H3794" s="11" t="str">
        <v/>
      </c>
      <c r="I3794" s="11" t="str">
        <v/>
      </c>
    </row>
    <row r="3795" spans="2:9">
      <c r="B3795" s="11" t="str">
        <f t="shared" si="301"/>
        <v/>
      </c>
      <c r="C3795" s="11" t="str">
        <f t="shared" si="304"/>
        <v/>
      </c>
      <c r="D3795" s="11" t="str">
        <f t="shared" si="305"/>
        <v/>
      </c>
      <c r="E3795" s="11" t="str">
        <f t="shared" si="302"/>
        <v/>
      </c>
      <c r="F3795" s="11" t="str">
        <f t="shared" si="303"/>
        <v/>
      </c>
      <c r="G3795" s="10" t="str">
        <v/>
      </c>
      <c r="H3795" s="11" t="str">
        <v/>
      </c>
      <c r="I3795" s="11" t="str">
        <v/>
      </c>
    </row>
    <row r="3796" spans="2:9">
      <c r="B3796" s="11" t="str">
        <f t="shared" si="301"/>
        <v/>
      </c>
      <c r="C3796" s="11" t="str">
        <f t="shared" si="304"/>
        <v/>
      </c>
      <c r="D3796" s="11" t="str">
        <f t="shared" si="305"/>
        <v/>
      </c>
      <c r="E3796" s="11" t="str">
        <f t="shared" si="302"/>
        <v/>
      </c>
      <c r="F3796" s="11" t="str">
        <f t="shared" si="303"/>
        <v/>
      </c>
      <c r="G3796" s="10" t="str">
        <v/>
      </c>
      <c r="H3796" s="11" t="str">
        <v/>
      </c>
      <c r="I3796" s="11" t="str">
        <v/>
      </c>
    </row>
    <row r="3797" spans="2:9">
      <c r="B3797" s="11" t="str">
        <f t="shared" si="301"/>
        <v/>
      </c>
      <c r="C3797" s="11" t="str">
        <f t="shared" si="304"/>
        <v/>
      </c>
      <c r="D3797" s="11" t="str">
        <f t="shared" si="305"/>
        <v/>
      </c>
      <c r="E3797" s="11" t="str">
        <f t="shared" si="302"/>
        <v/>
      </c>
      <c r="F3797" s="11" t="str">
        <f t="shared" si="303"/>
        <v/>
      </c>
      <c r="G3797" s="10" t="str">
        <v/>
      </c>
      <c r="H3797" s="11" t="str">
        <v/>
      </c>
      <c r="I3797" s="11" t="str">
        <v/>
      </c>
    </row>
    <row r="3798" spans="2:9">
      <c r="B3798" s="11" t="str">
        <f t="shared" si="301"/>
        <v/>
      </c>
      <c r="C3798" s="11" t="str">
        <f t="shared" si="304"/>
        <v/>
      </c>
      <c r="D3798" s="11" t="str">
        <f t="shared" si="305"/>
        <v/>
      </c>
      <c r="E3798" s="11" t="str">
        <f t="shared" si="302"/>
        <v/>
      </c>
      <c r="F3798" s="11" t="str">
        <f t="shared" si="303"/>
        <v/>
      </c>
      <c r="G3798" s="10" t="str">
        <v/>
      </c>
      <c r="H3798" s="11" t="str">
        <v/>
      </c>
      <c r="I3798" s="11" t="str">
        <v/>
      </c>
    </row>
    <row r="3799" spans="2:9">
      <c r="B3799" s="11" t="str">
        <f t="shared" si="301"/>
        <v/>
      </c>
      <c r="C3799" s="11" t="str">
        <f t="shared" si="304"/>
        <v/>
      </c>
      <c r="D3799" s="11" t="str">
        <f t="shared" si="305"/>
        <v/>
      </c>
      <c r="E3799" s="11" t="str">
        <f t="shared" si="302"/>
        <v/>
      </c>
      <c r="F3799" s="11" t="str">
        <f t="shared" si="303"/>
        <v/>
      </c>
      <c r="G3799" s="10" t="str">
        <v/>
      </c>
      <c r="H3799" s="11" t="str">
        <v/>
      </c>
      <c r="I3799" s="11" t="str">
        <v/>
      </c>
    </row>
    <row r="3800" spans="2:9">
      <c r="B3800" s="11" t="str">
        <f t="shared" si="301"/>
        <v/>
      </c>
      <c r="C3800" s="11" t="str">
        <f t="shared" si="304"/>
        <v/>
      </c>
      <c r="D3800" s="11" t="str">
        <f t="shared" si="305"/>
        <v/>
      </c>
      <c r="E3800" s="11" t="str">
        <f t="shared" si="302"/>
        <v/>
      </c>
      <c r="F3800" s="11" t="str">
        <f t="shared" si="303"/>
        <v/>
      </c>
      <c r="G3800" s="10" t="str">
        <v/>
      </c>
      <c r="H3800" s="11" t="str">
        <v/>
      </c>
      <c r="I3800" s="11" t="str">
        <v/>
      </c>
    </row>
    <row r="3801" spans="2:9">
      <c r="B3801" s="11" t="str">
        <f t="shared" si="301"/>
        <v/>
      </c>
      <c r="C3801" s="11" t="str">
        <f t="shared" si="304"/>
        <v/>
      </c>
      <c r="D3801" s="11" t="str">
        <f t="shared" si="305"/>
        <v/>
      </c>
      <c r="E3801" s="11" t="str">
        <f t="shared" si="302"/>
        <v/>
      </c>
      <c r="F3801" s="11" t="str">
        <f t="shared" si="303"/>
        <v/>
      </c>
      <c r="G3801" s="10" t="str">
        <v/>
      </c>
      <c r="H3801" s="11" t="str">
        <v/>
      </c>
      <c r="I3801" s="11" t="str">
        <v/>
      </c>
    </row>
    <row r="3802" spans="2:9">
      <c r="B3802" s="11" t="str">
        <f t="shared" si="301"/>
        <v/>
      </c>
      <c r="C3802" s="11" t="str">
        <f t="shared" si="304"/>
        <v/>
      </c>
      <c r="D3802" s="11" t="str">
        <f t="shared" si="305"/>
        <v/>
      </c>
      <c r="E3802" s="11" t="str">
        <f t="shared" si="302"/>
        <v/>
      </c>
      <c r="F3802" s="11" t="str">
        <f t="shared" si="303"/>
        <v/>
      </c>
      <c r="G3802" s="10" t="str">
        <v/>
      </c>
      <c r="H3802" s="11" t="str">
        <v/>
      </c>
      <c r="I3802" s="11" t="str">
        <v/>
      </c>
    </row>
    <row r="3803" spans="2:9">
      <c r="B3803" s="11" t="str">
        <f t="shared" si="301"/>
        <v/>
      </c>
      <c r="C3803" s="11" t="str">
        <f t="shared" si="304"/>
        <v/>
      </c>
      <c r="D3803" s="11" t="str">
        <f t="shared" si="305"/>
        <v/>
      </c>
      <c r="E3803" s="11" t="str">
        <f t="shared" si="302"/>
        <v/>
      </c>
      <c r="F3803" s="11" t="str">
        <f t="shared" si="303"/>
        <v/>
      </c>
      <c r="G3803" s="10" t="str">
        <v/>
      </c>
      <c r="H3803" s="11" t="str">
        <v/>
      </c>
      <c r="I3803" s="11" t="str">
        <v/>
      </c>
    </row>
    <row r="3804" spans="2:9">
      <c r="B3804" s="11" t="str">
        <f t="shared" si="301"/>
        <v/>
      </c>
      <c r="C3804" s="11" t="str">
        <f t="shared" si="304"/>
        <v/>
      </c>
      <c r="D3804" s="11" t="str">
        <f t="shared" si="305"/>
        <v/>
      </c>
      <c r="E3804" s="11" t="str">
        <f t="shared" si="302"/>
        <v/>
      </c>
      <c r="F3804" s="11" t="str">
        <f t="shared" si="303"/>
        <v/>
      </c>
      <c r="G3804" s="10" t="str">
        <v/>
      </c>
      <c r="H3804" s="11" t="str">
        <v/>
      </c>
      <c r="I3804" s="11" t="str">
        <v/>
      </c>
    </row>
    <row r="3805" spans="2:9">
      <c r="B3805" s="11" t="str">
        <f t="shared" si="301"/>
        <v/>
      </c>
      <c r="C3805" s="11" t="str">
        <f t="shared" si="304"/>
        <v/>
      </c>
      <c r="D3805" s="11" t="str">
        <f t="shared" si="305"/>
        <v/>
      </c>
      <c r="E3805" s="11" t="str">
        <f t="shared" si="302"/>
        <v/>
      </c>
      <c r="F3805" s="11" t="str">
        <f t="shared" si="303"/>
        <v/>
      </c>
      <c r="G3805" s="10" t="str">
        <v/>
      </c>
      <c r="H3805" s="11" t="str">
        <v/>
      </c>
      <c r="I3805" s="11" t="str">
        <v/>
      </c>
    </row>
    <row r="3806" spans="2:9">
      <c r="B3806" s="11" t="str">
        <f t="shared" si="301"/>
        <v/>
      </c>
      <c r="C3806" s="11" t="str">
        <f t="shared" si="304"/>
        <v/>
      </c>
      <c r="D3806" s="11" t="str">
        <f t="shared" si="305"/>
        <v/>
      </c>
      <c r="E3806" s="11" t="str">
        <f t="shared" si="302"/>
        <v/>
      </c>
      <c r="F3806" s="11" t="str">
        <f t="shared" si="303"/>
        <v/>
      </c>
      <c r="G3806" s="10" t="str">
        <v/>
      </c>
      <c r="H3806" s="11" t="str">
        <v/>
      </c>
      <c r="I3806" s="11" t="str">
        <v/>
      </c>
    </row>
    <row r="3807" spans="2:9">
      <c r="B3807" s="11" t="str">
        <f t="shared" si="301"/>
        <v/>
      </c>
      <c r="C3807" s="11" t="str">
        <f t="shared" si="304"/>
        <v/>
      </c>
      <c r="D3807" s="11" t="str">
        <f t="shared" si="305"/>
        <v/>
      </c>
      <c r="E3807" s="11" t="str">
        <f t="shared" si="302"/>
        <v/>
      </c>
      <c r="F3807" s="11" t="str">
        <f t="shared" si="303"/>
        <v/>
      </c>
      <c r="G3807" s="10" t="str">
        <v/>
      </c>
      <c r="H3807" s="11" t="str">
        <v/>
      </c>
      <c r="I3807" s="11" t="str">
        <v/>
      </c>
    </row>
    <row r="3808" spans="2:9">
      <c r="B3808" s="11" t="str">
        <f t="shared" si="301"/>
        <v/>
      </c>
      <c r="C3808" s="11" t="str">
        <f t="shared" si="304"/>
        <v/>
      </c>
      <c r="D3808" s="11" t="str">
        <f t="shared" si="305"/>
        <v/>
      </c>
      <c r="E3808" s="11" t="str">
        <f t="shared" si="302"/>
        <v/>
      </c>
      <c r="F3808" s="11" t="str">
        <f t="shared" si="303"/>
        <v/>
      </c>
      <c r="G3808" s="10" t="str">
        <v/>
      </c>
      <c r="H3808" s="11" t="str">
        <v/>
      </c>
      <c r="I3808" s="11" t="str">
        <v/>
      </c>
    </row>
    <row r="3809" spans="2:9">
      <c r="B3809" s="11" t="str">
        <f t="shared" si="301"/>
        <v/>
      </c>
      <c r="C3809" s="11" t="str">
        <f t="shared" si="304"/>
        <v/>
      </c>
      <c r="D3809" s="11" t="str">
        <f t="shared" si="305"/>
        <v/>
      </c>
      <c r="E3809" s="11" t="str">
        <f t="shared" si="302"/>
        <v/>
      </c>
      <c r="F3809" s="11" t="str">
        <f t="shared" si="303"/>
        <v/>
      </c>
      <c r="G3809" s="10" t="str">
        <v/>
      </c>
      <c r="H3809" s="11" t="str">
        <v/>
      </c>
      <c r="I3809" s="11" t="str">
        <v/>
      </c>
    </row>
    <row r="3810" spans="2:9">
      <c r="B3810" s="11" t="str">
        <f t="shared" si="301"/>
        <v/>
      </c>
      <c r="C3810" s="11" t="str">
        <f t="shared" si="304"/>
        <v/>
      </c>
      <c r="D3810" s="11" t="str">
        <f t="shared" si="305"/>
        <v/>
      </c>
      <c r="E3810" s="11" t="str">
        <f t="shared" si="302"/>
        <v/>
      </c>
      <c r="F3810" s="11" t="str">
        <f t="shared" si="303"/>
        <v/>
      </c>
      <c r="G3810" s="10" t="str">
        <v/>
      </c>
      <c r="H3810" s="11" t="str">
        <v/>
      </c>
      <c r="I3810" s="11" t="str">
        <v/>
      </c>
    </row>
    <row r="3811" spans="2:9">
      <c r="B3811" s="11" t="str">
        <f t="shared" si="301"/>
        <v/>
      </c>
      <c r="C3811" s="11" t="str">
        <f t="shared" si="304"/>
        <v/>
      </c>
      <c r="D3811" s="11" t="str">
        <f t="shared" si="305"/>
        <v/>
      </c>
      <c r="E3811" s="11" t="str">
        <f t="shared" si="302"/>
        <v/>
      </c>
      <c r="F3811" s="11" t="str">
        <f t="shared" si="303"/>
        <v/>
      </c>
      <c r="G3811" s="10" t="str">
        <v/>
      </c>
      <c r="H3811" s="11" t="str">
        <v/>
      </c>
      <c r="I3811" s="11" t="str">
        <v/>
      </c>
    </row>
    <row r="3812" spans="2:9">
      <c r="B3812" s="11" t="str">
        <f t="shared" si="301"/>
        <v/>
      </c>
      <c r="C3812" s="11" t="str">
        <f t="shared" si="304"/>
        <v/>
      </c>
      <c r="D3812" s="11" t="str">
        <f t="shared" si="305"/>
        <v/>
      </c>
      <c r="E3812" s="11" t="str">
        <f t="shared" si="302"/>
        <v/>
      </c>
      <c r="F3812" s="11" t="str">
        <f t="shared" si="303"/>
        <v/>
      </c>
      <c r="G3812" s="10" t="str">
        <v/>
      </c>
      <c r="H3812" s="11" t="str">
        <v/>
      </c>
      <c r="I3812" s="11" t="str">
        <v/>
      </c>
    </row>
    <row r="3813" spans="2:9">
      <c r="B3813" s="11" t="str">
        <f t="shared" si="301"/>
        <v/>
      </c>
      <c r="C3813" s="11" t="str">
        <f t="shared" si="304"/>
        <v/>
      </c>
      <c r="D3813" s="11" t="str">
        <f t="shared" si="305"/>
        <v/>
      </c>
      <c r="E3813" s="11" t="str">
        <f t="shared" si="302"/>
        <v/>
      </c>
      <c r="F3813" s="11" t="str">
        <f t="shared" si="303"/>
        <v/>
      </c>
      <c r="G3813" s="10" t="str">
        <v/>
      </c>
      <c r="H3813" s="11" t="str">
        <v/>
      </c>
      <c r="I3813" s="11" t="str">
        <v/>
      </c>
    </row>
    <row r="3814" spans="2:9">
      <c r="B3814" s="11" t="str">
        <f t="shared" si="301"/>
        <v/>
      </c>
      <c r="C3814" s="11" t="str">
        <f t="shared" si="304"/>
        <v/>
      </c>
      <c r="D3814" s="11" t="str">
        <f t="shared" si="305"/>
        <v/>
      </c>
      <c r="E3814" s="11" t="str">
        <f t="shared" si="302"/>
        <v/>
      </c>
      <c r="F3814" s="11" t="str">
        <f t="shared" si="303"/>
        <v/>
      </c>
      <c r="G3814" s="10" t="str">
        <v/>
      </c>
      <c r="H3814" s="11" t="str">
        <v/>
      </c>
      <c r="I3814" s="11" t="str">
        <v/>
      </c>
    </row>
    <row r="3815" spans="2:9">
      <c r="B3815" s="11" t="str">
        <f t="shared" si="301"/>
        <v/>
      </c>
      <c r="C3815" s="11" t="str">
        <f t="shared" si="304"/>
        <v/>
      </c>
      <c r="D3815" s="11" t="str">
        <f t="shared" si="305"/>
        <v/>
      </c>
      <c r="E3815" s="11" t="str">
        <f t="shared" si="302"/>
        <v/>
      </c>
      <c r="F3815" s="11" t="str">
        <f t="shared" si="303"/>
        <v/>
      </c>
      <c r="G3815" s="10" t="str">
        <v/>
      </c>
      <c r="H3815" s="11" t="str">
        <v/>
      </c>
      <c r="I3815" s="11" t="str">
        <v/>
      </c>
    </row>
    <row r="3816" spans="2:9">
      <c r="B3816" s="11" t="str">
        <f t="shared" si="301"/>
        <v/>
      </c>
      <c r="C3816" s="11" t="str">
        <f t="shared" si="304"/>
        <v/>
      </c>
      <c r="D3816" s="11" t="str">
        <f t="shared" si="305"/>
        <v/>
      </c>
      <c r="E3816" s="11" t="str">
        <f t="shared" si="302"/>
        <v/>
      </c>
      <c r="F3816" s="11" t="str">
        <f t="shared" si="303"/>
        <v/>
      </c>
      <c r="G3816" s="10" t="str">
        <v/>
      </c>
      <c r="H3816" s="11" t="str">
        <v/>
      </c>
      <c r="I3816" s="11" t="str">
        <v/>
      </c>
    </row>
    <row r="3817" spans="2:9">
      <c r="B3817" s="11" t="str">
        <f t="shared" si="301"/>
        <v/>
      </c>
      <c r="C3817" s="11" t="str">
        <f t="shared" si="304"/>
        <v/>
      </c>
      <c r="D3817" s="11" t="str">
        <f t="shared" si="305"/>
        <v/>
      </c>
      <c r="E3817" s="11" t="str">
        <f t="shared" si="302"/>
        <v/>
      </c>
      <c r="F3817" s="11" t="str">
        <f t="shared" si="303"/>
        <v/>
      </c>
      <c r="G3817" s="10" t="str">
        <v/>
      </c>
      <c r="H3817" s="11" t="str">
        <v/>
      </c>
      <c r="I3817" s="11" t="str">
        <v/>
      </c>
    </row>
    <row r="3818" spans="2:9">
      <c r="B3818" s="11" t="str">
        <f t="shared" si="301"/>
        <v/>
      </c>
      <c r="C3818" s="11" t="str">
        <f t="shared" si="304"/>
        <v/>
      </c>
      <c r="D3818" s="11" t="str">
        <f t="shared" si="305"/>
        <v/>
      </c>
      <c r="E3818" s="11" t="str">
        <f t="shared" si="302"/>
        <v/>
      </c>
      <c r="F3818" s="11" t="str">
        <f t="shared" si="303"/>
        <v/>
      </c>
      <c r="G3818" s="10" t="str">
        <v/>
      </c>
      <c r="H3818" s="11" t="str">
        <v/>
      </c>
      <c r="I3818" s="11" t="str">
        <v/>
      </c>
    </row>
    <row r="3819" spans="2:9">
      <c r="B3819" s="11" t="str">
        <f t="shared" si="301"/>
        <v/>
      </c>
      <c r="C3819" s="11" t="str">
        <f t="shared" si="304"/>
        <v/>
      </c>
      <c r="D3819" s="11" t="str">
        <f t="shared" si="305"/>
        <v/>
      </c>
      <c r="E3819" s="11" t="str">
        <f t="shared" si="302"/>
        <v/>
      </c>
      <c r="F3819" s="11" t="str">
        <f t="shared" si="303"/>
        <v/>
      </c>
      <c r="G3819" s="10" t="str">
        <v/>
      </c>
      <c r="H3819" s="11" t="str">
        <v/>
      </c>
      <c r="I3819" s="11" t="str">
        <v/>
      </c>
    </row>
    <row r="3820" spans="2:9">
      <c r="B3820" s="11" t="str">
        <f t="shared" si="301"/>
        <v/>
      </c>
      <c r="C3820" s="11" t="str">
        <f t="shared" si="304"/>
        <v/>
      </c>
      <c r="D3820" s="11" t="str">
        <f t="shared" si="305"/>
        <v/>
      </c>
      <c r="E3820" s="11" t="str">
        <f t="shared" si="302"/>
        <v/>
      </c>
      <c r="F3820" s="11" t="str">
        <f t="shared" si="303"/>
        <v/>
      </c>
      <c r="G3820" s="10" t="str">
        <v/>
      </c>
      <c r="H3820" s="11" t="str">
        <v/>
      </c>
      <c r="I3820" s="11" t="str">
        <v/>
      </c>
    </row>
    <row r="3821" spans="2:9">
      <c r="B3821" s="11" t="str">
        <f t="shared" si="301"/>
        <v/>
      </c>
      <c r="C3821" s="11" t="str">
        <f t="shared" si="304"/>
        <v/>
      </c>
      <c r="D3821" s="11" t="str">
        <f t="shared" si="305"/>
        <v/>
      </c>
      <c r="E3821" s="11" t="str">
        <f t="shared" si="302"/>
        <v/>
      </c>
      <c r="F3821" s="11" t="str">
        <f t="shared" si="303"/>
        <v/>
      </c>
      <c r="G3821" s="10" t="str">
        <v/>
      </c>
      <c r="H3821" s="11" t="str">
        <v/>
      </c>
      <c r="I3821" s="11" t="str">
        <v/>
      </c>
    </row>
    <row r="3822" spans="2:9">
      <c r="B3822" s="11" t="str">
        <f t="shared" si="301"/>
        <v/>
      </c>
      <c r="C3822" s="11" t="str">
        <f t="shared" si="304"/>
        <v/>
      </c>
      <c r="D3822" s="11" t="str">
        <f t="shared" si="305"/>
        <v/>
      </c>
      <c r="E3822" s="11" t="str">
        <f t="shared" si="302"/>
        <v/>
      </c>
      <c r="F3822" s="11" t="str">
        <f t="shared" si="303"/>
        <v/>
      </c>
      <c r="G3822" s="10" t="str">
        <v/>
      </c>
      <c r="H3822" s="11" t="str">
        <v/>
      </c>
      <c r="I3822" s="11" t="str">
        <v/>
      </c>
    </row>
    <row r="3823" spans="2:9">
      <c r="B3823" s="11" t="str">
        <f t="shared" si="301"/>
        <v/>
      </c>
      <c r="C3823" s="11" t="str">
        <f t="shared" si="304"/>
        <v/>
      </c>
      <c r="D3823" s="11" t="str">
        <f t="shared" si="305"/>
        <v/>
      </c>
      <c r="E3823" s="11" t="str">
        <f t="shared" si="302"/>
        <v/>
      </c>
      <c r="F3823" s="11" t="str">
        <f t="shared" si="303"/>
        <v/>
      </c>
      <c r="G3823" s="10" t="str">
        <v/>
      </c>
      <c r="H3823" s="11" t="str">
        <v/>
      </c>
      <c r="I3823" s="11" t="str">
        <v/>
      </c>
    </row>
    <row r="3824" spans="2:9">
      <c r="B3824" s="11" t="str">
        <f t="shared" si="301"/>
        <v/>
      </c>
      <c r="C3824" s="11" t="str">
        <f t="shared" si="304"/>
        <v/>
      </c>
      <c r="D3824" s="11" t="str">
        <f t="shared" si="305"/>
        <v/>
      </c>
      <c r="E3824" s="11" t="str">
        <f t="shared" si="302"/>
        <v/>
      </c>
      <c r="F3824" s="11" t="str">
        <f t="shared" si="303"/>
        <v/>
      </c>
      <c r="G3824" s="10" t="str">
        <v/>
      </c>
      <c r="H3824" s="11" t="str">
        <v/>
      </c>
      <c r="I3824" s="11" t="str">
        <v/>
      </c>
    </row>
    <row r="3825" spans="2:9">
      <c r="B3825" s="11" t="str">
        <f t="shared" si="301"/>
        <v/>
      </c>
      <c r="C3825" s="11" t="str">
        <f t="shared" si="304"/>
        <v/>
      </c>
      <c r="D3825" s="11" t="str">
        <f t="shared" si="305"/>
        <v/>
      </c>
      <c r="E3825" s="11" t="str">
        <f t="shared" si="302"/>
        <v/>
      </c>
      <c r="F3825" s="11" t="str">
        <f t="shared" si="303"/>
        <v/>
      </c>
      <c r="G3825" s="10" t="str">
        <v/>
      </c>
      <c r="H3825" s="11" t="str">
        <v/>
      </c>
      <c r="I3825" s="11" t="str">
        <v/>
      </c>
    </row>
    <row r="3826" spans="2:9">
      <c r="B3826" s="11" t="str">
        <f t="shared" si="301"/>
        <v/>
      </c>
      <c r="C3826" s="11" t="str">
        <f t="shared" si="304"/>
        <v/>
      </c>
      <c r="D3826" s="11" t="str">
        <f t="shared" si="305"/>
        <v/>
      </c>
      <c r="E3826" s="11" t="str">
        <f t="shared" si="302"/>
        <v/>
      </c>
      <c r="F3826" s="11" t="str">
        <f t="shared" si="303"/>
        <v/>
      </c>
      <c r="G3826" s="10" t="str">
        <v/>
      </c>
      <c r="H3826" s="11" t="str">
        <v/>
      </c>
      <c r="I3826" s="11" t="str">
        <v/>
      </c>
    </row>
    <row r="3827" spans="2:9">
      <c r="B3827" s="11" t="str">
        <f t="shared" si="301"/>
        <v/>
      </c>
      <c r="C3827" s="11" t="str">
        <f t="shared" si="304"/>
        <v/>
      </c>
      <c r="D3827" s="11" t="str">
        <f t="shared" si="305"/>
        <v/>
      </c>
      <c r="E3827" s="11" t="str">
        <f t="shared" si="302"/>
        <v/>
      </c>
      <c r="F3827" s="11" t="str">
        <f t="shared" si="303"/>
        <v/>
      </c>
      <c r="G3827" s="10" t="str">
        <v/>
      </c>
      <c r="H3827" s="11" t="str">
        <v/>
      </c>
      <c r="I3827" s="11" t="str">
        <v/>
      </c>
    </row>
    <row r="3828" spans="2:9">
      <c r="B3828" s="11" t="str">
        <f t="shared" si="301"/>
        <v/>
      </c>
      <c r="C3828" s="11" t="str">
        <f t="shared" si="304"/>
        <v/>
      </c>
      <c r="D3828" s="11" t="str">
        <f t="shared" si="305"/>
        <v/>
      </c>
      <c r="E3828" s="11" t="str">
        <f t="shared" si="302"/>
        <v/>
      </c>
      <c r="F3828" s="11" t="str">
        <f t="shared" si="303"/>
        <v/>
      </c>
      <c r="G3828" s="10" t="str">
        <v/>
      </c>
      <c r="H3828" s="11" t="str">
        <v/>
      </c>
      <c r="I3828" s="11" t="str">
        <v/>
      </c>
    </row>
    <row r="3829" spans="2:9">
      <c r="B3829" s="11" t="str">
        <f t="shared" si="301"/>
        <v/>
      </c>
      <c r="C3829" s="11" t="str">
        <f t="shared" si="304"/>
        <v/>
      </c>
      <c r="D3829" s="11" t="str">
        <f t="shared" si="305"/>
        <v/>
      </c>
      <c r="E3829" s="11" t="str">
        <f t="shared" si="302"/>
        <v/>
      </c>
      <c r="F3829" s="11" t="str">
        <f t="shared" si="303"/>
        <v/>
      </c>
      <c r="G3829" s="10" t="str">
        <v/>
      </c>
      <c r="H3829" s="11" t="str">
        <v/>
      </c>
      <c r="I3829" s="11" t="str">
        <v/>
      </c>
    </row>
    <row r="3830" spans="2:9">
      <c r="B3830" s="11" t="str">
        <f t="shared" si="301"/>
        <v/>
      </c>
      <c r="C3830" s="11" t="str">
        <f t="shared" si="304"/>
        <v/>
      </c>
      <c r="D3830" s="11" t="str">
        <f t="shared" si="305"/>
        <v/>
      </c>
      <c r="E3830" s="11" t="str">
        <f t="shared" si="302"/>
        <v/>
      </c>
      <c r="F3830" s="11" t="str">
        <f t="shared" si="303"/>
        <v/>
      </c>
      <c r="G3830" s="10" t="str">
        <v/>
      </c>
      <c r="H3830" s="11" t="str">
        <v/>
      </c>
      <c r="I3830" s="11" t="str">
        <v/>
      </c>
    </row>
    <row r="3831" spans="2:9">
      <c r="B3831" s="11" t="str">
        <f t="shared" si="301"/>
        <v/>
      </c>
      <c r="C3831" s="11" t="str">
        <f t="shared" si="304"/>
        <v/>
      </c>
      <c r="D3831" s="11" t="str">
        <f t="shared" si="305"/>
        <v/>
      </c>
      <c r="E3831" s="11" t="str">
        <f t="shared" si="302"/>
        <v/>
      </c>
      <c r="F3831" s="11" t="str">
        <f t="shared" si="303"/>
        <v/>
      </c>
      <c r="G3831" s="10" t="str">
        <v/>
      </c>
      <c r="H3831" s="11" t="str">
        <v/>
      </c>
      <c r="I3831" s="11" t="str">
        <v/>
      </c>
    </row>
    <row r="3832" spans="2:9">
      <c r="B3832" s="11" t="str">
        <f t="shared" si="301"/>
        <v/>
      </c>
      <c r="C3832" s="11" t="str">
        <f t="shared" si="304"/>
        <v/>
      </c>
      <c r="D3832" s="11" t="str">
        <f t="shared" si="305"/>
        <v/>
      </c>
      <c r="E3832" s="11" t="str">
        <f t="shared" si="302"/>
        <v/>
      </c>
      <c r="F3832" s="11" t="str">
        <f t="shared" si="303"/>
        <v/>
      </c>
      <c r="G3832" s="10" t="str">
        <v/>
      </c>
      <c r="H3832" s="11" t="str">
        <v/>
      </c>
      <c r="I3832" s="11" t="str">
        <v/>
      </c>
    </row>
    <row r="3833" spans="2:9">
      <c r="B3833" s="11" t="str">
        <f t="shared" si="301"/>
        <v/>
      </c>
      <c r="C3833" s="11" t="str">
        <f t="shared" si="304"/>
        <v/>
      </c>
      <c r="D3833" s="11" t="str">
        <f t="shared" si="305"/>
        <v/>
      </c>
      <c r="E3833" s="11" t="str">
        <f t="shared" si="302"/>
        <v/>
      </c>
      <c r="F3833" s="11" t="str">
        <f t="shared" si="303"/>
        <v/>
      </c>
      <c r="G3833" s="10" t="str">
        <v/>
      </c>
      <c r="H3833" s="11" t="str">
        <v/>
      </c>
      <c r="I3833" s="11" t="str">
        <v/>
      </c>
    </row>
    <row r="3834" spans="2:9">
      <c r="B3834" s="11" t="str">
        <f t="shared" si="301"/>
        <v/>
      </c>
      <c r="C3834" s="11" t="str">
        <f t="shared" si="304"/>
        <v/>
      </c>
      <c r="D3834" s="11" t="str">
        <f t="shared" si="305"/>
        <v/>
      </c>
      <c r="E3834" s="11" t="str">
        <f t="shared" si="302"/>
        <v/>
      </c>
      <c r="F3834" s="11" t="str">
        <f t="shared" si="303"/>
        <v/>
      </c>
      <c r="G3834" s="10" t="str">
        <v/>
      </c>
      <c r="H3834" s="11" t="str">
        <v/>
      </c>
      <c r="I3834" s="11" t="str">
        <v/>
      </c>
    </row>
    <row r="3835" spans="2:9">
      <c r="B3835" s="11" t="str">
        <f t="shared" si="301"/>
        <v/>
      </c>
      <c r="C3835" s="11" t="str">
        <f t="shared" si="304"/>
        <v/>
      </c>
      <c r="D3835" s="11" t="str">
        <f t="shared" si="305"/>
        <v/>
      </c>
      <c r="E3835" s="11" t="str">
        <f t="shared" si="302"/>
        <v/>
      </c>
      <c r="F3835" s="11" t="str">
        <f t="shared" si="303"/>
        <v/>
      </c>
      <c r="G3835" s="10" t="str">
        <v/>
      </c>
      <c r="H3835" s="11" t="str">
        <v/>
      </c>
      <c r="I3835" s="11" t="str">
        <v/>
      </c>
    </row>
    <row r="3836" spans="2:9">
      <c r="B3836" s="11" t="str">
        <f t="shared" si="301"/>
        <v/>
      </c>
      <c r="C3836" s="11" t="str">
        <f t="shared" si="304"/>
        <v/>
      </c>
      <c r="D3836" s="11" t="str">
        <f t="shared" si="305"/>
        <v/>
      </c>
      <c r="E3836" s="11" t="str">
        <f t="shared" si="302"/>
        <v/>
      </c>
      <c r="F3836" s="11" t="str">
        <f t="shared" si="303"/>
        <v/>
      </c>
      <c r="G3836" s="10" t="str">
        <v/>
      </c>
      <c r="H3836" s="11" t="str">
        <v/>
      </c>
      <c r="I3836" s="11" t="str">
        <v/>
      </c>
    </row>
    <row r="3837" spans="2:9">
      <c r="B3837" s="11" t="str">
        <f t="shared" si="301"/>
        <v/>
      </c>
      <c r="C3837" s="11" t="str">
        <f t="shared" si="304"/>
        <v/>
      </c>
      <c r="D3837" s="11" t="str">
        <f t="shared" si="305"/>
        <v/>
      </c>
      <c r="E3837" s="11" t="str">
        <f t="shared" si="302"/>
        <v/>
      </c>
      <c r="F3837" s="11" t="str">
        <f t="shared" si="303"/>
        <v/>
      </c>
      <c r="G3837" s="10" t="str">
        <v/>
      </c>
      <c r="H3837" s="11" t="str">
        <v/>
      </c>
      <c r="I3837" s="11" t="str">
        <v/>
      </c>
    </row>
    <row r="3838" spans="2:9">
      <c r="B3838" s="11" t="str">
        <f t="shared" si="301"/>
        <v/>
      </c>
      <c r="C3838" s="11" t="str">
        <f t="shared" si="304"/>
        <v/>
      </c>
      <c r="D3838" s="11" t="str">
        <f t="shared" si="305"/>
        <v/>
      </c>
      <c r="E3838" s="11" t="str">
        <f t="shared" si="302"/>
        <v/>
      </c>
      <c r="F3838" s="11" t="str">
        <f t="shared" si="303"/>
        <v/>
      </c>
      <c r="G3838" s="10" t="str">
        <v/>
      </c>
      <c r="H3838" s="11" t="str">
        <v/>
      </c>
      <c r="I3838" s="11" t="str">
        <v/>
      </c>
    </row>
    <row r="3839" spans="2:9">
      <c r="B3839" s="11" t="str">
        <f t="shared" si="301"/>
        <v/>
      </c>
      <c r="C3839" s="11" t="str">
        <f t="shared" si="304"/>
        <v/>
      </c>
      <c r="D3839" s="11" t="str">
        <f t="shared" si="305"/>
        <v/>
      </c>
      <c r="E3839" s="11" t="str">
        <f t="shared" si="302"/>
        <v/>
      </c>
      <c r="F3839" s="11" t="str">
        <f t="shared" si="303"/>
        <v/>
      </c>
      <c r="G3839" s="10" t="str">
        <v/>
      </c>
      <c r="H3839" s="11" t="str">
        <v/>
      </c>
      <c r="I3839" s="11" t="str">
        <v/>
      </c>
    </row>
    <row r="3840" spans="2:9">
      <c r="B3840" s="11" t="str">
        <f t="shared" si="301"/>
        <v/>
      </c>
      <c r="C3840" s="11" t="str">
        <f t="shared" si="304"/>
        <v/>
      </c>
      <c r="D3840" s="11" t="str">
        <f t="shared" si="305"/>
        <v/>
      </c>
      <c r="E3840" s="11" t="str">
        <f t="shared" si="302"/>
        <v/>
      </c>
      <c r="F3840" s="11" t="str">
        <f t="shared" si="303"/>
        <v/>
      </c>
      <c r="G3840" s="10" t="str">
        <v/>
      </c>
      <c r="H3840" s="11" t="str">
        <v/>
      </c>
      <c r="I3840" s="11" t="str">
        <v/>
      </c>
    </row>
    <row r="3841" spans="2:9">
      <c r="B3841" s="11" t="str">
        <f t="shared" ref="B3841:B3904" si="306">IFERROR(IF(FIND(" ",A3841)=6,IF(IFERROR(FIND(" PB",A3841),"")&lt;&gt;"","артикул",IF(IFERROR(FIND(" CRN",A3841),"")&lt;&gt;"","артикул","")),""),"")</f>
        <v/>
      </c>
      <c r="C3841" s="11" t="str">
        <f t="shared" si="304"/>
        <v/>
      </c>
      <c r="D3841" s="11" t="str">
        <f t="shared" si="305"/>
        <v/>
      </c>
      <c r="E3841" s="11" t="str">
        <f t="shared" si="302"/>
        <v/>
      </c>
      <c r="F3841" s="11" t="str">
        <f t="shared" si="303"/>
        <v/>
      </c>
      <c r="G3841" s="10" t="str">
        <v/>
      </c>
      <c r="H3841" s="11" t="str">
        <v/>
      </c>
      <c r="I3841" s="11" t="str">
        <v/>
      </c>
    </row>
    <row r="3842" spans="2:9">
      <c r="B3842" s="11" t="str">
        <f t="shared" si="306"/>
        <v/>
      </c>
      <c r="C3842" s="11" t="str">
        <f t="shared" si="304"/>
        <v/>
      </c>
      <c r="D3842" s="11" t="str">
        <f t="shared" si="305"/>
        <v/>
      </c>
      <c r="E3842" s="11" t="str">
        <f t="shared" ref="E3842:E3905" si="307" xml:space="preserve">
IF(B3842="Артикул",
IF(
AND(RIGHT(A3843,1)="%",
RIGHT(A3844,1)="%",
RIGHT(A3845,1)="%",
RIGHT(A3846,1)="%"),MID(A3847,FIND(" ",A3847),50),
IF(
AND(RIGHT(A3843,1)="%",
RIGHT(A3844,1)="%",
RIGHT(A3845,1)="%"),MID(A3846,FIND(" ",A3846),50),
IF(
AND(RIGHT(A3843,1)="%",
RIGHT(A3844,1)="%"),
MID(A3845,FIND(" ",A3845),50),
IF(
RIGHT(A3843,1)="%",
MID(A3844,FIND(" ",A3844),50),"")))),"")</f>
        <v/>
      </c>
      <c r="F3842" s="11" t="str">
        <f t="shared" ref="F3842:F3905" si="308">IFERROR(
IF(
AND(LEFT(A3842,8)="Discount",FIND("%",A3842)&gt;0),
MID(A3842,
FIND(" ",A3842),
FIND("%",A3842)-FIND(" ",A3842))
*-1,""),"")</f>
        <v/>
      </c>
      <c r="G3842" s="10" t="str">
        <v/>
      </c>
      <c r="H3842" s="11" t="str">
        <v/>
      </c>
      <c r="I3842" s="11" t="str">
        <v/>
      </c>
    </row>
    <row r="3843" spans="2:9">
      <c r="B3843" s="11" t="str">
        <f t="shared" si="306"/>
        <v/>
      </c>
      <c r="C3843" s="11" t="str">
        <f t="shared" si="304"/>
        <v/>
      </c>
      <c r="D3843" s="11" t="str">
        <f t="shared" si="305"/>
        <v/>
      </c>
      <c r="E3843" s="11" t="str">
        <f t="shared" si="307"/>
        <v/>
      </c>
      <c r="F3843" s="11" t="str">
        <f t="shared" si="308"/>
        <v/>
      </c>
      <c r="G3843" s="10" t="str">
        <v/>
      </c>
      <c r="H3843" s="11" t="str">
        <v/>
      </c>
      <c r="I3843" s="11" t="str">
        <v/>
      </c>
    </row>
    <row r="3844" spans="2:9">
      <c r="B3844" s="11" t="str">
        <f t="shared" si="306"/>
        <v/>
      </c>
      <c r="C3844" s="11" t="str">
        <f t="shared" si="304"/>
        <v/>
      </c>
      <c r="D3844" s="11" t="str">
        <f t="shared" si="305"/>
        <v/>
      </c>
      <c r="E3844" s="11" t="str">
        <f t="shared" si="307"/>
        <v/>
      </c>
      <c r="F3844" s="11" t="str">
        <f t="shared" si="308"/>
        <v/>
      </c>
      <c r="G3844" s="10" t="str">
        <v/>
      </c>
      <c r="H3844" s="11" t="str">
        <v/>
      </c>
      <c r="I3844" s="11" t="str">
        <v/>
      </c>
    </row>
    <row r="3845" spans="2:9">
      <c r="B3845" s="11" t="str">
        <f t="shared" si="306"/>
        <v/>
      </c>
      <c r="C3845" s="11" t="str">
        <f t="shared" si="304"/>
        <v/>
      </c>
      <c r="D3845" s="11" t="str">
        <f t="shared" si="305"/>
        <v/>
      </c>
      <c r="E3845" s="11" t="str">
        <f t="shared" si="307"/>
        <v/>
      </c>
      <c r="F3845" s="11" t="str">
        <f t="shared" si="308"/>
        <v/>
      </c>
      <c r="G3845" s="10" t="str">
        <v/>
      </c>
      <c r="H3845" s="11" t="str">
        <v/>
      </c>
      <c r="I3845" s="11" t="str">
        <v/>
      </c>
    </row>
    <row r="3846" spans="2:9">
      <c r="B3846" s="11" t="str">
        <f t="shared" si="306"/>
        <v/>
      </c>
      <c r="C3846" s="11" t="str">
        <f t="shared" si="304"/>
        <v/>
      </c>
      <c r="D3846" s="11" t="str">
        <f t="shared" si="305"/>
        <v/>
      </c>
      <c r="E3846" s="11" t="str">
        <f t="shared" si="307"/>
        <v/>
      </c>
      <c r="F3846" s="11" t="str">
        <f t="shared" si="308"/>
        <v/>
      </c>
      <c r="G3846" s="10" t="str">
        <v/>
      </c>
      <c r="H3846" s="11" t="str">
        <v/>
      </c>
      <c r="I3846" s="11" t="str">
        <v/>
      </c>
    </row>
    <row r="3847" spans="2:9">
      <c r="B3847" s="11" t="str">
        <f t="shared" si="306"/>
        <v/>
      </c>
      <c r="C3847" s="11" t="str">
        <f t="shared" si="304"/>
        <v/>
      </c>
      <c r="D3847" s="11" t="str">
        <f t="shared" si="305"/>
        <v/>
      </c>
      <c r="E3847" s="11" t="str">
        <f t="shared" si="307"/>
        <v/>
      </c>
      <c r="F3847" s="11" t="str">
        <f t="shared" si="308"/>
        <v/>
      </c>
      <c r="G3847" s="10" t="str">
        <v/>
      </c>
      <c r="H3847" s="11" t="str">
        <v/>
      </c>
      <c r="I3847" s="11" t="str">
        <v/>
      </c>
    </row>
    <row r="3848" spans="2:9">
      <c r="B3848" s="11" t="str">
        <f t="shared" si="306"/>
        <v/>
      </c>
      <c r="C3848" s="11" t="str">
        <f t="shared" si="304"/>
        <v/>
      </c>
      <c r="D3848" s="11" t="str">
        <f t="shared" si="305"/>
        <v/>
      </c>
      <c r="E3848" s="11" t="str">
        <f t="shared" si="307"/>
        <v/>
      </c>
      <c r="F3848" s="11" t="str">
        <f t="shared" si="308"/>
        <v/>
      </c>
      <c r="G3848" s="10" t="str">
        <v/>
      </c>
      <c r="H3848" s="11" t="str">
        <v/>
      </c>
      <c r="I3848" s="11" t="str">
        <v/>
      </c>
    </row>
    <row r="3849" spans="2:9">
      <c r="B3849" s="11" t="str">
        <f t="shared" si="306"/>
        <v/>
      </c>
      <c r="C3849" s="11" t="str">
        <f t="shared" si="304"/>
        <v/>
      </c>
      <c r="D3849" s="11" t="str">
        <f t="shared" si="305"/>
        <v/>
      </c>
      <c r="E3849" s="11" t="str">
        <f t="shared" si="307"/>
        <v/>
      </c>
      <c r="F3849" s="11" t="str">
        <f t="shared" si="308"/>
        <v/>
      </c>
      <c r="G3849" s="10" t="str">
        <v/>
      </c>
      <c r="H3849" s="11" t="str">
        <v/>
      </c>
      <c r="I3849" s="11" t="str">
        <v/>
      </c>
    </row>
    <row r="3850" spans="2:9">
      <c r="B3850" s="11" t="str">
        <f t="shared" si="306"/>
        <v/>
      </c>
      <c r="C3850" s="11" t="str">
        <f t="shared" si="304"/>
        <v/>
      </c>
      <c r="D3850" s="11" t="str">
        <f t="shared" si="305"/>
        <v/>
      </c>
      <c r="E3850" s="11" t="str">
        <f t="shared" si="307"/>
        <v/>
      </c>
      <c r="F3850" s="11" t="str">
        <f t="shared" si="308"/>
        <v/>
      </c>
      <c r="G3850" s="10" t="str">
        <v/>
      </c>
      <c r="H3850" s="11" t="str">
        <v/>
      </c>
      <c r="I3850" s="11" t="str">
        <v/>
      </c>
    </row>
    <row r="3851" spans="2:9">
      <c r="B3851" s="11" t="str">
        <f t="shared" si="306"/>
        <v/>
      </c>
      <c r="C3851" s="11" t="str">
        <f t="shared" si="304"/>
        <v/>
      </c>
      <c r="D3851" s="11" t="str">
        <f t="shared" si="305"/>
        <v/>
      </c>
      <c r="E3851" s="11" t="str">
        <f t="shared" si="307"/>
        <v/>
      </c>
      <c r="F3851" s="11" t="str">
        <f t="shared" si="308"/>
        <v/>
      </c>
      <c r="G3851" s="10" t="str">
        <v/>
      </c>
      <c r="H3851" s="11" t="str">
        <v/>
      </c>
      <c r="I3851" s="11" t="str">
        <v/>
      </c>
    </row>
    <row r="3852" spans="2:9">
      <c r="B3852" s="11" t="str">
        <f t="shared" si="306"/>
        <v/>
      </c>
      <c r="C3852" s="11" t="str">
        <f t="shared" si="304"/>
        <v/>
      </c>
      <c r="D3852" s="11" t="str">
        <f t="shared" si="305"/>
        <v/>
      </c>
      <c r="E3852" s="11" t="str">
        <f t="shared" si="307"/>
        <v/>
      </c>
      <c r="F3852" s="11" t="str">
        <f t="shared" si="308"/>
        <v/>
      </c>
      <c r="G3852" s="10" t="str">
        <v/>
      </c>
      <c r="H3852" s="11" t="str">
        <v/>
      </c>
      <c r="I3852" s="11" t="str">
        <v/>
      </c>
    </row>
    <row r="3853" spans="2:9">
      <c r="B3853" s="11" t="str">
        <f t="shared" si="306"/>
        <v/>
      </c>
      <c r="C3853" s="11" t="str">
        <f t="shared" ref="C3853:C3916" si="309">IF(B3853="артикул",A3853,"")</f>
        <v/>
      </c>
      <c r="D3853" s="11" t="str">
        <f t="shared" ref="D3853:D3916" si="310">IF(B3853="артикул",A3854,"")</f>
        <v/>
      </c>
      <c r="E3853" s="11" t="str">
        <f t="shared" si="307"/>
        <v/>
      </c>
      <c r="F3853" s="11" t="str">
        <f t="shared" si="308"/>
        <v/>
      </c>
      <c r="G3853" s="10" t="str">
        <v/>
      </c>
      <c r="H3853" s="11" t="str">
        <v/>
      </c>
      <c r="I3853" s="11" t="str">
        <v/>
      </c>
    </row>
    <row r="3854" spans="2:9">
      <c r="B3854" s="11" t="str">
        <f t="shared" si="306"/>
        <v/>
      </c>
      <c r="C3854" s="11" t="str">
        <f t="shared" si="309"/>
        <v/>
      </c>
      <c r="D3854" s="11" t="str">
        <f t="shared" si="310"/>
        <v/>
      </c>
      <c r="E3854" s="11" t="str">
        <f t="shared" si="307"/>
        <v/>
      </c>
      <c r="F3854" s="11" t="str">
        <f t="shared" si="308"/>
        <v/>
      </c>
      <c r="G3854" s="10" t="str">
        <v/>
      </c>
      <c r="H3854" s="11" t="str">
        <v/>
      </c>
      <c r="I3854" s="11" t="str">
        <v/>
      </c>
    </row>
    <row r="3855" spans="2:9">
      <c r="B3855" s="11" t="str">
        <f t="shared" si="306"/>
        <v/>
      </c>
      <c r="C3855" s="11" t="str">
        <f t="shared" si="309"/>
        <v/>
      </c>
      <c r="D3855" s="11" t="str">
        <f t="shared" si="310"/>
        <v/>
      </c>
      <c r="E3855" s="11" t="str">
        <f t="shared" si="307"/>
        <v/>
      </c>
      <c r="F3855" s="11" t="str">
        <f t="shared" si="308"/>
        <v/>
      </c>
      <c r="G3855" s="10" t="str">
        <v/>
      </c>
      <c r="H3855" s="11" t="str">
        <v/>
      </c>
      <c r="I3855" s="11" t="str">
        <v/>
      </c>
    </row>
    <row r="3856" spans="2:9">
      <c r="B3856" s="11" t="str">
        <f t="shared" si="306"/>
        <v/>
      </c>
      <c r="C3856" s="11" t="str">
        <f t="shared" si="309"/>
        <v/>
      </c>
      <c r="D3856" s="11" t="str">
        <f t="shared" si="310"/>
        <v/>
      </c>
      <c r="E3856" s="11" t="str">
        <f t="shared" si="307"/>
        <v/>
      </c>
      <c r="F3856" s="11" t="str">
        <f t="shared" si="308"/>
        <v/>
      </c>
      <c r="G3856" s="10" t="str">
        <v/>
      </c>
      <c r="H3856" s="11" t="str">
        <v/>
      </c>
      <c r="I3856" s="11" t="str">
        <v/>
      </c>
    </row>
    <row r="3857" spans="2:9">
      <c r="B3857" s="11" t="str">
        <f t="shared" si="306"/>
        <v/>
      </c>
      <c r="C3857" s="11" t="str">
        <f t="shared" si="309"/>
        <v/>
      </c>
      <c r="D3857" s="11" t="str">
        <f t="shared" si="310"/>
        <v/>
      </c>
      <c r="E3857" s="11" t="str">
        <f t="shared" si="307"/>
        <v/>
      </c>
      <c r="F3857" s="11" t="str">
        <f t="shared" si="308"/>
        <v/>
      </c>
      <c r="G3857" s="10" t="str">
        <v/>
      </c>
      <c r="H3857" s="11" t="str">
        <v/>
      </c>
      <c r="I3857" s="11" t="str">
        <v/>
      </c>
    </row>
    <row r="3858" spans="2:9">
      <c r="B3858" s="11" t="str">
        <f t="shared" si="306"/>
        <v/>
      </c>
      <c r="C3858" s="11" t="str">
        <f t="shared" si="309"/>
        <v/>
      </c>
      <c r="D3858" s="11" t="str">
        <f t="shared" si="310"/>
        <v/>
      </c>
      <c r="E3858" s="11" t="str">
        <f t="shared" si="307"/>
        <v/>
      </c>
      <c r="F3858" s="11" t="str">
        <f t="shared" si="308"/>
        <v/>
      </c>
      <c r="G3858" s="10" t="str">
        <v/>
      </c>
      <c r="H3858" s="11" t="str">
        <v/>
      </c>
      <c r="I3858" s="11" t="str">
        <v/>
      </c>
    </row>
    <row r="3859" spans="2:9">
      <c r="B3859" s="11" t="str">
        <f t="shared" si="306"/>
        <v/>
      </c>
      <c r="C3859" s="11" t="str">
        <f t="shared" si="309"/>
        <v/>
      </c>
      <c r="D3859" s="11" t="str">
        <f t="shared" si="310"/>
        <v/>
      </c>
      <c r="E3859" s="11" t="str">
        <f t="shared" si="307"/>
        <v/>
      </c>
      <c r="F3859" s="11" t="str">
        <f t="shared" si="308"/>
        <v/>
      </c>
      <c r="G3859" s="10" t="str">
        <v/>
      </c>
      <c r="H3859" s="11" t="str">
        <v/>
      </c>
      <c r="I3859" s="11" t="str">
        <v/>
      </c>
    </row>
    <row r="3860" spans="2:9">
      <c r="B3860" s="11" t="str">
        <f t="shared" si="306"/>
        <v/>
      </c>
      <c r="C3860" s="11" t="str">
        <f t="shared" si="309"/>
        <v/>
      </c>
      <c r="D3860" s="11" t="str">
        <f t="shared" si="310"/>
        <v/>
      </c>
      <c r="E3860" s="11" t="str">
        <f t="shared" si="307"/>
        <v/>
      </c>
      <c r="F3860" s="11" t="str">
        <f t="shared" si="308"/>
        <v/>
      </c>
      <c r="G3860" s="10" t="str">
        <v/>
      </c>
      <c r="H3860" s="11" t="str">
        <v/>
      </c>
      <c r="I3860" s="11" t="str">
        <v/>
      </c>
    </row>
    <row r="3861" spans="2:9">
      <c r="B3861" s="11" t="str">
        <f t="shared" si="306"/>
        <v/>
      </c>
      <c r="C3861" s="11" t="str">
        <f t="shared" si="309"/>
        <v/>
      </c>
      <c r="D3861" s="11" t="str">
        <f t="shared" si="310"/>
        <v/>
      </c>
      <c r="E3861" s="11" t="str">
        <f t="shared" si="307"/>
        <v/>
      </c>
      <c r="F3861" s="11" t="str">
        <f t="shared" si="308"/>
        <v/>
      </c>
      <c r="G3861" s="10" t="str">
        <v/>
      </c>
      <c r="H3861" s="11" t="str">
        <v/>
      </c>
      <c r="I3861" s="11" t="str">
        <v/>
      </c>
    </row>
    <row r="3862" spans="2:9">
      <c r="B3862" s="11" t="str">
        <f t="shared" si="306"/>
        <v/>
      </c>
      <c r="C3862" s="11" t="str">
        <f t="shared" si="309"/>
        <v/>
      </c>
      <c r="D3862" s="11" t="str">
        <f t="shared" si="310"/>
        <v/>
      </c>
      <c r="E3862" s="11" t="str">
        <f t="shared" si="307"/>
        <v/>
      </c>
      <c r="F3862" s="11" t="str">
        <f t="shared" si="308"/>
        <v/>
      </c>
      <c r="G3862" s="10" t="str">
        <v/>
      </c>
      <c r="H3862" s="11" t="str">
        <v/>
      </c>
      <c r="I3862" s="11" t="str">
        <v/>
      </c>
    </row>
    <row r="3863" spans="2:9">
      <c r="B3863" s="11" t="str">
        <f t="shared" si="306"/>
        <v/>
      </c>
      <c r="C3863" s="11" t="str">
        <f t="shared" si="309"/>
        <v/>
      </c>
      <c r="D3863" s="11" t="str">
        <f t="shared" si="310"/>
        <v/>
      </c>
      <c r="E3863" s="11" t="str">
        <f t="shared" si="307"/>
        <v/>
      </c>
      <c r="F3863" s="11" t="str">
        <f t="shared" si="308"/>
        <v/>
      </c>
      <c r="G3863" s="10" t="str">
        <v/>
      </c>
      <c r="H3863" s="11" t="str">
        <v/>
      </c>
      <c r="I3863" s="11" t="str">
        <v/>
      </c>
    </row>
    <row r="3864" spans="2:9">
      <c r="B3864" s="11" t="str">
        <f t="shared" si="306"/>
        <v/>
      </c>
      <c r="C3864" s="11" t="str">
        <f t="shared" si="309"/>
        <v/>
      </c>
      <c r="D3864" s="11" t="str">
        <f t="shared" si="310"/>
        <v/>
      </c>
      <c r="E3864" s="11" t="str">
        <f t="shared" si="307"/>
        <v/>
      </c>
      <c r="F3864" s="11" t="str">
        <f t="shared" si="308"/>
        <v/>
      </c>
      <c r="G3864" s="10" t="str">
        <v/>
      </c>
      <c r="H3864" s="11" t="str">
        <v/>
      </c>
      <c r="I3864" s="11" t="str">
        <v/>
      </c>
    </row>
    <row r="3865" spans="2:9">
      <c r="B3865" s="11" t="str">
        <f t="shared" si="306"/>
        <v/>
      </c>
      <c r="C3865" s="11" t="str">
        <f t="shared" si="309"/>
        <v/>
      </c>
      <c r="D3865" s="11" t="str">
        <f t="shared" si="310"/>
        <v/>
      </c>
      <c r="E3865" s="11" t="str">
        <f t="shared" si="307"/>
        <v/>
      </c>
      <c r="F3865" s="11" t="str">
        <f t="shared" si="308"/>
        <v/>
      </c>
      <c r="G3865" s="10" t="str">
        <v/>
      </c>
      <c r="H3865" s="11" t="str">
        <v/>
      </c>
      <c r="I3865" s="11" t="str">
        <v/>
      </c>
    </row>
    <row r="3866" spans="2:9">
      <c r="B3866" s="11" t="str">
        <f t="shared" si="306"/>
        <v/>
      </c>
      <c r="C3866" s="11" t="str">
        <f t="shared" si="309"/>
        <v/>
      </c>
      <c r="D3866" s="11" t="str">
        <f t="shared" si="310"/>
        <v/>
      </c>
      <c r="E3866" s="11" t="str">
        <f t="shared" si="307"/>
        <v/>
      </c>
      <c r="F3866" s="11" t="str">
        <f t="shared" si="308"/>
        <v/>
      </c>
      <c r="G3866" s="10" t="str">
        <v/>
      </c>
      <c r="H3866" s="11" t="str">
        <v/>
      </c>
      <c r="I3866" s="11" t="str">
        <v/>
      </c>
    </row>
    <row r="3867" spans="2:9">
      <c r="B3867" s="11" t="str">
        <f t="shared" si="306"/>
        <v/>
      </c>
      <c r="C3867" s="11" t="str">
        <f t="shared" si="309"/>
        <v/>
      </c>
      <c r="D3867" s="11" t="str">
        <f t="shared" si="310"/>
        <v/>
      </c>
      <c r="E3867" s="11" t="str">
        <f t="shared" si="307"/>
        <v/>
      </c>
      <c r="F3867" s="11" t="str">
        <f t="shared" si="308"/>
        <v/>
      </c>
      <c r="G3867" s="10" t="str">
        <v/>
      </c>
      <c r="H3867" s="11" t="str">
        <v/>
      </c>
      <c r="I3867" s="11" t="str">
        <v/>
      </c>
    </row>
    <row r="3868" spans="2:9">
      <c r="B3868" s="11" t="str">
        <f t="shared" si="306"/>
        <v/>
      </c>
      <c r="C3868" s="11" t="str">
        <f t="shared" si="309"/>
        <v/>
      </c>
      <c r="D3868" s="11" t="str">
        <f t="shared" si="310"/>
        <v/>
      </c>
      <c r="E3868" s="11" t="str">
        <f t="shared" si="307"/>
        <v/>
      </c>
      <c r="F3868" s="11" t="str">
        <f t="shared" si="308"/>
        <v/>
      </c>
      <c r="G3868" s="10" t="str">
        <v/>
      </c>
      <c r="H3868" s="11" t="str">
        <v/>
      </c>
      <c r="I3868" s="11" t="str">
        <v/>
      </c>
    </row>
    <row r="3869" spans="2:9">
      <c r="B3869" s="11" t="str">
        <f t="shared" si="306"/>
        <v/>
      </c>
      <c r="C3869" s="11" t="str">
        <f t="shared" si="309"/>
        <v/>
      </c>
      <c r="D3869" s="11" t="str">
        <f t="shared" si="310"/>
        <v/>
      </c>
      <c r="E3869" s="11" t="str">
        <f t="shared" si="307"/>
        <v/>
      </c>
      <c r="F3869" s="11" t="str">
        <f t="shared" si="308"/>
        <v/>
      </c>
      <c r="G3869" s="10" t="str">
        <v/>
      </c>
      <c r="H3869" s="11" t="str">
        <v/>
      </c>
      <c r="I3869" s="11" t="str">
        <v/>
      </c>
    </row>
    <row r="3870" spans="2:9">
      <c r="B3870" s="11" t="str">
        <f t="shared" si="306"/>
        <v/>
      </c>
      <c r="C3870" s="11" t="str">
        <f t="shared" si="309"/>
        <v/>
      </c>
      <c r="D3870" s="11" t="str">
        <f t="shared" si="310"/>
        <v/>
      </c>
      <c r="E3870" s="11" t="str">
        <f t="shared" si="307"/>
        <v/>
      </c>
      <c r="F3870" s="11" t="str">
        <f t="shared" si="308"/>
        <v/>
      </c>
      <c r="G3870" s="10" t="str">
        <v/>
      </c>
      <c r="H3870" s="11" t="str">
        <v/>
      </c>
      <c r="I3870" s="11" t="str">
        <v/>
      </c>
    </row>
    <row r="3871" spans="2:9">
      <c r="B3871" s="11" t="str">
        <f t="shared" si="306"/>
        <v/>
      </c>
      <c r="C3871" s="11" t="str">
        <f t="shared" si="309"/>
        <v/>
      </c>
      <c r="D3871" s="11" t="str">
        <f t="shared" si="310"/>
        <v/>
      </c>
      <c r="E3871" s="11" t="str">
        <f t="shared" si="307"/>
        <v/>
      </c>
      <c r="F3871" s="11" t="str">
        <f t="shared" si="308"/>
        <v/>
      </c>
      <c r="G3871" s="10" t="str">
        <v/>
      </c>
      <c r="H3871" s="11" t="str">
        <v/>
      </c>
      <c r="I3871" s="11" t="str">
        <v/>
      </c>
    </row>
    <row r="3872" spans="2:9">
      <c r="B3872" s="11" t="str">
        <f t="shared" si="306"/>
        <v/>
      </c>
      <c r="C3872" s="11" t="str">
        <f t="shared" si="309"/>
        <v/>
      </c>
      <c r="D3872" s="11" t="str">
        <f t="shared" si="310"/>
        <v/>
      </c>
      <c r="E3872" s="11" t="str">
        <f t="shared" si="307"/>
        <v/>
      </c>
      <c r="F3872" s="11" t="str">
        <f t="shared" si="308"/>
        <v/>
      </c>
      <c r="G3872" s="10" t="str">
        <v/>
      </c>
      <c r="H3872" s="11" t="str">
        <v/>
      </c>
      <c r="I3872" s="11" t="str">
        <v/>
      </c>
    </row>
    <row r="3873" spans="2:9">
      <c r="B3873" s="11" t="str">
        <f t="shared" si="306"/>
        <v/>
      </c>
      <c r="C3873" s="11" t="str">
        <f t="shared" si="309"/>
        <v/>
      </c>
      <c r="D3873" s="11" t="str">
        <f t="shared" si="310"/>
        <v/>
      </c>
      <c r="E3873" s="11" t="str">
        <f t="shared" si="307"/>
        <v/>
      </c>
      <c r="F3873" s="11" t="str">
        <f t="shared" si="308"/>
        <v/>
      </c>
      <c r="G3873" s="10" t="str">
        <v/>
      </c>
      <c r="H3873" s="11" t="str">
        <v/>
      </c>
      <c r="I3873" s="11" t="str">
        <v/>
      </c>
    </row>
    <row r="3874" spans="2:9">
      <c r="B3874" s="11" t="str">
        <f t="shared" si="306"/>
        <v/>
      </c>
      <c r="C3874" s="11" t="str">
        <f t="shared" si="309"/>
        <v/>
      </c>
      <c r="D3874" s="11" t="str">
        <f t="shared" si="310"/>
        <v/>
      </c>
      <c r="E3874" s="11" t="str">
        <f t="shared" si="307"/>
        <v/>
      </c>
      <c r="F3874" s="11" t="str">
        <f t="shared" si="308"/>
        <v/>
      </c>
      <c r="G3874" s="10" t="str">
        <v/>
      </c>
      <c r="H3874" s="11" t="str">
        <v/>
      </c>
      <c r="I3874" s="11" t="str">
        <v/>
      </c>
    </row>
    <row r="3875" spans="2:9">
      <c r="B3875" s="11" t="str">
        <f t="shared" si="306"/>
        <v/>
      </c>
      <c r="C3875" s="11" t="str">
        <f t="shared" si="309"/>
        <v/>
      </c>
      <c r="D3875" s="11" t="str">
        <f t="shared" si="310"/>
        <v/>
      </c>
      <c r="E3875" s="11" t="str">
        <f t="shared" si="307"/>
        <v/>
      </c>
      <c r="F3875" s="11" t="str">
        <f t="shared" si="308"/>
        <v/>
      </c>
      <c r="G3875" s="10" t="str">
        <v/>
      </c>
      <c r="H3875" s="11" t="str">
        <v/>
      </c>
      <c r="I3875" s="11" t="str">
        <v/>
      </c>
    </row>
    <row r="3876" spans="2:9">
      <c r="B3876" s="11" t="str">
        <f t="shared" si="306"/>
        <v/>
      </c>
      <c r="C3876" s="11" t="str">
        <f t="shared" si="309"/>
        <v/>
      </c>
      <c r="D3876" s="11" t="str">
        <f t="shared" si="310"/>
        <v/>
      </c>
      <c r="E3876" s="11" t="str">
        <f t="shared" si="307"/>
        <v/>
      </c>
      <c r="F3876" s="11" t="str">
        <f t="shared" si="308"/>
        <v/>
      </c>
      <c r="G3876" s="10" t="str">
        <v/>
      </c>
      <c r="H3876" s="11" t="str">
        <v/>
      </c>
      <c r="I3876" s="11" t="str">
        <v/>
      </c>
    </row>
    <row r="3877" spans="2:9">
      <c r="B3877" s="11" t="str">
        <f t="shared" si="306"/>
        <v/>
      </c>
      <c r="C3877" s="11" t="str">
        <f t="shared" si="309"/>
        <v/>
      </c>
      <c r="D3877" s="11" t="str">
        <f t="shared" si="310"/>
        <v/>
      </c>
      <c r="E3877" s="11" t="str">
        <f t="shared" si="307"/>
        <v/>
      </c>
      <c r="F3877" s="11" t="str">
        <f t="shared" si="308"/>
        <v/>
      </c>
      <c r="G3877" s="10" t="str">
        <v/>
      </c>
      <c r="H3877" s="11" t="str">
        <v/>
      </c>
      <c r="I3877" s="11" t="str">
        <v/>
      </c>
    </row>
    <row r="3878" spans="2:9">
      <c r="B3878" s="11" t="str">
        <f t="shared" si="306"/>
        <v/>
      </c>
      <c r="C3878" s="11" t="str">
        <f t="shared" si="309"/>
        <v/>
      </c>
      <c r="D3878" s="11" t="str">
        <f t="shared" si="310"/>
        <v/>
      </c>
      <c r="E3878" s="11" t="str">
        <f t="shared" si="307"/>
        <v/>
      </c>
      <c r="F3878" s="11" t="str">
        <f t="shared" si="308"/>
        <v/>
      </c>
      <c r="G3878" s="10" t="str">
        <v/>
      </c>
      <c r="H3878" s="11" t="str">
        <v/>
      </c>
      <c r="I3878" s="11" t="str">
        <v/>
      </c>
    </row>
    <row r="3879" spans="2:9">
      <c r="B3879" s="11" t="str">
        <f t="shared" si="306"/>
        <v/>
      </c>
      <c r="C3879" s="11" t="str">
        <f t="shared" si="309"/>
        <v/>
      </c>
      <c r="D3879" s="11" t="str">
        <f t="shared" si="310"/>
        <v/>
      </c>
      <c r="E3879" s="11" t="str">
        <f t="shared" si="307"/>
        <v/>
      </c>
      <c r="F3879" s="11" t="str">
        <f t="shared" si="308"/>
        <v/>
      </c>
      <c r="G3879" s="10" t="str">
        <v/>
      </c>
      <c r="H3879" s="11" t="str">
        <v/>
      </c>
      <c r="I3879" s="11" t="str">
        <v/>
      </c>
    </row>
    <row r="3880" spans="2:9">
      <c r="B3880" s="11" t="str">
        <f t="shared" si="306"/>
        <v/>
      </c>
      <c r="C3880" s="11" t="str">
        <f t="shared" si="309"/>
        <v/>
      </c>
      <c r="D3880" s="11" t="str">
        <f t="shared" si="310"/>
        <v/>
      </c>
      <c r="E3880" s="11" t="str">
        <f t="shared" si="307"/>
        <v/>
      </c>
      <c r="F3880" s="11" t="str">
        <f t="shared" si="308"/>
        <v/>
      </c>
      <c r="G3880" s="10" t="str">
        <v/>
      </c>
      <c r="H3880" s="11" t="str">
        <v/>
      </c>
      <c r="I3880" s="11" t="str">
        <v/>
      </c>
    </row>
    <row r="3881" spans="2:9">
      <c r="B3881" s="11" t="str">
        <f t="shared" si="306"/>
        <v/>
      </c>
      <c r="C3881" s="11" t="str">
        <f t="shared" si="309"/>
        <v/>
      </c>
      <c r="D3881" s="11" t="str">
        <f t="shared" si="310"/>
        <v/>
      </c>
      <c r="E3881" s="11" t="str">
        <f t="shared" si="307"/>
        <v/>
      </c>
      <c r="F3881" s="11" t="str">
        <f t="shared" si="308"/>
        <v/>
      </c>
      <c r="G3881" s="10" t="str">
        <v/>
      </c>
      <c r="H3881" s="11" t="str">
        <v/>
      </c>
      <c r="I3881" s="11" t="str">
        <v/>
      </c>
    </row>
    <row r="3882" spans="2:9">
      <c r="B3882" s="11" t="str">
        <f t="shared" si="306"/>
        <v/>
      </c>
      <c r="C3882" s="11" t="str">
        <f t="shared" si="309"/>
        <v/>
      </c>
      <c r="D3882" s="11" t="str">
        <f t="shared" si="310"/>
        <v/>
      </c>
      <c r="E3882" s="11" t="str">
        <f t="shared" si="307"/>
        <v/>
      </c>
      <c r="F3882" s="11" t="str">
        <f t="shared" si="308"/>
        <v/>
      </c>
      <c r="G3882" s="10" t="str">
        <v/>
      </c>
      <c r="H3882" s="11" t="str">
        <v/>
      </c>
      <c r="I3882" s="11" t="str">
        <v/>
      </c>
    </row>
    <row r="3883" spans="2:9">
      <c r="B3883" s="11" t="str">
        <f t="shared" si="306"/>
        <v/>
      </c>
      <c r="C3883" s="11" t="str">
        <f t="shared" si="309"/>
        <v/>
      </c>
      <c r="D3883" s="11" t="str">
        <f t="shared" si="310"/>
        <v/>
      </c>
      <c r="E3883" s="11" t="str">
        <f t="shared" si="307"/>
        <v/>
      </c>
      <c r="F3883" s="11" t="str">
        <f t="shared" si="308"/>
        <v/>
      </c>
      <c r="G3883" s="10" t="str">
        <v/>
      </c>
      <c r="H3883" s="11" t="str">
        <v/>
      </c>
      <c r="I3883" s="11" t="str">
        <v/>
      </c>
    </row>
    <row r="3884" spans="2:9">
      <c r="B3884" s="11" t="str">
        <f t="shared" si="306"/>
        <v/>
      </c>
      <c r="C3884" s="11" t="str">
        <f t="shared" si="309"/>
        <v/>
      </c>
      <c r="D3884" s="11" t="str">
        <f t="shared" si="310"/>
        <v/>
      </c>
      <c r="E3884" s="11" t="str">
        <f t="shared" si="307"/>
        <v/>
      </c>
      <c r="F3884" s="11" t="str">
        <f t="shared" si="308"/>
        <v/>
      </c>
      <c r="G3884" s="10" t="str">
        <v/>
      </c>
      <c r="H3884" s="11" t="str">
        <v/>
      </c>
      <c r="I3884" s="11" t="str">
        <v/>
      </c>
    </row>
    <row r="3885" spans="2:9">
      <c r="B3885" s="11" t="str">
        <f t="shared" si="306"/>
        <v/>
      </c>
      <c r="C3885" s="11" t="str">
        <f t="shared" si="309"/>
        <v/>
      </c>
      <c r="D3885" s="11" t="str">
        <f t="shared" si="310"/>
        <v/>
      </c>
      <c r="E3885" s="11" t="str">
        <f t="shared" si="307"/>
        <v/>
      </c>
      <c r="F3885" s="11" t="str">
        <f t="shared" si="308"/>
        <v/>
      </c>
      <c r="G3885" s="10" t="str">
        <v/>
      </c>
      <c r="H3885" s="11" t="str">
        <v/>
      </c>
      <c r="I3885" s="11" t="str">
        <v/>
      </c>
    </row>
    <row r="3886" spans="2:9">
      <c r="B3886" s="11" t="str">
        <f t="shared" si="306"/>
        <v/>
      </c>
      <c r="C3886" s="11" t="str">
        <f t="shared" si="309"/>
        <v/>
      </c>
      <c r="D3886" s="11" t="str">
        <f t="shared" si="310"/>
        <v/>
      </c>
      <c r="E3886" s="11" t="str">
        <f t="shared" si="307"/>
        <v/>
      </c>
      <c r="F3886" s="11" t="str">
        <f t="shared" si="308"/>
        <v/>
      </c>
      <c r="G3886" s="10" t="str">
        <v/>
      </c>
      <c r="H3886" s="11" t="str">
        <v/>
      </c>
      <c r="I3886" s="11" t="str">
        <v/>
      </c>
    </row>
    <row r="3887" spans="2:9">
      <c r="B3887" s="11" t="str">
        <f t="shared" si="306"/>
        <v/>
      </c>
      <c r="C3887" s="11" t="str">
        <f t="shared" si="309"/>
        <v/>
      </c>
      <c r="D3887" s="11" t="str">
        <f t="shared" si="310"/>
        <v/>
      </c>
      <c r="E3887" s="11" t="str">
        <f t="shared" si="307"/>
        <v/>
      </c>
      <c r="F3887" s="11" t="str">
        <f t="shared" si="308"/>
        <v/>
      </c>
      <c r="G3887" s="10" t="str">
        <v/>
      </c>
      <c r="H3887" s="11" t="str">
        <v/>
      </c>
      <c r="I3887" s="11" t="str">
        <v/>
      </c>
    </row>
    <row r="3888" spans="2:9">
      <c r="B3888" s="11" t="str">
        <f t="shared" si="306"/>
        <v/>
      </c>
      <c r="C3888" s="11" t="str">
        <f t="shared" si="309"/>
        <v/>
      </c>
      <c r="D3888" s="11" t="str">
        <f t="shared" si="310"/>
        <v/>
      </c>
      <c r="E3888" s="11" t="str">
        <f t="shared" si="307"/>
        <v/>
      </c>
      <c r="F3888" s="11" t="str">
        <f t="shared" si="308"/>
        <v/>
      </c>
      <c r="G3888" s="10" t="str">
        <v/>
      </c>
      <c r="H3888" s="11" t="str">
        <v/>
      </c>
      <c r="I3888" s="11" t="str">
        <v/>
      </c>
    </row>
    <row r="3889" spans="2:9">
      <c r="B3889" s="11" t="str">
        <f t="shared" si="306"/>
        <v/>
      </c>
      <c r="C3889" s="11" t="str">
        <f t="shared" si="309"/>
        <v/>
      </c>
      <c r="D3889" s="11" t="str">
        <f t="shared" si="310"/>
        <v/>
      </c>
      <c r="E3889" s="11" t="str">
        <f t="shared" si="307"/>
        <v/>
      </c>
      <c r="F3889" s="11" t="str">
        <f t="shared" si="308"/>
        <v/>
      </c>
      <c r="G3889" s="10" t="str">
        <v/>
      </c>
      <c r="H3889" s="11" t="str">
        <v/>
      </c>
      <c r="I3889" s="11" t="str">
        <v/>
      </c>
    </row>
    <row r="3890" spans="2:9">
      <c r="B3890" s="11" t="str">
        <f t="shared" si="306"/>
        <v/>
      </c>
      <c r="C3890" s="11" t="str">
        <f t="shared" si="309"/>
        <v/>
      </c>
      <c r="D3890" s="11" t="str">
        <f t="shared" si="310"/>
        <v/>
      </c>
      <c r="E3890" s="11" t="str">
        <f t="shared" si="307"/>
        <v/>
      </c>
      <c r="F3890" s="11" t="str">
        <f t="shared" si="308"/>
        <v/>
      </c>
      <c r="G3890" s="10" t="str">
        <v/>
      </c>
      <c r="H3890" s="11" t="str">
        <v/>
      </c>
      <c r="I3890" s="11" t="str">
        <v/>
      </c>
    </row>
    <row r="3891" spans="2:9">
      <c r="B3891" s="11" t="str">
        <f t="shared" si="306"/>
        <v/>
      </c>
      <c r="C3891" s="11" t="str">
        <f t="shared" si="309"/>
        <v/>
      </c>
      <c r="D3891" s="11" t="str">
        <f t="shared" si="310"/>
        <v/>
      </c>
      <c r="E3891" s="11" t="str">
        <f t="shared" si="307"/>
        <v/>
      </c>
      <c r="F3891" s="11" t="str">
        <f t="shared" si="308"/>
        <v/>
      </c>
      <c r="G3891" s="10" t="str">
        <v/>
      </c>
      <c r="H3891" s="11" t="str">
        <v/>
      </c>
      <c r="I3891" s="11" t="str">
        <v/>
      </c>
    </row>
    <row r="3892" spans="2:9">
      <c r="B3892" s="11" t="str">
        <f t="shared" si="306"/>
        <v/>
      </c>
      <c r="C3892" s="11" t="str">
        <f t="shared" si="309"/>
        <v/>
      </c>
      <c r="D3892" s="11" t="str">
        <f t="shared" si="310"/>
        <v/>
      </c>
      <c r="E3892" s="11" t="str">
        <f t="shared" si="307"/>
        <v/>
      </c>
      <c r="F3892" s="11" t="str">
        <f t="shared" si="308"/>
        <v/>
      </c>
      <c r="G3892" s="10" t="str">
        <v/>
      </c>
      <c r="H3892" s="11" t="str">
        <v/>
      </c>
      <c r="I3892" s="11" t="str">
        <v/>
      </c>
    </row>
    <row r="3893" spans="2:9">
      <c r="B3893" s="11" t="str">
        <f t="shared" si="306"/>
        <v/>
      </c>
      <c r="C3893" s="11" t="str">
        <f t="shared" si="309"/>
        <v/>
      </c>
      <c r="D3893" s="11" t="str">
        <f t="shared" si="310"/>
        <v/>
      </c>
      <c r="E3893" s="11" t="str">
        <f t="shared" si="307"/>
        <v/>
      </c>
      <c r="F3893" s="11" t="str">
        <f t="shared" si="308"/>
        <v/>
      </c>
      <c r="G3893" s="10" t="str">
        <v/>
      </c>
      <c r="H3893" s="11" t="str">
        <v/>
      </c>
      <c r="I3893" s="11" t="str">
        <v/>
      </c>
    </row>
    <row r="3894" spans="2:9">
      <c r="B3894" s="11" t="str">
        <f t="shared" si="306"/>
        <v/>
      </c>
      <c r="C3894" s="11" t="str">
        <f t="shared" si="309"/>
        <v/>
      </c>
      <c r="D3894" s="11" t="str">
        <f t="shared" si="310"/>
        <v/>
      </c>
      <c r="E3894" s="11" t="str">
        <f t="shared" si="307"/>
        <v/>
      </c>
      <c r="F3894" s="11" t="str">
        <f t="shared" si="308"/>
        <v/>
      </c>
      <c r="G3894" s="10" t="str">
        <v/>
      </c>
      <c r="H3894" s="11" t="str">
        <v/>
      </c>
      <c r="I3894" s="11" t="str">
        <v/>
      </c>
    </row>
    <row r="3895" spans="2:9">
      <c r="B3895" s="11" t="str">
        <f t="shared" si="306"/>
        <v/>
      </c>
      <c r="C3895" s="11" t="str">
        <f t="shared" si="309"/>
        <v/>
      </c>
      <c r="D3895" s="11" t="str">
        <f t="shared" si="310"/>
        <v/>
      </c>
      <c r="E3895" s="11" t="str">
        <f t="shared" si="307"/>
        <v/>
      </c>
      <c r="F3895" s="11" t="str">
        <f t="shared" si="308"/>
        <v/>
      </c>
      <c r="G3895" s="10" t="str">
        <v/>
      </c>
      <c r="H3895" s="11" t="str">
        <v/>
      </c>
      <c r="I3895" s="11" t="str">
        <v/>
      </c>
    </row>
    <row r="3896" spans="2:9">
      <c r="B3896" s="11" t="str">
        <f t="shared" si="306"/>
        <v/>
      </c>
      <c r="C3896" s="11" t="str">
        <f t="shared" si="309"/>
        <v/>
      </c>
      <c r="D3896" s="11" t="str">
        <f t="shared" si="310"/>
        <v/>
      </c>
      <c r="E3896" s="11" t="str">
        <f t="shared" si="307"/>
        <v/>
      </c>
      <c r="F3896" s="11" t="str">
        <f t="shared" si="308"/>
        <v/>
      </c>
      <c r="G3896" s="10" t="str">
        <v/>
      </c>
      <c r="H3896" s="11" t="str">
        <v/>
      </c>
      <c r="I3896" s="11" t="str">
        <v/>
      </c>
    </row>
    <row r="3897" spans="2:9">
      <c r="B3897" s="11" t="str">
        <f t="shared" si="306"/>
        <v/>
      </c>
      <c r="C3897" s="11" t="str">
        <f t="shared" si="309"/>
        <v/>
      </c>
      <c r="D3897" s="11" t="str">
        <f t="shared" si="310"/>
        <v/>
      </c>
      <c r="E3897" s="11" t="str">
        <f t="shared" si="307"/>
        <v/>
      </c>
      <c r="F3897" s="11" t="str">
        <f t="shared" si="308"/>
        <v/>
      </c>
      <c r="G3897" s="10" t="str">
        <v/>
      </c>
      <c r="H3897" s="11" t="str">
        <v/>
      </c>
      <c r="I3897" s="11" t="str">
        <v/>
      </c>
    </row>
    <row r="3898" spans="2:9">
      <c r="B3898" s="11" t="str">
        <f t="shared" si="306"/>
        <v/>
      </c>
      <c r="C3898" s="11" t="str">
        <f t="shared" si="309"/>
        <v/>
      </c>
      <c r="D3898" s="11" t="str">
        <f t="shared" si="310"/>
        <v/>
      </c>
      <c r="E3898" s="11" t="str">
        <f t="shared" si="307"/>
        <v/>
      </c>
      <c r="F3898" s="11" t="str">
        <f t="shared" si="308"/>
        <v/>
      </c>
      <c r="G3898" s="10" t="str">
        <v/>
      </c>
      <c r="H3898" s="11" t="str">
        <v/>
      </c>
      <c r="I3898" s="11" t="str">
        <v/>
      </c>
    </row>
    <row r="3899" spans="2:9">
      <c r="B3899" s="11" t="str">
        <f t="shared" si="306"/>
        <v/>
      </c>
      <c r="C3899" s="11" t="str">
        <f t="shared" si="309"/>
        <v/>
      </c>
      <c r="D3899" s="11" t="str">
        <f t="shared" si="310"/>
        <v/>
      </c>
      <c r="E3899" s="11" t="str">
        <f t="shared" si="307"/>
        <v/>
      </c>
      <c r="F3899" s="11" t="str">
        <f t="shared" si="308"/>
        <v/>
      </c>
      <c r="G3899" s="10" t="str">
        <v/>
      </c>
      <c r="H3899" s="11" t="str">
        <v/>
      </c>
      <c r="I3899" s="11" t="str">
        <v/>
      </c>
    </row>
    <row r="3900" spans="2:9">
      <c r="B3900" s="11" t="str">
        <f t="shared" si="306"/>
        <v/>
      </c>
      <c r="C3900" s="11" t="str">
        <f t="shared" si="309"/>
        <v/>
      </c>
      <c r="D3900" s="11" t="str">
        <f t="shared" si="310"/>
        <v/>
      </c>
      <c r="E3900" s="11" t="str">
        <f t="shared" si="307"/>
        <v/>
      </c>
      <c r="F3900" s="11" t="str">
        <f t="shared" si="308"/>
        <v/>
      </c>
      <c r="G3900" s="10" t="str">
        <v/>
      </c>
      <c r="H3900" s="11" t="str">
        <v/>
      </c>
      <c r="I3900" s="11" t="str">
        <v/>
      </c>
    </row>
    <row r="3901" spans="2:9">
      <c r="B3901" s="11" t="str">
        <f t="shared" si="306"/>
        <v/>
      </c>
      <c r="C3901" s="11" t="str">
        <f t="shared" si="309"/>
        <v/>
      </c>
      <c r="D3901" s="11" t="str">
        <f t="shared" si="310"/>
        <v/>
      </c>
      <c r="E3901" s="11" t="str">
        <f t="shared" si="307"/>
        <v/>
      </c>
      <c r="F3901" s="11" t="str">
        <f t="shared" si="308"/>
        <v/>
      </c>
      <c r="G3901" s="10" t="str">
        <v/>
      </c>
      <c r="H3901" s="11" t="str">
        <v/>
      </c>
      <c r="I3901" s="11" t="str">
        <v/>
      </c>
    </row>
    <row r="3902" spans="2:9">
      <c r="B3902" s="11" t="str">
        <f t="shared" si="306"/>
        <v/>
      </c>
      <c r="C3902" s="11" t="str">
        <f t="shared" si="309"/>
        <v/>
      </c>
      <c r="D3902" s="11" t="str">
        <f t="shared" si="310"/>
        <v/>
      </c>
      <c r="E3902" s="11" t="str">
        <f t="shared" si="307"/>
        <v/>
      </c>
      <c r="F3902" s="11" t="str">
        <f t="shared" si="308"/>
        <v/>
      </c>
      <c r="G3902" s="10" t="str">
        <v/>
      </c>
      <c r="H3902" s="11" t="str">
        <v/>
      </c>
      <c r="I3902" s="11" t="str">
        <v/>
      </c>
    </row>
    <row r="3903" spans="2:9">
      <c r="B3903" s="11" t="str">
        <f t="shared" si="306"/>
        <v/>
      </c>
      <c r="C3903" s="11" t="str">
        <f t="shared" si="309"/>
        <v/>
      </c>
      <c r="D3903" s="11" t="str">
        <f t="shared" si="310"/>
        <v/>
      </c>
      <c r="E3903" s="11" t="str">
        <f t="shared" si="307"/>
        <v/>
      </c>
      <c r="F3903" s="11" t="str">
        <f t="shared" si="308"/>
        <v/>
      </c>
      <c r="G3903" s="10" t="str">
        <v/>
      </c>
      <c r="H3903" s="11" t="str">
        <v/>
      </c>
      <c r="I3903" s="11" t="str">
        <v/>
      </c>
    </row>
    <row r="3904" spans="2:9">
      <c r="B3904" s="11" t="str">
        <f t="shared" si="306"/>
        <v/>
      </c>
      <c r="C3904" s="11" t="str">
        <f t="shared" si="309"/>
        <v/>
      </c>
      <c r="D3904" s="11" t="str">
        <f t="shared" si="310"/>
        <v/>
      </c>
      <c r="E3904" s="11" t="str">
        <f t="shared" si="307"/>
        <v/>
      </c>
      <c r="F3904" s="11" t="str">
        <f t="shared" si="308"/>
        <v/>
      </c>
      <c r="G3904" s="10" t="str">
        <v/>
      </c>
      <c r="H3904" s="11" t="str">
        <v/>
      </c>
      <c r="I3904" s="11" t="str">
        <v/>
      </c>
    </row>
    <row r="3905" spans="2:9">
      <c r="B3905" s="11" t="str">
        <f t="shared" ref="B3905:B3968" si="311">IFERROR(IF(FIND(" ",A3905)=6,IF(IFERROR(FIND(" PB",A3905),"")&lt;&gt;"","артикул",IF(IFERROR(FIND(" CRN",A3905),"")&lt;&gt;"","артикул","")),""),"")</f>
        <v/>
      </c>
      <c r="C3905" s="11" t="str">
        <f t="shared" si="309"/>
        <v/>
      </c>
      <c r="D3905" s="11" t="str">
        <f t="shared" si="310"/>
        <v/>
      </c>
      <c r="E3905" s="11" t="str">
        <f t="shared" si="307"/>
        <v/>
      </c>
      <c r="F3905" s="11" t="str">
        <f t="shared" si="308"/>
        <v/>
      </c>
      <c r="G3905" s="10" t="str">
        <v/>
      </c>
      <c r="H3905" s="11" t="str">
        <v/>
      </c>
      <c r="I3905" s="11" t="str">
        <v/>
      </c>
    </row>
    <row r="3906" spans="2:9">
      <c r="B3906" s="11" t="str">
        <f t="shared" si="311"/>
        <v/>
      </c>
      <c r="C3906" s="11" t="str">
        <f t="shared" si="309"/>
        <v/>
      </c>
      <c r="D3906" s="11" t="str">
        <f t="shared" si="310"/>
        <v/>
      </c>
      <c r="E3906" s="11" t="str">
        <f t="shared" ref="E3906:E3969" si="312" xml:space="preserve">
IF(B3906="Артикул",
IF(
AND(RIGHT(A3907,1)="%",
RIGHT(A3908,1)="%",
RIGHT(A3909,1)="%",
RIGHT(A3910,1)="%"),MID(A3911,FIND(" ",A3911),50),
IF(
AND(RIGHT(A3907,1)="%",
RIGHT(A3908,1)="%",
RIGHT(A3909,1)="%"),MID(A3910,FIND(" ",A3910),50),
IF(
AND(RIGHT(A3907,1)="%",
RIGHT(A3908,1)="%"),
MID(A3909,FIND(" ",A3909),50),
IF(
RIGHT(A3907,1)="%",
MID(A3908,FIND(" ",A3908),50),"")))),"")</f>
        <v/>
      </c>
      <c r="F3906" s="11" t="str">
        <f t="shared" ref="F3906:F3969" si="313">IFERROR(
IF(
AND(LEFT(A3906,8)="Discount",FIND("%",A3906)&gt;0),
MID(A3906,
FIND(" ",A3906),
FIND("%",A3906)-FIND(" ",A3906))
*-1,""),"")</f>
        <v/>
      </c>
      <c r="G3906" s="10" t="str">
        <v/>
      </c>
      <c r="H3906" s="11" t="str">
        <v/>
      </c>
      <c r="I3906" s="11" t="str">
        <v/>
      </c>
    </row>
    <row r="3907" spans="2:9">
      <c r="B3907" s="11" t="str">
        <f t="shared" si="311"/>
        <v/>
      </c>
      <c r="C3907" s="11" t="str">
        <f t="shared" si="309"/>
        <v/>
      </c>
      <c r="D3907" s="11" t="str">
        <f t="shared" si="310"/>
        <v/>
      </c>
      <c r="E3907" s="11" t="str">
        <f t="shared" si="312"/>
        <v/>
      </c>
      <c r="F3907" s="11" t="str">
        <f t="shared" si="313"/>
        <v/>
      </c>
      <c r="G3907" s="10" t="str">
        <v/>
      </c>
      <c r="H3907" s="11" t="str">
        <v/>
      </c>
      <c r="I3907" s="11" t="str">
        <v/>
      </c>
    </row>
    <row r="3908" spans="2:9">
      <c r="B3908" s="11" t="str">
        <f t="shared" si="311"/>
        <v/>
      </c>
      <c r="C3908" s="11" t="str">
        <f t="shared" si="309"/>
        <v/>
      </c>
      <c r="D3908" s="11" t="str">
        <f t="shared" si="310"/>
        <v/>
      </c>
      <c r="E3908" s="11" t="str">
        <f t="shared" si="312"/>
        <v/>
      </c>
      <c r="F3908" s="11" t="str">
        <f t="shared" si="313"/>
        <v/>
      </c>
      <c r="G3908" s="10" t="str">
        <v/>
      </c>
      <c r="H3908" s="11" t="str">
        <v/>
      </c>
      <c r="I3908" s="11" t="str">
        <v/>
      </c>
    </row>
    <row r="3909" spans="2:9">
      <c r="B3909" s="11" t="str">
        <f t="shared" si="311"/>
        <v/>
      </c>
      <c r="C3909" s="11" t="str">
        <f t="shared" si="309"/>
        <v/>
      </c>
      <c r="D3909" s="11" t="str">
        <f t="shared" si="310"/>
        <v/>
      </c>
      <c r="E3909" s="11" t="str">
        <f t="shared" si="312"/>
        <v/>
      </c>
      <c r="F3909" s="11" t="str">
        <f t="shared" si="313"/>
        <v/>
      </c>
      <c r="G3909" s="10" t="str">
        <v/>
      </c>
      <c r="H3909" s="11" t="str">
        <v/>
      </c>
      <c r="I3909" s="11" t="str">
        <v/>
      </c>
    </row>
    <row r="3910" spans="2:9">
      <c r="B3910" s="11" t="str">
        <f t="shared" si="311"/>
        <v/>
      </c>
      <c r="C3910" s="11" t="str">
        <f t="shared" si="309"/>
        <v/>
      </c>
      <c r="D3910" s="11" t="str">
        <f t="shared" si="310"/>
        <v/>
      </c>
      <c r="E3910" s="11" t="str">
        <f t="shared" si="312"/>
        <v/>
      </c>
      <c r="F3910" s="11" t="str">
        <f t="shared" si="313"/>
        <v/>
      </c>
      <c r="G3910" s="10" t="str">
        <v/>
      </c>
      <c r="H3910" s="11" t="str">
        <v/>
      </c>
      <c r="I3910" s="11" t="str">
        <v/>
      </c>
    </row>
    <row r="3911" spans="2:9">
      <c r="B3911" s="11" t="str">
        <f t="shared" si="311"/>
        <v/>
      </c>
      <c r="C3911" s="11" t="str">
        <f t="shared" si="309"/>
        <v/>
      </c>
      <c r="D3911" s="11" t="str">
        <f t="shared" si="310"/>
        <v/>
      </c>
      <c r="E3911" s="11" t="str">
        <f t="shared" si="312"/>
        <v/>
      </c>
      <c r="F3911" s="11" t="str">
        <f t="shared" si="313"/>
        <v/>
      </c>
      <c r="G3911" s="10" t="str">
        <v/>
      </c>
      <c r="H3911" s="11" t="str">
        <v/>
      </c>
      <c r="I3911" s="11" t="str">
        <v/>
      </c>
    </row>
    <row r="3912" spans="2:9">
      <c r="B3912" s="11" t="str">
        <f t="shared" si="311"/>
        <v/>
      </c>
      <c r="C3912" s="11" t="str">
        <f t="shared" si="309"/>
        <v/>
      </c>
      <c r="D3912" s="11" t="str">
        <f t="shared" si="310"/>
        <v/>
      </c>
      <c r="E3912" s="11" t="str">
        <f t="shared" si="312"/>
        <v/>
      </c>
      <c r="F3912" s="11" t="str">
        <f t="shared" si="313"/>
        <v/>
      </c>
      <c r="G3912" s="10" t="str">
        <v/>
      </c>
      <c r="H3912" s="11" t="str">
        <v/>
      </c>
      <c r="I3912" s="11" t="str">
        <v/>
      </c>
    </row>
    <row r="3913" spans="2:9">
      <c r="B3913" s="11" t="str">
        <f t="shared" si="311"/>
        <v/>
      </c>
      <c r="C3913" s="11" t="str">
        <f t="shared" si="309"/>
        <v/>
      </c>
      <c r="D3913" s="11" t="str">
        <f t="shared" si="310"/>
        <v/>
      </c>
      <c r="E3913" s="11" t="str">
        <f t="shared" si="312"/>
        <v/>
      </c>
      <c r="F3913" s="11" t="str">
        <f t="shared" si="313"/>
        <v/>
      </c>
      <c r="G3913" s="10" t="str">
        <v/>
      </c>
      <c r="H3913" s="11" t="str">
        <v/>
      </c>
      <c r="I3913" s="11" t="str">
        <v/>
      </c>
    </row>
    <row r="3914" spans="2:9">
      <c r="B3914" s="11" t="str">
        <f t="shared" si="311"/>
        <v/>
      </c>
      <c r="C3914" s="11" t="str">
        <f t="shared" si="309"/>
        <v/>
      </c>
      <c r="D3914" s="11" t="str">
        <f t="shared" si="310"/>
        <v/>
      </c>
      <c r="E3914" s="11" t="str">
        <f t="shared" si="312"/>
        <v/>
      </c>
      <c r="F3914" s="11" t="str">
        <f t="shared" si="313"/>
        <v/>
      </c>
      <c r="G3914" s="10" t="str">
        <v/>
      </c>
      <c r="H3914" s="11" t="str">
        <v/>
      </c>
      <c r="I3914" s="11" t="str">
        <v/>
      </c>
    </row>
    <row r="3915" spans="2:9">
      <c r="B3915" s="11" t="str">
        <f t="shared" si="311"/>
        <v/>
      </c>
      <c r="C3915" s="11" t="str">
        <f t="shared" si="309"/>
        <v/>
      </c>
      <c r="D3915" s="11" t="str">
        <f t="shared" si="310"/>
        <v/>
      </c>
      <c r="E3915" s="11" t="str">
        <f t="shared" si="312"/>
        <v/>
      </c>
      <c r="F3915" s="11" t="str">
        <f t="shared" si="313"/>
        <v/>
      </c>
      <c r="G3915" s="10" t="str">
        <v/>
      </c>
      <c r="H3915" s="11" t="str">
        <v/>
      </c>
      <c r="I3915" s="11" t="str">
        <v/>
      </c>
    </row>
    <row r="3916" spans="2:9">
      <c r="B3916" s="11" t="str">
        <f t="shared" si="311"/>
        <v/>
      </c>
      <c r="C3916" s="11" t="str">
        <f t="shared" si="309"/>
        <v/>
      </c>
      <c r="D3916" s="11" t="str">
        <f t="shared" si="310"/>
        <v/>
      </c>
      <c r="E3916" s="11" t="str">
        <f t="shared" si="312"/>
        <v/>
      </c>
      <c r="F3916" s="11" t="str">
        <f t="shared" si="313"/>
        <v/>
      </c>
      <c r="G3916" s="10" t="str">
        <v/>
      </c>
      <c r="H3916" s="11" t="str">
        <v/>
      </c>
      <c r="I3916" s="11" t="str">
        <v/>
      </c>
    </row>
    <row r="3917" spans="2:9">
      <c r="B3917" s="11" t="str">
        <f t="shared" si="311"/>
        <v/>
      </c>
      <c r="C3917" s="11" t="str">
        <f t="shared" ref="C3917:C3980" si="314">IF(B3917="артикул",A3917,"")</f>
        <v/>
      </c>
      <c r="D3917" s="11" t="str">
        <f t="shared" ref="D3917:D3980" si="315">IF(B3917="артикул",A3918,"")</f>
        <v/>
      </c>
      <c r="E3917" s="11" t="str">
        <f t="shared" si="312"/>
        <v/>
      </c>
      <c r="F3917" s="11" t="str">
        <f t="shared" si="313"/>
        <v/>
      </c>
      <c r="G3917" s="10" t="str">
        <v/>
      </c>
      <c r="H3917" s="11" t="str">
        <v/>
      </c>
      <c r="I3917" s="11" t="str">
        <v/>
      </c>
    </row>
    <row r="3918" spans="2:9">
      <c r="B3918" s="11" t="str">
        <f t="shared" si="311"/>
        <v/>
      </c>
      <c r="C3918" s="11" t="str">
        <f t="shared" si="314"/>
        <v/>
      </c>
      <c r="D3918" s="11" t="str">
        <f t="shared" si="315"/>
        <v/>
      </c>
      <c r="E3918" s="11" t="str">
        <f t="shared" si="312"/>
        <v/>
      </c>
      <c r="F3918" s="11" t="str">
        <f t="shared" si="313"/>
        <v/>
      </c>
      <c r="G3918" s="10" t="str">
        <v/>
      </c>
      <c r="H3918" s="11" t="str">
        <v/>
      </c>
      <c r="I3918" s="11" t="str">
        <v/>
      </c>
    </row>
    <row r="3919" spans="2:9">
      <c r="B3919" s="11" t="str">
        <f t="shared" si="311"/>
        <v/>
      </c>
      <c r="C3919" s="11" t="str">
        <f t="shared" si="314"/>
        <v/>
      </c>
      <c r="D3919" s="11" t="str">
        <f t="shared" si="315"/>
        <v/>
      </c>
      <c r="E3919" s="11" t="str">
        <f t="shared" si="312"/>
        <v/>
      </c>
      <c r="F3919" s="11" t="str">
        <f t="shared" si="313"/>
        <v/>
      </c>
      <c r="G3919" s="10" t="str">
        <v/>
      </c>
      <c r="H3919" s="11" t="str">
        <v/>
      </c>
      <c r="I3919" s="11" t="str">
        <v/>
      </c>
    </row>
    <row r="3920" spans="2:9">
      <c r="B3920" s="11" t="str">
        <f t="shared" si="311"/>
        <v/>
      </c>
      <c r="C3920" s="11" t="str">
        <f t="shared" si="314"/>
        <v/>
      </c>
      <c r="D3920" s="11" t="str">
        <f t="shared" si="315"/>
        <v/>
      </c>
      <c r="E3920" s="11" t="str">
        <f t="shared" si="312"/>
        <v/>
      </c>
      <c r="F3920" s="11" t="str">
        <f t="shared" si="313"/>
        <v/>
      </c>
      <c r="G3920" s="10" t="str">
        <v/>
      </c>
      <c r="H3920" s="11" t="str">
        <v/>
      </c>
      <c r="I3920" s="11" t="str">
        <v/>
      </c>
    </row>
    <row r="3921" spans="2:9">
      <c r="B3921" s="11" t="str">
        <f t="shared" si="311"/>
        <v/>
      </c>
      <c r="C3921" s="11" t="str">
        <f t="shared" si="314"/>
        <v/>
      </c>
      <c r="D3921" s="11" t="str">
        <f t="shared" si="315"/>
        <v/>
      </c>
      <c r="E3921" s="11" t="str">
        <f t="shared" si="312"/>
        <v/>
      </c>
      <c r="F3921" s="11" t="str">
        <f t="shared" si="313"/>
        <v/>
      </c>
      <c r="G3921" s="10" t="str">
        <v/>
      </c>
      <c r="H3921" s="11" t="str">
        <v/>
      </c>
      <c r="I3921" s="11" t="str">
        <v/>
      </c>
    </row>
    <row r="3922" spans="2:9">
      <c r="B3922" s="11" t="str">
        <f t="shared" si="311"/>
        <v/>
      </c>
      <c r="C3922" s="11" t="str">
        <f t="shared" si="314"/>
        <v/>
      </c>
      <c r="D3922" s="11" t="str">
        <f t="shared" si="315"/>
        <v/>
      </c>
      <c r="E3922" s="11" t="str">
        <f t="shared" si="312"/>
        <v/>
      </c>
      <c r="F3922" s="11" t="str">
        <f t="shared" si="313"/>
        <v/>
      </c>
      <c r="G3922" s="10" t="str">
        <v/>
      </c>
      <c r="H3922" s="11" t="str">
        <v/>
      </c>
      <c r="I3922" s="11" t="str">
        <v/>
      </c>
    </row>
    <row r="3923" spans="2:9">
      <c r="B3923" s="11" t="str">
        <f t="shared" si="311"/>
        <v/>
      </c>
      <c r="C3923" s="11" t="str">
        <f t="shared" si="314"/>
        <v/>
      </c>
      <c r="D3923" s="11" t="str">
        <f t="shared" si="315"/>
        <v/>
      </c>
      <c r="E3923" s="11" t="str">
        <f t="shared" si="312"/>
        <v/>
      </c>
      <c r="F3923" s="11" t="str">
        <f t="shared" si="313"/>
        <v/>
      </c>
      <c r="G3923" s="10" t="str">
        <v/>
      </c>
      <c r="H3923" s="11" t="str">
        <v/>
      </c>
      <c r="I3923" s="11" t="str">
        <v/>
      </c>
    </row>
    <row r="3924" spans="2:9">
      <c r="B3924" s="11" t="str">
        <f t="shared" si="311"/>
        <v/>
      </c>
      <c r="C3924" s="11" t="str">
        <f t="shared" si="314"/>
        <v/>
      </c>
      <c r="D3924" s="11" t="str">
        <f t="shared" si="315"/>
        <v/>
      </c>
      <c r="E3924" s="11" t="str">
        <f t="shared" si="312"/>
        <v/>
      </c>
      <c r="F3924" s="11" t="str">
        <f t="shared" si="313"/>
        <v/>
      </c>
      <c r="G3924" s="10" t="str">
        <v/>
      </c>
      <c r="H3924" s="11" t="str">
        <v/>
      </c>
      <c r="I3924" s="11" t="str">
        <v/>
      </c>
    </row>
    <row r="3925" spans="2:9">
      <c r="B3925" s="11" t="str">
        <f t="shared" si="311"/>
        <v/>
      </c>
      <c r="C3925" s="11" t="str">
        <f t="shared" si="314"/>
        <v/>
      </c>
      <c r="D3925" s="11" t="str">
        <f t="shared" si="315"/>
        <v/>
      </c>
      <c r="E3925" s="11" t="str">
        <f t="shared" si="312"/>
        <v/>
      </c>
      <c r="F3925" s="11" t="str">
        <f t="shared" si="313"/>
        <v/>
      </c>
      <c r="G3925" s="10" t="str">
        <v/>
      </c>
      <c r="H3925" s="11" t="str">
        <v/>
      </c>
      <c r="I3925" s="11" t="str">
        <v/>
      </c>
    </row>
    <row r="3926" spans="2:9">
      <c r="B3926" s="11" t="str">
        <f t="shared" si="311"/>
        <v/>
      </c>
      <c r="C3926" s="11" t="str">
        <f t="shared" si="314"/>
        <v/>
      </c>
      <c r="D3926" s="11" t="str">
        <f t="shared" si="315"/>
        <v/>
      </c>
      <c r="E3926" s="11" t="str">
        <f t="shared" si="312"/>
        <v/>
      </c>
      <c r="F3926" s="11" t="str">
        <f t="shared" si="313"/>
        <v/>
      </c>
      <c r="G3926" s="10" t="str">
        <v/>
      </c>
      <c r="H3926" s="11" t="str">
        <v/>
      </c>
      <c r="I3926" s="11" t="str">
        <v/>
      </c>
    </row>
    <row r="3927" spans="2:9">
      <c r="B3927" s="11" t="str">
        <f t="shared" si="311"/>
        <v/>
      </c>
      <c r="C3927" s="11" t="str">
        <f t="shared" si="314"/>
        <v/>
      </c>
      <c r="D3927" s="11" t="str">
        <f t="shared" si="315"/>
        <v/>
      </c>
      <c r="E3927" s="11" t="str">
        <f t="shared" si="312"/>
        <v/>
      </c>
      <c r="F3927" s="11" t="str">
        <f t="shared" si="313"/>
        <v/>
      </c>
      <c r="G3927" s="10" t="str">
        <v/>
      </c>
      <c r="H3927" s="11" t="str">
        <v/>
      </c>
      <c r="I3927" s="11" t="str">
        <v/>
      </c>
    </row>
    <row r="3928" spans="2:9">
      <c r="B3928" s="11" t="str">
        <f t="shared" si="311"/>
        <v/>
      </c>
      <c r="C3928" s="11" t="str">
        <f t="shared" si="314"/>
        <v/>
      </c>
      <c r="D3928" s="11" t="str">
        <f t="shared" si="315"/>
        <v/>
      </c>
      <c r="E3928" s="11" t="str">
        <f t="shared" si="312"/>
        <v/>
      </c>
      <c r="F3928" s="11" t="str">
        <f t="shared" si="313"/>
        <v/>
      </c>
      <c r="G3928" s="10" t="str">
        <v/>
      </c>
      <c r="H3928" s="11" t="str">
        <v/>
      </c>
      <c r="I3928" s="11" t="str">
        <v/>
      </c>
    </row>
    <row r="3929" spans="2:9">
      <c r="B3929" s="11" t="str">
        <f t="shared" si="311"/>
        <v/>
      </c>
      <c r="C3929" s="11" t="str">
        <f t="shared" si="314"/>
        <v/>
      </c>
      <c r="D3929" s="11" t="str">
        <f t="shared" si="315"/>
        <v/>
      </c>
      <c r="E3929" s="11" t="str">
        <f t="shared" si="312"/>
        <v/>
      </c>
      <c r="F3929" s="11" t="str">
        <f t="shared" si="313"/>
        <v/>
      </c>
      <c r="G3929" s="10" t="str">
        <v/>
      </c>
      <c r="H3929" s="11" t="str">
        <v/>
      </c>
      <c r="I3929" s="11" t="str">
        <v/>
      </c>
    </row>
    <row r="3930" spans="2:9">
      <c r="B3930" s="11" t="str">
        <f t="shared" si="311"/>
        <v/>
      </c>
      <c r="C3930" s="11" t="str">
        <f t="shared" si="314"/>
        <v/>
      </c>
      <c r="D3930" s="11" t="str">
        <f t="shared" si="315"/>
        <v/>
      </c>
      <c r="E3930" s="11" t="str">
        <f t="shared" si="312"/>
        <v/>
      </c>
      <c r="F3930" s="11" t="str">
        <f t="shared" si="313"/>
        <v/>
      </c>
      <c r="G3930" s="10" t="str">
        <v/>
      </c>
      <c r="H3930" s="11" t="str">
        <v/>
      </c>
      <c r="I3930" s="11" t="str">
        <v/>
      </c>
    </row>
    <row r="3931" spans="2:9">
      <c r="B3931" s="11" t="str">
        <f t="shared" si="311"/>
        <v/>
      </c>
      <c r="C3931" s="11" t="str">
        <f t="shared" si="314"/>
        <v/>
      </c>
      <c r="D3931" s="11" t="str">
        <f t="shared" si="315"/>
        <v/>
      </c>
      <c r="E3931" s="11" t="str">
        <f t="shared" si="312"/>
        <v/>
      </c>
      <c r="F3931" s="11" t="str">
        <f t="shared" si="313"/>
        <v/>
      </c>
      <c r="G3931" s="10" t="str">
        <v/>
      </c>
      <c r="H3931" s="11" t="str">
        <v/>
      </c>
      <c r="I3931" s="11" t="str">
        <v/>
      </c>
    </row>
    <row r="3932" spans="2:9">
      <c r="B3932" s="11" t="str">
        <f t="shared" si="311"/>
        <v/>
      </c>
      <c r="C3932" s="11" t="str">
        <f t="shared" si="314"/>
        <v/>
      </c>
      <c r="D3932" s="11" t="str">
        <f t="shared" si="315"/>
        <v/>
      </c>
      <c r="E3932" s="11" t="str">
        <f t="shared" si="312"/>
        <v/>
      </c>
      <c r="F3932" s="11" t="str">
        <f t="shared" si="313"/>
        <v/>
      </c>
      <c r="G3932" s="10" t="str">
        <v/>
      </c>
      <c r="H3932" s="11" t="str">
        <v/>
      </c>
      <c r="I3932" s="11" t="str">
        <v/>
      </c>
    </row>
    <row r="3933" spans="2:9">
      <c r="B3933" s="11" t="str">
        <f t="shared" si="311"/>
        <v/>
      </c>
      <c r="C3933" s="11" t="str">
        <f t="shared" si="314"/>
        <v/>
      </c>
      <c r="D3933" s="11" t="str">
        <f t="shared" si="315"/>
        <v/>
      </c>
      <c r="E3933" s="11" t="str">
        <f t="shared" si="312"/>
        <v/>
      </c>
      <c r="F3933" s="11" t="str">
        <f t="shared" si="313"/>
        <v/>
      </c>
      <c r="G3933" s="10" t="str">
        <v/>
      </c>
      <c r="H3933" s="11" t="str">
        <v/>
      </c>
      <c r="I3933" s="11" t="str">
        <v/>
      </c>
    </row>
    <row r="3934" spans="2:9">
      <c r="B3934" s="11" t="str">
        <f t="shared" si="311"/>
        <v/>
      </c>
      <c r="C3934" s="11" t="str">
        <f t="shared" si="314"/>
        <v/>
      </c>
      <c r="D3934" s="11" t="str">
        <f t="shared" si="315"/>
        <v/>
      </c>
      <c r="E3934" s="11" t="str">
        <f t="shared" si="312"/>
        <v/>
      </c>
      <c r="F3934" s="11" t="str">
        <f t="shared" si="313"/>
        <v/>
      </c>
      <c r="G3934" s="10" t="str">
        <v/>
      </c>
      <c r="H3934" s="11" t="str">
        <v/>
      </c>
      <c r="I3934" s="11" t="str">
        <v/>
      </c>
    </row>
    <row r="3935" spans="2:9">
      <c r="B3935" s="11" t="str">
        <f t="shared" si="311"/>
        <v/>
      </c>
      <c r="C3935" s="11" t="str">
        <f t="shared" si="314"/>
        <v/>
      </c>
      <c r="D3935" s="11" t="str">
        <f t="shared" si="315"/>
        <v/>
      </c>
      <c r="E3935" s="11" t="str">
        <f t="shared" si="312"/>
        <v/>
      </c>
      <c r="F3935" s="11" t="str">
        <f t="shared" si="313"/>
        <v/>
      </c>
      <c r="G3935" s="10" t="str">
        <v/>
      </c>
      <c r="H3935" s="11" t="str">
        <v/>
      </c>
      <c r="I3935" s="11" t="str">
        <v/>
      </c>
    </row>
    <row r="3936" spans="2:9">
      <c r="B3936" s="11" t="str">
        <f t="shared" si="311"/>
        <v/>
      </c>
      <c r="C3936" s="11" t="str">
        <f t="shared" si="314"/>
        <v/>
      </c>
      <c r="D3936" s="11" t="str">
        <f t="shared" si="315"/>
        <v/>
      </c>
      <c r="E3936" s="11" t="str">
        <f t="shared" si="312"/>
        <v/>
      </c>
      <c r="F3936" s="11" t="str">
        <f t="shared" si="313"/>
        <v/>
      </c>
      <c r="G3936" s="10" t="str">
        <v/>
      </c>
      <c r="H3936" s="11" t="str">
        <v/>
      </c>
      <c r="I3936" s="11" t="str">
        <v/>
      </c>
    </row>
    <row r="3937" spans="2:9">
      <c r="B3937" s="11" t="str">
        <f t="shared" si="311"/>
        <v/>
      </c>
      <c r="C3937" s="11" t="str">
        <f t="shared" si="314"/>
        <v/>
      </c>
      <c r="D3937" s="11" t="str">
        <f t="shared" si="315"/>
        <v/>
      </c>
      <c r="E3937" s="11" t="str">
        <f t="shared" si="312"/>
        <v/>
      </c>
      <c r="F3937" s="11" t="str">
        <f t="shared" si="313"/>
        <v/>
      </c>
      <c r="G3937" s="10" t="str">
        <v/>
      </c>
      <c r="H3937" s="11" t="str">
        <v/>
      </c>
      <c r="I3937" s="11" t="str">
        <v/>
      </c>
    </row>
    <row r="3938" spans="2:9">
      <c r="B3938" s="11" t="str">
        <f t="shared" si="311"/>
        <v/>
      </c>
      <c r="C3938" s="11" t="str">
        <f t="shared" si="314"/>
        <v/>
      </c>
      <c r="D3938" s="11" t="str">
        <f t="shared" si="315"/>
        <v/>
      </c>
      <c r="E3938" s="11" t="str">
        <f t="shared" si="312"/>
        <v/>
      </c>
      <c r="F3938" s="11" t="str">
        <f t="shared" si="313"/>
        <v/>
      </c>
      <c r="G3938" s="10" t="str">
        <v/>
      </c>
      <c r="H3938" s="11" t="str">
        <v/>
      </c>
      <c r="I3938" s="11" t="str">
        <v/>
      </c>
    </row>
    <row r="3939" spans="2:9">
      <c r="B3939" s="11" t="str">
        <f t="shared" si="311"/>
        <v/>
      </c>
      <c r="C3939" s="11" t="str">
        <f t="shared" si="314"/>
        <v/>
      </c>
      <c r="D3939" s="11" t="str">
        <f t="shared" si="315"/>
        <v/>
      </c>
      <c r="E3939" s="11" t="str">
        <f t="shared" si="312"/>
        <v/>
      </c>
      <c r="F3939" s="11" t="str">
        <f t="shared" si="313"/>
        <v/>
      </c>
      <c r="G3939" s="10" t="str">
        <v/>
      </c>
      <c r="H3939" s="11" t="str">
        <v/>
      </c>
      <c r="I3939" s="11" t="str">
        <v/>
      </c>
    </row>
    <row r="3940" spans="2:9">
      <c r="B3940" s="11" t="str">
        <f t="shared" si="311"/>
        <v/>
      </c>
      <c r="C3940" s="11" t="str">
        <f t="shared" si="314"/>
        <v/>
      </c>
      <c r="D3940" s="11" t="str">
        <f t="shared" si="315"/>
        <v/>
      </c>
      <c r="E3940" s="11" t="str">
        <f t="shared" si="312"/>
        <v/>
      </c>
      <c r="F3940" s="11" t="str">
        <f t="shared" si="313"/>
        <v/>
      </c>
      <c r="G3940" s="10" t="str">
        <v/>
      </c>
      <c r="H3940" s="11" t="str">
        <v/>
      </c>
      <c r="I3940" s="11" t="str">
        <v/>
      </c>
    </row>
    <row r="3941" spans="2:9">
      <c r="B3941" s="11" t="str">
        <f t="shared" si="311"/>
        <v/>
      </c>
      <c r="C3941" s="11" t="str">
        <f t="shared" si="314"/>
        <v/>
      </c>
      <c r="D3941" s="11" t="str">
        <f t="shared" si="315"/>
        <v/>
      </c>
      <c r="E3941" s="11" t="str">
        <f t="shared" si="312"/>
        <v/>
      </c>
      <c r="F3941" s="11" t="str">
        <f t="shared" si="313"/>
        <v/>
      </c>
      <c r="G3941" s="10" t="str">
        <v/>
      </c>
      <c r="H3941" s="11" t="str">
        <v/>
      </c>
      <c r="I3941" s="11" t="str">
        <v/>
      </c>
    </row>
    <row r="3942" spans="2:9">
      <c r="B3942" s="11" t="str">
        <f t="shared" si="311"/>
        <v/>
      </c>
      <c r="C3942" s="11" t="str">
        <f t="shared" si="314"/>
        <v/>
      </c>
      <c r="D3942" s="11" t="str">
        <f t="shared" si="315"/>
        <v/>
      </c>
      <c r="E3942" s="11" t="str">
        <f t="shared" si="312"/>
        <v/>
      </c>
      <c r="F3942" s="11" t="str">
        <f t="shared" si="313"/>
        <v/>
      </c>
      <c r="G3942" s="10" t="str">
        <v/>
      </c>
      <c r="H3942" s="11" t="str">
        <v/>
      </c>
      <c r="I3942" s="11" t="str">
        <v/>
      </c>
    </row>
    <row r="3943" spans="2:9">
      <c r="B3943" s="11" t="str">
        <f t="shared" si="311"/>
        <v/>
      </c>
      <c r="C3943" s="11" t="str">
        <f t="shared" si="314"/>
        <v/>
      </c>
      <c r="D3943" s="11" t="str">
        <f t="shared" si="315"/>
        <v/>
      </c>
      <c r="E3943" s="11" t="str">
        <f t="shared" si="312"/>
        <v/>
      </c>
      <c r="F3943" s="11" t="str">
        <f t="shared" si="313"/>
        <v/>
      </c>
      <c r="G3943" s="10" t="str">
        <v/>
      </c>
      <c r="H3943" s="11" t="str">
        <v/>
      </c>
      <c r="I3943" s="11" t="str">
        <v/>
      </c>
    </row>
    <row r="3944" spans="2:9">
      <c r="B3944" s="11" t="str">
        <f t="shared" si="311"/>
        <v/>
      </c>
      <c r="C3944" s="11" t="str">
        <f t="shared" si="314"/>
        <v/>
      </c>
      <c r="D3944" s="11" t="str">
        <f t="shared" si="315"/>
        <v/>
      </c>
      <c r="E3944" s="11" t="str">
        <f t="shared" si="312"/>
        <v/>
      </c>
      <c r="F3944" s="11" t="str">
        <f t="shared" si="313"/>
        <v/>
      </c>
      <c r="G3944" s="10" t="str">
        <v/>
      </c>
      <c r="H3944" s="11" t="str">
        <v/>
      </c>
      <c r="I3944" s="11" t="str">
        <v/>
      </c>
    </row>
    <row r="3945" spans="2:9">
      <c r="B3945" s="11" t="str">
        <f t="shared" si="311"/>
        <v/>
      </c>
      <c r="C3945" s="11" t="str">
        <f t="shared" si="314"/>
        <v/>
      </c>
      <c r="D3945" s="11" t="str">
        <f t="shared" si="315"/>
        <v/>
      </c>
      <c r="E3945" s="11" t="str">
        <f t="shared" si="312"/>
        <v/>
      </c>
      <c r="F3945" s="11" t="str">
        <f t="shared" si="313"/>
        <v/>
      </c>
      <c r="G3945" s="10" t="str">
        <v/>
      </c>
      <c r="H3945" s="11" t="str">
        <v/>
      </c>
      <c r="I3945" s="11" t="str">
        <v/>
      </c>
    </row>
    <row r="3946" spans="2:9">
      <c r="B3946" s="11" t="str">
        <f t="shared" si="311"/>
        <v/>
      </c>
      <c r="C3946" s="11" t="str">
        <f t="shared" si="314"/>
        <v/>
      </c>
      <c r="D3946" s="11" t="str">
        <f t="shared" si="315"/>
        <v/>
      </c>
      <c r="E3946" s="11" t="str">
        <f t="shared" si="312"/>
        <v/>
      </c>
      <c r="F3946" s="11" t="str">
        <f t="shared" si="313"/>
        <v/>
      </c>
      <c r="G3946" s="10" t="str">
        <v/>
      </c>
      <c r="H3946" s="11" t="str">
        <v/>
      </c>
      <c r="I3946" s="11" t="str">
        <v/>
      </c>
    </row>
    <row r="3947" spans="2:9">
      <c r="B3947" s="11" t="str">
        <f t="shared" si="311"/>
        <v/>
      </c>
      <c r="C3947" s="11" t="str">
        <f t="shared" si="314"/>
        <v/>
      </c>
      <c r="D3947" s="11" t="str">
        <f t="shared" si="315"/>
        <v/>
      </c>
      <c r="E3947" s="11" t="str">
        <f t="shared" si="312"/>
        <v/>
      </c>
      <c r="F3947" s="11" t="str">
        <f t="shared" si="313"/>
        <v/>
      </c>
      <c r="G3947" s="10" t="str">
        <v/>
      </c>
      <c r="H3947" s="11" t="str">
        <v/>
      </c>
      <c r="I3947" s="11" t="str">
        <v/>
      </c>
    </row>
    <row r="3948" spans="2:9">
      <c r="B3948" s="11" t="str">
        <f t="shared" si="311"/>
        <v/>
      </c>
      <c r="C3948" s="11" t="str">
        <f t="shared" si="314"/>
        <v/>
      </c>
      <c r="D3948" s="11" t="str">
        <f t="shared" si="315"/>
        <v/>
      </c>
      <c r="E3948" s="11" t="str">
        <f t="shared" si="312"/>
        <v/>
      </c>
      <c r="F3948" s="11" t="str">
        <f t="shared" si="313"/>
        <v/>
      </c>
      <c r="G3948" s="10" t="str">
        <v/>
      </c>
      <c r="H3948" s="11" t="str">
        <v/>
      </c>
      <c r="I3948" s="11" t="str">
        <v/>
      </c>
    </row>
    <row r="3949" spans="2:9">
      <c r="B3949" s="11" t="str">
        <f t="shared" si="311"/>
        <v/>
      </c>
      <c r="C3949" s="11" t="str">
        <f t="shared" si="314"/>
        <v/>
      </c>
      <c r="D3949" s="11" t="str">
        <f t="shared" si="315"/>
        <v/>
      </c>
      <c r="E3949" s="11" t="str">
        <f t="shared" si="312"/>
        <v/>
      </c>
      <c r="F3949" s="11" t="str">
        <f t="shared" si="313"/>
        <v/>
      </c>
      <c r="G3949" s="10" t="str">
        <v/>
      </c>
      <c r="H3949" s="11" t="str">
        <v/>
      </c>
      <c r="I3949" s="11" t="str">
        <v/>
      </c>
    </row>
    <row r="3950" spans="2:9">
      <c r="B3950" s="11" t="str">
        <f t="shared" si="311"/>
        <v/>
      </c>
      <c r="C3950" s="11" t="str">
        <f t="shared" si="314"/>
        <v/>
      </c>
      <c r="D3950" s="11" t="str">
        <f t="shared" si="315"/>
        <v/>
      </c>
      <c r="E3950" s="11" t="str">
        <f t="shared" si="312"/>
        <v/>
      </c>
      <c r="F3950" s="11" t="str">
        <f t="shared" si="313"/>
        <v/>
      </c>
      <c r="G3950" s="10" t="str">
        <v/>
      </c>
      <c r="H3950" s="11" t="str">
        <v/>
      </c>
      <c r="I3950" s="11" t="str">
        <v/>
      </c>
    </row>
    <row r="3951" spans="2:9">
      <c r="B3951" s="11" t="str">
        <f t="shared" si="311"/>
        <v/>
      </c>
      <c r="C3951" s="11" t="str">
        <f t="shared" si="314"/>
        <v/>
      </c>
      <c r="D3951" s="11" t="str">
        <f t="shared" si="315"/>
        <v/>
      </c>
      <c r="E3951" s="11" t="str">
        <f t="shared" si="312"/>
        <v/>
      </c>
      <c r="F3951" s="11" t="str">
        <f t="shared" si="313"/>
        <v/>
      </c>
      <c r="G3951" s="10" t="str">
        <v/>
      </c>
      <c r="H3951" s="11" t="str">
        <v/>
      </c>
      <c r="I3951" s="11" t="str">
        <v/>
      </c>
    </row>
    <row r="3952" spans="2:9">
      <c r="B3952" s="11" t="str">
        <f t="shared" si="311"/>
        <v/>
      </c>
      <c r="C3952" s="11" t="str">
        <f t="shared" si="314"/>
        <v/>
      </c>
      <c r="D3952" s="11" t="str">
        <f t="shared" si="315"/>
        <v/>
      </c>
      <c r="E3952" s="11" t="str">
        <f t="shared" si="312"/>
        <v/>
      </c>
      <c r="F3952" s="11" t="str">
        <f t="shared" si="313"/>
        <v/>
      </c>
      <c r="G3952" s="10" t="str">
        <v/>
      </c>
      <c r="H3952" s="11" t="str">
        <v/>
      </c>
      <c r="I3952" s="11" t="str">
        <v/>
      </c>
    </row>
    <row r="3953" spans="2:9">
      <c r="B3953" s="11" t="str">
        <f t="shared" si="311"/>
        <v/>
      </c>
      <c r="C3953" s="11" t="str">
        <f t="shared" si="314"/>
        <v/>
      </c>
      <c r="D3953" s="11" t="str">
        <f t="shared" si="315"/>
        <v/>
      </c>
      <c r="E3953" s="11" t="str">
        <f t="shared" si="312"/>
        <v/>
      </c>
      <c r="F3953" s="11" t="str">
        <f t="shared" si="313"/>
        <v/>
      </c>
      <c r="G3953" s="10" t="str">
        <v/>
      </c>
      <c r="H3953" s="11" t="str">
        <v/>
      </c>
      <c r="I3953" s="11" t="str">
        <v/>
      </c>
    </row>
    <row r="3954" spans="2:9">
      <c r="B3954" s="11" t="str">
        <f t="shared" si="311"/>
        <v/>
      </c>
      <c r="C3954" s="11" t="str">
        <f t="shared" si="314"/>
        <v/>
      </c>
      <c r="D3954" s="11" t="str">
        <f t="shared" si="315"/>
        <v/>
      </c>
      <c r="E3954" s="11" t="str">
        <f t="shared" si="312"/>
        <v/>
      </c>
      <c r="F3954" s="11" t="str">
        <f t="shared" si="313"/>
        <v/>
      </c>
      <c r="G3954" s="10" t="str">
        <v/>
      </c>
      <c r="H3954" s="11" t="str">
        <v/>
      </c>
      <c r="I3954" s="11" t="str">
        <v/>
      </c>
    </row>
    <row r="3955" spans="2:9">
      <c r="B3955" s="11" t="str">
        <f t="shared" si="311"/>
        <v/>
      </c>
      <c r="C3955" s="11" t="str">
        <f t="shared" si="314"/>
        <v/>
      </c>
      <c r="D3955" s="11" t="str">
        <f t="shared" si="315"/>
        <v/>
      </c>
      <c r="E3955" s="11" t="str">
        <f t="shared" si="312"/>
        <v/>
      </c>
      <c r="F3955" s="11" t="str">
        <f t="shared" si="313"/>
        <v/>
      </c>
      <c r="G3955" s="10" t="str">
        <v/>
      </c>
      <c r="H3955" s="11" t="str">
        <v/>
      </c>
      <c r="I3955" s="11" t="str">
        <v/>
      </c>
    </row>
    <row r="3956" spans="2:9">
      <c r="B3956" s="11" t="str">
        <f t="shared" si="311"/>
        <v/>
      </c>
      <c r="C3956" s="11" t="str">
        <f t="shared" si="314"/>
        <v/>
      </c>
      <c r="D3956" s="11" t="str">
        <f t="shared" si="315"/>
        <v/>
      </c>
      <c r="E3956" s="11" t="str">
        <f t="shared" si="312"/>
        <v/>
      </c>
      <c r="F3956" s="11" t="str">
        <f t="shared" si="313"/>
        <v/>
      </c>
      <c r="G3956" s="10" t="str">
        <v/>
      </c>
      <c r="H3956" s="11" t="str">
        <v/>
      </c>
      <c r="I3956" s="11" t="str">
        <v/>
      </c>
    </row>
    <row r="3957" spans="2:9">
      <c r="B3957" s="11" t="str">
        <f t="shared" si="311"/>
        <v/>
      </c>
      <c r="C3957" s="11" t="str">
        <f t="shared" si="314"/>
        <v/>
      </c>
      <c r="D3957" s="11" t="str">
        <f t="shared" si="315"/>
        <v/>
      </c>
      <c r="E3957" s="11" t="str">
        <f t="shared" si="312"/>
        <v/>
      </c>
      <c r="F3957" s="11" t="str">
        <f t="shared" si="313"/>
        <v/>
      </c>
      <c r="G3957" s="10" t="str">
        <v/>
      </c>
      <c r="H3957" s="11" t="str">
        <v/>
      </c>
      <c r="I3957" s="11" t="str">
        <v/>
      </c>
    </row>
    <row r="3958" spans="2:9">
      <c r="B3958" s="11" t="str">
        <f t="shared" si="311"/>
        <v/>
      </c>
      <c r="C3958" s="11" t="str">
        <f t="shared" si="314"/>
        <v/>
      </c>
      <c r="D3958" s="11" t="str">
        <f t="shared" si="315"/>
        <v/>
      </c>
      <c r="E3958" s="11" t="str">
        <f t="shared" si="312"/>
        <v/>
      </c>
      <c r="F3958" s="11" t="str">
        <f t="shared" si="313"/>
        <v/>
      </c>
      <c r="G3958" s="10" t="str">
        <v/>
      </c>
      <c r="H3958" s="11" t="str">
        <v/>
      </c>
      <c r="I3958" s="11" t="str">
        <v/>
      </c>
    </row>
    <row r="3959" spans="2:9">
      <c r="B3959" s="11" t="str">
        <f t="shared" si="311"/>
        <v/>
      </c>
      <c r="C3959" s="11" t="str">
        <f t="shared" si="314"/>
        <v/>
      </c>
      <c r="D3959" s="11" t="str">
        <f t="shared" si="315"/>
        <v/>
      </c>
      <c r="E3959" s="11" t="str">
        <f t="shared" si="312"/>
        <v/>
      </c>
      <c r="F3959" s="11" t="str">
        <f t="shared" si="313"/>
        <v/>
      </c>
      <c r="G3959" s="10" t="str">
        <v/>
      </c>
      <c r="H3959" s="11" t="str">
        <v/>
      </c>
      <c r="I3959" s="11" t="str">
        <v/>
      </c>
    </row>
    <row r="3960" spans="2:9">
      <c r="B3960" s="11" t="str">
        <f t="shared" si="311"/>
        <v/>
      </c>
      <c r="C3960" s="11" t="str">
        <f t="shared" si="314"/>
        <v/>
      </c>
      <c r="D3960" s="11" t="str">
        <f t="shared" si="315"/>
        <v/>
      </c>
      <c r="E3960" s="11" t="str">
        <f t="shared" si="312"/>
        <v/>
      </c>
      <c r="F3960" s="11" t="str">
        <f t="shared" si="313"/>
        <v/>
      </c>
      <c r="G3960" s="10" t="str">
        <v/>
      </c>
      <c r="H3960" s="11" t="str">
        <v/>
      </c>
      <c r="I3960" s="11" t="str">
        <v/>
      </c>
    </row>
    <row r="3961" spans="2:9">
      <c r="B3961" s="11" t="str">
        <f t="shared" si="311"/>
        <v/>
      </c>
      <c r="C3961" s="11" t="str">
        <f t="shared" si="314"/>
        <v/>
      </c>
      <c r="D3961" s="11" t="str">
        <f t="shared" si="315"/>
        <v/>
      </c>
      <c r="E3961" s="11" t="str">
        <f t="shared" si="312"/>
        <v/>
      </c>
      <c r="F3961" s="11" t="str">
        <f t="shared" si="313"/>
        <v/>
      </c>
      <c r="G3961" s="10" t="str">
        <v/>
      </c>
      <c r="H3961" s="11" t="str">
        <v/>
      </c>
      <c r="I3961" s="11" t="str">
        <v/>
      </c>
    </row>
    <row r="3962" spans="2:9">
      <c r="B3962" s="11" t="str">
        <f t="shared" si="311"/>
        <v/>
      </c>
      <c r="C3962" s="11" t="str">
        <f t="shared" si="314"/>
        <v/>
      </c>
      <c r="D3962" s="11" t="str">
        <f t="shared" si="315"/>
        <v/>
      </c>
      <c r="E3962" s="11" t="str">
        <f t="shared" si="312"/>
        <v/>
      </c>
      <c r="F3962" s="11" t="str">
        <f t="shared" si="313"/>
        <v/>
      </c>
      <c r="G3962" s="10" t="str">
        <v/>
      </c>
      <c r="H3962" s="11" t="str">
        <v/>
      </c>
      <c r="I3962" s="11" t="str">
        <v/>
      </c>
    </row>
    <row r="3963" spans="2:9">
      <c r="B3963" s="11" t="str">
        <f t="shared" si="311"/>
        <v/>
      </c>
      <c r="C3963" s="11" t="str">
        <f t="shared" si="314"/>
        <v/>
      </c>
      <c r="D3963" s="11" t="str">
        <f t="shared" si="315"/>
        <v/>
      </c>
      <c r="E3963" s="11" t="str">
        <f t="shared" si="312"/>
        <v/>
      </c>
      <c r="F3963" s="11" t="str">
        <f t="shared" si="313"/>
        <v/>
      </c>
      <c r="G3963" s="10" t="str">
        <v/>
      </c>
      <c r="H3963" s="11" t="str">
        <v/>
      </c>
      <c r="I3963" s="11" t="str">
        <v/>
      </c>
    </row>
    <row r="3964" spans="2:9">
      <c r="B3964" s="11" t="str">
        <f t="shared" si="311"/>
        <v/>
      </c>
      <c r="C3964" s="11" t="str">
        <f t="shared" si="314"/>
        <v/>
      </c>
      <c r="D3964" s="11" t="str">
        <f t="shared" si="315"/>
        <v/>
      </c>
      <c r="E3964" s="11" t="str">
        <f t="shared" si="312"/>
        <v/>
      </c>
      <c r="F3964" s="11" t="str">
        <f t="shared" si="313"/>
        <v/>
      </c>
      <c r="G3964" s="10" t="str">
        <v/>
      </c>
      <c r="H3964" s="11" t="str">
        <v/>
      </c>
      <c r="I3964" s="11" t="str">
        <v/>
      </c>
    </row>
    <row r="3965" spans="2:9">
      <c r="B3965" s="11" t="str">
        <f t="shared" si="311"/>
        <v/>
      </c>
      <c r="C3965" s="11" t="str">
        <f t="shared" si="314"/>
        <v/>
      </c>
      <c r="D3965" s="11" t="str">
        <f t="shared" si="315"/>
        <v/>
      </c>
      <c r="E3965" s="11" t="str">
        <f t="shared" si="312"/>
        <v/>
      </c>
      <c r="F3965" s="11" t="str">
        <f t="shared" si="313"/>
        <v/>
      </c>
      <c r="G3965" s="10" t="str">
        <v/>
      </c>
      <c r="H3965" s="11" t="str">
        <v/>
      </c>
      <c r="I3965" s="11" t="str">
        <v/>
      </c>
    </row>
    <row r="3966" spans="2:9">
      <c r="B3966" s="11" t="str">
        <f t="shared" si="311"/>
        <v/>
      </c>
      <c r="C3966" s="11" t="str">
        <f t="shared" si="314"/>
        <v/>
      </c>
      <c r="D3966" s="11" t="str">
        <f t="shared" si="315"/>
        <v/>
      </c>
      <c r="E3966" s="11" t="str">
        <f t="shared" si="312"/>
        <v/>
      </c>
      <c r="F3966" s="11" t="str">
        <f t="shared" si="313"/>
        <v/>
      </c>
      <c r="G3966" s="10" t="str">
        <v/>
      </c>
      <c r="H3966" s="11" t="str">
        <v/>
      </c>
      <c r="I3966" s="11" t="str">
        <v/>
      </c>
    </row>
    <row r="3967" spans="2:9">
      <c r="B3967" s="11" t="str">
        <f t="shared" si="311"/>
        <v/>
      </c>
      <c r="C3967" s="11" t="str">
        <f t="shared" si="314"/>
        <v/>
      </c>
      <c r="D3967" s="11" t="str">
        <f t="shared" si="315"/>
        <v/>
      </c>
      <c r="E3967" s="11" t="str">
        <f t="shared" si="312"/>
        <v/>
      </c>
      <c r="F3967" s="11" t="str">
        <f t="shared" si="313"/>
        <v/>
      </c>
      <c r="G3967" s="10" t="str">
        <v/>
      </c>
      <c r="H3967" s="11" t="str">
        <v/>
      </c>
      <c r="I3967" s="11" t="str">
        <v/>
      </c>
    </row>
    <row r="3968" spans="2:9">
      <c r="B3968" s="11" t="str">
        <f t="shared" si="311"/>
        <v/>
      </c>
      <c r="C3968" s="11" t="str">
        <f t="shared" si="314"/>
        <v/>
      </c>
      <c r="D3968" s="11" t="str">
        <f t="shared" si="315"/>
        <v/>
      </c>
      <c r="E3968" s="11" t="str">
        <f t="shared" si="312"/>
        <v/>
      </c>
      <c r="F3968" s="11" t="str">
        <f t="shared" si="313"/>
        <v/>
      </c>
      <c r="G3968" s="10" t="str">
        <v/>
      </c>
      <c r="H3968" s="11" t="str">
        <v/>
      </c>
      <c r="I3968" s="11" t="str">
        <v/>
      </c>
    </row>
    <row r="3969" spans="2:9">
      <c r="B3969" s="11" t="str">
        <f t="shared" ref="B3969:B4032" si="316">IFERROR(IF(FIND(" ",A3969)=6,IF(IFERROR(FIND(" PB",A3969),"")&lt;&gt;"","артикул",IF(IFERROR(FIND(" CRN",A3969),"")&lt;&gt;"","артикул","")),""),"")</f>
        <v/>
      </c>
      <c r="C3969" s="11" t="str">
        <f t="shared" si="314"/>
        <v/>
      </c>
      <c r="D3969" s="11" t="str">
        <f t="shared" si="315"/>
        <v/>
      </c>
      <c r="E3969" s="11" t="str">
        <f t="shared" si="312"/>
        <v/>
      </c>
      <c r="F3969" s="11" t="str">
        <f t="shared" si="313"/>
        <v/>
      </c>
      <c r="G3969" s="10" t="str">
        <v/>
      </c>
      <c r="H3969" s="11" t="str">
        <v/>
      </c>
      <c r="I3969" s="11" t="str">
        <v/>
      </c>
    </row>
    <row r="3970" spans="2:9">
      <c r="B3970" s="11" t="str">
        <f t="shared" si="316"/>
        <v/>
      </c>
      <c r="C3970" s="11" t="str">
        <f t="shared" si="314"/>
        <v/>
      </c>
      <c r="D3970" s="11" t="str">
        <f t="shared" si="315"/>
        <v/>
      </c>
      <c r="E3970" s="11" t="str">
        <f t="shared" ref="E3970:E4033" si="317" xml:space="preserve">
IF(B3970="Артикул",
IF(
AND(RIGHT(A3971,1)="%",
RIGHT(A3972,1)="%",
RIGHT(A3973,1)="%",
RIGHT(A3974,1)="%"),MID(A3975,FIND(" ",A3975),50),
IF(
AND(RIGHT(A3971,1)="%",
RIGHT(A3972,1)="%",
RIGHT(A3973,1)="%"),MID(A3974,FIND(" ",A3974),50),
IF(
AND(RIGHT(A3971,1)="%",
RIGHT(A3972,1)="%"),
MID(A3973,FIND(" ",A3973),50),
IF(
RIGHT(A3971,1)="%",
MID(A3972,FIND(" ",A3972),50),"")))),"")</f>
        <v/>
      </c>
      <c r="F3970" s="11" t="str">
        <f t="shared" ref="F3970:F4033" si="318">IFERROR(
IF(
AND(LEFT(A3970,8)="Discount",FIND("%",A3970)&gt;0),
MID(A3970,
FIND(" ",A3970),
FIND("%",A3970)-FIND(" ",A3970))
*-1,""),"")</f>
        <v/>
      </c>
      <c r="G3970" s="10" t="str">
        <v/>
      </c>
      <c r="H3970" s="11" t="str">
        <v/>
      </c>
      <c r="I3970" s="11" t="str">
        <v/>
      </c>
    </row>
    <row r="3971" spans="2:9">
      <c r="B3971" s="11" t="str">
        <f t="shared" si="316"/>
        <v/>
      </c>
      <c r="C3971" s="11" t="str">
        <f t="shared" si="314"/>
        <v/>
      </c>
      <c r="D3971" s="11" t="str">
        <f t="shared" si="315"/>
        <v/>
      </c>
      <c r="E3971" s="11" t="str">
        <f t="shared" si="317"/>
        <v/>
      </c>
      <c r="F3971" s="11" t="str">
        <f t="shared" si="318"/>
        <v/>
      </c>
      <c r="G3971" s="10" t="str">
        <v/>
      </c>
      <c r="H3971" s="11" t="str">
        <v/>
      </c>
      <c r="I3971" s="11" t="str">
        <v/>
      </c>
    </row>
    <row r="3972" spans="2:9">
      <c r="B3972" s="11" t="str">
        <f t="shared" si="316"/>
        <v/>
      </c>
      <c r="C3972" s="11" t="str">
        <f t="shared" si="314"/>
        <v/>
      </c>
      <c r="D3972" s="11" t="str">
        <f t="shared" si="315"/>
        <v/>
      </c>
      <c r="E3972" s="11" t="str">
        <f t="shared" si="317"/>
        <v/>
      </c>
      <c r="F3972" s="11" t="str">
        <f t="shared" si="318"/>
        <v/>
      </c>
      <c r="G3972" s="10" t="str">
        <v/>
      </c>
      <c r="H3972" s="11" t="str">
        <v/>
      </c>
      <c r="I3972" s="11" t="str">
        <v/>
      </c>
    </row>
    <row r="3973" spans="2:9">
      <c r="B3973" s="11" t="str">
        <f t="shared" si="316"/>
        <v/>
      </c>
      <c r="C3973" s="11" t="str">
        <f t="shared" si="314"/>
        <v/>
      </c>
      <c r="D3973" s="11" t="str">
        <f t="shared" si="315"/>
        <v/>
      </c>
      <c r="E3973" s="11" t="str">
        <f t="shared" si="317"/>
        <v/>
      </c>
      <c r="F3973" s="11" t="str">
        <f t="shared" si="318"/>
        <v/>
      </c>
      <c r="G3973" s="10" t="str">
        <v/>
      </c>
      <c r="H3973" s="11" t="str">
        <v/>
      </c>
      <c r="I3973" s="11" t="str">
        <v/>
      </c>
    </row>
    <row r="3974" spans="2:9">
      <c r="B3974" s="11" t="str">
        <f t="shared" si="316"/>
        <v/>
      </c>
      <c r="C3974" s="11" t="str">
        <f t="shared" si="314"/>
        <v/>
      </c>
      <c r="D3974" s="11" t="str">
        <f t="shared" si="315"/>
        <v/>
      </c>
      <c r="E3974" s="11" t="str">
        <f t="shared" si="317"/>
        <v/>
      </c>
      <c r="F3974" s="11" t="str">
        <f t="shared" si="318"/>
        <v/>
      </c>
      <c r="G3974" s="10" t="str">
        <v/>
      </c>
      <c r="H3974" s="11" t="str">
        <v/>
      </c>
      <c r="I3974" s="11" t="str">
        <v/>
      </c>
    </row>
    <row r="3975" spans="2:9">
      <c r="B3975" s="11" t="str">
        <f t="shared" si="316"/>
        <v/>
      </c>
      <c r="C3975" s="11" t="str">
        <f t="shared" si="314"/>
        <v/>
      </c>
      <c r="D3975" s="11" t="str">
        <f t="shared" si="315"/>
        <v/>
      </c>
      <c r="E3975" s="11" t="str">
        <f t="shared" si="317"/>
        <v/>
      </c>
      <c r="F3975" s="11" t="str">
        <f t="shared" si="318"/>
        <v/>
      </c>
      <c r="G3975" s="10" t="str">
        <v/>
      </c>
      <c r="H3975" s="11" t="str">
        <v/>
      </c>
      <c r="I3975" s="11" t="str">
        <v/>
      </c>
    </row>
    <row r="3976" spans="2:9">
      <c r="B3976" s="11" t="str">
        <f t="shared" si="316"/>
        <v/>
      </c>
      <c r="C3976" s="11" t="str">
        <f t="shared" si="314"/>
        <v/>
      </c>
      <c r="D3976" s="11" t="str">
        <f t="shared" si="315"/>
        <v/>
      </c>
      <c r="E3976" s="11" t="str">
        <f t="shared" si="317"/>
        <v/>
      </c>
      <c r="F3976" s="11" t="str">
        <f t="shared" si="318"/>
        <v/>
      </c>
      <c r="G3976" s="10" t="str">
        <v/>
      </c>
      <c r="H3976" s="11" t="str">
        <v/>
      </c>
      <c r="I3976" s="11" t="str">
        <v/>
      </c>
    </row>
    <row r="3977" spans="2:9">
      <c r="B3977" s="11" t="str">
        <f t="shared" si="316"/>
        <v/>
      </c>
      <c r="C3977" s="11" t="str">
        <f t="shared" si="314"/>
        <v/>
      </c>
      <c r="D3977" s="11" t="str">
        <f t="shared" si="315"/>
        <v/>
      </c>
      <c r="E3977" s="11" t="str">
        <f t="shared" si="317"/>
        <v/>
      </c>
      <c r="F3977" s="11" t="str">
        <f t="shared" si="318"/>
        <v/>
      </c>
      <c r="G3977" s="10" t="str">
        <v/>
      </c>
      <c r="H3977" s="11" t="str">
        <v/>
      </c>
      <c r="I3977" s="11" t="str">
        <v/>
      </c>
    </row>
    <row r="3978" spans="2:9">
      <c r="B3978" s="11" t="str">
        <f t="shared" si="316"/>
        <v/>
      </c>
      <c r="C3978" s="11" t="str">
        <f t="shared" si="314"/>
        <v/>
      </c>
      <c r="D3978" s="11" t="str">
        <f t="shared" si="315"/>
        <v/>
      </c>
      <c r="E3978" s="11" t="str">
        <f t="shared" si="317"/>
        <v/>
      </c>
      <c r="F3978" s="11" t="str">
        <f t="shared" si="318"/>
        <v/>
      </c>
      <c r="G3978" s="10" t="str">
        <v/>
      </c>
      <c r="H3978" s="11" t="str">
        <v/>
      </c>
      <c r="I3978" s="11" t="str">
        <v/>
      </c>
    </row>
    <row r="3979" spans="2:9">
      <c r="B3979" s="11" t="str">
        <f t="shared" si="316"/>
        <v/>
      </c>
      <c r="C3979" s="11" t="str">
        <f t="shared" si="314"/>
        <v/>
      </c>
      <c r="D3979" s="11" t="str">
        <f t="shared" si="315"/>
        <v/>
      </c>
      <c r="E3979" s="11" t="str">
        <f t="shared" si="317"/>
        <v/>
      </c>
      <c r="F3979" s="11" t="str">
        <f t="shared" si="318"/>
        <v/>
      </c>
      <c r="G3979" s="10" t="str">
        <v/>
      </c>
      <c r="H3979" s="11" t="str">
        <v/>
      </c>
      <c r="I3979" s="11" t="str">
        <v/>
      </c>
    </row>
    <row r="3980" spans="2:9">
      <c r="B3980" s="11" t="str">
        <f t="shared" si="316"/>
        <v/>
      </c>
      <c r="C3980" s="11" t="str">
        <f t="shared" si="314"/>
        <v/>
      </c>
      <c r="D3980" s="11" t="str">
        <f t="shared" si="315"/>
        <v/>
      </c>
      <c r="E3980" s="11" t="str">
        <f t="shared" si="317"/>
        <v/>
      </c>
      <c r="F3980" s="11" t="str">
        <f t="shared" si="318"/>
        <v/>
      </c>
      <c r="G3980" s="10" t="str">
        <v/>
      </c>
      <c r="H3980" s="11" t="str">
        <v/>
      </c>
      <c r="I3980" s="11" t="str">
        <v/>
      </c>
    </row>
    <row r="3981" spans="2:9">
      <c r="B3981" s="11" t="str">
        <f t="shared" si="316"/>
        <v/>
      </c>
      <c r="C3981" s="11" t="str">
        <f t="shared" ref="C3981:C4044" si="319">IF(B3981="артикул",A3981,"")</f>
        <v/>
      </c>
      <c r="D3981" s="11" t="str">
        <f t="shared" ref="D3981:D4044" si="320">IF(B3981="артикул",A3982,"")</f>
        <v/>
      </c>
      <c r="E3981" s="11" t="str">
        <f t="shared" si="317"/>
        <v/>
      </c>
      <c r="F3981" s="11" t="str">
        <f t="shared" si="318"/>
        <v/>
      </c>
      <c r="G3981" s="10" t="str">
        <v/>
      </c>
      <c r="H3981" s="11" t="str">
        <v/>
      </c>
      <c r="I3981" s="11" t="str">
        <v/>
      </c>
    </row>
    <row r="3982" spans="2:9">
      <c r="B3982" s="11" t="str">
        <f t="shared" si="316"/>
        <v/>
      </c>
      <c r="C3982" s="11" t="str">
        <f t="shared" si="319"/>
        <v/>
      </c>
      <c r="D3982" s="11" t="str">
        <f t="shared" si="320"/>
        <v/>
      </c>
      <c r="E3982" s="11" t="str">
        <f t="shared" si="317"/>
        <v/>
      </c>
      <c r="F3982" s="11" t="str">
        <f t="shared" si="318"/>
        <v/>
      </c>
      <c r="G3982" s="10" t="str">
        <v/>
      </c>
      <c r="H3982" s="11" t="str">
        <v/>
      </c>
      <c r="I3982" s="11" t="str">
        <v/>
      </c>
    </row>
    <row r="3983" spans="2:9">
      <c r="B3983" s="11" t="str">
        <f t="shared" si="316"/>
        <v/>
      </c>
      <c r="C3983" s="11" t="str">
        <f t="shared" si="319"/>
        <v/>
      </c>
      <c r="D3983" s="11" t="str">
        <f t="shared" si="320"/>
        <v/>
      </c>
      <c r="E3983" s="11" t="str">
        <f t="shared" si="317"/>
        <v/>
      </c>
      <c r="F3983" s="11" t="str">
        <f t="shared" si="318"/>
        <v/>
      </c>
      <c r="G3983" s="10" t="str">
        <v/>
      </c>
      <c r="H3983" s="11" t="str">
        <v/>
      </c>
      <c r="I3983" s="11" t="str">
        <v/>
      </c>
    </row>
    <row r="3984" spans="2:9">
      <c r="B3984" s="11" t="str">
        <f t="shared" si="316"/>
        <v/>
      </c>
      <c r="C3984" s="11" t="str">
        <f t="shared" si="319"/>
        <v/>
      </c>
      <c r="D3984" s="11" t="str">
        <f t="shared" si="320"/>
        <v/>
      </c>
      <c r="E3984" s="11" t="str">
        <f t="shared" si="317"/>
        <v/>
      </c>
      <c r="F3984" s="11" t="str">
        <f t="shared" si="318"/>
        <v/>
      </c>
      <c r="G3984" s="10" t="str">
        <v/>
      </c>
      <c r="H3984" s="11" t="str">
        <v/>
      </c>
      <c r="I3984" s="11" t="str">
        <v/>
      </c>
    </row>
    <row r="3985" spans="2:9">
      <c r="B3985" s="11" t="str">
        <f t="shared" si="316"/>
        <v/>
      </c>
      <c r="C3985" s="11" t="str">
        <f t="shared" si="319"/>
        <v/>
      </c>
      <c r="D3985" s="11" t="str">
        <f t="shared" si="320"/>
        <v/>
      </c>
      <c r="E3985" s="11" t="str">
        <f t="shared" si="317"/>
        <v/>
      </c>
      <c r="F3985" s="11" t="str">
        <f t="shared" si="318"/>
        <v/>
      </c>
      <c r="G3985" s="10" t="str">
        <v/>
      </c>
      <c r="H3985" s="11" t="str">
        <v/>
      </c>
      <c r="I3985" s="11" t="str">
        <v/>
      </c>
    </row>
    <row r="3986" spans="2:9">
      <c r="B3986" s="11" t="str">
        <f t="shared" si="316"/>
        <v/>
      </c>
      <c r="C3986" s="11" t="str">
        <f t="shared" si="319"/>
        <v/>
      </c>
      <c r="D3986" s="11" t="str">
        <f t="shared" si="320"/>
        <v/>
      </c>
      <c r="E3986" s="11" t="str">
        <f t="shared" si="317"/>
        <v/>
      </c>
      <c r="F3986" s="11" t="str">
        <f t="shared" si="318"/>
        <v/>
      </c>
      <c r="G3986" s="10" t="str">
        <v/>
      </c>
      <c r="H3986" s="11" t="str">
        <v/>
      </c>
      <c r="I3986" s="11" t="str">
        <v/>
      </c>
    </row>
    <row r="3987" spans="2:9">
      <c r="B3987" s="11" t="str">
        <f t="shared" si="316"/>
        <v/>
      </c>
      <c r="C3987" s="11" t="str">
        <f t="shared" si="319"/>
        <v/>
      </c>
      <c r="D3987" s="11" t="str">
        <f t="shared" si="320"/>
        <v/>
      </c>
      <c r="E3987" s="11" t="str">
        <f t="shared" si="317"/>
        <v/>
      </c>
      <c r="F3987" s="11" t="str">
        <f t="shared" si="318"/>
        <v/>
      </c>
      <c r="G3987" s="10" t="str">
        <v/>
      </c>
      <c r="H3987" s="11" t="str">
        <v/>
      </c>
      <c r="I3987" s="11" t="str">
        <v/>
      </c>
    </row>
    <row r="3988" spans="2:9">
      <c r="B3988" s="11" t="str">
        <f t="shared" si="316"/>
        <v/>
      </c>
      <c r="C3988" s="11" t="str">
        <f t="shared" si="319"/>
        <v/>
      </c>
      <c r="D3988" s="11" t="str">
        <f t="shared" si="320"/>
        <v/>
      </c>
      <c r="E3988" s="11" t="str">
        <f t="shared" si="317"/>
        <v/>
      </c>
      <c r="F3988" s="11" t="str">
        <f t="shared" si="318"/>
        <v/>
      </c>
      <c r="G3988" s="10" t="str">
        <v/>
      </c>
      <c r="H3988" s="11" t="str">
        <v/>
      </c>
      <c r="I3988" s="11" t="str">
        <v/>
      </c>
    </row>
    <row r="3989" spans="2:9">
      <c r="B3989" s="11" t="str">
        <f t="shared" si="316"/>
        <v/>
      </c>
      <c r="C3989" s="11" t="str">
        <f t="shared" si="319"/>
        <v/>
      </c>
      <c r="D3989" s="11" t="str">
        <f t="shared" si="320"/>
        <v/>
      </c>
      <c r="E3989" s="11" t="str">
        <f t="shared" si="317"/>
        <v/>
      </c>
      <c r="F3989" s="11" t="str">
        <f t="shared" si="318"/>
        <v/>
      </c>
      <c r="G3989" s="10" t="str">
        <v/>
      </c>
      <c r="H3989" s="11" t="str">
        <v/>
      </c>
      <c r="I3989" s="11" t="str">
        <v/>
      </c>
    </row>
    <row r="3990" spans="2:9">
      <c r="B3990" s="11" t="str">
        <f t="shared" si="316"/>
        <v/>
      </c>
      <c r="C3990" s="11" t="str">
        <f t="shared" si="319"/>
        <v/>
      </c>
      <c r="D3990" s="11" t="str">
        <f t="shared" si="320"/>
        <v/>
      </c>
      <c r="E3990" s="11" t="str">
        <f t="shared" si="317"/>
        <v/>
      </c>
      <c r="F3990" s="11" t="str">
        <f t="shared" si="318"/>
        <v/>
      </c>
      <c r="G3990" s="10" t="str">
        <v/>
      </c>
      <c r="H3990" s="11" t="str">
        <v/>
      </c>
      <c r="I3990" s="11" t="str">
        <v/>
      </c>
    </row>
    <row r="3991" spans="2:9">
      <c r="B3991" s="11" t="str">
        <f t="shared" si="316"/>
        <v/>
      </c>
      <c r="C3991" s="11" t="str">
        <f t="shared" si="319"/>
        <v/>
      </c>
      <c r="D3991" s="11" t="str">
        <f t="shared" si="320"/>
        <v/>
      </c>
      <c r="E3991" s="11" t="str">
        <f t="shared" si="317"/>
        <v/>
      </c>
      <c r="F3991" s="11" t="str">
        <f t="shared" si="318"/>
        <v/>
      </c>
      <c r="G3991" s="10" t="str">
        <v/>
      </c>
      <c r="H3991" s="11" t="str">
        <v/>
      </c>
      <c r="I3991" s="11" t="str">
        <v/>
      </c>
    </row>
    <row r="3992" spans="2:9">
      <c r="B3992" s="11" t="str">
        <f t="shared" si="316"/>
        <v/>
      </c>
      <c r="C3992" s="11" t="str">
        <f t="shared" si="319"/>
        <v/>
      </c>
      <c r="D3992" s="11" t="str">
        <f t="shared" si="320"/>
        <v/>
      </c>
      <c r="E3992" s="11" t="str">
        <f t="shared" si="317"/>
        <v/>
      </c>
      <c r="F3992" s="11" t="str">
        <f t="shared" si="318"/>
        <v/>
      </c>
      <c r="G3992" s="10" t="str">
        <v/>
      </c>
      <c r="H3992" s="11" t="str">
        <v/>
      </c>
      <c r="I3992" s="11" t="str">
        <v/>
      </c>
    </row>
    <row r="3993" spans="2:9">
      <c r="B3993" s="11" t="str">
        <f t="shared" si="316"/>
        <v/>
      </c>
      <c r="C3993" s="11" t="str">
        <f t="shared" si="319"/>
        <v/>
      </c>
      <c r="D3993" s="11" t="str">
        <f t="shared" si="320"/>
        <v/>
      </c>
      <c r="E3993" s="11" t="str">
        <f t="shared" si="317"/>
        <v/>
      </c>
      <c r="F3993" s="11" t="str">
        <f t="shared" si="318"/>
        <v/>
      </c>
      <c r="G3993" s="10" t="str">
        <v/>
      </c>
      <c r="H3993" s="11" t="str">
        <v/>
      </c>
      <c r="I3993" s="11" t="str">
        <v/>
      </c>
    </row>
    <row r="3994" spans="2:9">
      <c r="B3994" s="11" t="str">
        <f t="shared" si="316"/>
        <v/>
      </c>
      <c r="C3994" s="11" t="str">
        <f t="shared" si="319"/>
        <v/>
      </c>
      <c r="D3994" s="11" t="str">
        <f t="shared" si="320"/>
        <v/>
      </c>
      <c r="E3994" s="11" t="str">
        <f t="shared" si="317"/>
        <v/>
      </c>
      <c r="F3994" s="11" t="str">
        <f t="shared" si="318"/>
        <v/>
      </c>
      <c r="G3994" s="10" t="str">
        <v/>
      </c>
      <c r="H3994" s="11" t="str">
        <v/>
      </c>
      <c r="I3994" s="11" t="str">
        <v/>
      </c>
    </row>
    <row r="3995" spans="2:9">
      <c r="B3995" s="11" t="str">
        <f t="shared" si="316"/>
        <v/>
      </c>
      <c r="C3995" s="11" t="str">
        <f t="shared" si="319"/>
        <v/>
      </c>
      <c r="D3995" s="11" t="str">
        <f t="shared" si="320"/>
        <v/>
      </c>
      <c r="E3995" s="11" t="str">
        <f t="shared" si="317"/>
        <v/>
      </c>
      <c r="F3995" s="11" t="str">
        <f t="shared" si="318"/>
        <v/>
      </c>
      <c r="G3995" s="10" t="str">
        <v/>
      </c>
      <c r="H3995" s="11" t="str">
        <v/>
      </c>
      <c r="I3995" s="11" t="str">
        <v/>
      </c>
    </row>
    <row r="3996" spans="2:9">
      <c r="B3996" s="11" t="str">
        <f t="shared" si="316"/>
        <v/>
      </c>
      <c r="C3996" s="11" t="str">
        <f t="shared" si="319"/>
        <v/>
      </c>
      <c r="D3996" s="11" t="str">
        <f t="shared" si="320"/>
        <v/>
      </c>
      <c r="E3996" s="11" t="str">
        <f t="shared" si="317"/>
        <v/>
      </c>
      <c r="F3996" s="11" t="str">
        <f t="shared" si="318"/>
        <v/>
      </c>
      <c r="G3996" s="10" t="str">
        <v/>
      </c>
      <c r="H3996" s="11" t="str">
        <v/>
      </c>
      <c r="I3996" s="11" t="str">
        <v/>
      </c>
    </row>
    <row r="3997" spans="2:9">
      <c r="B3997" s="11" t="str">
        <f t="shared" si="316"/>
        <v/>
      </c>
      <c r="C3997" s="11" t="str">
        <f t="shared" si="319"/>
        <v/>
      </c>
      <c r="D3997" s="11" t="str">
        <f t="shared" si="320"/>
        <v/>
      </c>
      <c r="E3997" s="11" t="str">
        <f t="shared" si="317"/>
        <v/>
      </c>
      <c r="F3997" s="11" t="str">
        <f t="shared" si="318"/>
        <v/>
      </c>
      <c r="G3997" s="10" t="str">
        <v/>
      </c>
      <c r="H3997" s="11" t="str">
        <v/>
      </c>
      <c r="I3997" s="11" t="str">
        <v/>
      </c>
    </row>
    <row r="3998" spans="2:9">
      <c r="B3998" s="11" t="str">
        <f t="shared" si="316"/>
        <v/>
      </c>
      <c r="C3998" s="11" t="str">
        <f t="shared" si="319"/>
        <v/>
      </c>
      <c r="D3998" s="11" t="str">
        <f t="shared" si="320"/>
        <v/>
      </c>
      <c r="E3998" s="11" t="str">
        <f t="shared" si="317"/>
        <v/>
      </c>
      <c r="F3998" s="11" t="str">
        <f t="shared" si="318"/>
        <v/>
      </c>
      <c r="G3998" s="10" t="str">
        <v/>
      </c>
      <c r="H3998" s="11" t="str">
        <v/>
      </c>
      <c r="I3998" s="11" t="str">
        <v/>
      </c>
    </row>
    <row r="3999" spans="2:9">
      <c r="B3999" s="11" t="str">
        <f t="shared" si="316"/>
        <v/>
      </c>
      <c r="C3999" s="11" t="str">
        <f t="shared" si="319"/>
        <v/>
      </c>
      <c r="D3999" s="11" t="str">
        <f t="shared" si="320"/>
        <v/>
      </c>
      <c r="E3999" s="11" t="str">
        <f t="shared" si="317"/>
        <v/>
      </c>
      <c r="F3999" s="11" t="str">
        <f t="shared" si="318"/>
        <v/>
      </c>
      <c r="G3999" s="10" t="str">
        <v/>
      </c>
      <c r="H3999" s="11" t="str">
        <v/>
      </c>
      <c r="I3999" s="11" t="str">
        <v/>
      </c>
    </row>
    <row r="4000" spans="2:9">
      <c r="B4000" s="11" t="str">
        <f t="shared" si="316"/>
        <v/>
      </c>
      <c r="C4000" s="11" t="str">
        <f t="shared" si="319"/>
        <v/>
      </c>
      <c r="D4000" s="11" t="str">
        <f t="shared" si="320"/>
        <v/>
      </c>
      <c r="E4000" s="11" t="str">
        <f t="shared" si="317"/>
        <v/>
      </c>
      <c r="F4000" s="11" t="str">
        <f t="shared" si="318"/>
        <v/>
      </c>
      <c r="G4000" s="10" t="str">
        <v/>
      </c>
      <c r="H4000" s="11" t="str">
        <v/>
      </c>
      <c r="I4000" s="11" t="str">
        <v/>
      </c>
    </row>
    <row r="4001" spans="2:9">
      <c r="B4001" s="11" t="str">
        <f t="shared" si="316"/>
        <v/>
      </c>
      <c r="C4001" s="11" t="str">
        <f t="shared" si="319"/>
        <v/>
      </c>
      <c r="D4001" s="11" t="str">
        <f t="shared" si="320"/>
        <v/>
      </c>
      <c r="E4001" s="11" t="str">
        <f t="shared" si="317"/>
        <v/>
      </c>
      <c r="F4001" s="11" t="str">
        <f t="shared" si="318"/>
        <v/>
      </c>
      <c r="G4001" s="10" t="str">
        <v/>
      </c>
      <c r="H4001" s="11" t="str">
        <v/>
      </c>
      <c r="I4001" s="11" t="str">
        <v/>
      </c>
    </row>
    <row r="4002" spans="2:9">
      <c r="B4002" s="11" t="str">
        <f t="shared" si="316"/>
        <v/>
      </c>
      <c r="C4002" s="11" t="str">
        <f t="shared" si="319"/>
        <v/>
      </c>
      <c r="D4002" s="11" t="str">
        <f t="shared" si="320"/>
        <v/>
      </c>
      <c r="E4002" s="11" t="str">
        <f t="shared" si="317"/>
        <v/>
      </c>
      <c r="F4002" s="11" t="str">
        <f t="shared" si="318"/>
        <v/>
      </c>
      <c r="G4002" s="10" t="str">
        <v/>
      </c>
      <c r="H4002" s="11" t="str">
        <v/>
      </c>
      <c r="I4002" s="11" t="str">
        <v/>
      </c>
    </row>
    <row r="4003" spans="2:9">
      <c r="B4003" s="11" t="str">
        <f t="shared" si="316"/>
        <v/>
      </c>
      <c r="C4003" s="11" t="str">
        <f t="shared" si="319"/>
        <v/>
      </c>
      <c r="D4003" s="11" t="str">
        <f t="shared" si="320"/>
        <v/>
      </c>
      <c r="E4003" s="11" t="str">
        <f t="shared" si="317"/>
        <v/>
      </c>
      <c r="F4003" s="11" t="str">
        <f t="shared" si="318"/>
        <v/>
      </c>
      <c r="G4003" s="10" t="str">
        <v/>
      </c>
      <c r="H4003" s="11" t="str">
        <v/>
      </c>
      <c r="I4003" s="11" t="str">
        <v/>
      </c>
    </row>
    <row r="4004" spans="2:9">
      <c r="B4004" s="11" t="str">
        <f t="shared" si="316"/>
        <v/>
      </c>
      <c r="C4004" s="11" t="str">
        <f t="shared" si="319"/>
        <v/>
      </c>
      <c r="D4004" s="11" t="str">
        <f t="shared" si="320"/>
        <v/>
      </c>
      <c r="E4004" s="11" t="str">
        <f t="shared" si="317"/>
        <v/>
      </c>
      <c r="F4004" s="11" t="str">
        <f t="shared" si="318"/>
        <v/>
      </c>
      <c r="G4004" s="10" t="str">
        <v/>
      </c>
      <c r="H4004" s="11" t="str">
        <v/>
      </c>
      <c r="I4004" s="11" t="str">
        <v/>
      </c>
    </row>
    <row r="4005" spans="2:9">
      <c r="B4005" s="11" t="str">
        <f t="shared" si="316"/>
        <v/>
      </c>
      <c r="C4005" s="11" t="str">
        <f t="shared" si="319"/>
        <v/>
      </c>
      <c r="D4005" s="11" t="str">
        <f t="shared" si="320"/>
        <v/>
      </c>
      <c r="E4005" s="11" t="str">
        <f t="shared" si="317"/>
        <v/>
      </c>
      <c r="F4005" s="11" t="str">
        <f t="shared" si="318"/>
        <v/>
      </c>
      <c r="G4005" s="10" t="str">
        <v/>
      </c>
      <c r="H4005" s="11" t="str">
        <v/>
      </c>
      <c r="I4005" s="11" t="str">
        <v/>
      </c>
    </row>
    <row r="4006" spans="2:9">
      <c r="B4006" s="11" t="str">
        <f t="shared" si="316"/>
        <v/>
      </c>
      <c r="C4006" s="11" t="str">
        <f t="shared" si="319"/>
        <v/>
      </c>
      <c r="D4006" s="11" t="str">
        <f t="shared" si="320"/>
        <v/>
      </c>
      <c r="E4006" s="11" t="str">
        <f t="shared" si="317"/>
        <v/>
      </c>
      <c r="F4006" s="11" t="str">
        <f t="shared" si="318"/>
        <v/>
      </c>
      <c r="G4006" s="10" t="str">
        <v/>
      </c>
      <c r="H4006" s="11" t="str">
        <v/>
      </c>
      <c r="I4006" s="11" t="str">
        <v/>
      </c>
    </row>
    <row r="4007" spans="2:9">
      <c r="B4007" s="11" t="str">
        <f t="shared" si="316"/>
        <v/>
      </c>
      <c r="C4007" s="11" t="str">
        <f t="shared" si="319"/>
        <v/>
      </c>
      <c r="D4007" s="11" t="str">
        <f t="shared" si="320"/>
        <v/>
      </c>
      <c r="E4007" s="11" t="str">
        <f t="shared" si="317"/>
        <v/>
      </c>
      <c r="F4007" s="11" t="str">
        <f t="shared" si="318"/>
        <v/>
      </c>
      <c r="G4007" s="10" t="str">
        <v/>
      </c>
      <c r="H4007" s="11" t="str">
        <v/>
      </c>
      <c r="I4007" s="11" t="str">
        <v/>
      </c>
    </row>
    <row r="4008" spans="2:9">
      <c r="B4008" s="11" t="str">
        <f t="shared" si="316"/>
        <v/>
      </c>
      <c r="C4008" s="11" t="str">
        <f t="shared" si="319"/>
        <v/>
      </c>
      <c r="D4008" s="11" t="str">
        <f t="shared" si="320"/>
        <v/>
      </c>
      <c r="E4008" s="11" t="str">
        <f t="shared" si="317"/>
        <v/>
      </c>
      <c r="F4008" s="11" t="str">
        <f t="shared" si="318"/>
        <v/>
      </c>
      <c r="G4008" s="10" t="str">
        <v/>
      </c>
      <c r="H4008" s="11" t="str">
        <v/>
      </c>
      <c r="I4008" s="11" t="str">
        <v/>
      </c>
    </row>
    <row r="4009" spans="2:9">
      <c r="B4009" s="11" t="str">
        <f t="shared" si="316"/>
        <v/>
      </c>
      <c r="C4009" s="11" t="str">
        <f t="shared" si="319"/>
        <v/>
      </c>
      <c r="D4009" s="11" t="str">
        <f t="shared" si="320"/>
        <v/>
      </c>
      <c r="E4009" s="11" t="str">
        <f t="shared" si="317"/>
        <v/>
      </c>
      <c r="F4009" s="11" t="str">
        <f t="shared" si="318"/>
        <v/>
      </c>
      <c r="G4009" s="10" t="str">
        <v/>
      </c>
      <c r="H4009" s="11" t="str">
        <v/>
      </c>
      <c r="I4009" s="11" t="str">
        <v/>
      </c>
    </row>
    <row r="4010" spans="2:9">
      <c r="B4010" s="11" t="str">
        <f t="shared" si="316"/>
        <v/>
      </c>
      <c r="C4010" s="11" t="str">
        <f t="shared" si="319"/>
        <v/>
      </c>
      <c r="D4010" s="11" t="str">
        <f t="shared" si="320"/>
        <v/>
      </c>
      <c r="E4010" s="11" t="str">
        <f t="shared" si="317"/>
        <v/>
      </c>
      <c r="F4010" s="11" t="str">
        <f t="shared" si="318"/>
        <v/>
      </c>
      <c r="G4010" s="10" t="str">
        <v/>
      </c>
      <c r="H4010" s="11" t="str">
        <v/>
      </c>
      <c r="I4010" s="11" t="str">
        <v/>
      </c>
    </row>
    <row r="4011" spans="2:9">
      <c r="B4011" s="11" t="str">
        <f t="shared" si="316"/>
        <v/>
      </c>
      <c r="C4011" s="11" t="str">
        <f t="shared" si="319"/>
        <v/>
      </c>
      <c r="D4011" s="11" t="str">
        <f t="shared" si="320"/>
        <v/>
      </c>
      <c r="E4011" s="11" t="str">
        <f t="shared" si="317"/>
        <v/>
      </c>
      <c r="F4011" s="11" t="str">
        <f t="shared" si="318"/>
        <v/>
      </c>
      <c r="G4011" s="10" t="str">
        <v/>
      </c>
      <c r="H4011" s="11" t="str">
        <v/>
      </c>
      <c r="I4011" s="11" t="str">
        <v/>
      </c>
    </row>
    <row r="4012" spans="2:9">
      <c r="B4012" s="11" t="str">
        <f t="shared" si="316"/>
        <v/>
      </c>
      <c r="C4012" s="11" t="str">
        <f t="shared" si="319"/>
        <v/>
      </c>
      <c r="D4012" s="11" t="str">
        <f t="shared" si="320"/>
        <v/>
      </c>
      <c r="E4012" s="11" t="str">
        <f t="shared" si="317"/>
        <v/>
      </c>
      <c r="F4012" s="11" t="str">
        <f t="shared" si="318"/>
        <v/>
      </c>
      <c r="G4012" s="10" t="str">
        <v/>
      </c>
      <c r="H4012" s="11" t="str">
        <v/>
      </c>
      <c r="I4012" s="11" t="str">
        <v/>
      </c>
    </row>
    <row r="4013" spans="2:9">
      <c r="B4013" s="11" t="str">
        <f t="shared" si="316"/>
        <v/>
      </c>
      <c r="C4013" s="11" t="str">
        <f t="shared" si="319"/>
        <v/>
      </c>
      <c r="D4013" s="11" t="str">
        <f t="shared" si="320"/>
        <v/>
      </c>
      <c r="E4013" s="11" t="str">
        <f t="shared" si="317"/>
        <v/>
      </c>
      <c r="F4013" s="11" t="str">
        <f t="shared" si="318"/>
        <v/>
      </c>
      <c r="G4013" s="10" t="str">
        <v/>
      </c>
      <c r="H4013" s="11" t="str">
        <v/>
      </c>
      <c r="I4013" s="11" t="str">
        <v/>
      </c>
    </row>
    <row r="4014" spans="2:9">
      <c r="B4014" s="11" t="str">
        <f t="shared" si="316"/>
        <v/>
      </c>
      <c r="C4014" s="11" t="str">
        <f t="shared" si="319"/>
        <v/>
      </c>
      <c r="D4014" s="11" t="str">
        <f t="shared" si="320"/>
        <v/>
      </c>
      <c r="E4014" s="11" t="str">
        <f t="shared" si="317"/>
        <v/>
      </c>
      <c r="F4014" s="11" t="str">
        <f t="shared" si="318"/>
        <v/>
      </c>
      <c r="G4014" s="10" t="str">
        <v/>
      </c>
      <c r="H4014" s="11" t="str">
        <v/>
      </c>
      <c r="I4014" s="11" t="str">
        <v/>
      </c>
    </row>
    <row r="4015" spans="2:9">
      <c r="B4015" s="11" t="str">
        <f t="shared" si="316"/>
        <v/>
      </c>
      <c r="C4015" s="11" t="str">
        <f t="shared" si="319"/>
        <v/>
      </c>
      <c r="D4015" s="11" t="str">
        <f t="shared" si="320"/>
        <v/>
      </c>
      <c r="E4015" s="11" t="str">
        <f t="shared" si="317"/>
        <v/>
      </c>
      <c r="F4015" s="11" t="str">
        <f t="shared" si="318"/>
        <v/>
      </c>
      <c r="G4015" s="10" t="str">
        <v/>
      </c>
      <c r="H4015" s="11" t="str">
        <v/>
      </c>
      <c r="I4015" s="11" t="str">
        <v/>
      </c>
    </row>
    <row r="4016" spans="2:9">
      <c r="B4016" s="11" t="str">
        <f t="shared" si="316"/>
        <v/>
      </c>
      <c r="C4016" s="11" t="str">
        <f t="shared" si="319"/>
        <v/>
      </c>
      <c r="D4016" s="11" t="str">
        <f t="shared" si="320"/>
        <v/>
      </c>
      <c r="E4016" s="11" t="str">
        <f t="shared" si="317"/>
        <v/>
      </c>
      <c r="F4016" s="11" t="str">
        <f t="shared" si="318"/>
        <v/>
      </c>
      <c r="G4016" s="10" t="str">
        <v/>
      </c>
      <c r="H4016" s="11" t="str">
        <v/>
      </c>
      <c r="I4016" s="11" t="str">
        <v/>
      </c>
    </row>
    <row r="4017" spans="2:9">
      <c r="B4017" s="11" t="str">
        <f t="shared" si="316"/>
        <v/>
      </c>
      <c r="C4017" s="11" t="str">
        <f t="shared" si="319"/>
        <v/>
      </c>
      <c r="D4017" s="11" t="str">
        <f t="shared" si="320"/>
        <v/>
      </c>
      <c r="E4017" s="11" t="str">
        <f t="shared" si="317"/>
        <v/>
      </c>
      <c r="F4017" s="11" t="str">
        <f t="shared" si="318"/>
        <v/>
      </c>
      <c r="G4017" s="10" t="str">
        <v/>
      </c>
      <c r="H4017" s="11" t="str">
        <v/>
      </c>
      <c r="I4017" s="11" t="str">
        <v/>
      </c>
    </row>
    <row r="4018" spans="2:9">
      <c r="B4018" s="11" t="str">
        <f t="shared" si="316"/>
        <v/>
      </c>
      <c r="C4018" s="11" t="str">
        <f t="shared" si="319"/>
        <v/>
      </c>
      <c r="D4018" s="11" t="str">
        <f t="shared" si="320"/>
        <v/>
      </c>
      <c r="E4018" s="11" t="str">
        <f t="shared" si="317"/>
        <v/>
      </c>
      <c r="F4018" s="11" t="str">
        <f t="shared" si="318"/>
        <v/>
      </c>
      <c r="G4018" s="10" t="str">
        <v/>
      </c>
      <c r="H4018" s="11" t="str">
        <v/>
      </c>
      <c r="I4018" s="11" t="str">
        <v/>
      </c>
    </row>
    <row r="4019" spans="2:9">
      <c r="B4019" s="11" t="str">
        <f t="shared" si="316"/>
        <v/>
      </c>
      <c r="C4019" s="11" t="str">
        <f t="shared" si="319"/>
        <v/>
      </c>
      <c r="D4019" s="11" t="str">
        <f t="shared" si="320"/>
        <v/>
      </c>
      <c r="E4019" s="11" t="str">
        <f t="shared" si="317"/>
        <v/>
      </c>
      <c r="F4019" s="11" t="str">
        <f t="shared" si="318"/>
        <v/>
      </c>
      <c r="G4019" s="10" t="str">
        <v/>
      </c>
      <c r="H4019" s="11" t="str">
        <v/>
      </c>
      <c r="I4019" s="11" t="str">
        <v/>
      </c>
    </row>
    <row r="4020" spans="2:9">
      <c r="B4020" s="11" t="str">
        <f t="shared" si="316"/>
        <v/>
      </c>
      <c r="C4020" s="11" t="str">
        <f t="shared" si="319"/>
        <v/>
      </c>
      <c r="D4020" s="11" t="str">
        <f t="shared" si="320"/>
        <v/>
      </c>
      <c r="E4020" s="11" t="str">
        <f t="shared" si="317"/>
        <v/>
      </c>
      <c r="F4020" s="11" t="str">
        <f t="shared" si="318"/>
        <v/>
      </c>
      <c r="G4020" s="10" t="str">
        <v/>
      </c>
      <c r="H4020" s="11" t="str">
        <v/>
      </c>
      <c r="I4020" s="11" t="str">
        <v/>
      </c>
    </row>
    <row r="4021" spans="2:9">
      <c r="B4021" s="11" t="str">
        <f t="shared" si="316"/>
        <v/>
      </c>
      <c r="C4021" s="11" t="str">
        <f t="shared" si="319"/>
        <v/>
      </c>
      <c r="D4021" s="11" t="str">
        <f t="shared" si="320"/>
        <v/>
      </c>
      <c r="E4021" s="11" t="str">
        <f t="shared" si="317"/>
        <v/>
      </c>
      <c r="F4021" s="11" t="str">
        <f t="shared" si="318"/>
        <v/>
      </c>
      <c r="G4021" s="10" t="str">
        <v/>
      </c>
      <c r="H4021" s="11" t="str">
        <v/>
      </c>
      <c r="I4021" s="11" t="str">
        <v/>
      </c>
    </row>
    <row r="4022" spans="2:9">
      <c r="B4022" s="11" t="str">
        <f t="shared" si="316"/>
        <v/>
      </c>
      <c r="C4022" s="11" t="str">
        <f t="shared" si="319"/>
        <v/>
      </c>
      <c r="D4022" s="11" t="str">
        <f t="shared" si="320"/>
        <v/>
      </c>
      <c r="E4022" s="11" t="str">
        <f t="shared" si="317"/>
        <v/>
      </c>
      <c r="F4022" s="11" t="str">
        <f t="shared" si="318"/>
        <v/>
      </c>
      <c r="G4022" s="10" t="str">
        <v/>
      </c>
      <c r="H4022" s="11" t="str">
        <v/>
      </c>
      <c r="I4022" s="11" t="str">
        <v/>
      </c>
    </row>
    <row r="4023" spans="2:9">
      <c r="B4023" s="11" t="str">
        <f t="shared" si="316"/>
        <v/>
      </c>
      <c r="C4023" s="11" t="str">
        <f t="shared" si="319"/>
        <v/>
      </c>
      <c r="D4023" s="11" t="str">
        <f t="shared" si="320"/>
        <v/>
      </c>
      <c r="E4023" s="11" t="str">
        <f t="shared" si="317"/>
        <v/>
      </c>
      <c r="F4023" s="11" t="str">
        <f t="shared" si="318"/>
        <v/>
      </c>
      <c r="G4023" s="10" t="str">
        <v/>
      </c>
      <c r="H4023" s="11" t="str">
        <v/>
      </c>
      <c r="I4023" s="11" t="str">
        <v/>
      </c>
    </row>
    <row r="4024" spans="2:9">
      <c r="B4024" s="11" t="str">
        <f t="shared" si="316"/>
        <v/>
      </c>
      <c r="C4024" s="11" t="str">
        <f t="shared" si="319"/>
        <v/>
      </c>
      <c r="D4024" s="11" t="str">
        <f t="shared" si="320"/>
        <v/>
      </c>
      <c r="E4024" s="11" t="str">
        <f t="shared" si="317"/>
        <v/>
      </c>
      <c r="F4024" s="11" t="str">
        <f t="shared" si="318"/>
        <v/>
      </c>
      <c r="G4024" s="10" t="str">
        <v/>
      </c>
      <c r="H4024" s="11" t="str">
        <v/>
      </c>
      <c r="I4024" s="11" t="str">
        <v/>
      </c>
    </row>
    <row r="4025" spans="2:9">
      <c r="B4025" s="11" t="str">
        <f t="shared" si="316"/>
        <v/>
      </c>
      <c r="C4025" s="11" t="str">
        <f t="shared" si="319"/>
        <v/>
      </c>
      <c r="D4025" s="11" t="str">
        <f t="shared" si="320"/>
        <v/>
      </c>
      <c r="E4025" s="11" t="str">
        <f t="shared" si="317"/>
        <v/>
      </c>
      <c r="F4025" s="11" t="str">
        <f t="shared" si="318"/>
        <v/>
      </c>
      <c r="G4025" s="10" t="str">
        <v/>
      </c>
      <c r="H4025" s="11" t="str">
        <v/>
      </c>
      <c r="I4025" s="11" t="str">
        <v/>
      </c>
    </row>
    <row r="4026" spans="2:9">
      <c r="B4026" s="11" t="str">
        <f t="shared" si="316"/>
        <v/>
      </c>
      <c r="C4026" s="11" t="str">
        <f t="shared" si="319"/>
        <v/>
      </c>
      <c r="D4026" s="11" t="str">
        <f t="shared" si="320"/>
        <v/>
      </c>
      <c r="E4026" s="11" t="str">
        <f t="shared" si="317"/>
        <v/>
      </c>
      <c r="F4026" s="11" t="str">
        <f t="shared" si="318"/>
        <v/>
      </c>
      <c r="G4026" s="10" t="str">
        <v/>
      </c>
      <c r="H4026" s="11" t="str">
        <v/>
      </c>
      <c r="I4026" s="11" t="str">
        <v/>
      </c>
    </row>
    <row r="4027" spans="2:9">
      <c r="B4027" s="11" t="str">
        <f t="shared" si="316"/>
        <v/>
      </c>
      <c r="C4027" s="11" t="str">
        <f t="shared" si="319"/>
        <v/>
      </c>
      <c r="D4027" s="11" t="str">
        <f t="shared" si="320"/>
        <v/>
      </c>
      <c r="E4027" s="11" t="str">
        <f t="shared" si="317"/>
        <v/>
      </c>
      <c r="F4027" s="11" t="str">
        <f t="shared" si="318"/>
        <v/>
      </c>
      <c r="G4027" s="10" t="str">
        <v/>
      </c>
      <c r="H4027" s="11" t="str">
        <v/>
      </c>
      <c r="I4027" s="11" t="str">
        <v/>
      </c>
    </row>
    <row r="4028" spans="2:9">
      <c r="B4028" s="11" t="str">
        <f t="shared" si="316"/>
        <v/>
      </c>
      <c r="C4028" s="11" t="str">
        <f t="shared" si="319"/>
        <v/>
      </c>
      <c r="D4028" s="11" t="str">
        <f t="shared" si="320"/>
        <v/>
      </c>
      <c r="E4028" s="11" t="str">
        <f t="shared" si="317"/>
        <v/>
      </c>
      <c r="F4028" s="11" t="str">
        <f t="shared" si="318"/>
        <v/>
      </c>
      <c r="G4028" s="10" t="str">
        <v/>
      </c>
      <c r="H4028" s="11" t="str">
        <v/>
      </c>
      <c r="I4028" s="11" t="str">
        <v/>
      </c>
    </row>
    <row r="4029" spans="2:9">
      <c r="B4029" s="11" t="str">
        <f t="shared" si="316"/>
        <v/>
      </c>
      <c r="C4029" s="11" t="str">
        <f t="shared" si="319"/>
        <v/>
      </c>
      <c r="D4029" s="11" t="str">
        <f t="shared" si="320"/>
        <v/>
      </c>
      <c r="E4029" s="11" t="str">
        <f t="shared" si="317"/>
        <v/>
      </c>
      <c r="F4029" s="11" t="str">
        <f t="shared" si="318"/>
        <v/>
      </c>
      <c r="G4029" s="10" t="str">
        <v/>
      </c>
      <c r="H4029" s="11" t="str">
        <v/>
      </c>
      <c r="I4029" s="11" t="str">
        <v/>
      </c>
    </row>
    <row r="4030" spans="2:9">
      <c r="B4030" s="11" t="str">
        <f t="shared" si="316"/>
        <v/>
      </c>
      <c r="C4030" s="11" t="str">
        <f t="shared" si="319"/>
        <v/>
      </c>
      <c r="D4030" s="11" t="str">
        <f t="shared" si="320"/>
        <v/>
      </c>
      <c r="E4030" s="11" t="str">
        <f t="shared" si="317"/>
        <v/>
      </c>
      <c r="F4030" s="11" t="str">
        <f t="shared" si="318"/>
        <v/>
      </c>
      <c r="G4030" s="10" t="str">
        <v/>
      </c>
      <c r="H4030" s="11" t="str">
        <v/>
      </c>
      <c r="I4030" s="11" t="str">
        <v/>
      </c>
    </row>
    <row r="4031" spans="2:9">
      <c r="B4031" s="11" t="str">
        <f t="shared" si="316"/>
        <v/>
      </c>
      <c r="C4031" s="11" t="str">
        <f t="shared" si="319"/>
        <v/>
      </c>
      <c r="D4031" s="11" t="str">
        <f t="shared" si="320"/>
        <v/>
      </c>
      <c r="E4031" s="11" t="str">
        <f t="shared" si="317"/>
        <v/>
      </c>
      <c r="F4031" s="11" t="str">
        <f t="shared" si="318"/>
        <v/>
      </c>
      <c r="G4031" s="10" t="str">
        <v/>
      </c>
      <c r="H4031" s="11" t="str">
        <v/>
      </c>
      <c r="I4031" s="11" t="str">
        <v/>
      </c>
    </row>
    <row r="4032" spans="2:9">
      <c r="B4032" s="11" t="str">
        <f t="shared" si="316"/>
        <v/>
      </c>
      <c r="C4032" s="11" t="str">
        <f t="shared" si="319"/>
        <v/>
      </c>
      <c r="D4032" s="11" t="str">
        <f t="shared" si="320"/>
        <v/>
      </c>
      <c r="E4032" s="11" t="str">
        <f t="shared" si="317"/>
        <v/>
      </c>
      <c r="F4032" s="11" t="str">
        <f t="shared" si="318"/>
        <v/>
      </c>
      <c r="G4032" s="10" t="str">
        <v/>
      </c>
      <c r="H4032" s="11" t="str">
        <v/>
      </c>
      <c r="I4032" s="11" t="str">
        <v/>
      </c>
    </row>
    <row r="4033" spans="2:9">
      <c r="B4033" s="11" t="str">
        <f t="shared" ref="B4033:B4096" si="321">IFERROR(IF(FIND(" ",A4033)=6,IF(IFERROR(FIND(" PB",A4033),"")&lt;&gt;"","артикул",IF(IFERROR(FIND(" CRN",A4033),"")&lt;&gt;"","артикул","")),""),"")</f>
        <v/>
      </c>
      <c r="C4033" s="11" t="str">
        <f t="shared" si="319"/>
        <v/>
      </c>
      <c r="D4033" s="11" t="str">
        <f t="shared" si="320"/>
        <v/>
      </c>
      <c r="E4033" s="11" t="str">
        <f t="shared" si="317"/>
        <v/>
      </c>
      <c r="F4033" s="11" t="str">
        <f t="shared" si="318"/>
        <v/>
      </c>
      <c r="G4033" s="10" t="str">
        <v/>
      </c>
      <c r="H4033" s="11" t="str">
        <v/>
      </c>
      <c r="I4033" s="11" t="str">
        <v/>
      </c>
    </row>
    <row r="4034" spans="2:9">
      <c r="B4034" s="11" t="str">
        <f t="shared" si="321"/>
        <v/>
      </c>
      <c r="C4034" s="11" t="str">
        <f t="shared" si="319"/>
        <v/>
      </c>
      <c r="D4034" s="11" t="str">
        <f t="shared" si="320"/>
        <v/>
      </c>
      <c r="E4034" s="11" t="str">
        <f t="shared" ref="E4034:E4097" si="322" xml:space="preserve">
IF(B4034="Артикул",
IF(
AND(RIGHT(A4035,1)="%",
RIGHT(A4036,1)="%",
RIGHT(A4037,1)="%",
RIGHT(A4038,1)="%"),MID(A4039,FIND(" ",A4039),50),
IF(
AND(RIGHT(A4035,1)="%",
RIGHT(A4036,1)="%",
RIGHT(A4037,1)="%"),MID(A4038,FIND(" ",A4038),50),
IF(
AND(RIGHT(A4035,1)="%",
RIGHT(A4036,1)="%"),
MID(A4037,FIND(" ",A4037),50),
IF(
RIGHT(A4035,1)="%",
MID(A4036,FIND(" ",A4036),50),"")))),"")</f>
        <v/>
      </c>
      <c r="F4034" s="11" t="str">
        <f t="shared" ref="F4034:F4097" si="323">IFERROR(
IF(
AND(LEFT(A4034,8)="Discount",FIND("%",A4034)&gt;0),
MID(A4034,
FIND(" ",A4034),
FIND("%",A4034)-FIND(" ",A4034))
*-1,""),"")</f>
        <v/>
      </c>
      <c r="G4034" s="10" t="str">
        <v/>
      </c>
      <c r="H4034" s="11" t="str">
        <v/>
      </c>
      <c r="I4034" s="11" t="str">
        <v/>
      </c>
    </row>
    <row r="4035" spans="2:9">
      <c r="B4035" s="11" t="str">
        <f t="shared" si="321"/>
        <v/>
      </c>
      <c r="C4035" s="11" t="str">
        <f t="shared" si="319"/>
        <v/>
      </c>
      <c r="D4035" s="11" t="str">
        <f t="shared" si="320"/>
        <v/>
      </c>
      <c r="E4035" s="11" t="str">
        <f t="shared" si="322"/>
        <v/>
      </c>
      <c r="F4035" s="11" t="str">
        <f t="shared" si="323"/>
        <v/>
      </c>
      <c r="G4035" s="10" t="str">
        <v/>
      </c>
      <c r="H4035" s="11" t="str">
        <v/>
      </c>
      <c r="I4035" s="11" t="str">
        <v/>
      </c>
    </row>
    <row r="4036" spans="2:9">
      <c r="B4036" s="11" t="str">
        <f t="shared" si="321"/>
        <v/>
      </c>
      <c r="C4036" s="11" t="str">
        <f t="shared" si="319"/>
        <v/>
      </c>
      <c r="D4036" s="11" t="str">
        <f t="shared" si="320"/>
        <v/>
      </c>
      <c r="E4036" s="11" t="str">
        <f t="shared" si="322"/>
        <v/>
      </c>
      <c r="F4036" s="11" t="str">
        <f t="shared" si="323"/>
        <v/>
      </c>
      <c r="G4036" s="10" t="str">
        <v/>
      </c>
      <c r="H4036" s="11" t="str">
        <v/>
      </c>
      <c r="I4036" s="11" t="str">
        <v/>
      </c>
    </row>
    <row r="4037" spans="2:9">
      <c r="B4037" s="11" t="str">
        <f t="shared" si="321"/>
        <v/>
      </c>
      <c r="C4037" s="11" t="str">
        <f t="shared" si="319"/>
        <v/>
      </c>
      <c r="D4037" s="11" t="str">
        <f t="shared" si="320"/>
        <v/>
      </c>
      <c r="E4037" s="11" t="str">
        <f t="shared" si="322"/>
        <v/>
      </c>
      <c r="F4037" s="11" t="str">
        <f t="shared" si="323"/>
        <v/>
      </c>
      <c r="G4037" s="10" t="str">
        <v/>
      </c>
      <c r="H4037" s="11" t="str">
        <v/>
      </c>
      <c r="I4037" s="11" t="str">
        <v/>
      </c>
    </row>
    <row r="4038" spans="2:9">
      <c r="B4038" s="11" t="str">
        <f t="shared" si="321"/>
        <v/>
      </c>
      <c r="C4038" s="11" t="str">
        <f t="shared" si="319"/>
        <v/>
      </c>
      <c r="D4038" s="11" t="str">
        <f t="shared" si="320"/>
        <v/>
      </c>
      <c r="E4038" s="11" t="str">
        <f t="shared" si="322"/>
        <v/>
      </c>
      <c r="F4038" s="11" t="str">
        <f t="shared" si="323"/>
        <v/>
      </c>
      <c r="G4038" s="10" t="str">
        <v/>
      </c>
      <c r="H4038" s="11" t="str">
        <v/>
      </c>
      <c r="I4038" s="11" t="str">
        <v/>
      </c>
    </row>
    <row r="4039" spans="2:9">
      <c r="B4039" s="11" t="str">
        <f t="shared" si="321"/>
        <v/>
      </c>
      <c r="C4039" s="11" t="str">
        <f t="shared" si="319"/>
        <v/>
      </c>
      <c r="D4039" s="11" t="str">
        <f t="shared" si="320"/>
        <v/>
      </c>
      <c r="E4039" s="11" t="str">
        <f t="shared" si="322"/>
        <v/>
      </c>
      <c r="F4039" s="11" t="str">
        <f t="shared" si="323"/>
        <v/>
      </c>
      <c r="G4039" s="10" t="str">
        <v/>
      </c>
      <c r="H4039" s="11" t="str">
        <v/>
      </c>
      <c r="I4039" s="11" t="str">
        <v/>
      </c>
    </row>
    <row r="4040" spans="2:9">
      <c r="B4040" s="11" t="str">
        <f t="shared" si="321"/>
        <v/>
      </c>
      <c r="C4040" s="11" t="str">
        <f t="shared" si="319"/>
        <v/>
      </c>
      <c r="D4040" s="11" t="str">
        <f t="shared" si="320"/>
        <v/>
      </c>
      <c r="E4040" s="11" t="str">
        <f t="shared" si="322"/>
        <v/>
      </c>
      <c r="F4040" s="11" t="str">
        <f t="shared" si="323"/>
        <v/>
      </c>
      <c r="G4040" s="10" t="str">
        <v/>
      </c>
      <c r="H4040" s="11" t="str">
        <v/>
      </c>
      <c r="I4040" s="11" t="str">
        <v/>
      </c>
    </row>
    <row r="4041" spans="2:9">
      <c r="B4041" s="11" t="str">
        <f t="shared" si="321"/>
        <v/>
      </c>
      <c r="C4041" s="11" t="str">
        <f t="shared" si="319"/>
        <v/>
      </c>
      <c r="D4041" s="11" t="str">
        <f t="shared" si="320"/>
        <v/>
      </c>
      <c r="E4041" s="11" t="str">
        <f t="shared" si="322"/>
        <v/>
      </c>
      <c r="F4041" s="11" t="str">
        <f t="shared" si="323"/>
        <v/>
      </c>
      <c r="G4041" s="10" t="str">
        <v/>
      </c>
      <c r="H4041" s="11" t="str">
        <v/>
      </c>
      <c r="I4041" s="11" t="str">
        <v/>
      </c>
    </row>
    <row r="4042" spans="2:9">
      <c r="B4042" s="11" t="str">
        <f t="shared" si="321"/>
        <v/>
      </c>
      <c r="C4042" s="11" t="str">
        <f t="shared" si="319"/>
        <v/>
      </c>
      <c r="D4042" s="11" t="str">
        <f t="shared" si="320"/>
        <v/>
      </c>
      <c r="E4042" s="11" t="str">
        <f t="shared" si="322"/>
        <v/>
      </c>
      <c r="F4042" s="11" t="str">
        <f t="shared" si="323"/>
        <v/>
      </c>
      <c r="G4042" s="10" t="str">
        <v/>
      </c>
      <c r="H4042" s="11" t="str">
        <v/>
      </c>
      <c r="I4042" s="11" t="str">
        <v/>
      </c>
    </row>
    <row r="4043" spans="2:9">
      <c r="B4043" s="11" t="str">
        <f t="shared" si="321"/>
        <v/>
      </c>
      <c r="C4043" s="11" t="str">
        <f t="shared" si="319"/>
        <v/>
      </c>
      <c r="D4043" s="11" t="str">
        <f t="shared" si="320"/>
        <v/>
      </c>
      <c r="E4043" s="11" t="str">
        <f t="shared" si="322"/>
        <v/>
      </c>
      <c r="F4043" s="11" t="str">
        <f t="shared" si="323"/>
        <v/>
      </c>
      <c r="G4043" s="10" t="str">
        <v/>
      </c>
      <c r="H4043" s="11" t="str">
        <v/>
      </c>
      <c r="I4043" s="11" t="str">
        <v/>
      </c>
    </row>
    <row r="4044" spans="2:9">
      <c r="B4044" s="11" t="str">
        <f t="shared" si="321"/>
        <v/>
      </c>
      <c r="C4044" s="11" t="str">
        <f t="shared" si="319"/>
        <v/>
      </c>
      <c r="D4044" s="11" t="str">
        <f t="shared" si="320"/>
        <v/>
      </c>
      <c r="E4044" s="11" t="str">
        <f t="shared" si="322"/>
        <v/>
      </c>
      <c r="F4044" s="11" t="str">
        <f t="shared" si="323"/>
        <v/>
      </c>
      <c r="G4044" s="10" t="str">
        <v/>
      </c>
      <c r="H4044" s="11" t="str">
        <v/>
      </c>
      <c r="I4044" s="11" t="str">
        <v/>
      </c>
    </row>
    <row r="4045" spans="2:9">
      <c r="B4045" s="11" t="str">
        <f t="shared" si="321"/>
        <v/>
      </c>
      <c r="C4045" s="11" t="str">
        <f t="shared" ref="C4045:C4108" si="324">IF(B4045="артикул",A4045,"")</f>
        <v/>
      </c>
      <c r="D4045" s="11" t="str">
        <f t="shared" ref="D4045:D4108" si="325">IF(B4045="артикул",A4046,"")</f>
        <v/>
      </c>
      <c r="E4045" s="11" t="str">
        <f t="shared" si="322"/>
        <v/>
      </c>
      <c r="F4045" s="11" t="str">
        <f t="shared" si="323"/>
        <v/>
      </c>
      <c r="G4045" s="10" t="str">
        <v/>
      </c>
      <c r="H4045" s="11" t="str">
        <v/>
      </c>
      <c r="I4045" s="11" t="str">
        <v/>
      </c>
    </row>
    <row r="4046" spans="2:9">
      <c r="B4046" s="11" t="str">
        <f t="shared" si="321"/>
        <v/>
      </c>
      <c r="C4046" s="11" t="str">
        <f t="shared" si="324"/>
        <v/>
      </c>
      <c r="D4046" s="11" t="str">
        <f t="shared" si="325"/>
        <v/>
      </c>
      <c r="E4046" s="11" t="str">
        <f t="shared" si="322"/>
        <v/>
      </c>
      <c r="F4046" s="11" t="str">
        <f t="shared" si="323"/>
        <v/>
      </c>
      <c r="G4046" s="10" t="str">
        <v/>
      </c>
      <c r="H4046" s="11" t="str">
        <v/>
      </c>
      <c r="I4046" s="11" t="str">
        <v/>
      </c>
    </row>
    <row r="4047" spans="2:9">
      <c r="B4047" s="11" t="str">
        <f t="shared" si="321"/>
        <v/>
      </c>
      <c r="C4047" s="11" t="str">
        <f t="shared" si="324"/>
        <v/>
      </c>
      <c r="D4047" s="11" t="str">
        <f t="shared" si="325"/>
        <v/>
      </c>
      <c r="E4047" s="11" t="str">
        <f t="shared" si="322"/>
        <v/>
      </c>
      <c r="F4047" s="11" t="str">
        <f t="shared" si="323"/>
        <v/>
      </c>
      <c r="G4047" s="10" t="str">
        <v/>
      </c>
      <c r="H4047" s="11" t="str">
        <v/>
      </c>
      <c r="I4047" s="11" t="str">
        <v/>
      </c>
    </row>
    <row r="4048" spans="2:9">
      <c r="B4048" s="11" t="str">
        <f t="shared" si="321"/>
        <v/>
      </c>
      <c r="C4048" s="11" t="str">
        <f t="shared" si="324"/>
        <v/>
      </c>
      <c r="D4048" s="11" t="str">
        <f t="shared" si="325"/>
        <v/>
      </c>
      <c r="E4048" s="11" t="str">
        <f t="shared" si="322"/>
        <v/>
      </c>
      <c r="F4048" s="11" t="str">
        <f t="shared" si="323"/>
        <v/>
      </c>
      <c r="G4048" s="10" t="str">
        <v/>
      </c>
      <c r="H4048" s="11" t="str">
        <v/>
      </c>
      <c r="I4048" s="11" t="str">
        <v/>
      </c>
    </row>
    <row r="4049" spans="2:9">
      <c r="B4049" s="11" t="str">
        <f t="shared" si="321"/>
        <v/>
      </c>
      <c r="C4049" s="11" t="str">
        <f t="shared" si="324"/>
        <v/>
      </c>
      <c r="D4049" s="11" t="str">
        <f t="shared" si="325"/>
        <v/>
      </c>
      <c r="E4049" s="11" t="str">
        <f t="shared" si="322"/>
        <v/>
      </c>
      <c r="F4049" s="11" t="str">
        <f t="shared" si="323"/>
        <v/>
      </c>
      <c r="G4049" s="10" t="str">
        <v/>
      </c>
      <c r="H4049" s="11" t="str">
        <v/>
      </c>
      <c r="I4049" s="11" t="str">
        <v/>
      </c>
    </row>
    <row r="4050" spans="2:9">
      <c r="B4050" s="11" t="str">
        <f t="shared" si="321"/>
        <v/>
      </c>
      <c r="C4050" s="11" t="str">
        <f t="shared" si="324"/>
        <v/>
      </c>
      <c r="D4050" s="11" t="str">
        <f t="shared" si="325"/>
        <v/>
      </c>
      <c r="E4050" s="11" t="str">
        <f t="shared" si="322"/>
        <v/>
      </c>
      <c r="F4050" s="11" t="str">
        <f t="shared" si="323"/>
        <v/>
      </c>
      <c r="G4050" s="10" t="str">
        <v/>
      </c>
      <c r="H4050" s="11" t="str">
        <v/>
      </c>
      <c r="I4050" s="11" t="str">
        <v/>
      </c>
    </row>
    <row r="4051" spans="2:9">
      <c r="B4051" s="11" t="str">
        <f t="shared" si="321"/>
        <v/>
      </c>
      <c r="C4051" s="11" t="str">
        <f t="shared" si="324"/>
        <v/>
      </c>
      <c r="D4051" s="11" t="str">
        <f t="shared" si="325"/>
        <v/>
      </c>
      <c r="E4051" s="11" t="str">
        <f t="shared" si="322"/>
        <v/>
      </c>
      <c r="F4051" s="11" t="str">
        <f t="shared" si="323"/>
        <v/>
      </c>
      <c r="G4051" s="10" t="str">
        <v/>
      </c>
      <c r="H4051" s="11" t="str">
        <v/>
      </c>
      <c r="I4051" s="11" t="str">
        <v/>
      </c>
    </row>
    <row r="4052" spans="2:9">
      <c r="B4052" s="11" t="str">
        <f t="shared" si="321"/>
        <v/>
      </c>
      <c r="C4052" s="11" t="str">
        <f t="shared" si="324"/>
        <v/>
      </c>
      <c r="D4052" s="11" t="str">
        <f t="shared" si="325"/>
        <v/>
      </c>
      <c r="E4052" s="11" t="str">
        <f t="shared" si="322"/>
        <v/>
      </c>
      <c r="F4052" s="11" t="str">
        <f t="shared" si="323"/>
        <v/>
      </c>
      <c r="G4052" s="10" t="str">
        <v/>
      </c>
      <c r="H4052" s="11" t="str">
        <v/>
      </c>
      <c r="I4052" s="11" t="str">
        <v/>
      </c>
    </row>
    <row r="4053" spans="2:9">
      <c r="B4053" s="11" t="str">
        <f t="shared" si="321"/>
        <v/>
      </c>
      <c r="C4053" s="11" t="str">
        <f t="shared" si="324"/>
        <v/>
      </c>
      <c r="D4053" s="11" t="str">
        <f t="shared" si="325"/>
        <v/>
      </c>
      <c r="E4053" s="11" t="str">
        <f t="shared" si="322"/>
        <v/>
      </c>
      <c r="F4053" s="11" t="str">
        <f t="shared" si="323"/>
        <v/>
      </c>
      <c r="G4053" s="10" t="str">
        <v/>
      </c>
      <c r="H4053" s="11" t="str">
        <v/>
      </c>
      <c r="I4053" s="11" t="str">
        <v/>
      </c>
    </row>
    <row r="4054" spans="2:9">
      <c r="B4054" s="11" t="str">
        <f t="shared" si="321"/>
        <v/>
      </c>
      <c r="C4054" s="11" t="str">
        <f t="shared" si="324"/>
        <v/>
      </c>
      <c r="D4054" s="11" t="str">
        <f t="shared" si="325"/>
        <v/>
      </c>
      <c r="E4054" s="11" t="str">
        <f t="shared" si="322"/>
        <v/>
      </c>
      <c r="F4054" s="11" t="str">
        <f t="shared" si="323"/>
        <v/>
      </c>
      <c r="G4054" s="10" t="str">
        <v/>
      </c>
      <c r="H4054" s="11" t="str">
        <v/>
      </c>
      <c r="I4054" s="11" t="str">
        <v/>
      </c>
    </row>
    <row r="4055" spans="2:9">
      <c r="B4055" s="11" t="str">
        <f t="shared" si="321"/>
        <v/>
      </c>
      <c r="C4055" s="11" t="str">
        <f t="shared" si="324"/>
        <v/>
      </c>
      <c r="D4055" s="11" t="str">
        <f t="shared" si="325"/>
        <v/>
      </c>
      <c r="E4055" s="11" t="str">
        <f t="shared" si="322"/>
        <v/>
      </c>
      <c r="F4055" s="11" t="str">
        <f t="shared" si="323"/>
        <v/>
      </c>
      <c r="G4055" s="10" t="str">
        <v/>
      </c>
      <c r="H4055" s="11" t="str">
        <v/>
      </c>
      <c r="I4055" s="11" t="str">
        <v/>
      </c>
    </row>
    <row r="4056" spans="2:9">
      <c r="B4056" s="11" t="str">
        <f t="shared" si="321"/>
        <v/>
      </c>
      <c r="C4056" s="11" t="str">
        <f t="shared" si="324"/>
        <v/>
      </c>
      <c r="D4056" s="11" t="str">
        <f t="shared" si="325"/>
        <v/>
      </c>
      <c r="E4056" s="11" t="str">
        <f t="shared" si="322"/>
        <v/>
      </c>
      <c r="F4056" s="11" t="str">
        <f t="shared" si="323"/>
        <v/>
      </c>
      <c r="G4056" s="10" t="str">
        <v/>
      </c>
      <c r="H4056" s="11" t="str">
        <v/>
      </c>
      <c r="I4056" s="11" t="str">
        <v/>
      </c>
    </row>
    <row r="4057" spans="2:9">
      <c r="B4057" s="11" t="str">
        <f t="shared" si="321"/>
        <v/>
      </c>
      <c r="C4057" s="11" t="str">
        <f t="shared" si="324"/>
        <v/>
      </c>
      <c r="D4057" s="11" t="str">
        <f t="shared" si="325"/>
        <v/>
      </c>
      <c r="E4057" s="11" t="str">
        <f t="shared" si="322"/>
        <v/>
      </c>
      <c r="F4057" s="11" t="str">
        <f t="shared" si="323"/>
        <v/>
      </c>
      <c r="G4057" s="10" t="str">
        <v/>
      </c>
      <c r="H4057" s="11" t="str">
        <v/>
      </c>
      <c r="I4057" s="11" t="str">
        <v/>
      </c>
    </row>
    <row r="4058" spans="2:9">
      <c r="B4058" s="11" t="str">
        <f t="shared" si="321"/>
        <v/>
      </c>
      <c r="C4058" s="11" t="str">
        <f t="shared" si="324"/>
        <v/>
      </c>
      <c r="D4058" s="11" t="str">
        <f t="shared" si="325"/>
        <v/>
      </c>
      <c r="E4058" s="11" t="str">
        <f t="shared" si="322"/>
        <v/>
      </c>
      <c r="F4058" s="11" t="str">
        <f t="shared" si="323"/>
        <v/>
      </c>
      <c r="G4058" s="10" t="str">
        <v/>
      </c>
      <c r="H4058" s="11" t="str">
        <v/>
      </c>
      <c r="I4058" s="11" t="str">
        <v/>
      </c>
    </row>
    <row r="4059" spans="2:9">
      <c r="B4059" s="11" t="str">
        <f t="shared" si="321"/>
        <v/>
      </c>
      <c r="C4059" s="11" t="str">
        <f t="shared" si="324"/>
        <v/>
      </c>
      <c r="D4059" s="11" t="str">
        <f t="shared" si="325"/>
        <v/>
      </c>
      <c r="E4059" s="11" t="str">
        <f t="shared" si="322"/>
        <v/>
      </c>
      <c r="F4059" s="11" t="str">
        <f t="shared" si="323"/>
        <v/>
      </c>
      <c r="G4059" s="10" t="str">
        <v/>
      </c>
      <c r="H4059" s="11" t="str">
        <v/>
      </c>
      <c r="I4059" s="11" t="str">
        <v/>
      </c>
    </row>
    <row r="4060" spans="2:9">
      <c r="B4060" s="11" t="str">
        <f t="shared" si="321"/>
        <v/>
      </c>
      <c r="C4060" s="11" t="str">
        <f t="shared" si="324"/>
        <v/>
      </c>
      <c r="D4060" s="11" t="str">
        <f t="shared" si="325"/>
        <v/>
      </c>
      <c r="E4060" s="11" t="str">
        <f t="shared" si="322"/>
        <v/>
      </c>
      <c r="F4060" s="11" t="str">
        <f t="shared" si="323"/>
        <v/>
      </c>
      <c r="G4060" s="10" t="str">
        <v/>
      </c>
      <c r="H4060" s="11" t="str">
        <v/>
      </c>
      <c r="I4060" s="11" t="str">
        <v/>
      </c>
    </row>
    <row r="4061" spans="2:9">
      <c r="B4061" s="11" t="str">
        <f t="shared" si="321"/>
        <v/>
      </c>
      <c r="C4061" s="11" t="str">
        <f t="shared" si="324"/>
        <v/>
      </c>
      <c r="D4061" s="11" t="str">
        <f t="shared" si="325"/>
        <v/>
      </c>
      <c r="E4061" s="11" t="str">
        <f t="shared" si="322"/>
        <v/>
      </c>
      <c r="F4061" s="11" t="str">
        <f t="shared" si="323"/>
        <v/>
      </c>
      <c r="G4061" s="10" t="str">
        <v/>
      </c>
      <c r="H4061" s="11" t="str">
        <v/>
      </c>
      <c r="I4061" s="11" t="str">
        <v/>
      </c>
    </row>
    <row r="4062" spans="2:9">
      <c r="B4062" s="11" t="str">
        <f t="shared" si="321"/>
        <v/>
      </c>
      <c r="C4062" s="11" t="str">
        <f t="shared" si="324"/>
        <v/>
      </c>
      <c r="D4062" s="11" t="str">
        <f t="shared" si="325"/>
        <v/>
      </c>
      <c r="E4062" s="11" t="str">
        <f t="shared" si="322"/>
        <v/>
      </c>
      <c r="F4062" s="11" t="str">
        <f t="shared" si="323"/>
        <v/>
      </c>
      <c r="G4062" s="10" t="str">
        <v/>
      </c>
      <c r="H4062" s="11" t="str">
        <v/>
      </c>
      <c r="I4062" s="11" t="str">
        <v/>
      </c>
    </row>
    <row r="4063" spans="2:9">
      <c r="B4063" s="11" t="str">
        <f t="shared" si="321"/>
        <v/>
      </c>
      <c r="C4063" s="11" t="str">
        <f t="shared" si="324"/>
        <v/>
      </c>
      <c r="D4063" s="11" t="str">
        <f t="shared" si="325"/>
        <v/>
      </c>
      <c r="E4063" s="11" t="str">
        <f t="shared" si="322"/>
        <v/>
      </c>
      <c r="F4063" s="11" t="str">
        <f t="shared" si="323"/>
        <v/>
      </c>
      <c r="G4063" s="10" t="str">
        <v/>
      </c>
      <c r="H4063" s="11" t="str">
        <v/>
      </c>
      <c r="I4063" s="11" t="str">
        <v/>
      </c>
    </row>
    <row r="4064" spans="2:9">
      <c r="B4064" s="11" t="str">
        <f t="shared" si="321"/>
        <v/>
      </c>
      <c r="C4064" s="11" t="str">
        <f t="shared" si="324"/>
        <v/>
      </c>
      <c r="D4064" s="11" t="str">
        <f t="shared" si="325"/>
        <v/>
      </c>
      <c r="E4064" s="11" t="str">
        <f t="shared" si="322"/>
        <v/>
      </c>
      <c r="F4064" s="11" t="str">
        <f t="shared" si="323"/>
        <v/>
      </c>
      <c r="G4064" s="10" t="str">
        <v/>
      </c>
      <c r="H4064" s="11" t="str">
        <v/>
      </c>
      <c r="I4064" s="11" t="str">
        <v/>
      </c>
    </row>
    <row r="4065" spans="2:9">
      <c r="B4065" s="11" t="str">
        <f t="shared" si="321"/>
        <v/>
      </c>
      <c r="C4065" s="11" t="str">
        <f t="shared" si="324"/>
        <v/>
      </c>
      <c r="D4065" s="11" t="str">
        <f t="shared" si="325"/>
        <v/>
      </c>
      <c r="E4065" s="11" t="str">
        <f t="shared" si="322"/>
        <v/>
      </c>
      <c r="F4065" s="11" t="str">
        <f t="shared" si="323"/>
        <v/>
      </c>
      <c r="G4065" s="10" t="str">
        <v/>
      </c>
      <c r="H4065" s="11" t="str">
        <v/>
      </c>
      <c r="I4065" s="11" t="str">
        <v/>
      </c>
    </row>
    <row r="4066" spans="2:9">
      <c r="B4066" s="11" t="str">
        <f t="shared" si="321"/>
        <v/>
      </c>
      <c r="C4066" s="11" t="str">
        <f t="shared" si="324"/>
        <v/>
      </c>
      <c r="D4066" s="11" t="str">
        <f t="shared" si="325"/>
        <v/>
      </c>
      <c r="E4066" s="11" t="str">
        <f t="shared" si="322"/>
        <v/>
      </c>
      <c r="F4066" s="11" t="str">
        <f t="shared" si="323"/>
        <v/>
      </c>
      <c r="G4066" s="10" t="str">
        <v/>
      </c>
      <c r="H4066" s="11" t="str">
        <v/>
      </c>
      <c r="I4066" s="11" t="str">
        <v/>
      </c>
    </row>
    <row r="4067" spans="2:9">
      <c r="B4067" s="11" t="str">
        <f t="shared" si="321"/>
        <v/>
      </c>
      <c r="C4067" s="11" t="str">
        <f t="shared" si="324"/>
        <v/>
      </c>
      <c r="D4067" s="11" t="str">
        <f t="shared" si="325"/>
        <v/>
      </c>
      <c r="E4067" s="11" t="str">
        <f t="shared" si="322"/>
        <v/>
      </c>
      <c r="F4067" s="11" t="str">
        <f t="shared" si="323"/>
        <v/>
      </c>
      <c r="G4067" s="10" t="str">
        <v/>
      </c>
      <c r="H4067" s="11" t="str">
        <v/>
      </c>
      <c r="I4067" s="11" t="str">
        <v/>
      </c>
    </row>
    <row r="4068" spans="2:9">
      <c r="B4068" s="11" t="str">
        <f t="shared" si="321"/>
        <v/>
      </c>
      <c r="C4068" s="11" t="str">
        <f t="shared" si="324"/>
        <v/>
      </c>
      <c r="D4068" s="11" t="str">
        <f t="shared" si="325"/>
        <v/>
      </c>
      <c r="E4068" s="11" t="str">
        <f t="shared" si="322"/>
        <v/>
      </c>
      <c r="F4068" s="11" t="str">
        <f t="shared" si="323"/>
        <v/>
      </c>
      <c r="G4068" s="10" t="str">
        <v/>
      </c>
      <c r="H4068" s="11" t="str">
        <v/>
      </c>
      <c r="I4068" s="11" t="str">
        <v/>
      </c>
    </row>
    <row r="4069" spans="2:9">
      <c r="B4069" s="11" t="str">
        <f t="shared" si="321"/>
        <v/>
      </c>
      <c r="C4069" s="11" t="str">
        <f t="shared" si="324"/>
        <v/>
      </c>
      <c r="D4069" s="11" t="str">
        <f t="shared" si="325"/>
        <v/>
      </c>
      <c r="E4069" s="11" t="str">
        <f t="shared" si="322"/>
        <v/>
      </c>
      <c r="F4069" s="11" t="str">
        <f t="shared" si="323"/>
        <v/>
      </c>
      <c r="G4069" s="10" t="str">
        <v/>
      </c>
      <c r="H4069" s="11" t="str">
        <v/>
      </c>
      <c r="I4069" s="11" t="str">
        <v/>
      </c>
    </row>
    <row r="4070" spans="2:9">
      <c r="B4070" s="11" t="str">
        <f t="shared" si="321"/>
        <v/>
      </c>
      <c r="C4070" s="11" t="str">
        <f t="shared" si="324"/>
        <v/>
      </c>
      <c r="D4070" s="11" t="str">
        <f t="shared" si="325"/>
        <v/>
      </c>
      <c r="E4070" s="11" t="str">
        <f t="shared" si="322"/>
        <v/>
      </c>
      <c r="F4070" s="11" t="str">
        <f t="shared" si="323"/>
        <v/>
      </c>
      <c r="G4070" s="10" t="str">
        <v/>
      </c>
      <c r="H4070" s="11" t="str">
        <v/>
      </c>
      <c r="I4070" s="11" t="str">
        <v/>
      </c>
    </row>
    <row r="4071" spans="2:9">
      <c r="B4071" s="11" t="str">
        <f t="shared" si="321"/>
        <v/>
      </c>
      <c r="C4071" s="11" t="str">
        <f t="shared" si="324"/>
        <v/>
      </c>
      <c r="D4071" s="11" t="str">
        <f t="shared" si="325"/>
        <v/>
      </c>
      <c r="E4071" s="11" t="str">
        <f t="shared" si="322"/>
        <v/>
      </c>
      <c r="F4071" s="11" t="str">
        <f t="shared" si="323"/>
        <v/>
      </c>
      <c r="G4071" s="10" t="str">
        <v/>
      </c>
      <c r="H4071" s="11" t="str">
        <v/>
      </c>
      <c r="I4071" s="11" t="str">
        <v/>
      </c>
    </row>
    <row r="4072" spans="2:9">
      <c r="B4072" s="11" t="str">
        <f t="shared" si="321"/>
        <v/>
      </c>
      <c r="C4072" s="11" t="str">
        <f t="shared" si="324"/>
        <v/>
      </c>
      <c r="D4072" s="11" t="str">
        <f t="shared" si="325"/>
        <v/>
      </c>
      <c r="E4072" s="11" t="str">
        <f t="shared" si="322"/>
        <v/>
      </c>
      <c r="F4072" s="11" t="str">
        <f t="shared" si="323"/>
        <v/>
      </c>
      <c r="G4072" s="10" t="str">
        <v/>
      </c>
      <c r="H4072" s="11" t="str">
        <v/>
      </c>
      <c r="I4072" s="11" t="str">
        <v/>
      </c>
    </row>
    <row r="4073" spans="2:9">
      <c r="B4073" s="11" t="str">
        <f t="shared" si="321"/>
        <v/>
      </c>
      <c r="C4073" s="11" t="str">
        <f t="shared" si="324"/>
        <v/>
      </c>
      <c r="D4073" s="11" t="str">
        <f t="shared" si="325"/>
        <v/>
      </c>
      <c r="E4073" s="11" t="str">
        <f t="shared" si="322"/>
        <v/>
      </c>
      <c r="F4073" s="11" t="str">
        <f t="shared" si="323"/>
        <v/>
      </c>
      <c r="G4073" s="10" t="str">
        <v/>
      </c>
      <c r="H4073" s="11" t="str">
        <v/>
      </c>
      <c r="I4073" s="11" t="str">
        <v/>
      </c>
    </row>
    <row r="4074" spans="2:9">
      <c r="B4074" s="11" t="str">
        <f t="shared" si="321"/>
        <v/>
      </c>
      <c r="C4074" s="11" t="str">
        <f t="shared" si="324"/>
        <v/>
      </c>
      <c r="D4074" s="11" t="str">
        <f t="shared" si="325"/>
        <v/>
      </c>
      <c r="E4074" s="11" t="str">
        <f t="shared" si="322"/>
        <v/>
      </c>
      <c r="F4074" s="11" t="str">
        <f t="shared" si="323"/>
        <v/>
      </c>
      <c r="G4074" s="10" t="str">
        <v/>
      </c>
      <c r="H4074" s="11" t="str">
        <v/>
      </c>
      <c r="I4074" s="11" t="str">
        <v/>
      </c>
    </row>
    <row r="4075" spans="2:9">
      <c r="B4075" s="11" t="str">
        <f t="shared" si="321"/>
        <v/>
      </c>
      <c r="C4075" s="11" t="str">
        <f t="shared" si="324"/>
        <v/>
      </c>
      <c r="D4075" s="11" t="str">
        <f t="shared" si="325"/>
        <v/>
      </c>
      <c r="E4075" s="11" t="str">
        <f t="shared" si="322"/>
        <v/>
      </c>
      <c r="F4075" s="11" t="str">
        <f t="shared" si="323"/>
        <v/>
      </c>
      <c r="G4075" s="10" t="str">
        <v/>
      </c>
      <c r="H4075" s="11" t="str">
        <v/>
      </c>
      <c r="I4075" s="11" t="str">
        <v/>
      </c>
    </row>
    <row r="4076" spans="2:9">
      <c r="B4076" s="11" t="str">
        <f t="shared" si="321"/>
        <v/>
      </c>
      <c r="C4076" s="11" t="str">
        <f t="shared" si="324"/>
        <v/>
      </c>
      <c r="D4076" s="11" t="str">
        <f t="shared" si="325"/>
        <v/>
      </c>
      <c r="E4076" s="11" t="str">
        <f t="shared" si="322"/>
        <v/>
      </c>
      <c r="F4076" s="11" t="str">
        <f t="shared" si="323"/>
        <v/>
      </c>
      <c r="G4076" s="10" t="str">
        <v/>
      </c>
      <c r="H4076" s="11" t="str">
        <v/>
      </c>
      <c r="I4076" s="11" t="str">
        <v/>
      </c>
    </row>
    <row r="4077" spans="2:9">
      <c r="B4077" s="11" t="str">
        <f t="shared" si="321"/>
        <v/>
      </c>
      <c r="C4077" s="11" t="str">
        <f t="shared" si="324"/>
        <v/>
      </c>
      <c r="D4077" s="11" t="str">
        <f t="shared" si="325"/>
        <v/>
      </c>
      <c r="E4077" s="11" t="str">
        <f t="shared" si="322"/>
        <v/>
      </c>
      <c r="F4077" s="11" t="str">
        <f t="shared" si="323"/>
        <v/>
      </c>
      <c r="G4077" s="10" t="str">
        <v/>
      </c>
      <c r="H4077" s="11" t="str">
        <v/>
      </c>
      <c r="I4077" s="11" t="str">
        <v/>
      </c>
    </row>
    <row r="4078" spans="2:9">
      <c r="B4078" s="11" t="str">
        <f t="shared" si="321"/>
        <v/>
      </c>
      <c r="C4078" s="11" t="str">
        <f t="shared" si="324"/>
        <v/>
      </c>
      <c r="D4078" s="11" t="str">
        <f t="shared" si="325"/>
        <v/>
      </c>
      <c r="E4078" s="11" t="str">
        <f t="shared" si="322"/>
        <v/>
      </c>
      <c r="F4078" s="11" t="str">
        <f t="shared" si="323"/>
        <v/>
      </c>
      <c r="G4078" s="10" t="str">
        <v/>
      </c>
      <c r="H4078" s="11" t="str">
        <v/>
      </c>
      <c r="I4078" s="11" t="str">
        <v/>
      </c>
    </row>
    <row r="4079" spans="2:9">
      <c r="B4079" s="11" t="str">
        <f t="shared" si="321"/>
        <v/>
      </c>
      <c r="C4079" s="11" t="str">
        <f t="shared" si="324"/>
        <v/>
      </c>
      <c r="D4079" s="11" t="str">
        <f t="shared" si="325"/>
        <v/>
      </c>
      <c r="E4079" s="11" t="str">
        <f t="shared" si="322"/>
        <v/>
      </c>
      <c r="F4079" s="11" t="str">
        <f t="shared" si="323"/>
        <v/>
      </c>
      <c r="G4079" s="10" t="str">
        <v/>
      </c>
      <c r="H4079" s="11" t="str">
        <v/>
      </c>
      <c r="I4079" s="11" t="str">
        <v/>
      </c>
    </row>
    <row r="4080" spans="2:9">
      <c r="B4080" s="11" t="str">
        <f t="shared" si="321"/>
        <v/>
      </c>
      <c r="C4080" s="11" t="str">
        <f t="shared" si="324"/>
        <v/>
      </c>
      <c r="D4080" s="11" t="str">
        <f t="shared" si="325"/>
        <v/>
      </c>
      <c r="E4080" s="11" t="str">
        <f t="shared" si="322"/>
        <v/>
      </c>
      <c r="F4080" s="11" t="str">
        <f t="shared" si="323"/>
        <v/>
      </c>
      <c r="G4080" s="10" t="str">
        <v/>
      </c>
      <c r="H4080" s="11" t="str">
        <v/>
      </c>
      <c r="I4080" s="11" t="str">
        <v/>
      </c>
    </row>
    <row r="4081" spans="2:9">
      <c r="B4081" s="11" t="str">
        <f t="shared" si="321"/>
        <v/>
      </c>
      <c r="C4081" s="11" t="str">
        <f t="shared" si="324"/>
        <v/>
      </c>
      <c r="D4081" s="11" t="str">
        <f t="shared" si="325"/>
        <v/>
      </c>
      <c r="E4081" s="11" t="str">
        <f t="shared" si="322"/>
        <v/>
      </c>
      <c r="F4081" s="11" t="str">
        <f t="shared" si="323"/>
        <v/>
      </c>
      <c r="G4081" s="10" t="str">
        <v/>
      </c>
      <c r="H4081" s="11" t="str">
        <v/>
      </c>
      <c r="I4081" s="11" t="str">
        <v/>
      </c>
    </row>
    <row r="4082" spans="2:9">
      <c r="B4082" s="11" t="str">
        <f t="shared" si="321"/>
        <v/>
      </c>
      <c r="C4082" s="11" t="str">
        <f t="shared" si="324"/>
        <v/>
      </c>
      <c r="D4082" s="11" t="str">
        <f t="shared" si="325"/>
        <v/>
      </c>
      <c r="E4082" s="11" t="str">
        <f t="shared" si="322"/>
        <v/>
      </c>
      <c r="F4082" s="11" t="str">
        <f t="shared" si="323"/>
        <v/>
      </c>
      <c r="G4082" s="10" t="str">
        <v/>
      </c>
      <c r="H4082" s="11" t="str">
        <v/>
      </c>
      <c r="I4082" s="11" t="str">
        <v/>
      </c>
    </row>
    <row r="4083" spans="2:9">
      <c r="B4083" s="11" t="str">
        <f t="shared" si="321"/>
        <v/>
      </c>
      <c r="C4083" s="11" t="str">
        <f t="shared" si="324"/>
        <v/>
      </c>
      <c r="D4083" s="11" t="str">
        <f t="shared" si="325"/>
        <v/>
      </c>
      <c r="E4083" s="11" t="str">
        <f t="shared" si="322"/>
        <v/>
      </c>
      <c r="F4083" s="11" t="str">
        <f t="shared" si="323"/>
        <v/>
      </c>
      <c r="G4083" s="10" t="str">
        <v/>
      </c>
      <c r="H4083" s="11" t="str">
        <v/>
      </c>
      <c r="I4083" s="11" t="str">
        <v/>
      </c>
    </row>
    <row r="4084" spans="2:9">
      <c r="B4084" s="11" t="str">
        <f t="shared" si="321"/>
        <v/>
      </c>
      <c r="C4084" s="11" t="str">
        <f t="shared" si="324"/>
        <v/>
      </c>
      <c r="D4084" s="11" t="str">
        <f t="shared" si="325"/>
        <v/>
      </c>
      <c r="E4084" s="11" t="str">
        <f t="shared" si="322"/>
        <v/>
      </c>
      <c r="F4084" s="11" t="str">
        <f t="shared" si="323"/>
        <v/>
      </c>
      <c r="G4084" s="10" t="str">
        <v/>
      </c>
      <c r="H4084" s="11" t="str">
        <v/>
      </c>
      <c r="I4084" s="11" t="str">
        <v/>
      </c>
    </row>
    <row r="4085" spans="2:9">
      <c r="B4085" s="11" t="str">
        <f t="shared" si="321"/>
        <v/>
      </c>
      <c r="C4085" s="11" t="str">
        <f t="shared" si="324"/>
        <v/>
      </c>
      <c r="D4085" s="11" t="str">
        <f t="shared" si="325"/>
        <v/>
      </c>
      <c r="E4085" s="11" t="str">
        <f t="shared" si="322"/>
        <v/>
      </c>
      <c r="F4085" s="11" t="str">
        <f t="shared" si="323"/>
        <v/>
      </c>
      <c r="G4085" s="10" t="str">
        <v/>
      </c>
      <c r="H4085" s="11" t="str">
        <v/>
      </c>
      <c r="I4085" s="11" t="str">
        <v/>
      </c>
    </row>
    <row r="4086" spans="2:9">
      <c r="B4086" s="11" t="str">
        <f t="shared" si="321"/>
        <v/>
      </c>
      <c r="C4086" s="11" t="str">
        <f t="shared" si="324"/>
        <v/>
      </c>
      <c r="D4086" s="11" t="str">
        <f t="shared" si="325"/>
        <v/>
      </c>
      <c r="E4086" s="11" t="str">
        <f t="shared" si="322"/>
        <v/>
      </c>
      <c r="F4086" s="11" t="str">
        <f t="shared" si="323"/>
        <v/>
      </c>
      <c r="G4086" s="10" t="str">
        <v/>
      </c>
      <c r="H4086" s="11" t="str">
        <v/>
      </c>
      <c r="I4086" s="11" t="str">
        <v/>
      </c>
    </row>
    <row r="4087" spans="2:9">
      <c r="B4087" s="11" t="str">
        <f t="shared" si="321"/>
        <v/>
      </c>
      <c r="C4087" s="11" t="str">
        <f t="shared" si="324"/>
        <v/>
      </c>
      <c r="D4087" s="11" t="str">
        <f t="shared" si="325"/>
        <v/>
      </c>
      <c r="E4087" s="11" t="str">
        <f t="shared" si="322"/>
        <v/>
      </c>
      <c r="F4087" s="11" t="str">
        <f t="shared" si="323"/>
        <v/>
      </c>
      <c r="G4087" s="10" t="str">
        <v/>
      </c>
      <c r="H4087" s="11" t="str">
        <v/>
      </c>
      <c r="I4087" s="11" t="str">
        <v/>
      </c>
    </row>
    <row r="4088" spans="2:9">
      <c r="B4088" s="11" t="str">
        <f t="shared" si="321"/>
        <v/>
      </c>
      <c r="C4088" s="11" t="str">
        <f t="shared" si="324"/>
        <v/>
      </c>
      <c r="D4088" s="11" t="str">
        <f t="shared" si="325"/>
        <v/>
      </c>
      <c r="E4088" s="11" t="str">
        <f t="shared" si="322"/>
        <v/>
      </c>
      <c r="F4088" s="11" t="str">
        <f t="shared" si="323"/>
        <v/>
      </c>
      <c r="G4088" s="10" t="str">
        <v/>
      </c>
      <c r="H4088" s="11" t="str">
        <v/>
      </c>
      <c r="I4088" s="11" t="str">
        <v/>
      </c>
    </row>
    <row r="4089" spans="2:9">
      <c r="B4089" s="11" t="str">
        <f t="shared" si="321"/>
        <v/>
      </c>
      <c r="C4089" s="11" t="str">
        <f t="shared" si="324"/>
        <v/>
      </c>
      <c r="D4089" s="11" t="str">
        <f t="shared" si="325"/>
        <v/>
      </c>
      <c r="E4089" s="11" t="str">
        <f t="shared" si="322"/>
        <v/>
      </c>
      <c r="F4089" s="11" t="str">
        <f t="shared" si="323"/>
        <v/>
      </c>
      <c r="G4089" s="10" t="str">
        <v/>
      </c>
      <c r="H4089" s="11" t="str">
        <v/>
      </c>
      <c r="I4089" s="11" t="str">
        <v/>
      </c>
    </row>
    <row r="4090" spans="2:9">
      <c r="B4090" s="11" t="str">
        <f t="shared" si="321"/>
        <v/>
      </c>
      <c r="C4090" s="11" t="str">
        <f t="shared" si="324"/>
        <v/>
      </c>
      <c r="D4090" s="11" t="str">
        <f t="shared" si="325"/>
        <v/>
      </c>
      <c r="E4090" s="11" t="str">
        <f t="shared" si="322"/>
        <v/>
      </c>
      <c r="F4090" s="11" t="str">
        <f t="shared" si="323"/>
        <v/>
      </c>
      <c r="G4090" s="10" t="str">
        <v/>
      </c>
      <c r="H4090" s="11" t="str">
        <v/>
      </c>
      <c r="I4090" s="11" t="str">
        <v/>
      </c>
    </row>
    <row r="4091" spans="2:9">
      <c r="B4091" s="11" t="str">
        <f t="shared" si="321"/>
        <v/>
      </c>
      <c r="C4091" s="11" t="str">
        <f t="shared" si="324"/>
        <v/>
      </c>
      <c r="D4091" s="11" t="str">
        <f t="shared" si="325"/>
        <v/>
      </c>
      <c r="E4091" s="11" t="str">
        <f t="shared" si="322"/>
        <v/>
      </c>
      <c r="F4091" s="11" t="str">
        <f t="shared" si="323"/>
        <v/>
      </c>
      <c r="G4091" s="10" t="str">
        <v/>
      </c>
      <c r="H4091" s="11" t="str">
        <v/>
      </c>
      <c r="I4091" s="11" t="str">
        <v/>
      </c>
    </row>
    <row r="4092" spans="2:9">
      <c r="B4092" s="11" t="str">
        <f t="shared" si="321"/>
        <v/>
      </c>
      <c r="C4092" s="11" t="str">
        <f t="shared" si="324"/>
        <v/>
      </c>
      <c r="D4092" s="11" t="str">
        <f t="shared" si="325"/>
        <v/>
      </c>
      <c r="E4092" s="11" t="str">
        <f t="shared" si="322"/>
        <v/>
      </c>
      <c r="F4092" s="11" t="str">
        <f t="shared" si="323"/>
        <v/>
      </c>
      <c r="G4092" s="10" t="str">
        <v/>
      </c>
      <c r="H4092" s="11" t="str">
        <v/>
      </c>
      <c r="I4092" s="11" t="str">
        <v/>
      </c>
    </row>
    <row r="4093" spans="2:9">
      <c r="B4093" s="11" t="str">
        <f t="shared" si="321"/>
        <v/>
      </c>
      <c r="C4093" s="11" t="str">
        <f t="shared" si="324"/>
        <v/>
      </c>
      <c r="D4093" s="11" t="str">
        <f t="shared" si="325"/>
        <v/>
      </c>
      <c r="E4093" s="11" t="str">
        <f t="shared" si="322"/>
        <v/>
      </c>
      <c r="F4093" s="11" t="str">
        <f t="shared" si="323"/>
        <v/>
      </c>
      <c r="G4093" s="10" t="str">
        <v/>
      </c>
      <c r="H4093" s="11" t="str">
        <v/>
      </c>
      <c r="I4093" s="11" t="str">
        <v/>
      </c>
    </row>
    <row r="4094" spans="2:9">
      <c r="B4094" s="11" t="str">
        <f t="shared" si="321"/>
        <v/>
      </c>
      <c r="C4094" s="11" t="str">
        <f t="shared" si="324"/>
        <v/>
      </c>
      <c r="D4094" s="11" t="str">
        <f t="shared" si="325"/>
        <v/>
      </c>
      <c r="E4094" s="11" t="str">
        <f t="shared" si="322"/>
        <v/>
      </c>
      <c r="F4094" s="11" t="str">
        <f t="shared" si="323"/>
        <v/>
      </c>
      <c r="G4094" s="10" t="str">
        <v/>
      </c>
      <c r="H4094" s="11" t="str">
        <v/>
      </c>
      <c r="I4094" s="11" t="str">
        <v/>
      </c>
    </row>
    <row r="4095" spans="2:9">
      <c r="B4095" s="11" t="str">
        <f t="shared" si="321"/>
        <v/>
      </c>
      <c r="C4095" s="11" t="str">
        <f t="shared" si="324"/>
        <v/>
      </c>
      <c r="D4095" s="11" t="str">
        <f t="shared" si="325"/>
        <v/>
      </c>
      <c r="E4095" s="11" t="str">
        <f t="shared" si="322"/>
        <v/>
      </c>
      <c r="F4095" s="11" t="str">
        <f t="shared" si="323"/>
        <v/>
      </c>
      <c r="G4095" s="10" t="str">
        <v/>
      </c>
      <c r="H4095" s="11" t="str">
        <v/>
      </c>
      <c r="I4095" s="11" t="str">
        <v/>
      </c>
    </row>
    <row r="4096" spans="2:9">
      <c r="B4096" s="11" t="str">
        <f t="shared" si="321"/>
        <v/>
      </c>
      <c r="C4096" s="11" t="str">
        <f t="shared" si="324"/>
        <v/>
      </c>
      <c r="D4096" s="11" t="str">
        <f t="shared" si="325"/>
        <v/>
      </c>
      <c r="E4096" s="11" t="str">
        <f t="shared" si="322"/>
        <v/>
      </c>
      <c r="F4096" s="11" t="str">
        <f t="shared" si="323"/>
        <v/>
      </c>
      <c r="G4096" s="10" t="str">
        <v/>
      </c>
      <c r="H4096" s="11" t="str">
        <v/>
      </c>
      <c r="I4096" s="11" t="str">
        <v/>
      </c>
    </row>
    <row r="4097" spans="2:9">
      <c r="B4097" s="11" t="str">
        <f t="shared" ref="B4097:B4160" si="326">IFERROR(IF(FIND(" ",A4097)=6,IF(IFERROR(FIND(" PB",A4097),"")&lt;&gt;"","артикул",IF(IFERROR(FIND(" CRN",A4097),"")&lt;&gt;"","артикул","")),""),"")</f>
        <v/>
      </c>
      <c r="C4097" s="11" t="str">
        <f t="shared" si="324"/>
        <v/>
      </c>
      <c r="D4097" s="11" t="str">
        <f t="shared" si="325"/>
        <v/>
      </c>
      <c r="E4097" s="11" t="str">
        <f t="shared" si="322"/>
        <v/>
      </c>
      <c r="F4097" s="11" t="str">
        <f t="shared" si="323"/>
        <v/>
      </c>
      <c r="G4097" s="10" t="str">
        <v/>
      </c>
      <c r="H4097" s="11" t="str">
        <v/>
      </c>
      <c r="I4097" s="11" t="str">
        <v/>
      </c>
    </row>
    <row r="4098" spans="2:9">
      <c r="B4098" s="11" t="str">
        <f t="shared" si="326"/>
        <v/>
      </c>
      <c r="C4098" s="11" t="str">
        <f t="shared" si="324"/>
        <v/>
      </c>
      <c r="D4098" s="11" t="str">
        <f t="shared" si="325"/>
        <v/>
      </c>
      <c r="E4098" s="11" t="str">
        <f t="shared" ref="E4098:E4161" si="327" xml:space="preserve">
IF(B4098="Артикул",
IF(
AND(RIGHT(A4099,1)="%",
RIGHT(A4100,1)="%",
RIGHT(A4101,1)="%",
RIGHT(A4102,1)="%"),MID(A4103,FIND(" ",A4103),50),
IF(
AND(RIGHT(A4099,1)="%",
RIGHT(A4100,1)="%",
RIGHT(A4101,1)="%"),MID(A4102,FIND(" ",A4102),50),
IF(
AND(RIGHT(A4099,1)="%",
RIGHT(A4100,1)="%"),
MID(A4101,FIND(" ",A4101),50),
IF(
RIGHT(A4099,1)="%",
MID(A4100,FIND(" ",A4100),50),"")))),"")</f>
        <v/>
      </c>
      <c r="F4098" s="11" t="str">
        <f t="shared" ref="F4098:F4161" si="328">IFERROR(
IF(
AND(LEFT(A4098,8)="Discount",FIND("%",A4098)&gt;0),
MID(A4098,
FIND(" ",A4098),
FIND("%",A4098)-FIND(" ",A4098))
*-1,""),"")</f>
        <v/>
      </c>
      <c r="G4098" s="10" t="str">
        <v/>
      </c>
      <c r="H4098" s="11" t="str">
        <v/>
      </c>
      <c r="I4098" s="11" t="str">
        <v/>
      </c>
    </row>
    <row r="4099" spans="2:9">
      <c r="B4099" s="11" t="str">
        <f t="shared" si="326"/>
        <v/>
      </c>
      <c r="C4099" s="11" t="str">
        <f t="shared" si="324"/>
        <v/>
      </c>
      <c r="D4099" s="11" t="str">
        <f t="shared" si="325"/>
        <v/>
      </c>
      <c r="E4099" s="11" t="str">
        <f t="shared" si="327"/>
        <v/>
      </c>
      <c r="F4099" s="11" t="str">
        <f t="shared" si="328"/>
        <v/>
      </c>
      <c r="G4099" s="10" t="str">
        <v/>
      </c>
      <c r="H4099" s="11" t="str">
        <v/>
      </c>
      <c r="I4099" s="11" t="str">
        <v/>
      </c>
    </row>
    <row r="4100" spans="2:9">
      <c r="B4100" s="11" t="str">
        <f t="shared" si="326"/>
        <v/>
      </c>
      <c r="C4100" s="11" t="str">
        <f t="shared" si="324"/>
        <v/>
      </c>
      <c r="D4100" s="11" t="str">
        <f t="shared" si="325"/>
        <v/>
      </c>
      <c r="E4100" s="11" t="str">
        <f t="shared" si="327"/>
        <v/>
      </c>
      <c r="F4100" s="11" t="str">
        <f t="shared" si="328"/>
        <v/>
      </c>
      <c r="G4100" s="10" t="str">
        <v/>
      </c>
      <c r="H4100" s="11" t="str">
        <v/>
      </c>
      <c r="I4100" s="11" t="str">
        <v/>
      </c>
    </row>
    <row r="4101" spans="2:9">
      <c r="B4101" s="11" t="str">
        <f t="shared" si="326"/>
        <v/>
      </c>
      <c r="C4101" s="11" t="str">
        <f t="shared" si="324"/>
        <v/>
      </c>
      <c r="D4101" s="11" t="str">
        <f t="shared" si="325"/>
        <v/>
      </c>
      <c r="E4101" s="11" t="str">
        <f t="shared" si="327"/>
        <v/>
      </c>
      <c r="F4101" s="11" t="str">
        <f t="shared" si="328"/>
        <v/>
      </c>
      <c r="G4101" s="10" t="str">
        <v/>
      </c>
      <c r="H4101" s="11" t="str">
        <v/>
      </c>
      <c r="I4101" s="11" t="str">
        <v/>
      </c>
    </row>
    <row r="4102" spans="2:9">
      <c r="B4102" s="11" t="str">
        <f t="shared" si="326"/>
        <v/>
      </c>
      <c r="C4102" s="11" t="str">
        <f t="shared" si="324"/>
        <v/>
      </c>
      <c r="D4102" s="11" t="str">
        <f t="shared" si="325"/>
        <v/>
      </c>
      <c r="E4102" s="11" t="str">
        <f t="shared" si="327"/>
        <v/>
      </c>
      <c r="F4102" s="11" t="str">
        <f t="shared" si="328"/>
        <v/>
      </c>
      <c r="G4102" s="10" t="str">
        <v/>
      </c>
      <c r="H4102" s="11" t="str">
        <v/>
      </c>
      <c r="I4102" s="11" t="str">
        <v/>
      </c>
    </row>
    <row r="4103" spans="2:9">
      <c r="B4103" s="11" t="str">
        <f t="shared" si="326"/>
        <v/>
      </c>
      <c r="C4103" s="11" t="str">
        <f t="shared" si="324"/>
        <v/>
      </c>
      <c r="D4103" s="11" t="str">
        <f t="shared" si="325"/>
        <v/>
      </c>
      <c r="E4103" s="11" t="str">
        <f t="shared" si="327"/>
        <v/>
      </c>
      <c r="F4103" s="11" t="str">
        <f t="shared" si="328"/>
        <v/>
      </c>
      <c r="G4103" s="10" t="str">
        <v/>
      </c>
      <c r="H4103" s="11" t="str">
        <v/>
      </c>
      <c r="I4103" s="11" t="str">
        <v/>
      </c>
    </row>
    <row r="4104" spans="2:9">
      <c r="B4104" s="11" t="str">
        <f t="shared" si="326"/>
        <v/>
      </c>
      <c r="C4104" s="11" t="str">
        <f t="shared" si="324"/>
        <v/>
      </c>
      <c r="D4104" s="11" t="str">
        <f t="shared" si="325"/>
        <v/>
      </c>
      <c r="E4104" s="11" t="str">
        <f t="shared" si="327"/>
        <v/>
      </c>
      <c r="F4104" s="11" t="str">
        <f t="shared" si="328"/>
        <v/>
      </c>
      <c r="G4104" s="10" t="str">
        <v/>
      </c>
      <c r="H4104" s="11" t="str">
        <v/>
      </c>
      <c r="I4104" s="11" t="str">
        <v/>
      </c>
    </row>
    <row r="4105" spans="2:9">
      <c r="B4105" s="11" t="str">
        <f t="shared" si="326"/>
        <v/>
      </c>
      <c r="C4105" s="11" t="str">
        <f t="shared" si="324"/>
        <v/>
      </c>
      <c r="D4105" s="11" t="str">
        <f t="shared" si="325"/>
        <v/>
      </c>
      <c r="E4105" s="11" t="str">
        <f t="shared" si="327"/>
        <v/>
      </c>
      <c r="F4105" s="11" t="str">
        <f t="shared" si="328"/>
        <v/>
      </c>
      <c r="G4105" s="10" t="str">
        <v/>
      </c>
      <c r="H4105" s="11" t="str">
        <v/>
      </c>
      <c r="I4105" s="11" t="str">
        <v/>
      </c>
    </row>
    <row r="4106" spans="2:9">
      <c r="B4106" s="11" t="str">
        <f t="shared" si="326"/>
        <v/>
      </c>
      <c r="C4106" s="11" t="str">
        <f t="shared" si="324"/>
        <v/>
      </c>
      <c r="D4106" s="11" t="str">
        <f t="shared" si="325"/>
        <v/>
      </c>
      <c r="E4106" s="11" t="str">
        <f t="shared" si="327"/>
        <v/>
      </c>
      <c r="F4106" s="11" t="str">
        <f t="shared" si="328"/>
        <v/>
      </c>
      <c r="G4106" s="10" t="str">
        <v/>
      </c>
      <c r="H4106" s="11" t="str">
        <v/>
      </c>
      <c r="I4106" s="11" t="str">
        <v/>
      </c>
    </row>
    <row r="4107" spans="2:9">
      <c r="B4107" s="11" t="str">
        <f t="shared" si="326"/>
        <v/>
      </c>
      <c r="C4107" s="11" t="str">
        <f t="shared" si="324"/>
        <v/>
      </c>
      <c r="D4107" s="11" t="str">
        <f t="shared" si="325"/>
        <v/>
      </c>
      <c r="E4107" s="11" t="str">
        <f t="shared" si="327"/>
        <v/>
      </c>
      <c r="F4107" s="11" t="str">
        <f t="shared" si="328"/>
        <v/>
      </c>
      <c r="G4107" s="10" t="str">
        <v/>
      </c>
      <c r="H4107" s="11" t="str">
        <v/>
      </c>
      <c r="I4107" s="11" t="str">
        <v/>
      </c>
    </row>
    <row r="4108" spans="2:9">
      <c r="B4108" s="11" t="str">
        <f t="shared" si="326"/>
        <v/>
      </c>
      <c r="C4108" s="11" t="str">
        <f t="shared" si="324"/>
        <v/>
      </c>
      <c r="D4108" s="11" t="str">
        <f t="shared" si="325"/>
        <v/>
      </c>
      <c r="E4108" s="11" t="str">
        <f t="shared" si="327"/>
        <v/>
      </c>
      <c r="F4108" s="11" t="str">
        <f t="shared" si="328"/>
        <v/>
      </c>
      <c r="G4108" s="10" t="str">
        <v/>
      </c>
      <c r="H4108" s="11" t="str">
        <v/>
      </c>
      <c r="I4108" s="11" t="str">
        <v/>
      </c>
    </row>
    <row r="4109" spans="2:9">
      <c r="B4109" s="11" t="str">
        <f t="shared" si="326"/>
        <v/>
      </c>
      <c r="C4109" s="11" t="str">
        <f t="shared" ref="C4109:C4172" si="329">IF(B4109="артикул",A4109,"")</f>
        <v/>
      </c>
      <c r="D4109" s="11" t="str">
        <f t="shared" ref="D4109:D4172" si="330">IF(B4109="артикул",A4110,"")</f>
        <v/>
      </c>
      <c r="E4109" s="11" t="str">
        <f t="shared" si="327"/>
        <v/>
      </c>
      <c r="F4109" s="11" t="str">
        <f t="shared" si="328"/>
        <v/>
      </c>
      <c r="G4109" s="10" t="str">
        <v/>
      </c>
      <c r="H4109" s="11" t="str">
        <v/>
      </c>
      <c r="I4109" s="11" t="str">
        <v/>
      </c>
    </row>
    <row r="4110" spans="2:9">
      <c r="B4110" s="11" t="str">
        <f t="shared" si="326"/>
        <v/>
      </c>
      <c r="C4110" s="11" t="str">
        <f t="shared" si="329"/>
        <v/>
      </c>
      <c r="D4110" s="11" t="str">
        <f t="shared" si="330"/>
        <v/>
      </c>
      <c r="E4110" s="11" t="str">
        <f t="shared" si="327"/>
        <v/>
      </c>
      <c r="F4110" s="11" t="str">
        <f t="shared" si="328"/>
        <v/>
      </c>
      <c r="G4110" s="10" t="str">
        <v/>
      </c>
      <c r="H4110" s="11" t="str">
        <v/>
      </c>
      <c r="I4110" s="11" t="str">
        <v/>
      </c>
    </row>
    <row r="4111" spans="2:9">
      <c r="B4111" s="11" t="str">
        <f t="shared" si="326"/>
        <v/>
      </c>
      <c r="C4111" s="11" t="str">
        <f t="shared" si="329"/>
        <v/>
      </c>
      <c r="D4111" s="11" t="str">
        <f t="shared" si="330"/>
        <v/>
      </c>
      <c r="E4111" s="11" t="str">
        <f t="shared" si="327"/>
        <v/>
      </c>
      <c r="F4111" s="11" t="str">
        <f t="shared" si="328"/>
        <v/>
      </c>
      <c r="G4111" s="10" t="str">
        <v/>
      </c>
      <c r="H4111" s="11" t="str">
        <v/>
      </c>
      <c r="I4111" s="11" t="str">
        <v/>
      </c>
    </row>
    <row r="4112" spans="2:9">
      <c r="B4112" s="11" t="str">
        <f t="shared" si="326"/>
        <v/>
      </c>
      <c r="C4112" s="11" t="str">
        <f t="shared" si="329"/>
        <v/>
      </c>
      <c r="D4112" s="11" t="str">
        <f t="shared" si="330"/>
        <v/>
      </c>
      <c r="E4112" s="11" t="str">
        <f t="shared" si="327"/>
        <v/>
      </c>
      <c r="F4112" s="11" t="str">
        <f t="shared" si="328"/>
        <v/>
      </c>
      <c r="G4112" s="10" t="str">
        <v/>
      </c>
      <c r="H4112" s="11" t="str">
        <v/>
      </c>
      <c r="I4112" s="11" t="str">
        <v/>
      </c>
    </row>
    <row r="4113" spans="2:9">
      <c r="B4113" s="11" t="str">
        <f t="shared" si="326"/>
        <v/>
      </c>
      <c r="C4113" s="11" t="str">
        <f t="shared" si="329"/>
        <v/>
      </c>
      <c r="D4113" s="11" t="str">
        <f t="shared" si="330"/>
        <v/>
      </c>
      <c r="E4113" s="11" t="str">
        <f t="shared" si="327"/>
        <v/>
      </c>
      <c r="F4113" s="11" t="str">
        <f t="shared" si="328"/>
        <v/>
      </c>
      <c r="G4113" s="10" t="str">
        <v/>
      </c>
      <c r="H4113" s="11" t="str">
        <v/>
      </c>
      <c r="I4113" s="11" t="str">
        <v/>
      </c>
    </row>
    <row r="4114" spans="2:9">
      <c r="B4114" s="11" t="str">
        <f t="shared" si="326"/>
        <v/>
      </c>
      <c r="C4114" s="11" t="str">
        <f t="shared" si="329"/>
        <v/>
      </c>
      <c r="D4114" s="11" t="str">
        <f t="shared" si="330"/>
        <v/>
      </c>
      <c r="E4114" s="11" t="str">
        <f t="shared" si="327"/>
        <v/>
      </c>
      <c r="F4114" s="11" t="str">
        <f t="shared" si="328"/>
        <v/>
      </c>
      <c r="G4114" s="10" t="str">
        <v/>
      </c>
      <c r="H4114" s="11" t="str">
        <v/>
      </c>
      <c r="I4114" s="11" t="str">
        <v/>
      </c>
    </row>
    <row r="4115" spans="2:9">
      <c r="B4115" s="11" t="str">
        <f t="shared" si="326"/>
        <v/>
      </c>
      <c r="C4115" s="11" t="str">
        <f t="shared" si="329"/>
        <v/>
      </c>
      <c r="D4115" s="11" t="str">
        <f t="shared" si="330"/>
        <v/>
      </c>
      <c r="E4115" s="11" t="str">
        <f t="shared" si="327"/>
        <v/>
      </c>
      <c r="F4115" s="11" t="str">
        <f t="shared" si="328"/>
        <v/>
      </c>
      <c r="G4115" s="10" t="str">
        <v/>
      </c>
      <c r="H4115" s="11" t="str">
        <v/>
      </c>
      <c r="I4115" s="11" t="str">
        <v/>
      </c>
    </row>
    <row r="4116" spans="2:9">
      <c r="B4116" s="11" t="str">
        <f t="shared" si="326"/>
        <v/>
      </c>
      <c r="C4116" s="11" t="str">
        <f t="shared" si="329"/>
        <v/>
      </c>
      <c r="D4116" s="11" t="str">
        <f t="shared" si="330"/>
        <v/>
      </c>
      <c r="E4116" s="11" t="str">
        <f t="shared" si="327"/>
        <v/>
      </c>
      <c r="F4116" s="11" t="str">
        <f t="shared" si="328"/>
        <v/>
      </c>
      <c r="G4116" s="10" t="str">
        <v/>
      </c>
      <c r="H4116" s="11" t="str">
        <v/>
      </c>
      <c r="I4116" s="11" t="str">
        <v/>
      </c>
    </row>
    <row r="4117" spans="2:9">
      <c r="B4117" s="11" t="str">
        <f t="shared" si="326"/>
        <v/>
      </c>
      <c r="C4117" s="11" t="str">
        <f t="shared" si="329"/>
        <v/>
      </c>
      <c r="D4117" s="11" t="str">
        <f t="shared" si="330"/>
        <v/>
      </c>
      <c r="E4117" s="11" t="str">
        <f t="shared" si="327"/>
        <v/>
      </c>
      <c r="F4117" s="11" t="str">
        <f t="shared" si="328"/>
        <v/>
      </c>
      <c r="G4117" s="10" t="str">
        <v/>
      </c>
      <c r="H4117" s="11" t="str">
        <v/>
      </c>
      <c r="I4117" s="11" t="str">
        <v/>
      </c>
    </row>
    <row r="4118" spans="2:9">
      <c r="B4118" s="11" t="str">
        <f t="shared" si="326"/>
        <v/>
      </c>
      <c r="C4118" s="11" t="str">
        <f t="shared" si="329"/>
        <v/>
      </c>
      <c r="D4118" s="11" t="str">
        <f t="shared" si="330"/>
        <v/>
      </c>
      <c r="E4118" s="11" t="str">
        <f t="shared" si="327"/>
        <v/>
      </c>
      <c r="F4118" s="11" t="str">
        <f t="shared" si="328"/>
        <v/>
      </c>
      <c r="G4118" s="10" t="str">
        <v/>
      </c>
      <c r="H4118" s="11" t="str">
        <v/>
      </c>
      <c r="I4118" s="11" t="str">
        <v/>
      </c>
    </row>
    <row r="4119" spans="2:9">
      <c r="B4119" s="11" t="str">
        <f t="shared" si="326"/>
        <v/>
      </c>
      <c r="C4119" s="11" t="str">
        <f t="shared" si="329"/>
        <v/>
      </c>
      <c r="D4119" s="11" t="str">
        <f t="shared" si="330"/>
        <v/>
      </c>
      <c r="E4119" s="11" t="str">
        <f t="shared" si="327"/>
        <v/>
      </c>
      <c r="F4119" s="11" t="str">
        <f t="shared" si="328"/>
        <v/>
      </c>
      <c r="G4119" s="10" t="str">
        <v/>
      </c>
      <c r="H4119" s="11" t="str">
        <v/>
      </c>
      <c r="I4119" s="11" t="str">
        <v/>
      </c>
    </row>
    <row r="4120" spans="2:9">
      <c r="B4120" s="11" t="str">
        <f t="shared" si="326"/>
        <v/>
      </c>
      <c r="C4120" s="11" t="str">
        <f t="shared" si="329"/>
        <v/>
      </c>
      <c r="D4120" s="11" t="str">
        <f t="shared" si="330"/>
        <v/>
      </c>
      <c r="E4120" s="11" t="str">
        <f t="shared" si="327"/>
        <v/>
      </c>
      <c r="F4120" s="11" t="str">
        <f t="shared" si="328"/>
        <v/>
      </c>
      <c r="G4120" s="10" t="str">
        <v/>
      </c>
      <c r="H4120" s="11" t="str">
        <v/>
      </c>
      <c r="I4120" s="11" t="str">
        <v/>
      </c>
    </row>
    <row r="4121" spans="2:9">
      <c r="B4121" s="11" t="str">
        <f t="shared" si="326"/>
        <v/>
      </c>
      <c r="C4121" s="11" t="str">
        <f t="shared" si="329"/>
        <v/>
      </c>
      <c r="D4121" s="11" t="str">
        <f t="shared" si="330"/>
        <v/>
      </c>
      <c r="E4121" s="11" t="str">
        <f t="shared" si="327"/>
        <v/>
      </c>
      <c r="F4121" s="11" t="str">
        <f t="shared" si="328"/>
        <v/>
      </c>
      <c r="G4121" s="10" t="str">
        <v/>
      </c>
      <c r="H4121" s="11" t="str">
        <v/>
      </c>
      <c r="I4121" s="11" t="str">
        <v/>
      </c>
    </row>
    <row r="4122" spans="2:9">
      <c r="B4122" s="11" t="str">
        <f t="shared" si="326"/>
        <v/>
      </c>
      <c r="C4122" s="11" t="str">
        <f t="shared" si="329"/>
        <v/>
      </c>
      <c r="D4122" s="11" t="str">
        <f t="shared" si="330"/>
        <v/>
      </c>
      <c r="E4122" s="11" t="str">
        <f t="shared" si="327"/>
        <v/>
      </c>
      <c r="F4122" s="11" t="str">
        <f t="shared" si="328"/>
        <v/>
      </c>
      <c r="G4122" s="10" t="str">
        <v/>
      </c>
      <c r="H4122" s="11" t="str">
        <v/>
      </c>
      <c r="I4122" s="11" t="str">
        <v/>
      </c>
    </row>
    <row r="4123" spans="2:9">
      <c r="B4123" s="11" t="str">
        <f t="shared" si="326"/>
        <v/>
      </c>
      <c r="C4123" s="11" t="str">
        <f t="shared" si="329"/>
        <v/>
      </c>
      <c r="D4123" s="11" t="str">
        <f t="shared" si="330"/>
        <v/>
      </c>
      <c r="E4123" s="11" t="str">
        <f t="shared" si="327"/>
        <v/>
      </c>
      <c r="F4123" s="11" t="str">
        <f t="shared" si="328"/>
        <v/>
      </c>
      <c r="G4123" s="10" t="str">
        <v/>
      </c>
      <c r="H4123" s="11" t="str">
        <v/>
      </c>
      <c r="I4123" s="11" t="str">
        <v/>
      </c>
    </row>
    <row r="4124" spans="2:9">
      <c r="B4124" s="11" t="str">
        <f t="shared" si="326"/>
        <v/>
      </c>
      <c r="C4124" s="11" t="str">
        <f t="shared" si="329"/>
        <v/>
      </c>
      <c r="D4124" s="11" t="str">
        <f t="shared" si="330"/>
        <v/>
      </c>
      <c r="E4124" s="11" t="str">
        <f t="shared" si="327"/>
        <v/>
      </c>
      <c r="F4124" s="11" t="str">
        <f t="shared" si="328"/>
        <v/>
      </c>
      <c r="G4124" s="10" t="str">
        <v/>
      </c>
      <c r="H4124" s="11" t="str">
        <v/>
      </c>
      <c r="I4124" s="11" t="str">
        <v/>
      </c>
    </row>
    <row r="4125" spans="2:9">
      <c r="B4125" s="11" t="str">
        <f t="shared" si="326"/>
        <v/>
      </c>
      <c r="C4125" s="11" t="str">
        <f t="shared" si="329"/>
        <v/>
      </c>
      <c r="D4125" s="11" t="str">
        <f t="shared" si="330"/>
        <v/>
      </c>
      <c r="E4125" s="11" t="str">
        <f t="shared" si="327"/>
        <v/>
      </c>
      <c r="F4125" s="11" t="str">
        <f t="shared" si="328"/>
        <v/>
      </c>
      <c r="G4125" s="10" t="str">
        <v/>
      </c>
      <c r="H4125" s="11" t="str">
        <v/>
      </c>
      <c r="I4125" s="11" t="str">
        <v/>
      </c>
    </row>
    <row r="4126" spans="2:9">
      <c r="B4126" s="11" t="str">
        <f t="shared" si="326"/>
        <v/>
      </c>
      <c r="C4126" s="11" t="str">
        <f t="shared" si="329"/>
        <v/>
      </c>
      <c r="D4126" s="11" t="str">
        <f t="shared" si="330"/>
        <v/>
      </c>
      <c r="E4126" s="11" t="str">
        <f t="shared" si="327"/>
        <v/>
      </c>
      <c r="F4126" s="11" t="str">
        <f t="shared" si="328"/>
        <v/>
      </c>
      <c r="G4126" s="10" t="str">
        <v/>
      </c>
      <c r="H4126" s="11" t="str">
        <v/>
      </c>
      <c r="I4126" s="11" t="str">
        <v/>
      </c>
    </row>
    <row r="4127" spans="2:9">
      <c r="B4127" s="11" t="str">
        <f t="shared" si="326"/>
        <v/>
      </c>
      <c r="C4127" s="11" t="str">
        <f t="shared" si="329"/>
        <v/>
      </c>
      <c r="D4127" s="11" t="str">
        <f t="shared" si="330"/>
        <v/>
      </c>
      <c r="E4127" s="11" t="str">
        <f t="shared" si="327"/>
        <v/>
      </c>
      <c r="F4127" s="11" t="str">
        <f t="shared" si="328"/>
        <v/>
      </c>
      <c r="G4127" s="10" t="str">
        <v/>
      </c>
      <c r="H4127" s="11" t="str">
        <v/>
      </c>
      <c r="I4127" s="11" t="str">
        <v/>
      </c>
    </row>
    <row r="4128" spans="2:9">
      <c r="B4128" s="11" t="str">
        <f t="shared" si="326"/>
        <v/>
      </c>
      <c r="C4128" s="11" t="str">
        <f t="shared" si="329"/>
        <v/>
      </c>
      <c r="D4128" s="11" t="str">
        <f t="shared" si="330"/>
        <v/>
      </c>
      <c r="E4128" s="11" t="str">
        <f t="shared" si="327"/>
        <v/>
      </c>
      <c r="F4128" s="11" t="str">
        <f t="shared" si="328"/>
        <v/>
      </c>
      <c r="G4128" s="10" t="str">
        <v/>
      </c>
      <c r="H4128" s="11" t="str">
        <v/>
      </c>
      <c r="I4128" s="11" t="str">
        <v/>
      </c>
    </row>
    <row r="4129" spans="2:9">
      <c r="B4129" s="11" t="str">
        <f t="shared" si="326"/>
        <v/>
      </c>
      <c r="C4129" s="11" t="str">
        <f t="shared" si="329"/>
        <v/>
      </c>
      <c r="D4129" s="11" t="str">
        <f t="shared" si="330"/>
        <v/>
      </c>
      <c r="E4129" s="11" t="str">
        <f t="shared" si="327"/>
        <v/>
      </c>
      <c r="F4129" s="11" t="str">
        <f t="shared" si="328"/>
        <v/>
      </c>
      <c r="G4129" s="10" t="str">
        <v/>
      </c>
      <c r="H4129" s="11" t="str">
        <v/>
      </c>
      <c r="I4129" s="11" t="str">
        <v/>
      </c>
    </row>
    <row r="4130" spans="2:9">
      <c r="B4130" s="11" t="str">
        <f t="shared" si="326"/>
        <v/>
      </c>
      <c r="C4130" s="11" t="str">
        <f t="shared" si="329"/>
        <v/>
      </c>
      <c r="D4130" s="11" t="str">
        <f t="shared" si="330"/>
        <v/>
      </c>
      <c r="E4130" s="11" t="str">
        <f t="shared" si="327"/>
        <v/>
      </c>
      <c r="F4130" s="11" t="str">
        <f t="shared" si="328"/>
        <v/>
      </c>
      <c r="G4130" s="10" t="str">
        <v/>
      </c>
      <c r="H4130" s="11" t="str">
        <v/>
      </c>
      <c r="I4130" s="11" t="str">
        <v/>
      </c>
    </row>
    <row r="4131" spans="2:9">
      <c r="B4131" s="11" t="str">
        <f t="shared" si="326"/>
        <v/>
      </c>
      <c r="C4131" s="11" t="str">
        <f t="shared" si="329"/>
        <v/>
      </c>
      <c r="D4131" s="11" t="str">
        <f t="shared" si="330"/>
        <v/>
      </c>
      <c r="E4131" s="11" t="str">
        <f t="shared" si="327"/>
        <v/>
      </c>
      <c r="F4131" s="11" t="str">
        <f t="shared" si="328"/>
        <v/>
      </c>
      <c r="G4131" s="10" t="str">
        <v/>
      </c>
      <c r="H4131" s="11" t="str">
        <v/>
      </c>
      <c r="I4131" s="11" t="str">
        <v/>
      </c>
    </row>
    <row r="4132" spans="2:9">
      <c r="B4132" s="11" t="str">
        <f t="shared" si="326"/>
        <v/>
      </c>
      <c r="C4132" s="11" t="str">
        <f t="shared" si="329"/>
        <v/>
      </c>
      <c r="D4132" s="11" t="str">
        <f t="shared" si="330"/>
        <v/>
      </c>
      <c r="E4132" s="11" t="str">
        <f t="shared" si="327"/>
        <v/>
      </c>
      <c r="F4132" s="11" t="str">
        <f t="shared" si="328"/>
        <v/>
      </c>
      <c r="G4132" s="10" t="str">
        <v/>
      </c>
      <c r="H4132" s="11" t="str">
        <v/>
      </c>
      <c r="I4132" s="11" t="str">
        <v/>
      </c>
    </row>
    <row r="4133" spans="2:9">
      <c r="B4133" s="11" t="str">
        <f t="shared" si="326"/>
        <v/>
      </c>
      <c r="C4133" s="11" t="str">
        <f t="shared" si="329"/>
        <v/>
      </c>
      <c r="D4133" s="11" t="str">
        <f t="shared" si="330"/>
        <v/>
      </c>
      <c r="E4133" s="11" t="str">
        <f t="shared" si="327"/>
        <v/>
      </c>
      <c r="F4133" s="11" t="str">
        <f t="shared" si="328"/>
        <v/>
      </c>
      <c r="G4133" s="10" t="str">
        <v/>
      </c>
      <c r="H4133" s="11" t="str">
        <v/>
      </c>
      <c r="I4133" s="11" t="str">
        <v/>
      </c>
    </row>
    <row r="4134" spans="2:9">
      <c r="B4134" s="11" t="str">
        <f t="shared" si="326"/>
        <v/>
      </c>
      <c r="C4134" s="11" t="str">
        <f t="shared" si="329"/>
        <v/>
      </c>
      <c r="D4134" s="11" t="str">
        <f t="shared" si="330"/>
        <v/>
      </c>
      <c r="E4134" s="11" t="str">
        <f t="shared" si="327"/>
        <v/>
      </c>
      <c r="F4134" s="11" t="str">
        <f t="shared" si="328"/>
        <v/>
      </c>
      <c r="G4134" s="10" t="str">
        <v/>
      </c>
      <c r="H4134" s="11" t="str">
        <v/>
      </c>
      <c r="I4134" s="11" t="str">
        <v/>
      </c>
    </row>
    <row r="4135" spans="2:9">
      <c r="B4135" s="11" t="str">
        <f t="shared" si="326"/>
        <v/>
      </c>
      <c r="C4135" s="11" t="str">
        <f t="shared" si="329"/>
        <v/>
      </c>
      <c r="D4135" s="11" t="str">
        <f t="shared" si="330"/>
        <v/>
      </c>
      <c r="E4135" s="11" t="str">
        <f t="shared" si="327"/>
        <v/>
      </c>
      <c r="F4135" s="11" t="str">
        <f t="shared" si="328"/>
        <v/>
      </c>
      <c r="G4135" s="10" t="str">
        <v/>
      </c>
      <c r="H4135" s="11" t="str">
        <v/>
      </c>
      <c r="I4135" s="11" t="str">
        <v/>
      </c>
    </row>
    <row r="4136" spans="2:9">
      <c r="B4136" s="11" t="str">
        <f t="shared" si="326"/>
        <v/>
      </c>
      <c r="C4136" s="11" t="str">
        <f t="shared" si="329"/>
        <v/>
      </c>
      <c r="D4136" s="11" t="str">
        <f t="shared" si="330"/>
        <v/>
      </c>
      <c r="E4136" s="11" t="str">
        <f t="shared" si="327"/>
        <v/>
      </c>
      <c r="F4136" s="11" t="str">
        <f t="shared" si="328"/>
        <v/>
      </c>
      <c r="G4136" s="10" t="str">
        <v/>
      </c>
      <c r="H4136" s="11" t="str">
        <v/>
      </c>
      <c r="I4136" s="11" t="str">
        <v/>
      </c>
    </row>
    <row r="4137" spans="2:9">
      <c r="B4137" s="11" t="str">
        <f t="shared" si="326"/>
        <v/>
      </c>
      <c r="C4137" s="11" t="str">
        <f t="shared" si="329"/>
        <v/>
      </c>
      <c r="D4137" s="11" t="str">
        <f t="shared" si="330"/>
        <v/>
      </c>
      <c r="E4137" s="11" t="str">
        <f t="shared" si="327"/>
        <v/>
      </c>
      <c r="F4137" s="11" t="str">
        <f t="shared" si="328"/>
        <v/>
      </c>
      <c r="G4137" s="10" t="str">
        <v/>
      </c>
      <c r="H4137" s="11" t="str">
        <v/>
      </c>
      <c r="I4137" s="11" t="str">
        <v/>
      </c>
    </row>
    <row r="4138" spans="2:9">
      <c r="B4138" s="11" t="str">
        <f t="shared" si="326"/>
        <v/>
      </c>
      <c r="C4138" s="11" t="str">
        <f t="shared" si="329"/>
        <v/>
      </c>
      <c r="D4138" s="11" t="str">
        <f t="shared" si="330"/>
        <v/>
      </c>
      <c r="E4138" s="11" t="str">
        <f t="shared" si="327"/>
        <v/>
      </c>
      <c r="F4138" s="11" t="str">
        <f t="shared" si="328"/>
        <v/>
      </c>
      <c r="G4138" s="10" t="str">
        <v/>
      </c>
      <c r="H4138" s="11" t="str">
        <v/>
      </c>
      <c r="I4138" s="11" t="str">
        <v/>
      </c>
    </row>
    <row r="4139" spans="2:9">
      <c r="B4139" s="11" t="str">
        <f t="shared" si="326"/>
        <v/>
      </c>
      <c r="C4139" s="11" t="str">
        <f t="shared" si="329"/>
        <v/>
      </c>
      <c r="D4139" s="11" t="str">
        <f t="shared" si="330"/>
        <v/>
      </c>
      <c r="E4139" s="11" t="str">
        <f t="shared" si="327"/>
        <v/>
      </c>
      <c r="F4139" s="11" t="str">
        <f t="shared" si="328"/>
        <v/>
      </c>
      <c r="G4139" s="10" t="str">
        <v/>
      </c>
      <c r="H4139" s="11" t="str">
        <v/>
      </c>
      <c r="I4139" s="11" t="str">
        <v/>
      </c>
    </row>
    <row r="4140" spans="2:9">
      <c r="B4140" s="11" t="str">
        <f t="shared" si="326"/>
        <v/>
      </c>
      <c r="C4140" s="11" t="str">
        <f t="shared" si="329"/>
        <v/>
      </c>
      <c r="D4140" s="11" t="str">
        <f t="shared" si="330"/>
        <v/>
      </c>
      <c r="E4140" s="11" t="str">
        <f t="shared" si="327"/>
        <v/>
      </c>
      <c r="F4140" s="11" t="str">
        <f t="shared" si="328"/>
        <v/>
      </c>
      <c r="G4140" s="10" t="str">
        <v/>
      </c>
      <c r="H4140" s="11" t="str">
        <v/>
      </c>
      <c r="I4140" s="11" t="str">
        <v/>
      </c>
    </row>
    <row r="4141" spans="2:9">
      <c r="B4141" s="11" t="str">
        <f t="shared" si="326"/>
        <v/>
      </c>
      <c r="C4141" s="11" t="str">
        <f t="shared" si="329"/>
        <v/>
      </c>
      <c r="D4141" s="11" t="str">
        <f t="shared" si="330"/>
        <v/>
      </c>
      <c r="E4141" s="11" t="str">
        <f t="shared" si="327"/>
        <v/>
      </c>
      <c r="F4141" s="11" t="str">
        <f t="shared" si="328"/>
        <v/>
      </c>
      <c r="G4141" s="10" t="str">
        <v/>
      </c>
      <c r="H4141" s="11" t="str">
        <v/>
      </c>
      <c r="I4141" s="11" t="str">
        <v/>
      </c>
    </row>
    <row r="4142" spans="2:9">
      <c r="B4142" s="11" t="str">
        <f t="shared" si="326"/>
        <v/>
      </c>
      <c r="C4142" s="11" t="str">
        <f t="shared" si="329"/>
        <v/>
      </c>
      <c r="D4142" s="11" t="str">
        <f t="shared" si="330"/>
        <v/>
      </c>
      <c r="E4142" s="11" t="str">
        <f t="shared" si="327"/>
        <v/>
      </c>
      <c r="F4142" s="11" t="str">
        <f t="shared" si="328"/>
        <v/>
      </c>
      <c r="G4142" s="10" t="str">
        <v/>
      </c>
      <c r="H4142" s="11" t="str">
        <v/>
      </c>
      <c r="I4142" s="11" t="str">
        <v/>
      </c>
    </row>
    <row r="4143" spans="2:9">
      <c r="B4143" s="11" t="str">
        <f t="shared" si="326"/>
        <v/>
      </c>
      <c r="C4143" s="11" t="str">
        <f t="shared" si="329"/>
        <v/>
      </c>
      <c r="D4143" s="11" t="str">
        <f t="shared" si="330"/>
        <v/>
      </c>
      <c r="E4143" s="11" t="str">
        <f t="shared" si="327"/>
        <v/>
      </c>
      <c r="F4143" s="11" t="str">
        <f t="shared" si="328"/>
        <v/>
      </c>
      <c r="G4143" s="10" t="str">
        <v/>
      </c>
      <c r="H4143" s="11" t="str">
        <v/>
      </c>
      <c r="I4143" s="11" t="str">
        <v/>
      </c>
    </row>
    <row r="4144" spans="2:9">
      <c r="B4144" s="11" t="str">
        <f t="shared" si="326"/>
        <v/>
      </c>
      <c r="C4144" s="11" t="str">
        <f t="shared" si="329"/>
        <v/>
      </c>
      <c r="D4144" s="11" t="str">
        <f t="shared" si="330"/>
        <v/>
      </c>
      <c r="E4144" s="11" t="str">
        <f t="shared" si="327"/>
        <v/>
      </c>
      <c r="F4144" s="11" t="str">
        <f t="shared" si="328"/>
        <v/>
      </c>
      <c r="G4144" s="10" t="str">
        <v/>
      </c>
      <c r="H4144" s="11" t="str">
        <v/>
      </c>
      <c r="I4144" s="11" t="str">
        <v/>
      </c>
    </row>
    <row r="4145" spans="2:9">
      <c r="B4145" s="11" t="str">
        <f t="shared" si="326"/>
        <v/>
      </c>
      <c r="C4145" s="11" t="str">
        <f t="shared" si="329"/>
        <v/>
      </c>
      <c r="D4145" s="11" t="str">
        <f t="shared" si="330"/>
        <v/>
      </c>
      <c r="E4145" s="11" t="str">
        <f t="shared" si="327"/>
        <v/>
      </c>
      <c r="F4145" s="11" t="str">
        <f t="shared" si="328"/>
        <v/>
      </c>
      <c r="G4145" s="10" t="str">
        <v/>
      </c>
      <c r="H4145" s="11" t="str">
        <v/>
      </c>
      <c r="I4145" s="11" t="str">
        <v/>
      </c>
    </row>
    <row r="4146" spans="2:9">
      <c r="B4146" s="11" t="str">
        <f t="shared" si="326"/>
        <v/>
      </c>
      <c r="C4146" s="11" t="str">
        <f t="shared" si="329"/>
        <v/>
      </c>
      <c r="D4146" s="11" t="str">
        <f t="shared" si="330"/>
        <v/>
      </c>
      <c r="E4146" s="11" t="str">
        <f t="shared" si="327"/>
        <v/>
      </c>
      <c r="F4146" s="11" t="str">
        <f t="shared" si="328"/>
        <v/>
      </c>
      <c r="G4146" s="10" t="str">
        <v/>
      </c>
      <c r="H4146" s="11" t="str">
        <v/>
      </c>
      <c r="I4146" s="11" t="str">
        <v/>
      </c>
    </row>
    <row r="4147" spans="2:9">
      <c r="B4147" s="11" t="str">
        <f t="shared" si="326"/>
        <v/>
      </c>
      <c r="C4147" s="11" t="str">
        <f t="shared" si="329"/>
        <v/>
      </c>
      <c r="D4147" s="11" t="str">
        <f t="shared" si="330"/>
        <v/>
      </c>
      <c r="E4147" s="11" t="str">
        <f t="shared" si="327"/>
        <v/>
      </c>
      <c r="F4147" s="11" t="str">
        <f t="shared" si="328"/>
        <v/>
      </c>
      <c r="G4147" s="10" t="str">
        <v/>
      </c>
      <c r="H4147" s="11" t="str">
        <v/>
      </c>
      <c r="I4147" s="11" t="str">
        <v/>
      </c>
    </row>
    <row r="4148" spans="2:9">
      <c r="B4148" s="11" t="str">
        <f t="shared" si="326"/>
        <v/>
      </c>
      <c r="C4148" s="11" t="str">
        <f t="shared" si="329"/>
        <v/>
      </c>
      <c r="D4148" s="11" t="str">
        <f t="shared" si="330"/>
        <v/>
      </c>
      <c r="E4148" s="11" t="str">
        <f t="shared" si="327"/>
        <v/>
      </c>
      <c r="F4148" s="11" t="str">
        <f t="shared" si="328"/>
        <v/>
      </c>
      <c r="G4148" s="10" t="str">
        <v/>
      </c>
      <c r="H4148" s="11" t="str">
        <v/>
      </c>
      <c r="I4148" s="11" t="str">
        <v/>
      </c>
    </row>
    <row r="4149" spans="2:9">
      <c r="B4149" s="11" t="str">
        <f t="shared" si="326"/>
        <v/>
      </c>
      <c r="C4149" s="11" t="str">
        <f t="shared" si="329"/>
        <v/>
      </c>
      <c r="D4149" s="11" t="str">
        <f t="shared" si="330"/>
        <v/>
      </c>
      <c r="E4149" s="11" t="str">
        <f t="shared" si="327"/>
        <v/>
      </c>
      <c r="F4149" s="11" t="str">
        <f t="shared" si="328"/>
        <v/>
      </c>
      <c r="G4149" s="10" t="str">
        <v/>
      </c>
      <c r="H4149" s="11" t="str">
        <v/>
      </c>
      <c r="I4149" s="11" t="str">
        <v/>
      </c>
    </row>
    <row r="4150" spans="2:9">
      <c r="B4150" s="11" t="str">
        <f t="shared" si="326"/>
        <v/>
      </c>
      <c r="C4150" s="11" t="str">
        <f t="shared" si="329"/>
        <v/>
      </c>
      <c r="D4150" s="11" t="str">
        <f t="shared" si="330"/>
        <v/>
      </c>
      <c r="E4150" s="11" t="str">
        <f t="shared" si="327"/>
        <v/>
      </c>
      <c r="F4150" s="11" t="str">
        <f t="shared" si="328"/>
        <v/>
      </c>
      <c r="G4150" s="10" t="str">
        <v/>
      </c>
      <c r="H4150" s="11" t="str">
        <v/>
      </c>
      <c r="I4150" s="11" t="str">
        <v/>
      </c>
    </row>
    <row r="4151" spans="2:9">
      <c r="B4151" s="11" t="str">
        <f t="shared" si="326"/>
        <v/>
      </c>
      <c r="C4151" s="11" t="str">
        <f t="shared" si="329"/>
        <v/>
      </c>
      <c r="D4151" s="11" t="str">
        <f t="shared" si="330"/>
        <v/>
      </c>
      <c r="E4151" s="11" t="str">
        <f t="shared" si="327"/>
        <v/>
      </c>
      <c r="F4151" s="11" t="str">
        <f t="shared" si="328"/>
        <v/>
      </c>
      <c r="G4151" s="10" t="str">
        <v/>
      </c>
      <c r="H4151" s="11" t="str">
        <v/>
      </c>
      <c r="I4151" s="11" t="str">
        <v/>
      </c>
    </row>
    <row r="4152" spans="2:9">
      <c r="B4152" s="11" t="str">
        <f t="shared" si="326"/>
        <v/>
      </c>
      <c r="C4152" s="11" t="str">
        <f t="shared" si="329"/>
        <v/>
      </c>
      <c r="D4152" s="11" t="str">
        <f t="shared" si="330"/>
        <v/>
      </c>
      <c r="E4152" s="11" t="str">
        <f t="shared" si="327"/>
        <v/>
      </c>
      <c r="F4152" s="11" t="str">
        <f t="shared" si="328"/>
        <v/>
      </c>
      <c r="G4152" s="10" t="str">
        <v/>
      </c>
      <c r="H4152" s="11" t="str">
        <v/>
      </c>
      <c r="I4152" s="11" t="str">
        <v/>
      </c>
    </row>
    <row r="4153" spans="2:9">
      <c r="B4153" s="11" t="str">
        <f t="shared" si="326"/>
        <v/>
      </c>
      <c r="C4153" s="11" t="str">
        <f t="shared" si="329"/>
        <v/>
      </c>
      <c r="D4153" s="11" t="str">
        <f t="shared" si="330"/>
        <v/>
      </c>
      <c r="E4153" s="11" t="str">
        <f t="shared" si="327"/>
        <v/>
      </c>
      <c r="F4153" s="11" t="str">
        <f t="shared" si="328"/>
        <v/>
      </c>
      <c r="G4153" s="10" t="str">
        <v/>
      </c>
      <c r="H4153" s="11" t="str">
        <v/>
      </c>
      <c r="I4153" s="11" t="str">
        <v/>
      </c>
    </row>
    <row r="4154" spans="2:9">
      <c r="B4154" s="11" t="str">
        <f t="shared" si="326"/>
        <v/>
      </c>
      <c r="C4154" s="11" t="str">
        <f t="shared" si="329"/>
        <v/>
      </c>
      <c r="D4154" s="11" t="str">
        <f t="shared" si="330"/>
        <v/>
      </c>
      <c r="E4154" s="11" t="str">
        <f t="shared" si="327"/>
        <v/>
      </c>
      <c r="F4154" s="11" t="str">
        <f t="shared" si="328"/>
        <v/>
      </c>
      <c r="G4154" s="10" t="str">
        <v/>
      </c>
      <c r="H4154" s="11" t="str">
        <v/>
      </c>
      <c r="I4154" s="11" t="str">
        <v/>
      </c>
    </row>
    <row r="4155" spans="2:9">
      <c r="B4155" s="11" t="str">
        <f t="shared" si="326"/>
        <v/>
      </c>
      <c r="C4155" s="11" t="str">
        <f t="shared" si="329"/>
        <v/>
      </c>
      <c r="D4155" s="11" t="str">
        <f t="shared" si="330"/>
        <v/>
      </c>
      <c r="E4155" s="11" t="str">
        <f t="shared" si="327"/>
        <v/>
      </c>
      <c r="F4155" s="11" t="str">
        <f t="shared" si="328"/>
        <v/>
      </c>
      <c r="G4155" s="10" t="str">
        <v/>
      </c>
      <c r="H4155" s="11" t="str">
        <v/>
      </c>
      <c r="I4155" s="11" t="str">
        <v/>
      </c>
    </row>
    <row r="4156" spans="2:9">
      <c r="B4156" s="11" t="str">
        <f t="shared" si="326"/>
        <v/>
      </c>
      <c r="C4156" s="11" t="str">
        <f t="shared" si="329"/>
        <v/>
      </c>
      <c r="D4156" s="11" t="str">
        <f t="shared" si="330"/>
        <v/>
      </c>
      <c r="E4156" s="11" t="str">
        <f t="shared" si="327"/>
        <v/>
      </c>
      <c r="F4156" s="11" t="str">
        <f t="shared" si="328"/>
        <v/>
      </c>
      <c r="G4156" s="10" t="str">
        <v/>
      </c>
      <c r="H4156" s="11" t="str">
        <v/>
      </c>
      <c r="I4156" s="11" t="str">
        <v/>
      </c>
    </row>
    <row r="4157" spans="2:9">
      <c r="B4157" s="11" t="str">
        <f t="shared" si="326"/>
        <v/>
      </c>
      <c r="C4157" s="11" t="str">
        <f t="shared" si="329"/>
        <v/>
      </c>
      <c r="D4157" s="11" t="str">
        <f t="shared" si="330"/>
        <v/>
      </c>
      <c r="E4157" s="11" t="str">
        <f t="shared" si="327"/>
        <v/>
      </c>
      <c r="F4157" s="11" t="str">
        <f t="shared" si="328"/>
        <v/>
      </c>
      <c r="G4157" s="10" t="str">
        <v/>
      </c>
      <c r="H4157" s="11" t="str">
        <v/>
      </c>
      <c r="I4157" s="11" t="str">
        <v/>
      </c>
    </row>
    <row r="4158" spans="2:9">
      <c r="B4158" s="11" t="str">
        <f t="shared" si="326"/>
        <v/>
      </c>
      <c r="C4158" s="11" t="str">
        <f t="shared" si="329"/>
        <v/>
      </c>
      <c r="D4158" s="11" t="str">
        <f t="shared" si="330"/>
        <v/>
      </c>
      <c r="E4158" s="11" t="str">
        <f t="shared" si="327"/>
        <v/>
      </c>
      <c r="F4158" s="11" t="str">
        <f t="shared" si="328"/>
        <v/>
      </c>
      <c r="G4158" s="10" t="str">
        <v/>
      </c>
      <c r="H4158" s="11" t="str">
        <v/>
      </c>
      <c r="I4158" s="11" t="str">
        <v/>
      </c>
    </row>
    <row r="4159" spans="2:9">
      <c r="B4159" s="11" t="str">
        <f t="shared" si="326"/>
        <v/>
      </c>
      <c r="C4159" s="11" t="str">
        <f t="shared" si="329"/>
        <v/>
      </c>
      <c r="D4159" s="11" t="str">
        <f t="shared" si="330"/>
        <v/>
      </c>
      <c r="E4159" s="11" t="str">
        <f t="shared" si="327"/>
        <v/>
      </c>
      <c r="F4159" s="11" t="str">
        <f t="shared" si="328"/>
        <v/>
      </c>
      <c r="G4159" s="10" t="str">
        <v/>
      </c>
      <c r="H4159" s="11" t="str">
        <v/>
      </c>
      <c r="I4159" s="11" t="str">
        <v/>
      </c>
    </row>
    <row r="4160" spans="2:9">
      <c r="B4160" s="11" t="str">
        <f t="shared" si="326"/>
        <v/>
      </c>
      <c r="C4160" s="11" t="str">
        <f t="shared" si="329"/>
        <v/>
      </c>
      <c r="D4160" s="11" t="str">
        <f t="shared" si="330"/>
        <v/>
      </c>
      <c r="E4160" s="11" t="str">
        <f t="shared" si="327"/>
        <v/>
      </c>
      <c r="F4160" s="11" t="str">
        <f t="shared" si="328"/>
        <v/>
      </c>
      <c r="G4160" s="10" t="str">
        <v/>
      </c>
      <c r="H4160" s="11" t="str">
        <v/>
      </c>
      <c r="I4160" s="11" t="str">
        <v/>
      </c>
    </row>
    <row r="4161" spans="2:9">
      <c r="B4161" s="11" t="str">
        <f t="shared" ref="B4161:B4224" si="331">IFERROR(IF(FIND(" ",A4161)=6,IF(IFERROR(FIND(" PB",A4161),"")&lt;&gt;"","артикул",IF(IFERROR(FIND(" CRN",A4161),"")&lt;&gt;"","артикул","")),""),"")</f>
        <v/>
      </c>
      <c r="C4161" s="11" t="str">
        <f t="shared" si="329"/>
        <v/>
      </c>
      <c r="D4161" s="11" t="str">
        <f t="shared" si="330"/>
        <v/>
      </c>
      <c r="E4161" s="11" t="str">
        <f t="shared" si="327"/>
        <v/>
      </c>
      <c r="F4161" s="11" t="str">
        <f t="shared" si="328"/>
        <v/>
      </c>
      <c r="G4161" s="10" t="str">
        <v/>
      </c>
      <c r="H4161" s="11" t="str">
        <v/>
      </c>
      <c r="I4161" s="11" t="str">
        <v/>
      </c>
    </row>
    <row r="4162" spans="2:9">
      <c r="B4162" s="11" t="str">
        <f t="shared" si="331"/>
        <v/>
      </c>
      <c r="C4162" s="11" t="str">
        <f t="shared" si="329"/>
        <v/>
      </c>
      <c r="D4162" s="11" t="str">
        <f t="shared" si="330"/>
        <v/>
      </c>
      <c r="E4162" s="11" t="str">
        <f t="shared" ref="E4162:E4225" si="332" xml:space="preserve">
IF(B4162="Артикул",
IF(
AND(RIGHT(A4163,1)="%",
RIGHT(A4164,1)="%",
RIGHT(A4165,1)="%",
RIGHT(A4166,1)="%"),MID(A4167,FIND(" ",A4167),50),
IF(
AND(RIGHT(A4163,1)="%",
RIGHT(A4164,1)="%",
RIGHT(A4165,1)="%"),MID(A4166,FIND(" ",A4166),50),
IF(
AND(RIGHT(A4163,1)="%",
RIGHT(A4164,1)="%"),
MID(A4165,FIND(" ",A4165),50),
IF(
RIGHT(A4163,1)="%",
MID(A4164,FIND(" ",A4164),50),"")))),"")</f>
        <v/>
      </c>
      <c r="F4162" s="11" t="str">
        <f t="shared" ref="F4162:F4225" si="333">IFERROR(
IF(
AND(LEFT(A4162,8)="Discount",FIND("%",A4162)&gt;0),
MID(A4162,
FIND(" ",A4162),
FIND("%",A4162)-FIND(" ",A4162))
*-1,""),"")</f>
        <v/>
      </c>
      <c r="G4162" s="10" t="str">
        <v/>
      </c>
      <c r="H4162" s="11" t="str">
        <v/>
      </c>
      <c r="I4162" s="11" t="str">
        <v/>
      </c>
    </row>
    <row r="4163" spans="2:9">
      <c r="B4163" s="11" t="str">
        <f t="shared" si="331"/>
        <v/>
      </c>
      <c r="C4163" s="11" t="str">
        <f t="shared" si="329"/>
        <v/>
      </c>
      <c r="D4163" s="11" t="str">
        <f t="shared" si="330"/>
        <v/>
      </c>
      <c r="E4163" s="11" t="str">
        <f t="shared" si="332"/>
        <v/>
      </c>
      <c r="F4163" s="11" t="str">
        <f t="shared" si="333"/>
        <v/>
      </c>
      <c r="G4163" s="10" t="str">
        <v/>
      </c>
      <c r="H4163" s="11" t="str">
        <v/>
      </c>
      <c r="I4163" s="11" t="str">
        <v/>
      </c>
    </row>
    <row r="4164" spans="2:9">
      <c r="B4164" s="11" t="str">
        <f t="shared" si="331"/>
        <v/>
      </c>
      <c r="C4164" s="11" t="str">
        <f t="shared" si="329"/>
        <v/>
      </c>
      <c r="D4164" s="11" t="str">
        <f t="shared" si="330"/>
        <v/>
      </c>
      <c r="E4164" s="11" t="str">
        <f t="shared" si="332"/>
        <v/>
      </c>
      <c r="F4164" s="11" t="str">
        <f t="shared" si="333"/>
        <v/>
      </c>
      <c r="G4164" s="10" t="str">
        <v/>
      </c>
      <c r="H4164" s="11" t="str">
        <v/>
      </c>
      <c r="I4164" s="11" t="str">
        <v/>
      </c>
    </row>
    <row r="4165" spans="2:9">
      <c r="B4165" s="11" t="str">
        <f t="shared" si="331"/>
        <v/>
      </c>
      <c r="C4165" s="11" t="str">
        <f t="shared" si="329"/>
        <v/>
      </c>
      <c r="D4165" s="11" t="str">
        <f t="shared" si="330"/>
        <v/>
      </c>
      <c r="E4165" s="11" t="str">
        <f t="shared" si="332"/>
        <v/>
      </c>
      <c r="F4165" s="11" t="str">
        <f t="shared" si="333"/>
        <v/>
      </c>
      <c r="G4165" s="10" t="str">
        <v/>
      </c>
      <c r="H4165" s="11" t="str">
        <v/>
      </c>
      <c r="I4165" s="11" t="str">
        <v/>
      </c>
    </row>
    <row r="4166" spans="2:9">
      <c r="B4166" s="11" t="str">
        <f t="shared" si="331"/>
        <v/>
      </c>
      <c r="C4166" s="11" t="str">
        <f t="shared" si="329"/>
        <v/>
      </c>
      <c r="D4166" s="11" t="str">
        <f t="shared" si="330"/>
        <v/>
      </c>
      <c r="E4166" s="11" t="str">
        <f t="shared" si="332"/>
        <v/>
      </c>
      <c r="F4166" s="11" t="str">
        <f t="shared" si="333"/>
        <v/>
      </c>
      <c r="G4166" s="10" t="str">
        <v/>
      </c>
      <c r="H4166" s="11" t="str">
        <v/>
      </c>
      <c r="I4166" s="11" t="str">
        <v/>
      </c>
    </row>
    <row r="4167" spans="2:9">
      <c r="B4167" s="11" t="str">
        <f t="shared" si="331"/>
        <v/>
      </c>
      <c r="C4167" s="11" t="str">
        <f t="shared" si="329"/>
        <v/>
      </c>
      <c r="D4167" s="11" t="str">
        <f t="shared" si="330"/>
        <v/>
      </c>
      <c r="E4167" s="11" t="str">
        <f t="shared" si="332"/>
        <v/>
      </c>
      <c r="F4167" s="11" t="str">
        <f t="shared" si="333"/>
        <v/>
      </c>
      <c r="G4167" s="10" t="str">
        <v/>
      </c>
      <c r="H4167" s="11" t="str">
        <v/>
      </c>
      <c r="I4167" s="11" t="str">
        <v/>
      </c>
    </row>
    <row r="4168" spans="2:9">
      <c r="B4168" s="11" t="str">
        <f t="shared" si="331"/>
        <v/>
      </c>
      <c r="C4168" s="11" t="str">
        <f t="shared" si="329"/>
        <v/>
      </c>
      <c r="D4168" s="11" t="str">
        <f t="shared" si="330"/>
        <v/>
      </c>
      <c r="E4168" s="11" t="str">
        <f t="shared" si="332"/>
        <v/>
      </c>
      <c r="F4168" s="11" t="str">
        <f t="shared" si="333"/>
        <v/>
      </c>
      <c r="G4168" s="10" t="str">
        <v/>
      </c>
      <c r="H4168" s="11" t="str">
        <v/>
      </c>
      <c r="I4168" s="11" t="str">
        <v/>
      </c>
    </row>
    <row r="4169" spans="2:9">
      <c r="B4169" s="11" t="str">
        <f t="shared" si="331"/>
        <v/>
      </c>
      <c r="C4169" s="11" t="str">
        <f t="shared" si="329"/>
        <v/>
      </c>
      <c r="D4169" s="11" t="str">
        <f t="shared" si="330"/>
        <v/>
      </c>
      <c r="E4169" s="11" t="str">
        <f t="shared" si="332"/>
        <v/>
      </c>
      <c r="F4169" s="11" t="str">
        <f t="shared" si="333"/>
        <v/>
      </c>
      <c r="G4169" s="10" t="str">
        <v/>
      </c>
      <c r="H4169" s="11" t="str">
        <v/>
      </c>
      <c r="I4169" s="11" t="str">
        <v/>
      </c>
    </row>
    <row r="4170" spans="2:9">
      <c r="B4170" s="11" t="str">
        <f t="shared" si="331"/>
        <v/>
      </c>
      <c r="C4170" s="11" t="str">
        <f t="shared" si="329"/>
        <v/>
      </c>
      <c r="D4170" s="11" t="str">
        <f t="shared" si="330"/>
        <v/>
      </c>
      <c r="E4170" s="11" t="str">
        <f t="shared" si="332"/>
        <v/>
      </c>
      <c r="F4170" s="11" t="str">
        <f t="shared" si="333"/>
        <v/>
      </c>
      <c r="G4170" s="10" t="str">
        <v/>
      </c>
      <c r="H4170" s="11" t="str">
        <v/>
      </c>
      <c r="I4170" s="11" t="str">
        <v/>
      </c>
    </row>
    <row r="4171" spans="2:9">
      <c r="B4171" s="11" t="str">
        <f t="shared" si="331"/>
        <v/>
      </c>
      <c r="C4171" s="11" t="str">
        <f t="shared" si="329"/>
        <v/>
      </c>
      <c r="D4171" s="11" t="str">
        <f t="shared" si="330"/>
        <v/>
      </c>
      <c r="E4171" s="11" t="str">
        <f t="shared" si="332"/>
        <v/>
      </c>
      <c r="F4171" s="11" t="str">
        <f t="shared" si="333"/>
        <v/>
      </c>
      <c r="G4171" s="10" t="str">
        <v/>
      </c>
      <c r="H4171" s="11" t="str">
        <v/>
      </c>
      <c r="I4171" s="11" t="str">
        <v/>
      </c>
    </row>
    <row r="4172" spans="2:9">
      <c r="B4172" s="11" t="str">
        <f t="shared" si="331"/>
        <v/>
      </c>
      <c r="C4172" s="11" t="str">
        <f t="shared" si="329"/>
        <v/>
      </c>
      <c r="D4172" s="11" t="str">
        <f t="shared" si="330"/>
        <v/>
      </c>
      <c r="E4172" s="11" t="str">
        <f t="shared" si="332"/>
        <v/>
      </c>
      <c r="F4172" s="11" t="str">
        <f t="shared" si="333"/>
        <v/>
      </c>
      <c r="G4172" s="10" t="str">
        <v/>
      </c>
      <c r="H4172" s="11" t="str">
        <v/>
      </c>
      <c r="I4172" s="11" t="str">
        <v/>
      </c>
    </row>
    <row r="4173" spans="2:9">
      <c r="B4173" s="11" t="str">
        <f t="shared" si="331"/>
        <v/>
      </c>
      <c r="C4173" s="11" t="str">
        <f t="shared" ref="C4173:C4236" si="334">IF(B4173="артикул",A4173,"")</f>
        <v/>
      </c>
      <c r="D4173" s="11" t="str">
        <f t="shared" ref="D4173:D4236" si="335">IF(B4173="артикул",A4174,"")</f>
        <v/>
      </c>
      <c r="E4173" s="11" t="str">
        <f t="shared" si="332"/>
        <v/>
      </c>
      <c r="F4173" s="11" t="str">
        <f t="shared" si="333"/>
        <v/>
      </c>
      <c r="G4173" s="10" t="str">
        <v/>
      </c>
      <c r="H4173" s="11" t="str">
        <v/>
      </c>
      <c r="I4173" s="11" t="str">
        <v/>
      </c>
    </row>
    <row r="4174" spans="2:9">
      <c r="B4174" s="11" t="str">
        <f t="shared" si="331"/>
        <v/>
      </c>
      <c r="C4174" s="11" t="str">
        <f t="shared" si="334"/>
        <v/>
      </c>
      <c r="D4174" s="11" t="str">
        <f t="shared" si="335"/>
        <v/>
      </c>
      <c r="E4174" s="11" t="str">
        <f t="shared" si="332"/>
        <v/>
      </c>
      <c r="F4174" s="11" t="str">
        <f t="shared" si="333"/>
        <v/>
      </c>
      <c r="G4174" s="10" t="str">
        <v/>
      </c>
      <c r="H4174" s="11" t="str">
        <v/>
      </c>
      <c r="I4174" s="11" t="str">
        <v/>
      </c>
    </row>
    <row r="4175" spans="2:9">
      <c r="B4175" s="11" t="str">
        <f t="shared" si="331"/>
        <v/>
      </c>
      <c r="C4175" s="11" t="str">
        <f t="shared" si="334"/>
        <v/>
      </c>
      <c r="D4175" s="11" t="str">
        <f t="shared" si="335"/>
        <v/>
      </c>
      <c r="E4175" s="11" t="str">
        <f t="shared" si="332"/>
        <v/>
      </c>
      <c r="F4175" s="11" t="str">
        <f t="shared" si="333"/>
        <v/>
      </c>
      <c r="G4175" s="10" t="str">
        <v/>
      </c>
      <c r="H4175" s="11" t="str">
        <v/>
      </c>
      <c r="I4175" s="11" t="str">
        <v/>
      </c>
    </row>
    <row r="4176" spans="2:9">
      <c r="B4176" s="11" t="str">
        <f t="shared" si="331"/>
        <v/>
      </c>
      <c r="C4176" s="11" t="str">
        <f t="shared" si="334"/>
        <v/>
      </c>
      <c r="D4176" s="11" t="str">
        <f t="shared" si="335"/>
        <v/>
      </c>
      <c r="E4176" s="11" t="str">
        <f t="shared" si="332"/>
        <v/>
      </c>
      <c r="F4176" s="11" t="str">
        <f t="shared" si="333"/>
        <v/>
      </c>
      <c r="G4176" s="10" t="str">
        <v/>
      </c>
      <c r="H4176" s="11" t="str">
        <v/>
      </c>
      <c r="I4176" s="11" t="str">
        <v/>
      </c>
    </row>
    <row r="4177" spans="2:9">
      <c r="B4177" s="11" t="str">
        <f t="shared" si="331"/>
        <v/>
      </c>
      <c r="C4177" s="11" t="str">
        <f t="shared" si="334"/>
        <v/>
      </c>
      <c r="D4177" s="11" t="str">
        <f t="shared" si="335"/>
        <v/>
      </c>
      <c r="E4177" s="11" t="str">
        <f t="shared" si="332"/>
        <v/>
      </c>
      <c r="F4177" s="11" t="str">
        <f t="shared" si="333"/>
        <v/>
      </c>
      <c r="G4177" s="10" t="str">
        <v/>
      </c>
      <c r="H4177" s="11" t="str">
        <v/>
      </c>
      <c r="I4177" s="11" t="str">
        <v/>
      </c>
    </row>
    <row r="4178" spans="2:9">
      <c r="B4178" s="11" t="str">
        <f t="shared" si="331"/>
        <v/>
      </c>
      <c r="C4178" s="11" t="str">
        <f t="shared" si="334"/>
        <v/>
      </c>
      <c r="D4178" s="11" t="str">
        <f t="shared" si="335"/>
        <v/>
      </c>
      <c r="E4178" s="11" t="str">
        <f t="shared" si="332"/>
        <v/>
      </c>
      <c r="F4178" s="11" t="str">
        <f t="shared" si="333"/>
        <v/>
      </c>
      <c r="G4178" s="10" t="str">
        <v/>
      </c>
      <c r="H4178" s="11" t="str">
        <v/>
      </c>
      <c r="I4178" s="11" t="str">
        <v/>
      </c>
    </row>
    <row r="4179" spans="2:9">
      <c r="B4179" s="11" t="str">
        <f t="shared" si="331"/>
        <v/>
      </c>
      <c r="C4179" s="11" t="str">
        <f t="shared" si="334"/>
        <v/>
      </c>
      <c r="D4179" s="11" t="str">
        <f t="shared" si="335"/>
        <v/>
      </c>
      <c r="E4179" s="11" t="str">
        <f t="shared" si="332"/>
        <v/>
      </c>
      <c r="F4179" s="11" t="str">
        <f t="shared" si="333"/>
        <v/>
      </c>
      <c r="G4179" s="10" t="str">
        <v/>
      </c>
      <c r="H4179" s="11" t="str">
        <v/>
      </c>
      <c r="I4179" s="11" t="str">
        <v/>
      </c>
    </row>
    <row r="4180" spans="2:9">
      <c r="B4180" s="11" t="str">
        <f t="shared" si="331"/>
        <v/>
      </c>
      <c r="C4180" s="11" t="str">
        <f t="shared" si="334"/>
        <v/>
      </c>
      <c r="D4180" s="11" t="str">
        <f t="shared" si="335"/>
        <v/>
      </c>
      <c r="E4180" s="11" t="str">
        <f t="shared" si="332"/>
        <v/>
      </c>
      <c r="F4180" s="11" t="str">
        <f t="shared" si="333"/>
        <v/>
      </c>
      <c r="G4180" s="10" t="str">
        <v/>
      </c>
      <c r="H4180" s="11" t="str">
        <v/>
      </c>
      <c r="I4180" s="11" t="str">
        <v/>
      </c>
    </row>
    <row r="4181" spans="2:9">
      <c r="B4181" s="11" t="str">
        <f t="shared" si="331"/>
        <v/>
      </c>
      <c r="C4181" s="11" t="str">
        <f t="shared" si="334"/>
        <v/>
      </c>
      <c r="D4181" s="11" t="str">
        <f t="shared" si="335"/>
        <v/>
      </c>
      <c r="E4181" s="11" t="str">
        <f t="shared" si="332"/>
        <v/>
      </c>
      <c r="F4181" s="11" t="str">
        <f t="shared" si="333"/>
        <v/>
      </c>
      <c r="G4181" s="10" t="str">
        <v/>
      </c>
      <c r="H4181" s="11" t="str">
        <v/>
      </c>
      <c r="I4181" s="11" t="str">
        <v/>
      </c>
    </row>
    <row r="4182" spans="2:9">
      <c r="B4182" s="11" t="str">
        <f t="shared" si="331"/>
        <v/>
      </c>
      <c r="C4182" s="11" t="str">
        <f t="shared" si="334"/>
        <v/>
      </c>
      <c r="D4182" s="11" t="str">
        <f t="shared" si="335"/>
        <v/>
      </c>
      <c r="E4182" s="11" t="str">
        <f t="shared" si="332"/>
        <v/>
      </c>
      <c r="F4182" s="11" t="str">
        <f t="shared" si="333"/>
        <v/>
      </c>
      <c r="G4182" s="10" t="str">
        <v/>
      </c>
      <c r="H4182" s="11" t="str">
        <v/>
      </c>
      <c r="I4182" s="11" t="str">
        <v/>
      </c>
    </row>
    <row r="4183" spans="2:9">
      <c r="B4183" s="11" t="str">
        <f t="shared" si="331"/>
        <v/>
      </c>
      <c r="C4183" s="11" t="str">
        <f t="shared" si="334"/>
        <v/>
      </c>
      <c r="D4183" s="11" t="str">
        <f t="shared" si="335"/>
        <v/>
      </c>
      <c r="E4183" s="11" t="str">
        <f t="shared" si="332"/>
        <v/>
      </c>
      <c r="F4183" s="11" t="str">
        <f t="shared" si="333"/>
        <v/>
      </c>
      <c r="G4183" s="10" t="str">
        <v/>
      </c>
      <c r="H4183" s="11" t="str">
        <v/>
      </c>
      <c r="I4183" s="11" t="str">
        <v/>
      </c>
    </row>
    <row r="4184" spans="2:9">
      <c r="B4184" s="11" t="str">
        <f t="shared" si="331"/>
        <v/>
      </c>
      <c r="C4184" s="11" t="str">
        <f t="shared" si="334"/>
        <v/>
      </c>
      <c r="D4184" s="11" t="str">
        <f t="shared" si="335"/>
        <v/>
      </c>
      <c r="E4184" s="11" t="str">
        <f t="shared" si="332"/>
        <v/>
      </c>
      <c r="F4184" s="11" t="str">
        <f t="shared" si="333"/>
        <v/>
      </c>
      <c r="G4184" s="10" t="str">
        <v/>
      </c>
      <c r="H4184" s="11" t="str">
        <v/>
      </c>
      <c r="I4184" s="11" t="str">
        <v/>
      </c>
    </row>
    <row r="4185" spans="2:9">
      <c r="B4185" s="11" t="str">
        <f t="shared" si="331"/>
        <v/>
      </c>
      <c r="C4185" s="11" t="str">
        <f t="shared" si="334"/>
        <v/>
      </c>
      <c r="D4185" s="11" t="str">
        <f t="shared" si="335"/>
        <v/>
      </c>
      <c r="E4185" s="11" t="str">
        <f t="shared" si="332"/>
        <v/>
      </c>
      <c r="F4185" s="11" t="str">
        <f t="shared" si="333"/>
        <v/>
      </c>
      <c r="G4185" s="10" t="str">
        <v/>
      </c>
      <c r="H4185" s="11" t="str">
        <v/>
      </c>
      <c r="I4185" s="11" t="str">
        <v/>
      </c>
    </row>
    <row r="4186" spans="2:9">
      <c r="B4186" s="11" t="str">
        <f t="shared" si="331"/>
        <v/>
      </c>
      <c r="C4186" s="11" t="str">
        <f t="shared" si="334"/>
        <v/>
      </c>
      <c r="D4186" s="11" t="str">
        <f t="shared" si="335"/>
        <v/>
      </c>
      <c r="E4186" s="11" t="str">
        <f t="shared" si="332"/>
        <v/>
      </c>
      <c r="F4186" s="11" t="str">
        <f t="shared" si="333"/>
        <v/>
      </c>
      <c r="G4186" s="10" t="str">
        <v/>
      </c>
      <c r="H4186" s="11" t="str">
        <v/>
      </c>
      <c r="I4186" s="11" t="str">
        <v/>
      </c>
    </row>
    <row r="4187" spans="2:9">
      <c r="B4187" s="11" t="str">
        <f t="shared" si="331"/>
        <v/>
      </c>
      <c r="C4187" s="11" t="str">
        <f t="shared" si="334"/>
        <v/>
      </c>
      <c r="D4187" s="11" t="str">
        <f t="shared" si="335"/>
        <v/>
      </c>
      <c r="E4187" s="11" t="str">
        <f t="shared" si="332"/>
        <v/>
      </c>
      <c r="F4187" s="11" t="str">
        <f t="shared" si="333"/>
        <v/>
      </c>
      <c r="G4187" s="10" t="str">
        <v/>
      </c>
      <c r="H4187" s="11" t="str">
        <v/>
      </c>
      <c r="I4187" s="11" t="str">
        <v/>
      </c>
    </row>
    <row r="4188" spans="2:9">
      <c r="B4188" s="11" t="str">
        <f t="shared" si="331"/>
        <v/>
      </c>
      <c r="C4188" s="11" t="str">
        <f t="shared" si="334"/>
        <v/>
      </c>
      <c r="D4188" s="11" t="str">
        <f t="shared" si="335"/>
        <v/>
      </c>
      <c r="E4188" s="11" t="str">
        <f t="shared" si="332"/>
        <v/>
      </c>
      <c r="F4188" s="11" t="str">
        <f t="shared" si="333"/>
        <v/>
      </c>
      <c r="G4188" s="10" t="str">
        <v/>
      </c>
      <c r="H4188" s="11" t="str">
        <v/>
      </c>
      <c r="I4188" s="11" t="str">
        <v/>
      </c>
    </row>
    <row r="4189" spans="2:9">
      <c r="B4189" s="11" t="str">
        <f t="shared" si="331"/>
        <v/>
      </c>
      <c r="C4189" s="11" t="str">
        <f t="shared" si="334"/>
        <v/>
      </c>
      <c r="D4189" s="11" t="str">
        <f t="shared" si="335"/>
        <v/>
      </c>
      <c r="E4189" s="11" t="str">
        <f t="shared" si="332"/>
        <v/>
      </c>
      <c r="F4189" s="11" t="str">
        <f t="shared" si="333"/>
        <v/>
      </c>
      <c r="G4189" s="10" t="str">
        <v/>
      </c>
      <c r="H4189" s="11" t="str">
        <v/>
      </c>
      <c r="I4189" s="11" t="str">
        <v/>
      </c>
    </row>
    <row r="4190" spans="2:9">
      <c r="B4190" s="11" t="str">
        <f t="shared" si="331"/>
        <v/>
      </c>
      <c r="C4190" s="11" t="str">
        <f t="shared" si="334"/>
        <v/>
      </c>
      <c r="D4190" s="11" t="str">
        <f t="shared" si="335"/>
        <v/>
      </c>
      <c r="E4190" s="11" t="str">
        <f t="shared" si="332"/>
        <v/>
      </c>
      <c r="F4190" s="11" t="str">
        <f t="shared" si="333"/>
        <v/>
      </c>
      <c r="G4190" s="10" t="str">
        <v/>
      </c>
      <c r="H4190" s="11" t="str">
        <v/>
      </c>
      <c r="I4190" s="11" t="str">
        <v/>
      </c>
    </row>
    <row r="4191" spans="2:9">
      <c r="B4191" s="11" t="str">
        <f t="shared" si="331"/>
        <v/>
      </c>
      <c r="C4191" s="11" t="str">
        <f t="shared" si="334"/>
        <v/>
      </c>
      <c r="D4191" s="11" t="str">
        <f t="shared" si="335"/>
        <v/>
      </c>
      <c r="E4191" s="11" t="str">
        <f t="shared" si="332"/>
        <v/>
      </c>
      <c r="F4191" s="11" t="str">
        <f t="shared" si="333"/>
        <v/>
      </c>
      <c r="G4191" s="10" t="str">
        <v/>
      </c>
      <c r="H4191" s="11" t="str">
        <v/>
      </c>
      <c r="I4191" s="11" t="str">
        <v/>
      </c>
    </row>
    <row r="4192" spans="2:9">
      <c r="B4192" s="11" t="str">
        <f t="shared" si="331"/>
        <v/>
      </c>
      <c r="C4192" s="11" t="str">
        <f t="shared" si="334"/>
        <v/>
      </c>
      <c r="D4192" s="11" t="str">
        <f t="shared" si="335"/>
        <v/>
      </c>
      <c r="E4192" s="11" t="str">
        <f t="shared" si="332"/>
        <v/>
      </c>
      <c r="F4192" s="11" t="str">
        <f t="shared" si="333"/>
        <v/>
      </c>
      <c r="G4192" s="10" t="str">
        <v/>
      </c>
      <c r="H4192" s="11" t="str">
        <v/>
      </c>
      <c r="I4192" s="11" t="str">
        <v/>
      </c>
    </row>
    <row r="4193" spans="2:9">
      <c r="B4193" s="11" t="str">
        <f t="shared" si="331"/>
        <v/>
      </c>
      <c r="C4193" s="11" t="str">
        <f t="shared" si="334"/>
        <v/>
      </c>
      <c r="D4193" s="11" t="str">
        <f t="shared" si="335"/>
        <v/>
      </c>
      <c r="E4193" s="11" t="str">
        <f t="shared" si="332"/>
        <v/>
      </c>
      <c r="F4193" s="11" t="str">
        <f t="shared" si="333"/>
        <v/>
      </c>
      <c r="G4193" s="10" t="str">
        <v/>
      </c>
      <c r="H4193" s="11" t="str">
        <v/>
      </c>
      <c r="I4193" s="11" t="str">
        <v/>
      </c>
    </row>
    <row r="4194" spans="2:9">
      <c r="B4194" s="11" t="str">
        <f t="shared" si="331"/>
        <v/>
      </c>
      <c r="C4194" s="11" t="str">
        <f t="shared" si="334"/>
        <v/>
      </c>
      <c r="D4194" s="11" t="str">
        <f t="shared" si="335"/>
        <v/>
      </c>
      <c r="E4194" s="11" t="str">
        <f t="shared" si="332"/>
        <v/>
      </c>
      <c r="F4194" s="11" t="str">
        <f t="shared" si="333"/>
        <v/>
      </c>
      <c r="G4194" s="10" t="str">
        <v/>
      </c>
      <c r="H4194" s="11" t="str">
        <v/>
      </c>
      <c r="I4194" s="11" t="str">
        <v/>
      </c>
    </row>
    <row r="4195" spans="2:9">
      <c r="B4195" s="11" t="str">
        <f t="shared" si="331"/>
        <v/>
      </c>
      <c r="C4195" s="11" t="str">
        <f t="shared" si="334"/>
        <v/>
      </c>
      <c r="D4195" s="11" t="str">
        <f t="shared" si="335"/>
        <v/>
      </c>
      <c r="E4195" s="11" t="str">
        <f t="shared" si="332"/>
        <v/>
      </c>
      <c r="F4195" s="11" t="str">
        <f t="shared" si="333"/>
        <v/>
      </c>
      <c r="G4195" s="10" t="str">
        <v/>
      </c>
      <c r="H4195" s="11" t="str">
        <v/>
      </c>
      <c r="I4195" s="11" t="str">
        <v/>
      </c>
    </row>
    <row r="4196" spans="2:9">
      <c r="B4196" s="11" t="str">
        <f t="shared" si="331"/>
        <v/>
      </c>
      <c r="C4196" s="11" t="str">
        <f t="shared" si="334"/>
        <v/>
      </c>
      <c r="D4196" s="11" t="str">
        <f t="shared" si="335"/>
        <v/>
      </c>
      <c r="E4196" s="11" t="str">
        <f t="shared" si="332"/>
        <v/>
      </c>
      <c r="F4196" s="11" t="str">
        <f t="shared" si="333"/>
        <v/>
      </c>
      <c r="G4196" s="10" t="str">
        <v/>
      </c>
      <c r="H4196" s="11" t="str">
        <v/>
      </c>
      <c r="I4196" s="11" t="str">
        <v/>
      </c>
    </row>
    <row r="4197" spans="2:9">
      <c r="B4197" s="11" t="str">
        <f t="shared" si="331"/>
        <v/>
      </c>
      <c r="C4197" s="11" t="str">
        <f t="shared" si="334"/>
        <v/>
      </c>
      <c r="D4197" s="11" t="str">
        <f t="shared" si="335"/>
        <v/>
      </c>
      <c r="E4197" s="11" t="str">
        <f t="shared" si="332"/>
        <v/>
      </c>
      <c r="F4197" s="11" t="str">
        <f t="shared" si="333"/>
        <v/>
      </c>
      <c r="G4197" s="10" t="str">
        <v/>
      </c>
      <c r="H4197" s="11" t="str">
        <v/>
      </c>
      <c r="I4197" s="11" t="str">
        <v/>
      </c>
    </row>
    <row r="4198" spans="2:9">
      <c r="B4198" s="11" t="str">
        <f t="shared" si="331"/>
        <v/>
      </c>
      <c r="C4198" s="11" t="str">
        <f t="shared" si="334"/>
        <v/>
      </c>
      <c r="D4198" s="11" t="str">
        <f t="shared" si="335"/>
        <v/>
      </c>
      <c r="E4198" s="11" t="str">
        <f t="shared" si="332"/>
        <v/>
      </c>
      <c r="F4198" s="11" t="str">
        <f t="shared" si="333"/>
        <v/>
      </c>
      <c r="G4198" s="10" t="str">
        <v/>
      </c>
      <c r="H4198" s="11" t="str">
        <v/>
      </c>
      <c r="I4198" s="11" t="str">
        <v/>
      </c>
    </row>
    <row r="4199" spans="2:9">
      <c r="B4199" s="11" t="str">
        <f t="shared" si="331"/>
        <v/>
      </c>
      <c r="C4199" s="11" t="str">
        <f t="shared" si="334"/>
        <v/>
      </c>
      <c r="D4199" s="11" t="str">
        <f t="shared" si="335"/>
        <v/>
      </c>
      <c r="E4199" s="11" t="str">
        <f t="shared" si="332"/>
        <v/>
      </c>
      <c r="F4199" s="11" t="str">
        <f t="shared" si="333"/>
        <v/>
      </c>
      <c r="G4199" s="10" t="str">
        <v/>
      </c>
      <c r="H4199" s="11" t="str">
        <v/>
      </c>
      <c r="I4199" s="11" t="str">
        <v/>
      </c>
    </row>
    <row r="4200" spans="2:9">
      <c r="B4200" s="11" t="str">
        <f t="shared" si="331"/>
        <v/>
      </c>
      <c r="C4200" s="11" t="str">
        <f t="shared" si="334"/>
        <v/>
      </c>
      <c r="D4200" s="11" t="str">
        <f t="shared" si="335"/>
        <v/>
      </c>
      <c r="E4200" s="11" t="str">
        <f t="shared" si="332"/>
        <v/>
      </c>
      <c r="F4200" s="11" t="str">
        <f t="shared" si="333"/>
        <v/>
      </c>
      <c r="G4200" s="10" t="str">
        <v/>
      </c>
      <c r="H4200" s="11" t="str">
        <v/>
      </c>
      <c r="I4200" s="11" t="str">
        <v/>
      </c>
    </row>
    <row r="4201" spans="2:9">
      <c r="B4201" s="11" t="str">
        <f t="shared" si="331"/>
        <v/>
      </c>
      <c r="C4201" s="11" t="str">
        <f t="shared" si="334"/>
        <v/>
      </c>
      <c r="D4201" s="11" t="str">
        <f t="shared" si="335"/>
        <v/>
      </c>
      <c r="E4201" s="11" t="str">
        <f t="shared" si="332"/>
        <v/>
      </c>
      <c r="F4201" s="11" t="str">
        <f t="shared" si="333"/>
        <v/>
      </c>
      <c r="G4201" s="10" t="str">
        <v/>
      </c>
      <c r="H4201" s="11" t="str">
        <v/>
      </c>
      <c r="I4201" s="11" t="str">
        <v/>
      </c>
    </row>
    <row r="4202" spans="2:9">
      <c r="B4202" s="11" t="str">
        <f t="shared" si="331"/>
        <v/>
      </c>
      <c r="C4202" s="11" t="str">
        <f t="shared" si="334"/>
        <v/>
      </c>
      <c r="D4202" s="11" t="str">
        <f t="shared" si="335"/>
        <v/>
      </c>
      <c r="E4202" s="11" t="str">
        <f t="shared" si="332"/>
        <v/>
      </c>
      <c r="F4202" s="11" t="str">
        <f t="shared" si="333"/>
        <v/>
      </c>
      <c r="G4202" s="10" t="str">
        <v/>
      </c>
      <c r="H4202" s="11" t="str">
        <v/>
      </c>
      <c r="I4202" s="11" t="str">
        <v/>
      </c>
    </row>
    <row r="4203" spans="2:9">
      <c r="B4203" s="11" t="str">
        <f t="shared" si="331"/>
        <v/>
      </c>
      <c r="C4203" s="11" t="str">
        <f t="shared" si="334"/>
        <v/>
      </c>
      <c r="D4203" s="11" t="str">
        <f t="shared" si="335"/>
        <v/>
      </c>
      <c r="E4203" s="11" t="str">
        <f t="shared" si="332"/>
        <v/>
      </c>
      <c r="F4203" s="11" t="str">
        <f t="shared" si="333"/>
        <v/>
      </c>
      <c r="G4203" s="10" t="str">
        <v/>
      </c>
      <c r="H4203" s="11" t="str">
        <v/>
      </c>
      <c r="I4203" s="11" t="str">
        <v/>
      </c>
    </row>
    <row r="4204" spans="2:9">
      <c r="B4204" s="11" t="str">
        <f t="shared" si="331"/>
        <v/>
      </c>
      <c r="C4204" s="11" t="str">
        <f t="shared" si="334"/>
        <v/>
      </c>
      <c r="D4204" s="11" t="str">
        <f t="shared" si="335"/>
        <v/>
      </c>
      <c r="E4204" s="11" t="str">
        <f t="shared" si="332"/>
        <v/>
      </c>
      <c r="F4204" s="11" t="str">
        <f t="shared" si="333"/>
        <v/>
      </c>
      <c r="G4204" s="10" t="str">
        <v/>
      </c>
      <c r="H4204" s="11" t="str">
        <v/>
      </c>
      <c r="I4204" s="11" t="str">
        <v/>
      </c>
    </row>
    <row r="4205" spans="2:9">
      <c r="B4205" s="11" t="str">
        <f t="shared" si="331"/>
        <v/>
      </c>
      <c r="C4205" s="11" t="str">
        <f t="shared" si="334"/>
        <v/>
      </c>
      <c r="D4205" s="11" t="str">
        <f t="shared" si="335"/>
        <v/>
      </c>
      <c r="E4205" s="11" t="str">
        <f t="shared" si="332"/>
        <v/>
      </c>
      <c r="F4205" s="11" t="str">
        <f t="shared" si="333"/>
        <v/>
      </c>
      <c r="G4205" s="10" t="str">
        <v/>
      </c>
      <c r="H4205" s="11" t="str">
        <v/>
      </c>
      <c r="I4205" s="11" t="str">
        <v/>
      </c>
    </row>
    <row r="4206" spans="2:9">
      <c r="B4206" s="11" t="str">
        <f t="shared" si="331"/>
        <v/>
      </c>
      <c r="C4206" s="11" t="str">
        <f t="shared" si="334"/>
        <v/>
      </c>
      <c r="D4206" s="11" t="str">
        <f t="shared" si="335"/>
        <v/>
      </c>
      <c r="E4206" s="11" t="str">
        <f t="shared" si="332"/>
        <v/>
      </c>
      <c r="F4206" s="11" t="str">
        <f t="shared" si="333"/>
        <v/>
      </c>
      <c r="G4206" s="10" t="str">
        <v/>
      </c>
      <c r="H4206" s="11" t="str">
        <v/>
      </c>
      <c r="I4206" s="11" t="str">
        <v/>
      </c>
    </row>
    <row r="4207" spans="2:9">
      <c r="B4207" s="11" t="str">
        <f t="shared" si="331"/>
        <v/>
      </c>
      <c r="C4207" s="11" t="str">
        <f t="shared" si="334"/>
        <v/>
      </c>
      <c r="D4207" s="11" t="str">
        <f t="shared" si="335"/>
        <v/>
      </c>
      <c r="E4207" s="11" t="str">
        <f t="shared" si="332"/>
        <v/>
      </c>
      <c r="F4207" s="11" t="str">
        <f t="shared" si="333"/>
        <v/>
      </c>
      <c r="G4207" s="10" t="str">
        <v/>
      </c>
      <c r="H4207" s="11" t="str">
        <v/>
      </c>
      <c r="I4207" s="11" t="str">
        <v/>
      </c>
    </row>
    <row r="4208" spans="2:9">
      <c r="B4208" s="11" t="str">
        <f t="shared" si="331"/>
        <v/>
      </c>
      <c r="C4208" s="11" t="str">
        <f t="shared" si="334"/>
        <v/>
      </c>
      <c r="D4208" s="11" t="str">
        <f t="shared" si="335"/>
        <v/>
      </c>
      <c r="E4208" s="11" t="str">
        <f t="shared" si="332"/>
        <v/>
      </c>
      <c r="F4208" s="11" t="str">
        <f t="shared" si="333"/>
        <v/>
      </c>
      <c r="G4208" s="10" t="str">
        <v/>
      </c>
      <c r="H4208" s="11" t="str">
        <v/>
      </c>
      <c r="I4208" s="11" t="str">
        <v/>
      </c>
    </row>
    <row r="4209" spans="2:9">
      <c r="B4209" s="11" t="str">
        <f t="shared" si="331"/>
        <v/>
      </c>
      <c r="C4209" s="11" t="str">
        <f t="shared" si="334"/>
        <v/>
      </c>
      <c r="D4209" s="11" t="str">
        <f t="shared" si="335"/>
        <v/>
      </c>
      <c r="E4209" s="11" t="str">
        <f t="shared" si="332"/>
        <v/>
      </c>
      <c r="F4209" s="11" t="str">
        <f t="shared" si="333"/>
        <v/>
      </c>
      <c r="G4209" s="10" t="str">
        <v/>
      </c>
      <c r="H4209" s="11" t="str">
        <v/>
      </c>
      <c r="I4209" s="11" t="str">
        <v/>
      </c>
    </row>
    <row r="4210" spans="2:9">
      <c r="B4210" s="11" t="str">
        <f t="shared" si="331"/>
        <v/>
      </c>
      <c r="C4210" s="11" t="str">
        <f t="shared" si="334"/>
        <v/>
      </c>
      <c r="D4210" s="11" t="str">
        <f t="shared" si="335"/>
        <v/>
      </c>
      <c r="E4210" s="11" t="str">
        <f t="shared" si="332"/>
        <v/>
      </c>
      <c r="F4210" s="11" t="str">
        <f t="shared" si="333"/>
        <v/>
      </c>
      <c r="G4210" s="10" t="str">
        <v/>
      </c>
      <c r="H4210" s="11" t="str">
        <v/>
      </c>
      <c r="I4210" s="11" t="str">
        <v/>
      </c>
    </row>
    <row r="4211" spans="2:9">
      <c r="B4211" s="11" t="str">
        <f t="shared" si="331"/>
        <v/>
      </c>
      <c r="C4211" s="11" t="str">
        <f t="shared" si="334"/>
        <v/>
      </c>
      <c r="D4211" s="11" t="str">
        <f t="shared" si="335"/>
        <v/>
      </c>
      <c r="E4211" s="11" t="str">
        <f t="shared" si="332"/>
        <v/>
      </c>
      <c r="F4211" s="11" t="str">
        <f t="shared" si="333"/>
        <v/>
      </c>
      <c r="G4211" s="10" t="str">
        <v/>
      </c>
      <c r="H4211" s="11" t="str">
        <v/>
      </c>
      <c r="I4211" s="11" t="str">
        <v/>
      </c>
    </row>
    <row r="4212" spans="2:9">
      <c r="B4212" s="11" t="str">
        <f t="shared" si="331"/>
        <v/>
      </c>
      <c r="C4212" s="11" t="str">
        <f t="shared" si="334"/>
        <v/>
      </c>
      <c r="D4212" s="11" t="str">
        <f t="shared" si="335"/>
        <v/>
      </c>
      <c r="E4212" s="11" t="str">
        <f t="shared" si="332"/>
        <v/>
      </c>
      <c r="F4212" s="11" t="str">
        <f t="shared" si="333"/>
        <v/>
      </c>
      <c r="G4212" s="10" t="str">
        <v/>
      </c>
      <c r="H4212" s="11" t="str">
        <v/>
      </c>
      <c r="I4212" s="11" t="str">
        <v/>
      </c>
    </row>
    <row r="4213" spans="2:9">
      <c r="B4213" s="11" t="str">
        <f t="shared" si="331"/>
        <v/>
      </c>
      <c r="C4213" s="11" t="str">
        <f t="shared" si="334"/>
        <v/>
      </c>
      <c r="D4213" s="11" t="str">
        <f t="shared" si="335"/>
        <v/>
      </c>
      <c r="E4213" s="11" t="str">
        <f t="shared" si="332"/>
        <v/>
      </c>
      <c r="F4213" s="11" t="str">
        <f t="shared" si="333"/>
        <v/>
      </c>
      <c r="G4213" s="10" t="str">
        <v/>
      </c>
      <c r="H4213" s="11" t="str">
        <v/>
      </c>
      <c r="I4213" s="11" t="str">
        <v/>
      </c>
    </row>
    <row r="4214" spans="2:9">
      <c r="B4214" s="11" t="str">
        <f t="shared" si="331"/>
        <v/>
      </c>
      <c r="C4214" s="11" t="str">
        <f t="shared" si="334"/>
        <v/>
      </c>
      <c r="D4214" s="11" t="str">
        <f t="shared" si="335"/>
        <v/>
      </c>
      <c r="E4214" s="11" t="str">
        <f t="shared" si="332"/>
        <v/>
      </c>
      <c r="F4214" s="11" t="str">
        <f t="shared" si="333"/>
        <v/>
      </c>
      <c r="G4214" s="10" t="str">
        <v/>
      </c>
      <c r="H4214" s="11" t="str">
        <v/>
      </c>
      <c r="I4214" s="11" t="str">
        <v/>
      </c>
    </row>
    <row r="4215" spans="2:9">
      <c r="B4215" s="11" t="str">
        <f t="shared" si="331"/>
        <v/>
      </c>
      <c r="C4215" s="11" t="str">
        <f t="shared" si="334"/>
        <v/>
      </c>
      <c r="D4215" s="11" t="str">
        <f t="shared" si="335"/>
        <v/>
      </c>
      <c r="E4215" s="11" t="str">
        <f t="shared" si="332"/>
        <v/>
      </c>
      <c r="F4215" s="11" t="str">
        <f t="shared" si="333"/>
        <v/>
      </c>
      <c r="G4215" s="10" t="str">
        <v/>
      </c>
      <c r="H4215" s="11" t="str">
        <v/>
      </c>
      <c r="I4215" s="11" t="str">
        <v/>
      </c>
    </row>
    <row r="4216" spans="2:9">
      <c r="B4216" s="11" t="str">
        <f t="shared" si="331"/>
        <v/>
      </c>
      <c r="C4216" s="11" t="str">
        <f t="shared" si="334"/>
        <v/>
      </c>
      <c r="D4216" s="11" t="str">
        <f t="shared" si="335"/>
        <v/>
      </c>
      <c r="E4216" s="11" t="str">
        <f t="shared" si="332"/>
        <v/>
      </c>
      <c r="F4216" s="11" t="str">
        <f t="shared" si="333"/>
        <v/>
      </c>
      <c r="G4216" s="10" t="str">
        <v/>
      </c>
      <c r="H4216" s="11" t="str">
        <v/>
      </c>
      <c r="I4216" s="11" t="str">
        <v/>
      </c>
    </row>
    <row r="4217" spans="2:9">
      <c r="B4217" s="11" t="str">
        <f t="shared" si="331"/>
        <v/>
      </c>
      <c r="C4217" s="11" t="str">
        <f t="shared" si="334"/>
        <v/>
      </c>
      <c r="D4217" s="11" t="str">
        <f t="shared" si="335"/>
        <v/>
      </c>
      <c r="E4217" s="11" t="str">
        <f t="shared" si="332"/>
        <v/>
      </c>
      <c r="F4217" s="11" t="str">
        <f t="shared" si="333"/>
        <v/>
      </c>
      <c r="G4217" s="10" t="str">
        <v/>
      </c>
      <c r="H4217" s="11" t="str">
        <v/>
      </c>
      <c r="I4217" s="11" t="str">
        <v/>
      </c>
    </row>
    <row r="4218" spans="2:9">
      <c r="B4218" s="11" t="str">
        <f t="shared" si="331"/>
        <v/>
      </c>
      <c r="C4218" s="11" t="str">
        <f t="shared" si="334"/>
        <v/>
      </c>
      <c r="D4218" s="11" t="str">
        <f t="shared" si="335"/>
        <v/>
      </c>
      <c r="E4218" s="11" t="str">
        <f t="shared" si="332"/>
        <v/>
      </c>
      <c r="F4218" s="11" t="str">
        <f t="shared" si="333"/>
        <v/>
      </c>
      <c r="G4218" s="10" t="str">
        <v/>
      </c>
      <c r="H4218" s="11" t="str">
        <v/>
      </c>
      <c r="I4218" s="11" t="str">
        <v/>
      </c>
    </row>
    <row r="4219" spans="2:9">
      <c r="B4219" s="11" t="str">
        <f t="shared" si="331"/>
        <v/>
      </c>
      <c r="C4219" s="11" t="str">
        <f t="shared" si="334"/>
        <v/>
      </c>
      <c r="D4219" s="11" t="str">
        <f t="shared" si="335"/>
        <v/>
      </c>
      <c r="E4219" s="11" t="str">
        <f t="shared" si="332"/>
        <v/>
      </c>
      <c r="F4219" s="11" t="str">
        <f t="shared" si="333"/>
        <v/>
      </c>
      <c r="G4219" s="10" t="str">
        <v/>
      </c>
      <c r="H4219" s="11" t="str">
        <v/>
      </c>
      <c r="I4219" s="11" t="str">
        <v/>
      </c>
    </row>
    <row r="4220" spans="2:9">
      <c r="B4220" s="11" t="str">
        <f t="shared" si="331"/>
        <v/>
      </c>
      <c r="C4220" s="11" t="str">
        <f t="shared" si="334"/>
        <v/>
      </c>
      <c r="D4220" s="11" t="str">
        <f t="shared" si="335"/>
        <v/>
      </c>
      <c r="E4220" s="11" t="str">
        <f t="shared" si="332"/>
        <v/>
      </c>
      <c r="F4220" s="11" t="str">
        <f t="shared" si="333"/>
        <v/>
      </c>
      <c r="G4220" s="10" t="str">
        <v/>
      </c>
      <c r="H4220" s="11" t="str">
        <v/>
      </c>
      <c r="I4220" s="11" t="str">
        <v/>
      </c>
    </row>
    <row r="4221" spans="2:9">
      <c r="B4221" s="11" t="str">
        <f t="shared" si="331"/>
        <v/>
      </c>
      <c r="C4221" s="11" t="str">
        <f t="shared" si="334"/>
        <v/>
      </c>
      <c r="D4221" s="11" t="str">
        <f t="shared" si="335"/>
        <v/>
      </c>
      <c r="E4221" s="11" t="str">
        <f t="shared" si="332"/>
        <v/>
      </c>
      <c r="F4221" s="11" t="str">
        <f t="shared" si="333"/>
        <v/>
      </c>
      <c r="G4221" s="10" t="str">
        <v/>
      </c>
      <c r="H4221" s="11" t="str">
        <v/>
      </c>
      <c r="I4221" s="11" t="str">
        <v/>
      </c>
    </row>
    <row r="4222" spans="2:9">
      <c r="B4222" s="11" t="str">
        <f t="shared" si="331"/>
        <v/>
      </c>
      <c r="C4222" s="11" t="str">
        <f t="shared" si="334"/>
        <v/>
      </c>
      <c r="D4222" s="11" t="str">
        <f t="shared" si="335"/>
        <v/>
      </c>
      <c r="E4222" s="11" t="str">
        <f t="shared" si="332"/>
        <v/>
      </c>
      <c r="F4222" s="11" t="str">
        <f t="shared" si="333"/>
        <v/>
      </c>
      <c r="G4222" s="10" t="str">
        <v/>
      </c>
      <c r="H4222" s="11" t="str">
        <v/>
      </c>
      <c r="I4222" s="11" t="str">
        <v/>
      </c>
    </row>
    <row r="4223" spans="2:9">
      <c r="B4223" s="11" t="str">
        <f t="shared" si="331"/>
        <v/>
      </c>
      <c r="C4223" s="11" t="str">
        <f t="shared" si="334"/>
        <v/>
      </c>
      <c r="D4223" s="11" t="str">
        <f t="shared" si="335"/>
        <v/>
      </c>
      <c r="E4223" s="11" t="str">
        <f t="shared" si="332"/>
        <v/>
      </c>
      <c r="F4223" s="11" t="str">
        <f t="shared" si="333"/>
        <v/>
      </c>
      <c r="G4223" s="10" t="str">
        <v/>
      </c>
      <c r="H4223" s="11" t="str">
        <v/>
      </c>
      <c r="I4223" s="11" t="str">
        <v/>
      </c>
    </row>
    <row r="4224" spans="2:9">
      <c r="B4224" s="11" t="str">
        <f t="shared" si="331"/>
        <v/>
      </c>
      <c r="C4224" s="11" t="str">
        <f t="shared" si="334"/>
        <v/>
      </c>
      <c r="D4224" s="11" t="str">
        <f t="shared" si="335"/>
        <v/>
      </c>
      <c r="E4224" s="11" t="str">
        <f t="shared" si="332"/>
        <v/>
      </c>
      <c r="F4224" s="11" t="str">
        <f t="shared" si="333"/>
        <v/>
      </c>
      <c r="G4224" s="10" t="str">
        <v/>
      </c>
      <c r="H4224" s="11" t="str">
        <v/>
      </c>
      <c r="I4224" s="11" t="str">
        <v/>
      </c>
    </row>
    <row r="4225" spans="2:9">
      <c r="B4225" s="11" t="str">
        <f t="shared" ref="B4225:B4288" si="336">IFERROR(IF(FIND(" ",A4225)=6,IF(IFERROR(FIND(" PB",A4225),"")&lt;&gt;"","артикул",IF(IFERROR(FIND(" CRN",A4225),"")&lt;&gt;"","артикул","")),""),"")</f>
        <v/>
      </c>
      <c r="C4225" s="11" t="str">
        <f t="shared" si="334"/>
        <v/>
      </c>
      <c r="D4225" s="11" t="str">
        <f t="shared" si="335"/>
        <v/>
      </c>
      <c r="E4225" s="11" t="str">
        <f t="shared" si="332"/>
        <v/>
      </c>
      <c r="F4225" s="11" t="str">
        <f t="shared" si="333"/>
        <v/>
      </c>
      <c r="G4225" s="10" t="str">
        <v/>
      </c>
      <c r="H4225" s="11" t="str">
        <v/>
      </c>
      <c r="I4225" s="11" t="str">
        <v/>
      </c>
    </row>
    <row r="4226" spans="2:9">
      <c r="B4226" s="11" t="str">
        <f t="shared" si="336"/>
        <v/>
      </c>
      <c r="C4226" s="11" t="str">
        <f t="shared" si="334"/>
        <v/>
      </c>
      <c r="D4226" s="11" t="str">
        <f t="shared" si="335"/>
        <v/>
      </c>
      <c r="E4226" s="11" t="str">
        <f t="shared" ref="E4226:E4289" si="337" xml:space="preserve">
IF(B4226="Артикул",
IF(
AND(RIGHT(A4227,1)="%",
RIGHT(A4228,1)="%",
RIGHT(A4229,1)="%",
RIGHT(A4230,1)="%"),MID(A4231,FIND(" ",A4231),50),
IF(
AND(RIGHT(A4227,1)="%",
RIGHT(A4228,1)="%",
RIGHT(A4229,1)="%"),MID(A4230,FIND(" ",A4230),50),
IF(
AND(RIGHT(A4227,1)="%",
RIGHT(A4228,1)="%"),
MID(A4229,FIND(" ",A4229),50),
IF(
RIGHT(A4227,1)="%",
MID(A4228,FIND(" ",A4228),50),"")))),"")</f>
        <v/>
      </c>
      <c r="F4226" s="11" t="str">
        <f t="shared" ref="F4226:F4289" si="338">IFERROR(
IF(
AND(LEFT(A4226,8)="Discount",FIND("%",A4226)&gt;0),
MID(A4226,
FIND(" ",A4226),
FIND("%",A4226)-FIND(" ",A4226))
*-1,""),"")</f>
        <v/>
      </c>
      <c r="G4226" s="10" t="str">
        <v/>
      </c>
      <c r="H4226" s="11" t="str">
        <v/>
      </c>
      <c r="I4226" s="11" t="str">
        <v/>
      </c>
    </row>
    <row r="4227" spans="2:9">
      <c r="B4227" s="11" t="str">
        <f t="shared" si="336"/>
        <v/>
      </c>
      <c r="C4227" s="11" t="str">
        <f t="shared" si="334"/>
        <v/>
      </c>
      <c r="D4227" s="11" t="str">
        <f t="shared" si="335"/>
        <v/>
      </c>
      <c r="E4227" s="11" t="str">
        <f t="shared" si="337"/>
        <v/>
      </c>
      <c r="F4227" s="11" t="str">
        <f t="shared" si="338"/>
        <v/>
      </c>
      <c r="G4227" s="10" t="str">
        <v/>
      </c>
      <c r="H4227" s="11" t="str">
        <v/>
      </c>
      <c r="I4227" s="11" t="str">
        <v/>
      </c>
    </row>
    <row r="4228" spans="2:9">
      <c r="B4228" s="11" t="str">
        <f t="shared" si="336"/>
        <v/>
      </c>
      <c r="C4228" s="11" t="str">
        <f t="shared" si="334"/>
        <v/>
      </c>
      <c r="D4228" s="11" t="str">
        <f t="shared" si="335"/>
        <v/>
      </c>
      <c r="E4228" s="11" t="str">
        <f t="shared" si="337"/>
        <v/>
      </c>
      <c r="F4228" s="11" t="str">
        <f t="shared" si="338"/>
        <v/>
      </c>
      <c r="G4228" s="10" t="str">
        <v/>
      </c>
      <c r="H4228" s="11" t="str">
        <v/>
      </c>
      <c r="I4228" s="11" t="str">
        <v/>
      </c>
    </row>
    <row r="4229" spans="2:9">
      <c r="B4229" s="11" t="str">
        <f t="shared" si="336"/>
        <v/>
      </c>
      <c r="C4229" s="11" t="str">
        <f t="shared" si="334"/>
        <v/>
      </c>
      <c r="D4229" s="11" t="str">
        <f t="shared" si="335"/>
        <v/>
      </c>
      <c r="E4229" s="11" t="str">
        <f t="shared" si="337"/>
        <v/>
      </c>
      <c r="F4229" s="11" t="str">
        <f t="shared" si="338"/>
        <v/>
      </c>
      <c r="G4229" s="10" t="str">
        <v/>
      </c>
      <c r="H4229" s="11" t="str">
        <v/>
      </c>
      <c r="I4229" s="11" t="str">
        <v/>
      </c>
    </row>
    <row r="4230" spans="2:9">
      <c r="B4230" s="11" t="str">
        <f t="shared" si="336"/>
        <v/>
      </c>
      <c r="C4230" s="11" t="str">
        <f t="shared" si="334"/>
        <v/>
      </c>
      <c r="D4230" s="11" t="str">
        <f t="shared" si="335"/>
        <v/>
      </c>
      <c r="E4230" s="11" t="str">
        <f t="shared" si="337"/>
        <v/>
      </c>
      <c r="F4230" s="11" t="str">
        <f t="shared" si="338"/>
        <v/>
      </c>
      <c r="G4230" s="10" t="str">
        <v/>
      </c>
      <c r="H4230" s="11" t="str">
        <v/>
      </c>
      <c r="I4230" s="11" t="str">
        <v/>
      </c>
    </row>
    <row r="4231" spans="2:9">
      <c r="B4231" s="11" t="str">
        <f t="shared" si="336"/>
        <v/>
      </c>
      <c r="C4231" s="11" t="str">
        <f t="shared" si="334"/>
        <v/>
      </c>
      <c r="D4231" s="11" t="str">
        <f t="shared" si="335"/>
        <v/>
      </c>
      <c r="E4231" s="11" t="str">
        <f t="shared" si="337"/>
        <v/>
      </c>
      <c r="F4231" s="11" t="str">
        <f t="shared" si="338"/>
        <v/>
      </c>
      <c r="G4231" s="10" t="str">
        <v/>
      </c>
      <c r="H4231" s="11" t="str">
        <v/>
      </c>
      <c r="I4231" s="11" t="str">
        <v/>
      </c>
    </row>
    <row r="4232" spans="2:9">
      <c r="B4232" s="11" t="str">
        <f t="shared" si="336"/>
        <v/>
      </c>
      <c r="C4232" s="11" t="str">
        <f t="shared" si="334"/>
        <v/>
      </c>
      <c r="D4232" s="11" t="str">
        <f t="shared" si="335"/>
        <v/>
      </c>
      <c r="E4232" s="11" t="str">
        <f t="shared" si="337"/>
        <v/>
      </c>
      <c r="F4232" s="11" t="str">
        <f t="shared" si="338"/>
        <v/>
      </c>
      <c r="G4232" s="10" t="str">
        <v/>
      </c>
      <c r="H4232" s="11" t="str">
        <v/>
      </c>
      <c r="I4232" s="11" t="str">
        <v/>
      </c>
    </row>
    <row r="4233" spans="2:9">
      <c r="B4233" s="11" t="str">
        <f t="shared" si="336"/>
        <v/>
      </c>
      <c r="C4233" s="11" t="str">
        <f t="shared" si="334"/>
        <v/>
      </c>
      <c r="D4233" s="11" t="str">
        <f t="shared" si="335"/>
        <v/>
      </c>
      <c r="E4233" s="11" t="str">
        <f t="shared" si="337"/>
        <v/>
      </c>
      <c r="F4233" s="11" t="str">
        <f t="shared" si="338"/>
        <v/>
      </c>
      <c r="G4233" s="10" t="str">
        <v/>
      </c>
      <c r="H4233" s="11" t="str">
        <v/>
      </c>
      <c r="I4233" s="11" t="str">
        <v/>
      </c>
    </row>
    <row r="4234" spans="2:9">
      <c r="B4234" s="11" t="str">
        <f t="shared" si="336"/>
        <v/>
      </c>
      <c r="C4234" s="11" t="str">
        <f t="shared" si="334"/>
        <v/>
      </c>
      <c r="D4234" s="11" t="str">
        <f t="shared" si="335"/>
        <v/>
      </c>
      <c r="E4234" s="11" t="str">
        <f t="shared" si="337"/>
        <v/>
      </c>
      <c r="F4234" s="11" t="str">
        <f t="shared" si="338"/>
        <v/>
      </c>
      <c r="G4234" s="10" t="str">
        <v/>
      </c>
      <c r="H4234" s="11" t="str">
        <v/>
      </c>
      <c r="I4234" s="11" t="str">
        <v/>
      </c>
    </row>
    <row r="4235" spans="2:9">
      <c r="B4235" s="11" t="str">
        <f t="shared" si="336"/>
        <v/>
      </c>
      <c r="C4235" s="11" t="str">
        <f t="shared" si="334"/>
        <v/>
      </c>
      <c r="D4235" s="11" t="str">
        <f t="shared" si="335"/>
        <v/>
      </c>
      <c r="E4235" s="11" t="str">
        <f t="shared" si="337"/>
        <v/>
      </c>
      <c r="F4235" s="11" t="str">
        <f t="shared" si="338"/>
        <v/>
      </c>
      <c r="G4235" s="10" t="str">
        <v/>
      </c>
      <c r="H4235" s="11" t="str">
        <v/>
      </c>
      <c r="I4235" s="11" t="str">
        <v/>
      </c>
    </row>
    <row r="4236" spans="2:9">
      <c r="B4236" s="11" t="str">
        <f t="shared" si="336"/>
        <v/>
      </c>
      <c r="C4236" s="11" t="str">
        <f t="shared" si="334"/>
        <v/>
      </c>
      <c r="D4236" s="11" t="str">
        <f t="shared" si="335"/>
        <v/>
      </c>
      <c r="E4236" s="11" t="str">
        <f t="shared" si="337"/>
        <v/>
      </c>
      <c r="F4236" s="11" t="str">
        <f t="shared" si="338"/>
        <v/>
      </c>
      <c r="G4236" s="10" t="str">
        <v/>
      </c>
      <c r="H4236" s="11" t="str">
        <v/>
      </c>
      <c r="I4236" s="11" t="str">
        <v/>
      </c>
    </row>
    <row r="4237" spans="2:9">
      <c r="B4237" s="11" t="str">
        <f t="shared" si="336"/>
        <v/>
      </c>
      <c r="C4237" s="11" t="str">
        <f t="shared" ref="C4237:C4300" si="339">IF(B4237="артикул",A4237,"")</f>
        <v/>
      </c>
      <c r="D4237" s="11" t="str">
        <f t="shared" ref="D4237:D4300" si="340">IF(B4237="артикул",A4238,"")</f>
        <v/>
      </c>
      <c r="E4237" s="11" t="str">
        <f t="shared" si="337"/>
        <v/>
      </c>
      <c r="F4237" s="11" t="str">
        <f t="shared" si="338"/>
        <v/>
      </c>
      <c r="G4237" s="10" t="str">
        <v/>
      </c>
      <c r="H4237" s="11" t="str">
        <v/>
      </c>
      <c r="I4237" s="11" t="str">
        <v/>
      </c>
    </row>
    <row r="4238" spans="2:9">
      <c r="B4238" s="11" t="str">
        <f t="shared" si="336"/>
        <v/>
      </c>
      <c r="C4238" s="11" t="str">
        <f t="shared" si="339"/>
        <v/>
      </c>
      <c r="D4238" s="11" t="str">
        <f t="shared" si="340"/>
        <v/>
      </c>
      <c r="E4238" s="11" t="str">
        <f t="shared" si="337"/>
        <v/>
      </c>
      <c r="F4238" s="11" t="str">
        <f t="shared" si="338"/>
        <v/>
      </c>
      <c r="G4238" s="10" t="str">
        <v/>
      </c>
      <c r="H4238" s="11" t="str">
        <v/>
      </c>
      <c r="I4238" s="11" t="str">
        <v/>
      </c>
    </row>
    <row r="4239" spans="2:9">
      <c r="B4239" s="11" t="str">
        <f t="shared" si="336"/>
        <v/>
      </c>
      <c r="C4239" s="11" t="str">
        <f t="shared" si="339"/>
        <v/>
      </c>
      <c r="D4239" s="11" t="str">
        <f t="shared" si="340"/>
        <v/>
      </c>
      <c r="E4239" s="11" t="str">
        <f t="shared" si="337"/>
        <v/>
      </c>
      <c r="F4239" s="11" t="str">
        <f t="shared" si="338"/>
        <v/>
      </c>
      <c r="G4239" s="10" t="str">
        <v/>
      </c>
      <c r="H4239" s="11" t="str">
        <v/>
      </c>
      <c r="I4239" s="11" t="str">
        <v/>
      </c>
    </row>
    <row r="4240" spans="2:9">
      <c r="B4240" s="11" t="str">
        <f t="shared" si="336"/>
        <v/>
      </c>
      <c r="C4240" s="11" t="str">
        <f t="shared" si="339"/>
        <v/>
      </c>
      <c r="D4240" s="11" t="str">
        <f t="shared" si="340"/>
        <v/>
      </c>
      <c r="E4240" s="11" t="str">
        <f t="shared" si="337"/>
        <v/>
      </c>
      <c r="F4240" s="11" t="str">
        <f t="shared" si="338"/>
        <v/>
      </c>
      <c r="G4240" s="10" t="str">
        <v/>
      </c>
      <c r="H4240" s="11" t="str">
        <v/>
      </c>
      <c r="I4240" s="11" t="str">
        <v/>
      </c>
    </row>
    <row r="4241" spans="2:9">
      <c r="B4241" s="11" t="str">
        <f t="shared" si="336"/>
        <v/>
      </c>
      <c r="C4241" s="11" t="str">
        <f t="shared" si="339"/>
        <v/>
      </c>
      <c r="D4241" s="11" t="str">
        <f t="shared" si="340"/>
        <v/>
      </c>
      <c r="E4241" s="11" t="str">
        <f t="shared" si="337"/>
        <v/>
      </c>
      <c r="F4241" s="11" t="str">
        <f t="shared" si="338"/>
        <v/>
      </c>
      <c r="G4241" s="10" t="str">
        <v/>
      </c>
      <c r="H4241" s="11" t="str">
        <v/>
      </c>
      <c r="I4241" s="11" t="str">
        <v/>
      </c>
    </row>
    <row r="4242" spans="2:9">
      <c r="B4242" s="11" t="str">
        <f t="shared" si="336"/>
        <v/>
      </c>
      <c r="C4242" s="11" t="str">
        <f t="shared" si="339"/>
        <v/>
      </c>
      <c r="D4242" s="11" t="str">
        <f t="shared" si="340"/>
        <v/>
      </c>
      <c r="E4242" s="11" t="str">
        <f t="shared" si="337"/>
        <v/>
      </c>
      <c r="F4242" s="11" t="str">
        <f t="shared" si="338"/>
        <v/>
      </c>
      <c r="G4242" s="10" t="str">
        <v/>
      </c>
      <c r="H4242" s="11" t="str">
        <v/>
      </c>
      <c r="I4242" s="11" t="str">
        <v/>
      </c>
    </row>
    <row r="4243" spans="2:9">
      <c r="B4243" s="11" t="str">
        <f t="shared" si="336"/>
        <v/>
      </c>
      <c r="C4243" s="11" t="str">
        <f t="shared" si="339"/>
        <v/>
      </c>
      <c r="D4243" s="11" t="str">
        <f t="shared" si="340"/>
        <v/>
      </c>
      <c r="E4243" s="11" t="str">
        <f t="shared" si="337"/>
        <v/>
      </c>
      <c r="F4243" s="11" t="str">
        <f t="shared" si="338"/>
        <v/>
      </c>
      <c r="G4243" s="10" t="str">
        <v/>
      </c>
      <c r="H4243" s="11" t="str">
        <v/>
      </c>
      <c r="I4243" s="11" t="str">
        <v/>
      </c>
    </row>
    <row r="4244" spans="2:9">
      <c r="B4244" s="11" t="str">
        <f t="shared" si="336"/>
        <v/>
      </c>
      <c r="C4244" s="11" t="str">
        <f t="shared" si="339"/>
        <v/>
      </c>
      <c r="D4244" s="11" t="str">
        <f t="shared" si="340"/>
        <v/>
      </c>
      <c r="E4244" s="11" t="str">
        <f t="shared" si="337"/>
        <v/>
      </c>
      <c r="F4244" s="11" t="str">
        <f t="shared" si="338"/>
        <v/>
      </c>
      <c r="G4244" s="10" t="str">
        <v/>
      </c>
      <c r="H4244" s="11" t="str">
        <v/>
      </c>
      <c r="I4244" s="11" t="str">
        <v/>
      </c>
    </row>
    <row r="4245" spans="2:9">
      <c r="B4245" s="11" t="str">
        <f t="shared" si="336"/>
        <v/>
      </c>
      <c r="C4245" s="11" t="str">
        <f t="shared" si="339"/>
        <v/>
      </c>
      <c r="D4245" s="11" t="str">
        <f t="shared" si="340"/>
        <v/>
      </c>
      <c r="E4245" s="11" t="str">
        <f t="shared" si="337"/>
        <v/>
      </c>
      <c r="F4245" s="11" t="str">
        <f t="shared" si="338"/>
        <v/>
      </c>
      <c r="G4245" s="10" t="str">
        <v/>
      </c>
      <c r="H4245" s="11" t="str">
        <v/>
      </c>
      <c r="I4245" s="11" t="str">
        <v/>
      </c>
    </row>
    <row r="4246" spans="2:9">
      <c r="B4246" s="11" t="str">
        <f t="shared" si="336"/>
        <v/>
      </c>
      <c r="C4246" s="11" t="str">
        <f t="shared" si="339"/>
        <v/>
      </c>
      <c r="D4246" s="11" t="str">
        <f t="shared" si="340"/>
        <v/>
      </c>
      <c r="E4246" s="11" t="str">
        <f t="shared" si="337"/>
        <v/>
      </c>
      <c r="F4246" s="11" t="str">
        <f t="shared" si="338"/>
        <v/>
      </c>
      <c r="G4246" s="10" t="str">
        <v/>
      </c>
      <c r="H4246" s="11" t="str">
        <v/>
      </c>
      <c r="I4246" s="11" t="str">
        <v/>
      </c>
    </row>
    <row r="4247" spans="2:9">
      <c r="B4247" s="11" t="str">
        <f t="shared" si="336"/>
        <v/>
      </c>
      <c r="C4247" s="11" t="str">
        <f t="shared" si="339"/>
        <v/>
      </c>
      <c r="D4247" s="11" t="str">
        <f t="shared" si="340"/>
        <v/>
      </c>
      <c r="E4247" s="11" t="str">
        <f t="shared" si="337"/>
        <v/>
      </c>
      <c r="F4247" s="11" t="str">
        <f t="shared" si="338"/>
        <v/>
      </c>
      <c r="G4247" s="10" t="str">
        <v/>
      </c>
      <c r="H4247" s="11" t="str">
        <v/>
      </c>
      <c r="I4247" s="11" t="str">
        <v/>
      </c>
    </row>
    <row r="4248" spans="2:9">
      <c r="B4248" s="11" t="str">
        <f t="shared" si="336"/>
        <v/>
      </c>
      <c r="C4248" s="11" t="str">
        <f t="shared" si="339"/>
        <v/>
      </c>
      <c r="D4248" s="11" t="str">
        <f t="shared" si="340"/>
        <v/>
      </c>
      <c r="E4248" s="11" t="str">
        <f t="shared" si="337"/>
        <v/>
      </c>
      <c r="F4248" s="11" t="str">
        <f t="shared" si="338"/>
        <v/>
      </c>
      <c r="G4248" s="10" t="str">
        <v/>
      </c>
      <c r="H4248" s="11" t="str">
        <v/>
      </c>
      <c r="I4248" s="11" t="str">
        <v/>
      </c>
    </row>
    <row r="4249" spans="2:9">
      <c r="B4249" s="11" t="str">
        <f t="shared" si="336"/>
        <v/>
      </c>
      <c r="C4249" s="11" t="str">
        <f t="shared" si="339"/>
        <v/>
      </c>
      <c r="D4249" s="11" t="str">
        <f t="shared" si="340"/>
        <v/>
      </c>
      <c r="E4249" s="11" t="str">
        <f t="shared" si="337"/>
        <v/>
      </c>
      <c r="F4249" s="11" t="str">
        <f t="shared" si="338"/>
        <v/>
      </c>
      <c r="G4249" s="10" t="str">
        <v/>
      </c>
      <c r="H4249" s="11" t="str">
        <v/>
      </c>
      <c r="I4249" s="11" t="str">
        <v/>
      </c>
    </row>
    <row r="4250" spans="2:9">
      <c r="B4250" s="11" t="str">
        <f t="shared" si="336"/>
        <v/>
      </c>
      <c r="C4250" s="11" t="str">
        <f t="shared" si="339"/>
        <v/>
      </c>
      <c r="D4250" s="11" t="str">
        <f t="shared" si="340"/>
        <v/>
      </c>
      <c r="E4250" s="11" t="str">
        <f t="shared" si="337"/>
        <v/>
      </c>
      <c r="F4250" s="11" t="str">
        <f t="shared" si="338"/>
        <v/>
      </c>
      <c r="G4250" s="10" t="str">
        <v/>
      </c>
      <c r="H4250" s="11" t="str">
        <v/>
      </c>
      <c r="I4250" s="11" t="str">
        <v/>
      </c>
    </row>
    <row r="4251" spans="2:9">
      <c r="B4251" s="11" t="str">
        <f t="shared" si="336"/>
        <v/>
      </c>
      <c r="C4251" s="11" t="str">
        <f t="shared" si="339"/>
        <v/>
      </c>
      <c r="D4251" s="11" t="str">
        <f t="shared" si="340"/>
        <v/>
      </c>
      <c r="E4251" s="11" t="str">
        <f t="shared" si="337"/>
        <v/>
      </c>
      <c r="F4251" s="11" t="str">
        <f t="shared" si="338"/>
        <v/>
      </c>
      <c r="G4251" s="10" t="str">
        <v/>
      </c>
      <c r="H4251" s="11" t="str">
        <v/>
      </c>
      <c r="I4251" s="11" t="str">
        <v/>
      </c>
    </row>
    <row r="4252" spans="2:9">
      <c r="B4252" s="11" t="str">
        <f t="shared" si="336"/>
        <v/>
      </c>
      <c r="C4252" s="11" t="str">
        <f t="shared" si="339"/>
        <v/>
      </c>
      <c r="D4252" s="11" t="str">
        <f t="shared" si="340"/>
        <v/>
      </c>
      <c r="E4252" s="11" t="str">
        <f t="shared" si="337"/>
        <v/>
      </c>
      <c r="F4252" s="11" t="str">
        <f t="shared" si="338"/>
        <v/>
      </c>
      <c r="G4252" s="10" t="str">
        <v/>
      </c>
      <c r="H4252" s="11" t="str">
        <v/>
      </c>
      <c r="I4252" s="11" t="str">
        <v/>
      </c>
    </row>
    <row r="4253" spans="2:9">
      <c r="B4253" s="11" t="str">
        <f t="shared" si="336"/>
        <v/>
      </c>
      <c r="C4253" s="11" t="str">
        <f t="shared" si="339"/>
        <v/>
      </c>
      <c r="D4253" s="11" t="str">
        <f t="shared" si="340"/>
        <v/>
      </c>
      <c r="E4253" s="11" t="str">
        <f t="shared" si="337"/>
        <v/>
      </c>
      <c r="F4253" s="11" t="str">
        <f t="shared" si="338"/>
        <v/>
      </c>
      <c r="G4253" s="10" t="str">
        <v/>
      </c>
      <c r="H4253" s="11" t="str">
        <v/>
      </c>
      <c r="I4253" s="11" t="str">
        <v/>
      </c>
    </row>
    <row r="4254" spans="2:9">
      <c r="B4254" s="11" t="str">
        <f t="shared" si="336"/>
        <v/>
      </c>
      <c r="C4254" s="11" t="str">
        <f t="shared" si="339"/>
        <v/>
      </c>
      <c r="D4254" s="11" t="str">
        <f t="shared" si="340"/>
        <v/>
      </c>
      <c r="E4254" s="11" t="str">
        <f t="shared" si="337"/>
        <v/>
      </c>
      <c r="F4254" s="11" t="str">
        <f t="shared" si="338"/>
        <v/>
      </c>
      <c r="G4254" s="10" t="str">
        <v/>
      </c>
      <c r="H4254" s="11" t="str">
        <v/>
      </c>
      <c r="I4254" s="11" t="str">
        <v/>
      </c>
    </row>
    <row r="4255" spans="2:9">
      <c r="B4255" s="11" t="str">
        <f t="shared" si="336"/>
        <v/>
      </c>
      <c r="C4255" s="11" t="str">
        <f t="shared" si="339"/>
        <v/>
      </c>
      <c r="D4255" s="11" t="str">
        <f t="shared" si="340"/>
        <v/>
      </c>
      <c r="E4255" s="11" t="str">
        <f t="shared" si="337"/>
        <v/>
      </c>
      <c r="F4255" s="11" t="str">
        <f t="shared" si="338"/>
        <v/>
      </c>
      <c r="G4255" s="10" t="str">
        <v/>
      </c>
      <c r="H4255" s="11" t="str">
        <v/>
      </c>
      <c r="I4255" s="11" t="str">
        <v/>
      </c>
    </row>
    <row r="4256" spans="2:9">
      <c r="B4256" s="11" t="str">
        <f t="shared" si="336"/>
        <v/>
      </c>
      <c r="C4256" s="11" t="str">
        <f t="shared" si="339"/>
        <v/>
      </c>
      <c r="D4256" s="11" t="str">
        <f t="shared" si="340"/>
        <v/>
      </c>
      <c r="E4256" s="11" t="str">
        <f t="shared" si="337"/>
        <v/>
      </c>
      <c r="F4256" s="11" t="str">
        <f t="shared" si="338"/>
        <v/>
      </c>
      <c r="G4256" s="10" t="str">
        <v/>
      </c>
      <c r="H4256" s="11" t="str">
        <v/>
      </c>
      <c r="I4256" s="11" t="str">
        <v/>
      </c>
    </row>
    <row r="4257" spans="2:9">
      <c r="B4257" s="11" t="str">
        <f t="shared" si="336"/>
        <v/>
      </c>
      <c r="C4257" s="11" t="str">
        <f t="shared" si="339"/>
        <v/>
      </c>
      <c r="D4257" s="11" t="str">
        <f t="shared" si="340"/>
        <v/>
      </c>
      <c r="E4257" s="11" t="str">
        <f t="shared" si="337"/>
        <v/>
      </c>
      <c r="F4257" s="11" t="str">
        <f t="shared" si="338"/>
        <v/>
      </c>
      <c r="G4257" s="10" t="str">
        <v/>
      </c>
      <c r="H4257" s="11" t="str">
        <v/>
      </c>
      <c r="I4257" s="11" t="str">
        <v/>
      </c>
    </row>
    <row r="4258" spans="2:9">
      <c r="B4258" s="11" t="str">
        <f t="shared" si="336"/>
        <v/>
      </c>
      <c r="C4258" s="11" t="str">
        <f t="shared" si="339"/>
        <v/>
      </c>
      <c r="D4258" s="11" t="str">
        <f t="shared" si="340"/>
        <v/>
      </c>
      <c r="E4258" s="11" t="str">
        <f t="shared" si="337"/>
        <v/>
      </c>
      <c r="F4258" s="11" t="str">
        <f t="shared" si="338"/>
        <v/>
      </c>
      <c r="G4258" s="10" t="str">
        <v/>
      </c>
      <c r="H4258" s="11" t="str">
        <v/>
      </c>
      <c r="I4258" s="11" t="str">
        <v/>
      </c>
    </row>
    <row r="4259" spans="2:9">
      <c r="B4259" s="11" t="str">
        <f t="shared" si="336"/>
        <v/>
      </c>
      <c r="C4259" s="11" t="str">
        <f t="shared" si="339"/>
        <v/>
      </c>
      <c r="D4259" s="11" t="str">
        <f t="shared" si="340"/>
        <v/>
      </c>
      <c r="E4259" s="11" t="str">
        <f t="shared" si="337"/>
        <v/>
      </c>
      <c r="F4259" s="11" t="str">
        <f t="shared" si="338"/>
        <v/>
      </c>
      <c r="G4259" s="10" t="str">
        <v/>
      </c>
      <c r="H4259" s="11" t="str">
        <v/>
      </c>
      <c r="I4259" s="11" t="str">
        <v/>
      </c>
    </row>
    <row r="4260" spans="2:9">
      <c r="B4260" s="11" t="str">
        <f t="shared" si="336"/>
        <v/>
      </c>
      <c r="C4260" s="11" t="str">
        <f t="shared" si="339"/>
        <v/>
      </c>
      <c r="D4260" s="11" t="str">
        <f t="shared" si="340"/>
        <v/>
      </c>
      <c r="E4260" s="11" t="str">
        <f t="shared" si="337"/>
        <v/>
      </c>
      <c r="F4260" s="11" t="str">
        <f t="shared" si="338"/>
        <v/>
      </c>
      <c r="G4260" s="10" t="str">
        <v/>
      </c>
      <c r="H4260" s="11" t="str">
        <v/>
      </c>
      <c r="I4260" s="11" t="str">
        <v/>
      </c>
    </row>
    <row r="4261" spans="2:9">
      <c r="B4261" s="11" t="str">
        <f t="shared" si="336"/>
        <v/>
      </c>
      <c r="C4261" s="11" t="str">
        <f t="shared" si="339"/>
        <v/>
      </c>
      <c r="D4261" s="11" t="str">
        <f t="shared" si="340"/>
        <v/>
      </c>
      <c r="E4261" s="11" t="str">
        <f t="shared" si="337"/>
        <v/>
      </c>
      <c r="F4261" s="11" t="str">
        <f t="shared" si="338"/>
        <v/>
      </c>
      <c r="G4261" s="10" t="str">
        <v/>
      </c>
      <c r="H4261" s="11" t="str">
        <v/>
      </c>
      <c r="I4261" s="11" t="str">
        <v/>
      </c>
    </row>
    <row r="4262" spans="2:9">
      <c r="B4262" s="11" t="str">
        <f t="shared" si="336"/>
        <v/>
      </c>
      <c r="C4262" s="11" t="str">
        <f t="shared" si="339"/>
        <v/>
      </c>
      <c r="D4262" s="11" t="str">
        <f t="shared" si="340"/>
        <v/>
      </c>
      <c r="E4262" s="11" t="str">
        <f t="shared" si="337"/>
        <v/>
      </c>
      <c r="F4262" s="11" t="str">
        <f t="shared" si="338"/>
        <v/>
      </c>
      <c r="G4262" s="10" t="str">
        <v/>
      </c>
      <c r="H4262" s="11" t="str">
        <v/>
      </c>
      <c r="I4262" s="11" t="str">
        <v/>
      </c>
    </row>
    <row r="4263" spans="2:9">
      <c r="B4263" s="11" t="str">
        <f t="shared" si="336"/>
        <v/>
      </c>
      <c r="C4263" s="11" t="str">
        <f t="shared" si="339"/>
        <v/>
      </c>
      <c r="D4263" s="11" t="str">
        <f t="shared" si="340"/>
        <v/>
      </c>
      <c r="E4263" s="11" t="str">
        <f t="shared" si="337"/>
        <v/>
      </c>
      <c r="F4263" s="11" t="str">
        <f t="shared" si="338"/>
        <v/>
      </c>
      <c r="G4263" s="10" t="str">
        <v/>
      </c>
      <c r="H4263" s="11" t="str">
        <v/>
      </c>
      <c r="I4263" s="11" t="str">
        <v/>
      </c>
    </row>
    <row r="4264" spans="2:9">
      <c r="B4264" s="11" t="str">
        <f t="shared" si="336"/>
        <v/>
      </c>
      <c r="C4264" s="11" t="str">
        <f t="shared" si="339"/>
        <v/>
      </c>
      <c r="D4264" s="11" t="str">
        <f t="shared" si="340"/>
        <v/>
      </c>
      <c r="E4264" s="11" t="str">
        <f t="shared" si="337"/>
        <v/>
      </c>
      <c r="F4264" s="11" t="str">
        <f t="shared" si="338"/>
        <v/>
      </c>
      <c r="G4264" s="10" t="str">
        <v/>
      </c>
      <c r="H4264" s="11" t="str">
        <v/>
      </c>
      <c r="I4264" s="11" t="str">
        <v/>
      </c>
    </row>
    <row r="4265" spans="2:9">
      <c r="B4265" s="11" t="str">
        <f t="shared" si="336"/>
        <v/>
      </c>
      <c r="C4265" s="11" t="str">
        <f t="shared" si="339"/>
        <v/>
      </c>
      <c r="D4265" s="11" t="str">
        <f t="shared" si="340"/>
        <v/>
      </c>
      <c r="E4265" s="11" t="str">
        <f t="shared" si="337"/>
        <v/>
      </c>
      <c r="F4265" s="11" t="str">
        <f t="shared" si="338"/>
        <v/>
      </c>
      <c r="G4265" s="10" t="str">
        <v/>
      </c>
      <c r="H4265" s="11" t="str">
        <v/>
      </c>
      <c r="I4265" s="11" t="str">
        <v/>
      </c>
    </row>
    <row r="4266" spans="2:9">
      <c r="B4266" s="11" t="str">
        <f t="shared" si="336"/>
        <v/>
      </c>
      <c r="C4266" s="11" t="str">
        <f t="shared" si="339"/>
        <v/>
      </c>
      <c r="D4266" s="11" t="str">
        <f t="shared" si="340"/>
        <v/>
      </c>
      <c r="E4266" s="11" t="str">
        <f t="shared" si="337"/>
        <v/>
      </c>
      <c r="F4266" s="11" t="str">
        <f t="shared" si="338"/>
        <v/>
      </c>
      <c r="G4266" s="10" t="str">
        <v/>
      </c>
      <c r="H4266" s="11" t="str">
        <v/>
      </c>
      <c r="I4266" s="11" t="str">
        <v/>
      </c>
    </row>
    <row r="4267" spans="2:9">
      <c r="B4267" s="11" t="str">
        <f t="shared" si="336"/>
        <v/>
      </c>
      <c r="C4267" s="11" t="str">
        <f t="shared" si="339"/>
        <v/>
      </c>
      <c r="D4267" s="11" t="str">
        <f t="shared" si="340"/>
        <v/>
      </c>
      <c r="E4267" s="11" t="str">
        <f t="shared" si="337"/>
        <v/>
      </c>
      <c r="F4267" s="11" t="str">
        <f t="shared" si="338"/>
        <v/>
      </c>
      <c r="G4267" s="10" t="str">
        <v/>
      </c>
      <c r="H4267" s="11" t="str">
        <v/>
      </c>
      <c r="I4267" s="11" t="str">
        <v/>
      </c>
    </row>
    <row r="4268" spans="2:9">
      <c r="B4268" s="11" t="str">
        <f t="shared" si="336"/>
        <v/>
      </c>
      <c r="C4268" s="11" t="str">
        <f t="shared" si="339"/>
        <v/>
      </c>
      <c r="D4268" s="11" t="str">
        <f t="shared" si="340"/>
        <v/>
      </c>
      <c r="E4268" s="11" t="str">
        <f t="shared" si="337"/>
        <v/>
      </c>
      <c r="F4268" s="11" t="str">
        <f t="shared" si="338"/>
        <v/>
      </c>
      <c r="G4268" s="10" t="str">
        <v/>
      </c>
      <c r="H4268" s="11" t="str">
        <v/>
      </c>
      <c r="I4268" s="11" t="str">
        <v/>
      </c>
    </row>
    <row r="4269" spans="2:9">
      <c r="B4269" s="11" t="str">
        <f t="shared" si="336"/>
        <v/>
      </c>
      <c r="C4269" s="11" t="str">
        <f t="shared" si="339"/>
        <v/>
      </c>
      <c r="D4269" s="11" t="str">
        <f t="shared" si="340"/>
        <v/>
      </c>
      <c r="E4269" s="11" t="str">
        <f t="shared" si="337"/>
        <v/>
      </c>
      <c r="F4269" s="11" t="str">
        <f t="shared" si="338"/>
        <v/>
      </c>
      <c r="G4269" s="10" t="str">
        <v/>
      </c>
      <c r="H4269" s="11" t="str">
        <v/>
      </c>
      <c r="I4269" s="11" t="str">
        <v/>
      </c>
    </row>
    <row r="4270" spans="2:9">
      <c r="B4270" s="11" t="str">
        <f t="shared" si="336"/>
        <v/>
      </c>
      <c r="C4270" s="11" t="str">
        <f t="shared" si="339"/>
        <v/>
      </c>
      <c r="D4270" s="11" t="str">
        <f t="shared" si="340"/>
        <v/>
      </c>
      <c r="E4270" s="11" t="str">
        <f t="shared" si="337"/>
        <v/>
      </c>
      <c r="F4270" s="11" t="str">
        <f t="shared" si="338"/>
        <v/>
      </c>
      <c r="G4270" s="10" t="str">
        <v/>
      </c>
      <c r="H4270" s="11" t="str">
        <v/>
      </c>
      <c r="I4270" s="11" t="str">
        <v/>
      </c>
    </row>
    <row r="4271" spans="2:9">
      <c r="B4271" s="11" t="str">
        <f t="shared" si="336"/>
        <v/>
      </c>
      <c r="C4271" s="11" t="str">
        <f t="shared" si="339"/>
        <v/>
      </c>
      <c r="D4271" s="11" t="str">
        <f t="shared" si="340"/>
        <v/>
      </c>
      <c r="E4271" s="11" t="str">
        <f t="shared" si="337"/>
        <v/>
      </c>
      <c r="F4271" s="11" t="str">
        <f t="shared" si="338"/>
        <v/>
      </c>
      <c r="G4271" s="10" t="str">
        <v/>
      </c>
      <c r="H4271" s="11" t="str">
        <v/>
      </c>
      <c r="I4271" s="11" t="str">
        <v/>
      </c>
    </row>
    <row r="4272" spans="2:9">
      <c r="B4272" s="11" t="str">
        <f t="shared" si="336"/>
        <v/>
      </c>
      <c r="C4272" s="11" t="str">
        <f t="shared" si="339"/>
        <v/>
      </c>
      <c r="D4272" s="11" t="str">
        <f t="shared" si="340"/>
        <v/>
      </c>
      <c r="E4272" s="11" t="str">
        <f t="shared" si="337"/>
        <v/>
      </c>
      <c r="F4272" s="11" t="str">
        <f t="shared" si="338"/>
        <v/>
      </c>
      <c r="G4272" s="10" t="str">
        <v/>
      </c>
      <c r="H4272" s="11" t="str">
        <v/>
      </c>
      <c r="I4272" s="11" t="str">
        <v/>
      </c>
    </row>
    <row r="4273" spans="2:9">
      <c r="B4273" s="11" t="str">
        <f t="shared" si="336"/>
        <v/>
      </c>
      <c r="C4273" s="11" t="str">
        <f t="shared" si="339"/>
        <v/>
      </c>
      <c r="D4273" s="11" t="str">
        <f t="shared" si="340"/>
        <v/>
      </c>
      <c r="E4273" s="11" t="str">
        <f t="shared" si="337"/>
        <v/>
      </c>
      <c r="F4273" s="11" t="str">
        <f t="shared" si="338"/>
        <v/>
      </c>
      <c r="G4273" s="10" t="str">
        <v/>
      </c>
      <c r="H4273" s="11" t="str">
        <v/>
      </c>
      <c r="I4273" s="11" t="str">
        <v/>
      </c>
    </row>
    <row r="4274" spans="2:9">
      <c r="B4274" s="11" t="str">
        <f t="shared" si="336"/>
        <v/>
      </c>
      <c r="C4274" s="11" t="str">
        <f t="shared" si="339"/>
        <v/>
      </c>
      <c r="D4274" s="11" t="str">
        <f t="shared" si="340"/>
        <v/>
      </c>
      <c r="E4274" s="11" t="str">
        <f t="shared" si="337"/>
        <v/>
      </c>
      <c r="F4274" s="11" t="str">
        <f t="shared" si="338"/>
        <v/>
      </c>
      <c r="G4274" s="10" t="str">
        <v/>
      </c>
      <c r="H4274" s="11" t="str">
        <v/>
      </c>
      <c r="I4274" s="11" t="str">
        <v/>
      </c>
    </row>
    <row r="4275" spans="2:9">
      <c r="B4275" s="11" t="str">
        <f t="shared" si="336"/>
        <v/>
      </c>
      <c r="C4275" s="11" t="str">
        <f t="shared" si="339"/>
        <v/>
      </c>
      <c r="D4275" s="11" t="str">
        <f t="shared" si="340"/>
        <v/>
      </c>
      <c r="E4275" s="11" t="str">
        <f t="shared" si="337"/>
        <v/>
      </c>
      <c r="F4275" s="11" t="str">
        <f t="shared" si="338"/>
        <v/>
      </c>
      <c r="G4275" s="10" t="str">
        <v/>
      </c>
      <c r="H4275" s="11" t="str">
        <v/>
      </c>
      <c r="I4275" s="11" t="str">
        <v/>
      </c>
    </row>
    <row r="4276" spans="2:9">
      <c r="B4276" s="11" t="str">
        <f t="shared" si="336"/>
        <v/>
      </c>
      <c r="C4276" s="11" t="str">
        <f t="shared" si="339"/>
        <v/>
      </c>
      <c r="D4276" s="11" t="str">
        <f t="shared" si="340"/>
        <v/>
      </c>
      <c r="E4276" s="11" t="str">
        <f t="shared" si="337"/>
        <v/>
      </c>
      <c r="F4276" s="11" t="str">
        <f t="shared" si="338"/>
        <v/>
      </c>
      <c r="G4276" s="10" t="str">
        <v/>
      </c>
      <c r="H4276" s="11" t="str">
        <v/>
      </c>
      <c r="I4276" s="11" t="str">
        <v/>
      </c>
    </row>
    <row r="4277" spans="2:9">
      <c r="B4277" s="11" t="str">
        <f t="shared" si="336"/>
        <v/>
      </c>
      <c r="C4277" s="11" t="str">
        <f t="shared" si="339"/>
        <v/>
      </c>
      <c r="D4277" s="11" t="str">
        <f t="shared" si="340"/>
        <v/>
      </c>
      <c r="E4277" s="11" t="str">
        <f t="shared" si="337"/>
        <v/>
      </c>
      <c r="F4277" s="11" t="str">
        <f t="shared" si="338"/>
        <v/>
      </c>
      <c r="G4277" s="10" t="str">
        <v/>
      </c>
      <c r="H4277" s="11" t="str">
        <v/>
      </c>
      <c r="I4277" s="11" t="str">
        <v/>
      </c>
    </row>
    <row r="4278" spans="2:9">
      <c r="B4278" s="11" t="str">
        <f t="shared" si="336"/>
        <v/>
      </c>
      <c r="C4278" s="11" t="str">
        <f t="shared" si="339"/>
        <v/>
      </c>
      <c r="D4278" s="11" t="str">
        <f t="shared" si="340"/>
        <v/>
      </c>
      <c r="E4278" s="11" t="str">
        <f t="shared" si="337"/>
        <v/>
      </c>
      <c r="F4278" s="11" t="str">
        <f t="shared" si="338"/>
        <v/>
      </c>
      <c r="G4278" s="10" t="str">
        <v/>
      </c>
      <c r="H4278" s="11" t="str">
        <v/>
      </c>
      <c r="I4278" s="11" t="str">
        <v/>
      </c>
    </row>
    <row r="4279" spans="2:9">
      <c r="B4279" s="11" t="str">
        <f t="shared" si="336"/>
        <v/>
      </c>
      <c r="C4279" s="11" t="str">
        <f t="shared" si="339"/>
        <v/>
      </c>
      <c r="D4279" s="11" t="str">
        <f t="shared" si="340"/>
        <v/>
      </c>
      <c r="E4279" s="11" t="str">
        <f t="shared" si="337"/>
        <v/>
      </c>
      <c r="F4279" s="11" t="str">
        <f t="shared" si="338"/>
        <v/>
      </c>
      <c r="G4279" s="10" t="str">
        <v/>
      </c>
      <c r="H4279" s="11" t="str">
        <v/>
      </c>
      <c r="I4279" s="11" t="str">
        <v/>
      </c>
    </row>
    <row r="4280" spans="2:9">
      <c r="B4280" s="11" t="str">
        <f t="shared" si="336"/>
        <v/>
      </c>
      <c r="C4280" s="11" t="str">
        <f t="shared" si="339"/>
        <v/>
      </c>
      <c r="D4280" s="11" t="str">
        <f t="shared" si="340"/>
        <v/>
      </c>
      <c r="E4280" s="11" t="str">
        <f t="shared" si="337"/>
        <v/>
      </c>
      <c r="F4280" s="11" t="str">
        <f t="shared" si="338"/>
        <v/>
      </c>
      <c r="G4280" s="10" t="str">
        <v/>
      </c>
      <c r="H4280" s="11" t="str">
        <v/>
      </c>
      <c r="I4280" s="11" t="str">
        <v/>
      </c>
    </row>
    <row r="4281" spans="2:9">
      <c r="B4281" s="11" t="str">
        <f t="shared" si="336"/>
        <v/>
      </c>
      <c r="C4281" s="11" t="str">
        <f t="shared" si="339"/>
        <v/>
      </c>
      <c r="D4281" s="11" t="str">
        <f t="shared" si="340"/>
        <v/>
      </c>
      <c r="E4281" s="11" t="str">
        <f t="shared" si="337"/>
        <v/>
      </c>
      <c r="F4281" s="11" t="str">
        <f t="shared" si="338"/>
        <v/>
      </c>
      <c r="G4281" s="10" t="str">
        <v/>
      </c>
      <c r="H4281" s="11" t="str">
        <v/>
      </c>
      <c r="I4281" s="11" t="str">
        <v/>
      </c>
    </row>
    <row r="4282" spans="2:9">
      <c r="B4282" s="11" t="str">
        <f t="shared" si="336"/>
        <v/>
      </c>
      <c r="C4282" s="11" t="str">
        <f t="shared" si="339"/>
        <v/>
      </c>
      <c r="D4282" s="11" t="str">
        <f t="shared" si="340"/>
        <v/>
      </c>
      <c r="E4282" s="11" t="str">
        <f t="shared" si="337"/>
        <v/>
      </c>
      <c r="F4282" s="11" t="str">
        <f t="shared" si="338"/>
        <v/>
      </c>
      <c r="G4282" s="10" t="str">
        <v/>
      </c>
      <c r="H4282" s="11" t="str">
        <v/>
      </c>
      <c r="I4282" s="11" t="str">
        <v/>
      </c>
    </row>
    <row r="4283" spans="2:9">
      <c r="B4283" s="11" t="str">
        <f t="shared" si="336"/>
        <v/>
      </c>
      <c r="C4283" s="11" t="str">
        <f t="shared" si="339"/>
        <v/>
      </c>
      <c r="D4283" s="11" t="str">
        <f t="shared" si="340"/>
        <v/>
      </c>
      <c r="E4283" s="11" t="str">
        <f t="shared" si="337"/>
        <v/>
      </c>
      <c r="F4283" s="11" t="str">
        <f t="shared" si="338"/>
        <v/>
      </c>
      <c r="G4283" s="10" t="str">
        <v/>
      </c>
      <c r="H4283" s="11" t="str">
        <v/>
      </c>
      <c r="I4283" s="11" t="str">
        <v/>
      </c>
    </row>
    <row r="4284" spans="2:9">
      <c r="B4284" s="11" t="str">
        <f t="shared" si="336"/>
        <v/>
      </c>
      <c r="C4284" s="11" t="str">
        <f t="shared" si="339"/>
        <v/>
      </c>
      <c r="D4284" s="11" t="str">
        <f t="shared" si="340"/>
        <v/>
      </c>
      <c r="E4284" s="11" t="str">
        <f t="shared" si="337"/>
        <v/>
      </c>
      <c r="F4284" s="11" t="str">
        <f t="shared" si="338"/>
        <v/>
      </c>
      <c r="G4284" s="10" t="str">
        <v/>
      </c>
      <c r="H4284" s="11" t="str">
        <v/>
      </c>
      <c r="I4284" s="11" t="str">
        <v/>
      </c>
    </row>
    <row r="4285" spans="2:9">
      <c r="B4285" s="11" t="str">
        <f t="shared" si="336"/>
        <v/>
      </c>
      <c r="C4285" s="11" t="str">
        <f t="shared" si="339"/>
        <v/>
      </c>
      <c r="D4285" s="11" t="str">
        <f t="shared" si="340"/>
        <v/>
      </c>
      <c r="E4285" s="11" t="str">
        <f t="shared" si="337"/>
        <v/>
      </c>
      <c r="F4285" s="11" t="str">
        <f t="shared" si="338"/>
        <v/>
      </c>
      <c r="G4285" s="10" t="str">
        <v/>
      </c>
      <c r="H4285" s="11" t="str">
        <v/>
      </c>
      <c r="I4285" s="11" t="str">
        <v/>
      </c>
    </row>
    <row r="4286" spans="2:9">
      <c r="B4286" s="11" t="str">
        <f t="shared" si="336"/>
        <v/>
      </c>
      <c r="C4286" s="11" t="str">
        <f t="shared" si="339"/>
        <v/>
      </c>
      <c r="D4286" s="11" t="str">
        <f t="shared" si="340"/>
        <v/>
      </c>
      <c r="E4286" s="11" t="str">
        <f t="shared" si="337"/>
        <v/>
      </c>
      <c r="F4286" s="11" t="str">
        <f t="shared" si="338"/>
        <v/>
      </c>
      <c r="G4286" s="10" t="str">
        <v/>
      </c>
      <c r="H4286" s="11" t="str">
        <v/>
      </c>
      <c r="I4286" s="11" t="str">
        <v/>
      </c>
    </row>
    <row r="4287" spans="2:9">
      <c r="B4287" s="11" t="str">
        <f t="shared" si="336"/>
        <v/>
      </c>
      <c r="C4287" s="11" t="str">
        <f t="shared" si="339"/>
        <v/>
      </c>
      <c r="D4287" s="11" t="str">
        <f t="shared" si="340"/>
        <v/>
      </c>
      <c r="E4287" s="11" t="str">
        <f t="shared" si="337"/>
        <v/>
      </c>
      <c r="F4287" s="11" t="str">
        <f t="shared" si="338"/>
        <v/>
      </c>
      <c r="G4287" s="10" t="str">
        <v/>
      </c>
      <c r="H4287" s="11" t="str">
        <v/>
      </c>
      <c r="I4287" s="11" t="str">
        <v/>
      </c>
    </row>
    <row r="4288" spans="2:9">
      <c r="B4288" s="11" t="str">
        <f t="shared" si="336"/>
        <v/>
      </c>
      <c r="C4288" s="11" t="str">
        <f t="shared" si="339"/>
        <v/>
      </c>
      <c r="D4288" s="11" t="str">
        <f t="shared" si="340"/>
        <v/>
      </c>
      <c r="E4288" s="11" t="str">
        <f t="shared" si="337"/>
        <v/>
      </c>
      <c r="F4288" s="11" t="str">
        <f t="shared" si="338"/>
        <v/>
      </c>
      <c r="G4288" s="10" t="str">
        <v/>
      </c>
      <c r="H4288" s="11" t="str">
        <v/>
      </c>
      <c r="I4288" s="11" t="str">
        <v/>
      </c>
    </row>
    <row r="4289" spans="2:9">
      <c r="B4289" s="11" t="str">
        <f t="shared" ref="B4289:B4352" si="341">IFERROR(IF(FIND(" ",A4289)=6,IF(IFERROR(FIND(" PB",A4289),"")&lt;&gt;"","артикул",IF(IFERROR(FIND(" CRN",A4289),"")&lt;&gt;"","артикул","")),""),"")</f>
        <v/>
      </c>
      <c r="C4289" s="11" t="str">
        <f t="shared" si="339"/>
        <v/>
      </c>
      <c r="D4289" s="11" t="str">
        <f t="shared" si="340"/>
        <v/>
      </c>
      <c r="E4289" s="11" t="str">
        <f t="shared" si="337"/>
        <v/>
      </c>
      <c r="F4289" s="11" t="str">
        <f t="shared" si="338"/>
        <v/>
      </c>
      <c r="G4289" s="10" t="str">
        <v/>
      </c>
      <c r="H4289" s="11" t="str">
        <v/>
      </c>
      <c r="I4289" s="11" t="str">
        <v/>
      </c>
    </row>
    <row r="4290" spans="2:9">
      <c r="B4290" s="11" t="str">
        <f t="shared" si="341"/>
        <v/>
      </c>
      <c r="C4290" s="11" t="str">
        <f t="shared" si="339"/>
        <v/>
      </c>
      <c r="D4290" s="11" t="str">
        <f t="shared" si="340"/>
        <v/>
      </c>
      <c r="E4290" s="11" t="str">
        <f t="shared" ref="E4290:E4353" si="342" xml:space="preserve">
IF(B4290="Артикул",
IF(
AND(RIGHT(A4291,1)="%",
RIGHT(A4292,1)="%",
RIGHT(A4293,1)="%",
RIGHT(A4294,1)="%"),MID(A4295,FIND(" ",A4295),50),
IF(
AND(RIGHT(A4291,1)="%",
RIGHT(A4292,1)="%",
RIGHT(A4293,1)="%"),MID(A4294,FIND(" ",A4294),50),
IF(
AND(RIGHT(A4291,1)="%",
RIGHT(A4292,1)="%"),
MID(A4293,FIND(" ",A4293),50),
IF(
RIGHT(A4291,1)="%",
MID(A4292,FIND(" ",A4292),50),"")))),"")</f>
        <v/>
      </c>
      <c r="F4290" s="11" t="str">
        <f t="shared" ref="F4290:F4353" si="343">IFERROR(
IF(
AND(LEFT(A4290,8)="Discount",FIND("%",A4290)&gt;0),
MID(A4290,
FIND(" ",A4290),
FIND("%",A4290)-FIND(" ",A4290))
*-1,""),"")</f>
        <v/>
      </c>
      <c r="G4290" s="10" t="str">
        <v/>
      </c>
      <c r="H4290" s="11" t="str">
        <v/>
      </c>
      <c r="I4290" s="11" t="str">
        <v/>
      </c>
    </row>
    <row r="4291" spans="2:9">
      <c r="B4291" s="11" t="str">
        <f t="shared" si="341"/>
        <v/>
      </c>
      <c r="C4291" s="11" t="str">
        <f t="shared" si="339"/>
        <v/>
      </c>
      <c r="D4291" s="11" t="str">
        <f t="shared" si="340"/>
        <v/>
      </c>
      <c r="E4291" s="11" t="str">
        <f t="shared" si="342"/>
        <v/>
      </c>
      <c r="F4291" s="11" t="str">
        <f t="shared" si="343"/>
        <v/>
      </c>
      <c r="G4291" s="10" t="str">
        <v/>
      </c>
      <c r="H4291" s="11" t="str">
        <v/>
      </c>
      <c r="I4291" s="11" t="str">
        <v/>
      </c>
    </row>
    <row r="4292" spans="2:9">
      <c r="B4292" s="11" t="str">
        <f t="shared" si="341"/>
        <v/>
      </c>
      <c r="C4292" s="11" t="str">
        <f t="shared" si="339"/>
        <v/>
      </c>
      <c r="D4292" s="11" t="str">
        <f t="shared" si="340"/>
        <v/>
      </c>
      <c r="E4292" s="11" t="str">
        <f t="shared" si="342"/>
        <v/>
      </c>
      <c r="F4292" s="11" t="str">
        <f t="shared" si="343"/>
        <v/>
      </c>
      <c r="G4292" s="10" t="str">
        <v/>
      </c>
      <c r="H4292" s="11" t="str">
        <v/>
      </c>
      <c r="I4292" s="11" t="str">
        <v/>
      </c>
    </row>
    <row r="4293" spans="2:9">
      <c r="B4293" s="11" t="str">
        <f t="shared" si="341"/>
        <v/>
      </c>
      <c r="C4293" s="11" t="str">
        <f t="shared" si="339"/>
        <v/>
      </c>
      <c r="D4293" s="11" t="str">
        <f t="shared" si="340"/>
        <v/>
      </c>
      <c r="E4293" s="11" t="str">
        <f t="shared" si="342"/>
        <v/>
      </c>
      <c r="F4293" s="11" t="str">
        <f t="shared" si="343"/>
        <v/>
      </c>
      <c r="G4293" s="10" t="str">
        <v/>
      </c>
      <c r="H4293" s="11" t="str">
        <v/>
      </c>
      <c r="I4293" s="11" t="str">
        <v/>
      </c>
    </row>
    <row r="4294" spans="2:9">
      <c r="B4294" s="11" t="str">
        <f t="shared" si="341"/>
        <v/>
      </c>
      <c r="C4294" s="11" t="str">
        <f t="shared" si="339"/>
        <v/>
      </c>
      <c r="D4294" s="11" t="str">
        <f t="shared" si="340"/>
        <v/>
      </c>
      <c r="E4294" s="11" t="str">
        <f t="shared" si="342"/>
        <v/>
      </c>
      <c r="F4294" s="11" t="str">
        <f t="shared" si="343"/>
        <v/>
      </c>
      <c r="G4294" s="10" t="str">
        <v/>
      </c>
      <c r="H4294" s="11" t="str">
        <v/>
      </c>
      <c r="I4294" s="11" t="str">
        <v/>
      </c>
    </row>
    <row r="4295" spans="2:9">
      <c r="B4295" s="11" t="str">
        <f t="shared" si="341"/>
        <v/>
      </c>
      <c r="C4295" s="11" t="str">
        <f t="shared" si="339"/>
        <v/>
      </c>
      <c r="D4295" s="11" t="str">
        <f t="shared" si="340"/>
        <v/>
      </c>
      <c r="E4295" s="11" t="str">
        <f t="shared" si="342"/>
        <v/>
      </c>
      <c r="F4295" s="11" t="str">
        <f t="shared" si="343"/>
        <v/>
      </c>
      <c r="G4295" s="10" t="str">
        <v/>
      </c>
      <c r="H4295" s="11" t="str">
        <v/>
      </c>
      <c r="I4295" s="11" t="str">
        <v/>
      </c>
    </row>
    <row r="4296" spans="2:9">
      <c r="B4296" s="11" t="str">
        <f t="shared" si="341"/>
        <v/>
      </c>
      <c r="C4296" s="11" t="str">
        <f t="shared" si="339"/>
        <v/>
      </c>
      <c r="D4296" s="11" t="str">
        <f t="shared" si="340"/>
        <v/>
      </c>
      <c r="E4296" s="11" t="str">
        <f t="shared" si="342"/>
        <v/>
      </c>
      <c r="F4296" s="11" t="str">
        <f t="shared" si="343"/>
        <v/>
      </c>
      <c r="G4296" s="10" t="str">
        <v/>
      </c>
      <c r="H4296" s="11" t="str">
        <v/>
      </c>
      <c r="I4296" s="11" t="str">
        <v/>
      </c>
    </row>
    <row r="4297" spans="2:9">
      <c r="B4297" s="11" t="str">
        <f t="shared" si="341"/>
        <v/>
      </c>
      <c r="C4297" s="11" t="str">
        <f t="shared" si="339"/>
        <v/>
      </c>
      <c r="D4297" s="11" t="str">
        <f t="shared" si="340"/>
        <v/>
      </c>
      <c r="E4297" s="11" t="str">
        <f t="shared" si="342"/>
        <v/>
      </c>
      <c r="F4297" s="11" t="str">
        <f t="shared" si="343"/>
        <v/>
      </c>
      <c r="G4297" s="10" t="str">
        <v/>
      </c>
      <c r="H4297" s="11" t="str">
        <v/>
      </c>
      <c r="I4297" s="11" t="str">
        <v/>
      </c>
    </row>
    <row r="4298" spans="2:9">
      <c r="B4298" s="11" t="str">
        <f t="shared" si="341"/>
        <v/>
      </c>
      <c r="C4298" s="11" t="str">
        <f t="shared" si="339"/>
        <v/>
      </c>
      <c r="D4298" s="11" t="str">
        <f t="shared" si="340"/>
        <v/>
      </c>
      <c r="E4298" s="11" t="str">
        <f t="shared" si="342"/>
        <v/>
      </c>
      <c r="F4298" s="11" t="str">
        <f t="shared" si="343"/>
        <v/>
      </c>
      <c r="G4298" s="10" t="str">
        <v/>
      </c>
      <c r="H4298" s="11" t="str">
        <v/>
      </c>
      <c r="I4298" s="11" t="str">
        <v/>
      </c>
    </row>
    <row r="4299" spans="2:9">
      <c r="B4299" s="11" t="str">
        <f t="shared" si="341"/>
        <v/>
      </c>
      <c r="C4299" s="11" t="str">
        <f t="shared" si="339"/>
        <v/>
      </c>
      <c r="D4299" s="11" t="str">
        <f t="shared" si="340"/>
        <v/>
      </c>
      <c r="E4299" s="11" t="str">
        <f t="shared" si="342"/>
        <v/>
      </c>
      <c r="F4299" s="11" t="str">
        <f t="shared" si="343"/>
        <v/>
      </c>
      <c r="G4299" s="10" t="str">
        <v/>
      </c>
      <c r="H4299" s="11" t="str">
        <v/>
      </c>
      <c r="I4299" s="11" t="str">
        <v/>
      </c>
    </row>
    <row r="4300" spans="2:9">
      <c r="B4300" s="11" t="str">
        <f t="shared" si="341"/>
        <v/>
      </c>
      <c r="C4300" s="11" t="str">
        <f t="shared" si="339"/>
        <v/>
      </c>
      <c r="D4300" s="11" t="str">
        <f t="shared" si="340"/>
        <v/>
      </c>
      <c r="E4300" s="11" t="str">
        <f t="shared" si="342"/>
        <v/>
      </c>
      <c r="F4300" s="11" t="str">
        <f t="shared" si="343"/>
        <v/>
      </c>
      <c r="G4300" s="10" t="str">
        <v/>
      </c>
      <c r="H4300" s="11" t="str">
        <v/>
      </c>
      <c r="I4300" s="11" t="str">
        <v/>
      </c>
    </row>
    <row r="4301" spans="2:9">
      <c r="B4301" s="11" t="str">
        <f t="shared" si="341"/>
        <v/>
      </c>
      <c r="C4301" s="11" t="str">
        <f t="shared" ref="C4301:C4364" si="344">IF(B4301="артикул",A4301,"")</f>
        <v/>
      </c>
      <c r="D4301" s="11" t="str">
        <f t="shared" ref="D4301:D4364" si="345">IF(B4301="артикул",A4302,"")</f>
        <v/>
      </c>
      <c r="E4301" s="11" t="str">
        <f t="shared" si="342"/>
        <v/>
      </c>
      <c r="F4301" s="11" t="str">
        <f t="shared" si="343"/>
        <v/>
      </c>
      <c r="G4301" s="10" t="str">
        <v/>
      </c>
      <c r="H4301" s="11" t="str">
        <v/>
      </c>
      <c r="I4301" s="11" t="str">
        <v/>
      </c>
    </row>
    <row r="4302" spans="2:9">
      <c r="B4302" s="11" t="str">
        <f t="shared" si="341"/>
        <v/>
      </c>
      <c r="C4302" s="11" t="str">
        <f t="shared" si="344"/>
        <v/>
      </c>
      <c r="D4302" s="11" t="str">
        <f t="shared" si="345"/>
        <v/>
      </c>
      <c r="E4302" s="11" t="str">
        <f t="shared" si="342"/>
        <v/>
      </c>
      <c r="F4302" s="11" t="str">
        <f t="shared" si="343"/>
        <v/>
      </c>
      <c r="G4302" s="10" t="str">
        <v/>
      </c>
      <c r="H4302" s="11" t="str">
        <v/>
      </c>
      <c r="I4302" s="11" t="str">
        <v/>
      </c>
    </row>
    <row r="4303" spans="2:9">
      <c r="B4303" s="11" t="str">
        <f t="shared" si="341"/>
        <v/>
      </c>
      <c r="C4303" s="11" t="str">
        <f t="shared" si="344"/>
        <v/>
      </c>
      <c r="D4303" s="11" t="str">
        <f t="shared" si="345"/>
        <v/>
      </c>
      <c r="E4303" s="11" t="str">
        <f t="shared" si="342"/>
        <v/>
      </c>
      <c r="F4303" s="11" t="str">
        <f t="shared" si="343"/>
        <v/>
      </c>
      <c r="G4303" s="10" t="str">
        <v/>
      </c>
      <c r="H4303" s="11" t="str">
        <v/>
      </c>
      <c r="I4303" s="11" t="str">
        <v/>
      </c>
    </row>
    <row r="4304" spans="2:9">
      <c r="B4304" s="11" t="str">
        <f t="shared" si="341"/>
        <v/>
      </c>
      <c r="C4304" s="11" t="str">
        <f t="shared" si="344"/>
        <v/>
      </c>
      <c r="D4304" s="11" t="str">
        <f t="shared" si="345"/>
        <v/>
      </c>
      <c r="E4304" s="11" t="str">
        <f t="shared" si="342"/>
        <v/>
      </c>
      <c r="F4304" s="11" t="str">
        <f t="shared" si="343"/>
        <v/>
      </c>
      <c r="G4304" s="10" t="str">
        <v/>
      </c>
      <c r="H4304" s="11" t="str">
        <v/>
      </c>
      <c r="I4304" s="11" t="str">
        <v/>
      </c>
    </row>
    <row r="4305" spans="2:9">
      <c r="B4305" s="11" t="str">
        <f t="shared" si="341"/>
        <v/>
      </c>
      <c r="C4305" s="11" t="str">
        <f t="shared" si="344"/>
        <v/>
      </c>
      <c r="D4305" s="11" t="str">
        <f t="shared" si="345"/>
        <v/>
      </c>
      <c r="E4305" s="11" t="str">
        <f t="shared" si="342"/>
        <v/>
      </c>
      <c r="F4305" s="11" t="str">
        <f t="shared" si="343"/>
        <v/>
      </c>
      <c r="G4305" s="10" t="str">
        <v/>
      </c>
      <c r="H4305" s="11" t="str">
        <v/>
      </c>
      <c r="I4305" s="11" t="str">
        <v/>
      </c>
    </row>
    <row r="4306" spans="2:9">
      <c r="B4306" s="11" t="str">
        <f t="shared" si="341"/>
        <v/>
      </c>
      <c r="C4306" s="11" t="str">
        <f t="shared" si="344"/>
        <v/>
      </c>
      <c r="D4306" s="11" t="str">
        <f t="shared" si="345"/>
        <v/>
      </c>
      <c r="E4306" s="11" t="str">
        <f t="shared" si="342"/>
        <v/>
      </c>
      <c r="F4306" s="11" t="str">
        <f t="shared" si="343"/>
        <v/>
      </c>
      <c r="G4306" s="10" t="str">
        <v/>
      </c>
      <c r="H4306" s="11" t="str">
        <v/>
      </c>
      <c r="I4306" s="11" t="str">
        <v/>
      </c>
    </row>
    <row r="4307" spans="2:9">
      <c r="B4307" s="11" t="str">
        <f t="shared" si="341"/>
        <v/>
      </c>
      <c r="C4307" s="11" t="str">
        <f t="shared" si="344"/>
        <v/>
      </c>
      <c r="D4307" s="11" t="str">
        <f t="shared" si="345"/>
        <v/>
      </c>
      <c r="E4307" s="11" t="str">
        <f t="shared" si="342"/>
        <v/>
      </c>
      <c r="F4307" s="11" t="str">
        <f t="shared" si="343"/>
        <v/>
      </c>
      <c r="G4307" s="10" t="str">
        <v/>
      </c>
      <c r="H4307" s="11" t="str">
        <v/>
      </c>
      <c r="I4307" s="11" t="str">
        <v/>
      </c>
    </row>
    <row r="4308" spans="2:9">
      <c r="B4308" s="11" t="str">
        <f t="shared" si="341"/>
        <v/>
      </c>
      <c r="C4308" s="11" t="str">
        <f t="shared" si="344"/>
        <v/>
      </c>
      <c r="D4308" s="11" t="str">
        <f t="shared" si="345"/>
        <v/>
      </c>
      <c r="E4308" s="11" t="str">
        <f t="shared" si="342"/>
        <v/>
      </c>
      <c r="F4308" s="11" t="str">
        <f t="shared" si="343"/>
        <v/>
      </c>
      <c r="G4308" s="10" t="str">
        <v/>
      </c>
      <c r="H4308" s="11" t="str">
        <v/>
      </c>
      <c r="I4308" s="11" t="str">
        <v/>
      </c>
    </row>
    <row r="4309" spans="2:9">
      <c r="B4309" s="11" t="str">
        <f t="shared" si="341"/>
        <v/>
      </c>
      <c r="C4309" s="11" t="str">
        <f t="shared" si="344"/>
        <v/>
      </c>
      <c r="D4309" s="11" t="str">
        <f t="shared" si="345"/>
        <v/>
      </c>
      <c r="E4309" s="11" t="str">
        <f t="shared" si="342"/>
        <v/>
      </c>
      <c r="F4309" s="11" t="str">
        <f t="shared" si="343"/>
        <v/>
      </c>
      <c r="G4309" s="10" t="str">
        <v/>
      </c>
      <c r="H4309" s="11" t="str">
        <v/>
      </c>
      <c r="I4309" s="11" t="str">
        <v/>
      </c>
    </row>
    <row r="4310" spans="2:9">
      <c r="B4310" s="11" t="str">
        <f t="shared" si="341"/>
        <v/>
      </c>
      <c r="C4310" s="11" t="str">
        <f t="shared" si="344"/>
        <v/>
      </c>
      <c r="D4310" s="11" t="str">
        <f t="shared" si="345"/>
        <v/>
      </c>
      <c r="E4310" s="11" t="str">
        <f t="shared" si="342"/>
        <v/>
      </c>
      <c r="F4310" s="11" t="str">
        <f t="shared" si="343"/>
        <v/>
      </c>
      <c r="G4310" s="10" t="str">
        <v/>
      </c>
      <c r="H4310" s="11" t="str">
        <v/>
      </c>
      <c r="I4310" s="11" t="str">
        <v/>
      </c>
    </row>
    <row r="4311" spans="2:9">
      <c r="B4311" s="11" t="str">
        <f t="shared" si="341"/>
        <v/>
      </c>
      <c r="C4311" s="11" t="str">
        <f t="shared" si="344"/>
        <v/>
      </c>
      <c r="D4311" s="11" t="str">
        <f t="shared" si="345"/>
        <v/>
      </c>
      <c r="E4311" s="11" t="str">
        <f t="shared" si="342"/>
        <v/>
      </c>
      <c r="F4311" s="11" t="str">
        <f t="shared" si="343"/>
        <v/>
      </c>
      <c r="G4311" s="10" t="str">
        <v/>
      </c>
      <c r="H4311" s="11" t="str">
        <v/>
      </c>
      <c r="I4311" s="11" t="str">
        <v/>
      </c>
    </row>
    <row r="4312" spans="2:9">
      <c r="B4312" s="11" t="str">
        <f t="shared" si="341"/>
        <v/>
      </c>
      <c r="C4312" s="11" t="str">
        <f t="shared" si="344"/>
        <v/>
      </c>
      <c r="D4312" s="11" t="str">
        <f t="shared" si="345"/>
        <v/>
      </c>
      <c r="E4312" s="11" t="str">
        <f t="shared" si="342"/>
        <v/>
      </c>
      <c r="F4312" s="11" t="str">
        <f t="shared" si="343"/>
        <v/>
      </c>
      <c r="G4312" s="10" t="str">
        <v/>
      </c>
      <c r="H4312" s="11" t="str">
        <v/>
      </c>
      <c r="I4312" s="11" t="str">
        <v/>
      </c>
    </row>
    <row r="4313" spans="2:9">
      <c r="B4313" s="11" t="str">
        <f t="shared" si="341"/>
        <v/>
      </c>
      <c r="C4313" s="11" t="str">
        <f t="shared" si="344"/>
        <v/>
      </c>
      <c r="D4313" s="11" t="str">
        <f t="shared" si="345"/>
        <v/>
      </c>
      <c r="E4313" s="11" t="str">
        <f t="shared" si="342"/>
        <v/>
      </c>
      <c r="F4313" s="11" t="str">
        <f t="shared" si="343"/>
        <v/>
      </c>
      <c r="G4313" s="10" t="str">
        <v/>
      </c>
      <c r="H4313" s="11" t="str">
        <v/>
      </c>
      <c r="I4313" s="11" t="str">
        <v/>
      </c>
    </row>
    <row r="4314" spans="2:9">
      <c r="B4314" s="11" t="str">
        <f t="shared" si="341"/>
        <v/>
      </c>
      <c r="C4314" s="11" t="str">
        <f t="shared" si="344"/>
        <v/>
      </c>
      <c r="D4314" s="11" t="str">
        <f t="shared" si="345"/>
        <v/>
      </c>
      <c r="E4314" s="11" t="str">
        <f t="shared" si="342"/>
        <v/>
      </c>
      <c r="F4314" s="11" t="str">
        <f t="shared" si="343"/>
        <v/>
      </c>
      <c r="G4314" s="10" t="str">
        <v/>
      </c>
      <c r="H4314" s="11" t="str">
        <v/>
      </c>
      <c r="I4314" s="11" t="str">
        <v/>
      </c>
    </row>
    <row r="4315" spans="2:9">
      <c r="B4315" s="11" t="str">
        <f t="shared" si="341"/>
        <v/>
      </c>
      <c r="C4315" s="11" t="str">
        <f t="shared" si="344"/>
        <v/>
      </c>
      <c r="D4315" s="11" t="str">
        <f t="shared" si="345"/>
        <v/>
      </c>
      <c r="E4315" s="11" t="str">
        <f t="shared" si="342"/>
        <v/>
      </c>
      <c r="F4315" s="11" t="str">
        <f t="shared" si="343"/>
        <v/>
      </c>
      <c r="G4315" s="10" t="str">
        <v/>
      </c>
      <c r="H4315" s="11" t="str">
        <v/>
      </c>
      <c r="I4315" s="11" t="str">
        <v/>
      </c>
    </row>
    <row r="4316" spans="2:9">
      <c r="B4316" s="11" t="str">
        <f t="shared" si="341"/>
        <v/>
      </c>
      <c r="C4316" s="11" t="str">
        <f t="shared" si="344"/>
        <v/>
      </c>
      <c r="D4316" s="11" t="str">
        <f t="shared" si="345"/>
        <v/>
      </c>
      <c r="E4316" s="11" t="str">
        <f t="shared" si="342"/>
        <v/>
      </c>
      <c r="F4316" s="11" t="str">
        <f t="shared" si="343"/>
        <v/>
      </c>
      <c r="G4316" s="10" t="str">
        <v/>
      </c>
      <c r="H4316" s="11" t="str">
        <v/>
      </c>
      <c r="I4316" s="11" t="str">
        <v/>
      </c>
    </row>
    <row r="4317" spans="2:9">
      <c r="B4317" s="11" t="str">
        <f t="shared" si="341"/>
        <v/>
      </c>
      <c r="C4317" s="11" t="str">
        <f t="shared" si="344"/>
        <v/>
      </c>
      <c r="D4317" s="11" t="str">
        <f t="shared" si="345"/>
        <v/>
      </c>
      <c r="E4317" s="11" t="str">
        <f t="shared" si="342"/>
        <v/>
      </c>
      <c r="F4317" s="11" t="str">
        <f t="shared" si="343"/>
        <v/>
      </c>
      <c r="G4317" s="10" t="str">
        <v/>
      </c>
      <c r="H4317" s="11" t="str">
        <v/>
      </c>
      <c r="I4317" s="11" t="str">
        <v/>
      </c>
    </row>
    <row r="4318" spans="2:9">
      <c r="B4318" s="11" t="str">
        <f t="shared" si="341"/>
        <v/>
      </c>
      <c r="C4318" s="11" t="str">
        <f t="shared" si="344"/>
        <v/>
      </c>
      <c r="D4318" s="11" t="str">
        <f t="shared" si="345"/>
        <v/>
      </c>
      <c r="E4318" s="11" t="str">
        <f t="shared" si="342"/>
        <v/>
      </c>
      <c r="F4318" s="11" t="str">
        <f t="shared" si="343"/>
        <v/>
      </c>
      <c r="G4318" s="10" t="str">
        <v/>
      </c>
      <c r="H4318" s="11" t="str">
        <v/>
      </c>
      <c r="I4318" s="11" t="str">
        <v/>
      </c>
    </row>
    <row r="4319" spans="2:9">
      <c r="B4319" s="11" t="str">
        <f t="shared" si="341"/>
        <v/>
      </c>
      <c r="C4319" s="11" t="str">
        <f t="shared" si="344"/>
        <v/>
      </c>
      <c r="D4319" s="11" t="str">
        <f t="shared" si="345"/>
        <v/>
      </c>
      <c r="E4319" s="11" t="str">
        <f t="shared" si="342"/>
        <v/>
      </c>
      <c r="F4319" s="11" t="str">
        <f t="shared" si="343"/>
        <v/>
      </c>
      <c r="G4319" s="10" t="str">
        <v/>
      </c>
      <c r="H4319" s="11" t="str">
        <v/>
      </c>
      <c r="I4319" s="11" t="str">
        <v/>
      </c>
    </row>
    <row r="4320" spans="2:9">
      <c r="B4320" s="11" t="str">
        <f t="shared" si="341"/>
        <v/>
      </c>
      <c r="C4320" s="11" t="str">
        <f t="shared" si="344"/>
        <v/>
      </c>
      <c r="D4320" s="11" t="str">
        <f t="shared" si="345"/>
        <v/>
      </c>
      <c r="E4320" s="11" t="str">
        <f t="shared" si="342"/>
        <v/>
      </c>
      <c r="F4320" s="11" t="str">
        <f t="shared" si="343"/>
        <v/>
      </c>
      <c r="G4320" s="10" t="str">
        <v/>
      </c>
      <c r="H4320" s="11" t="str">
        <v/>
      </c>
      <c r="I4320" s="11" t="str">
        <v/>
      </c>
    </row>
    <row r="4321" spans="2:9">
      <c r="B4321" s="11" t="str">
        <f t="shared" si="341"/>
        <v/>
      </c>
      <c r="C4321" s="11" t="str">
        <f t="shared" si="344"/>
        <v/>
      </c>
      <c r="D4321" s="11" t="str">
        <f t="shared" si="345"/>
        <v/>
      </c>
      <c r="E4321" s="11" t="str">
        <f t="shared" si="342"/>
        <v/>
      </c>
      <c r="F4321" s="11" t="str">
        <f t="shared" si="343"/>
        <v/>
      </c>
      <c r="G4321" s="10" t="str">
        <v/>
      </c>
      <c r="H4321" s="11" t="str">
        <v/>
      </c>
      <c r="I4321" s="11" t="str">
        <v/>
      </c>
    </row>
    <row r="4322" spans="2:9">
      <c r="B4322" s="11" t="str">
        <f t="shared" si="341"/>
        <v/>
      </c>
      <c r="C4322" s="11" t="str">
        <f t="shared" si="344"/>
        <v/>
      </c>
      <c r="D4322" s="11" t="str">
        <f t="shared" si="345"/>
        <v/>
      </c>
      <c r="E4322" s="11" t="str">
        <f t="shared" si="342"/>
        <v/>
      </c>
      <c r="F4322" s="11" t="str">
        <f t="shared" si="343"/>
        <v/>
      </c>
      <c r="G4322" s="10" t="str">
        <v/>
      </c>
      <c r="H4322" s="11" t="str">
        <v/>
      </c>
      <c r="I4322" s="11" t="str">
        <v/>
      </c>
    </row>
    <row r="4323" spans="2:9">
      <c r="B4323" s="11" t="str">
        <f t="shared" si="341"/>
        <v/>
      </c>
      <c r="C4323" s="11" t="str">
        <f t="shared" si="344"/>
        <v/>
      </c>
      <c r="D4323" s="11" t="str">
        <f t="shared" si="345"/>
        <v/>
      </c>
      <c r="E4323" s="11" t="str">
        <f t="shared" si="342"/>
        <v/>
      </c>
      <c r="F4323" s="11" t="str">
        <f t="shared" si="343"/>
        <v/>
      </c>
      <c r="G4323" s="10" t="str">
        <v/>
      </c>
      <c r="H4323" s="11" t="str">
        <v/>
      </c>
      <c r="I4323" s="11" t="str">
        <v/>
      </c>
    </row>
    <row r="4324" spans="2:9">
      <c r="B4324" s="11" t="str">
        <f t="shared" si="341"/>
        <v/>
      </c>
      <c r="C4324" s="11" t="str">
        <f t="shared" si="344"/>
        <v/>
      </c>
      <c r="D4324" s="11" t="str">
        <f t="shared" si="345"/>
        <v/>
      </c>
      <c r="E4324" s="11" t="str">
        <f t="shared" si="342"/>
        <v/>
      </c>
      <c r="F4324" s="11" t="str">
        <f t="shared" si="343"/>
        <v/>
      </c>
      <c r="G4324" s="10" t="str">
        <v/>
      </c>
      <c r="H4324" s="11" t="str">
        <v/>
      </c>
      <c r="I4324" s="11" t="str">
        <v/>
      </c>
    </row>
    <row r="4325" spans="2:9">
      <c r="B4325" s="11" t="str">
        <f t="shared" si="341"/>
        <v/>
      </c>
      <c r="C4325" s="11" t="str">
        <f t="shared" si="344"/>
        <v/>
      </c>
      <c r="D4325" s="11" t="str">
        <f t="shared" si="345"/>
        <v/>
      </c>
      <c r="E4325" s="11" t="str">
        <f t="shared" si="342"/>
        <v/>
      </c>
      <c r="F4325" s="11" t="str">
        <f t="shared" si="343"/>
        <v/>
      </c>
      <c r="G4325" s="10" t="str">
        <v/>
      </c>
      <c r="H4325" s="11" t="str">
        <v/>
      </c>
      <c r="I4325" s="11" t="str">
        <v/>
      </c>
    </row>
    <row r="4326" spans="2:9">
      <c r="B4326" s="11" t="str">
        <f t="shared" si="341"/>
        <v/>
      </c>
      <c r="C4326" s="11" t="str">
        <f t="shared" si="344"/>
        <v/>
      </c>
      <c r="D4326" s="11" t="str">
        <f t="shared" si="345"/>
        <v/>
      </c>
      <c r="E4326" s="11" t="str">
        <f t="shared" si="342"/>
        <v/>
      </c>
      <c r="F4326" s="11" t="str">
        <f t="shared" si="343"/>
        <v/>
      </c>
      <c r="G4326" s="10" t="str">
        <v/>
      </c>
      <c r="H4326" s="11" t="str">
        <v/>
      </c>
      <c r="I4326" s="11" t="str">
        <v/>
      </c>
    </row>
    <row r="4327" spans="2:9">
      <c r="B4327" s="11" t="str">
        <f t="shared" si="341"/>
        <v/>
      </c>
      <c r="C4327" s="11" t="str">
        <f t="shared" si="344"/>
        <v/>
      </c>
      <c r="D4327" s="11" t="str">
        <f t="shared" si="345"/>
        <v/>
      </c>
      <c r="E4327" s="11" t="str">
        <f t="shared" si="342"/>
        <v/>
      </c>
      <c r="F4327" s="11" t="str">
        <f t="shared" si="343"/>
        <v/>
      </c>
      <c r="G4327" s="10" t="str">
        <v/>
      </c>
      <c r="H4327" s="11" t="str">
        <v/>
      </c>
      <c r="I4327" s="11" t="str">
        <v/>
      </c>
    </row>
    <row r="4328" spans="2:9">
      <c r="B4328" s="11" t="str">
        <f t="shared" si="341"/>
        <v/>
      </c>
      <c r="C4328" s="11" t="str">
        <f t="shared" si="344"/>
        <v/>
      </c>
      <c r="D4328" s="11" t="str">
        <f t="shared" si="345"/>
        <v/>
      </c>
      <c r="E4328" s="11" t="str">
        <f t="shared" si="342"/>
        <v/>
      </c>
      <c r="F4328" s="11" t="str">
        <f t="shared" si="343"/>
        <v/>
      </c>
      <c r="G4328" s="10" t="str">
        <v/>
      </c>
      <c r="H4328" s="11" t="str">
        <v/>
      </c>
      <c r="I4328" s="11" t="str">
        <v/>
      </c>
    </row>
    <row r="4329" spans="2:9">
      <c r="B4329" s="11" t="str">
        <f t="shared" si="341"/>
        <v/>
      </c>
      <c r="C4329" s="11" t="str">
        <f t="shared" si="344"/>
        <v/>
      </c>
      <c r="D4329" s="11" t="str">
        <f t="shared" si="345"/>
        <v/>
      </c>
      <c r="E4329" s="11" t="str">
        <f t="shared" si="342"/>
        <v/>
      </c>
      <c r="F4329" s="11" t="str">
        <f t="shared" si="343"/>
        <v/>
      </c>
      <c r="G4329" s="10" t="str">
        <v/>
      </c>
      <c r="H4329" s="11" t="str">
        <v/>
      </c>
      <c r="I4329" s="11" t="str">
        <v/>
      </c>
    </row>
    <row r="4330" spans="2:9">
      <c r="B4330" s="11" t="str">
        <f t="shared" si="341"/>
        <v/>
      </c>
      <c r="C4330" s="11" t="str">
        <f t="shared" si="344"/>
        <v/>
      </c>
      <c r="D4330" s="11" t="str">
        <f t="shared" si="345"/>
        <v/>
      </c>
      <c r="E4330" s="11" t="str">
        <f t="shared" si="342"/>
        <v/>
      </c>
      <c r="F4330" s="11" t="str">
        <f t="shared" si="343"/>
        <v/>
      </c>
      <c r="G4330" s="10" t="str">
        <v/>
      </c>
      <c r="H4330" s="11" t="str">
        <v/>
      </c>
      <c r="I4330" s="11" t="str">
        <v/>
      </c>
    </row>
    <row r="4331" spans="2:9">
      <c r="B4331" s="11" t="str">
        <f t="shared" si="341"/>
        <v/>
      </c>
      <c r="C4331" s="11" t="str">
        <f t="shared" si="344"/>
        <v/>
      </c>
      <c r="D4331" s="11" t="str">
        <f t="shared" si="345"/>
        <v/>
      </c>
      <c r="E4331" s="11" t="str">
        <f t="shared" si="342"/>
        <v/>
      </c>
      <c r="F4331" s="11" t="str">
        <f t="shared" si="343"/>
        <v/>
      </c>
      <c r="G4331" s="10" t="str">
        <v/>
      </c>
      <c r="H4331" s="11" t="str">
        <v/>
      </c>
      <c r="I4331" s="11" t="str">
        <v/>
      </c>
    </row>
    <row r="4332" spans="2:9">
      <c r="B4332" s="11" t="str">
        <f t="shared" si="341"/>
        <v/>
      </c>
      <c r="C4332" s="11" t="str">
        <f t="shared" si="344"/>
        <v/>
      </c>
      <c r="D4332" s="11" t="str">
        <f t="shared" si="345"/>
        <v/>
      </c>
      <c r="E4332" s="11" t="str">
        <f t="shared" si="342"/>
        <v/>
      </c>
      <c r="F4332" s="11" t="str">
        <f t="shared" si="343"/>
        <v/>
      </c>
      <c r="G4332" s="10" t="str">
        <v/>
      </c>
      <c r="H4332" s="11" t="str">
        <v/>
      </c>
      <c r="I4332" s="11" t="str">
        <v/>
      </c>
    </row>
    <row r="4333" spans="2:9">
      <c r="B4333" s="11" t="str">
        <f t="shared" si="341"/>
        <v/>
      </c>
      <c r="C4333" s="11" t="str">
        <f t="shared" si="344"/>
        <v/>
      </c>
      <c r="D4333" s="11" t="str">
        <f t="shared" si="345"/>
        <v/>
      </c>
      <c r="E4333" s="11" t="str">
        <f t="shared" si="342"/>
        <v/>
      </c>
      <c r="F4333" s="11" t="str">
        <f t="shared" si="343"/>
        <v/>
      </c>
      <c r="G4333" s="10" t="str">
        <v/>
      </c>
      <c r="H4333" s="11" t="str">
        <v/>
      </c>
      <c r="I4333" s="11" t="str">
        <v/>
      </c>
    </row>
    <row r="4334" spans="2:9">
      <c r="B4334" s="11" t="str">
        <f t="shared" si="341"/>
        <v/>
      </c>
      <c r="C4334" s="11" t="str">
        <f t="shared" si="344"/>
        <v/>
      </c>
      <c r="D4334" s="11" t="str">
        <f t="shared" si="345"/>
        <v/>
      </c>
      <c r="E4334" s="11" t="str">
        <f t="shared" si="342"/>
        <v/>
      </c>
      <c r="F4334" s="11" t="str">
        <f t="shared" si="343"/>
        <v/>
      </c>
      <c r="G4334" s="10" t="str">
        <v/>
      </c>
      <c r="H4334" s="11" t="str">
        <v/>
      </c>
      <c r="I4334" s="11" t="str">
        <v/>
      </c>
    </row>
    <row r="4335" spans="2:9">
      <c r="B4335" s="11" t="str">
        <f t="shared" si="341"/>
        <v/>
      </c>
      <c r="C4335" s="11" t="str">
        <f t="shared" si="344"/>
        <v/>
      </c>
      <c r="D4335" s="11" t="str">
        <f t="shared" si="345"/>
        <v/>
      </c>
      <c r="E4335" s="11" t="str">
        <f t="shared" si="342"/>
        <v/>
      </c>
      <c r="F4335" s="11" t="str">
        <f t="shared" si="343"/>
        <v/>
      </c>
      <c r="G4335" s="10" t="str">
        <v/>
      </c>
      <c r="H4335" s="11" t="str">
        <v/>
      </c>
      <c r="I4335" s="11" t="str">
        <v/>
      </c>
    </row>
    <row r="4336" spans="2:9">
      <c r="B4336" s="11" t="str">
        <f t="shared" si="341"/>
        <v/>
      </c>
      <c r="C4336" s="11" t="str">
        <f t="shared" si="344"/>
        <v/>
      </c>
      <c r="D4336" s="11" t="str">
        <f t="shared" si="345"/>
        <v/>
      </c>
      <c r="E4336" s="11" t="str">
        <f t="shared" si="342"/>
        <v/>
      </c>
      <c r="F4336" s="11" t="str">
        <f t="shared" si="343"/>
        <v/>
      </c>
      <c r="G4336" s="10" t="str">
        <v/>
      </c>
      <c r="H4336" s="11" t="str">
        <v/>
      </c>
      <c r="I4336" s="11" t="str">
        <v/>
      </c>
    </row>
    <row r="4337" spans="2:9">
      <c r="B4337" s="11" t="str">
        <f t="shared" si="341"/>
        <v/>
      </c>
      <c r="C4337" s="11" t="str">
        <f t="shared" si="344"/>
        <v/>
      </c>
      <c r="D4337" s="11" t="str">
        <f t="shared" si="345"/>
        <v/>
      </c>
      <c r="E4337" s="11" t="str">
        <f t="shared" si="342"/>
        <v/>
      </c>
      <c r="F4337" s="11" t="str">
        <f t="shared" si="343"/>
        <v/>
      </c>
      <c r="G4337" s="10" t="str">
        <v/>
      </c>
      <c r="H4337" s="11" t="str">
        <v/>
      </c>
      <c r="I4337" s="11" t="str">
        <v/>
      </c>
    </row>
    <row r="4338" spans="2:9">
      <c r="B4338" s="11" t="str">
        <f t="shared" si="341"/>
        <v/>
      </c>
      <c r="C4338" s="11" t="str">
        <f t="shared" si="344"/>
        <v/>
      </c>
      <c r="D4338" s="11" t="str">
        <f t="shared" si="345"/>
        <v/>
      </c>
      <c r="E4338" s="11" t="str">
        <f t="shared" si="342"/>
        <v/>
      </c>
      <c r="F4338" s="11" t="str">
        <f t="shared" si="343"/>
        <v/>
      </c>
      <c r="G4338" s="10" t="str">
        <v/>
      </c>
      <c r="H4338" s="11" t="str">
        <v/>
      </c>
      <c r="I4338" s="11" t="str">
        <v/>
      </c>
    </row>
    <row r="4339" spans="2:9">
      <c r="B4339" s="11" t="str">
        <f t="shared" si="341"/>
        <v/>
      </c>
      <c r="C4339" s="11" t="str">
        <f t="shared" si="344"/>
        <v/>
      </c>
      <c r="D4339" s="11" t="str">
        <f t="shared" si="345"/>
        <v/>
      </c>
      <c r="E4339" s="11" t="str">
        <f t="shared" si="342"/>
        <v/>
      </c>
      <c r="F4339" s="11" t="str">
        <f t="shared" si="343"/>
        <v/>
      </c>
      <c r="G4339" s="10" t="str">
        <v/>
      </c>
      <c r="H4339" s="11" t="str">
        <v/>
      </c>
      <c r="I4339" s="11" t="str">
        <v/>
      </c>
    </row>
    <row r="4340" spans="2:9">
      <c r="B4340" s="11" t="str">
        <f t="shared" si="341"/>
        <v/>
      </c>
      <c r="C4340" s="11" t="str">
        <f t="shared" si="344"/>
        <v/>
      </c>
      <c r="D4340" s="11" t="str">
        <f t="shared" si="345"/>
        <v/>
      </c>
      <c r="E4340" s="11" t="str">
        <f t="shared" si="342"/>
        <v/>
      </c>
      <c r="F4340" s="11" t="str">
        <f t="shared" si="343"/>
        <v/>
      </c>
      <c r="G4340" s="10" t="str">
        <v/>
      </c>
      <c r="H4340" s="11" t="str">
        <v/>
      </c>
      <c r="I4340" s="11" t="str">
        <v/>
      </c>
    </row>
    <row r="4341" spans="2:9">
      <c r="B4341" s="11" t="str">
        <f t="shared" si="341"/>
        <v/>
      </c>
      <c r="C4341" s="11" t="str">
        <f t="shared" si="344"/>
        <v/>
      </c>
      <c r="D4341" s="11" t="str">
        <f t="shared" si="345"/>
        <v/>
      </c>
      <c r="E4341" s="11" t="str">
        <f t="shared" si="342"/>
        <v/>
      </c>
      <c r="F4341" s="11" t="str">
        <f t="shared" si="343"/>
        <v/>
      </c>
      <c r="G4341" s="10" t="str">
        <v/>
      </c>
      <c r="H4341" s="11" t="str">
        <v/>
      </c>
      <c r="I4341" s="11" t="str">
        <v/>
      </c>
    </row>
    <row r="4342" spans="2:9">
      <c r="B4342" s="11" t="str">
        <f t="shared" si="341"/>
        <v/>
      </c>
      <c r="C4342" s="11" t="str">
        <f t="shared" si="344"/>
        <v/>
      </c>
      <c r="D4342" s="11" t="str">
        <f t="shared" si="345"/>
        <v/>
      </c>
      <c r="E4342" s="11" t="str">
        <f t="shared" si="342"/>
        <v/>
      </c>
      <c r="F4342" s="11" t="str">
        <f t="shared" si="343"/>
        <v/>
      </c>
      <c r="G4342" s="10" t="str">
        <v/>
      </c>
      <c r="H4342" s="11" t="str">
        <v/>
      </c>
      <c r="I4342" s="11" t="str">
        <v/>
      </c>
    </row>
    <row r="4343" spans="2:9">
      <c r="B4343" s="11" t="str">
        <f t="shared" si="341"/>
        <v/>
      </c>
      <c r="C4343" s="11" t="str">
        <f t="shared" si="344"/>
        <v/>
      </c>
      <c r="D4343" s="11" t="str">
        <f t="shared" si="345"/>
        <v/>
      </c>
      <c r="E4343" s="11" t="str">
        <f t="shared" si="342"/>
        <v/>
      </c>
      <c r="F4343" s="11" t="str">
        <f t="shared" si="343"/>
        <v/>
      </c>
      <c r="G4343" s="10" t="str">
        <v/>
      </c>
      <c r="H4343" s="11" t="str">
        <v/>
      </c>
      <c r="I4343" s="11" t="str">
        <v/>
      </c>
    </row>
    <row r="4344" spans="2:9">
      <c r="B4344" s="11" t="str">
        <f t="shared" si="341"/>
        <v/>
      </c>
      <c r="C4344" s="11" t="str">
        <f t="shared" si="344"/>
        <v/>
      </c>
      <c r="D4344" s="11" t="str">
        <f t="shared" si="345"/>
        <v/>
      </c>
      <c r="E4344" s="11" t="str">
        <f t="shared" si="342"/>
        <v/>
      </c>
      <c r="F4344" s="11" t="str">
        <f t="shared" si="343"/>
        <v/>
      </c>
      <c r="G4344" s="10" t="str">
        <v/>
      </c>
      <c r="H4344" s="11" t="str">
        <v/>
      </c>
      <c r="I4344" s="11" t="str">
        <v/>
      </c>
    </row>
    <row r="4345" spans="2:9">
      <c r="B4345" s="11" t="str">
        <f t="shared" si="341"/>
        <v/>
      </c>
      <c r="C4345" s="11" t="str">
        <f t="shared" si="344"/>
        <v/>
      </c>
      <c r="D4345" s="11" t="str">
        <f t="shared" si="345"/>
        <v/>
      </c>
      <c r="E4345" s="11" t="str">
        <f t="shared" si="342"/>
        <v/>
      </c>
      <c r="F4345" s="11" t="str">
        <f t="shared" si="343"/>
        <v/>
      </c>
      <c r="G4345" s="10" t="str">
        <v/>
      </c>
      <c r="H4345" s="11" t="str">
        <v/>
      </c>
      <c r="I4345" s="11" t="str">
        <v/>
      </c>
    </row>
    <row r="4346" spans="2:9">
      <c r="B4346" s="11" t="str">
        <f t="shared" si="341"/>
        <v/>
      </c>
      <c r="C4346" s="11" t="str">
        <f t="shared" si="344"/>
        <v/>
      </c>
      <c r="D4346" s="11" t="str">
        <f t="shared" si="345"/>
        <v/>
      </c>
      <c r="E4346" s="11" t="str">
        <f t="shared" si="342"/>
        <v/>
      </c>
      <c r="F4346" s="11" t="str">
        <f t="shared" si="343"/>
        <v/>
      </c>
      <c r="G4346" s="10" t="str">
        <v/>
      </c>
      <c r="H4346" s="11" t="str">
        <v/>
      </c>
      <c r="I4346" s="11" t="str">
        <v/>
      </c>
    </row>
    <row r="4347" spans="2:9">
      <c r="B4347" s="11" t="str">
        <f t="shared" si="341"/>
        <v/>
      </c>
      <c r="C4347" s="11" t="str">
        <f t="shared" si="344"/>
        <v/>
      </c>
      <c r="D4347" s="11" t="str">
        <f t="shared" si="345"/>
        <v/>
      </c>
      <c r="E4347" s="11" t="str">
        <f t="shared" si="342"/>
        <v/>
      </c>
      <c r="F4347" s="11" t="str">
        <f t="shared" si="343"/>
        <v/>
      </c>
      <c r="G4347" s="10" t="str">
        <v/>
      </c>
      <c r="H4347" s="11" t="str">
        <v/>
      </c>
      <c r="I4347" s="11" t="str">
        <v/>
      </c>
    </row>
    <row r="4348" spans="2:9">
      <c r="B4348" s="11" t="str">
        <f t="shared" si="341"/>
        <v/>
      </c>
      <c r="C4348" s="11" t="str">
        <f t="shared" si="344"/>
        <v/>
      </c>
      <c r="D4348" s="11" t="str">
        <f t="shared" si="345"/>
        <v/>
      </c>
      <c r="E4348" s="11" t="str">
        <f t="shared" si="342"/>
        <v/>
      </c>
      <c r="F4348" s="11" t="str">
        <f t="shared" si="343"/>
        <v/>
      </c>
      <c r="G4348" s="10" t="str">
        <v/>
      </c>
      <c r="H4348" s="11" t="str">
        <v/>
      </c>
      <c r="I4348" s="11" t="str">
        <v/>
      </c>
    </row>
    <row r="4349" spans="2:9">
      <c r="B4349" s="11" t="str">
        <f t="shared" si="341"/>
        <v/>
      </c>
      <c r="C4349" s="11" t="str">
        <f t="shared" si="344"/>
        <v/>
      </c>
      <c r="D4349" s="11" t="str">
        <f t="shared" si="345"/>
        <v/>
      </c>
      <c r="E4349" s="11" t="str">
        <f t="shared" si="342"/>
        <v/>
      </c>
      <c r="F4349" s="11" t="str">
        <f t="shared" si="343"/>
        <v/>
      </c>
      <c r="G4349" s="10" t="str">
        <v/>
      </c>
      <c r="H4349" s="11" t="str">
        <v/>
      </c>
      <c r="I4349" s="11" t="str">
        <v/>
      </c>
    </row>
    <row r="4350" spans="2:9">
      <c r="B4350" s="11" t="str">
        <f t="shared" si="341"/>
        <v/>
      </c>
      <c r="C4350" s="11" t="str">
        <f t="shared" si="344"/>
        <v/>
      </c>
      <c r="D4350" s="11" t="str">
        <f t="shared" si="345"/>
        <v/>
      </c>
      <c r="E4350" s="11" t="str">
        <f t="shared" si="342"/>
        <v/>
      </c>
      <c r="F4350" s="11" t="str">
        <f t="shared" si="343"/>
        <v/>
      </c>
      <c r="G4350" s="10" t="str">
        <v/>
      </c>
      <c r="H4350" s="11" t="str">
        <v/>
      </c>
      <c r="I4350" s="11" t="str">
        <v/>
      </c>
    </row>
    <row r="4351" spans="2:9">
      <c r="B4351" s="11" t="str">
        <f t="shared" si="341"/>
        <v/>
      </c>
      <c r="C4351" s="11" t="str">
        <f t="shared" si="344"/>
        <v/>
      </c>
      <c r="D4351" s="11" t="str">
        <f t="shared" si="345"/>
        <v/>
      </c>
      <c r="E4351" s="11" t="str">
        <f t="shared" si="342"/>
        <v/>
      </c>
      <c r="F4351" s="11" t="str">
        <f t="shared" si="343"/>
        <v/>
      </c>
      <c r="G4351" s="10" t="str">
        <v/>
      </c>
      <c r="H4351" s="11" t="str">
        <v/>
      </c>
      <c r="I4351" s="11" t="str">
        <v/>
      </c>
    </row>
    <row r="4352" spans="2:9">
      <c r="B4352" s="11" t="str">
        <f t="shared" si="341"/>
        <v/>
      </c>
      <c r="C4352" s="11" t="str">
        <f t="shared" si="344"/>
        <v/>
      </c>
      <c r="D4352" s="11" t="str">
        <f t="shared" si="345"/>
        <v/>
      </c>
      <c r="E4352" s="11" t="str">
        <f t="shared" si="342"/>
        <v/>
      </c>
      <c r="F4352" s="11" t="str">
        <f t="shared" si="343"/>
        <v/>
      </c>
      <c r="G4352" s="10" t="str">
        <v/>
      </c>
      <c r="H4352" s="11" t="str">
        <v/>
      </c>
      <c r="I4352" s="11" t="str">
        <v/>
      </c>
    </row>
    <row r="4353" spans="2:9">
      <c r="B4353" s="11" t="str">
        <f t="shared" ref="B4353:B4416" si="346">IFERROR(IF(FIND(" ",A4353)=6,IF(IFERROR(FIND(" PB",A4353),"")&lt;&gt;"","артикул",IF(IFERROR(FIND(" CRN",A4353),"")&lt;&gt;"","артикул","")),""),"")</f>
        <v/>
      </c>
      <c r="C4353" s="11" t="str">
        <f t="shared" si="344"/>
        <v/>
      </c>
      <c r="D4353" s="11" t="str">
        <f t="shared" si="345"/>
        <v/>
      </c>
      <c r="E4353" s="11" t="str">
        <f t="shared" si="342"/>
        <v/>
      </c>
      <c r="F4353" s="11" t="str">
        <f t="shared" si="343"/>
        <v/>
      </c>
      <c r="G4353" s="10" t="str">
        <v/>
      </c>
      <c r="H4353" s="11" t="str">
        <v/>
      </c>
      <c r="I4353" s="11" t="str">
        <v/>
      </c>
    </row>
    <row r="4354" spans="2:9">
      <c r="B4354" s="11" t="str">
        <f t="shared" si="346"/>
        <v/>
      </c>
      <c r="C4354" s="11" t="str">
        <f t="shared" si="344"/>
        <v/>
      </c>
      <c r="D4354" s="11" t="str">
        <f t="shared" si="345"/>
        <v/>
      </c>
      <c r="E4354" s="11" t="str">
        <f t="shared" ref="E4354:E4417" si="347" xml:space="preserve">
IF(B4354="Артикул",
IF(
AND(RIGHT(A4355,1)="%",
RIGHT(A4356,1)="%",
RIGHT(A4357,1)="%",
RIGHT(A4358,1)="%"),MID(A4359,FIND(" ",A4359),50),
IF(
AND(RIGHT(A4355,1)="%",
RIGHT(A4356,1)="%",
RIGHT(A4357,1)="%"),MID(A4358,FIND(" ",A4358),50),
IF(
AND(RIGHT(A4355,1)="%",
RIGHT(A4356,1)="%"),
MID(A4357,FIND(" ",A4357),50),
IF(
RIGHT(A4355,1)="%",
MID(A4356,FIND(" ",A4356),50),"")))),"")</f>
        <v/>
      </c>
      <c r="F4354" s="11" t="str">
        <f t="shared" ref="F4354:F4417" si="348">IFERROR(
IF(
AND(LEFT(A4354,8)="Discount",FIND("%",A4354)&gt;0),
MID(A4354,
FIND(" ",A4354),
FIND("%",A4354)-FIND(" ",A4354))
*-1,""),"")</f>
        <v/>
      </c>
      <c r="G4354" s="10" t="str">
        <v/>
      </c>
      <c r="H4354" s="11" t="str">
        <v/>
      </c>
      <c r="I4354" s="11" t="str">
        <v/>
      </c>
    </row>
    <row r="4355" spans="2:9">
      <c r="B4355" s="11" t="str">
        <f t="shared" si="346"/>
        <v/>
      </c>
      <c r="C4355" s="11" t="str">
        <f t="shared" si="344"/>
        <v/>
      </c>
      <c r="D4355" s="11" t="str">
        <f t="shared" si="345"/>
        <v/>
      </c>
      <c r="E4355" s="11" t="str">
        <f t="shared" si="347"/>
        <v/>
      </c>
      <c r="F4355" s="11" t="str">
        <f t="shared" si="348"/>
        <v/>
      </c>
      <c r="G4355" s="10" t="str">
        <v/>
      </c>
      <c r="H4355" s="11" t="str">
        <v/>
      </c>
      <c r="I4355" s="11" t="str">
        <v/>
      </c>
    </row>
    <row r="4356" spans="2:9">
      <c r="B4356" s="11" t="str">
        <f t="shared" si="346"/>
        <v/>
      </c>
      <c r="C4356" s="11" t="str">
        <f t="shared" si="344"/>
        <v/>
      </c>
      <c r="D4356" s="11" t="str">
        <f t="shared" si="345"/>
        <v/>
      </c>
      <c r="E4356" s="11" t="str">
        <f t="shared" si="347"/>
        <v/>
      </c>
      <c r="F4356" s="11" t="str">
        <f t="shared" si="348"/>
        <v/>
      </c>
      <c r="G4356" s="10" t="str">
        <v/>
      </c>
      <c r="H4356" s="11" t="str">
        <v/>
      </c>
      <c r="I4356" s="11" t="str">
        <v/>
      </c>
    </row>
    <row r="4357" spans="2:9">
      <c r="B4357" s="11" t="str">
        <f t="shared" si="346"/>
        <v/>
      </c>
      <c r="C4357" s="11" t="str">
        <f t="shared" si="344"/>
        <v/>
      </c>
      <c r="D4357" s="11" t="str">
        <f t="shared" si="345"/>
        <v/>
      </c>
      <c r="E4357" s="11" t="str">
        <f t="shared" si="347"/>
        <v/>
      </c>
      <c r="F4357" s="11" t="str">
        <f t="shared" si="348"/>
        <v/>
      </c>
      <c r="G4357" s="10" t="str">
        <v/>
      </c>
      <c r="H4357" s="11" t="str">
        <v/>
      </c>
      <c r="I4357" s="11" t="str">
        <v/>
      </c>
    </row>
    <row r="4358" spans="2:9">
      <c r="B4358" s="11" t="str">
        <f t="shared" si="346"/>
        <v/>
      </c>
      <c r="C4358" s="11" t="str">
        <f t="shared" si="344"/>
        <v/>
      </c>
      <c r="D4358" s="11" t="str">
        <f t="shared" si="345"/>
        <v/>
      </c>
      <c r="E4358" s="11" t="str">
        <f t="shared" si="347"/>
        <v/>
      </c>
      <c r="F4358" s="11" t="str">
        <f t="shared" si="348"/>
        <v/>
      </c>
      <c r="G4358" s="10" t="str">
        <v/>
      </c>
      <c r="H4358" s="11" t="str">
        <v/>
      </c>
      <c r="I4358" s="11" t="str">
        <v/>
      </c>
    </row>
    <row r="4359" spans="2:9">
      <c r="B4359" s="11" t="str">
        <f t="shared" si="346"/>
        <v/>
      </c>
      <c r="C4359" s="11" t="str">
        <f t="shared" si="344"/>
        <v/>
      </c>
      <c r="D4359" s="11" t="str">
        <f t="shared" si="345"/>
        <v/>
      </c>
      <c r="E4359" s="11" t="str">
        <f t="shared" si="347"/>
        <v/>
      </c>
      <c r="F4359" s="11" t="str">
        <f t="shared" si="348"/>
        <v/>
      </c>
      <c r="G4359" s="10" t="str">
        <v/>
      </c>
      <c r="H4359" s="11" t="str">
        <v/>
      </c>
      <c r="I4359" s="11" t="str">
        <v/>
      </c>
    </row>
    <row r="4360" spans="2:9">
      <c r="B4360" s="11" t="str">
        <f t="shared" si="346"/>
        <v/>
      </c>
      <c r="C4360" s="11" t="str">
        <f t="shared" si="344"/>
        <v/>
      </c>
      <c r="D4360" s="11" t="str">
        <f t="shared" si="345"/>
        <v/>
      </c>
      <c r="E4360" s="11" t="str">
        <f t="shared" si="347"/>
        <v/>
      </c>
      <c r="F4360" s="11" t="str">
        <f t="shared" si="348"/>
        <v/>
      </c>
      <c r="G4360" s="10" t="str">
        <v/>
      </c>
      <c r="H4360" s="11" t="str">
        <v/>
      </c>
      <c r="I4360" s="11" t="str">
        <v/>
      </c>
    </row>
    <row r="4361" spans="2:9">
      <c r="B4361" s="11" t="str">
        <f t="shared" si="346"/>
        <v/>
      </c>
      <c r="C4361" s="11" t="str">
        <f t="shared" si="344"/>
        <v/>
      </c>
      <c r="D4361" s="11" t="str">
        <f t="shared" si="345"/>
        <v/>
      </c>
      <c r="E4361" s="11" t="str">
        <f t="shared" si="347"/>
        <v/>
      </c>
      <c r="F4361" s="11" t="str">
        <f t="shared" si="348"/>
        <v/>
      </c>
      <c r="G4361" s="10" t="str">
        <v/>
      </c>
      <c r="H4361" s="11" t="str">
        <v/>
      </c>
      <c r="I4361" s="11" t="str">
        <v/>
      </c>
    </row>
    <row r="4362" spans="2:9">
      <c r="B4362" s="11" t="str">
        <f t="shared" si="346"/>
        <v/>
      </c>
      <c r="C4362" s="11" t="str">
        <f t="shared" si="344"/>
        <v/>
      </c>
      <c r="D4362" s="11" t="str">
        <f t="shared" si="345"/>
        <v/>
      </c>
      <c r="E4362" s="11" t="str">
        <f t="shared" si="347"/>
        <v/>
      </c>
      <c r="F4362" s="11" t="str">
        <f t="shared" si="348"/>
        <v/>
      </c>
      <c r="G4362" s="10" t="str">
        <v/>
      </c>
      <c r="H4362" s="11" t="str">
        <v/>
      </c>
      <c r="I4362" s="11" t="str">
        <v/>
      </c>
    </row>
    <row r="4363" spans="2:9">
      <c r="B4363" s="11" t="str">
        <f t="shared" si="346"/>
        <v/>
      </c>
      <c r="C4363" s="11" t="str">
        <f t="shared" si="344"/>
        <v/>
      </c>
      <c r="D4363" s="11" t="str">
        <f t="shared" si="345"/>
        <v/>
      </c>
      <c r="E4363" s="11" t="str">
        <f t="shared" si="347"/>
        <v/>
      </c>
      <c r="F4363" s="11" t="str">
        <f t="shared" si="348"/>
        <v/>
      </c>
      <c r="G4363" s="10" t="str">
        <v/>
      </c>
      <c r="H4363" s="11" t="str">
        <v/>
      </c>
      <c r="I4363" s="11" t="str">
        <v/>
      </c>
    </row>
    <row r="4364" spans="2:9">
      <c r="B4364" s="11" t="str">
        <f t="shared" si="346"/>
        <v/>
      </c>
      <c r="C4364" s="11" t="str">
        <f t="shared" si="344"/>
        <v/>
      </c>
      <c r="D4364" s="11" t="str">
        <f t="shared" si="345"/>
        <v/>
      </c>
      <c r="E4364" s="11" t="str">
        <f t="shared" si="347"/>
        <v/>
      </c>
      <c r="F4364" s="11" t="str">
        <f t="shared" si="348"/>
        <v/>
      </c>
      <c r="G4364" s="10" t="str">
        <v/>
      </c>
      <c r="H4364" s="11" t="str">
        <v/>
      </c>
      <c r="I4364" s="11" t="str">
        <v/>
      </c>
    </row>
    <row r="4365" spans="2:9">
      <c r="B4365" s="11" t="str">
        <f t="shared" si="346"/>
        <v/>
      </c>
      <c r="C4365" s="11" t="str">
        <f t="shared" ref="C4365:C4428" si="349">IF(B4365="артикул",A4365,"")</f>
        <v/>
      </c>
      <c r="D4365" s="11" t="str">
        <f t="shared" ref="D4365:D4428" si="350">IF(B4365="артикул",A4366,"")</f>
        <v/>
      </c>
      <c r="E4365" s="11" t="str">
        <f t="shared" si="347"/>
        <v/>
      </c>
      <c r="F4365" s="11" t="str">
        <f t="shared" si="348"/>
        <v/>
      </c>
      <c r="G4365" s="10" t="str">
        <v/>
      </c>
      <c r="H4365" s="11" t="str">
        <v/>
      </c>
      <c r="I4365" s="11" t="str">
        <v/>
      </c>
    </row>
    <row r="4366" spans="2:9">
      <c r="B4366" s="11" t="str">
        <f t="shared" si="346"/>
        <v/>
      </c>
      <c r="C4366" s="11" t="str">
        <f t="shared" si="349"/>
        <v/>
      </c>
      <c r="D4366" s="11" t="str">
        <f t="shared" si="350"/>
        <v/>
      </c>
      <c r="E4366" s="11" t="str">
        <f t="shared" si="347"/>
        <v/>
      </c>
      <c r="F4366" s="11" t="str">
        <f t="shared" si="348"/>
        <v/>
      </c>
      <c r="G4366" s="10" t="str">
        <v/>
      </c>
      <c r="H4366" s="11" t="str">
        <v/>
      </c>
      <c r="I4366" s="11" t="str">
        <v/>
      </c>
    </row>
    <row r="4367" spans="2:9">
      <c r="B4367" s="11" t="str">
        <f t="shared" si="346"/>
        <v/>
      </c>
      <c r="C4367" s="11" t="str">
        <f t="shared" si="349"/>
        <v/>
      </c>
      <c r="D4367" s="11" t="str">
        <f t="shared" si="350"/>
        <v/>
      </c>
      <c r="E4367" s="11" t="str">
        <f t="shared" si="347"/>
        <v/>
      </c>
      <c r="F4367" s="11" t="str">
        <f t="shared" si="348"/>
        <v/>
      </c>
      <c r="G4367" s="10" t="str">
        <v/>
      </c>
      <c r="H4367" s="11" t="str">
        <v/>
      </c>
      <c r="I4367" s="11" t="str">
        <v/>
      </c>
    </row>
    <row r="4368" spans="2:9">
      <c r="B4368" s="11" t="str">
        <f t="shared" si="346"/>
        <v/>
      </c>
      <c r="C4368" s="11" t="str">
        <f t="shared" si="349"/>
        <v/>
      </c>
      <c r="D4368" s="11" t="str">
        <f t="shared" si="350"/>
        <v/>
      </c>
      <c r="E4368" s="11" t="str">
        <f t="shared" si="347"/>
        <v/>
      </c>
      <c r="F4368" s="11" t="str">
        <f t="shared" si="348"/>
        <v/>
      </c>
      <c r="G4368" s="10" t="str">
        <v/>
      </c>
      <c r="H4368" s="11" t="str">
        <v/>
      </c>
      <c r="I4368" s="11" t="str">
        <v/>
      </c>
    </row>
    <row r="4369" spans="2:9">
      <c r="B4369" s="11" t="str">
        <f t="shared" si="346"/>
        <v/>
      </c>
      <c r="C4369" s="11" t="str">
        <f t="shared" si="349"/>
        <v/>
      </c>
      <c r="D4369" s="11" t="str">
        <f t="shared" si="350"/>
        <v/>
      </c>
      <c r="E4369" s="11" t="str">
        <f t="shared" si="347"/>
        <v/>
      </c>
      <c r="F4369" s="11" t="str">
        <f t="shared" si="348"/>
        <v/>
      </c>
      <c r="G4369" s="10" t="str">
        <v/>
      </c>
      <c r="H4369" s="11" t="str">
        <v/>
      </c>
      <c r="I4369" s="11" t="str">
        <v/>
      </c>
    </row>
    <row r="4370" spans="2:9">
      <c r="B4370" s="11" t="str">
        <f t="shared" si="346"/>
        <v/>
      </c>
      <c r="C4370" s="11" t="str">
        <f t="shared" si="349"/>
        <v/>
      </c>
      <c r="D4370" s="11" t="str">
        <f t="shared" si="350"/>
        <v/>
      </c>
      <c r="E4370" s="11" t="str">
        <f t="shared" si="347"/>
        <v/>
      </c>
      <c r="F4370" s="11" t="str">
        <f t="shared" si="348"/>
        <v/>
      </c>
      <c r="G4370" s="10" t="str">
        <v/>
      </c>
      <c r="H4370" s="11" t="str">
        <v/>
      </c>
      <c r="I4370" s="11" t="str">
        <v/>
      </c>
    </row>
    <row r="4371" spans="2:9">
      <c r="B4371" s="11" t="str">
        <f t="shared" si="346"/>
        <v/>
      </c>
      <c r="C4371" s="11" t="str">
        <f t="shared" si="349"/>
        <v/>
      </c>
      <c r="D4371" s="11" t="str">
        <f t="shared" si="350"/>
        <v/>
      </c>
      <c r="E4371" s="11" t="str">
        <f t="shared" si="347"/>
        <v/>
      </c>
      <c r="F4371" s="11" t="str">
        <f t="shared" si="348"/>
        <v/>
      </c>
      <c r="G4371" s="10" t="str">
        <v/>
      </c>
      <c r="H4371" s="11" t="str">
        <v/>
      </c>
      <c r="I4371" s="11" t="str">
        <v/>
      </c>
    </row>
    <row r="4372" spans="2:9">
      <c r="B4372" s="11" t="str">
        <f t="shared" si="346"/>
        <v/>
      </c>
      <c r="C4372" s="11" t="str">
        <f t="shared" si="349"/>
        <v/>
      </c>
      <c r="D4372" s="11" t="str">
        <f t="shared" si="350"/>
        <v/>
      </c>
      <c r="E4372" s="11" t="str">
        <f t="shared" si="347"/>
        <v/>
      </c>
      <c r="F4372" s="11" t="str">
        <f t="shared" si="348"/>
        <v/>
      </c>
      <c r="G4372" s="10" t="str">
        <v/>
      </c>
      <c r="H4372" s="11" t="str">
        <v/>
      </c>
      <c r="I4372" s="11" t="str">
        <v/>
      </c>
    </row>
    <row r="4373" spans="2:9">
      <c r="B4373" s="11" t="str">
        <f t="shared" si="346"/>
        <v/>
      </c>
      <c r="C4373" s="11" t="str">
        <f t="shared" si="349"/>
        <v/>
      </c>
      <c r="D4373" s="11" t="str">
        <f t="shared" si="350"/>
        <v/>
      </c>
      <c r="E4373" s="11" t="str">
        <f t="shared" si="347"/>
        <v/>
      </c>
      <c r="F4373" s="11" t="str">
        <f t="shared" si="348"/>
        <v/>
      </c>
      <c r="G4373" s="10" t="str">
        <v/>
      </c>
      <c r="H4373" s="11" t="str">
        <v/>
      </c>
      <c r="I4373" s="11" t="str">
        <v/>
      </c>
    </row>
    <row r="4374" spans="2:9">
      <c r="B4374" s="11" t="str">
        <f t="shared" si="346"/>
        <v/>
      </c>
      <c r="C4374" s="11" t="str">
        <f t="shared" si="349"/>
        <v/>
      </c>
      <c r="D4374" s="11" t="str">
        <f t="shared" si="350"/>
        <v/>
      </c>
      <c r="E4374" s="11" t="str">
        <f t="shared" si="347"/>
        <v/>
      </c>
      <c r="F4374" s="11" t="str">
        <f t="shared" si="348"/>
        <v/>
      </c>
      <c r="G4374" s="10" t="str">
        <v/>
      </c>
      <c r="H4374" s="11" t="str">
        <v/>
      </c>
      <c r="I4374" s="11" t="str">
        <v/>
      </c>
    </row>
    <row r="4375" spans="2:9">
      <c r="B4375" s="11" t="str">
        <f t="shared" si="346"/>
        <v/>
      </c>
      <c r="C4375" s="11" t="str">
        <f t="shared" si="349"/>
        <v/>
      </c>
      <c r="D4375" s="11" t="str">
        <f t="shared" si="350"/>
        <v/>
      </c>
      <c r="E4375" s="11" t="str">
        <f t="shared" si="347"/>
        <v/>
      </c>
      <c r="F4375" s="11" t="str">
        <f t="shared" si="348"/>
        <v/>
      </c>
      <c r="G4375" s="10" t="str">
        <v/>
      </c>
      <c r="H4375" s="11" t="str">
        <v/>
      </c>
      <c r="I4375" s="11" t="str">
        <v/>
      </c>
    </row>
    <row r="4376" spans="2:9">
      <c r="B4376" s="11" t="str">
        <f t="shared" si="346"/>
        <v/>
      </c>
      <c r="C4376" s="11" t="str">
        <f t="shared" si="349"/>
        <v/>
      </c>
      <c r="D4376" s="11" t="str">
        <f t="shared" si="350"/>
        <v/>
      </c>
      <c r="E4376" s="11" t="str">
        <f t="shared" si="347"/>
        <v/>
      </c>
      <c r="F4376" s="11" t="str">
        <f t="shared" si="348"/>
        <v/>
      </c>
      <c r="G4376" s="10" t="str">
        <v/>
      </c>
      <c r="H4376" s="11" t="str">
        <v/>
      </c>
      <c r="I4376" s="11" t="str">
        <v/>
      </c>
    </row>
    <row r="4377" spans="2:9">
      <c r="B4377" s="11" t="str">
        <f t="shared" si="346"/>
        <v/>
      </c>
      <c r="C4377" s="11" t="str">
        <f t="shared" si="349"/>
        <v/>
      </c>
      <c r="D4377" s="11" t="str">
        <f t="shared" si="350"/>
        <v/>
      </c>
      <c r="E4377" s="11" t="str">
        <f t="shared" si="347"/>
        <v/>
      </c>
      <c r="F4377" s="11" t="str">
        <f t="shared" si="348"/>
        <v/>
      </c>
      <c r="G4377" s="10" t="str">
        <v/>
      </c>
      <c r="H4377" s="11" t="str">
        <v/>
      </c>
      <c r="I4377" s="11" t="str">
        <v/>
      </c>
    </row>
    <row r="4378" spans="2:9">
      <c r="B4378" s="11" t="str">
        <f t="shared" si="346"/>
        <v/>
      </c>
      <c r="C4378" s="11" t="str">
        <f t="shared" si="349"/>
        <v/>
      </c>
      <c r="D4378" s="11" t="str">
        <f t="shared" si="350"/>
        <v/>
      </c>
      <c r="E4378" s="11" t="str">
        <f t="shared" si="347"/>
        <v/>
      </c>
      <c r="F4378" s="11" t="str">
        <f t="shared" si="348"/>
        <v/>
      </c>
      <c r="G4378" s="10" t="str">
        <v/>
      </c>
      <c r="H4378" s="11" t="str">
        <v/>
      </c>
      <c r="I4378" s="11" t="str">
        <v/>
      </c>
    </row>
    <row r="4379" spans="2:9">
      <c r="B4379" s="11" t="str">
        <f t="shared" si="346"/>
        <v/>
      </c>
      <c r="C4379" s="11" t="str">
        <f t="shared" si="349"/>
        <v/>
      </c>
      <c r="D4379" s="11" t="str">
        <f t="shared" si="350"/>
        <v/>
      </c>
      <c r="E4379" s="11" t="str">
        <f t="shared" si="347"/>
        <v/>
      </c>
      <c r="F4379" s="11" t="str">
        <f t="shared" si="348"/>
        <v/>
      </c>
      <c r="G4379" s="10" t="str">
        <v/>
      </c>
      <c r="H4379" s="11" t="str">
        <v/>
      </c>
      <c r="I4379" s="11" t="str">
        <v/>
      </c>
    </row>
    <row r="4380" spans="2:9">
      <c r="B4380" s="11" t="str">
        <f t="shared" si="346"/>
        <v/>
      </c>
      <c r="C4380" s="11" t="str">
        <f t="shared" si="349"/>
        <v/>
      </c>
      <c r="D4380" s="11" t="str">
        <f t="shared" si="350"/>
        <v/>
      </c>
      <c r="E4380" s="11" t="str">
        <f t="shared" si="347"/>
        <v/>
      </c>
      <c r="F4380" s="11" t="str">
        <f t="shared" si="348"/>
        <v/>
      </c>
      <c r="G4380" s="10" t="str">
        <v/>
      </c>
      <c r="H4380" s="11" t="str">
        <v/>
      </c>
      <c r="I4380" s="11" t="str">
        <v/>
      </c>
    </row>
    <row r="4381" spans="2:9">
      <c r="B4381" s="11" t="str">
        <f t="shared" si="346"/>
        <v/>
      </c>
      <c r="C4381" s="11" t="str">
        <f t="shared" si="349"/>
        <v/>
      </c>
      <c r="D4381" s="11" t="str">
        <f t="shared" si="350"/>
        <v/>
      </c>
      <c r="E4381" s="11" t="str">
        <f t="shared" si="347"/>
        <v/>
      </c>
      <c r="F4381" s="11" t="str">
        <f t="shared" si="348"/>
        <v/>
      </c>
      <c r="G4381" s="10" t="str">
        <v/>
      </c>
      <c r="H4381" s="11" t="str">
        <v/>
      </c>
      <c r="I4381" s="11" t="str">
        <v/>
      </c>
    </row>
    <row r="4382" spans="2:9">
      <c r="B4382" s="11" t="str">
        <f t="shared" si="346"/>
        <v/>
      </c>
      <c r="C4382" s="11" t="str">
        <f t="shared" si="349"/>
        <v/>
      </c>
      <c r="D4382" s="11" t="str">
        <f t="shared" si="350"/>
        <v/>
      </c>
      <c r="E4382" s="11" t="str">
        <f t="shared" si="347"/>
        <v/>
      </c>
      <c r="F4382" s="11" t="str">
        <f t="shared" si="348"/>
        <v/>
      </c>
      <c r="G4382" s="10" t="str">
        <v/>
      </c>
      <c r="H4382" s="11" t="str">
        <v/>
      </c>
      <c r="I4382" s="11" t="str">
        <v/>
      </c>
    </row>
    <row r="4383" spans="2:9">
      <c r="B4383" s="11" t="str">
        <f t="shared" si="346"/>
        <v/>
      </c>
      <c r="C4383" s="11" t="str">
        <f t="shared" si="349"/>
        <v/>
      </c>
      <c r="D4383" s="11" t="str">
        <f t="shared" si="350"/>
        <v/>
      </c>
      <c r="E4383" s="11" t="str">
        <f t="shared" si="347"/>
        <v/>
      </c>
      <c r="F4383" s="11" t="str">
        <f t="shared" si="348"/>
        <v/>
      </c>
      <c r="G4383" s="10" t="str">
        <v/>
      </c>
      <c r="H4383" s="11" t="str">
        <v/>
      </c>
      <c r="I4383" s="11" t="str">
        <v/>
      </c>
    </row>
    <row r="4384" spans="2:9">
      <c r="B4384" s="11" t="str">
        <f t="shared" si="346"/>
        <v/>
      </c>
      <c r="C4384" s="11" t="str">
        <f t="shared" si="349"/>
        <v/>
      </c>
      <c r="D4384" s="11" t="str">
        <f t="shared" si="350"/>
        <v/>
      </c>
      <c r="E4384" s="11" t="str">
        <f t="shared" si="347"/>
        <v/>
      </c>
      <c r="F4384" s="11" t="str">
        <f t="shared" si="348"/>
        <v/>
      </c>
      <c r="G4384" s="10" t="str">
        <v/>
      </c>
      <c r="H4384" s="11" t="str">
        <v/>
      </c>
      <c r="I4384" s="11" t="str">
        <v/>
      </c>
    </row>
    <row r="4385" spans="2:9">
      <c r="B4385" s="11" t="str">
        <f t="shared" si="346"/>
        <v/>
      </c>
      <c r="C4385" s="11" t="str">
        <f t="shared" si="349"/>
        <v/>
      </c>
      <c r="D4385" s="11" t="str">
        <f t="shared" si="350"/>
        <v/>
      </c>
      <c r="E4385" s="11" t="str">
        <f t="shared" si="347"/>
        <v/>
      </c>
      <c r="F4385" s="11" t="str">
        <f t="shared" si="348"/>
        <v/>
      </c>
      <c r="G4385" s="10" t="str">
        <v/>
      </c>
      <c r="H4385" s="11" t="str">
        <v/>
      </c>
      <c r="I4385" s="11" t="str">
        <v/>
      </c>
    </row>
    <row r="4386" spans="2:9">
      <c r="B4386" s="11" t="str">
        <f t="shared" si="346"/>
        <v/>
      </c>
      <c r="C4386" s="11" t="str">
        <f t="shared" si="349"/>
        <v/>
      </c>
      <c r="D4386" s="11" t="str">
        <f t="shared" si="350"/>
        <v/>
      </c>
      <c r="E4386" s="11" t="str">
        <f t="shared" si="347"/>
        <v/>
      </c>
      <c r="F4386" s="11" t="str">
        <f t="shared" si="348"/>
        <v/>
      </c>
      <c r="G4386" s="10" t="str">
        <v/>
      </c>
      <c r="H4386" s="11" t="str">
        <v/>
      </c>
      <c r="I4386" s="11" t="str">
        <v/>
      </c>
    </row>
    <row r="4387" spans="2:9">
      <c r="B4387" s="11" t="str">
        <f t="shared" si="346"/>
        <v/>
      </c>
      <c r="C4387" s="11" t="str">
        <f t="shared" si="349"/>
        <v/>
      </c>
      <c r="D4387" s="11" t="str">
        <f t="shared" si="350"/>
        <v/>
      </c>
      <c r="E4387" s="11" t="str">
        <f t="shared" si="347"/>
        <v/>
      </c>
      <c r="F4387" s="11" t="str">
        <f t="shared" si="348"/>
        <v/>
      </c>
      <c r="G4387" s="10" t="str">
        <v/>
      </c>
      <c r="H4387" s="11" t="str">
        <v/>
      </c>
      <c r="I4387" s="11" t="str">
        <v/>
      </c>
    </row>
    <row r="4388" spans="2:9">
      <c r="B4388" s="11" t="str">
        <f t="shared" si="346"/>
        <v/>
      </c>
      <c r="C4388" s="11" t="str">
        <f t="shared" si="349"/>
        <v/>
      </c>
      <c r="D4388" s="11" t="str">
        <f t="shared" si="350"/>
        <v/>
      </c>
      <c r="E4388" s="11" t="str">
        <f t="shared" si="347"/>
        <v/>
      </c>
      <c r="F4388" s="11" t="str">
        <f t="shared" si="348"/>
        <v/>
      </c>
      <c r="G4388" s="10" t="str">
        <v/>
      </c>
      <c r="H4388" s="11" t="str">
        <v/>
      </c>
      <c r="I4388" s="11" t="str">
        <v/>
      </c>
    </row>
    <row r="4389" spans="2:9">
      <c r="B4389" s="11" t="str">
        <f t="shared" si="346"/>
        <v/>
      </c>
      <c r="C4389" s="11" t="str">
        <f t="shared" si="349"/>
        <v/>
      </c>
      <c r="D4389" s="11" t="str">
        <f t="shared" si="350"/>
        <v/>
      </c>
      <c r="E4389" s="11" t="str">
        <f t="shared" si="347"/>
        <v/>
      </c>
      <c r="F4389" s="11" t="str">
        <f t="shared" si="348"/>
        <v/>
      </c>
      <c r="G4389" s="10" t="str">
        <v/>
      </c>
      <c r="H4389" s="11" t="str">
        <v/>
      </c>
      <c r="I4389" s="11" t="str">
        <v/>
      </c>
    </row>
    <row r="4390" spans="2:9">
      <c r="B4390" s="11" t="str">
        <f t="shared" si="346"/>
        <v/>
      </c>
      <c r="C4390" s="11" t="str">
        <f t="shared" si="349"/>
        <v/>
      </c>
      <c r="D4390" s="11" t="str">
        <f t="shared" si="350"/>
        <v/>
      </c>
      <c r="E4390" s="11" t="str">
        <f t="shared" si="347"/>
        <v/>
      </c>
      <c r="F4390" s="11" t="str">
        <f t="shared" si="348"/>
        <v/>
      </c>
      <c r="G4390" s="10" t="str">
        <v/>
      </c>
      <c r="H4390" s="11" t="str">
        <v/>
      </c>
      <c r="I4390" s="11" t="str">
        <v/>
      </c>
    </row>
    <row r="4391" spans="2:9">
      <c r="B4391" s="11" t="str">
        <f t="shared" si="346"/>
        <v/>
      </c>
      <c r="C4391" s="11" t="str">
        <f t="shared" si="349"/>
        <v/>
      </c>
      <c r="D4391" s="11" t="str">
        <f t="shared" si="350"/>
        <v/>
      </c>
      <c r="E4391" s="11" t="str">
        <f t="shared" si="347"/>
        <v/>
      </c>
      <c r="F4391" s="11" t="str">
        <f t="shared" si="348"/>
        <v/>
      </c>
      <c r="G4391" s="10" t="str">
        <v/>
      </c>
      <c r="H4391" s="11" t="str">
        <v/>
      </c>
      <c r="I4391" s="11" t="str">
        <v/>
      </c>
    </row>
    <row r="4392" spans="2:9">
      <c r="B4392" s="11" t="str">
        <f t="shared" si="346"/>
        <v/>
      </c>
      <c r="C4392" s="11" t="str">
        <f t="shared" si="349"/>
        <v/>
      </c>
      <c r="D4392" s="11" t="str">
        <f t="shared" si="350"/>
        <v/>
      </c>
      <c r="E4392" s="11" t="str">
        <f t="shared" si="347"/>
        <v/>
      </c>
      <c r="F4392" s="11" t="str">
        <f t="shared" si="348"/>
        <v/>
      </c>
      <c r="G4392" s="10" t="str">
        <v/>
      </c>
      <c r="H4392" s="11" t="str">
        <v/>
      </c>
      <c r="I4392" s="11" t="str">
        <v/>
      </c>
    </row>
    <row r="4393" spans="2:9">
      <c r="B4393" s="11" t="str">
        <f t="shared" si="346"/>
        <v/>
      </c>
      <c r="C4393" s="11" t="str">
        <f t="shared" si="349"/>
        <v/>
      </c>
      <c r="D4393" s="11" t="str">
        <f t="shared" si="350"/>
        <v/>
      </c>
      <c r="E4393" s="11" t="str">
        <f t="shared" si="347"/>
        <v/>
      </c>
      <c r="F4393" s="11" t="str">
        <f t="shared" si="348"/>
        <v/>
      </c>
      <c r="G4393" s="10" t="str">
        <v/>
      </c>
      <c r="H4393" s="11" t="str">
        <v/>
      </c>
      <c r="I4393" s="11" t="str">
        <v/>
      </c>
    </row>
    <row r="4394" spans="2:9">
      <c r="B4394" s="11" t="str">
        <f t="shared" si="346"/>
        <v/>
      </c>
      <c r="C4394" s="11" t="str">
        <f t="shared" si="349"/>
        <v/>
      </c>
      <c r="D4394" s="11" t="str">
        <f t="shared" si="350"/>
        <v/>
      </c>
      <c r="E4394" s="11" t="str">
        <f t="shared" si="347"/>
        <v/>
      </c>
      <c r="F4394" s="11" t="str">
        <f t="shared" si="348"/>
        <v/>
      </c>
      <c r="G4394" s="10" t="str">
        <v/>
      </c>
      <c r="H4394" s="11" t="str">
        <v/>
      </c>
      <c r="I4394" s="11" t="str">
        <v/>
      </c>
    </row>
    <row r="4395" spans="2:9">
      <c r="B4395" s="11" t="str">
        <f t="shared" si="346"/>
        <v/>
      </c>
      <c r="C4395" s="11" t="str">
        <f t="shared" si="349"/>
        <v/>
      </c>
      <c r="D4395" s="11" t="str">
        <f t="shared" si="350"/>
        <v/>
      </c>
      <c r="E4395" s="11" t="str">
        <f t="shared" si="347"/>
        <v/>
      </c>
      <c r="F4395" s="11" t="str">
        <f t="shared" si="348"/>
        <v/>
      </c>
      <c r="G4395" s="10" t="str">
        <v/>
      </c>
      <c r="H4395" s="11" t="str">
        <v/>
      </c>
      <c r="I4395" s="11" t="str">
        <v/>
      </c>
    </row>
    <row r="4396" spans="2:9">
      <c r="B4396" s="11" t="str">
        <f t="shared" si="346"/>
        <v/>
      </c>
      <c r="C4396" s="11" t="str">
        <f t="shared" si="349"/>
        <v/>
      </c>
      <c r="D4396" s="11" t="str">
        <f t="shared" si="350"/>
        <v/>
      </c>
      <c r="E4396" s="11" t="str">
        <f t="shared" si="347"/>
        <v/>
      </c>
      <c r="F4396" s="11" t="str">
        <f t="shared" si="348"/>
        <v/>
      </c>
      <c r="G4396" s="10" t="str">
        <v/>
      </c>
      <c r="H4396" s="11" t="str">
        <v/>
      </c>
      <c r="I4396" s="11" t="str">
        <v/>
      </c>
    </row>
    <row r="4397" spans="2:9">
      <c r="B4397" s="11" t="str">
        <f t="shared" si="346"/>
        <v/>
      </c>
      <c r="C4397" s="11" t="str">
        <f t="shared" si="349"/>
        <v/>
      </c>
      <c r="D4397" s="11" t="str">
        <f t="shared" si="350"/>
        <v/>
      </c>
      <c r="E4397" s="11" t="str">
        <f t="shared" si="347"/>
        <v/>
      </c>
      <c r="F4397" s="11" t="str">
        <f t="shared" si="348"/>
        <v/>
      </c>
      <c r="G4397" s="10" t="str">
        <v/>
      </c>
      <c r="H4397" s="11" t="str">
        <v/>
      </c>
      <c r="I4397" s="11" t="str">
        <v/>
      </c>
    </row>
    <row r="4398" spans="2:9">
      <c r="B4398" s="11" t="str">
        <f t="shared" si="346"/>
        <v/>
      </c>
      <c r="C4398" s="11" t="str">
        <f t="shared" si="349"/>
        <v/>
      </c>
      <c r="D4398" s="11" t="str">
        <f t="shared" si="350"/>
        <v/>
      </c>
      <c r="E4398" s="11" t="str">
        <f t="shared" si="347"/>
        <v/>
      </c>
      <c r="F4398" s="11" t="str">
        <f t="shared" si="348"/>
        <v/>
      </c>
      <c r="G4398" s="10" t="str">
        <v/>
      </c>
      <c r="H4398" s="11" t="str">
        <v/>
      </c>
      <c r="I4398" s="11" t="str">
        <v/>
      </c>
    </row>
    <row r="4399" spans="2:9">
      <c r="B4399" s="11" t="str">
        <f t="shared" si="346"/>
        <v/>
      </c>
      <c r="C4399" s="11" t="str">
        <f t="shared" si="349"/>
        <v/>
      </c>
      <c r="D4399" s="11" t="str">
        <f t="shared" si="350"/>
        <v/>
      </c>
      <c r="E4399" s="11" t="str">
        <f t="shared" si="347"/>
        <v/>
      </c>
      <c r="F4399" s="11" t="str">
        <f t="shared" si="348"/>
        <v/>
      </c>
      <c r="G4399" s="10" t="str">
        <v/>
      </c>
      <c r="H4399" s="11" t="str">
        <v/>
      </c>
      <c r="I4399" s="11" t="str">
        <v/>
      </c>
    </row>
    <row r="4400" spans="2:9">
      <c r="B4400" s="11" t="str">
        <f t="shared" si="346"/>
        <v/>
      </c>
      <c r="C4400" s="11" t="str">
        <f t="shared" si="349"/>
        <v/>
      </c>
      <c r="D4400" s="11" t="str">
        <f t="shared" si="350"/>
        <v/>
      </c>
      <c r="E4400" s="11" t="str">
        <f t="shared" si="347"/>
        <v/>
      </c>
      <c r="F4400" s="11" t="str">
        <f t="shared" si="348"/>
        <v/>
      </c>
      <c r="G4400" s="10" t="str">
        <v/>
      </c>
      <c r="H4400" s="11" t="str">
        <v/>
      </c>
      <c r="I4400" s="11" t="str">
        <v/>
      </c>
    </row>
    <row r="4401" spans="2:9">
      <c r="B4401" s="11" t="str">
        <f t="shared" si="346"/>
        <v/>
      </c>
      <c r="C4401" s="11" t="str">
        <f t="shared" si="349"/>
        <v/>
      </c>
      <c r="D4401" s="11" t="str">
        <f t="shared" si="350"/>
        <v/>
      </c>
      <c r="E4401" s="11" t="str">
        <f t="shared" si="347"/>
        <v/>
      </c>
      <c r="F4401" s="11" t="str">
        <f t="shared" si="348"/>
        <v/>
      </c>
      <c r="G4401" s="10" t="str">
        <v/>
      </c>
      <c r="H4401" s="11" t="str">
        <v/>
      </c>
      <c r="I4401" s="11" t="str">
        <v/>
      </c>
    </row>
    <row r="4402" spans="2:9">
      <c r="B4402" s="11" t="str">
        <f t="shared" si="346"/>
        <v/>
      </c>
      <c r="C4402" s="11" t="str">
        <f t="shared" si="349"/>
        <v/>
      </c>
      <c r="D4402" s="11" t="str">
        <f t="shared" si="350"/>
        <v/>
      </c>
      <c r="E4402" s="11" t="str">
        <f t="shared" si="347"/>
        <v/>
      </c>
      <c r="F4402" s="11" t="str">
        <f t="shared" si="348"/>
        <v/>
      </c>
      <c r="G4402" s="10" t="str">
        <v/>
      </c>
      <c r="H4402" s="11" t="str">
        <v/>
      </c>
      <c r="I4402" s="11" t="str">
        <v/>
      </c>
    </row>
    <row r="4403" spans="2:9">
      <c r="B4403" s="11" t="str">
        <f t="shared" si="346"/>
        <v/>
      </c>
      <c r="C4403" s="11" t="str">
        <f t="shared" si="349"/>
        <v/>
      </c>
      <c r="D4403" s="11" t="str">
        <f t="shared" si="350"/>
        <v/>
      </c>
      <c r="E4403" s="11" t="str">
        <f t="shared" si="347"/>
        <v/>
      </c>
      <c r="F4403" s="11" t="str">
        <f t="shared" si="348"/>
        <v/>
      </c>
      <c r="G4403" s="10" t="str">
        <v/>
      </c>
      <c r="H4403" s="11" t="str">
        <v/>
      </c>
      <c r="I4403" s="11" t="str">
        <v/>
      </c>
    </row>
    <row r="4404" spans="2:9">
      <c r="B4404" s="11" t="str">
        <f t="shared" si="346"/>
        <v/>
      </c>
      <c r="C4404" s="11" t="str">
        <f t="shared" si="349"/>
        <v/>
      </c>
      <c r="D4404" s="11" t="str">
        <f t="shared" si="350"/>
        <v/>
      </c>
      <c r="E4404" s="11" t="str">
        <f t="shared" si="347"/>
        <v/>
      </c>
      <c r="F4404" s="11" t="str">
        <f t="shared" si="348"/>
        <v/>
      </c>
      <c r="G4404" s="10" t="str">
        <v/>
      </c>
      <c r="H4404" s="11" t="str">
        <v/>
      </c>
      <c r="I4404" s="11" t="str">
        <v/>
      </c>
    </row>
    <row r="4405" spans="2:9">
      <c r="B4405" s="11" t="str">
        <f t="shared" si="346"/>
        <v/>
      </c>
      <c r="C4405" s="11" t="str">
        <f t="shared" si="349"/>
        <v/>
      </c>
      <c r="D4405" s="11" t="str">
        <f t="shared" si="350"/>
        <v/>
      </c>
      <c r="E4405" s="11" t="str">
        <f t="shared" si="347"/>
        <v/>
      </c>
      <c r="F4405" s="11" t="str">
        <f t="shared" si="348"/>
        <v/>
      </c>
      <c r="G4405" s="10" t="str">
        <v/>
      </c>
      <c r="H4405" s="11" t="str">
        <v/>
      </c>
      <c r="I4405" s="11" t="str">
        <v/>
      </c>
    </row>
    <row r="4406" spans="2:9">
      <c r="B4406" s="11" t="str">
        <f t="shared" si="346"/>
        <v/>
      </c>
      <c r="C4406" s="11" t="str">
        <f t="shared" si="349"/>
        <v/>
      </c>
      <c r="D4406" s="11" t="str">
        <f t="shared" si="350"/>
        <v/>
      </c>
      <c r="E4406" s="11" t="str">
        <f t="shared" si="347"/>
        <v/>
      </c>
      <c r="F4406" s="11" t="str">
        <f t="shared" si="348"/>
        <v/>
      </c>
      <c r="G4406" s="10" t="str">
        <v/>
      </c>
      <c r="H4406" s="11" t="str">
        <v/>
      </c>
      <c r="I4406" s="11" t="str">
        <v/>
      </c>
    </row>
    <row r="4407" spans="2:9">
      <c r="B4407" s="11" t="str">
        <f t="shared" si="346"/>
        <v/>
      </c>
      <c r="C4407" s="11" t="str">
        <f t="shared" si="349"/>
        <v/>
      </c>
      <c r="D4407" s="11" t="str">
        <f t="shared" si="350"/>
        <v/>
      </c>
      <c r="E4407" s="11" t="str">
        <f t="shared" si="347"/>
        <v/>
      </c>
      <c r="F4407" s="11" t="str">
        <f t="shared" si="348"/>
        <v/>
      </c>
      <c r="G4407" s="10" t="str">
        <v/>
      </c>
      <c r="H4407" s="11" t="str">
        <v/>
      </c>
      <c r="I4407" s="11" t="str">
        <v/>
      </c>
    </row>
    <row r="4408" spans="2:9">
      <c r="B4408" s="11" t="str">
        <f t="shared" si="346"/>
        <v/>
      </c>
      <c r="C4408" s="11" t="str">
        <f t="shared" si="349"/>
        <v/>
      </c>
      <c r="D4408" s="11" t="str">
        <f t="shared" si="350"/>
        <v/>
      </c>
      <c r="E4408" s="11" t="str">
        <f t="shared" si="347"/>
        <v/>
      </c>
      <c r="F4408" s="11" t="str">
        <f t="shared" si="348"/>
        <v/>
      </c>
      <c r="G4408" s="10" t="str">
        <v/>
      </c>
      <c r="H4408" s="11" t="str">
        <v/>
      </c>
      <c r="I4408" s="11" t="str">
        <v/>
      </c>
    </row>
    <row r="4409" spans="2:9">
      <c r="B4409" s="11" t="str">
        <f t="shared" si="346"/>
        <v/>
      </c>
      <c r="C4409" s="11" t="str">
        <f t="shared" si="349"/>
        <v/>
      </c>
      <c r="D4409" s="11" t="str">
        <f t="shared" si="350"/>
        <v/>
      </c>
      <c r="E4409" s="11" t="str">
        <f t="shared" si="347"/>
        <v/>
      </c>
      <c r="F4409" s="11" t="str">
        <f t="shared" si="348"/>
        <v/>
      </c>
      <c r="G4409" s="10" t="str">
        <v/>
      </c>
      <c r="H4409" s="11" t="str">
        <v/>
      </c>
      <c r="I4409" s="11" t="str">
        <v/>
      </c>
    </row>
    <row r="4410" spans="2:9">
      <c r="B4410" s="11" t="str">
        <f t="shared" si="346"/>
        <v/>
      </c>
      <c r="C4410" s="11" t="str">
        <f t="shared" si="349"/>
        <v/>
      </c>
      <c r="D4410" s="11" t="str">
        <f t="shared" si="350"/>
        <v/>
      </c>
      <c r="E4410" s="11" t="str">
        <f t="shared" si="347"/>
        <v/>
      </c>
      <c r="F4410" s="11" t="str">
        <f t="shared" si="348"/>
        <v/>
      </c>
      <c r="G4410" s="10" t="str">
        <v/>
      </c>
      <c r="H4410" s="11" t="str">
        <v/>
      </c>
      <c r="I4410" s="11" t="str">
        <v/>
      </c>
    </row>
    <row r="4411" spans="2:9">
      <c r="B4411" s="11" t="str">
        <f t="shared" si="346"/>
        <v/>
      </c>
      <c r="C4411" s="11" t="str">
        <f t="shared" si="349"/>
        <v/>
      </c>
      <c r="D4411" s="11" t="str">
        <f t="shared" si="350"/>
        <v/>
      </c>
      <c r="E4411" s="11" t="str">
        <f t="shared" si="347"/>
        <v/>
      </c>
      <c r="F4411" s="11" t="str">
        <f t="shared" si="348"/>
        <v/>
      </c>
      <c r="G4411" s="10" t="str">
        <v/>
      </c>
      <c r="H4411" s="11" t="str">
        <v/>
      </c>
      <c r="I4411" s="11" t="str">
        <v/>
      </c>
    </row>
    <row r="4412" spans="2:9">
      <c r="B4412" s="11" t="str">
        <f t="shared" si="346"/>
        <v/>
      </c>
      <c r="C4412" s="11" t="str">
        <f t="shared" si="349"/>
        <v/>
      </c>
      <c r="D4412" s="11" t="str">
        <f t="shared" si="350"/>
        <v/>
      </c>
      <c r="E4412" s="11" t="str">
        <f t="shared" si="347"/>
        <v/>
      </c>
      <c r="F4412" s="11" t="str">
        <f t="shared" si="348"/>
        <v/>
      </c>
      <c r="G4412" s="10" t="str">
        <v/>
      </c>
      <c r="H4412" s="11" t="str">
        <v/>
      </c>
      <c r="I4412" s="11" t="str">
        <v/>
      </c>
    </row>
    <row r="4413" spans="2:9">
      <c r="B4413" s="11" t="str">
        <f t="shared" si="346"/>
        <v/>
      </c>
      <c r="C4413" s="11" t="str">
        <f t="shared" si="349"/>
        <v/>
      </c>
      <c r="D4413" s="11" t="str">
        <f t="shared" si="350"/>
        <v/>
      </c>
      <c r="E4413" s="11" t="str">
        <f t="shared" si="347"/>
        <v/>
      </c>
      <c r="F4413" s="11" t="str">
        <f t="shared" si="348"/>
        <v/>
      </c>
      <c r="G4413" s="10" t="str">
        <v/>
      </c>
      <c r="H4413" s="11" t="str">
        <v/>
      </c>
      <c r="I4413" s="11" t="str">
        <v/>
      </c>
    </row>
    <row r="4414" spans="2:9">
      <c r="B4414" s="11" t="str">
        <f t="shared" si="346"/>
        <v/>
      </c>
      <c r="C4414" s="11" t="str">
        <f t="shared" si="349"/>
        <v/>
      </c>
      <c r="D4414" s="11" t="str">
        <f t="shared" si="350"/>
        <v/>
      </c>
      <c r="E4414" s="11" t="str">
        <f t="shared" si="347"/>
        <v/>
      </c>
      <c r="F4414" s="11" t="str">
        <f t="shared" si="348"/>
        <v/>
      </c>
      <c r="G4414" s="10" t="str">
        <v/>
      </c>
      <c r="H4414" s="11" t="str">
        <v/>
      </c>
      <c r="I4414" s="11" t="str">
        <v/>
      </c>
    </row>
    <row r="4415" spans="2:9">
      <c r="B4415" s="11" t="str">
        <f t="shared" si="346"/>
        <v/>
      </c>
      <c r="C4415" s="11" t="str">
        <f t="shared" si="349"/>
        <v/>
      </c>
      <c r="D4415" s="11" t="str">
        <f t="shared" si="350"/>
        <v/>
      </c>
      <c r="E4415" s="11" t="str">
        <f t="shared" si="347"/>
        <v/>
      </c>
      <c r="F4415" s="11" t="str">
        <f t="shared" si="348"/>
        <v/>
      </c>
      <c r="G4415" s="10" t="str">
        <v/>
      </c>
      <c r="H4415" s="11" t="str">
        <v/>
      </c>
      <c r="I4415" s="11" t="str">
        <v/>
      </c>
    </row>
    <row r="4416" spans="2:9">
      <c r="B4416" s="11" t="str">
        <f t="shared" si="346"/>
        <v/>
      </c>
      <c r="C4416" s="11" t="str">
        <f t="shared" si="349"/>
        <v/>
      </c>
      <c r="D4416" s="11" t="str">
        <f t="shared" si="350"/>
        <v/>
      </c>
      <c r="E4416" s="11" t="str">
        <f t="shared" si="347"/>
        <v/>
      </c>
      <c r="F4416" s="11" t="str">
        <f t="shared" si="348"/>
        <v/>
      </c>
      <c r="G4416" s="10" t="str">
        <v/>
      </c>
      <c r="H4416" s="11" t="str">
        <v/>
      </c>
      <c r="I4416" s="11" t="str">
        <v/>
      </c>
    </row>
    <row r="4417" spans="2:9">
      <c r="B4417" s="11" t="str">
        <f t="shared" ref="B4417:B4480" si="351">IFERROR(IF(FIND(" ",A4417)=6,IF(IFERROR(FIND(" PB",A4417),"")&lt;&gt;"","артикул",IF(IFERROR(FIND(" CRN",A4417),"")&lt;&gt;"","артикул","")),""),"")</f>
        <v/>
      </c>
      <c r="C4417" s="11" t="str">
        <f t="shared" si="349"/>
        <v/>
      </c>
      <c r="D4417" s="11" t="str">
        <f t="shared" si="350"/>
        <v/>
      </c>
      <c r="E4417" s="11" t="str">
        <f t="shared" si="347"/>
        <v/>
      </c>
      <c r="F4417" s="11" t="str">
        <f t="shared" si="348"/>
        <v/>
      </c>
      <c r="G4417" s="10" t="str">
        <v/>
      </c>
      <c r="H4417" s="11" t="str">
        <v/>
      </c>
      <c r="I4417" s="11" t="str">
        <v/>
      </c>
    </row>
    <row r="4418" spans="2:9">
      <c r="B4418" s="11" t="str">
        <f t="shared" si="351"/>
        <v/>
      </c>
      <c r="C4418" s="11" t="str">
        <f t="shared" si="349"/>
        <v/>
      </c>
      <c r="D4418" s="11" t="str">
        <f t="shared" si="350"/>
        <v/>
      </c>
      <c r="E4418" s="11" t="str">
        <f t="shared" ref="E4418:E4481" si="352" xml:space="preserve">
IF(B4418="Артикул",
IF(
AND(RIGHT(A4419,1)="%",
RIGHT(A4420,1)="%",
RIGHT(A4421,1)="%",
RIGHT(A4422,1)="%"),MID(A4423,FIND(" ",A4423),50),
IF(
AND(RIGHT(A4419,1)="%",
RIGHT(A4420,1)="%",
RIGHT(A4421,1)="%"),MID(A4422,FIND(" ",A4422),50),
IF(
AND(RIGHT(A4419,1)="%",
RIGHT(A4420,1)="%"),
MID(A4421,FIND(" ",A4421),50),
IF(
RIGHT(A4419,1)="%",
MID(A4420,FIND(" ",A4420),50),"")))),"")</f>
        <v/>
      </c>
      <c r="F4418" s="11" t="str">
        <f t="shared" ref="F4418:F4481" si="353">IFERROR(
IF(
AND(LEFT(A4418,8)="Discount",FIND("%",A4418)&gt;0),
MID(A4418,
FIND(" ",A4418),
FIND("%",A4418)-FIND(" ",A4418))
*-1,""),"")</f>
        <v/>
      </c>
      <c r="G4418" s="10" t="str">
        <v/>
      </c>
      <c r="H4418" s="11" t="str">
        <v/>
      </c>
      <c r="I4418" s="11" t="str">
        <v/>
      </c>
    </row>
    <row r="4419" spans="2:9">
      <c r="B4419" s="11" t="str">
        <f t="shared" si="351"/>
        <v/>
      </c>
      <c r="C4419" s="11" t="str">
        <f t="shared" si="349"/>
        <v/>
      </c>
      <c r="D4419" s="11" t="str">
        <f t="shared" si="350"/>
        <v/>
      </c>
      <c r="E4419" s="11" t="str">
        <f t="shared" si="352"/>
        <v/>
      </c>
      <c r="F4419" s="11" t="str">
        <f t="shared" si="353"/>
        <v/>
      </c>
      <c r="G4419" s="10" t="str">
        <v/>
      </c>
      <c r="H4419" s="11" t="str">
        <v/>
      </c>
      <c r="I4419" s="11" t="str">
        <v/>
      </c>
    </row>
    <row r="4420" spans="2:9">
      <c r="B4420" s="11" t="str">
        <f t="shared" si="351"/>
        <v/>
      </c>
      <c r="C4420" s="11" t="str">
        <f t="shared" si="349"/>
        <v/>
      </c>
      <c r="D4420" s="11" t="str">
        <f t="shared" si="350"/>
        <v/>
      </c>
      <c r="E4420" s="11" t="str">
        <f t="shared" si="352"/>
        <v/>
      </c>
      <c r="F4420" s="11" t="str">
        <f t="shared" si="353"/>
        <v/>
      </c>
      <c r="G4420" s="10" t="str">
        <v/>
      </c>
      <c r="H4420" s="11" t="str">
        <v/>
      </c>
      <c r="I4420" s="11" t="str">
        <v/>
      </c>
    </row>
    <row r="4421" spans="2:9">
      <c r="B4421" s="11" t="str">
        <f t="shared" si="351"/>
        <v/>
      </c>
      <c r="C4421" s="11" t="str">
        <f t="shared" si="349"/>
        <v/>
      </c>
      <c r="D4421" s="11" t="str">
        <f t="shared" si="350"/>
        <v/>
      </c>
      <c r="E4421" s="11" t="str">
        <f t="shared" si="352"/>
        <v/>
      </c>
      <c r="F4421" s="11" t="str">
        <f t="shared" si="353"/>
        <v/>
      </c>
      <c r="G4421" s="10" t="str">
        <v/>
      </c>
      <c r="H4421" s="11" t="str">
        <v/>
      </c>
      <c r="I4421" s="11" t="str">
        <v/>
      </c>
    </row>
    <row r="4422" spans="2:9">
      <c r="B4422" s="11" t="str">
        <f t="shared" si="351"/>
        <v/>
      </c>
      <c r="C4422" s="11" t="str">
        <f t="shared" si="349"/>
        <v/>
      </c>
      <c r="D4422" s="11" t="str">
        <f t="shared" si="350"/>
        <v/>
      </c>
      <c r="E4422" s="11" t="str">
        <f t="shared" si="352"/>
        <v/>
      </c>
      <c r="F4422" s="11" t="str">
        <f t="shared" si="353"/>
        <v/>
      </c>
      <c r="G4422" s="10" t="str">
        <v/>
      </c>
      <c r="H4422" s="11" t="str">
        <v/>
      </c>
      <c r="I4422" s="11" t="str">
        <v/>
      </c>
    </row>
    <row r="4423" spans="2:9">
      <c r="B4423" s="11" t="str">
        <f t="shared" si="351"/>
        <v/>
      </c>
      <c r="C4423" s="11" t="str">
        <f t="shared" si="349"/>
        <v/>
      </c>
      <c r="D4423" s="11" t="str">
        <f t="shared" si="350"/>
        <v/>
      </c>
      <c r="E4423" s="11" t="str">
        <f t="shared" si="352"/>
        <v/>
      </c>
      <c r="F4423" s="11" t="str">
        <f t="shared" si="353"/>
        <v/>
      </c>
      <c r="G4423" s="10" t="str">
        <v/>
      </c>
      <c r="H4423" s="11" t="str">
        <v/>
      </c>
      <c r="I4423" s="11" t="str">
        <v/>
      </c>
    </row>
    <row r="4424" spans="2:9">
      <c r="B4424" s="11" t="str">
        <f t="shared" si="351"/>
        <v/>
      </c>
      <c r="C4424" s="11" t="str">
        <f t="shared" si="349"/>
        <v/>
      </c>
      <c r="D4424" s="11" t="str">
        <f t="shared" si="350"/>
        <v/>
      </c>
      <c r="E4424" s="11" t="str">
        <f t="shared" si="352"/>
        <v/>
      </c>
      <c r="F4424" s="11" t="str">
        <f t="shared" si="353"/>
        <v/>
      </c>
      <c r="G4424" s="10" t="str">
        <v/>
      </c>
      <c r="H4424" s="11" t="str">
        <v/>
      </c>
      <c r="I4424" s="11" t="str">
        <v/>
      </c>
    </row>
    <row r="4425" spans="2:9">
      <c r="B4425" s="11" t="str">
        <f t="shared" si="351"/>
        <v/>
      </c>
      <c r="C4425" s="11" t="str">
        <f t="shared" si="349"/>
        <v/>
      </c>
      <c r="D4425" s="11" t="str">
        <f t="shared" si="350"/>
        <v/>
      </c>
      <c r="E4425" s="11" t="str">
        <f t="shared" si="352"/>
        <v/>
      </c>
      <c r="F4425" s="11" t="str">
        <f t="shared" si="353"/>
        <v/>
      </c>
      <c r="G4425" s="10" t="str">
        <v/>
      </c>
      <c r="H4425" s="11" t="str">
        <v/>
      </c>
      <c r="I4425" s="11" t="str">
        <v/>
      </c>
    </row>
    <row r="4426" spans="2:9">
      <c r="B4426" s="11" t="str">
        <f t="shared" si="351"/>
        <v/>
      </c>
      <c r="C4426" s="11" t="str">
        <f t="shared" si="349"/>
        <v/>
      </c>
      <c r="D4426" s="11" t="str">
        <f t="shared" si="350"/>
        <v/>
      </c>
      <c r="E4426" s="11" t="str">
        <f t="shared" si="352"/>
        <v/>
      </c>
      <c r="F4426" s="11" t="str">
        <f t="shared" si="353"/>
        <v/>
      </c>
      <c r="G4426" s="10" t="str">
        <v/>
      </c>
      <c r="H4426" s="11" t="str">
        <v/>
      </c>
      <c r="I4426" s="11" t="str">
        <v/>
      </c>
    </row>
    <row r="4427" spans="2:9">
      <c r="B4427" s="11" t="str">
        <f t="shared" si="351"/>
        <v/>
      </c>
      <c r="C4427" s="11" t="str">
        <f t="shared" si="349"/>
        <v/>
      </c>
      <c r="D4427" s="11" t="str">
        <f t="shared" si="350"/>
        <v/>
      </c>
      <c r="E4427" s="11" t="str">
        <f t="shared" si="352"/>
        <v/>
      </c>
      <c r="F4427" s="11" t="str">
        <f t="shared" si="353"/>
        <v/>
      </c>
      <c r="G4427" s="10" t="str">
        <v/>
      </c>
      <c r="H4427" s="11" t="str">
        <v/>
      </c>
      <c r="I4427" s="11" t="str">
        <v/>
      </c>
    </row>
    <row r="4428" spans="2:9">
      <c r="B4428" s="11" t="str">
        <f t="shared" si="351"/>
        <v/>
      </c>
      <c r="C4428" s="11" t="str">
        <f t="shared" si="349"/>
        <v/>
      </c>
      <c r="D4428" s="11" t="str">
        <f t="shared" si="350"/>
        <v/>
      </c>
      <c r="E4428" s="11" t="str">
        <f t="shared" si="352"/>
        <v/>
      </c>
      <c r="F4428" s="11" t="str">
        <f t="shared" si="353"/>
        <v/>
      </c>
      <c r="G4428" s="10" t="str">
        <v/>
      </c>
      <c r="H4428" s="11" t="str">
        <v/>
      </c>
      <c r="I4428" s="11" t="str">
        <v/>
      </c>
    </row>
    <row r="4429" spans="2:9">
      <c r="B4429" s="11" t="str">
        <f t="shared" si="351"/>
        <v/>
      </c>
      <c r="C4429" s="11" t="str">
        <f t="shared" ref="C4429:C4492" si="354">IF(B4429="артикул",A4429,"")</f>
        <v/>
      </c>
      <c r="D4429" s="11" t="str">
        <f t="shared" ref="D4429:D4492" si="355">IF(B4429="артикул",A4430,"")</f>
        <v/>
      </c>
      <c r="E4429" s="11" t="str">
        <f t="shared" si="352"/>
        <v/>
      </c>
      <c r="F4429" s="11" t="str">
        <f t="shared" si="353"/>
        <v/>
      </c>
      <c r="G4429" s="10" t="str">
        <v/>
      </c>
      <c r="H4429" s="11" t="str">
        <v/>
      </c>
      <c r="I4429" s="11" t="str">
        <v/>
      </c>
    </row>
    <row r="4430" spans="2:9">
      <c r="B4430" s="11" t="str">
        <f t="shared" si="351"/>
        <v/>
      </c>
      <c r="C4430" s="11" t="str">
        <f t="shared" si="354"/>
        <v/>
      </c>
      <c r="D4430" s="11" t="str">
        <f t="shared" si="355"/>
        <v/>
      </c>
      <c r="E4430" s="11" t="str">
        <f t="shared" si="352"/>
        <v/>
      </c>
      <c r="F4430" s="11" t="str">
        <f t="shared" si="353"/>
        <v/>
      </c>
      <c r="G4430" s="10" t="str">
        <v/>
      </c>
      <c r="H4430" s="11" t="str">
        <v/>
      </c>
      <c r="I4430" s="11" t="str">
        <v/>
      </c>
    </row>
    <row r="4431" spans="2:9">
      <c r="B4431" s="11" t="str">
        <f t="shared" si="351"/>
        <v/>
      </c>
      <c r="C4431" s="11" t="str">
        <f t="shared" si="354"/>
        <v/>
      </c>
      <c r="D4431" s="11" t="str">
        <f t="shared" si="355"/>
        <v/>
      </c>
      <c r="E4431" s="11" t="str">
        <f t="shared" si="352"/>
        <v/>
      </c>
      <c r="F4431" s="11" t="str">
        <f t="shared" si="353"/>
        <v/>
      </c>
      <c r="G4431" s="10" t="str">
        <v/>
      </c>
      <c r="H4431" s="11" t="str">
        <v/>
      </c>
      <c r="I4431" s="11" t="str">
        <v/>
      </c>
    </row>
    <row r="4432" spans="2:9">
      <c r="B4432" s="11" t="str">
        <f t="shared" si="351"/>
        <v/>
      </c>
      <c r="C4432" s="11" t="str">
        <f t="shared" si="354"/>
        <v/>
      </c>
      <c r="D4432" s="11" t="str">
        <f t="shared" si="355"/>
        <v/>
      </c>
      <c r="E4432" s="11" t="str">
        <f t="shared" si="352"/>
        <v/>
      </c>
      <c r="F4432" s="11" t="str">
        <f t="shared" si="353"/>
        <v/>
      </c>
      <c r="G4432" s="10" t="str">
        <v/>
      </c>
      <c r="H4432" s="11" t="str">
        <v/>
      </c>
      <c r="I4432" s="11" t="str">
        <v/>
      </c>
    </row>
    <row r="4433" spans="2:9">
      <c r="B4433" s="11" t="str">
        <f t="shared" si="351"/>
        <v/>
      </c>
      <c r="C4433" s="11" t="str">
        <f t="shared" si="354"/>
        <v/>
      </c>
      <c r="D4433" s="11" t="str">
        <f t="shared" si="355"/>
        <v/>
      </c>
      <c r="E4433" s="11" t="str">
        <f t="shared" si="352"/>
        <v/>
      </c>
      <c r="F4433" s="11" t="str">
        <f t="shared" si="353"/>
        <v/>
      </c>
      <c r="G4433" s="10" t="str">
        <v/>
      </c>
      <c r="H4433" s="11" t="str">
        <v/>
      </c>
      <c r="I4433" s="11" t="str">
        <v/>
      </c>
    </row>
    <row r="4434" spans="2:9">
      <c r="B4434" s="11" t="str">
        <f t="shared" si="351"/>
        <v/>
      </c>
      <c r="C4434" s="11" t="str">
        <f t="shared" si="354"/>
        <v/>
      </c>
      <c r="D4434" s="11" t="str">
        <f t="shared" si="355"/>
        <v/>
      </c>
      <c r="E4434" s="11" t="str">
        <f t="shared" si="352"/>
        <v/>
      </c>
      <c r="F4434" s="11" t="str">
        <f t="shared" si="353"/>
        <v/>
      </c>
      <c r="G4434" s="10" t="str">
        <v/>
      </c>
      <c r="H4434" s="11" t="str">
        <v/>
      </c>
      <c r="I4434" s="11" t="str">
        <v/>
      </c>
    </row>
    <row r="4435" spans="2:9">
      <c r="B4435" s="11" t="str">
        <f t="shared" si="351"/>
        <v/>
      </c>
      <c r="C4435" s="11" t="str">
        <f t="shared" si="354"/>
        <v/>
      </c>
      <c r="D4435" s="11" t="str">
        <f t="shared" si="355"/>
        <v/>
      </c>
      <c r="E4435" s="11" t="str">
        <f t="shared" si="352"/>
        <v/>
      </c>
      <c r="F4435" s="11" t="str">
        <f t="shared" si="353"/>
        <v/>
      </c>
      <c r="G4435" s="10" t="str">
        <v/>
      </c>
      <c r="H4435" s="11" t="str">
        <v/>
      </c>
      <c r="I4435" s="11" t="str">
        <v/>
      </c>
    </row>
    <row r="4436" spans="2:9">
      <c r="B4436" s="11" t="str">
        <f t="shared" si="351"/>
        <v/>
      </c>
      <c r="C4436" s="11" t="str">
        <f t="shared" si="354"/>
        <v/>
      </c>
      <c r="D4436" s="11" t="str">
        <f t="shared" si="355"/>
        <v/>
      </c>
      <c r="E4436" s="11" t="str">
        <f t="shared" si="352"/>
        <v/>
      </c>
      <c r="F4436" s="11" t="str">
        <f t="shared" si="353"/>
        <v/>
      </c>
      <c r="G4436" s="10" t="str">
        <v/>
      </c>
      <c r="H4436" s="11" t="str">
        <v/>
      </c>
      <c r="I4436" s="11" t="str">
        <v/>
      </c>
    </row>
    <row r="4437" spans="2:9">
      <c r="B4437" s="11" t="str">
        <f t="shared" si="351"/>
        <v/>
      </c>
      <c r="C4437" s="11" t="str">
        <f t="shared" si="354"/>
        <v/>
      </c>
      <c r="D4437" s="11" t="str">
        <f t="shared" si="355"/>
        <v/>
      </c>
      <c r="E4437" s="11" t="str">
        <f t="shared" si="352"/>
        <v/>
      </c>
      <c r="F4437" s="11" t="str">
        <f t="shared" si="353"/>
        <v/>
      </c>
      <c r="G4437" s="10" t="str">
        <v/>
      </c>
      <c r="H4437" s="11" t="str">
        <v/>
      </c>
      <c r="I4437" s="11" t="str">
        <v/>
      </c>
    </row>
    <row r="4438" spans="2:9">
      <c r="B4438" s="11" t="str">
        <f t="shared" si="351"/>
        <v/>
      </c>
      <c r="C4438" s="11" t="str">
        <f t="shared" si="354"/>
        <v/>
      </c>
      <c r="D4438" s="11" t="str">
        <f t="shared" si="355"/>
        <v/>
      </c>
      <c r="E4438" s="11" t="str">
        <f t="shared" si="352"/>
        <v/>
      </c>
      <c r="F4438" s="11" t="str">
        <f t="shared" si="353"/>
        <v/>
      </c>
      <c r="G4438" s="10" t="str">
        <v/>
      </c>
      <c r="H4438" s="11" t="str">
        <v/>
      </c>
      <c r="I4438" s="11" t="str">
        <v/>
      </c>
    </row>
    <row r="4439" spans="2:9">
      <c r="B4439" s="11" t="str">
        <f t="shared" si="351"/>
        <v/>
      </c>
      <c r="C4439" s="11" t="str">
        <f t="shared" si="354"/>
        <v/>
      </c>
      <c r="D4439" s="11" t="str">
        <f t="shared" si="355"/>
        <v/>
      </c>
      <c r="E4439" s="11" t="str">
        <f t="shared" si="352"/>
        <v/>
      </c>
      <c r="F4439" s="11" t="str">
        <f t="shared" si="353"/>
        <v/>
      </c>
      <c r="G4439" s="10" t="str">
        <v/>
      </c>
      <c r="H4439" s="11" t="str">
        <v/>
      </c>
      <c r="I4439" s="11" t="str">
        <v/>
      </c>
    </row>
    <row r="4440" spans="2:9">
      <c r="B4440" s="11" t="str">
        <f t="shared" si="351"/>
        <v/>
      </c>
      <c r="C4440" s="11" t="str">
        <f t="shared" si="354"/>
        <v/>
      </c>
      <c r="D4440" s="11" t="str">
        <f t="shared" si="355"/>
        <v/>
      </c>
      <c r="E4440" s="11" t="str">
        <f t="shared" si="352"/>
        <v/>
      </c>
      <c r="F4440" s="11" t="str">
        <f t="shared" si="353"/>
        <v/>
      </c>
      <c r="G4440" s="10" t="str">
        <v/>
      </c>
      <c r="H4440" s="11" t="str">
        <v/>
      </c>
      <c r="I4440" s="11" t="str">
        <v/>
      </c>
    </row>
    <row r="4441" spans="2:9">
      <c r="B4441" s="11" t="str">
        <f t="shared" si="351"/>
        <v/>
      </c>
      <c r="C4441" s="11" t="str">
        <f t="shared" si="354"/>
        <v/>
      </c>
      <c r="D4441" s="11" t="str">
        <f t="shared" si="355"/>
        <v/>
      </c>
      <c r="E4441" s="11" t="str">
        <f t="shared" si="352"/>
        <v/>
      </c>
      <c r="F4441" s="11" t="str">
        <f t="shared" si="353"/>
        <v/>
      </c>
      <c r="G4441" s="10" t="str">
        <v/>
      </c>
      <c r="H4441" s="11" t="str">
        <v/>
      </c>
      <c r="I4441" s="11" t="str">
        <v/>
      </c>
    </row>
    <row r="4442" spans="2:9">
      <c r="B4442" s="11" t="str">
        <f t="shared" si="351"/>
        <v/>
      </c>
      <c r="C4442" s="11" t="str">
        <f t="shared" si="354"/>
        <v/>
      </c>
      <c r="D4442" s="11" t="str">
        <f t="shared" si="355"/>
        <v/>
      </c>
      <c r="E4442" s="11" t="str">
        <f t="shared" si="352"/>
        <v/>
      </c>
      <c r="F4442" s="11" t="str">
        <f t="shared" si="353"/>
        <v/>
      </c>
      <c r="G4442" s="10" t="str">
        <v/>
      </c>
      <c r="H4442" s="11" t="str">
        <v/>
      </c>
      <c r="I4442" s="11" t="str">
        <v/>
      </c>
    </row>
    <row r="4443" spans="2:9">
      <c r="B4443" s="11" t="str">
        <f t="shared" si="351"/>
        <v/>
      </c>
      <c r="C4443" s="11" t="str">
        <f t="shared" si="354"/>
        <v/>
      </c>
      <c r="D4443" s="11" t="str">
        <f t="shared" si="355"/>
        <v/>
      </c>
      <c r="E4443" s="11" t="str">
        <f t="shared" si="352"/>
        <v/>
      </c>
      <c r="F4443" s="11" t="str">
        <f t="shared" si="353"/>
        <v/>
      </c>
      <c r="G4443" s="10" t="str">
        <v/>
      </c>
      <c r="H4443" s="11" t="str">
        <v/>
      </c>
      <c r="I4443" s="11" t="str">
        <v/>
      </c>
    </row>
    <row r="4444" spans="2:9">
      <c r="B4444" s="11" t="str">
        <f t="shared" si="351"/>
        <v/>
      </c>
      <c r="C4444" s="11" t="str">
        <f t="shared" si="354"/>
        <v/>
      </c>
      <c r="D4444" s="11" t="str">
        <f t="shared" si="355"/>
        <v/>
      </c>
      <c r="E4444" s="11" t="str">
        <f t="shared" si="352"/>
        <v/>
      </c>
      <c r="F4444" s="11" t="str">
        <f t="shared" si="353"/>
        <v/>
      </c>
      <c r="G4444" s="10" t="str">
        <v/>
      </c>
      <c r="H4444" s="11" t="str">
        <v/>
      </c>
      <c r="I4444" s="11" t="str">
        <v/>
      </c>
    </row>
    <row r="4445" spans="2:9">
      <c r="B4445" s="11" t="str">
        <f t="shared" si="351"/>
        <v/>
      </c>
      <c r="C4445" s="11" t="str">
        <f t="shared" si="354"/>
        <v/>
      </c>
      <c r="D4445" s="11" t="str">
        <f t="shared" si="355"/>
        <v/>
      </c>
      <c r="E4445" s="11" t="str">
        <f t="shared" si="352"/>
        <v/>
      </c>
      <c r="F4445" s="11" t="str">
        <f t="shared" si="353"/>
        <v/>
      </c>
      <c r="G4445" s="10" t="str">
        <v/>
      </c>
      <c r="H4445" s="11" t="str">
        <v/>
      </c>
      <c r="I4445" s="11" t="str">
        <v/>
      </c>
    </row>
    <row r="4446" spans="2:9">
      <c r="B4446" s="11" t="str">
        <f t="shared" si="351"/>
        <v/>
      </c>
      <c r="C4446" s="11" t="str">
        <f t="shared" si="354"/>
        <v/>
      </c>
      <c r="D4446" s="11" t="str">
        <f t="shared" si="355"/>
        <v/>
      </c>
      <c r="E4446" s="11" t="str">
        <f t="shared" si="352"/>
        <v/>
      </c>
      <c r="F4446" s="11" t="str">
        <f t="shared" si="353"/>
        <v/>
      </c>
      <c r="G4446" s="10" t="str">
        <v/>
      </c>
      <c r="H4446" s="11" t="str">
        <v/>
      </c>
      <c r="I4446" s="11" t="str">
        <v/>
      </c>
    </row>
    <row r="4447" spans="2:9">
      <c r="B4447" s="11" t="str">
        <f t="shared" si="351"/>
        <v/>
      </c>
      <c r="C4447" s="11" t="str">
        <f t="shared" si="354"/>
        <v/>
      </c>
      <c r="D4447" s="11" t="str">
        <f t="shared" si="355"/>
        <v/>
      </c>
      <c r="E4447" s="11" t="str">
        <f t="shared" si="352"/>
        <v/>
      </c>
      <c r="F4447" s="11" t="str">
        <f t="shared" si="353"/>
        <v/>
      </c>
      <c r="G4447" s="10" t="str">
        <v/>
      </c>
      <c r="H4447" s="11" t="str">
        <v/>
      </c>
      <c r="I4447" s="11" t="str">
        <v/>
      </c>
    </row>
    <row r="4448" spans="2:9">
      <c r="B4448" s="11" t="str">
        <f t="shared" si="351"/>
        <v/>
      </c>
      <c r="C4448" s="11" t="str">
        <f t="shared" si="354"/>
        <v/>
      </c>
      <c r="D4448" s="11" t="str">
        <f t="shared" si="355"/>
        <v/>
      </c>
      <c r="E4448" s="11" t="str">
        <f t="shared" si="352"/>
        <v/>
      </c>
      <c r="F4448" s="11" t="str">
        <f t="shared" si="353"/>
        <v/>
      </c>
      <c r="G4448" s="10" t="str">
        <v/>
      </c>
      <c r="H4448" s="11" t="str">
        <v/>
      </c>
      <c r="I4448" s="11" t="str">
        <v/>
      </c>
    </row>
    <row r="4449" spans="2:9">
      <c r="B4449" s="11" t="str">
        <f t="shared" si="351"/>
        <v/>
      </c>
      <c r="C4449" s="11" t="str">
        <f t="shared" si="354"/>
        <v/>
      </c>
      <c r="D4449" s="11" t="str">
        <f t="shared" si="355"/>
        <v/>
      </c>
      <c r="E4449" s="11" t="str">
        <f t="shared" si="352"/>
        <v/>
      </c>
      <c r="F4449" s="11" t="str">
        <f t="shared" si="353"/>
        <v/>
      </c>
      <c r="G4449" s="10" t="str">
        <v/>
      </c>
      <c r="H4449" s="11" t="str">
        <v/>
      </c>
      <c r="I4449" s="11" t="str">
        <v/>
      </c>
    </row>
    <row r="4450" spans="2:9">
      <c r="B4450" s="11" t="str">
        <f t="shared" si="351"/>
        <v/>
      </c>
      <c r="C4450" s="11" t="str">
        <f t="shared" si="354"/>
        <v/>
      </c>
      <c r="D4450" s="11" t="str">
        <f t="shared" si="355"/>
        <v/>
      </c>
      <c r="E4450" s="11" t="str">
        <f t="shared" si="352"/>
        <v/>
      </c>
      <c r="F4450" s="11" t="str">
        <f t="shared" si="353"/>
        <v/>
      </c>
      <c r="G4450" s="10" t="str">
        <v/>
      </c>
      <c r="H4450" s="11" t="str">
        <v/>
      </c>
      <c r="I4450" s="11" t="str">
        <v/>
      </c>
    </row>
    <row r="4451" spans="2:9">
      <c r="B4451" s="11" t="str">
        <f t="shared" si="351"/>
        <v/>
      </c>
      <c r="C4451" s="11" t="str">
        <f t="shared" si="354"/>
        <v/>
      </c>
      <c r="D4451" s="11" t="str">
        <f t="shared" si="355"/>
        <v/>
      </c>
      <c r="E4451" s="11" t="str">
        <f t="shared" si="352"/>
        <v/>
      </c>
      <c r="F4451" s="11" t="str">
        <f t="shared" si="353"/>
        <v/>
      </c>
      <c r="G4451" s="10" t="str">
        <v/>
      </c>
      <c r="H4451" s="11" t="str">
        <v/>
      </c>
      <c r="I4451" s="11" t="str">
        <v/>
      </c>
    </row>
    <row r="4452" spans="2:9">
      <c r="B4452" s="11" t="str">
        <f t="shared" si="351"/>
        <v/>
      </c>
      <c r="C4452" s="11" t="str">
        <f t="shared" si="354"/>
        <v/>
      </c>
      <c r="D4452" s="11" t="str">
        <f t="shared" si="355"/>
        <v/>
      </c>
      <c r="E4452" s="11" t="str">
        <f t="shared" si="352"/>
        <v/>
      </c>
      <c r="F4452" s="11" t="str">
        <f t="shared" si="353"/>
        <v/>
      </c>
      <c r="G4452" s="10" t="str">
        <v/>
      </c>
      <c r="H4452" s="11" t="str">
        <v/>
      </c>
      <c r="I4452" s="11" t="str">
        <v/>
      </c>
    </row>
    <row r="4453" spans="2:9">
      <c r="B4453" s="11" t="str">
        <f t="shared" si="351"/>
        <v/>
      </c>
      <c r="C4453" s="11" t="str">
        <f t="shared" si="354"/>
        <v/>
      </c>
      <c r="D4453" s="11" t="str">
        <f t="shared" si="355"/>
        <v/>
      </c>
      <c r="E4453" s="11" t="str">
        <f t="shared" si="352"/>
        <v/>
      </c>
      <c r="F4453" s="11" t="str">
        <f t="shared" si="353"/>
        <v/>
      </c>
      <c r="G4453" s="10" t="str">
        <v/>
      </c>
      <c r="H4453" s="11" t="str">
        <v/>
      </c>
      <c r="I4453" s="11" t="str">
        <v/>
      </c>
    </row>
    <row r="4454" spans="2:9">
      <c r="B4454" s="11" t="str">
        <f t="shared" si="351"/>
        <v/>
      </c>
      <c r="C4454" s="11" t="str">
        <f t="shared" si="354"/>
        <v/>
      </c>
      <c r="D4454" s="11" t="str">
        <f t="shared" si="355"/>
        <v/>
      </c>
      <c r="E4454" s="11" t="str">
        <f t="shared" si="352"/>
        <v/>
      </c>
      <c r="F4454" s="11" t="str">
        <f t="shared" si="353"/>
        <v/>
      </c>
      <c r="G4454" s="10" t="str">
        <v/>
      </c>
      <c r="H4454" s="11" t="str">
        <v/>
      </c>
      <c r="I4454" s="11" t="str">
        <v/>
      </c>
    </row>
    <row r="4455" spans="2:9">
      <c r="B4455" s="11" t="str">
        <f t="shared" si="351"/>
        <v/>
      </c>
      <c r="C4455" s="11" t="str">
        <f t="shared" si="354"/>
        <v/>
      </c>
      <c r="D4455" s="11" t="str">
        <f t="shared" si="355"/>
        <v/>
      </c>
      <c r="E4455" s="11" t="str">
        <f t="shared" si="352"/>
        <v/>
      </c>
      <c r="F4455" s="11" t="str">
        <f t="shared" si="353"/>
        <v/>
      </c>
      <c r="G4455" s="10" t="str">
        <v/>
      </c>
      <c r="H4455" s="11" t="str">
        <v/>
      </c>
      <c r="I4455" s="11" t="str">
        <v/>
      </c>
    </row>
    <row r="4456" spans="2:9">
      <c r="B4456" s="11" t="str">
        <f t="shared" si="351"/>
        <v/>
      </c>
      <c r="C4456" s="11" t="str">
        <f t="shared" si="354"/>
        <v/>
      </c>
      <c r="D4456" s="11" t="str">
        <f t="shared" si="355"/>
        <v/>
      </c>
      <c r="E4456" s="11" t="str">
        <f t="shared" si="352"/>
        <v/>
      </c>
      <c r="F4456" s="11" t="str">
        <f t="shared" si="353"/>
        <v/>
      </c>
      <c r="G4456" s="10" t="str">
        <v/>
      </c>
      <c r="H4456" s="11" t="str">
        <v/>
      </c>
      <c r="I4456" s="11" t="str">
        <v/>
      </c>
    </row>
    <row r="4457" spans="2:9">
      <c r="B4457" s="11" t="str">
        <f t="shared" si="351"/>
        <v/>
      </c>
      <c r="C4457" s="11" t="str">
        <f t="shared" si="354"/>
        <v/>
      </c>
      <c r="D4457" s="11" t="str">
        <f t="shared" si="355"/>
        <v/>
      </c>
      <c r="E4457" s="11" t="str">
        <f t="shared" si="352"/>
        <v/>
      </c>
      <c r="F4457" s="11" t="str">
        <f t="shared" si="353"/>
        <v/>
      </c>
      <c r="G4457" s="10" t="str">
        <v/>
      </c>
      <c r="H4457" s="11" t="str">
        <v/>
      </c>
      <c r="I4457" s="11" t="str">
        <v/>
      </c>
    </row>
    <row r="4458" spans="2:9">
      <c r="B4458" s="11" t="str">
        <f t="shared" si="351"/>
        <v/>
      </c>
      <c r="C4458" s="11" t="str">
        <f t="shared" si="354"/>
        <v/>
      </c>
      <c r="D4458" s="11" t="str">
        <f t="shared" si="355"/>
        <v/>
      </c>
      <c r="E4458" s="11" t="str">
        <f t="shared" si="352"/>
        <v/>
      </c>
      <c r="F4458" s="11" t="str">
        <f t="shared" si="353"/>
        <v/>
      </c>
      <c r="G4458" s="10" t="str">
        <v/>
      </c>
      <c r="H4458" s="11" t="str">
        <v/>
      </c>
      <c r="I4458" s="11" t="str">
        <v/>
      </c>
    </row>
    <row r="4459" spans="2:9">
      <c r="B4459" s="11" t="str">
        <f t="shared" si="351"/>
        <v/>
      </c>
      <c r="C4459" s="11" t="str">
        <f t="shared" si="354"/>
        <v/>
      </c>
      <c r="D4459" s="11" t="str">
        <f t="shared" si="355"/>
        <v/>
      </c>
      <c r="E4459" s="11" t="str">
        <f t="shared" si="352"/>
        <v/>
      </c>
      <c r="F4459" s="11" t="str">
        <f t="shared" si="353"/>
        <v/>
      </c>
      <c r="G4459" s="10" t="str">
        <v/>
      </c>
      <c r="H4459" s="11" t="str">
        <v/>
      </c>
      <c r="I4459" s="11" t="str">
        <v/>
      </c>
    </row>
    <row r="4460" spans="2:9">
      <c r="B4460" s="11" t="str">
        <f t="shared" si="351"/>
        <v/>
      </c>
      <c r="C4460" s="11" t="str">
        <f t="shared" si="354"/>
        <v/>
      </c>
      <c r="D4460" s="11" t="str">
        <f t="shared" si="355"/>
        <v/>
      </c>
      <c r="E4460" s="11" t="str">
        <f t="shared" si="352"/>
        <v/>
      </c>
      <c r="F4460" s="11" t="str">
        <f t="shared" si="353"/>
        <v/>
      </c>
      <c r="G4460" s="10" t="str">
        <v/>
      </c>
      <c r="H4460" s="11" t="str">
        <v/>
      </c>
      <c r="I4460" s="11" t="str">
        <v/>
      </c>
    </row>
    <row r="4461" spans="2:9">
      <c r="B4461" s="11" t="str">
        <f t="shared" si="351"/>
        <v/>
      </c>
      <c r="C4461" s="11" t="str">
        <f t="shared" si="354"/>
        <v/>
      </c>
      <c r="D4461" s="11" t="str">
        <f t="shared" si="355"/>
        <v/>
      </c>
      <c r="E4461" s="11" t="str">
        <f t="shared" si="352"/>
        <v/>
      </c>
      <c r="F4461" s="11" t="str">
        <f t="shared" si="353"/>
        <v/>
      </c>
      <c r="G4461" s="10" t="str">
        <v/>
      </c>
      <c r="H4461" s="11" t="str">
        <v/>
      </c>
      <c r="I4461" s="11" t="str">
        <v/>
      </c>
    </row>
    <row r="4462" spans="2:9">
      <c r="B4462" s="11" t="str">
        <f t="shared" si="351"/>
        <v/>
      </c>
      <c r="C4462" s="11" t="str">
        <f t="shared" si="354"/>
        <v/>
      </c>
      <c r="D4462" s="11" t="str">
        <f t="shared" si="355"/>
        <v/>
      </c>
      <c r="E4462" s="11" t="str">
        <f t="shared" si="352"/>
        <v/>
      </c>
      <c r="F4462" s="11" t="str">
        <f t="shared" si="353"/>
        <v/>
      </c>
      <c r="G4462" s="10" t="str">
        <v/>
      </c>
      <c r="H4462" s="11" t="str">
        <v/>
      </c>
      <c r="I4462" s="11" t="str">
        <v/>
      </c>
    </row>
    <row r="4463" spans="2:9">
      <c r="B4463" s="11" t="str">
        <f t="shared" si="351"/>
        <v/>
      </c>
      <c r="C4463" s="11" t="str">
        <f t="shared" si="354"/>
        <v/>
      </c>
      <c r="D4463" s="11" t="str">
        <f t="shared" si="355"/>
        <v/>
      </c>
      <c r="E4463" s="11" t="str">
        <f t="shared" si="352"/>
        <v/>
      </c>
      <c r="F4463" s="11" t="str">
        <f t="shared" si="353"/>
        <v/>
      </c>
      <c r="G4463" s="10" t="str">
        <v/>
      </c>
      <c r="H4463" s="11" t="str">
        <v/>
      </c>
      <c r="I4463" s="11" t="str">
        <v/>
      </c>
    </row>
    <row r="4464" spans="2:9">
      <c r="B4464" s="11" t="str">
        <f t="shared" si="351"/>
        <v/>
      </c>
      <c r="C4464" s="11" t="str">
        <f t="shared" si="354"/>
        <v/>
      </c>
      <c r="D4464" s="11" t="str">
        <f t="shared" si="355"/>
        <v/>
      </c>
      <c r="E4464" s="11" t="str">
        <f t="shared" si="352"/>
        <v/>
      </c>
      <c r="F4464" s="11" t="str">
        <f t="shared" si="353"/>
        <v/>
      </c>
      <c r="G4464" s="10" t="str">
        <v/>
      </c>
      <c r="H4464" s="11" t="str">
        <v/>
      </c>
      <c r="I4464" s="11" t="str">
        <v/>
      </c>
    </row>
    <row r="4465" spans="2:9">
      <c r="B4465" s="11" t="str">
        <f t="shared" si="351"/>
        <v/>
      </c>
      <c r="C4465" s="11" t="str">
        <f t="shared" si="354"/>
        <v/>
      </c>
      <c r="D4465" s="11" t="str">
        <f t="shared" si="355"/>
        <v/>
      </c>
      <c r="E4465" s="11" t="str">
        <f t="shared" si="352"/>
        <v/>
      </c>
      <c r="F4465" s="11" t="str">
        <f t="shared" si="353"/>
        <v/>
      </c>
      <c r="G4465" s="10" t="str">
        <v/>
      </c>
      <c r="H4465" s="11" t="str">
        <v/>
      </c>
      <c r="I4465" s="11" t="str">
        <v/>
      </c>
    </row>
    <row r="4466" spans="2:9">
      <c r="B4466" s="11" t="str">
        <f t="shared" si="351"/>
        <v/>
      </c>
      <c r="C4466" s="11" t="str">
        <f t="shared" si="354"/>
        <v/>
      </c>
      <c r="D4466" s="11" t="str">
        <f t="shared" si="355"/>
        <v/>
      </c>
      <c r="E4466" s="11" t="str">
        <f t="shared" si="352"/>
        <v/>
      </c>
      <c r="F4466" s="11" t="str">
        <f t="shared" si="353"/>
        <v/>
      </c>
      <c r="G4466" s="10" t="str">
        <v/>
      </c>
      <c r="H4466" s="11" t="str">
        <v/>
      </c>
      <c r="I4466" s="11" t="str">
        <v/>
      </c>
    </row>
    <row r="4467" spans="2:9">
      <c r="B4467" s="11" t="str">
        <f t="shared" si="351"/>
        <v/>
      </c>
      <c r="C4467" s="11" t="str">
        <f t="shared" si="354"/>
        <v/>
      </c>
      <c r="D4467" s="11" t="str">
        <f t="shared" si="355"/>
        <v/>
      </c>
      <c r="E4467" s="11" t="str">
        <f t="shared" si="352"/>
        <v/>
      </c>
      <c r="F4467" s="11" t="str">
        <f t="shared" si="353"/>
        <v/>
      </c>
      <c r="G4467" s="10" t="str">
        <v/>
      </c>
      <c r="H4467" s="11" t="str">
        <v/>
      </c>
      <c r="I4467" s="11" t="str">
        <v/>
      </c>
    </row>
    <row r="4468" spans="2:9">
      <c r="B4468" s="11" t="str">
        <f t="shared" si="351"/>
        <v/>
      </c>
      <c r="C4468" s="11" t="str">
        <f t="shared" si="354"/>
        <v/>
      </c>
      <c r="D4468" s="11" t="str">
        <f t="shared" si="355"/>
        <v/>
      </c>
      <c r="E4468" s="11" t="str">
        <f t="shared" si="352"/>
        <v/>
      </c>
      <c r="F4468" s="11" t="str">
        <f t="shared" si="353"/>
        <v/>
      </c>
      <c r="G4468" s="10" t="str">
        <v/>
      </c>
      <c r="H4468" s="11" t="str">
        <v/>
      </c>
      <c r="I4468" s="11" t="str">
        <v/>
      </c>
    </row>
    <row r="4469" spans="2:9">
      <c r="B4469" s="11" t="str">
        <f t="shared" si="351"/>
        <v/>
      </c>
      <c r="C4469" s="11" t="str">
        <f t="shared" si="354"/>
        <v/>
      </c>
      <c r="D4469" s="11" t="str">
        <f t="shared" si="355"/>
        <v/>
      </c>
      <c r="E4469" s="11" t="str">
        <f t="shared" si="352"/>
        <v/>
      </c>
      <c r="F4469" s="11" t="str">
        <f t="shared" si="353"/>
        <v/>
      </c>
      <c r="G4469" s="10" t="str">
        <v/>
      </c>
      <c r="H4469" s="11" t="str">
        <v/>
      </c>
      <c r="I4469" s="11" t="str">
        <v/>
      </c>
    </row>
    <row r="4470" spans="2:9">
      <c r="B4470" s="11" t="str">
        <f t="shared" si="351"/>
        <v/>
      </c>
      <c r="C4470" s="11" t="str">
        <f t="shared" si="354"/>
        <v/>
      </c>
      <c r="D4470" s="11" t="str">
        <f t="shared" si="355"/>
        <v/>
      </c>
      <c r="E4470" s="11" t="str">
        <f t="shared" si="352"/>
        <v/>
      </c>
      <c r="F4470" s="11" t="str">
        <f t="shared" si="353"/>
        <v/>
      </c>
      <c r="G4470" s="10" t="str">
        <v/>
      </c>
      <c r="H4470" s="11" t="str">
        <v/>
      </c>
      <c r="I4470" s="11" t="str">
        <v/>
      </c>
    </row>
    <row r="4471" spans="2:9">
      <c r="B4471" s="11" t="str">
        <f t="shared" si="351"/>
        <v/>
      </c>
      <c r="C4471" s="11" t="str">
        <f t="shared" si="354"/>
        <v/>
      </c>
      <c r="D4471" s="11" t="str">
        <f t="shared" si="355"/>
        <v/>
      </c>
      <c r="E4471" s="11" t="str">
        <f t="shared" si="352"/>
        <v/>
      </c>
      <c r="F4471" s="11" t="str">
        <f t="shared" si="353"/>
        <v/>
      </c>
      <c r="G4471" s="10" t="str">
        <v/>
      </c>
      <c r="H4471" s="11" t="str">
        <v/>
      </c>
      <c r="I4471" s="11" t="str">
        <v/>
      </c>
    </row>
    <row r="4472" spans="2:9">
      <c r="B4472" s="11" t="str">
        <f t="shared" si="351"/>
        <v/>
      </c>
      <c r="C4472" s="11" t="str">
        <f t="shared" si="354"/>
        <v/>
      </c>
      <c r="D4472" s="11" t="str">
        <f t="shared" si="355"/>
        <v/>
      </c>
      <c r="E4472" s="11" t="str">
        <f t="shared" si="352"/>
        <v/>
      </c>
      <c r="F4472" s="11" t="str">
        <f t="shared" si="353"/>
        <v/>
      </c>
      <c r="G4472" s="10" t="str">
        <v/>
      </c>
      <c r="H4472" s="11" t="str">
        <v/>
      </c>
      <c r="I4472" s="11" t="str">
        <v/>
      </c>
    </row>
    <row r="4473" spans="2:9">
      <c r="B4473" s="11" t="str">
        <f t="shared" si="351"/>
        <v/>
      </c>
      <c r="C4473" s="11" t="str">
        <f t="shared" si="354"/>
        <v/>
      </c>
      <c r="D4473" s="11" t="str">
        <f t="shared" si="355"/>
        <v/>
      </c>
      <c r="E4473" s="11" t="str">
        <f t="shared" si="352"/>
        <v/>
      </c>
      <c r="F4473" s="11" t="str">
        <f t="shared" si="353"/>
        <v/>
      </c>
      <c r="G4473" s="10" t="str">
        <v/>
      </c>
      <c r="H4473" s="11" t="str">
        <v/>
      </c>
      <c r="I4473" s="11" t="str">
        <v/>
      </c>
    </row>
    <row r="4474" spans="2:9">
      <c r="B4474" s="11" t="str">
        <f t="shared" si="351"/>
        <v/>
      </c>
      <c r="C4474" s="11" t="str">
        <f t="shared" si="354"/>
        <v/>
      </c>
      <c r="D4474" s="11" t="str">
        <f t="shared" si="355"/>
        <v/>
      </c>
      <c r="E4474" s="11" t="str">
        <f t="shared" si="352"/>
        <v/>
      </c>
      <c r="F4474" s="11" t="str">
        <f t="shared" si="353"/>
        <v/>
      </c>
      <c r="G4474" s="10" t="str">
        <v/>
      </c>
      <c r="H4474" s="11" t="str">
        <v/>
      </c>
      <c r="I4474" s="11" t="str">
        <v/>
      </c>
    </row>
    <row r="4475" spans="2:9">
      <c r="B4475" s="11" t="str">
        <f t="shared" si="351"/>
        <v/>
      </c>
      <c r="C4475" s="11" t="str">
        <f t="shared" si="354"/>
        <v/>
      </c>
      <c r="D4475" s="11" t="str">
        <f t="shared" si="355"/>
        <v/>
      </c>
      <c r="E4475" s="11" t="str">
        <f t="shared" si="352"/>
        <v/>
      </c>
      <c r="F4475" s="11" t="str">
        <f t="shared" si="353"/>
        <v/>
      </c>
      <c r="G4475" s="10" t="str">
        <v/>
      </c>
      <c r="H4475" s="11" t="str">
        <v/>
      </c>
      <c r="I4475" s="11" t="str">
        <v/>
      </c>
    </row>
    <row r="4476" spans="2:9">
      <c r="B4476" s="11" t="str">
        <f t="shared" si="351"/>
        <v/>
      </c>
      <c r="C4476" s="11" t="str">
        <f t="shared" si="354"/>
        <v/>
      </c>
      <c r="D4476" s="11" t="str">
        <f t="shared" si="355"/>
        <v/>
      </c>
      <c r="E4476" s="11" t="str">
        <f t="shared" si="352"/>
        <v/>
      </c>
      <c r="F4476" s="11" t="str">
        <f t="shared" si="353"/>
        <v/>
      </c>
      <c r="G4476" s="10" t="str">
        <v/>
      </c>
      <c r="H4476" s="11" t="str">
        <v/>
      </c>
      <c r="I4476" s="11" t="str">
        <v/>
      </c>
    </row>
    <row r="4477" spans="2:9">
      <c r="B4477" s="11" t="str">
        <f t="shared" si="351"/>
        <v/>
      </c>
      <c r="C4477" s="11" t="str">
        <f t="shared" si="354"/>
        <v/>
      </c>
      <c r="D4477" s="11" t="str">
        <f t="shared" si="355"/>
        <v/>
      </c>
      <c r="E4477" s="11" t="str">
        <f t="shared" si="352"/>
        <v/>
      </c>
      <c r="F4477" s="11" t="str">
        <f t="shared" si="353"/>
        <v/>
      </c>
      <c r="G4477" s="10" t="str">
        <v/>
      </c>
      <c r="H4477" s="11" t="str">
        <v/>
      </c>
      <c r="I4477" s="11" t="str">
        <v/>
      </c>
    </row>
    <row r="4478" spans="2:9">
      <c r="B4478" s="11" t="str">
        <f t="shared" si="351"/>
        <v/>
      </c>
      <c r="C4478" s="11" t="str">
        <f t="shared" si="354"/>
        <v/>
      </c>
      <c r="D4478" s="11" t="str">
        <f t="shared" si="355"/>
        <v/>
      </c>
      <c r="E4478" s="11" t="str">
        <f t="shared" si="352"/>
        <v/>
      </c>
      <c r="F4478" s="11" t="str">
        <f t="shared" si="353"/>
        <v/>
      </c>
      <c r="G4478" s="10" t="str">
        <v/>
      </c>
      <c r="H4478" s="11" t="str">
        <v/>
      </c>
      <c r="I4478" s="11" t="str">
        <v/>
      </c>
    </row>
    <row r="4479" spans="2:9">
      <c r="B4479" s="11" t="str">
        <f t="shared" si="351"/>
        <v/>
      </c>
      <c r="C4479" s="11" t="str">
        <f t="shared" si="354"/>
        <v/>
      </c>
      <c r="D4479" s="11" t="str">
        <f t="shared" si="355"/>
        <v/>
      </c>
      <c r="E4479" s="11" t="str">
        <f t="shared" si="352"/>
        <v/>
      </c>
      <c r="F4479" s="11" t="str">
        <f t="shared" si="353"/>
        <v/>
      </c>
      <c r="G4479" s="10" t="str">
        <v/>
      </c>
      <c r="H4479" s="11" t="str">
        <v/>
      </c>
      <c r="I4479" s="11" t="str">
        <v/>
      </c>
    </row>
    <row r="4480" spans="2:9">
      <c r="B4480" s="11" t="str">
        <f t="shared" si="351"/>
        <v/>
      </c>
      <c r="C4480" s="11" t="str">
        <f t="shared" si="354"/>
        <v/>
      </c>
      <c r="D4480" s="11" t="str">
        <f t="shared" si="355"/>
        <v/>
      </c>
      <c r="E4480" s="11" t="str">
        <f t="shared" si="352"/>
        <v/>
      </c>
      <c r="F4480" s="11" t="str">
        <f t="shared" si="353"/>
        <v/>
      </c>
      <c r="G4480" s="10" t="str">
        <v/>
      </c>
      <c r="H4480" s="11" t="str">
        <v/>
      </c>
      <c r="I4480" s="11" t="str">
        <v/>
      </c>
    </row>
    <row r="4481" spans="2:9">
      <c r="B4481" s="11" t="str">
        <f t="shared" ref="B4481:B4544" si="356">IFERROR(IF(FIND(" ",A4481)=6,IF(IFERROR(FIND(" PB",A4481),"")&lt;&gt;"","артикул",IF(IFERROR(FIND(" CRN",A4481),"")&lt;&gt;"","артикул","")),""),"")</f>
        <v/>
      </c>
      <c r="C4481" s="11" t="str">
        <f t="shared" si="354"/>
        <v/>
      </c>
      <c r="D4481" s="11" t="str">
        <f t="shared" si="355"/>
        <v/>
      </c>
      <c r="E4481" s="11" t="str">
        <f t="shared" si="352"/>
        <v/>
      </c>
      <c r="F4481" s="11" t="str">
        <f t="shared" si="353"/>
        <v/>
      </c>
      <c r="G4481" s="10" t="str">
        <v/>
      </c>
      <c r="H4481" s="11" t="str">
        <v/>
      </c>
      <c r="I4481" s="11" t="str">
        <v/>
      </c>
    </row>
    <row r="4482" spans="2:9">
      <c r="B4482" s="11" t="str">
        <f t="shared" si="356"/>
        <v/>
      </c>
      <c r="C4482" s="11" t="str">
        <f t="shared" si="354"/>
        <v/>
      </c>
      <c r="D4482" s="11" t="str">
        <f t="shared" si="355"/>
        <v/>
      </c>
      <c r="E4482" s="11" t="str">
        <f t="shared" ref="E4482:E4545" si="357" xml:space="preserve">
IF(B4482="Артикул",
IF(
AND(RIGHT(A4483,1)="%",
RIGHT(A4484,1)="%",
RIGHT(A4485,1)="%",
RIGHT(A4486,1)="%"),MID(A4487,FIND(" ",A4487),50),
IF(
AND(RIGHT(A4483,1)="%",
RIGHT(A4484,1)="%",
RIGHT(A4485,1)="%"),MID(A4486,FIND(" ",A4486),50),
IF(
AND(RIGHT(A4483,1)="%",
RIGHT(A4484,1)="%"),
MID(A4485,FIND(" ",A4485),50),
IF(
RIGHT(A4483,1)="%",
MID(A4484,FIND(" ",A4484),50),"")))),"")</f>
        <v/>
      </c>
      <c r="F4482" s="11" t="str">
        <f t="shared" ref="F4482:F4545" si="358">IFERROR(
IF(
AND(LEFT(A4482,8)="Discount",FIND("%",A4482)&gt;0),
MID(A4482,
FIND(" ",A4482),
FIND("%",A4482)-FIND(" ",A4482))
*-1,""),"")</f>
        <v/>
      </c>
      <c r="G4482" s="10" t="str">
        <v/>
      </c>
      <c r="H4482" s="11" t="str">
        <v/>
      </c>
      <c r="I4482" s="11" t="str">
        <v/>
      </c>
    </row>
    <row r="4483" spans="2:9">
      <c r="B4483" s="11" t="str">
        <f t="shared" si="356"/>
        <v/>
      </c>
      <c r="C4483" s="11" t="str">
        <f t="shared" si="354"/>
        <v/>
      </c>
      <c r="D4483" s="11" t="str">
        <f t="shared" si="355"/>
        <v/>
      </c>
      <c r="E4483" s="11" t="str">
        <f t="shared" si="357"/>
        <v/>
      </c>
      <c r="F4483" s="11" t="str">
        <f t="shared" si="358"/>
        <v/>
      </c>
      <c r="G4483" s="10" t="str">
        <v/>
      </c>
      <c r="H4483" s="11" t="str">
        <v/>
      </c>
      <c r="I4483" s="11" t="str">
        <v/>
      </c>
    </row>
    <row r="4484" spans="2:9">
      <c r="B4484" s="11" t="str">
        <f t="shared" si="356"/>
        <v/>
      </c>
      <c r="C4484" s="11" t="str">
        <f t="shared" si="354"/>
        <v/>
      </c>
      <c r="D4484" s="11" t="str">
        <f t="shared" si="355"/>
        <v/>
      </c>
      <c r="E4484" s="11" t="str">
        <f t="shared" si="357"/>
        <v/>
      </c>
      <c r="F4484" s="11" t="str">
        <f t="shared" si="358"/>
        <v/>
      </c>
      <c r="G4484" s="10" t="str">
        <v/>
      </c>
      <c r="H4484" s="11" t="str">
        <v/>
      </c>
      <c r="I4484" s="11" t="str">
        <v/>
      </c>
    </row>
    <row r="4485" spans="2:9">
      <c r="B4485" s="11" t="str">
        <f t="shared" si="356"/>
        <v/>
      </c>
      <c r="C4485" s="11" t="str">
        <f t="shared" si="354"/>
        <v/>
      </c>
      <c r="D4485" s="11" t="str">
        <f t="shared" si="355"/>
        <v/>
      </c>
      <c r="E4485" s="11" t="str">
        <f t="shared" si="357"/>
        <v/>
      </c>
      <c r="F4485" s="11" t="str">
        <f t="shared" si="358"/>
        <v/>
      </c>
      <c r="G4485" s="10" t="str">
        <v/>
      </c>
      <c r="H4485" s="11" t="str">
        <v/>
      </c>
      <c r="I4485" s="11" t="str">
        <v/>
      </c>
    </row>
    <row r="4486" spans="2:9">
      <c r="B4486" s="11" t="str">
        <f t="shared" si="356"/>
        <v/>
      </c>
      <c r="C4486" s="11" t="str">
        <f t="shared" si="354"/>
        <v/>
      </c>
      <c r="D4486" s="11" t="str">
        <f t="shared" si="355"/>
        <v/>
      </c>
      <c r="E4486" s="11" t="str">
        <f t="shared" si="357"/>
        <v/>
      </c>
      <c r="F4486" s="11" t="str">
        <f t="shared" si="358"/>
        <v/>
      </c>
      <c r="G4486" s="10" t="str">
        <v/>
      </c>
      <c r="H4486" s="11" t="str">
        <v/>
      </c>
      <c r="I4486" s="11" t="str">
        <v/>
      </c>
    </row>
    <row r="4487" spans="2:9">
      <c r="B4487" s="11" t="str">
        <f t="shared" si="356"/>
        <v/>
      </c>
      <c r="C4487" s="11" t="str">
        <f t="shared" si="354"/>
        <v/>
      </c>
      <c r="D4487" s="11" t="str">
        <f t="shared" si="355"/>
        <v/>
      </c>
      <c r="E4487" s="11" t="str">
        <f t="shared" si="357"/>
        <v/>
      </c>
      <c r="F4487" s="11" t="str">
        <f t="shared" si="358"/>
        <v/>
      </c>
      <c r="G4487" s="10" t="str">
        <v/>
      </c>
      <c r="H4487" s="11" t="str">
        <v/>
      </c>
      <c r="I4487" s="11" t="str">
        <v/>
      </c>
    </row>
    <row r="4488" spans="2:9">
      <c r="B4488" s="11" t="str">
        <f t="shared" si="356"/>
        <v/>
      </c>
      <c r="C4488" s="11" t="str">
        <f t="shared" si="354"/>
        <v/>
      </c>
      <c r="D4488" s="11" t="str">
        <f t="shared" si="355"/>
        <v/>
      </c>
      <c r="E4488" s="11" t="str">
        <f t="shared" si="357"/>
        <v/>
      </c>
      <c r="F4488" s="11" t="str">
        <f t="shared" si="358"/>
        <v/>
      </c>
      <c r="G4488" s="10" t="str">
        <v/>
      </c>
      <c r="H4488" s="11" t="str">
        <v/>
      </c>
      <c r="I4488" s="11" t="str">
        <v/>
      </c>
    </row>
    <row r="4489" spans="2:9">
      <c r="B4489" s="11" t="str">
        <f t="shared" si="356"/>
        <v/>
      </c>
      <c r="C4489" s="11" t="str">
        <f t="shared" si="354"/>
        <v/>
      </c>
      <c r="D4489" s="11" t="str">
        <f t="shared" si="355"/>
        <v/>
      </c>
      <c r="E4489" s="11" t="str">
        <f t="shared" si="357"/>
        <v/>
      </c>
      <c r="F4489" s="11" t="str">
        <f t="shared" si="358"/>
        <v/>
      </c>
      <c r="G4489" s="10" t="str">
        <v/>
      </c>
      <c r="H4489" s="11" t="str">
        <v/>
      </c>
      <c r="I4489" s="11" t="str">
        <v/>
      </c>
    </row>
    <row r="4490" spans="2:9">
      <c r="B4490" s="11" t="str">
        <f t="shared" si="356"/>
        <v/>
      </c>
      <c r="C4490" s="11" t="str">
        <f t="shared" si="354"/>
        <v/>
      </c>
      <c r="D4490" s="11" t="str">
        <f t="shared" si="355"/>
        <v/>
      </c>
      <c r="E4490" s="11" t="str">
        <f t="shared" si="357"/>
        <v/>
      </c>
      <c r="F4490" s="11" t="str">
        <f t="shared" si="358"/>
        <v/>
      </c>
      <c r="G4490" s="10" t="str">
        <v/>
      </c>
      <c r="H4490" s="11" t="str">
        <v/>
      </c>
      <c r="I4490" s="11" t="str">
        <v/>
      </c>
    </row>
    <row r="4491" spans="2:9">
      <c r="B4491" s="11" t="str">
        <f t="shared" si="356"/>
        <v/>
      </c>
      <c r="C4491" s="11" t="str">
        <f t="shared" si="354"/>
        <v/>
      </c>
      <c r="D4491" s="11" t="str">
        <f t="shared" si="355"/>
        <v/>
      </c>
      <c r="E4491" s="11" t="str">
        <f t="shared" si="357"/>
        <v/>
      </c>
      <c r="F4491" s="11" t="str">
        <f t="shared" si="358"/>
        <v/>
      </c>
      <c r="G4491" s="10" t="str">
        <v/>
      </c>
      <c r="H4491" s="11" t="str">
        <v/>
      </c>
      <c r="I4491" s="11" t="str">
        <v/>
      </c>
    </row>
    <row r="4492" spans="2:9">
      <c r="B4492" s="11" t="str">
        <f t="shared" si="356"/>
        <v/>
      </c>
      <c r="C4492" s="11" t="str">
        <f t="shared" si="354"/>
        <v/>
      </c>
      <c r="D4492" s="11" t="str">
        <f t="shared" si="355"/>
        <v/>
      </c>
      <c r="E4492" s="11" t="str">
        <f t="shared" si="357"/>
        <v/>
      </c>
      <c r="F4492" s="11" t="str">
        <f t="shared" si="358"/>
        <v/>
      </c>
      <c r="G4492" s="10" t="str">
        <v/>
      </c>
      <c r="H4492" s="11" t="str">
        <v/>
      </c>
      <c r="I4492" s="11" t="str">
        <v/>
      </c>
    </row>
    <row r="4493" spans="2:9">
      <c r="B4493" s="11" t="str">
        <f t="shared" si="356"/>
        <v/>
      </c>
      <c r="C4493" s="11" t="str">
        <f t="shared" ref="C4493:C4556" si="359">IF(B4493="артикул",A4493,"")</f>
        <v/>
      </c>
      <c r="D4493" s="11" t="str">
        <f t="shared" ref="D4493:D4556" si="360">IF(B4493="артикул",A4494,"")</f>
        <v/>
      </c>
      <c r="E4493" s="11" t="str">
        <f t="shared" si="357"/>
        <v/>
      </c>
      <c r="F4493" s="11" t="str">
        <f t="shared" si="358"/>
        <v/>
      </c>
      <c r="G4493" s="10" t="str">
        <v/>
      </c>
      <c r="H4493" s="11" t="str">
        <v/>
      </c>
      <c r="I4493" s="11" t="str">
        <v/>
      </c>
    </row>
    <row r="4494" spans="2:9">
      <c r="B4494" s="11" t="str">
        <f t="shared" si="356"/>
        <v/>
      </c>
      <c r="C4494" s="11" t="str">
        <f t="shared" si="359"/>
        <v/>
      </c>
      <c r="D4494" s="11" t="str">
        <f t="shared" si="360"/>
        <v/>
      </c>
      <c r="E4494" s="11" t="str">
        <f t="shared" si="357"/>
        <v/>
      </c>
      <c r="F4494" s="11" t="str">
        <f t="shared" si="358"/>
        <v/>
      </c>
      <c r="G4494" s="10" t="str">
        <v/>
      </c>
      <c r="H4494" s="11" t="str">
        <v/>
      </c>
      <c r="I4494" s="11" t="str">
        <v/>
      </c>
    </row>
    <row r="4495" spans="2:9">
      <c r="B4495" s="11" t="str">
        <f t="shared" si="356"/>
        <v/>
      </c>
      <c r="C4495" s="11" t="str">
        <f t="shared" si="359"/>
        <v/>
      </c>
      <c r="D4495" s="11" t="str">
        <f t="shared" si="360"/>
        <v/>
      </c>
      <c r="E4495" s="11" t="str">
        <f t="shared" si="357"/>
        <v/>
      </c>
      <c r="F4495" s="11" t="str">
        <f t="shared" si="358"/>
        <v/>
      </c>
      <c r="G4495" s="10" t="str">
        <v/>
      </c>
      <c r="H4495" s="11" t="str">
        <v/>
      </c>
      <c r="I4495" s="11" t="str">
        <v/>
      </c>
    </row>
    <row r="4496" spans="2:9">
      <c r="B4496" s="11" t="str">
        <f t="shared" si="356"/>
        <v/>
      </c>
      <c r="C4496" s="11" t="str">
        <f t="shared" si="359"/>
        <v/>
      </c>
      <c r="D4496" s="11" t="str">
        <f t="shared" si="360"/>
        <v/>
      </c>
      <c r="E4496" s="11" t="str">
        <f t="shared" si="357"/>
        <v/>
      </c>
      <c r="F4496" s="11" t="str">
        <f t="shared" si="358"/>
        <v/>
      </c>
      <c r="G4496" s="10" t="str">
        <v/>
      </c>
      <c r="H4496" s="11" t="str">
        <v/>
      </c>
      <c r="I4496" s="11" t="str">
        <v/>
      </c>
    </row>
    <row r="4497" spans="2:9">
      <c r="B4497" s="11" t="str">
        <f t="shared" si="356"/>
        <v/>
      </c>
      <c r="C4497" s="11" t="str">
        <f t="shared" si="359"/>
        <v/>
      </c>
      <c r="D4497" s="11" t="str">
        <f t="shared" si="360"/>
        <v/>
      </c>
      <c r="E4497" s="11" t="str">
        <f t="shared" si="357"/>
        <v/>
      </c>
      <c r="F4497" s="11" t="str">
        <f t="shared" si="358"/>
        <v/>
      </c>
      <c r="G4497" s="10" t="str">
        <v/>
      </c>
      <c r="H4497" s="11" t="str">
        <v/>
      </c>
      <c r="I4497" s="11" t="str">
        <v/>
      </c>
    </row>
    <row r="4498" spans="2:9">
      <c r="B4498" s="11" t="str">
        <f t="shared" si="356"/>
        <v/>
      </c>
      <c r="C4498" s="11" t="str">
        <f t="shared" si="359"/>
        <v/>
      </c>
      <c r="D4498" s="11" t="str">
        <f t="shared" si="360"/>
        <v/>
      </c>
      <c r="E4498" s="11" t="str">
        <f t="shared" si="357"/>
        <v/>
      </c>
      <c r="F4498" s="11" t="str">
        <f t="shared" si="358"/>
        <v/>
      </c>
      <c r="G4498" s="10" t="str">
        <v/>
      </c>
      <c r="H4498" s="11" t="str">
        <v/>
      </c>
      <c r="I4498" s="11" t="str">
        <v/>
      </c>
    </row>
    <row r="4499" spans="2:9">
      <c r="B4499" s="11" t="str">
        <f t="shared" si="356"/>
        <v/>
      </c>
      <c r="C4499" s="11" t="str">
        <f t="shared" si="359"/>
        <v/>
      </c>
      <c r="D4499" s="11" t="str">
        <f t="shared" si="360"/>
        <v/>
      </c>
      <c r="E4499" s="11" t="str">
        <f t="shared" si="357"/>
        <v/>
      </c>
      <c r="F4499" s="11" t="str">
        <f t="shared" si="358"/>
        <v/>
      </c>
      <c r="G4499" s="10" t="str">
        <v/>
      </c>
      <c r="H4499" s="11" t="str">
        <v/>
      </c>
      <c r="I4499" s="11" t="str">
        <v/>
      </c>
    </row>
    <row r="4500" spans="2:9">
      <c r="B4500" s="11" t="str">
        <f t="shared" si="356"/>
        <v/>
      </c>
      <c r="C4500" s="11" t="str">
        <f t="shared" si="359"/>
        <v/>
      </c>
      <c r="D4500" s="11" t="str">
        <f t="shared" si="360"/>
        <v/>
      </c>
      <c r="E4500" s="11" t="str">
        <f t="shared" si="357"/>
        <v/>
      </c>
      <c r="F4500" s="11" t="str">
        <f t="shared" si="358"/>
        <v/>
      </c>
      <c r="G4500" s="10" t="str">
        <v/>
      </c>
      <c r="H4500" s="11" t="str">
        <v/>
      </c>
      <c r="I4500" s="11" t="str">
        <v/>
      </c>
    </row>
    <row r="4501" spans="2:9">
      <c r="B4501" s="11" t="str">
        <f t="shared" si="356"/>
        <v/>
      </c>
      <c r="C4501" s="11" t="str">
        <f t="shared" si="359"/>
        <v/>
      </c>
      <c r="D4501" s="11" t="str">
        <f t="shared" si="360"/>
        <v/>
      </c>
      <c r="E4501" s="11" t="str">
        <f t="shared" si="357"/>
        <v/>
      </c>
      <c r="F4501" s="11" t="str">
        <f t="shared" si="358"/>
        <v/>
      </c>
      <c r="G4501" s="10" t="str">
        <v/>
      </c>
      <c r="H4501" s="11" t="str">
        <v/>
      </c>
      <c r="I4501" s="11" t="str">
        <v/>
      </c>
    </row>
    <row r="4502" spans="2:9">
      <c r="B4502" s="11" t="str">
        <f t="shared" si="356"/>
        <v/>
      </c>
      <c r="C4502" s="11" t="str">
        <f t="shared" si="359"/>
        <v/>
      </c>
      <c r="D4502" s="11" t="str">
        <f t="shared" si="360"/>
        <v/>
      </c>
      <c r="E4502" s="11" t="str">
        <f t="shared" si="357"/>
        <v/>
      </c>
      <c r="F4502" s="11" t="str">
        <f t="shared" si="358"/>
        <v/>
      </c>
      <c r="G4502" s="10" t="str">
        <v/>
      </c>
      <c r="H4502" s="11" t="str">
        <v/>
      </c>
      <c r="I4502" s="11" t="str">
        <v/>
      </c>
    </row>
    <row r="4503" spans="2:9">
      <c r="B4503" s="11" t="str">
        <f t="shared" si="356"/>
        <v/>
      </c>
      <c r="C4503" s="11" t="str">
        <f t="shared" si="359"/>
        <v/>
      </c>
      <c r="D4503" s="11" t="str">
        <f t="shared" si="360"/>
        <v/>
      </c>
      <c r="E4503" s="11" t="str">
        <f t="shared" si="357"/>
        <v/>
      </c>
      <c r="F4503" s="11" t="str">
        <f t="shared" si="358"/>
        <v/>
      </c>
      <c r="G4503" s="10" t="str">
        <v/>
      </c>
      <c r="H4503" s="11" t="str">
        <v/>
      </c>
      <c r="I4503" s="11" t="str">
        <v/>
      </c>
    </row>
    <row r="4504" spans="2:9">
      <c r="B4504" s="11" t="str">
        <f t="shared" si="356"/>
        <v/>
      </c>
      <c r="C4504" s="11" t="str">
        <f t="shared" si="359"/>
        <v/>
      </c>
      <c r="D4504" s="11" t="str">
        <f t="shared" si="360"/>
        <v/>
      </c>
      <c r="E4504" s="11" t="str">
        <f t="shared" si="357"/>
        <v/>
      </c>
      <c r="F4504" s="11" t="str">
        <f t="shared" si="358"/>
        <v/>
      </c>
      <c r="G4504" s="10" t="str">
        <v/>
      </c>
      <c r="H4504" s="11" t="str">
        <v/>
      </c>
      <c r="I4504" s="11" t="str">
        <v/>
      </c>
    </row>
    <row r="4505" spans="2:9">
      <c r="B4505" s="11" t="str">
        <f t="shared" si="356"/>
        <v/>
      </c>
      <c r="C4505" s="11" t="str">
        <f t="shared" si="359"/>
        <v/>
      </c>
      <c r="D4505" s="11" t="str">
        <f t="shared" si="360"/>
        <v/>
      </c>
      <c r="E4505" s="11" t="str">
        <f t="shared" si="357"/>
        <v/>
      </c>
      <c r="F4505" s="11" t="str">
        <f t="shared" si="358"/>
        <v/>
      </c>
      <c r="G4505" s="10" t="str">
        <v/>
      </c>
      <c r="H4505" s="11" t="str">
        <v/>
      </c>
      <c r="I4505" s="11" t="str">
        <v/>
      </c>
    </row>
    <row r="4506" spans="2:9">
      <c r="B4506" s="11" t="str">
        <f t="shared" si="356"/>
        <v/>
      </c>
      <c r="C4506" s="11" t="str">
        <f t="shared" si="359"/>
        <v/>
      </c>
      <c r="D4506" s="11" t="str">
        <f t="shared" si="360"/>
        <v/>
      </c>
      <c r="E4506" s="11" t="str">
        <f t="shared" si="357"/>
        <v/>
      </c>
      <c r="F4506" s="11" t="str">
        <f t="shared" si="358"/>
        <v/>
      </c>
      <c r="G4506" s="10" t="str">
        <v/>
      </c>
      <c r="H4506" s="11" t="str">
        <v/>
      </c>
      <c r="I4506" s="11" t="str">
        <v/>
      </c>
    </row>
    <row r="4507" spans="2:9">
      <c r="B4507" s="11" t="str">
        <f t="shared" si="356"/>
        <v/>
      </c>
      <c r="C4507" s="11" t="str">
        <f t="shared" si="359"/>
        <v/>
      </c>
      <c r="D4507" s="11" t="str">
        <f t="shared" si="360"/>
        <v/>
      </c>
      <c r="E4507" s="11" t="str">
        <f t="shared" si="357"/>
        <v/>
      </c>
      <c r="F4507" s="11" t="str">
        <f t="shared" si="358"/>
        <v/>
      </c>
      <c r="G4507" s="10" t="str">
        <v/>
      </c>
      <c r="H4507" s="11" t="str">
        <v/>
      </c>
      <c r="I4507" s="11" t="str">
        <v/>
      </c>
    </row>
    <row r="4508" spans="2:9">
      <c r="B4508" s="11" t="str">
        <f t="shared" si="356"/>
        <v/>
      </c>
      <c r="C4508" s="11" t="str">
        <f t="shared" si="359"/>
        <v/>
      </c>
      <c r="D4508" s="11" t="str">
        <f t="shared" si="360"/>
        <v/>
      </c>
      <c r="E4508" s="11" t="str">
        <f t="shared" si="357"/>
        <v/>
      </c>
      <c r="F4508" s="11" t="str">
        <f t="shared" si="358"/>
        <v/>
      </c>
      <c r="G4508" s="10" t="str">
        <v/>
      </c>
      <c r="H4508" s="11" t="str">
        <v/>
      </c>
      <c r="I4508" s="11" t="str">
        <v/>
      </c>
    </row>
    <row r="4509" spans="2:9">
      <c r="B4509" s="11" t="str">
        <f t="shared" si="356"/>
        <v/>
      </c>
      <c r="C4509" s="11" t="str">
        <f t="shared" si="359"/>
        <v/>
      </c>
      <c r="D4509" s="11" t="str">
        <f t="shared" si="360"/>
        <v/>
      </c>
      <c r="E4509" s="11" t="str">
        <f t="shared" si="357"/>
        <v/>
      </c>
      <c r="F4509" s="11" t="str">
        <f t="shared" si="358"/>
        <v/>
      </c>
      <c r="G4509" s="10" t="str">
        <v/>
      </c>
      <c r="H4509" s="11" t="str">
        <v/>
      </c>
      <c r="I4509" s="11" t="str">
        <v/>
      </c>
    </row>
    <row r="4510" spans="2:9">
      <c r="B4510" s="11" t="str">
        <f t="shared" si="356"/>
        <v/>
      </c>
      <c r="C4510" s="11" t="str">
        <f t="shared" si="359"/>
        <v/>
      </c>
      <c r="D4510" s="11" t="str">
        <f t="shared" si="360"/>
        <v/>
      </c>
      <c r="E4510" s="11" t="str">
        <f t="shared" si="357"/>
        <v/>
      </c>
      <c r="F4510" s="11" t="str">
        <f t="shared" si="358"/>
        <v/>
      </c>
      <c r="G4510" s="10" t="str">
        <v/>
      </c>
      <c r="H4510" s="11" t="str">
        <v/>
      </c>
      <c r="I4510" s="11" t="str">
        <v/>
      </c>
    </row>
    <row r="4511" spans="2:9">
      <c r="B4511" s="11" t="str">
        <f t="shared" si="356"/>
        <v/>
      </c>
      <c r="C4511" s="11" t="str">
        <f t="shared" si="359"/>
        <v/>
      </c>
      <c r="D4511" s="11" t="str">
        <f t="shared" si="360"/>
        <v/>
      </c>
      <c r="E4511" s="11" t="str">
        <f t="shared" si="357"/>
        <v/>
      </c>
      <c r="F4511" s="11" t="str">
        <f t="shared" si="358"/>
        <v/>
      </c>
      <c r="G4511" s="10" t="str">
        <v/>
      </c>
      <c r="H4511" s="11" t="str">
        <v/>
      </c>
      <c r="I4511" s="11" t="str">
        <v/>
      </c>
    </row>
    <row r="4512" spans="2:9">
      <c r="B4512" s="11" t="str">
        <f t="shared" si="356"/>
        <v/>
      </c>
      <c r="C4512" s="11" t="str">
        <f t="shared" si="359"/>
        <v/>
      </c>
      <c r="D4512" s="11" t="str">
        <f t="shared" si="360"/>
        <v/>
      </c>
      <c r="E4512" s="11" t="str">
        <f t="shared" si="357"/>
        <v/>
      </c>
      <c r="F4512" s="11" t="str">
        <f t="shared" si="358"/>
        <v/>
      </c>
      <c r="G4512" s="10" t="str">
        <v/>
      </c>
      <c r="H4512" s="11" t="str">
        <v/>
      </c>
      <c r="I4512" s="11" t="str">
        <v/>
      </c>
    </row>
    <row r="4513" spans="2:9">
      <c r="B4513" s="11" t="str">
        <f t="shared" si="356"/>
        <v/>
      </c>
      <c r="C4513" s="11" t="str">
        <f t="shared" si="359"/>
        <v/>
      </c>
      <c r="D4513" s="11" t="str">
        <f t="shared" si="360"/>
        <v/>
      </c>
      <c r="E4513" s="11" t="str">
        <f t="shared" si="357"/>
        <v/>
      </c>
      <c r="F4513" s="11" t="str">
        <f t="shared" si="358"/>
        <v/>
      </c>
      <c r="G4513" s="10" t="str">
        <v/>
      </c>
      <c r="H4513" s="11" t="str">
        <v/>
      </c>
      <c r="I4513" s="11" t="str">
        <v/>
      </c>
    </row>
    <row r="4514" spans="2:9">
      <c r="B4514" s="11" t="str">
        <f t="shared" si="356"/>
        <v/>
      </c>
      <c r="C4514" s="11" t="str">
        <f t="shared" si="359"/>
        <v/>
      </c>
      <c r="D4514" s="11" t="str">
        <f t="shared" si="360"/>
        <v/>
      </c>
      <c r="E4514" s="11" t="str">
        <f t="shared" si="357"/>
        <v/>
      </c>
      <c r="F4514" s="11" t="str">
        <f t="shared" si="358"/>
        <v/>
      </c>
      <c r="G4514" s="10" t="str">
        <v/>
      </c>
      <c r="H4514" s="11" t="str">
        <v/>
      </c>
      <c r="I4514" s="11" t="str">
        <v/>
      </c>
    </row>
    <row r="4515" spans="2:9">
      <c r="B4515" s="11" t="str">
        <f t="shared" si="356"/>
        <v/>
      </c>
      <c r="C4515" s="11" t="str">
        <f t="shared" si="359"/>
        <v/>
      </c>
      <c r="D4515" s="11" t="str">
        <f t="shared" si="360"/>
        <v/>
      </c>
      <c r="E4515" s="11" t="str">
        <f t="shared" si="357"/>
        <v/>
      </c>
      <c r="F4515" s="11" t="str">
        <f t="shared" si="358"/>
        <v/>
      </c>
      <c r="G4515" s="10" t="str">
        <v/>
      </c>
      <c r="H4515" s="11" t="str">
        <v/>
      </c>
      <c r="I4515" s="11" t="str">
        <v/>
      </c>
    </row>
    <row r="4516" spans="2:9">
      <c r="B4516" s="11" t="str">
        <f t="shared" si="356"/>
        <v/>
      </c>
      <c r="C4516" s="11" t="str">
        <f t="shared" si="359"/>
        <v/>
      </c>
      <c r="D4516" s="11" t="str">
        <f t="shared" si="360"/>
        <v/>
      </c>
      <c r="E4516" s="11" t="str">
        <f t="shared" si="357"/>
        <v/>
      </c>
      <c r="F4516" s="11" t="str">
        <f t="shared" si="358"/>
        <v/>
      </c>
      <c r="G4516" s="10" t="str">
        <v/>
      </c>
      <c r="H4516" s="11" t="str">
        <v/>
      </c>
      <c r="I4516" s="11" t="str">
        <v/>
      </c>
    </row>
    <row r="4517" spans="2:9">
      <c r="B4517" s="11" t="str">
        <f t="shared" si="356"/>
        <v/>
      </c>
      <c r="C4517" s="11" t="str">
        <f t="shared" si="359"/>
        <v/>
      </c>
      <c r="D4517" s="11" t="str">
        <f t="shared" si="360"/>
        <v/>
      </c>
      <c r="E4517" s="11" t="str">
        <f t="shared" si="357"/>
        <v/>
      </c>
      <c r="F4517" s="11" t="str">
        <f t="shared" si="358"/>
        <v/>
      </c>
      <c r="G4517" s="10" t="str">
        <v/>
      </c>
      <c r="H4517" s="11" t="str">
        <v/>
      </c>
      <c r="I4517" s="11" t="str">
        <v/>
      </c>
    </row>
    <row r="4518" spans="2:9">
      <c r="B4518" s="11" t="str">
        <f t="shared" si="356"/>
        <v/>
      </c>
      <c r="C4518" s="11" t="str">
        <f t="shared" si="359"/>
        <v/>
      </c>
      <c r="D4518" s="11" t="str">
        <f t="shared" si="360"/>
        <v/>
      </c>
      <c r="E4518" s="11" t="str">
        <f t="shared" si="357"/>
        <v/>
      </c>
      <c r="F4518" s="11" t="str">
        <f t="shared" si="358"/>
        <v/>
      </c>
      <c r="G4518" s="10" t="str">
        <v/>
      </c>
      <c r="H4518" s="11" t="str">
        <v/>
      </c>
      <c r="I4518" s="11" t="str">
        <v/>
      </c>
    </row>
    <row r="4519" spans="2:9">
      <c r="B4519" s="11" t="str">
        <f t="shared" si="356"/>
        <v/>
      </c>
      <c r="C4519" s="11" t="str">
        <f t="shared" si="359"/>
        <v/>
      </c>
      <c r="D4519" s="11" t="str">
        <f t="shared" si="360"/>
        <v/>
      </c>
      <c r="E4519" s="11" t="str">
        <f t="shared" si="357"/>
        <v/>
      </c>
      <c r="F4519" s="11" t="str">
        <f t="shared" si="358"/>
        <v/>
      </c>
      <c r="G4519" s="10" t="str">
        <v/>
      </c>
      <c r="H4519" s="11" t="str">
        <v/>
      </c>
      <c r="I4519" s="11" t="str">
        <v/>
      </c>
    </row>
    <row r="4520" spans="2:9">
      <c r="B4520" s="11" t="str">
        <f t="shared" si="356"/>
        <v/>
      </c>
      <c r="C4520" s="11" t="str">
        <f t="shared" si="359"/>
        <v/>
      </c>
      <c r="D4520" s="11" t="str">
        <f t="shared" si="360"/>
        <v/>
      </c>
      <c r="E4520" s="11" t="str">
        <f t="shared" si="357"/>
        <v/>
      </c>
      <c r="F4520" s="11" t="str">
        <f t="shared" si="358"/>
        <v/>
      </c>
      <c r="G4520" s="10" t="str">
        <v/>
      </c>
      <c r="H4520" s="11" t="str">
        <v/>
      </c>
      <c r="I4520" s="11" t="str">
        <v/>
      </c>
    </row>
    <row r="4521" spans="2:9">
      <c r="B4521" s="11" t="str">
        <f t="shared" si="356"/>
        <v/>
      </c>
      <c r="C4521" s="11" t="str">
        <f t="shared" si="359"/>
        <v/>
      </c>
      <c r="D4521" s="11" t="str">
        <f t="shared" si="360"/>
        <v/>
      </c>
      <c r="E4521" s="11" t="str">
        <f t="shared" si="357"/>
        <v/>
      </c>
      <c r="F4521" s="11" t="str">
        <f t="shared" si="358"/>
        <v/>
      </c>
      <c r="G4521" s="10" t="str">
        <v/>
      </c>
      <c r="H4521" s="11" t="str">
        <v/>
      </c>
      <c r="I4521" s="11" t="str">
        <v/>
      </c>
    </row>
    <row r="4522" spans="2:9">
      <c r="B4522" s="11" t="str">
        <f t="shared" si="356"/>
        <v/>
      </c>
      <c r="C4522" s="11" t="str">
        <f t="shared" si="359"/>
        <v/>
      </c>
      <c r="D4522" s="11" t="str">
        <f t="shared" si="360"/>
        <v/>
      </c>
      <c r="E4522" s="11" t="str">
        <f t="shared" si="357"/>
        <v/>
      </c>
      <c r="F4522" s="11" t="str">
        <f t="shared" si="358"/>
        <v/>
      </c>
      <c r="G4522" s="10" t="str">
        <v/>
      </c>
      <c r="H4522" s="11" t="str">
        <v/>
      </c>
      <c r="I4522" s="11" t="str">
        <v/>
      </c>
    </row>
    <row r="4523" spans="2:9">
      <c r="B4523" s="11" t="str">
        <f t="shared" si="356"/>
        <v/>
      </c>
      <c r="C4523" s="11" t="str">
        <f t="shared" si="359"/>
        <v/>
      </c>
      <c r="D4523" s="11" t="str">
        <f t="shared" si="360"/>
        <v/>
      </c>
      <c r="E4523" s="11" t="str">
        <f t="shared" si="357"/>
        <v/>
      </c>
      <c r="F4523" s="11" t="str">
        <f t="shared" si="358"/>
        <v/>
      </c>
      <c r="G4523" s="10" t="str">
        <v/>
      </c>
      <c r="H4523" s="11" t="str">
        <v/>
      </c>
      <c r="I4523" s="11" t="str">
        <v/>
      </c>
    </row>
    <row r="4524" spans="2:9">
      <c r="B4524" s="11" t="str">
        <f t="shared" si="356"/>
        <v/>
      </c>
      <c r="C4524" s="11" t="str">
        <f t="shared" si="359"/>
        <v/>
      </c>
      <c r="D4524" s="11" t="str">
        <f t="shared" si="360"/>
        <v/>
      </c>
      <c r="E4524" s="11" t="str">
        <f t="shared" si="357"/>
        <v/>
      </c>
      <c r="F4524" s="11" t="str">
        <f t="shared" si="358"/>
        <v/>
      </c>
      <c r="G4524" s="10" t="str">
        <v/>
      </c>
      <c r="H4524" s="11" t="str">
        <v/>
      </c>
      <c r="I4524" s="11" t="str">
        <v/>
      </c>
    </row>
    <row r="4525" spans="2:9">
      <c r="B4525" s="11" t="str">
        <f t="shared" si="356"/>
        <v/>
      </c>
      <c r="C4525" s="11" t="str">
        <f t="shared" si="359"/>
        <v/>
      </c>
      <c r="D4525" s="11" t="str">
        <f t="shared" si="360"/>
        <v/>
      </c>
      <c r="E4525" s="11" t="str">
        <f t="shared" si="357"/>
        <v/>
      </c>
      <c r="F4525" s="11" t="str">
        <f t="shared" si="358"/>
        <v/>
      </c>
      <c r="G4525" s="10" t="str">
        <v/>
      </c>
      <c r="H4525" s="11" t="str">
        <v/>
      </c>
      <c r="I4525" s="11" t="str">
        <v/>
      </c>
    </row>
    <row r="4526" spans="2:9">
      <c r="B4526" s="11" t="str">
        <f t="shared" si="356"/>
        <v/>
      </c>
      <c r="C4526" s="11" t="str">
        <f t="shared" si="359"/>
        <v/>
      </c>
      <c r="D4526" s="11" t="str">
        <f t="shared" si="360"/>
        <v/>
      </c>
      <c r="E4526" s="11" t="str">
        <f t="shared" si="357"/>
        <v/>
      </c>
      <c r="F4526" s="11" t="str">
        <f t="shared" si="358"/>
        <v/>
      </c>
      <c r="G4526" s="10" t="str">
        <v/>
      </c>
      <c r="H4526" s="11" t="str">
        <v/>
      </c>
      <c r="I4526" s="11" t="str">
        <v/>
      </c>
    </row>
    <row r="4527" spans="2:9">
      <c r="B4527" s="11" t="str">
        <f t="shared" si="356"/>
        <v/>
      </c>
      <c r="C4527" s="11" t="str">
        <f t="shared" si="359"/>
        <v/>
      </c>
      <c r="D4527" s="11" t="str">
        <f t="shared" si="360"/>
        <v/>
      </c>
      <c r="E4527" s="11" t="str">
        <f t="shared" si="357"/>
        <v/>
      </c>
      <c r="F4527" s="11" t="str">
        <f t="shared" si="358"/>
        <v/>
      </c>
      <c r="G4527" s="10" t="str">
        <v/>
      </c>
      <c r="H4527" s="11" t="str">
        <v/>
      </c>
      <c r="I4527" s="11" t="str">
        <v/>
      </c>
    </row>
    <row r="4528" spans="2:9">
      <c r="B4528" s="11" t="str">
        <f t="shared" si="356"/>
        <v/>
      </c>
      <c r="C4528" s="11" t="str">
        <f t="shared" si="359"/>
        <v/>
      </c>
      <c r="D4528" s="11" t="str">
        <f t="shared" si="360"/>
        <v/>
      </c>
      <c r="E4528" s="11" t="str">
        <f t="shared" si="357"/>
        <v/>
      </c>
      <c r="F4528" s="11" t="str">
        <f t="shared" si="358"/>
        <v/>
      </c>
      <c r="G4528" s="10" t="str">
        <v/>
      </c>
      <c r="H4528" s="11" t="str">
        <v/>
      </c>
      <c r="I4528" s="11" t="str">
        <v/>
      </c>
    </row>
    <row r="4529" spans="2:9">
      <c r="B4529" s="11" t="str">
        <f t="shared" si="356"/>
        <v/>
      </c>
      <c r="C4529" s="11" t="str">
        <f t="shared" si="359"/>
        <v/>
      </c>
      <c r="D4529" s="11" t="str">
        <f t="shared" si="360"/>
        <v/>
      </c>
      <c r="E4529" s="11" t="str">
        <f t="shared" si="357"/>
        <v/>
      </c>
      <c r="F4529" s="11" t="str">
        <f t="shared" si="358"/>
        <v/>
      </c>
      <c r="G4529" s="10" t="str">
        <v/>
      </c>
      <c r="H4529" s="11" t="str">
        <v/>
      </c>
      <c r="I4529" s="11" t="str">
        <v/>
      </c>
    </row>
    <row r="4530" spans="2:9">
      <c r="B4530" s="11" t="str">
        <f t="shared" si="356"/>
        <v/>
      </c>
      <c r="C4530" s="11" t="str">
        <f t="shared" si="359"/>
        <v/>
      </c>
      <c r="D4530" s="11" t="str">
        <f t="shared" si="360"/>
        <v/>
      </c>
      <c r="E4530" s="11" t="str">
        <f t="shared" si="357"/>
        <v/>
      </c>
      <c r="F4530" s="11" t="str">
        <f t="shared" si="358"/>
        <v/>
      </c>
      <c r="G4530" s="10" t="str">
        <v/>
      </c>
      <c r="H4530" s="11" t="str">
        <v/>
      </c>
      <c r="I4530" s="11" t="str">
        <v/>
      </c>
    </row>
    <row r="4531" spans="2:9">
      <c r="B4531" s="11" t="str">
        <f t="shared" si="356"/>
        <v/>
      </c>
      <c r="C4531" s="11" t="str">
        <f t="shared" si="359"/>
        <v/>
      </c>
      <c r="D4531" s="11" t="str">
        <f t="shared" si="360"/>
        <v/>
      </c>
      <c r="E4531" s="11" t="str">
        <f t="shared" si="357"/>
        <v/>
      </c>
      <c r="F4531" s="11" t="str">
        <f t="shared" si="358"/>
        <v/>
      </c>
      <c r="G4531" s="10" t="str">
        <v/>
      </c>
      <c r="H4531" s="11" t="str">
        <v/>
      </c>
      <c r="I4531" s="11" t="str">
        <v/>
      </c>
    </row>
    <row r="4532" spans="2:9">
      <c r="B4532" s="11" t="str">
        <f t="shared" si="356"/>
        <v/>
      </c>
      <c r="C4532" s="11" t="str">
        <f t="shared" si="359"/>
        <v/>
      </c>
      <c r="D4532" s="11" t="str">
        <f t="shared" si="360"/>
        <v/>
      </c>
      <c r="E4532" s="11" t="str">
        <f t="shared" si="357"/>
        <v/>
      </c>
      <c r="F4532" s="11" t="str">
        <f t="shared" si="358"/>
        <v/>
      </c>
      <c r="G4532" s="10" t="str">
        <v/>
      </c>
      <c r="H4532" s="11" t="str">
        <v/>
      </c>
      <c r="I4532" s="11" t="str">
        <v/>
      </c>
    </row>
    <row r="4533" spans="2:9">
      <c r="B4533" s="11" t="str">
        <f t="shared" si="356"/>
        <v/>
      </c>
      <c r="C4533" s="11" t="str">
        <f t="shared" si="359"/>
        <v/>
      </c>
      <c r="D4533" s="11" t="str">
        <f t="shared" si="360"/>
        <v/>
      </c>
      <c r="E4533" s="11" t="str">
        <f t="shared" si="357"/>
        <v/>
      </c>
      <c r="F4533" s="11" t="str">
        <f t="shared" si="358"/>
        <v/>
      </c>
      <c r="G4533" s="10" t="str">
        <v/>
      </c>
      <c r="H4533" s="11" t="str">
        <v/>
      </c>
      <c r="I4533" s="11" t="str">
        <v/>
      </c>
    </row>
    <row r="4534" spans="2:9">
      <c r="B4534" s="11" t="str">
        <f t="shared" si="356"/>
        <v/>
      </c>
      <c r="C4534" s="11" t="str">
        <f t="shared" si="359"/>
        <v/>
      </c>
      <c r="D4534" s="11" t="str">
        <f t="shared" si="360"/>
        <v/>
      </c>
      <c r="E4534" s="11" t="str">
        <f t="shared" si="357"/>
        <v/>
      </c>
      <c r="F4534" s="11" t="str">
        <f t="shared" si="358"/>
        <v/>
      </c>
      <c r="G4534" s="10" t="str">
        <v/>
      </c>
      <c r="H4534" s="11" t="str">
        <v/>
      </c>
      <c r="I4534" s="11" t="str">
        <v/>
      </c>
    </row>
    <row r="4535" spans="2:9">
      <c r="B4535" s="11" t="str">
        <f t="shared" si="356"/>
        <v/>
      </c>
      <c r="C4535" s="11" t="str">
        <f t="shared" si="359"/>
        <v/>
      </c>
      <c r="D4535" s="11" t="str">
        <f t="shared" si="360"/>
        <v/>
      </c>
      <c r="E4535" s="11" t="str">
        <f t="shared" si="357"/>
        <v/>
      </c>
      <c r="F4535" s="11" t="str">
        <f t="shared" si="358"/>
        <v/>
      </c>
      <c r="G4535" s="10" t="str">
        <v/>
      </c>
      <c r="H4535" s="11" t="str">
        <v/>
      </c>
      <c r="I4535" s="11" t="str">
        <v/>
      </c>
    </row>
    <row r="4536" spans="2:9">
      <c r="B4536" s="11" t="str">
        <f t="shared" si="356"/>
        <v/>
      </c>
      <c r="C4536" s="11" t="str">
        <f t="shared" si="359"/>
        <v/>
      </c>
      <c r="D4536" s="11" t="str">
        <f t="shared" si="360"/>
        <v/>
      </c>
      <c r="E4536" s="11" t="str">
        <f t="shared" si="357"/>
        <v/>
      </c>
      <c r="F4536" s="11" t="str">
        <f t="shared" si="358"/>
        <v/>
      </c>
      <c r="G4536" s="10" t="str">
        <v/>
      </c>
      <c r="H4536" s="11" t="str">
        <v/>
      </c>
      <c r="I4536" s="11" t="str">
        <v/>
      </c>
    </row>
    <row r="4537" spans="2:9">
      <c r="B4537" s="11" t="str">
        <f t="shared" si="356"/>
        <v/>
      </c>
      <c r="C4537" s="11" t="str">
        <f t="shared" si="359"/>
        <v/>
      </c>
      <c r="D4537" s="11" t="str">
        <f t="shared" si="360"/>
        <v/>
      </c>
      <c r="E4537" s="11" t="str">
        <f t="shared" si="357"/>
        <v/>
      </c>
      <c r="F4537" s="11" t="str">
        <f t="shared" si="358"/>
        <v/>
      </c>
      <c r="G4537" s="10" t="str">
        <v/>
      </c>
      <c r="H4537" s="11" t="str">
        <v/>
      </c>
      <c r="I4537" s="11" t="str">
        <v/>
      </c>
    </row>
    <row r="4538" spans="2:9">
      <c r="B4538" s="11" t="str">
        <f t="shared" si="356"/>
        <v/>
      </c>
      <c r="C4538" s="11" t="str">
        <f t="shared" si="359"/>
        <v/>
      </c>
      <c r="D4538" s="11" t="str">
        <f t="shared" si="360"/>
        <v/>
      </c>
      <c r="E4538" s="11" t="str">
        <f t="shared" si="357"/>
        <v/>
      </c>
      <c r="F4538" s="11" t="str">
        <f t="shared" si="358"/>
        <v/>
      </c>
      <c r="G4538" s="10" t="str">
        <v/>
      </c>
      <c r="H4538" s="11" t="str">
        <v/>
      </c>
      <c r="I4538" s="11" t="str">
        <v/>
      </c>
    </row>
    <row r="4539" spans="2:9">
      <c r="B4539" s="11" t="str">
        <f t="shared" si="356"/>
        <v/>
      </c>
      <c r="C4539" s="11" t="str">
        <f t="shared" si="359"/>
        <v/>
      </c>
      <c r="D4539" s="11" t="str">
        <f t="shared" si="360"/>
        <v/>
      </c>
      <c r="E4539" s="11" t="str">
        <f t="shared" si="357"/>
        <v/>
      </c>
      <c r="F4539" s="11" t="str">
        <f t="shared" si="358"/>
        <v/>
      </c>
      <c r="G4539" s="10" t="str">
        <v/>
      </c>
      <c r="H4539" s="11" t="str">
        <v/>
      </c>
      <c r="I4539" s="11" t="str">
        <v/>
      </c>
    </row>
    <row r="4540" spans="2:9">
      <c r="B4540" s="11" t="str">
        <f t="shared" si="356"/>
        <v/>
      </c>
      <c r="C4540" s="11" t="str">
        <f t="shared" si="359"/>
        <v/>
      </c>
      <c r="D4540" s="11" t="str">
        <f t="shared" si="360"/>
        <v/>
      </c>
      <c r="E4540" s="11" t="str">
        <f t="shared" si="357"/>
        <v/>
      </c>
      <c r="F4540" s="11" t="str">
        <f t="shared" si="358"/>
        <v/>
      </c>
      <c r="G4540" s="10" t="str">
        <v/>
      </c>
      <c r="H4540" s="11" t="str">
        <v/>
      </c>
      <c r="I4540" s="11" t="str">
        <v/>
      </c>
    </row>
    <row r="4541" spans="2:9">
      <c r="B4541" s="11" t="str">
        <f t="shared" si="356"/>
        <v/>
      </c>
      <c r="C4541" s="11" t="str">
        <f t="shared" si="359"/>
        <v/>
      </c>
      <c r="D4541" s="11" t="str">
        <f t="shared" si="360"/>
        <v/>
      </c>
      <c r="E4541" s="11" t="str">
        <f t="shared" si="357"/>
        <v/>
      </c>
      <c r="F4541" s="11" t="str">
        <f t="shared" si="358"/>
        <v/>
      </c>
      <c r="G4541" s="10" t="str">
        <v/>
      </c>
      <c r="H4541" s="11" t="str">
        <v/>
      </c>
      <c r="I4541" s="11" t="str">
        <v/>
      </c>
    </row>
    <row r="4542" spans="2:9">
      <c r="B4542" s="11" t="str">
        <f t="shared" si="356"/>
        <v/>
      </c>
      <c r="C4542" s="11" t="str">
        <f t="shared" si="359"/>
        <v/>
      </c>
      <c r="D4542" s="11" t="str">
        <f t="shared" si="360"/>
        <v/>
      </c>
      <c r="E4542" s="11" t="str">
        <f t="shared" si="357"/>
        <v/>
      </c>
      <c r="F4542" s="11" t="str">
        <f t="shared" si="358"/>
        <v/>
      </c>
      <c r="G4542" s="10" t="str">
        <v/>
      </c>
      <c r="H4542" s="11" t="str">
        <v/>
      </c>
      <c r="I4542" s="11" t="str">
        <v/>
      </c>
    </row>
    <row r="4543" spans="2:9">
      <c r="B4543" s="11" t="str">
        <f t="shared" si="356"/>
        <v/>
      </c>
      <c r="C4543" s="11" t="str">
        <f t="shared" si="359"/>
        <v/>
      </c>
      <c r="D4543" s="11" t="str">
        <f t="shared" si="360"/>
        <v/>
      </c>
      <c r="E4543" s="11" t="str">
        <f t="shared" si="357"/>
        <v/>
      </c>
      <c r="F4543" s="11" t="str">
        <f t="shared" si="358"/>
        <v/>
      </c>
      <c r="G4543" s="10" t="str">
        <v/>
      </c>
      <c r="H4543" s="11" t="str">
        <v/>
      </c>
      <c r="I4543" s="11" t="str">
        <v/>
      </c>
    </row>
    <row r="4544" spans="2:9">
      <c r="B4544" s="11" t="str">
        <f t="shared" si="356"/>
        <v/>
      </c>
      <c r="C4544" s="11" t="str">
        <f t="shared" si="359"/>
        <v/>
      </c>
      <c r="D4544" s="11" t="str">
        <f t="shared" si="360"/>
        <v/>
      </c>
      <c r="E4544" s="11" t="str">
        <f t="shared" si="357"/>
        <v/>
      </c>
      <c r="F4544" s="11" t="str">
        <f t="shared" si="358"/>
        <v/>
      </c>
      <c r="G4544" s="10" t="str">
        <v/>
      </c>
      <c r="H4544" s="11" t="str">
        <v/>
      </c>
      <c r="I4544" s="11" t="str">
        <v/>
      </c>
    </row>
    <row r="4545" spans="2:9">
      <c r="B4545" s="11" t="str">
        <f t="shared" ref="B4545:B4608" si="361">IFERROR(IF(FIND(" ",A4545)=6,IF(IFERROR(FIND(" PB",A4545),"")&lt;&gt;"","артикул",IF(IFERROR(FIND(" CRN",A4545),"")&lt;&gt;"","артикул","")),""),"")</f>
        <v/>
      </c>
      <c r="C4545" s="11" t="str">
        <f t="shared" si="359"/>
        <v/>
      </c>
      <c r="D4545" s="11" t="str">
        <f t="shared" si="360"/>
        <v/>
      </c>
      <c r="E4545" s="11" t="str">
        <f t="shared" si="357"/>
        <v/>
      </c>
      <c r="F4545" s="11" t="str">
        <f t="shared" si="358"/>
        <v/>
      </c>
      <c r="G4545" s="10" t="str">
        <v/>
      </c>
      <c r="H4545" s="11" t="str">
        <v/>
      </c>
      <c r="I4545" s="11" t="str">
        <v/>
      </c>
    </row>
    <row r="4546" spans="2:9">
      <c r="B4546" s="11" t="str">
        <f t="shared" si="361"/>
        <v/>
      </c>
      <c r="C4546" s="11" t="str">
        <f t="shared" si="359"/>
        <v/>
      </c>
      <c r="D4546" s="11" t="str">
        <f t="shared" si="360"/>
        <v/>
      </c>
      <c r="E4546" s="11" t="str">
        <f t="shared" ref="E4546:E4609" si="362" xml:space="preserve">
IF(B4546="Артикул",
IF(
AND(RIGHT(A4547,1)="%",
RIGHT(A4548,1)="%",
RIGHT(A4549,1)="%",
RIGHT(A4550,1)="%"),MID(A4551,FIND(" ",A4551),50),
IF(
AND(RIGHT(A4547,1)="%",
RIGHT(A4548,1)="%",
RIGHT(A4549,1)="%"),MID(A4550,FIND(" ",A4550),50),
IF(
AND(RIGHT(A4547,1)="%",
RIGHT(A4548,1)="%"),
MID(A4549,FIND(" ",A4549),50),
IF(
RIGHT(A4547,1)="%",
MID(A4548,FIND(" ",A4548),50),"")))),"")</f>
        <v/>
      </c>
      <c r="F4546" s="11" t="str">
        <f t="shared" ref="F4546:F4609" si="363">IFERROR(
IF(
AND(LEFT(A4546,8)="Discount",FIND("%",A4546)&gt;0),
MID(A4546,
FIND(" ",A4546),
FIND("%",A4546)-FIND(" ",A4546))
*-1,""),"")</f>
        <v/>
      </c>
      <c r="G4546" s="10" t="str">
        <v/>
      </c>
      <c r="H4546" s="11" t="str">
        <v/>
      </c>
      <c r="I4546" s="11" t="str">
        <v/>
      </c>
    </row>
    <row r="4547" spans="2:9">
      <c r="B4547" s="11" t="str">
        <f t="shared" si="361"/>
        <v/>
      </c>
      <c r="C4547" s="11" t="str">
        <f t="shared" si="359"/>
        <v/>
      </c>
      <c r="D4547" s="11" t="str">
        <f t="shared" si="360"/>
        <v/>
      </c>
      <c r="E4547" s="11" t="str">
        <f t="shared" si="362"/>
        <v/>
      </c>
      <c r="F4547" s="11" t="str">
        <f t="shared" si="363"/>
        <v/>
      </c>
      <c r="G4547" s="10" t="str">
        <v/>
      </c>
      <c r="H4547" s="11" t="str">
        <v/>
      </c>
      <c r="I4547" s="11" t="str">
        <v/>
      </c>
    </row>
    <row r="4548" spans="2:9">
      <c r="B4548" s="11" t="str">
        <f t="shared" si="361"/>
        <v/>
      </c>
      <c r="C4548" s="11" t="str">
        <f t="shared" si="359"/>
        <v/>
      </c>
      <c r="D4548" s="11" t="str">
        <f t="shared" si="360"/>
        <v/>
      </c>
      <c r="E4548" s="11" t="str">
        <f t="shared" si="362"/>
        <v/>
      </c>
      <c r="F4548" s="11" t="str">
        <f t="shared" si="363"/>
        <v/>
      </c>
      <c r="G4548" s="10" t="str">
        <v/>
      </c>
      <c r="H4548" s="11" t="str">
        <v/>
      </c>
      <c r="I4548" s="11" t="str">
        <v/>
      </c>
    </row>
    <row r="4549" spans="2:9">
      <c r="B4549" s="11" t="str">
        <f t="shared" si="361"/>
        <v/>
      </c>
      <c r="C4549" s="11" t="str">
        <f t="shared" si="359"/>
        <v/>
      </c>
      <c r="D4549" s="11" t="str">
        <f t="shared" si="360"/>
        <v/>
      </c>
      <c r="E4549" s="11" t="str">
        <f t="shared" si="362"/>
        <v/>
      </c>
      <c r="F4549" s="11" t="str">
        <f t="shared" si="363"/>
        <v/>
      </c>
      <c r="G4549" s="10" t="str">
        <v/>
      </c>
      <c r="H4549" s="11" t="str">
        <v/>
      </c>
      <c r="I4549" s="11" t="str">
        <v/>
      </c>
    </row>
    <row r="4550" spans="2:9">
      <c r="B4550" s="11" t="str">
        <f t="shared" si="361"/>
        <v/>
      </c>
      <c r="C4550" s="11" t="str">
        <f t="shared" si="359"/>
        <v/>
      </c>
      <c r="D4550" s="11" t="str">
        <f t="shared" si="360"/>
        <v/>
      </c>
      <c r="E4550" s="11" t="str">
        <f t="shared" si="362"/>
        <v/>
      </c>
      <c r="F4550" s="11" t="str">
        <f t="shared" si="363"/>
        <v/>
      </c>
      <c r="G4550" s="10" t="str">
        <v/>
      </c>
      <c r="H4550" s="11" t="str">
        <v/>
      </c>
      <c r="I4550" s="11" t="str">
        <v/>
      </c>
    </row>
    <row r="4551" spans="2:9">
      <c r="B4551" s="11" t="str">
        <f t="shared" si="361"/>
        <v/>
      </c>
      <c r="C4551" s="11" t="str">
        <f t="shared" si="359"/>
        <v/>
      </c>
      <c r="D4551" s="11" t="str">
        <f t="shared" si="360"/>
        <v/>
      </c>
      <c r="E4551" s="11" t="str">
        <f t="shared" si="362"/>
        <v/>
      </c>
      <c r="F4551" s="11" t="str">
        <f t="shared" si="363"/>
        <v/>
      </c>
      <c r="G4551" s="10" t="str">
        <v/>
      </c>
      <c r="H4551" s="11" t="str">
        <v/>
      </c>
      <c r="I4551" s="11" t="str">
        <v/>
      </c>
    </row>
    <row r="4552" spans="2:9">
      <c r="B4552" s="11" t="str">
        <f t="shared" si="361"/>
        <v/>
      </c>
      <c r="C4552" s="11" t="str">
        <f t="shared" si="359"/>
        <v/>
      </c>
      <c r="D4552" s="11" t="str">
        <f t="shared" si="360"/>
        <v/>
      </c>
      <c r="E4552" s="11" t="str">
        <f t="shared" si="362"/>
        <v/>
      </c>
      <c r="F4552" s="11" t="str">
        <f t="shared" si="363"/>
        <v/>
      </c>
      <c r="G4552" s="10" t="str">
        <v/>
      </c>
      <c r="H4552" s="11" t="str">
        <v/>
      </c>
      <c r="I4552" s="11" t="str">
        <v/>
      </c>
    </row>
    <row r="4553" spans="2:9">
      <c r="B4553" s="11" t="str">
        <f t="shared" si="361"/>
        <v/>
      </c>
      <c r="C4553" s="11" t="str">
        <f t="shared" si="359"/>
        <v/>
      </c>
      <c r="D4553" s="11" t="str">
        <f t="shared" si="360"/>
        <v/>
      </c>
      <c r="E4553" s="11" t="str">
        <f t="shared" si="362"/>
        <v/>
      </c>
      <c r="F4553" s="11" t="str">
        <f t="shared" si="363"/>
        <v/>
      </c>
      <c r="G4553" s="10" t="str">
        <v/>
      </c>
      <c r="H4553" s="11" t="str">
        <v/>
      </c>
      <c r="I4553" s="11" t="str">
        <v/>
      </c>
    </row>
    <row r="4554" spans="2:9">
      <c r="B4554" s="11" t="str">
        <f t="shared" si="361"/>
        <v/>
      </c>
      <c r="C4554" s="11" t="str">
        <f t="shared" si="359"/>
        <v/>
      </c>
      <c r="D4554" s="11" t="str">
        <f t="shared" si="360"/>
        <v/>
      </c>
      <c r="E4554" s="11" t="str">
        <f t="shared" si="362"/>
        <v/>
      </c>
      <c r="F4554" s="11" t="str">
        <f t="shared" si="363"/>
        <v/>
      </c>
      <c r="G4554" s="10" t="str">
        <v/>
      </c>
      <c r="H4554" s="11" t="str">
        <v/>
      </c>
      <c r="I4554" s="11" t="str">
        <v/>
      </c>
    </row>
    <row r="4555" spans="2:9">
      <c r="B4555" s="11" t="str">
        <f t="shared" si="361"/>
        <v/>
      </c>
      <c r="C4555" s="11" t="str">
        <f t="shared" si="359"/>
        <v/>
      </c>
      <c r="D4555" s="11" t="str">
        <f t="shared" si="360"/>
        <v/>
      </c>
      <c r="E4555" s="11" t="str">
        <f t="shared" si="362"/>
        <v/>
      </c>
      <c r="F4555" s="11" t="str">
        <f t="shared" si="363"/>
        <v/>
      </c>
      <c r="G4555" s="10" t="str">
        <v/>
      </c>
      <c r="H4555" s="11" t="str">
        <v/>
      </c>
      <c r="I4555" s="11" t="str">
        <v/>
      </c>
    </row>
    <row r="4556" spans="2:9">
      <c r="B4556" s="11" t="str">
        <f t="shared" si="361"/>
        <v/>
      </c>
      <c r="C4556" s="11" t="str">
        <f t="shared" si="359"/>
        <v/>
      </c>
      <c r="D4556" s="11" t="str">
        <f t="shared" si="360"/>
        <v/>
      </c>
      <c r="E4556" s="11" t="str">
        <f t="shared" si="362"/>
        <v/>
      </c>
      <c r="F4556" s="11" t="str">
        <f t="shared" si="363"/>
        <v/>
      </c>
      <c r="G4556" s="10" t="str">
        <v/>
      </c>
      <c r="H4556" s="11" t="str">
        <v/>
      </c>
      <c r="I4556" s="11" t="str">
        <v/>
      </c>
    </row>
    <row r="4557" spans="2:9">
      <c r="B4557" s="11" t="str">
        <f t="shared" si="361"/>
        <v/>
      </c>
      <c r="C4557" s="11" t="str">
        <f t="shared" ref="C4557:C4620" si="364">IF(B4557="артикул",A4557,"")</f>
        <v/>
      </c>
      <c r="D4557" s="11" t="str">
        <f t="shared" ref="D4557:D4620" si="365">IF(B4557="артикул",A4558,"")</f>
        <v/>
      </c>
      <c r="E4557" s="11" t="str">
        <f t="shared" si="362"/>
        <v/>
      </c>
      <c r="F4557" s="11" t="str">
        <f t="shared" si="363"/>
        <v/>
      </c>
      <c r="G4557" s="10" t="str">
        <v/>
      </c>
      <c r="H4557" s="11" t="str">
        <v/>
      </c>
      <c r="I4557" s="11" t="str">
        <v/>
      </c>
    </row>
    <row r="4558" spans="2:9">
      <c r="B4558" s="11" t="str">
        <f t="shared" si="361"/>
        <v/>
      </c>
      <c r="C4558" s="11" t="str">
        <f t="shared" si="364"/>
        <v/>
      </c>
      <c r="D4558" s="11" t="str">
        <f t="shared" si="365"/>
        <v/>
      </c>
      <c r="E4558" s="11" t="str">
        <f t="shared" si="362"/>
        <v/>
      </c>
      <c r="F4558" s="11" t="str">
        <f t="shared" si="363"/>
        <v/>
      </c>
      <c r="G4558" s="10" t="str">
        <v/>
      </c>
      <c r="H4558" s="11" t="str">
        <v/>
      </c>
      <c r="I4558" s="11" t="str">
        <v/>
      </c>
    </row>
    <row r="4559" spans="2:9">
      <c r="B4559" s="11" t="str">
        <f t="shared" si="361"/>
        <v/>
      </c>
      <c r="C4559" s="11" t="str">
        <f t="shared" si="364"/>
        <v/>
      </c>
      <c r="D4559" s="11" t="str">
        <f t="shared" si="365"/>
        <v/>
      </c>
      <c r="E4559" s="11" t="str">
        <f t="shared" si="362"/>
        <v/>
      </c>
      <c r="F4559" s="11" t="str">
        <f t="shared" si="363"/>
        <v/>
      </c>
      <c r="G4559" s="10" t="str">
        <v/>
      </c>
      <c r="H4559" s="11" t="str">
        <v/>
      </c>
      <c r="I4559" s="11" t="str">
        <v/>
      </c>
    </row>
    <row r="4560" spans="2:9">
      <c r="B4560" s="11" t="str">
        <f t="shared" si="361"/>
        <v/>
      </c>
      <c r="C4560" s="11" t="str">
        <f t="shared" si="364"/>
        <v/>
      </c>
      <c r="D4560" s="11" t="str">
        <f t="shared" si="365"/>
        <v/>
      </c>
      <c r="E4560" s="11" t="str">
        <f t="shared" si="362"/>
        <v/>
      </c>
      <c r="F4560" s="11" t="str">
        <f t="shared" si="363"/>
        <v/>
      </c>
      <c r="G4560" s="10" t="str">
        <v/>
      </c>
      <c r="H4560" s="11" t="str">
        <v/>
      </c>
      <c r="I4560" s="11" t="str">
        <v/>
      </c>
    </row>
    <row r="4561" spans="2:9">
      <c r="B4561" s="11" t="str">
        <f t="shared" si="361"/>
        <v/>
      </c>
      <c r="C4561" s="11" t="str">
        <f t="shared" si="364"/>
        <v/>
      </c>
      <c r="D4561" s="11" t="str">
        <f t="shared" si="365"/>
        <v/>
      </c>
      <c r="E4561" s="11" t="str">
        <f t="shared" si="362"/>
        <v/>
      </c>
      <c r="F4561" s="11" t="str">
        <f t="shared" si="363"/>
        <v/>
      </c>
      <c r="G4561" s="10" t="str">
        <v/>
      </c>
      <c r="H4561" s="11" t="str">
        <v/>
      </c>
      <c r="I4561" s="11" t="str">
        <v/>
      </c>
    </row>
    <row r="4562" spans="2:9">
      <c r="B4562" s="11" t="str">
        <f t="shared" si="361"/>
        <v/>
      </c>
      <c r="C4562" s="11" t="str">
        <f t="shared" si="364"/>
        <v/>
      </c>
      <c r="D4562" s="11" t="str">
        <f t="shared" si="365"/>
        <v/>
      </c>
      <c r="E4562" s="11" t="str">
        <f t="shared" si="362"/>
        <v/>
      </c>
      <c r="F4562" s="11" t="str">
        <f t="shared" si="363"/>
        <v/>
      </c>
      <c r="G4562" s="10" t="str">
        <v/>
      </c>
      <c r="H4562" s="11" t="str">
        <v/>
      </c>
      <c r="I4562" s="11" t="str">
        <v/>
      </c>
    </row>
    <row r="4563" spans="2:9">
      <c r="B4563" s="11" t="str">
        <f t="shared" si="361"/>
        <v/>
      </c>
      <c r="C4563" s="11" t="str">
        <f t="shared" si="364"/>
        <v/>
      </c>
      <c r="D4563" s="11" t="str">
        <f t="shared" si="365"/>
        <v/>
      </c>
      <c r="E4563" s="11" t="str">
        <f t="shared" si="362"/>
        <v/>
      </c>
      <c r="F4563" s="11" t="str">
        <f t="shared" si="363"/>
        <v/>
      </c>
      <c r="G4563" s="10" t="str">
        <v/>
      </c>
      <c r="H4563" s="11" t="str">
        <v/>
      </c>
      <c r="I4563" s="11" t="str">
        <v/>
      </c>
    </row>
    <row r="4564" spans="2:9">
      <c r="B4564" s="11" t="str">
        <f t="shared" si="361"/>
        <v/>
      </c>
      <c r="C4564" s="11" t="str">
        <f t="shared" si="364"/>
        <v/>
      </c>
      <c r="D4564" s="11" t="str">
        <f t="shared" si="365"/>
        <v/>
      </c>
      <c r="E4564" s="11" t="str">
        <f t="shared" si="362"/>
        <v/>
      </c>
      <c r="F4564" s="11" t="str">
        <f t="shared" si="363"/>
        <v/>
      </c>
      <c r="G4564" s="10" t="str">
        <v/>
      </c>
      <c r="H4564" s="11" t="str">
        <v/>
      </c>
      <c r="I4564" s="11" t="str">
        <v/>
      </c>
    </row>
    <row r="4565" spans="2:9">
      <c r="B4565" s="11" t="str">
        <f t="shared" si="361"/>
        <v/>
      </c>
      <c r="C4565" s="11" t="str">
        <f t="shared" si="364"/>
        <v/>
      </c>
      <c r="D4565" s="11" t="str">
        <f t="shared" si="365"/>
        <v/>
      </c>
      <c r="E4565" s="11" t="str">
        <f t="shared" si="362"/>
        <v/>
      </c>
      <c r="F4565" s="11" t="str">
        <f t="shared" si="363"/>
        <v/>
      </c>
      <c r="G4565" s="10" t="str">
        <v/>
      </c>
      <c r="H4565" s="11" t="str">
        <v/>
      </c>
      <c r="I4565" s="11" t="str">
        <v/>
      </c>
    </row>
    <row r="4566" spans="2:9">
      <c r="B4566" s="11" t="str">
        <f t="shared" si="361"/>
        <v/>
      </c>
      <c r="C4566" s="11" t="str">
        <f t="shared" si="364"/>
        <v/>
      </c>
      <c r="D4566" s="11" t="str">
        <f t="shared" si="365"/>
        <v/>
      </c>
      <c r="E4566" s="11" t="str">
        <f t="shared" si="362"/>
        <v/>
      </c>
      <c r="F4566" s="11" t="str">
        <f t="shared" si="363"/>
        <v/>
      </c>
      <c r="G4566" s="10" t="str">
        <v/>
      </c>
      <c r="H4566" s="11" t="str">
        <v/>
      </c>
      <c r="I4566" s="11" t="str">
        <v/>
      </c>
    </row>
    <row r="4567" spans="2:9">
      <c r="B4567" s="11" t="str">
        <f t="shared" si="361"/>
        <v/>
      </c>
      <c r="C4567" s="11" t="str">
        <f t="shared" si="364"/>
        <v/>
      </c>
      <c r="D4567" s="11" t="str">
        <f t="shared" si="365"/>
        <v/>
      </c>
      <c r="E4567" s="11" t="str">
        <f t="shared" si="362"/>
        <v/>
      </c>
      <c r="F4567" s="11" t="str">
        <f t="shared" si="363"/>
        <v/>
      </c>
      <c r="G4567" s="10" t="str">
        <v/>
      </c>
      <c r="H4567" s="11" t="str">
        <v/>
      </c>
      <c r="I4567" s="11" t="str">
        <v/>
      </c>
    </row>
    <row r="4568" spans="2:9">
      <c r="B4568" s="11" t="str">
        <f t="shared" si="361"/>
        <v/>
      </c>
      <c r="C4568" s="11" t="str">
        <f t="shared" si="364"/>
        <v/>
      </c>
      <c r="D4568" s="11" t="str">
        <f t="shared" si="365"/>
        <v/>
      </c>
      <c r="E4568" s="11" t="str">
        <f t="shared" si="362"/>
        <v/>
      </c>
      <c r="F4568" s="11" t="str">
        <f t="shared" si="363"/>
        <v/>
      </c>
      <c r="G4568" s="10" t="str">
        <v/>
      </c>
      <c r="H4568" s="11" t="str">
        <v/>
      </c>
      <c r="I4568" s="11" t="str">
        <v/>
      </c>
    </row>
    <row r="4569" spans="2:9">
      <c r="B4569" s="11" t="str">
        <f t="shared" si="361"/>
        <v/>
      </c>
      <c r="C4569" s="11" t="str">
        <f t="shared" si="364"/>
        <v/>
      </c>
      <c r="D4569" s="11" t="str">
        <f t="shared" si="365"/>
        <v/>
      </c>
      <c r="E4569" s="11" t="str">
        <f t="shared" si="362"/>
        <v/>
      </c>
      <c r="F4569" s="11" t="str">
        <f t="shared" si="363"/>
        <v/>
      </c>
      <c r="G4569" s="10" t="str">
        <v/>
      </c>
      <c r="H4569" s="11" t="str">
        <v/>
      </c>
      <c r="I4569" s="11" t="str">
        <v/>
      </c>
    </row>
    <row r="4570" spans="2:9">
      <c r="B4570" s="11" t="str">
        <f t="shared" si="361"/>
        <v/>
      </c>
      <c r="C4570" s="11" t="str">
        <f t="shared" si="364"/>
        <v/>
      </c>
      <c r="D4570" s="11" t="str">
        <f t="shared" si="365"/>
        <v/>
      </c>
      <c r="E4570" s="11" t="str">
        <f t="shared" si="362"/>
        <v/>
      </c>
      <c r="F4570" s="11" t="str">
        <f t="shared" si="363"/>
        <v/>
      </c>
      <c r="G4570" s="10" t="str">
        <v/>
      </c>
      <c r="H4570" s="11" t="str">
        <v/>
      </c>
      <c r="I4570" s="11" t="str">
        <v/>
      </c>
    </row>
    <row r="4571" spans="2:9">
      <c r="B4571" s="11" t="str">
        <f t="shared" si="361"/>
        <v/>
      </c>
      <c r="C4571" s="11" t="str">
        <f t="shared" si="364"/>
        <v/>
      </c>
      <c r="D4571" s="11" t="str">
        <f t="shared" si="365"/>
        <v/>
      </c>
      <c r="E4571" s="11" t="str">
        <f t="shared" si="362"/>
        <v/>
      </c>
      <c r="F4571" s="11" t="str">
        <f t="shared" si="363"/>
        <v/>
      </c>
      <c r="G4571" s="10" t="str">
        <v/>
      </c>
      <c r="H4571" s="11" t="str">
        <v/>
      </c>
      <c r="I4571" s="11" t="str">
        <v/>
      </c>
    </row>
    <row r="4572" spans="2:9">
      <c r="B4572" s="11" t="str">
        <f t="shared" si="361"/>
        <v/>
      </c>
      <c r="C4572" s="11" t="str">
        <f t="shared" si="364"/>
        <v/>
      </c>
      <c r="D4572" s="11" t="str">
        <f t="shared" si="365"/>
        <v/>
      </c>
      <c r="E4572" s="11" t="str">
        <f t="shared" si="362"/>
        <v/>
      </c>
      <c r="F4572" s="11" t="str">
        <f t="shared" si="363"/>
        <v/>
      </c>
      <c r="G4572" s="10" t="str">
        <v/>
      </c>
      <c r="H4572" s="11" t="str">
        <v/>
      </c>
      <c r="I4572" s="11" t="str">
        <v/>
      </c>
    </row>
    <row r="4573" spans="2:9">
      <c r="B4573" s="11" t="str">
        <f t="shared" si="361"/>
        <v/>
      </c>
      <c r="C4573" s="11" t="str">
        <f t="shared" si="364"/>
        <v/>
      </c>
      <c r="D4573" s="11" t="str">
        <f t="shared" si="365"/>
        <v/>
      </c>
      <c r="E4573" s="11" t="str">
        <f t="shared" si="362"/>
        <v/>
      </c>
      <c r="F4573" s="11" t="str">
        <f t="shared" si="363"/>
        <v/>
      </c>
      <c r="G4573" s="10" t="str">
        <v/>
      </c>
      <c r="H4573" s="11" t="str">
        <v/>
      </c>
      <c r="I4573" s="11" t="str">
        <v/>
      </c>
    </row>
    <row r="4574" spans="2:9">
      <c r="B4574" s="11" t="str">
        <f t="shared" si="361"/>
        <v/>
      </c>
      <c r="C4574" s="11" t="str">
        <f t="shared" si="364"/>
        <v/>
      </c>
      <c r="D4574" s="11" t="str">
        <f t="shared" si="365"/>
        <v/>
      </c>
      <c r="E4574" s="11" t="str">
        <f t="shared" si="362"/>
        <v/>
      </c>
      <c r="F4574" s="11" t="str">
        <f t="shared" si="363"/>
        <v/>
      </c>
      <c r="G4574" s="10" t="str">
        <v/>
      </c>
      <c r="H4574" s="11" t="str">
        <v/>
      </c>
      <c r="I4574" s="11" t="str">
        <v/>
      </c>
    </row>
    <row r="4575" spans="2:9">
      <c r="B4575" s="11" t="str">
        <f t="shared" si="361"/>
        <v/>
      </c>
      <c r="C4575" s="11" t="str">
        <f t="shared" si="364"/>
        <v/>
      </c>
      <c r="D4575" s="11" t="str">
        <f t="shared" si="365"/>
        <v/>
      </c>
      <c r="E4575" s="11" t="str">
        <f t="shared" si="362"/>
        <v/>
      </c>
      <c r="F4575" s="11" t="str">
        <f t="shared" si="363"/>
        <v/>
      </c>
      <c r="G4575" s="10" t="str">
        <v/>
      </c>
      <c r="H4575" s="11" t="str">
        <v/>
      </c>
      <c r="I4575" s="11" t="str">
        <v/>
      </c>
    </row>
    <row r="4576" spans="2:9">
      <c r="B4576" s="11" t="str">
        <f t="shared" si="361"/>
        <v/>
      </c>
      <c r="C4576" s="11" t="str">
        <f t="shared" si="364"/>
        <v/>
      </c>
      <c r="D4576" s="11" t="str">
        <f t="shared" si="365"/>
        <v/>
      </c>
      <c r="E4576" s="11" t="str">
        <f t="shared" si="362"/>
        <v/>
      </c>
      <c r="F4576" s="11" t="str">
        <f t="shared" si="363"/>
        <v/>
      </c>
      <c r="G4576" s="10" t="str">
        <v/>
      </c>
      <c r="H4576" s="11" t="str">
        <v/>
      </c>
      <c r="I4576" s="11" t="str">
        <v/>
      </c>
    </row>
    <row r="4577" spans="2:9">
      <c r="B4577" s="11" t="str">
        <f t="shared" si="361"/>
        <v/>
      </c>
      <c r="C4577" s="11" t="str">
        <f t="shared" si="364"/>
        <v/>
      </c>
      <c r="D4577" s="11" t="str">
        <f t="shared" si="365"/>
        <v/>
      </c>
      <c r="E4577" s="11" t="str">
        <f t="shared" si="362"/>
        <v/>
      </c>
      <c r="F4577" s="11" t="str">
        <f t="shared" si="363"/>
        <v/>
      </c>
      <c r="G4577" s="10" t="str">
        <v/>
      </c>
      <c r="H4577" s="11" t="str">
        <v/>
      </c>
      <c r="I4577" s="11" t="str">
        <v/>
      </c>
    </row>
    <row r="4578" spans="2:9">
      <c r="B4578" s="11" t="str">
        <f t="shared" si="361"/>
        <v/>
      </c>
      <c r="C4578" s="11" t="str">
        <f t="shared" si="364"/>
        <v/>
      </c>
      <c r="D4578" s="11" t="str">
        <f t="shared" si="365"/>
        <v/>
      </c>
      <c r="E4578" s="11" t="str">
        <f t="shared" si="362"/>
        <v/>
      </c>
      <c r="F4578" s="11" t="str">
        <f t="shared" si="363"/>
        <v/>
      </c>
      <c r="G4578" s="10" t="str">
        <v/>
      </c>
      <c r="H4578" s="11" t="str">
        <v/>
      </c>
      <c r="I4578" s="11" t="str">
        <v/>
      </c>
    </row>
    <row r="4579" spans="2:9">
      <c r="B4579" s="11" t="str">
        <f t="shared" si="361"/>
        <v/>
      </c>
      <c r="C4579" s="11" t="str">
        <f t="shared" si="364"/>
        <v/>
      </c>
      <c r="D4579" s="11" t="str">
        <f t="shared" si="365"/>
        <v/>
      </c>
      <c r="E4579" s="11" t="str">
        <f t="shared" si="362"/>
        <v/>
      </c>
      <c r="F4579" s="11" t="str">
        <f t="shared" si="363"/>
        <v/>
      </c>
      <c r="G4579" s="10" t="str">
        <v/>
      </c>
      <c r="H4579" s="11" t="str">
        <v/>
      </c>
      <c r="I4579" s="11" t="str">
        <v/>
      </c>
    </row>
    <row r="4580" spans="2:9">
      <c r="B4580" s="11" t="str">
        <f t="shared" si="361"/>
        <v/>
      </c>
      <c r="C4580" s="11" t="str">
        <f t="shared" si="364"/>
        <v/>
      </c>
      <c r="D4580" s="11" t="str">
        <f t="shared" si="365"/>
        <v/>
      </c>
      <c r="E4580" s="11" t="str">
        <f t="shared" si="362"/>
        <v/>
      </c>
      <c r="F4580" s="11" t="str">
        <f t="shared" si="363"/>
        <v/>
      </c>
      <c r="G4580" s="10" t="str">
        <v/>
      </c>
      <c r="H4580" s="11" t="str">
        <v/>
      </c>
      <c r="I4580" s="11" t="str">
        <v/>
      </c>
    </row>
    <row r="4581" spans="2:9">
      <c r="B4581" s="11" t="str">
        <f t="shared" si="361"/>
        <v/>
      </c>
      <c r="C4581" s="11" t="str">
        <f t="shared" si="364"/>
        <v/>
      </c>
      <c r="D4581" s="11" t="str">
        <f t="shared" si="365"/>
        <v/>
      </c>
      <c r="E4581" s="11" t="str">
        <f t="shared" si="362"/>
        <v/>
      </c>
      <c r="F4581" s="11" t="str">
        <f t="shared" si="363"/>
        <v/>
      </c>
      <c r="G4581" s="10" t="str">
        <v/>
      </c>
      <c r="H4581" s="11" t="str">
        <v/>
      </c>
      <c r="I4581" s="11" t="str">
        <v/>
      </c>
    </row>
    <row r="4582" spans="2:9">
      <c r="B4582" s="11" t="str">
        <f t="shared" si="361"/>
        <v/>
      </c>
      <c r="C4582" s="11" t="str">
        <f t="shared" si="364"/>
        <v/>
      </c>
      <c r="D4582" s="11" t="str">
        <f t="shared" si="365"/>
        <v/>
      </c>
      <c r="E4582" s="11" t="str">
        <f t="shared" si="362"/>
        <v/>
      </c>
      <c r="F4582" s="11" t="str">
        <f t="shared" si="363"/>
        <v/>
      </c>
      <c r="G4582" s="10" t="str">
        <v/>
      </c>
      <c r="H4582" s="11" t="str">
        <v/>
      </c>
      <c r="I4582" s="11" t="str">
        <v/>
      </c>
    </row>
    <row r="4583" spans="2:9">
      <c r="B4583" s="11" t="str">
        <f t="shared" si="361"/>
        <v/>
      </c>
      <c r="C4583" s="11" t="str">
        <f t="shared" si="364"/>
        <v/>
      </c>
      <c r="D4583" s="11" t="str">
        <f t="shared" si="365"/>
        <v/>
      </c>
      <c r="E4583" s="11" t="str">
        <f t="shared" si="362"/>
        <v/>
      </c>
      <c r="F4583" s="11" t="str">
        <f t="shared" si="363"/>
        <v/>
      </c>
      <c r="G4583" s="10" t="str">
        <v/>
      </c>
      <c r="H4583" s="11" t="str">
        <v/>
      </c>
      <c r="I4583" s="11" t="str">
        <v/>
      </c>
    </row>
    <row r="4584" spans="2:9">
      <c r="B4584" s="11" t="str">
        <f t="shared" si="361"/>
        <v/>
      </c>
      <c r="C4584" s="11" t="str">
        <f t="shared" si="364"/>
        <v/>
      </c>
      <c r="D4584" s="11" t="str">
        <f t="shared" si="365"/>
        <v/>
      </c>
      <c r="E4584" s="11" t="str">
        <f t="shared" si="362"/>
        <v/>
      </c>
      <c r="F4584" s="11" t="str">
        <f t="shared" si="363"/>
        <v/>
      </c>
      <c r="G4584" s="10" t="str">
        <v/>
      </c>
      <c r="H4584" s="11" t="str">
        <v/>
      </c>
      <c r="I4584" s="11" t="str">
        <v/>
      </c>
    </row>
    <row r="4585" spans="2:9">
      <c r="B4585" s="11" t="str">
        <f t="shared" si="361"/>
        <v/>
      </c>
      <c r="C4585" s="11" t="str">
        <f t="shared" si="364"/>
        <v/>
      </c>
      <c r="D4585" s="11" t="str">
        <f t="shared" si="365"/>
        <v/>
      </c>
      <c r="E4585" s="11" t="str">
        <f t="shared" si="362"/>
        <v/>
      </c>
      <c r="F4585" s="11" t="str">
        <f t="shared" si="363"/>
        <v/>
      </c>
      <c r="G4585" s="10" t="str">
        <v/>
      </c>
      <c r="H4585" s="11" t="str">
        <v/>
      </c>
      <c r="I4585" s="11" t="str">
        <v/>
      </c>
    </row>
    <row r="4586" spans="2:9">
      <c r="B4586" s="11" t="str">
        <f t="shared" si="361"/>
        <v/>
      </c>
      <c r="C4586" s="11" t="str">
        <f t="shared" si="364"/>
        <v/>
      </c>
      <c r="D4586" s="11" t="str">
        <f t="shared" si="365"/>
        <v/>
      </c>
      <c r="E4586" s="11" t="str">
        <f t="shared" si="362"/>
        <v/>
      </c>
      <c r="F4586" s="11" t="str">
        <f t="shared" si="363"/>
        <v/>
      </c>
      <c r="G4586" s="10" t="str">
        <v/>
      </c>
      <c r="H4586" s="11" t="str">
        <v/>
      </c>
      <c r="I4586" s="11" t="str">
        <v/>
      </c>
    </row>
    <row r="4587" spans="2:9">
      <c r="B4587" s="11" t="str">
        <f t="shared" si="361"/>
        <v/>
      </c>
      <c r="C4587" s="11" t="str">
        <f t="shared" si="364"/>
        <v/>
      </c>
      <c r="D4587" s="11" t="str">
        <f t="shared" si="365"/>
        <v/>
      </c>
      <c r="E4587" s="11" t="str">
        <f t="shared" si="362"/>
        <v/>
      </c>
      <c r="F4587" s="11" t="str">
        <f t="shared" si="363"/>
        <v/>
      </c>
      <c r="G4587" s="10" t="str">
        <v/>
      </c>
      <c r="H4587" s="11" t="str">
        <v/>
      </c>
      <c r="I4587" s="11" t="str">
        <v/>
      </c>
    </row>
    <row r="4588" spans="2:9">
      <c r="B4588" s="11" t="str">
        <f t="shared" si="361"/>
        <v/>
      </c>
      <c r="C4588" s="11" t="str">
        <f t="shared" si="364"/>
        <v/>
      </c>
      <c r="D4588" s="11" t="str">
        <f t="shared" si="365"/>
        <v/>
      </c>
      <c r="E4588" s="11" t="str">
        <f t="shared" si="362"/>
        <v/>
      </c>
      <c r="F4588" s="11" t="str">
        <f t="shared" si="363"/>
        <v/>
      </c>
      <c r="G4588" s="10" t="str">
        <v/>
      </c>
      <c r="H4588" s="11" t="str">
        <v/>
      </c>
      <c r="I4588" s="11" t="str">
        <v/>
      </c>
    </row>
    <row r="4589" spans="2:9">
      <c r="B4589" s="11" t="str">
        <f t="shared" si="361"/>
        <v/>
      </c>
      <c r="C4589" s="11" t="str">
        <f t="shared" si="364"/>
        <v/>
      </c>
      <c r="D4589" s="11" t="str">
        <f t="shared" si="365"/>
        <v/>
      </c>
      <c r="E4589" s="11" t="str">
        <f t="shared" si="362"/>
        <v/>
      </c>
      <c r="F4589" s="11" t="str">
        <f t="shared" si="363"/>
        <v/>
      </c>
      <c r="G4589" s="10" t="str">
        <v/>
      </c>
      <c r="H4589" s="11" t="str">
        <v/>
      </c>
      <c r="I4589" s="11" t="str">
        <v/>
      </c>
    </row>
    <row r="4590" spans="2:9">
      <c r="B4590" s="11" t="str">
        <f t="shared" si="361"/>
        <v/>
      </c>
      <c r="C4590" s="11" t="str">
        <f t="shared" si="364"/>
        <v/>
      </c>
      <c r="D4590" s="11" t="str">
        <f t="shared" si="365"/>
        <v/>
      </c>
      <c r="E4590" s="11" t="str">
        <f t="shared" si="362"/>
        <v/>
      </c>
      <c r="F4590" s="11" t="str">
        <f t="shared" si="363"/>
        <v/>
      </c>
      <c r="G4590" s="10" t="str">
        <v/>
      </c>
      <c r="H4590" s="11" t="str">
        <v/>
      </c>
      <c r="I4590" s="11" t="str">
        <v/>
      </c>
    </row>
    <row r="4591" spans="2:9">
      <c r="B4591" s="11" t="str">
        <f t="shared" si="361"/>
        <v/>
      </c>
      <c r="C4591" s="11" t="str">
        <f t="shared" si="364"/>
        <v/>
      </c>
      <c r="D4591" s="11" t="str">
        <f t="shared" si="365"/>
        <v/>
      </c>
      <c r="E4591" s="11" t="str">
        <f t="shared" si="362"/>
        <v/>
      </c>
      <c r="F4591" s="11" t="str">
        <f t="shared" si="363"/>
        <v/>
      </c>
      <c r="G4591" s="10" t="str">
        <v/>
      </c>
      <c r="H4591" s="11" t="str">
        <v/>
      </c>
      <c r="I4591" s="11" t="str">
        <v/>
      </c>
    </row>
    <row r="4592" spans="2:9">
      <c r="B4592" s="11" t="str">
        <f t="shared" si="361"/>
        <v/>
      </c>
      <c r="C4592" s="11" t="str">
        <f t="shared" si="364"/>
        <v/>
      </c>
      <c r="D4592" s="11" t="str">
        <f t="shared" si="365"/>
        <v/>
      </c>
      <c r="E4592" s="11" t="str">
        <f t="shared" si="362"/>
        <v/>
      </c>
      <c r="F4592" s="11" t="str">
        <f t="shared" si="363"/>
        <v/>
      </c>
      <c r="G4592" s="10" t="str">
        <v/>
      </c>
      <c r="H4592" s="11" t="str">
        <v/>
      </c>
      <c r="I4592" s="11" t="str">
        <v/>
      </c>
    </row>
    <row r="4593" spans="2:9">
      <c r="B4593" s="11" t="str">
        <f t="shared" si="361"/>
        <v/>
      </c>
      <c r="C4593" s="11" t="str">
        <f t="shared" si="364"/>
        <v/>
      </c>
      <c r="D4593" s="11" t="str">
        <f t="shared" si="365"/>
        <v/>
      </c>
      <c r="E4593" s="11" t="str">
        <f t="shared" si="362"/>
        <v/>
      </c>
      <c r="F4593" s="11" t="str">
        <f t="shared" si="363"/>
        <v/>
      </c>
      <c r="G4593" s="10" t="str">
        <v/>
      </c>
      <c r="H4593" s="11" t="str">
        <v/>
      </c>
      <c r="I4593" s="11" t="str">
        <v/>
      </c>
    </row>
    <row r="4594" spans="2:9">
      <c r="B4594" s="11" t="str">
        <f t="shared" si="361"/>
        <v/>
      </c>
      <c r="C4594" s="11" t="str">
        <f t="shared" si="364"/>
        <v/>
      </c>
      <c r="D4594" s="11" t="str">
        <f t="shared" si="365"/>
        <v/>
      </c>
      <c r="E4594" s="11" t="str">
        <f t="shared" si="362"/>
        <v/>
      </c>
      <c r="F4594" s="11" t="str">
        <f t="shared" si="363"/>
        <v/>
      </c>
      <c r="G4594" s="10" t="str">
        <v/>
      </c>
      <c r="H4594" s="11" t="str">
        <v/>
      </c>
      <c r="I4594" s="11" t="str">
        <v/>
      </c>
    </row>
    <row r="4595" spans="2:9">
      <c r="B4595" s="11" t="str">
        <f t="shared" si="361"/>
        <v/>
      </c>
      <c r="C4595" s="11" t="str">
        <f t="shared" si="364"/>
        <v/>
      </c>
      <c r="D4595" s="11" t="str">
        <f t="shared" si="365"/>
        <v/>
      </c>
      <c r="E4595" s="11" t="str">
        <f t="shared" si="362"/>
        <v/>
      </c>
      <c r="F4595" s="11" t="str">
        <f t="shared" si="363"/>
        <v/>
      </c>
      <c r="G4595" s="10" t="str">
        <v/>
      </c>
      <c r="H4595" s="11" t="str">
        <v/>
      </c>
      <c r="I4595" s="11" t="str">
        <v/>
      </c>
    </row>
    <row r="4596" spans="2:9">
      <c r="B4596" s="11" t="str">
        <f t="shared" si="361"/>
        <v/>
      </c>
      <c r="C4596" s="11" t="str">
        <f t="shared" si="364"/>
        <v/>
      </c>
      <c r="D4596" s="11" t="str">
        <f t="shared" si="365"/>
        <v/>
      </c>
      <c r="E4596" s="11" t="str">
        <f t="shared" si="362"/>
        <v/>
      </c>
      <c r="F4596" s="11" t="str">
        <f t="shared" si="363"/>
        <v/>
      </c>
      <c r="G4596" s="10" t="str">
        <v/>
      </c>
      <c r="H4596" s="11" t="str">
        <v/>
      </c>
      <c r="I4596" s="11" t="str">
        <v/>
      </c>
    </row>
    <row r="4597" spans="2:9">
      <c r="B4597" s="11" t="str">
        <f t="shared" si="361"/>
        <v/>
      </c>
      <c r="C4597" s="11" t="str">
        <f t="shared" si="364"/>
        <v/>
      </c>
      <c r="D4597" s="11" t="str">
        <f t="shared" si="365"/>
        <v/>
      </c>
      <c r="E4597" s="11" t="str">
        <f t="shared" si="362"/>
        <v/>
      </c>
      <c r="F4597" s="11" t="str">
        <f t="shared" si="363"/>
        <v/>
      </c>
      <c r="G4597" s="10" t="str">
        <v/>
      </c>
      <c r="H4597" s="11" t="str">
        <v/>
      </c>
      <c r="I4597" s="11" t="str">
        <v/>
      </c>
    </row>
    <row r="4598" spans="2:9">
      <c r="B4598" s="11" t="str">
        <f t="shared" si="361"/>
        <v/>
      </c>
      <c r="C4598" s="11" t="str">
        <f t="shared" si="364"/>
        <v/>
      </c>
      <c r="D4598" s="11" t="str">
        <f t="shared" si="365"/>
        <v/>
      </c>
      <c r="E4598" s="11" t="str">
        <f t="shared" si="362"/>
        <v/>
      </c>
      <c r="F4598" s="11" t="str">
        <f t="shared" si="363"/>
        <v/>
      </c>
      <c r="G4598" s="10" t="str">
        <v/>
      </c>
      <c r="H4598" s="11" t="str">
        <v/>
      </c>
      <c r="I4598" s="11" t="str">
        <v/>
      </c>
    </row>
    <row r="4599" spans="2:9">
      <c r="B4599" s="11" t="str">
        <f t="shared" si="361"/>
        <v/>
      </c>
      <c r="C4599" s="11" t="str">
        <f t="shared" si="364"/>
        <v/>
      </c>
      <c r="D4599" s="11" t="str">
        <f t="shared" si="365"/>
        <v/>
      </c>
      <c r="E4599" s="11" t="str">
        <f t="shared" si="362"/>
        <v/>
      </c>
      <c r="F4599" s="11" t="str">
        <f t="shared" si="363"/>
        <v/>
      </c>
      <c r="G4599" s="10" t="str">
        <v/>
      </c>
      <c r="H4599" s="11" t="str">
        <v/>
      </c>
      <c r="I4599" s="11" t="str">
        <v/>
      </c>
    </row>
    <row r="4600" spans="2:9">
      <c r="B4600" s="11" t="str">
        <f t="shared" si="361"/>
        <v/>
      </c>
      <c r="C4600" s="11" t="str">
        <f t="shared" si="364"/>
        <v/>
      </c>
      <c r="D4600" s="11" t="str">
        <f t="shared" si="365"/>
        <v/>
      </c>
      <c r="E4600" s="11" t="str">
        <f t="shared" si="362"/>
        <v/>
      </c>
      <c r="F4600" s="11" t="str">
        <f t="shared" si="363"/>
        <v/>
      </c>
      <c r="G4600" s="10" t="str">
        <v/>
      </c>
      <c r="H4600" s="11" t="str">
        <v/>
      </c>
      <c r="I4600" s="11" t="str">
        <v/>
      </c>
    </row>
    <row r="4601" spans="2:9">
      <c r="B4601" s="11" t="str">
        <f t="shared" si="361"/>
        <v/>
      </c>
      <c r="C4601" s="11" t="str">
        <f t="shared" si="364"/>
        <v/>
      </c>
      <c r="D4601" s="11" t="str">
        <f t="shared" si="365"/>
        <v/>
      </c>
      <c r="E4601" s="11" t="str">
        <f t="shared" si="362"/>
        <v/>
      </c>
      <c r="F4601" s="11" t="str">
        <f t="shared" si="363"/>
        <v/>
      </c>
      <c r="G4601" s="10" t="str">
        <v/>
      </c>
      <c r="H4601" s="11" t="str">
        <v/>
      </c>
      <c r="I4601" s="11" t="str">
        <v/>
      </c>
    </row>
    <row r="4602" spans="2:9">
      <c r="B4602" s="11" t="str">
        <f t="shared" si="361"/>
        <v/>
      </c>
      <c r="C4602" s="11" t="str">
        <f t="shared" si="364"/>
        <v/>
      </c>
      <c r="D4602" s="11" t="str">
        <f t="shared" si="365"/>
        <v/>
      </c>
      <c r="E4602" s="11" t="str">
        <f t="shared" si="362"/>
        <v/>
      </c>
      <c r="F4602" s="11" t="str">
        <f t="shared" si="363"/>
        <v/>
      </c>
      <c r="G4602" s="10" t="str">
        <v/>
      </c>
      <c r="H4602" s="11" t="str">
        <v/>
      </c>
      <c r="I4602" s="11" t="str">
        <v/>
      </c>
    </row>
    <row r="4603" spans="2:9">
      <c r="B4603" s="11" t="str">
        <f t="shared" si="361"/>
        <v/>
      </c>
      <c r="C4603" s="11" t="str">
        <f t="shared" si="364"/>
        <v/>
      </c>
      <c r="D4603" s="11" t="str">
        <f t="shared" si="365"/>
        <v/>
      </c>
      <c r="E4603" s="11" t="str">
        <f t="shared" si="362"/>
        <v/>
      </c>
      <c r="F4603" s="11" t="str">
        <f t="shared" si="363"/>
        <v/>
      </c>
      <c r="G4603" s="10" t="str">
        <v/>
      </c>
      <c r="H4603" s="11" t="str">
        <v/>
      </c>
      <c r="I4603" s="11" t="str">
        <v/>
      </c>
    </row>
    <row r="4604" spans="2:9">
      <c r="B4604" s="11" t="str">
        <f t="shared" si="361"/>
        <v/>
      </c>
      <c r="C4604" s="11" t="str">
        <f t="shared" si="364"/>
        <v/>
      </c>
      <c r="D4604" s="11" t="str">
        <f t="shared" si="365"/>
        <v/>
      </c>
      <c r="E4604" s="11" t="str">
        <f t="shared" si="362"/>
        <v/>
      </c>
      <c r="F4604" s="11" t="str">
        <f t="shared" si="363"/>
        <v/>
      </c>
      <c r="G4604" s="10" t="str">
        <v/>
      </c>
      <c r="H4604" s="11" t="str">
        <v/>
      </c>
      <c r="I4604" s="11" t="str">
        <v/>
      </c>
    </row>
    <row r="4605" spans="2:9">
      <c r="B4605" s="11" t="str">
        <f t="shared" si="361"/>
        <v/>
      </c>
      <c r="C4605" s="11" t="str">
        <f t="shared" si="364"/>
        <v/>
      </c>
      <c r="D4605" s="11" t="str">
        <f t="shared" si="365"/>
        <v/>
      </c>
      <c r="E4605" s="11" t="str">
        <f t="shared" si="362"/>
        <v/>
      </c>
      <c r="F4605" s="11" t="str">
        <f t="shared" si="363"/>
        <v/>
      </c>
      <c r="G4605" s="10" t="str">
        <v/>
      </c>
      <c r="H4605" s="11" t="str">
        <v/>
      </c>
      <c r="I4605" s="11" t="str">
        <v/>
      </c>
    </row>
    <row r="4606" spans="2:9">
      <c r="B4606" s="11" t="str">
        <f t="shared" si="361"/>
        <v/>
      </c>
      <c r="C4606" s="11" t="str">
        <f t="shared" si="364"/>
        <v/>
      </c>
      <c r="D4606" s="11" t="str">
        <f t="shared" si="365"/>
        <v/>
      </c>
      <c r="E4606" s="11" t="str">
        <f t="shared" si="362"/>
        <v/>
      </c>
      <c r="F4606" s="11" t="str">
        <f t="shared" si="363"/>
        <v/>
      </c>
      <c r="G4606" s="10" t="str">
        <v/>
      </c>
      <c r="H4606" s="11" t="str">
        <v/>
      </c>
      <c r="I4606" s="11" t="str">
        <v/>
      </c>
    </row>
    <row r="4607" spans="2:9">
      <c r="B4607" s="11" t="str">
        <f t="shared" si="361"/>
        <v/>
      </c>
      <c r="C4607" s="11" t="str">
        <f t="shared" si="364"/>
        <v/>
      </c>
      <c r="D4607" s="11" t="str">
        <f t="shared" si="365"/>
        <v/>
      </c>
      <c r="E4607" s="11" t="str">
        <f t="shared" si="362"/>
        <v/>
      </c>
      <c r="F4607" s="11" t="str">
        <f t="shared" si="363"/>
        <v/>
      </c>
      <c r="G4607" s="10" t="str">
        <v/>
      </c>
      <c r="H4607" s="11" t="str">
        <v/>
      </c>
      <c r="I4607" s="11" t="str">
        <v/>
      </c>
    </row>
    <row r="4608" spans="2:9">
      <c r="B4608" s="11" t="str">
        <f t="shared" si="361"/>
        <v/>
      </c>
      <c r="C4608" s="11" t="str">
        <f t="shared" si="364"/>
        <v/>
      </c>
      <c r="D4608" s="11" t="str">
        <f t="shared" si="365"/>
        <v/>
      </c>
      <c r="E4608" s="11" t="str">
        <f t="shared" si="362"/>
        <v/>
      </c>
      <c r="F4608" s="11" t="str">
        <f t="shared" si="363"/>
        <v/>
      </c>
      <c r="G4608" s="10" t="str">
        <v/>
      </c>
      <c r="H4608" s="11" t="str">
        <v/>
      </c>
      <c r="I4608" s="11" t="str">
        <v/>
      </c>
    </row>
    <row r="4609" spans="2:9">
      <c r="B4609" s="11" t="str">
        <f t="shared" ref="B4609:B4672" si="366">IFERROR(IF(FIND(" ",A4609)=6,IF(IFERROR(FIND(" PB",A4609),"")&lt;&gt;"","артикул",IF(IFERROR(FIND(" CRN",A4609),"")&lt;&gt;"","артикул","")),""),"")</f>
        <v/>
      </c>
      <c r="C4609" s="11" t="str">
        <f t="shared" si="364"/>
        <v/>
      </c>
      <c r="D4609" s="11" t="str">
        <f t="shared" si="365"/>
        <v/>
      </c>
      <c r="E4609" s="11" t="str">
        <f t="shared" si="362"/>
        <v/>
      </c>
      <c r="F4609" s="11" t="str">
        <f t="shared" si="363"/>
        <v/>
      </c>
      <c r="G4609" s="10" t="str">
        <v/>
      </c>
      <c r="H4609" s="11" t="str">
        <v/>
      </c>
      <c r="I4609" s="11" t="str">
        <v/>
      </c>
    </row>
    <row r="4610" spans="2:9">
      <c r="B4610" s="11" t="str">
        <f t="shared" si="366"/>
        <v/>
      </c>
      <c r="C4610" s="11" t="str">
        <f t="shared" si="364"/>
        <v/>
      </c>
      <c r="D4610" s="11" t="str">
        <f t="shared" si="365"/>
        <v/>
      </c>
      <c r="E4610" s="11" t="str">
        <f t="shared" ref="E4610:E4673" si="367" xml:space="preserve">
IF(B4610="Артикул",
IF(
AND(RIGHT(A4611,1)="%",
RIGHT(A4612,1)="%",
RIGHT(A4613,1)="%",
RIGHT(A4614,1)="%"),MID(A4615,FIND(" ",A4615),50),
IF(
AND(RIGHT(A4611,1)="%",
RIGHT(A4612,1)="%",
RIGHT(A4613,1)="%"),MID(A4614,FIND(" ",A4614),50),
IF(
AND(RIGHT(A4611,1)="%",
RIGHT(A4612,1)="%"),
MID(A4613,FIND(" ",A4613),50),
IF(
RIGHT(A4611,1)="%",
MID(A4612,FIND(" ",A4612),50),"")))),"")</f>
        <v/>
      </c>
      <c r="F4610" s="11" t="str">
        <f t="shared" ref="F4610:F4673" si="368">IFERROR(
IF(
AND(LEFT(A4610,8)="Discount",FIND("%",A4610)&gt;0),
MID(A4610,
FIND(" ",A4610),
FIND("%",A4610)-FIND(" ",A4610))
*-1,""),"")</f>
        <v/>
      </c>
      <c r="G4610" s="10" t="str">
        <v/>
      </c>
      <c r="H4610" s="11" t="str">
        <v/>
      </c>
      <c r="I4610" s="11" t="str">
        <v/>
      </c>
    </row>
    <row r="4611" spans="2:9">
      <c r="B4611" s="11" t="str">
        <f t="shared" si="366"/>
        <v/>
      </c>
      <c r="C4611" s="11" t="str">
        <f t="shared" si="364"/>
        <v/>
      </c>
      <c r="D4611" s="11" t="str">
        <f t="shared" si="365"/>
        <v/>
      </c>
      <c r="E4611" s="11" t="str">
        <f t="shared" si="367"/>
        <v/>
      </c>
      <c r="F4611" s="11" t="str">
        <f t="shared" si="368"/>
        <v/>
      </c>
      <c r="G4611" s="10" t="str">
        <v/>
      </c>
      <c r="H4611" s="11" t="str">
        <v/>
      </c>
      <c r="I4611" s="11" t="str">
        <v/>
      </c>
    </row>
    <row r="4612" spans="2:9">
      <c r="B4612" s="11" t="str">
        <f t="shared" si="366"/>
        <v/>
      </c>
      <c r="C4612" s="11" t="str">
        <f t="shared" si="364"/>
        <v/>
      </c>
      <c r="D4612" s="11" t="str">
        <f t="shared" si="365"/>
        <v/>
      </c>
      <c r="E4612" s="11" t="str">
        <f t="shared" si="367"/>
        <v/>
      </c>
      <c r="F4612" s="11" t="str">
        <f t="shared" si="368"/>
        <v/>
      </c>
      <c r="G4612" s="10" t="str">
        <v/>
      </c>
      <c r="H4612" s="11" t="str">
        <v/>
      </c>
      <c r="I4612" s="11" t="str">
        <v/>
      </c>
    </row>
    <row r="4613" spans="2:9">
      <c r="B4613" s="11" t="str">
        <f t="shared" si="366"/>
        <v/>
      </c>
      <c r="C4613" s="11" t="str">
        <f t="shared" si="364"/>
        <v/>
      </c>
      <c r="D4613" s="11" t="str">
        <f t="shared" si="365"/>
        <v/>
      </c>
      <c r="E4613" s="11" t="str">
        <f t="shared" si="367"/>
        <v/>
      </c>
      <c r="F4613" s="11" t="str">
        <f t="shared" si="368"/>
        <v/>
      </c>
      <c r="G4613" s="10" t="str">
        <v/>
      </c>
      <c r="H4613" s="11" t="str">
        <v/>
      </c>
      <c r="I4613" s="11" t="str">
        <v/>
      </c>
    </row>
    <row r="4614" spans="2:9">
      <c r="B4614" s="11" t="str">
        <f t="shared" si="366"/>
        <v/>
      </c>
      <c r="C4614" s="11" t="str">
        <f t="shared" si="364"/>
        <v/>
      </c>
      <c r="D4614" s="11" t="str">
        <f t="shared" si="365"/>
        <v/>
      </c>
      <c r="E4614" s="11" t="str">
        <f t="shared" si="367"/>
        <v/>
      </c>
      <c r="F4614" s="11" t="str">
        <f t="shared" si="368"/>
        <v/>
      </c>
      <c r="G4614" s="10" t="str">
        <v/>
      </c>
      <c r="H4614" s="11" t="str">
        <v/>
      </c>
      <c r="I4614" s="11" t="str">
        <v/>
      </c>
    </row>
    <row r="4615" spans="2:9">
      <c r="B4615" s="11" t="str">
        <f t="shared" si="366"/>
        <v/>
      </c>
      <c r="C4615" s="11" t="str">
        <f t="shared" si="364"/>
        <v/>
      </c>
      <c r="D4615" s="11" t="str">
        <f t="shared" si="365"/>
        <v/>
      </c>
      <c r="E4615" s="11" t="str">
        <f t="shared" si="367"/>
        <v/>
      </c>
      <c r="F4615" s="11" t="str">
        <f t="shared" si="368"/>
        <v/>
      </c>
      <c r="G4615" s="10" t="str">
        <v/>
      </c>
      <c r="H4615" s="11" t="str">
        <v/>
      </c>
      <c r="I4615" s="11" t="str">
        <v/>
      </c>
    </row>
    <row r="4616" spans="2:9">
      <c r="B4616" s="11" t="str">
        <f t="shared" si="366"/>
        <v/>
      </c>
      <c r="C4616" s="11" t="str">
        <f t="shared" si="364"/>
        <v/>
      </c>
      <c r="D4616" s="11" t="str">
        <f t="shared" si="365"/>
        <v/>
      </c>
      <c r="E4616" s="11" t="str">
        <f t="shared" si="367"/>
        <v/>
      </c>
      <c r="F4616" s="11" t="str">
        <f t="shared" si="368"/>
        <v/>
      </c>
      <c r="G4616" s="10" t="str">
        <v/>
      </c>
      <c r="H4616" s="11" t="str">
        <v/>
      </c>
      <c r="I4616" s="11" t="str">
        <v/>
      </c>
    </row>
    <row r="4617" spans="2:9">
      <c r="B4617" s="11" t="str">
        <f t="shared" si="366"/>
        <v/>
      </c>
      <c r="C4617" s="11" t="str">
        <f t="shared" si="364"/>
        <v/>
      </c>
      <c r="D4617" s="11" t="str">
        <f t="shared" si="365"/>
        <v/>
      </c>
      <c r="E4617" s="11" t="str">
        <f t="shared" si="367"/>
        <v/>
      </c>
      <c r="F4617" s="11" t="str">
        <f t="shared" si="368"/>
        <v/>
      </c>
      <c r="G4617" s="10" t="str">
        <v/>
      </c>
      <c r="H4617" s="11" t="str">
        <v/>
      </c>
      <c r="I4617" s="11" t="str">
        <v/>
      </c>
    </row>
    <row r="4618" spans="2:9">
      <c r="B4618" s="11" t="str">
        <f t="shared" si="366"/>
        <v/>
      </c>
      <c r="C4618" s="11" t="str">
        <f t="shared" si="364"/>
        <v/>
      </c>
      <c r="D4618" s="11" t="str">
        <f t="shared" si="365"/>
        <v/>
      </c>
      <c r="E4618" s="11" t="str">
        <f t="shared" si="367"/>
        <v/>
      </c>
      <c r="F4618" s="11" t="str">
        <f t="shared" si="368"/>
        <v/>
      </c>
      <c r="G4618" s="10" t="str">
        <v/>
      </c>
      <c r="H4618" s="11" t="str">
        <v/>
      </c>
      <c r="I4618" s="11" t="str">
        <v/>
      </c>
    </row>
    <row r="4619" spans="2:9">
      <c r="B4619" s="11" t="str">
        <f t="shared" si="366"/>
        <v/>
      </c>
      <c r="C4619" s="11" t="str">
        <f t="shared" si="364"/>
        <v/>
      </c>
      <c r="D4619" s="11" t="str">
        <f t="shared" si="365"/>
        <v/>
      </c>
      <c r="E4619" s="11" t="str">
        <f t="shared" si="367"/>
        <v/>
      </c>
      <c r="F4619" s="11" t="str">
        <f t="shared" si="368"/>
        <v/>
      </c>
      <c r="G4619" s="10" t="str">
        <v/>
      </c>
      <c r="H4619" s="11" t="str">
        <v/>
      </c>
      <c r="I4619" s="11" t="str">
        <v/>
      </c>
    </row>
    <row r="4620" spans="2:9">
      <c r="B4620" s="11" t="str">
        <f t="shared" si="366"/>
        <v/>
      </c>
      <c r="C4620" s="11" t="str">
        <f t="shared" si="364"/>
        <v/>
      </c>
      <c r="D4620" s="11" t="str">
        <f t="shared" si="365"/>
        <v/>
      </c>
      <c r="E4620" s="11" t="str">
        <f t="shared" si="367"/>
        <v/>
      </c>
      <c r="F4620" s="11" t="str">
        <f t="shared" si="368"/>
        <v/>
      </c>
      <c r="G4620" s="10" t="str">
        <v/>
      </c>
      <c r="H4620" s="11" t="str">
        <v/>
      </c>
      <c r="I4620" s="11" t="str">
        <v/>
      </c>
    </row>
    <row r="4621" spans="2:9">
      <c r="B4621" s="11" t="str">
        <f t="shared" si="366"/>
        <v/>
      </c>
      <c r="C4621" s="11" t="str">
        <f t="shared" ref="C4621:C4684" si="369">IF(B4621="артикул",A4621,"")</f>
        <v/>
      </c>
      <c r="D4621" s="11" t="str">
        <f t="shared" ref="D4621:D4684" si="370">IF(B4621="артикул",A4622,"")</f>
        <v/>
      </c>
      <c r="E4621" s="11" t="str">
        <f t="shared" si="367"/>
        <v/>
      </c>
      <c r="F4621" s="11" t="str">
        <f t="shared" si="368"/>
        <v/>
      </c>
      <c r="G4621" s="10" t="str">
        <v/>
      </c>
      <c r="H4621" s="11" t="str">
        <v/>
      </c>
      <c r="I4621" s="11" t="str">
        <v/>
      </c>
    </row>
    <row r="4622" spans="2:9">
      <c r="B4622" s="11" t="str">
        <f t="shared" si="366"/>
        <v/>
      </c>
      <c r="C4622" s="11" t="str">
        <f t="shared" si="369"/>
        <v/>
      </c>
      <c r="D4622" s="11" t="str">
        <f t="shared" si="370"/>
        <v/>
      </c>
      <c r="E4622" s="11" t="str">
        <f t="shared" si="367"/>
        <v/>
      </c>
      <c r="F4622" s="11" t="str">
        <f t="shared" si="368"/>
        <v/>
      </c>
      <c r="G4622" s="10" t="str">
        <v/>
      </c>
      <c r="H4622" s="11" t="str">
        <v/>
      </c>
      <c r="I4622" s="11" t="str">
        <v/>
      </c>
    </row>
    <row r="4623" spans="2:9">
      <c r="B4623" s="11" t="str">
        <f t="shared" si="366"/>
        <v/>
      </c>
      <c r="C4623" s="11" t="str">
        <f t="shared" si="369"/>
        <v/>
      </c>
      <c r="D4623" s="11" t="str">
        <f t="shared" si="370"/>
        <v/>
      </c>
      <c r="E4623" s="11" t="str">
        <f t="shared" si="367"/>
        <v/>
      </c>
      <c r="F4623" s="11" t="str">
        <f t="shared" si="368"/>
        <v/>
      </c>
      <c r="G4623" s="10" t="str">
        <v/>
      </c>
      <c r="H4623" s="11" t="str">
        <v/>
      </c>
      <c r="I4623" s="11" t="str">
        <v/>
      </c>
    </row>
    <row r="4624" spans="2:9">
      <c r="B4624" s="11" t="str">
        <f t="shared" si="366"/>
        <v/>
      </c>
      <c r="C4624" s="11" t="str">
        <f t="shared" si="369"/>
        <v/>
      </c>
      <c r="D4624" s="11" t="str">
        <f t="shared" si="370"/>
        <v/>
      </c>
      <c r="E4624" s="11" t="str">
        <f t="shared" si="367"/>
        <v/>
      </c>
      <c r="F4624" s="11" t="str">
        <f t="shared" si="368"/>
        <v/>
      </c>
      <c r="G4624" s="10" t="str">
        <v/>
      </c>
      <c r="H4624" s="11" t="str">
        <v/>
      </c>
      <c r="I4624" s="11" t="str">
        <v/>
      </c>
    </row>
    <row r="4625" spans="2:9">
      <c r="B4625" s="11" t="str">
        <f t="shared" si="366"/>
        <v/>
      </c>
      <c r="C4625" s="11" t="str">
        <f t="shared" si="369"/>
        <v/>
      </c>
      <c r="D4625" s="11" t="str">
        <f t="shared" si="370"/>
        <v/>
      </c>
      <c r="E4625" s="11" t="str">
        <f t="shared" si="367"/>
        <v/>
      </c>
      <c r="F4625" s="11" t="str">
        <f t="shared" si="368"/>
        <v/>
      </c>
      <c r="G4625" s="10" t="str">
        <v/>
      </c>
      <c r="H4625" s="11" t="str">
        <v/>
      </c>
      <c r="I4625" s="11" t="str">
        <v/>
      </c>
    </row>
    <row r="4626" spans="2:9">
      <c r="B4626" s="11" t="str">
        <f t="shared" si="366"/>
        <v/>
      </c>
      <c r="C4626" s="11" t="str">
        <f t="shared" si="369"/>
        <v/>
      </c>
      <c r="D4626" s="11" t="str">
        <f t="shared" si="370"/>
        <v/>
      </c>
      <c r="E4626" s="11" t="str">
        <f t="shared" si="367"/>
        <v/>
      </c>
      <c r="F4626" s="11" t="str">
        <f t="shared" si="368"/>
        <v/>
      </c>
      <c r="G4626" s="10" t="str">
        <v/>
      </c>
      <c r="H4626" s="11" t="str">
        <v/>
      </c>
      <c r="I4626" s="11" t="str">
        <v/>
      </c>
    </row>
    <row r="4627" spans="2:9">
      <c r="B4627" s="11" t="str">
        <f t="shared" si="366"/>
        <v/>
      </c>
      <c r="C4627" s="11" t="str">
        <f t="shared" si="369"/>
        <v/>
      </c>
      <c r="D4627" s="11" t="str">
        <f t="shared" si="370"/>
        <v/>
      </c>
      <c r="E4627" s="11" t="str">
        <f t="shared" si="367"/>
        <v/>
      </c>
      <c r="F4627" s="11" t="str">
        <f t="shared" si="368"/>
        <v/>
      </c>
      <c r="G4627" s="10" t="str">
        <v/>
      </c>
      <c r="H4627" s="11" t="str">
        <v/>
      </c>
      <c r="I4627" s="11" t="str">
        <v/>
      </c>
    </row>
    <row r="4628" spans="2:9">
      <c r="B4628" s="11" t="str">
        <f t="shared" si="366"/>
        <v/>
      </c>
      <c r="C4628" s="11" t="str">
        <f t="shared" si="369"/>
        <v/>
      </c>
      <c r="D4628" s="11" t="str">
        <f t="shared" si="370"/>
        <v/>
      </c>
      <c r="E4628" s="11" t="str">
        <f t="shared" si="367"/>
        <v/>
      </c>
      <c r="F4628" s="11" t="str">
        <f t="shared" si="368"/>
        <v/>
      </c>
      <c r="G4628" s="10" t="str">
        <v/>
      </c>
      <c r="H4628" s="11" t="str">
        <v/>
      </c>
      <c r="I4628" s="11" t="str">
        <v/>
      </c>
    </row>
    <row r="4629" spans="2:9">
      <c r="B4629" s="11" t="str">
        <f t="shared" si="366"/>
        <v/>
      </c>
      <c r="C4629" s="11" t="str">
        <f t="shared" si="369"/>
        <v/>
      </c>
      <c r="D4629" s="11" t="str">
        <f t="shared" si="370"/>
        <v/>
      </c>
      <c r="E4629" s="11" t="str">
        <f t="shared" si="367"/>
        <v/>
      </c>
      <c r="F4629" s="11" t="str">
        <f t="shared" si="368"/>
        <v/>
      </c>
      <c r="G4629" s="10" t="str">
        <v/>
      </c>
      <c r="H4629" s="11" t="str">
        <v/>
      </c>
      <c r="I4629" s="11" t="str">
        <v/>
      </c>
    </row>
    <row r="4630" spans="2:9">
      <c r="B4630" s="11" t="str">
        <f t="shared" si="366"/>
        <v/>
      </c>
      <c r="C4630" s="11" t="str">
        <f t="shared" si="369"/>
        <v/>
      </c>
      <c r="D4630" s="11" t="str">
        <f t="shared" si="370"/>
        <v/>
      </c>
      <c r="E4630" s="11" t="str">
        <f t="shared" si="367"/>
        <v/>
      </c>
      <c r="F4630" s="11" t="str">
        <f t="shared" si="368"/>
        <v/>
      </c>
      <c r="G4630" s="10" t="str">
        <v/>
      </c>
      <c r="H4630" s="11" t="str">
        <v/>
      </c>
      <c r="I4630" s="11" t="str">
        <v/>
      </c>
    </row>
    <row r="4631" spans="2:9">
      <c r="B4631" s="11" t="str">
        <f t="shared" si="366"/>
        <v/>
      </c>
      <c r="C4631" s="11" t="str">
        <f t="shared" si="369"/>
        <v/>
      </c>
      <c r="D4631" s="11" t="str">
        <f t="shared" si="370"/>
        <v/>
      </c>
      <c r="E4631" s="11" t="str">
        <f t="shared" si="367"/>
        <v/>
      </c>
      <c r="F4631" s="11" t="str">
        <f t="shared" si="368"/>
        <v/>
      </c>
      <c r="G4631" s="10" t="str">
        <v/>
      </c>
      <c r="H4631" s="11" t="str">
        <v/>
      </c>
      <c r="I4631" s="11" t="str">
        <v/>
      </c>
    </row>
    <row r="4632" spans="2:9">
      <c r="B4632" s="11" t="str">
        <f t="shared" si="366"/>
        <v/>
      </c>
      <c r="C4632" s="11" t="str">
        <f t="shared" si="369"/>
        <v/>
      </c>
      <c r="D4632" s="11" t="str">
        <f t="shared" si="370"/>
        <v/>
      </c>
      <c r="E4632" s="11" t="str">
        <f t="shared" si="367"/>
        <v/>
      </c>
      <c r="F4632" s="11" t="str">
        <f t="shared" si="368"/>
        <v/>
      </c>
      <c r="G4632" s="10" t="str">
        <v/>
      </c>
      <c r="H4632" s="11" t="str">
        <v/>
      </c>
      <c r="I4632" s="11" t="str">
        <v/>
      </c>
    </row>
    <row r="4633" spans="2:9">
      <c r="B4633" s="11" t="str">
        <f t="shared" si="366"/>
        <v/>
      </c>
      <c r="C4633" s="11" t="str">
        <f t="shared" si="369"/>
        <v/>
      </c>
      <c r="D4633" s="11" t="str">
        <f t="shared" si="370"/>
        <v/>
      </c>
      <c r="E4633" s="11" t="str">
        <f t="shared" si="367"/>
        <v/>
      </c>
      <c r="F4633" s="11" t="str">
        <f t="shared" si="368"/>
        <v/>
      </c>
      <c r="G4633" s="10" t="str">
        <v/>
      </c>
      <c r="H4633" s="11" t="str">
        <v/>
      </c>
      <c r="I4633" s="11" t="str">
        <v/>
      </c>
    </row>
    <row r="4634" spans="2:9">
      <c r="B4634" s="11" t="str">
        <f t="shared" si="366"/>
        <v/>
      </c>
      <c r="C4634" s="11" t="str">
        <f t="shared" si="369"/>
        <v/>
      </c>
      <c r="D4634" s="11" t="str">
        <f t="shared" si="370"/>
        <v/>
      </c>
      <c r="E4634" s="11" t="str">
        <f t="shared" si="367"/>
        <v/>
      </c>
      <c r="F4634" s="11" t="str">
        <f t="shared" si="368"/>
        <v/>
      </c>
      <c r="G4634" s="10" t="str">
        <v/>
      </c>
      <c r="H4634" s="11" t="str">
        <v/>
      </c>
      <c r="I4634" s="11" t="str">
        <v/>
      </c>
    </row>
    <row r="4635" spans="2:9">
      <c r="B4635" s="11" t="str">
        <f t="shared" si="366"/>
        <v/>
      </c>
      <c r="C4635" s="11" t="str">
        <f t="shared" si="369"/>
        <v/>
      </c>
      <c r="D4635" s="11" t="str">
        <f t="shared" si="370"/>
        <v/>
      </c>
      <c r="E4635" s="11" t="str">
        <f t="shared" si="367"/>
        <v/>
      </c>
      <c r="F4635" s="11" t="str">
        <f t="shared" si="368"/>
        <v/>
      </c>
      <c r="G4635" s="10" t="str">
        <v/>
      </c>
      <c r="H4635" s="11" t="str">
        <v/>
      </c>
      <c r="I4635" s="11" t="str">
        <v/>
      </c>
    </row>
    <row r="4636" spans="2:9">
      <c r="B4636" s="11" t="str">
        <f t="shared" si="366"/>
        <v/>
      </c>
      <c r="C4636" s="11" t="str">
        <f t="shared" si="369"/>
        <v/>
      </c>
      <c r="D4636" s="11" t="str">
        <f t="shared" si="370"/>
        <v/>
      </c>
      <c r="E4636" s="11" t="str">
        <f t="shared" si="367"/>
        <v/>
      </c>
      <c r="F4636" s="11" t="str">
        <f t="shared" si="368"/>
        <v/>
      </c>
      <c r="G4636" s="10" t="str">
        <v/>
      </c>
      <c r="H4636" s="11" t="str">
        <v/>
      </c>
      <c r="I4636" s="11" t="str">
        <v/>
      </c>
    </row>
    <row r="4637" spans="2:9">
      <c r="B4637" s="11" t="str">
        <f t="shared" si="366"/>
        <v/>
      </c>
      <c r="C4637" s="11" t="str">
        <f t="shared" si="369"/>
        <v/>
      </c>
      <c r="D4637" s="11" t="str">
        <f t="shared" si="370"/>
        <v/>
      </c>
      <c r="E4637" s="11" t="str">
        <f t="shared" si="367"/>
        <v/>
      </c>
      <c r="F4637" s="11" t="str">
        <f t="shared" si="368"/>
        <v/>
      </c>
      <c r="G4637" s="10" t="str">
        <v/>
      </c>
      <c r="H4637" s="11" t="str">
        <v/>
      </c>
      <c r="I4637" s="11" t="str">
        <v/>
      </c>
    </row>
    <row r="4638" spans="2:9">
      <c r="B4638" s="11" t="str">
        <f t="shared" si="366"/>
        <v/>
      </c>
      <c r="C4638" s="11" t="str">
        <f t="shared" si="369"/>
        <v/>
      </c>
      <c r="D4638" s="11" t="str">
        <f t="shared" si="370"/>
        <v/>
      </c>
      <c r="E4638" s="11" t="str">
        <f t="shared" si="367"/>
        <v/>
      </c>
      <c r="F4638" s="11" t="str">
        <f t="shared" si="368"/>
        <v/>
      </c>
      <c r="G4638" s="10" t="str">
        <v/>
      </c>
      <c r="H4638" s="11" t="str">
        <v/>
      </c>
      <c r="I4638" s="11" t="str">
        <v/>
      </c>
    </row>
    <row r="4639" spans="2:9">
      <c r="B4639" s="11" t="str">
        <f t="shared" si="366"/>
        <v/>
      </c>
      <c r="C4639" s="11" t="str">
        <f t="shared" si="369"/>
        <v/>
      </c>
      <c r="D4639" s="11" t="str">
        <f t="shared" si="370"/>
        <v/>
      </c>
      <c r="E4639" s="11" t="str">
        <f t="shared" si="367"/>
        <v/>
      </c>
      <c r="F4639" s="11" t="str">
        <f t="shared" si="368"/>
        <v/>
      </c>
      <c r="G4639" s="10" t="str">
        <v/>
      </c>
      <c r="H4639" s="11" t="str">
        <v/>
      </c>
      <c r="I4639" s="11" t="str">
        <v/>
      </c>
    </row>
    <row r="4640" spans="2:9">
      <c r="B4640" s="11" t="str">
        <f t="shared" si="366"/>
        <v/>
      </c>
      <c r="C4640" s="11" t="str">
        <f t="shared" si="369"/>
        <v/>
      </c>
      <c r="D4640" s="11" t="str">
        <f t="shared" si="370"/>
        <v/>
      </c>
      <c r="E4640" s="11" t="str">
        <f t="shared" si="367"/>
        <v/>
      </c>
      <c r="F4640" s="11" t="str">
        <f t="shared" si="368"/>
        <v/>
      </c>
      <c r="G4640" s="10" t="str">
        <v/>
      </c>
      <c r="H4640" s="11" t="str">
        <v/>
      </c>
      <c r="I4640" s="11" t="str">
        <v/>
      </c>
    </row>
    <row r="4641" spans="2:9">
      <c r="B4641" s="11" t="str">
        <f t="shared" si="366"/>
        <v/>
      </c>
      <c r="C4641" s="11" t="str">
        <f t="shared" si="369"/>
        <v/>
      </c>
      <c r="D4641" s="11" t="str">
        <f t="shared" si="370"/>
        <v/>
      </c>
      <c r="E4641" s="11" t="str">
        <f t="shared" si="367"/>
        <v/>
      </c>
      <c r="F4641" s="11" t="str">
        <f t="shared" si="368"/>
        <v/>
      </c>
      <c r="G4641" s="10" t="str">
        <v/>
      </c>
      <c r="H4641" s="11" t="str">
        <v/>
      </c>
      <c r="I4641" s="11" t="str">
        <v/>
      </c>
    </row>
    <row r="4642" spans="2:9">
      <c r="B4642" s="11" t="str">
        <f t="shared" si="366"/>
        <v/>
      </c>
      <c r="C4642" s="11" t="str">
        <f t="shared" si="369"/>
        <v/>
      </c>
      <c r="D4642" s="11" t="str">
        <f t="shared" si="370"/>
        <v/>
      </c>
      <c r="E4642" s="11" t="str">
        <f t="shared" si="367"/>
        <v/>
      </c>
      <c r="F4642" s="11" t="str">
        <f t="shared" si="368"/>
        <v/>
      </c>
      <c r="G4642" s="10" t="str">
        <v/>
      </c>
      <c r="H4642" s="11" t="str">
        <v/>
      </c>
      <c r="I4642" s="11" t="str">
        <v/>
      </c>
    </row>
    <row r="4643" spans="2:9">
      <c r="B4643" s="11" t="str">
        <f t="shared" si="366"/>
        <v/>
      </c>
      <c r="C4643" s="11" t="str">
        <f t="shared" si="369"/>
        <v/>
      </c>
      <c r="D4643" s="11" t="str">
        <f t="shared" si="370"/>
        <v/>
      </c>
      <c r="E4643" s="11" t="str">
        <f t="shared" si="367"/>
        <v/>
      </c>
      <c r="F4643" s="11" t="str">
        <f t="shared" si="368"/>
        <v/>
      </c>
      <c r="G4643" s="10" t="str">
        <v/>
      </c>
      <c r="H4643" s="11" t="str">
        <v/>
      </c>
      <c r="I4643" s="11" t="str">
        <v/>
      </c>
    </row>
    <row r="4644" spans="2:9">
      <c r="B4644" s="11" t="str">
        <f t="shared" si="366"/>
        <v/>
      </c>
      <c r="C4644" s="11" t="str">
        <f t="shared" si="369"/>
        <v/>
      </c>
      <c r="D4644" s="11" t="str">
        <f t="shared" si="370"/>
        <v/>
      </c>
      <c r="E4644" s="11" t="str">
        <f t="shared" si="367"/>
        <v/>
      </c>
      <c r="F4644" s="11" t="str">
        <f t="shared" si="368"/>
        <v/>
      </c>
      <c r="G4644" s="10" t="str">
        <v/>
      </c>
      <c r="H4644" s="11" t="str">
        <v/>
      </c>
      <c r="I4644" s="11" t="str">
        <v/>
      </c>
    </row>
    <row r="4645" spans="2:9">
      <c r="B4645" s="11" t="str">
        <f t="shared" si="366"/>
        <v/>
      </c>
      <c r="C4645" s="11" t="str">
        <f t="shared" si="369"/>
        <v/>
      </c>
      <c r="D4645" s="11" t="str">
        <f t="shared" si="370"/>
        <v/>
      </c>
      <c r="E4645" s="11" t="str">
        <f t="shared" si="367"/>
        <v/>
      </c>
      <c r="F4645" s="11" t="str">
        <f t="shared" si="368"/>
        <v/>
      </c>
      <c r="G4645" s="10" t="str">
        <v/>
      </c>
      <c r="H4645" s="11" t="str">
        <v/>
      </c>
      <c r="I4645" s="11" t="str">
        <v/>
      </c>
    </row>
    <row r="4646" spans="2:9">
      <c r="B4646" s="11" t="str">
        <f t="shared" si="366"/>
        <v/>
      </c>
      <c r="C4646" s="11" t="str">
        <f t="shared" si="369"/>
        <v/>
      </c>
      <c r="D4646" s="11" t="str">
        <f t="shared" si="370"/>
        <v/>
      </c>
      <c r="E4646" s="11" t="str">
        <f t="shared" si="367"/>
        <v/>
      </c>
      <c r="F4646" s="11" t="str">
        <f t="shared" si="368"/>
        <v/>
      </c>
      <c r="G4646" s="10" t="str">
        <v/>
      </c>
      <c r="H4646" s="11" t="str">
        <v/>
      </c>
      <c r="I4646" s="11" t="str">
        <v/>
      </c>
    </row>
    <row r="4647" spans="2:9">
      <c r="B4647" s="11" t="str">
        <f t="shared" si="366"/>
        <v/>
      </c>
      <c r="C4647" s="11" t="str">
        <f t="shared" si="369"/>
        <v/>
      </c>
      <c r="D4647" s="11" t="str">
        <f t="shared" si="370"/>
        <v/>
      </c>
      <c r="E4647" s="11" t="str">
        <f t="shared" si="367"/>
        <v/>
      </c>
      <c r="F4647" s="11" t="str">
        <f t="shared" si="368"/>
        <v/>
      </c>
      <c r="G4647" s="10" t="str">
        <v/>
      </c>
      <c r="H4647" s="11" t="str">
        <v/>
      </c>
      <c r="I4647" s="11" t="str">
        <v/>
      </c>
    </row>
    <row r="4648" spans="2:9">
      <c r="B4648" s="11" t="str">
        <f t="shared" si="366"/>
        <v/>
      </c>
      <c r="C4648" s="11" t="str">
        <f t="shared" si="369"/>
        <v/>
      </c>
      <c r="D4648" s="11" t="str">
        <f t="shared" si="370"/>
        <v/>
      </c>
      <c r="E4648" s="11" t="str">
        <f t="shared" si="367"/>
        <v/>
      </c>
      <c r="F4648" s="11" t="str">
        <f t="shared" si="368"/>
        <v/>
      </c>
      <c r="G4648" s="10" t="str">
        <v/>
      </c>
      <c r="H4648" s="11" t="str">
        <v/>
      </c>
      <c r="I4648" s="11" t="str">
        <v/>
      </c>
    </row>
    <row r="4649" spans="2:9">
      <c r="B4649" s="11" t="str">
        <f t="shared" si="366"/>
        <v/>
      </c>
      <c r="C4649" s="11" t="str">
        <f t="shared" si="369"/>
        <v/>
      </c>
      <c r="D4649" s="11" t="str">
        <f t="shared" si="370"/>
        <v/>
      </c>
      <c r="E4649" s="11" t="str">
        <f t="shared" si="367"/>
        <v/>
      </c>
      <c r="F4649" s="11" t="str">
        <f t="shared" si="368"/>
        <v/>
      </c>
      <c r="G4649" s="10" t="str">
        <v/>
      </c>
      <c r="H4649" s="11" t="str">
        <v/>
      </c>
      <c r="I4649" s="11" t="str">
        <v/>
      </c>
    </row>
    <row r="4650" spans="2:9">
      <c r="B4650" s="11" t="str">
        <f t="shared" si="366"/>
        <v/>
      </c>
      <c r="C4650" s="11" t="str">
        <f t="shared" si="369"/>
        <v/>
      </c>
      <c r="D4650" s="11" t="str">
        <f t="shared" si="370"/>
        <v/>
      </c>
      <c r="E4650" s="11" t="str">
        <f t="shared" si="367"/>
        <v/>
      </c>
      <c r="F4650" s="11" t="str">
        <f t="shared" si="368"/>
        <v/>
      </c>
      <c r="G4650" s="10" t="str">
        <v/>
      </c>
      <c r="H4650" s="11" t="str">
        <v/>
      </c>
      <c r="I4650" s="11" t="str">
        <v/>
      </c>
    </row>
    <row r="4651" spans="2:9">
      <c r="B4651" s="11" t="str">
        <f t="shared" si="366"/>
        <v/>
      </c>
      <c r="C4651" s="11" t="str">
        <f t="shared" si="369"/>
        <v/>
      </c>
      <c r="D4651" s="11" t="str">
        <f t="shared" si="370"/>
        <v/>
      </c>
      <c r="E4651" s="11" t="str">
        <f t="shared" si="367"/>
        <v/>
      </c>
      <c r="F4651" s="11" t="str">
        <f t="shared" si="368"/>
        <v/>
      </c>
      <c r="G4651" s="10" t="str">
        <v/>
      </c>
      <c r="H4651" s="11" t="str">
        <v/>
      </c>
      <c r="I4651" s="11" t="str">
        <v/>
      </c>
    </row>
    <row r="4652" spans="2:9">
      <c r="B4652" s="11" t="str">
        <f t="shared" si="366"/>
        <v/>
      </c>
      <c r="C4652" s="11" t="str">
        <f t="shared" si="369"/>
        <v/>
      </c>
      <c r="D4652" s="11" t="str">
        <f t="shared" si="370"/>
        <v/>
      </c>
      <c r="E4652" s="11" t="str">
        <f t="shared" si="367"/>
        <v/>
      </c>
      <c r="F4652" s="11" t="str">
        <f t="shared" si="368"/>
        <v/>
      </c>
      <c r="G4652" s="10" t="str">
        <v/>
      </c>
      <c r="H4652" s="11" t="str">
        <v/>
      </c>
      <c r="I4652" s="11" t="str">
        <v/>
      </c>
    </row>
    <row r="4653" spans="2:9">
      <c r="B4653" s="11" t="str">
        <f t="shared" si="366"/>
        <v/>
      </c>
      <c r="C4653" s="11" t="str">
        <f t="shared" si="369"/>
        <v/>
      </c>
      <c r="D4653" s="11" t="str">
        <f t="shared" si="370"/>
        <v/>
      </c>
      <c r="E4653" s="11" t="str">
        <f t="shared" si="367"/>
        <v/>
      </c>
      <c r="F4653" s="11" t="str">
        <f t="shared" si="368"/>
        <v/>
      </c>
      <c r="G4653" s="10" t="str">
        <v/>
      </c>
      <c r="H4653" s="11" t="str">
        <v/>
      </c>
      <c r="I4653" s="11" t="str">
        <v/>
      </c>
    </row>
    <row r="4654" spans="2:9">
      <c r="B4654" s="11" t="str">
        <f t="shared" si="366"/>
        <v/>
      </c>
      <c r="C4654" s="11" t="str">
        <f t="shared" si="369"/>
        <v/>
      </c>
      <c r="D4654" s="11" t="str">
        <f t="shared" si="370"/>
        <v/>
      </c>
      <c r="E4654" s="11" t="str">
        <f t="shared" si="367"/>
        <v/>
      </c>
      <c r="F4654" s="11" t="str">
        <f t="shared" si="368"/>
        <v/>
      </c>
      <c r="G4654" s="10" t="str">
        <v/>
      </c>
      <c r="H4654" s="11" t="str">
        <v/>
      </c>
      <c r="I4654" s="11" t="str">
        <v/>
      </c>
    </row>
    <row r="4655" spans="2:9">
      <c r="B4655" s="11" t="str">
        <f t="shared" si="366"/>
        <v/>
      </c>
      <c r="C4655" s="11" t="str">
        <f t="shared" si="369"/>
        <v/>
      </c>
      <c r="D4655" s="11" t="str">
        <f t="shared" si="370"/>
        <v/>
      </c>
      <c r="E4655" s="11" t="str">
        <f t="shared" si="367"/>
        <v/>
      </c>
      <c r="F4655" s="11" t="str">
        <f t="shared" si="368"/>
        <v/>
      </c>
      <c r="G4655" s="10" t="str">
        <v/>
      </c>
      <c r="H4655" s="11" t="str">
        <v/>
      </c>
      <c r="I4655" s="11" t="str">
        <v/>
      </c>
    </row>
    <row r="4656" spans="2:9">
      <c r="B4656" s="11" t="str">
        <f t="shared" si="366"/>
        <v/>
      </c>
      <c r="C4656" s="11" t="str">
        <f t="shared" si="369"/>
        <v/>
      </c>
      <c r="D4656" s="11" t="str">
        <f t="shared" si="370"/>
        <v/>
      </c>
      <c r="E4656" s="11" t="str">
        <f t="shared" si="367"/>
        <v/>
      </c>
      <c r="F4656" s="11" t="str">
        <f t="shared" si="368"/>
        <v/>
      </c>
      <c r="G4656" s="10" t="str">
        <v/>
      </c>
      <c r="H4656" s="11" t="str">
        <v/>
      </c>
      <c r="I4656" s="11" t="str">
        <v/>
      </c>
    </row>
    <row r="4657" spans="2:9">
      <c r="B4657" s="11" t="str">
        <f t="shared" si="366"/>
        <v/>
      </c>
      <c r="C4657" s="11" t="str">
        <f t="shared" si="369"/>
        <v/>
      </c>
      <c r="D4657" s="11" t="str">
        <f t="shared" si="370"/>
        <v/>
      </c>
      <c r="E4657" s="11" t="str">
        <f t="shared" si="367"/>
        <v/>
      </c>
      <c r="F4657" s="11" t="str">
        <f t="shared" si="368"/>
        <v/>
      </c>
      <c r="G4657" s="10" t="str">
        <v/>
      </c>
      <c r="H4657" s="11" t="str">
        <v/>
      </c>
      <c r="I4657" s="11" t="str">
        <v/>
      </c>
    </row>
    <row r="4658" spans="2:9">
      <c r="B4658" s="11" t="str">
        <f t="shared" si="366"/>
        <v/>
      </c>
      <c r="C4658" s="11" t="str">
        <f t="shared" si="369"/>
        <v/>
      </c>
      <c r="D4658" s="11" t="str">
        <f t="shared" si="370"/>
        <v/>
      </c>
      <c r="E4658" s="11" t="str">
        <f t="shared" si="367"/>
        <v/>
      </c>
      <c r="F4658" s="11" t="str">
        <f t="shared" si="368"/>
        <v/>
      </c>
      <c r="G4658" s="10" t="str">
        <v/>
      </c>
      <c r="H4658" s="11" t="str">
        <v/>
      </c>
      <c r="I4658" s="11" t="str">
        <v/>
      </c>
    </row>
    <row r="4659" spans="2:9">
      <c r="B4659" s="11" t="str">
        <f t="shared" si="366"/>
        <v/>
      </c>
      <c r="C4659" s="11" t="str">
        <f t="shared" si="369"/>
        <v/>
      </c>
      <c r="D4659" s="11" t="str">
        <f t="shared" si="370"/>
        <v/>
      </c>
      <c r="E4659" s="11" t="str">
        <f t="shared" si="367"/>
        <v/>
      </c>
      <c r="F4659" s="11" t="str">
        <f t="shared" si="368"/>
        <v/>
      </c>
      <c r="G4659" s="10" t="str">
        <v/>
      </c>
      <c r="H4659" s="11" t="str">
        <v/>
      </c>
      <c r="I4659" s="11" t="str">
        <v/>
      </c>
    </row>
    <row r="4660" spans="2:9">
      <c r="B4660" s="11" t="str">
        <f t="shared" si="366"/>
        <v/>
      </c>
      <c r="C4660" s="11" t="str">
        <f t="shared" si="369"/>
        <v/>
      </c>
      <c r="D4660" s="11" t="str">
        <f t="shared" si="370"/>
        <v/>
      </c>
      <c r="E4660" s="11" t="str">
        <f t="shared" si="367"/>
        <v/>
      </c>
      <c r="F4660" s="11" t="str">
        <f t="shared" si="368"/>
        <v/>
      </c>
      <c r="G4660" s="10" t="str">
        <v/>
      </c>
      <c r="H4660" s="11" t="str">
        <v/>
      </c>
      <c r="I4660" s="11" t="str">
        <v/>
      </c>
    </row>
    <row r="4661" spans="2:9">
      <c r="B4661" s="11" t="str">
        <f t="shared" si="366"/>
        <v/>
      </c>
      <c r="C4661" s="11" t="str">
        <f t="shared" si="369"/>
        <v/>
      </c>
      <c r="D4661" s="11" t="str">
        <f t="shared" si="370"/>
        <v/>
      </c>
      <c r="E4661" s="11" t="str">
        <f t="shared" si="367"/>
        <v/>
      </c>
      <c r="F4661" s="11" t="str">
        <f t="shared" si="368"/>
        <v/>
      </c>
      <c r="G4661" s="10" t="str">
        <v/>
      </c>
      <c r="H4661" s="11" t="str">
        <v/>
      </c>
      <c r="I4661" s="11" t="str">
        <v/>
      </c>
    </row>
    <row r="4662" spans="2:9">
      <c r="B4662" s="11" t="str">
        <f t="shared" si="366"/>
        <v/>
      </c>
      <c r="C4662" s="11" t="str">
        <f t="shared" si="369"/>
        <v/>
      </c>
      <c r="D4662" s="11" t="str">
        <f t="shared" si="370"/>
        <v/>
      </c>
      <c r="E4662" s="11" t="str">
        <f t="shared" si="367"/>
        <v/>
      </c>
      <c r="F4662" s="11" t="str">
        <f t="shared" si="368"/>
        <v/>
      </c>
      <c r="G4662" s="10" t="str">
        <v/>
      </c>
      <c r="H4662" s="11" t="str">
        <v/>
      </c>
      <c r="I4662" s="11" t="str">
        <v/>
      </c>
    </row>
    <row r="4663" spans="2:9">
      <c r="B4663" s="11" t="str">
        <f t="shared" si="366"/>
        <v/>
      </c>
      <c r="C4663" s="11" t="str">
        <f t="shared" si="369"/>
        <v/>
      </c>
      <c r="D4663" s="11" t="str">
        <f t="shared" si="370"/>
        <v/>
      </c>
      <c r="E4663" s="11" t="str">
        <f t="shared" si="367"/>
        <v/>
      </c>
      <c r="F4663" s="11" t="str">
        <f t="shared" si="368"/>
        <v/>
      </c>
      <c r="G4663" s="10" t="str">
        <v/>
      </c>
      <c r="H4663" s="11" t="str">
        <v/>
      </c>
      <c r="I4663" s="11" t="str">
        <v/>
      </c>
    </row>
    <row r="4664" spans="2:9">
      <c r="B4664" s="11" t="str">
        <f t="shared" si="366"/>
        <v/>
      </c>
      <c r="C4664" s="11" t="str">
        <f t="shared" si="369"/>
        <v/>
      </c>
      <c r="D4664" s="11" t="str">
        <f t="shared" si="370"/>
        <v/>
      </c>
      <c r="E4664" s="11" t="str">
        <f t="shared" si="367"/>
        <v/>
      </c>
      <c r="F4664" s="11" t="str">
        <f t="shared" si="368"/>
        <v/>
      </c>
      <c r="G4664" s="10" t="str">
        <v/>
      </c>
      <c r="H4664" s="11" t="str">
        <v/>
      </c>
      <c r="I4664" s="11" t="str">
        <v/>
      </c>
    </row>
    <row r="4665" spans="2:9">
      <c r="B4665" s="11" t="str">
        <f t="shared" si="366"/>
        <v/>
      </c>
      <c r="C4665" s="11" t="str">
        <f t="shared" si="369"/>
        <v/>
      </c>
      <c r="D4665" s="11" t="str">
        <f t="shared" si="370"/>
        <v/>
      </c>
      <c r="E4665" s="11" t="str">
        <f t="shared" si="367"/>
        <v/>
      </c>
      <c r="F4665" s="11" t="str">
        <f t="shared" si="368"/>
        <v/>
      </c>
      <c r="G4665" s="10" t="str">
        <v/>
      </c>
      <c r="H4665" s="11" t="str">
        <v/>
      </c>
      <c r="I4665" s="11" t="str">
        <v/>
      </c>
    </row>
    <row r="4666" spans="2:9">
      <c r="B4666" s="11" t="str">
        <f t="shared" si="366"/>
        <v/>
      </c>
      <c r="C4666" s="11" t="str">
        <f t="shared" si="369"/>
        <v/>
      </c>
      <c r="D4666" s="11" t="str">
        <f t="shared" si="370"/>
        <v/>
      </c>
      <c r="E4666" s="11" t="str">
        <f t="shared" si="367"/>
        <v/>
      </c>
      <c r="F4666" s="11" t="str">
        <f t="shared" si="368"/>
        <v/>
      </c>
      <c r="G4666" s="10" t="str">
        <v/>
      </c>
      <c r="H4666" s="11" t="str">
        <v/>
      </c>
      <c r="I4666" s="11" t="str">
        <v/>
      </c>
    </row>
    <row r="4667" spans="2:9">
      <c r="B4667" s="11" t="str">
        <f t="shared" si="366"/>
        <v/>
      </c>
      <c r="C4667" s="11" t="str">
        <f t="shared" si="369"/>
        <v/>
      </c>
      <c r="D4667" s="11" t="str">
        <f t="shared" si="370"/>
        <v/>
      </c>
      <c r="E4667" s="11" t="str">
        <f t="shared" si="367"/>
        <v/>
      </c>
      <c r="F4667" s="11" t="str">
        <f t="shared" si="368"/>
        <v/>
      </c>
      <c r="G4667" s="10" t="str">
        <v/>
      </c>
      <c r="H4667" s="11" t="str">
        <v/>
      </c>
      <c r="I4667" s="11" t="str">
        <v/>
      </c>
    </row>
    <row r="4668" spans="2:9">
      <c r="B4668" s="11" t="str">
        <f t="shared" si="366"/>
        <v/>
      </c>
      <c r="C4668" s="11" t="str">
        <f t="shared" si="369"/>
        <v/>
      </c>
      <c r="D4668" s="11" t="str">
        <f t="shared" si="370"/>
        <v/>
      </c>
      <c r="E4668" s="11" t="str">
        <f t="shared" si="367"/>
        <v/>
      </c>
      <c r="F4668" s="11" t="str">
        <f t="shared" si="368"/>
        <v/>
      </c>
      <c r="G4668" s="10" t="str">
        <v/>
      </c>
      <c r="H4668" s="11" t="str">
        <v/>
      </c>
      <c r="I4668" s="11" t="str">
        <v/>
      </c>
    </row>
    <row r="4669" spans="2:9">
      <c r="B4669" s="11" t="str">
        <f t="shared" si="366"/>
        <v/>
      </c>
      <c r="C4669" s="11" t="str">
        <f t="shared" si="369"/>
        <v/>
      </c>
      <c r="D4669" s="11" t="str">
        <f t="shared" si="370"/>
        <v/>
      </c>
      <c r="E4669" s="11" t="str">
        <f t="shared" si="367"/>
        <v/>
      </c>
      <c r="F4669" s="11" t="str">
        <f t="shared" si="368"/>
        <v/>
      </c>
      <c r="G4669" s="10" t="str">
        <v/>
      </c>
      <c r="H4669" s="11" t="str">
        <v/>
      </c>
      <c r="I4669" s="11" t="str">
        <v/>
      </c>
    </row>
    <row r="4670" spans="2:9">
      <c r="B4670" s="11" t="str">
        <f t="shared" si="366"/>
        <v/>
      </c>
      <c r="C4670" s="11" t="str">
        <f t="shared" si="369"/>
        <v/>
      </c>
      <c r="D4670" s="11" t="str">
        <f t="shared" si="370"/>
        <v/>
      </c>
      <c r="E4670" s="11" t="str">
        <f t="shared" si="367"/>
        <v/>
      </c>
      <c r="F4670" s="11" t="str">
        <f t="shared" si="368"/>
        <v/>
      </c>
      <c r="G4670" s="10" t="str">
        <v/>
      </c>
      <c r="H4670" s="11" t="str">
        <v/>
      </c>
      <c r="I4670" s="11" t="str">
        <v/>
      </c>
    </row>
    <row r="4671" spans="2:9">
      <c r="B4671" s="11" t="str">
        <f t="shared" si="366"/>
        <v/>
      </c>
      <c r="C4671" s="11" t="str">
        <f t="shared" si="369"/>
        <v/>
      </c>
      <c r="D4671" s="11" t="str">
        <f t="shared" si="370"/>
        <v/>
      </c>
      <c r="E4671" s="11" t="str">
        <f t="shared" si="367"/>
        <v/>
      </c>
      <c r="F4671" s="11" t="str">
        <f t="shared" si="368"/>
        <v/>
      </c>
      <c r="G4671" s="10" t="str">
        <v/>
      </c>
      <c r="H4671" s="11" t="str">
        <v/>
      </c>
      <c r="I4671" s="11" t="str">
        <v/>
      </c>
    </row>
    <row r="4672" spans="2:9">
      <c r="B4672" s="11" t="str">
        <f t="shared" si="366"/>
        <v/>
      </c>
      <c r="C4672" s="11" t="str">
        <f t="shared" si="369"/>
        <v/>
      </c>
      <c r="D4672" s="11" t="str">
        <f t="shared" si="370"/>
        <v/>
      </c>
      <c r="E4672" s="11" t="str">
        <f t="shared" si="367"/>
        <v/>
      </c>
      <c r="F4672" s="11" t="str">
        <f t="shared" si="368"/>
        <v/>
      </c>
      <c r="G4672" s="10" t="str">
        <v/>
      </c>
      <c r="H4672" s="11" t="str">
        <v/>
      </c>
      <c r="I4672" s="11" t="str">
        <v/>
      </c>
    </row>
    <row r="4673" spans="2:9">
      <c r="B4673" s="11" t="str">
        <f t="shared" ref="B4673:B4736" si="371">IFERROR(IF(FIND(" ",A4673)=6,IF(IFERROR(FIND(" PB",A4673),"")&lt;&gt;"","артикул",IF(IFERROR(FIND(" CRN",A4673),"")&lt;&gt;"","артикул","")),""),"")</f>
        <v/>
      </c>
      <c r="C4673" s="11" t="str">
        <f t="shared" si="369"/>
        <v/>
      </c>
      <c r="D4673" s="11" t="str">
        <f t="shared" si="370"/>
        <v/>
      </c>
      <c r="E4673" s="11" t="str">
        <f t="shared" si="367"/>
        <v/>
      </c>
      <c r="F4673" s="11" t="str">
        <f t="shared" si="368"/>
        <v/>
      </c>
      <c r="G4673" s="10" t="str">
        <v/>
      </c>
      <c r="H4673" s="11" t="str">
        <v/>
      </c>
      <c r="I4673" s="11" t="str">
        <v/>
      </c>
    </row>
    <row r="4674" spans="2:9">
      <c r="B4674" s="11" t="str">
        <f t="shared" si="371"/>
        <v/>
      </c>
      <c r="C4674" s="11" t="str">
        <f t="shared" si="369"/>
        <v/>
      </c>
      <c r="D4674" s="11" t="str">
        <f t="shared" si="370"/>
        <v/>
      </c>
      <c r="E4674" s="11" t="str">
        <f t="shared" ref="E4674:E4737" si="372" xml:space="preserve">
IF(B4674="Артикул",
IF(
AND(RIGHT(A4675,1)="%",
RIGHT(A4676,1)="%",
RIGHT(A4677,1)="%",
RIGHT(A4678,1)="%"),MID(A4679,FIND(" ",A4679),50),
IF(
AND(RIGHT(A4675,1)="%",
RIGHT(A4676,1)="%",
RIGHT(A4677,1)="%"),MID(A4678,FIND(" ",A4678),50),
IF(
AND(RIGHT(A4675,1)="%",
RIGHT(A4676,1)="%"),
MID(A4677,FIND(" ",A4677),50),
IF(
RIGHT(A4675,1)="%",
MID(A4676,FIND(" ",A4676),50),"")))),"")</f>
        <v/>
      </c>
      <c r="F4674" s="11" t="str">
        <f t="shared" ref="F4674:F4737" si="373">IFERROR(
IF(
AND(LEFT(A4674,8)="Discount",FIND("%",A4674)&gt;0),
MID(A4674,
FIND(" ",A4674),
FIND("%",A4674)-FIND(" ",A4674))
*-1,""),"")</f>
        <v/>
      </c>
      <c r="G4674" s="10" t="str">
        <v/>
      </c>
      <c r="H4674" s="11" t="str">
        <v/>
      </c>
      <c r="I4674" s="11" t="str">
        <v/>
      </c>
    </row>
    <row r="4675" spans="2:9">
      <c r="B4675" s="11" t="str">
        <f t="shared" si="371"/>
        <v/>
      </c>
      <c r="C4675" s="11" t="str">
        <f t="shared" si="369"/>
        <v/>
      </c>
      <c r="D4675" s="11" t="str">
        <f t="shared" si="370"/>
        <v/>
      </c>
      <c r="E4675" s="11" t="str">
        <f t="shared" si="372"/>
        <v/>
      </c>
      <c r="F4675" s="11" t="str">
        <f t="shared" si="373"/>
        <v/>
      </c>
      <c r="G4675" s="10" t="str">
        <v/>
      </c>
      <c r="H4675" s="11" t="str">
        <v/>
      </c>
      <c r="I4675" s="11" t="str">
        <v/>
      </c>
    </row>
    <row r="4676" spans="2:9">
      <c r="B4676" s="11" t="str">
        <f t="shared" si="371"/>
        <v/>
      </c>
      <c r="C4676" s="11" t="str">
        <f t="shared" si="369"/>
        <v/>
      </c>
      <c r="D4676" s="11" t="str">
        <f t="shared" si="370"/>
        <v/>
      </c>
      <c r="E4676" s="11" t="str">
        <f t="shared" si="372"/>
        <v/>
      </c>
      <c r="F4676" s="11" t="str">
        <f t="shared" si="373"/>
        <v/>
      </c>
      <c r="G4676" s="10" t="str">
        <v/>
      </c>
      <c r="H4676" s="11" t="str">
        <v/>
      </c>
      <c r="I4676" s="11" t="str">
        <v/>
      </c>
    </row>
    <row r="4677" spans="2:9">
      <c r="B4677" s="11" t="str">
        <f t="shared" si="371"/>
        <v/>
      </c>
      <c r="C4677" s="11" t="str">
        <f t="shared" si="369"/>
        <v/>
      </c>
      <c r="D4677" s="11" t="str">
        <f t="shared" si="370"/>
        <v/>
      </c>
      <c r="E4677" s="11" t="str">
        <f t="shared" si="372"/>
        <v/>
      </c>
      <c r="F4677" s="11" t="str">
        <f t="shared" si="373"/>
        <v/>
      </c>
      <c r="G4677" s="10" t="str">
        <v/>
      </c>
      <c r="H4677" s="11" t="str">
        <v/>
      </c>
      <c r="I4677" s="11" t="str">
        <v/>
      </c>
    </row>
    <row r="4678" spans="2:9">
      <c r="B4678" s="11" t="str">
        <f t="shared" si="371"/>
        <v/>
      </c>
      <c r="C4678" s="11" t="str">
        <f t="shared" si="369"/>
        <v/>
      </c>
      <c r="D4678" s="11" t="str">
        <f t="shared" si="370"/>
        <v/>
      </c>
      <c r="E4678" s="11" t="str">
        <f t="shared" si="372"/>
        <v/>
      </c>
      <c r="F4678" s="11" t="str">
        <f t="shared" si="373"/>
        <v/>
      </c>
      <c r="G4678" s="10" t="str">
        <v/>
      </c>
      <c r="H4678" s="11" t="str">
        <v/>
      </c>
      <c r="I4678" s="11" t="str">
        <v/>
      </c>
    </row>
    <row r="4679" spans="2:9">
      <c r="B4679" s="11" t="str">
        <f t="shared" si="371"/>
        <v/>
      </c>
      <c r="C4679" s="11" t="str">
        <f t="shared" si="369"/>
        <v/>
      </c>
      <c r="D4679" s="11" t="str">
        <f t="shared" si="370"/>
        <v/>
      </c>
      <c r="E4679" s="11" t="str">
        <f t="shared" si="372"/>
        <v/>
      </c>
      <c r="F4679" s="11" t="str">
        <f t="shared" si="373"/>
        <v/>
      </c>
      <c r="G4679" s="10" t="str">
        <v/>
      </c>
      <c r="H4679" s="11" t="str">
        <v/>
      </c>
      <c r="I4679" s="11" t="str">
        <v/>
      </c>
    </row>
    <row r="4680" spans="2:9">
      <c r="B4680" s="11" t="str">
        <f t="shared" si="371"/>
        <v/>
      </c>
      <c r="C4680" s="11" t="str">
        <f t="shared" si="369"/>
        <v/>
      </c>
      <c r="D4680" s="11" t="str">
        <f t="shared" si="370"/>
        <v/>
      </c>
      <c r="E4680" s="11" t="str">
        <f t="shared" si="372"/>
        <v/>
      </c>
      <c r="F4680" s="11" t="str">
        <f t="shared" si="373"/>
        <v/>
      </c>
      <c r="G4680" s="10" t="str">
        <v/>
      </c>
      <c r="H4680" s="11" t="str">
        <v/>
      </c>
      <c r="I4680" s="11" t="str">
        <v/>
      </c>
    </row>
    <row r="4681" spans="2:9">
      <c r="B4681" s="11" t="str">
        <f t="shared" si="371"/>
        <v/>
      </c>
      <c r="C4681" s="11" t="str">
        <f t="shared" si="369"/>
        <v/>
      </c>
      <c r="D4681" s="11" t="str">
        <f t="shared" si="370"/>
        <v/>
      </c>
      <c r="E4681" s="11" t="str">
        <f t="shared" si="372"/>
        <v/>
      </c>
      <c r="F4681" s="11" t="str">
        <f t="shared" si="373"/>
        <v/>
      </c>
      <c r="G4681" s="10" t="str">
        <v/>
      </c>
      <c r="H4681" s="11" t="str">
        <v/>
      </c>
      <c r="I4681" s="11" t="str">
        <v/>
      </c>
    </row>
    <row r="4682" spans="2:9">
      <c r="B4682" s="11" t="str">
        <f t="shared" si="371"/>
        <v/>
      </c>
      <c r="C4682" s="11" t="str">
        <f t="shared" si="369"/>
        <v/>
      </c>
      <c r="D4682" s="11" t="str">
        <f t="shared" si="370"/>
        <v/>
      </c>
      <c r="E4682" s="11" t="str">
        <f t="shared" si="372"/>
        <v/>
      </c>
      <c r="F4682" s="11" t="str">
        <f t="shared" si="373"/>
        <v/>
      </c>
      <c r="G4682" s="10" t="str">
        <v/>
      </c>
      <c r="H4682" s="11" t="str">
        <v/>
      </c>
      <c r="I4682" s="11" t="str">
        <v/>
      </c>
    </row>
    <row r="4683" spans="2:9">
      <c r="B4683" s="11" t="str">
        <f t="shared" si="371"/>
        <v/>
      </c>
      <c r="C4683" s="11" t="str">
        <f t="shared" si="369"/>
        <v/>
      </c>
      <c r="D4683" s="11" t="str">
        <f t="shared" si="370"/>
        <v/>
      </c>
      <c r="E4683" s="11" t="str">
        <f t="shared" si="372"/>
        <v/>
      </c>
      <c r="F4683" s="11" t="str">
        <f t="shared" si="373"/>
        <v/>
      </c>
      <c r="G4683" s="10" t="str">
        <v/>
      </c>
      <c r="H4683" s="11" t="str">
        <v/>
      </c>
      <c r="I4683" s="11" t="str">
        <v/>
      </c>
    </row>
    <row r="4684" spans="2:9">
      <c r="B4684" s="11" t="str">
        <f t="shared" si="371"/>
        <v/>
      </c>
      <c r="C4684" s="11" t="str">
        <f t="shared" si="369"/>
        <v/>
      </c>
      <c r="D4684" s="11" t="str">
        <f t="shared" si="370"/>
        <v/>
      </c>
      <c r="E4684" s="11" t="str">
        <f t="shared" si="372"/>
        <v/>
      </c>
      <c r="F4684" s="11" t="str">
        <f t="shared" si="373"/>
        <v/>
      </c>
      <c r="G4684" s="10" t="str">
        <v/>
      </c>
      <c r="H4684" s="11" t="str">
        <v/>
      </c>
      <c r="I4684" s="11" t="str">
        <v/>
      </c>
    </row>
    <row r="4685" spans="2:9">
      <c r="B4685" s="11" t="str">
        <f t="shared" si="371"/>
        <v/>
      </c>
      <c r="C4685" s="11" t="str">
        <f t="shared" ref="C4685:C4748" si="374">IF(B4685="артикул",A4685,"")</f>
        <v/>
      </c>
      <c r="D4685" s="11" t="str">
        <f t="shared" ref="D4685:D4748" si="375">IF(B4685="артикул",A4686,"")</f>
        <v/>
      </c>
      <c r="E4685" s="11" t="str">
        <f t="shared" si="372"/>
        <v/>
      </c>
      <c r="F4685" s="11" t="str">
        <f t="shared" si="373"/>
        <v/>
      </c>
      <c r="G4685" s="10" t="str">
        <v/>
      </c>
      <c r="H4685" s="11" t="str">
        <v/>
      </c>
      <c r="I4685" s="11" t="str">
        <v/>
      </c>
    </row>
    <row r="4686" spans="2:9">
      <c r="B4686" s="11" t="str">
        <f t="shared" si="371"/>
        <v/>
      </c>
      <c r="C4686" s="11" t="str">
        <f t="shared" si="374"/>
        <v/>
      </c>
      <c r="D4686" s="11" t="str">
        <f t="shared" si="375"/>
        <v/>
      </c>
      <c r="E4686" s="11" t="str">
        <f t="shared" si="372"/>
        <v/>
      </c>
      <c r="F4686" s="11" t="str">
        <f t="shared" si="373"/>
        <v/>
      </c>
      <c r="G4686" s="10" t="str">
        <v/>
      </c>
      <c r="H4686" s="11" t="str">
        <v/>
      </c>
      <c r="I4686" s="11" t="str">
        <v/>
      </c>
    </row>
    <row r="4687" spans="2:9">
      <c r="B4687" s="11" t="str">
        <f t="shared" si="371"/>
        <v/>
      </c>
      <c r="C4687" s="11" t="str">
        <f t="shared" si="374"/>
        <v/>
      </c>
      <c r="D4687" s="11" t="str">
        <f t="shared" si="375"/>
        <v/>
      </c>
      <c r="E4687" s="11" t="str">
        <f t="shared" si="372"/>
        <v/>
      </c>
      <c r="F4687" s="11" t="str">
        <f t="shared" si="373"/>
        <v/>
      </c>
      <c r="G4687" s="10" t="str">
        <v/>
      </c>
      <c r="H4687" s="11" t="str">
        <v/>
      </c>
      <c r="I4687" s="11" t="str">
        <v/>
      </c>
    </row>
    <row r="4688" spans="2:9">
      <c r="B4688" s="11" t="str">
        <f t="shared" si="371"/>
        <v/>
      </c>
      <c r="C4688" s="11" t="str">
        <f t="shared" si="374"/>
        <v/>
      </c>
      <c r="D4688" s="11" t="str">
        <f t="shared" si="375"/>
        <v/>
      </c>
      <c r="E4688" s="11" t="str">
        <f t="shared" si="372"/>
        <v/>
      </c>
      <c r="F4688" s="11" t="str">
        <f t="shared" si="373"/>
        <v/>
      </c>
      <c r="G4688" s="10" t="str">
        <v/>
      </c>
      <c r="H4688" s="11" t="str">
        <v/>
      </c>
      <c r="I4688" s="11" t="str">
        <v/>
      </c>
    </row>
    <row r="4689" spans="2:9">
      <c r="B4689" s="11" t="str">
        <f t="shared" si="371"/>
        <v/>
      </c>
      <c r="C4689" s="11" t="str">
        <f t="shared" si="374"/>
        <v/>
      </c>
      <c r="D4689" s="11" t="str">
        <f t="shared" si="375"/>
        <v/>
      </c>
      <c r="E4689" s="11" t="str">
        <f t="shared" si="372"/>
        <v/>
      </c>
      <c r="F4689" s="11" t="str">
        <f t="shared" si="373"/>
        <v/>
      </c>
      <c r="G4689" s="10" t="str">
        <v/>
      </c>
      <c r="H4689" s="11" t="str">
        <v/>
      </c>
      <c r="I4689" s="11" t="str">
        <v/>
      </c>
    </row>
    <row r="4690" spans="2:9">
      <c r="B4690" s="11" t="str">
        <f t="shared" si="371"/>
        <v/>
      </c>
      <c r="C4690" s="11" t="str">
        <f t="shared" si="374"/>
        <v/>
      </c>
      <c r="D4690" s="11" t="str">
        <f t="shared" si="375"/>
        <v/>
      </c>
      <c r="E4690" s="11" t="str">
        <f t="shared" si="372"/>
        <v/>
      </c>
      <c r="F4690" s="11" t="str">
        <f t="shared" si="373"/>
        <v/>
      </c>
      <c r="G4690" s="10" t="str">
        <v/>
      </c>
      <c r="H4690" s="11" t="str">
        <v/>
      </c>
      <c r="I4690" s="11" t="str">
        <v/>
      </c>
    </row>
    <row r="4691" spans="2:9">
      <c r="B4691" s="11" t="str">
        <f t="shared" si="371"/>
        <v/>
      </c>
      <c r="C4691" s="11" t="str">
        <f t="shared" si="374"/>
        <v/>
      </c>
      <c r="D4691" s="11" t="str">
        <f t="shared" si="375"/>
        <v/>
      </c>
      <c r="E4691" s="11" t="str">
        <f t="shared" si="372"/>
        <v/>
      </c>
      <c r="F4691" s="11" t="str">
        <f t="shared" si="373"/>
        <v/>
      </c>
      <c r="G4691" s="10" t="str">
        <v/>
      </c>
      <c r="H4691" s="11" t="str">
        <v/>
      </c>
      <c r="I4691" s="11" t="str">
        <v/>
      </c>
    </row>
    <row r="4692" spans="2:9">
      <c r="B4692" s="11" t="str">
        <f t="shared" si="371"/>
        <v/>
      </c>
      <c r="C4692" s="11" t="str">
        <f t="shared" si="374"/>
        <v/>
      </c>
      <c r="D4692" s="11" t="str">
        <f t="shared" si="375"/>
        <v/>
      </c>
      <c r="E4692" s="11" t="str">
        <f t="shared" si="372"/>
        <v/>
      </c>
      <c r="F4692" s="11" t="str">
        <f t="shared" si="373"/>
        <v/>
      </c>
      <c r="G4692" s="10" t="str">
        <v/>
      </c>
      <c r="H4692" s="11" t="str">
        <v/>
      </c>
      <c r="I4692" s="11" t="str">
        <v/>
      </c>
    </row>
    <row r="4693" spans="2:9">
      <c r="B4693" s="11" t="str">
        <f t="shared" si="371"/>
        <v/>
      </c>
      <c r="C4693" s="11" t="str">
        <f t="shared" si="374"/>
        <v/>
      </c>
      <c r="D4693" s="11" t="str">
        <f t="shared" si="375"/>
        <v/>
      </c>
      <c r="E4693" s="11" t="str">
        <f t="shared" si="372"/>
        <v/>
      </c>
      <c r="F4693" s="11" t="str">
        <f t="shared" si="373"/>
        <v/>
      </c>
      <c r="G4693" s="10" t="str">
        <v/>
      </c>
      <c r="H4693" s="11" t="str">
        <v/>
      </c>
      <c r="I4693" s="11" t="str">
        <v/>
      </c>
    </row>
    <row r="4694" spans="2:9">
      <c r="B4694" s="11" t="str">
        <f t="shared" si="371"/>
        <v/>
      </c>
      <c r="C4694" s="11" t="str">
        <f t="shared" si="374"/>
        <v/>
      </c>
      <c r="D4694" s="11" t="str">
        <f t="shared" si="375"/>
        <v/>
      </c>
      <c r="E4694" s="11" t="str">
        <f t="shared" si="372"/>
        <v/>
      </c>
      <c r="F4694" s="11" t="str">
        <f t="shared" si="373"/>
        <v/>
      </c>
      <c r="G4694" s="10" t="str">
        <v/>
      </c>
      <c r="H4694" s="11" t="str">
        <v/>
      </c>
      <c r="I4694" s="11" t="str">
        <v/>
      </c>
    </row>
    <row r="4695" spans="2:9">
      <c r="B4695" s="11" t="str">
        <f t="shared" si="371"/>
        <v/>
      </c>
      <c r="C4695" s="11" t="str">
        <f t="shared" si="374"/>
        <v/>
      </c>
      <c r="D4695" s="11" t="str">
        <f t="shared" si="375"/>
        <v/>
      </c>
      <c r="E4695" s="11" t="str">
        <f t="shared" si="372"/>
        <v/>
      </c>
      <c r="F4695" s="11" t="str">
        <f t="shared" si="373"/>
        <v/>
      </c>
      <c r="G4695" s="10" t="str">
        <v/>
      </c>
      <c r="H4695" s="11" t="str">
        <v/>
      </c>
      <c r="I4695" s="11" t="str">
        <v/>
      </c>
    </row>
    <row r="4696" spans="2:9">
      <c r="B4696" s="11" t="str">
        <f t="shared" si="371"/>
        <v/>
      </c>
      <c r="C4696" s="11" t="str">
        <f t="shared" si="374"/>
        <v/>
      </c>
      <c r="D4696" s="11" t="str">
        <f t="shared" si="375"/>
        <v/>
      </c>
      <c r="E4696" s="11" t="str">
        <f t="shared" si="372"/>
        <v/>
      </c>
      <c r="F4696" s="11" t="str">
        <f t="shared" si="373"/>
        <v/>
      </c>
      <c r="G4696" s="10" t="str">
        <v/>
      </c>
      <c r="H4696" s="11" t="str">
        <v/>
      </c>
      <c r="I4696" s="11" t="str">
        <v/>
      </c>
    </row>
    <row r="4697" spans="2:9">
      <c r="B4697" s="11" t="str">
        <f t="shared" si="371"/>
        <v/>
      </c>
      <c r="C4697" s="11" t="str">
        <f t="shared" si="374"/>
        <v/>
      </c>
      <c r="D4697" s="11" t="str">
        <f t="shared" si="375"/>
        <v/>
      </c>
      <c r="E4697" s="11" t="str">
        <f t="shared" si="372"/>
        <v/>
      </c>
      <c r="F4697" s="11" t="str">
        <f t="shared" si="373"/>
        <v/>
      </c>
      <c r="G4697" s="10" t="str">
        <v/>
      </c>
      <c r="H4697" s="11" t="str">
        <v/>
      </c>
      <c r="I4697" s="11" t="str">
        <v/>
      </c>
    </row>
    <row r="4698" spans="2:9">
      <c r="B4698" s="11" t="str">
        <f t="shared" si="371"/>
        <v/>
      </c>
      <c r="C4698" s="11" t="str">
        <f t="shared" si="374"/>
        <v/>
      </c>
      <c r="D4698" s="11" t="str">
        <f t="shared" si="375"/>
        <v/>
      </c>
      <c r="E4698" s="11" t="str">
        <f t="shared" si="372"/>
        <v/>
      </c>
      <c r="F4698" s="11" t="str">
        <f t="shared" si="373"/>
        <v/>
      </c>
      <c r="G4698" s="10" t="str">
        <v/>
      </c>
      <c r="H4698" s="11" t="str">
        <v/>
      </c>
      <c r="I4698" s="11" t="str">
        <v/>
      </c>
    </row>
    <row r="4699" spans="2:9">
      <c r="B4699" s="11" t="str">
        <f t="shared" si="371"/>
        <v/>
      </c>
      <c r="C4699" s="11" t="str">
        <f t="shared" si="374"/>
        <v/>
      </c>
      <c r="D4699" s="11" t="str">
        <f t="shared" si="375"/>
        <v/>
      </c>
      <c r="E4699" s="11" t="str">
        <f t="shared" si="372"/>
        <v/>
      </c>
      <c r="F4699" s="11" t="str">
        <f t="shared" si="373"/>
        <v/>
      </c>
      <c r="G4699" s="10" t="str">
        <v/>
      </c>
      <c r="H4699" s="11" t="str">
        <v/>
      </c>
      <c r="I4699" s="11" t="str">
        <v/>
      </c>
    </row>
    <row r="4700" spans="2:9">
      <c r="B4700" s="11" t="str">
        <f t="shared" si="371"/>
        <v/>
      </c>
      <c r="C4700" s="11" t="str">
        <f t="shared" si="374"/>
        <v/>
      </c>
      <c r="D4700" s="11" t="str">
        <f t="shared" si="375"/>
        <v/>
      </c>
      <c r="E4700" s="11" t="str">
        <f t="shared" si="372"/>
        <v/>
      </c>
      <c r="F4700" s="11" t="str">
        <f t="shared" si="373"/>
        <v/>
      </c>
      <c r="G4700" s="10" t="str">
        <v/>
      </c>
      <c r="H4700" s="11" t="str">
        <v/>
      </c>
      <c r="I4700" s="11" t="str">
        <v/>
      </c>
    </row>
    <row r="4701" spans="2:9">
      <c r="B4701" s="11" t="str">
        <f t="shared" si="371"/>
        <v/>
      </c>
      <c r="C4701" s="11" t="str">
        <f t="shared" si="374"/>
        <v/>
      </c>
      <c r="D4701" s="11" t="str">
        <f t="shared" si="375"/>
        <v/>
      </c>
      <c r="E4701" s="11" t="str">
        <f t="shared" si="372"/>
        <v/>
      </c>
      <c r="F4701" s="11" t="str">
        <f t="shared" si="373"/>
        <v/>
      </c>
      <c r="G4701" s="10" t="str">
        <v/>
      </c>
      <c r="H4701" s="11" t="str">
        <v/>
      </c>
      <c r="I4701" s="11" t="str">
        <v/>
      </c>
    </row>
    <row r="4702" spans="2:9">
      <c r="B4702" s="11" t="str">
        <f t="shared" si="371"/>
        <v/>
      </c>
      <c r="C4702" s="11" t="str">
        <f t="shared" si="374"/>
        <v/>
      </c>
      <c r="D4702" s="11" t="str">
        <f t="shared" si="375"/>
        <v/>
      </c>
      <c r="E4702" s="11" t="str">
        <f t="shared" si="372"/>
        <v/>
      </c>
      <c r="F4702" s="11" t="str">
        <f t="shared" si="373"/>
        <v/>
      </c>
      <c r="G4702" s="10" t="str">
        <v/>
      </c>
      <c r="H4702" s="11" t="str">
        <v/>
      </c>
      <c r="I4702" s="11" t="str">
        <v/>
      </c>
    </row>
    <row r="4703" spans="2:9">
      <c r="B4703" s="11" t="str">
        <f t="shared" si="371"/>
        <v/>
      </c>
      <c r="C4703" s="11" t="str">
        <f t="shared" si="374"/>
        <v/>
      </c>
      <c r="D4703" s="11" t="str">
        <f t="shared" si="375"/>
        <v/>
      </c>
      <c r="E4703" s="11" t="str">
        <f t="shared" si="372"/>
        <v/>
      </c>
      <c r="F4703" s="11" t="str">
        <f t="shared" si="373"/>
        <v/>
      </c>
      <c r="G4703" s="10" t="str">
        <v/>
      </c>
      <c r="H4703" s="11" t="str">
        <v/>
      </c>
      <c r="I4703" s="11" t="str">
        <v/>
      </c>
    </row>
    <row r="4704" spans="2:9">
      <c r="B4704" s="11" t="str">
        <f t="shared" si="371"/>
        <v/>
      </c>
      <c r="C4704" s="11" t="str">
        <f t="shared" si="374"/>
        <v/>
      </c>
      <c r="D4704" s="11" t="str">
        <f t="shared" si="375"/>
        <v/>
      </c>
      <c r="E4704" s="11" t="str">
        <f t="shared" si="372"/>
        <v/>
      </c>
      <c r="F4704" s="11" t="str">
        <f t="shared" si="373"/>
        <v/>
      </c>
      <c r="G4704" s="10" t="str">
        <v/>
      </c>
      <c r="H4704" s="11" t="str">
        <v/>
      </c>
      <c r="I4704" s="11" t="str">
        <v/>
      </c>
    </row>
    <row r="4705" spans="2:9">
      <c r="B4705" s="11" t="str">
        <f t="shared" si="371"/>
        <v/>
      </c>
      <c r="C4705" s="11" t="str">
        <f t="shared" si="374"/>
        <v/>
      </c>
      <c r="D4705" s="11" t="str">
        <f t="shared" si="375"/>
        <v/>
      </c>
      <c r="E4705" s="11" t="str">
        <f t="shared" si="372"/>
        <v/>
      </c>
      <c r="F4705" s="11" t="str">
        <f t="shared" si="373"/>
        <v/>
      </c>
      <c r="G4705" s="10" t="str">
        <v/>
      </c>
      <c r="H4705" s="11" t="str">
        <v/>
      </c>
      <c r="I4705" s="11" t="str">
        <v/>
      </c>
    </row>
    <row r="4706" spans="2:9">
      <c r="B4706" s="11" t="str">
        <f t="shared" si="371"/>
        <v/>
      </c>
      <c r="C4706" s="11" t="str">
        <f t="shared" si="374"/>
        <v/>
      </c>
      <c r="D4706" s="11" t="str">
        <f t="shared" si="375"/>
        <v/>
      </c>
      <c r="E4706" s="11" t="str">
        <f t="shared" si="372"/>
        <v/>
      </c>
      <c r="F4706" s="11" t="str">
        <f t="shared" si="373"/>
        <v/>
      </c>
      <c r="G4706" s="10" t="str">
        <v/>
      </c>
      <c r="H4706" s="11" t="str">
        <v/>
      </c>
      <c r="I4706" s="11" t="str">
        <v/>
      </c>
    </row>
    <row r="4707" spans="2:9">
      <c r="B4707" s="11" t="str">
        <f t="shared" si="371"/>
        <v/>
      </c>
      <c r="C4707" s="11" t="str">
        <f t="shared" si="374"/>
        <v/>
      </c>
      <c r="D4707" s="11" t="str">
        <f t="shared" si="375"/>
        <v/>
      </c>
      <c r="E4707" s="11" t="str">
        <f t="shared" si="372"/>
        <v/>
      </c>
      <c r="F4707" s="11" t="str">
        <f t="shared" si="373"/>
        <v/>
      </c>
      <c r="G4707" s="10" t="str">
        <v/>
      </c>
      <c r="H4707" s="11" t="str">
        <v/>
      </c>
      <c r="I4707" s="11" t="str">
        <v/>
      </c>
    </row>
    <row r="4708" spans="2:9">
      <c r="B4708" s="11" t="str">
        <f t="shared" si="371"/>
        <v/>
      </c>
      <c r="C4708" s="11" t="str">
        <f t="shared" si="374"/>
        <v/>
      </c>
      <c r="D4708" s="11" t="str">
        <f t="shared" si="375"/>
        <v/>
      </c>
      <c r="E4708" s="11" t="str">
        <f t="shared" si="372"/>
        <v/>
      </c>
      <c r="F4708" s="11" t="str">
        <f t="shared" si="373"/>
        <v/>
      </c>
      <c r="G4708" s="10" t="str">
        <v/>
      </c>
      <c r="H4708" s="11" t="str">
        <v/>
      </c>
      <c r="I4708" s="11" t="str">
        <v/>
      </c>
    </row>
    <row r="4709" spans="2:9">
      <c r="B4709" s="11" t="str">
        <f t="shared" si="371"/>
        <v/>
      </c>
      <c r="C4709" s="11" t="str">
        <f t="shared" si="374"/>
        <v/>
      </c>
      <c r="D4709" s="11" t="str">
        <f t="shared" si="375"/>
        <v/>
      </c>
      <c r="E4709" s="11" t="str">
        <f t="shared" si="372"/>
        <v/>
      </c>
      <c r="F4709" s="11" t="str">
        <f t="shared" si="373"/>
        <v/>
      </c>
      <c r="G4709" s="10" t="str">
        <v/>
      </c>
      <c r="H4709" s="11" t="str">
        <v/>
      </c>
      <c r="I4709" s="11" t="str">
        <v/>
      </c>
    </row>
    <row r="4710" spans="2:9">
      <c r="B4710" s="11" t="str">
        <f t="shared" si="371"/>
        <v/>
      </c>
      <c r="C4710" s="11" t="str">
        <f t="shared" si="374"/>
        <v/>
      </c>
      <c r="D4710" s="11" t="str">
        <f t="shared" si="375"/>
        <v/>
      </c>
      <c r="E4710" s="11" t="str">
        <f t="shared" si="372"/>
        <v/>
      </c>
      <c r="F4710" s="11" t="str">
        <f t="shared" si="373"/>
        <v/>
      </c>
      <c r="G4710" s="10" t="str">
        <v/>
      </c>
      <c r="H4710" s="11" t="str">
        <v/>
      </c>
      <c r="I4710" s="11" t="str">
        <v/>
      </c>
    </row>
    <row r="4711" spans="2:9">
      <c r="B4711" s="11" t="str">
        <f t="shared" si="371"/>
        <v/>
      </c>
      <c r="C4711" s="11" t="str">
        <f t="shared" si="374"/>
        <v/>
      </c>
      <c r="D4711" s="11" t="str">
        <f t="shared" si="375"/>
        <v/>
      </c>
      <c r="E4711" s="11" t="str">
        <f t="shared" si="372"/>
        <v/>
      </c>
      <c r="F4711" s="11" t="str">
        <f t="shared" si="373"/>
        <v/>
      </c>
      <c r="G4711" s="10" t="str">
        <v/>
      </c>
      <c r="H4711" s="11" t="str">
        <v/>
      </c>
      <c r="I4711" s="11" t="str">
        <v/>
      </c>
    </row>
    <row r="4712" spans="2:9">
      <c r="B4712" s="11" t="str">
        <f t="shared" si="371"/>
        <v/>
      </c>
      <c r="C4712" s="11" t="str">
        <f t="shared" si="374"/>
        <v/>
      </c>
      <c r="D4712" s="11" t="str">
        <f t="shared" si="375"/>
        <v/>
      </c>
      <c r="E4712" s="11" t="str">
        <f t="shared" si="372"/>
        <v/>
      </c>
      <c r="F4712" s="11" t="str">
        <f t="shared" si="373"/>
        <v/>
      </c>
      <c r="G4712" s="10" t="str">
        <v/>
      </c>
      <c r="H4712" s="11" t="str">
        <v/>
      </c>
      <c r="I4712" s="11" t="str">
        <v/>
      </c>
    </row>
    <row r="4713" spans="2:9">
      <c r="B4713" s="11" t="str">
        <f t="shared" si="371"/>
        <v/>
      </c>
      <c r="C4713" s="11" t="str">
        <f t="shared" si="374"/>
        <v/>
      </c>
      <c r="D4713" s="11" t="str">
        <f t="shared" si="375"/>
        <v/>
      </c>
      <c r="E4713" s="11" t="str">
        <f t="shared" si="372"/>
        <v/>
      </c>
      <c r="F4713" s="11" t="str">
        <f t="shared" si="373"/>
        <v/>
      </c>
      <c r="G4713" s="10" t="str">
        <v/>
      </c>
      <c r="H4713" s="11" t="str">
        <v/>
      </c>
      <c r="I4713" s="11" t="str">
        <v/>
      </c>
    </row>
    <row r="4714" spans="2:9">
      <c r="B4714" s="11" t="str">
        <f t="shared" si="371"/>
        <v/>
      </c>
      <c r="C4714" s="11" t="str">
        <f t="shared" si="374"/>
        <v/>
      </c>
      <c r="D4714" s="11" t="str">
        <f t="shared" si="375"/>
        <v/>
      </c>
      <c r="E4714" s="11" t="str">
        <f t="shared" si="372"/>
        <v/>
      </c>
      <c r="F4714" s="11" t="str">
        <f t="shared" si="373"/>
        <v/>
      </c>
      <c r="G4714" s="10" t="str">
        <v/>
      </c>
      <c r="H4714" s="11" t="str">
        <v/>
      </c>
      <c r="I4714" s="11" t="str">
        <v/>
      </c>
    </row>
    <row r="4715" spans="2:9">
      <c r="B4715" s="11" t="str">
        <f t="shared" si="371"/>
        <v/>
      </c>
      <c r="C4715" s="11" t="str">
        <f t="shared" si="374"/>
        <v/>
      </c>
      <c r="D4715" s="11" t="str">
        <f t="shared" si="375"/>
        <v/>
      </c>
      <c r="E4715" s="11" t="str">
        <f t="shared" si="372"/>
        <v/>
      </c>
      <c r="F4715" s="11" t="str">
        <f t="shared" si="373"/>
        <v/>
      </c>
      <c r="G4715" s="10" t="str">
        <v/>
      </c>
      <c r="H4715" s="11" t="str">
        <v/>
      </c>
      <c r="I4715" s="11" t="str">
        <v/>
      </c>
    </row>
    <row r="4716" spans="2:9">
      <c r="B4716" s="11" t="str">
        <f t="shared" si="371"/>
        <v/>
      </c>
      <c r="C4716" s="11" t="str">
        <f t="shared" si="374"/>
        <v/>
      </c>
      <c r="D4716" s="11" t="str">
        <f t="shared" si="375"/>
        <v/>
      </c>
      <c r="E4716" s="11" t="str">
        <f t="shared" si="372"/>
        <v/>
      </c>
      <c r="F4716" s="11" t="str">
        <f t="shared" si="373"/>
        <v/>
      </c>
      <c r="G4716" s="10" t="str">
        <v/>
      </c>
      <c r="H4716" s="11" t="str">
        <v/>
      </c>
      <c r="I4716" s="11" t="str">
        <v/>
      </c>
    </row>
    <row r="4717" spans="2:9">
      <c r="B4717" s="11" t="str">
        <f t="shared" si="371"/>
        <v/>
      </c>
      <c r="C4717" s="11" t="str">
        <f t="shared" si="374"/>
        <v/>
      </c>
      <c r="D4717" s="11" t="str">
        <f t="shared" si="375"/>
        <v/>
      </c>
      <c r="E4717" s="11" t="str">
        <f t="shared" si="372"/>
        <v/>
      </c>
      <c r="F4717" s="11" t="str">
        <f t="shared" si="373"/>
        <v/>
      </c>
      <c r="G4717" s="10" t="str">
        <v/>
      </c>
      <c r="H4717" s="11" t="str">
        <v/>
      </c>
      <c r="I4717" s="11" t="str">
        <v/>
      </c>
    </row>
    <row r="4718" spans="2:9">
      <c r="B4718" s="11" t="str">
        <f t="shared" si="371"/>
        <v/>
      </c>
      <c r="C4718" s="11" t="str">
        <f t="shared" si="374"/>
        <v/>
      </c>
      <c r="D4718" s="11" t="str">
        <f t="shared" si="375"/>
        <v/>
      </c>
      <c r="E4718" s="11" t="str">
        <f t="shared" si="372"/>
        <v/>
      </c>
      <c r="F4718" s="11" t="str">
        <f t="shared" si="373"/>
        <v/>
      </c>
      <c r="G4718" s="10" t="str">
        <v/>
      </c>
      <c r="H4718" s="11" t="str">
        <v/>
      </c>
      <c r="I4718" s="11" t="str">
        <v/>
      </c>
    </row>
    <row r="4719" spans="2:9">
      <c r="B4719" s="11" t="str">
        <f t="shared" si="371"/>
        <v/>
      </c>
      <c r="C4719" s="11" t="str">
        <f t="shared" si="374"/>
        <v/>
      </c>
      <c r="D4719" s="11" t="str">
        <f t="shared" si="375"/>
        <v/>
      </c>
      <c r="E4719" s="11" t="str">
        <f t="shared" si="372"/>
        <v/>
      </c>
      <c r="F4719" s="11" t="str">
        <f t="shared" si="373"/>
        <v/>
      </c>
      <c r="G4719" s="10" t="str">
        <v/>
      </c>
      <c r="H4719" s="11" t="str">
        <v/>
      </c>
      <c r="I4719" s="11" t="str">
        <v/>
      </c>
    </row>
    <row r="4720" spans="2:9">
      <c r="B4720" s="11" t="str">
        <f t="shared" si="371"/>
        <v/>
      </c>
      <c r="C4720" s="11" t="str">
        <f t="shared" si="374"/>
        <v/>
      </c>
      <c r="D4720" s="11" t="str">
        <f t="shared" si="375"/>
        <v/>
      </c>
      <c r="E4720" s="11" t="str">
        <f t="shared" si="372"/>
        <v/>
      </c>
      <c r="F4720" s="11" t="str">
        <f t="shared" si="373"/>
        <v/>
      </c>
      <c r="G4720" s="10" t="str">
        <v/>
      </c>
      <c r="H4720" s="11" t="str">
        <v/>
      </c>
      <c r="I4720" s="11" t="str">
        <v/>
      </c>
    </row>
    <row r="4721" spans="2:9">
      <c r="B4721" s="11" t="str">
        <f t="shared" si="371"/>
        <v/>
      </c>
      <c r="C4721" s="11" t="str">
        <f t="shared" si="374"/>
        <v/>
      </c>
      <c r="D4721" s="11" t="str">
        <f t="shared" si="375"/>
        <v/>
      </c>
      <c r="E4721" s="11" t="str">
        <f t="shared" si="372"/>
        <v/>
      </c>
      <c r="F4721" s="11" t="str">
        <f t="shared" si="373"/>
        <v/>
      </c>
      <c r="G4721" s="10" t="str">
        <v/>
      </c>
      <c r="H4721" s="11" t="str">
        <v/>
      </c>
      <c r="I4721" s="11" t="str">
        <v/>
      </c>
    </row>
    <row r="4722" spans="2:9">
      <c r="B4722" s="11" t="str">
        <f t="shared" si="371"/>
        <v/>
      </c>
      <c r="C4722" s="11" t="str">
        <f t="shared" si="374"/>
        <v/>
      </c>
      <c r="D4722" s="11" t="str">
        <f t="shared" si="375"/>
        <v/>
      </c>
      <c r="E4722" s="11" t="str">
        <f t="shared" si="372"/>
        <v/>
      </c>
      <c r="F4722" s="11" t="str">
        <f t="shared" si="373"/>
        <v/>
      </c>
      <c r="G4722" s="10" t="str">
        <v/>
      </c>
      <c r="H4722" s="11" t="str">
        <v/>
      </c>
      <c r="I4722" s="11" t="str">
        <v/>
      </c>
    </row>
    <row r="4723" spans="2:9">
      <c r="B4723" s="11" t="str">
        <f t="shared" si="371"/>
        <v/>
      </c>
      <c r="C4723" s="11" t="str">
        <f t="shared" si="374"/>
        <v/>
      </c>
      <c r="D4723" s="11" t="str">
        <f t="shared" si="375"/>
        <v/>
      </c>
      <c r="E4723" s="11" t="str">
        <f t="shared" si="372"/>
        <v/>
      </c>
      <c r="F4723" s="11" t="str">
        <f t="shared" si="373"/>
        <v/>
      </c>
      <c r="G4723" s="10" t="str">
        <v/>
      </c>
      <c r="H4723" s="11" t="str">
        <v/>
      </c>
      <c r="I4723" s="11" t="str">
        <v/>
      </c>
    </row>
    <row r="4724" spans="2:9">
      <c r="B4724" s="11" t="str">
        <f t="shared" si="371"/>
        <v/>
      </c>
      <c r="C4724" s="11" t="str">
        <f t="shared" si="374"/>
        <v/>
      </c>
      <c r="D4724" s="11" t="str">
        <f t="shared" si="375"/>
        <v/>
      </c>
      <c r="E4724" s="11" t="str">
        <f t="shared" si="372"/>
        <v/>
      </c>
      <c r="F4724" s="11" t="str">
        <f t="shared" si="373"/>
        <v/>
      </c>
      <c r="G4724" s="10" t="str">
        <v/>
      </c>
      <c r="H4724" s="11" t="str">
        <v/>
      </c>
      <c r="I4724" s="11" t="str">
        <v/>
      </c>
    </row>
    <row r="4725" spans="2:9">
      <c r="B4725" s="11" t="str">
        <f t="shared" si="371"/>
        <v/>
      </c>
      <c r="C4725" s="11" t="str">
        <f t="shared" si="374"/>
        <v/>
      </c>
      <c r="D4725" s="11" t="str">
        <f t="shared" si="375"/>
        <v/>
      </c>
      <c r="E4725" s="11" t="str">
        <f t="shared" si="372"/>
        <v/>
      </c>
      <c r="F4725" s="11" t="str">
        <f t="shared" si="373"/>
        <v/>
      </c>
      <c r="G4725" s="10" t="str">
        <v/>
      </c>
      <c r="H4725" s="11" t="str">
        <v/>
      </c>
      <c r="I4725" s="11" t="str">
        <v/>
      </c>
    </row>
    <row r="4726" spans="2:9">
      <c r="B4726" s="11" t="str">
        <f t="shared" si="371"/>
        <v/>
      </c>
      <c r="C4726" s="11" t="str">
        <f t="shared" si="374"/>
        <v/>
      </c>
      <c r="D4726" s="11" t="str">
        <f t="shared" si="375"/>
        <v/>
      </c>
      <c r="E4726" s="11" t="str">
        <f t="shared" si="372"/>
        <v/>
      </c>
      <c r="F4726" s="11" t="str">
        <f t="shared" si="373"/>
        <v/>
      </c>
      <c r="G4726" s="10" t="str">
        <v/>
      </c>
      <c r="H4726" s="11" t="str">
        <v/>
      </c>
      <c r="I4726" s="11" t="str">
        <v/>
      </c>
    </row>
    <row r="4727" spans="2:9">
      <c r="B4727" s="11" t="str">
        <f t="shared" si="371"/>
        <v/>
      </c>
      <c r="C4727" s="11" t="str">
        <f t="shared" si="374"/>
        <v/>
      </c>
      <c r="D4727" s="11" t="str">
        <f t="shared" si="375"/>
        <v/>
      </c>
      <c r="E4727" s="11" t="str">
        <f t="shared" si="372"/>
        <v/>
      </c>
      <c r="F4727" s="11" t="str">
        <f t="shared" si="373"/>
        <v/>
      </c>
      <c r="G4727" s="10" t="str">
        <v/>
      </c>
      <c r="H4727" s="11" t="str">
        <v/>
      </c>
      <c r="I4727" s="11" t="str">
        <v/>
      </c>
    </row>
    <row r="4728" spans="2:9">
      <c r="B4728" s="11" t="str">
        <f t="shared" si="371"/>
        <v/>
      </c>
      <c r="C4728" s="11" t="str">
        <f t="shared" si="374"/>
        <v/>
      </c>
      <c r="D4728" s="11" t="str">
        <f t="shared" si="375"/>
        <v/>
      </c>
      <c r="E4728" s="11" t="str">
        <f t="shared" si="372"/>
        <v/>
      </c>
      <c r="F4728" s="11" t="str">
        <f t="shared" si="373"/>
        <v/>
      </c>
      <c r="G4728" s="10" t="str">
        <v/>
      </c>
      <c r="H4728" s="11" t="str">
        <v/>
      </c>
      <c r="I4728" s="11" t="str">
        <v/>
      </c>
    </row>
    <row r="4729" spans="2:9">
      <c r="B4729" s="11" t="str">
        <f t="shared" si="371"/>
        <v/>
      </c>
      <c r="C4729" s="11" t="str">
        <f t="shared" si="374"/>
        <v/>
      </c>
      <c r="D4729" s="11" t="str">
        <f t="shared" si="375"/>
        <v/>
      </c>
      <c r="E4729" s="11" t="str">
        <f t="shared" si="372"/>
        <v/>
      </c>
      <c r="F4729" s="11" t="str">
        <f t="shared" si="373"/>
        <v/>
      </c>
      <c r="G4729" s="10" t="str">
        <v/>
      </c>
      <c r="H4729" s="11" t="str">
        <v/>
      </c>
      <c r="I4729" s="11" t="str">
        <v/>
      </c>
    </row>
    <row r="4730" spans="2:9">
      <c r="B4730" s="11" t="str">
        <f t="shared" si="371"/>
        <v/>
      </c>
      <c r="C4730" s="11" t="str">
        <f t="shared" si="374"/>
        <v/>
      </c>
      <c r="D4730" s="11" t="str">
        <f t="shared" si="375"/>
        <v/>
      </c>
      <c r="E4730" s="11" t="str">
        <f t="shared" si="372"/>
        <v/>
      </c>
      <c r="F4730" s="11" t="str">
        <f t="shared" si="373"/>
        <v/>
      </c>
      <c r="G4730" s="10" t="str">
        <v/>
      </c>
      <c r="H4730" s="11" t="str">
        <v/>
      </c>
      <c r="I4730" s="11" t="str">
        <v/>
      </c>
    </row>
    <row r="4731" spans="2:9">
      <c r="B4731" s="11" t="str">
        <f t="shared" si="371"/>
        <v/>
      </c>
      <c r="C4731" s="11" t="str">
        <f t="shared" si="374"/>
        <v/>
      </c>
      <c r="D4731" s="11" t="str">
        <f t="shared" si="375"/>
        <v/>
      </c>
      <c r="E4731" s="11" t="str">
        <f t="shared" si="372"/>
        <v/>
      </c>
      <c r="F4731" s="11" t="str">
        <f t="shared" si="373"/>
        <v/>
      </c>
      <c r="G4731" s="10" t="str">
        <v/>
      </c>
      <c r="H4731" s="11" t="str">
        <v/>
      </c>
      <c r="I4731" s="11" t="str">
        <v/>
      </c>
    </row>
    <row r="4732" spans="2:9">
      <c r="B4732" s="11" t="str">
        <f t="shared" si="371"/>
        <v/>
      </c>
      <c r="C4732" s="11" t="str">
        <f t="shared" si="374"/>
        <v/>
      </c>
      <c r="D4732" s="11" t="str">
        <f t="shared" si="375"/>
        <v/>
      </c>
      <c r="E4732" s="11" t="str">
        <f t="shared" si="372"/>
        <v/>
      </c>
      <c r="F4732" s="11" t="str">
        <f t="shared" si="373"/>
        <v/>
      </c>
      <c r="G4732" s="10" t="str">
        <v/>
      </c>
      <c r="H4732" s="11" t="str">
        <v/>
      </c>
      <c r="I4732" s="11" t="str">
        <v/>
      </c>
    </row>
    <row r="4733" spans="2:9">
      <c r="B4733" s="11" t="str">
        <f t="shared" si="371"/>
        <v/>
      </c>
      <c r="C4733" s="11" t="str">
        <f t="shared" si="374"/>
        <v/>
      </c>
      <c r="D4733" s="11" t="str">
        <f t="shared" si="375"/>
        <v/>
      </c>
      <c r="E4733" s="11" t="str">
        <f t="shared" si="372"/>
        <v/>
      </c>
      <c r="F4733" s="11" t="str">
        <f t="shared" si="373"/>
        <v/>
      </c>
      <c r="G4733" s="10" t="str">
        <v/>
      </c>
      <c r="H4733" s="11" t="str">
        <v/>
      </c>
      <c r="I4733" s="11" t="str">
        <v/>
      </c>
    </row>
    <row r="4734" spans="2:9">
      <c r="B4734" s="11" t="str">
        <f t="shared" si="371"/>
        <v/>
      </c>
      <c r="C4734" s="11" t="str">
        <f t="shared" si="374"/>
        <v/>
      </c>
      <c r="D4734" s="11" t="str">
        <f t="shared" si="375"/>
        <v/>
      </c>
      <c r="E4734" s="11" t="str">
        <f t="shared" si="372"/>
        <v/>
      </c>
      <c r="F4734" s="11" t="str">
        <f t="shared" si="373"/>
        <v/>
      </c>
      <c r="G4734" s="10" t="str">
        <v/>
      </c>
      <c r="H4734" s="11" t="str">
        <v/>
      </c>
      <c r="I4734" s="11" t="str">
        <v/>
      </c>
    </row>
    <row r="4735" spans="2:9">
      <c r="B4735" s="11" t="str">
        <f t="shared" si="371"/>
        <v/>
      </c>
      <c r="C4735" s="11" t="str">
        <f t="shared" si="374"/>
        <v/>
      </c>
      <c r="D4735" s="11" t="str">
        <f t="shared" si="375"/>
        <v/>
      </c>
      <c r="E4735" s="11" t="str">
        <f t="shared" si="372"/>
        <v/>
      </c>
      <c r="F4735" s="11" t="str">
        <f t="shared" si="373"/>
        <v/>
      </c>
      <c r="G4735" s="10" t="str">
        <v/>
      </c>
      <c r="H4735" s="11" t="str">
        <v/>
      </c>
      <c r="I4735" s="11" t="str">
        <v/>
      </c>
    </row>
    <row r="4736" spans="2:9">
      <c r="B4736" s="11" t="str">
        <f t="shared" si="371"/>
        <v/>
      </c>
      <c r="C4736" s="11" t="str">
        <f t="shared" si="374"/>
        <v/>
      </c>
      <c r="D4736" s="11" t="str">
        <f t="shared" si="375"/>
        <v/>
      </c>
      <c r="E4736" s="11" t="str">
        <f t="shared" si="372"/>
        <v/>
      </c>
      <c r="F4736" s="11" t="str">
        <f t="shared" si="373"/>
        <v/>
      </c>
      <c r="G4736" s="10" t="str">
        <v/>
      </c>
      <c r="H4736" s="11" t="str">
        <v/>
      </c>
      <c r="I4736" s="11" t="str">
        <v/>
      </c>
    </row>
    <row r="4737" spans="2:9">
      <c r="B4737" s="11" t="str">
        <f t="shared" ref="B4737:B4800" si="376">IFERROR(IF(FIND(" ",A4737)=6,IF(IFERROR(FIND(" PB",A4737),"")&lt;&gt;"","артикул",IF(IFERROR(FIND(" CRN",A4737),"")&lt;&gt;"","артикул","")),""),"")</f>
        <v/>
      </c>
      <c r="C4737" s="11" t="str">
        <f t="shared" si="374"/>
        <v/>
      </c>
      <c r="D4737" s="11" t="str">
        <f t="shared" si="375"/>
        <v/>
      </c>
      <c r="E4737" s="11" t="str">
        <f t="shared" si="372"/>
        <v/>
      </c>
      <c r="F4737" s="11" t="str">
        <f t="shared" si="373"/>
        <v/>
      </c>
      <c r="G4737" s="10" t="str">
        <v/>
      </c>
      <c r="H4737" s="11" t="str">
        <v/>
      </c>
      <c r="I4737" s="11" t="str">
        <v/>
      </c>
    </row>
    <row r="4738" spans="2:9">
      <c r="B4738" s="11" t="str">
        <f t="shared" si="376"/>
        <v/>
      </c>
      <c r="C4738" s="11" t="str">
        <f t="shared" si="374"/>
        <v/>
      </c>
      <c r="D4738" s="11" t="str">
        <f t="shared" si="375"/>
        <v/>
      </c>
      <c r="E4738" s="11" t="str">
        <f t="shared" ref="E4738:E4801" si="377" xml:space="preserve">
IF(B4738="Артикул",
IF(
AND(RIGHT(A4739,1)="%",
RIGHT(A4740,1)="%",
RIGHT(A4741,1)="%",
RIGHT(A4742,1)="%"),MID(A4743,FIND(" ",A4743),50),
IF(
AND(RIGHT(A4739,1)="%",
RIGHT(A4740,1)="%",
RIGHT(A4741,1)="%"),MID(A4742,FIND(" ",A4742),50),
IF(
AND(RIGHT(A4739,1)="%",
RIGHT(A4740,1)="%"),
MID(A4741,FIND(" ",A4741),50),
IF(
RIGHT(A4739,1)="%",
MID(A4740,FIND(" ",A4740),50),"")))),"")</f>
        <v/>
      </c>
      <c r="F4738" s="11" t="str">
        <f t="shared" ref="F4738:F4801" si="378">IFERROR(
IF(
AND(LEFT(A4738,8)="Discount",FIND("%",A4738)&gt;0),
MID(A4738,
FIND(" ",A4738),
FIND("%",A4738)-FIND(" ",A4738))
*-1,""),"")</f>
        <v/>
      </c>
      <c r="G4738" s="10" t="str">
        <v/>
      </c>
      <c r="H4738" s="11" t="str">
        <v/>
      </c>
      <c r="I4738" s="11" t="str">
        <v/>
      </c>
    </row>
    <row r="4739" spans="2:9">
      <c r="B4739" s="11" t="str">
        <f t="shared" si="376"/>
        <v/>
      </c>
      <c r="C4739" s="11" t="str">
        <f t="shared" si="374"/>
        <v/>
      </c>
      <c r="D4739" s="11" t="str">
        <f t="shared" si="375"/>
        <v/>
      </c>
      <c r="E4739" s="11" t="str">
        <f t="shared" si="377"/>
        <v/>
      </c>
      <c r="F4739" s="11" t="str">
        <f t="shared" si="378"/>
        <v/>
      </c>
      <c r="G4739" s="10" t="str">
        <v/>
      </c>
      <c r="H4739" s="11" t="str">
        <v/>
      </c>
      <c r="I4739" s="11" t="str">
        <v/>
      </c>
    </row>
    <row r="4740" spans="2:9">
      <c r="B4740" s="11" t="str">
        <f t="shared" si="376"/>
        <v/>
      </c>
      <c r="C4740" s="11" t="str">
        <f t="shared" si="374"/>
        <v/>
      </c>
      <c r="D4740" s="11" t="str">
        <f t="shared" si="375"/>
        <v/>
      </c>
      <c r="E4740" s="11" t="str">
        <f t="shared" si="377"/>
        <v/>
      </c>
      <c r="F4740" s="11" t="str">
        <f t="shared" si="378"/>
        <v/>
      </c>
      <c r="G4740" s="10" t="str">
        <v/>
      </c>
      <c r="H4740" s="11" t="str">
        <v/>
      </c>
      <c r="I4740" s="11" t="str">
        <v/>
      </c>
    </row>
    <row r="4741" spans="2:9">
      <c r="B4741" s="11" t="str">
        <f t="shared" si="376"/>
        <v/>
      </c>
      <c r="C4741" s="11" t="str">
        <f t="shared" si="374"/>
        <v/>
      </c>
      <c r="D4741" s="11" t="str">
        <f t="shared" si="375"/>
        <v/>
      </c>
      <c r="E4741" s="11" t="str">
        <f t="shared" si="377"/>
        <v/>
      </c>
      <c r="F4741" s="11" t="str">
        <f t="shared" si="378"/>
        <v/>
      </c>
      <c r="G4741" s="10" t="str">
        <v/>
      </c>
      <c r="H4741" s="11" t="str">
        <v/>
      </c>
      <c r="I4741" s="11" t="str">
        <v/>
      </c>
    </row>
    <row r="4742" spans="2:9">
      <c r="B4742" s="11" t="str">
        <f t="shared" si="376"/>
        <v/>
      </c>
      <c r="C4742" s="11" t="str">
        <f t="shared" si="374"/>
        <v/>
      </c>
      <c r="D4742" s="11" t="str">
        <f t="shared" si="375"/>
        <v/>
      </c>
      <c r="E4742" s="11" t="str">
        <f t="shared" si="377"/>
        <v/>
      </c>
      <c r="F4742" s="11" t="str">
        <f t="shared" si="378"/>
        <v/>
      </c>
      <c r="G4742" s="10" t="str">
        <v/>
      </c>
      <c r="H4742" s="11" t="str">
        <v/>
      </c>
      <c r="I4742" s="11" t="str">
        <v/>
      </c>
    </row>
    <row r="4743" spans="2:9">
      <c r="B4743" s="11" t="str">
        <f t="shared" si="376"/>
        <v/>
      </c>
      <c r="C4743" s="11" t="str">
        <f t="shared" si="374"/>
        <v/>
      </c>
      <c r="D4743" s="11" t="str">
        <f t="shared" si="375"/>
        <v/>
      </c>
      <c r="E4743" s="11" t="str">
        <f t="shared" si="377"/>
        <v/>
      </c>
      <c r="F4743" s="11" t="str">
        <f t="shared" si="378"/>
        <v/>
      </c>
      <c r="G4743" s="10" t="str">
        <v/>
      </c>
      <c r="H4743" s="11" t="str">
        <v/>
      </c>
      <c r="I4743" s="11" t="str">
        <v/>
      </c>
    </row>
    <row r="4744" spans="2:9">
      <c r="B4744" s="11" t="str">
        <f t="shared" si="376"/>
        <v/>
      </c>
      <c r="C4744" s="11" t="str">
        <f t="shared" si="374"/>
        <v/>
      </c>
      <c r="D4744" s="11" t="str">
        <f t="shared" si="375"/>
        <v/>
      </c>
      <c r="E4744" s="11" t="str">
        <f t="shared" si="377"/>
        <v/>
      </c>
      <c r="F4744" s="11" t="str">
        <f t="shared" si="378"/>
        <v/>
      </c>
      <c r="G4744" s="10" t="str">
        <v/>
      </c>
      <c r="H4744" s="11" t="str">
        <v/>
      </c>
      <c r="I4744" s="11" t="str">
        <v/>
      </c>
    </row>
    <row r="4745" spans="2:9">
      <c r="B4745" s="11" t="str">
        <f t="shared" si="376"/>
        <v/>
      </c>
      <c r="C4745" s="11" t="str">
        <f t="shared" si="374"/>
        <v/>
      </c>
      <c r="D4745" s="11" t="str">
        <f t="shared" si="375"/>
        <v/>
      </c>
      <c r="E4745" s="11" t="str">
        <f t="shared" si="377"/>
        <v/>
      </c>
      <c r="F4745" s="11" t="str">
        <f t="shared" si="378"/>
        <v/>
      </c>
      <c r="G4745" s="10" t="str">
        <v/>
      </c>
      <c r="H4745" s="11" t="str">
        <v/>
      </c>
      <c r="I4745" s="11" t="str">
        <v/>
      </c>
    </row>
    <row r="4746" spans="2:9">
      <c r="B4746" s="11" t="str">
        <f t="shared" si="376"/>
        <v/>
      </c>
      <c r="C4746" s="11" t="str">
        <f t="shared" si="374"/>
        <v/>
      </c>
      <c r="D4746" s="11" t="str">
        <f t="shared" si="375"/>
        <v/>
      </c>
      <c r="E4746" s="11" t="str">
        <f t="shared" si="377"/>
        <v/>
      </c>
      <c r="F4746" s="11" t="str">
        <f t="shared" si="378"/>
        <v/>
      </c>
      <c r="G4746" s="10" t="str">
        <v/>
      </c>
      <c r="H4746" s="11" t="str">
        <v/>
      </c>
      <c r="I4746" s="11" t="str">
        <v/>
      </c>
    </row>
    <row r="4747" spans="2:9">
      <c r="B4747" s="11" t="str">
        <f t="shared" si="376"/>
        <v/>
      </c>
      <c r="C4747" s="11" t="str">
        <f t="shared" si="374"/>
        <v/>
      </c>
      <c r="D4747" s="11" t="str">
        <f t="shared" si="375"/>
        <v/>
      </c>
      <c r="E4747" s="11" t="str">
        <f t="shared" si="377"/>
        <v/>
      </c>
      <c r="F4747" s="11" t="str">
        <f t="shared" si="378"/>
        <v/>
      </c>
      <c r="G4747" s="10" t="str">
        <v/>
      </c>
      <c r="H4747" s="11" t="str">
        <v/>
      </c>
      <c r="I4747" s="11" t="str">
        <v/>
      </c>
    </row>
    <row r="4748" spans="2:9">
      <c r="B4748" s="11" t="str">
        <f t="shared" si="376"/>
        <v/>
      </c>
      <c r="C4748" s="11" t="str">
        <f t="shared" si="374"/>
        <v/>
      </c>
      <c r="D4748" s="11" t="str">
        <f t="shared" si="375"/>
        <v/>
      </c>
      <c r="E4748" s="11" t="str">
        <f t="shared" si="377"/>
        <v/>
      </c>
      <c r="F4748" s="11" t="str">
        <f t="shared" si="378"/>
        <v/>
      </c>
      <c r="G4748" s="10" t="str">
        <v/>
      </c>
      <c r="H4748" s="11" t="str">
        <v/>
      </c>
      <c r="I4748" s="11" t="str">
        <v/>
      </c>
    </row>
    <row r="4749" spans="2:9">
      <c r="B4749" s="11" t="str">
        <f t="shared" si="376"/>
        <v/>
      </c>
      <c r="C4749" s="11" t="str">
        <f t="shared" ref="C4749:C4812" si="379">IF(B4749="артикул",A4749,"")</f>
        <v/>
      </c>
      <c r="D4749" s="11" t="str">
        <f t="shared" ref="D4749:D4812" si="380">IF(B4749="артикул",A4750,"")</f>
        <v/>
      </c>
      <c r="E4749" s="11" t="str">
        <f t="shared" si="377"/>
        <v/>
      </c>
      <c r="F4749" s="11" t="str">
        <f t="shared" si="378"/>
        <v/>
      </c>
      <c r="G4749" s="10" t="str">
        <v/>
      </c>
      <c r="H4749" s="11" t="str">
        <v/>
      </c>
      <c r="I4749" s="11" t="str">
        <v/>
      </c>
    </row>
    <row r="4750" spans="2:9">
      <c r="B4750" s="11" t="str">
        <f t="shared" si="376"/>
        <v/>
      </c>
      <c r="C4750" s="11" t="str">
        <f t="shared" si="379"/>
        <v/>
      </c>
      <c r="D4750" s="11" t="str">
        <f t="shared" si="380"/>
        <v/>
      </c>
      <c r="E4750" s="11" t="str">
        <f t="shared" si="377"/>
        <v/>
      </c>
      <c r="F4750" s="11" t="str">
        <f t="shared" si="378"/>
        <v/>
      </c>
      <c r="G4750" s="10" t="str">
        <v/>
      </c>
      <c r="H4750" s="11" t="str">
        <v/>
      </c>
      <c r="I4750" s="11" t="str">
        <v/>
      </c>
    </row>
    <row r="4751" spans="2:9">
      <c r="B4751" s="11" t="str">
        <f t="shared" si="376"/>
        <v/>
      </c>
      <c r="C4751" s="11" t="str">
        <f t="shared" si="379"/>
        <v/>
      </c>
      <c r="D4751" s="11" t="str">
        <f t="shared" si="380"/>
        <v/>
      </c>
      <c r="E4751" s="11" t="str">
        <f t="shared" si="377"/>
        <v/>
      </c>
      <c r="F4751" s="11" t="str">
        <f t="shared" si="378"/>
        <v/>
      </c>
      <c r="G4751" s="10" t="str">
        <v/>
      </c>
      <c r="H4751" s="11" t="str">
        <v/>
      </c>
      <c r="I4751" s="11" t="str">
        <v/>
      </c>
    </row>
    <row r="4752" spans="2:9">
      <c r="B4752" s="11" t="str">
        <f t="shared" si="376"/>
        <v/>
      </c>
      <c r="C4752" s="11" t="str">
        <f t="shared" si="379"/>
        <v/>
      </c>
      <c r="D4752" s="11" t="str">
        <f t="shared" si="380"/>
        <v/>
      </c>
      <c r="E4752" s="11" t="str">
        <f t="shared" si="377"/>
        <v/>
      </c>
      <c r="F4752" s="11" t="str">
        <f t="shared" si="378"/>
        <v/>
      </c>
      <c r="G4752" s="10" t="str">
        <v/>
      </c>
      <c r="H4752" s="11" t="str">
        <v/>
      </c>
      <c r="I4752" s="11" t="str">
        <v/>
      </c>
    </row>
    <row r="4753" spans="2:9">
      <c r="B4753" s="11" t="str">
        <f t="shared" si="376"/>
        <v/>
      </c>
      <c r="C4753" s="11" t="str">
        <f t="shared" si="379"/>
        <v/>
      </c>
      <c r="D4753" s="11" t="str">
        <f t="shared" si="380"/>
        <v/>
      </c>
      <c r="E4753" s="11" t="str">
        <f t="shared" si="377"/>
        <v/>
      </c>
      <c r="F4753" s="11" t="str">
        <f t="shared" si="378"/>
        <v/>
      </c>
      <c r="G4753" s="10" t="str">
        <v/>
      </c>
      <c r="H4753" s="11" t="str">
        <v/>
      </c>
      <c r="I4753" s="11" t="str">
        <v/>
      </c>
    </row>
    <row r="4754" spans="2:9">
      <c r="B4754" s="11" t="str">
        <f t="shared" si="376"/>
        <v/>
      </c>
      <c r="C4754" s="11" t="str">
        <f t="shared" si="379"/>
        <v/>
      </c>
      <c r="D4754" s="11" t="str">
        <f t="shared" si="380"/>
        <v/>
      </c>
      <c r="E4754" s="11" t="str">
        <f t="shared" si="377"/>
        <v/>
      </c>
      <c r="F4754" s="11" t="str">
        <f t="shared" si="378"/>
        <v/>
      </c>
      <c r="G4754" s="10" t="str">
        <v/>
      </c>
      <c r="H4754" s="11" t="str">
        <v/>
      </c>
      <c r="I4754" s="11" t="str">
        <v/>
      </c>
    </row>
    <row r="4755" spans="2:9">
      <c r="B4755" s="11" t="str">
        <f t="shared" si="376"/>
        <v/>
      </c>
      <c r="C4755" s="11" t="str">
        <f t="shared" si="379"/>
        <v/>
      </c>
      <c r="D4755" s="11" t="str">
        <f t="shared" si="380"/>
        <v/>
      </c>
      <c r="E4755" s="11" t="str">
        <f t="shared" si="377"/>
        <v/>
      </c>
      <c r="F4755" s="11" t="str">
        <f t="shared" si="378"/>
        <v/>
      </c>
      <c r="G4755" s="10" t="str">
        <v/>
      </c>
      <c r="H4755" s="11" t="str">
        <v/>
      </c>
      <c r="I4755" s="11" t="str">
        <v/>
      </c>
    </row>
    <row r="4756" spans="2:9">
      <c r="B4756" s="11" t="str">
        <f t="shared" si="376"/>
        <v/>
      </c>
      <c r="C4756" s="11" t="str">
        <f t="shared" si="379"/>
        <v/>
      </c>
      <c r="D4756" s="11" t="str">
        <f t="shared" si="380"/>
        <v/>
      </c>
      <c r="E4756" s="11" t="str">
        <f t="shared" si="377"/>
        <v/>
      </c>
      <c r="F4756" s="11" t="str">
        <f t="shared" si="378"/>
        <v/>
      </c>
      <c r="G4756" s="10" t="str">
        <v/>
      </c>
      <c r="H4756" s="11" t="str">
        <v/>
      </c>
      <c r="I4756" s="11" t="str">
        <v/>
      </c>
    </row>
    <row r="4757" spans="2:9">
      <c r="B4757" s="11" t="str">
        <f t="shared" si="376"/>
        <v/>
      </c>
      <c r="C4757" s="11" t="str">
        <f t="shared" si="379"/>
        <v/>
      </c>
      <c r="D4757" s="11" t="str">
        <f t="shared" si="380"/>
        <v/>
      </c>
      <c r="E4757" s="11" t="str">
        <f t="shared" si="377"/>
        <v/>
      </c>
      <c r="F4757" s="11" t="str">
        <f t="shared" si="378"/>
        <v/>
      </c>
      <c r="G4757" s="10" t="str">
        <v/>
      </c>
      <c r="H4757" s="11" t="str">
        <v/>
      </c>
      <c r="I4757" s="11" t="str">
        <v/>
      </c>
    </row>
    <row r="4758" spans="2:9">
      <c r="B4758" s="11" t="str">
        <f t="shared" si="376"/>
        <v/>
      </c>
      <c r="C4758" s="11" t="str">
        <f t="shared" si="379"/>
        <v/>
      </c>
      <c r="D4758" s="11" t="str">
        <f t="shared" si="380"/>
        <v/>
      </c>
      <c r="E4758" s="11" t="str">
        <f t="shared" si="377"/>
        <v/>
      </c>
      <c r="F4758" s="11" t="str">
        <f t="shared" si="378"/>
        <v/>
      </c>
      <c r="G4758" s="10" t="str">
        <v/>
      </c>
      <c r="H4758" s="11" t="str">
        <v/>
      </c>
      <c r="I4758" s="11" t="str">
        <v/>
      </c>
    </row>
    <row r="4759" spans="2:9">
      <c r="B4759" s="11" t="str">
        <f t="shared" si="376"/>
        <v/>
      </c>
      <c r="C4759" s="11" t="str">
        <f t="shared" si="379"/>
        <v/>
      </c>
      <c r="D4759" s="11" t="str">
        <f t="shared" si="380"/>
        <v/>
      </c>
      <c r="E4759" s="11" t="str">
        <f t="shared" si="377"/>
        <v/>
      </c>
      <c r="F4759" s="11" t="str">
        <f t="shared" si="378"/>
        <v/>
      </c>
      <c r="G4759" s="10" t="str">
        <v/>
      </c>
      <c r="H4759" s="11" t="str">
        <v/>
      </c>
      <c r="I4759" s="11" t="str">
        <v/>
      </c>
    </row>
    <row r="4760" spans="2:9">
      <c r="B4760" s="11" t="str">
        <f t="shared" si="376"/>
        <v/>
      </c>
      <c r="C4760" s="11" t="str">
        <f t="shared" si="379"/>
        <v/>
      </c>
      <c r="D4760" s="11" t="str">
        <f t="shared" si="380"/>
        <v/>
      </c>
      <c r="E4760" s="11" t="str">
        <f t="shared" si="377"/>
        <v/>
      </c>
      <c r="F4760" s="11" t="str">
        <f t="shared" si="378"/>
        <v/>
      </c>
      <c r="G4760" s="10" t="str">
        <v/>
      </c>
      <c r="H4760" s="11" t="str">
        <v/>
      </c>
      <c r="I4760" s="11" t="str">
        <v/>
      </c>
    </row>
    <row r="4761" spans="2:9">
      <c r="B4761" s="11" t="str">
        <f t="shared" si="376"/>
        <v/>
      </c>
      <c r="C4761" s="11" t="str">
        <f t="shared" si="379"/>
        <v/>
      </c>
      <c r="D4761" s="11" t="str">
        <f t="shared" si="380"/>
        <v/>
      </c>
      <c r="E4761" s="11" t="str">
        <f t="shared" si="377"/>
        <v/>
      </c>
      <c r="F4761" s="11" t="str">
        <f t="shared" si="378"/>
        <v/>
      </c>
      <c r="G4761" s="10" t="str">
        <v/>
      </c>
      <c r="H4761" s="11" t="str">
        <v/>
      </c>
      <c r="I4761" s="11" t="str">
        <v/>
      </c>
    </row>
    <row r="4762" spans="2:9">
      <c r="B4762" s="11" t="str">
        <f t="shared" si="376"/>
        <v/>
      </c>
      <c r="C4762" s="11" t="str">
        <f t="shared" si="379"/>
        <v/>
      </c>
      <c r="D4762" s="11" t="str">
        <f t="shared" si="380"/>
        <v/>
      </c>
      <c r="E4762" s="11" t="str">
        <f t="shared" si="377"/>
        <v/>
      </c>
      <c r="F4762" s="11" t="str">
        <f t="shared" si="378"/>
        <v/>
      </c>
      <c r="G4762" s="10" t="str">
        <v/>
      </c>
      <c r="H4762" s="11" t="str">
        <v/>
      </c>
      <c r="I4762" s="11" t="str">
        <v/>
      </c>
    </row>
    <row r="4763" spans="2:9">
      <c r="B4763" s="11" t="str">
        <f t="shared" si="376"/>
        <v/>
      </c>
      <c r="C4763" s="11" t="str">
        <f t="shared" si="379"/>
        <v/>
      </c>
      <c r="D4763" s="11" t="str">
        <f t="shared" si="380"/>
        <v/>
      </c>
      <c r="E4763" s="11" t="str">
        <f t="shared" si="377"/>
        <v/>
      </c>
      <c r="F4763" s="11" t="str">
        <f t="shared" si="378"/>
        <v/>
      </c>
      <c r="G4763" s="10" t="str">
        <v/>
      </c>
      <c r="H4763" s="11" t="str">
        <v/>
      </c>
      <c r="I4763" s="11" t="str">
        <v/>
      </c>
    </row>
    <row r="4764" spans="2:9">
      <c r="B4764" s="11" t="str">
        <f t="shared" si="376"/>
        <v/>
      </c>
      <c r="C4764" s="11" t="str">
        <f t="shared" si="379"/>
        <v/>
      </c>
      <c r="D4764" s="11" t="str">
        <f t="shared" si="380"/>
        <v/>
      </c>
      <c r="E4764" s="11" t="str">
        <f t="shared" si="377"/>
        <v/>
      </c>
      <c r="F4764" s="11" t="str">
        <f t="shared" si="378"/>
        <v/>
      </c>
      <c r="G4764" s="10" t="str">
        <v/>
      </c>
      <c r="H4764" s="11" t="str">
        <v/>
      </c>
      <c r="I4764" s="11" t="str">
        <v/>
      </c>
    </row>
    <row r="4765" spans="2:9">
      <c r="B4765" s="11" t="str">
        <f t="shared" si="376"/>
        <v/>
      </c>
      <c r="C4765" s="11" t="str">
        <f t="shared" si="379"/>
        <v/>
      </c>
      <c r="D4765" s="11" t="str">
        <f t="shared" si="380"/>
        <v/>
      </c>
      <c r="E4765" s="11" t="str">
        <f t="shared" si="377"/>
        <v/>
      </c>
      <c r="F4765" s="11" t="str">
        <f t="shared" si="378"/>
        <v/>
      </c>
      <c r="G4765" s="10" t="str">
        <v/>
      </c>
      <c r="H4765" s="11" t="str">
        <v/>
      </c>
      <c r="I4765" s="11" t="str">
        <v/>
      </c>
    </row>
    <row r="4766" spans="2:9">
      <c r="B4766" s="11" t="str">
        <f t="shared" si="376"/>
        <v/>
      </c>
      <c r="C4766" s="11" t="str">
        <f t="shared" si="379"/>
        <v/>
      </c>
      <c r="D4766" s="11" t="str">
        <f t="shared" si="380"/>
        <v/>
      </c>
      <c r="E4766" s="11" t="str">
        <f t="shared" si="377"/>
        <v/>
      </c>
      <c r="F4766" s="11" t="str">
        <f t="shared" si="378"/>
        <v/>
      </c>
      <c r="G4766" s="10" t="str">
        <v/>
      </c>
      <c r="H4766" s="11" t="str">
        <v/>
      </c>
      <c r="I4766" s="11" t="str">
        <v/>
      </c>
    </row>
    <row r="4767" spans="2:9">
      <c r="B4767" s="11" t="str">
        <f t="shared" si="376"/>
        <v/>
      </c>
      <c r="C4767" s="11" t="str">
        <f t="shared" si="379"/>
        <v/>
      </c>
      <c r="D4767" s="11" t="str">
        <f t="shared" si="380"/>
        <v/>
      </c>
      <c r="E4767" s="11" t="str">
        <f t="shared" si="377"/>
        <v/>
      </c>
      <c r="F4767" s="11" t="str">
        <f t="shared" si="378"/>
        <v/>
      </c>
      <c r="G4767" s="10" t="str">
        <v/>
      </c>
      <c r="H4767" s="11" t="str">
        <v/>
      </c>
      <c r="I4767" s="11" t="str">
        <v/>
      </c>
    </row>
    <row r="4768" spans="2:9">
      <c r="B4768" s="11" t="str">
        <f t="shared" si="376"/>
        <v/>
      </c>
      <c r="C4768" s="11" t="str">
        <f t="shared" si="379"/>
        <v/>
      </c>
      <c r="D4768" s="11" t="str">
        <f t="shared" si="380"/>
        <v/>
      </c>
      <c r="E4768" s="11" t="str">
        <f t="shared" si="377"/>
        <v/>
      </c>
      <c r="F4768" s="11" t="str">
        <f t="shared" si="378"/>
        <v/>
      </c>
      <c r="G4768" s="10" t="str">
        <v/>
      </c>
      <c r="H4768" s="11" t="str">
        <v/>
      </c>
      <c r="I4768" s="11" t="str">
        <v/>
      </c>
    </row>
    <row r="4769" spans="2:9">
      <c r="B4769" s="11" t="str">
        <f t="shared" si="376"/>
        <v/>
      </c>
      <c r="C4769" s="11" t="str">
        <f t="shared" si="379"/>
        <v/>
      </c>
      <c r="D4769" s="11" t="str">
        <f t="shared" si="380"/>
        <v/>
      </c>
      <c r="E4769" s="11" t="str">
        <f t="shared" si="377"/>
        <v/>
      </c>
      <c r="F4769" s="11" t="str">
        <f t="shared" si="378"/>
        <v/>
      </c>
      <c r="G4769" s="10" t="str">
        <v/>
      </c>
      <c r="H4769" s="11" t="str">
        <v/>
      </c>
      <c r="I4769" s="11" t="str">
        <v/>
      </c>
    </row>
    <row r="4770" spans="2:9">
      <c r="B4770" s="11" t="str">
        <f t="shared" si="376"/>
        <v/>
      </c>
      <c r="C4770" s="11" t="str">
        <f t="shared" si="379"/>
        <v/>
      </c>
      <c r="D4770" s="11" t="str">
        <f t="shared" si="380"/>
        <v/>
      </c>
      <c r="E4770" s="11" t="str">
        <f t="shared" si="377"/>
        <v/>
      </c>
      <c r="F4770" s="11" t="str">
        <f t="shared" si="378"/>
        <v/>
      </c>
      <c r="G4770" s="10" t="str">
        <v/>
      </c>
      <c r="H4770" s="11" t="str">
        <v/>
      </c>
      <c r="I4770" s="11" t="str">
        <v/>
      </c>
    </row>
    <row r="4771" spans="2:9">
      <c r="B4771" s="11" t="str">
        <f t="shared" si="376"/>
        <v/>
      </c>
      <c r="C4771" s="11" t="str">
        <f t="shared" si="379"/>
        <v/>
      </c>
      <c r="D4771" s="11" t="str">
        <f t="shared" si="380"/>
        <v/>
      </c>
      <c r="E4771" s="11" t="str">
        <f t="shared" si="377"/>
        <v/>
      </c>
      <c r="F4771" s="11" t="str">
        <f t="shared" si="378"/>
        <v/>
      </c>
      <c r="G4771" s="10" t="str">
        <v/>
      </c>
      <c r="H4771" s="11" t="str">
        <v/>
      </c>
      <c r="I4771" s="11" t="str">
        <v/>
      </c>
    </row>
    <row r="4772" spans="2:9">
      <c r="B4772" s="11" t="str">
        <f t="shared" si="376"/>
        <v/>
      </c>
      <c r="C4772" s="11" t="str">
        <f t="shared" si="379"/>
        <v/>
      </c>
      <c r="D4772" s="11" t="str">
        <f t="shared" si="380"/>
        <v/>
      </c>
      <c r="E4772" s="11" t="str">
        <f t="shared" si="377"/>
        <v/>
      </c>
      <c r="F4772" s="11" t="str">
        <f t="shared" si="378"/>
        <v/>
      </c>
      <c r="G4772" s="10" t="str">
        <v/>
      </c>
      <c r="H4772" s="11" t="str">
        <v/>
      </c>
      <c r="I4772" s="11" t="str">
        <v/>
      </c>
    </row>
    <row r="4773" spans="2:9">
      <c r="B4773" s="11" t="str">
        <f t="shared" si="376"/>
        <v/>
      </c>
      <c r="C4773" s="11" t="str">
        <f t="shared" si="379"/>
        <v/>
      </c>
      <c r="D4773" s="11" t="str">
        <f t="shared" si="380"/>
        <v/>
      </c>
      <c r="E4773" s="11" t="str">
        <f t="shared" si="377"/>
        <v/>
      </c>
      <c r="F4773" s="11" t="str">
        <f t="shared" si="378"/>
        <v/>
      </c>
      <c r="G4773" s="10" t="str">
        <v/>
      </c>
      <c r="H4773" s="11" t="str">
        <v/>
      </c>
      <c r="I4773" s="11" t="str">
        <v/>
      </c>
    </row>
    <row r="4774" spans="2:9">
      <c r="B4774" s="11" t="str">
        <f t="shared" si="376"/>
        <v/>
      </c>
      <c r="C4774" s="11" t="str">
        <f t="shared" si="379"/>
        <v/>
      </c>
      <c r="D4774" s="11" t="str">
        <f t="shared" si="380"/>
        <v/>
      </c>
      <c r="E4774" s="11" t="str">
        <f t="shared" si="377"/>
        <v/>
      </c>
      <c r="F4774" s="11" t="str">
        <f t="shared" si="378"/>
        <v/>
      </c>
      <c r="G4774" s="10" t="str">
        <v/>
      </c>
      <c r="H4774" s="11" t="str">
        <v/>
      </c>
      <c r="I4774" s="11" t="str">
        <v/>
      </c>
    </row>
    <row r="4775" spans="2:9">
      <c r="B4775" s="11" t="str">
        <f t="shared" si="376"/>
        <v/>
      </c>
      <c r="C4775" s="11" t="str">
        <f t="shared" si="379"/>
        <v/>
      </c>
      <c r="D4775" s="11" t="str">
        <f t="shared" si="380"/>
        <v/>
      </c>
      <c r="E4775" s="11" t="str">
        <f t="shared" si="377"/>
        <v/>
      </c>
      <c r="F4775" s="11" t="str">
        <f t="shared" si="378"/>
        <v/>
      </c>
      <c r="G4775" s="10" t="str">
        <v/>
      </c>
      <c r="H4775" s="11" t="str">
        <v/>
      </c>
      <c r="I4775" s="11" t="str">
        <v/>
      </c>
    </row>
    <row r="4776" spans="2:9">
      <c r="B4776" s="11" t="str">
        <f t="shared" si="376"/>
        <v/>
      </c>
      <c r="C4776" s="11" t="str">
        <f t="shared" si="379"/>
        <v/>
      </c>
      <c r="D4776" s="11" t="str">
        <f t="shared" si="380"/>
        <v/>
      </c>
      <c r="E4776" s="11" t="str">
        <f t="shared" si="377"/>
        <v/>
      </c>
      <c r="F4776" s="11" t="str">
        <f t="shared" si="378"/>
        <v/>
      </c>
      <c r="G4776" s="10" t="str">
        <v/>
      </c>
      <c r="H4776" s="11" t="str">
        <v/>
      </c>
      <c r="I4776" s="11" t="str">
        <v/>
      </c>
    </row>
    <row r="4777" spans="2:9">
      <c r="B4777" s="11" t="str">
        <f t="shared" si="376"/>
        <v/>
      </c>
      <c r="C4777" s="11" t="str">
        <f t="shared" si="379"/>
        <v/>
      </c>
      <c r="D4777" s="11" t="str">
        <f t="shared" si="380"/>
        <v/>
      </c>
      <c r="E4777" s="11" t="str">
        <f t="shared" si="377"/>
        <v/>
      </c>
      <c r="F4777" s="11" t="str">
        <f t="shared" si="378"/>
        <v/>
      </c>
      <c r="G4777" s="10" t="str">
        <v/>
      </c>
      <c r="H4777" s="11" t="str">
        <v/>
      </c>
      <c r="I4777" s="11" t="str">
        <v/>
      </c>
    </row>
    <row r="4778" spans="2:9">
      <c r="B4778" s="11" t="str">
        <f t="shared" si="376"/>
        <v/>
      </c>
      <c r="C4778" s="11" t="str">
        <f t="shared" si="379"/>
        <v/>
      </c>
      <c r="D4778" s="11" t="str">
        <f t="shared" si="380"/>
        <v/>
      </c>
      <c r="E4778" s="11" t="str">
        <f t="shared" si="377"/>
        <v/>
      </c>
      <c r="F4778" s="11" t="str">
        <f t="shared" si="378"/>
        <v/>
      </c>
      <c r="G4778" s="10" t="str">
        <v/>
      </c>
      <c r="H4778" s="11" t="str">
        <v/>
      </c>
      <c r="I4778" s="11" t="str">
        <v/>
      </c>
    </row>
    <row r="4779" spans="2:9">
      <c r="B4779" s="11" t="str">
        <f t="shared" si="376"/>
        <v/>
      </c>
      <c r="C4779" s="11" t="str">
        <f t="shared" si="379"/>
        <v/>
      </c>
      <c r="D4779" s="11" t="str">
        <f t="shared" si="380"/>
        <v/>
      </c>
      <c r="E4779" s="11" t="str">
        <f t="shared" si="377"/>
        <v/>
      </c>
      <c r="F4779" s="11" t="str">
        <f t="shared" si="378"/>
        <v/>
      </c>
      <c r="G4779" s="10" t="str">
        <v/>
      </c>
      <c r="H4779" s="11" t="str">
        <v/>
      </c>
      <c r="I4779" s="11" t="str">
        <v/>
      </c>
    </row>
    <row r="4780" spans="2:9">
      <c r="B4780" s="11" t="str">
        <f t="shared" si="376"/>
        <v/>
      </c>
      <c r="C4780" s="11" t="str">
        <f t="shared" si="379"/>
        <v/>
      </c>
      <c r="D4780" s="11" t="str">
        <f t="shared" si="380"/>
        <v/>
      </c>
      <c r="E4780" s="11" t="str">
        <f t="shared" si="377"/>
        <v/>
      </c>
      <c r="F4780" s="11" t="str">
        <f t="shared" si="378"/>
        <v/>
      </c>
      <c r="G4780" s="10" t="str">
        <v/>
      </c>
      <c r="H4780" s="11" t="str">
        <v/>
      </c>
      <c r="I4780" s="11" t="str">
        <v/>
      </c>
    </row>
    <row r="4781" spans="2:9">
      <c r="B4781" s="11" t="str">
        <f t="shared" si="376"/>
        <v/>
      </c>
      <c r="C4781" s="11" t="str">
        <f t="shared" si="379"/>
        <v/>
      </c>
      <c r="D4781" s="11" t="str">
        <f t="shared" si="380"/>
        <v/>
      </c>
      <c r="E4781" s="11" t="str">
        <f t="shared" si="377"/>
        <v/>
      </c>
      <c r="F4781" s="11" t="str">
        <f t="shared" si="378"/>
        <v/>
      </c>
      <c r="G4781" s="10" t="str">
        <v/>
      </c>
      <c r="H4781" s="11" t="str">
        <v/>
      </c>
      <c r="I4781" s="11" t="str">
        <v/>
      </c>
    </row>
    <row r="4782" spans="2:9">
      <c r="B4782" s="11" t="str">
        <f t="shared" si="376"/>
        <v/>
      </c>
      <c r="C4782" s="11" t="str">
        <f t="shared" si="379"/>
        <v/>
      </c>
      <c r="D4782" s="11" t="str">
        <f t="shared" si="380"/>
        <v/>
      </c>
      <c r="E4782" s="11" t="str">
        <f t="shared" si="377"/>
        <v/>
      </c>
      <c r="F4782" s="11" t="str">
        <f t="shared" si="378"/>
        <v/>
      </c>
      <c r="G4782" s="10" t="str">
        <v/>
      </c>
      <c r="H4782" s="11" t="str">
        <v/>
      </c>
      <c r="I4782" s="11" t="str">
        <v/>
      </c>
    </row>
    <row r="4783" spans="2:9">
      <c r="B4783" s="11" t="str">
        <f t="shared" si="376"/>
        <v/>
      </c>
      <c r="C4783" s="11" t="str">
        <f t="shared" si="379"/>
        <v/>
      </c>
      <c r="D4783" s="11" t="str">
        <f t="shared" si="380"/>
        <v/>
      </c>
      <c r="E4783" s="11" t="str">
        <f t="shared" si="377"/>
        <v/>
      </c>
      <c r="F4783" s="11" t="str">
        <f t="shared" si="378"/>
        <v/>
      </c>
      <c r="G4783" s="10" t="str">
        <v/>
      </c>
      <c r="H4783" s="11" t="str">
        <v/>
      </c>
      <c r="I4783" s="11" t="str">
        <v/>
      </c>
    </row>
    <row r="4784" spans="2:9">
      <c r="B4784" s="11" t="str">
        <f t="shared" si="376"/>
        <v/>
      </c>
      <c r="C4784" s="11" t="str">
        <f t="shared" si="379"/>
        <v/>
      </c>
      <c r="D4784" s="11" t="str">
        <f t="shared" si="380"/>
        <v/>
      </c>
      <c r="E4784" s="11" t="str">
        <f t="shared" si="377"/>
        <v/>
      </c>
      <c r="F4784" s="11" t="str">
        <f t="shared" si="378"/>
        <v/>
      </c>
      <c r="G4784" s="10" t="str">
        <v/>
      </c>
      <c r="H4784" s="11" t="str">
        <v/>
      </c>
      <c r="I4784" s="11" t="str">
        <v/>
      </c>
    </row>
    <row r="4785" spans="2:9">
      <c r="B4785" s="11" t="str">
        <f t="shared" si="376"/>
        <v/>
      </c>
      <c r="C4785" s="11" t="str">
        <f t="shared" si="379"/>
        <v/>
      </c>
      <c r="D4785" s="11" t="str">
        <f t="shared" si="380"/>
        <v/>
      </c>
      <c r="E4785" s="11" t="str">
        <f t="shared" si="377"/>
        <v/>
      </c>
      <c r="F4785" s="11" t="str">
        <f t="shared" si="378"/>
        <v/>
      </c>
      <c r="G4785" s="10" t="str">
        <v/>
      </c>
      <c r="H4785" s="11" t="str">
        <v/>
      </c>
      <c r="I4785" s="11" t="str">
        <v/>
      </c>
    </row>
    <row r="4786" spans="2:9">
      <c r="B4786" s="11" t="str">
        <f t="shared" si="376"/>
        <v/>
      </c>
      <c r="C4786" s="11" t="str">
        <f t="shared" si="379"/>
        <v/>
      </c>
      <c r="D4786" s="11" t="str">
        <f t="shared" si="380"/>
        <v/>
      </c>
      <c r="E4786" s="11" t="str">
        <f t="shared" si="377"/>
        <v/>
      </c>
      <c r="F4786" s="11" t="str">
        <f t="shared" si="378"/>
        <v/>
      </c>
      <c r="G4786" s="10" t="str">
        <v/>
      </c>
      <c r="H4786" s="11" t="str">
        <v/>
      </c>
      <c r="I4786" s="11" t="str">
        <v/>
      </c>
    </row>
    <row r="4787" spans="2:9">
      <c r="B4787" s="11" t="str">
        <f t="shared" si="376"/>
        <v/>
      </c>
      <c r="C4787" s="11" t="str">
        <f t="shared" si="379"/>
        <v/>
      </c>
      <c r="D4787" s="11" t="str">
        <f t="shared" si="380"/>
        <v/>
      </c>
      <c r="E4787" s="11" t="str">
        <f t="shared" si="377"/>
        <v/>
      </c>
      <c r="F4787" s="11" t="str">
        <f t="shared" si="378"/>
        <v/>
      </c>
      <c r="G4787" s="10" t="str">
        <v/>
      </c>
      <c r="H4787" s="11" t="str">
        <v/>
      </c>
      <c r="I4787" s="11" t="str">
        <v/>
      </c>
    </row>
    <row r="4788" spans="2:9">
      <c r="B4788" s="11" t="str">
        <f t="shared" si="376"/>
        <v/>
      </c>
      <c r="C4788" s="11" t="str">
        <f t="shared" si="379"/>
        <v/>
      </c>
      <c r="D4788" s="11" t="str">
        <f t="shared" si="380"/>
        <v/>
      </c>
      <c r="E4788" s="11" t="str">
        <f t="shared" si="377"/>
        <v/>
      </c>
      <c r="F4788" s="11" t="str">
        <f t="shared" si="378"/>
        <v/>
      </c>
      <c r="G4788" s="10" t="str">
        <v/>
      </c>
      <c r="H4788" s="11" t="str">
        <v/>
      </c>
      <c r="I4788" s="11" t="str">
        <v/>
      </c>
    </row>
    <row r="4789" spans="2:9">
      <c r="B4789" s="11" t="str">
        <f t="shared" si="376"/>
        <v/>
      </c>
      <c r="C4789" s="11" t="str">
        <f t="shared" si="379"/>
        <v/>
      </c>
      <c r="D4789" s="11" t="str">
        <f t="shared" si="380"/>
        <v/>
      </c>
      <c r="E4789" s="11" t="str">
        <f t="shared" si="377"/>
        <v/>
      </c>
      <c r="F4789" s="11" t="str">
        <f t="shared" si="378"/>
        <v/>
      </c>
      <c r="G4789" s="10" t="str">
        <v/>
      </c>
      <c r="H4789" s="11" t="str">
        <v/>
      </c>
      <c r="I4789" s="11" t="str">
        <v/>
      </c>
    </row>
    <row r="4790" spans="2:9">
      <c r="B4790" s="11" t="str">
        <f t="shared" si="376"/>
        <v/>
      </c>
      <c r="C4790" s="11" t="str">
        <f t="shared" si="379"/>
        <v/>
      </c>
      <c r="D4790" s="11" t="str">
        <f t="shared" si="380"/>
        <v/>
      </c>
      <c r="E4790" s="11" t="str">
        <f t="shared" si="377"/>
        <v/>
      </c>
      <c r="F4790" s="11" t="str">
        <f t="shared" si="378"/>
        <v/>
      </c>
      <c r="G4790" s="10" t="str">
        <v/>
      </c>
      <c r="H4790" s="11" t="str">
        <v/>
      </c>
      <c r="I4790" s="11" t="str">
        <v/>
      </c>
    </row>
    <row r="4791" spans="2:9">
      <c r="B4791" s="11" t="str">
        <f t="shared" si="376"/>
        <v/>
      </c>
      <c r="C4791" s="11" t="str">
        <f t="shared" si="379"/>
        <v/>
      </c>
      <c r="D4791" s="11" t="str">
        <f t="shared" si="380"/>
        <v/>
      </c>
      <c r="E4791" s="11" t="str">
        <f t="shared" si="377"/>
        <v/>
      </c>
      <c r="F4791" s="11" t="str">
        <f t="shared" si="378"/>
        <v/>
      </c>
      <c r="G4791" s="10" t="str">
        <v/>
      </c>
      <c r="H4791" s="11" t="str">
        <v/>
      </c>
      <c r="I4791" s="11" t="str">
        <v/>
      </c>
    </row>
    <row r="4792" spans="2:9">
      <c r="B4792" s="11" t="str">
        <f t="shared" si="376"/>
        <v/>
      </c>
      <c r="C4792" s="11" t="str">
        <f t="shared" si="379"/>
        <v/>
      </c>
      <c r="D4792" s="11" t="str">
        <f t="shared" si="380"/>
        <v/>
      </c>
      <c r="E4792" s="11" t="str">
        <f t="shared" si="377"/>
        <v/>
      </c>
      <c r="F4792" s="11" t="str">
        <f t="shared" si="378"/>
        <v/>
      </c>
      <c r="G4792" s="10" t="str">
        <v/>
      </c>
      <c r="H4792" s="11" t="str">
        <v/>
      </c>
      <c r="I4792" s="11" t="str">
        <v/>
      </c>
    </row>
    <row r="4793" spans="2:9">
      <c r="B4793" s="11" t="str">
        <f t="shared" si="376"/>
        <v/>
      </c>
      <c r="C4793" s="11" t="str">
        <f t="shared" si="379"/>
        <v/>
      </c>
      <c r="D4793" s="11" t="str">
        <f t="shared" si="380"/>
        <v/>
      </c>
      <c r="E4793" s="11" t="str">
        <f t="shared" si="377"/>
        <v/>
      </c>
      <c r="F4793" s="11" t="str">
        <f t="shared" si="378"/>
        <v/>
      </c>
      <c r="G4793" s="10" t="str">
        <v/>
      </c>
      <c r="H4793" s="11" t="str">
        <v/>
      </c>
      <c r="I4793" s="11" t="str">
        <v/>
      </c>
    </row>
    <row r="4794" spans="2:9">
      <c r="B4794" s="11" t="str">
        <f t="shared" si="376"/>
        <v/>
      </c>
      <c r="C4794" s="11" t="str">
        <f t="shared" si="379"/>
        <v/>
      </c>
      <c r="D4794" s="11" t="str">
        <f t="shared" si="380"/>
        <v/>
      </c>
      <c r="E4794" s="11" t="str">
        <f t="shared" si="377"/>
        <v/>
      </c>
      <c r="F4794" s="11" t="str">
        <f t="shared" si="378"/>
        <v/>
      </c>
      <c r="G4794" s="10" t="str">
        <v/>
      </c>
      <c r="H4794" s="11" t="str">
        <v/>
      </c>
      <c r="I4794" s="11" t="str">
        <v/>
      </c>
    </row>
    <row r="4795" spans="2:9">
      <c r="B4795" s="11" t="str">
        <f t="shared" si="376"/>
        <v/>
      </c>
      <c r="C4795" s="11" t="str">
        <f t="shared" si="379"/>
        <v/>
      </c>
      <c r="D4795" s="11" t="str">
        <f t="shared" si="380"/>
        <v/>
      </c>
      <c r="E4795" s="11" t="str">
        <f t="shared" si="377"/>
        <v/>
      </c>
      <c r="F4795" s="11" t="str">
        <f t="shared" si="378"/>
        <v/>
      </c>
      <c r="G4795" s="10" t="str">
        <v/>
      </c>
      <c r="H4795" s="11" t="str">
        <v/>
      </c>
      <c r="I4795" s="11" t="str">
        <v/>
      </c>
    </row>
    <row r="4796" spans="2:9">
      <c r="B4796" s="11" t="str">
        <f t="shared" si="376"/>
        <v/>
      </c>
      <c r="C4796" s="11" t="str">
        <f t="shared" si="379"/>
        <v/>
      </c>
      <c r="D4796" s="11" t="str">
        <f t="shared" si="380"/>
        <v/>
      </c>
      <c r="E4796" s="11" t="str">
        <f t="shared" si="377"/>
        <v/>
      </c>
      <c r="F4796" s="11" t="str">
        <f t="shared" si="378"/>
        <v/>
      </c>
      <c r="G4796" s="10" t="str">
        <v/>
      </c>
      <c r="H4796" s="11" t="str">
        <v/>
      </c>
      <c r="I4796" s="11" t="str">
        <v/>
      </c>
    </row>
    <row r="4797" spans="2:9">
      <c r="B4797" s="11" t="str">
        <f t="shared" si="376"/>
        <v/>
      </c>
      <c r="C4797" s="11" t="str">
        <f t="shared" si="379"/>
        <v/>
      </c>
      <c r="D4797" s="11" t="str">
        <f t="shared" si="380"/>
        <v/>
      </c>
      <c r="E4797" s="11" t="str">
        <f t="shared" si="377"/>
        <v/>
      </c>
      <c r="F4797" s="11" t="str">
        <f t="shared" si="378"/>
        <v/>
      </c>
      <c r="G4797" s="10" t="str">
        <v/>
      </c>
      <c r="H4797" s="11" t="str">
        <v/>
      </c>
      <c r="I4797" s="11" t="str">
        <v/>
      </c>
    </row>
    <row r="4798" spans="2:9">
      <c r="B4798" s="11" t="str">
        <f t="shared" si="376"/>
        <v/>
      </c>
      <c r="C4798" s="11" t="str">
        <f t="shared" si="379"/>
        <v/>
      </c>
      <c r="D4798" s="11" t="str">
        <f t="shared" si="380"/>
        <v/>
      </c>
      <c r="E4798" s="11" t="str">
        <f t="shared" si="377"/>
        <v/>
      </c>
      <c r="F4798" s="11" t="str">
        <f t="shared" si="378"/>
        <v/>
      </c>
      <c r="G4798" s="10" t="str">
        <v/>
      </c>
      <c r="H4798" s="11" t="str">
        <v/>
      </c>
      <c r="I4798" s="11" t="str">
        <v/>
      </c>
    </row>
    <row r="4799" spans="2:9">
      <c r="B4799" s="11" t="str">
        <f t="shared" si="376"/>
        <v/>
      </c>
      <c r="C4799" s="11" t="str">
        <f t="shared" si="379"/>
        <v/>
      </c>
      <c r="D4799" s="11" t="str">
        <f t="shared" si="380"/>
        <v/>
      </c>
      <c r="E4799" s="11" t="str">
        <f t="shared" si="377"/>
        <v/>
      </c>
      <c r="F4799" s="11" t="str">
        <f t="shared" si="378"/>
        <v/>
      </c>
      <c r="G4799" s="10" t="str">
        <v/>
      </c>
      <c r="H4799" s="11" t="str">
        <v/>
      </c>
      <c r="I4799" s="11" t="str">
        <v/>
      </c>
    </row>
    <row r="4800" spans="2:9">
      <c r="B4800" s="11" t="str">
        <f t="shared" si="376"/>
        <v/>
      </c>
      <c r="C4800" s="11" t="str">
        <f t="shared" si="379"/>
        <v/>
      </c>
      <c r="D4800" s="11" t="str">
        <f t="shared" si="380"/>
        <v/>
      </c>
      <c r="E4800" s="11" t="str">
        <f t="shared" si="377"/>
        <v/>
      </c>
      <c r="F4800" s="11" t="str">
        <f t="shared" si="378"/>
        <v/>
      </c>
      <c r="G4800" s="10" t="str">
        <v/>
      </c>
      <c r="H4800" s="11" t="str">
        <v/>
      </c>
      <c r="I4800" s="11" t="str">
        <v/>
      </c>
    </row>
    <row r="4801" spans="2:9">
      <c r="B4801" s="11" t="str">
        <f t="shared" ref="B4801:B4864" si="381">IFERROR(IF(FIND(" ",A4801)=6,IF(IFERROR(FIND(" PB",A4801),"")&lt;&gt;"","артикул",IF(IFERROR(FIND(" CRN",A4801),"")&lt;&gt;"","артикул","")),""),"")</f>
        <v/>
      </c>
      <c r="C4801" s="11" t="str">
        <f t="shared" si="379"/>
        <v/>
      </c>
      <c r="D4801" s="11" t="str">
        <f t="shared" si="380"/>
        <v/>
      </c>
      <c r="E4801" s="11" t="str">
        <f t="shared" si="377"/>
        <v/>
      </c>
      <c r="F4801" s="11" t="str">
        <f t="shared" si="378"/>
        <v/>
      </c>
      <c r="G4801" s="10" t="str">
        <v/>
      </c>
      <c r="H4801" s="11" t="str">
        <v/>
      </c>
      <c r="I4801" s="11" t="str">
        <v/>
      </c>
    </row>
    <row r="4802" spans="2:9">
      <c r="B4802" s="11" t="str">
        <f t="shared" si="381"/>
        <v/>
      </c>
      <c r="C4802" s="11" t="str">
        <f t="shared" si="379"/>
        <v/>
      </c>
      <c r="D4802" s="11" t="str">
        <f t="shared" si="380"/>
        <v/>
      </c>
      <c r="E4802" s="11" t="str">
        <f t="shared" ref="E4802:E4865" si="382" xml:space="preserve">
IF(B4802="Артикул",
IF(
AND(RIGHT(A4803,1)="%",
RIGHT(A4804,1)="%",
RIGHT(A4805,1)="%",
RIGHT(A4806,1)="%"),MID(A4807,FIND(" ",A4807),50),
IF(
AND(RIGHT(A4803,1)="%",
RIGHT(A4804,1)="%",
RIGHT(A4805,1)="%"),MID(A4806,FIND(" ",A4806),50),
IF(
AND(RIGHT(A4803,1)="%",
RIGHT(A4804,1)="%"),
MID(A4805,FIND(" ",A4805),50),
IF(
RIGHT(A4803,1)="%",
MID(A4804,FIND(" ",A4804),50),"")))),"")</f>
        <v/>
      </c>
      <c r="F4802" s="11" t="str">
        <f t="shared" ref="F4802:F4865" si="383">IFERROR(
IF(
AND(LEFT(A4802,8)="Discount",FIND("%",A4802)&gt;0),
MID(A4802,
FIND(" ",A4802),
FIND("%",A4802)-FIND(" ",A4802))
*-1,""),"")</f>
        <v/>
      </c>
      <c r="G4802" s="10" t="str">
        <v/>
      </c>
      <c r="H4802" s="11" t="str">
        <v/>
      </c>
      <c r="I4802" s="11" t="str">
        <v/>
      </c>
    </row>
    <row r="4803" spans="2:9">
      <c r="B4803" s="11" t="str">
        <f t="shared" si="381"/>
        <v/>
      </c>
      <c r="C4803" s="11" t="str">
        <f t="shared" si="379"/>
        <v/>
      </c>
      <c r="D4803" s="11" t="str">
        <f t="shared" si="380"/>
        <v/>
      </c>
      <c r="E4803" s="11" t="str">
        <f t="shared" si="382"/>
        <v/>
      </c>
      <c r="F4803" s="11" t="str">
        <f t="shared" si="383"/>
        <v/>
      </c>
      <c r="G4803" s="10" t="str">
        <v/>
      </c>
      <c r="H4803" s="11" t="str">
        <v/>
      </c>
      <c r="I4803" s="11" t="str">
        <v/>
      </c>
    </row>
    <row r="4804" spans="2:9">
      <c r="B4804" s="11" t="str">
        <f t="shared" si="381"/>
        <v/>
      </c>
      <c r="C4804" s="11" t="str">
        <f t="shared" si="379"/>
        <v/>
      </c>
      <c r="D4804" s="11" t="str">
        <f t="shared" si="380"/>
        <v/>
      </c>
      <c r="E4804" s="11" t="str">
        <f t="shared" si="382"/>
        <v/>
      </c>
      <c r="F4804" s="11" t="str">
        <f t="shared" si="383"/>
        <v/>
      </c>
      <c r="G4804" s="10" t="str">
        <v/>
      </c>
      <c r="H4804" s="11" t="str">
        <v/>
      </c>
      <c r="I4804" s="11" t="str">
        <v/>
      </c>
    </row>
    <row r="4805" spans="2:9">
      <c r="B4805" s="11" t="str">
        <f t="shared" si="381"/>
        <v/>
      </c>
      <c r="C4805" s="11" t="str">
        <f t="shared" si="379"/>
        <v/>
      </c>
      <c r="D4805" s="11" t="str">
        <f t="shared" si="380"/>
        <v/>
      </c>
      <c r="E4805" s="11" t="str">
        <f t="shared" si="382"/>
        <v/>
      </c>
      <c r="F4805" s="11" t="str">
        <f t="shared" si="383"/>
        <v/>
      </c>
      <c r="G4805" s="10" t="str">
        <v/>
      </c>
      <c r="H4805" s="11" t="str">
        <v/>
      </c>
      <c r="I4805" s="11" t="str">
        <v/>
      </c>
    </row>
    <row r="4806" spans="2:9">
      <c r="B4806" s="11" t="str">
        <f t="shared" si="381"/>
        <v/>
      </c>
      <c r="C4806" s="11" t="str">
        <f t="shared" si="379"/>
        <v/>
      </c>
      <c r="D4806" s="11" t="str">
        <f t="shared" si="380"/>
        <v/>
      </c>
      <c r="E4806" s="11" t="str">
        <f t="shared" si="382"/>
        <v/>
      </c>
      <c r="F4806" s="11" t="str">
        <f t="shared" si="383"/>
        <v/>
      </c>
      <c r="G4806" s="10" t="str">
        <v/>
      </c>
      <c r="H4806" s="11" t="str">
        <v/>
      </c>
      <c r="I4806" s="11" t="str">
        <v/>
      </c>
    </row>
    <row r="4807" spans="2:9">
      <c r="B4807" s="11" t="str">
        <f t="shared" si="381"/>
        <v/>
      </c>
      <c r="C4807" s="11" t="str">
        <f t="shared" si="379"/>
        <v/>
      </c>
      <c r="D4807" s="11" t="str">
        <f t="shared" si="380"/>
        <v/>
      </c>
      <c r="E4807" s="11" t="str">
        <f t="shared" si="382"/>
        <v/>
      </c>
      <c r="F4807" s="11" t="str">
        <f t="shared" si="383"/>
        <v/>
      </c>
      <c r="G4807" s="10" t="str">
        <v/>
      </c>
      <c r="H4807" s="11" t="str">
        <v/>
      </c>
      <c r="I4807" s="11" t="str">
        <v/>
      </c>
    </row>
    <row r="4808" spans="2:9">
      <c r="B4808" s="11" t="str">
        <f t="shared" si="381"/>
        <v/>
      </c>
      <c r="C4808" s="11" t="str">
        <f t="shared" si="379"/>
        <v/>
      </c>
      <c r="D4808" s="11" t="str">
        <f t="shared" si="380"/>
        <v/>
      </c>
      <c r="E4808" s="11" t="str">
        <f t="shared" si="382"/>
        <v/>
      </c>
      <c r="F4808" s="11" t="str">
        <f t="shared" si="383"/>
        <v/>
      </c>
      <c r="G4808" s="10" t="str">
        <v/>
      </c>
      <c r="H4808" s="11" t="str">
        <v/>
      </c>
      <c r="I4808" s="11" t="str">
        <v/>
      </c>
    </row>
    <row r="4809" spans="2:9">
      <c r="B4809" s="11" t="str">
        <f t="shared" si="381"/>
        <v/>
      </c>
      <c r="C4809" s="11" t="str">
        <f t="shared" si="379"/>
        <v/>
      </c>
      <c r="D4809" s="11" t="str">
        <f t="shared" si="380"/>
        <v/>
      </c>
      <c r="E4809" s="11" t="str">
        <f t="shared" si="382"/>
        <v/>
      </c>
      <c r="F4809" s="11" t="str">
        <f t="shared" si="383"/>
        <v/>
      </c>
      <c r="G4809" s="10" t="str">
        <v/>
      </c>
      <c r="H4809" s="11" t="str">
        <v/>
      </c>
      <c r="I4809" s="11" t="str">
        <v/>
      </c>
    </row>
    <row r="4810" spans="2:9">
      <c r="B4810" s="11" t="str">
        <f t="shared" si="381"/>
        <v/>
      </c>
      <c r="C4810" s="11" t="str">
        <f t="shared" si="379"/>
        <v/>
      </c>
      <c r="D4810" s="11" t="str">
        <f t="shared" si="380"/>
        <v/>
      </c>
      <c r="E4810" s="11" t="str">
        <f t="shared" si="382"/>
        <v/>
      </c>
      <c r="F4810" s="11" t="str">
        <f t="shared" si="383"/>
        <v/>
      </c>
      <c r="G4810" s="10" t="str">
        <v/>
      </c>
      <c r="H4810" s="11" t="str">
        <v/>
      </c>
      <c r="I4810" s="11" t="str">
        <v/>
      </c>
    </row>
    <row r="4811" spans="2:9">
      <c r="B4811" s="11" t="str">
        <f t="shared" si="381"/>
        <v/>
      </c>
      <c r="C4811" s="11" t="str">
        <f t="shared" si="379"/>
        <v/>
      </c>
      <c r="D4811" s="11" t="str">
        <f t="shared" si="380"/>
        <v/>
      </c>
      <c r="E4811" s="11" t="str">
        <f t="shared" si="382"/>
        <v/>
      </c>
      <c r="F4811" s="11" t="str">
        <f t="shared" si="383"/>
        <v/>
      </c>
      <c r="G4811" s="10" t="str">
        <v/>
      </c>
      <c r="H4811" s="11" t="str">
        <v/>
      </c>
      <c r="I4811" s="11" t="str">
        <v/>
      </c>
    </row>
    <row r="4812" spans="2:9">
      <c r="B4812" s="11" t="str">
        <f t="shared" si="381"/>
        <v/>
      </c>
      <c r="C4812" s="11" t="str">
        <f t="shared" si="379"/>
        <v/>
      </c>
      <c r="D4812" s="11" t="str">
        <f t="shared" si="380"/>
        <v/>
      </c>
      <c r="E4812" s="11" t="str">
        <f t="shared" si="382"/>
        <v/>
      </c>
      <c r="F4812" s="11" t="str">
        <f t="shared" si="383"/>
        <v/>
      </c>
      <c r="G4812" s="10" t="str">
        <v/>
      </c>
      <c r="H4812" s="11" t="str">
        <v/>
      </c>
      <c r="I4812" s="11" t="str">
        <v/>
      </c>
    </row>
    <row r="4813" spans="2:9">
      <c r="B4813" s="11" t="str">
        <f t="shared" si="381"/>
        <v/>
      </c>
      <c r="C4813" s="11" t="str">
        <f t="shared" ref="C4813:C4876" si="384">IF(B4813="артикул",A4813,"")</f>
        <v/>
      </c>
      <c r="D4813" s="11" t="str">
        <f t="shared" ref="D4813:D4876" si="385">IF(B4813="артикул",A4814,"")</f>
        <v/>
      </c>
      <c r="E4813" s="11" t="str">
        <f t="shared" si="382"/>
        <v/>
      </c>
      <c r="F4813" s="11" t="str">
        <f t="shared" si="383"/>
        <v/>
      </c>
      <c r="G4813" s="10" t="str">
        <v/>
      </c>
      <c r="H4813" s="11" t="str">
        <v/>
      </c>
      <c r="I4813" s="11" t="str">
        <v/>
      </c>
    </row>
    <row r="4814" spans="2:9">
      <c r="B4814" s="11" t="str">
        <f t="shared" si="381"/>
        <v/>
      </c>
      <c r="C4814" s="11" t="str">
        <f t="shared" si="384"/>
        <v/>
      </c>
      <c r="D4814" s="11" t="str">
        <f t="shared" si="385"/>
        <v/>
      </c>
      <c r="E4814" s="11" t="str">
        <f t="shared" si="382"/>
        <v/>
      </c>
      <c r="F4814" s="11" t="str">
        <f t="shared" si="383"/>
        <v/>
      </c>
      <c r="G4814" s="10" t="str">
        <v/>
      </c>
      <c r="H4814" s="11" t="str">
        <v/>
      </c>
      <c r="I4814" s="11" t="str">
        <v/>
      </c>
    </row>
    <row r="4815" spans="2:9">
      <c r="B4815" s="11" t="str">
        <f t="shared" si="381"/>
        <v/>
      </c>
      <c r="C4815" s="11" t="str">
        <f t="shared" si="384"/>
        <v/>
      </c>
      <c r="D4815" s="11" t="str">
        <f t="shared" si="385"/>
        <v/>
      </c>
      <c r="E4815" s="11" t="str">
        <f t="shared" si="382"/>
        <v/>
      </c>
      <c r="F4815" s="11" t="str">
        <f t="shared" si="383"/>
        <v/>
      </c>
      <c r="G4815" s="10" t="str">
        <v/>
      </c>
      <c r="H4815" s="11" t="str">
        <v/>
      </c>
      <c r="I4815" s="11" t="str">
        <v/>
      </c>
    </row>
    <row r="4816" spans="2:9">
      <c r="B4816" s="11" t="str">
        <f t="shared" si="381"/>
        <v/>
      </c>
      <c r="C4816" s="11" t="str">
        <f t="shared" si="384"/>
        <v/>
      </c>
      <c r="D4816" s="11" t="str">
        <f t="shared" si="385"/>
        <v/>
      </c>
      <c r="E4816" s="11" t="str">
        <f t="shared" si="382"/>
        <v/>
      </c>
      <c r="F4816" s="11" t="str">
        <f t="shared" si="383"/>
        <v/>
      </c>
      <c r="G4816" s="10" t="str">
        <v/>
      </c>
      <c r="H4816" s="11" t="str">
        <v/>
      </c>
      <c r="I4816" s="11" t="str">
        <v/>
      </c>
    </row>
    <row r="4817" spans="2:9">
      <c r="B4817" s="11" t="str">
        <f t="shared" si="381"/>
        <v/>
      </c>
      <c r="C4817" s="11" t="str">
        <f t="shared" si="384"/>
        <v/>
      </c>
      <c r="D4817" s="11" t="str">
        <f t="shared" si="385"/>
        <v/>
      </c>
      <c r="E4817" s="11" t="str">
        <f t="shared" si="382"/>
        <v/>
      </c>
      <c r="F4817" s="11" t="str">
        <f t="shared" si="383"/>
        <v/>
      </c>
      <c r="G4817" s="10" t="str">
        <v/>
      </c>
      <c r="H4817" s="11" t="str">
        <v/>
      </c>
      <c r="I4817" s="11" t="str">
        <v/>
      </c>
    </row>
    <row r="4818" spans="2:9">
      <c r="B4818" s="11" t="str">
        <f t="shared" si="381"/>
        <v/>
      </c>
      <c r="C4818" s="11" t="str">
        <f t="shared" si="384"/>
        <v/>
      </c>
      <c r="D4818" s="11" t="str">
        <f t="shared" si="385"/>
        <v/>
      </c>
      <c r="E4818" s="11" t="str">
        <f t="shared" si="382"/>
        <v/>
      </c>
      <c r="F4818" s="11" t="str">
        <f t="shared" si="383"/>
        <v/>
      </c>
      <c r="G4818" s="10" t="str">
        <v/>
      </c>
      <c r="H4818" s="11" t="str">
        <v/>
      </c>
      <c r="I4818" s="11" t="str">
        <v/>
      </c>
    </row>
    <row r="4819" spans="2:9">
      <c r="B4819" s="11" t="str">
        <f t="shared" si="381"/>
        <v/>
      </c>
      <c r="C4819" s="11" t="str">
        <f t="shared" si="384"/>
        <v/>
      </c>
      <c r="D4819" s="11" t="str">
        <f t="shared" si="385"/>
        <v/>
      </c>
      <c r="E4819" s="11" t="str">
        <f t="shared" si="382"/>
        <v/>
      </c>
      <c r="F4819" s="11" t="str">
        <f t="shared" si="383"/>
        <v/>
      </c>
      <c r="G4819" s="10" t="str">
        <v/>
      </c>
      <c r="H4819" s="11" t="str">
        <v/>
      </c>
      <c r="I4819" s="11" t="str">
        <v/>
      </c>
    </row>
    <row r="4820" spans="2:9">
      <c r="B4820" s="11" t="str">
        <f t="shared" si="381"/>
        <v/>
      </c>
      <c r="C4820" s="11" t="str">
        <f t="shared" si="384"/>
        <v/>
      </c>
      <c r="D4820" s="11" t="str">
        <f t="shared" si="385"/>
        <v/>
      </c>
      <c r="E4820" s="11" t="str">
        <f t="shared" si="382"/>
        <v/>
      </c>
      <c r="F4820" s="11" t="str">
        <f t="shared" si="383"/>
        <v/>
      </c>
      <c r="G4820" s="10" t="str">
        <v/>
      </c>
      <c r="H4820" s="11" t="str">
        <v/>
      </c>
      <c r="I4820" s="11" t="str">
        <v/>
      </c>
    </row>
    <row r="4821" spans="2:9">
      <c r="B4821" s="11" t="str">
        <f t="shared" si="381"/>
        <v/>
      </c>
      <c r="C4821" s="11" t="str">
        <f t="shared" si="384"/>
        <v/>
      </c>
      <c r="D4821" s="11" t="str">
        <f t="shared" si="385"/>
        <v/>
      </c>
      <c r="E4821" s="11" t="str">
        <f t="shared" si="382"/>
        <v/>
      </c>
      <c r="F4821" s="11" t="str">
        <f t="shared" si="383"/>
        <v/>
      </c>
      <c r="G4821" s="10" t="str">
        <v/>
      </c>
      <c r="H4821" s="11" t="str">
        <v/>
      </c>
      <c r="I4821" s="11" t="str">
        <v/>
      </c>
    </row>
    <row r="4822" spans="2:9">
      <c r="B4822" s="11" t="str">
        <f t="shared" si="381"/>
        <v/>
      </c>
      <c r="C4822" s="11" t="str">
        <f t="shared" si="384"/>
        <v/>
      </c>
      <c r="D4822" s="11" t="str">
        <f t="shared" si="385"/>
        <v/>
      </c>
      <c r="E4822" s="11" t="str">
        <f t="shared" si="382"/>
        <v/>
      </c>
      <c r="F4822" s="11" t="str">
        <f t="shared" si="383"/>
        <v/>
      </c>
      <c r="G4822" s="10" t="str">
        <v/>
      </c>
      <c r="H4822" s="11" t="str">
        <v/>
      </c>
      <c r="I4822" s="11" t="str">
        <v/>
      </c>
    </row>
    <row r="4823" spans="2:9">
      <c r="B4823" s="11" t="str">
        <f t="shared" si="381"/>
        <v/>
      </c>
      <c r="C4823" s="11" t="str">
        <f t="shared" si="384"/>
        <v/>
      </c>
      <c r="D4823" s="11" t="str">
        <f t="shared" si="385"/>
        <v/>
      </c>
      <c r="E4823" s="11" t="str">
        <f t="shared" si="382"/>
        <v/>
      </c>
      <c r="F4823" s="11" t="str">
        <f t="shared" si="383"/>
        <v/>
      </c>
      <c r="G4823" s="10" t="str">
        <v/>
      </c>
      <c r="H4823" s="11" t="str">
        <v/>
      </c>
      <c r="I4823" s="11" t="str">
        <v/>
      </c>
    </row>
    <row r="4824" spans="2:9">
      <c r="B4824" s="11" t="str">
        <f t="shared" si="381"/>
        <v/>
      </c>
      <c r="C4824" s="11" t="str">
        <f t="shared" si="384"/>
        <v/>
      </c>
      <c r="D4824" s="11" t="str">
        <f t="shared" si="385"/>
        <v/>
      </c>
      <c r="E4824" s="11" t="str">
        <f t="shared" si="382"/>
        <v/>
      </c>
      <c r="F4824" s="11" t="str">
        <f t="shared" si="383"/>
        <v/>
      </c>
      <c r="G4824" s="10" t="str">
        <v/>
      </c>
      <c r="H4824" s="11" t="str">
        <v/>
      </c>
      <c r="I4824" s="11" t="str">
        <v/>
      </c>
    </row>
    <row r="4825" spans="2:9">
      <c r="B4825" s="11" t="str">
        <f t="shared" si="381"/>
        <v/>
      </c>
      <c r="C4825" s="11" t="str">
        <f t="shared" si="384"/>
        <v/>
      </c>
      <c r="D4825" s="11" t="str">
        <f t="shared" si="385"/>
        <v/>
      </c>
      <c r="E4825" s="11" t="str">
        <f t="shared" si="382"/>
        <v/>
      </c>
      <c r="F4825" s="11" t="str">
        <f t="shared" si="383"/>
        <v/>
      </c>
      <c r="G4825" s="10" t="str">
        <v/>
      </c>
      <c r="H4825" s="11" t="str">
        <v/>
      </c>
      <c r="I4825" s="11" t="str">
        <v/>
      </c>
    </row>
    <row r="4826" spans="2:9">
      <c r="B4826" s="11" t="str">
        <f t="shared" si="381"/>
        <v/>
      </c>
      <c r="C4826" s="11" t="str">
        <f t="shared" si="384"/>
        <v/>
      </c>
      <c r="D4826" s="11" t="str">
        <f t="shared" si="385"/>
        <v/>
      </c>
      <c r="E4826" s="11" t="str">
        <f t="shared" si="382"/>
        <v/>
      </c>
      <c r="F4826" s="11" t="str">
        <f t="shared" si="383"/>
        <v/>
      </c>
      <c r="G4826" s="10" t="str">
        <v/>
      </c>
      <c r="H4826" s="11" t="str">
        <v/>
      </c>
      <c r="I4826" s="11" t="str">
        <v/>
      </c>
    </row>
    <row r="4827" spans="2:9">
      <c r="B4827" s="11" t="str">
        <f t="shared" si="381"/>
        <v/>
      </c>
      <c r="C4827" s="11" t="str">
        <f t="shared" si="384"/>
        <v/>
      </c>
      <c r="D4827" s="11" t="str">
        <f t="shared" si="385"/>
        <v/>
      </c>
      <c r="E4827" s="11" t="str">
        <f t="shared" si="382"/>
        <v/>
      </c>
      <c r="F4827" s="11" t="str">
        <f t="shared" si="383"/>
        <v/>
      </c>
      <c r="G4827" s="10" t="str">
        <v/>
      </c>
      <c r="H4827" s="11" t="str">
        <v/>
      </c>
      <c r="I4827" s="11" t="str">
        <v/>
      </c>
    </row>
    <row r="4828" spans="2:9">
      <c r="B4828" s="11" t="str">
        <f t="shared" si="381"/>
        <v/>
      </c>
      <c r="C4828" s="11" t="str">
        <f t="shared" si="384"/>
        <v/>
      </c>
      <c r="D4828" s="11" t="str">
        <f t="shared" si="385"/>
        <v/>
      </c>
      <c r="E4828" s="11" t="str">
        <f t="shared" si="382"/>
        <v/>
      </c>
      <c r="F4828" s="11" t="str">
        <f t="shared" si="383"/>
        <v/>
      </c>
      <c r="G4828" s="10" t="str">
        <v/>
      </c>
      <c r="H4828" s="11" t="str">
        <v/>
      </c>
      <c r="I4828" s="11" t="str">
        <v/>
      </c>
    </row>
    <row r="4829" spans="2:9">
      <c r="B4829" s="11" t="str">
        <f t="shared" si="381"/>
        <v/>
      </c>
      <c r="C4829" s="11" t="str">
        <f t="shared" si="384"/>
        <v/>
      </c>
      <c r="D4829" s="11" t="str">
        <f t="shared" si="385"/>
        <v/>
      </c>
      <c r="E4829" s="11" t="str">
        <f t="shared" si="382"/>
        <v/>
      </c>
      <c r="F4829" s="11" t="str">
        <f t="shared" si="383"/>
        <v/>
      </c>
      <c r="G4829" s="10" t="str">
        <v/>
      </c>
      <c r="H4829" s="11" t="str">
        <v/>
      </c>
      <c r="I4829" s="11" t="str">
        <v/>
      </c>
    </row>
    <row r="4830" spans="2:9">
      <c r="B4830" s="11" t="str">
        <f t="shared" si="381"/>
        <v/>
      </c>
      <c r="C4830" s="11" t="str">
        <f t="shared" si="384"/>
        <v/>
      </c>
      <c r="D4830" s="11" t="str">
        <f t="shared" si="385"/>
        <v/>
      </c>
      <c r="E4830" s="11" t="str">
        <f t="shared" si="382"/>
        <v/>
      </c>
      <c r="F4830" s="11" t="str">
        <f t="shared" si="383"/>
        <v/>
      </c>
      <c r="G4830" s="10" t="str">
        <v/>
      </c>
      <c r="H4830" s="11" t="str">
        <v/>
      </c>
      <c r="I4830" s="11" t="str">
        <v/>
      </c>
    </row>
    <row r="4831" spans="2:9">
      <c r="B4831" s="11" t="str">
        <f t="shared" si="381"/>
        <v/>
      </c>
      <c r="C4831" s="11" t="str">
        <f t="shared" si="384"/>
        <v/>
      </c>
      <c r="D4831" s="11" t="str">
        <f t="shared" si="385"/>
        <v/>
      </c>
      <c r="E4831" s="11" t="str">
        <f t="shared" si="382"/>
        <v/>
      </c>
      <c r="F4831" s="11" t="str">
        <f t="shared" si="383"/>
        <v/>
      </c>
      <c r="G4831" s="10" t="str">
        <v/>
      </c>
      <c r="H4831" s="11" t="str">
        <v/>
      </c>
      <c r="I4831" s="11" t="str">
        <v/>
      </c>
    </row>
    <row r="4832" spans="2:9">
      <c r="B4832" s="11" t="str">
        <f t="shared" si="381"/>
        <v/>
      </c>
      <c r="C4832" s="11" t="str">
        <f t="shared" si="384"/>
        <v/>
      </c>
      <c r="D4832" s="11" t="str">
        <f t="shared" si="385"/>
        <v/>
      </c>
      <c r="E4832" s="11" t="str">
        <f t="shared" si="382"/>
        <v/>
      </c>
      <c r="F4832" s="11" t="str">
        <f t="shared" si="383"/>
        <v/>
      </c>
      <c r="G4832" s="10" t="str">
        <v/>
      </c>
      <c r="H4832" s="11" t="str">
        <v/>
      </c>
      <c r="I4832" s="11" t="str">
        <v/>
      </c>
    </row>
    <row r="4833" spans="2:9">
      <c r="B4833" s="11" t="str">
        <f t="shared" si="381"/>
        <v/>
      </c>
      <c r="C4833" s="11" t="str">
        <f t="shared" si="384"/>
        <v/>
      </c>
      <c r="D4833" s="11" t="str">
        <f t="shared" si="385"/>
        <v/>
      </c>
      <c r="E4833" s="11" t="str">
        <f t="shared" si="382"/>
        <v/>
      </c>
      <c r="F4833" s="11" t="str">
        <f t="shared" si="383"/>
        <v/>
      </c>
      <c r="G4833" s="10" t="str">
        <v/>
      </c>
      <c r="H4833" s="11" t="str">
        <v/>
      </c>
      <c r="I4833" s="11" t="str">
        <v/>
      </c>
    </row>
    <row r="4834" spans="2:9">
      <c r="B4834" s="11" t="str">
        <f t="shared" si="381"/>
        <v/>
      </c>
      <c r="C4834" s="11" t="str">
        <f t="shared" si="384"/>
        <v/>
      </c>
      <c r="D4834" s="11" t="str">
        <f t="shared" si="385"/>
        <v/>
      </c>
      <c r="E4834" s="11" t="str">
        <f t="shared" si="382"/>
        <v/>
      </c>
      <c r="F4834" s="11" t="str">
        <f t="shared" si="383"/>
        <v/>
      </c>
      <c r="G4834" s="10" t="str">
        <v/>
      </c>
      <c r="H4834" s="11" t="str">
        <v/>
      </c>
      <c r="I4834" s="11" t="str">
        <v/>
      </c>
    </row>
    <row r="4835" spans="2:9">
      <c r="B4835" s="11" t="str">
        <f t="shared" si="381"/>
        <v/>
      </c>
      <c r="C4835" s="11" t="str">
        <f t="shared" si="384"/>
        <v/>
      </c>
      <c r="D4835" s="11" t="str">
        <f t="shared" si="385"/>
        <v/>
      </c>
      <c r="E4835" s="11" t="str">
        <f t="shared" si="382"/>
        <v/>
      </c>
      <c r="F4835" s="11" t="str">
        <f t="shared" si="383"/>
        <v/>
      </c>
      <c r="G4835" s="10" t="str">
        <v/>
      </c>
      <c r="H4835" s="11" t="str">
        <v/>
      </c>
      <c r="I4835" s="11" t="str">
        <v/>
      </c>
    </row>
    <row r="4836" spans="2:9">
      <c r="B4836" s="11" t="str">
        <f t="shared" si="381"/>
        <v/>
      </c>
      <c r="C4836" s="11" t="str">
        <f t="shared" si="384"/>
        <v/>
      </c>
      <c r="D4836" s="11" t="str">
        <f t="shared" si="385"/>
        <v/>
      </c>
      <c r="E4836" s="11" t="str">
        <f t="shared" si="382"/>
        <v/>
      </c>
      <c r="F4836" s="11" t="str">
        <f t="shared" si="383"/>
        <v/>
      </c>
      <c r="G4836" s="10" t="str">
        <v/>
      </c>
      <c r="H4836" s="11" t="str">
        <v/>
      </c>
      <c r="I4836" s="11" t="str">
        <v/>
      </c>
    </row>
    <row r="4837" spans="2:9">
      <c r="B4837" s="11" t="str">
        <f t="shared" si="381"/>
        <v/>
      </c>
      <c r="C4837" s="11" t="str">
        <f t="shared" si="384"/>
        <v/>
      </c>
      <c r="D4837" s="11" t="str">
        <f t="shared" si="385"/>
        <v/>
      </c>
      <c r="E4837" s="11" t="str">
        <f t="shared" si="382"/>
        <v/>
      </c>
      <c r="F4837" s="11" t="str">
        <f t="shared" si="383"/>
        <v/>
      </c>
      <c r="G4837" s="10" t="str">
        <v/>
      </c>
      <c r="H4837" s="11" t="str">
        <v/>
      </c>
      <c r="I4837" s="11" t="str">
        <v/>
      </c>
    </row>
    <row r="4838" spans="2:9">
      <c r="B4838" s="11" t="str">
        <f t="shared" si="381"/>
        <v/>
      </c>
      <c r="C4838" s="11" t="str">
        <f t="shared" si="384"/>
        <v/>
      </c>
      <c r="D4838" s="11" t="str">
        <f t="shared" si="385"/>
        <v/>
      </c>
      <c r="E4838" s="11" t="str">
        <f t="shared" si="382"/>
        <v/>
      </c>
      <c r="F4838" s="11" t="str">
        <f t="shared" si="383"/>
        <v/>
      </c>
      <c r="G4838" s="10" t="str">
        <v/>
      </c>
      <c r="H4838" s="11" t="str">
        <v/>
      </c>
      <c r="I4838" s="11" t="str">
        <v/>
      </c>
    </row>
    <row r="4839" spans="2:9">
      <c r="B4839" s="11" t="str">
        <f t="shared" si="381"/>
        <v/>
      </c>
      <c r="C4839" s="11" t="str">
        <f t="shared" si="384"/>
        <v/>
      </c>
      <c r="D4839" s="11" t="str">
        <f t="shared" si="385"/>
        <v/>
      </c>
      <c r="E4839" s="11" t="str">
        <f t="shared" si="382"/>
        <v/>
      </c>
      <c r="F4839" s="11" t="str">
        <f t="shared" si="383"/>
        <v/>
      </c>
      <c r="G4839" s="10" t="str">
        <v/>
      </c>
      <c r="H4839" s="11" t="str">
        <v/>
      </c>
      <c r="I4839" s="11" t="str">
        <v/>
      </c>
    </row>
    <row r="4840" spans="2:9">
      <c r="B4840" s="11" t="str">
        <f t="shared" si="381"/>
        <v/>
      </c>
      <c r="C4840" s="11" t="str">
        <f t="shared" si="384"/>
        <v/>
      </c>
      <c r="D4840" s="11" t="str">
        <f t="shared" si="385"/>
        <v/>
      </c>
      <c r="E4840" s="11" t="str">
        <f t="shared" si="382"/>
        <v/>
      </c>
      <c r="F4840" s="11" t="str">
        <f t="shared" si="383"/>
        <v/>
      </c>
      <c r="G4840" s="10" t="str">
        <v/>
      </c>
      <c r="H4840" s="11" t="str">
        <v/>
      </c>
      <c r="I4840" s="11" t="str">
        <v/>
      </c>
    </row>
    <row r="4841" spans="2:9">
      <c r="B4841" s="11" t="str">
        <f t="shared" si="381"/>
        <v/>
      </c>
      <c r="C4841" s="11" t="str">
        <f t="shared" si="384"/>
        <v/>
      </c>
      <c r="D4841" s="11" t="str">
        <f t="shared" si="385"/>
        <v/>
      </c>
      <c r="E4841" s="11" t="str">
        <f t="shared" si="382"/>
        <v/>
      </c>
      <c r="F4841" s="11" t="str">
        <f t="shared" si="383"/>
        <v/>
      </c>
      <c r="G4841" s="10" t="str">
        <v/>
      </c>
      <c r="H4841" s="11" t="str">
        <v/>
      </c>
      <c r="I4841" s="11" t="str">
        <v/>
      </c>
    </row>
    <row r="4842" spans="2:9">
      <c r="B4842" s="11" t="str">
        <f t="shared" si="381"/>
        <v/>
      </c>
      <c r="C4842" s="11" t="str">
        <f t="shared" si="384"/>
        <v/>
      </c>
      <c r="D4842" s="11" t="str">
        <f t="shared" si="385"/>
        <v/>
      </c>
      <c r="E4842" s="11" t="str">
        <f t="shared" si="382"/>
        <v/>
      </c>
      <c r="F4842" s="11" t="str">
        <f t="shared" si="383"/>
        <v/>
      </c>
      <c r="G4842" s="10" t="str">
        <v/>
      </c>
      <c r="H4842" s="11" t="str">
        <v/>
      </c>
      <c r="I4842" s="11" t="str">
        <v/>
      </c>
    </row>
    <row r="4843" spans="2:9">
      <c r="B4843" s="11" t="str">
        <f t="shared" si="381"/>
        <v/>
      </c>
      <c r="C4843" s="11" t="str">
        <f t="shared" si="384"/>
        <v/>
      </c>
      <c r="D4843" s="11" t="str">
        <f t="shared" si="385"/>
        <v/>
      </c>
      <c r="E4843" s="11" t="str">
        <f t="shared" si="382"/>
        <v/>
      </c>
      <c r="F4843" s="11" t="str">
        <f t="shared" si="383"/>
        <v/>
      </c>
      <c r="G4843" s="10" t="str">
        <v/>
      </c>
      <c r="H4843" s="11" t="str">
        <v/>
      </c>
      <c r="I4843" s="11" t="str">
        <v/>
      </c>
    </row>
    <row r="4844" spans="2:9">
      <c r="B4844" s="11" t="str">
        <f t="shared" si="381"/>
        <v/>
      </c>
      <c r="C4844" s="11" t="str">
        <f t="shared" si="384"/>
        <v/>
      </c>
      <c r="D4844" s="11" t="str">
        <f t="shared" si="385"/>
        <v/>
      </c>
      <c r="E4844" s="11" t="str">
        <f t="shared" si="382"/>
        <v/>
      </c>
      <c r="F4844" s="11" t="str">
        <f t="shared" si="383"/>
        <v/>
      </c>
      <c r="G4844" s="10" t="str">
        <v/>
      </c>
      <c r="H4844" s="11" t="str">
        <v/>
      </c>
      <c r="I4844" s="11" t="str">
        <v/>
      </c>
    </row>
    <row r="4845" spans="2:9">
      <c r="B4845" s="11" t="str">
        <f t="shared" si="381"/>
        <v/>
      </c>
      <c r="C4845" s="11" t="str">
        <f t="shared" si="384"/>
        <v/>
      </c>
      <c r="D4845" s="11" t="str">
        <f t="shared" si="385"/>
        <v/>
      </c>
      <c r="E4845" s="11" t="str">
        <f t="shared" si="382"/>
        <v/>
      </c>
      <c r="F4845" s="11" t="str">
        <f t="shared" si="383"/>
        <v/>
      </c>
      <c r="G4845" s="10" t="str">
        <v/>
      </c>
      <c r="H4845" s="11" t="str">
        <v/>
      </c>
      <c r="I4845" s="11" t="str">
        <v/>
      </c>
    </row>
    <row r="4846" spans="2:9">
      <c r="B4846" s="11" t="str">
        <f t="shared" si="381"/>
        <v/>
      </c>
      <c r="C4846" s="11" t="str">
        <f t="shared" si="384"/>
        <v/>
      </c>
      <c r="D4846" s="11" t="str">
        <f t="shared" si="385"/>
        <v/>
      </c>
      <c r="E4846" s="11" t="str">
        <f t="shared" si="382"/>
        <v/>
      </c>
      <c r="F4846" s="11" t="str">
        <f t="shared" si="383"/>
        <v/>
      </c>
      <c r="G4846" s="10" t="str">
        <v/>
      </c>
      <c r="H4846" s="11" t="str">
        <v/>
      </c>
      <c r="I4846" s="11" t="str">
        <v/>
      </c>
    </row>
    <row r="4847" spans="2:9">
      <c r="B4847" s="11" t="str">
        <f t="shared" si="381"/>
        <v/>
      </c>
      <c r="C4847" s="11" t="str">
        <f t="shared" si="384"/>
        <v/>
      </c>
      <c r="D4847" s="11" t="str">
        <f t="shared" si="385"/>
        <v/>
      </c>
      <c r="E4847" s="11" t="str">
        <f t="shared" si="382"/>
        <v/>
      </c>
      <c r="F4847" s="11" t="str">
        <f t="shared" si="383"/>
        <v/>
      </c>
      <c r="G4847" s="10" t="str">
        <v/>
      </c>
      <c r="H4847" s="11" t="str">
        <v/>
      </c>
      <c r="I4847" s="11" t="str">
        <v/>
      </c>
    </row>
    <row r="4848" spans="2:9">
      <c r="B4848" s="11" t="str">
        <f t="shared" si="381"/>
        <v/>
      </c>
      <c r="C4848" s="11" t="str">
        <f t="shared" si="384"/>
        <v/>
      </c>
      <c r="D4848" s="11" t="str">
        <f t="shared" si="385"/>
        <v/>
      </c>
      <c r="E4848" s="11" t="str">
        <f t="shared" si="382"/>
        <v/>
      </c>
      <c r="F4848" s="11" t="str">
        <f t="shared" si="383"/>
        <v/>
      </c>
      <c r="G4848" s="10" t="str">
        <v/>
      </c>
      <c r="H4848" s="11" t="str">
        <v/>
      </c>
      <c r="I4848" s="11" t="str">
        <v/>
      </c>
    </row>
    <row r="4849" spans="2:9">
      <c r="B4849" s="11" t="str">
        <f t="shared" si="381"/>
        <v/>
      </c>
      <c r="C4849" s="11" t="str">
        <f t="shared" si="384"/>
        <v/>
      </c>
      <c r="D4849" s="11" t="str">
        <f t="shared" si="385"/>
        <v/>
      </c>
      <c r="E4849" s="11" t="str">
        <f t="shared" si="382"/>
        <v/>
      </c>
      <c r="F4849" s="11" t="str">
        <f t="shared" si="383"/>
        <v/>
      </c>
      <c r="G4849" s="10" t="str">
        <v/>
      </c>
      <c r="H4849" s="11" t="str">
        <v/>
      </c>
      <c r="I4849" s="11" t="str">
        <v/>
      </c>
    </row>
    <row r="4850" spans="2:9">
      <c r="B4850" s="11" t="str">
        <f t="shared" si="381"/>
        <v/>
      </c>
      <c r="C4850" s="11" t="str">
        <f t="shared" si="384"/>
        <v/>
      </c>
      <c r="D4850" s="11" t="str">
        <f t="shared" si="385"/>
        <v/>
      </c>
      <c r="E4850" s="11" t="str">
        <f t="shared" si="382"/>
        <v/>
      </c>
      <c r="F4850" s="11" t="str">
        <f t="shared" si="383"/>
        <v/>
      </c>
      <c r="G4850" s="10" t="str">
        <v/>
      </c>
      <c r="H4850" s="11" t="str">
        <v/>
      </c>
      <c r="I4850" s="11" t="str">
        <v/>
      </c>
    </row>
    <row r="4851" spans="2:9">
      <c r="B4851" s="11" t="str">
        <f t="shared" si="381"/>
        <v/>
      </c>
      <c r="C4851" s="11" t="str">
        <f t="shared" si="384"/>
        <v/>
      </c>
      <c r="D4851" s="11" t="str">
        <f t="shared" si="385"/>
        <v/>
      </c>
      <c r="E4851" s="11" t="str">
        <f t="shared" si="382"/>
        <v/>
      </c>
      <c r="F4851" s="11" t="str">
        <f t="shared" si="383"/>
        <v/>
      </c>
      <c r="G4851" s="10" t="str">
        <v/>
      </c>
      <c r="H4851" s="11" t="str">
        <v/>
      </c>
      <c r="I4851" s="11" t="str">
        <v/>
      </c>
    </row>
    <row r="4852" spans="2:9">
      <c r="B4852" s="11" t="str">
        <f t="shared" si="381"/>
        <v/>
      </c>
      <c r="C4852" s="11" t="str">
        <f t="shared" si="384"/>
        <v/>
      </c>
      <c r="D4852" s="11" t="str">
        <f t="shared" si="385"/>
        <v/>
      </c>
      <c r="E4852" s="11" t="str">
        <f t="shared" si="382"/>
        <v/>
      </c>
      <c r="F4852" s="11" t="str">
        <f t="shared" si="383"/>
        <v/>
      </c>
      <c r="G4852" s="10" t="str">
        <v/>
      </c>
      <c r="H4852" s="11" t="str">
        <v/>
      </c>
      <c r="I4852" s="11" t="str">
        <v/>
      </c>
    </row>
    <row r="4853" spans="2:9">
      <c r="B4853" s="11" t="str">
        <f t="shared" si="381"/>
        <v/>
      </c>
      <c r="C4853" s="11" t="str">
        <f t="shared" si="384"/>
        <v/>
      </c>
      <c r="D4853" s="11" t="str">
        <f t="shared" si="385"/>
        <v/>
      </c>
      <c r="E4853" s="11" t="str">
        <f t="shared" si="382"/>
        <v/>
      </c>
      <c r="F4853" s="11" t="str">
        <f t="shared" si="383"/>
        <v/>
      </c>
      <c r="G4853" s="10" t="str">
        <v/>
      </c>
      <c r="H4853" s="11" t="str">
        <v/>
      </c>
      <c r="I4853" s="11" t="str">
        <v/>
      </c>
    </row>
    <row r="4854" spans="2:9">
      <c r="B4854" s="11" t="str">
        <f t="shared" si="381"/>
        <v/>
      </c>
      <c r="C4854" s="11" t="str">
        <f t="shared" si="384"/>
        <v/>
      </c>
      <c r="D4854" s="11" t="str">
        <f t="shared" si="385"/>
        <v/>
      </c>
      <c r="E4854" s="11" t="str">
        <f t="shared" si="382"/>
        <v/>
      </c>
      <c r="F4854" s="11" t="str">
        <f t="shared" si="383"/>
        <v/>
      </c>
      <c r="G4854" s="10" t="str">
        <v/>
      </c>
      <c r="H4854" s="11" t="str">
        <v/>
      </c>
      <c r="I4854" s="11" t="str">
        <v/>
      </c>
    </row>
    <row r="4855" spans="2:9">
      <c r="B4855" s="11" t="str">
        <f t="shared" si="381"/>
        <v/>
      </c>
      <c r="C4855" s="11" t="str">
        <f t="shared" si="384"/>
        <v/>
      </c>
      <c r="D4855" s="11" t="str">
        <f t="shared" si="385"/>
        <v/>
      </c>
      <c r="E4855" s="11" t="str">
        <f t="shared" si="382"/>
        <v/>
      </c>
      <c r="F4855" s="11" t="str">
        <f t="shared" si="383"/>
        <v/>
      </c>
      <c r="G4855" s="10" t="str">
        <v/>
      </c>
      <c r="H4855" s="11" t="str">
        <v/>
      </c>
      <c r="I4855" s="11" t="str">
        <v/>
      </c>
    </row>
    <row r="4856" spans="2:9">
      <c r="B4856" s="11" t="str">
        <f t="shared" si="381"/>
        <v/>
      </c>
      <c r="C4856" s="11" t="str">
        <f t="shared" si="384"/>
        <v/>
      </c>
      <c r="D4856" s="11" t="str">
        <f t="shared" si="385"/>
        <v/>
      </c>
      <c r="E4856" s="11" t="str">
        <f t="shared" si="382"/>
        <v/>
      </c>
      <c r="F4856" s="11" t="str">
        <f t="shared" si="383"/>
        <v/>
      </c>
      <c r="G4856" s="10" t="str">
        <v/>
      </c>
      <c r="H4856" s="11" t="str">
        <v/>
      </c>
      <c r="I4856" s="11" t="str">
        <v/>
      </c>
    </row>
    <row r="4857" spans="2:9">
      <c r="B4857" s="11" t="str">
        <f t="shared" si="381"/>
        <v/>
      </c>
      <c r="C4857" s="11" t="str">
        <f t="shared" si="384"/>
        <v/>
      </c>
      <c r="D4857" s="11" t="str">
        <f t="shared" si="385"/>
        <v/>
      </c>
      <c r="E4857" s="11" t="str">
        <f t="shared" si="382"/>
        <v/>
      </c>
      <c r="F4857" s="11" t="str">
        <f t="shared" si="383"/>
        <v/>
      </c>
      <c r="G4857" s="10" t="str">
        <v/>
      </c>
      <c r="H4857" s="11" t="str">
        <v/>
      </c>
      <c r="I4857" s="11" t="str">
        <v/>
      </c>
    </row>
    <row r="4858" spans="2:9">
      <c r="B4858" s="11" t="str">
        <f t="shared" si="381"/>
        <v/>
      </c>
      <c r="C4858" s="11" t="str">
        <f t="shared" si="384"/>
        <v/>
      </c>
      <c r="D4858" s="11" t="str">
        <f t="shared" si="385"/>
        <v/>
      </c>
      <c r="E4858" s="11" t="str">
        <f t="shared" si="382"/>
        <v/>
      </c>
      <c r="F4858" s="11" t="str">
        <f t="shared" si="383"/>
        <v/>
      </c>
      <c r="G4858" s="10" t="str">
        <v/>
      </c>
      <c r="H4858" s="11" t="str">
        <v/>
      </c>
      <c r="I4858" s="11" t="str">
        <v/>
      </c>
    </row>
    <row r="4859" spans="2:9">
      <c r="B4859" s="11" t="str">
        <f t="shared" si="381"/>
        <v/>
      </c>
      <c r="C4859" s="11" t="str">
        <f t="shared" si="384"/>
        <v/>
      </c>
      <c r="D4859" s="11" t="str">
        <f t="shared" si="385"/>
        <v/>
      </c>
      <c r="E4859" s="11" t="str">
        <f t="shared" si="382"/>
        <v/>
      </c>
      <c r="F4859" s="11" t="str">
        <f t="shared" si="383"/>
        <v/>
      </c>
      <c r="G4859" s="10" t="str">
        <v/>
      </c>
      <c r="H4859" s="11" t="str">
        <v/>
      </c>
      <c r="I4859" s="11" t="str">
        <v/>
      </c>
    </row>
    <row r="4860" spans="2:9">
      <c r="B4860" s="11" t="str">
        <f t="shared" si="381"/>
        <v/>
      </c>
      <c r="C4860" s="11" t="str">
        <f t="shared" si="384"/>
        <v/>
      </c>
      <c r="D4860" s="11" t="str">
        <f t="shared" si="385"/>
        <v/>
      </c>
      <c r="E4860" s="11" t="str">
        <f t="shared" si="382"/>
        <v/>
      </c>
      <c r="F4860" s="11" t="str">
        <f t="shared" si="383"/>
        <v/>
      </c>
      <c r="G4860" s="10" t="str">
        <v/>
      </c>
      <c r="H4860" s="11" t="str">
        <v/>
      </c>
      <c r="I4860" s="11" t="str">
        <v/>
      </c>
    </row>
    <row r="4861" spans="2:9">
      <c r="B4861" s="11" t="str">
        <f t="shared" si="381"/>
        <v/>
      </c>
      <c r="C4861" s="11" t="str">
        <f t="shared" si="384"/>
        <v/>
      </c>
      <c r="D4861" s="11" t="str">
        <f t="shared" si="385"/>
        <v/>
      </c>
      <c r="E4861" s="11" t="str">
        <f t="shared" si="382"/>
        <v/>
      </c>
      <c r="F4861" s="11" t="str">
        <f t="shared" si="383"/>
        <v/>
      </c>
      <c r="G4861" s="10" t="str">
        <v/>
      </c>
      <c r="H4861" s="11" t="str">
        <v/>
      </c>
      <c r="I4861" s="11" t="str">
        <v/>
      </c>
    </row>
    <row r="4862" spans="2:9">
      <c r="B4862" s="11" t="str">
        <f t="shared" si="381"/>
        <v/>
      </c>
      <c r="C4862" s="11" t="str">
        <f t="shared" si="384"/>
        <v/>
      </c>
      <c r="D4862" s="11" t="str">
        <f t="shared" si="385"/>
        <v/>
      </c>
      <c r="E4862" s="11" t="str">
        <f t="shared" si="382"/>
        <v/>
      </c>
      <c r="F4862" s="11" t="str">
        <f t="shared" si="383"/>
        <v/>
      </c>
      <c r="G4862" s="10" t="str">
        <v/>
      </c>
      <c r="H4862" s="11" t="str">
        <v/>
      </c>
      <c r="I4862" s="11" t="str">
        <v/>
      </c>
    </row>
    <row r="4863" spans="2:9">
      <c r="B4863" s="11" t="str">
        <f t="shared" si="381"/>
        <v/>
      </c>
      <c r="C4863" s="11" t="str">
        <f t="shared" si="384"/>
        <v/>
      </c>
      <c r="D4863" s="11" t="str">
        <f t="shared" si="385"/>
        <v/>
      </c>
      <c r="E4863" s="11" t="str">
        <f t="shared" si="382"/>
        <v/>
      </c>
      <c r="F4863" s="11" t="str">
        <f t="shared" si="383"/>
        <v/>
      </c>
      <c r="G4863" s="10" t="str">
        <v/>
      </c>
      <c r="H4863" s="11" t="str">
        <v/>
      </c>
      <c r="I4863" s="11" t="str">
        <v/>
      </c>
    </row>
    <row r="4864" spans="2:9">
      <c r="B4864" s="11" t="str">
        <f t="shared" si="381"/>
        <v/>
      </c>
      <c r="C4864" s="11" t="str">
        <f t="shared" si="384"/>
        <v/>
      </c>
      <c r="D4864" s="11" t="str">
        <f t="shared" si="385"/>
        <v/>
      </c>
      <c r="E4864" s="11" t="str">
        <f t="shared" si="382"/>
        <v/>
      </c>
      <c r="F4864" s="11" t="str">
        <f t="shared" si="383"/>
        <v/>
      </c>
      <c r="G4864" s="10" t="str">
        <v/>
      </c>
      <c r="H4864" s="11" t="str">
        <v/>
      </c>
      <c r="I4864" s="11" t="str">
        <v/>
      </c>
    </row>
    <row r="4865" spans="2:9">
      <c r="B4865" s="11" t="str">
        <f t="shared" ref="B4865:B4928" si="386">IFERROR(IF(FIND(" ",A4865)=6,IF(IFERROR(FIND(" PB",A4865),"")&lt;&gt;"","артикул",IF(IFERROR(FIND(" CRN",A4865),"")&lt;&gt;"","артикул","")),""),"")</f>
        <v/>
      </c>
      <c r="C4865" s="11" t="str">
        <f t="shared" si="384"/>
        <v/>
      </c>
      <c r="D4865" s="11" t="str">
        <f t="shared" si="385"/>
        <v/>
      </c>
      <c r="E4865" s="11" t="str">
        <f t="shared" si="382"/>
        <v/>
      </c>
      <c r="F4865" s="11" t="str">
        <f t="shared" si="383"/>
        <v/>
      </c>
      <c r="G4865" s="10" t="str">
        <v/>
      </c>
      <c r="H4865" s="11" t="str">
        <v/>
      </c>
      <c r="I4865" s="11" t="str">
        <v/>
      </c>
    </row>
    <row r="4866" spans="2:9">
      <c r="B4866" s="11" t="str">
        <f t="shared" si="386"/>
        <v/>
      </c>
      <c r="C4866" s="11" t="str">
        <f t="shared" si="384"/>
        <v/>
      </c>
      <c r="D4866" s="11" t="str">
        <f t="shared" si="385"/>
        <v/>
      </c>
      <c r="E4866" s="11" t="str">
        <f t="shared" ref="E4866:E4929" si="387" xml:space="preserve">
IF(B4866="Артикул",
IF(
AND(RIGHT(A4867,1)="%",
RIGHT(A4868,1)="%",
RIGHT(A4869,1)="%",
RIGHT(A4870,1)="%"),MID(A4871,FIND(" ",A4871),50),
IF(
AND(RIGHT(A4867,1)="%",
RIGHT(A4868,1)="%",
RIGHT(A4869,1)="%"),MID(A4870,FIND(" ",A4870),50),
IF(
AND(RIGHT(A4867,1)="%",
RIGHT(A4868,1)="%"),
MID(A4869,FIND(" ",A4869),50),
IF(
RIGHT(A4867,1)="%",
MID(A4868,FIND(" ",A4868),50),"")))),"")</f>
        <v/>
      </c>
      <c r="F4866" s="11" t="str">
        <f t="shared" ref="F4866:F4929" si="388">IFERROR(
IF(
AND(LEFT(A4866,8)="Discount",FIND("%",A4866)&gt;0),
MID(A4866,
FIND(" ",A4866),
FIND("%",A4866)-FIND(" ",A4866))
*-1,""),"")</f>
        <v/>
      </c>
      <c r="G4866" s="10" t="str">
        <v/>
      </c>
      <c r="H4866" s="11" t="str">
        <v/>
      </c>
      <c r="I4866" s="11" t="str">
        <v/>
      </c>
    </row>
    <row r="4867" spans="2:9">
      <c r="B4867" s="11" t="str">
        <f t="shared" si="386"/>
        <v/>
      </c>
      <c r="C4867" s="11" t="str">
        <f t="shared" si="384"/>
        <v/>
      </c>
      <c r="D4867" s="11" t="str">
        <f t="shared" si="385"/>
        <v/>
      </c>
      <c r="E4867" s="11" t="str">
        <f t="shared" si="387"/>
        <v/>
      </c>
      <c r="F4867" s="11" t="str">
        <f t="shared" si="388"/>
        <v/>
      </c>
      <c r="G4867" s="10" t="str">
        <v/>
      </c>
      <c r="H4867" s="11" t="str">
        <v/>
      </c>
      <c r="I4867" s="11" t="str">
        <v/>
      </c>
    </row>
    <row r="4868" spans="2:9">
      <c r="B4868" s="11" t="str">
        <f t="shared" si="386"/>
        <v/>
      </c>
      <c r="C4868" s="11" t="str">
        <f t="shared" si="384"/>
        <v/>
      </c>
      <c r="D4868" s="11" t="str">
        <f t="shared" si="385"/>
        <v/>
      </c>
      <c r="E4868" s="11" t="str">
        <f t="shared" si="387"/>
        <v/>
      </c>
      <c r="F4868" s="11" t="str">
        <f t="shared" si="388"/>
        <v/>
      </c>
      <c r="G4868" s="10" t="str">
        <v/>
      </c>
      <c r="H4868" s="11" t="str">
        <v/>
      </c>
      <c r="I4868" s="11" t="str">
        <v/>
      </c>
    </row>
    <row r="4869" spans="2:9">
      <c r="B4869" s="11" t="str">
        <f t="shared" si="386"/>
        <v/>
      </c>
      <c r="C4869" s="11" t="str">
        <f t="shared" si="384"/>
        <v/>
      </c>
      <c r="D4869" s="11" t="str">
        <f t="shared" si="385"/>
        <v/>
      </c>
      <c r="E4869" s="11" t="str">
        <f t="shared" si="387"/>
        <v/>
      </c>
      <c r="F4869" s="11" t="str">
        <f t="shared" si="388"/>
        <v/>
      </c>
      <c r="G4869" s="10" t="str">
        <v/>
      </c>
      <c r="H4869" s="11" t="str">
        <v/>
      </c>
      <c r="I4869" s="11" t="str">
        <v/>
      </c>
    </row>
    <row r="4870" spans="2:9">
      <c r="B4870" s="11" t="str">
        <f t="shared" si="386"/>
        <v/>
      </c>
      <c r="C4870" s="11" t="str">
        <f t="shared" si="384"/>
        <v/>
      </c>
      <c r="D4870" s="11" t="str">
        <f t="shared" si="385"/>
        <v/>
      </c>
      <c r="E4870" s="11" t="str">
        <f t="shared" si="387"/>
        <v/>
      </c>
      <c r="F4870" s="11" t="str">
        <f t="shared" si="388"/>
        <v/>
      </c>
      <c r="G4870" s="10" t="str">
        <v/>
      </c>
      <c r="H4870" s="11" t="str">
        <v/>
      </c>
      <c r="I4870" s="11" t="str">
        <v/>
      </c>
    </row>
    <row r="4871" spans="2:9">
      <c r="B4871" s="11" t="str">
        <f t="shared" si="386"/>
        <v/>
      </c>
      <c r="C4871" s="11" t="str">
        <f t="shared" si="384"/>
        <v/>
      </c>
      <c r="D4871" s="11" t="str">
        <f t="shared" si="385"/>
        <v/>
      </c>
      <c r="E4871" s="11" t="str">
        <f t="shared" si="387"/>
        <v/>
      </c>
      <c r="F4871" s="11" t="str">
        <f t="shared" si="388"/>
        <v/>
      </c>
      <c r="G4871" s="10" t="str">
        <v/>
      </c>
      <c r="H4871" s="11" t="str">
        <v/>
      </c>
      <c r="I4871" s="11" t="str">
        <v/>
      </c>
    </row>
    <row r="4872" spans="2:9">
      <c r="B4872" s="11" t="str">
        <f t="shared" si="386"/>
        <v/>
      </c>
      <c r="C4872" s="11" t="str">
        <f t="shared" si="384"/>
        <v/>
      </c>
      <c r="D4872" s="11" t="str">
        <f t="shared" si="385"/>
        <v/>
      </c>
      <c r="E4872" s="11" t="str">
        <f t="shared" si="387"/>
        <v/>
      </c>
      <c r="F4872" s="11" t="str">
        <f t="shared" si="388"/>
        <v/>
      </c>
      <c r="G4872" s="10" t="str">
        <v/>
      </c>
      <c r="H4872" s="11" t="str">
        <v/>
      </c>
      <c r="I4872" s="11" t="str">
        <v/>
      </c>
    </row>
    <row r="4873" spans="2:9">
      <c r="B4873" s="11" t="str">
        <f t="shared" si="386"/>
        <v/>
      </c>
      <c r="C4873" s="11" t="str">
        <f t="shared" si="384"/>
        <v/>
      </c>
      <c r="D4873" s="11" t="str">
        <f t="shared" si="385"/>
        <v/>
      </c>
      <c r="E4873" s="11" t="str">
        <f t="shared" si="387"/>
        <v/>
      </c>
      <c r="F4873" s="11" t="str">
        <f t="shared" si="388"/>
        <v/>
      </c>
      <c r="G4873" s="10" t="str">
        <v/>
      </c>
      <c r="H4873" s="11" t="str">
        <v/>
      </c>
      <c r="I4873" s="11" t="str">
        <v/>
      </c>
    </row>
    <row r="4874" spans="2:9">
      <c r="B4874" s="11" t="str">
        <f t="shared" si="386"/>
        <v/>
      </c>
      <c r="C4874" s="11" t="str">
        <f t="shared" si="384"/>
        <v/>
      </c>
      <c r="D4874" s="11" t="str">
        <f t="shared" si="385"/>
        <v/>
      </c>
      <c r="E4874" s="11" t="str">
        <f t="shared" si="387"/>
        <v/>
      </c>
      <c r="F4874" s="11" t="str">
        <f t="shared" si="388"/>
        <v/>
      </c>
      <c r="G4874" s="10" t="str">
        <v/>
      </c>
      <c r="H4874" s="11" t="str">
        <v/>
      </c>
      <c r="I4874" s="11" t="str">
        <v/>
      </c>
    </row>
    <row r="4875" spans="2:9">
      <c r="B4875" s="11" t="str">
        <f t="shared" si="386"/>
        <v/>
      </c>
      <c r="C4875" s="11" t="str">
        <f t="shared" si="384"/>
        <v/>
      </c>
      <c r="D4875" s="11" t="str">
        <f t="shared" si="385"/>
        <v/>
      </c>
      <c r="E4875" s="11" t="str">
        <f t="shared" si="387"/>
        <v/>
      </c>
      <c r="F4875" s="11" t="str">
        <f t="shared" si="388"/>
        <v/>
      </c>
      <c r="G4875" s="10" t="str">
        <v/>
      </c>
      <c r="H4875" s="11" t="str">
        <v/>
      </c>
      <c r="I4875" s="11" t="str">
        <v/>
      </c>
    </row>
    <row r="4876" spans="2:9">
      <c r="B4876" s="11" t="str">
        <f t="shared" si="386"/>
        <v/>
      </c>
      <c r="C4876" s="11" t="str">
        <f t="shared" si="384"/>
        <v/>
      </c>
      <c r="D4876" s="11" t="str">
        <f t="shared" si="385"/>
        <v/>
      </c>
      <c r="E4876" s="11" t="str">
        <f t="shared" si="387"/>
        <v/>
      </c>
      <c r="F4876" s="11" t="str">
        <f t="shared" si="388"/>
        <v/>
      </c>
      <c r="G4876" s="10" t="str">
        <v/>
      </c>
      <c r="H4876" s="11" t="str">
        <v/>
      </c>
      <c r="I4876" s="11" t="str">
        <v/>
      </c>
    </row>
    <row r="4877" spans="2:9">
      <c r="B4877" s="11" t="str">
        <f t="shared" si="386"/>
        <v/>
      </c>
      <c r="C4877" s="11" t="str">
        <f t="shared" ref="C4877:C4940" si="389">IF(B4877="артикул",A4877,"")</f>
        <v/>
      </c>
      <c r="D4877" s="11" t="str">
        <f t="shared" ref="D4877:D4940" si="390">IF(B4877="артикул",A4878,"")</f>
        <v/>
      </c>
      <c r="E4877" s="11" t="str">
        <f t="shared" si="387"/>
        <v/>
      </c>
      <c r="F4877" s="11" t="str">
        <f t="shared" si="388"/>
        <v/>
      </c>
      <c r="G4877" s="10" t="str">
        <v/>
      </c>
      <c r="H4877" s="11" t="str">
        <v/>
      </c>
      <c r="I4877" s="11" t="str">
        <v/>
      </c>
    </row>
    <row r="4878" spans="2:9">
      <c r="B4878" s="11" t="str">
        <f t="shared" si="386"/>
        <v/>
      </c>
      <c r="C4878" s="11" t="str">
        <f t="shared" si="389"/>
        <v/>
      </c>
      <c r="D4878" s="11" t="str">
        <f t="shared" si="390"/>
        <v/>
      </c>
      <c r="E4878" s="11" t="str">
        <f t="shared" si="387"/>
        <v/>
      </c>
      <c r="F4878" s="11" t="str">
        <f t="shared" si="388"/>
        <v/>
      </c>
      <c r="G4878" s="10" t="str">
        <v/>
      </c>
      <c r="H4878" s="11" t="str">
        <v/>
      </c>
      <c r="I4878" s="11" t="str">
        <v/>
      </c>
    </row>
    <row r="4879" spans="2:9">
      <c r="B4879" s="11" t="str">
        <f t="shared" si="386"/>
        <v/>
      </c>
      <c r="C4879" s="11" t="str">
        <f t="shared" si="389"/>
        <v/>
      </c>
      <c r="D4879" s="11" t="str">
        <f t="shared" si="390"/>
        <v/>
      </c>
      <c r="E4879" s="11" t="str">
        <f t="shared" si="387"/>
        <v/>
      </c>
      <c r="F4879" s="11" t="str">
        <f t="shared" si="388"/>
        <v/>
      </c>
      <c r="G4879" s="10" t="str">
        <v/>
      </c>
      <c r="H4879" s="11" t="str">
        <v/>
      </c>
      <c r="I4879" s="11" t="str">
        <v/>
      </c>
    </row>
    <row r="4880" spans="2:9">
      <c r="B4880" s="11" t="str">
        <f t="shared" si="386"/>
        <v/>
      </c>
      <c r="C4880" s="11" t="str">
        <f t="shared" si="389"/>
        <v/>
      </c>
      <c r="D4880" s="11" t="str">
        <f t="shared" si="390"/>
        <v/>
      </c>
      <c r="E4880" s="11" t="str">
        <f t="shared" si="387"/>
        <v/>
      </c>
      <c r="F4880" s="11" t="str">
        <f t="shared" si="388"/>
        <v/>
      </c>
      <c r="G4880" s="10" t="str">
        <v/>
      </c>
      <c r="H4880" s="11" t="str">
        <v/>
      </c>
      <c r="I4880" s="11" t="str">
        <v/>
      </c>
    </row>
    <row r="4881" spans="2:9">
      <c r="B4881" s="11" t="str">
        <f t="shared" si="386"/>
        <v/>
      </c>
      <c r="C4881" s="11" t="str">
        <f t="shared" si="389"/>
        <v/>
      </c>
      <c r="D4881" s="11" t="str">
        <f t="shared" si="390"/>
        <v/>
      </c>
      <c r="E4881" s="11" t="str">
        <f t="shared" si="387"/>
        <v/>
      </c>
      <c r="F4881" s="11" t="str">
        <f t="shared" si="388"/>
        <v/>
      </c>
      <c r="G4881" s="10" t="str">
        <v/>
      </c>
      <c r="H4881" s="11" t="str">
        <v/>
      </c>
      <c r="I4881" s="11" t="str">
        <v/>
      </c>
    </row>
    <row r="4882" spans="2:9">
      <c r="B4882" s="11" t="str">
        <f t="shared" si="386"/>
        <v/>
      </c>
      <c r="C4882" s="11" t="str">
        <f t="shared" si="389"/>
        <v/>
      </c>
      <c r="D4882" s="11" t="str">
        <f t="shared" si="390"/>
        <v/>
      </c>
      <c r="E4882" s="11" t="str">
        <f t="shared" si="387"/>
        <v/>
      </c>
      <c r="F4882" s="11" t="str">
        <f t="shared" si="388"/>
        <v/>
      </c>
      <c r="G4882" s="10" t="str">
        <v/>
      </c>
      <c r="H4882" s="11" t="str">
        <v/>
      </c>
      <c r="I4882" s="11" t="str">
        <v/>
      </c>
    </row>
    <row r="4883" spans="2:9">
      <c r="B4883" s="11" t="str">
        <f t="shared" si="386"/>
        <v/>
      </c>
      <c r="C4883" s="11" t="str">
        <f t="shared" si="389"/>
        <v/>
      </c>
      <c r="D4883" s="11" t="str">
        <f t="shared" si="390"/>
        <v/>
      </c>
      <c r="E4883" s="11" t="str">
        <f t="shared" si="387"/>
        <v/>
      </c>
      <c r="F4883" s="11" t="str">
        <f t="shared" si="388"/>
        <v/>
      </c>
      <c r="G4883" s="10" t="str">
        <v/>
      </c>
      <c r="H4883" s="11" t="str">
        <v/>
      </c>
      <c r="I4883" s="11" t="str">
        <v/>
      </c>
    </row>
    <row r="4884" spans="2:9">
      <c r="B4884" s="11" t="str">
        <f t="shared" si="386"/>
        <v/>
      </c>
      <c r="C4884" s="11" t="str">
        <f t="shared" si="389"/>
        <v/>
      </c>
      <c r="D4884" s="11" t="str">
        <f t="shared" si="390"/>
        <v/>
      </c>
      <c r="E4884" s="11" t="str">
        <f t="shared" si="387"/>
        <v/>
      </c>
      <c r="F4884" s="11" t="str">
        <f t="shared" si="388"/>
        <v/>
      </c>
      <c r="G4884" s="10" t="str">
        <v/>
      </c>
      <c r="H4884" s="11" t="str">
        <v/>
      </c>
      <c r="I4884" s="11" t="str">
        <v/>
      </c>
    </row>
    <row r="4885" spans="2:9">
      <c r="B4885" s="11" t="str">
        <f t="shared" si="386"/>
        <v/>
      </c>
      <c r="C4885" s="11" t="str">
        <f t="shared" si="389"/>
        <v/>
      </c>
      <c r="D4885" s="11" t="str">
        <f t="shared" si="390"/>
        <v/>
      </c>
      <c r="E4885" s="11" t="str">
        <f t="shared" si="387"/>
        <v/>
      </c>
      <c r="F4885" s="11" t="str">
        <f t="shared" si="388"/>
        <v/>
      </c>
      <c r="G4885" s="10" t="str">
        <v/>
      </c>
      <c r="H4885" s="11" t="str">
        <v/>
      </c>
      <c r="I4885" s="11" t="str">
        <v/>
      </c>
    </row>
    <row r="4886" spans="2:9">
      <c r="B4886" s="11" t="str">
        <f t="shared" si="386"/>
        <v/>
      </c>
      <c r="C4886" s="11" t="str">
        <f t="shared" si="389"/>
        <v/>
      </c>
      <c r="D4886" s="11" t="str">
        <f t="shared" si="390"/>
        <v/>
      </c>
      <c r="E4886" s="11" t="str">
        <f t="shared" si="387"/>
        <v/>
      </c>
      <c r="F4886" s="11" t="str">
        <f t="shared" si="388"/>
        <v/>
      </c>
      <c r="G4886" s="10" t="str">
        <v/>
      </c>
      <c r="H4886" s="11" t="str">
        <v/>
      </c>
      <c r="I4886" s="11" t="str">
        <v/>
      </c>
    </row>
    <row r="4887" spans="2:9">
      <c r="B4887" s="11" t="str">
        <f t="shared" si="386"/>
        <v/>
      </c>
      <c r="C4887" s="11" t="str">
        <f t="shared" si="389"/>
        <v/>
      </c>
      <c r="D4887" s="11" t="str">
        <f t="shared" si="390"/>
        <v/>
      </c>
      <c r="E4887" s="11" t="str">
        <f t="shared" si="387"/>
        <v/>
      </c>
      <c r="F4887" s="11" t="str">
        <f t="shared" si="388"/>
        <v/>
      </c>
      <c r="G4887" s="10" t="str">
        <v/>
      </c>
      <c r="H4887" s="11" t="str">
        <v/>
      </c>
      <c r="I4887" s="11" t="str">
        <v/>
      </c>
    </row>
    <row r="4888" spans="2:9">
      <c r="B4888" s="11" t="str">
        <f t="shared" si="386"/>
        <v/>
      </c>
      <c r="C4888" s="11" t="str">
        <f t="shared" si="389"/>
        <v/>
      </c>
      <c r="D4888" s="11" t="str">
        <f t="shared" si="390"/>
        <v/>
      </c>
      <c r="E4888" s="11" t="str">
        <f t="shared" si="387"/>
        <v/>
      </c>
      <c r="F4888" s="11" t="str">
        <f t="shared" si="388"/>
        <v/>
      </c>
      <c r="G4888" s="10" t="str">
        <v/>
      </c>
      <c r="H4888" s="11" t="str">
        <v/>
      </c>
      <c r="I4888" s="11" t="str">
        <v/>
      </c>
    </row>
    <row r="4889" spans="2:9">
      <c r="B4889" s="11" t="str">
        <f t="shared" si="386"/>
        <v/>
      </c>
      <c r="C4889" s="11" t="str">
        <f t="shared" si="389"/>
        <v/>
      </c>
      <c r="D4889" s="11" t="str">
        <f t="shared" si="390"/>
        <v/>
      </c>
      <c r="E4889" s="11" t="str">
        <f t="shared" si="387"/>
        <v/>
      </c>
      <c r="F4889" s="11" t="str">
        <f t="shared" si="388"/>
        <v/>
      </c>
      <c r="G4889" s="10" t="str">
        <v/>
      </c>
      <c r="H4889" s="11" t="str">
        <v/>
      </c>
      <c r="I4889" s="11" t="str">
        <v/>
      </c>
    </row>
    <row r="4890" spans="2:9">
      <c r="B4890" s="11" t="str">
        <f t="shared" si="386"/>
        <v/>
      </c>
      <c r="C4890" s="11" t="str">
        <f t="shared" si="389"/>
        <v/>
      </c>
      <c r="D4890" s="11" t="str">
        <f t="shared" si="390"/>
        <v/>
      </c>
      <c r="E4890" s="11" t="str">
        <f t="shared" si="387"/>
        <v/>
      </c>
      <c r="F4890" s="11" t="str">
        <f t="shared" si="388"/>
        <v/>
      </c>
      <c r="G4890" s="10" t="str">
        <v/>
      </c>
      <c r="H4890" s="11" t="str">
        <v/>
      </c>
      <c r="I4890" s="11" t="str">
        <v/>
      </c>
    </row>
    <row r="4891" spans="2:9">
      <c r="B4891" s="11" t="str">
        <f t="shared" si="386"/>
        <v/>
      </c>
      <c r="C4891" s="11" t="str">
        <f t="shared" si="389"/>
        <v/>
      </c>
      <c r="D4891" s="11" t="str">
        <f t="shared" si="390"/>
        <v/>
      </c>
      <c r="E4891" s="11" t="str">
        <f t="shared" si="387"/>
        <v/>
      </c>
      <c r="F4891" s="11" t="str">
        <f t="shared" si="388"/>
        <v/>
      </c>
      <c r="G4891" s="10" t="str">
        <v/>
      </c>
      <c r="H4891" s="11" t="str">
        <v/>
      </c>
      <c r="I4891" s="11" t="str">
        <v/>
      </c>
    </row>
    <row r="4892" spans="2:9">
      <c r="B4892" s="11" t="str">
        <f t="shared" si="386"/>
        <v/>
      </c>
      <c r="C4892" s="11" t="str">
        <f t="shared" si="389"/>
        <v/>
      </c>
      <c r="D4892" s="11" t="str">
        <f t="shared" si="390"/>
        <v/>
      </c>
      <c r="E4892" s="11" t="str">
        <f t="shared" si="387"/>
        <v/>
      </c>
      <c r="F4892" s="11" t="str">
        <f t="shared" si="388"/>
        <v/>
      </c>
      <c r="G4892" s="10" t="str">
        <v/>
      </c>
      <c r="H4892" s="11" t="str">
        <v/>
      </c>
      <c r="I4892" s="11" t="str">
        <v/>
      </c>
    </row>
    <row r="4893" spans="2:9">
      <c r="B4893" s="11" t="str">
        <f t="shared" si="386"/>
        <v/>
      </c>
      <c r="C4893" s="11" t="str">
        <f t="shared" si="389"/>
        <v/>
      </c>
      <c r="D4893" s="11" t="str">
        <f t="shared" si="390"/>
        <v/>
      </c>
      <c r="E4893" s="11" t="str">
        <f t="shared" si="387"/>
        <v/>
      </c>
      <c r="F4893" s="11" t="str">
        <f t="shared" si="388"/>
        <v/>
      </c>
      <c r="G4893" s="10" t="str">
        <v/>
      </c>
      <c r="H4893" s="11" t="str">
        <v/>
      </c>
      <c r="I4893" s="11" t="str">
        <v/>
      </c>
    </row>
    <row r="4894" spans="2:9">
      <c r="B4894" s="11" t="str">
        <f t="shared" si="386"/>
        <v/>
      </c>
      <c r="C4894" s="11" t="str">
        <f t="shared" si="389"/>
        <v/>
      </c>
      <c r="D4894" s="11" t="str">
        <f t="shared" si="390"/>
        <v/>
      </c>
      <c r="E4894" s="11" t="str">
        <f t="shared" si="387"/>
        <v/>
      </c>
      <c r="F4894" s="11" t="str">
        <f t="shared" si="388"/>
        <v/>
      </c>
      <c r="G4894" s="10" t="str">
        <v/>
      </c>
      <c r="H4894" s="11" t="str">
        <v/>
      </c>
      <c r="I4894" s="11" t="str">
        <v/>
      </c>
    </row>
    <row r="4895" spans="2:9">
      <c r="B4895" s="11" t="str">
        <f t="shared" si="386"/>
        <v/>
      </c>
      <c r="C4895" s="11" t="str">
        <f t="shared" si="389"/>
        <v/>
      </c>
      <c r="D4895" s="11" t="str">
        <f t="shared" si="390"/>
        <v/>
      </c>
      <c r="E4895" s="11" t="str">
        <f t="shared" si="387"/>
        <v/>
      </c>
      <c r="F4895" s="11" t="str">
        <f t="shared" si="388"/>
        <v/>
      </c>
      <c r="G4895" s="10" t="str">
        <v/>
      </c>
      <c r="H4895" s="11" t="str">
        <v/>
      </c>
      <c r="I4895" s="11" t="str">
        <v/>
      </c>
    </row>
    <row r="4896" spans="2:9">
      <c r="B4896" s="11" t="str">
        <f t="shared" si="386"/>
        <v/>
      </c>
      <c r="C4896" s="11" t="str">
        <f t="shared" si="389"/>
        <v/>
      </c>
      <c r="D4896" s="11" t="str">
        <f t="shared" si="390"/>
        <v/>
      </c>
      <c r="E4896" s="11" t="str">
        <f t="shared" si="387"/>
        <v/>
      </c>
      <c r="F4896" s="11" t="str">
        <f t="shared" si="388"/>
        <v/>
      </c>
      <c r="G4896" s="10" t="str">
        <v/>
      </c>
      <c r="H4896" s="11" t="str">
        <v/>
      </c>
      <c r="I4896" s="11" t="str">
        <v/>
      </c>
    </row>
    <row r="4897" spans="2:9">
      <c r="B4897" s="11" t="str">
        <f t="shared" si="386"/>
        <v/>
      </c>
      <c r="C4897" s="11" t="str">
        <f t="shared" si="389"/>
        <v/>
      </c>
      <c r="D4897" s="11" t="str">
        <f t="shared" si="390"/>
        <v/>
      </c>
      <c r="E4897" s="11" t="str">
        <f t="shared" si="387"/>
        <v/>
      </c>
      <c r="F4897" s="11" t="str">
        <f t="shared" si="388"/>
        <v/>
      </c>
      <c r="G4897" s="10" t="str">
        <v/>
      </c>
      <c r="H4897" s="11" t="str">
        <v/>
      </c>
      <c r="I4897" s="11" t="str">
        <v/>
      </c>
    </row>
    <row r="4898" spans="2:9">
      <c r="B4898" s="11" t="str">
        <f t="shared" si="386"/>
        <v/>
      </c>
      <c r="C4898" s="11" t="str">
        <f t="shared" si="389"/>
        <v/>
      </c>
      <c r="D4898" s="11" t="str">
        <f t="shared" si="390"/>
        <v/>
      </c>
      <c r="E4898" s="11" t="str">
        <f t="shared" si="387"/>
        <v/>
      </c>
      <c r="F4898" s="11" t="str">
        <f t="shared" si="388"/>
        <v/>
      </c>
      <c r="G4898" s="10" t="str">
        <v/>
      </c>
      <c r="H4898" s="11" t="str">
        <v/>
      </c>
      <c r="I4898" s="11" t="str">
        <v/>
      </c>
    </row>
    <row r="4899" spans="2:9">
      <c r="B4899" s="11" t="str">
        <f t="shared" si="386"/>
        <v/>
      </c>
      <c r="C4899" s="11" t="str">
        <f t="shared" si="389"/>
        <v/>
      </c>
      <c r="D4899" s="11" t="str">
        <f t="shared" si="390"/>
        <v/>
      </c>
      <c r="E4899" s="11" t="str">
        <f t="shared" si="387"/>
        <v/>
      </c>
      <c r="F4899" s="11" t="str">
        <f t="shared" si="388"/>
        <v/>
      </c>
      <c r="G4899" s="10" t="str">
        <v/>
      </c>
      <c r="H4899" s="11" t="str">
        <v/>
      </c>
      <c r="I4899" s="11" t="str">
        <v/>
      </c>
    </row>
    <row r="4900" spans="2:9">
      <c r="B4900" s="11" t="str">
        <f t="shared" si="386"/>
        <v/>
      </c>
      <c r="C4900" s="11" t="str">
        <f t="shared" si="389"/>
        <v/>
      </c>
      <c r="D4900" s="11" t="str">
        <f t="shared" si="390"/>
        <v/>
      </c>
      <c r="E4900" s="11" t="str">
        <f t="shared" si="387"/>
        <v/>
      </c>
      <c r="F4900" s="11" t="str">
        <f t="shared" si="388"/>
        <v/>
      </c>
      <c r="G4900" s="10" t="str">
        <v/>
      </c>
      <c r="H4900" s="11" t="str">
        <v/>
      </c>
      <c r="I4900" s="11" t="str">
        <v/>
      </c>
    </row>
    <row r="4901" spans="2:9">
      <c r="B4901" s="11" t="str">
        <f t="shared" si="386"/>
        <v/>
      </c>
      <c r="C4901" s="11" t="str">
        <f t="shared" si="389"/>
        <v/>
      </c>
      <c r="D4901" s="11" t="str">
        <f t="shared" si="390"/>
        <v/>
      </c>
      <c r="E4901" s="11" t="str">
        <f t="shared" si="387"/>
        <v/>
      </c>
      <c r="F4901" s="11" t="str">
        <f t="shared" si="388"/>
        <v/>
      </c>
      <c r="G4901" s="10" t="str">
        <v/>
      </c>
      <c r="H4901" s="11" t="str">
        <v/>
      </c>
      <c r="I4901" s="11" t="str">
        <v/>
      </c>
    </row>
    <row r="4902" spans="2:9">
      <c r="B4902" s="11" t="str">
        <f t="shared" si="386"/>
        <v/>
      </c>
      <c r="C4902" s="11" t="str">
        <f t="shared" si="389"/>
        <v/>
      </c>
      <c r="D4902" s="11" t="str">
        <f t="shared" si="390"/>
        <v/>
      </c>
      <c r="E4902" s="11" t="str">
        <f t="shared" si="387"/>
        <v/>
      </c>
      <c r="F4902" s="11" t="str">
        <f t="shared" si="388"/>
        <v/>
      </c>
      <c r="G4902" s="10" t="str">
        <v/>
      </c>
      <c r="H4902" s="11" t="str">
        <v/>
      </c>
      <c r="I4902" s="11" t="str">
        <v/>
      </c>
    </row>
    <row r="4903" spans="2:9">
      <c r="B4903" s="11" t="str">
        <f t="shared" si="386"/>
        <v/>
      </c>
      <c r="C4903" s="11" t="str">
        <f t="shared" si="389"/>
        <v/>
      </c>
      <c r="D4903" s="11" t="str">
        <f t="shared" si="390"/>
        <v/>
      </c>
      <c r="E4903" s="11" t="str">
        <f t="shared" si="387"/>
        <v/>
      </c>
      <c r="F4903" s="11" t="str">
        <f t="shared" si="388"/>
        <v/>
      </c>
      <c r="G4903" s="10" t="str">
        <v/>
      </c>
      <c r="H4903" s="11" t="str">
        <v/>
      </c>
      <c r="I4903" s="11" t="str">
        <v/>
      </c>
    </row>
    <row r="4904" spans="2:9">
      <c r="B4904" s="11" t="str">
        <f t="shared" si="386"/>
        <v/>
      </c>
      <c r="C4904" s="11" t="str">
        <f t="shared" si="389"/>
        <v/>
      </c>
      <c r="D4904" s="11" t="str">
        <f t="shared" si="390"/>
        <v/>
      </c>
      <c r="E4904" s="11" t="str">
        <f t="shared" si="387"/>
        <v/>
      </c>
      <c r="F4904" s="11" t="str">
        <f t="shared" si="388"/>
        <v/>
      </c>
      <c r="G4904" s="10" t="str">
        <v/>
      </c>
      <c r="H4904" s="11" t="str">
        <v/>
      </c>
      <c r="I4904" s="11" t="str">
        <v/>
      </c>
    </row>
    <row r="4905" spans="2:9">
      <c r="B4905" s="11" t="str">
        <f t="shared" si="386"/>
        <v/>
      </c>
      <c r="C4905" s="11" t="str">
        <f t="shared" si="389"/>
        <v/>
      </c>
      <c r="D4905" s="11" t="str">
        <f t="shared" si="390"/>
        <v/>
      </c>
      <c r="E4905" s="11" t="str">
        <f t="shared" si="387"/>
        <v/>
      </c>
      <c r="F4905" s="11" t="str">
        <f t="shared" si="388"/>
        <v/>
      </c>
      <c r="G4905" s="10" t="str">
        <v/>
      </c>
      <c r="H4905" s="11" t="str">
        <v/>
      </c>
      <c r="I4905" s="11" t="str">
        <v/>
      </c>
    </row>
    <row r="4906" spans="2:9">
      <c r="B4906" s="11" t="str">
        <f t="shared" si="386"/>
        <v/>
      </c>
      <c r="C4906" s="11" t="str">
        <f t="shared" si="389"/>
        <v/>
      </c>
      <c r="D4906" s="11" t="str">
        <f t="shared" si="390"/>
        <v/>
      </c>
      <c r="E4906" s="11" t="str">
        <f t="shared" si="387"/>
        <v/>
      </c>
      <c r="F4906" s="11" t="str">
        <f t="shared" si="388"/>
        <v/>
      </c>
      <c r="G4906" s="10" t="str">
        <v/>
      </c>
      <c r="H4906" s="11" t="str">
        <v/>
      </c>
      <c r="I4906" s="11" t="str">
        <v/>
      </c>
    </row>
    <row r="4907" spans="2:9">
      <c r="B4907" s="11" t="str">
        <f t="shared" si="386"/>
        <v/>
      </c>
      <c r="C4907" s="11" t="str">
        <f t="shared" si="389"/>
        <v/>
      </c>
      <c r="D4907" s="11" t="str">
        <f t="shared" si="390"/>
        <v/>
      </c>
      <c r="E4907" s="11" t="str">
        <f t="shared" si="387"/>
        <v/>
      </c>
      <c r="F4907" s="11" t="str">
        <f t="shared" si="388"/>
        <v/>
      </c>
      <c r="G4907" s="10" t="str">
        <v/>
      </c>
      <c r="H4907" s="11" t="str">
        <v/>
      </c>
      <c r="I4907" s="11" t="str">
        <v/>
      </c>
    </row>
    <row r="4908" spans="2:9">
      <c r="B4908" s="11" t="str">
        <f t="shared" si="386"/>
        <v/>
      </c>
      <c r="C4908" s="11" t="str">
        <f t="shared" si="389"/>
        <v/>
      </c>
      <c r="D4908" s="11" t="str">
        <f t="shared" si="390"/>
        <v/>
      </c>
      <c r="E4908" s="11" t="str">
        <f t="shared" si="387"/>
        <v/>
      </c>
      <c r="F4908" s="11" t="str">
        <f t="shared" si="388"/>
        <v/>
      </c>
      <c r="G4908" s="10" t="str">
        <v/>
      </c>
      <c r="H4908" s="11" t="str">
        <v/>
      </c>
      <c r="I4908" s="11" t="str">
        <v/>
      </c>
    </row>
    <row r="4909" spans="2:9">
      <c r="B4909" s="11" t="str">
        <f t="shared" si="386"/>
        <v/>
      </c>
      <c r="C4909" s="11" t="str">
        <f t="shared" si="389"/>
        <v/>
      </c>
      <c r="D4909" s="11" t="str">
        <f t="shared" si="390"/>
        <v/>
      </c>
      <c r="E4909" s="11" t="str">
        <f t="shared" si="387"/>
        <v/>
      </c>
      <c r="F4909" s="11" t="str">
        <f t="shared" si="388"/>
        <v/>
      </c>
      <c r="G4909" s="10" t="str">
        <v/>
      </c>
      <c r="H4909" s="11" t="str">
        <v/>
      </c>
      <c r="I4909" s="11" t="str">
        <v/>
      </c>
    </row>
    <row r="4910" spans="2:9">
      <c r="B4910" s="11" t="str">
        <f t="shared" si="386"/>
        <v/>
      </c>
      <c r="C4910" s="11" t="str">
        <f t="shared" si="389"/>
        <v/>
      </c>
      <c r="D4910" s="11" t="str">
        <f t="shared" si="390"/>
        <v/>
      </c>
      <c r="E4910" s="11" t="str">
        <f t="shared" si="387"/>
        <v/>
      </c>
      <c r="F4910" s="11" t="str">
        <f t="shared" si="388"/>
        <v/>
      </c>
      <c r="G4910" s="10" t="str">
        <v/>
      </c>
      <c r="H4910" s="11" t="str">
        <v/>
      </c>
      <c r="I4910" s="11" t="str">
        <v/>
      </c>
    </row>
    <row r="4911" spans="2:9">
      <c r="B4911" s="11" t="str">
        <f t="shared" si="386"/>
        <v/>
      </c>
      <c r="C4911" s="11" t="str">
        <f t="shared" si="389"/>
        <v/>
      </c>
      <c r="D4911" s="11" t="str">
        <f t="shared" si="390"/>
        <v/>
      </c>
      <c r="E4911" s="11" t="str">
        <f t="shared" si="387"/>
        <v/>
      </c>
      <c r="F4911" s="11" t="str">
        <f t="shared" si="388"/>
        <v/>
      </c>
      <c r="G4911" s="10" t="str">
        <v/>
      </c>
      <c r="H4911" s="11" t="str">
        <v/>
      </c>
      <c r="I4911" s="11" t="str">
        <v/>
      </c>
    </row>
    <row r="4912" spans="2:9">
      <c r="B4912" s="11" t="str">
        <f t="shared" si="386"/>
        <v/>
      </c>
      <c r="C4912" s="11" t="str">
        <f t="shared" si="389"/>
        <v/>
      </c>
      <c r="D4912" s="11" t="str">
        <f t="shared" si="390"/>
        <v/>
      </c>
      <c r="E4912" s="11" t="str">
        <f t="shared" si="387"/>
        <v/>
      </c>
      <c r="F4912" s="11" t="str">
        <f t="shared" si="388"/>
        <v/>
      </c>
      <c r="G4912" s="10" t="str">
        <v/>
      </c>
      <c r="H4912" s="11" t="str">
        <v/>
      </c>
      <c r="I4912" s="11" t="str">
        <v/>
      </c>
    </row>
    <row r="4913" spans="2:9">
      <c r="B4913" s="11" t="str">
        <f t="shared" si="386"/>
        <v/>
      </c>
      <c r="C4913" s="11" t="str">
        <f t="shared" si="389"/>
        <v/>
      </c>
      <c r="D4913" s="11" t="str">
        <f t="shared" si="390"/>
        <v/>
      </c>
      <c r="E4913" s="11" t="str">
        <f t="shared" si="387"/>
        <v/>
      </c>
      <c r="F4913" s="11" t="str">
        <f t="shared" si="388"/>
        <v/>
      </c>
      <c r="G4913" s="10" t="str">
        <v/>
      </c>
      <c r="H4913" s="11" t="str">
        <v/>
      </c>
      <c r="I4913" s="11" t="str">
        <v/>
      </c>
    </row>
    <row r="4914" spans="2:9">
      <c r="B4914" s="11" t="str">
        <f t="shared" si="386"/>
        <v/>
      </c>
      <c r="C4914" s="11" t="str">
        <f t="shared" si="389"/>
        <v/>
      </c>
      <c r="D4914" s="11" t="str">
        <f t="shared" si="390"/>
        <v/>
      </c>
      <c r="E4914" s="11" t="str">
        <f t="shared" si="387"/>
        <v/>
      </c>
      <c r="F4914" s="11" t="str">
        <f t="shared" si="388"/>
        <v/>
      </c>
      <c r="G4914" s="10" t="str">
        <v/>
      </c>
      <c r="H4914" s="11" t="str">
        <v/>
      </c>
      <c r="I4914" s="11" t="str">
        <v/>
      </c>
    </row>
    <row r="4915" spans="2:9">
      <c r="B4915" s="11" t="str">
        <f t="shared" si="386"/>
        <v/>
      </c>
      <c r="C4915" s="11" t="str">
        <f t="shared" si="389"/>
        <v/>
      </c>
      <c r="D4915" s="11" t="str">
        <f t="shared" si="390"/>
        <v/>
      </c>
      <c r="E4915" s="11" t="str">
        <f t="shared" si="387"/>
        <v/>
      </c>
      <c r="F4915" s="11" t="str">
        <f t="shared" si="388"/>
        <v/>
      </c>
      <c r="G4915" s="10" t="str">
        <v/>
      </c>
      <c r="H4915" s="11" t="str">
        <v/>
      </c>
      <c r="I4915" s="11" t="str">
        <v/>
      </c>
    </row>
    <row r="4916" spans="2:9">
      <c r="B4916" s="11" t="str">
        <f t="shared" si="386"/>
        <v/>
      </c>
      <c r="C4916" s="11" t="str">
        <f t="shared" si="389"/>
        <v/>
      </c>
      <c r="D4916" s="11" t="str">
        <f t="shared" si="390"/>
        <v/>
      </c>
      <c r="E4916" s="11" t="str">
        <f t="shared" si="387"/>
        <v/>
      </c>
      <c r="F4916" s="11" t="str">
        <f t="shared" si="388"/>
        <v/>
      </c>
      <c r="G4916" s="10" t="str">
        <v/>
      </c>
      <c r="H4916" s="11" t="str">
        <v/>
      </c>
      <c r="I4916" s="11" t="str">
        <v/>
      </c>
    </row>
    <row r="4917" spans="2:9">
      <c r="B4917" s="11" t="str">
        <f t="shared" si="386"/>
        <v/>
      </c>
      <c r="C4917" s="11" t="str">
        <f t="shared" si="389"/>
        <v/>
      </c>
      <c r="D4917" s="11" t="str">
        <f t="shared" si="390"/>
        <v/>
      </c>
      <c r="E4917" s="11" t="str">
        <f t="shared" si="387"/>
        <v/>
      </c>
      <c r="F4917" s="11" t="str">
        <f t="shared" si="388"/>
        <v/>
      </c>
      <c r="G4917" s="10" t="str">
        <v/>
      </c>
      <c r="H4917" s="11" t="str">
        <v/>
      </c>
      <c r="I4917" s="11" t="str">
        <v/>
      </c>
    </row>
    <row r="4918" spans="2:9">
      <c r="B4918" s="11" t="str">
        <f t="shared" si="386"/>
        <v/>
      </c>
      <c r="C4918" s="11" t="str">
        <f t="shared" si="389"/>
        <v/>
      </c>
      <c r="D4918" s="11" t="str">
        <f t="shared" si="390"/>
        <v/>
      </c>
      <c r="E4918" s="11" t="str">
        <f t="shared" si="387"/>
        <v/>
      </c>
      <c r="F4918" s="11" t="str">
        <f t="shared" si="388"/>
        <v/>
      </c>
      <c r="G4918" s="10" t="str">
        <v/>
      </c>
      <c r="H4918" s="11" t="str">
        <v/>
      </c>
      <c r="I4918" s="11" t="str">
        <v/>
      </c>
    </row>
    <row r="4919" spans="2:9">
      <c r="B4919" s="11" t="str">
        <f t="shared" si="386"/>
        <v/>
      </c>
      <c r="C4919" s="11" t="str">
        <f t="shared" si="389"/>
        <v/>
      </c>
      <c r="D4919" s="11" t="str">
        <f t="shared" si="390"/>
        <v/>
      </c>
      <c r="E4919" s="11" t="str">
        <f t="shared" si="387"/>
        <v/>
      </c>
      <c r="F4919" s="11" t="str">
        <f t="shared" si="388"/>
        <v/>
      </c>
      <c r="G4919" s="10" t="str">
        <v/>
      </c>
      <c r="H4919" s="11" t="str">
        <v/>
      </c>
      <c r="I4919" s="11" t="str">
        <v/>
      </c>
    </row>
    <row r="4920" spans="2:9">
      <c r="B4920" s="11" t="str">
        <f t="shared" si="386"/>
        <v/>
      </c>
      <c r="C4920" s="11" t="str">
        <f t="shared" si="389"/>
        <v/>
      </c>
      <c r="D4920" s="11" t="str">
        <f t="shared" si="390"/>
        <v/>
      </c>
      <c r="E4920" s="11" t="str">
        <f t="shared" si="387"/>
        <v/>
      </c>
      <c r="F4920" s="11" t="str">
        <f t="shared" si="388"/>
        <v/>
      </c>
      <c r="G4920" s="10" t="str">
        <v/>
      </c>
      <c r="H4920" s="11" t="str">
        <v/>
      </c>
      <c r="I4920" s="11" t="str">
        <v/>
      </c>
    </row>
    <row r="4921" spans="2:9">
      <c r="B4921" s="11" t="str">
        <f t="shared" si="386"/>
        <v/>
      </c>
      <c r="C4921" s="11" t="str">
        <f t="shared" si="389"/>
        <v/>
      </c>
      <c r="D4921" s="11" t="str">
        <f t="shared" si="390"/>
        <v/>
      </c>
      <c r="E4921" s="11" t="str">
        <f t="shared" si="387"/>
        <v/>
      </c>
      <c r="F4921" s="11" t="str">
        <f t="shared" si="388"/>
        <v/>
      </c>
      <c r="G4921" s="10" t="str">
        <v/>
      </c>
      <c r="H4921" s="11" t="str">
        <v/>
      </c>
      <c r="I4921" s="11" t="str">
        <v/>
      </c>
    </row>
    <row r="4922" spans="2:9">
      <c r="B4922" s="11" t="str">
        <f t="shared" si="386"/>
        <v/>
      </c>
      <c r="C4922" s="11" t="str">
        <f t="shared" si="389"/>
        <v/>
      </c>
      <c r="D4922" s="11" t="str">
        <f t="shared" si="390"/>
        <v/>
      </c>
      <c r="E4922" s="11" t="str">
        <f t="shared" si="387"/>
        <v/>
      </c>
      <c r="F4922" s="11" t="str">
        <f t="shared" si="388"/>
        <v/>
      </c>
      <c r="G4922" s="10" t="str">
        <v/>
      </c>
      <c r="H4922" s="11" t="str">
        <v/>
      </c>
      <c r="I4922" s="11" t="str">
        <v/>
      </c>
    </row>
    <row r="4923" spans="2:9">
      <c r="B4923" s="11" t="str">
        <f t="shared" si="386"/>
        <v/>
      </c>
      <c r="C4923" s="11" t="str">
        <f t="shared" si="389"/>
        <v/>
      </c>
      <c r="D4923" s="11" t="str">
        <f t="shared" si="390"/>
        <v/>
      </c>
      <c r="E4923" s="11" t="str">
        <f t="shared" si="387"/>
        <v/>
      </c>
      <c r="F4923" s="11" t="str">
        <f t="shared" si="388"/>
        <v/>
      </c>
      <c r="G4923" s="10" t="str">
        <v/>
      </c>
      <c r="H4923" s="11" t="str">
        <v/>
      </c>
      <c r="I4923" s="11" t="str">
        <v/>
      </c>
    </row>
    <row r="4924" spans="2:9">
      <c r="B4924" s="11" t="str">
        <f t="shared" si="386"/>
        <v/>
      </c>
      <c r="C4924" s="11" t="str">
        <f t="shared" si="389"/>
        <v/>
      </c>
      <c r="D4924" s="11" t="str">
        <f t="shared" si="390"/>
        <v/>
      </c>
      <c r="E4924" s="11" t="str">
        <f t="shared" si="387"/>
        <v/>
      </c>
      <c r="F4924" s="11" t="str">
        <f t="shared" si="388"/>
        <v/>
      </c>
      <c r="G4924" s="10" t="str">
        <v/>
      </c>
      <c r="H4924" s="11" t="str">
        <v/>
      </c>
      <c r="I4924" s="11" t="str">
        <v/>
      </c>
    </row>
    <row r="4925" spans="2:9">
      <c r="B4925" s="11" t="str">
        <f t="shared" si="386"/>
        <v/>
      </c>
      <c r="C4925" s="11" t="str">
        <f t="shared" si="389"/>
        <v/>
      </c>
      <c r="D4925" s="11" t="str">
        <f t="shared" si="390"/>
        <v/>
      </c>
      <c r="E4925" s="11" t="str">
        <f t="shared" si="387"/>
        <v/>
      </c>
      <c r="F4925" s="11" t="str">
        <f t="shared" si="388"/>
        <v/>
      </c>
      <c r="G4925" s="10" t="str">
        <v/>
      </c>
      <c r="H4925" s="11" t="str">
        <v/>
      </c>
      <c r="I4925" s="11" t="str">
        <v/>
      </c>
    </row>
    <row r="4926" spans="2:9">
      <c r="B4926" s="11" t="str">
        <f t="shared" si="386"/>
        <v/>
      </c>
      <c r="C4926" s="11" t="str">
        <f t="shared" si="389"/>
        <v/>
      </c>
      <c r="D4926" s="11" t="str">
        <f t="shared" si="390"/>
        <v/>
      </c>
      <c r="E4926" s="11" t="str">
        <f t="shared" si="387"/>
        <v/>
      </c>
      <c r="F4926" s="11" t="str">
        <f t="shared" si="388"/>
        <v/>
      </c>
      <c r="G4926" s="10" t="str">
        <v/>
      </c>
      <c r="H4926" s="11" t="str">
        <v/>
      </c>
      <c r="I4926" s="11" t="str">
        <v/>
      </c>
    </row>
    <row r="4927" spans="2:9">
      <c r="B4927" s="11" t="str">
        <f t="shared" si="386"/>
        <v/>
      </c>
      <c r="C4927" s="11" t="str">
        <f t="shared" si="389"/>
        <v/>
      </c>
      <c r="D4927" s="11" t="str">
        <f t="shared" si="390"/>
        <v/>
      </c>
      <c r="E4927" s="11" t="str">
        <f t="shared" si="387"/>
        <v/>
      </c>
      <c r="F4927" s="11" t="str">
        <f t="shared" si="388"/>
        <v/>
      </c>
      <c r="G4927" s="10" t="str">
        <v/>
      </c>
      <c r="H4927" s="11" t="str">
        <v/>
      </c>
      <c r="I4927" s="11" t="str">
        <v/>
      </c>
    </row>
    <row r="4928" spans="2:9">
      <c r="B4928" s="11" t="str">
        <f t="shared" si="386"/>
        <v/>
      </c>
      <c r="C4928" s="11" t="str">
        <f t="shared" si="389"/>
        <v/>
      </c>
      <c r="D4928" s="11" t="str">
        <f t="shared" si="390"/>
        <v/>
      </c>
      <c r="E4928" s="11" t="str">
        <f t="shared" si="387"/>
        <v/>
      </c>
      <c r="F4928" s="11" t="str">
        <f t="shared" si="388"/>
        <v/>
      </c>
      <c r="G4928" s="10" t="str">
        <v/>
      </c>
      <c r="H4928" s="11" t="str">
        <v/>
      </c>
      <c r="I4928" s="11" t="str">
        <v/>
      </c>
    </row>
    <row r="4929" spans="2:9">
      <c r="B4929" s="11" t="str">
        <f t="shared" ref="B4929:B4992" si="391">IFERROR(IF(FIND(" ",A4929)=6,IF(IFERROR(FIND(" PB",A4929),"")&lt;&gt;"","артикул",IF(IFERROR(FIND(" CRN",A4929),"")&lt;&gt;"","артикул","")),""),"")</f>
        <v/>
      </c>
      <c r="C4929" s="11" t="str">
        <f t="shared" si="389"/>
        <v/>
      </c>
      <c r="D4929" s="11" t="str">
        <f t="shared" si="390"/>
        <v/>
      </c>
      <c r="E4929" s="11" t="str">
        <f t="shared" si="387"/>
        <v/>
      </c>
      <c r="F4929" s="11" t="str">
        <f t="shared" si="388"/>
        <v/>
      </c>
      <c r="G4929" s="10" t="str">
        <v/>
      </c>
      <c r="H4929" s="11" t="str">
        <v/>
      </c>
      <c r="I4929" s="11" t="str">
        <v/>
      </c>
    </row>
    <row r="4930" spans="2:9">
      <c r="B4930" s="11" t="str">
        <f t="shared" si="391"/>
        <v/>
      </c>
      <c r="C4930" s="11" t="str">
        <f t="shared" si="389"/>
        <v/>
      </c>
      <c r="D4930" s="11" t="str">
        <f t="shared" si="390"/>
        <v/>
      </c>
      <c r="E4930" s="11" t="str">
        <f t="shared" ref="E4930:E4993" si="392" xml:space="preserve">
IF(B4930="Артикул",
IF(
AND(RIGHT(A4931,1)="%",
RIGHT(A4932,1)="%",
RIGHT(A4933,1)="%",
RIGHT(A4934,1)="%"),MID(A4935,FIND(" ",A4935),50),
IF(
AND(RIGHT(A4931,1)="%",
RIGHT(A4932,1)="%",
RIGHT(A4933,1)="%"),MID(A4934,FIND(" ",A4934),50),
IF(
AND(RIGHT(A4931,1)="%",
RIGHT(A4932,1)="%"),
MID(A4933,FIND(" ",A4933),50),
IF(
RIGHT(A4931,1)="%",
MID(A4932,FIND(" ",A4932),50),"")))),"")</f>
        <v/>
      </c>
      <c r="F4930" s="11" t="str">
        <f t="shared" ref="F4930:F4993" si="393">IFERROR(
IF(
AND(LEFT(A4930,8)="Discount",FIND("%",A4930)&gt;0),
MID(A4930,
FIND(" ",A4930),
FIND("%",A4930)-FIND(" ",A4930))
*-1,""),"")</f>
        <v/>
      </c>
      <c r="G4930" s="10" t="str">
        <v/>
      </c>
      <c r="H4930" s="11" t="str">
        <v/>
      </c>
      <c r="I4930" s="11" t="str">
        <v/>
      </c>
    </row>
    <row r="4931" spans="2:9">
      <c r="B4931" s="11" t="str">
        <f t="shared" si="391"/>
        <v/>
      </c>
      <c r="C4931" s="11" t="str">
        <f t="shared" si="389"/>
        <v/>
      </c>
      <c r="D4931" s="11" t="str">
        <f t="shared" si="390"/>
        <v/>
      </c>
      <c r="E4931" s="11" t="str">
        <f t="shared" si="392"/>
        <v/>
      </c>
      <c r="F4931" s="11" t="str">
        <f t="shared" si="393"/>
        <v/>
      </c>
      <c r="G4931" s="10" t="str">
        <v/>
      </c>
      <c r="H4931" s="11" t="str">
        <v/>
      </c>
      <c r="I4931" s="11" t="str">
        <v/>
      </c>
    </row>
    <row r="4932" spans="2:9">
      <c r="B4932" s="11" t="str">
        <f t="shared" si="391"/>
        <v/>
      </c>
      <c r="C4932" s="11" t="str">
        <f t="shared" si="389"/>
        <v/>
      </c>
      <c r="D4932" s="11" t="str">
        <f t="shared" si="390"/>
        <v/>
      </c>
      <c r="E4932" s="11" t="str">
        <f t="shared" si="392"/>
        <v/>
      </c>
      <c r="F4932" s="11" t="str">
        <f t="shared" si="393"/>
        <v/>
      </c>
      <c r="G4932" s="10" t="str">
        <v/>
      </c>
      <c r="H4932" s="11" t="str">
        <v/>
      </c>
      <c r="I4932" s="11" t="str">
        <v/>
      </c>
    </row>
    <row r="4933" spans="2:9">
      <c r="B4933" s="11" t="str">
        <f t="shared" si="391"/>
        <v/>
      </c>
      <c r="C4933" s="11" t="str">
        <f t="shared" si="389"/>
        <v/>
      </c>
      <c r="D4933" s="11" t="str">
        <f t="shared" si="390"/>
        <v/>
      </c>
      <c r="E4933" s="11" t="str">
        <f t="shared" si="392"/>
        <v/>
      </c>
      <c r="F4933" s="11" t="str">
        <f t="shared" si="393"/>
        <v/>
      </c>
      <c r="G4933" s="10" t="str">
        <v/>
      </c>
      <c r="H4933" s="11" t="str">
        <v/>
      </c>
      <c r="I4933" s="11" t="str">
        <v/>
      </c>
    </row>
    <row r="4934" spans="2:9">
      <c r="B4934" s="11" t="str">
        <f t="shared" si="391"/>
        <v/>
      </c>
      <c r="C4934" s="11" t="str">
        <f t="shared" si="389"/>
        <v/>
      </c>
      <c r="D4934" s="11" t="str">
        <f t="shared" si="390"/>
        <v/>
      </c>
      <c r="E4934" s="11" t="str">
        <f t="shared" si="392"/>
        <v/>
      </c>
      <c r="F4934" s="11" t="str">
        <f t="shared" si="393"/>
        <v/>
      </c>
      <c r="G4934" s="10" t="str">
        <v/>
      </c>
      <c r="H4934" s="11" t="str">
        <v/>
      </c>
      <c r="I4934" s="11" t="str">
        <v/>
      </c>
    </row>
    <row r="4935" spans="2:9">
      <c r="B4935" s="11" t="str">
        <f t="shared" si="391"/>
        <v/>
      </c>
      <c r="C4935" s="11" t="str">
        <f t="shared" si="389"/>
        <v/>
      </c>
      <c r="D4935" s="11" t="str">
        <f t="shared" si="390"/>
        <v/>
      </c>
      <c r="E4935" s="11" t="str">
        <f t="shared" si="392"/>
        <v/>
      </c>
      <c r="F4935" s="11" t="str">
        <f t="shared" si="393"/>
        <v/>
      </c>
      <c r="G4935" s="10" t="str">
        <v/>
      </c>
      <c r="H4935" s="11" t="str">
        <v/>
      </c>
      <c r="I4935" s="11" t="str">
        <v/>
      </c>
    </row>
    <row r="4936" spans="2:9">
      <c r="B4936" s="11" t="str">
        <f t="shared" si="391"/>
        <v/>
      </c>
      <c r="C4936" s="11" t="str">
        <f t="shared" si="389"/>
        <v/>
      </c>
      <c r="D4936" s="11" t="str">
        <f t="shared" si="390"/>
        <v/>
      </c>
      <c r="E4936" s="11" t="str">
        <f t="shared" si="392"/>
        <v/>
      </c>
      <c r="F4936" s="11" t="str">
        <f t="shared" si="393"/>
        <v/>
      </c>
      <c r="G4936" s="10" t="str">
        <v/>
      </c>
      <c r="H4936" s="11" t="str">
        <v/>
      </c>
      <c r="I4936" s="11" t="str">
        <v/>
      </c>
    </row>
    <row r="4937" spans="2:9">
      <c r="B4937" s="11" t="str">
        <f t="shared" si="391"/>
        <v/>
      </c>
      <c r="C4937" s="11" t="str">
        <f t="shared" si="389"/>
        <v/>
      </c>
      <c r="D4937" s="11" t="str">
        <f t="shared" si="390"/>
        <v/>
      </c>
      <c r="E4937" s="11" t="str">
        <f t="shared" si="392"/>
        <v/>
      </c>
      <c r="F4937" s="11" t="str">
        <f t="shared" si="393"/>
        <v/>
      </c>
      <c r="G4937" s="10" t="str">
        <v/>
      </c>
      <c r="H4937" s="11" t="str">
        <v/>
      </c>
      <c r="I4937" s="11" t="str">
        <v/>
      </c>
    </row>
    <row r="4938" spans="2:9">
      <c r="B4938" s="11" t="str">
        <f t="shared" si="391"/>
        <v/>
      </c>
      <c r="C4938" s="11" t="str">
        <f t="shared" si="389"/>
        <v/>
      </c>
      <c r="D4938" s="11" t="str">
        <f t="shared" si="390"/>
        <v/>
      </c>
      <c r="E4938" s="11" t="str">
        <f t="shared" si="392"/>
        <v/>
      </c>
      <c r="F4938" s="11" t="str">
        <f t="shared" si="393"/>
        <v/>
      </c>
      <c r="G4938" s="10" t="str">
        <v/>
      </c>
      <c r="H4938" s="11" t="str">
        <v/>
      </c>
      <c r="I4938" s="11" t="str">
        <v/>
      </c>
    </row>
    <row r="4939" spans="2:9">
      <c r="B4939" s="11" t="str">
        <f t="shared" si="391"/>
        <v/>
      </c>
      <c r="C4939" s="11" t="str">
        <f t="shared" si="389"/>
        <v/>
      </c>
      <c r="D4939" s="11" t="str">
        <f t="shared" si="390"/>
        <v/>
      </c>
      <c r="E4939" s="11" t="str">
        <f t="shared" si="392"/>
        <v/>
      </c>
      <c r="F4939" s="11" t="str">
        <f t="shared" si="393"/>
        <v/>
      </c>
      <c r="G4939" s="10" t="str">
        <v/>
      </c>
      <c r="H4939" s="11" t="str">
        <v/>
      </c>
      <c r="I4939" s="11" t="str">
        <v/>
      </c>
    </row>
    <row r="4940" spans="2:9">
      <c r="B4940" s="11" t="str">
        <f t="shared" si="391"/>
        <v/>
      </c>
      <c r="C4940" s="11" t="str">
        <f t="shared" si="389"/>
        <v/>
      </c>
      <c r="D4940" s="11" t="str">
        <f t="shared" si="390"/>
        <v/>
      </c>
      <c r="E4940" s="11" t="str">
        <f t="shared" si="392"/>
        <v/>
      </c>
      <c r="F4940" s="11" t="str">
        <f t="shared" si="393"/>
        <v/>
      </c>
      <c r="G4940" s="10" t="str">
        <v/>
      </c>
      <c r="H4940" s="11" t="str">
        <v/>
      </c>
      <c r="I4940" s="11" t="str">
        <v/>
      </c>
    </row>
    <row r="4941" spans="2:9">
      <c r="B4941" s="11" t="str">
        <f t="shared" si="391"/>
        <v/>
      </c>
      <c r="C4941" s="11" t="str">
        <f t="shared" ref="C4941:C5000" si="394">IF(B4941="артикул",A4941,"")</f>
        <v/>
      </c>
      <c r="D4941" s="11" t="str">
        <f t="shared" ref="D4941:D5000" si="395">IF(B4941="артикул",A4942,"")</f>
        <v/>
      </c>
      <c r="E4941" s="11" t="str">
        <f t="shared" si="392"/>
        <v/>
      </c>
      <c r="F4941" s="11" t="str">
        <f t="shared" si="393"/>
        <v/>
      </c>
      <c r="G4941" s="10" t="str">
        <v/>
      </c>
      <c r="H4941" s="11" t="str">
        <v/>
      </c>
      <c r="I4941" s="11" t="str">
        <v/>
      </c>
    </row>
    <row r="4942" spans="2:9">
      <c r="B4942" s="11" t="str">
        <f t="shared" si="391"/>
        <v/>
      </c>
      <c r="C4942" s="11" t="str">
        <f t="shared" si="394"/>
        <v/>
      </c>
      <c r="D4942" s="11" t="str">
        <f t="shared" si="395"/>
        <v/>
      </c>
      <c r="E4942" s="11" t="str">
        <f t="shared" si="392"/>
        <v/>
      </c>
      <c r="F4942" s="11" t="str">
        <f t="shared" si="393"/>
        <v/>
      </c>
      <c r="G4942" s="10" t="str">
        <v/>
      </c>
      <c r="H4942" s="11" t="str">
        <v/>
      </c>
      <c r="I4942" s="11" t="str">
        <v/>
      </c>
    </row>
    <row r="4943" spans="2:9">
      <c r="B4943" s="11" t="str">
        <f t="shared" si="391"/>
        <v/>
      </c>
      <c r="C4943" s="11" t="str">
        <f t="shared" si="394"/>
        <v/>
      </c>
      <c r="D4943" s="11" t="str">
        <f t="shared" si="395"/>
        <v/>
      </c>
      <c r="E4943" s="11" t="str">
        <f t="shared" si="392"/>
        <v/>
      </c>
      <c r="F4943" s="11" t="str">
        <f t="shared" si="393"/>
        <v/>
      </c>
      <c r="G4943" s="10" t="str">
        <v/>
      </c>
      <c r="H4943" s="11" t="str">
        <v/>
      </c>
      <c r="I4943" s="11" t="str">
        <v/>
      </c>
    </row>
    <row r="4944" spans="2:9">
      <c r="B4944" s="11" t="str">
        <f t="shared" si="391"/>
        <v/>
      </c>
      <c r="C4944" s="11" t="str">
        <f t="shared" si="394"/>
        <v/>
      </c>
      <c r="D4944" s="11" t="str">
        <f t="shared" si="395"/>
        <v/>
      </c>
      <c r="E4944" s="11" t="str">
        <f t="shared" si="392"/>
        <v/>
      </c>
      <c r="F4944" s="11" t="str">
        <f t="shared" si="393"/>
        <v/>
      </c>
      <c r="G4944" s="10" t="str">
        <v/>
      </c>
      <c r="H4944" s="11" t="str">
        <v/>
      </c>
      <c r="I4944" s="11" t="str">
        <v/>
      </c>
    </row>
    <row r="4945" spans="2:9">
      <c r="B4945" s="11" t="str">
        <f t="shared" si="391"/>
        <v/>
      </c>
      <c r="C4945" s="11" t="str">
        <f t="shared" si="394"/>
        <v/>
      </c>
      <c r="D4945" s="11" t="str">
        <f t="shared" si="395"/>
        <v/>
      </c>
      <c r="E4945" s="11" t="str">
        <f t="shared" si="392"/>
        <v/>
      </c>
      <c r="F4945" s="11" t="str">
        <f t="shared" si="393"/>
        <v/>
      </c>
      <c r="G4945" s="10" t="str">
        <v/>
      </c>
      <c r="H4945" s="11" t="str">
        <v/>
      </c>
      <c r="I4945" s="11" t="str">
        <v/>
      </c>
    </row>
    <row r="4946" spans="2:9">
      <c r="B4946" s="11" t="str">
        <f t="shared" si="391"/>
        <v/>
      </c>
      <c r="C4946" s="11" t="str">
        <f t="shared" si="394"/>
        <v/>
      </c>
      <c r="D4946" s="11" t="str">
        <f t="shared" si="395"/>
        <v/>
      </c>
      <c r="E4946" s="11" t="str">
        <f t="shared" si="392"/>
        <v/>
      </c>
      <c r="F4946" s="11" t="str">
        <f t="shared" si="393"/>
        <v/>
      </c>
      <c r="G4946" s="10" t="str">
        <v/>
      </c>
      <c r="H4946" s="11" t="str">
        <v/>
      </c>
      <c r="I4946" s="11" t="str">
        <v/>
      </c>
    </row>
    <row r="4947" spans="2:9">
      <c r="B4947" s="11" t="str">
        <f t="shared" si="391"/>
        <v/>
      </c>
      <c r="C4947" s="11" t="str">
        <f t="shared" si="394"/>
        <v/>
      </c>
      <c r="D4947" s="11" t="str">
        <f t="shared" si="395"/>
        <v/>
      </c>
      <c r="E4947" s="11" t="str">
        <f t="shared" si="392"/>
        <v/>
      </c>
      <c r="F4947" s="11" t="str">
        <f t="shared" si="393"/>
        <v/>
      </c>
      <c r="G4947" s="10" t="str">
        <v/>
      </c>
      <c r="H4947" s="11" t="str">
        <v/>
      </c>
      <c r="I4947" s="11" t="str">
        <v/>
      </c>
    </row>
    <row r="4948" spans="2:9">
      <c r="B4948" s="11" t="str">
        <f t="shared" si="391"/>
        <v/>
      </c>
      <c r="C4948" s="11" t="str">
        <f t="shared" si="394"/>
        <v/>
      </c>
      <c r="D4948" s="11" t="str">
        <f t="shared" si="395"/>
        <v/>
      </c>
      <c r="E4948" s="11" t="str">
        <f t="shared" si="392"/>
        <v/>
      </c>
      <c r="F4948" s="11" t="str">
        <f t="shared" si="393"/>
        <v/>
      </c>
      <c r="G4948" s="10" t="str">
        <v/>
      </c>
      <c r="H4948" s="11" t="str">
        <v/>
      </c>
      <c r="I4948" s="11" t="str">
        <v/>
      </c>
    </row>
    <row r="4949" spans="2:9">
      <c r="B4949" s="11" t="str">
        <f t="shared" si="391"/>
        <v/>
      </c>
      <c r="C4949" s="11" t="str">
        <f t="shared" si="394"/>
        <v/>
      </c>
      <c r="D4949" s="11" t="str">
        <f t="shared" si="395"/>
        <v/>
      </c>
      <c r="E4949" s="11" t="str">
        <f t="shared" si="392"/>
        <v/>
      </c>
      <c r="F4949" s="11" t="str">
        <f t="shared" si="393"/>
        <v/>
      </c>
      <c r="G4949" s="10" t="str">
        <v/>
      </c>
      <c r="H4949" s="11" t="str">
        <v/>
      </c>
      <c r="I4949" s="11" t="str">
        <v/>
      </c>
    </row>
    <row r="4950" spans="2:9">
      <c r="B4950" s="11" t="str">
        <f t="shared" si="391"/>
        <v/>
      </c>
      <c r="C4950" s="11" t="str">
        <f t="shared" si="394"/>
        <v/>
      </c>
      <c r="D4950" s="11" t="str">
        <f t="shared" si="395"/>
        <v/>
      </c>
      <c r="E4950" s="11" t="str">
        <f t="shared" si="392"/>
        <v/>
      </c>
      <c r="F4950" s="11" t="str">
        <f t="shared" si="393"/>
        <v/>
      </c>
      <c r="G4950" s="10" t="str">
        <v/>
      </c>
      <c r="H4950" s="11" t="str">
        <v/>
      </c>
      <c r="I4950" s="11" t="str">
        <v/>
      </c>
    </row>
    <row r="4951" spans="2:9">
      <c r="B4951" s="11" t="str">
        <f t="shared" si="391"/>
        <v/>
      </c>
      <c r="C4951" s="11" t="str">
        <f t="shared" si="394"/>
        <v/>
      </c>
      <c r="D4951" s="11" t="str">
        <f t="shared" si="395"/>
        <v/>
      </c>
      <c r="E4951" s="11" t="str">
        <f t="shared" si="392"/>
        <v/>
      </c>
      <c r="F4951" s="11" t="str">
        <f t="shared" si="393"/>
        <v/>
      </c>
      <c r="G4951" s="10" t="str">
        <v/>
      </c>
      <c r="H4951" s="11" t="str">
        <v/>
      </c>
      <c r="I4951" s="11" t="str">
        <v/>
      </c>
    </row>
    <row r="4952" spans="2:9">
      <c r="B4952" s="11" t="str">
        <f t="shared" si="391"/>
        <v/>
      </c>
      <c r="C4952" s="11" t="str">
        <f t="shared" si="394"/>
        <v/>
      </c>
      <c r="D4952" s="11" t="str">
        <f t="shared" si="395"/>
        <v/>
      </c>
      <c r="E4952" s="11" t="str">
        <f t="shared" si="392"/>
        <v/>
      </c>
      <c r="F4952" s="11" t="str">
        <f t="shared" si="393"/>
        <v/>
      </c>
      <c r="G4952" s="10" t="str">
        <v/>
      </c>
      <c r="H4952" s="11" t="str">
        <v/>
      </c>
      <c r="I4952" s="11" t="str">
        <v/>
      </c>
    </row>
    <row r="4953" spans="2:9">
      <c r="B4953" s="11" t="str">
        <f t="shared" si="391"/>
        <v/>
      </c>
      <c r="C4953" s="11" t="str">
        <f t="shared" si="394"/>
        <v/>
      </c>
      <c r="D4953" s="11" t="str">
        <f t="shared" si="395"/>
        <v/>
      </c>
      <c r="E4953" s="11" t="str">
        <f t="shared" si="392"/>
        <v/>
      </c>
      <c r="F4953" s="11" t="str">
        <f t="shared" si="393"/>
        <v/>
      </c>
      <c r="G4953" s="10" t="str">
        <v/>
      </c>
      <c r="H4953" s="11" t="str">
        <v/>
      </c>
      <c r="I4953" s="11" t="str">
        <v/>
      </c>
    </row>
    <row r="4954" spans="2:9">
      <c r="B4954" s="11" t="str">
        <f t="shared" si="391"/>
        <v/>
      </c>
      <c r="C4954" s="11" t="str">
        <f t="shared" si="394"/>
        <v/>
      </c>
      <c r="D4954" s="11" t="str">
        <f t="shared" si="395"/>
        <v/>
      </c>
      <c r="E4954" s="11" t="str">
        <f t="shared" si="392"/>
        <v/>
      </c>
      <c r="F4954" s="11" t="str">
        <f t="shared" si="393"/>
        <v/>
      </c>
      <c r="G4954" s="10" t="str">
        <v/>
      </c>
      <c r="H4954" s="11" t="str">
        <v/>
      </c>
      <c r="I4954" s="11" t="str">
        <v/>
      </c>
    </row>
    <row r="4955" spans="2:9">
      <c r="B4955" s="11" t="str">
        <f t="shared" si="391"/>
        <v/>
      </c>
      <c r="C4955" s="11" t="str">
        <f t="shared" si="394"/>
        <v/>
      </c>
      <c r="D4955" s="11" t="str">
        <f t="shared" si="395"/>
        <v/>
      </c>
      <c r="E4955" s="11" t="str">
        <f t="shared" si="392"/>
        <v/>
      </c>
      <c r="F4955" s="11" t="str">
        <f t="shared" si="393"/>
        <v/>
      </c>
      <c r="G4955" s="10" t="str">
        <v/>
      </c>
      <c r="H4955" s="11" t="str">
        <v/>
      </c>
      <c r="I4955" s="11" t="str">
        <v/>
      </c>
    </row>
    <row r="4956" spans="2:9">
      <c r="B4956" s="11" t="str">
        <f t="shared" si="391"/>
        <v/>
      </c>
      <c r="C4956" s="11" t="str">
        <f t="shared" si="394"/>
        <v/>
      </c>
      <c r="D4956" s="11" t="str">
        <f t="shared" si="395"/>
        <v/>
      </c>
      <c r="E4956" s="11" t="str">
        <f t="shared" si="392"/>
        <v/>
      </c>
      <c r="F4956" s="11" t="str">
        <f t="shared" si="393"/>
        <v/>
      </c>
      <c r="G4956" s="10" t="str">
        <v/>
      </c>
      <c r="H4956" s="11" t="str">
        <v/>
      </c>
      <c r="I4956" s="11" t="str">
        <v/>
      </c>
    </row>
    <row r="4957" spans="2:9">
      <c r="B4957" s="11" t="str">
        <f t="shared" si="391"/>
        <v/>
      </c>
      <c r="C4957" s="11" t="str">
        <f t="shared" si="394"/>
        <v/>
      </c>
      <c r="D4957" s="11" t="str">
        <f t="shared" si="395"/>
        <v/>
      </c>
      <c r="E4957" s="11" t="str">
        <f t="shared" si="392"/>
        <v/>
      </c>
      <c r="F4957" s="11" t="str">
        <f t="shared" si="393"/>
        <v/>
      </c>
      <c r="G4957" s="10" t="str">
        <v/>
      </c>
      <c r="H4957" s="11" t="str">
        <v/>
      </c>
      <c r="I4957" s="11" t="str">
        <v/>
      </c>
    </row>
    <row r="4958" spans="2:9">
      <c r="B4958" s="11" t="str">
        <f t="shared" si="391"/>
        <v/>
      </c>
      <c r="C4958" s="11" t="str">
        <f t="shared" si="394"/>
        <v/>
      </c>
      <c r="D4958" s="11" t="str">
        <f t="shared" si="395"/>
        <v/>
      </c>
      <c r="E4958" s="11" t="str">
        <f t="shared" si="392"/>
        <v/>
      </c>
      <c r="F4958" s="11" t="str">
        <f t="shared" si="393"/>
        <v/>
      </c>
      <c r="G4958" s="10" t="str">
        <v/>
      </c>
      <c r="H4958" s="11" t="str">
        <v/>
      </c>
      <c r="I4958" s="11" t="str">
        <v/>
      </c>
    </row>
    <row r="4959" spans="2:9">
      <c r="B4959" s="11" t="str">
        <f t="shared" si="391"/>
        <v/>
      </c>
      <c r="C4959" s="11" t="str">
        <f t="shared" si="394"/>
        <v/>
      </c>
      <c r="D4959" s="11" t="str">
        <f t="shared" si="395"/>
        <v/>
      </c>
      <c r="E4959" s="11" t="str">
        <f t="shared" si="392"/>
        <v/>
      </c>
      <c r="F4959" s="11" t="str">
        <f t="shared" si="393"/>
        <v/>
      </c>
      <c r="G4959" s="10" t="str">
        <v/>
      </c>
      <c r="H4959" s="11" t="str">
        <v/>
      </c>
      <c r="I4959" s="11" t="str">
        <v/>
      </c>
    </row>
    <row r="4960" spans="2:9">
      <c r="B4960" s="11" t="str">
        <f t="shared" si="391"/>
        <v/>
      </c>
      <c r="C4960" s="11" t="str">
        <f t="shared" si="394"/>
        <v/>
      </c>
      <c r="D4960" s="11" t="str">
        <f t="shared" si="395"/>
        <v/>
      </c>
      <c r="E4960" s="11" t="str">
        <f t="shared" si="392"/>
        <v/>
      </c>
      <c r="F4960" s="11" t="str">
        <f t="shared" si="393"/>
        <v/>
      </c>
      <c r="G4960" s="10" t="str">
        <v/>
      </c>
      <c r="H4960" s="11" t="str">
        <v/>
      </c>
      <c r="I4960" s="11" t="str">
        <v/>
      </c>
    </row>
    <row r="4961" spans="2:9">
      <c r="B4961" s="11" t="str">
        <f t="shared" si="391"/>
        <v/>
      </c>
      <c r="C4961" s="11" t="str">
        <f t="shared" si="394"/>
        <v/>
      </c>
      <c r="D4961" s="11" t="str">
        <f t="shared" si="395"/>
        <v/>
      </c>
      <c r="E4961" s="11" t="str">
        <f t="shared" si="392"/>
        <v/>
      </c>
      <c r="F4961" s="11" t="str">
        <f t="shared" si="393"/>
        <v/>
      </c>
      <c r="G4961" s="10" t="str">
        <v/>
      </c>
      <c r="H4961" s="11" t="str">
        <v/>
      </c>
      <c r="I4961" s="11" t="str">
        <v/>
      </c>
    </row>
    <row r="4962" spans="2:9">
      <c r="B4962" s="11" t="str">
        <f t="shared" si="391"/>
        <v/>
      </c>
      <c r="C4962" s="11" t="str">
        <f t="shared" si="394"/>
        <v/>
      </c>
      <c r="D4962" s="11" t="str">
        <f t="shared" si="395"/>
        <v/>
      </c>
      <c r="E4962" s="11" t="str">
        <f t="shared" si="392"/>
        <v/>
      </c>
      <c r="F4962" s="11" t="str">
        <f t="shared" si="393"/>
        <v/>
      </c>
      <c r="G4962" s="10" t="str">
        <v/>
      </c>
      <c r="H4962" s="11" t="str">
        <v/>
      </c>
      <c r="I4962" s="11" t="str">
        <v/>
      </c>
    </row>
    <row r="4963" spans="2:9">
      <c r="B4963" s="11" t="str">
        <f t="shared" si="391"/>
        <v/>
      </c>
      <c r="C4963" s="11" t="str">
        <f t="shared" si="394"/>
        <v/>
      </c>
      <c r="D4963" s="11" t="str">
        <f t="shared" si="395"/>
        <v/>
      </c>
      <c r="E4963" s="11" t="str">
        <f t="shared" si="392"/>
        <v/>
      </c>
      <c r="F4963" s="11" t="str">
        <f t="shared" si="393"/>
        <v/>
      </c>
      <c r="G4963" s="10" t="str">
        <v/>
      </c>
      <c r="H4963" s="11" t="str">
        <v/>
      </c>
      <c r="I4963" s="11" t="str">
        <v/>
      </c>
    </row>
    <row r="4964" spans="2:9">
      <c r="B4964" s="11" t="str">
        <f t="shared" si="391"/>
        <v/>
      </c>
      <c r="C4964" s="11" t="str">
        <f t="shared" si="394"/>
        <v/>
      </c>
      <c r="D4964" s="11" t="str">
        <f t="shared" si="395"/>
        <v/>
      </c>
      <c r="E4964" s="11" t="str">
        <f t="shared" si="392"/>
        <v/>
      </c>
      <c r="F4964" s="11" t="str">
        <f t="shared" si="393"/>
        <v/>
      </c>
      <c r="G4964" s="10" t="str">
        <v/>
      </c>
      <c r="H4964" s="11" t="str">
        <v/>
      </c>
      <c r="I4964" s="11" t="str">
        <v/>
      </c>
    </row>
    <row r="4965" spans="2:9">
      <c r="B4965" s="11" t="str">
        <f t="shared" si="391"/>
        <v/>
      </c>
      <c r="C4965" s="11" t="str">
        <f t="shared" si="394"/>
        <v/>
      </c>
      <c r="D4965" s="11" t="str">
        <f t="shared" si="395"/>
        <v/>
      </c>
      <c r="E4965" s="11" t="str">
        <f t="shared" si="392"/>
        <v/>
      </c>
      <c r="F4965" s="11" t="str">
        <f t="shared" si="393"/>
        <v/>
      </c>
      <c r="G4965" s="10" t="str">
        <v/>
      </c>
      <c r="H4965" s="11" t="str">
        <v/>
      </c>
      <c r="I4965" s="11" t="str">
        <v/>
      </c>
    </row>
    <row r="4966" spans="2:9">
      <c r="B4966" s="11" t="str">
        <f t="shared" si="391"/>
        <v/>
      </c>
      <c r="C4966" s="11" t="str">
        <f t="shared" si="394"/>
        <v/>
      </c>
      <c r="D4966" s="11" t="str">
        <f t="shared" si="395"/>
        <v/>
      </c>
      <c r="E4966" s="11" t="str">
        <f t="shared" si="392"/>
        <v/>
      </c>
      <c r="F4966" s="11" t="str">
        <f t="shared" si="393"/>
        <v/>
      </c>
      <c r="G4966" s="10" t="str">
        <v/>
      </c>
      <c r="H4966" s="11" t="str">
        <v/>
      </c>
      <c r="I4966" s="11" t="str">
        <v/>
      </c>
    </row>
    <row r="4967" spans="2:9">
      <c r="B4967" s="11" t="str">
        <f t="shared" si="391"/>
        <v/>
      </c>
      <c r="C4967" s="11" t="str">
        <f t="shared" si="394"/>
        <v/>
      </c>
      <c r="D4967" s="11" t="str">
        <f t="shared" si="395"/>
        <v/>
      </c>
      <c r="E4967" s="11" t="str">
        <f t="shared" si="392"/>
        <v/>
      </c>
      <c r="F4967" s="11" t="str">
        <f t="shared" si="393"/>
        <v/>
      </c>
      <c r="G4967" s="10" t="str">
        <v/>
      </c>
      <c r="H4967" s="11" t="str">
        <v/>
      </c>
      <c r="I4967" s="11" t="str">
        <v/>
      </c>
    </row>
    <row r="4968" spans="2:9">
      <c r="B4968" s="11" t="str">
        <f t="shared" si="391"/>
        <v/>
      </c>
      <c r="C4968" s="11" t="str">
        <f t="shared" si="394"/>
        <v/>
      </c>
      <c r="D4968" s="11" t="str">
        <f t="shared" si="395"/>
        <v/>
      </c>
      <c r="E4968" s="11" t="str">
        <f t="shared" si="392"/>
        <v/>
      </c>
      <c r="F4968" s="11" t="str">
        <f t="shared" si="393"/>
        <v/>
      </c>
      <c r="G4968" s="10" t="str">
        <v/>
      </c>
      <c r="H4968" s="11" t="str">
        <v/>
      </c>
      <c r="I4968" s="11" t="str">
        <v/>
      </c>
    </row>
    <row r="4969" spans="2:9">
      <c r="B4969" s="11" t="str">
        <f t="shared" si="391"/>
        <v/>
      </c>
      <c r="C4969" s="11" t="str">
        <f t="shared" si="394"/>
        <v/>
      </c>
      <c r="D4969" s="11" t="str">
        <f t="shared" si="395"/>
        <v/>
      </c>
      <c r="E4969" s="11" t="str">
        <f t="shared" si="392"/>
        <v/>
      </c>
      <c r="F4969" s="11" t="str">
        <f t="shared" si="393"/>
        <v/>
      </c>
      <c r="G4969" s="10" t="str">
        <v/>
      </c>
      <c r="H4969" s="11" t="str">
        <v/>
      </c>
      <c r="I4969" s="11" t="str">
        <v/>
      </c>
    </row>
    <row r="4970" spans="2:9">
      <c r="B4970" s="11" t="str">
        <f t="shared" si="391"/>
        <v/>
      </c>
      <c r="C4970" s="11" t="str">
        <f t="shared" si="394"/>
        <v/>
      </c>
      <c r="D4970" s="11" t="str">
        <f t="shared" si="395"/>
        <v/>
      </c>
      <c r="E4970" s="11" t="str">
        <f t="shared" si="392"/>
        <v/>
      </c>
      <c r="F4970" s="11" t="str">
        <f t="shared" si="393"/>
        <v/>
      </c>
      <c r="G4970" s="10" t="str">
        <v/>
      </c>
      <c r="H4970" s="11" t="str">
        <v/>
      </c>
      <c r="I4970" s="11" t="str">
        <v/>
      </c>
    </row>
    <row r="4971" spans="2:9">
      <c r="B4971" s="11" t="str">
        <f t="shared" si="391"/>
        <v/>
      </c>
      <c r="C4971" s="11" t="str">
        <f t="shared" si="394"/>
        <v/>
      </c>
      <c r="D4971" s="11" t="str">
        <f t="shared" si="395"/>
        <v/>
      </c>
      <c r="E4971" s="11" t="str">
        <f t="shared" si="392"/>
        <v/>
      </c>
      <c r="F4971" s="11" t="str">
        <f t="shared" si="393"/>
        <v/>
      </c>
      <c r="G4971" s="10" t="str">
        <v/>
      </c>
      <c r="H4971" s="11" t="str">
        <v/>
      </c>
      <c r="I4971" s="11" t="str">
        <v/>
      </c>
    </row>
    <row r="4972" spans="2:9">
      <c r="B4972" s="11" t="str">
        <f t="shared" si="391"/>
        <v/>
      </c>
      <c r="C4972" s="11" t="str">
        <f t="shared" si="394"/>
        <v/>
      </c>
      <c r="D4972" s="11" t="str">
        <f t="shared" si="395"/>
        <v/>
      </c>
      <c r="E4972" s="11" t="str">
        <f t="shared" si="392"/>
        <v/>
      </c>
      <c r="F4972" s="11" t="str">
        <f t="shared" si="393"/>
        <v/>
      </c>
      <c r="G4972" s="10" t="str">
        <v/>
      </c>
      <c r="H4972" s="11" t="str">
        <v/>
      </c>
      <c r="I4972" s="11" t="str">
        <v/>
      </c>
    </row>
    <row r="4973" spans="2:9">
      <c r="B4973" s="11" t="str">
        <f t="shared" si="391"/>
        <v/>
      </c>
      <c r="C4973" s="11" t="str">
        <f t="shared" si="394"/>
        <v/>
      </c>
      <c r="D4973" s="11" t="str">
        <f t="shared" si="395"/>
        <v/>
      </c>
      <c r="E4973" s="11" t="str">
        <f t="shared" si="392"/>
        <v/>
      </c>
      <c r="F4973" s="11" t="str">
        <f t="shared" si="393"/>
        <v/>
      </c>
      <c r="G4973" s="10" t="str">
        <v/>
      </c>
      <c r="H4973" s="11" t="str">
        <v/>
      </c>
      <c r="I4973" s="11" t="str">
        <v/>
      </c>
    </row>
    <row r="4974" spans="2:9">
      <c r="B4974" s="11" t="str">
        <f t="shared" si="391"/>
        <v/>
      </c>
      <c r="C4974" s="11" t="str">
        <f t="shared" si="394"/>
        <v/>
      </c>
      <c r="D4974" s="11" t="str">
        <f t="shared" si="395"/>
        <v/>
      </c>
      <c r="E4974" s="11" t="str">
        <f t="shared" si="392"/>
        <v/>
      </c>
      <c r="F4974" s="11" t="str">
        <f t="shared" si="393"/>
        <v/>
      </c>
      <c r="G4974" s="10" t="str">
        <v/>
      </c>
      <c r="H4974" s="11" t="str">
        <v/>
      </c>
      <c r="I4974" s="11" t="str">
        <v/>
      </c>
    </row>
    <row r="4975" spans="2:9">
      <c r="B4975" s="11" t="str">
        <f t="shared" si="391"/>
        <v/>
      </c>
      <c r="C4975" s="11" t="str">
        <f t="shared" si="394"/>
        <v/>
      </c>
      <c r="D4975" s="11" t="str">
        <f t="shared" si="395"/>
        <v/>
      </c>
      <c r="E4975" s="11" t="str">
        <f t="shared" si="392"/>
        <v/>
      </c>
      <c r="F4975" s="11" t="str">
        <f t="shared" si="393"/>
        <v/>
      </c>
      <c r="G4975" s="10" t="str">
        <v/>
      </c>
      <c r="H4975" s="11" t="str">
        <v/>
      </c>
      <c r="I4975" s="11" t="str">
        <v/>
      </c>
    </row>
    <row r="4976" spans="2:9">
      <c r="B4976" s="11" t="str">
        <f t="shared" si="391"/>
        <v/>
      </c>
      <c r="C4976" s="11" t="str">
        <f t="shared" si="394"/>
        <v/>
      </c>
      <c r="D4976" s="11" t="str">
        <f t="shared" si="395"/>
        <v/>
      </c>
      <c r="E4976" s="11" t="str">
        <f t="shared" si="392"/>
        <v/>
      </c>
      <c r="F4976" s="11" t="str">
        <f t="shared" si="393"/>
        <v/>
      </c>
      <c r="G4976" s="10" t="str">
        <v/>
      </c>
      <c r="H4976" s="11" t="str">
        <v/>
      </c>
      <c r="I4976" s="11" t="str">
        <v/>
      </c>
    </row>
    <row r="4977" spans="2:9">
      <c r="B4977" s="11" t="str">
        <f t="shared" si="391"/>
        <v/>
      </c>
      <c r="C4977" s="11" t="str">
        <f t="shared" si="394"/>
        <v/>
      </c>
      <c r="D4977" s="11" t="str">
        <f t="shared" si="395"/>
        <v/>
      </c>
      <c r="E4977" s="11" t="str">
        <f t="shared" si="392"/>
        <v/>
      </c>
      <c r="F4977" s="11" t="str">
        <f t="shared" si="393"/>
        <v/>
      </c>
      <c r="G4977" s="10" t="str">
        <v/>
      </c>
      <c r="H4977" s="11" t="str">
        <v/>
      </c>
      <c r="I4977" s="11" t="str">
        <v/>
      </c>
    </row>
    <row r="4978" spans="2:9">
      <c r="B4978" s="11" t="str">
        <f t="shared" si="391"/>
        <v/>
      </c>
      <c r="C4978" s="11" t="str">
        <f t="shared" si="394"/>
        <v/>
      </c>
      <c r="D4978" s="11" t="str">
        <f t="shared" si="395"/>
        <v/>
      </c>
      <c r="E4978" s="11" t="str">
        <f t="shared" si="392"/>
        <v/>
      </c>
      <c r="F4978" s="11" t="str">
        <f t="shared" si="393"/>
        <v/>
      </c>
      <c r="G4978" s="10" t="str">
        <v/>
      </c>
      <c r="H4978" s="11" t="str">
        <v/>
      </c>
      <c r="I4978" s="11" t="str">
        <v/>
      </c>
    </row>
    <row r="4979" spans="2:9">
      <c r="B4979" s="11" t="str">
        <f t="shared" si="391"/>
        <v/>
      </c>
      <c r="C4979" s="11" t="str">
        <f t="shared" si="394"/>
        <v/>
      </c>
      <c r="D4979" s="11" t="str">
        <f t="shared" si="395"/>
        <v/>
      </c>
      <c r="E4979" s="11" t="str">
        <f t="shared" si="392"/>
        <v/>
      </c>
      <c r="F4979" s="11" t="str">
        <f t="shared" si="393"/>
        <v/>
      </c>
      <c r="G4979" s="10" t="str">
        <v/>
      </c>
      <c r="H4979" s="11" t="str">
        <v/>
      </c>
      <c r="I4979" s="11" t="str">
        <v/>
      </c>
    </row>
    <row r="4980" spans="2:9">
      <c r="B4980" s="11" t="str">
        <f t="shared" si="391"/>
        <v/>
      </c>
      <c r="C4980" s="11" t="str">
        <f t="shared" si="394"/>
        <v/>
      </c>
      <c r="D4980" s="11" t="str">
        <f t="shared" si="395"/>
        <v/>
      </c>
      <c r="E4980" s="11" t="str">
        <f t="shared" si="392"/>
        <v/>
      </c>
      <c r="F4980" s="11" t="str">
        <f t="shared" si="393"/>
        <v/>
      </c>
      <c r="G4980" s="10" t="str">
        <v/>
      </c>
      <c r="H4980" s="11" t="str">
        <v/>
      </c>
      <c r="I4980" s="11" t="str">
        <v/>
      </c>
    </row>
    <row r="4981" spans="2:9">
      <c r="B4981" s="11" t="str">
        <f t="shared" si="391"/>
        <v/>
      </c>
      <c r="C4981" s="11" t="str">
        <f t="shared" si="394"/>
        <v/>
      </c>
      <c r="D4981" s="11" t="str">
        <f t="shared" si="395"/>
        <v/>
      </c>
      <c r="E4981" s="11" t="str">
        <f t="shared" si="392"/>
        <v/>
      </c>
      <c r="F4981" s="11" t="str">
        <f t="shared" si="393"/>
        <v/>
      </c>
      <c r="G4981" s="10" t="str">
        <v/>
      </c>
      <c r="H4981" s="11" t="str">
        <v/>
      </c>
      <c r="I4981" s="11" t="str">
        <v/>
      </c>
    </row>
    <row r="4982" spans="2:9">
      <c r="B4982" s="11" t="str">
        <f t="shared" si="391"/>
        <v/>
      </c>
      <c r="C4982" s="11" t="str">
        <f t="shared" si="394"/>
        <v/>
      </c>
      <c r="D4982" s="11" t="str">
        <f t="shared" si="395"/>
        <v/>
      </c>
      <c r="E4982" s="11" t="str">
        <f t="shared" si="392"/>
        <v/>
      </c>
      <c r="F4982" s="11" t="str">
        <f t="shared" si="393"/>
        <v/>
      </c>
      <c r="G4982" s="10" t="str">
        <v/>
      </c>
      <c r="H4982" s="11" t="str">
        <v/>
      </c>
      <c r="I4982" s="11" t="str">
        <v/>
      </c>
    </row>
    <row r="4983" spans="2:9">
      <c r="B4983" s="11" t="str">
        <f t="shared" si="391"/>
        <v/>
      </c>
      <c r="C4983" s="11" t="str">
        <f t="shared" si="394"/>
        <v/>
      </c>
      <c r="D4983" s="11" t="str">
        <f t="shared" si="395"/>
        <v/>
      </c>
      <c r="E4983" s="11" t="str">
        <f t="shared" si="392"/>
        <v/>
      </c>
      <c r="F4983" s="11" t="str">
        <f t="shared" si="393"/>
        <v/>
      </c>
      <c r="G4983" s="10" t="str">
        <v/>
      </c>
      <c r="H4983" s="11" t="str">
        <v/>
      </c>
      <c r="I4983" s="11" t="str">
        <v/>
      </c>
    </row>
    <row r="4984" spans="2:9">
      <c r="B4984" s="11" t="str">
        <f t="shared" si="391"/>
        <v/>
      </c>
      <c r="C4984" s="11" t="str">
        <f t="shared" si="394"/>
        <v/>
      </c>
      <c r="D4984" s="11" t="str">
        <f t="shared" si="395"/>
        <v/>
      </c>
      <c r="E4984" s="11" t="str">
        <f t="shared" si="392"/>
        <v/>
      </c>
      <c r="F4984" s="11" t="str">
        <f t="shared" si="393"/>
        <v/>
      </c>
      <c r="G4984" s="10" t="str">
        <v/>
      </c>
      <c r="H4984" s="11" t="str">
        <v/>
      </c>
      <c r="I4984" s="11" t="str">
        <v/>
      </c>
    </row>
    <row r="4985" spans="2:9">
      <c r="B4985" s="11" t="str">
        <f t="shared" si="391"/>
        <v/>
      </c>
      <c r="C4985" s="11" t="str">
        <f t="shared" si="394"/>
        <v/>
      </c>
      <c r="D4985" s="11" t="str">
        <f t="shared" si="395"/>
        <v/>
      </c>
      <c r="E4985" s="11" t="str">
        <f t="shared" si="392"/>
        <v/>
      </c>
      <c r="F4985" s="11" t="str">
        <f t="shared" si="393"/>
        <v/>
      </c>
      <c r="G4985" s="10" t="str">
        <v/>
      </c>
      <c r="H4985" s="11" t="str">
        <v/>
      </c>
      <c r="I4985" s="11" t="str">
        <v/>
      </c>
    </row>
    <row r="4986" spans="2:9">
      <c r="B4986" s="11" t="str">
        <f t="shared" si="391"/>
        <v/>
      </c>
      <c r="C4986" s="11" t="str">
        <f t="shared" si="394"/>
        <v/>
      </c>
      <c r="D4986" s="11" t="str">
        <f t="shared" si="395"/>
        <v/>
      </c>
      <c r="E4986" s="11" t="str">
        <f t="shared" si="392"/>
        <v/>
      </c>
      <c r="F4986" s="11" t="str">
        <f t="shared" si="393"/>
        <v/>
      </c>
      <c r="G4986" s="10" t="str">
        <v/>
      </c>
      <c r="H4986" s="11" t="str">
        <v/>
      </c>
      <c r="I4986" s="11" t="str">
        <v/>
      </c>
    </row>
    <row r="4987" spans="2:9">
      <c r="B4987" s="11" t="str">
        <f t="shared" si="391"/>
        <v/>
      </c>
      <c r="C4987" s="11" t="str">
        <f t="shared" si="394"/>
        <v/>
      </c>
      <c r="D4987" s="11" t="str">
        <f t="shared" si="395"/>
        <v/>
      </c>
      <c r="E4987" s="11" t="str">
        <f t="shared" si="392"/>
        <v/>
      </c>
      <c r="F4987" s="11" t="str">
        <f t="shared" si="393"/>
        <v/>
      </c>
      <c r="G4987" s="10" t="str">
        <v/>
      </c>
      <c r="H4987" s="11" t="str">
        <v/>
      </c>
      <c r="I4987" s="11" t="str">
        <v/>
      </c>
    </row>
    <row r="4988" spans="2:9">
      <c r="B4988" s="11" t="str">
        <f t="shared" si="391"/>
        <v/>
      </c>
      <c r="C4988" s="11" t="str">
        <f t="shared" si="394"/>
        <v/>
      </c>
      <c r="D4988" s="11" t="str">
        <f t="shared" si="395"/>
        <v/>
      </c>
      <c r="E4988" s="11" t="str">
        <f t="shared" si="392"/>
        <v/>
      </c>
      <c r="F4988" s="11" t="str">
        <f t="shared" si="393"/>
        <v/>
      </c>
      <c r="G4988" s="10" t="str">
        <v/>
      </c>
      <c r="H4988" s="11" t="str">
        <v/>
      </c>
      <c r="I4988" s="11" t="str">
        <v/>
      </c>
    </row>
    <row r="4989" spans="2:9">
      <c r="B4989" s="11" t="str">
        <f t="shared" si="391"/>
        <v/>
      </c>
      <c r="C4989" s="11" t="str">
        <f t="shared" si="394"/>
        <v/>
      </c>
      <c r="D4989" s="11" t="str">
        <f t="shared" si="395"/>
        <v/>
      </c>
      <c r="E4989" s="11" t="str">
        <f t="shared" si="392"/>
        <v/>
      </c>
      <c r="F4989" s="11" t="str">
        <f t="shared" si="393"/>
        <v/>
      </c>
      <c r="G4989" s="10" t="str">
        <v/>
      </c>
      <c r="H4989" s="11" t="str">
        <v/>
      </c>
      <c r="I4989" s="11" t="str">
        <v/>
      </c>
    </row>
    <row r="4990" spans="2:9">
      <c r="B4990" s="11" t="str">
        <f t="shared" si="391"/>
        <v/>
      </c>
      <c r="C4990" s="11" t="str">
        <f t="shared" si="394"/>
        <v/>
      </c>
      <c r="D4990" s="11" t="str">
        <f t="shared" si="395"/>
        <v/>
      </c>
      <c r="E4990" s="11" t="str">
        <f t="shared" si="392"/>
        <v/>
      </c>
      <c r="F4990" s="11" t="str">
        <f t="shared" si="393"/>
        <v/>
      </c>
      <c r="G4990" s="10" t="str">
        <v/>
      </c>
      <c r="H4990" s="11" t="str">
        <v/>
      </c>
      <c r="I4990" s="11" t="str">
        <v/>
      </c>
    </row>
    <row r="4991" spans="2:9">
      <c r="B4991" s="11" t="str">
        <f t="shared" si="391"/>
        <v/>
      </c>
      <c r="C4991" s="11" t="str">
        <f t="shared" si="394"/>
        <v/>
      </c>
      <c r="D4991" s="11" t="str">
        <f t="shared" si="395"/>
        <v/>
      </c>
      <c r="E4991" s="11" t="str">
        <f t="shared" si="392"/>
        <v/>
      </c>
      <c r="F4991" s="11" t="str">
        <f t="shared" si="393"/>
        <v/>
      </c>
      <c r="G4991" s="10" t="str">
        <v/>
      </c>
      <c r="H4991" s="11" t="str">
        <v/>
      </c>
      <c r="I4991" s="11" t="str">
        <v/>
      </c>
    </row>
    <row r="4992" spans="2:9">
      <c r="B4992" s="11" t="str">
        <f t="shared" si="391"/>
        <v/>
      </c>
      <c r="C4992" s="11" t="str">
        <f t="shared" si="394"/>
        <v/>
      </c>
      <c r="D4992" s="11" t="str">
        <f t="shared" si="395"/>
        <v/>
      </c>
      <c r="E4992" s="11" t="str">
        <f t="shared" si="392"/>
        <v/>
      </c>
      <c r="F4992" s="11" t="str">
        <f t="shared" si="393"/>
        <v/>
      </c>
      <c r="G4992" s="10" t="str">
        <v/>
      </c>
      <c r="H4992" s="11" t="str">
        <v/>
      </c>
      <c r="I4992" s="11" t="str">
        <v/>
      </c>
    </row>
    <row r="4993" spans="2:9">
      <c r="B4993" s="11" t="str">
        <f t="shared" ref="B4993:B5000" si="396">IFERROR(IF(FIND(" ",A4993)=6,IF(IFERROR(FIND(" PB",A4993),"")&lt;&gt;"","артикул",IF(IFERROR(FIND(" CRN",A4993),"")&lt;&gt;"","артикул","")),""),"")</f>
        <v/>
      </c>
      <c r="C4993" s="11" t="str">
        <f t="shared" si="394"/>
        <v/>
      </c>
      <c r="D4993" s="11" t="str">
        <f t="shared" si="395"/>
        <v/>
      </c>
      <c r="E4993" s="11" t="str">
        <f t="shared" si="392"/>
        <v/>
      </c>
      <c r="F4993" s="11" t="str">
        <f t="shared" si="393"/>
        <v/>
      </c>
      <c r="G4993" s="10" t="str">
        <v/>
      </c>
      <c r="H4993" s="11" t="str">
        <v/>
      </c>
      <c r="I4993" s="11" t="str">
        <v/>
      </c>
    </row>
    <row r="4994" spans="2:9">
      <c r="B4994" s="11" t="str">
        <f t="shared" si="396"/>
        <v/>
      </c>
      <c r="C4994" s="11" t="str">
        <f t="shared" si="394"/>
        <v/>
      </c>
      <c r="D4994" s="11" t="str">
        <f t="shared" si="395"/>
        <v/>
      </c>
      <c r="E4994" s="11" t="str">
        <f t="shared" ref="E4994:E5000" si="397" xml:space="preserve">
IF(B4994="Артикул",
IF(
AND(RIGHT(A4995,1)="%",
RIGHT(A4996,1)="%",
RIGHT(A4997,1)="%",
RIGHT(A4998,1)="%"),MID(A4999,FIND(" ",A4999),50),
IF(
AND(RIGHT(A4995,1)="%",
RIGHT(A4996,1)="%",
RIGHT(A4997,1)="%"),MID(A4998,FIND(" ",A4998),50),
IF(
AND(RIGHT(A4995,1)="%",
RIGHT(A4996,1)="%"),
MID(A4997,FIND(" ",A4997),50),
IF(
RIGHT(A4995,1)="%",
MID(A4996,FIND(" ",A4996),50),"")))),"")</f>
        <v/>
      </c>
      <c r="F4994" s="11" t="str">
        <f t="shared" ref="F4994:F5000" si="398">IFERROR(
IF(
AND(LEFT(A4994,8)="Discount",FIND("%",A4994)&gt;0),
MID(A4994,
FIND(" ",A4994),
FIND("%",A4994)-FIND(" ",A4994))
*-1,""),"")</f>
        <v/>
      </c>
      <c r="G4994" s="10" t="str">
        <v/>
      </c>
      <c r="H4994" s="11" t="str">
        <v/>
      </c>
      <c r="I4994" s="11" t="str">
        <v/>
      </c>
    </row>
    <row r="4995" spans="2:9">
      <c r="B4995" s="11" t="str">
        <f t="shared" si="396"/>
        <v/>
      </c>
      <c r="C4995" s="11" t="str">
        <f t="shared" si="394"/>
        <v/>
      </c>
      <c r="D4995" s="11" t="str">
        <f t="shared" si="395"/>
        <v/>
      </c>
      <c r="E4995" s="11" t="str">
        <f t="shared" si="397"/>
        <v/>
      </c>
      <c r="F4995" s="11" t="str">
        <f t="shared" si="398"/>
        <v/>
      </c>
      <c r="G4995" s="10" t="str">
        <v/>
      </c>
      <c r="H4995" s="11" t="str">
        <v/>
      </c>
      <c r="I4995" s="11" t="str">
        <v/>
      </c>
    </row>
    <row r="4996" spans="2:9">
      <c r="B4996" s="11" t="str">
        <f t="shared" si="396"/>
        <v/>
      </c>
      <c r="C4996" s="11" t="str">
        <f t="shared" si="394"/>
        <v/>
      </c>
      <c r="D4996" s="11" t="str">
        <f t="shared" si="395"/>
        <v/>
      </c>
      <c r="E4996" s="11" t="str">
        <f t="shared" si="397"/>
        <v/>
      </c>
      <c r="F4996" s="11" t="str">
        <f t="shared" si="398"/>
        <v/>
      </c>
      <c r="G4996" s="10" t="str">
        <v/>
      </c>
      <c r="H4996" s="11" t="str">
        <v/>
      </c>
      <c r="I4996" s="11" t="str">
        <v/>
      </c>
    </row>
    <row r="4997" spans="2:9">
      <c r="B4997" s="11" t="str">
        <f t="shared" si="396"/>
        <v/>
      </c>
      <c r="C4997" s="11" t="str">
        <f t="shared" si="394"/>
        <v/>
      </c>
      <c r="D4997" s="11" t="str">
        <f t="shared" si="395"/>
        <v/>
      </c>
      <c r="E4997" s="11" t="str">
        <f t="shared" si="397"/>
        <v/>
      </c>
      <c r="F4997" s="11" t="str">
        <f t="shared" si="398"/>
        <v/>
      </c>
      <c r="G4997" s="10" t="str">
        <v/>
      </c>
      <c r="H4997" s="11" t="str">
        <v/>
      </c>
      <c r="I4997" s="11" t="str">
        <v/>
      </c>
    </row>
    <row r="4998" spans="2:9">
      <c r="B4998" s="11" t="str">
        <f t="shared" si="396"/>
        <v/>
      </c>
      <c r="C4998" s="11" t="str">
        <f t="shared" si="394"/>
        <v/>
      </c>
      <c r="D4998" s="11" t="str">
        <f t="shared" si="395"/>
        <v/>
      </c>
      <c r="E4998" s="11" t="str">
        <f t="shared" si="397"/>
        <v/>
      </c>
      <c r="F4998" s="11" t="str">
        <f t="shared" si="398"/>
        <v/>
      </c>
      <c r="G4998" s="10" t="str">
        <v/>
      </c>
      <c r="H4998" s="11" t="str">
        <v/>
      </c>
      <c r="I4998" s="11" t="str">
        <v/>
      </c>
    </row>
    <row r="4999" spans="2:9">
      <c r="B4999" s="11" t="str">
        <f t="shared" si="396"/>
        <v/>
      </c>
      <c r="C4999" s="11" t="str">
        <f t="shared" si="394"/>
        <v/>
      </c>
      <c r="D4999" s="11" t="str">
        <f t="shared" si="395"/>
        <v/>
      </c>
      <c r="E4999" s="11" t="str">
        <f t="shared" si="397"/>
        <v/>
      </c>
      <c r="F4999" s="11" t="str">
        <f t="shared" si="398"/>
        <v/>
      </c>
      <c r="G4999" s="10" t="str">
        <v/>
      </c>
      <c r="H4999" s="11" t="str">
        <v/>
      </c>
      <c r="I4999" s="11" t="str">
        <v/>
      </c>
    </row>
    <row r="5000" spans="2:9">
      <c r="B5000" s="11" t="str">
        <f t="shared" si="396"/>
        <v/>
      </c>
      <c r="C5000" s="11" t="str">
        <f t="shared" si="394"/>
        <v/>
      </c>
      <c r="D5000" s="11" t="str">
        <f t="shared" si="395"/>
        <v/>
      </c>
      <c r="E5000" s="11" t="str">
        <f t="shared" si="397"/>
        <v/>
      </c>
      <c r="F5000" s="11" t="str">
        <f t="shared" si="398"/>
        <v/>
      </c>
      <c r="G5000" s="10" t="str">
        <v/>
      </c>
      <c r="H5000" s="11" t="str">
        <v/>
      </c>
      <c r="I5000" s="11" t="str">
        <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B1:H5000"/>
  <sheetViews>
    <sheetView workbookViewId="0">
      <selection sqref="A1:A1048576"/>
    </sheetView>
  </sheetViews>
  <sheetFormatPr defaultRowHeight="15"/>
  <cols>
    <col min="1" max="1" width="38.7109375" customWidth="1"/>
    <col min="2" max="2" width="8.28515625" style="10" bestFit="1" customWidth="1"/>
    <col min="3" max="3" width="17.7109375" style="10" customWidth="1"/>
    <col min="6" max="6" width="82.7109375" style="10" bestFit="1" customWidth="1"/>
    <col min="7" max="7" width="10.140625" customWidth="1"/>
  </cols>
  <sheetData>
    <row r="1" spans="2:8">
      <c r="B1" s="11" t="str">
        <f t="shared" ref="B1:B64" si="0">IFERROR(IF(FIND(" ",A1)=6,IF(IFERROR(FIND(" PB",A1),"")&lt;&gt;"","артикул",IF(IFERROR(FIND(" CRN",A1),"")&lt;&gt;"","артикул","")),""),"")</f>
        <v/>
      </c>
      <c r="C1" s="11" t="str">
        <f t="shared" ref="C1:C64" si="1">IF(B1="артикул",A1,"")</f>
        <v/>
      </c>
      <c r="F1" s="11" t="str">
        <f t="array" ref="F1:F5000">NoBlanks(Пакинг!$C$2:$C$1000)</f>
        <v/>
      </c>
      <c r="G1" t="e">
        <f>CONCATENATE(LEFT(F1,5),
MID(F1,
SEARCH("\",SUBSTITUTE(F1," ","\",LEN(F1)-LEN(SUBSTITUTE(F1," ",""))-4)),
SEARCH("\",SUBSTITUTE(F1," ","\",LEN(F1)-LEN(SUBSTITUTE(F1," ",""))-3))-
SEARCH("\",SUBSTITUTE(F1," ","\",LEN(F1)-LEN(SUBSTITUTE(F1," ",""))-4)))*1)</f>
        <v>#VALUE!</v>
      </c>
      <c r="H1" s="13" t="e">
        <f t="shared" ref="H1:H65" si="2">SUBSTITUTE(
RIGHT(F1,LEN(F1)-
FIND("\",SUBSTITUTE(F1," ","\",LEN(F1)-LEN(SUBSTITUTE(F1," ",""))))),
".","")</f>
        <v>#VALUE!</v>
      </c>
    </row>
    <row r="2" spans="2:8">
      <c r="B2" s="11" t="str">
        <f t="shared" si="0"/>
        <v/>
      </c>
      <c r="C2" s="11" t="str">
        <f t="shared" si="1"/>
        <v/>
      </c>
      <c r="F2" s="11" t="str">
        <v/>
      </c>
      <c r="G2" t="e">
        <f t="shared" ref="G2:G65" si="3">CONCATENATE(LEFT(F2,5),
MID(F2,
SEARCH("\",SUBSTITUTE(F2," ","\",LEN(F2)-LEN(SUBSTITUTE(F2," ",""))-4)),
SEARCH("\",SUBSTITUTE(F2," ","\",LEN(F2)-LEN(SUBSTITUTE(F2," ",""))-3))-
SEARCH("\",SUBSTITUTE(F2," ","\",LEN(F2)-LEN(SUBSTITUTE(F2," ",""))-4)))*1)</f>
        <v>#VALUE!</v>
      </c>
      <c r="H2" s="13" t="e">
        <f t="shared" si="2"/>
        <v>#VALUE!</v>
      </c>
    </row>
    <row r="3" spans="2:8">
      <c r="B3" s="11" t="str">
        <f t="shared" si="0"/>
        <v/>
      </c>
      <c r="C3" s="11" t="str">
        <f t="shared" si="1"/>
        <v/>
      </c>
      <c r="F3" s="11" t="str">
        <v/>
      </c>
      <c r="G3" t="e">
        <f t="shared" si="3"/>
        <v>#VALUE!</v>
      </c>
      <c r="H3" s="13" t="e">
        <f t="shared" si="2"/>
        <v>#VALUE!</v>
      </c>
    </row>
    <row r="4" spans="2:8">
      <c r="B4" s="11" t="str">
        <f t="shared" si="0"/>
        <v/>
      </c>
      <c r="C4" s="11" t="str">
        <f t="shared" si="1"/>
        <v/>
      </c>
      <c r="F4" s="11" t="str">
        <v/>
      </c>
      <c r="G4" t="e">
        <f t="shared" si="3"/>
        <v>#VALUE!</v>
      </c>
      <c r="H4" s="13" t="e">
        <f t="shared" si="2"/>
        <v>#VALUE!</v>
      </c>
    </row>
    <row r="5" spans="2:8">
      <c r="B5" s="11" t="str">
        <f t="shared" si="0"/>
        <v/>
      </c>
      <c r="C5" s="11" t="str">
        <f t="shared" si="1"/>
        <v/>
      </c>
      <c r="F5" s="11" t="str">
        <v/>
      </c>
      <c r="G5" t="e">
        <f t="shared" si="3"/>
        <v>#VALUE!</v>
      </c>
      <c r="H5" s="13" t="e">
        <f t="shared" si="2"/>
        <v>#VALUE!</v>
      </c>
    </row>
    <row r="6" spans="2:8">
      <c r="B6" s="11" t="str">
        <f t="shared" si="0"/>
        <v/>
      </c>
      <c r="C6" s="11" t="str">
        <f t="shared" si="1"/>
        <v/>
      </c>
      <c r="F6" s="11" t="str">
        <v/>
      </c>
      <c r="G6" t="e">
        <f t="shared" si="3"/>
        <v>#VALUE!</v>
      </c>
      <c r="H6" s="13" t="e">
        <f t="shared" si="2"/>
        <v>#VALUE!</v>
      </c>
    </row>
    <row r="7" spans="2:8">
      <c r="B7" s="11" t="str">
        <f t="shared" si="0"/>
        <v/>
      </c>
      <c r="C7" s="11" t="str">
        <f t="shared" si="1"/>
        <v/>
      </c>
      <c r="F7" s="11" t="str">
        <v/>
      </c>
      <c r="G7" t="e">
        <f t="shared" si="3"/>
        <v>#VALUE!</v>
      </c>
      <c r="H7" s="13" t="e">
        <f t="shared" si="2"/>
        <v>#VALUE!</v>
      </c>
    </row>
    <row r="8" spans="2:8">
      <c r="B8" s="11" t="str">
        <f t="shared" si="0"/>
        <v/>
      </c>
      <c r="C8" s="11" t="str">
        <f t="shared" si="1"/>
        <v/>
      </c>
      <c r="F8" s="11" t="str">
        <v/>
      </c>
      <c r="G8" t="e">
        <f t="shared" si="3"/>
        <v>#VALUE!</v>
      </c>
      <c r="H8" s="13" t="e">
        <f t="shared" si="2"/>
        <v>#VALUE!</v>
      </c>
    </row>
    <row r="9" spans="2:8">
      <c r="B9" s="11" t="str">
        <f t="shared" si="0"/>
        <v/>
      </c>
      <c r="C9" s="11" t="str">
        <f t="shared" si="1"/>
        <v/>
      </c>
      <c r="F9" s="11" t="str">
        <v/>
      </c>
      <c r="G9" t="e">
        <f t="shared" si="3"/>
        <v>#VALUE!</v>
      </c>
      <c r="H9" s="13" t="e">
        <f t="shared" si="2"/>
        <v>#VALUE!</v>
      </c>
    </row>
    <row r="10" spans="2:8">
      <c r="B10" s="11" t="str">
        <f t="shared" si="0"/>
        <v/>
      </c>
      <c r="C10" s="11" t="str">
        <f t="shared" si="1"/>
        <v/>
      </c>
      <c r="F10" s="11" t="str">
        <v/>
      </c>
      <c r="G10" t="e">
        <f t="shared" si="3"/>
        <v>#VALUE!</v>
      </c>
      <c r="H10" s="13" t="e">
        <f t="shared" si="2"/>
        <v>#VALUE!</v>
      </c>
    </row>
    <row r="11" spans="2:8">
      <c r="B11" s="11" t="str">
        <f t="shared" si="0"/>
        <v/>
      </c>
      <c r="C11" s="11" t="str">
        <f t="shared" si="1"/>
        <v/>
      </c>
      <c r="F11" s="11" t="str">
        <v/>
      </c>
      <c r="G11" t="e">
        <f t="shared" si="3"/>
        <v>#VALUE!</v>
      </c>
      <c r="H11" s="13" t="e">
        <f t="shared" si="2"/>
        <v>#VALUE!</v>
      </c>
    </row>
    <row r="12" spans="2:8">
      <c r="B12" s="11" t="str">
        <f t="shared" si="0"/>
        <v/>
      </c>
      <c r="C12" s="11" t="str">
        <f t="shared" si="1"/>
        <v/>
      </c>
      <c r="F12" s="11" t="str">
        <v/>
      </c>
      <c r="G12" t="e">
        <f t="shared" si="3"/>
        <v>#VALUE!</v>
      </c>
      <c r="H12" s="13" t="e">
        <f t="shared" si="2"/>
        <v>#VALUE!</v>
      </c>
    </row>
    <row r="13" spans="2:8">
      <c r="B13" s="11" t="str">
        <f t="shared" si="0"/>
        <v/>
      </c>
      <c r="C13" s="11" t="str">
        <f t="shared" si="1"/>
        <v/>
      </c>
      <c r="F13" s="10" t="str">
        <v/>
      </c>
      <c r="G13" t="e">
        <f t="shared" si="3"/>
        <v>#VALUE!</v>
      </c>
      <c r="H13" s="13" t="e">
        <f t="shared" si="2"/>
        <v>#VALUE!</v>
      </c>
    </row>
    <row r="14" spans="2:8">
      <c r="B14" s="11" t="str">
        <f t="shared" si="0"/>
        <v/>
      </c>
      <c r="C14" s="11" t="str">
        <f t="shared" si="1"/>
        <v/>
      </c>
      <c r="F14" s="10" t="str">
        <v/>
      </c>
      <c r="G14" t="e">
        <f t="shared" si="3"/>
        <v>#VALUE!</v>
      </c>
      <c r="H14" s="13" t="e">
        <f t="shared" si="2"/>
        <v>#VALUE!</v>
      </c>
    </row>
    <row r="15" spans="2:8">
      <c r="B15" s="11" t="str">
        <f t="shared" si="0"/>
        <v/>
      </c>
      <c r="C15" s="11" t="str">
        <f t="shared" si="1"/>
        <v/>
      </c>
      <c r="F15" s="10" t="str">
        <v/>
      </c>
      <c r="G15" t="e">
        <f t="shared" si="3"/>
        <v>#VALUE!</v>
      </c>
      <c r="H15" s="13" t="e">
        <f t="shared" si="2"/>
        <v>#VALUE!</v>
      </c>
    </row>
    <row r="16" spans="2:8">
      <c r="B16" s="11" t="str">
        <f t="shared" si="0"/>
        <v/>
      </c>
      <c r="C16" s="11" t="str">
        <f t="shared" si="1"/>
        <v/>
      </c>
      <c r="F16" s="10" t="str">
        <v/>
      </c>
      <c r="G16" t="e">
        <f t="shared" si="3"/>
        <v>#VALUE!</v>
      </c>
      <c r="H16" s="13" t="e">
        <f t="shared" si="2"/>
        <v>#VALUE!</v>
      </c>
    </row>
    <row r="17" spans="2:8">
      <c r="B17" s="11" t="str">
        <f t="shared" si="0"/>
        <v/>
      </c>
      <c r="C17" s="11" t="str">
        <f t="shared" si="1"/>
        <v/>
      </c>
      <c r="F17" s="10" t="str">
        <v/>
      </c>
      <c r="G17" t="e">
        <f t="shared" si="3"/>
        <v>#VALUE!</v>
      </c>
      <c r="H17" s="13" t="e">
        <f t="shared" si="2"/>
        <v>#VALUE!</v>
      </c>
    </row>
    <row r="18" spans="2:8">
      <c r="B18" s="11" t="str">
        <f t="shared" si="0"/>
        <v/>
      </c>
      <c r="C18" s="11" t="str">
        <f t="shared" si="1"/>
        <v/>
      </c>
      <c r="F18" s="10" t="str">
        <v/>
      </c>
      <c r="G18" t="e">
        <f t="shared" si="3"/>
        <v>#VALUE!</v>
      </c>
      <c r="H18" s="13" t="e">
        <f t="shared" si="2"/>
        <v>#VALUE!</v>
      </c>
    </row>
    <row r="19" spans="2:8">
      <c r="B19" s="11" t="str">
        <f t="shared" si="0"/>
        <v/>
      </c>
      <c r="C19" s="11" t="str">
        <f t="shared" si="1"/>
        <v/>
      </c>
      <c r="F19" s="10" t="str">
        <v/>
      </c>
      <c r="G19" t="e">
        <f t="shared" si="3"/>
        <v>#VALUE!</v>
      </c>
      <c r="H19" s="13" t="e">
        <f t="shared" si="2"/>
        <v>#VALUE!</v>
      </c>
    </row>
    <row r="20" spans="2:8">
      <c r="B20" s="11" t="str">
        <f t="shared" si="0"/>
        <v/>
      </c>
      <c r="C20" s="11" t="str">
        <f t="shared" si="1"/>
        <v/>
      </c>
      <c r="F20" s="10" t="str">
        <v/>
      </c>
      <c r="G20" t="e">
        <f t="shared" si="3"/>
        <v>#VALUE!</v>
      </c>
      <c r="H20" s="13" t="e">
        <f t="shared" si="2"/>
        <v>#VALUE!</v>
      </c>
    </row>
    <row r="21" spans="2:8">
      <c r="B21" s="11" t="str">
        <f t="shared" si="0"/>
        <v/>
      </c>
      <c r="C21" s="11" t="str">
        <f t="shared" si="1"/>
        <v/>
      </c>
      <c r="F21" s="10" t="str">
        <v/>
      </c>
      <c r="G21" t="e">
        <f t="shared" si="3"/>
        <v>#VALUE!</v>
      </c>
      <c r="H21" s="13" t="e">
        <f t="shared" si="2"/>
        <v>#VALUE!</v>
      </c>
    </row>
    <row r="22" spans="2:8">
      <c r="B22" s="11" t="str">
        <f t="shared" si="0"/>
        <v/>
      </c>
      <c r="C22" s="11" t="str">
        <f t="shared" si="1"/>
        <v/>
      </c>
      <c r="F22" s="10" t="str">
        <v/>
      </c>
      <c r="G22" t="e">
        <f t="shared" si="3"/>
        <v>#VALUE!</v>
      </c>
      <c r="H22" s="13" t="e">
        <f t="shared" si="2"/>
        <v>#VALUE!</v>
      </c>
    </row>
    <row r="23" spans="2:8">
      <c r="B23" s="11" t="str">
        <f t="shared" si="0"/>
        <v/>
      </c>
      <c r="C23" s="11" t="str">
        <f t="shared" si="1"/>
        <v/>
      </c>
      <c r="F23" s="10" t="str">
        <v/>
      </c>
      <c r="G23" t="e">
        <f t="shared" si="3"/>
        <v>#VALUE!</v>
      </c>
      <c r="H23" s="13" t="e">
        <f t="shared" si="2"/>
        <v>#VALUE!</v>
      </c>
    </row>
    <row r="24" spans="2:8">
      <c r="B24" s="11" t="str">
        <f t="shared" si="0"/>
        <v/>
      </c>
      <c r="C24" s="11" t="str">
        <f t="shared" si="1"/>
        <v/>
      </c>
      <c r="F24" s="10" t="str">
        <v/>
      </c>
      <c r="G24" t="e">
        <f t="shared" si="3"/>
        <v>#VALUE!</v>
      </c>
      <c r="H24" s="13" t="e">
        <f t="shared" si="2"/>
        <v>#VALUE!</v>
      </c>
    </row>
    <row r="25" spans="2:8">
      <c r="B25" s="11" t="str">
        <f t="shared" si="0"/>
        <v/>
      </c>
      <c r="C25" s="11" t="str">
        <f t="shared" si="1"/>
        <v/>
      </c>
      <c r="F25" s="10" t="str">
        <v/>
      </c>
      <c r="G25" t="e">
        <f t="shared" si="3"/>
        <v>#VALUE!</v>
      </c>
      <c r="H25" s="13" t="e">
        <f t="shared" si="2"/>
        <v>#VALUE!</v>
      </c>
    </row>
    <row r="26" spans="2:8">
      <c r="B26" s="11" t="str">
        <f t="shared" si="0"/>
        <v/>
      </c>
      <c r="C26" s="11" t="str">
        <f t="shared" si="1"/>
        <v/>
      </c>
      <c r="F26" s="10" t="str">
        <v/>
      </c>
      <c r="G26" t="e">
        <f t="shared" si="3"/>
        <v>#VALUE!</v>
      </c>
      <c r="H26" s="13" t="e">
        <f t="shared" si="2"/>
        <v>#VALUE!</v>
      </c>
    </row>
    <row r="27" spans="2:8">
      <c r="B27" s="11" t="str">
        <f t="shared" si="0"/>
        <v/>
      </c>
      <c r="C27" s="11" t="str">
        <f t="shared" si="1"/>
        <v/>
      </c>
      <c r="F27" s="10" t="str">
        <v/>
      </c>
      <c r="G27" t="e">
        <f t="shared" si="3"/>
        <v>#VALUE!</v>
      </c>
      <c r="H27" s="13" t="e">
        <f t="shared" si="2"/>
        <v>#VALUE!</v>
      </c>
    </row>
    <row r="28" spans="2:8">
      <c r="B28" s="11" t="str">
        <f t="shared" si="0"/>
        <v/>
      </c>
      <c r="C28" s="11" t="str">
        <f t="shared" si="1"/>
        <v/>
      </c>
      <c r="F28" s="10" t="str">
        <v/>
      </c>
      <c r="G28" t="e">
        <f t="shared" si="3"/>
        <v>#VALUE!</v>
      </c>
      <c r="H28" s="13" t="e">
        <f t="shared" si="2"/>
        <v>#VALUE!</v>
      </c>
    </row>
    <row r="29" spans="2:8">
      <c r="B29" s="11" t="str">
        <f t="shared" si="0"/>
        <v/>
      </c>
      <c r="C29" s="11" t="str">
        <f t="shared" si="1"/>
        <v/>
      </c>
      <c r="F29" s="10" t="str">
        <v/>
      </c>
      <c r="G29" t="e">
        <f t="shared" si="3"/>
        <v>#VALUE!</v>
      </c>
      <c r="H29" s="13" t="e">
        <f t="shared" si="2"/>
        <v>#VALUE!</v>
      </c>
    </row>
    <row r="30" spans="2:8">
      <c r="B30" s="11" t="str">
        <f t="shared" si="0"/>
        <v/>
      </c>
      <c r="C30" s="11" t="str">
        <f t="shared" si="1"/>
        <v/>
      </c>
      <c r="F30" s="10" t="str">
        <v/>
      </c>
      <c r="G30" t="e">
        <f t="shared" si="3"/>
        <v>#VALUE!</v>
      </c>
      <c r="H30" s="13" t="e">
        <f t="shared" si="2"/>
        <v>#VALUE!</v>
      </c>
    </row>
    <row r="31" spans="2:8">
      <c r="B31" s="11" t="str">
        <f t="shared" si="0"/>
        <v/>
      </c>
      <c r="C31" s="11" t="str">
        <f t="shared" si="1"/>
        <v/>
      </c>
      <c r="F31" s="10" t="str">
        <v/>
      </c>
      <c r="G31" t="e">
        <f t="shared" si="3"/>
        <v>#VALUE!</v>
      </c>
      <c r="H31" s="13" t="e">
        <f t="shared" si="2"/>
        <v>#VALUE!</v>
      </c>
    </row>
    <row r="32" spans="2:8">
      <c r="B32" s="11" t="str">
        <f t="shared" si="0"/>
        <v/>
      </c>
      <c r="C32" s="11" t="str">
        <f t="shared" si="1"/>
        <v/>
      </c>
      <c r="F32" s="10" t="str">
        <v/>
      </c>
      <c r="G32" t="e">
        <f t="shared" si="3"/>
        <v>#VALUE!</v>
      </c>
      <c r="H32" s="13" t="e">
        <f t="shared" si="2"/>
        <v>#VALUE!</v>
      </c>
    </row>
    <row r="33" spans="2:8">
      <c r="B33" s="11" t="str">
        <f t="shared" si="0"/>
        <v/>
      </c>
      <c r="C33" s="11" t="str">
        <f t="shared" si="1"/>
        <v/>
      </c>
      <c r="F33" s="10" t="str">
        <v/>
      </c>
      <c r="G33" t="e">
        <f t="shared" si="3"/>
        <v>#VALUE!</v>
      </c>
      <c r="H33" s="13" t="e">
        <f t="shared" si="2"/>
        <v>#VALUE!</v>
      </c>
    </row>
    <row r="34" spans="2:8">
      <c r="B34" s="11" t="str">
        <f t="shared" si="0"/>
        <v/>
      </c>
      <c r="C34" s="11" t="str">
        <f t="shared" si="1"/>
        <v/>
      </c>
      <c r="F34" s="10" t="str">
        <v/>
      </c>
      <c r="G34" t="e">
        <f t="shared" si="3"/>
        <v>#VALUE!</v>
      </c>
      <c r="H34" s="13" t="e">
        <f t="shared" si="2"/>
        <v>#VALUE!</v>
      </c>
    </row>
    <row r="35" spans="2:8">
      <c r="B35" s="11" t="str">
        <f t="shared" si="0"/>
        <v/>
      </c>
      <c r="C35" s="11" t="str">
        <f t="shared" si="1"/>
        <v/>
      </c>
      <c r="F35" s="10" t="str">
        <v/>
      </c>
      <c r="G35" t="e">
        <f t="shared" si="3"/>
        <v>#VALUE!</v>
      </c>
      <c r="H35" s="13" t="e">
        <f t="shared" si="2"/>
        <v>#VALUE!</v>
      </c>
    </row>
    <row r="36" spans="2:8">
      <c r="B36" s="11" t="str">
        <f t="shared" si="0"/>
        <v/>
      </c>
      <c r="C36" s="11" t="str">
        <f t="shared" si="1"/>
        <v/>
      </c>
      <c r="F36" s="10" t="str">
        <v/>
      </c>
      <c r="G36" t="e">
        <f t="shared" si="3"/>
        <v>#VALUE!</v>
      </c>
      <c r="H36" s="13" t="e">
        <f t="shared" si="2"/>
        <v>#VALUE!</v>
      </c>
    </row>
    <row r="37" spans="2:8">
      <c r="B37" s="11" t="str">
        <f t="shared" si="0"/>
        <v/>
      </c>
      <c r="C37" s="11" t="str">
        <f t="shared" si="1"/>
        <v/>
      </c>
      <c r="F37" s="10" t="str">
        <v/>
      </c>
      <c r="G37" t="e">
        <f t="shared" si="3"/>
        <v>#VALUE!</v>
      </c>
      <c r="H37" s="13" t="e">
        <f t="shared" si="2"/>
        <v>#VALUE!</v>
      </c>
    </row>
    <row r="38" spans="2:8">
      <c r="B38" s="11" t="str">
        <f t="shared" si="0"/>
        <v/>
      </c>
      <c r="C38" s="11" t="str">
        <f t="shared" si="1"/>
        <v/>
      </c>
      <c r="F38" s="10" t="str">
        <v/>
      </c>
      <c r="G38" t="e">
        <f t="shared" si="3"/>
        <v>#VALUE!</v>
      </c>
      <c r="H38" s="13" t="e">
        <f t="shared" si="2"/>
        <v>#VALUE!</v>
      </c>
    </row>
    <row r="39" spans="2:8">
      <c r="B39" s="11" t="str">
        <f t="shared" si="0"/>
        <v/>
      </c>
      <c r="C39" s="11" t="str">
        <f t="shared" si="1"/>
        <v/>
      </c>
      <c r="F39" s="10" t="str">
        <v/>
      </c>
      <c r="G39" t="e">
        <f t="shared" si="3"/>
        <v>#VALUE!</v>
      </c>
      <c r="H39" s="13" t="e">
        <f t="shared" si="2"/>
        <v>#VALUE!</v>
      </c>
    </row>
    <row r="40" spans="2:8">
      <c r="B40" s="11" t="str">
        <f t="shared" si="0"/>
        <v/>
      </c>
      <c r="C40" s="11" t="str">
        <f t="shared" si="1"/>
        <v/>
      </c>
      <c r="F40" s="10" t="str">
        <v/>
      </c>
      <c r="G40" t="e">
        <f t="shared" si="3"/>
        <v>#VALUE!</v>
      </c>
      <c r="H40" s="13" t="e">
        <f t="shared" si="2"/>
        <v>#VALUE!</v>
      </c>
    </row>
    <row r="41" spans="2:8">
      <c r="B41" s="11" t="str">
        <f t="shared" si="0"/>
        <v/>
      </c>
      <c r="C41" s="11" t="str">
        <f t="shared" si="1"/>
        <v/>
      </c>
      <c r="F41" s="10" t="str">
        <v/>
      </c>
      <c r="G41" t="e">
        <f t="shared" si="3"/>
        <v>#VALUE!</v>
      </c>
      <c r="H41" s="13" t="e">
        <f t="shared" si="2"/>
        <v>#VALUE!</v>
      </c>
    </row>
    <row r="42" spans="2:8">
      <c r="B42" s="11" t="str">
        <f t="shared" si="0"/>
        <v/>
      </c>
      <c r="C42" s="11" t="str">
        <f t="shared" si="1"/>
        <v/>
      </c>
      <c r="F42" s="10" t="str">
        <v/>
      </c>
      <c r="G42" t="e">
        <f t="shared" si="3"/>
        <v>#VALUE!</v>
      </c>
      <c r="H42" s="13" t="e">
        <f t="shared" si="2"/>
        <v>#VALUE!</v>
      </c>
    </row>
    <row r="43" spans="2:8">
      <c r="B43" s="11" t="str">
        <f t="shared" si="0"/>
        <v/>
      </c>
      <c r="C43" s="11" t="str">
        <f t="shared" si="1"/>
        <v/>
      </c>
      <c r="F43" s="10" t="str">
        <v/>
      </c>
      <c r="G43" t="e">
        <f t="shared" si="3"/>
        <v>#VALUE!</v>
      </c>
      <c r="H43" s="13" t="e">
        <f t="shared" si="2"/>
        <v>#VALUE!</v>
      </c>
    </row>
    <row r="44" spans="2:8">
      <c r="B44" s="11" t="str">
        <f t="shared" si="0"/>
        <v/>
      </c>
      <c r="C44" s="11" t="str">
        <f t="shared" si="1"/>
        <v/>
      </c>
      <c r="F44" s="10" t="str">
        <v/>
      </c>
      <c r="G44" t="e">
        <f t="shared" si="3"/>
        <v>#VALUE!</v>
      </c>
      <c r="H44" s="13" t="e">
        <f t="shared" si="2"/>
        <v>#VALUE!</v>
      </c>
    </row>
    <row r="45" spans="2:8">
      <c r="B45" s="11" t="str">
        <f t="shared" si="0"/>
        <v/>
      </c>
      <c r="C45" s="11" t="str">
        <f t="shared" si="1"/>
        <v/>
      </c>
      <c r="F45" s="10" t="str">
        <v/>
      </c>
      <c r="G45" t="e">
        <f t="shared" si="3"/>
        <v>#VALUE!</v>
      </c>
      <c r="H45" s="13" t="e">
        <f t="shared" si="2"/>
        <v>#VALUE!</v>
      </c>
    </row>
    <row r="46" spans="2:8">
      <c r="B46" s="11" t="str">
        <f t="shared" si="0"/>
        <v/>
      </c>
      <c r="C46" s="11" t="str">
        <f t="shared" si="1"/>
        <v/>
      </c>
      <c r="F46" s="10" t="str">
        <v/>
      </c>
      <c r="G46" t="e">
        <f t="shared" si="3"/>
        <v>#VALUE!</v>
      </c>
      <c r="H46" s="13" t="e">
        <f t="shared" si="2"/>
        <v>#VALUE!</v>
      </c>
    </row>
    <row r="47" spans="2:8">
      <c r="B47" s="11" t="str">
        <f t="shared" si="0"/>
        <v/>
      </c>
      <c r="C47" s="11" t="str">
        <f t="shared" si="1"/>
        <v/>
      </c>
      <c r="F47" s="10" t="str">
        <v/>
      </c>
      <c r="G47" t="e">
        <f t="shared" si="3"/>
        <v>#VALUE!</v>
      </c>
      <c r="H47" s="13" t="e">
        <f t="shared" si="2"/>
        <v>#VALUE!</v>
      </c>
    </row>
    <row r="48" spans="2:8">
      <c r="B48" s="11" t="str">
        <f t="shared" si="0"/>
        <v/>
      </c>
      <c r="C48" s="11" t="str">
        <f t="shared" si="1"/>
        <v/>
      </c>
      <c r="F48" s="10" t="str">
        <v/>
      </c>
      <c r="G48" t="e">
        <f t="shared" si="3"/>
        <v>#VALUE!</v>
      </c>
      <c r="H48" s="13" t="e">
        <f t="shared" si="2"/>
        <v>#VALUE!</v>
      </c>
    </row>
    <row r="49" spans="2:8">
      <c r="B49" s="11" t="str">
        <f t="shared" si="0"/>
        <v/>
      </c>
      <c r="C49" s="11" t="str">
        <f t="shared" si="1"/>
        <v/>
      </c>
      <c r="F49" s="10" t="str">
        <v/>
      </c>
      <c r="G49" t="e">
        <f t="shared" si="3"/>
        <v>#VALUE!</v>
      </c>
      <c r="H49" s="13" t="e">
        <f t="shared" si="2"/>
        <v>#VALUE!</v>
      </c>
    </row>
    <row r="50" spans="2:8">
      <c r="B50" s="11" t="str">
        <f t="shared" si="0"/>
        <v/>
      </c>
      <c r="C50" s="11" t="str">
        <f t="shared" si="1"/>
        <v/>
      </c>
      <c r="F50" s="10" t="str">
        <v/>
      </c>
      <c r="G50" t="e">
        <f t="shared" si="3"/>
        <v>#VALUE!</v>
      </c>
      <c r="H50" s="13" t="e">
        <f t="shared" si="2"/>
        <v>#VALUE!</v>
      </c>
    </row>
    <row r="51" spans="2:8">
      <c r="B51" s="11" t="str">
        <f t="shared" si="0"/>
        <v/>
      </c>
      <c r="C51" s="11" t="str">
        <f t="shared" si="1"/>
        <v/>
      </c>
      <c r="F51" s="10" t="str">
        <v/>
      </c>
      <c r="G51" t="e">
        <f t="shared" si="3"/>
        <v>#VALUE!</v>
      </c>
      <c r="H51" s="13" t="e">
        <f t="shared" si="2"/>
        <v>#VALUE!</v>
      </c>
    </row>
    <row r="52" spans="2:8">
      <c r="B52" s="11" t="str">
        <f t="shared" si="0"/>
        <v/>
      </c>
      <c r="C52" s="11" t="str">
        <f t="shared" si="1"/>
        <v/>
      </c>
      <c r="F52" s="10" t="str">
        <v/>
      </c>
      <c r="G52" t="e">
        <f t="shared" si="3"/>
        <v>#VALUE!</v>
      </c>
      <c r="H52" s="13" t="e">
        <f t="shared" si="2"/>
        <v>#VALUE!</v>
      </c>
    </row>
    <row r="53" spans="2:8">
      <c r="B53" s="11" t="str">
        <f t="shared" si="0"/>
        <v/>
      </c>
      <c r="C53" s="11" t="str">
        <f t="shared" si="1"/>
        <v/>
      </c>
      <c r="F53" s="10" t="str">
        <v/>
      </c>
      <c r="G53" t="e">
        <f t="shared" si="3"/>
        <v>#VALUE!</v>
      </c>
      <c r="H53" s="13" t="e">
        <f t="shared" si="2"/>
        <v>#VALUE!</v>
      </c>
    </row>
    <row r="54" spans="2:8">
      <c r="B54" s="11" t="str">
        <f t="shared" si="0"/>
        <v/>
      </c>
      <c r="C54" s="11" t="str">
        <f t="shared" si="1"/>
        <v/>
      </c>
      <c r="F54" s="10" t="str">
        <v/>
      </c>
      <c r="G54" t="e">
        <f t="shared" si="3"/>
        <v>#VALUE!</v>
      </c>
      <c r="H54" s="13" t="e">
        <f t="shared" si="2"/>
        <v>#VALUE!</v>
      </c>
    </row>
    <row r="55" spans="2:8">
      <c r="B55" s="11" t="str">
        <f t="shared" si="0"/>
        <v/>
      </c>
      <c r="C55" s="11" t="str">
        <f t="shared" si="1"/>
        <v/>
      </c>
      <c r="F55" s="10" t="str">
        <v/>
      </c>
      <c r="G55" t="e">
        <f t="shared" si="3"/>
        <v>#VALUE!</v>
      </c>
      <c r="H55" s="13" t="e">
        <f t="shared" si="2"/>
        <v>#VALUE!</v>
      </c>
    </row>
    <row r="56" spans="2:8">
      <c r="B56" s="11" t="str">
        <f t="shared" si="0"/>
        <v/>
      </c>
      <c r="C56" s="11" t="str">
        <f t="shared" si="1"/>
        <v/>
      </c>
      <c r="F56" s="10" t="str">
        <v/>
      </c>
      <c r="G56" t="e">
        <f t="shared" si="3"/>
        <v>#VALUE!</v>
      </c>
      <c r="H56" s="13" t="e">
        <f t="shared" si="2"/>
        <v>#VALUE!</v>
      </c>
    </row>
    <row r="57" spans="2:8">
      <c r="B57" s="11" t="str">
        <f t="shared" si="0"/>
        <v/>
      </c>
      <c r="C57" s="11" t="str">
        <f t="shared" si="1"/>
        <v/>
      </c>
      <c r="F57" s="10" t="str">
        <v/>
      </c>
      <c r="G57" t="e">
        <f t="shared" si="3"/>
        <v>#VALUE!</v>
      </c>
      <c r="H57" s="13" t="e">
        <f t="shared" si="2"/>
        <v>#VALUE!</v>
      </c>
    </row>
    <row r="58" spans="2:8">
      <c r="B58" s="11" t="str">
        <f t="shared" si="0"/>
        <v/>
      </c>
      <c r="C58" s="11" t="str">
        <f t="shared" si="1"/>
        <v/>
      </c>
      <c r="F58" s="10" t="str">
        <v/>
      </c>
      <c r="G58" t="e">
        <f t="shared" si="3"/>
        <v>#VALUE!</v>
      </c>
      <c r="H58" s="13" t="e">
        <f t="shared" si="2"/>
        <v>#VALUE!</v>
      </c>
    </row>
    <row r="59" spans="2:8">
      <c r="B59" s="11" t="str">
        <f t="shared" si="0"/>
        <v/>
      </c>
      <c r="C59" s="11" t="str">
        <f t="shared" si="1"/>
        <v/>
      </c>
      <c r="F59" s="10" t="str">
        <v/>
      </c>
      <c r="G59" t="e">
        <f t="shared" si="3"/>
        <v>#VALUE!</v>
      </c>
      <c r="H59" s="13" t="e">
        <f t="shared" si="2"/>
        <v>#VALUE!</v>
      </c>
    </row>
    <row r="60" spans="2:8">
      <c r="B60" s="11" t="str">
        <f t="shared" si="0"/>
        <v/>
      </c>
      <c r="C60" s="11" t="str">
        <f t="shared" si="1"/>
        <v/>
      </c>
      <c r="F60" s="10" t="str">
        <v/>
      </c>
      <c r="G60" t="e">
        <f t="shared" si="3"/>
        <v>#VALUE!</v>
      </c>
      <c r="H60" s="13" t="e">
        <f t="shared" si="2"/>
        <v>#VALUE!</v>
      </c>
    </row>
    <row r="61" spans="2:8">
      <c r="B61" s="11" t="str">
        <f t="shared" si="0"/>
        <v/>
      </c>
      <c r="C61" s="11" t="str">
        <f t="shared" si="1"/>
        <v/>
      </c>
      <c r="F61" s="10" t="str">
        <v/>
      </c>
      <c r="G61" t="e">
        <f t="shared" si="3"/>
        <v>#VALUE!</v>
      </c>
      <c r="H61" s="13" t="e">
        <f t="shared" si="2"/>
        <v>#VALUE!</v>
      </c>
    </row>
    <row r="62" spans="2:8">
      <c r="B62" s="11" t="str">
        <f t="shared" si="0"/>
        <v/>
      </c>
      <c r="C62" s="11" t="str">
        <f t="shared" si="1"/>
        <v/>
      </c>
      <c r="F62" s="10" t="str">
        <v/>
      </c>
      <c r="G62" t="e">
        <f t="shared" si="3"/>
        <v>#VALUE!</v>
      </c>
      <c r="H62" s="13" t="e">
        <f t="shared" si="2"/>
        <v>#VALUE!</v>
      </c>
    </row>
    <row r="63" spans="2:8">
      <c r="B63" s="11" t="str">
        <f t="shared" si="0"/>
        <v/>
      </c>
      <c r="C63" s="11" t="str">
        <f t="shared" si="1"/>
        <v/>
      </c>
      <c r="F63" s="10" t="str">
        <v/>
      </c>
      <c r="G63" t="e">
        <f t="shared" si="3"/>
        <v>#VALUE!</v>
      </c>
      <c r="H63" s="13" t="e">
        <f t="shared" si="2"/>
        <v>#VALUE!</v>
      </c>
    </row>
    <row r="64" spans="2:8">
      <c r="B64" s="11" t="str">
        <f t="shared" si="0"/>
        <v/>
      </c>
      <c r="C64" s="11" t="str">
        <f t="shared" si="1"/>
        <v/>
      </c>
      <c r="F64" s="10" t="str">
        <v/>
      </c>
      <c r="G64" t="e">
        <f t="shared" si="3"/>
        <v>#VALUE!</v>
      </c>
      <c r="H64" s="13" t="e">
        <f t="shared" si="2"/>
        <v>#VALUE!</v>
      </c>
    </row>
    <row r="65" spans="2:8">
      <c r="B65" s="11" t="str">
        <f t="shared" ref="B65:B128" si="4">IFERROR(IF(FIND(" ",A65)=6,IF(IFERROR(FIND(" PB",A65),"")&lt;&gt;"","артикул",IF(IFERROR(FIND(" CRN",A65),"")&lt;&gt;"","артикул","")),""),"")</f>
        <v/>
      </c>
      <c r="C65" s="11" t="str">
        <f t="shared" ref="C65:C128" si="5">IF(B65="артикул",A65,"")</f>
        <v/>
      </c>
      <c r="F65" s="10" t="str">
        <v/>
      </c>
      <c r="G65" t="e">
        <f t="shared" si="3"/>
        <v>#VALUE!</v>
      </c>
      <c r="H65" s="13" t="e">
        <f t="shared" si="2"/>
        <v>#VALUE!</v>
      </c>
    </row>
    <row r="66" spans="2:8">
      <c r="B66" s="11" t="str">
        <f t="shared" si="4"/>
        <v/>
      </c>
      <c r="C66" s="11" t="str">
        <f t="shared" si="5"/>
        <v/>
      </c>
      <c r="F66" s="10" t="str">
        <v/>
      </c>
      <c r="G66" t="e">
        <f t="shared" ref="G66:G129" si="6">CONCATENATE(LEFT(F66,5),
MID(F66,
SEARCH("\",SUBSTITUTE(F66," ","\",LEN(F66)-LEN(SUBSTITUTE(F66," ",""))-4)),
SEARCH("\",SUBSTITUTE(F66," ","\",LEN(F66)-LEN(SUBSTITUTE(F66," ",""))-3))-
SEARCH("\",SUBSTITUTE(F66," ","\",LEN(F66)-LEN(SUBSTITUTE(F66," ",""))-4)))*1)</f>
        <v>#VALUE!</v>
      </c>
      <c r="H66" s="13" t="e">
        <f t="shared" ref="H66:H129" si="7">SUBSTITUTE(
RIGHT(F66,LEN(F66)-
FIND("\",SUBSTITUTE(F66," ","\",LEN(F66)-LEN(SUBSTITUTE(F66," ",""))))),
".","")</f>
        <v>#VALUE!</v>
      </c>
    </row>
    <row r="67" spans="2:8">
      <c r="B67" s="11" t="str">
        <f t="shared" si="4"/>
        <v/>
      </c>
      <c r="C67" s="11" t="str">
        <f t="shared" si="5"/>
        <v/>
      </c>
      <c r="F67" s="10" t="str">
        <v/>
      </c>
      <c r="G67" t="e">
        <f t="shared" si="6"/>
        <v>#VALUE!</v>
      </c>
      <c r="H67" s="13" t="e">
        <f t="shared" si="7"/>
        <v>#VALUE!</v>
      </c>
    </row>
    <row r="68" spans="2:8">
      <c r="B68" s="11" t="str">
        <f t="shared" si="4"/>
        <v/>
      </c>
      <c r="C68" s="11" t="str">
        <f t="shared" si="5"/>
        <v/>
      </c>
      <c r="F68" s="10" t="str">
        <v/>
      </c>
      <c r="G68" t="e">
        <f t="shared" si="6"/>
        <v>#VALUE!</v>
      </c>
      <c r="H68" s="13" t="e">
        <f t="shared" si="7"/>
        <v>#VALUE!</v>
      </c>
    </row>
    <row r="69" spans="2:8">
      <c r="B69" s="11" t="str">
        <f t="shared" si="4"/>
        <v/>
      </c>
      <c r="C69" s="11" t="str">
        <f t="shared" si="5"/>
        <v/>
      </c>
      <c r="F69" s="10" t="str">
        <v/>
      </c>
      <c r="G69" t="e">
        <f t="shared" si="6"/>
        <v>#VALUE!</v>
      </c>
      <c r="H69" s="13" t="e">
        <f t="shared" si="7"/>
        <v>#VALUE!</v>
      </c>
    </row>
    <row r="70" spans="2:8">
      <c r="B70" s="11" t="str">
        <f t="shared" si="4"/>
        <v/>
      </c>
      <c r="C70" s="11" t="str">
        <f t="shared" si="5"/>
        <v/>
      </c>
      <c r="F70" s="10" t="str">
        <v/>
      </c>
      <c r="G70" t="e">
        <f t="shared" si="6"/>
        <v>#VALUE!</v>
      </c>
      <c r="H70" s="13" t="e">
        <f t="shared" si="7"/>
        <v>#VALUE!</v>
      </c>
    </row>
    <row r="71" spans="2:8">
      <c r="B71" s="11" t="str">
        <f t="shared" si="4"/>
        <v/>
      </c>
      <c r="C71" s="11" t="str">
        <f t="shared" si="5"/>
        <v/>
      </c>
      <c r="F71" s="10" t="str">
        <v/>
      </c>
      <c r="G71" t="e">
        <f t="shared" si="6"/>
        <v>#VALUE!</v>
      </c>
      <c r="H71" s="13" t="e">
        <f t="shared" si="7"/>
        <v>#VALUE!</v>
      </c>
    </row>
    <row r="72" spans="2:8">
      <c r="B72" s="11" t="str">
        <f t="shared" si="4"/>
        <v/>
      </c>
      <c r="C72" s="11" t="str">
        <f t="shared" si="5"/>
        <v/>
      </c>
      <c r="F72" s="10" t="str">
        <v/>
      </c>
      <c r="G72" t="e">
        <f t="shared" si="6"/>
        <v>#VALUE!</v>
      </c>
      <c r="H72" s="13" t="e">
        <f t="shared" si="7"/>
        <v>#VALUE!</v>
      </c>
    </row>
    <row r="73" spans="2:8">
      <c r="B73" s="11" t="str">
        <f t="shared" si="4"/>
        <v/>
      </c>
      <c r="C73" s="11" t="str">
        <f t="shared" si="5"/>
        <v/>
      </c>
      <c r="F73" s="10" t="str">
        <v/>
      </c>
      <c r="G73" t="e">
        <f t="shared" si="6"/>
        <v>#VALUE!</v>
      </c>
      <c r="H73" s="13" t="e">
        <f t="shared" si="7"/>
        <v>#VALUE!</v>
      </c>
    </row>
    <row r="74" spans="2:8">
      <c r="B74" s="11" t="str">
        <f t="shared" si="4"/>
        <v/>
      </c>
      <c r="C74" s="11" t="str">
        <f t="shared" si="5"/>
        <v/>
      </c>
      <c r="F74" s="10" t="str">
        <v/>
      </c>
      <c r="G74" t="e">
        <f t="shared" si="6"/>
        <v>#VALUE!</v>
      </c>
      <c r="H74" s="13" t="e">
        <f t="shared" si="7"/>
        <v>#VALUE!</v>
      </c>
    </row>
    <row r="75" spans="2:8">
      <c r="B75" s="11" t="str">
        <f t="shared" si="4"/>
        <v/>
      </c>
      <c r="C75" s="11" t="str">
        <f t="shared" si="5"/>
        <v/>
      </c>
      <c r="F75" s="10" t="str">
        <v/>
      </c>
      <c r="G75" t="e">
        <f t="shared" si="6"/>
        <v>#VALUE!</v>
      </c>
      <c r="H75" s="13" t="e">
        <f t="shared" si="7"/>
        <v>#VALUE!</v>
      </c>
    </row>
    <row r="76" spans="2:8">
      <c r="B76" s="11" t="str">
        <f t="shared" si="4"/>
        <v/>
      </c>
      <c r="C76" s="11" t="str">
        <f t="shared" si="5"/>
        <v/>
      </c>
      <c r="F76" s="10" t="str">
        <v/>
      </c>
      <c r="G76" t="e">
        <f t="shared" si="6"/>
        <v>#VALUE!</v>
      </c>
      <c r="H76" s="13" t="e">
        <f t="shared" si="7"/>
        <v>#VALUE!</v>
      </c>
    </row>
    <row r="77" spans="2:8">
      <c r="B77" s="11" t="str">
        <f t="shared" si="4"/>
        <v/>
      </c>
      <c r="C77" s="11" t="str">
        <f t="shared" si="5"/>
        <v/>
      </c>
      <c r="F77" s="10" t="str">
        <v/>
      </c>
      <c r="G77" t="e">
        <f t="shared" si="6"/>
        <v>#VALUE!</v>
      </c>
      <c r="H77" s="13" t="e">
        <f t="shared" si="7"/>
        <v>#VALUE!</v>
      </c>
    </row>
    <row r="78" spans="2:8">
      <c r="B78" s="11" t="str">
        <f t="shared" si="4"/>
        <v/>
      </c>
      <c r="C78" s="11" t="str">
        <f t="shared" si="5"/>
        <v/>
      </c>
      <c r="F78" s="10" t="str">
        <v/>
      </c>
      <c r="G78" t="e">
        <f t="shared" si="6"/>
        <v>#VALUE!</v>
      </c>
      <c r="H78" s="13" t="e">
        <f t="shared" si="7"/>
        <v>#VALUE!</v>
      </c>
    </row>
    <row r="79" spans="2:8">
      <c r="B79" s="11" t="str">
        <f t="shared" si="4"/>
        <v/>
      </c>
      <c r="C79" s="11" t="str">
        <f t="shared" si="5"/>
        <v/>
      </c>
      <c r="F79" s="10" t="str">
        <v/>
      </c>
      <c r="G79" t="e">
        <f t="shared" si="6"/>
        <v>#VALUE!</v>
      </c>
      <c r="H79" s="13" t="e">
        <f t="shared" si="7"/>
        <v>#VALUE!</v>
      </c>
    </row>
    <row r="80" spans="2:8">
      <c r="B80" s="11" t="str">
        <f t="shared" si="4"/>
        <v/>
      </c>
      <c r="C80" s="11" t="str">
        <f t="shared" si="5"/>
        <v/>
      </c>
      <c r="F80" s="10" t="str">
        <v/>
      </c>
      <c r="G80" t="e">
        <f t="shared" si="6"/>
        <v>#VALUE!</v>
      </c>
      <c r="H80" s="13" t="e">
        <f t="shared" si="7"/>
        <v>#VALUE!</v>
      </c>
    </row>
    <row r="81" spans="2:8">
      <c r="B81" s="11" t="str">
        <f t="shared" si="4"/>
        <v/>
      </c>
      <c r="C81" s="11" t="str">
        <f t="shared" si="5"/>
        <v/>
      </c>
      <c r="F81" s="10" t="str">
        <v/>
      </c>
      <c r="G81" t="e">
        <f t="shared" si="6"/>
        <v>#VALUE!</v>
      </c>
      <c r="H81" s="13" t="e">
        <f t="shared" si="7"/>
        <v>#VALUE!</v>
      </c>
    </row>
    <row r="82" spans="2:8">
      <c r="B82" s="11" t="str">
        <f t="shared" si="4"/>
        <v/>
      </c>
      <c r="C82" s="11" t="str">
        <f t="shared" si="5"/>
        <v/>
      </c>
      <c r="F82" s="10" t="str">
        <v/>
      </c>
      <c r="G82" t="e">
        <f t="shared" si="6"/>
        <v>#VALUE!</v>
      </c>
      <c r="H82" s="13" t="e">
        <f t="shared" si="7"/>
        <v>#VALUE!</v>
      </c>
    </row>
    <row r="83" spans="2:8">
      <c r="B83" s="11" t="str">
        <f t="shared" si="4"/>
        <v/>
      </c>
      <c r="C83" s="11" t="str">
        <f t="shared" si="5"/>
        <v/>
      </c>
      <c r="F83" s="10" t="str">
        <v/>
      </c>
      <c r="G83" t="e">
        <f t="shared" si="6"/>
        <v>#VALUE!</v>
      </c>
      <c r="H83" s="13" t="e">
        <f t="shared" si="7"/>
        <v>#VALUE!</v>
      </c>
    </row>
    <row r="84" spans="2:8">
      <c r="B84" s="11" t="str">
        <f t="shared" si="4"/>
        <v/>
      </c>
      <c r="C84" s="11" t="str">
        <f t="shared" si="5"/>
        <v/>
      </c>
      <c r="F84" s="10" t="str">
        <v/>
      </c>
      <c r="G84" t="e">
        <f t="shared" si="6"/>
        <v>#VALUE!</v>
      </c>
      <c r="H84" s="13" t="e">
        <f t="shared" si="7"/>
        <v>#VALUE!</v>
      </c>
    </row>
    <row r="85" spans="2:8">
      <c r="B85" s="11" t="str">
        <f t="shared" si="4"/>
        <v/>
      </c>
      <c r="C85" s="11" t="str">
        <f t="shared" si="5"/>
        <v/>
      </c>
      <c r="F85" s="10" t="str">
        <v/>
      </c>
      <c r="G85" t="e">
        <f t="shared" si="6"/>
        <v>#VALUE!</v>
      </c>
      <c r="H85" s="13" t="e">
        <f t="shared" si="7"/>
        <v>#VALUE!</v>
      </c>
    </row>
    <row r="86" spans="2:8">
      <c r="B86" s="11" t="str">
        <f t="shared" si="4"/>
        <v/>
      </c>
      <c r="C86" s="11" t="str">
        <f t="shared" si="5"/>
        <v/>
      </c>
      <c r="F86" s="10" t="str">
        <v/>
      </c>
      <c r="G86" t="e">
        <f t="shared" si="6"/>
        <v>#VALUE!</v>
      </c>
      <c r="H86" s="13" t="e">
        <f t="shared" si="7"/>
        <v>#VALUE!</v>
      </c>
    </row>
    <row r="87" spans="2:8">
      <c r="B87" s="11" t="str">
        <f t="shared" si="4"/>
        <v/>
      </c>
      <c r="C87" s="11" t="str">
        <f t="shared" si="5"/>
        <v/>
      </c>
      <c r="F87" s="10" t="str">
        <v/>
      </c>
      <c r="G87" t="e">
        <f t="shared" si="6"/>
        <v>#VALUE!</v>
      </c>
      <c r="H87" s="13" t="e">
        <f t="shared" si="7"/>
        <v>#VALUE!</v>
      </c>
    </row>
    <row r="88" spans="2:8">
      <c r="B88" s="11" t="str">
        <f t="shared" si="4"/>
        <v/>
      </c>
      <c r="C88" s="11" t="str">
        <f t="shared" si="5"/>
        <v/>
      </c>
      <c r="F88" s="10" t="str">
        <v/>
      </c>
      <c r="G88" t="e">
        <f t="shared" si="6"/>
        <v>#VALUE!</v>
      </c>
      <c r="H88" s="13" t="e">
        <f t="shared" si="7"/>
        <v>#VALUE!</v>
      </c>
    </row>
    <row r="89" spans="2:8">
      <c r="B89" s="11" t="str">
        <f t="shared" si="4"/>
        <v/>
      </c>
      <c r="C89" s="11" t="str">
        <f t="shared" si="5"/>
        <v/>
      </c>
      <c r="F89" s="10" t="str">
        <v/>
      </c>
      <c r="G89" t="e">
        <f t="shared" si="6"/>
        <v>#VALUE!</v>
      </c>
      <c r="H89" s="13" t="e">
        <f t="shared" si="7"/>
        <v>#VALUE!</v>
      </c>
    </row>
    <row r="90" spans="2:8">
      <c r="B90" s="11" t="str">
        <f t="shared" si="4"/>
        <v/>
      </c>
      <c r="C90" s="11" t="str">
        <f t="shared" si="5"/>
        <v/>
      </c>
      <c r="F90" s="10" t="str">
        <v/>
      </c>
      <c r="G90" t="e">
        <f t="shared" si="6"/>
        <v>#VALUE!</v>
      </c>
      <c r="H90" s="13" t="e">
        <f t="shared" si="7"/>
        <v>#VALUE!</v>
      </c>
    </row>
    <row r="91" spans="2:8">
      <c r="B91" s="11" t="str">
        <f t="shared" si="4"/>
        <v/>
      </c>
      <c r="C91" s="11" t="str">
        <f t="shared" si="5"/>
        <v/>
      </c>
      <c r="F91" s="10" t="str">
        <v/>
      </c>
      <c r="G91" t="e">
        <f t="shared" si="6"/>
        <v>#VALUE!</v>
      </c>
      <c r="H91" s="13" t="e">
        <f t="shared" si="7"/>
        <v>#VALUE!</v>
      </c>
    </row>
    <row r="92" spans="2:8">
      <c r="B92" s="11" t="str">
        <f t="shared" si="4"/>
        <v/>
      </c>
      <c r="C92" s="11" t="str">
        <f t="shared" si="5"/>
        <v/>
      </c>
      <c r="F92" s="10" t="str">
        <v/>
      </c>
      <c r="G92" t="e">
        <f t="shared" si="6"/>
        <v>#VALUE!</v>
      </c>
      <c r="H92" s="13" t="e">
        <f t="shared" si="7"/>
        <v>#VALUE!</v>
      </c>
    </row>
    <row r="93" spans="2:8">
      <c r="B93" s="11" t="str">
        <f t="shared" si="4"/>
        <v/>
      </c>
      <c r="C93" s="11" t="str">
        <f t="shared" si="5"/>
        <v/>
      </c>
      <c r="F93" s="10" t="str">
        <v/>
      </c>
      <c r="G93" t="e">
        <f t="shared" si="6"/>
        <v>#VALUE!</v>
      </c>
      <c r="H93" s="13" t="e">
        <f t="shared" si="7"/>
        <v>#VALUE!</v>
      </c>
    </row>
    <row r="94" spans="2:8">
      <c r="B94" s="11" t="str">
        <f t="shared" si="4"/>
        <v/>
      </c>
      <c r="C94" s="11" t="str">
        <f t="shared" si="5"/>
        <v/>
      </c>
      <c r="F94" s="10" t="str">
        <v/>
      </c>
      <c r="G94" t="e">
        <f t="shared" si="6"/>
        <v>#VALUE!</v>
      </c>
      <c r="H94" s="13" t="e">
        <f t="shared" si="7"/>
        <v>#VALUE!</v>
      </c>
    </row>
    <row r="95" spans="2:8">
      <c r="B95" s="11" t="str">
        <f t="shared" si="4"/>
        <v/>
      </c>
      <c r="C95" s="11" t="str">
        <f t="shared" si="5"/>
        <v/>
      </c>
      <c r="F95" s="10" t="str">
        <v/>
      </c>
      <c r="G95" t="e">
        <f t="shared" si="6"/>
        <v>#VALUE!</v>
      </c>
      <c r="H95" s="13" t="e">
        <f t="shared" si="7"/>
        <v>#VALUE!</v>
      </c>
    </row>
    <row r="96" spans="2:8">
      <c r="B96" s="11" t="str">
        <f t="shared" si="4"/>
        <v/>
      </c>
      <c r="C96" s="11" t="str">
        <f t="shared" si="5"/>
        <v/>
      </c>
      <c r="F96" s="10" t="str">
        <v/>
      </c>
      <c r="G96" t="e">
        <f t="shared" si="6"/>
        <v>#VALUE!</v>
      </c>
      <c r="H96" s="13" t="e">
        <f t="shared" si="7"/>
        <v>#VALUE!</v>
      </c>
    </row>
    <row r="97" spans="2:8">
      <c r="B97" s="11" t="str">
        <f t="shared" si="4"/>
        <v/>
      </c>
      <c r="C97" s="11" t="str">
        <f t="shared" si="5"/>
        <v/>
      </c>
      <c r="F97" s="10" t="str">
        <v/>
      </c>
      <c r="G97" t="e">
        <f t="shared" si="6"/>
        <v>#VALUE!</v>
      </c>
      <c r="H97" s="13" t="e">
        <f t="shared" si="7"/>
        <v>#VALUE!</v>
      </c>
    </row>
    <row r="98" spans="2:8">
      <c r="B98" s="11" t="str">
        <f t="shared" si="4"/>
        <v/>
      </c>
      <c r="C98" s="11" t="str">
        <f t="shared" si="5"/>
        <v/>
      </c>
      <c r="F98" s="10" t="str">
        <v/>
      </c>
      <c r="G98" t="e">
        <f t="shared" si="6"/>
        <v>#VALUE!</v>
      </c>
      <c r="H98" s="13" t="e">
        <f t="shared" si="7"/>
        <v>#VALUE!</v>
      </c>
    </row>
    <row r="99" spans="2:8">
      <c r="B99" s="11" t="str">
        <f t="shared" si="4"/>
        <v/>
      </c>
      <c r="C99" s="11" t="str">
        <f t="shared" si="5"/>
        <v/>
      </c>
      <c r="F99" s="10" t="str">
        <v/>
      </c>
      <c r="G99" t="e">
        <f t="shared" si="6"/>
        <v>#VALUE!</v>
      </c>
      <c r="H99" s="13" t="e">
        <f t="shared" si="7"/>
        <v>#VALUE!</v>
      </c>
    </row>
    <row r="100" spans="2:8">
      <c r="B100" s="11" t="str">
        <f t="shared" si="4"/>
        <v/>
      </c>
      <c r="C100" s="11" t="str">
        <f t="shared" si="5"/>
        <v/>
      </c>
      <c r="F100" s="10" t="str">
        <v/>
      </c>
      <c r="G100" t="e">
        <f t="shared" si="6"/>
        <v>#VALUE!</v>
      </c>
      <c r="H100" s="13" t="e">
        <f t="shared" si="7"/>
        <v>#VALUE!</v>
      </c>
    </row>
    <row r="101" spans="2:8">
      <c r="B101" s="11" t="str">
        <f t="shared" si="4"/>
        <v/>
      </c>
      <c r="C101" s="11" t="str">
        <f t="shared" si="5"/>
        <v/>
      </c>
      <c r="F101" s="10" t="str">
        <v/>
      </c>
      <c r="G101" t="e">
        <f t="shared" si="6"/>
        <v>#VALUE!</v>
      </c>
      <c r="H101" s="13" t="e">
        <f t="shared" si="7"/>
        <v>#VALUE!</v>
      </c>
    </row>
    <row r="102" spans="2:8">
      <c r="B102" s="11" t="str">
        <f t="shared" si="4"/>
        <v/>
      </c>
      <c r="C102" s="11" t="str">
        <f t="shared" si="5"/>
        <v/>
      </c>
      <c r="F102" s="10" t="str">
        <v/>
      </c>
      <c r="G102" t="e">
        <f t="shared" si="6"/>
        <v>#VALUE!</v>
      </c>
      <c r="H102" s="13" t="e">
        <f t="shared" si="7"/>
        <v>#VALUE!</v>
      </c>
    </row>
    <row r="103" spans="2:8">
      <c r="B103" s="11" t="str">
        <f t="shared" si="4"/>
        <v/>
      </c>
      <c r="C103" s="11" t="str">
        <f t="shared" si="5"/>
        <v/>
      </c>
      <c r="F103" s="10" t="str">
        <v/>
      </c>
      <c r="G103" t="e">
        <f t="shared" si="6"/>
        <v>#VALUE!</v>
      </c>
      <c r="H103" s="13" t="e">
        <f t="shared" si="7"/>
        <v>#VALUE!</v>
      </c>
    </row>
    <row r="104" spans="2:8">
      <c r="B104" s="11" t="str">
        <f t="shared" si="4"/>
        <v/>
      </c>
      <c r="C104" s="11" t="str">
        <f t="shared" si="5"/>
        <v/>
      </c>
      <c r="F104" s="10" t="str">
        <v/>
      </c>
      <c r="G104" t="e">
        <f t="shared" si="6"/>
        <v>#VALUE!</v>
      </c>
      <c r="H104" s="13" t="e">
        <f t="shared" si="7"/>
        <v>#VALUE!</v>
      </c>
    </row>
    <row r="105" spans="2:8">
      <c r="B105" s="11" t="str">
        <f t="shared" si="4"/>
        <v/>
      </c>
      <c r="C105" s="11" t="str">
        <f t="shared" si="5"/>
        <v/>
      </c>
      <c r="F105" s="10" t="str">
        <v/>
      </c>
      <c r="G105" t="e">
        <f t="shared" si="6"/>
        <v>#VALUE!</v>
      </c>
      <c r="H105" s="13" t="e">
        <f t="shared" si="7"/>
        <v>#VALUE!</v>
      </c>
    </row>
    <row r="106" spans="2:8">
      <c r="B106" s="11" t="str">
        <f t="shared" si="4"/>
        <v/>
      </c>
      <c r="C106" s="11" t="str">
        <f t="shared" si="5"/>
        <v/>
      </c>
      <c r="F106" s="10" t="str">
        <v/>
      </c>
      <c r="G106" t="e">
        <f t="shared" si="6"/>
        <v>#VALUE!</v>
      </c>
      <c r="H106" s="13" t="e">
        <f t="shared" si="7"/>
        <v>#VALUE!</v>
      </c>
    </row>
    <row r="107" spans="2:8">
      <c r="B107" s="11" t="str">
        <f t="shared" si="4"/>
        <v/>
      </c>
      <c r="C107" s="11" t="str">
        <f t="shared" si="5"/>
        <v/>
      </c>
      <c r="F107" s="10" t="str">
        <v/>
      </c>
      <c r="G107" t="e">
        <f t="shared" si="6"/>
        <v>#VALUE!</v>
      </c>
      <c r="H107" s="13" t="e">
        <f t="shared" si="7"/>
        <v>#VALUE!</v>
      </c>
    </row>
    <row r="108" spans="2:8">
      <c r="B108" s="11" t="str">
        <f t="shared" si="4"/>
        <v/>
      </c>
      <c r="C108" s="11" t="str">
        <f t="shared" si="5"/>
        <v/>
      </c>
      <c r="F108" s="10" t="str">
        <v/>
      </c>
      <c r="G108" t="e">
        <f t="shared" si="6"/>
        <v>#VALUE!</v>
      </c>
      <c r="H108" s="13" t="e">
        <f t="shared" si="7"/>
        <v>#VALUE!</v>
      </c>
    </row>
    <row r="109" spans="2:8">
      <c r="B109" s="11" t="str">
        <f t="shared" si="4"/>
        <v/>
      </c>
      <c r="C109" s="11" t="str">
        <f t="shared" si="5"/>
        <v/>
      </c>
      <c r="F109" s="10" t="str">
        <v/>
      </c>
      <c r="G109" t="e">
        <f t="shared" si="6"/>
        <v>#VALUE!</v>
      </c>
      <c r="H109" s="13" t="e">
        <f t="shared" si="7"/>
        <v>#VALUE!</v>
      </c>
    </row>
    <row r="110" spans="2:8">
      <c r="B110" s="11" t="str">
        <f t="shared" si="4"/>
        <v/>
      </c>
      <c r="C110" s="11" t="str">
        <f t="shared" si="5"/>
        <v/>
      </c>
      <c r="F110" s="10" t="str">
        <v/>
      </c>
      <c r="G110" t="e">
        <f t="shared" si="6"/>
        <v>#VALUE!</v>
      </c>
      <c r="H110" s="13" t="e">
        <f t="shared" si="7"/>
        <v>#VALUE!</v>
      </c>
    </row>
    <row r="111" spans="2:8">
      <c r="B111" s="11" t="str">
        <f t="shared" si="4"/>
        <v/>
      </c>
      <c r="C111" s="11" t="str">
        <f t="shared" si="5"/>
        <v/>
      </c>
      <c r="F111" s="10" t="str">
        <v/>
      </c>
      <c r="G111" t="e">
        <f t="shared" si="6"/>
        <v>#VALUE!</v>
      </c>
      <c r="H111" s="13" t="e">
        <f t="shared" si="7"/>
        <v>#VALUE!</v>
      </c>
    </row>
    <row r="112" spans="2:8">
      <c r="B112" s="11" t="str">
        <f t="shared" si="4"/>
        <v/>
      </c>
      <c r="C112" s="11" t="str">
        <f t="shared" si="5"/>
        <v/>
      </c>
      <c r="F112" s="10" t="str">
        <v/>
      </c>
      <c r="G112" t="e">
        <f t="shared" si="6"/>
        <v>#VALUE!</v>
      </c>
      <c r="H112" s="13" t="e">
        <f t="shared" si="7"/>
        <v>#VALUE!</v>
      </c>
    </row>
    <row r="113" spans="2:8">
      <c r="B113" s="11" t="str">
        <f t="shared" si="4"/>
        <v/>
      </c>
      <c r="C113" s="11" t="str">
        <f t="shared" si="5"/>
        <v/>
      </c>
      <c r="F113" s="10" t="str">
        <v/>
      </c>
      <c r="G113" t="e">
        <f t="shared" si="6"/>
        <v>#VALUE!</v>
      </c>
      <c r="H113" s="13" t="e">
        <f t="shared" si="7"/>
        <v>#VALUE!</v>
      </c>
    </row>
    <row r="114" spans="2:8">
      <c r="B114" s="11" t="str">
        <f t="shared" si="4"/>
        <v/>
      </c>
      <c r="C114" s="11" t="str">
        <f t="shared" si="5"/>
        <v/>
      </c>
      <c r="F114" s="10" t="str">
        <v/>
      </c>
      <c r="G114" t="e">
        <f t="shared" si="6"/>
        <v>#VALUE!</v>
      </c>
      <c r="H114" s="13" t="e">
        <f t="shared" si="7"/>
        <v>#VALUE!</v>
      </c>
    </row>
    <row r="115" spans="2:8">
      <c r="B115" s="11" t="str">
        <f t="shared" si="4"/>
        <v/>
      </c>
      <c r="C115" s="11" t="str">
        <f t="shared" si="5"/>
        <v/>
      </c>
      <c r="F115" s="10" t="str">
        <v/>
      </c>
      <c r="G115" t="e">
        <f t="shared" si="6"/>
        <v>#VALUE!</v>
      </c>
      <c r="H115" s="13" t="e">
        <f t="shared" si="7"/>
        <v>#VALUE!</v>
      </c>
    </row>
    <row r="116" spans="2:8">
      <c r="B116" s="11" t="str">
        <f t="shared" si="4"/>
        <v/>
      </c>
      <c r="C116" s="11" t="str">
        <f t="shared" si="5"/>
        <v/>
      </c>
      <c r="F116" s="10" t="str">
        <v/>
      </c>
      <c r="G116" t="e">
        <f t="shared" si="6"/>
        <v>#VALUE!</v>
      </c>
      <c r="H116" s="13" t="e">
        <f t="shared" si="7"/>
        <v>#VALUE!</v>
      </c>
    </row>
    <row r="117" spans="2:8">
      <c r="B117" s="11" t="str">
        <f t="shared" si="4"/>
        <v/>
      </c>
      <c r="C117" s="11" t="str">
        <f t="shared" si="5"/>
        <v/>
      </c>
      <c r="F117" s="10" t="str">
        <v/>
      </c>
      <c r="G117" t="e">
        <f t="shared" si="6"/>
        <v>#VALUE!</v>
      </c>
      <c r="H117" s="13" t="e">
        <f t="shared" si="7"/>
        <v>#VALUE!</v>
      </c>
    </row>
    <row r="118" spans="2:8">
      <c r="B118" s="11" t="str">
        <f t="shared" si="4"/>
        <v/>
      </c>
      <c r="C118" s="11" t="str">
        <f t="shared" si="5"/>
        <v/>
      </c>
      <c r="F118" s="10" t="str">
        <v/>
      </c>
      <c r="G118" t="e">
        <f t="shared" si="6"/>
        <v>#VALUE!</v>
      </c>
      <c r="H118" s="13" t="e">
        <f t="shared" si="7"/>
        <v>#VALUE!</v>
      </c>
    </row>
    <row r="119" spans="2:8">
      <c r="B119" s="11" t="str">
        <f t="shared" si="4"/>
        <v/>
      </c>
      <c r="C119" s="11" t="str">
        <f t="shared" si="5"/>
        <v/>
      </c>
      <c r="F119" s="10" t="str">
        <v/>
      </c>
      <c r="G119" t="e">
        <f t="shared" si="6"/>
        <v>#VALUE!</v>
      </c>
      <c r="H119" s="13" t="e">
        <f t="shared" si="7"/>
        <v>#VALUE!</v>
      </c>
    </row>
    <row r="120" spans="2:8">
      <c r="B120" s="11" t="str">
        <f t="shared" si="4"/>
        <v/>
      </c>
      <c r="C120" s="11" t="str">
        <f t="shared" si="5"/>
        <v/>
      </c>
      <c r="F120" s="10" t="str">
        <v/>
      </c>
      <c r="G120" t="e">
        <f t="shared" si="6"/>
        <v>#VALUE!</v>
      </c>
      <c r="H120" s="13" t="e">
        <f t="shared" si="7"/>
        <v>#VALUE!</v>
      </c>
    </row>
    <row r="121" spans="2:8">
      <c r="B121" s="11" t="str">
        <f t="shared" si="4"/>
        <v/>
      </c>
      <c r="C121" s="11" t="str">
        <f t="shared" si="5"/>
        <v/>
      </c>
      <c r="F121" s="10" t="str">
        <v/>
      </c>
      <c r="G121" t="e">
        <f t="shared" si="6"/>
        <v>#VALUE!</v>
      </c>
      <c r="H121" s="13" t="e">
        <f t="shared" si="7"/>
        <v>#VALUE!</v>
      </c>
    </row>
    <row r="122" spans="2:8">
      <c r="B122" s="11" t="str">
        <f t="shared" si="4"/>
        <v/>
      </c>
      <c r="C122" s="11" t="str">
        <f t="shared" si="5"/>
        <v/>
      </c>
      <c r="F122" s="10" t="str">
        <v/>
      </c>
      <c r="G122" t="e">
        <f t="shared" si="6"/>
        <v>#VALUE!</v>
      </c>
      <c r="H122" s="13" t="e">
        <f t="shared" si="7"/>
        <v>#VALUE!</v>
      </c>
    </row>
    <row r="123" spans="2:8">
      <c r="B123" s="11" t="str">
        <f t="shared" si="4"/>
        <v/>
      </c>
      <c r="C123" s="11" t="str">
        <f t="shared" si="5"/>
        <v/>
      </c>
      <c r="F123" s="10" t="str">
        <v/>
      </c>
      <c r="G123" t="e">
        <f t="shared" si="6"/>
        <v>#VALUE!</v>
      </c>
      <c r="H123" s="13" t="e">
        <f t="shared" si="7"/>
        <v>#VALUE!</v>
      </c>
    </row>
    <row r="124" spans="2:8">
      <c r="B124" s="11" t="str">
        <f t="shared" si="4"/>
        <v/>
      </c>
      <c r="C124" s="11" t="str">
        <f t="shared" si="5"/>
        <v/>
      </c>
      <c r="F124" s="10" t="str">
        <v/>
      </c>
      <c r="G124" t="e">
        <f t="shared" si="6"/>
        <v>#VALUE!</v>
      </c>
      <c r="H124" s="13" t="e">
        <f t="shared" si="7"/>
        <v>#VALUE!</v>
      </c>
    </row>
    <row r="125" spans="2:8">
      <c r="B125" s="11" t="str">
        <f t="shared" si="4"/>
        <v/>
      </c>
      <c r="C125" s="11" t="str">
        <f t="shared" si="5"/>
        <v/>
      </c>
      <c r="F125" s="10" t="str">
        <v/>
      </c>
      <c r="G125" t="e">
        <f t="shared" si="6"/>
        <v>#VALUE!</v>
      </c>
      <c r="H125" s="13" t="e">
        <f t="shared" si="7"/>
        <v>#VALUE!</v>
      </c>
    </row>
    <row r="126" spans="2:8">
      <c r="B126" s="11" t="str">
        <f t="shared" si="4"/>
        <v/>
      </c>
      <c r="C126" s="11" t="str">
        <f t="shared" si="5"/>
        <v/>
      </c>
      <c r="F126" s="10" t="str">
        <v/>
      </c>
      <c r="G126" t="e">
        <f t="shared" si="6"/>
        <v>#VALUE!</v>
      </c>
      <c r="H126" s="13" t="e">
        <f t="shared" si="7"/>
        <v>#VALUE!</v>
      </c>
    </row>
    <row r="127" spans="2:8">
      <c r="B127" s="11" t="str">
        <f t="shared" si="4"/>
        <v/>
      </c>
      <c r="C127" s="11" t="str">
        <f t="shared" si="5"/>
        <v/>
      </c>
      <c r="F127" s="10" t="str">
        <v/>
      </c>
      <c r="G127" t="e">
        <f t="shared" si="6"/>
        <v>#VALUE!</v>
      </c>
      <c r="H127" s="13" t="e">
        <f t="shared" si="7"/>
        <v>#VALUE!</v>
      </c>
    </row>
    <row r="128" spans="2:8">
      <c r="B128" s="11" t="str">
        <f t="shared" si="4"/>
        <v/>
      </c>
      <c r="C128" s="11" t="str">
        <f t="shared" si="5"/>
        <v/>
      </c>
      <c r="F128" s="10" t="str">
        <v/>
      </c>
      <c r="G128" t="e">
        <f t="shared" si="6"/>
        <v>#VALUE!</v>
      </c>
      <c r="H128" s="13" t="e">
        <f t="shared" si="7"/>
        <v>#VALUE!</v>
      </c>
    </row>
    <row r="129" spans="2:8">
      <c r="B129" s="11" t="str">
        <f t="shared" ref="B129:B192" si="8">IFERROR(IF(FIND(" ",A129)=6,IF(IFERROR(FIND(" PB",A129),"")&lt;&gt;"","артикул",IF(IFERROR(FIND(" CRN",A129),"")&lt;&gt;"","артикул","")),""),"")</f>
        <v/>
      </c>
      <c r="C129" s="11" t="str">
        <f t="shared" ref="C129:C167" si="9">IF(B129="артикул",A129,"")</f>
        <v/>
      </c>
      <c r="F129" s="10" t="str">
        <v/>
      </c>
      <c r="G129" t="e">
        <f t="shared" si="6"/>
        <v>#VALUE!</v>
      </c>
      <c r="H129" s="13" t="e">
        <f t="shared" si="7"/>
        <v>#VALUE!</v>
      </c>
    </row>
    <row r="130" spans="2:8">
      <c r="B130" s="11" t="str">
        <f t="shared" si="8"/>
        <v/>
      </c>
      <c r="C130" s="11" t="str">
        <f t="shared" si="9"/>
        <v/>
      </c>
      <c r="F130" s="10" t="str">
        <v/>
      </c>
      <c r="G130" t="e">
        <f t="shared" ref="G130:G193" si="10">CONCATENATE(LEFT(F130,5),
MID(F130,
SEARCH("\",SUBSTITUTE(F130," ","\",LEN(F130)-LEN(SUBSTITUTE(F130," ",""))-4)),
SEARCH("\",SUBSTITUTE(F130," ","\",LEN(F130)-LEN(SUBSTITUTE(F130," ",""))-3))-
SEARCH("\",SUBSTITUTE(F130," ","\",LEN(F130)-LEN(SUBSTITUTE(F130," ",""))-4)))*1)</f>
        <v>#VALUE!</v>
      </c>
      <c r="H130" s="13" t="e">
        <f t="shared" ref="H130:H193" si="11">SUBSTITUTE(
RIGHT(F130,LEN(F130)-
FIND("\",SUBSTITUTE(F130," ","\",LEN(F130)-LEN(SUBSTITUTE(F130," ",""))))),
".","")</f>
        <v>#VALUE!</v>
      </c>
    </row>
    <row r="131" spans="2:8">
      <c r="B131" s="11" t="str">
        <f t="shared" si="8"/>
        <v/>
      </c>
      <c r="C131" s="11" t="str">
        <f t="shared" si="9"/>
        <v/>
      </c>
      <c r="F131" s="10" t="str">
        <v/>
      </c>
      <c r="G131" t="e">
        <f t="shared" si="10"/>
        <v>#VALUE!</v>
      </c>
      <c r="H131" s="13" t="e">
        <f t="shared" si="11"/>
        <v>#VALUE!</v>
      </c>
    </row>
    <row r="132" spans="2:8">
      <c r="B132" s="11" t="str">
        <f t="shared" si="8"/>
        <v/>
      </c>
      <c r="C132" s="11" t="str">
        <f t="shared" si="9"/>
        <v/>
      </c>
      <c r="F132" s="10" t="str">
        <v/>
      </c>
      <c r="G132" t="e">
        <f t="shared" si="10"/>
        <v>#VALUE!</v>
      </c>
      <c r="H132" s="13" t="e">
        <f t="shared" si="11"/>
        <v>#VALUE!</v>
      </c>
    </row>
    <row r="133" spans="2:8">
      <c r="B133" s="11" t="str">
        <f t="shared" si="8"/>
        <v/>
      </c>
      <c r="C133" s="11" t="str">
        <f t="shared" si="9"/>
        <v/>
      </c>
      <c r="F133" s="10" t="str">
        <v/>
      </c>
      <c r="G133" t="e">
        <f t="shared" si="10"/>
        <v>#VALUE!</v>
      </c>
      <c r="H133" s="13" t="e">
        <f t="shared" si="11"/>
        <v>#VALUE!</v>
      </c>
    </row>
    <row r="134" spans="2:8">
      <c r="B134" s="11" t="str">
        <f t="shared" si="8"/>
        <v/>
      </c>
      <c r="C134" s="11" t="str">
        <f t="shared" si="9"/>
        <v/>
      </c>
      <c r="F134" s="10" t="str">
        <v/>
      </c>
      <c r="G134" t="e">
        <f t="shared" si="10"/>
        <v>#VALUE!</v>
      </c>
      <c r="H134" s="13" t="e">
        <f t="shared" si="11"/>
        <v>#VALUE!</v>
      </c>
    </row>
    <row r="135" spans="2:8">
      <c r="B135" s="11" t="str">
        <f t="shared" si="8"/>
        <v/>
      </c>
      <c r="C135" s="11" t="str">
        <f t="shared" si="9"/>
        <v/>
      </c>
      <c r="F135" s="10" t="str">
        <v/>
      </c>
      <c r="G135" t="e">
        <f t="shared" si="10"/>
        <v>#VALUE!</v>
      </c>
      <c r="H135" s="13" t="e">
        <f t="shared" si="11"/>
        <v>#VALUE!</v>
      </c>
    </row>
    <row r="136" spans="2:8">
      <c r="B136" s="11" t="str">
        <f t="shared" si="8"/>
        <v/>
      </c>
      <c r="C136" s="11" t="str">
        <f t="shared" si="9"/>
        <v/>
      </c>
      <c r="F136" s="10" t="str">
        <v/>
      </c>
      <c r="G136" t="e">
        <f t="shared" si="10"/>
        <v>#VALUE!</v>
      </c>
      <c r="H136" s="13" t="e">
        <f t="shared" si="11"/>
        <v>#VALUE!</v>
      </c>
    </row>
    <row r="137" spans="2:8">
      <c r="B137" s="11" t="str">
        <f t="shared" si="8"/>
        <v/>
      </c>
      <c r="C137" s="11" t="str">
        <f t="shared" si="9"/>
        <v/>
      </c>
      <c r="F137" s="10" t="str">
        <v/>
      </c>
      <c r="G137" t="e">
        <f t="shared" si="10"/>
        <v>#VALUE!</v>
      </c>
      <c r="H137" s="13" t="e">
        <f t="shared" si="11"/>
        <v>#VALUE!</v>
      </c>
    </row>
    <row r="138" spans="2:8">
      <c r="B138" s="11" t="str">
        <f t="shared" si="8"/>
        <v/>
      </c>
      <c r="C138" s="11" t="str">
        <f t="shared" si="9"/>
        <v/>
      </c>
      <c r="F138" s="10" t="str">
        <v/>
      </c>
      <c r="G138" t="e">
        <f t="shared" si="10"/>
        <v>#VALUE!</v>
      </c>
      <c r="H138" s="13" t="e">
        <f t="shared" si="11"/>
        <v>#VALUE!</v>
      </c>
    </row>
    <row r="139" spans="2:8">
      <c r="B139" s="11" t="str">
        <f t="shared" si="8"/>
        <v/>
      </c>
      <c r="C139" s="11" t="str">
        <f t="shared" si="9"/>
        <v/>
      </c>
      <c r="F139" s="10" t="str">
        <v/>
      </c>
      <c r="G139" t="e">
        <f t="shared" si="10"/>
        <v>#VALUE!</v>
      </c>
      <c r="H139" s="13" t="e">
        <f t="shared" si="11"/>
        <v>#VALUE!</v>
      </c>
    </row>
    <row r="140" spans="2:8">
      <c r="B140" s="11" t="str">
        <f t="shared" si="8"/>
        <v/>
      </c>
      <c r="C140" s="11" t="str">
        <f t="shared" si="9"/>
        <v/>
      </c>
      <c r="F140" s="10" t="str">
        <v/>
      </c>
      <c r="G140" t="e">
        <f t="shared" si="10"/>
        <v>#VALUE!</v>
      </c>
      <c r="H140" s="13" t="e">
        <f t="shared" si="11"/>
        <v>#VALUE!</v>
      </c>
    </row>
    <row r="141" spans="2:8">
      <c r="B141" s="11" t="str">
        <f t="shared" si="8"/>
        <v/>
      </c>
      <c r="C141" s="11" t="str">
        <f t="shared" si="9"/>
        <v/>
      </c>
      <c r="F141" s="10" t="str">
        <v/>
      </c>
      <c r="G141" t="e">
        <f t="shared" si="10"/>
        <v>#VALUE!</v>
      </c>
      <c r="H141" s="13" t="e">
        <f t="shared" si="11"/>
        <v>#VALUE!</v>
      </c>
    </row>
    <row r="142" spans="2:8">
      <c r="B142" s="11" t="str">
        <f t="shared" si="8"/>
        <v/>
      </c>
      <c r="C142" s="11" t="str">
        <f t="shared" si="9"/>
        <v/>
      </c>
      <c r="F142" s="10" t="str">
        <v/>
      </c>
      <c r="G142" t="e">
        <f t="shared" si="10"/>
        <v>#VALUE!</v>
      </c>
      <c r="H142" s="13" t="e">
        <f t="shared" si="11"/>
        <v>#VALUE!</v>
      </c>
    </row>
    <row r="143" spans="2:8">
      <c r="B143" s="11" t="str">
        <f t="shared" si="8"/>
        <v/>
      </c>
      <c r="C143" s="11" t="str">
        <f t="shared" si="9"/>
        <v/>
      </c>
      <c r="F143" s="10" t="str">
        <v/>
      </c>
      <c r="G143" t="e">
        <f t="shared" si="10"/>
        <v>#VALUE!</v>
      </c>
      <c r="H143" s="13" t="e">
        <f t="shared" si="11"/>
        <v>#VALUE!</v>
      </c>
    </row>
    <row r="144" spans="2:8">
      <c r="B144" s="11" t="str">
        <f t="shared" si="8"/>
        <v/>
      </c>
      <c r="C144" s="11" t="str">
        <f t="shared" si="9"/>
        <v/>
      </c>
      <c r="F144" s="10" t="str">
        <v/>
      </c>
      <c r="G144" t="e">
        <f t="shared" si="10"/>
        <v>#VALUE!</v>
      </c>
      <c r="H144" s="13" t="e">
        <f t="shared" si="11"/>
        <v>#VALUE!</v>
      </c>
    </row>
    <row r="145" spans="2:8">
      <c r="B145" s="11" t="str">
        <f t="shared" si="8"/>
        <v/>
      </c>
      <c r="C145" s="11" t="str">
        <f t="shared" si="9"/>
        <v/>
      </c>
      <c r="F145" s="10" t="str">
        <v/>
      </c>
      <c r="G145" t="e">
        <f t="shared" si="10"/>
        <v>#VALUE!</v>
      </c>
      <c r="H145" s="13" t="e">
        <f t="shared" si="11"/>
        <v>#VALUE!</v>
      </c>
    </row>
    <row r="146" spans="2:8">
      <c r="B146" s="11" t="str">
        <f t="shared" si="8"/>
        <v/>
      </c>
      <c r="C146" s="11" t="str">
        <f t="shared" si="9"/>
        <v/>
      </c>
      <c r="F146" s="10" t="str">
        <v/>
      </c>
      <c r="G146" t="e">
        <f t="shared" si="10"/>
        <v>#VALUE!</v>
      </c>
      <c r="H146" s="13" t="e">
        <f t="shared" si="11"/>
        <v>#VALUE!</v>
      </c>
    </row>
    <row r="147" spans="2:8">
      <c r="B147" s="11" t="str">
        <f t="shared" si="8"/>
        <v/>
      </c>
      <c r="C147" s="11" t="str">
        <f t="shared" si="9"/>
        <v/>
      </c>
      <c r="F147" s="10" t="str">
        <v/>
      </c>
      <c r="G147" t="e">
        <f t="shared" si="10"/>
        <v>#VALUE!</v>
      </c>
      <c r="H147" s="13" t="e">
        <f t="shared" si="11"/>
        <v>#VALUE!</v>
      </c>
    </row>
    <row r="148" spans="2:8">
      <c r="B148" s="11" t="str">
        <f t="shared" si="8"/>
        <v/>
      </c>
      <c r="C148" s="11" t="str">
        <f t="shared" si="9"/>
        <v/>
      </c>
      <c r="F148" s="10" t="str">
        <v/>
      </c>
      <c r="G148" t="e">
        <f t="shared" si="10"/>
        <v>#VALUE!</v>
      </c>
      <c r="H148" s="13" t="e">
        <f t="shared" si="11"/>
        <v>#VALUE!</v>
      </c>
    </row>
    <row r="149" spans="2:8">
      <c r="B149" s="11" t="str">
        <f t="shared" si="8"/>
        <v/>
      </c>
      <c r="C149" s="11" t="str">
        <f t="shared" si="9"/>
        <v/>
      </c>
      <c r="F149" s="10" t="str">
        <v/>
      </c>
      <c r="G149" t="e">
        <f t="shared" si="10"/>
        <v>#VALUE!</v>
      </c>
      <c r="H149" s="13" t="e">
        <f t="shared" si="11"/>
        <v>#VALUE!</v>
      </c>
    </row>
    <row r="150" spans="2:8">
      <c r="B150" s="11" t="str">
        <f t="shared" si="8"/>
        <v/>
      </c>
      <c r="C150" s="11" t="str">
        <f t="shared" si="9"/>
        <v/>
      </c>
      <c r="F150" s="10" t="str">
        <v/>
      </c>
      <c r="G150" t="e">
        <f t="shared" si="10"/>
        <v>#VALUE!</v>
      </c>
      <c r="H150" s="13" t="e">
        <f t="shared" si="11"/>
        <v>#VALUE!</v>
      </c>
    </row>
    <row r="151" spans="2:8">
      <c r="B151" s="11" t="str">
        <f t="shared" si="8"/>
        <v/>
      </c>
      <c r="C151" s="11" t="str">
        <f t="shared" si="9"/>
        <v/>
      </c>
      <c r="F151" s="10" t="str">
        <v/>
      </c>
      <c r="G151" t="e">
        <f t="shared" si="10"/>
        <v>#VALUE!</v>
      </c>
      <c r="H151" s="13" t="e">
        <f t="shared" si="11"/>
        <v>#VALUE!</v>
      </c>
    </row>
    <row r="152" spans="2:8">
      <c r="B152" s="11" t="str">
        <f t="shared" si="8"/>
        <v/>
      </c>
      <c r="C152" s="11" t="str">
        <f t="shared" si="9"/>
        <v/>
      </c>
      <c r="F152" s="10" t="str">
        <v/>
      </c>
      <c r="G152" t="e">
        <f t="shared" si="10"/>
        <v>#VALUE!</v>
      </c>
      <c r="H152" s="13" t="e">
        <f t="shared" si="11"/>
        <v>#VALUE!</v>
      </c>
    </row>
    <row r="153" spans="2:8">
      <c r="B153" s="11" t="str">
        <f t="shared" si="8"/>
        <v/>
      </c>
      <c r="C153" s="11" t="str">
        <f t="shared" si="9"/>
        <v/>
      </c>
      <c r="F153" s="10" t="str">
        <v/>
      </c>
      <c r="G153" t="e">
        <f t="shared" si="10"/>
        <v>#VALUE!</v>
      </c>
      <c r="H153" s="13" t="e">
        <f t="shared" si="11"/>
        <v>#VALUE!</v>
      </c>
    </row>
    <row r="154" spans="2:8">
      <c r="B154" s="11" t="str">
        <f t="shared" si="8"/>
        <v/>
      </c>
      <c r="C154" s="11" t="str">
        <f t="shared" si="9"/>
        <v/>
      </c>
      <c r="F154" s="10" t="str">
        <v/>
      </c>
      <c r="G154" t="e">
        <f t="shared" si="10"/>
        <v>#VALUE!</v>
      </c>
      <c r="H154" s="13" t="e">
        <f t="shared" si="11"/>
        <v>#VALUE!</v>
      </c>
    </row>
    <row r="155" spans="2:8">
      <c r="B155" s="11" t="str">
        <f t="shared" si="8"/>
        <v/>
      </c>
      <c r="C155" s="11" t="str">
        <f t="shared" si="9"/>
        <v/>
      </c>
      <c r="F155" s="10" t="str">
        <v/>
      </c>
      <c r="G155" t="e">
        <f t="shared" si="10"/>
        <v>#VALUE!</v>
      </c>
      <c r="H155" s="13" t="e">
        <f t="shared" si="11"/>
        <v>#VALUE!</v>
      </c>
    </row>
    <row r="156" spans="2:8">
      <c r="B156" s="11" t="str">
        <f t="shared" si="8"/>
        <v/>
      </c>
      <c r="C156" s="11" t="str">
        <f t="shared" si="9"/>
        <v/>
      </c>
      <c r="F156" s="10" t="str">
        <v/>
      </c>
      <c r="G156" t="e">
        <f t="shared" si="10"/>
        <v>#VALUE!</v>
      </c>
      <c r="H156" s="13" t="e">
        <f t="shared" si="11"/>
        <v>#VALUE!</v>
      </c>
    </row>
    <row r="157" spans="2:8">
      <c r="B157" s="11" t="str">
        <f t="shared" si="8"/>
        <v/>
      </c>
      <c r="C157" s="11" t="str">
        <f t="shared" si="9"/>
        <v/>
      </c>
      <c r="F157" s="10" t="str">
        <v/>
      </c>
      <c r="G157" t="e">
        <f t="shared" si="10"/>
        <v>#VALUE!</v>
      </c>
      <c r="H157" s="13" t="e">
        <f t="shared" si="11"/>
        <v>#VALUE!</v>
      </c>
    </row>
    <row r="158" spans="2:8">
      <c r="B158" s="11" t="str">
        <f t="shared" si="8"/>
        <v/>
      </c>
      <c r="C158" s="11" t="str">
        <f t="shared" si="9"/>
        <v/>
      </c>
      <c r="F158" s="10" t="str">
        <v/>
      </c>
      <c r="G158" t="e">
        <f t="shared" si="10"/>
        <v>#VALUE!</v>
      </c>
      <c r="H158" s="13" t="e">
        <f t="shared" si="11"/>
        <v>#VALUE!</v>
      </c>
    </row>
    <row r="159" spans="2:8">
      <c r="B159" s="11" t="str">
        <f t="shared" si="8"/>
        <v/>
      </c>
      <c r="C159" s="11" t="str">
        <f t="shared" si="9"/>
        <v/>
      </c>
      <c r="F159" s="10" t="str">
        <v/>
      </c>
      <c r="G159" t="e">
        <f t="shared" si="10"/>
        <v>#VALUE!</v>
      </c>
      <c r="H159" s="13" t="e">
        <f t="shared" si="11"/>
        <v>#VALUE!</v>
      </c>
    </row>
    <row r="160" spans="2:8">
      <c r="B160" s="11" t="str">
        <f t="shared" si="8"/>
        <v/>
      </c>
      <c r="C160" s="11" t="str">
        <f t="shared" si="9"/>
        <v/>
      </c>
      <c r="F160" s="10" t="str">
        <v/>
      </c>
      <c r="G160" t="e">
        <f t="shared" si="10"/>
        <v>#VALUE!</v>
      </c>
      <c r="H160" s="13" t="e">
        <f t="shared" si="11"/>
        <v>#VALUE!</v>
      </c>
    </row>
    <row r="161" spans="2:8">
      <c r="B161" s="11" t="str">
        <f t="shared" si="8"/>
        <v/>
      </c>
      <c r="C161" s="11" t="str">
        <f t="shared" si="9"/>
        <v/>
      </c>
      <c r="F161" s="10" t="str">
        <v/>
      </c>
      <c r="G161" t="e">
        <f t="shared" si="10"/>
        <v>#VALUE!</v>
      </c>
      <c r="H161" s="13" t="e">
        <f t="shared" si="11"/>
        <v>#VALUE!</v>
      </c>
    </row>
    <row r="162" spans="2:8">
      <c r="B162" s="11" t="str">
        <f t="shared" si="8"/>
        <v/>
      </c>
      <c r="C162" s="11" t="str">
        <f t="shared" si="9"/>
        <v/>
      </c>
      <c r="F162" s="10" t="str">
        <v/>
      </c>
      <c r="G162" t="e">
        <f t="shared" si="10"/>
        <v>#VALUE!</v>
      </c>
      <c r="H162" s="13" t="e">
        <f t="shared" si="11"/>
        <v>#VALUE!</v>
      </c>
    </row>
    <row r="163" spans="2:8">
      <c r="B163" s="11" t="str">
        <f t="shared" si="8"/>
        <v/>
      </c>
      <c r="C163" s="11" t="str">
        <f t="shared" si="9"/>
        <v/>
      </c>
      <c r="F163" s="10" t="str">
        <v/>
      </c>
      <c r="G163" t="e">
        <f t="shared" si="10"/>
        <v>#VALUE!</v>
      </c>
      <c r="H163" s="13" t="e">
        <f t="shared" si="11"/>
        <v>#VALUE!</v>
      </c>
    </row>
    <row r="164" spans="2:8">
      <c r="B164" s="11" t="str">
        <f t="shared" si="8"/>
        <v/>
      </c>
      <c r="C164" s="11" t="str">
        <f t="shared" si="9"/>
        <v/>
      </c>
      <c r="F164" s="10" t="str">
        <v/>
      </c>
      <c r="G164" t="e">
        <f t="shared" si="10"/>
        <v>#VALUE!</v>
      </c>
      <c r="H164" s="13" t="e">
        <f t="shared" si="11"/>
        <v>#VALUE!</v>
      </c>
    </row>
    <row r="165" spans="2:8">
      <c r="B165" s="11" t="str">
        <f t="shared" si="8"/>
        <v/>
      </c>
      <c r="C165" s="11" t="str">
        <f t="shared" si="9"/>
        <v/>
      </c>
      <c r="F165" s="10" t="str">
        <v/>
      </c>
      <c r="G165" t="e">
        <f t="shared" si="10"/>
        <v>#VALUE!</v>
      </c>
      <c r="H165" s="13" t="e">
        <f t="shared" si="11"/>
        <v>#VALUE!</v>
      </c>
    </row>
    <row r="166" spans="2:8">
      <c r="B166" s="11" t="str">
        <f t="shared" si="8"/>
        <v/>
      </c>
      <c r="C166" s="11" t="str">
        <f t="shared" si="9"/>
        <v/>
      </c>
      <c r="F166" s="10" t="str">
        <v/>
      </c>
      <c r="G166" t="e">
        <f t="shared" si="10"/>
        <v>#VALUE!</v>
      </c>
      <c r="H166" s="13" t="e">
        <f t="shared" si="11"/>
        <v>#VALUE!</v>
      </c>
    </row>
    <row r="167" spans="2:8">
      <c r="B167" s="11" t="str">
        <f t="shared" si="8"/>
        <v/>
      </c>
      <c r="C167" s="11" t="str">
        <f t="shared" si="9"/>
        <v/>
      </c>
      <c r="F167" s="10" t="str">
        <v/>
      </c>
      <c r="G167" t="e">
        <f t="shared" si="10"/>
        <v>#VALUE!</v>
      </c>
      <c r="H167" s="13" t="e">
        <f t="shared" si="11"/>
        <v>#VALUE!</v>
      </c>
    </row>
    <row r="168" spans="2:8">
      <c r="B168" s="11" t="str">
        <f t="shared" si="8"/>
        <v/>
      </c>
      <c r="C168" s="11" t="str">
        <f>IF(B168="артикул",A168,"")</f>
        <v/>
      </c>
      <c r="F168" s="10" t="str">
        <v/>
      </c>
      <c r="G168" t="e">
        <f t="shared" si="10"/>
        <v>#VALUE!</v>
      </c>
      <c r="H168" s="13" t="e">
        <f t="shared" si="11"/>
        <v>#VALUE!</v>
      </c>
    </row>
    <row r="169" spans="2:8">
      <c r="B169" s="11" t="str">
        <f t="shared" si="8"/>
        <v/>
      </c>
      <c r="C169" s="11" t="str">
        <f t="shared" ref="C169:C232" si="12">IF(B169="артикул",A169,"")</f>
        <v/>
      </c>
      <c r="F169" s="10" t="str">
        <v/>
      </c>
      <c r="G169" t="e">
        <f t="shared" si="10"/>
        <v>#VALUE!</v>
      </c>
      <c r="H169" s="13" t="e">
        <f t="shared" si="11"/>
        <v>#VALUE!</v>
      </c>
    </row>
    <row r="170" spans="2:8">
      <c r="B170" s="11" t="str">
        <f t="shared" si="8"/>
        <v/>
      </c>
      <c r="C170" s="11" t="str">
        <f t="shared" si="12"/>
        <v/>
      </c>
      <c r="F170" s="10" t="str">
        <v/>
      </c>
      <c r="G170" t="e">
        <f t="shared" si="10"/>
        <v>#VALUE!</v>
      </c>
      <c r="H170" s="13" t="e">
        <f t="shared" si="11"/>
        <v>#VALUE!</v>
      </c>
    </row>
    <row r="171" spans="2:8">
      <c r="B171" s="11" t="str">
        <f t="shared" si="8"/>
        <v/>
      </c>
      <c r="C171" s="11" t="str">
        <f t="shared" si="12"/>
        <v/>
      </c>
      <c r="F171" s="10" t="str">
        <v/>
      </c>
      <c r="G171" t="e">
        <f t="shared" si="10"/>
        <v>#VALUE!</v>
      </c>
      <c r="H171" s="13" t="e">
        <f t="shared" si="11"/>
        <v>#VALUE!</v>
      </c>
    </row>
    <row r="172" spans="2:8">
      <c r="B172" s="11" t="str">
        <f t="shared" si="8"/>
        <v/>
      </c>
      <c r="C172" s="11" t="str">
        <f t="shared" si="12"/>
        <v/>
      </c>
      <c r="F172" s="10" t="str">
        <v/>
      </c>
      <c r="G172" t="e">
        <f t="shared" si="10"/>
        <v>#VALUE!</v>
      </c>
      <c r="H172" s="13" t="e">
        <f t="shared" si="11"/>
        <v>#VALUE!</v>
      </c>
    </row>
    <row r="173" spans="2:8">
      <c r="B173" s="11" t="str">
        <f t="shared" si="8"/>
        <v/>
      </c>
      <c r="C173" s="11" t="str">
        <f t="shared" si="12"/>
        <v/>
      </c>
      <c r="F173" s="10" t="str">
        <v/>
      </c>
      <c r="G173" t="e">
        <f t="shared" si="10"/>
        <v>#VALUE!</v>
      </c>
      <c r="H173" s="13" t="e">
        <f t="shared" si="11"/>
        <v>#VALUE!</v>
      </c>
    </row>
    <row r="174" spans="2:8">
      <c r="B174" s="11" t="str">
        <f t="shared" si="8"/>
        <v/>
      </c>
      <c r="C174" s="11" t="str">
        <f t="shared" si="12"/>
        <v/>
      </c>
      <c r="F174" s="10" t="str">
        <v/>
      </c>
      <c r="G174" t="e">
        <f t="shared" si="10"/>
        <v>#VALUE!</v>
      </c>
      <c r="H174" s="13" t="e">
        <f t="shared" si="11"/>
        <v>#VALUE!</v>
      </c>
    </row>
    <row r="175" spans="2:8">
      <c r="B175" s="11" t="str">
        <f t="shared" si="8"/>
        <v/>
      </c>
      <c r="C175" s="11" t="str">
        <f t="shared" si="12"/>
        <v/>
      </c>
      <c r="F175" s="10" t="str">
        <v/>
      </c>
      <c r="G175" t="e">
        <f t="shared" si="10"/>
        <v>#VALUE!</v>
      </c>
      <c r="H175" s="13" t="e">
        <f t="shared" si="11"/>
        <v>#VALUE!</v>
      </c>
    </row>
    <row r="176" spans="2:8">
      <c r="B176" s="11" t="str">
        <f t="shared" si="8"/>
        <v/>
      </c>
      <c r="C176" s="11" t="str">
        <f t="shared" si="12"/>
        <v/>
      </c>
      <c r="F176" s="10" t="str">
        <v/>
      </c>
      <c r="G176" t="e">
        <f t="shared" si="10"/>
        <v>#VALUE!</v>
      </c>
      <c r="H176" s="13" t="e">
        <f t="shared" si="11"/>
        <v>#VALUE!</v>
      </c>
    </row>
    <row r="177" spans="2:8">
      <c r="B177" s="11" t="str">
        <f t="shared" si="8"/>
        <v/>
      </c>
      <c r="C177" s="11" t="str">
        <f t="shared" si="12"/>
        <v/>
      </c>
      <c r="F177" s="10" t="str">
        <v/>
      </c>
      <c r="G177" t="e">
        <f t="shared" si="10"/>
        <v>#VALUE!</v>
      </c>
      <c r="H177" s="13" t="e">
        <f t="shared" si="11"/>
        <v>#VALUE!</v>
      </c>
    </row>
    <row r="178" spans="2:8">
      <c r="B178" s="11" t="str">
        <f t="shared" si="8"/>
        <v/>
      </c>
      <c r="C178" s="11" t="str">
        <f t="shared" si="12"/>
        <v/>
      </c>
      <c r="F178" s="10" t="str">
        <v/>
      </c>
      <c r="G178" t="e">
        <f t="shared" si="10"/>
        <v>#VALUE!</v>
      </c>
      <c r="H178" s="13" t="e">
        <f t="shared" si="11"/>
        <v>#VALUE!</v>
      </c>
    </row>
    <row r="179" spans="2:8">
      <c r="B179" s="11" t="str">
        <f t="shared" si="8"/>
        <v/>
      </c>
      <c r="C179" s="11" t="str">
        <f t="shared" si="12"/>
        <v/>
      </c>
      <c r="F179" s="10" t="str">
        <v/>
      </c>
      <c r="G179" t="e">
        <f t="shared" si="10"/>
        <v>#VALUE!</v>
      </c>
      <c r="H179" s="13" t="e">
        <f t="shared" si="11"/>
        <v>#VALUE!</v>
      </c>
    </row>
    <row r="180" spans="2:8">
      <c r="B180" s="11" t="str">
        <f t="shared" si="8"/>
        <v/>
      </c>
      <c r="C180" s="11" t="str">
        <f t="shared" si="12"/>
        <v/>
      </c>
      <c r="F180" s="10" t="str">
        <v/>
      </c>
      <c r="G180" t="e">
        <f t="shared" si="10"/>
        <v>#VALUE!</v>
      </c>
      <c r="H180" s="13" t="e">
        <f t="shared" si="11"/>
        <v>#VALUE!</v>
      </c>
    </row>
    <row r="181" spans="2:8">
      <c r="B181" s="11" t="str">
        <f t="shared" si="8"/>
        <v/>
      </c>
      <c r="C181" s="11" t="str">
        <f t="shared" si="12"/>
        <v/>
      </c>
      <c r="F181" s="10" t="str">
        <v/>
      </c>
      <c r="G181" t="e">
        <f t="shared" si="10"/>
        <v>#VALUE!</v>
      </c>
      <c r="H181" s="13" t="e">
        <f t="shared" si="11"/>
        <v>#VALUE!</v>
      </c>
    </row>
    <row r="182" spans="2:8">
      <c r="B182" s="11" t="str">
        <f t="shared" si="8"/>
        <v/>
      </c>
      <c r="C182" s="11" t="str">
        <f t="shared" si="12"/>
        <v/>
      </c>
      <c r="F182" s="10" t="str">
        <v/>
      </c>
      <c r="G182" t="e">
        <f t="shared" si="10"/>
        <v>#VALUE!</v>
      </c>
      <c r="H182" s="13" t="e">
        <f t="shared" si="11"/>
        <v>#VALUE!</v>
      </c>
    </row>
    <row r="183" spans="2:8">
      <c r="B183" s="11" t="str">
        <f t="shared" si="8"/>
        <v/>
      </c>
      <c r="C183" s="11" t="str">
        <f t="shared" si="12"/>
        <v/>
      </c>
      <c r="F183" s="10" t="str">
        <v/>
      </c>
      <c r="G183" t="e">
        <f t="shared" si="10"/>
        <v>#VALUE!</v>
      </c>
      <c r="H183" s="13" t="e">
        <f t="shared" si="11"/>
        <v>#VALUE!</v>
      </c>
    </row>
    <row r="184" spans="2:8">
      <c r="B184" s="11" t="str">
        <f t="shared" si="8"/>
        <v/>
      </c>
      <c r="C184" s="11" t="str">
        <f t="shared" si="12"/>
        <v/>
      </c>
      <c r="F184" s="10" t="str">
        <v/>
      </c>
      <c r="G184" t="e">
        <f t="shared" si="10"/>
        <v>#VALUE!</v>
      </c>
      <c r="H184" s="13" t="e">
        <f t="shared" si="11"/>
        <v>#VALUE!</v>
      </c>
    </row>
    <row r="185" spans="2:8">
      <c r="B185" s="11" t="str">
        <f t="shared" si="8"/>
        <v/>
      </c>
      <c r="C185" s="11" t="str">
        <f t="shared" si="12"/>
        <v/>
      </c>
      <c r="F185" s="10" t="str">
        <v/>
      </c>
      <c r="G185" t="e">
        <f t="shared" si="10"/>
        <v>#VALUE!</v>
      </c>
      <c r="H185" s="13" t="e">
        <f t="shared" si="11"/>
        <v>#VALUE!</v>
      </c>
    </row>
    <row r="186" spans="2:8">
      <c r="B186" s="11" t="str">
        <f t="shared" si="8"/>
        <v/>
      </c>
      <c r="C186" s="11" t="str">
        <f t="shared" si="12"/>
        <v/>
      </c>
      <c r="F186" s="10" t="str">
        <v/>
      </c>
      <c r="G186" t="e">
        <f t="shared" si="10"/>
        <v>#VALUE!</v>
      </c>
      <c r="H186" s="13" t="e">
        <f t="shared" si="11"/>
        <v>#VALUE!</v>
      </c>
    </row>
    <row r="187" spans="2:8">
      <c r="B187" s="11" t="str">
        <f t="shared" si="8"/>
        <v/>
      </c>
      <c r="C187" s="11" t="str">
        <f t="shared" si="12"/>
        <v/>
      </c>
      <c r="F187" s="10" t="str">
        <v/>
      </c>
      <c r="G187" t="e">
        <f t="shared" si="10"/>
        <v>#VALUE!</v>
      </c>
      <c r="H187" s="13" t="e">
        <f t="shared" si="11"/>
        <v>#VALUE!</v>
      </c>
    </row>
    <row r="188" spans="2:8">
      <c r="B188" s="11" t="str">
        <f t="shared" si="8"/>
        <v/>
      </c>
      <c r="C188" s="11" t="str">
        <f t="shared" si="12"/>
        <v/>
      </c>
      <c r="F188" s="10" t="str">
        <v/>
      </c>
      <c r="G188" t="e">
        <f t="shared" si="10"/>
        <v>#VALUE!</v>
      </c>
      <c r="H188" s="13" t="e">
        <f t="shared" si="11"/>
        <v>#VALUE!</v>
      </c>
    </row>
    <row r="189" spans="2:8">
      <c r="B189" s="11" t="str">
        <f t="shared" si="8"/>
        <v/>
      </c>
      <c r="C189" s="11" t="str">
        <f t="shared" si="12"/>
        <v/>
      </c>
      <c r="F189" s="10" t="str">
        <v/>
      </c>
      <c r="G189" t="e">
        <f t="shared" si="10"/>
        <v>#VALUE!</v>
      </c>
      <c r="H189" s="13" t="e">
        <f t="shared" si="11"/>
        <v>#VALUE!</v>
      </c>
    </row>
    <row r="190" spans="2:8">
      <c r="B190" s="11" t="str">
        <f t="shared" si="8"/>
        <v/>
      </c>
      <c r="C190" s="11" t="str">
        <f t="shared" si="12"/>
        <v/>
      </c>
      <c r="F190" s="10" t="str">
        <v/>
      </c>
      <c r="G190" t="e">
        <f t="shared" si="10"/>
        <v>#VALUE!</v>
      </c>
      <c r="H190" s="13" t="e">
        <f t="shared" si="11"/>
        <v>#VALUE!</v>
      </c>
    </row>
    <row r="191" spans="2:8">
      <c r="B191" s="11" t="str">
        <f t="shared" si="8"/>
        <v/>
      </c>
      <c r="C191" s="11" t="str">
        <f t="shared" si="12"/>
        <v/>
      </c>
      <c r="F191" s="10" t="str">
        <v/>
      </c>
      <c r="G191" t="e">
        <f t="shared" si="10"/>
        <v>#VALUE!</v>
      </c>
      <c r="H191" s="13" t="e">
        <f t="shared" si="11"/>
        <v>#VALUE!</v>
      </c>
    </row>
    <row r="192" spans="2:8">
      <c r="B192" s="11" t="str">
        <f t="shared" si="8"/>
        <v/>
      </c>
      <c r="C192" s="11" t="str">
        <f t="shared" si="12"/>
        <v/>
      </c>
      <c r="F192" s="10" t="str">
        <v/>
      </c>
      <c r="G192" t="e">
        <f t="shared" si="10"/>
        <v>#VALUE!</v>
      </c>
      <c r="H192" s="13" t="e">
        <f t="shared" si="11"/>
        <v>#VALUE!</v>
      </c>
    </row>
    <row r="193" spans="2:8">
      <c r="B193" s="11" t="str">
        <f t="shared" ref="B193:B256" si="13">IFERROR(IF(FIND(" ",A193)=6,IF(IFERROR(FIND(" PB",A193),"")&lt;&gt;"","артикул",IF(IFERROR(FIND(" CRN",A193),"")&lt;&gt;"","артикул","")),""),"")</f>
        <v/>
      </c>
      <c r="C193" s="11" t="str">
        <f t="shared" si="12"/>
        <v/>
      </c>
      <c r="F193" s="10" t="str">
        <v/>
      </c>
      <c r="G193" t="e">
        <f t="shared" si="10"/>
        <v>#VALUE!</v>
      </c>
      <c r="H193" s="13" t="e">
        <f t="shared" si="11"/>
        <v>#VALUE!</v>
      </c>
    </row>
    <row r="194" spans="2:8">
      <c r="B194" s="11" t="str">
        <f t="shared" si="13"/>
        <v/>
      </c>
      <c r="C194" s="11" t="str">
        <f t="shared" si="12"/>
        <v/>
      </c>
      <c r="F194" s="10" t="str">
        <v/>
      </c>
      <c r="G194" t="e">
        <f t="shared" ref="G194:G257" si="14">CONCATENATE(LEFT(F194,5),
MID(F194,
SEARCH("\",SUBSTITUTE(F194," ","\",LEN(F194)-LEN(SUBSTITUTE(F194," ",""))-4)),
SEARCH("\",SUBSTITUTE(F194," ","\",LEN(F194)-LEN(SUBSTITUTE(F194," ",""))-3))-
SEARCH("\",SUBSTITUTE(F194," ","\",LEN(F194)-LEN(SUBSTITUTE(F194," ",""))-4)))*1)</f>
        <v>#VALUE!</v>
      </c>
      <c r="H194" s="13" t="e">
        <f t="shared" ref="H194:H257" si="15">SUBSTITUTE(
RIGHT(F194,LEN(F194)-
FIND("\",SUBSTITUTE(F194," ","\",LEN(F194)-LEN(SUBSTITUTE(F194," ",""))))),
".","")</f>
        <v>#VALUE!</v>
      </c>
    </row>
    <row r="195" spans="2:8">
      <c r="B195" s="11" t="str">
        <f t="shared" si="13"/>
        <v/>
      </c>
      <c r="C195" s="11" t="str">
        <f t="shared" si="12"/>
        <v/>
      </c>
      <c r="F195" s="10" t="str">
        <v/>
      </c>
      <c r="G195" t="e">
        <f t="shared" si="14"/>
        <v>#VALUE!</v>
      </c>
      <c r="H195" s="13" t="e">
        <f t="shared" si="15"/>
        <v>#VALUE!</v>
      </c>
    </row>
    <row r="196" spans="2:8">
      <c r="B196" s="11" t="str">
        <f t="shared" si="13"/>
        <v/>
      </c>
      <c r="C196" s="11" t="str">
        <f t="shared" si="12"/>
        <v/>
      </c>
      <c r="F196" s="10" t="str">
        <v/>
      </c>
      <c r="G196" t="e">
        <f t="shared" si="14"/>
        <v>#VALUE!</v>
      </c>
      <c r="H196" s="13" t="e">
        <f t="shared" si="15"/>
        <v>#VALUE!</v>
      </c>
    </row>
    <row r="197" spans="2:8">
      <c r="B197" s="11" t="str">
        <f t="shared" si="13"/>
        <v/>
      </c>
      <c r="C197" s="11" t="str">
        <f t="shared" si="12"/>
        <v/>
      </c>
      <c r="F197" s="10" t="str">
        <v/>
      </c>
      <c r="G197" t="e">
        <f t="shared" si="14"/>
        <v>#VALUE!</v>
      </c>
      <c r="H197" s="13" t="e">
        <f t="shared" si="15"/>
        <v>#VALUE!</v>
      </c>
    </row>
    <row r="198" spans="2:8">
      <c r="B198" s="11" t="str">
        <f t="shared" si="13"/>
        <v/>
      </c>
      <c r="C198" s="11" t="str">
        <f t="shared" si="12"/>
        <v/>
      </c>
      <c r="F198" s="10" t="str">
        <v/>
      </c>
      <c r="G198" t="e">
        <f t="shared" si="14"/>
        <v>#VALUE!</v>
      </c>
      <c r="H198" s="13" t="e">
        <f t="shared" si="15"/>
        <v>#VALUE!</v>
      </c>
    </row>
    <row r="199" spans="2:8">
      <c r="B199" s="11" t="str">
        <f t="shared" si="13"/>
        <v/>
      </c>
      <c r="C199" s="11" t="str">
        <f t="shared" si="12"/>
        <v/>
      </c>
      <c r="F199" s="10" t="str">
        <v/>
      </c>
      <c r="G199" t="e">
        <f t="shared" si="14"/>
        <v>#VALUE!</v>
      </c>
      <c r="H199" s="13" t="e">
        <f t="shared" si="15"/>
        <v>#VALUE!</v>
      </c>
    </row>
    <row r="200" spans="2:8">
      <c r="B200" s="11" t="str">
        <f t="shared" si="13"/>
        <v/>
      </c>
      <c r="C200" s="11" t="str">
        <f t="shared" si="12"/>
        <v/>
      </c>
      <c r="F200" s="10" t="str">
        <v/>
      </c>
      <c r="G200" t="e">
        <f t="shared" si="14"/>
        <v>#VALUE!</v>
      </c>
      <c r="H200" s="13" t="e">
        <f t="shared" si="15"/>
        <v>#VALUE!</v>
      </c>
    </row>
    <row r="201" spans="2:8">
      <c r="B201" s="11" t="str">
        <f t="shared" si="13"/>
        <v/>
      </c>
      <c r="C201" s="11" t="str">
        <f t="shared" si="12"/>
        <v/>
      </c>
      <c r="F201" s="10" t="str">
        <v/>
      </c>
      <c r="G201" t="e">
        <f t="shared" si="14"/>
        <v>#VALUE!</v>
      </c>
      <c r="H201" s="13" t="e">
        <f t="shared" si="15"/>
        <v>#VALUE!</v>
      </c>
    </row>
    <row r="202" spans="2:8">
      <c r="B202" s="11" t="str">
        <f t="shared" si="13"/>
        <v/>
      </c>
      <c r="C202" s="11" t="str">
        <f t="shared" si="12"/>
        <v/>
      </c>
      <c r="F202" s="10" t="str">
        <v/>
      </c>
      <c r="G202" t="e">
        <f t="shared" si="14"/>
        <v>#VALUE!</v>
      </c>
      <c r="H202" s="13" t="e">
        <f t="shared" si="15"/>
        <v>#VALUE!</v>
      </c>
    </row>
    <row r="203" spans="2:8">
      <c r="B203" s="11" t="str">
        <f t="shared" si="13"/>
        <v/>
      </c>
      <c r="C203" s="11" t="str">
        <f t="shared" si="12"/>
        <v/>
      </c>
      <c r="F203" s="10" t="str">
        <v/>
      </c>
      <c r="G203" t="e">
        <f t="shared" si="14"/>
        <v>#VALUE!</v>
      </c>
      <c r="H203" s="13" t="e">
        <f t="shared" si="15"/>
        <v>#VALUE!</v>
      </c>
    </row>
    <row r="204" spans="2:8">
      <c r="B204" s="11" t="str">
        <f t="shared" si="13"/>
        <v/>
      </c>
      <c r="C204" s="11" t="str">
        <f t="shared" si="12"/>
        <v/>
      </c>
      <c r="F204" s="10" t="str">
        <v/>
      </c>
      <c r="G204" t="e">
        <f t="shared" si="14"/>
        <v>#VALUE!</v>
      </c>
      <c r="H204" s="13" t="e">
        <f t="shared" si="15"/>
        <v>#VALUE!</v>
      </c>
    </row>
    <row r="205" spans="2:8">
      <c r="B205" s="11" t="str">
        <f t="shared" si="13"/>
        <v/>
      </c>
      <c r="C205" s="11" t="str">
        <f t="shared" si="12"/>
        <v/>
      </c>
      <c r="F205" s="10" t="str">
        <v/>
      </c>
      <c r="G205" t="e">
        <f t="shared" si="14"/>
        <v>#VALUE!</v>
      </c>
      <c r="H205" s="13" t="e">
        <f t="shared" si="15"/>
        <v>#VALUE!</v>
      </c>
    </row>
    <row r="206" spans="2:8">
      <c r="B206" s="11" t="str">
        <f t="shared" si="13"/>
        <v/>
      </c>
      <c r="C206" s="11" t="str">
        <f t="shared" si="12"/>
        <v/>
      </c>
      <c r="F206" s="10" t="str">
        <v/>
      </c>
      <c r="G206" t="e">
        <f t="shared" si="14"/>
        <v>#VALUE!</v>
      </c>
      <c r="H206" s="13" t="e">
        <f t="shared" si="15"/>
        <v>#VALUE!</v>
      </c>
    </row>
    <row r="207" spans="2:8">
      <c r="B207" s="11" t="str">
        <f t="shared" si="13"/>
        <v/>
      </c>
      <c r="C207" s="11" t="str">
        <f t="shared" si="12"/>
        <v/>
      </c>
      <c r="F207" s="10" t="str">
        <v/>
      </c>
      <c r="G207" t="e">
        <f t="shared" si="14"/>
        <v>#VALUE!</v>
      </c>
      <c r="H207" s="13" t="e">
        <f t="shared" si="15"/>
        <v>#VALUE!</v>
      </c>
    </row>
    <row r="208" spans="2:8">
      <c r="B208" s="11" t="str">
        <f t="shared" si="13"/>
        <v/>
      </c>
      <c r="C208" s="11" t="str">
        <f t="shared" si="12"/>
        <v/>
      </c>
      <c r="F208" s="10" t="str">
        <v/>
      </c>
      <c r="G208" t="e">
        <f t="shared" si="14"/>
        <v>#VALUE!</v>
      </c>
      <c r="H208" s="13" t="e">
        <f t="shared" si="15"/>
        <v>#VALUE!</v>
      </c>
    </row>
    <row r="209" spans="2:8">
      <c r="B209" s="11" t="str">
        <f t="shared" si="13"/>
        <v/>
      </c>
      <c r="C209" s="11" t="str">
        <f t="shared" si="12"/>
        <v/>
      </c>
      <c r="F209" s="10" t="str">
        <v/>
      </c>
      <c r="G209" t="e">
        <f t="shared" si="14"/>
        <v>#VALUE!</v>
      </c>
      <c r="H209" s="13" t="e">
        <f t="shared" si="15"/>
        <v>#VALUE!</v>
      </c>
    </row>
    <row r="210" spans="2:8">
      <c r="B210" s="11" t="str">
        <f t="shared" si="13"/>
        <v/>
      </c>
      <c r="C210" s="11" t="str">
        <f t="shared" si="12"/>
        <v/>
      </c>
      <c r="F210" s="10" t="str">
        <v/>
      </c>
      <c r="G210" t="e">
        <f t="shared" si="14"/>
        <v>#VALUE!</v>
      </c>
      <c r="H210" s="13" t="e">
        <f t="shared" si="15"/>
        <v>#VALUE!</v>
      </c>
    </row>
    <row r="211" spans="2:8">
      <c r="B211" s="11" t="str">
        <f t="shared" si="13"/>
        <v/>
      </c>
      <c r="C211" s="11" t="str">
        <f t="shared" si="12"/>
        <v/>
      </c>
      <c r="F211" s="10" t="str">
        <v/>
      </c>
      <c r="G211" t="e">
        <f t="shared" si="14"/>
        <v>#VALUE!</v>
      </c>
      <c r="H211" s="13" t="e">
        <f t="shared" si="15"/>
        <v>#VALUE!</v>
      </c>
    </row>
    <row r="212" spans="2:8">
      <c r="B212" s="11" t="str">
        <f t="shared" si="13"/>
        <v/>
      </c>
      <c r="C212" s="11" t="str">
        <f t="shared" si="12"/>
        <v/>
      </c>
      <c r="F212" s="10" t="str">
        <v/>
      </c>
      <c r="G212" t="e">
        <f t="shared" si="14"/>
        <v>#VALUE!</v>
      </c>
      <c r="H212" s="13" t="e">
        <f t="shared" si="15"/>
        <v>#VALUE!</v>
      </c>
    </row>
    <row r="213" spans="2:8">
      <c r="B213" s="11" t="str">
        <f t="shared" si="13"/>
        <v/>
      </c>
      <c r="C213" s="11" t="str">
        <f t="shared" si="12"/>
        <v/>
      </c>
      <c r="F213" s="10" t="str">
        <v/>
      </c>
      <c r="G213" t="e">
        <f t="shared" si="14"/>
        <v>#VALUE!</v>
      </c>
      <c r="H213" s="13" t="e">
        <f t="shared" si="15"/>
        <v>#VALUE!</v>
      </c>
    </row>
    <row r="214" spans="2:8">
      <c r="B214" s="11" t="str">
        <f t="shared" si="13"/>
        <v/>
      </c>
      <c r="C214" s="11" t="str">
        <f t="shared" si="12"/>
        <v/>
      </c>
      <c r="F214" s="10" t="str">
        <v/>
      </c>
      <c r="G214" t="e">
        <f t="shared" si="14"/>
        <v>#VALUE!</v>
      </c>
      <c r="H214" s="13" t="e">
        <f t="shared" si="15"/>
        <v>#VALUE!</v>
      </c>
    </row>
    <row r="215" spans="2:8">
      <c r="B215" s="11" t="str">
        <f t="shared" si="13"/>
        <v/>
      </c>
      <c r="C215" s="11" t="str">
        <f t="shared" si="12"/>
        <v/>
      </c>
      <c r="F215" s="10" t="str">
        <v/>
      </c>
      <c r="G215" t="e">
        <f t="shared" si="14"/>
        <v>#VALUE!</v>
      </c>
      <c r="H215" s="13" t="e">
        <f t="shared" si="15"/>
        <v>#VALUE!</v>
      </c>
    </row>
    <row r="216" spans="2:8">
      <c r="B216" s="11" t="str">
        <f t="shared" si="13"/>
        <v/>
      </c>
      <c r="C216" s="11" t="str">
        <f t="shared" si="12"/>
        <v/>
      </c>
      <c r="F216" s="10" t="str">
        <v/>
      </c>
      <c r="G216" t="e">
        <f t="shared" si="14"/>
        <v>#VALUE!</v>
      </c>
      <c r="H216" s="13" t="e">
        <f t="shared" si="15"/>
        <v>#VALUE!</v>
      </c>
    </row>
    <row r="217" spans="2:8">
      <c r="B217" s="11" t="str">
        <f t="shared" si="13"/>
        <v/>
      </c>
      <c r="C217" s="11" t="str">
        <f t="shared" si="12"/>
        <v/>
      </c>
      <c r="F217" s="10" t="str">
        <v/>
      </c>
      <c r="G217" t="e">
        <f t="shared" si="14"/>
        <v>#VALUE!</v>
      </c>
      <c r="H217" s="13" t="e">
        <f t="shared" si="15"/>
        <v>#VALUE!</v>
      </c>
    </row>
    <row r="218" spans="2:8">
      <c r="B218" s="11" t="str">
        <f t="shared" si="13"/>
        <v/>
      </c>
      <c r="C218" s="11" t="str">
        <f t="shared" si="12"/>
        <v/>
      </c>
      <c r="F218" s="10" t="str">
        <v/>
      </c>
      <c r="G218" t="e">
        <f t="shared" si="14"/>
        <v>#VALUE!</v>
      </c>
      <c r="H218" s="13" t="e">
        <f t="shared" si="15"/>
        <v>#VALUE!</v>
      </c>
    </row>
    <row r="219" spans="2:8">
      <c r="B219" s="11" t="str">
        <f t="shared" si="13"/>
        <v/>
      </c>
      <c r="C219" s="11" t="str">
        <f t="shared" si="12"/>
        <v/>
      </c>
      <c r="F219" s="10" t="str">
        <v/>
      </c>
      <c r="G219" t="e">
        <f t="shared" si="14"/>
        <v>#VALUE!</v>
      </c>
      <c r="H219" s="13" t="e">
        <f t="shared" si="15"/>
        <v>#VALUE!</v>
      </c>
    </row>
    <row r="220" spans="2:8">
      <c r="B220" s="11" t="str">
        <f t="shared" si="13"/>
        <v/>
      </c>
      <c r="C220" s="11" t="str">
        <f t="shared" si="12"/>
        <v/>
      </c>
      <c r="F220" s="10" t="str">
        <v/>
      </c>
      <c r="G220" t="e">
        <f t="shared" si="14"/>
        <v>#VALUE!</v>
      </c>
      <c r="H220" s="13" t="e">
        <f t="shared" si="15"/>
        <v>#VALUE!</v>
      </c>
    </row>
    <row r="221" spans="2:8">
      <c r="B221" s="11" t="str">
        <f t="shared" si="13"/>
        <v/>
      </c>
      <c r="C221" s="11" t="str">
        <f t="shared" si="12"/>
        <v/>
      </c>
      <c r="F221" s="10" t="str">
        <v/>
      </c>
      <c r="G221" t="e">
        <f t="shared" si="14"/>
        <v>#VALUE!</v>
      </c>
      <c r="H221" s="13" t="e">
        <f t="shared" si="15"/>
        <v>#VALUE!</v>
      </c>
    </row>
    <row r="222" spans="2:8">
      <c r="B222" s="11" t="str">
        <f t="shared" si="13"/>
        <v/>
      </c>
      <c r="C222" s="11" t="str">
        <f t="shared" si="12"/>
        <v/>
      </c>
      <c r="F222" s="10" t="str">
        <v/>
      </c>
      <c r="G222" t="e">
        <f t="shared" si="14"/>
        <v>#VALUE!</v>
      </c>
      <c r="H222" s="13" t="e">
        <f t="shared" si="15"/>
        <v>#VALUE!</v>
      </c>
    </row>
    <row r="223" spans="2:8">
      <c r="B223" s="11" t="str">
        <f t="shared" si="13"/>
        <v/>
      </c>
      <c r="C223" s="11" t="str">
        <f t="shared" si="12"/>
        <v/>
      </c>
      <c r="F223" s="10" t="str">
        <v/>
      </c>
      <c r="G223" t="e">
        <f t="shared" si="14"/>
        <v>#VALUE!</v>
      </c>
      <c r="H223" s="13" t="e">
        <f t="shared" si="15"/>
        <v>#VALUE!</v>
      </c>
    </row>
    <row r="224" spans="2:8">
      <c r="B224" s="11" t="str">
        <f t="shared" si="13"/>
        <v/>
      </c>
      <c r="C224" s="11" t="str">
        <f t="shared" si="12"/>
        <v/>
      </c>
      <c r="F224" s="10" t="str">
        <v/>
      </c>
      <c r="G224" t="e">
        <f t="shared" si="14"/>
        <v>#VALUE!</v>
      </c>
      <c r="H224" s="13" t="e">
        <f t="shared" si="15"/>
        <v>#VALUE!</v>
      </c>
    </row>
    <row r="225" spans="2:8">
      <c r="B225" s="11" t="str">
        <f t="shared" si="13"/>
        <v/>
      </c>
      <c r="C225" s="11" t="str">
        <f t="shared" si="12"/>
        <v/>
      </c>
      <c r="F225" s="10" t="str">
        <v/>
      </c>
      <c r="G225" t="e">
        <f t="shared" si="14"/>
        <v>#VALUE!</v>
      </c>
      <c r="H225" s="13" t="e">
        <f t="shared" si="15"/>
        <v>#VALUE!</v>
      </c>
    </row>
    <row r="226" spans="2:8">
      <c r="B226" s="11" t="str">
        <f t="shared" si="13"/>
        <v/>
      </c>
      <c r="C226" s="11" t="str">
        <f t="shared" si="12"/>
        <v/>
      </c>
      <c r="F226" s="10" t="str">
        <v/>
      </c>
      <c r="G226" t="e">
        <f t="shared" si="14"/>
        <v>#VALUE!</v>
      </c>
      <c r="H226" s="13" t="e">
        <f t="shared" si="15"/>
        <v>#VALUE!</v>
      </c>
    </row>
    <row r="227" spans="2:8">
      <c r="B227" s="11" t="str">
        <f t="shared" si="13"/>
        <v/>
      </c>
      <c r="C227" s="11" t="str">
        <f t="shared" si="12"/>
        <v/>
      </c>
      <c r="F227" s="10" t="str">
        <v/>
      </c>
      <c r="G227" t="e">
        <f t="shared" si="14"/>
        <v>#VALUE!</v>
      </c>
      <c r="H227" s="13" t="e">
        <f t="shared" si="15"/>
        <v>#VALUE!</v>
      </c>
    </row>
    <row r="228" spans="2:8">
      <c r="B228" s="11" t="str">
        <f t="shared" si="13"/>
        <v/>
      </c>
      <c r="C228" s="11" t="str">
        <f t="shared" si="12"/>
        <v/>
      </c>
      <c r="F228" s="10" t="str">
        <v/>
      </c>
      <c r="G228" t="e">
        <f t="shared" si="14"/>
        <v>#VALUE!</v>
      </c>
      <c r="H228" s="13" t="e">
        <f t="shared" si="15"/>
        <v>#VALUE!</v>
      </c>
    </row>
    <row r="229" spans="2:8">
      <c r="B229" s="11" t="str">
        <f t="shared" si="13"/>
        <v/>
      </c>
      <c r="C229" s="11" t="str">
        <f t="shared" si="12"/>
        <v/>
      </c>
      <c r="F229" s="10" t="str">
        <v/>
      </c>
      <c r="G229" t="e">
        <f t="shared" si="14"/>
        <v>#VALUE!</v>
      </c>
      <c r="H229" s="13" t="e">
        <f t="shared" si="15"/>
        <v>#VALUE!</v>
      </c>
    </row>
    <row r="230" spans="2:8">
      <c r="B230" s="11" t="str">
        <f t="shared" si="13"/>
        <v/>
      </c>
      <c r="C230" s="11" t="str">
        <f t="shared" si="12"/>
        <v/>
      </c>
      <c r="F230" s="10" t="str">
        <v/>
      </c>
      <c r="G230" t="e">
        <f t="shared" si="14"/>
        <v>#VALUE!</v>
      </c>
      <c r="H230" s="13" t="e">
        <f t="shared" si="15"/>
        <v>#VALUE!</v>
      </c>
    </row>
    <row r="231" spans="2:8">
      <c r="B231" s="11" t="str">
        <f t="shared" si="13"/>
        <v/>
      </c>
      <c r="C231" s="11" t="str">
        <f t="shared" si="12"/>
        <v/>
      </c>
      <c r="F231" s="10" t="str">
        <v/>
      </c>
      <c r="G231" t="e">
        <f t="shared" si="14"/>
        <v>#VALUE!</v>
      </c>
      <c r="H231" s="13" t="e">
        <f t="shared" si="15"/>
        <v>#VALUE!</v>
      </c>
    </row>
    <row r="232" spans="2:8">
      <c r="B232" s="11" t="str">
        <f t="shared" si="13"/>
        <v/>
      </c>
      <c r="C232" s="11" t="str">
        <f t="shared" si="12"/>
        <v/>
      </c>
      <c r="F232" s="10" t="str">
        <v/>
      </c>
      <c r="G232" t="e">
        <f t="shared" si="14"/>
        <v>#VALUE!</v>
      </c>
      <c r="H232" s="13" t="e">
        <f t="shared" si="15"/>
        <v>#VALUE!</v>
      </c>
    </row>
    <row r="233" spans="2:8">
      <c r="B233" s="11" t="str">
        <f t="shared" si="13"/>
        <v/>
      </c>
      <c r="C233" s="11" t="str">
        <f t="shared" ref="C233:C296" si="16">IF(B233="артикул",A233,"")</f>
        <v/>
      </c>
      <c r="F233" s="10" t="str">
        <v/>
      </c>
      <c r="G233" t="e">
        <f t="shared" si="14"/>
        <v>#VALUE!</v>
      </c>
      <c r="H233" s="13" t="e">
        <f t="shared" si="15"/>
        <v>#VALUE!</v>
      </c>
    </row>
    <row r="234" spans="2:8">
      <c r="B234" s="11" t="str">
        <f t="shared" si="13"/>
        <v/>
      </c>
      <c r="C234" s="11" t="str">
        <f t="shared" si="16"/>
        <v/>
      </c>
      <c r="F234" s="10" t="str">
        <v/>
      </c>
      <c r="G234" t="e">
        <f t="shared" si="14"/>
        <v>#VALUE!</v>
      </c>
      <c r="H234" s="13" t="e">
        <f t="shared" si="15"/>
        <v>#VALUE!</v>
      </c>
    </row>
    <row r="235" spans="2:8">
      <c r="B235" s="11" t="str">
        <f t="shared" si="13"/>
        <v/>
      </c>
      <c r="C235" s="11" t="str">
        <f t="shared" si="16"/>
        <v/>
      </c>
      <c r="F235" s="10" t="str">
        <v/>
      </c>
      <c r="G235" t="e">
        <f t="shared" si="14"/>
        <v>#VALUE!</v>
      </c>
      <c r="H235" s="13" t="e">
        <f t="shared" si="15"/>
        <v>#VALUE!</v>
      </c>
    </row>
    <row r="236" spans="2:8">
      <c r="B236" s="11" t="str">
        <f t="shared" si="13"/>
        <v/>
      </c>
      <c r="C236" s="11" t="str">
        <f t="shared" si="16"/>
        <v/>
      </c>
      <c r="F236" s="10" t="str">
        <v/>
      </c>
      <c r="G236" t="e">
        <f t="shared" si="14"/>
        <v>#VALUE!</v>
      </c>
      <c r="H236" s="13" t="e">
        <f t="shared" si="15"/>
        <v>#VALUE!</v>
      </c>
    </row>
    <row r="237" spans="2:8">
      <c r="B237" s="11" t="str">
        <f t="shared" si="13"/>
        <v/>
      </c>
      <c r="C237" s="11" t="str">
        <f t="shared" si="16"/>
        <v/>
      </c>
      <c r="F237" s="10" t="str">
        <v/>
      </c>
      <c r="G237" t="e">
        <f t="shared" si="14"/>
        <v>#VALUE!</v>
      </c>
      <c r="H237" s="13" t="e">
        <f t="shared" si="15"/>
        <v>#VALUE!</v>
      </c>
    </row>
    <row r="238" spans="2:8">
      <c r="B238" s="11" t="str">
        <f t="shared" si="13"/>
        <v/>
      </c>
      <c r="C238" s="11" t="str">
        <f t="shared" si="16"/>
        <v/>
      </c>
      <c r="F238" s="10" t="str">
        <v/>
      </c>
      <c r="G238" t="e">
        <f t="shared" si="14"/>
        <v>#VALUE!</v>
      </c>
      <c r="H238" s="13" t="e">
        <f t="shared" si="15"/>
        <v>#VALUE!</v>
      </c>
    </row>
    <row r="239" spans="2:8">
      <c r="B239" s="11" t="str">
        <f t="shared" si="13"/>
        <v/>
      </c>
      <c r="C239" s="11" t="str">
        <f t="shared" si="16"/>
        <v/>
      </c>
      <c r="F239" s="10" t="str">
        <v/>
      </c>
      <c r="G239" t="e">
        <f t="shared" si="14"/>
        <v>#VALUE!</v>
      </c>
      <c r="H239" s="13" t="e">
        <f t="shared" si="15"/>
        <v>#VALUE!</v>
      </c>
    </row>
    <row r="240" spans="2:8">
      <c r="B240" s="11" t="str">
        <f t="shared" si="13"/>
        <v/>
      </c>
      <c r="C240" s="11" t="str">
        <f t="shared" si="16"/>
        <v/>
      </c>
      <c r="F240" s="10" t="str">
        <v/>
      </c>
      <c r="G240" t="e">
        <f t="shared" si="14"/>
        <v>#VALUE!</v>
      </c>
      <c r="H240" s="13" t="e">
        <f t="shared" si="15"/>
        <v>#VALUE!</v>
      </c>
    </row>
    <row r="241" spans="2:8">
      <c r="B241" s="11" t="str">
        <f t="shared" si="13"/>
        <v/>
      </c>
      <c r="C241" s="11" t="str">
        <f t="shared" si="16"/>
        <v/>
      </c>
      <c r="F241" s="10" t="str">
        <v/>
      </c>
      <c r="G241" t="e">
        <f t="shared" si="14"/>
        <v>#VALUE!</v>
      </c>
      <c r="H241" s="13" t="e">
        <f t="shared" si="15"/>
        <v>#VALUE!</v>
      </c>
    </row>
    <row r="242" spans="2:8">
      <c r="B242" s="11" t="str">
        <f t="shared" si="13"/>
        <v/>
      </c>
      <c r="C242" s="11" t="str">
        <f t="shared" si="16"/>
        <v/>
      </c>
      <c r="F242" s="10" t="str">
        <v/>
      </c>
      <c r="G242" t="e">
        <f t="shared" si="14"/>
        <v>#VALUE!</v>
      </c>
      <c r="H242" s="13" t="e">
        <f t="shared" si="15"/>
        <v>#VALUE!</v>
      </c>
    </row>
    <row r="243" spans="2:8">
      <c r="B243" s="11" t="str">
        <f t="shared" si="13"/>
        <v/>
      </c>
      <c r="C243" s="11" t="str">
        <f t="shared" si="16"/>
        <v/>
      </c>
      <c r="F243" s="10" t="str">
        <v/>
      </c>
      <c r="G243" t="e">
        <f t="shared" si="14"/>
        <v>#VALUE!</v>
      </c>
      <c r="H243" s="13" t="e">
        <f t="shared" si="15"/>
        <v>#VALUE!</v>
      </c>
    </row>
    <row r="244" spans="2:8">
      <c r="B244" s="11" t="str">
        <f t="shared" si="13"/>
        <v/>
      </c>
      <c r="C244" s="11" t="str">
        <f t="shared" si="16"/>
        <v/>
      </c>
      <c r="F244" s="10" t="str">
        <v/>
      </c>
      <c r="G244" t="e">
        <f t="shared" si="14"/>
        <v>#VALUE!</v>
      </c>
      <c r="H244" s="13" t="e">
        <f t="shared" si="15"/>
        <v>#VALUE!</v>
      </c>
    </row>
    <row r="245" spans="2:8">
      <c r="B245" s="11" t="str">
        <f t="shared" si="13"/>
        <v/>
      </c>
      <c r="C245" s="11" t="str">
        <f t="shared" si="16"/>
        <v/>
      </c>
      <c r="F245" s="10" t="str">
        <v/>
      </c>
      <c r="G245" t="e">
        <f t="shared" si="14"/>
        <v>#VALUE!</v>
      </c>
      <c r="H245" s="13" t="e">
        <f t="shared" si="15"/>
        <v>#VALUE!</v>
      </c>
    </row>
    <row r="246" spans="2:8">
      <c r="B246" s="11" t="str">
        <f t="shared" si="13"/>
        <v/>
      </c>
      <c r="C246" s="11" t="str">
        <f t="shared" si="16"/>
        <v/>
      </c>
      <c r="F246" s="10" t="str">
        <v/>
      </c>
      <c r="G246" t="e">
        <f t="shared" si="14"/>
        <v>#VALUE!</v>
      </c>
      <c r="H246" s="13" t="e">
        <f t="shared" si="15"/>
        <v>#VALUE!</v>
      </c>
    </row>
    <row r="247" spans="2:8">
      <c r="B247" s="11" t="str">
        <f t="shared" si="13"/>
        <v/>
      </c>
      <c r="C247" s="11" t="str">
        <f t="shared" si="16"/>
        <v/>
      </c>
      <c r="F247" s="10" t="str">
        <v/>
      </c>
      <c r="G247" t="e">
        <f t="shared" si="14"/>
        <v>#VALUE!</v>
      </c>
      <c r="H247" s="13" t="e">
        <f t="shared" si="15"/>
        <v>#VALUE!</v>
      </c>
    </row>
    <row r="248" spans="2:8">
      <c r="B248" s="11" t="str">
        <f t="shared" si="13"/>
        <v/>
      </c>
      <c r="C248" s="11" t="str">
        <f t="shared" si="16"/>
        <v/>
      </c>
      <c r="F248" s="10" t="str">
        <v/>
      </c>
      <c r="G248" t="e">
        <f t="shared" si="14"/>
        <v>#VALUE!</v>
      </c>
      <c r="H248" s="13" t="e">
        <f t="shared" si="15"/>
        <v>#VALUE!</v>
      </c>
    </row>
    <row r="249" spans="2:8">
      <c r="B249" s="11" t="str">
        <f t="shared" si="13"/>
        <v/>
      </c>
      <c r="C249" s="11" t="str">
        <f t="shared" si="16"/>
        <v/>
      </c>
      <c r="F249" s="10" t="str">
        <v/>
      </c>
      <c r="G249" t="e">
        <f t="shared" si="14"/>
        <v>#VALUE!</v>
      </c>
      <c r="H249" s="13" t="e">
        <f t="shared" si="15"/>
        <v>#VALUE!</v>
      </c>
    </row>
    <row r="250" spans="2:8">
      <c r="B250" s="11" t="str">
        <f t="shared" si="13"/>
        <v/>
      </c>
      <c r="C250" s="11" t="str">
        <f t="shared" si="16"/>
        <v/>
      </c>
      <c r="F250" s="10" t="str">
        <v/>
      </c>
      <c r="G250" t="e">
        <f t="shared" si="14"/>
        <v>#VALUE!</v>
      </c>
      <c r="H250" s="13" t="e">
        <f t="shared" si="15"/>
        <v>#VALUE!</v>
      </c>
    </row>
    <row r="251" spans="2:8">
      <c r="B251" s="11" t="str">
        <f t="shared" si="13"/>
        <v/>
      </c>
      <c r="C251" s="11" t="str">
        <f t="shared" si="16"/>
        <v/>
      </c>
      <c r="F251" s="10" t="str">
        <v/>
      </c>
      <c r="G251" t="e">
        <f t="shared" si="14"/>
        <v>#VALUE!</v>
      </c>
      <c r="H251" s="13" t="e">
        <f t="shared" si="15"/>
        <v>#VALUE!</v>
      </c>
    </row>
    <row r="252" spans="2:8">
      <c r="B252" s="11" t="str">
        <f t="shared" si="13"/>
        <v/>
      </c>
      <c r="C252" s="11" t="str">
        <f t="shared" si="16"/>
        <v/>
      </c>
      <c r="F252" s="10" t="str">
        <v/>
      </c>
      <c r="G252" t="e">
        <f t="shared" si="14"/>
        <v>#VALUE!</v>
      </c>
      <c r="H252" s="13" t="e">
        <f t="shared" si="15"/>
        <v>#VALUE!</v>
      </c>
    </row>
    <row r="253" spans="2:8">
      <c r="B253" s="11" t="str">
        <f t="shared" si="13"/>
        <v/>
      </c>
      <c r="C253" s="11" t="str">
        <f t="shared" si="16"/>
        <v/>
      </c>
      <c r="F253" s="10" t="str">
        <v/>
      </c>
      <c r="G253" t="e">
        <f t="shared" si="14"/>
        <v>#VALUE!</v>
      </c>
      <c r="H253" s="13" t="e">
        <f t="shared" si="15"/>
        <v>#VALUE!</v>
      </c>
    </row>
    <row r="254" spans="2:8">
      <c r="B254" s="11" t="str">
        <f t="shared" si="13"/>
        <v/>
      </c>
      <c r="C254" s="11" t="str">
        <f t="shared" si="16"/>
        <v/>
      </c>
      <c r="F254" s="10" t="str">
        <v/>
      </c>
      <c r="G254" t="e">
        <f t="shared" si="14"/>
        <v>#VALUE!</v>
      </c>
      <c r="H254" s="13" t="e">
        <f t="shared" si="15"/>
        <v>#VALUE!</v>
      </c>
    </row>
    <row r="255" spans="2:8">
      <c r="B255" s="11" t="str">
        <f t="shared" si="13"/>
        <v/>
      </c>
      <c r="C255" s="11" t="str">
        <f t="shared" si="16"/>
        <v/>
      </c>
      <c r="F255" s="10" t="str">
        <v/>
      </c>
      <c r="G255" t="e">
        <f t="shared" si="14"/>
        <v>#VALUE!</v>
      </c>
      <c r="H255" s="13" t="e">
        <f t="shared" si="15"/>
        <v>#VALUE!</v>
      </c>
    </row>
    <row r="256" spans="2:8">
      <c r="B256" s="11" t="str">
        <f t="shared" si="13"/>
        <v/>
      </c>
      <c r="C256" s="11" t="str">
        <f t="shared" si="16"/>
        <v/>
      </c>
      <c r="F256" s="10" t="str">
        <v/>
      </c>
      <c r="G256" t="e">
        <f t="shared" si="14"/>
        <v>#VALUE!</v>
      </c>
      <c r="H256" s="13" t="e">
        <f t="shared" si="15"/>
        <v>#VALUE!</v>
      </c>
    </row>
    <row r="257" spans="2:8">
      <c r="B257" s="11" t="str">
        <f t="shared" ref="B257:B320" si="17">IFERROR(IF(FIND(" ",A257)=6,IF(IFERROR(FIND(" PB",A257),"")&lt;&gt;"","артикул",IF(IFERROR(FIND(" CRN",A257),"")&lt;&gt;"","артикул","")),""),"")</f>
        <v/>
      </c>
      <c r="C257" s="11" t="str">
        <f t="shared" si="16"/>
        <v/>
      </c>
      <c r="F257" s="10" t="str">
        <v/>
      </c>
      <c r="G257" t="e">
        <f t="shared" si="14"/>
        <v>#VALUE!</v>
      </c>
      <c r="H257" s="13" t="e">
        <f t="shared" si="15"/>
        <v>#VALUE!</v>
      </c>
    </row>
    <row r="258" spans="2:8">
      <c r="B258" s="11" t="str">
        <f t="shared" si="17"/>
        <v/>
      </c>
      <c r="C258" s="11" t="str">
        <f t="shared" si="16"/>
        <v/>
      </c>
      <c r="F258" s="10" t="str">
        <v/>
      </c>
      <c r="G258" t="e">
        <f t="shared" ref="G258:G321" si="18">CONCATENATE(LEFT(F258,5),
MID(F258,
SEARCH("\",SUBSTITUTE(F258," ","\",LEN(F258)-LEN(SUBSTITUTE(F258," ",""))-4)),
SEARCH("\",SUBSTITUTE(F258," ","\",LEN(F258)-LEN(SUBSTITUTE(F258," ",""))-3))-
SEARCH("\",SUBSTITUTE(F258," ","\",LEN(F258)-LEN(SUBSTITUTE(F258," ",""))-4)))*1)</f>
        <v>#VALUE!</v>
      </c>
      <c r="H258" s="13" t="e">
        <f t="shared" ref="H258:H321" si="19">SUBSTITUTE(
RIGHT(F258,LEN(F258)-
FIND("\",SUBSTITUTE(F258," ","\",LEN(F258)-LEN(SUBSTITUTE(F258," ",""))))),
".","")</f>
        <v>#VALUE!</v>
      </c>
    </row>
    <row r="259" spans="2:8">
      <c r="B259" s="11" t="str">
        <f t="shared" si="17"/>
        <v/>
      </c>
      <c r="C259" s="11" t="str">
        <f t="shared" si="16"/>
        <v/>
      </c>
      <c r="F259" s="10" t="str">
        <v/>
      </c>
      <c r="G259" t="e">
        <f t="shared" si="18"/>
        <v>#VALUE!</v>
      </c>
      <c r="H259" s="13" t="e">
        <f t="shared" si="19"/>
        <v>#VALUE!</v>
      </c>
    </row>
    <row r="260" spans="2:8">
      <c r="B260" s="11" t="str">
        <f t="shared" si="17"/>
        <v/>
      </c>
      <c r="C260" s="11" t="str">
        <f t="shared" si="16"/>
        <v/>
      </c>
      <c r="F260" s="10" t="str">
        <v/>
      </c>
      <c r="G260" t="e">
        <f t="shared" si="18"/>
        <v>#VALUE!</v>
      </c>
      <c r="H260" s="13" t="e">
        <f t="shared" si="19"/>
        <v>#VALUE!</v>
      </c>
    </row>
    <row r="261" spans="2:8">
      <c r="B261" s="11" t="str">
        <f t="shared" si="17"/>
        <v/>
      </c>
      <c r="C261" s="11" t="str">
        <f t="shared" si="16"/>
        <v/>
      </c>
      <c r="F261" s="10" t="str">
        <v/>
      </c>
      <c r="G261" t="e">
        <f t="shared" si="18"/>
        <v>#VALUE!</v>
      </c>
      <c r="H261" s="13" t="e">
        <f t="shared" si="19"/>
        <v>#VALUE!</v>
      </c>
    </row>
    <row r="262" spans="2:8">
      <c r="B262" s="11" t="str">
        <f t="shared" si="17"/>
        <v/>
      </c>
      <c r="C262" s="11" t="str">
        <f t="shared" si="16"/>
        <v/>
      </c>
      <c r="F262" s="10" t="str">
        <v/>
      </c>
      <c r="G262" t="e">
        <f t="shared" si="18"/>
        <v>#VALUE!</v>
      </c>
      <c r="H262" s="13" t="e">
        <f t="shared" si="19"/>
        <v>#VALUE!</v>
      </c>
    </row>
    <row r="263" spans="2:8">
      <c r="B263" s="11" t="str">
        <f t="shared" si="17"/>
        <v/>
      </c>
      <c r="C263" s="11" t="str">
        <f t="shared" si="16"/>
        <v/>
      </c>
      <c r="F263" s="10" t="str">
        <v/>
      </c>
      <c r="G263" t="e">
        <f t="shared" si="18"/>
        <v>#VALUE!</v>
      </c>
      <c r="H263" s="13" t="e">
        <f t="shared" si="19"/>
        <v>#VALUE!</v>
      </c>
    </row>
    <row r="264" spans="2:8">
      <c r="B264" s="11" t="str">
        <f t="shared" si="17"/>
        <v/>
      </c>
      <c r="C264" s="11" t="str">
        <f t="shared" si="16"/>
        <v/>
      </c>
      <c r="F264" s="10" t="str">
        <v/>
      </c>
      <c r="G264" t="e">
        <f t="shared" si="18"/>
        <v>#VALUE!</v>
      </c>
      <c r="H264" s="13" t="e">
        <f t="shared" si="19"/>
        <v>#VALUE!</v>
      </c>
    </row>
    <row r="265" spans="2:8">
      <c r="B265" s="11" t="str">
        <f t="shared" si="17"/>
        <v/>
      </c>
      <c r="C265" s="11" t="str">
        <f t="shared" si="16"/>
        <v/>
      </c>
      <c r="F265" s="10" t="str">
        <v/>
      </c>
      <c r="G265" t="e">
        <f t="shared" si="18"/>
        <v>#VALUE!</v>
      </c>
      <c r="H265" s="13" t="e">
        <f t="shared" si="19"/>
        <v>#VALUE!</v>
      </c>
    </row>
    <row r="266" spans="2:8">
      <c r="B266" s="11" t="str">
        <f t="shared" si="17"/>
        <v/>
      </c>
      <c r="C266" s="11" t="str">
        <f t="shared" si="16"/>
        <v/>
      </c>
      <c r="F266" s="10" t="str">
        <v/>
      </c>
      <c r="G266" t="e">
        <f t="shared" si="18"/>
        <v>#VALUE!</v>
      </c>
      <c r="H266" s="13" t="e">
        <f t="shared" si="19"/>
        <v>#VALUE!</v>
      </c>
    </row>
    <row r="267" spans="2:8">
      <c r="B267" s="11" t="str">
        <f t="shared" si="17"/>
        <v/>
      </c>
      <c r="C267" s="11" t="str">
        <f t="shared" si="16"/>
        <v/>
      </c>
      <c r="F267" s="10" t="str">
        <v/>
      </c>
      <c r="G267" t="e">
        <f t="shared" si="18"/>
        <v>#VALUE!</v>
      </c>
      <c r="H267" s="13" t="e">
        <f t="shared" si="19"/>
        <v>#VALUE!</v>
      </c>
    </row>
    <row r="268" spans="2:8">
      <c r="B268" s="11" t="str">
        <f t="shared" si="17"/>
        <v/>
      </c>
      <c r="C268" s="11" t="str">
        <f t="shared" si="16"/>
        <v/>
      </c>
      <c r="F268" s="10" t="str">
        <v/>
      </c>
      <c r="G268" t="e">
        <f t="shared" si="18"/>
        <v>#VALUE!</v>
      </c>
      <c r="H268" s="13" t="e">
        <f t="shared" si="19"/>
        <v>#VALUE!</v>
      </c>
    </row>
    <row r="269" spans="2:8">
      <c r="B269" s="11" t="str">
        <f t="shared" si="17"/>
        <v/>
      </c>
      <c r="C269" s="11" t="str">
        <f t="shared" si="16"/>
        <v/>
      </c>
      <c r="F269" s="10" t="str">
        <v/>
      </c>
      <c r="G269" t="e">
        <f t="shared" si="18"/>
        <v>#VALUE!</v>
      </c>
      <c r="H269" s="13" t="e">
        <f t="shared" si="19"/>
        <v>#VALUE!</v>
      </c>
    </row>
    <row r="270" spans="2:8">
      <c r="B270" s="11" t="str">
        <f t="shared" si="17"/>
        <v/>
      </c>
      <c r="C270" s="11" t="str">
        <f t="shared" si="16"/>
        <v/>
      </c>
      <c r="F270" s="10" t="str">
        <v/>
      </c>
      <c r="G270" t="e">
        <f t="shared" si="18"/>
        <v>#VALUE!</v>
      </c>
      <c r="H270" s="13" t="e">
        <f t="shared" si="19"/>
        <v>#VALUE!</v>
      </c>
    </row>
    <row r="271" spans="2:8">
      <c r="B271" s="11" t="str">
        <f t="shared" si="17"/>
        <v/>
      </c>
      <c r="C271" s="11" t="str">
        <f t="shared" si="16"/>
        <v/>
      </c>
      <c r="F271" s="10" t="str">
        <v/>
      </c>
      <c r="G271" t="e">
        <f t="shared" si="18"/>
        <v>#VALUE!</v>
      </c>
      <c r="H271" s="13" t="e">
        <f t="shared" si="19"/>
        <v>#VALUE!</v>
      </c>
    </row>
    <row r="272" spans="2:8">
      <c r="B272" s="11" t="str">
        <f t="shared" si="17"/>
        <v/>
      </c>
      <c r="C272" s="11" t="str">
        <f t="shared" si="16"/>
        <v/>
      </c>
      <c r="F272" s="10" t="str">
        <v/>
      </c>
      <c r="G272" t="e">
        <f t="shared" si="18"/>
        <v>#VALUE!</v>
      </c>
      <c r="H272" s="13" t="e">
        <f t="shared" si="19"/>
        <v>#VALUE!</v>
      </c>
    </row>
    <row r="273" spans="2:8">
      <c r="B273" s="11" t="str">
        <f t="shared" si="17"/>
        <v/>
      </c>
      <c r="C273" s="11" t="str">
        <f t="shared" si="16"/>
        <v/>
      </c>
      <c r="F273" s="10" t="str">
        <v/>
      </c>
      <c r="G273" t="e">
        <f t="shared" si="18"/>
        <v>#VALUE!</v>
      </c>
      <c r="H273" s="13" t="e">
        <f t="shared" si="19"/>
        <v>#VALUE!</v>
      </c>
    </row>
    <row r="274" spans="2:8">
      <c r="B274" s="11" t="str">
        <f t="shared" si="17"/>
        <v/>
      </c>
      <c r="C274" s="11" t="str">
        <f t="shared" si="16"/>
        <v/>
      </c>
      <c r="F274" s="10" t="str">
        <v/>
      </c>
      <c r="G274" t="e">
        <f t="shared" si="18"/>
        <v>#VALUE!</v>
      </c>
      <c r="H274" s="13" t="e">
        <f t="shared" si="19"/>
        <v>#VALUE!</v>
      </c>
    </row>
    <row r="275" spans="2:8">
      <c r="B275" s="11" t="str">
        <f t="shared" si="17"/>
        <v/>
      </c>
      <c r="C275" s="11" t="str">
        <f t="shared" si="16"/>
        <v/>
      </c>
      <c r="F275" s="10" t="str">
        <v/>
      </c>
      <c r="G275" t="e">
        <f t="shared" si="18"/>
        <v>#VALUE!</v>
      </c>
      <c r="H275" s="13" t="e">
        <f t="shared" si="19"/>
        <v>#VALUE!</v>
      </c>
    </row>
    <row r="276" spans="2:8">
      <c r="B276" s="11" t="str">
        <f t="shared" si="17"/>
        <v/>
      </c>
      <c r="C276" s="11" t="str">
        <f t="shared" si="16"/>
        <v/>
      </c>
      <c r="F276" s="10" t="str">
        <v/>
      </c>
      <c r="G276" t="e">
        <f t="shared" si="18"/>
        <v>#VALUE!</v>
      </c>
      <c r="H276" s="13" t="e">
        <f t="shared" si="19"/>
        <v>#VALUE!</v>
      </c>
    </row>
    <row r="277" spans="2:8">
      <c r="B277" s="11" t="str">
        <f t="shared" si="17"/>
        <v/>
      </c>
      <c r="C277" s="11" t="str">
        <f t="shared" si="16"/>
        <v/>
      </c>
      <c r="F277" s="10" t="str">
        <v/>
      </c>
      <c r="G277" t="e">
        <f t="shared" si="18"/>
        <v>#VALUE!</v>
      </c>
      <c r="H277" s="13" t="e">
        <f t="shared" si="19"/>
        <v>#VALUE!</v>
      </c>
    </row>
    <row r="278" spans="2:8">
      <c r="B278" s="11" t="str">
        <f t="shared" si="17"/>
        <v/>
      </c>
      <c r="C278" s="11" t="str">
        <f t="shared" si="16"/>
        <v/>
      </c>
      <c r="F278" s="10" t="str">
        <v/>
      </c>
      <c r="G278" t="e">
        <f t="shared" si="18"/>
        <v>#VALUE!</v>
      </c>
      <c r="H278" s="13" t="e">
        <f t="shared" si="19"/>
        <v>#VALUE!</v>
      </c>
    </row>
    <row r="279" spans="2:8">
      <c r="B279" s="11" t="str">
        <f t="shared" si="17"/>
        <v/>
      </c>
      <c r="C279" s="11" t="str">
        <f t="shared" si="16"/>
        <v/>
      </c>
      <c r="F279" s="10" t="str">
        <v/>
      </c>
      <c r="G279" t="e">
        <f t="shared" si="18"/>
        <v>#VALUE!</v>
      </c>
      <c r="H279" s="13" t="e">
        <f t="shared" si="19"/>
        <v>#VALUE!</v>
      </c>
    </row>
    <row r="280" spans="2:8">
      <c r="B280" s="11" t="str">
        <f t="shared" si="17"/>
        <v/>
      </c>
      <c r="C280" s="11" t="str">
        <f t="shared" si="16"/>
        <v/>
      </c>
      <c r="F280" s="10" t="str">
        <v/>
      </c>
      <c r="G280" t="e">
        <f t="shared" si="18"/>
        <v>#VALUE!</v>
      </c>
      <c r="H280" s="13" t="e">
        <f t="shared" si="19"/>
        <v>#VALUE!</v>
      </c>
    </row>
    <row r="281" spans="2:8">
      <c r="B281" s="11" t="str">
        <f t="shared" si="17"/>
        <v/>
      </c>
      <c r="C281" s="11" t="str">
        <f t="shared" si="16"/>
        <v/>
      </c>
      <c r="F281" s="10" t="str">
        <v/>
      </c>
      <c r="G281" t="e">
        <f t="shared" si="18"/>
        <v>#VALUE!</v>
      </c>
      <c r="H281" s="13" t="e">
        <f t="shared" si="19"/>
        <v>#VALUE!</v>
      </c>
    </row>
    <row r="282" spans="2:8">
      <c r="B282" s="11" t="str">
        <f t="shared" si="17"/>
        <v/>
      </c>
      <c r="C282" s="11" t="str">
        <f t="shared" si="16"/>
        <v/>
      </c>
      <c r="F282" s="10" t="str">
        <v/>
      </c>
      <c r="G282" t="e">
        <f t="shared" si="18"/>
        <v>#VALUE!</v>
      </c>
      <c r="H282" s="13" t="e">
        <f t="shared" si="19"/>
        <v>#VALUE!</v>
      </c>
    </row>
    <row r="283" spans="2:8">
      <c r="B283" s="11" t="str">
        <f t="shared" si="17"/>
        <v/>
      </c>
      <c r="C283" s="11" t="str">
        <f t="shared" si="16"/>
        <v/>
      </c>
      <c r="F283" s="10" t="str">
        <v/>
      </c>
      <c r="G283" t="e">
        <f t="shared" si="18"/>
        <v>#VALUE!</v>
      </c>
      <c r="H283" s="13" t="e">
        <f t="shared" si="19"/>
        <v>#VALUE!</v>
      </c>
    </row>
    <row r="284" spans="2:8">
      <c r="B284" s="11" t="str">
        <f t="shared" si="17"/>
        <v/>
      </c>
      <c r="C284" s="11" t="str">
        <f t="shared" si="16"/>
        <v/>
      </c>
      <c r="F284" s="10" t="str">
        <v/>
      </c>
      <c r="G284" t="e">
        <f t="shared" si="18"/>
        <v>#VALUE!</v>
      </c>
      <c r="H284" s="13" t="e">
        <f t="shared" si="19"/>
        <v>#VALUE!</v>
      </c>
    </row>
    <row r="285" spans="2:8">
      <c r="B285" s="11" t="str">
        <f t="shared" si="17"/>
        <v/>
      </c>
      <c r="C285" s="11" t="str">
        <f t="shared" si="16"/>
        <v/>
      </c>
      <c r="F285" s="10" t="str">
        <v/>
      </c>
      <c r="G285" t="e">
        <f t="shared" si="18"/>
        <v>#VALUE!</v>
      </c>
      <c r="H285" s="13" t="e">
        <f t="shared" si="19"/>
        <v>#VALUE!</v>
      </c>
    </row>
    <row r="286" spans="2:8">
      <c r="B286" s="11" t="str">
        <f t="shared" si="17"/>
        <v/>
      </c>
      <c r="C286" s="11" t="str">
        <f t="shared" si="16"/>
        <v/>
      </c>
      <c r="F286" s="10" t="str">
        <v/>
      </c>
      <c r="G286" t="e">
        <f t="shared" si="18"/>
        <v>#VALUE!</v>
      </c>
      <c r="H286" s="13" t="e">
        <f t="shared" si="19"/>
        <v>#VALUE!</v>
      </c>
    </row>
    <row r="287" spans="2:8">
      <c r="B287" s="11" t="str">
        <f t="shared" si="17"/>
        <v/>
      </c>
      <c r="C287" s="11" t="str">
        <f t="shared" si="16"/>
        <v/>
      </c>
      <c r="F287" s="10" t="str">
        <v/>
      </c>
      <c r="G287" t="e">
        <f t="shared" si="18"/>
        <v>#VALUE!</v>
      </c>
      <c r="H287" s="13" t="e">
        <f t="shared" si="19"/>
        <v>#VALUE!</v>
      </c>
    </row>
    <row r="288" spans="2:8">
      <c r="B288" s="11" t="str">
        <f t="shared" si="17"/>
        <v/>
      </c>
      <c r="C288" s="11" t="str">
        <f t="shared" si="16"/>
        <v/>
      </c>
      <c r="F288" s="10" t="str">
        <v/>
      </c>
      <c r="G288" t="e">
        <f t="shared" si="18"/>
        <v>#VALUE!</v>
      </c>
      <c r="H288" s="13" t="e">
        <f t="shared" si="19"/>
        <v>#VALUE!</v>
      </c>
    </row>
    <row r="289" spans="2:8">
      <c r="B289" s="11" t="str">
        <f t="shared" si="17"/>
        <v/>
      </c>
      <c r="C289" s="11" t="str">
        <f t="shared" si="16"/>
        <v/>
      </c>
      <c r="F289" s="10" t="str">
        <v/>
      </c>
      <c r="G289" t="e">
        <f t="shared" si="18"/>
        <v>#VALUE!</v>
      </c>
      <c r="H289" s="13" t="e">
        <f t="shared" si="19"/>
        <v>#VALUE!</v>
      </c>
    </row>
    <row r="290" spans="2:8">
      <c r="B290" s="11" t="str">
        <f t="shared" si="17"/>
        <v/>
      </c>
      <c r="C290" s="11" t="str">
        <f t="shared" si="16"/>
        <v/>
      </c>
      <c r="F290" s="10" t="str">
        <v/>
      </c>
      <c r="G290" t="e">
        <f t="shared" si="18"/>
        <v>#VALUE!</v>
      </c>
      <c r="H290" s="13" t="e">
        <f t="shared" si="19"/>
        <v>#VALUE!</v>
      </c>
    </row>
    <row r="291" spans="2:8">
      <c r="B291" s="11" t="str">
        <f t="shared" si="17"/>
        <v/>
      </c>
      <c r="C291" s="11" t="str">
        <f t="shared" si="16"/>
        <v/>
      </c>
      <c r="F291" s="10" t="str">
        <v/>
      </c>
      <c r="G291" t="e">
        <f t="shared" si="18"/>
        <v>#VALUE!</v>
      </c>
      <c r="H291" s="13" t="e">
        <f t="shared" si="19"/>
        <v>#VALUE!</v>
      </c>
    </row>
    <row r="292" spans="2:8">
      <c r="B292" s="11" t="str">
        <f t="shared" si="17"/>
        <v/>
      </c>
      <c r="C292" s="11" t="str">
        <f t="shared" si="16"/>
        <v/>
      </c>
      <c r="F292" s="10" t="str">
        <v/>
      </c>
      <c r="G292" t="e">
        <f t="shared" si="18"/>
        <v>#VALUE!</v>
      </c>
      <c r="H292" s="13" t="e">
        <f t="shared" si="19"/>
        <v>#VALUE!</v>
      </c>
    </row>
    <row r="293" spans="2:8">
      <c r="B293" s="11" t="str">
        <f t="shared" si="17"/>
        <v/>
      </c>
      <c r="C293" s="11" t="str">
        <f t="shared" si="16"/>
        <v/>
      </c>
      <c r="F293" s="10" t="str">
        <v/>
      </c>
      <c r="G293" t="e">
        <f t="shared" si="18"/>
        <v>#VALUE!</v>
      </c>
      <c r="H293" s="13" t="e">
        <f t="shared" si="19"/>
        <v>#VALUE!</v>
      </c>
    </row>
    <row r="294" spans="2:8">
      <c r="B294" s="11" t="str">
        <f t="shared" si="17"/>
        <v/>
      </c>
      <c r="C294" s="11" t="str">
        <f t="shared" si="16"/>
        <v/>
      </c>
      <c r="F294" s="10" t="str">
        <v/>
      </c>
      <c r="G294" t="e">
        <f t="shared" si="18"/>
        <v>#VALUE!</v>
      </c>
      <c r="H294" s="13" t="e">
        <f t="shared" si="19"/>
        <v>#VALUE!</v>
      </c>
    </row>
    <row r="295" spans="2:8">
      <c r="B295" s="11" t="str">
        <f t="shared" si="17"/>
        <v/>
      </c>
      <c r="C295" s="11" t="str">
        <f t="shared" si="16"/>
        <v/>
      </c>
      <c r="F295" s="10" t="str">
        <v/>
      </c>
      <c r="G295" t="e">
        <f t="shared" si="18"/>
        <v>#VALUE!</v>
      </c>
      <c r="H295" s="13" t="e">
        <f t="shared" si="19"/>
        <v>#VALUE!</v>
      </c>
    </row>
    <row r="296" spans="2:8">
      <c r="B296" s="11" t="str">
        <f t="shared" si="17"/>
        <v/>
      </c>
      <c r="C296" s="11" t="str">
        <f t="shared" si="16"/>
        <v/>
      </c>
      <c r="F296" s="10" t="str">
        <v/>
      </c>
      <c r="G296" t="e">
        <f t="shared" si="18"/>
        <v>#VALUE!</v>
      </c>
      <c r="H296" s="13" t="e">
        <f t="shared" si="19"/>
        <v>#VALUE!</v>
      </c>
    </row>
    <row r="297" spans="2:8">
      <c r="B297" s="11" t="str">
        <f t="shared" si="17"/>
        <v/>
      </c>
      <c r="C297" s="11" t="str">
        <f t="shared" ref="C297:C360" si="20">IF(B297="артикул",A297,"")</f>
        <v/>
      </c>
      <c r="F297" s="10" t="str">
        <v/>
      </c>
      <c r="G297" t="e">
        <f t="shared" si="18"/>
        <v>#VALUE!</v>
      </c>
      <c r="H297" s="13" t="e">
        <f t="shared" si="19"/>
        <v>#VALUE!</v>
      </c>
    </row>
    <row r="298" spans="2:8">
      <c r="B298" s="11" t="str">
        <f t="shared" si="17"/>
        <v/>
      </c>
      <c r="C298" s="11" t="str">
        <f t="shared" si="20"/>
        <v/>
      </c>
      <c r="F298" s="10" t="str">
        <v/>
      </c>
      <c r="G298" t="e">
        <f t="shared" si="18"/>
        <v>#VALUE!</v>
      </c>
      <c r="H298" s="13" t="e">
        <f t="shared" si="19"/>
        <v>#VALUE!</v>
      </c>
    </row>
    <row r="299" spans="2:8">
      <c r="B299" s="11" t="str">
        <f t="shared" si="17"/>
        <v/>
      </c>
      <c r="C299" s="11" t="str">
        <f t="shared" si="20"/>
        <v/>
      </c>
      <c r="F299" s="10" t="str">
        <v/>
      </c>
      <c r="G299" t="e">
        <f t="shared" si="18"/>
        <v>#VALUE!</v>
      </c>
      <c r="H299" s="13" t="e">
        <f t="shared" si="19"/>
        <v>#VALUE!</v>
      </c>
    </row>
    <row r="300" spans="2:8">
      <c r="B300" s="11" t="str">
        <f t="shared" si="17"/>
        <v/>
      </c>
      <c r="C300" s="11" t="str">
        <f t="shared" si="20"/>
        <v/>
      </c>
      <c r="F300" s="10" t="str">
        <v/>
      </c>
      <c r="G300" t="e">
        <f t="shared" si="18"/>
        <v>#VALUE!</v>
      </c>
      <c r="H300" s="13" t="e">
        <f t="shared" si="19"/>
        <v>#VALUE!</v>
      </c>
    </row>
    <row r="301" spans="2:8">
      <c r="B301" s="11" t="str">
        <f t="shared" si="17"/>
        <v/>
      </c>
      <c r="C301" s="11" t="str">
        <f t="shared" si="20"/>
        <v/>
      </c>
      <c r="F301" s="10" t="str">
        <v/>
      </c>
      <c r="G301" t="e">
        <f t="shared" si="18"/>
        <v>#VALUE!</v>
      </c>
      <c r="H301" s="13" t="e">
        <f t="shared" si="19"/>
        <v>#VALUE!</v>
      </c>
    </row>
    <row r="302" spans="2:8">
      <c r="B302" s="11" t="str">
        <f t="shared" si="17"/>
        <v/>
      </c>
      <c r="C302" s="11" t="str">
        <f t="shared" si="20"/>
        <v/>
      </c>
      <c r="F302" s="10" t="str">
        <v/>
      </c>
      <c r="G302" t="e">
        <f t="shared" si="18"/>
        <v>#VALUE!</v>
      </c>
      <c r="H302" s="13" t="e">
        <f t="shared" si="19"/>
        <v>#VALUE!</v>
      </c>
    </row>
    <row r="303" spans="2:8">
      <c r="B303" s="11" t="str">
        <f t="shared" si="17"/>
        <v/>
      </c>
      <c r="C303" s="11" t="str">
        <f t="shared" si="20"/>
        <v/>
      </c>
      <c r="F303" s="10" t="str">
        <v/>
      </c>
      <c r="G303" t="e">
        <f t="shared" si="18"/>
        <v>#VALUE!</v>
      </c>
      <c r="H303" s="13" t="e">
        <f t="shared" si="19"/>
        <v>#VALUE!</v>
      </c>
    </row>
    <row r="304" spans="2:8">
      <c r="B304" s="11" t="str">
        <f t="shared" si="17"/>
        <v/>
      </c>
      <c r="C304" s="11" t="str">
        <f t="shared" si="20"/>
        <v/>
      </c>
      <c r="F304" s="10" t="str">
        <v/>
      </c>
      <c r="G304" t="e">
        <f t="shared" si="18"/>
        <v>#VALUE!</v>
      </c>
      <c r="H304" s="13" t="e">
        <f t="shared" si="19"/>
        <v>#VALUE!</v>
      </c>
    </row>
    <row r="305" spans="2:8">
      <c r="B305" s="11" t="str">
        <f t="shared" si="17"/>
        <v/>
      </c>
      <c r="C305" s="11" t="str">
        <f t="shared" si="20"/>
        <v/>
      </c>
      <c r="F305" s="10" t="str">
        <v/>
      </c>
      <c r="G305" t="e">
        <f t="shared" si="18"/>
        <v>#VALUE!</v>
      </c>
      <c r="H305" s="13" t="e">
        <f t="shared" si="19"/>
        <v>#VALUE!</v>
      </c>
    </row>
    <row r="306" spans="2:8">
      <c r="B306" s="11" t="str">
        <f t="shared" si="17"/>
        <v/>
      </c>
      <c r="C306" s="11" t="str">
        <f t="shared" si="20"/>
        <v/>
      </c>
      <c r="F306" s="10" t="str">
        <v/>
      </c>
      <c r="G306" t="e">
        <f t="shared" si="18"/>
        <v>#VALUE!</v>
      </c>
      <c r="H306" s="13" t="e">
        <f t="shared" si="19"/>
        <v>#VALUE!</v>
      </c>
    </row>
    <row r="307" spans="2:8">
      <c r="B307" s="11" t="str">
        <f t="shared" si="17"/>
        <v/>
      </c>
      <c r="C307" s="11" t="str">
        <f t="shared" si="20"/>
        <v/>
      </c>
      <c r="F307" s="10" t="str">
        <v/>
      </c>
      <c r="G307" t="e">
        <f t="shared" si="18"/>
        <v>#VALUE!</v>
      </c>
      <c r="H307" s="13" t="e">
        <f t="shared" si="19"/>
        <v>#VALUE!</v>
      </c>
    </row>
    <row r="308" spans="2:8">
      <c r="B308" s="11" t="str">
        <f t="shared" si="17"/>
        <v/>
      </c>
      <c r="C308" s="11" t="str">
        <f t="shared" si="20"/>
        <v/>
      </c>
      <c r="F308" s="10" t="str">
        <v/>
      </c>
      <c r="G308" t="e">
        <f t="shared" si="18"/>
        <v>#VALUE!</v>
      </c>
      <c r="H308" s="13" t="e">
        <f t="shared" si="19"/>
        <v>#VALUE!</v>
      </c>
    </row>
    <row r="309" spans="2:8">
      <c r="B309" s="11" t="str">
        <f t="shared" si="17"/>
        <v/>
      </c>
      <c r="C309" s="11" t="str">
        <f t="shared" si="20"/>
        <v/>
      </c>
      <c r="F309" s="10" t="str">
        <v/>
      </c>
      <c r="G309" t="e">
        <f t="shared" si="18"/>
        <v>#VALUE!</v>
      </c>
      <c r="H309" s="13" t="e">
        <f t="shared" si="19"/>
        <v>#VALUE!</v>
      </c>
    </row>
    <row r="310" spans="2:8">
      <c r="B310" s="11" t="str">
        <f t="shared" si="17"/>
        <v/>
      </c>
      <c r="C310" s="11" t="str">
        <f t="shared" si="20"/>
        <v/>
      </c>
      <c r="F310" s="10" t="str">
        <v/>
      </c>
      <c r="G310" t="e">
        <f t="shared" si="18"/>
        <v>#VALUE!</v>
      </c>
      <c r="H310" s="13" t="e">
        <f t="shared" si="19"/>
        <v>#VALUE!</v>
      </c>
    </row>
    <row r="311" spans="2:8">
      <c r="B311" s="11" t="str">
        <f t="shared" si="17"/>
        <v/>
      </c>
      <c r="C311" s="11" t="str">
        <f t="shared" si="20"/>
        <v/>
      </c>
      <c r="F311" s="10" t="str">
        <v/>
      </c>
      <c r="G311" t="e">
        <f t="shared" si="18"/>
        <v>#VALUE!</v>
      </c>
      <c r="H311" s="13" t="e">
        <f t="shared" si="19"/>
        <v>#VALUE!</v>
      </c>
    </row>
    <row r="312" spans="2:8">
      <c r="B312" s="11" t="str">
        <f t="shared" si="17"/>
        <v/>
      </c>
      <c r="C312" s="11" t="str">
        <f t="shared" si="20"/>
        <v/>
      </c>
      <c r="F312" s="10" t="str">
        <v/>
      </c>
      <c r="G312" t="e">
        <f t="shared" si="18"/>
        <v>#VALUE!</v>
      </c>
      <c r="H312" s="13" t="e">
        <f t="shared" si="19"/>
        <v>#VALUE!</v>
      </c>
    </row>
    <row r="313" spans="2:8">
      <c r="B313" s="11" t="str">
        <f t="shared" si="17"/>
        <v/>
      </c>
      <c r="C313" s="11" t="str">
        <f t="shared" si="20"/>
        <v/>
      </c>
      <c r="F313" s="10" t="str">
        <v/>
      </c>
      <c r="G313" t="e">
        <f t="shared" si="18"/>
        <v>#VALUE!</v>
      </c>
      <c r="H313" s="13" t="e">
        <f t="shared" si="19"/>
        <v>#VALUE!</v>
      </c>
    </row>
    <row r="314" spans="2:8">
      <c r="B314" s="11" t="str">
        <f t="shared" si="17"/>
        <v/>
      </c>
      <c r="C314" s="11" t="str">
        <f t="shared" si="20"/>
        <v/>
      </c>
      <c r="F314" s="10" t="str">
        <v/>
      </c>
      <c r="G314" t="e">
        <f t="shared" si="18"/>
        <v>#VALUE!</v>
      </c>
      <c r="H314" s="13" t="e">
        <f t="shared" si="19"/>
        <v>#VALUE!</v>
      </c>
    </row>
    <row r="315" spans="2:8">
      <c r="B315" s="11" t="str">
        <f t="shared" si="17"/>
        <v/>
      </c>
      <c r="C315" s="11" t="str">
        <f t="shared" si="20"/>
        <v/>
      </c>
      <c r="F315" s="10" t="str">
        <v/>
      </c>
      <c r="G315" t="e">
        <f t="shared" si="18"/>
        <v>#VALUE!</v>
      </c>
      <c r="H315" s="13" t="e">
        <f t="shared" si="19"/>
        <v>#VALUE!</v>
      </c>
    </row>
    <row r="316" spans="2:8">
      <c r="B316" s="11" t="str">
        <f t="shared" si="17"/>
        <v/>
      </c>
      <c r="C316" s="11" t="str">
        <f t="shared" si="20"/>
        <v/>
      </c>
      <c r="F316" s="10" t="str">
        <v/>
      </c>
      <c r="G316" t="e">
        <f t="shared" si="18"/>
        <v>#VALUE!</v>
      </c>
      <c r="H316" s="13" t="e">
        <f t="shared" si="19"/>
        <v>#VALUE!</v>
      </c>
    </row>
    <row r="317" spans="2:8">
      <c r="B317" s="11" t="str">
        <f t="shared" si="17"/>
        <v/>
      </c>
      <c r="C317" s="11" t="str">
        <f t="shared" si="20"/>
        <v/>
      </c>
      <c r="F317" s="10" t="str">
        <v/>
      </c>
      <c r="G317" t="e">
        <f t="shared" si="18"/>
        <v>#VALUE!</v>
      </c>
      <c r="H317" s="13" t="e">
        <f t="shared" si="19"/>
        <v>#VALUE!</v>
      </c>
    </row>
    <row r="318" spans="2:8">
      <c r="B318" s="11" t="str">
        <f t="shared" si="17"/>
        <v/>
      </c>
      <c r="C318" s="11" t="str">
        <f t="shared" si="20"/>
        <v/>
      </c>
      <c r="F318" s="10" t="str">
        <v/>
      </c>
      <c r="G318" t="e">
        <f t="shared" si="18"/>
        <v>#VALUE!</v>
      </c>
      <c r="H318" s="13" t="e">
        <f t="shared" si="19"/>
        <v>#VALUE!</v>
      </c>
    </row>
    <row r="319" spans="2:8">
      <c r="B319" s="11" t="str">
        <f t="shared" si="17"/>
        <v/>
      </c>
      <c r="C319" s="11" t="str">
        <f t="shared" si="20"/>
        <v/>
      </c>
      <c r="F319" s="10" t="str">
        <v/>
      </c>
      <c r="G319" t="e">
        <f t="shared" si="18"/>
        <v>#VALUE!</v>
      </c>
      <c r="H319" s="13" t="e">
        <f t="shared" si="19"/>
        <v>#VALUE!</v>
      </c>
    </row>
    <row r="320" spans="2:8">
      <c r="B320" s="11" t="str">
        <f t="shared" si="17"/>
        <v/>
      </c>
      <c r="C320" s="11" t="str">
        <f t="shared" si="20"/>
        <v/>
      </c>
      <c r="F320" s="10" t="str">
        <v/>
      </c>
      <c r="G320" t="e">
        <f t="shared" si="18"/>
        <v>#VALUE!</v>
      </c>
      <c r="H320" s="13" t="e">
        <f t="shared" si="19"/>
        <v>#VALUE!</v>
      </c>
    </row>
    <row r="321" spans="2:8">
      <c r="B321" s="11" t="str">
        <f t="shared" ref="B321:B384" si="21">IFERROR(IF(FIND(" ",A321)=6,IF(IFERROR(FIND(" PB",A321),"")&lt;&gt;"","артикул",IF(IFERROR(FIND(" CRN",A321),"")&lt;&gt;"","артикул","")),""),"")</f>
        <v/>
      </c>
      <c r="C321" s="11" t="str">
        <f t="shared" si="20"/>
        <v/>
      </c>
      <c r="F321" s="10" t="str">
        <v/>
      </c>
      <c r="G321" t="e">
        <f t="shared" si="18"/>
        <v>#VALUE!</v>
      </c>
      <c r="H321" s="13" t="e">
        <f t="shared" si="19"/>
        <v>#VALUE!</v>
      </c>
    </row>
    <row r="322" spans="2:8">
      <c r="B322" s="11" t="str">
        <f t="shared" si="21"/>
        <v/>
      </c>
      <c r="C322" s="11" t="str">
        <f t="shared" si="20"/>
        <v/>
      </c>
      <c r="F322" s="10" t="str">
        <v/>
      </c>
      <c r="G322" t="e">
        <f t="shared" ref="G322:G385" si="22">CONCATENATE(LEFT(F322,5),
MID(F322,
SEARCH("\",SUBSTITUTE(F322," ","\",LEN(F322)-LEN(SUBSTITUTE(F322," ",""))-4)),
SEARCH("\",SUBSTITUTE(F322," ","\",LEN(F322)-LEN(SUBSTITUTE(F322," ",""))-3))-
SEARCH("\",SUBSTITUTE(F322," ","\",LEN(F322)-LEN(SUBSTITUTE(F322," ",""))-4)))*1)</f>
        <v>#VALUE!</v>
      </c>
      <c r="H322" s="13" t="e">
        <f t="shared" ref="H322:H385" si="23">SUBSTITUTE(
RIGHT(F322,LEN(F322)-
FIND("\",SUBSTITUTE(F322," ","\",LEN(F322)-LEN(SUBSTITUTE(F322," ",""))))),
".","")</f>
        <v>#VALUE!</v>
      </c>
    </row>
    <row r="323" spans="2:8">
      <c r="B323" s="11" t="str">
        <f t="shared" si="21"/>
        <v/>
      </c>
      <c r="C323" s="11" t="str">
        <f t="shared" si="20"/>
        <v/>
      </c>
      <c r="F323" s="10" t="str">
        <v/>
      </c>
      <c r="G323" t="e">
        <f t="shared" si="22"/>
        <v>#VALUE!</v>
      </c>
      <c r="H323" s="13" t="e">
        <f t="shared" si="23"/>
        <v>#VALUE!</v>
      </c>
    </row>
    <row r="324" spans="2:8">
      <c r="B324" s="11" t="str">
        <f t="shared" si="21"/>
        <v/>
      </c>
      <c r="C324" s="11" t="str">
        <f t="shared" si="20"/>
        <v/>
      </c>
      <c r="F324" s="10" t="str">
        <v/>
      </c>
      <c r="G324" t="e">
        <f t="shared" si="22"/>
        <v>#VALUE!</v>
      </c>
      <c r="H324" s="13" t="e">
        <f t="shared" si="23"/>
        <v>#VALUE!</v>
      </c>
    </row>
    <row r="325" spans="2:8">
      <c r="B325" s="11" t="str">
        <f t="shared" si="21"/>
        <v/>
      </c>
      <c r="C325" s="11" t="str">
        <f t="shared" si="20"/>
        <v/>
      </c>
      <c r="F325" s="10" t="str">
        <v/>
      </c>
      <c r="G325" t="e">
        <f t="shared" si="22"/>
        <v>#VALUE!</v>
      </c>
      <c r="H325" s="13" t="e">
        <f t="shared" si="23"/>
        <v>#VALUE!</v>
      </c>
    </row>
    <row r="326" spans="2:8">
      <c r="B326" s="11" t="str">
        <f t="shared" si="21"/>
        <v/>
      </c>
      <c r="C326" s="11" t="str">
        <f t="shared" si="20"/>
        <v/>
      </c>
      <c r="F326" s="10" t="str">
        <v/>
      </c>
      <c r="G326" t="e">
        <f t="shared" si="22"/>
        <v>#VALUE!</v>
      </c>
      <c r="H326" s="13" t="e">
        <f t="shared" si="23"/>
        <v>#VALUE!</v>
      </c>
    </row>
    <row r="327" spans="2:8">
      <c r="B327" s="11" t="str">
        <f t="shared" si="21"/>
        <v/>
      </c>
      <c r="C327" s="11" t="str">
        <f t="shared" si="20"/>
        <v/>
      </c>
      <c r="F327" s="10" t="str">
        <v/>
      </c>
      <c r="G327" t="e">
        <f t="shared" si="22"/>
        <v>#VALUE!</v>
      </c>
      <c r="H327" s="13" t="e">
        <f t="shared" si="23"/>
        <v>#VALUE!</v>
      </c>
    </row>
    <row r="328" spans="2:8">
      <c r="B328" s="11" t="str">
        <f t="shared" si="21"/>
        <v/>
      </c>
      <c r="C328" s="11" t="str">
        <f t="shared" si="20"/>
        <v/>
      </c>
      <c r="F328" s="10" t="str">
        <v/>
      </c>
      <c r="G328" t="e">
        <f t="shared" si="22"/>
        <v>#VALUE!</v>
      </c>
      <c r="H328" s="13" t="e">
        <f t="shared" si="23"/>
        <v>#VALUE!</v>
      </c>
    </row>
    <row r="329" spans="2:8">
      <c r="B329" s="11" t="str">
        <f t="shared" si="21"/>
        <v/>
      </c>
      <c r="C329" s="11" t="str">
        <f t="shared" si="20"/>
        <v/>
      </c>
      <c r="F329" s="10" t="str">
        <v/>
      </c>
      <c r="G329" t="e">
        <f t="shared" si="22"/>
        <v>#VALUE!</v>
      </c>
      <c r="H329" s="13" t="e">
        <f t="shared" si="23"/>
        <v>#VALUE!</v>
      </c>
    </row>
    <row r="330" spans="2:8">
      <c r="B330" s="11" t="str">
        <f t="shared" si="21"/>
        <v/>
      </c>
      <c r="C330" s="11" t="str">
        <f t="shared" si="20"/>
        <v/>
      </c>
      <c r="F330" s="10" t="str">
        <v/>
      </c>
      <c r="G330" t="e">
        <f t="shared" si="22"/>
        <v>#VALUE!</v>
      </c>
      <c r="H330" s="13" t="e">
        <f t="shared" si="23"/>
        <v>#VALUE!</v>
      </c>
    </row>
    <row r="331" spans="2:8">
      <c r="B331" s="11" t="str">
        <f t="shared" si="21"/>
        <v/>
      </c>
      <c r="C331" s="11" t="str">
        <f t="shared" si="20"/>
        <v/>
      </c>
      <c r="F331" s="10" t="str">
        <v/>
      </c>
      <c r="G331" t="e">
        <f t="shared" si="22"/>
        <v>#VALUE!</v>
      </c>
      <c r="H331" s="13" t="e">
        <f t="shared" si="23"/>
        <v>#VALUE!</v>
      </c>
    </row>
    <row r="332" spans="2:8">
      <c r="B332" s="11" t="str">
        <f t="shared" si="21"/>
        <v/>
      </c>
      <c r="C332" s="11" t="str">
        <f t="shared" si="20"/>
        <v/>
      </c>
      <c r="F332" s="10" t="str">
        <v/>
      </c>
      <c r="G332" t="e">
        <f t="shared" si="22"/>
        <v>#VALUE!</v>
      </c>
      <c r="H332" s="13" t="e">
        <f t="shared" si="23"/>
        <v>#VALUE!</v>
      </c>
    </row>
    <row r="333" spans="2:8">
      <c r="B333" s="11" t="str">
        <f t="shared" si="21"/>
        <v/>
      </c>
      <c r="C333" s="11" t="str">
        <f t="shared" si="20"/>
        <v/>
      </c>
      <c r="F333" s="10" t="str">
        <v/>
      </c>
      <c r="G333" t="e">
        <f t="shared" si="22"/>
        <v>#VALUE!</v>
      </c>
      <c r="H333" s="13" t="e">
        <f t="shared" si="23"/>
        <v>#VALUE!</v>
      </c>
    </row>
    <row r="334" spans="2:8">
      <c r="B334" s="11" t="str">
        <f t="shared" si="21"/>
        <v/>
      </c>
      <c r="C334" s="11" t="str">
        <f t="shared" si="20"/>
        <v/>
      </c>
      <c r="F334" s="10" t="str">
        <v/>
      </c>
      <c r="G334" t="e">
        <f t="shared" si="22"/>
        <v>#VALUE!</v>
      </c>
      <c r="H334" s="13" t="e">
        <f t="shared" si="23"/>
        <v>#VALUE!</v>
      </c>
    </row>
    <row r="335" spans="2:8">
      <c r="B335" s="11" t="str">
        <f t="shared" si="21"/>
        <v/>
      </c>
      <c r="C335" s="11" t="str">
        <f t="shared" si="20"/>
        <v/>
      </c>
      <c r="F335" s="10" t="str">
        <v/>
      </c>
      <c r="G335" t="e">
        <f t="shared" si="22"/>
        <v>#VALUE!</v>
      </c>
      <c r="H335" s="13" t="e">
        <f t="shared" si="23"/>
        <v>#VALUE!</v>
      </c>
    </row>
    <row r="336" spans="2:8">
      <c r="B336" s="11" t="str">
        <f t="shared" si="21"/>
        <v/>
      </c>
      <c r="C336" s="11" t="str">
        <f t="shared" si="20"/>
        <v/>
      </c>
      <c r="F336" s="10" t="str">
        <v/>
      </c>
      <c r="G336" t="e">
        <f t="shared" si="22"/>
        <v>#VALUE!</v>
      </c>
      <c r="H336" s="13" t="e">
        <f t="shared" si="23"/>
        <v>#VALUE!</v>
      </c>
    </row>
    <row r="337" spans="2:8">
      <c r="B337" s="11" t="str">
        <f t="shared" si="21"/>
        <v/>
      </c>
      <c r="C337" s="11" t="str">
        <f t="shared" si="20"/>
        <v/>
      </c>
      <c r="F337" s="10" t="str">
        <v/>
      </c>
      <c r="G337" t="e">
        <f t="shared" si="22"/>
        <v>#VALUE!</v>
      </c>
      <c r="H337" s="13" t="e">
        <f t="shared" si="23"/>
        <v>#VALUE!</v>
      </c>
    </row>
    <row r="338" spans="2:8">
      <c r="B338" s="11" t="str">
        <f t="shared" si="21"/>
        <v/>
      </c>
      <c r="C338" s="11" t="str">
        <f t="shared" si="20"/>
        <v/>
      </c>
      <c r="F338" s="10" t="str">
        <v/>
      </c>
      <c r="G338" t="e">
        <f t="shared" si="22"/>
        <v>#VALUE!</v>
      </c>
      <c r="H338" s="13" t="e">
        <f t="shared" si="23"/>
        <v>#VALUE!</v>
      </c>
    </row>
    <row r="339" spans="2:8">
      <c r="B339" s="11" t="str">
        <f t="shared" si="21"/>
        <v/>
      </c>
      <c r="C339" s="11" t="str">
        <f t="shared" si="20"/>
        <v/>
      </c>
      <c r="F339" s="10" t="str">
        <v/>
      </c>
      <c r="G339" t="e">
        <f t="shared" si="22"/>
        <v>#VALUE!</v>
      </c>
      <c r="H339" s="13" t="e">
        <f t="shared" si="23"/>
        <v>#VALUE!</v>
      </c>
    </row>
    <row r="340" spans="2:8">
      <c r="B340" s="11" t="str">
        <f t="shared" si="21"/>
        <v/>
      </c>
      <c r="C340" s="11" t="str">
        <f t="shared" si="20"/>
        <v/>
      </c>
      <c r="F340" s="10" t="str">
        <v/>
      </c>
      <c r="G340" t="e">
        <f t="shared" si="22"/>
        <v>#VALUE!</v>
      </c>
      <c r="H340" s="13" t="e">
        <f t="shared" si="23"/>
        <v>#VALUE!</v>
      </c>
    </row>
    <row r="341" spans="2:8">
      <c r="B341" s="11" t="str">
        <f t="shared" si="21"/>
        <v/>
      </c>
      <c r="C341" s="11" t="str">
        <f t="shared" si="20"/>
        <v/>
      </c>
      <c r="F341" s="10" t="str">
        <v/>
      </c>
      <c r="G341" t="e">
        <f t="shared" si="22"/>
        <v>#VALUE!</v>
      </c>
      <c r="H341" s="13" t="e">
        <f t="shared" si="23"/>
        <v>#VALUE!</v>
      </c>
    </row>
    <row r="342" spans="2:8">
      <c r="B342" s="11" t="str">
        <f t="shared" si="21"/>
        <v/>
      </c>
      <c r="C342" s="11" t="str">
        <f t="shared" si="20"/>
        <v/>
      </c>
      <c r="F342" s="10" t="str">
        <v/>
      </c>
      <c r="G342" t="e">
        <f t="shared" si="22"/>
        <v>#VALUE!</v>
      </c>
      <c r="H342" s="13" t="e">
        <f t="shared" si="23"/>
        <v>#VALUE!</v>
      </c>
    </row>
    <row r="343" spans="2:8">
      <c r="B343" s="11" t="str">
        <f t="shared" si="21"/>
        <v/>
      </c>
      <c r="C343" s="11" t="str">
        <f t="shared" si="20"/>
        <v/>
      </c>
      <c r="F343" s="10" t="str">
        <v/>
      </c>
      <c r="G343" t="e">
        <f t="shared" si="22"/>
        <v>#VALUE!</v>
      </c>
      <c r="H343" s="13" t="e">
        <f t="shared" si="23"/>
        <v>#VALUE!</v>
      </c>
    </row>
    <row r="344" spans="2:8">
      <c r="B344" s="11" t="str">
        <f t="shared" si="21"/>
        <v/>
      </c>
      <c r="C344" s="11" t="str">
        <f t="shared" si="20"/>
        <v/>
      </c>
      <c r="F344" s="10" t="str">
        <v/>
      </c>
      <c r="G344" t="e">
        <f t="shared" si="22"/>
        <v>#VALUE!</v>
      </c>
      <c r="H344" s="13" t="e">
        <f t="shared" si="23"/>
        <v>#VALUE!</v>
      </c>
    </row>
    <row r="345" spans="2:8">
      <c r="B345" s="11" t="str">
        <f t="shared" si="21"/>
        <v/>
      </c>
      <c r="C345" s="11" t="str">
        <f t="shared" si="20"/>
        <v/>
      </c>
      <c r="F345" s="10" t="str">
        <v/>
      </c>
      <c r="G345" t="e">
        <f t="shared" si="22"/>
        <v>#VALUE!</v>
      </c>
      <c r="H345" s="13" t="e">
        <f t="shared" si="23"/>
        <v>#VALUE!</v>
      </c>
    </row>
    <row r="346" spans="2:8">
      <c r="B346" s="11" t="str">
        <f t="shared" si="21"/>
        <v/>
      </c>
      <c r="C346" s="11" t="str">
        <f t="shared" si="20"/>
        <v/>
      </c>
      <c r="F346" s="10" t="str">
        <v/>
      </c>
      <c r="G346" t="e">
        <f t="shared" si="22"/>
        <v>#VALUE!</v>
      </c>
      <c r="H346" s="13" t="e">
        <f t="shared" si="23"/>
        <v>#VALUE!</v>
      </c>
    </row>
    <row r="347" spans="2:8">
      <c r="B347" s="11" t="str">
        <f t="shared" si="21"/>
        <v/>
      </c>
      <c r="C347" s="11" t="str">
        <f t="shared" si="20"/>
        <v/>
      </c>
      <c r="F347" s="10" t="str">
        <v/>
      </c>
      <c r="G347" t="e">
        <f t="shared" si="22"/>
        <v>#VALUE!</v>
      </c>
      <c r="H347" s="13" t="e">
        <f t="shared" si="23"/>
        <v>#VALUE!</v>
      </c>
    </row>
    <row r="348" spans="2:8">
      <c r="B348" s="11" t="str">
        <f t="shared" si="21"/>
        <v/>
      </c>
      <c r="C348" s="11" t="str">
        <f t="shared" si="20"/>
        <v/>
      </c>
      <c r="F348" s="10" t="str">
        <v/>
      </c>
      <c r="G348" t="e">
        <f t="shared" si="22"/>
        <v>#VALUE!</v>
      </c>
      <c r="H348" s="13" t="e">
        <f t="shared" si="23"/>
        <v>#VALUE!</v>
      </c>
    </row>
    <row r="349" spans="2:8">
      <c r="B349" s="11" t="str">
        <f t="shared" si="21"/>
        <v/>
      </c>
      <c r="C349" s="11" t="str">
        <f t="shared" si="20"/>
        <v/>
      </c>
      <c r="F349" s="10" t="str">
        <v/>
      </c>
      <c r="G349" t="e">
        <f t="shared" si="22"/>
        <v>#VALUE!</v>
      </c>
      <c r="H349" s="13" t="e">
        <f t="shared" si="23"/>
        <v>#VALUE!</v>
      </c>
    </row>
    <row r="350" spans="2:8">
      <c r="B350" s="11" t="str">
        <f t="shared" si="21"/>
        <v/>
      </c>
      <c r="C350" s="11" t="str">
        <f t="shared" si="20"/>
        <v/>
      </c>
      <c r="F350" s="10" t="str">
        <v/>
      </c>
      <c r="G350" t="e">
        <f t="shared" si="22"/>
        <v>#VALUE!</v>
      </c>
      <c r="H350" s="13" t="e">
        <f t="shared" si="23"/>
        <v>#VALUE!</v>
      </c>
    </row>
    <row r="351" spans="2:8">
      <c r="B351" s="11" t="str">
        <f t="shared" si="21"/>
        <v/>
      </c>
      <c r="C351" s="11" t="str">
        <f t="shared" si="20"/>
        <v/>
      </c>
      <c r="F351" s="10" t="str">
        <v/>
      </c>
      <c r="G351" t="e">
        <f t="shared" si="22"/>
        <v>#VALUE!</v>
      </c>
      <c r="H351" s="13" t="e">
        <f t="shared" si="23"/>
        <v>#VALUE!</v>
      </c>
    </row>
    <row r="352" spans="2:8">
      <c r="B352" s="11" t="str">
        <f t="shared" si="21"/>
        <v/>
      </c>
      <c r="C352" s="11" t="str">
        <f t="shared" si="20"/>
        <v/>
      </c>
      <c r="F352" s="10" t="str">
        <v/>
      </c>
      <c r="G352" t="e">
        <f t="shared" si="22"/>
        <v>#VALUE!</v>
      </c>
      <c r="H352" s="13" t="e">
        <f t="shared" si="23"/>
        <v>#VALUE!</v>
      </c>
    </row>
    <row r="353" spans="2:8">
      <c r="B353" s="11" t="str">
        <f t="shared" si="21"/>
        <v/>
      </c>
      <c r="C353" s="11" t="str">
        <f t="shared" si="20"/>
        <v/>
      </c>
      <c r="F353" s="10" t="str">
        <v/>
      </c>
      <c r="G353" t="e">
        <f t="shared" si="22"/>
        <v>#VALUE!</v>
      </c>
      <c r="H353" s="13" t="e">
        <f t="shared" si="23"/>
        <v>#VALUE!</v>
      </c>
    </row>
    <row r="354" spans="2:8">
      <c r="B354" s="11" t="str">
        <f t="shared" si="21"/>
        <v/>
      </c>
      <c r="C354" s="11" t="str">
        <f t="shared" si="20"/>
        <v/>
      </c>
      <c r="F354" s="10" t="str">
        <v/>
      </c>
      <c r="G354" t="e">
        <f t="shared" si="22"/>
        <v>#VALUE!</v>
      </c>
      <c r="H354" s="13" t="e">
        <f t="shared" si="23"/>
        <v>#VALUE!</v>
      </c>
    </row>
    <row r="355" spans="2:8">
      <c r="B355" s="11" t="str">
        <f t="shared" si="21"/>
        <v/>
      </c>
      <c r="C355" s="11" t="str">
        <f t="shared" si="20"/>
        <v/>
      </c>
      <c r="F355" s="10" t="str">
        <v/>
      </c>
      <c r="G355" t="e">
        <f t="shared" si="22"/>
        <v>#VALUE!</v>
      </c>
      <c r="H355" s="13" t="e">
        <f t="shared" si="23"/>
        <v>#VALUE!</v>
      </c>
    </row>
    <row r="356" spans="2:8">
      <c r="B356" s="11" t="str">
        <f t="shared" si="21"/>
        <v/>
      </c>
      <c r="C356" s="11" t="str">
        <f t="shared" si="20"/>
        <v/>
      </c>
      <c r="F356" s="10" t="str">
        <v/>
      </c>
      <c r="G356" t="e">
        <f t="shared" si="22"/>
        <v>#VALUE!</v>
      </c>
      <c r="H356" s="13" t="e">
        <f t="shared" si="23"/>
        <v>#VALUE!</v>
      </c>
    </row>
    <row r="357" spans="2:8">
      <c r="B357" s="11" t="str">
        <f t="shared" si="21"/>
        <v/>
      </c>
      <c r="C357" s="11" t="str">
        <f t="shared" si="20"/>
        <v/>
      </c>
      <c r="F357" s="10" t="str">
        <v/>
      </c>
      <c r="G357" t="e">
        <f t="shared" si="22"/>
        <v>#VALUE!</v>
      </c>
      <c r="H357" s="13" t="e">
        <f t="shared" si="23"/>
        <v>#VALUE!</v>
      </c>
    </row>
    <row r="358" spans="2:8">
      <c r="B358" s="11" t="str">
        <f t="shared" si="21"/>
        <v/>
      </c>
      <c r="C358" s="11" t="str">
        <f t="shared" si="20"/>
        <v/>
      </c>
      <c r="F358" s="10" t="str">
        <v/>
      </c>
      <c r="G358" t="e">
        <f t="shared" si="22"/>
        <v>#VALUE!</v>
      </c>
      <c r="H358" s="13" t="e">
        <f t="shared" si="23"/>
        <v>#VALUE!</v>
      </c>
    </row>
    <row r="359" spans="2:8">
      <c r="B359" s="11" t="str">
        <f t="shared" si="21"/>
        <v/>
      </c>
      <c r="C359" s="11" t="str">
        <f t="shared" si="20"/>
        <v/>
      </c>
      <c r="F359" s="10" t="str">
        <v/>
      </c>
      <c r="G359" t="e">
        <f t="shared" si="22"/>
        <v>#VALUE!</v>
      </c>
      <c r="H359" s="13" t="e">
        <f t="shared" si="23"/>
        <v>#VALUE!</v>
      </c>
    </row>
    <row r="360" spans="2:8">
      <c r="B360" s="11" t="str">
        <f t="shared" si="21"/>
        <v/>
      </c>
      <c r="C360" s="11" t="str">
        <f t="shared" si="20"/>
        <v/>
      </c>
      <c r="F360" s="10" t="str">
        <v/>
      </c>
      <c r="G360" t="e">
        <f t="shared" si="22"/>
        <v>#VALUE!</v>
      </c>
      <c r="H360" s="13" t="e">
        <f t="shared" si="23"/>
        <v>#VALUE!</v>
      </c>
    </row>
    <row r="361" spans="2:8">
      <c r="B361" s="11" t="str">
        <f t="shared" si="21"/>
        <v/>
      </c>
      <c r="C361" s="11" t="str">
        <f t="shared" ref="C361:C424" si="24">IF(B361="артикул",A361,"")</f>
        <v/>
      </c>
      <c r="F361" s="10" t="str">
        <v/>
      </c>
      <c r="G361" t="e">
        <f t="shared" si="22"/>
        <v>#VALUE!</v>
      </c>
      <c r="H361" s="13" t="e">
        <f t="shared" si="23"/>
        <v>#VALUE!</v>
      </c>
    </row>
    <row r="362" spans="2:8">
      <c r="B362" s="11" t="str">
        <f t="shared" si="21"/>
        <v/>
      </c>
      <c r="C362" s="11" t="str">
        <f t="shared" si="24"/>
        <v/>
      </c>
      <c r="F362" s="10" t="str">
        <v/>
      </c>
      <c r="G362" t="e">
        <f t="shared" si="22"/>
        <v>#VALUE!</v>
      </c>
      <c r="H362" s="13" t="e">
        <f t="shared" si="23"/>
        <v>#VALUE!</v>
      </c>
    </row>
    <row r="363" spans="2:8">
      <c r="B363" s="11" t="str">
        <f t="shared" si="21"/>
        <v/>
      </c>
      <c r="C363" s="11" t="str">
        <f t="shared" si="24"/>
        <v/>
      </c>
      <c r="F363" s="10" t="str">
        <v/>
      </c>
      <c r="G363" t="e">
        <f t="shared" si="22"/>
        <v>#VALUE!</v>
      </c>
      <c r="H363" s="13" t="e">
        <f t="shared" si="23"/>
        <v>#VALUE!</v>
      </c>
    </row>
    <row r="364" spans="2:8">
      <c r="B364" s="11" t="str">
        <f t="shared" si="21"/>
        <v/>
      </c>
      <c r="C364" s="11" t="str">
        <f t="shared" si="24"/>
        <v/>
      </c>
      <c r="F364" s="10" t="str">
        <v/>
      </c>
      <c r="G364" t="e">
        <f t="shared" si="22"/>
        <v>#VALUE!</v>
      </c>
      <c r="H364" s="13" t="e">
        <f t="shared" si="23"/>
        <v>#VALUE!</v>
      </c>
    </row>
    <row r="365" spans="2:8">
      <c r="B365" s="11" t="str">
        <f t="shared" si="21"/>
        <v/>
      </c>
      <c r="C365" s="11" t="str">
        <f t="shared" si="24"/>
        <v/>
      </c>
      <c r="F365" s="10" t="str">
        <v/>
      </c>
      <c r="G365" t="e">
        <f t="shared" si="22"/>
        <v>#VALUE!</v>
      </c>
      <c r="H365" s="13" t="e">
        <f t="shared" si="23"/>
        <v>#VALUE!</v>
      </c>
    </row>
    <row r="366" spans="2:8">
      <c r="B366" s="11" t="str">
        <f t="shared" si="21"/>
        <v/>
      </c>
      <c r="C366" s="11" t="str">
        <f t="shared" si="24"/>
        <v/>
      </c>
      <c r="F366" s="10" t="str">
        <v/>
      </c>
      <c r="G366" t="e">
        <f t="shared" si="22"/>
        <v>#VALUE!</v>
      </c>
      <c r="H366" s="13" t="e">
        <f t="shared" si="23"/>
        <v>#VALUE!</v>
      </c>
    </row>
    <row r="367" spans="2:8">
      <c r="B367" s="11" t="str">
        <f t="shared" si="21"/>
        <v/>
      </c>
      <c r="C367" s="11" t="str">
        <f t="shared" si="24"/>
        <v/>
      </c>
      <c r="F367" s="10" t="str">
        <v/>
      </c>
      <c r="G367" t="e">
        <f t="shared" si="22"/>
        <v>#VALUE!</v>
      </c>
      <c r="H367" s="13" t="e">
        <f t="shared" si="23"/>
        <v>#VALUE!</v>
      </c>
    </row>
    <row r="368" spans="2:8">
      <c r="B368" s="11" t="str">
        <f t="shared" si="21"/>
        <v/>
      </c>
      <c r="C368" s="11" t="str">
        <f t="shared" si="24"/>
        <v/>
      </c>
      <c r="F368" s="10" t="str">
        <v/>
      </c>
      <c r="G368" t="e">
        <f t="shared" si="22"/>
        <v>#VALUE!</v>
      </c>
      <c r="H368" s="13" t="e">
        <f t="shared" si="23"/>
        <v>#VALUE!</v>
      </c>
    </row>
    <row r="369" spans="2:8">
      <c r="B369" s="11" t="str">
        <f t="shared" si="21"/>
        <v/>
      </c>
      <c r="C369" s="11" t="str">
        <f t="shared" si="24"/>
        <v/>
      </c>
      <c r="F369" s="10" t="str">
        <v/>
      </c>
      <c r="G369" t="e">
        <f t="shared" si="22"/>
        <v>#VALUE!</v>
      </c>
      <c r="H369" s="13" t="e">
        <f t="shared" si="23"/>
        <v>#VALUE!</v>
      </c>
    </row>
    <row r="370" spans="2:8">
      <c r="B370" s="11" t="str">
        <f t="shared" si="21"/>
        <v/>
      </c>
      <c r="C370" s="11" t="str">
        <f t="shared" si="24"/>
        <v/>
      </c>
      <c r="F370" s="10" t="str">
        <v/>
      </c>
      <c r="G370" t="e">
        <f t="shared" si="22"/>
        <v>#VALUE!</v>
      </c>
      <c r="H370" s="13" t="e">
        <f t="shared" si="23"/>
        <v>#VALUE!</v>
      </c>
    </row>
    <row r="371" spans="2:8">
      <c r="B371" s="11" t="str">
        <f t="shared" si="21"/>
        <v/>
      </c>
      <c r="C371" s="11" t="str">
        <f t="shared" si="24"/>
        <v/>
      </c>
      <c r="F371" s="10" t="str">
        <v/>
      </c>
      <c r="G371" t="e">
        <f t="shared" si="22"/>
        <v>#VALUE!</v>
      </c>
      <c r="H371" s="13" t="e">
        <f t="shared" si="23"/>
        <v>#VALUE!</v>
      </c>
    </row>
    <row r="372" spans="2:8">
      <c r="B372" s="11" t="str">
        <f t="shared" si="21"/>
        <v/>
      </c>
      <c r="C372" s="11" t="str">
        <f t="shared" si="24"/>
        <v/>
      </c>
      <c r="F372" s="10" t="str">
        <v/>
      </c>
      <c r="G372" t="e">
        <f t="shared" si="22"/>
        <v>#VALUE!</v>
      </c>
      <c r="H372" s="13" t="e">
        <f t="shared" si="23"/>
        <v>#VALUE!</v>
      </c>
    </row>
    <row r="373" spans="2:8">
      <c r="B373" s="11" t="str">
        <f t="shared" si="21"/>
        <v/>
      </c>
      <c r="C373" s="11" t="str">
        <f t="shared" si="24"/>
        <v/>
      </c>
      <c r="F373" s="10" t="str">
        <v/>
      </c>
      <c r="G373" t="e">
        <f t="shared" si="22"/>
        <v>#VALUE!</v>
      </c>
      <c r="H373" s="13" t="e">
        <f t="shared" si="23"/>
        <v>#VALUE!</v>
      </c>
    </row>
    <row r="374" spans="2:8">
      <c r="B374" s="11" t="str">
        <f t="shared" si="21"/>
        <v/>
      </c>
      <c r="C374" s="11" t="str">
        <f t="shared" si="24"/>
        <v/>
      </c>
      <c r="F374" s="10" t="str">
        <v/>
      </c>
      <c r="G374" t="e">
        <f t="shared" si="22"/>
        <v>#VALUE!</v>
      </c>
      <c r="H374" s="13" t="e">
        <f t="shared" si="23"/>
        <v>#VALUE!</v>
      </c>
    </row>
    <row r="375" spans="2:8">
      <c r="B375" s="11" t="str">
        <f t="shared" si="21"/>
        <v/>
      </c>
      <c r="C375" s="11" t="str">
        <f t="shared" si="24"/>
        <v/>
      </c>
      <c r="F375" s="10" t="str">
        <v/>
      </c>
      <c r="G375" t="e">
        <f t="shared" si="22"/>
        <v>#VALUE!</v>
      </c>
      <c r="H375" s="13" t="e">
        <f t="shared" si="23"/>
        <v>#VALUE!</v>
      </c>
    </row>
    <row r="376" spans="2:8">
      <c r="B376" s="11" t="str">
        <f t="shared" si="21"/>
        <v/>
      </c>
      <c r="C376" s="11" t="str">
        <f t="shared" si="24"/>
        <v/>
      </c>
      <c r="F376" s="10" t="str">
        <v/>
      </c>
      <c r="G376" t="e">
        <f t="shared" si="22"/>
        <v>#VALUE!</v>
      </c>
      <c r="H376" s="13" t="e">
        <f t="shared" si="23"/>
        <v>#VALUE!</v>
      </c>
    </row>
    <row r="377" spans="2:8">
      <c r="B377" s="11" t="str">
        <f t="shared" si="21"/>
        <v/>
      </c>
      <c r="C377" s="11" t="str">
        <f t="shared" si="24"/>
        <v/>
      </c>
      <c r="F377" s="10" t="str">
        <v/>
      </c>
      <c r="G377" t="e">
        <f t="shared" si="22"/>
        <v>#VALUE!</v>
      </c>
      <c r="H377" s="13" t="e">
        <f t="shared" si="23"/>
        <v>#VALUE!</v>
      </c>
    </row>
    <row r="378" spans="2:8">
      <c r="B378" s="11" t="str">
        <f t="shared" si="21"/>
        <v/>
      </c>
      <c r="C378" s="11" t="str">
        <f t="shared" si="24"/>
        <v/>
      </c>
      <c r="F378" s="10" t="str">
        <v/>
      </c>
      <c r="G378" t="e">
        <f t="shared" si="22"/>
        <v>#VALUE!</v>
      </c>
      <c r="H378" s="13" t="e">
        <f t="shared" si="23"/>
        <v>#VALUE!</v>
      </c>
    </row>
    <row r="379" spans="2:8">
      <c r="B379" s="11" t="str">
        <f t="shared" si="21"/>
        <v/>
      </c>
      <c r="C379" s="11" t="str">
        <f t="shared" si="24"/>
        <v/>
      </c>
      <c r="F379" s="10" t="str">
        <v/>
      </c>
      <c r="G379" t="e">
        <f t="shared" si="22"/>
        <v>#VALUE!</v>
      </c>
      <c r="H379" s="13" t="e">
        <f t="shared" si="23"/>
        <v>#VALUE!</v>
      </c>
    </row>
    <row r="380" spans="2:8">
      <c r="B380" s="11" t="str">
        <f t="shared" si="21"/>
        <v/>
      </c>
      <c r="C380" s="11" t="str">
        <f t="shared" si="24"/>
        <v/>
      </c>
      <c r="F380" s="10" t="str">
        <v/>
      </c>
      <c r="G380" t="e">
        <f t="shared" si="22"/>
        <v>#VALUE!</v>
      </c>
      <c r="H380" s="13" t="e">
        <f t="shared" si="23"/>
        <v>#VALUE!</v>
      </c>
    </row>
    <row r="381" spans="2:8">
      <c r="B381" s="11" t="str">
        <f t="shared" si="21"/>
        <v/>
      </c>
      <c r="C381" s="11" t="str">
        <f t="shared" si="24"/>
        <v/>
      </c>
      <c r="F381" s="10" t="str">
        <v/>
      </c>
      <c r="G381" t="e">
        <f t="shared" si="22"/>
        <v>#VALUE!</v>
      </c>
      <c r="H381" s="13" t="e">
        <f t="shared" si="23"/>
        <v>#VALUE!</v>
      </c>
    </row>
    <row r="382" spans="2:8">
      <c r="B382" s="11" t="str">
        <f t="shared" si="21"/>
        <v/>
      </c>
      <c r="C382" s="11" t="str">
        <f t="shared" si="24"/>
        <v/>
      </c>
      <c r="F382" s="10" t="str">
        <v/>
      </c>
      <c r="G382" t="e">
        <f t="shared" si="22"/>
        <v>#VALUE!</v>
      </c>
      <c r="H382" s="13" t="e">
        <f t="shared" si="23"/>
        <v>#VALUE!</v>
      </c>
    </row>
    <row r="383" spans="2:8">
      <c r="B383" s="11" t="str">
        <f t="shared" si="21"/>
        <v/>
      </c>
      <c r="C383" s="11" t="str">
        <f t="shared" si="24"/>
        <v/>
      </c>
      <c r="F383" s="10" t="str">
        <v/>
      </c>
      <c r="G383" t="e">
        <f t="shared" si="22"/>
        <v>#VALUE!</v>
      </c>
      <c r="H383" s="13" t="e">
        <f t="shared" si="23"/>
        <v>#VALUE!</v>
      </c>
    </row>
    <row r="384" spans="2:8">
      <c r="B384" s="11" t="str">
        <f t="shared" si="21"/>
        <v/>
      </c>
      <c r="C384" s="11" t="str">
        <f t="shared" si="24"/>
        <v/>
      </c>
      <c r="F384" s="10" t="str">
        <v/>
      </c>
      <c r="G384" t="e">
        <f t="shared" si="22"/>
        <v>#VALUE!</v>
      </c>
      <c r="H384" s="13" t="e">
        <f t="shared" si="23"/>
        <v>#VALUE!</v>
      </c>
    </row>
    <row r="385" spans="2:8">
      <c r="B385" s="11" t="str">
        <f t="shared" ref="B385:B448" si="25">IFERROR(IF(FIND(" ",A385)=6,IF(IFERROR(FIND(" PB",A385),"")&lt;&gt;"","артикул",IF(IFERROR(FIND(" CRN",A385),"")&lt;&gt;"","артикул","")),""),"")</f>
        <v/>
      </c>
      <c r="C385" s="11" t="str">
        <f t="shared" si="24"/>
        <v/>
      </c>
      <c r="F385" s="10" t="str">
        <v/>
      </c>
      <c r="G385" t="e">
        <f t="shared" si="22"/>
        <v>#VALUE!</v>
      </c>
      <c r="H385" s="13" t="e">
        <f t="shared" si="23"/>
        <v>#VALUE!</v>
      </c>
    </row>
    <row r="386" spans="2:8">
      <c r="B386" s="11" t="str">
        <f t="shared" si="25"/>
        <v/>
      </c>
      <c r="C386" s="11" t="str">
        <f t="shared" si="24"/>
        <v/>
      </c>
      <c r="F386" s="10" t="str">
        <v/>
      </c>
      <c r="G386" t="e">
        <f t="shared" ref="G386:G449" si="26">CONCATENATE(LEFT(F386,5),
MID(F386,
SEARCH("\",SUBSTITUTE(F386," ","\",LEN(F386)-LEN(SUBSTITUTE(F386," ",""))-4)),
SEARCH("\",SUBSTITUTE(F386," ","\",LEN(F386)-LEN(SUBSTITUTE(F386," ",""))-3))-
SEARCH("\",SUBSTITUTE(F386," ","\",LEN(F386)-LEN(SUBSTITUTE(F386," ",""))-4)))*1)</f>
        <v>#VALUE!</v>
      </c>
      <c r="H386" s="13" t="e">
        <f t="shared" ref="H386:H449" si="27">SUBSTITUTE(
RIGHT(F386,LEN(F386)-
FIND("\",SUBSTITUTE(F386," ","\",LEN(F386)-LEN(SUBSTITUTE(F386," ",""))))),
".","")</f>
        <v>#VALUE!</v>
      </c>
    </row>
    <row r="387" spans="2:8">
      <c r="B387" s="11" t="str">
        <f t="shared" si="25"/>
        <v/>
      </c>
      <c r="C387" s="11" t="str">
        <f t="shared" si="24"/>
        <v/>
      </c>
      <c r="F387" s="10" t="str">
        <v/>
      </c>
      <c r="G387" t="e">
        <f t="shared" si="26"/>
        <v>#VALUE!</v>
      </c>
      <c r="H387" s="13" t="e">
        <f t="shared" si="27"/>
        <v>#VALUE!</v>
      </c>
    </row>
    <row r="388" spans="2:8">
      <c r="B388" s="11" t="str">
        <f t="shared" si="25"/>
        <v/>
      </c>
      <c r="C388" s="11" t="str">
        <f t="shared" si="24"/>
        <v/>
      </c>
      <c r="F388" s="10" t="str">
        <v/>
      </c>
      <c r="G388" t="e">
        <f t="shared" si="26"/>
        <v>#VALUE!</v>
      </c>
      <c r="H388" s="13" t="e">
        <f t="shared" si="27"/>
        <v>#VALUE!</v>
      </c>
    </row>
    <row r="389" spans="2:8">
      <c r="B389" s="11" t="str">
        <f t="shared" si="25"/>
        <v/>
      </c>
      <c r="C389" s="11" t="str">
        <f t="shared" si="24"/>
        <v/>
      </c>
      <c r="F389" s="10" t="str">
        <v/>
      </c>
      <c r="G389" t="e">
        <f t="shared" si="26"/>
        <v>#VALUE!</v>
      </c>
      <c r="H389" s="13" t="e">
        <f t="shared" si="27"/>
        <v>#VALUE!</v>
      </c>
    </row>
    <row r="390" spans="2:8">
      <c r="B390" s="11" t="str">
        <f t="shared" si="25"/>
        <v/>
      </c>
      <c r="C390" s="11" t="str">
        <f t="shared" si="24"/>
        <v/>
      </c>
      <c r="F390" s="10" t="str">
        <v/>
      </c>
      <c r="G390" t="e">
        <f t="shared" si="26"/>
        <v>#VALUE!</v>
      </c>
      <c r="H390" s="13" t="e">
        <f t="shared" si="27"/>
        <v>#VALUE!</v>
      </c>
    </row>
    <row r="391" spans="2:8">
      <c r="B391" s="11" t="str">
        <f t="shared" si="25"/>
        <v/>
      </c>
      <c r="C391" s="11" t="str">
        <f t="shared" si="24"/>
        <v/>
      </c>
      <c r="F391" s="10" t="str">
        <v/>
      </c>
      <c r="G391" t="e">
        <f t="shared" si="26"/>
        <v>#VALUE!</v>
      </c>
      <c r="H391" s="13" t="e">
        <f t="shared" si="27"/>
        <v>#VALUE!</v>
      </c>
    </row>
    <row r="392" spans="2:8">
      <c r="B392" s="11" t="str">
        <f t="shared" si="25"/>
        <v/>
      </c>
      <c r="C392" s="11" t="str">
        <f t="shared" si="24"/>
        <v/>
      </c>
      <c r="F392" s="10" t="str">
        <v/>
      </c>
      <c r="G392" t="e">
        <f t="shared" si="26"/>
        <v>#VALUE!</v>
      </c>
      <c r="H392" s="13" t="e">
        <f t="shared" si="27"/>
        <v>#VALUE!</v>
      </c>
    </row>
    <row r="393" spans="2:8">
      <c r="B393" s="11" t="str">
        <f t="shared" si="25"/>
        <v/>
      </c>
      <c r="C393" s="11" t="str">
        <f t="shared" si="24"/>
        <v/>
      </c>
      <c r="F393" s="10" t="str">
        <v/>
      </c>
      <c r="G393" t="e">
        <f t="shared" si="26"/>
        <v>#VALUE!</v>
      </c>
      <c r="H393" s="13" t="e">
        <f t="shared" si="27"/>
        <v>#VALUE!</v>
      </c>
    </row>
    <row r="394" spans="2:8">
      <c r="B394" s="11" t="str">
        <f t="shared" si="25"/>
        <v/>
      </c>
      <c r="C394" s="11" t="str">
        <f t="shared" si="24"/>
        <v/>
      </c>
      <c r="F394" s="10" t="str">
        <v/>
      </c>
      <c r="G394" t="e">
        <f t="shared" si="26"/>
        <v>#VALUE!</v>
      </c>
      <c r="H394" s="13" t="e">
        <f t="shared" si="27"/>
        <v>#VALUE!</v>
      </c>
    </row>
    <row r="395" spans="2:8">
      <c r="B395" s="11" t="str">
        <f t="shared" si="25"/>
        <v/>
      </c>
      <c r="C395" s="11" t="str">
        <f t="shared" si="24"/>
        <v/>
      </c>
      <c r="F395" s="10" t="str">
        <v/>
      </c>
      <c r="G395" t="e">
        <f t="shared" si="26"/>
        <v>#VALUE!</v>
      </c>
      <c r="H395" s="13" t="e">
        <f t="shared" si="27"/>
        <v>#VALUE!</v>
      </c>
    </row>
    <row r="396" spans="2:8">
      <c r="B396" s="11" t="str">
        <f t="shared" si="25"/>
        <v/>
      </c>
      <c r="C396" s="11" t="str">
        <f t="shared" si="24"/>
        <v/>
      </c>
      <c r="F396" s="10" t="str">
        <v/>
      </c>
      <c r="G396" t="e">
        <f t="shared" si="26"/>
        <v>#VALUE!</v>
      </c>
      <c r="H396" s="13" t="e">
        <f t="shared" si="27"/>
        <v>#VALUE!</v>
      </c>
    </row>
    <row r="397" spans="2:8">
      <c r="B397" s="11" t="str">
        <f t="shared" si="25"/>
        <v/>
      </c>
      <c r="C397" s="11" t="str">
        <f t="shared" si="24"/>
        <v/>
      </c>
      <c r="F397" s="10" t="str">
        <v/>
      </c>
      <c r="G397" t="e">
        <f t="shared" si="26"/>
        <v>#VALUE!</v>
      </c>
      <c r="H397" s="13" t="e">
        <f t="shared" si="27"/>
        <v>#VALUE!</v>
      </c>
    </row>
    <row r="398" spans="2:8">
      <c r="B398" s="11" t="str">
        <f t="shared" si="25"/>
        <v/>
      </c>
      <c r="C398" s="11" t="str">
        <f t="shared" si="24"/>
        <v/>
      </c>
      <c r="F398" s="10" t="str">
        <v/>
      </c>
      <c r="G398" t="e">
        <f t="shared" si="26"/>
        <v>#VALUE!</v>
      </c>
      <c r="H398" s="13" t="e">
        <f t="shared" si="27"/>
        <v>#VALUE!</v>
      </c>
    </row>
    <row r="399" spans="2:8">
      <c r="B399" s="11" t="str">
        <f t="shared" si="25"/>
        <v/>
      </c>
      <c r="C399" s="11" t="str">
        <f t="shared" si="24"/>
        <v/>
      </c>
      <c r="F399" s="10" t="str">
        <v/>
      </c>
      <c r="G399" t="e">
        <f t="shared" si="26"/>
        <v>#VALUE!</v>
      </c>
      <c r="H399" s="13" t="e">
        <f t="shared" si="27"/>
        <v>#VALUE!</v>
      </c>
    </row>
    <row r="400" spans="2:8">
      <c r="B400" s="11" t="str">
        <f t="shared" si="25"/>
        <v/>
      </c>
      <c r="C400" s="11" t="str">
        <f t="shared" si="24"/>
        <v/>
      </c>
      <c r="F400" s="10" t="str">
        <v/>
      </c>
      <c r="G400" t="e">
        <f t="shared" si="26"/>
        <v>#VALUE!</v>
      </c>
      <c r="H400" s="13" t="e">
        <f t="shared" si="27"/>
        <v>#VALUE!</v>
      </c>
    </row>
    <row r="401" spans="2:8">
      <c r="B401" s="11" t="str">
        <f t="shared" si="25"/>
        <v/>
      </c>
      <c r="C401" s="11" t="str">
        <f t="shared" si="24"/>
        <v/>
      </c>
      <c r="F401" s="10" t="str">
        <v/>
      </c>
      <c r="G401" t="e">
        <f t="shared" si="26"/>
        <v>#VALUE!</v>
      </c>
      <c r="H401" s="13" t="e">
        <f t="shared" si="27"/>
        <v>#VALUE!</v>
      </c>
    </row>
    <row r="402" spans="2:8">
      <c r="B402" s="11" t="str">
        <f t="shared" si="25"/>
        <v/>
      </c>
      <c r="C402" s="11" t="str">
        <f t="shared" si="24"/>
        <v/>
      </c>
      <c r="F402" s="10" t="str">
        <v/>
      </c>
      <c r="G402" t="e">
        <f t="shared" si="26"/>
        <v>#VALUE!</v>
      </c>
      <c r="H402" s="13" t="e">
        <f t="shared" si="27"/>
        <v>#VALUE!</v>
      </c>
    </row>
    <row r="403" spans="2:8">
      <c r="B403" s="11" t="str">
        <f t="shared" si="25"/>
        <v/>
      </c>
      <c r="C403" s="11" t="str">
        <f t="shared" si="24"/>
        <v/>
      </c>
      <c r="F403" s="10" t="str">
        <v/>
      </c>
      <c r="G403" t="e">
        <f t="shared" si="26"/>
        <v>#VALUE!</v>
      </c>
      <c r="H403" s="13" t="e">
        <f t="shared" si="27"/>
        <v>#VALUE!</v>
      </c>
    </row>
    <row r="404" spans="2:8">
      <c r="B404" s="11" t="str">
        <f t="shared" si="25"/>
        <v/>
      </c>
      <c r="C404" s="11" t="str">
        <f t="shared" si="24"/>
        <v/>
      </c>
      <c r="F404" s="10" t="str">
        <v/>
      </c>
      <c r="G404" t="e">
        <f t="shared" si="26"/>
        <v>#VALUE!</v>
      </c>
      <c r="H404" s="13" t="e">
        <f t="shared" si="27"/>
        <v>#VALUE!</v>
      </c>
    </row>
    <row r="405" spans="2:8">
      <c r="B405" s="11" t="str">
        <f t="shared" si="25"/>
        <v/>
      </c>
      <c r="C405" s="11" t="str">
        <f t="shared" si="24"/>
        <v/>
      </c>
      <c r="F405" s="10" t="str">
        <v/>
      </c>
      <c r="G405" t="e">
        <f t="shared" si="26"/>
        <v>#VALUE!</v>
      </c>
      <c r="H405" s="13" t="e">
        <f t="shared" si="27"/>
        <v>#VALUE!</v>
      </c>
    </row>
    <row r="406" spans="2:8">
      <c r="B406" s="11" t="str">
        <f t="shared" si="25"/>
        <v/>
      </c>
      <c r="C406" s="11" t="str">
        <f t="shared" si="24"/>
        <v/>
      </c>
      <c r="F406" s="10" t="str">
        <v/>
      </c>
      <c r="G406" t="e">
        <f t="shared" si="26"/>
        <v>#VALUE!</v>
      </c>
      <c r="H406" s="13" t="e">
        <f t="shared" si="27"/>
        <v>#VALUE!</v>
      </c>
    </row>
    <row r="407" spans="2:8">
      <c r="B407" s="11" t="str">
        <f t="shared" si="25"/>
        <v/>
      </c>
      <c r="C407" s="11" t="str">
        <f t="shared" si="24"/>
        <v/>
      </c>
      <c r="F407" s="10" t="str">
        <v/>
      </c>
      <c r="G407" t="e">
        <f t="shared" si="26"/>
        <v>#VALUE!</v>
      </c>
      <c r="H407" s="13" t="e">
        <f t="shared" si="27"/>
        <v>#VALUE!</v>
      </c>
    </row>
    <row r="408" spans="2:8">
      <c r="B408" s="11" t="str">
        <f t="shared" si="25"/>
        <v/>
      </c>
      <c r="C408" s="11" t="str">
        <f t="shared" si="24"/>
        <v/>
      </c>
      <c r="F408" s="10" t="str">
        <v/>
      </c>
      <c r="G408" t="e">
        <f t="shared" si="26"/>
        <v>#VALUE!</v>
      </c>
      <c r="H408" s="13" t="e">
        <f t="shared" si="27"/>
        <v>#VALUE!</v>
      </c>
    </row>
    <row r="409" spans="2:8">
      <c r="B409" s="11" t="str">
        <f t="shared" si="25"/>
        <v/>
      </c>
      <c r="C409" s="11" t="str">
        <f t="shared" si="24"/>
        <v/>
      </c>
      <c r="F409" s="10" t="str">
        <v/>
      </c>
      <c r="G409" t="e">
        <f t="shared" si="26"/>
        <v>#VALUE!</v>
      </c>
      <c r="H409" s="13" t="e">
        <f t="shared" si="27"/>
        <v>#VALUE!</v>
      </c>
    </row>
    <row r="410" spans="2:8">
      <c r="B410" s="11" t="str">
        <f t="shared" si="25"/>
        <v/>
      </c>
      <c r="C410" s="11" t="str">
        <f t="shared" si="24"/>
        <v/>
      </c>
      <c r="F410" s="10" t="str">
        <v/>
      </c>
      <c r="G410" t="e">
        <f t="shared" si="26"/>
        <v>#VALUE!</v>
      </c>
      <c r="H410" s="13" t="e">
        <f t="shared" si="27"/>
        <v>#VALUE!</v>
      </c>
    </row>
    <row r="411" spans="2:8">
      <c r="B411" s="11" t="str">
        <f t="shared" si="25"/>
        <v/>
      </c>
      <c r="C411" s="11" t="str">
        <f t="shared" si="24"/>
        <v/>
      </c>
      <c r="F411" s="10" t="str">
        <v/>
      </c>
      <c r="G411" t="e">
        <f t="shared" si="26"/>
        <v>#VALUE!</v>
      </c>
      <c r="H411" s="13" t="e">
        <f t="shared" si="27"/>
        <v>#VALUE!</v>
      </c>
    </row>
    <row r="412" spans="2:8">
      <c r="B412" s="11" t="str">
        <f t="shared" si="25"/>
        <v/>
      </c>
      <c r="C412" s="11" t="str">
        <f t="shared" si="24"/>
        <v/>
      </c>
      <c r="F412" s="10" t="str">
        <v/>
      </c>
      <c r="G412" t="e">
        <f t="shared" si="26"/>
        <v>#VALUE!</v>
      </c>
      <c r="H412" s="13" t="e">
        <f t="shared" si="27"/>
        <v>#VALUE!</v>
      </c>
    </row>
    <row r="413" spans="2:8">
      <c r="B413" s="11" t="str">
        <f t="shared" si="25"/>
        <v/>
      </c>
      <c r="C413" s="11" t="str">
        <f t="shared" si="24"/>
        <v/>
      </c>
      <c r="F413" s="10" t="str">
        <v/>
      </c>
      <c r="G413" t="e">
        <f t="shared" si="26"/>
        <v>#VALUE!</v>
      </c>
      <c r="H413" s="13" t="e">
        <f t="shared" si="27"/>
        <v>#VALUE!</v>
      </c>
    </row>
    <row r="414" spans="2:8">
      <c r="B414" s="11" t="str">
        <f t="shared" si="25"/>
        <v/>
      </c>
      <c r="C414" s="11" t="str">
        <f t="shared" si="24"/>
        <v/>
      </c>
      <c r="F414" s="10" t="str">
        <v/>
      </c>
      <c r="G414" t="e">
        <f t="shared" si="26"/>
        <v>#VALUE!</v>
      </c>
      <c r="H414" s="13" t="e">
        <f t="shared" si="27"/>
        <v>#VALUE!</v>
      </c>
    </row>
    <row r="415" spans="2:8">
      <c r="B415" s="11" t="str">
        <f t="shared" si="25"/>
        <v/>
      </c>
      <c r="C415" s="11" t="str">
        <f t="shared" si="24"/>
        <v/>
      </c>
      <c r="F415" s="10" t="str">
        <v/>
      </c>
      <c r="G415" t="e">
        <f t="shared" si="26"/>
        <v>#VALUE!</v>
      </c>
      <c r="H415" s="13" t="e">
        <f t="shared" si="27"/>
        <v>#VALUE!</v>
      </c>
    </row>
    <row r="416" spans="2:8">
      <c r="B416" s="11" t="str">
        <f t="shared" si="25"/>
        <v/>
      </c>
      <c r="C416" s="11" t="str">
        <f t="shared" si="24"/>
        <v/>
      </c>
      <c r="F416" s="10" t="str">
        <v/>
      </c>
      <c r="G416" t="e">
        <f t="shared" si="26"/>
        <v>#VALUE!</v>
      </c>
      <c r="H416" s="13" t="e">
        <f t="shared" si="27"/>
        <v>#VALUE!</v>
      </c>
    </row>
    <row r="417" spans="2:8">
      <c r="B417" s="11" t="str">
        <f t="shared" si="25"/>
        <v/>
      </c>
      <c r="C417" s="11" t="str">
        <f t="shared" si="24"/>
        <v/>
      </c>
      <c r="F417" s="10" t="str">
        <v/>
      </c>
      <c r="G417" t="e">
        <f t="shared" si="26"/>
        <v>#VALUE!</v>
      </c>
      <c r="H417" s="13" t="e">
        <f t="shared" si="27"/>
        <v>#VALUE!</v>
      </c>
    </row>
    <row r="418" spans="2:8">
      <c r="B418" s="11" t="str">
        <f t="shared" si="25"/>
        <v/>
      </c>
      <c r="C418" s="11" t="str">
        <f t="shared" si="24"/>
        <v/>
      </c>
      <c r="F418" s="10" t="str">
        <v/>
      </c>
      <c r="G418" t="e">
        <f t="shared" si="26"/>
        <v>#VALUE!</v>
      </c>
      <c r="H418" s="13" t="e">
        <f t="shared" si="27"/>
        <v>#VALUE!</v>
      </c>
    </row>
    <row r="419" spans="2:8">
      <c r="B419" s="11" t="str">
        <f t="shared" si="25"/>
        <v/>
      </c>
      <c r="C419" s="11" t="str">
        <f t="shared" si="24"/>
        <v/>
      </c>
      <c r="F419" s="10" t="str">
        <v/>
      </c>
      <c r="G419" t="e">
        <f t="shared" si="26"/>
        <v>#VALUE!</v>
      </c>
      <c r="H419" s="13" t="e">
        <f t="shared" si="27"/>
        <v>#VALUE!</v>
      </c>
    </row>
    <row r="420" spans="2:8">
      <c r="B420" s="11" t="str">
        <f t="shared" si="25"/>
        <v/>
      </c>
      <c r="C420" s="11" t="str">
        <f t="shared" si="24"/>
        <v/>
      </c>
      <c r="F420" s="10" t="str">
        <v/>
      </c>
      <c r="G420" t="e">
        <f t="shared" si="26"/>
        <v>#VALUE!</v>
      </c>
      <c r="H420" s="13" t="e">
        <f t="shared" si="27"/>
        <v>#VALUE!</v>
      </c>
    </row>
    <row r="421" spans="2:8">
      <c r="B421" s="11" t="str">
        <f t="shared" si="25"/>
        <v/>
      </c>
      <c r="C421" s="11" t="str">
        <f t="shared" si="24"/>
        <v/>
      </c>
      <c r="F421" s="10" t="str">
        <v/>
      </c>
      <c r="G421" t="e">
        <f t="shared" si="26"/>
        <v>#VALUE!</v>
      </c>
      <c r="H421" s="13" t="e">
        <f t="shared" si="27"/>
        <v>#VALUE!</v>
      </c>
    </row>
    <row r="422" spans="2:8">
      <c r="B422" s="11" t="str">
        <f t="shared" si="25"/>
        <v/>
      </c>
      <c r="C422" s="11" t="str">
        <f t="shared" si="24"/>
        <v/>
      </c>
      <c r="F422" s="10" t="str">
        <v/>
      </c>
      <c r="G422" t="e">
        <f t="shared" si="26"/>
        <v>#VALUE!</v>
      </c>
      <c r="H422" s="13" t="e">
        <f t="shared" si="27"/>
        <v>#VALUE!</v>
      </c>
    </row>
    <row r="423" spans="2:8">
      <c r="B423" s="11" t="str">
        <f t="shared" si="25"/>
        <v/>
      </c>
      <c r="C423" s="11" t="str">
        <f t="shared" si="24"/>
        <v/>
      </c>
      <c r="F423" s="10" t="str">
        <v/>
      </c>
      <c r="G423" t="e">
        <f t="shared" si="26"/>
        <v>#VALUE!</v>
      </c>
      <c r="H423" s="13" t="e">
        <f t="shared" si="27"/>
        <v>#VALUE!</v>
      </c>
    </row>
    <row r="424" spans="2:8">
      <c r="B424" s="11" t="str">
        <f t="shared" si="25"/>
        <v/>
      </c>
      <c r="C424" s="11" t="str">
        <f t="shared" si="24"/>
        <v/>
      </c>
      <c r="F424" s="10" t="str">
        <v/>
      </c>
      <c r="G424" t="e">
        <f t="shared" si="26"/>
        <v>#VALUE!</v>
      </c>
      <c r="H424" s="13" t="e">
        <f t="shared" si="27"/>
        <v>#VALUE!</v>
      </c>
    </row>
    <row r="425" spans="2:8">
      <c r="B425" s="11" t="str">
        <f t="shared" si="25"/>
        <v/>
      </c>
      <c r="C425" s="11" t="str">
        <f t="shared" ref="C425:C488" si="28">IF(B425="артикул",A425,"")</f>
        <v/>
      </c>
      <c r="F425" s="10" t="str">
        <v/>
      </c>
      <c r="G425" t="e">
        <f t="shared" si="26"/>
        <v>#VALUE!</v>
      </c>
      <c r="H425" s="13" t="e">
        <f t="shared" si="27"/>
        <v>#VALUE!</v>
      </c>
    </row>
    <row r="426" spans="2:8">
      <c r="B426" s="11" t="str">
        <f t="shared" si="25"/>
        <v/>
      </c>
      <c r="C426" s="11" t="str">
        <f t="shared" si="28"/>
        <v/>
      </c>
      <c r="F426" s="10" t="str">
        <v/>
      </c>
      <c r="G426" t="e">
        <f t="shared" si="26"/>
        <v>#VALUE!</v>
      </c>
      <c r="H426" s="13" t="e">
        <f t="shared" si="27"/>
        <v>#VALUE!</v>
      </c>
    </row>
    <row r="427" spans="2:8">
      <c r="B427" s="11" t="str">
        <f t="shared" si="25"/>
        <v/>
      </c>
      <c r="C427" s="11" t="str">
        <f t="shared" si="28"/>
        <v/>
      </c>
      <c r="F427" s="10" t="str">
        <v/>
      </c>
      <c r="G427" t="e">
        <f t="shared" si="26"/>
        <v>#VALUE!</v>
      </c>
      <c r="H427" s="13" t="e">
        <f t="shared" si="27"/>
        <v>#VALUE!</v>
      </c>
    </row>
    <row r="428" spans="2:8">
      <c r="B428" s="11" t="str">
        <f t="shared" si="25"/>
        <v/>
      </c>
      <c r="C428" s="11" t="str">
        <f t="shared" si="28"/>
        <v/>
      </c>
      <c r="F428" s="10" t="str">
        <v/>
      </c>
      <c r="G428" t="e">
        <f t="shared" si="26"/>
        <v>#VALUE!</v>
      </c>
      <c r="H428" s="13" t="e">
        <f t="shared" si="27"/>
        <v>#VALUE!</v>
      </c>
    </row>
    <row r="429" spans="2:8">
      <c r="B429" s="11" t="str">
        <f t="shared" si="25"/>
        <v/>
      </c>
      <c r="C429" s="11" t="str">
        <f t="shared" si="28"/>
        <v/>
      </c>
      <c r="F429" s="10" t="str">
        <v/>
      </c>
      <c r="G429" t="e">
        <f t="shared" si="26"/>
        <v>#VALUE!</v>
      </c>
      <c r="H429" s="13" t="e">
        <f t="shared" si="27"/>
        <v>#VALUE!</v>
      </c>
    </row>
    <row r="430" spans="2:8">
      <c r="B430" s="11" t="str">
        <f t="shared" si="25"/>
        <v/>
      </c>
      <c r="C430" s="11" t="str">
        <f t="shared" si="28"/>
        <v/>
      </c>
      <c r="F430" s="10" t="str">
        <v/>
      </c>
      <c r="G430" t="e">
        <f t="shared" si="26"/>
        <v>#VALUE!</v>
      </c>
      <c r="H430" s="13" t="e">
        <f t="shared" si="27"/>
        <v>#VALUE!</v>
      </c>
    </row>
    <row r="431" spans="2:8">
      <c r="B431" s="11" t="str">
        <f t="shared" si="25"/>
        <v/>
      </c>
      <c r="C431" s="11" t="str">
        <f t="shared" si="28"/>
        <v/>
      </c>
      <c r="F431" s="10" t="str">
        <v/>
      </c>
      <c r="G431" t="e">
        <f t="shared" si="26"/>
        <v>#VALUE!</v>
      </c>
      <c r="H431" s="13" t="e">
        <f t="shared" si="27"/>
        <v>#VALUE!</v>
      </c>
    </row>
    <row r="432" spans="2:8">
      <c r="B432" s="11" t="str">
        <f t="shared" si="25"/>
        <v/>
      </c>
      <c r="C432" s="11" t="str">
        <f t="shared" si="28"/>
        <v/>
      </c>
      <c r="F432" s="10" t="str">
        <v/>
      </c>
      <c r="G432" t="e">
        <f t="shared" si="26"/>
        <v>#VALUE!</v>
      </c>
      <c r="H432" s="13" t="e">
        <f t="shared" si="27"/>
        <v>#VALUE!</v>
      </c>
    </row>
    <row r="433" spans="2:8">
      <c r="B433" s="11" t="str">
        <f t="shared" si="25"/>
        <v/>
      </c>
      <c r="C433" s="11" t="str">
        <f t="shared" si="28"/>
        <v/>
      </c>
      <c r="F433" s="10" t="str">
        <v/>
      </c>
      <c r="G433" t="e">
        <f t="shared" si="26"/>
        <v>#VALUE!</v>
      </c>
      <c r="H433" s="13" t="e">
        <f t="shared" si="27"/>
        <v>#VALUE!</v>
      </c>
    </row>
    <row r="434" spans="2:8">
      <c r="B434" s="11" t="str">
        <f t="shared" si="25"/>
        <v/>
      </c>
      <c r="C434" s="11" t="str">
        <f t="shared" si="28"/>
        <v/>
      </c>
      <c r="F434" s="10" t="str">
        <v/>
      </c>
      <c r="G434" t="e">
        <f t="shared" si="26"/>
        <v>#VALUE!</v>
      </c>
      <c r="H434" s="13" t="e">
        <f t="shared" si="27"/>
        <v>#VALUE!</v>
      </c>
    </row>
    <row r="435" spans="2:8">
      <c r="B435" s="11" t="str">
        <f t="shared" si="25"/>
        <v/>
      </c>
      <c r="C435" s="11" t="str">
        <f t="shared" si="28"/>
        <v/>
      </c>
      <c r="F435" s="10" t="str">
        <v/>
      </c>
      <c r="G435" t="e">
        <f t="shared" si="26"/>
        <v>#VALUE!</v>
      </c>
      <c r="H435" s="13" t="e">
        <f t="shared" si="27"/>
        <v>#VALUE!</v>
      </c>
    </row>
    <row r="436" spans="2:8">
      <c r="B436" s="11" t="str">
        <f t="shared" si="25"/>
        <v/>
      </c>
      <c r="C436" s="11" t="str">
        <f t="shared" si="28"/>
        <v/>
      </c>
      <c r="F436" s="10" t="str">
        <v/>
      </c>
      <c r="G436" t="e">
        <f t="shared" si="26"/>
        <v>#VALUE!</v>
      </c>
      <c r="H436" s="13" t="e">
        <f t="shared" si="27"/>
        <v>#VALUE!</v>
      </c>
    </row>
    <row r="437" spans="2:8">
      <c r="B437" s="11" t="str">
        <f t="shared" si="25"/>
        <v/>
      </c>
      <c r="C437" s="11" t="str">
        <f t="shared" si="28"/>
        <v/>
      </c>
      <c r="F437" s="10" t="str">
        <v/>
      </c>
      <c r="G437" t="e">
        <f t="shared" si="26"/>
        <v>#VALUE!</v>
      </c>
      <c r="H437" s="13" t="e">
        <f t="shared" si="27"/>
        <v>#VALUE!</v>
      </c>
    </row>
    <row r="438" spans="2:8">
      <c r="B438" s="11" t="str">
        <f t="shared" si="25"/>
        <v/>
      </c>
      <c r="C438" s="11" t="str">
        <f t="shared" si="28"/>
        <v/>
      </c>
      <c r="F438" s="10" t="str">
        <v/>
      </c>
      <c r="G438" t="e">
        <f t="shared" si="26"/>
        <v>#VALUE!</v>
      </c>
      <c r="H438" s="13" t="e">
        <f t="shared" si="27"/>
        <v>#VALUE!</v>
      </c>
    </row>
    <row r="439" spans="2:8">
      <c r="B439" s="11" t="str">
        <f t="shared" si="25"/>
        <v/>
      </c>
      <c r="C439" s="11" t="str">
        <f t="shared" si="28"/>
        <v/>
      </c>
      <c r="F439" s="10" t="str">
        <v/>
      </c>
      <c r="G439" t="e">
        <f t="shared" si="26"/>
        <v>#VALUE!</v>
      </c>
      <c r="H439" s="13" t="e">
        <f t="shared" si="27"/>
        <v>#VALUE!</v>
      </c>
    </row>
    <row r="440" spans="2:8">
      <c r="B440" s="11" t="str">
        <f t="shared" si="25"/>
        <v/>
      </c>
      <c r="C440" s="11" t="str">
        <f t="shared" si="28"/>
        <v/>
      </c>
      <c r="F440" s="10" t="str">
        <v/>
      </c>
      <c r="G440" t="e">
        <f t="shared" si="26"/>
        <v>#VALUE!</v>
      </c>
      <c r="H440" s="13" t="e">
        <f t="shared" si="27"/>
        <v>#VALUE!</v>
      </c>
    </row>
    <row r="441" spans="2:8">
      <c r="B441" s="11" t="str">
        <f t="shared" si="25"/>
        <v/>
      </c>
      <c r="C441" s="11" t="str">
        <f t="shared" si="28"/>
        <v/>
      </c>
      <c r="F441" s="10" t="str">
        <v/>
      </c>
      <c r="G441" t="e">
        <f t="shared" si="26"/>
        <v>#VALUE!</v>
      </c>
      <c r="H441" s="13" t="e">
        <f t="shared" si="27"/>
        <v>#VALUE!</v>
      </c>
    </row>
    <row r="442" spans="2:8">
      <c r="B442" s="11" t="str">
        <f t="shared" si="25"/>
        <v/>
      </c>
      <c r="C442" s="11" t="str">
        <f t="shared" si="28"/>
        <v/>
      </c>
      <c r="F442" s="10" t="str">
        <v/>
      </c>
      <c r="G442" t="e">
        <f t="shared" si="26"/>
        <v>#VALUE!</v>
      </c>
      <c r="H442" s="13" t="e">
        <f t="shared" si="27"/>
        <v>#VALUE!</v>
      </c>
    </row>
    <row r="443" spans="2:8">
      <c r="B443" s="11" t="str">
        <f t="shared" si="25"/>
        <v/>
      </c>
      <c r="C443" s="11" t="str">
        <f t="shared" si="28"/>
        <v/>
      </c>
      <c r="F443" s="10" t="str">
        <v/>
      </c>
      <c r="G443" t="e">
        <f t="shared" si="26"/>
        <v>#VALUE!</v>
      </c>
      <c r="H443" s="13" t="e">
        <f t="shared" si="27"/>
        <v>#VALUE!</v>
      </c>
    </row>
    <row r="444" spans="2:8">
      <c r="B444" s="11" t="str">
        <f t="shared" si="25"/>
        <v/>
      </c>
      <c r="C444" s="11" t="str">
        <f t="shared" si="28"/>
        <v/>
      </c>
      <c r="F444" s="10" t="str">
        <v/>
      </c>
      <c r="G444" t="e">
        <f t="shared" si="26"/>
        <v>#VALUE!</v>
      </c>
      <c r="H444" s="13" t="e">
        <f t="shared" si="27"/>
        <v>#VALUE!</v>
      </c>
    </row>
    <row r="445" spans="2:8">
      <c r="B445" s="11" t="str">
        <f t="shared" si="25"/>
        <v/>
      </c>
      <c r="C445" s="11" t="str">
        <f t="shared" si="28"/>
        <v/>
      </c>
      <c r="F445" s="10" t="str">
        <v/>
      </c>
      <c r="G445" t="e">
        <f t="shared" si="26"/>
        <v>#VALUE!</v>
      </c>
      <c r="H445" s="13" t="e">
        <f t="shared" si="27"/>
        <v>#VALUE!</v>
      </c>
    </row>
    <row r="446" spans="2:8">
      <c r="B446" s="11" t="str">
        <f t="shared" si="25"/>
        <v/>
      </c>
      <c r="C446" s="11" t="str">
        <f t="shared" si="28"/>
        <v/>
      </c>
      <c r="F446" s="10" t="str">
        <v/>
      </c>
      <c r="G446" t="e">
        <f t="shared" si="26"/>
        <v>#VALUE!</v>
      </c>
      <c r="H446" s="13" t="e">
        <f t="shared" si="27"/>
        <v>#VALUE!</v>
      </c>
    </row>
    <row r="447" spans="2:8">
      <c r="B447" s="11" t="str">
        <f t="shared" si="25"/>
        <v/>
      </c>
      <c r="C447" s="11" t="str">
        <f t="shared" si="28"/>
        <v/>
      </c>
      <c r="F447" s="10" t="str">
        <v/>
      </c>
      <c r="G447" t="e">
        <f t="shared" si="26"/>
        <v>#VALUE!</v>
      </c>
      <c r="H447" s="13" t="e">
        <f t="shared" si="27"/>
        <v>#VALUE!</v>
      </c>
    </row>
    <row r="448" spans="2:8">
      <c r="B448" s="11" t="str">
        <f t="shared" si="25"/>
        <v/>
      </c>
      <c r="C448" s="11" t="str">
        <f t="shared" si="28"/>
        <v/>
      </c>
      <c r="F448" s="10" t="str">
        <v/>
      </c>
      <c r="G448" t="e">
        <f t="shared" si="26"/>
        <v>#VALUE!</v>
      </c>
      <c r="H448" s="13" t="e">
        <f t="shared" si="27"/>
        <v>#VALUE!</v>
      </c>
    </row>
    <row r="449" spans="2:8">
      <c r="B449" s="11" t="str">
        <f t="shared" ref="B449:B512" si="29">IFERROR(IF(FIND(" ",A449)=6,IF(IFERROR(FIND(" PB",A449),"")&lt;&gt;"","артикул",IF(IFERROR(FIND(" CRN",A449),"")&lt;&gt;"","артикул","")),""),"")</f>
        <v/>
      </c>
      <c r="C449" s="11" t="str">
        <f t="shared" si="28"/>
        <v/>
      </c>
      <c r="F449" s="10" t="str">
        <v/>
      </c>
      <c r="G449" t="e">
        <f t="shared" si="26"/>
        <v>#VALUE!</v>
      </c>
      <c r="H449" s="13" t="e">
        <f t="shared" si="27"/>
        <v>#VALUE!</v>
      </c>
    </row>
    <row r="450" spans="2:8">
      <c r="B450" s="11" t="str">
        <f t="shared" si="29"/>
        <v/>
      </c>
      <c r="C450" s="11" t="str">
        <f t="shared" si="28"/>
        <v/>
      </c>
      <c r="F450" s="10" t="str">
        <v/>
      </c>
      <c r="G450" t="e">
        <f t="shared" ref="G450:G513" si="30">CONCATENATE(LEFT(F450,5),
MID(F450,
SEARCH("\",SUBSTITUTE(F450," ","\",LEN(F450)-LEN(SUBSTITUTE(F450," ",""))-4)),
SEARCH("\",SUBSTITUTE(F450," ","\",LEN(F450)-LEN(SUBSTITUTE(F450," ",""))-3))-
SEARCH("\",SUBSTITUTE(F450," ","\",LEN(F450)-LEN(SUBSTITUTE(F450," ",""))-4)))*1)</f>
        <v>#VALUE!</v>
      </c>
      <c r="H450" s="13" t="e">
        <f t="shared" ref="H450:H513" si="31">SUBSTITUTE(
RIGHT(F450,LEN(F450)-
FIND("\",SUBSTITUTE(F450," ","\",LEN(F450)-LEN(SUBSTITUTE(F450," ",""))))),
".","")</f>
        <v>#VALUE!</v>
      </c>
    </row>
    <row r="451" spans="2:8">
      <c r="B451" s="11" t="str">
        <f t="shared" si="29"/>
        <v/>
      </c>
      <c r="C451" s="11" t="str">
        <f t="shared" si="28"/>
        <v/>
      </c>
      <c r="F451" s="10" t="str">
        <v/>
      </c>
      <c r="G451" t="e">
        <f t="shared" si="30"/>
        <v>#VALUE!</v>
      </c>
      <c r="H451" s="13" t="e">
        <f t="shared" si="31"/>
        <v>#VALUE!</v>
      </c>
    </row>
    <row r="452" spans="2:8">
      <c r="B452" s="11" t="str">
        <f t="shared" si="29"/>
        <v/>
      </c>
      <c r="C452" s="11" t="str">
        <f t="shared" si="28"/>
        <v/>
      </c>
      <c r="F452" s="10" t="str">
        <v/>
      </c>
      <c r="G452" t="e">
        <f t="shared" si="30"/>
        <v>#VALUE!</v>
      </c>
      <c r="H452" s="13" t="e">
        <f t="shared" si="31"/>
        <v>#VALUE!</v>
      </c>
    </row>
    <row r="453" spans="2:8">
      <c r="B453" s="11" t="str">
        <f t="shared" si="29"/>
        <v/>
      </c>
      <c r="C453" s="11" t="str">
        <f t="shared" si="28"/>
        <v/>
      </c>
      <c r="F453" s="10" t="str">
        <v/>
      </c>
      <c r="G453" t="e">
        <f t="shared" si="30"/>
        <v>#VALUE!</v>
      </c>
      <c r="H453" s="13" t="e">
        <f t="shared" si="31"/>
        <v>#VALUE!</v>
      </c>
    </row>
    <row r="454" spans="2:8">
      <c r="B454" s="11" t="str">
        <f t="shared" si="29"/>
        <v/>
      </c>
      <c r="C454" s="11" t="str">
        <f t="shared" si="28"/>
        <v/>
      </c>
      <c r="F454" s="10" t="str">
        <v/>
      </c>
      <c r="G454" t="e">
        <f t="shared" si="30"/>
        <v>#VALUE!</v>
      </c>
      <c r="H454" s="13" t="e">
        <f t="shared" si="31"/>
        <v>#VALUE!</v>
      </c>
    </row>
    <row r="455" spans="2:8">
      <c r="B455" s="11" t="str">
        <f t="shared" si="29"/>
        <v/>
      </c>
      <c r="C455" s="11" t="str">
        <f t="shared" si="28"/>
        <v/>
      </c>
      <c r="F455" s="10" t="str">
        <v/>
      </c>
      <c r="G455" t="e">
        <f t="shared" si="30"/>
        <v>#VALUE!</v>
      </c>
      <c r="H455" s="13" t="e">
        <f t="shared" si="31"/>
        <v>#VALUE!</v>
      </c>
    </row>
    <row r="456" spans="2:8">
      <c r="B456" s="11" t="str">
        <f t="shared" si="29"/>
        <v/>
      </c>
      <c r="C456" s="11" t="str">
        <f t="shared" si="28"/>
        <v/>
      </c>
      <c r="F456" s="10" t="str">
        <v/>
      </c>
      <c r="G456" t="e">
        <f t="shared" si="30"/>
        <v>#VALUE!</v>
      </c>
      <c r="H456" s="13" t="e">
        <f t="shared" si="31"/>
        <v>#VALUE!</v>
      </c>
    </row>
    <row r="457" spans="2:8">
      <c r="B457" s="11" t="str">
        <f t="shared" si="29"/>
        <v/>
      </c>
      <c r="C457" s="11" t="str">
        <f t="shared" si="28"/>
        <v/>
      </c>
      <c r="F457" s="10" t="str">
        <v/>
      </c>
      <c r="G457" t="e">
        <f t="shared" si="30"/>
        <v>#VALUE!</v>
      </c>
      <c r="H457" s="13" t="e">
        <f t="shared" si="31"/>
        <v>#VALUE!</v>
      </c>
    </row>
    <row r="458" spans="2:8">
      <c r="B458" s="11" t="str">
        <f t="shared" si="29"/>
        <v/>
      </c>
      <c r="C458" s="11" t="str">
        <f t="shared" si="28"/>
        <v/>
      </c>
      <c r="F458" s="10" t="str">
        <v/>
      </c>
      <c r="G458" t="e">
        <f t="shared" si="30"/>
        <v>#VALUE!</v>
      </c>
      <c r="H458" s="13" t="e">
        <f t="shared" si="31"/>
        <v>#VALUE!</v>
      </c>
    </row>
    <row r="459" spans="2:8">
      <c r="B459" s="11" t="str">
        <f t="shared" si="29"/>
        <v/>
      </c>
      <c r="C459" s="11" t="str">
        <f t="shared" si="28"/>
        <v/>
      </c>
      <c r="F459" s="10" t="str">
        <v/>
      </c>
      <c r="G459" t="e">
        <f t="shared" si="30"/>
        <v>#VALUE!</v>
      </c>
      <c r="H459" s="13" t="e">
        <f t="shared" si="31"/>
        <v>#VALUE!</v>
      </c>
    </row>
    <row r="460" spans="2:8">
      <c r="B460" s="11" t="str">
        <f t="shared" si="29"/>
        <v/>
      </c>
      <c r="C460" s="11" t="str">
        <f t="shared" si="28"/>
        <v/>
      </c>
      <c r="F460" s="10" t="str">
        <v/>
      </c>
      <c r="G460" t="e">
        <f t="shared" si="30"/>
        <v>#VALUE!</v>
      </c>
      <c r="H460" s="13" t="e">
        <f t="shared" si="31"/>
        <v>#VALUE!</v>
      </c>
    </row>
    <row r="461" spans="2:8">
      <c r="B461" s="11" t="str">
        <f t="shared" si="29"/>
        <v/>
      </c>
      <c r="C461" s="11" t="str">
        <f t="shared" si="28"/>
        <v/>
      </c>
      <c r="F461" s="10" t="str">
        <v/>
      </c>
      <c r="G461" t="e">
        <f t="shared" si="30"/>
        <v>#VALUE!</v>
      </c>
      <c r="H461" s="13" t="e">
        <f t="shared" si="31"/>
        <v>#VALUE!</v>
      </c>
    </row>
    <row r="462" spans="2:8">
      <c r="B462" s="11" t="str">
        <f t="shared" si="29"/>
        <v/>
      </c>
      <c r="C462" s="11" t="str">
        <f t="shared" si="28"/>
        <v/>
      </c>
      <c r="F462" s="10" t="str">
        <v/>
      </c>
      <c r="G462" t="e">
        <f t="shared" si="30"/>
        <v>#VALUE!</v>
      </c>
      <c r="H462" s="13" t="e">
        <f t="shared" si="31"/>
        <v>#VALUE!</v>
      </c>
    </row>
    <row r="463" spans="2:8">
      <c r="B463" s="11" t="str">
        <f t="shared" si="29"/>
        <v/>
      </c>
      <c r="C463" s="11" t="str">
        <f t="shared" si="28"/>
        <v/>
      </c>
      <c r="F463" s="10" t="str">
        <v/>
      </c>
      <c r="G463" t="e">
        <f t="shared" si="30"/>
        <v>#VALUE!</v>
      </c>
      <c r="H463" s="13" t="e">
        <f t="shared" si="31"/>
        <v>#VALUE!</v>
      </c>
    </row>
    <row r="464" spans="2:8">
      <c r="B464" s="11" t="str">
        <f t="shared" si="29"/>
        <v/>
      </c>
      <c r="C464" s="11" t="str">
        <f t="shared" si="28"/>
        <v/>
      </c>
      <c r="F464" s="10" t="str">
        <v/>
      </c>
      <c r="G464" t="e">
        <f t="shared" si="30"/>
        <v>#VALUE!</v>
      </c>
      <c r="H464" s="13" t="e">
        <f t="shared" si="31"/>
        <v>#VALUE!</v>
      </c>
    </row>
    <row r="465" spans="2:8">
      <c r="B465" s="11" t="str">
        <f t="shared" si="29"/>
        <v/>
      </c>
      <c r="C465" s="11" t="str">
        <f t="shared" si="28"/>
        <v/>
      </c>
      <c r="F465" s="10" t="str">
        <v/>
      </c>
      <c r="G465" t="e">
        <f t="shared" si="30"/>
        <v>#VALUE!</v>
      </c>
      <c r="H465" s="13" t="e">
        <f t="shared" si="31"/>
        <v>#VALUE!</v>
      </c>
    </row>
    <row r="466" spans="2:8">
      <c r="B466" s="11" t="str">
        <f t="shared" si="29"/>
        <v/>
      </c>
      <c r="C466" s="11" t="str">
        <f t="shared" si="28"/>
        <v/>
      </c>
      <c r="F466" s="10" t="str">
        <v/>
      </c>
      <c r="G466" t="e">
        <f t="shared" si="30"/>
        <v>#VALUE!</v>
      </c>
      <c r="H466" s="13" t="e">
        <f t="shared" si="31"/>
        <v>#VALUE!</v>
      </c>
    </row>
    <row r="467" spans="2:8">
      <c r="B467" s="11" t="str">
        <f t="shared" si="29"/>
        <v/>
      </c>
      <c r="C467" s="11" t="str">
        <f t="shared" si="28"/>
        <v/>
      </c>
      <c r="F467" s="10" t="str">
        <v/>
      </c>
      <c r="G467" t="e">
        <f t="shared" si="30"/>
        <v>#VALUE!</v>
      </c>
      <c r="H467" s="13" t="e">
        <f t="shared" si="31"/>
        <v>#VALUE!</v>
      </c>
    </row>
    <row r="468" spans="2:8">
      <c r="B468" s="11" t="str">
        <f t="shared" si="29"/>
        <v/>
      </c>
      <c r="C468" s="11" t="str">
        <f t="shared" si="28"/>
        <v/>
      </c>
      <c r="F468" s="10" t="str">
        <v/>
      </c>
      <c r="G468" t="e">
        <f t="shared" si="30"/>
        <v>#VALUE!</v>
      </c>
      <c r="H468" s="13" t="e">
        <f t="shared" si="31"/>
        <v>#VALUE!</v>
      </c>
    </row>
    <row r="469" spans="2:8">
      <c r="B469" s="11" t="str">
        <f t="shared" si="29"/>
        <v/>
      </c>
      <c r="C469" s="11" t="str">
        <f t="shared" si="28"/>
        <v/>
      </c>
      <c r="F469" s="10" t="str">
        <v/>
      </c>
      <c r="G469" t="e">
        <f t="shared" si="30"/>
        <v>#VALUE!</v>
      </c>
      <c r="H469" s="13" t="e">
        <f t="shared" si="31"/>
        <v>#VALUE!</v>
      </c>
    </row>
    <row r="470" spans="2:8">
      <c r="B470" s="11" t="str">
        <f t="shared" si="29"/>
        <v/>
      </c>
      <c r="C470" s="11" t="str">
        <f t="shared" si="28"/>
        <v/>
      </c>
      <c r="F470" s="10" t="str">
        <v/>
      </c>
      <c r="G470" t="e">
        <f t="shared" si="30"/>
        <v>#VALUE!</v>
      </c>
      <c r="H470" s="13" t="e">
        <f t="shared" si="31"/>
        <v>#VALUE!</v>
      </c>
    </row>
    <row r="471" spans="2:8">
      <c r="B471" s="11" t="str">
        <f t="shared" si="29"/>
        <v/>
      </c>
      <c r="C471" s="11" t="str">
        <f t="shared" si="28"/>
        <v/>
      </c>
      <c r="F471" s="10" t="str">
        <v/>
      </c>
      <c r="G471" t="e">
        <f t="shared" si="30"/>
        <v>#VALUE!</v>
      </c>
      <c r="H471" s="13" t="e">
        <f t="shared" si="31"/>
        <v>#VALUE!</v>
      </c>
    </row>
    <row r="472" spans="2:8">
      <c r="B472" s="11" t="str">
        <f t="shared" si="29"/>
        <v/>
      </c>
      <c r="C472" s="11" t="str">
        <f t="shared" si="28"/>
        <v/>
      </c>
      <c r="F472" s="10" t="str">
        <v/>
      </c>
      <c r="G472" t="e">
        <f t="shared" si="30"/>
        <v>#VALUE!</v>
      </c>
      <c r="H472" s="13" t="e">
        <f t="shared" si="31"/>
        <v>#VALUE!</v>
      </c>
    </row>
    <row r="473" spans="2:8">
      <c r="B473" s="11" t="str">
        <f t="shared" si="29"/>
        <v/>
      </c>
      <c r="C473" s="11" t="str">
        <f t="shared" si="28"/>
        <v/>
      </c>
      <c r="F473" s="10" t="str">
        <v/>
      </c>
      <c r="G473" t="e">
        <f t="shared" si="30"/>
        <v>#VALUE!</v>
      </c>
      <c r="H473" s="13" t="e">
        <f t="shared" si="31"/>
        <v>#VALUE!</v>
      </c>
    </row>
    <row r="474" spans="2:8">
      <c r="B474" s="11" t="str">
        <f t="shared" si="29"/>
        <v/>
      </c>
      <c r="C474" s="11" t="str">
        <f t="shared" si="28"/>
        <v/>
      </c>
      <c r="F474" s="10" t="str">
        <v/>
      </c>
      <c r="G474" t="e">
        <f t="shared" si="30"/>
        <v>#VALUE!</v>
      </c>
      <c r="H474" s="13" t="e">
        <f t="shared" si="31"/>
        <v>#VALUE!</v>
      </c>
    </row>
    <row r="475" spans="2:8">
      <c r="B475" s="11" t="str">
        <f t="shared" si="29"/>
        <v/>
      </c>
      <c r="C475" s="11" t="str">
        <f t="shared" si="28"/>
        <v/>
      </c>
      <c r="F475" s="10" t="str">
        <v/>
      </c>
      <c r="G475" t="e">
        <f t="shared" si="30"/>
        <v>#VALUE!</v>
      </c>
      <c r="H475" s="13" t="e">
        <f t="shared" si="31"/>
        <v>#VALUE!</v>
      </c>
    </row>
    <row r="476" spans="2:8">
      <c r="B476" s="11" t="str">
        <f t="shared" si="29"/>
        <v/>
      </c>
      <c r="C476" s="11" t="str">
        <f t="shared" si="28"/>
        <v/>
      </c>
      <c r="F476" s="10" t="str">
        <v/>
      </c>
      <c r="G476" t="e">
        <f t="shared" si="30"/>
        <v>#VALUE!</v>
      </c>
      <c r="H476" s="13" t="e">
        <f t="shared" si="31"/>
        <v>#VALUE!</v>
      </c>
    </row>
    <row r="477" spans="2:8">
      <c r="B477" s="11" t="str">
        <f t="shared" si="29"/>
        <v/>
      </c>
      <c r="C477" s="11" t="str">
        <f t="shared" si="28"/>
        <v/>
      </c>
      <c r="F477" s="10" t="str">
        <v/>
      </c>
      <c r="G477" t="e">
        <f t="shared" si="30"/>
        <v>#VALUE!</v>
      </c>
      <c r="H477" s="13" t="e">
        <f t="shared" si="31"/>
        <v>#VALUE!</v>
      </c>
    </row>
    <row r="478" spans="2:8">
      <c r="B478" s="11" t="str">
        <f t="shared" si="29"/>
        <v/>
      </c>
      <c r="C478" s="11" t="str">
        <f t="shared" si="28"/>
        <v/>
      </c>
      <c r="F478" s="10" t="str">
        <v/>
      </c>
      <c r="G478" t="e">
        <f t="shared" si="30"/>
        <v>#VALUE!</v>
      </c>
      <c r="H478" s="13" t="e">
        <f t="shared" si="31"/>
        <v>#VALUE!</v>
      </c>
    </row>
    <row r="479" spans="2:8">
      <c r="B479" s="11" t="str">
        <f t="shared" si="29"/>
        <v/>
      </c>
      <c r="C479" s="11" t="str">
        <f t="shared" si="28"/>
        <v/>
      </c>
      <c r="F479" s="10" t="str">
        <v/>
      </c>
      <c r="G479" t="e">
        <f t="shared" si="30"/>
        <v>#VALUE!</v>
      </c>
      <c r="H479" s="13" t="e">
        <f t="shared" si="31"/>
        <v>#VALUE!</v>
      </c>
    </row>
    <row r="480" spans="2:8">
      <c r="B480" s="11" t="str">
        <f t="shared" si="29"/>
        <v/>
      </c>
      <c r="C480" s="11" t="str">
        <f t="shared" si="28"/>
        <v/>
      </c>
      <c r="F480" s="10" t="str">
        <v/>
      </c>
      <c r="G480" t="e">
        <f t="shared" si="30"/>
        <v>#VALUE!</v>
      </c>
      <c r="H480" s="13" t="e">
        <f t="shared" si="31"/>
        <v>#VALUE!</v>
      </c>
    </row>
    <row r="481" spans="2:8">
      <c r="B481" s="11" t="str">
        <f t="shared" si="29"/>
        <v/>
      </c>
      <c r="C481" s="11" t="str">
        <f t="shared" si="28"/>
        <v/>
      </c>
      <c r="F481" s="10" t="str">
        <v/>
      </c>
      <c r="G481" t="e">
        <f t="shared" si="30"/>
        <v>#VALUE!</v>
      </c>
      <c r="H481" s="13" t="e">
        <f t="shared" si="31"/>
        <v>#VALUE!</v>
      </c>
    </row>
    <row r="482" spans="2:8">
      <c r="B482" s="11" t="str">
        <f t="shared" si="29"/>
        <v/>
      </c>
      <c r="C482" s="11" t="str">
        <f t="shared" si="28"/>
        <v/>
      </c>
      <c r="F482" s="10" t="str">
        <v/>
      </c>
      <c r="G482" t="e">
        <f t="shared" si="30"/>
        <v>#VALUE!</v>
      </c>
      <c r="H482" s="13" t="e">
        <f t="shared" si="31"/>
        <v>#VALUE!</v>
      </c>
    </row>
    <row r="483" spans="2:8">
      <c r="B483" s="11" t="str">
        <f t="shared" si="29"/>
        <v/>
      </c>
      <c r="C483" s="11" t="str">
        <f t="shared" si="28"/>
        <v/>
      </c>
      <c r="F483" s="10" t="str">
        <v/>
      </c>
      <c r="G483" t="e">
        <f t="shared" si="30"/>
        <v>#VALUE!</v>
      </c>
      <c r="H483" s="13" t="e">
        <f t="shared" si="31"/>
        <v>#VALUE!</v>
      </c>
    </row>
    <row r="484" spans="2:8">
      <c r="B484" s="11" t="str">
        <f t="shared" si="29"/>
        <v/>
      </c>
      <c r="C484" s="11" t="str">
        <f t="shared" si="28"/>
        <v/>
      </c>
      <c r="F484" s="10" t="str">
        <v/>
      </c>
      <c r="G484" t="e">
        <f t="shared" si="30"/>
        <v>#VALUE!</v>
      </c>
      <c r="H484" s="13" t="e">
        <f t="shared" si="31"/>
        <v>#VALUE!</v>
      </c>
    </row>
    <row r="485" spans="2:8">
      <c r="B485" s="11" t="str">
        <f t="shared" si="29"/>
        <v/>
      </c>
      <c r="C485" s="11" t="str">
        <f t="shared" si="28"/>
        <v/>
      </c>
      <c r="F485" s="10" t="str">
        <v/>
      </c>
      <c r="G485" t="e">
        <f t="shared" si="30"/>
        <v>#VALUE!</v>
      </c>
      <c r="H485" s="13" t="e">
        <f t="shared" si="31"/>
        <v>#VALUE!</v>
      </c>
    </row>
    <row r="486" spans="2:8">
      <c r="B486" s="11" t="str">
        <f t="shared" si="29"/>
        <v/>
      </c>
      <c r="C486" s="11" t="str">
        <f t="shared" si="28"/>
        <v/>
      </c>
      <c r="F486" s="10" t="str">
        <v/>
      </c>
      <c r="G486" t="e">
        <f t="shared" si="30"/>
        <v>#VALUE!</v>
      </c>
      <c r="H486" s="13" t="e">
        <f t="shared" si="31"/>
        <v>#VALUE!</v>
      </c>
    </row>
    <row r="487" spans="2:8">
      <c r="B487" s="11" t="str">
        <f t="shared" si="29"/>
        <v/>
      </c>
      <c r="C487" s="11" t="str">
        <f t="shared" si="28"/>
        <v/>
      </c>
      <c r="F487" s="10" t="str">
        <v/>
      </c>
      <c r="G487" t="e">
        <f t="shared" si="30"/>
        <v>#VALUE!</v>
      </c>
      <c r="H487" s="13" t="e">
        <f t="shared" si="31"/>
        <v>#VALUE!</v>
      </c>
    </row>
    <row r="488" spans="2:8">
      <c r="B488" s="11" t="str">
        <f t="shared" si="29"/>
        <v/>
      </c>
      <c r="C488" s="11" t="str">
        <f t="shared" si="28"/>
        <v/>
      </c>
      <c r="F488" s="10" t="str">
        <v/>
      </c>
      <c r="G488" t="e">
        <f t="shared" si="30"/>
        <v>#VALUE!</v>
      </c>
      <c r="H488" s="13" t="e">
        <f t="shared" si="31"/>
        <v>#VALUE!</v>
      </c>
    </row>
    <row r="489" spans="2:8">
      <c r="B489" s="11" t="str">
        <f t="shared" si="29"/>
        <v/>
      </c>
      <c r="C489" s="11" t="str">
        <f t="shared" ref="C489:C552" si="32">IF(B489="артикул",A489,"")</f>
        <v/>
      </c>
      <c r="F489" s="10" t="str">
        <v/>
      </c>
      <c r="G489" t="e">
        <f t="shared" si="30"/>
        <v>#VALUE!</v>
      </c>
      <c r="H489" s="13" t="e">
        <f t="shared" si="31"/>
        <v>#VALUE!</v>
      </c>
    </row>
    <row r="490" spans="2:8">
      <c r="B490" s="11" t="str">
        <f t="shared" si="29"/>
        <v/>
      </c>
      <c r="C490" s="11" t="str">
        <f t="shared" si="32"/>
        <v/>
      </c>
      <c r="F490" s="10" t="str">
        <v/>
      </c>
      <c r="G490" t="e">
        <f t="shared" si="30"/>
        <v>#VALUE!</v>
      </c>
      <c r="H490" s="13" t="e">
        <f t="shared" si="31"/>
        <v>#VALUE!</v>
      </c>
    </row>
    <row r="491" spans="2:8">
      <c r="B491" s="11" t="str">
        <f t="shared" si="29"/>
        <v/>
      </c>
      <c r="C491" s="11" t="str">
        <f t="shared" si="32"/>
        <v/>
      </c>
      <c r="F491" s="10" t="str">
        <v/>
      </c>
      <c r="G491" t="e">
        <f t="shared" si="30"/>
        <v>#VALUE!</v>
      </c>
      <c r="H491" s="13" t="e">
        <f t="shared" si="31"/>
        <v>#VALUE!</v>
      </c>
    </row>
    <row r="492" spans="2:8">
      <c r="B492" s="11" t="str">
        <f t="shared" si="29"/>
        <v/>
      </c>
      <c r="C492" s="11" t="str">
        <f t="shared" si="32"/>
        <v/>
      </c>
      <c r="F492" s="10" t="str">
        <v/>
      </c>
      <c r="G492" t="e">
        <f t="shared" si="30"/>
        <v>#VALUE!</v>
      </c>
      <c r="H492" s="13" t="e">
        <f t="shared" si="31"/>
        <v>#VALUE!</v>
      </c>
    </row>
    <row r="493" spans="2:8">
      <c r="B493" s="11" t="str">
        <f t="shared" si="29"/>
        <v/>
      </c>
      <c r="C493" s="11" t="str">
        <f t="shared" si="32"/>
        <v/>
      </c>
      <c r="F493" s="10" t="str">
        <v/>
      </c>
      <c r="G493" t="e">
        <f t="shared" si="30"/>
        <v>#VALUE!</v>
      </c>
      <c r="H493" s="13" t="e">
        <f t="shared" si="31"/>
        <v>#VALUE!</v>
      </c>
    </row>
    <row r="494" spans="2:8">
      <c r="B494" s="11" t="str">
        <f t="shared" si="29"/>
        <v/>
      </c>
      <c r="C494" s="11" t="str">
        <f t="shared" si="32"/>
        <v/>
      </c>
      <c r="F494" s="10" t="str">
        <v/>
      </c>
      <c r="G494" t="e">
        <f t="shared" si="30"/>
        <v>#VALUE!</v>
      </c>
      <c r="H494" s="13" t="e">
        <f t="shared" si="31"/>
        <v>#VALUE!</v>
      </c>
    </row>
    <row r="495" spans="2:8">
      <c r="B495" s="11" t="str">
        <f t="shared" si="29"/>
        <v/>
      </c>
      <c r="C495" s="11" t="str">
        <f t="shared" si="32"/>
        <v/>
      </c>
      <c r="F495" s="10" t="str">
        <v/>
      </c>
      <c r="G495" t="e">
        <f t="shared" si="30"/>
        <v>#VALUE!</v>
      </c>
      <c r="H495" s="13" t="e">
        <f t="shared" si="31"/>
        <v>#VALUE!</v>
      </c>
    </row>
    <row r="496" spans="2:8">
      <c r="B496" s="11" t="str">
        <f t="shared" si="29"/>
        <v/>
      </c>
      <c r="C496" s="11" t="str">
        <f t="shared" si="32"/>
        <v/>
      </c>
      <c r="F496" s="10" t="str">
        <v/>
      </c>
      <c r="G496" t="e">
        <f t="shared" si="30"/>
        <v>#VALUE!</v>
      </c>
      <c r="H496" s="13" t="e">
        <f t="shared" si="31"/>
        <v>#VALUE!</v>
      </c>
    </row>
    <row r="497" spans="2:8">
      <c r="B497" s="11" t="str">
        <f t="shared" si="29"/>
        <v/>
      </c>
      <c r="C497" s="11" t="str">
        <f t="shared" si="32"/>
        <v/>
      </c>
      <c r="F497" s="10" t="str">
        <v/>
      </c>
      <c r="G497" t="e">
        <f t="shared" si="30"/>
        <v>#VALUE!</v>
      </c>
      <c r="H497" s="13" t="e">
        <f t="shared" si="31"/>
        <v>#VALUE!</v>
      </c>
    </row>
    <row r="498" spans="2:8">
      <c r="B498" s="11" t="str">
        <f t="shared" si="29"/>
        <v/>
      </c>
      <c r="C498" s="11" t="str">
        <f t="shared" si="32"/>
        <v/>
      </c>
      <c r="F498" s="10" t="str">
        <v/>
      </c>
      <c r="G498" t="e">
        <f t="shared" si="30"/>
        <v>#VALUE!</v>
      </c>
      <c r="H498" s="13" t="e">
        <f t="shared" si="31"/>
        <v>#VALUE!</v>
      </c>
    </row>
    <row r="499" spans="2:8">
      <c r="B499" s="11" t="str">
        <f t="shared" si="29"/>
        <v/>
      </c>
      <c r="C499" s="11" t="str">
        <f t="shared" si="32"/>
        <v/>
      </c>
      <c r="F499" s="10" t="str">
        <v/>
      </c>
      <c r="G499" t="e">
        <f t="shared" si="30"/>
        <v>#VALUE!</v>
      </c>
      <c r="H499" s="13" t="e">
        <f t="shared" si="31"/>
        <v>#VALUE!</v>
      </c>
    </row>
    <row r="500" spans="2:8">
      <c r="B500" s="11" t="str">
        <f t="shared" si="29"/>
        <v/>
      </c>
      <c r="C500" s="11" t="str">
        <f t="shared" si="32"/>
        <v/>
      </c>
      <c r="F500" s="10" t="str">
        <v/>
      </c>
      <c r="G500" t="e">
        <f t="shared" si="30"/>
        <v>#VALUE!</v>
      </c>
      <c r="H500" s="13" t="e">
        <f t="shared" si="31"/>
        <v>#VALUE!</v>
      </c>
    </row>
    <row r="501" spans="2:8">
      <c r="B501" s="11" t="str">
        <f t="shared" si="29"/>
        <v/>
      </c>
      <c r="C501" s="11" t="str">
        <f t="shared" si="32"/>
        <v/>
      </c>
      <c r="F501" s="10" t="str">
        <v/>
      </c>
      <c r="G501" t="e">
        <f t="shared" si="30"/>
        <v>#VALUE!</v>
      </c>
      <c r="H501" s="13" t="e">
        <f t="shared" si="31"/>
        <v>#VALUE!</v>
      </c>
    </row>
    <row r="502" spans="2:8">
      <c r="B502" s="11" t="str">
        <f t="shared" si="29"/>
        <v/>
      </c>
      <c r="C502" s="11" t="str">
        <f t="shared" si="32"/>
        <v/>
      </c>
      <c r="F502" s="10" t="str">
        <v/>
      </c>
      <c r="G502" t="e">
        <f t="shared" si="30"/>
        <v>#VALUE!</v>
      </c>
      <c r="H502" s="13" t="e">
        <f t="shared" si="31"/>
        <v>#VALUE!</v>
      </c>
    </row>
    <row r="503" spans="2:8">
      <c r="B503" s="11" t="str">
        <f t="shared" si="29"/>
        <v/>
      </c>
      <c r="C503" s="11" t="str">
        <f t="shared" si="32"/>
        <v/>
      </c>
      <c r="F503" s="10" t="str">
        <v/>
      </c>
      <c r="G503" t="e">
        <f t="shared" si="30"/>
        <v>#VALUE!</v>
      </c>
      <c r="H503" s="13" t="e">
        <f t="shared" si="31"/>
        <v>#VALUE!</v>
      </c>
    </row>
    <row r="504" spans="2:8">
      <c r="B504" s="11" t="str">
        <f t="shared" si="29"/>
        <v/>
      </c>
      <c r="C504" s="11" t="str">
        <f t="shared" si="32"/>
        <v/>
      </c>
      <c r="F504" s="10" t="str">
        <v/>
      </c>
      <c r="G504" t="e">
        <f t="shared" si="30"/>
        <v>#VALUE!</v>
      </c>
      <c r="H504" s="13" t="e">
        <f t="shared" si="31"/>
        <v>#VALUE!</v>
      </c>
    </row>
    <row r="505" spans="2:8">
      <c r="B505" s="11" t="str">
        <f t="shared" si="29"/>
        <v/>
      </c>
      <c r="C505" s="11" t="str">
        <f t="shared" si="32"/>
        <v/>
      </c>
      <c r="F505" s="10" t="str">
        <v/>
      </c>
      <c r="G505" t="e">
        <f t="shared" si="30"/>
        <v>#VALUE!</v>
      </c>
      <c r="H505" s="13" t="e">
        <f t="shared" si="31"/>
        <v>#VALUE!</v>
      </c>
    </row>
    <row r="506" spans="2:8">
      <c r="B506" s="11" t="str">
        <f t="shared" si="29"/>
        <v/>
      </c>
      <c r="C506" s="11" t="str">
        <f t="shared" si="32"/>
        <v/>
      </c>
      <c r="F506" s="10" t="str">
        <v/>
      </c>
      <c r="G506" t="e">
        <f t="shared" si="30"/>
        <v>#VALUE!</v>
      </c>
      <c r="H506" s="13" t="e">
        <f t="shared" si="31"/>
        <v>#VALUE!</v>
      </c>
    </row>
    <row r="507" spans="2:8">
      <c r="B507" s="11" t="str">
        <f t="shared" si="29"/>
        <v/>
      </c>
      <c r="C507" s="11" t="str">
        <f t="shared" si="32"/>
        <v/>
      </c>
      <c r="F507" s="10" t="str">
        <v/>
      </c>
      <c r="G507" t="e">
        <f t="shared" si="30"/>
        <v>#VALUE!</v>
      </c>
      <c r="H507" s="13" t="e">
        <f t="shared" si="31"/>
        <v>#VALUE!</v>
      </c>
    </row>
    <row r="508" spans="2:8">
      <c r="B508" s="11" t="str">
        <f t="shared" si="29"/>
        <v/>
      </c>
      <c r="C508" s="11" t="str">
        <f t="shared" si="32"/>
        <v/>
      </c>
      <c r="F508" s="10" t="str">
        <v/>
      </c>
      <c r="G508" t="e">
        <f t="shared" si="30"/>
        <v>#VALUE!</v>
      </c>
      <c r="H508" s="13" t="e">
        <f t="shared" si="31"/>
        <v>#VALUE!</v>
      </c>
    </row>
    <row r="509" spans="2:8">
      <c r="B509" s="11" t="str">
        <f t="shared" si="29"/>
        <v/>
      </c>
      <c r="C509" s="11" t="str">
        <f t="shared" si="32"/>
        <v/>
      </c>
      <c r="F509" s="10" t="str">
        <v/>
      </c>
      <c r="G509" t="e">
        <f t="shared" si="30"/>
        <v>#VALUE!</v>
      </c>
      <c r="H509" s="13" t="e">
        <f t="shared" si="31"/>
        <v>#VALUE!</v>
      </c>
    </row>
    <row r="510" spans="2:8">
      <c r="B510" s="11" t="str">
        <f t="shared" si="29"/>
        <v/>
      </c>
      <c r="C510" s="11" t="str">
        <f t="shared" si="32"/>
        <v/>
      </c>
      <c r="F510" s="10" t="str">
        <v/>
      </c>
      <c r="G510" t="e">
        <f t="shared" si="30"/>
        <v>#VALUE!</v>
      </c>
      <c r="H510" s="13" t="e">
        <f t="shared" si="31"/>
        <v>#VALUE!</v>
      </c>
    </row>
    <row r="511" spans="2:8">
      <c r="B511" s="11" t="str">
        <f t="shared" si="29"/>
        <v/>
      </c>
      <c r="C511" s="11" t="str">
        <f t="shared" si="32"/>
        <v/>
      </c>
      <c r="F511" s="10" t="str">
        <v/>
      </c>
      <c r="G511" t="e">
        <f t="shared" si="30"/>
        <v>#VALUE!</v>
      </c>
      <c r="H511" s="13" t="e">
        <f t="shared" si="31"/>
        <v>#VALUE!</v>
      </c>
    </row>
    <row r="512" spans="2:8">
      <c r="B512" s="11" t="str">
        <f t="shared" si="29"/>
        <v/>
      </c>
      <c r="C512" s="11" t="str">
        <f t="shared" si="32"/>
        <v/>
      </c>
      <c r="F512" s="10" t="str">
        <v/>
      </c>
      <c r="G512" t="e">
        <f t="shared" si="30"/>
        <v>#VALUE!</v>
      </c>
      <c r="H512" s="13" t="e">
        <f t="shared" si="31"/>
        <v>#VALUE!</v>
      </c>
    </row>
    <row r="513" spans="2:8">
      <c r="B513" s="11" t="str">
        <f t="shared" ref="B513:B576" si="33">IFERROR(IF(FIND(" ",A513)=6,IF(IFERROR(FIND(" PB",A513),"")&lt;&gt;"","артикул",IF(IFERROR(FIND(" CRN",A513),"")&lt;&gt;"","артикул","")),""),"")</f>
        <v/>
      </c>
      <c r="C513" s="11" t="str">
        <f t="shared" si="32"/>
        <v/>
      </c>
      <c r="F513" s="10" t="str">
        <v/>
      </c>
      <c r="G513" t="e">
        <f t="shared" si="30"/>
        <v>#VALUE!</v>
      </c>
      <c r="H513" s="13" t="e">
        <f t="shared" si="31"/>
        <v>#VALUE!</v>
      </c>
    </row>
    <row r="514" spans="2:8">
      <c r="B514" s="11" t="str">
        <f t="shared" si="33"/>
        <v/>
      </c>
      <c r="C514" s="11" t="str">
        <f t="shared" si="32"/>
        <v/>
      </c>
      <c r="F514" s="10" t="str">
        <v/>
      </c>
      <c r="G514" t="e">
        <f t="shared" ref="G514:G577" si="34">CONCATENATE(LEFT(F514,5),
MID(F514,
SEARCH("\",SUBSTITUTE(F514," ","\",LEN(F514)-LEN(SUBSTITUTE(F514," ",""))-4)),
SEARCH("\",SUBSTITUTE(F514," ","\",LEN(F514)-LEN(SUBSTITUTE(F514," ",""))-3))-
SEARCH("\",SUBSTITUTE(F514," ","\",LEN(F514)-LEN(SUBSTITUTE(F514," ",""))-4)))*1)</f>
        <v>#VALUE!</v>
      </c>
      <c r="H514" s="13" t="e">
        <f t="shared" ref="H514:H577" si="35">SUBSTITUTE(
RIGHT(F514,LEN(F514)-
FIND("\",SUBSTITUTE(F514," ","\",LEN(F514)-LEN(SUBSTITUTE(F514," ",""))))),
".","")</f>
        <v>#VALUE!</v>
      </c>
    </row>
    <row r="515" spans="2:8">
      <c r="B515" s="11" t="str">
        <f t="shared" si="33"/>
        <v/>
      </c>
      <c r="C515" s="11" t="str">
        <f t="shared" si="32"/>
        <v/>
      </c>
      <c r="F515" s="10" t="str">
        <v/>
      </c>
      <c r="G515" t="e">
        <f t="shared" si="34"/>
        <v>#VALUE!</v>
      </c>
      <c r="H515" s="13" t="e">
        <f t="shared" si="35"/>
        <v>#VALUE!</v>
      </c>
    </row>
    <row r="516" spans="2:8">
      <c r="B516" s="11" t="str">
        <f t="shared" si="33"/>
        <v/>
      </c>
      <c r="C516" s="11" t="str">
        <f t="shared" si="32"/>
        <v/>
      </c>
      <c r="F516" s="10" t="str">
        <v/>
      </c>
      <c r="G516" t="e">
        <f t="shared" si="34"/>
        <v>#VALUE!</v>
      </c>
      <c r="H516" s="13" t="e">
        <f t="shared" si="35"/>
        <v>#VALUE!</v>
      </c>
    </row>
    <row r="517" spans="2:8">
      <c r="B517" s="11" t="str">
        <f t="shared" si="33"/>
        <v/>
      </c>
      <c r="C517" s="11" t="str">
        <f t="shared" si="32"/>
        <v/>
      </c>
      <c r="F517" s="10" t="str">
        <v/>
      </c>
      <c r="G517" t="e">
        <f t="shared" si="34"/>
        <v>#VALUE!</v>
      </c>
      <c r="H517" s="13" t="e">
        <f t="shared" si="35"/>
        <v>#VALUE!</v>
      </c>
    </row>
    <row r="518" spans="2:8">
      <c r="B518" s="11" t="str">
        <f t="shared" si="33"/>
        <v/>
      </c>
      <c r="C518" s="11" t="str">
        <f t="shared" si="32"/>
        <v/>
      </c>
      <c r="F518" s="10" t="str">
        <v/>
      </c>
      <c r="G518" t="e">
        <f t="shared" si="34"/>
        <v>#VALUE!</v>
      </c>
      <c r="H518" s="13" t="e">
        <f t="shared" si="35"/>
        <v>#VALUE!</v>
      </c>
    </row>
    <row r="519" spans="2:8">
      <c r="B519" s="11" t="str">
        <f t="shared" si="33"/>
        <v/>
      </c>
      <c r="C519" s="11" t="str">
        <f t="shared" si="32"/>
        <v/>
      </c>
      <c r="F519" s="10" t="str">
        <v/>
      </c>
      <c r="G519" t="e">
        <f t="shared" si="34"/>
        <v>#VALUE!</v>
      </c>
      <c r="H519" s="13" t="e">
        <f t="shared" si="35"/>
        <v>#VALUE!</v>
      </c>
    </row>
    <row r="520" spans="2:8">
      <c r="B520" s="11" t="str">
        <f t="shared" si="33"/>
        <v/>
      </c>
      <c r="C520" s="11" t="str">
        <f t="shared" si="32"/>
        <v/>
      </c>
      <c r="F520" s="10" t="str">
        <v/>
      </c>
      <c r="G520" t="e">
        <f t="shared" si="34"/>
        <v>#VALUE!</v>
      </c>
      <c r="H520" s="13" t="e">
        <f t="shared" si="35"/>
        <v>#VALUE!</v>
      </c>
    </row>
    <row r="521" spans="2:8">
      <c r="B521" s="11" t="str">
        <f t="shared" si="33"/>
        <v/>
      </c>
      <c r="C521" s="11" t="str">
        <f t="shared" si="32"/>
        <v/>
      </c>
      <c r="F521" s="10" t="str">
        <v/>
      </c>
      <c r="G521" t="e">
        <f t="shared" si="34"/>
        <v>#VALUE!</v>
      </c>
      <c r="H521" s="13" t="e">
        <f t="shared" si="35"/>
        <v>#VALUE!</v>
      </c>
    </row>
    <row r="522" spans="2:8">
      <c r="B522" s="11" t="str">
        <f t="shared" si="33"/>
        <v/>
      </c>
      <c r="C522" s="11" t="str">
        <f t="shared" si="32"/>
        <v/>
      </c>
      <c r="F522" s="10" t="str">
        <v/>
      </c>
      <c r="G522" t="e">
        <f t="shared" si="34"/>
        <v>#VALUE!</v>
      </c>
      <c r="H522" s="13" t="e">
        <f t="shared" si="35"/>
        <v>#VALUE!</v>
      </c>
    </row>
    <row r="523" spans="2:8">
      <c r="B523" s="11" t="str">
        <f t="shared" si="33"/>
        <v/>
      </c>
      <c r="C523" s="11" t="str">
        <f t="shared" si="32"/>
        <v/>
      </c>
      <c r="F523" s="10" t="str">
        <v/>
      </c>
      <c r="G523" t="e">
        <f t="shared" si="34"/>
        <v>#VALUE!</v>
      </c>
      <c r="H523" s="13" t="e">
        <f t="shared" si="35"/>
        <v>#VALUE!</v>
      </c>
    </row>
    <row r="524" spans="2:8">
      <c r="B524" s="11" t="str">
        <f t="shared" si="33"/>
        <v/>
      </c>
      <c r="C524" s="11" t="str">
        <f t="shared" si="32"/>
        <v/>
      </c>
      <c r="F524" s="10" t="str">
        <v/>
      </c>
      <c r="G524" t="e">
        <f t="shared" si="34"/>
        <v>#VALUE!</v>
      </c>
      <c r="H524" s="13" t="e">
        <f t="shared" si="35"/>
        <v>#VALUE!</v>
      </c>
    </row>
    <row r="525" spans="2:8">
      <c r="B525" s="11" t="str">
        <f t="shared" si="33"/>
        <v/>
      </c>
      <c r="C525" s="11" t="str">
        <f t="shared" si="32"/>
        <v/>
      </c>
      <c r="F525" s="10" t="str">
        <v/>
      </c>
      <c r="G525" t="e">
        <f t="shared" si="34"/>
        <v>#VALUE!</v>
      </c>
      <c r="H525" s="13" t="e">
        <f t="shared" si="35"/>
        <v>#VALUE!</v>
      </c>
    </row>
    <row r="526" spans="2:8">
      <c r="B526" s="11" t="str">
        <f t="shared" si="33"/>
        <v/>
      </c>
      <c r="C526" s="11" t="str">
        <f t="shared" si="32"/>
        <v/>
      </c>
      <c r="F526" s="10" t="str">
        <v/>
      </c>
      <c r="G526" t="e">
        <f t="shared" si="34"/>
        <v>#VALUE!</v>
      </c>
      <c r="H526" s="13" t="e">
        <f t="shared" si="35"/>
        <v>#VALUE!</v>
      </c>
    </row>
    <row r="527" spans="2:8">
      <c r="B527" s="11" t="str">
        <f t="shared" si="33"/>
        <v/>
      </c>
      <c r="C527" s="11" t="str">
        <f t="shared" si="32"/>
        <v/>
      </c>
      <c r="F527" s="10" t="str">
        <v/>
      </c>
      <c r="G527" t="e">
        <f t="shared" si="34"/>
        <v>#VALUE!</v>
      </c>
      <c r="H527" s="13" t="e">
        <f t="shared" si="35"/>
        <v>#VALUE!</v>
      </c>
    </row>
    <row r="528" spans="2:8">
      <c r="B528" s="11" t="str">
        <f t="shared" si="33"/>
        <v/>
      </c>
      <c r="C528" s="11" t="str">
        <f t="shared" si="32"/>
        <v/>
      </c>
      <c r="F528" s="10" t="str">
        <v/>
      </c>
      <c r="G528" t="e">
        <f t="shared" si="34"/>
        <v>#VALUE!</v>
      </c>
      <c r="H528" s="13" t="e">
        <f t="shared" si="35"/>
        <v>#VALUE!</v>
      </c>
    </row>
    <row r="529" spans="2:8">
      <c r="B529" s="11" t="str">
        <f t="shared" si="33"/>
        <v/>
      </c>
      <c r="C529" s="11" t="str">
        <f t="shared" si="32"/>
        <v/>
      </c>
      <c r="F529" s="10" t="str">
        <v/>
      </c>
      <c r="G529" t="e">
        <f t="shared" si="34"/>
        <v>#VALUE!</v>
      </c>
      <c r="H529" s="13" t="e">
        <f t="shared" si="35"/>
        <v>#VALUE!</v>
      </c>
    </row>
    <row r="530" spans="2:8">
      <c r="B530" s="11" t="str">
        <f t="shared" si="33"/>
        <v/>
      </c>
      <c r="C530" s="11" t="str">
        <f t="shared" si="32"/>
        <v/>
      </c>
      <c r="F530" s="10" t="str">
        <v/>
      </c>
      <c r="G530" t="e">
        <f t="shared" si="34"/>
        <v>#VALUE!</v>
      </c>
      <c r="H530" s="13" t="e">
        <f t="shared" si="35"/>
        <v>#VALUE!</v>
      </c>
    </row>
    <row r="531" spans="2:8">
      <c r="B531" s="11" t="str">
        <f t="shared" si="33"/>
        <v/>
      </c>
      <c r="C531" s="11" t="str">
        <f t="shared" si="32"/>
        <v/>
      </c>
      <c r="F531" s="10" t="str">
        <v/>
      </c>
      <c r="G531" t="e">
        <f t="shared" si="34"/>
        <v>#VALUE!</v>
      </c>
      <c r="H531" s="13" t="e">
        <f t="shared" si="35"/>
        <v>#VALUE!</v>
      </c>
    </row>
    <row r="532" spans="2:8">
      <c r="B532" s="11" t="str">
        <f t="shared" si="33"/>
        <v/>
      </c>
      <c r="C532" s="11" t="str">
        <f t="shared" si="32"/>
        <v/>
      </c>
      <c r="F532" s="10" t="str">
        <v/>
      </c>
      <c r="G532" t="e">
        <f t="shared" si="34"/>
        <v>#VALUE!</v>
      </c>
      <c r="H532" s="13" t="e">
        <f t="shared" si="35"/>
        <v>#VALUE!</v>
      </c>
    </row>
    <row r="533" spans="2:8">
      <c r="B533" s="11" t="str">
        <f t="shared" si="33"/>
        <v/>
      </c>
      <c r="C533" s="11" t="str">
        <f t="shared" si="32"/>
        <v/>
      </c>
      <c r="F533" s="10" t="str">
        <v/>
      </c>
      <c r="G533" t="e">
        <f t="shared" si="34"/>
        <v>#VALUE!</v>
      </c>
      <c r="H533" s="13" t="e">
        <f t="shared" si="35"/>
        <v>#VALUE!</v>
      </c>
    </row>
    <row r="534" spans="2:8">
      <c r="B534" s="11" t="str">
        <f t="shared" si="33"/>
        <v/>
      </c>
      <c r="C534" s="11" t="str">
        <f t="shared" si="32"/>
        <v/>
      </c>
      <c r="F534" s="10" t="str">
        <v/>
      </c>
      <c r="G534" t="e">
        <f t="shared" si="34"/>
        <v>#VALUE!</v>
      </c>
      <c r="H534" s="13" t="e">
        <f t="shared" si="35"/>
        <v>#VALUE!</v>
      </c>
    </row>
    <row r="535" spans="2:8">
      <c r="B535" s="11" t="str">
        <f t="shared" si="33"/>
        <v/>
      </c>
      <c r="C535" s="11" t="str">
        <f t="shared" si="32"/>
        <v/>
      </c>
      <c r="F535" s="10" t="str">
        <v/>
      </c>
      <c r="G535" t="e">
        <f t="shared" si="34"/>
        <v>#VALUE!</v>
      </c>
      <c r="H535" s="13" t="e">
        <f t="shared" si="35"/>
        <v>#VALUE!</v>
      </c>
    </row>
    <row r="536" spans="2:8">
      <c r="B536" s="11" t="str">
        <f t="shared" si="33"/>
        <v/>
      </c>
      <c r="C536" s="11" t="str">
        <f t="shared" si="32"/>
        <v/>
      </c>
      <c r="F536" s="10" t="str">
        <v/>
      </c>
      <c r="G536" t="e">
        <f t="shared" si="34"/>
        <v>#VALUE!</v>
      </c>
      <c r="H536" s="13" t="e">
        <f t="shared" si="35"/>
        <v>#VALUE!</v>
      </c>
    </row>
    <row r="537" spans="2:8">
      <c r="B537" s="11" t="str">
        <f t="shared" si="33"/>
        <v/>
      </c>
      <c r="C537" s="11" t="str">
        <f t="shared" si="32"/>
        <v/>
      </c>
      <c r="F537" s="10" t="str">
        <v/>
      </c>
      <c r="G537" t="e">
        <f t="shared" si="34"/>
        <v>#VALUE!</v>
      </c>
      <c r="H537" s="13" t="e">
        <f t="shared" si="35"/>
        <v>#VALUE!</v>
      </c>
    </row>
    <row r="538" spans="2:8">
      <c r="B538" s="11" t="str">
        <f t="shared" si="33"/>
        <v/>
      </c>
      <c r="C538" s="11" t="str">
        <f t="shared" si="32"/>
        <v/>
      </c>
      <c r="F538" s="10" t="str">
        <v/>
      </c>
      <c r="G538" t="e">
        <f t="shared" si="34"/>
        <v>#VALUE!</v>
      </c>
      <c r="H538" s="13" t="e">
        <f t="shared" si="35"/>
        <v>#VALUE!</v>
      </c>
    </row>
    <row r="539" spans="2:8">
      <c r="B539" s="11" t="str">
        <f t="shared" si="33"/>
        <v/>
      </c>
      <c r="C539" s="11" t="str">
        <f t="shared" si="32"/>
        <v/>
      </c>
      <c r="F539" s="10" t="str">
        <v/>
      </c>
      <c r="G539" t="e">
        <f t="shared" si="34"/>
        <v>#VALUE!</v>
      </c>
      <c r="H539" s="13" t="e">
        <f t="shared" si="35"/>
        <v>#VALUE!</v>
      </c>
    </row>
    <row r="540" spans="2:8">
      <c r="B540" s="11" t="str">
        <f t="shared" si="33"/>
        <v/>
      </c>
      <c r="C540" s="11" t="str">
        <f t="shared" si="32"/>
        <v/>
      </c>
      <c r="F540" s="10" t="str">
        <v/>
      </c>
      <c r="G540" t="e">
        <f t="shared" si="34"/>
        <v>#VALUE!</v>
      </c>
      <c r="H540" s="13" t="e">
        <f t="shared" si="35"/>
        <v>#VALUE!</v>
      </c>
    </row>
    <row r="541" spans="2:8">
      <c r="B541" s="11" t="str">
        <f t="shared" si="33"/>
        <v/>
      </c>
      <c r="C541" s="11" t="str">
        <f t="shared" si="32"/>
        <v/>
      </c>
      <c r="F541" s="10" t="str">
        <v/>
      </c>
      <c r="G541" t="e">
        <f t="shared" si="34"/>
        <v>#VALUE!</v>
      </c>
      <c r="H541" s="13" t="e">
        <f t="shared" si="35"/>
        <v>#VALUE!</v>
      </c>
    </row>
    <row r="542" spans="2:8">
      <c r="B542" s="11" t="str">
        <f t="shared" si="33"/>
        <v/>
      </c>
      <c r="C542" s="11" t="str">
        <f t="shared" si="32"/>
        <v/>
      </c>
      <c r="F542" s="10" t="str">
        <v/>
      </c>
      <c r="G542" t="e">
        <f t="shared" si="34"/>
        <v>#VALUE!</v>
      </c>
      <c r="H542" s="13" t="e">
        <f t="shared" si="35"/>
        <v>#VALUE!</v>
      </c>
    </row>
    <row r="543" spans="2:8">
      <c r="B543" s="11" t="str">
        <f t="shared" si="33"/>
        <v/>
      </c>
      <c r="C543" s="11" t="str">
        <f t="shared" si="32"/>
        <v/>
      </c>
      <c r="F543" s="10" t="str">
        <v/>
      </c>
      <c r="G543" t="e">
        <f t="shared" si="34"/>
        <v>#VALUE!</v>
      </c>
      <c r="H543" s="13" t="e">
        <f t="shared" si="35"/>
        <v>#VALUE!</v>
      </c>
    </row>
    <row r="544" spans="2:8">
      <c r="B544" s="11" t="str">
        <f t="shared" si="33"/>
        <v/>
      </c>
      <c r="C544" s="11" t="str">
        <f t="shared" si="32"/>
        <v/>
      </c>
      <c r="F544" s="10" t="str">
        <v/>
      </c>
      <c r="G544" t="e">
        <f t="shared" si="34"/>
        <v>#VALUE!</v>
      </c>
      <c r="H544" s="13" t="e">
        <f t="shared" si="35"/>
        <v>#VALUE!</v>
      </c>
    </row>
    <row r="545" spans="2:8">
      <c r="B545" s="11" t="str">
        <f t="shared" si="33"/>
        <v/>
      </c>
      <c r="C545" s="11" t="str">
        <f t="shared" si="32"/>
        <v/>
      </c>
      <c r="F545" s="10" t="str">
        <v/>
      </c>
      <c r="G545" t="e">
        <f t="shared" si="34"/>
        <v>#VALUE!</v>
      </c>
      <c r="H545" s="13" t="e">
        <f t="shared" si="35"/>
        <v>#VALUE!</v>
      </c>
    </row>
    <row r="546" spans="2:8">
      <c r="B546" s="11" t="str">
        <f t="shared" si="33"/>
        <v/>
      </c>
      <c r="C546" s="11" t="str">
        <f t="shared" si="32"/>
        <v/>
      </c>
      <c r="F546" s="10" t="str">
        <v/>
      </c>
      <c r="G546" t="e">
        <f t="shared" si="34"/>
        <v>#VALUE!</v>
      </c>
      <c r="H546" s="13" t="e">
        <f t="shared" si="35"/>
        <v>#VALUE!</v>
      </c>
    </row>
    <row r="547" spans="2:8">
      <c r="B547" s="11" t="str">
        <f t="shared" si="33"/>
        <v/>
      </c>
      <c r="C547" s="11" t="str">
        <f t="shared" si="32"/>
        <v/>
      </c>
      <c r="F547" s="10" t="str">
        <v/>
      </c>
      <c r="G547" t="e">
        <f t="shared" si="34"/>
        <v>#VALUE!</v>
      </c>
      <c r="H547" s="13" t="e">
        <f t="shared" si="35"/>
        <v>#VALUE!</v>
      </c>
    </row>
    <row r="548" spans="2:8">
      <c r="B548" s="11" t="str">
        <f t="shared" si="33"/>
        <v/>
      </c>
      <c r="C548" s="11" t="str">
        <f t="shared" si="32"/>
        <v/>
      </c>
      <c r="F548" s="10" t="str">
        <v/>
      </c>
      <c r="G548" t="e">
        <f t="shared" si="34"/>
        <v>#VALUE!</v>
      </c>
      <c r="H548" s="13" t="e">
        <f t="shared" si="35"/>
        <v>#VALUE!</v>
      </c>
    </row>
    <row r="549" spans="2:8">
      <c r="B549" s="11" t="str">
        <f t="shared" si="33"/>
        <v/>
      </c>
      <c r="C549" s="11" t="str">
        <f t="shared" si="32"/>
        <v/>
      </c>
      <c r="F549" s="10" t="str">
        <v/>
      </c>
      <c r="G549" t="e">
        <f t="shared" si="34"/>
        <v>#VALUE!</v>
      </c>
      <c r="H549" s="13" t="e">
        <f t="shared" si="35"/>
        <v>#VALUE!</v>
      </c>
    </row>
    <row r="550" spans="2:8">
      <c r="B550" s="11" t="str">
        <f t="shared" si="33"/>
        <v/>
      </c>
      <c r="C550" s="11" t="str">
        <f t="shared" si="32"/>
        <v/>
      </c>
      <c r="F550" s="10" t="str">
        <v/>
      </c>
      <c r="G550" t="e">
        <f t="shared" si="34"/>
        <v>#VALUE!</v>
      </c>
      <c r="H550" s="13" t="e">
        <f t="shared" si="35"/>
        <v>#VALUE!</v>
      </c>
    </row>
    <row r="551" spans="2:8">
      <c r="B551" s="11" t="str">
        <f t="shared" si="33"/>
        <v/>
      </c>
      <c r="C551" s="11" t="str">
        <f t="shared" si="32"/>
        <v/>
      </c>
      <c r="F551" s="10" t="str">
        <v/>
      </c>
      <c r="G551" t="e">
        <f t="shared" si="34"/>
        <v>#VALUE!</v>
      </c>
      <c r="H551" s="13" t="e">
        <f t="shared" si="35"/>
        <v>#VALUE!</v>
      </c>
    </row>
    <row r="552" spans="2:8">
      <c r="B552" s="11" t="str">
        <f t="shared" si="33"/>
        <v/>
      </c>
      <c r="C552" s="11" t="str">
        <f t="shared" si="32"/>
        <v/>
      </c>
      <c r="F552" s="10" t="str">
        <v/>
      </c>
      <c r="G552" t="e">
        <f t="shared" si="34"/>
        <v>#VALUE!</v>
      </c>
      <c r="H552" s="13" t="e">
        <f t="shared" si="35"/>
        <v>#VALUE!</v>
      </c>
    </row>
    <row r="553" spans="2:8">
      <c r="B553" s="11" t="str">
        <f t="shared" si="33"/>
        <v/>
      </c>
      <c r="C553" s="11" t="str">
        <f t="shared" ref="C553:C616" si="36">IF(B553="артикул",A553,"")</f>
        <v/>
      </c>
      <c r="F553" s="10" t="str">
        <v/>
      </c>
      <c r="G553" t="e">
        <f t="shared" si="34"/>
        <v>#VALUE!</v>
      </c>
      <c r="H553" s="13" t="e">
        <f t="shared" si="35"/>
        <v>#VALUE!</v>
      </c>
    </row>
    <row r="554" spans="2:8">
      <c r="B554" s="11" t="str">
        <f t="shared" si="33"/>
        <v/>
      </c>
      <c r="C554" s="11" t="str">
        <f t="shared" si="36"/>
        <v/>
      </c>
      <c r="F554" s="10" t="str">
        <v/>
      </c>
      <c r="G554" t="e">
        <f t="shared" si="34"/>
        <v>#VALUE!</v>
      </c>
      <c r="H554" s="13" t="e">
        <f t="shared" si="35"/>
        <v>#VALUE!</v>
      </c>
    </row>
    <row r="555" spans="2:8">
      <c r="B555" s="11" t="str">
        <f t="shared" si="33"/>
        <v/>
      </c>
      <c r="C555" s="11" t="str">
        <f t="shared" si="36"/>
        <v/>
      </c>
      <c r="F555" s="10" t="str">
        <v/>
      </c>
      <c r="G555" t="e">
        <f t="shared" si="34"/>
        <v>#VALUE!</v>
      </c>
      <c r="H555" s="13" t="e">
        <f t="shared" si="35"/>
        <v>#VALUE!</v>
      </c>
    </row>
    <row r="556" spans="2:8">
      <c r="B556" s="11" t="str">
        <f t="shared" si="33"/>
        <v/>
      </c>
      <c r="C556" s="11" t="str">
        <f t="shared" si="36"/>
        <v/>
      </c>
      <c r="F556" s="10" t="str">
        <v/>
      </c>
      <c r="G556" t="e">
        <f t="shared" si="34"/>
        <v>#VALUE!</v>
      </c>
      <c r="H556" s="13" t="e">
        <f t="shared" si="35"/>
        <v>#VALUE!</v>
      </c>
    </row>
    <row r="557" spans="2:8">
      <c r="B557" s="11" t="str">
        <f t="shared" si="33"/>
        <v/>
      </c>
      <c r="C557" s="11" t="str">
        <f t="shared" si="36"/>
        <v/>
      </c>
      <c r="F557" s="10" t="str">
        <v/>
      </c>
      <c r="G557" t="e">
        <f t="shared" si="34"/>
        <v>#VALUE!</v>
      </c>
      <c r="H557" s="13" t="e">
        <f t="shared" si="35"/>
        <v>#VALUE!</v>
      </c>
    </row>
    <row r="558" spans="2:8">
      <c r="B558" s="11" t="str">
        <f t="shared" si="33"/>
        <v/>
      </c>
      <c r="C558" s="11" t="str">
        <f t="shared" si="36"/>
        <v/>
      </c>
      <c r="F558" s="10" t="str">
        <v/>
      </c>
      <c r="G558" t="e">
        <f t="shared" si="34"/>
        <v>#VALUE!</v>
      </c>
      <c r="H558" s="13" t="e">
        <f t="shared" si="35"/>
        <v>#VALUE!</v>
      </c>
    </row>
    <row r="559" spans="2:8">
      <c r="B559" s="11" t="str">
        <f t="shared" si="33"/>
        <v/>
      </c>
      <c r="C559" s="11" t="str">
        <f t="shared" si="36"/>
        <v/>
      </c>
      <c r="F559" s="10" t="str">
        <v/>
      </c>
      <c r="G559" t="e">
        <f t="shared" si="34"/>
        <v>#VALUE!</v>
      </c>
      <c r="H559" s="13" t="e">
        <f t="shared" si="35"/>
        <v>#VALUE!</v>
      </c>
    </row>
    <row r="560" spans="2:8">
      <c r="B560" s="11" t="str">
        <f t="shared" si="33"/>
        <v/>
      </c>
      <c r="C560" s="11" t="str">
        <f t="shared" si="36"/>
        <v/>
      </c>
      <c r="F560" s="10" t="str">
        <v/>
      </c>
      <c r="G560" t="e">
        <f t="shared" si="34"/>
        <v>#VALUE!</v>
      </c>
      <c r="H560" s="13" t="e">
        <f t="shared" si="35"/>
        <v>#VALUE!</v>
      </c>
    </row>
    <row r="561" spans="2:8">
      <c r="B561" s="11" t="str">
        <f t="shared" si="33"/>
        <v/>
      </c>
      <c r="C561" s="11" t="str">
        <f t="shared" si="36"/>
        <v/>
      </c>
      <c r="F561" s="10" t="str">
        <v/>
      </c>
      <c r="G561" t="e">
        <f t="shared" si="34"/>
        <v>#VALUE!</v>
      </c>
      <c r="H561" s="13" t="e">
        <f t="shared" si="35"/>
        <v>#VALUE!</v>
      </c>
    </row>
    <row r="562" spans="2:8">
      <c r="B562" s="11" t="str">
        <f t="shared" si="33"/>
        <v/>
      </c>
      <c r="C562" s="11" t="str">
        <f t="shared" si="36"/>
        <v/>
      </c>
      <c r="F562" s="10" t="str">
        <v/>
      </c>
      <c r="G562" t="e">
        <f t="shared" si="34"/>
        <v>#VALUE!</v>
      </c>
      <c r="H562" s="13" t="e">
        <f t="shared" si="35"/>
        <v>#VALUE!</v>
      </c>
    </row>
    <row r="563" spans="2:8">
      <c r="B563" s="11" t="str">
        <f t="shared" si="33"/>
        <v/>
      </c>
      <c r="C563" s="11" t="str">
        <f t="shared" si="36"/>
        <v/>
      </c>
      <c r="F563" s="10" t="str">
        <v/>
      </c>
      <c r="G563" t="e">
        <f t="shared" si="34"/>
        <v>#VALUE!</v>
      </c>
      <c r="H563" s="13" t="e">
        <f t="shared" si="35"/>
        <v>#VALUE!</v>
      </c>
    </row>
    <row r="564" spans="2:8">
      <c r="B564" s="11" t="str">
        <f t="shared" si="33"/>
        <v/>
      </c>
      <c r="C564" s="11" t="str">
        <f t="shared" si="36"/>
        <v/>
      </c>
      <c r="F564" s="10" t="str">
        <v/>
      </c>
      <c r="G564" t="e">
        <f t="shared" si="34"/>
        <v>#VALUE!</v>
      </c>
      <c r="H564" s="13" t="e">
        <f t="shared" si="35"/>
        <v>#VALUE!</v>
      </c>
    </row>
    <row r="565" spans="2:8">
      <c r="B565" s="11" t="str">
        <f t="shared" si="33"/>
        <v/>
      </c>
      <c r="C565" s="11" t="str">
        <f t="shared" si="36"/>
        <v/>
      </c>
      <c r="F565" s="10" t="str">
        <v/>
      </c>
      <c r="G565" t="e">
        <f t="shared" si="34"/>
        <v>#VALUE!</v>
      </c>
      <c r="H565" s="13" t="e">
        <f t="shared" si="35"/>
        <v>#VALUE!</v>
      </c>
    </row>
    <row r="566" spans="2:8">
      <c r="B566" s="11" t="str">
        <f t="shared" si="33"/>
        <v/>
      </c>
      <c r="C566" s="11" t="str">
        <f t="shared" si="36"/>
        <v/>
      </c>
      <c r="F566" s="10" t="str">
        <v/>
      </c>
      <c r="G566" t="e">
        <f t="shared" si="34"/>
        <v>#VALUE!</v>
      </c>
      <c r="H566" s="13" t="e">
        <f t="shared" si="35"/>
        <v>#VALUE!</v>
      </c>
    </row>
    <row r="567" spans="2:8">
      <c r="B567" s="11" t="str">
        <f t="shared" si="33"/>
        <v/>
      </c>
      <c r="C567" s="11" t="str">
        <f t="shared" si="36"/>
        <v/>
      </c>
      <c r="F567" s="10" t="str">
        <v/>
      </c>
      <c r="G567" t="e">
        <f t="shared" si="34"/>
        <v>#VALUE!</v>
      </c>
      <c r="H567" s="13" t="e">
        <f t="shared" si="35"/>
        <v>#VALUE!</v>
      </c>
    </row>
    <row r="568" spans="2:8">
      <c r="B568" s="11" t="str">
        <f t="shared" si="33"/>
        <v/>
      </c>
      <c r="C568" s="11" t="str">
        <f t="shared" si="36"/>
        <v/>
      </c>
      <c r="F568" s="10" t="str">
        <v/>
      </c>
      <c r="G568" t="e">
        <f t="shared" si="34"/>
        <v>#VALUE!</v>
      </c>
      <c r="H568" s="13" t="e">
        <f t="shared" si="35"/>
        <v>#VALUE!</v>
      </c>
    </row>
    <row r="569" spans="2:8">
      <c r="B569" s="11" t="str">
        <f t="shared" si="33"/>
        <v/>
      </c>
      <c r="C569" s="11" t="str">
        <f t="shared" si="36"/>
        <v/>
      </c>
      <c r="F569" s="10" t="str">
        <v/>
      </c>
      <c r="G569" t="e">
        <f t="shared" si="34"/>
        <v>#VALUE!</v>
      </c>
      <c r="H569" s="13" t="e">
        <f t="shared" si="35"/>
        <v>#VALUE!</v>
      </c>
    </row>
    <row r="570" spans="2:8">
      <c r="B570" s="11" t="str">
        <f t="shared" si="33"/>
        <v/>
      </c>
      <c r="C570" s="11" t="str">
        <f t="shared" si="36"/>
        <v/>
      </c>
      <c r="F570" s="10" t="str">
        <v/>
      </c>
      <c r="G570" t="e">
        <f t="shared" si="34"/>
        <v>#VALUE!</v>
      </c>
      <c r="H570" s="13" t="e">
        <f t="shared" si="35"/>
        <v>#VALUE!</v>
      </c>
    </row>
    <row r="571" spans="2:8">
      <c r="B571" s="11" t="str">
        <f t="shared" si="33"/>
        <v/>
      </c>
      <c r="C571" s="11" t="str">
        <f t="shared" si="36"/>
        <v/>
      </c>
      <c r="F571" s="10" t="str">
        <v/>
      </c>
      <c r="G571" t="e">
        <f t="shared" si="34"/>
        <v>#VALUE!</v>
      </c>
      <c r="H571" s="13" t="e">
        <f t="shared" si="35"/>
        <v>#VALUE!</v>
      </c>
    </row>
    <row r="572" spans="2:8">
      <c r="B572" s="11" t="str">
        <f t="shared" si="33"/>
        <v/>
      </c>
      <c r="C572" s="11" t="str">
        <f t="shared" si="36"/>
        <v/>
      </c>
      <c r="F572" s="10" t="str">
        <v/>
      </c>
      <c r="G572" t="e">
        <f t="shared" si="34"/>
        <v>#VALUE!</v>
      </c>
      <c r="H572" s="13" t="e">
        <f t="shared" si="35"/>
        <v>#VALUE!</v>
      </c>
    </row>
    <row r="573" spans="2:8">
      <c r="B573" s="11" t="str">
        <f t="shared" si="33"/>
        <v/>
      </c>
      <c r="C573" s="11" t="str">
        <f t="shared" si="36"/>
        <v/>
      </c>
      <c r="F573" s="10" t="str">
        <v/>
      </c>
      <c r="G573" t="e">
        <f t="shared" si="34"/>
        <v>#VALUE!</v>
      </c>
      <c r="H573" s="13" t="e">
        <f t="shared" si="35"/>
        <v>#VALUE!</v>
      </c>
    </row>
    <row r="574" spans="2:8">
      <c r="B574" s="11" t="str">
        <f t="shared" si="33"/>
        <v/>
      </c>
      <c r="C574" s="11" t="str">
        <f t="shared" si="36"/>
        <v/>
      </c>
      <c r="F574" s="10" t="str">
        <v/>
      </c>
      <c r="G574" t="e">
        <f t="shared" si="34"/>
        <v>#VALUE!</v>
      </c>
      <c r="H574" s="13" t="e">
        <f t="shared" si="35"/>
        <v>#VALUE!</v>
      </c>
    </row>
    <row r="575" spans="2:8">
      <c r="B575" s="11" t="str">
        <f t="shared" si="33"/>
        <v/>
      </c>
      <c r="C575" s="11" t="str">
        <f t="shared" si="36"/>
        <v/>
      </c>
      <c r="F575" s="10" t="str">
        <v/>
      </c>
      <c r="G575" t="e">
        <f t="shared" si="34"/>
        <v>#VALUE!</v>
      </c>
      <c r="H575" s="13" t="e">
        <f t="shared" si="35"/>
        <v>#VALUE!</v>
      </c>
    </row>
    <row r="576" spans="2:8">
      <c r="B576" s="11" t="str">
        <f t="shared" si="33"/>
        <v/>
      </c>
      <c r="C576" s="11" t="str">
        <f t="shared" si="36"/>
        <v/>
      </c>
      <c r="F576" s="10" t="str">
        <v/>
      </c>
      <c r="G576" t="e">
        <f t="shared" si="34"/>
        <v>#VALUE!</v>
      </c>
      <c r="H576" s="13" t="e">
        <f t="shared" si="35"/>
        <v>#VALUE!</v>
      </c>
    </row>
    <row r="577" spans="2:8">
      <c r="B577" s="11" t="str">
        <f t="shared" ref="B577:B640" si="37">IFERROR(IF(FIND(" ",A577)=6,IF(IFERROR(FIND(" PB",A577),"")&lt;&gt;"","артикул",IF(IFERROR(FIND(" CRN",A577),"")&lt;&gt;"","артикул","")),""),"")</f>
        <v/>
      </c>
      <c r="C577" s="11" t="str">
        <f t="shared" si="36"/>
        <v/>
      </c>
      <c r="F577" s="10" t="str">
        <v/>
      </c>
      <c r="G577" t="e">
        <f t="shared" si="34"/>
        <v>#VALUE!</v>
      </c>
      <c r="H577" s="13" t="e">
        <f t="shared" si="35"/>
        <v>#VALUE!</v>
      </c>
    </row>
    <row r="578" spans="2:8">
      <c r="B578" s="11" t="str">
        <f t="shared" si="37"/>
        <v/>
      </c>
      <c r="C578" s="11" t="str">
        <f t="shared" si="36"/>
        <v/>
      </c>
      <c r="F578" s="10" t="str">
        <v/>
      </c>
      <c r="G578" t="e">
        <f t="shared" ref="G578:G641" si="38">CONCATENATE(LEFT(F578,5),
MID(F578,
SEARCH("\",SUBSTITUTE(F578," ","\",LEN(F578)-LEN(SUBSTITUTE(F578," ",""))-4)),
SEARCH("\",SUBSTITUTE(F578," ","\",LEN(F578)-LEN(SUBSTITUTE(F578," ",""))-3))-
SEARCH("\",SUBSTITUTE(F578," ","\",LEN(F578)-LEN(SUBSTITUTE(F578," ",""))-4)))*1)</f>
        <v>#VALUE!</v>
      </c>
      <c r="H578" s="13" t="e">
        <f t="shared" ref="H578:H641" si="39">SUBSTITUTE(
RIGHT(F578,LEN(F578)-
FIND("\",SUBSTITUTE(F578," ","\",LEN(F578)-LEN(SUBSTITUTE(F578," ",""))))),
".","")</f>
        <v>#VALUE!</v>
      </c>
    </row>
    <row r="579" spans="2:8">
      <c r="B579" s="11" t="str">
        <f t="shared" si="37"/>
        <v/>
      </c>
      <c r="C579" s="11" t="str">
        <f t="shared" si="36"/>
        <v/>
      </c>
      <c r="F579" s="10" t="str">
        <v/>
      </c>
      <c r="G579" t="e">
        <f t="shared" si="38"/>
        <v>#VALUE!</v>
      </c>
      <c r="H579" s="13" t="e">
        <f t="shared" si="39"/>
        <v>#VALUE!</v>
      </c>
    </row>
    <row r="580" spans="2:8">
      <c r="B580" s="11" t="str">
        <f t="shared" si="37"/>
        <v/>
      </c>
      <c r="C580" s="11" t="str">
        <f t="shared" si="36"/>
        <v/>
      </c>
      <c r="F580" s="10" t="str">
        <v/>
      </c>
      <c r="G580" t="e">
        <f t="shared" si="38"/>
        <v>#VALUE!</v>
      </c>
      <c r="H580" s="13" t="e">
        <f t="shared" si="39"/>
        <v>#VALUE!</v>
      </c>
    </row>
    <row r="581" spans="2:8">
      <c r="B581" s="11" t="str">
        <f t="shared" si="37"/>
        <v/>
      </c>
      <c r="C581" s="11" t="str">
        <f t="shared" si="36"/>
        <v/>
      </c>
      <c r="F581" s="10" t="str">
        <v/>
      </c>
      <c r="G581" t="e">
        <f t="shared" si="38"/>
        <v>#VALUE!</v>
      </c>
      <c r="H581" s="13" t="e">
        <f t="shared" si="39"/>
        <v>#VALUE!</v>
      </c>
    </row>
    <row r="582" spans="2:8">
      <c r="B582" s="11" t="str">
        <f t="shared" si="37"/>
        <v/>
      </c>
      <c r="C582" s="11" t="str">
        <f t="shared" si="36"/>
        <v/>
      </c>
      <c r="F582" s="10" t="str">
        <v/>
      </c>
      <c r="G582" t="e">
        <f t="shared" si="38"/>
        <v>#VALUE!</v>
      </c>
      <c r="H582" s="13" t="e">
        <f t="shared" si="39"/>
        <v>#VALUE!</v>
      </c>
    </row>
    <row r="583" spans="2:8">
      <c r="B583" s="11" t="str">
        <f t="shared" si="37"/>
        <v/>
      </c>
      <c r="C583" s="11" t="str">
        <f t="shared" si="36"/>
        <v/>
      </c>
      <c r="F583" s="10" t="str">
        <v/>
      </c>
      <c r="G583" t="e">
        <f t="shared" si="38"/>
        <v>#VALUE!</v>
      </c>
      <c r="H583" s="13" t="e">
        <f t="shared" si="39"/>
        <v>#VALUE!</v>
      </c>
    </row>
    <row r="584" spans="2:8">
      <c r="B584" s="11" t="str">
        <f t="shared" si="37"/>
        <v/>
      </c>
      <c r="C584" s="11" t="str">
        <f t="shared" si="36"/>
        <v/>
      </c>
      <c r="F584" s="10" t="str">
        <v/>
      </c>
      <c r="G584" t="e">
        <f t="shared" si="38"/>
        <v>#VALUE!</v>
      </c>
      <c r="H584" s="13" t="e">
        <f t="shared" si="39"/>
        <v>#VALUE!</v>
      </c>
    </row>
    <row r="585" spans="2:8">
      <c r="B585" s="11" t="str">
        <f t="shared" si="37"/>
        <v/>
      </c>
      <c r="C585" s="11" t="str">
        <f t="shared" si="36"/>
        <v/>
      </c>
      <c r="F585" s="10" t="str">
        <v/>
      </c>
      <c r="G585" t="e">
        <f t="shared" si="38"/>
        <v>#VALUE!</v>
      </c>
      <c r="H585" s="13" t="e">
        <f t="shared" si="39"/>
        <v>#VALUE!</v>
      </c>
    </row>
    <row r="586" spans="2:8">
      <c r="B586" s="11" t="str">
        <f t="shared" si="37"/>
        <v/>
      </c>
      <c r="C586" s="11" t="str">
        <f t="shared" si="36"/>
        <v/>
      </c>
      <c r="F586" s="10" t="str">
        <v/>
      </c>
      <c r="G586" t="e">
        <f t="shared" si="38"/>
        <v>#VALUE!</v>
      </c>
      <c r="H586" s="13" t="e">
        <f t="shared" si="39"/>
        <v>#VALUE!</v>
      </c>
    </row>
    <row r="587" spans="2:8">
      <c r="B587" s="11" t="str">
        <f t="shared" si="37"/>
        <v/>
      </c>
      <c r="C587" s="11" t="str">
        <f t="shared" si="36"/>
        <v/>
      </c>
      <c r="F587" s="10" t="str">
        <v/>
      </c>
      <c r="G587" t="e">
        <f t="shared" si="38"/>
        <v>#VALUE!</v>
      </c>
      <c r="H587" s="13" t="e">
        <f t="shared" si="39"/>
        <v>#VALUE!</v>
      </c>
    </row>
    <row r="588" spans="2:8">
      <c r="B588" s="11" t="str">
        <f t="shared" si="37"/>
        <v/>
      </c>
      <c r="C588" s="11" t="str">
        <f t="shared" si="36"/>
        <v/>
      </c>
      <c r="F588" s="10" t="str">
        <v/>
      </c>
      <c r="G588" t="e">
        <f t="shared" si="38"/>
        <v>#VALUE!</v>
      </c>
      <c r="H588" s="13" t="e">
        <f t="shared" si="39"/>
        <v>#VALUE!</v>
      </c>
    </row>
    <row r="589" spans="2:8">
      <c r="B589" s="11" t="str">
        <f t="shared" si="37"/>
        <v/>
      </c>
      <c r="C589" s="11" t="str">
        <f t="shared" si="36"/>
        <v/>
      </c>
      <c r="F589" s="10" t="str">
        <v/>
      </c>
      <c r="G589" t="e">
        <f t="shared" si="38"/>
        <v>#VALUE!</v>
      </c>
      <c r="H589" s="13" t="e">
        <f t="shared" si="39"/>
        <v>#VALUE!</v>
      </c>
    </row>
    <row r="590" spans="2:8">
      <c r="B590" s="11" t="str">
        <f t="shared" si="37"/>
        <v/>
      </c>
      <c r="C590" s="11" t="str">
        <f t="shared" si="36"/>
        <v/>
      </c>
      <c r="F590" s="10" t="str">
        <v/>
      </c>
      <c r="G590" t="e">
        <f t="shared" si="38"/>
        <v>#VALUE!</v>
      </c>
      <c r="H590" s="13" t="e">
        <f t="shared" si="39"/>
        <v>#VALUE!</v>
      </c>
    </row>
    <row r="591" spans="2:8">
      <c r="B591" s="11" t="str">
        <f t="shared" si="37"/>
        <v/>
      </c>
      <c r="C591" s="11" t="str">
        <f t="shared" si="36"/>
        <v/>
      </c>
      <c r="F591" s="10" t="str">
        <v/>
      </c>
      <c r="G591" t="e">
        <f t="shared" si="38"/>
        <v>#VALUE!</v>
      </c>
      <c r="H591" s="13" t="e">
        <f t="shared" si="39"/>
        <v>#VALUE!</v>
      </c>
    </row>
    <row r="592" spans="2:8">
      <c r="B592" s="11" t="str">
        <f t="shared" si="37"/>
        <v/>
      </c>
      <c r="C592" s="11" t="str">
        <f t="shared" si="36"/>
        <v/>
      </c>
      <c r="F592" s="10" t="str">
        <v/>
      </c>
      <c r="G592" t="e">
        <f t="shared" si="38"/>
        <v>#VALUE!</v>
      </c>
      <c r="H592" s="13" t="e">
        <f t="shared" si="39"/>
        <v>#VALUE!</v>
      </c>
    </row>
    <row r="593" spans="2:8">
      <c r="B593" s="11" t="str">
        <f t="shared" si="37"/>
        <v/>
      </c>
      <c r="C593" s="11" t="str">
        <f t="shared" si="36"/>
        <v/>
      </c>
      <c r="F593" s="10" t="str">
        <v/>
      </c>
      <c r="G593" t="e">
        <f t="shared" si="38"/>
        <v>#VALUE!</v>
      </c>
      <c r="H593" s="13" t="e">
        <f t="shared" si="39"/>
        <v>#VALUE!</v>
      </c>
    </row>
    <row r="594" spans="2:8">
      <c r="B594" s="11" t="str">
        <f t="shared" si="37"/>
        <v/>
      </c>
      <c r="C594" s="11" t="str">
        <f t="shared" si="36"/>
        <v/>
      </c>
      <c r="F594" s="10" t="str">
        <v/>
      </c>
      <c r="G594" t="e">
        <f t="shared" si="38"/>
        <v>#VALUE!</v>
      </c>
      <c r="H594" s="13" t="e">
        <f t="shared" si="39"/>
        <v>#VALUE!</v>
      </c>
    </row>
    <row r="595" spans="2:8">
      <c r="B595" s="11" t="str">
        <f t="shared" si="37"/>
        <v/>
      </c>
      <c r="C595" s="11" t="str">
        <f t="shared" si="36"/>
        <v/>
      </c>
      <c r="F595" s="10" t="str">
        <v/>
      </c>
      <c r="G595" t="e">
        <f t="shared" si="38"/>
        <v>#VALUE!</v>
      </c>
      <c r="H595" s="13" t="e">
        <f t="shared" si="39"/>
        <v>#VALUE!</v>
      </c>
    </row>
    <row r="596" spans="2:8">
      <c r="B596" s="11" t="str">
        <f t="shared" si="37"/>
        <v/>
      </c>
      <c r="C596" s="11" t="str">
        <f t="shared" si="36"/>
        <v/>
      </c>
      <c r="F596" s="10" t="str">
        <v/>
      </c>
      <c r="G596" t="e">
        <f t="shared" si="38"/>
        <v>#VALUE!</v>
      </c>
      <c r="H596" s="13" t="e">
        <f t="shared" si="39"/>
        <v>#VALUE!</v>
      </c>
    </row>
    <row r="597" spans="2:8">
      <c r="B597" s="11" t="str">
        <f t="shared" si="37"/>
        <v/>
      </c>
      <c r="C597" s="11" t="str">
        <f t="shared" si="36"/>
        <v/>
      </c>
      <c r="F597" s="10" t="str">
        <v/>
      </c>
      <c r="G597" t="e">
        <f t="shared" si="38"/>
        <v>#VALUE!</v>
      </c>
      <c r="H597" s="13" t="e">
        <f t="shared" si="39"/>
        <v>#VALUE!</v>
      </c>
    </row>
    <row r="598" spans="2:8">
      <c r="B598" s="11" t="str">
        <f t="shared" si="37"/>
        <v/>
      </c>
      <c r="C598" s="11" t="str">
        <f t="shared" si="36"/>
        <v/>
      </c>
      <c r="F598" s="10" t="str">
        <v/>
      </c>
      <c r="G598" t="e">
        <f t="shared" si="38"/>
        <v>#VALUE!</v>
      </c>
      <c r="H598" s="13" t="e">
        <f t="shared" si="39"/>
        <v>#VALUE!</v>
      </c>
    </row>
    <row r="599" spans="2:8">
      <c r="B599" s="11" t="str">
        <f t="shared" si="37"/>
        <v/>
      </c>
      <c r="C599" s="11" t="str">
        <f t="shared" si="36"/>
        <v/>
      </c>
      <c r="F599" s="10" t="str">
        <v/>
      </c>
      <c r="G599" t="e">
        <f t="shared" si="38"/>
        <v>#VALUE!</v>
      </c>
      <c r="H599" s="13" t="e">
        <f t="shared" si="39"/>
        <v>#VALUE!</v>
      </c>
    </row>
    <row r="600" spans="2:8">
      <c r="B600" s="11" t="str">
        <f t="shared" si="37"/>
        <v/>
      </c>
      <c r="C600" s="11" t="str">
        <f t="shared" si="36"/>
        <v/>
      </c>
      <c r="F600" s="10" t="str">
        <v/>
      </c>
      <c r="G600" t="e">
        <f t="shared" si="38"/>
        <v>#VALUE!</v>
      </c>
      <c r="H600" s="13" t="e">
        <f t="shared" si="39"/>
        <v>#VALUE!</v>
      </c>
    </row>
    <row r="601" spans="2:8">
      <c r="B601" s="11" t="str">
        <f t="shared" si="37"/>
        <v/>
      </c>
      <c r="C601" s="11" t="str">
        <f t="shared" si="36"/>
        <v/>
      </c>
      <c r="F601" s="10" t="str">
        <v/>
      </c>
      <c r="G601" t="e">
        <f t="shared" si="38"/>
        <v>#VALUE!</v>
      </c>
      <c r="H601" s="13" t="e">
        <f t="shared" si="39"/>
        <v>#VALUE!</v>
      </c>
    </row>
    <row r="602" spans="2:8">
      <c r="B602" s="11" t="str">
        <f t="shared" si="37"/>
        <v/>
      </c>
      <c r="C602" s="11" t="str">
        <f t="shared" si="36"/>
        <v/>
      </c>
      <c r="F602" s="10" t="str">
        <v/>
      </c>
      <c r="G602" t="e">
        <f t="shared" si="38"/>
        <v>#VALUE!</v>
      </c>
      <c r="H602" s="13" t="e">
        <f t="shared" si="39"/>
        <v>#VALUE!</v>
      </c>
    </row>
    <row r="603" spans="2:8">
      <c r="B603" s="11" t="str">
        <f t="shared" si="37"/>
        <v/>
      </c>
      <c r="C603" s="11" t="str">
        <f t="shared" si="36"/>
        <v/>
      </c>
      <c r="F603" s="10" t="str">
        <v/>
      </c>
      <c r="G603" t="e">
        <f t="shared" si="38"/>
        <v>#VALUE!</v>
      </c>
      <c r="H603" s="13" t="e">
        <f t="shared" si="39"/>
        <v>#VALUE!</v>
      </c>
    </row>
    <row r="604" spans="2:8">
      <c r="B604" s="11" t="str">
        <f t="shared" si="37"/>
        <v/>
      </c>
      <c r="C604" s="11" t="str">
        <f t="shared" si="36"/>
        <v/>
      </c>
      <c r="F604" s="10" t="str">
        <v/>
      </c>
      <c r="G604" t="e">
        <f t="shared" si="38"/>
        <v>#VALUE!</v>
      </c>
      <c r="H604" s="13" t="e">
        <f t="shared" si="39"/>
        <v>#VALUE!</v>
      </c>
    </row>
    <row r="605" spans="2:8">
      <c r="B605" s="11" t="str">
        <f t="shared" si="37"/>
        <v/>
      </c>
      <c r="C605" s="11" t="str">
        <f t="shared" si="36"/>
        <v/>
      </c>
      <c r="F605" s="10" t="str">
        <v/>
      </c>
      <c r="G605" t="e">
        <f t="shared" si="38"/>
        <v>#VALUE!</v>
      </c>
      <c r="H605" s="13" t="e">
        <f t="shared" si="39"/>
        <v>#VALUE!</v>
      </c>
    </row>
    <row r="606" spans="2:8">
      <c r="B606" s="11" t="str">
        <f t="shared" si="37"/>
        <v/>
      </c>
      <c r="C606" s="11" t="str">
        <f t="shared" si="36"/>
        <v/>
      </c>
      <c r="F606" s="10" t="str">
        <v/>
      </c>
      <c r="G606" t="e">
        <f t="shared" si="38"/>
        <v>#VALUE!</v>
      </c>
      <c r="H606" s="13" t="e">
        <f t="shared" si="39"/>
        <v>#VALUE!</v>
      </c>
    </row>
    <row r="607" spans="2:8">
      <c r="B607" s="11" t="str">
        <f t="shared" si="37"/>
        <v/>
      </c>
      <c r="C607" s="11" t="str">
        <f t="shared" si="36"/>
        <v/>
      </c>
      <c r="F607" s="10" t="str">
        <v/>
      </c>
      <c r="G607" t="e">
        <f t="shared" si="38"/>
        <v>#VALUE!</v>
      </c>
      <c r="H607" s="13" t="e">
        <f t="shared" si="39"/>
        <v>#VALUE!</v>
      </c>
    </row>
    <row r="608" spans="2:8">
      <c r="B608" s="11" t="str">
        <f t="shared" si="37"/>
        <v/>
      </c>
      <c r="C608" s="11" t="str">
        <f t="shared" si="36"/>
        <v/>
      </c>
      <c r="F608" s="10" t="str">
        <v/>
      </c>
      <c r="G608" t="e">
        <f t="shared" si="38"/>
        <v>#VALUE!</v>
      </c>
      <c r="H608" s="13" t="e">
        <f t="shared" si="39"/>
        <v>#VALUE!</v>
      </c>
    </row>
    <row r="609" spans="2:8">
      <c r="B609" s="11" t="str">
        <f t="shared" si="37"/>
        <v/>
      </c>
      <c r="C609" s="11" t="str">
        <f t="shared" si="36"/>
        <v/>
      </c>
      <c r="F609" s="10" t="str">
        <v/>
      </c>
      <c r="G609" t="e">
        <f t="shared" si="38"/>
        <v>#VALUE!</v>
      </c>
      <c r="H609" s="13" t="e">
        <f t="shared" si="39"/>
        <v>#VALUE!</v>
      </c>
    </row>
    <row r="610" spans="2:8">
      <c r="B610" s="11" t="str">
        <f t="shared" si="37"/>
        <v/>
      </c>
      <c r="C610" s="11" t="str">
        <f t="shared" si="36"/>
        <v/>
      </c>
      <c r="F610" s="10" t="str">
        <v/>
      </c>
      <c r="G610" t="e">
        <f t="shared" si="38"/>
        <v>#VALUE!</v>
      </c>
      <c r="H610" s="13" t="e">
        <f t="shared" si="39"/>
        <v>#VALUE!</v>
      </c>
    </row>
    <row r="611" spans="2:8">
      <c r="B611" s="11" t="str">
        <f t="shared" si="37"/>
        <v/>
      </c>
      <c r="C611" s="11" t="str">
        <f t="shared" si="36"/>
        <v/>
      </c>
      <c r="F611" s="10" t="str">
        <v/>
      </c>
      <c r="G611" t="e">
        <f t="shared" si="38"/>
        <v>#VALUE!</v>
      </c>
      <c r="H611" s="13" t="e">
        <f t="shared" si="39"/>
        <v>#VALUE!</v>
      </c>
    </row>
    <row r="612" spans="2:8">
      <c r="B612" s="11" t="str">
        <f t="shared" si="37"/>
        <v/>
      </c>
      <c r="C612" s="11" t="str">
        <f t="shared" si="36"/>
        <v/>
      </c>
      <c r="F612" s="10" t="str">
        <v/>
      </c>
      <c r="G612" t="e">
        <f t="shared" si="38"/>
        <v>#VALUE!</v>
      </c>
      <c r="H612" s="13" t="e">
        <f t="shared" si="39"/>
        <v>#VALUE!</v>
      </c>
    </row>
    <row r="613" spans="2:8">
      <c r="B613" s="11" t="str">
        <f t="shared" si="37"/>
        <v/>
      </c>
      <c r="C613" s="11" t="str">
        <f t="shared" si="36"/>
        <v/>
      </c>
      <c r="F613" s="10" t="str">
        <v/>
      </c>
      <c r="G613" t="e">
        <f t="shared" si="38"/>
        <v>#VALUE!</v>
      </c>
      <c r="H613" s="13" t="e">
        <f t="shared" si="39"/>
        <v>#VALUE!</v>
      </c>
    </row>
    <row r="614" spans="2:8">
      <c r="B614" s="11" t="str">
        <f t="shared" si="37"/>
        <v/>
      </c>
      <c r="C614" s="11" t="str">
        <f t="shared" si="36"/>
        <v/>
      </c>
      <c r="F614" s="10" t="str">
        <v/>
      </c>
      <c r="G614" t="e">
        <f t="shared" si="38"/>
        <v>#VALUE!</v>
      </c>
      <c r="H614" s="13" t="e">
        <f t="shared" si="39"/>
        <v>#VALUE!</v>
      </c>
    </row>
    <row r="615" spans="2:8">
      <c r="B615" s="11" t="str">
        <f t="shared" si="37"/>
        <v/>
      </c>
      <c r="C615" s="11" t="str">
        <f t="shared" si="36"/>
        <v/>
      </c>
      <c r="F615" s="10" t="str">
        <v/>
      </c>
      <c r="G615" t="e">
        <f t="shared" si="38"/>
        <v>#VALUE!</v>
      </c>
      <c r="H615" s="13" t="e">
        <f t="shared" si="39"/>
        <v>#VALUE!</v>
      </c>
    </row>
    <row r="616" spans="2:8">
      <c r="B616" s="11" t="str">
        <f t="shared" si="37"/>
        <v/>
      </c>
      <c r="C616" s="11" t="str">
        <f t="shared" si="36"/>
        <v/>
      </c>
      <c r="F616" s="10" t="str">
        <v/>
      </c>
      <c r="G616" t="e">
        <f t="shared" si="38"/>
        <v>#VALUE!</v>
      </c>
      <c r="H616" s="13" t="e">
        <f t="shared" si="39"/>
        <v>#VALUE!</v>
      </c>
    </row>
    <row r="617" spans="2:8">
      <c r="B617" s="11" t="str">
        <f t="shared" si="37"/>
        <v/>
      </c>
      <c r="C617" s="11" t="str">
        <f t="shared" ref="C617:C680" si="40">IF(B617="артикул",A617,"")</f>
        <v/>
      </c>
      <c r="F617" s="10" t="str">
        <v/>
      </c>
      <c r="G617" t="e">
        <f t="shared" si="38"/>
        <v>#VALUE!</v>
      </c>
      <c r="H617" s="13" t="e">
        <f t="shared" si="39"/>
        <v>#VALUE!</v>
      </c>
    </row>
    <row r="618" spans="2:8">
      <c r="B618" s="11" t="str">
        <f t="shared" si="37"/>
        <v/>
      </c>
      <c r="C618" s="11" t="str">
        <f t="shared" si="40"/>
        <v/>
      </c>
      <c r="F618" s="10" t="str">
        <v/>
      </c>
      <c r="G618" t="e">
        <f t="shared" si="38"/>
        <v>#VALUE!</v>
      </c>
      <c r="H618" s="13" t="e">
        <f t="shared" si="39"/>
        <v>#VALUE!</v>
      </c>
    </row>
    <row r="619" spans="2:8">
      <c r="B619" s="11" t="str">
        <f t="shared" si="37"/>
        <v/>
      </c>
      <c r="C619" s="11" t="str">
        <f t="shared" si="40"/>
        <v/>
      </c>
      <c r="F619" s="10" t="str">
        <v/>
      </c>
      <c r="G619" t="e">
        <f t="shared" si="38"/>
        <v>#VALUE!</v>
      </c>
      <c r="H619" s="13" t="e">
        <f t="shared" si="39"/>
        <v>#VALUE!</v>
      </c>
    </row>
    <row r="620" spans="2:8">
      <c r="B620" s="11" t="str">
        <f t="shared" si="37"/>
        <v/>
      </c>
      <c r="C620" s="11" t="str">
        <f t="shared" si="40"/>
        <v/>
      </c>
      <c r="F620" s="10" t="str">
        <v/>
      </c>
      <c r="G620" t="e">
        <f t="shared" si="38"/>
        <v>#VALUE!</v>
      </c>
      <c r="H620" s="13" t="e">
        <f t="shared" si="39"/>
        <v>#VALUE!</v>
      </c>
    </row>
    <row r="621" spans="2:8">
      <c r="B621" s="11" t="str">
        <f t="shared" si="37"/>
        <v/>
      </c>
      <c r="C621" s="11" t="str">
        <f t="shared" si="40"/>
        <v/>
      </c>
      <c r="F621" s="10" t="str">
        <v/>
      </c>
      <c r="G621" t="e">
        <f t="shared" si="38"/>
        <v>#VALUE!</v>
      </c>
      <c r="H621" s="13" t="e">
        <f t="shared" si="39"/>
        <v>#VALUE!</v>
      </c>
    </row>
    <row r="622" spans="2:8">
      <c r="B622" s="11" t="str">
        <f t="shared" si="37"/>
        <v/>
      </c>
      <c r="C622" s="11" t="str">
        <f t="shared" si="40"/>
        <v/>
      </c>
      <c r="F622" s="10" t="str">
        <v/>
      </c>
      <c r="G622" t="e">
        <f t="shared" si="38"/>
        <v>#VALUE!</v>
      </c>
      <c r="H622" s="13" t="e">
        <f t="shared" si="39"/>
        <v>#VALUE!</v>
      </c>
    </row>
    <row r="623" spans="2:8">
      <c r="B623" s="11" t="str">
        <f t="shared" si="37"/>
        <v/>
      </c>
      <c r="C623" s="11" t="str">
        <f t="shared" si="40"/>
        <v/>
      </c>
      <c r="F623" s="10" t="str">
        <v/>
      </c>
      <c r="G623" t="e">
        <f t="shared" si="38"/>
        <v>#VALUE!</v>
      </c>
      <c r="H623" s="13" t="e">
        <f t="shared" si="39"/>
        <v>#VALUE!</v>
      </c>
    </row>
    <row r="624" spans="2:8">
      <c r="B624" s="11" t="str">
        <f t="shared" si="37"/>
        <v/>
      </c>
      <c r="C624" s="11" t="str">
        <f t="shared" si="40"/>
        <v/>
      </c>
      <c r="F624" s="10" t="str">
        <v/>
      </c>
      <c r="G624" t="e">
        <f t="shared" si="38"/>
        <v>#VALUE!</v>
      </c>
      <c r="H624" s="13" t="e">
        <f t="shared" si="39"/>
        <v>#VALUE!</v>
      </c>
    </row>
    <row r="625" spans="2:8">
      <c r="B625" s="11" t="str">
        <f t="shared" si="37"/>
        <v/>
      </c>
      <c r="C625" s="11" t="str">
        <f t="shared" si="40"/>
        <v/>
      </c>
      <c r="F625" s="10" t="str">
        <v/>
      </c>
      <c r="G625" t="e">
        <f t="shared" si="38"/>
        <v>#VALUE!</v>
      </c>
      <c r="H625" s="13" t="e">
        <f t="shared" si="39"/>
        <v>#VALUE!</v>
      </c>
    </row>
    <row r="626" spans="2:8">
      <c r="B626" s="11" t="str">
        <f t="shared" si="37"/>
        <v/>
      </c>
      <c r="C626" s="11" t="str">
        <f t="shared" si="40"/>
        <v/>
      </c>
      <c r="F626" s="10" t="str">
        <v/>
      </c>
      <c r="G626" t="e">
        <f t="shared" si="38"/>
        <v>#VALUE!</v>
      </c>
      <c r="H626" s="13" t="e">
        <f t="shared" si="39"/>
        <v>#VALUE!</v>
      </c>
    </row>
    <row r="627" spans="2:8">
      <c r="B627" s="11" t="str">
        <f t="shared" si="37"/>
        <v/>
      </c>
      <c r="C627" s="11" t="str">
        <f t="shared" si="40"/>
        <v/>
      </c>
      <c r="F627" s="10" t="str">
        <v/>
      </c>
      <c r="G627" t="e">
        <f t="shared" si="38"/>
        <v>#VALUE!</v>
      </c>
      <c r="H627" s="13" t="e">
        <f t="shared" si="39"/>
        <v>#VALUE!</v>
      </c>
    </row>
    <row r="628" spans="2:8">
      <c r="B628" s="11" t="str">
        <f t="shared" si="37"/>
        <v/>
      </c>
      <c r="C628" s="11" t="str">
        <f t="shared" si="40"/>
        <v/>
      </c>
      <c r="F628" s="10" t="str">
        <v/>
      </c>
      <c r="G628" t="e">
        <f t="shared" si="38"/>
        <v>#VALUE!</v>
      </c>
      <c r="H628" s="13" t="e">
        <f t="shared" si="39"/>
        <v>#VALUE!</v>
      </c>
    </row>
    <row r="629" spans="2:8">
      <c r="B629" s="11" t="str">
        <f t="shared" si="37"/>
        <v/>
      </c>
      <c r="C629" s="11" t="str">
        <f t="shared" si="40"/>
        <v/>
      </c>
      <c r="F629" s="10" t="str">
        <v/>
      </c>
      <c r="G629" t="e">
        <f t="shared" si="38"/>
        <v>#VALUE!</v>
      </c>
      <c r="H629" s="13" t="e">
        <f t="shared" si="39"/>
        <v>#VALUE!</v>
      </c>
    </row>
    <row r="630" spans="2:8">
      <c r="B630" s="11" t="str">
        <f t="shared" si="37"/>
        <v/>
      </c>
      <c r="C630" s="11" t="str">
        <f t="shared" si="40"/>
        <v/>
      </c>
      <c r="F630" s="10" t="str">
        <v/>
      </c>
      <c r="G630" t="e">
        <f t="shared" si="38"/>
        <v>#VALUE!</v>
      </c>
      <c r="H630" s="13" t="e">
        <f t="shared" si="39"/>
        <v>#VALUE!</v>
      </c>
    </row>
    <row r="631" spans="2:8">
      <c r="B631" s="11" t="str">
        <f t="shared" si="37"/>
        <v/>
      </c>
      <c r="C631" s="11" t="str">
        <f t="shared" si="40"/>
        <v/>
      </c>
      <c r="F631" s="10" t="str">
        <v/>
      </c>
      <c r="G631" t="e">
        <f t="shared" si="38"/>
        <v>#VALUE!</v>
      </c>
      <c r="H631" s="13" t="e">
        <f t="shared" si="39"/>
        <v>#VALUE!</v>
      </c>
    </row>
    <row r="632" spans="2:8">
      <c r="B632" s="11" t="str">
        <f t="shared" si="37"/>
        <v/>
      </c>
      <c r="C632" s="11" t="str">
        <f t="shared" si="40"/>
        <v/>
      </c>
      <c r="F632" s="10" t="str">
        <v/>
      </c>
      <c r="G632" t="e">
        <f t="shared" si="38"/>
        <v>#VALUE!</v>
      </c>
      <c r="H632" s="13" t="e">
        <f t="shared" si="39"/>
        <v>#VALUE!</v>
      </c>
    </row>
    <row r="633" spans="2:8">
      <c r="B633" s="11" t="str">
        <f t="shared" si="37"/>
        <v/>
      </c>
      <c r="C633" s="11" t="str">
        <f t="shared" si="40"/>
        <v/>
      </c>
      <c r="F633" s="10" t="str">
        <v/>
      </c>
      <c r="G633" t="e">
        <f t="shared" si="38"/>
        <v>#VALUE!</v>
      </c>
      <c r="H633" s="13" t="e">
        <f t="shared" si="39"/>
        <v>#VALUE!</v>
      </c>
    </row>
    <row r="634" spans="2:8">
      <c r="B634" s="11" t="str">
        <f t="shared" si="37"/>
        <v/>
      </c>
      <c r="C634" s="11" t="str">
        <f t="shared" si="40"/>
        <v/>
      </c>
      <c r="F634" s="10" t="str">
        <v/>
      </c>
      <c r="G634" t="e">
        <f t="shared" si="38"/>
        <v>#VALUE!</v>
      </c>
      <c r="H634" s="13" t="e">
        <f t="shared" si="39"/>
        <v>#VALUE!</v>
      </c>
    </row>
    <row r="635" spans="2:8">
      <c r="B635" s="11" t="str">
        <f t="shared" si="37"/>
        <v/>
      </c>
      <c r="C635" s="11" t="str">
        <f t="shared" si="40"/>
        <v/>
      </c>
      <c r="F635" s="10" t="str">
        <v/>
      </c>
      <c r="G635" t="e">
        <f t="shared" si="38"/>
        <v>#VALUE!</v>
      </c>
      <c r="H635" s="13" t="e">
        <f t="shared" si="39"/>
        <v>#VALUE!</v>
      </c>
    </row>
    <row r="636" spans="2:8">
      <c r="B636" s="11" t="str">
        <f t="shared" si="37"/>
        <v/>
      </c>
      <c r="C636" s="11" t="str">
        <f t="shared" si="40"/>
        <v/>
      </c>
      <c r="F636" s="10" t="str">
        <v/>
      </c>
      <c r="G636" t="e">
        <f t="shared" si="38"/>
        <v>#VALUE!</v>
      </c>
      <c r="H636" s="13" t="e">
        <f t="shared" si="39"/>
        <v>#VALUE!</v>
      </c>
    </row>
    <row r="637" spans="2:8">
      <c r="B637" s="11" t="str">
        <f t="shared" si="37"/>
        <v/>
      </c>
      <c r="C637" s="11" t="str">
        <f t="shared" si="40"/>
        <v/>
      </c>
      <c r="F637" s="10" t="str">
        <v/>
      </c>
      <c r="G637" t="e">
        <f t="shared" si="38"/>
        <v>#VALUE!</v>
      </c>
      <c r="H637" s="13" t="e">
        <f t="shared" si="39"/>
        <v>#VALUE!</v>
      </c>
    </row>
    <row r="638" spans="2:8">
      <c r="B638" s="11" t="str">
        <f t="shared" si="37"/>
        <v/>
      </c>
      <c r="C638" s="11" t="str">
        <f t="shared" si="40"/>
        <v/>
      </c>
      <c r="F638" s="10" t="str">
        <v/>
      </c>
      <c r="G638" t="e">
        <f t="shared" si="38"/>
        <v>#VALUE!</v>
      </c>
      <c r="H638" s="13" t="e">
        <f t="shared" si="39"/>
        <v>#VALUE!</v>
      </c>
    </row>
    <row r="639" spans="2:8">
      <c r="B639" s="11" t="str">
        <f t="shared" si="37"/>
        <v/>
      </c>
      <c r="C639" s="11" t="str">
        <f t="shared" si="40"/>
        <v/>
      </c>
      <c r="F639" s="10" t="str">
        <v/>
      </c>
      <c r="G639" t="e">
        <f t="shared" si="38"/>
        <v>#VALUE!</v>
      </c>
      <c r="H639" s="13" t="e">
        <f t="shared" si="39"/>
        <v>#VALUE!</v>
      </c>
    </row>
    <row r="640" spans="2:8">
      <c r="B640" s="11" t="str">
        <f t="shared" si="37"/>
        <v/>
      </c>
      <c r="C640" s="11" t="str">
        <f t="shared" si="40"/>
        <v/>
      </c>
      <c r="F640" s="10" t="str">
        <v/>
      </c>
      <c r="G640" t="e">
        <f t="shared" si="38"/>
        <v>#VALUE!</v>
      </c>
      <c r="H640" s="13" t="e">
        <f t="shared" si="39"/>
        <v>#VALUE!</v>
      </c>
    </row>
    <row r="641" spans="2:8">
      <c r="B641" s="11" t="str">
        <f t="shared" ref="B641:B704" si="41">IFERROR(IF(FIND(" ",A641)=6,IF(IFERROR(FIND(" PB",A641),"")&lt;&gt;"","артикул",IF(IFERROR(FIND(" CRN",A641),"")&lt;&gt;"","артикул","")),""),"")</f>
        <v/>
      </c>
      <c r="C641" s="11" t="str">
        <f t="shared" si="40"/>
        <v/>
      </c>
      <c r="F641" s="10" t="str">
        <v/>
      </c>
      <c r="G641" t="e">
        <f t="shared" si="38"/>
        <v>#VALUE!</v>
      </c>
      <c r="H641" s="13" t="e">
        <f t="shared" si="39"/>
        <v>#VALUE!</v>
      </c>
    </row>
    <row r="642" spans="2:8">
      <c r="B642" s="11" t="str">
        <f t="shared" si="41"/>
        <v/>
      </c>
      <c r="C642" s="11" t="str">
        <f t="shared" si="40"/>
        <v/>
      </c>
      <c r="F642" s="10" t="str">
        <v/>
      </c>
      <c r="G642" t="e">
        <f t="shared" ref="G642:G705" si="42">CONCATENATE(LEFT(F642,5),
MID(F642,
SEARCH("\",SUBSTITUTE(F642," ","\",LEN(F642)-LEN(SUBSTITUTE(F642," ",""))-4)),
SEARCH("\",SUBSTITUTE(F642," ","\",LEN(F642)-LEN(SUBSTITUTE(F642," ",""))-3))-
SEARCH("\",SUBSTITUTE(F642," ","\",LEN(F642)-LEN(SUBSTITUTE(F642," ",""))-4)))*1)</f>
        <v>#VALUE!</v>
      </c>
      <c r="H642" s="13" t="e">
        <f t="shared" ref="H642:H705" si="43">SUBSTITUTE(
RIGHT(F642,LEN(F642)-
FIND("\",SUBSTITUTE(F642," ","\",LEN(F642)-LEN(SUBSTITUTE(F642," ",""))))),
".","")</f>
        <v>#VALUE!</v>
      </c>
    </row>
    <row r="643" spans="2:8">
      <c r="B643" s="11" t="str">
        <f t="shared" si="41"/>
        <v/>
      </c>
      <c r="C643" s="11" t="str">
        <f t="shared" si="40"/>
        <v/>
      </c>
      <c r="F643" s="10" t="str">
        <v/>
      </c>
      <c r="G643" t="e">
        <f t="shared" si="42"/>
        <v>#VALUE!</v>
      </c>
      <c r="H643" s="13" t="e">
        <f t="shared" si="43"/>
        <v>#VALUE!</v>
      </c>
    </row>
    <row r="644" spans="2:8">
      <c r="B644" s="11" t="str">
        <f t="shared" si="41"/>
        <v/>
      </c>
      <c r="C644" s="11" t="str">
        <f t="shared" si="40"/>
        <v/>
      </c>
      <c r="F644" s="10" t="str">
        <v/>
      </c>
      <c r="G644" t="e">
        <f t="shared" si="42"/>
        <v>#VALUE!</v>
      </c>
      <c r="H644" s="13" t="e">
        <f t="shared" si="43"/>
        <v>#VALUE!</v>
      </c>
    </row>
    <row r="645" spans="2:8">
      <c r="B645" s="11" t="str">
        <f t="shared" si="41"/>
        <v/>
      </c>
      <c r="C645" s="11" t="str">
        <f t="shared" si="40"/>
        <v/>
      </c>
      <c r="F645" s="10" t="str">
        <v/>
      </c>
      <c r="G645" t="e">
        <f t="shared" si="42"/>
        <v>#VALUE!</v>
      </c>
      <c r="H645" s="13" t="e">
        <f t="shared" si="43"/>
        <v>#VALUE!</v>
      </c>
    </row>
    <row r="646" spans="2:8">
      <c r="B646" s="11" t="str">
        <f t="shared" si="41"/>
        <v/>
      </c>
      <c r="C646" s="11" t="str">
        <f t="shared" si="40"/>
        <v/>
      </c>
      <c r="F646" s="10" t="str">
        <v/>
      </c>
      <c r="G646" t="e">
        <f t="shared" si="42"/>
        <v>#VALUE!</v>
      </c>
      <c r="H646" s="13" t="e">
        <f t="shared" si="43"/>
        <v>#VALUE!</v>
      </c>
    </row>
    <row r="647" spans="2:8">
      <c r="B647" s="11" t="str">
        <f t="shared" si="41"/>
        <v/>
      </c>
      <c r="C647" s="11" t="str">
        <f t="shared" si="40"/>
        <v/>
      </c>
      <c r="F647" s="10" t="str">
        <v/>
      </c>
      <c r="G647" t="e">
        <f t="shared" si="42"/>
        <v>#VALUE!</v>
      </c>
      <c r="H647" s="13" t="e">
        <f t="shared" si="43"/>
        <v>#VALUE!</v>
      </c>
    </row>
    <row r="648" spans="2:8">
      <c r="B648" s="11" t="str">
        <f t="shared" si="41"/>
        <v/>
      </c>
      <c r="C648" s="11" t="str">
        <f t="shared" si="40"/>
        <v/>
      </c>
      <c r="F648" s="10" t="str">
        <v/>
      </c>
      <c r="G648" t="e">
        <f t="shared" si="42"/>
        <v>#VALUE!</v>
      </c>
      <c r="H648" s="13" t="e">
        <f t="shared" si="43"/>
        <v>#VALUE!</v>
      </c>
    </row>
    <row r="649" spans="2:8">
      <c r="B649" s="11" t="str">
        <f t="shared" si="41"/>
        <v/>
      </c>
      <c r="C649" s="11" t="str">
        <f t="shared" si="40"/>
        <v/>
      </c>
      <c r="F649" s="10" t="str">
        <v/>
      </c>
      <c r="G649" t="e">
        <f t="shared" si="42"/>
        <v>#VALUE!</v>
      </c>
      <c r="H649" s="13" t="e">
        <f t="shared" si="43"/>
        <v>#VALUE!</v>
      </c>
    </row>
    <row r="650" spans="2:8">
      <c r="B650" s="11" t="str">
        <f t="shared" si="41"/>
        <v/>
      </c>
      <c r="C650" s="11" t="str">
        <f t="shared" si="40"/>
        <v/>
      </c>
      <c r="F650" s="10" t="str">
        <v/>
      </c>
      <c r="G650" t="e">
        <f t="shared" si="42"/>
        <v>#VALUE!</v>
      </c>
      <c r="H650" s="13" t="e">
        <f t="shared" si="43"/>
        <v>#VALUE!</v>
      </c>
    </row>
    <row r="651" spans="2:8">
      <c r="B651" s="11" t="str">
        <f t="shared" si="41"/>
        <v/>
      </c>
      <c r="C651" s="11" t="str">
        <f t="shared" si="40"/>
        <v/>
      </c>
      <c r="F651" s="10" t="str">
        <v/>
      </c>
      <c r="G651" t="e">
        <f t="shared" si="42"/>
        <v>#VALUE!</v>
      </c>
      <c r="H651" s="13" t="e">
        <f t="shared" si="43"/>
        <v>#VALUE!</v>
      </c>
    </row>
    <row r="652" spans="2:8">
      <c r="B652" s="11" t="str">
        <f t="shared" si="41"/>
        <v/>
      </c>
      <c r="C652" s="11" t="str">
        <f t="shared" si="40"/>
        <v/>
      </c>
      <c r="F652" s="10" t="str">
        <v/>
      </c>
      <c r="G652" t="e">
        <f t="shared" si="42"/>
        <v>#VALUE!</v>
      </c>
      <c r="H652" s="13" t="e">
        <f t="shared" si="43"/>
        <v>#VALUE!</v>
      </c>
    </row>
    <row r="653" spans="2:8">
      <c r="B653" s="11" t="str">
        <f t="shared" si="41"/>
        <v/>
      </c>
      <c r="C653" s="11" t="str">
        <f t="shared" si="40"/>
        <v/>
      </c>
      <c r="F653" s="10" t="str">
        <v/>
      </c>
      <c r="G653" t="e">
        <f t="shared" si="42"/>
        <v>#VALUE!</v>
      </c>
      <c r="H653" s="13" t="e">
        <f t="shared" si="43"/>
        <v>#VALUE!</v>
      </c>
    </row>
    <row r="654" spans="2:8">
      <c r="B654" s="11" t="str">
        <f t="shared" si="41"/>
        <v/>
      </c>
      <c r="C654" s="11" t="str">
        <f t="shared" si="40"/>
        <v/>
      </c>
      <c r="F654" s="10" t="str">
        <v/>
      </c>
      <c r="G654" t="e">
        <f t="shared" si="42"/>
        <v>#VALUE!</v>
      </c>
      <c r="H654" s="13" t="e">
        <f t="shared" si="43"/>
        <v>#VALUE!</v>
      </c>
    </row>
    <row r="655" spans="2:8">
      <c r="B655" s="11" t="str">
        <f t="shared" si="41"/>
        <v/>
      </c>
      <c r="C655" s="11" t="str">
        <f t="shared" si="40"/>
        <v/>
      </c>
      <c r="F655" s="10" t="str">
        <v/>
      </c>
      <c r="G655" t="e">
        <f t="shared" si="42"/>
        <v>#VALUE!</v>
      </c>
      <c r="H655" s="13" t="e">
        <f t="shared" si="43"/>
        <v>#VALUE!</v>
      </c>
    </row>
    <row r="656" spans="2:8">
      <c r="B656" s="11" t="str">
        <f t="shared" si="41"/>
        <v/>
      </c>
      <c r="C656" s="11" t="str">
        <f t="shared" si="40"/>
        <v/>
      </c>
      <c r="F656" s="10" t="str">
        <v/>
      </c>
      <c r="G656" t="e">
        <f t="shared" si="42"/>
        <v>#VALUE!</v>
      </c>
      <c r="H656" s="13" t="e">
        <f t="shared" si="43"/>
        <v>#VALUE!</v>
      </c>
    </row>
    <row r="657" spans="2:8">
      <c r="B657" s="11" t="str">
        <f t="shared" si="41"/>
        <v/>
      </c>
      <c r="C657" s="11" t="str">
        <f t="shared" si="40"/>
        <v/>
      </c>
      <c r="F657" s="10" t="str">
        <v/>
      </c>
      <c r="G657" t="e">
        <f t="shared" si="42"/>
        <v>#VALUE!</v>
      </c>
      <c r="H657" s="13" t="e">
        <f t="shared" si="43"/>
        <v>#VALUE!</v>
      </c>
    </row>
    <row r="658" spans="2:8">
      <c r="B658" s="11" t="str">
        <f t="shared" si="41"/>
        <v/>
      </c>
      <c r="C658" s="11" t="str">
        <f t="shared" si="40"/>
        <v/>
      </c>
      <c r="F658" s="10" t="str">
        <v/>
      </c>
      <c r="G658" t="e">
        <f t="shared" si="42"/>
        <v>#VALUE!</v>
      </c>
      <c r="H658" s="13" t="e">
        <f t="shared" si="43"/>
        <v>#VALUE!</v>
      </c>
    </row>
    <row r="659" spans="2:8">
      <c r="B659" s="11" t="str">
        <f t="shared" si="41"/>
        <v/>
      </c>
      <c r="C659" s="11" t="str">
        <f t="shared" si="40"/>
        <v/>
      </c>
      <c r="F659" s="10" t="str">
        <v/>
      </c>
      <c r="G659" t="e">
        <f t="shared" si="42"/>
        <v>#VALUE!</v>
      </c>
      <c r="H659" s="13" t="e">
        <f t="shared" si="43"/>
        <v>#VALUE!</v>
      </c>
    </row>
    <row r="660" spans="2:8">
      <c r="B660" s="11" t="str">
        <f t="shared" si="41"/>
        <v/>
      </c>
      <c r="C660" s="11" t="str">
        <f t="shared" si="40"/>
        <v/>
      </c>
      <c r="F660" s="10" t="str">
        <v/>
      </c>
      <c r="G660" t="e">
        <f t="shared" si="42"/>
        <v>#VALUE!</v>
      </c>
      <c r="H660" s="13" t="e">
        <f t="shared" si="43"/>
        <v>#VALUE!</v>
      </c>
    </row>
    <row r="661" spans="2:8">
      <c r="B661" s="11" t="str">
        <f t="shared" si="41"/>
        <v/>
      </c>
      <c r="C661" s="11" t="str">
        <f t="shared" si="40"/>
        <v/>
      </c>
      <c r="F661" s="10" t="str">
        <v/>
      </c>
      <c r="G661" t="e">
        <f t="shared" si="42"/>
        <v>#VALUE!</v>
      </c>
      <c r="H661" s="13" t="e">
        <f t="shared" si="43"/>
        <v>#VALUE!</v>
      </c>
    </row>
    <row r="662" spans="2:8">
      <c r="B662" s="11" t="str">
        <f t="shared" si="41"/>
        <v/>
      </c>
      <c r="C662" s="11" t="str">
        <f t="shared" si="40"/>
        <v/>
      </c>
      <c r="F662" s="10" t="str">
        <v/>
      </c>
      <c r="G662" t="e">
        <f t="shared" si="42"/>
        <v>#VALUE!</v>
      </c>
      <c r="H662" s="13" t="e">
        <f t="shared" si="43"/>
        <v>#VALUE!</v>
      </c>
    </row>
    <row r="663" spans="2:8">
      <c r="B663" s="11" t="str">
        <f t="shared" si="41"/>
        <v/>
      </c>
      <c r="C663" s="11" t="str">
        <f t="shared" si="40"/>
        <v/>
      </c>
      <c r="F663" s="10" t="str">
        <v/>
      </c>
      <c r="G663" t="e">
        <f t="shared" si="42"/>
        <v>#VALUE!</v>
      </c>
      <c r="H663" s="13" t="e">
        <f t="shared" si="43"/>
        <v>#VALUE!</v>
      </c>
    </row>
    <row r="664" spans="2:8">
      <c r="B664" s="11" t="str">
        <f t="shared" si="41"/>
        <v/>
      </c>
      <c r="C664" s="11" t="str">
        <f t="shared" si="40"/>
        <v/>
      </c>
      <c r="F664" s="10" t="str">
        <v/>
      </c>
      <c r="G664" t="e">
        <f t="shared" si="42"/>
        <v>#VALUE!</v>
      </c>
      <c r="H664" s="13" t="e">
        <f t="shared" si="43"/>
        <v>#VALUE!</v>
      </c>
    </row>
    <row r="665" spans="2:8">
      <c r="B665" s="11" t="str">
        <f t="shared" si="41"/>
        <v/>
      </c>
      <c r="C665" s="11" t="str">
        <f t="shared" si="40"/>
        <v/>
      </c>
      <c r="F665" s="10" t="str">
        <v/>
      </c>
      <c r="G665" t="e">
        <f t="shared" si="42"/>
        <v>#VALUE!</v>
      </c>
      <c r="H665" s="13" t="e">
        <f t="shared" si="43"/>
        <v>#VALUE!</v>
      </c>
    </row>
    <row r="666" spans="2:8">
      <c r="B666" s="11" t="str">
        <f t="shared" si="41"/>
        <v/>
      </c>
      <c r="C666" s="11" t="str">
        <f t="shared" si="40"/>
        <v/>
      </c>
      <c r="F666" s="10" t="str">
        <v/>
      </c>
      <c r="G666" t="e">
        <f t="shared" si="42"/>
        <v>#VALUE!</v>
      </c>
      <c r="H666" s="13" t="e">
        <f t="shared" si="43"/>
        <v>#VALUE!</v>
      </c>
    </row>
    <row r="667" spans="2:8">
      <c r="B667" s="11" t="str">
        <f t="shared" si="41"/>
        <v/>
      </c>
      <c r="C667" s="11" t="str">
        <f t="shared" si="40"/>
        <v/>
      </c>
      <c r="F667" s="10" t="str">
        <v/>
      </c>
      <c r="G667" t="e">
        <f t="shared" si="42"/>
        <v>#VALUE!</v>
      </c>
      <c r="H667" s="13" t="e">
        <f t="shared" si="43"/>
        <v>#VALUE!</v>
      </c>
    </row>
    <row r="668" spans="2:8">
      <c r="B668" s="11" t="str">
        <f t="shared" si="41"/>
        <v/>
      </c>
      <c r="C668" s="11" t="str">
        <f t="shared" si="40"/>
        <v/>
      </c>
      <c r="F668" s="10" t="str">
        <v/>
      </c>
      <c r="G668" t="e">
        <f t="shared" si="42"/>
        <v>#VALUE!</v>
      </c>
      <c r="H668" s="13" t="e">
        <f t="shared" si="43"/>
        <v>#VALUE!</v>
      </c>
    </row>
    <row r="669" spans="2:8">
      <c r="B669" s="11" t="str">
        <f t="shared" si="41"/>
        <v/>
      </c>
      <c r="C669" s="11" t="str">
        <f t="shared" si="40"/>
        <v/>
      </c>
      <c r="F669" s="10" t="str">
        <v/>
      </c>
      <c r="G669" t="e">
        <f t="shared" si="42"/>
        <v>#VALUE!</v>
      </c>
      <c r="H669" s="13" t="e">
        <f t="shared" si="43"/>
        <v>#VALUE!</v>
      </c>
    </row>
    <row r="670" spans="2:8">
      <c r="B670" s="11" t="str">
        <f t="shared" si="41"/>
        <v/>
      </c>
      <c r="C670" s="11" t="str">
        <f t="shared" si="40"/>
        <v/>
      </c>
      <c r="F670" s="10" t="str">
        <v/>
      </c>
      <c r="G670" t="e">
        <f t="shared" si="42"/>
        <v>#VALUE!</v>
      </c>
      <c r="H670" s="13" t="e">
        <f t="shared" si="43"/>
        <v>#VALUE!</v>
      </c>
    </row>
    <row r="671" spans="2:8">
      <c r="B671" s="11" t="str">
        <f t="shared" si="41"/>
        <v/>
      </c>
      <c r="C671" s="11" t="str">
        <f t="shared" si="40"/>
        <v/>
      </c>
      <c r="F671" s="10" t="str">
        <v/>
      </c>
      <c r="G671" t="e">
        <f t="shared" si="42"/>
        <v>#VALUE!</v>
      </c>
      <c r="H671" s="13" t="e">
        <f t="shared" si="43"/>
        <v>#VALUE!</v>
      </c>
    </row>
    <row r="672" spans="2:8">
      <c r="B672" s="11" t="str">
        <f t="shared" si="41"/>
        <v/>
      </c>
      <c r="C672" s="11" t="str">
        <f t="shared" si="40"/>
        <v/>
      </c>
      <c r="F672" s="10" t="str">
        <v/>
      </c>
      <c r="G672" t="e">
        <f t="shared" si="42"/>
        <v>#VALUE!</v>
      </c>
      <c r="H672" s="13" t="e">
        <f t="shared" si="43"/>
        <v>#VALUE!</v>
      </c>
    </row>
    <row r="673" spans="2:8">
      <c r="B673" s="11" t="str">
        <f t="shared" si="41"/>
        <v/>
      </c>
      <c r="C673" s="11" t="str">
        <f t="shared" si="40"/>
        <v/>
      </c>
      <c r="F673" s="10" t="str">
        <v/>
      </c>
      <c r="G673" t="e">
        <f t="shared" si="42"/>
        <v>#VALUE!</v>
      </c>
      <c r="H673" s="13" t="e">
        <f t="shared" si="43"/>
        <v>#VALUE!</v>
      </c>
    </row>
    <row r="674" spans="2:8">
      <c r="B674" s="11" t="str">
        <f t="shared" si="41"/>
        <v/>
      </c>
      <c r="C674" s="11" t="str">
        <f t="shared" si="40"/>
        <v/>
      </c>
      <c r="F674" s="10" t="str">
        <v/>
      </c>
      <c r="G674" t="e">
        <f t="shared" si="42"/>
        <v>#VALUE!</v>
      </c>
      <c r="H674" s="13" t="e">
        <f t="shared" si="43"/>
        <v>#VALUE!</v>
      </c>
    </row>
    <row r="675" spans="2:8">
      <c r="B675" s="11" t="str">
        <f t="shared" si="41"/>
        <v/>
      </c>
      <c r="C675" s="11" t="str">
        <f t="shared" si="40"/>
        <v/>
      </c>
      <c r="F675" s="10" t="str">
        <v/>
      </c>
      <c r="G675" t="e">
        <f t="shared" si="42"/>
        <v>#VALUE!</v>
      </c>
      <c r="H675" s="13" t="e">
        <f t="shared" si="43"/>
        <v>#VALUE!</v>
      </c>
    </row>
    <row r="676" spans="2:8">
      <c r="B676" s="11" t="str">
        <f t="shared" si="41"/>
        <v/>
      </c>
      <c r="C676" s="11" t="str">
        <f t="shared" si="40"/>
        <v/>
      </c>
      <c r="F676" s="10" t="str">
        <v/>
      </c>
      <c r="G676" t="e">
        <f t="shared" si="42"/>
        <v>#VALUE!</v>
      </c>
      <c r="H676" s="13" t="e">
        <f t="shared" si="43"/>
        <v>#VALUE!</v>
      </c>
    </row>
    <row r="677" spans="2:8">
      <c r="B677" s="11" t="str">
        <f t="shared" si="41"/>
        <v/>
      </c>
      <c r="C677" s="11" t="str">
        <f t="shared" si="40"/>
        <v/>
      </c>
      <c r="F677" s="10" t="str">
        <v/>
      </c>
      <c r="G677" t="e">
        <f t="shared" si="42"/>
        <v>#VALUE!</v>
      </c>
      <c r="H677" s="13" t="e">
        <f t="shared" si="43"/>
        <v>#VALUE!</v>
      </c>
    </row>
    <row r="678" spans="2:8">
      <c r="B678" s="11" t="str">
        <f t="shared" si="41"/>
        <v/>
      </c>
      <c r="C678" s="11" t="str">
        <f t="shared" si="40"/>
        <v/>
      </c>
      <c r="F678" s="10" t="str">
        <v/>
      </c>
      <c r="G678" t="e">
        <f t="shared" si="42"/>
        <v>#VALUE!</v>
      </c>
      <c r="H678" s="13" t="e">
        <f t="shared" si="43"/>
        <v>#VALUE!</v>
      </c>
    </row>
    <row r="679" spans="2:8">
      <c r="B679" s="11" t="str">
        <f t="shared" si="41"/>
        <v/>
      </c>
      <c r="C679" s="11" t="str">
        <f t="shared" si="40"/>
        <v/>
      </c>
      <c r="F679" s="10" t="str">
        <v/>
      </c>
      <c r="G679" t="e">
        <f t="shared" si="42"/>
        <v>#VALUE!</v>
      </c>
      <c r="H679" s="13" t="e">
        <f t="shared" si="43"/>
        <v>#VALUE!</v>
      </c>
    </row>
    <row r="680" spans="2:8">
      <c r="B680" s="11" t="str">
        <f t="shared" si="41"/>
        <v/>
      </c>
      <c r="C680" s="11" t="str">
        <f t="shared" si="40"/>
        <v/>
      </c>
      <c r="F680" s="10" t="str">
        <v/>
      </c>
      <c r="G680" t="e">
        <f t="shared" si="42"/>
        <v>#VALUE!</v>
      </c>
      <c r="H680" s="13" t="e">
        <f t="shared" si="43"/>
        <v>#VALUE!</v>
      </c>
    </row>
    <row r="681" spans="2:8">
      <c r="B681" s="11" t="str">
        <f t="shared" si="41"/>
        <v/>
      </c>
      <c r="C681" s="11" t="str">
        <f t="shared" ref="C681:C744" si="44">IF(B681="артикул",A681,"")</f>
        <v/>
      </c>
      <c r="F681" s="10" t="str">
        <v/>
      </c>
      <c r="G681" t="e">
        <f t="shared" si="42"/>
        <v>#VALUE!</v>
      </c>
      <c r="H681" s="13" t="e">
        <f t="shared" si="43"/>
        <v>#VALUE!</v>
      </c>
    </row>
    <row r="682" spans="2:8">
      <c r="B682" s="11" t="str">
        <f t="shared" si="41"/>
        <v/>
      </c>
      <c r="C682" s="11" t="str">
        <f t="shared" si="44"/>
        <v/>
      </c>
      <c r="F682" s="10" t="str">
        <v/>
      </c>
      <c r="G682" t="e">
        <f t="shared" si="42"/>
        <v>#VALUE!</v>
      </c>
      <c r="H682" s="13" t="e">
        <f t="shared" si="43"/>
        <v>#VALUE!</v>
      </c>
    </row>
    <row r="683" spans="2:8">
      <c r="B683" s="11" t="str">
        <f t="shared" si="41"/>
        <v/>
      </c>
      <c r="C683" s="11" t="str">
        <f t="shared" si="44"/>
        <v/>
      </c>
      <c r="F683" s="10" t="str">
        <v/>
      </c>
      <c r="G683" t="e">
        <f t="shared" si="42"/>
        <v>#VALUE!</v>
      </c>
      <c r="H683" s="13" t="e">
        <f t="shared" si="43"/>
        <v>#VALUE!</v>
      </c>
    </row>
    <row r="684" spans="2:8">
      <c r="B684" s="11" t="str">
        <f t="shared" si="41"/>
        <v/>
      </c>
      <c r="C684" s="11" t="str">
        <f t="shared" si="44"/>
        <v/>
      </c>
      <c r="F684" s="10" t="str">
        <v/>
      </c>
      <c r="G684" t="e">
        <f t="shared" si="42"/>
        <v>#VALUE!</v>
      </c>
      <c r="H684" s="13" t="e">
        <f t="shared" si="43"/>
        <v>#VALUE!</v>
      </c>
    </row>
    <row r="685" spans="2:8">
      <c r="B685" s="11" t="str">
        <f t="shared" si="41"/>
        <v/>
      </c>
      <c r="C685" s="11" t="str">
        <f t="shared" si="44"/>
        <v/>
      </c>
      <c r="F685" s="10" t="str">
        <v/>
      </c>
      <c r="G685" t="e">
        <f t="shared" si="42"/>
        <v>#VALUE!</v>
      </c>
      <c r="H685" s="13" t="e">
        <f t="shared" si="43"/>
        <v>#VALUE!</v>
      </c>
    </row>
    <row r="686" spans="2:8">
      <c r="B686" s="11" t="str">
        <f t="shared" si="41"/>
        <v/>
      </c>
      <c r="C686" s="11" t="str">
        <f t="shared" si="44"/>
        <v/>
      </c>
      <c r="F686" s="10" t="str">
        <v/>
      </c>
      <c r="G686" t="e">
        <f t="shared" si="42"/>
        <v>#VALUE!</v>
      </c>
      <c r="H686" s="13" t="e">
        <f t="shared" si="43"/>
        <v>#VALUE!</v>
      </c>
    </row>
    <row r="687" spans="2:8">
      <c r="B687" s="11" t="str">
        <f t="shared" si="41"/>
        <v/>
      </c>
      <c r="C687" s="11" t="str">
        <f t="shared" si="44"/>
        <v/>
      </c>
      <c r="F687" s="10" t="str">
        <v/>
      </c>
      <c r="G687" t="e">
        <f t="shared" si="42"/>
        <v>#VALUE!</v>
      </c>
      <c r="H687" s="13" t="e">
        <f t="shared" si="43"/>
        <v>#VALUE!</v>
      </c>
    </row>
    <row r="688" spans="2:8">
      <c r="B688" s="11" t="str">
        <f t="shared" si="41"/>
        <v/>
      </c>
      <c r="C688" s="11" t="str">
        <f t="shared" si="44"/>
        <v/>
      </c>
      <c r="F688" s="10" t="str">
        <v/>
      </c>
      <c r="G688" t="e">
        <f t="shared" si="42"/>
        <v>#VALUE!</v>
      </c>
      <c r="H688" s="13" t="e">
        <f t="shared" si="43"/>
        <v>#VALUE!</v>
      </c>
    </row>
    <row r="689" spans="2:8">
      <c r="B689" s="11" t="str">
        <f t="shared" si="41"/>
        <v/>
      </c>
      <c r="C689" s="11" t="str">
        <f t="shared" si="44"/>
        <v/>
      </c>
      <c r="F689" s="10" t="str">
        <v/>
      </c>
      <c r="G689" t="e">
        <f t="shared" si="42"/>
        <v>#VALUE!</v>
      </c>
      <c r="H689" s="13" t="e">
        <f t="shared" si="43"/>
        <v>#VALUE!</v>
      </c>
    </row>
    <row r="690" spans="2:8">
      <c r="B690" s="11" t="str">
        <f t="shared" si="41"/>
        <v/>
      </c>
      <c r="C690" s="11" t="str">
        <f t="shared" si="44"/>
        <v/>
      </c>
      <c r="F690" s="10" t="str">
        <v/>
      </c>
      <c r="G690" t="e">
        <f t="shared" si="42"/>
        <v>#VALUE!</v>
      </c>
      <c r="H690" s="13" t="e">
        <f t="shared" si="43"/>
        <v>#VALUE!</v>
      </c>
    </row>
    <row r="691" spans="2:8">
      <c r="B691" s="11" t="str">
        <f t="shared" si="41"/>
        <v/>
      </c>
      <c r="C691" s="11" t="str">
        <f t="shared" si="44"/>
        <v/>
      </c>
      <c r="F691" s="10" t="str">
        <v/>
      </c>
      <c r="G691" t="e">
        <f t="shared" si="42"/>
        <v>#VALUE!</v>
      </c>
      <c r="H691" s="13" t="e">
        <f t="shared" si="43"/>
        <v>#VALUE!</v>
      </c>
    </row>
    <row r="692" spans="2:8">
      <c r="B692" s="11" t="str">
        <f t="shared" si="41"/>
        <v/>
      </c>
      <c r="C692" s="11" t="str">
        <f t="shared" si="44"/>
        <v/>
      </c>
      <c r="F692" s="10" t="str">
        <v/>
      </c>
      <c r="G692" t="e">
        <f t="shared" si="42"/>
        <v>#VALUE!</v>
      </c>
      <c r="H692" s="13" t="e">
        <f t="shared" si="43"/>
        <v>#VALUE!</v>
      </c>
    </row>
    <row r="693" spans="2:8">
      <c r="B693" s="11" t="str">
        <f t="shared" si="41"/>
        <v/>
      </c>
      <c r="C693" s="11" t="str">
        <f t="shared" si="44"/>
        <v/>
      </c>
      <c r="F693" s="10" t="str">
        <v/>
      </c>
      <c r="G693" t="e">
        <f t="shared" si="42"/>
        <v>#VALUE!</v>
      </c>
      <c r="H693" s="13" t="e">
        <f t="shared" si="43"/>
        <v>#VALUE!</v>
      </c>
    </row>
    <row r="694" spans="2:8">
      <c r="B694" s="11" t="str">
        <f t="shared" si="41"/>
        <v/>
      </c>
      <c r="C694" s="11" t="str">
        <f t="shared" si="44"/>
        <v/>
      </c>
      <c r="F694" s="10" t="str">
        <v/>
      </c>
      <c r="G694" t="e">
        <f t="shared" si="42"/>
        <v>#VALUE!</v>
      </c>
      <c r="H694" s="13" t="e">
        <f t="shared" si="43"/>
        <v>#VALUE!</v>
      </c>
    </row>
    <row r="695" spans="2:8">
      <c r="B695" s="11" t="str">
        <f t="shared" si="41"/>
        <v/>
      </c>
      <c r="C695" s="11" t="str">
        <f t="shared" si="44"/>
        <v/>
      </c>
      <c r="F695" s="10" t="str">
        <v/>
      </c>
      <c r="G695" t="e">
        <f t="shared" si="42"/>
        <v>#VALUE!</v>
      </c>
      <c r="H695" s="13" t="e">
        <f t="shared" si="43"/>
        <v>#VALUE!</v>
      </c>
    </row>
    <row r="696" spans="2:8">
      <c r="B696" s="11" t="str">
        <f t="shared" si="41"/>
        <v/>
      </c>
      <c r="C696" s="11" t="str">
        <f t="shared" si="44"/>
        <v/>
      </c>
      <c r="F696" s="10" t="str">
        <v/>
      </c>
      <c r="G696" t="e">
        <f t="shared" si="42"/>
        <v>#VALUE!</v>
      </c>
      <c r="H696" s="13" t="e">
        <f t="shared" si="43"/>
        <v>#VALUE!</v>
      </c>
    </row>
    <row r="697" spans="2:8">
      <c r="B697" s="11" t="str">
        <f t="shared" si="41"/>
        <v/>
      </c>
      <c r="C697" s="11" t="str">
        <f t="shared" si="44"/>
        <v/>
      </c>
      <c r="F697" s="10" t="str">
        <v/>
      </c>
      <c r="G697" t="e">
        <f t="shared" si="42"/>
        <v>#VALUE!</v>
      </c>
      <c r="H697" s="13" t="e">
        <f t="shared" si="43"/>
        <v>#VALUE!</v>
      </c>
    </row>
    <row r="698" spans="2:8">
      <c r="B698" s="11" t="str">
        <f t="shared" si="41"/>
        <v/>
      </c>
      <c r="C698" s="11" t="str">
        <f t="shared" si="44"/>
        <v/>
      </c>
      <c r="F698" s="10" t="str">
        <v/>
      </c>
      <c r="G698" t="e">
        <f t="shared" si="42"/>
        <v>#VALUE!</v>
      </c>
      <c r="H698" s="13" t="e">
        <f t="shared" si="43"/>
        <v>#VALUE!</v>
      </c>
    </row>
    <row r="699" spans="2:8">
      <c r="B699" s="11" t="str">
        <f t="shared" si="41"/>
        <v/>
      </c>
      <c r="C699" s="11" t="str">
        <f t="shared" si="44"/>
        <v/>
      </c>
      <c r="F699" s="10" t="str">
        <v/>
      </c>
      <c r="G699" t="e">
        <f t="shared" si="42"/>
        <v>#VALUE!</v>
      </c>
      <c r="H699" s="13" t="e">
        <f t="shared" si="43"/>
        <v>#VALUE!</v>
      </c>
    </row>
    <row r="700" spans="2:8">
      <c r="B700" s="11" t="str">
        <f t="shared" si="41"/>
        <v/>
      </c>
      <c r="C700" s="11" t="str">
        <f t="shared" si="44"/>
        <v/>
      </c>
      <c r="F700" s="10" t="str">
        <v/>
      </c>
      <c r="G700" t="e">
        <f t="shared" si="42"/>
        <v>#VALUE!</v>
      </c>
      <c r="H700" s="13" t="e">
        <f t="shared" si="43"/>
        <v>#VALUE!</v>
      </c>
    </row>
    <row r="701" spans="2:8">
      <c r="B701" s="11" t="str">
        <f t="shared" si="41"/>
        <v/>
      </c>
      <c r="C701" s="11" t="str">
        <f t="shared" si="44"/>
        <v/>
      </c>
      <c r="F701" s="10" t="str">
        <v/>
      </c>
      <c r="G701" t="e">
        <f t="shared" si="42"/>
        <v>#VALUE!</v>
      </c>
      <c r="H701" s="13" t="e">
        <f t="shared" si="43"/>
        <v>#VALUE!</v>
      </c>
    </row>
    <row r="702" spans="2:8">
      <c r="B702" s="11" t="str">
        <f t="shared" si="41"/>
        <v/>
      </c>
      <c r="C702" s="11" t="str">
        <f t="shared" si="44"/>
        <v/>
      </c>
      <c r="F702" s="10" t="str">
        <v/>
      </c>
      <c r="G702" t="e">
        <f t="shared" si="42"/>
        <v>#VALUE!</v>
      </c>
      <c r="H702" s="13" t="e">
        <f t="shared" si="43"/>
        <v>#VALUE!</v>
      </c>
    </row>
    <row r="703" spans="2:8">
      <c r="B703" s="11" t="str">
        <f t="shared" si="41"/>
        <v/>
      </c>
      <c r="C703" s="11" t="str">
        <f t="shared" si="44"/>
        <v/>
      </c>
      <c r="F703" s="10" t="str">
        <v/>
      </c>
      <c r="G703" t="e">
        <f t="shared" si="42"/>
        <v>#VALUE!</v>
      </c>
      <c r="H703" s="13" t="e">
        <f t="shared" si="43"/>
        <v>#VALUE!</v>
      </c>
    </row>
    <row r="704" spans="2:8">
      <c r="B704" s="11" t="str">
        <f t="shared" si="41"/>
        <v/>
      </c>
      <c r="C704" s="11" t="str">
        <f t="shared" si="44"/>
        <v/>
      </c>
      <c r="F704" s="10" t="str">
        <v/>
      </c>
      <c r="G704" t="e">
        <f t="shared" si="42"/>
        <v>#VALUE!</v>
      </c>
      <c r="H704" s="13" t="e">
        <f t="shared" si="43"/>
        <v>#VALUE!</v>
      </c>
    </row>
    <row r="705" spans="2:8">
      <c r="B705" s="11" t="str">
        <f t="shared" ref="B705:B768" si="45">IFERROR(IF(FIND(" ",A705)=6,IF(IFERROR(FIND(" PB",A705),"")&lt;&gt;"","артикул",IF(IFERROR(FIND(" CRN",A705),"")&lt;&gt;"","артикул","")),""),"")</f>
        <v/>
      </c>
      <c r="C705" s="11" t="str">
        <f t="shared" si="44"/>
        <v/>
      </c>
      <c r="F705" s="10" t="str">
        <v/>
      </c>
      <c r="G705" t="e">
        <f t="shared" si="42"/>
        <v>#VALUE!</v>
      </c>
      <c r="H705" s="13" t="e">
        <f t="shared" si="43"/>
        <v>#VALUE!</v>
      </c>
    </row>
    <row r="706" spans="2:8">
      <c r="B706" s="11" t="str">
        <f t="shared" si="45"/>
        <v/>
      </c>
      <c r="C706" s="11" t="str">
        <f t="shared" si="44"/>
        <v/>
      </c>
      <c r="F706" s="10" t="str">
        <v/>
      </c>
      <c r="G706" t="e">
        <f t="shared" ref="G706:G769" si="46">CONCATENATE(LEFT(F706,5),
MID(F706,
SEARCH("\",SUBSTITUTE(F706," ","\",LEN(F706)-LEN(SUBSTITUTE(F706," ",""))-4)),
SEARCH("\",SUBSTITUTE(F706," ","\",LEN(F706)-LEN(SUBSTITUTE(F706," ",""))-3))-
SEARCH("\",SUBSTITUTE(F706," ","\",LEN(F706)-LEN(SUBSTITUTE(F706," ",""))-4)))*1)</f>
        <v>#VALUE!</v>
      </c>
      <c r="H706" s="13" t="e">
        <f t="shared" ref="H706:H769" si="47">SUBSTITUTE(
RIGHT(F706,LEN(F706)-
FIND("\",SUBSTITUTE(F706," ","\",LEN(F706)-LEN(SUBSTITUTE(F706," ",""))))),
".","")</f>
        <v>#VALUE!</v>
      </c>
    </row>
    <row r="707" spans="2:8">
      <c r="B707" s="11" t="str">
        <f t="shared" si="45"/>
        <v/>
      </c>
      <c r="C707" s="11" t="str">
        <f t="shared" si="44"/>
        <v/>
      </c>
      <c r="F707" s="10" t="str">
        <v/>
      </c>
      <c r="G707" t="e">
        <f t="shared" si="46"/>
        <v>#VALUE!</v>
      </c>
      <c r="H707" s="13" t="e">
        <f t="shared" si="47"/>
        <v>#VALUE!</v>
      </c>
    </row>
    <row r="708" spans="2:8">
      <c r="B708" s="11" t="str">
        <f t="shared" si="45"/>
        <v/>
      </c>
      <c r="C708" s="11" t="str">
        <f t="shared" si="44"/>
        <v/>
      </c>
      <c r="F708" s="10" t="str">
        <v/>
      </c>
      <c r="G708" t="e">
        <f t="shared" si="46"/>
        <v>#VALUE!</v>
      </c>
      <c r="H708" s="13" t="e">
        <f t="shared" si="47"/>
        <v>#VALUE!</v>
      </c>
    </row>
    <row r="709" spans="2:8">
      <c r="B709" s="11" t="str">
        <f t="shared" si="45"/>
        <v/>
      </c>
      <c r="C709" s="11" t="str">
        <f t="shared" si="44"/>
        <v/>
      </c>
      <c r="F709" s="10" t="str">
        <v/>
      </c>
      <c r="G709" t="e">
        <f t="shared" si="46"/>
        <v>#VALUE!</v>
      </c>
      <c r="H709" s="13" t="e">
        <f t="shared" si="47"/>
        <v>#VALUE!</v>
      </c>
    </row>
    <row r="710" spans="2:8">
      <c r="B710" s="11" t="str">
        <f t="shared" si="45"/>
        <v/>
      </c>
      <c r="C710" s="11" t="str">
        <f t="shared" si="44"/>
        <v/>
      </c>
      <c r="F710" s="10" t="str">
        <v/>
      </c>
      <c r="G710" t="e">
        <f t="shared" si="46"/>
        <v>#VALUE!</v>
      </c>
      <c r="H710" s="13" t="e">
        <f t="shared" si="47"/>
        <v>#VALUE!</v>
      </c>
    </row>
    <row r="711" spans="2:8">
      <c r="B711" s="11" t="str">
        <f t="shared" si="45"/>
        <v/>
      </c>
      <c r="C711" s="11" t="str">
        <f t="shared" si="44"/>
        <v/>
      </c>
      <c r="F711" s="10" t="str">
        <v/>
      </c>
      <c r="G711" t="e">
        <f t="shared" si="46"/>
        <v>#VALUE!</v>
      </c>
      <c r="H711" s="13" t="e">
        <f t="shared" si="47"/>
        <v>#VALUE!</v>
      </c>
    </row>
    <row r="712" spans="2:8">
      <c r="B712" s="11" t="str">
        <f t="shared" si="45"/>
        <v/>
      </c>
      <c r="C712" s="11" t="str">
        <f t="shared" si="44"/>
        <v/>
      </c>
      <c r="F712" s="10" t="str">
        <v/>
      </c>
      <c r="G712" t="e">
        <f t="shared" si="46"/>
        <v>#VALUE!</v>
      </c>
      <c r="H712" s="13" t="e">
        <f t="shared" si="47"/>
        <v>#VALUE!</v>
      </c>
    </row>
    <row r="713" spans="2:8">
      <c r="B713" s="11" t="str">
        <f t="shared" si="45"/>
        <v/>
      </c>
      <c r="C713" s="11" t="str">
        <f t="shared" si="44"/>
        <v/>
      </c>
      <c r="F713" s="10" t="str">
        <v/>
      </c>
      <c r="G713" t="e">
        <f t="shared" si="46"/>
        <v>#VALUE!</v>
      </c>
      <c r="H713" s="13" t="e">
        <f t="shared" si="47"/>
        <v>#VALUE!</v>
      </c>
    </row>
    <row r="714" spans="2:8">
      <c r="B714" s="11" t="str">
        <f t="shared" si="45"/>
        <v/>
      </c>
      <c r="C714" s="11" t="str">
        <f t="shared" si="44"/>
        <v/>
      </c>
      <c r="F714" s="10" t="str">
        <v/>
      </c>
      <c r="G714" t="e">
        <f t="shared" si="46"/>
        <v>#VALUE!</v>
      </c>
      <c r="H714" s="13" t="e">
        <f t="shared" si="47"/>
        <v>#VALUE!</v>
      </c>
    </row>
    <row r="715" spans="2:8">
      <c r="B715" s="11" t="str">
        <f t="shared" si="45"/>
        <v/>
      </c>
      <c r="C715" s="11" t="str">
        <f t="shared" si="44"/>
        <v/>
      </c>
      <c r="F715" s="10" t="str">
        <v/>
      </c>
      <c r="G715" t="e">
        <f t="shared" si="46"/>
        <v>#VALUE!</v>
      </c>
      <c r="H715" s="13" t="e">
        <f t="shared" si="47"/>
        <v>#VALUE!</v>
      </c>
    </row>
    <row r="716" spans="2:8">
      <c r="B716" s="11" t="str">
        <f t="shared" si="45"/>
        <v/>
      </c>
      <c r="C716" s="11" t="str">
        <f t="shared" si="44"/>
        <v/>
      </c>
      <c r="F716" s="10" t="str">
        <v/>
      </c>
      <c r="G716" t="e">
        <f t="shared" si="46"/>
        <v>#VALUE!</v>
      </c>
      <c r="H716" s="13" t="e">
        <f t="shared" si="47"/>
        <v>#VALUE!</v>
      </c>
    </row>
    <row r="717" spans="2:8">
      <c r="B717" s="11" t="str">
        <f t="shared" si="45"/>
        <v/>
      </c>
      <c r="C717" s="11" t="str">
        <f t="shared" si="44"/>
        <v/>
      </c>
      <c r="F717" s="10" t="str">
        <v/>
      </c>
      <c r="G717" t="e">
        <f t="shared" si="46"/>
        <v>#VALUE!</v>
      </c>
      <c r="H717" s="13" t="e">
        <f t="shared" si="47"/>
        <v>#VALUE!</v>
      </c>
    </row>
    <row r="718" spans="2:8">
      <c r="B718" s="11" t="str">
        <f t="shared" si="45"/>
        <v/>
      </c>
      <c r="C718" s="11" t="str">
        <f t="shared" si="44"/>
        <v/>
      </c>
      <c r="F718" s="10" t="str">
        <v/>
      </c>
      <c r="G718" t="e">
        <f t="shared" si="46"/>
        <v>#VALUE!</v>
      </c>
      <c r="H718" s="13" t="e">
        <f t="shared" si="47"/>
        <v>#VALUE!</v>
      </c>
    </row>
    <row r="719" spans="2:8">
      <c r="B719" s="11" t="str">
        <f t="shared" si="45"/>
        <v/>
      </c>
      <c r="C719" s="11" t="str">
        <f t="shared" si="44"/>
        <v/>
      </c>
      <c r="F719" s="10" t="str">
        <v/>
      </c>
      <c r="G719" t="e">
        <f t="shared" si="46"/>
        <v>#VALUE!</v>
      </c>
      <c r="H719" s="13" t="e">
        <f t="shared" si="47"/>
        <v>#VALUE!</v>
      </c>
    </row>
    <row r="720" spans="2:8">
      <c r="B720" s="11" t="str">
        <f t="shared" si="45"/>
        <v/>
      </c>
      <c r="C720" s="11" t="str">
        <f t="shared" si="44"/>
        <v/>
      </c>
      <c r="F720" s="10" t="str">
        <v/>
      </c>
      <c r="G720" t="e">
        <f t="shared" si="46"/>
        <v>#VALUE!</v>
      </c>
      <c r="H720" s="13" t="e">
        <f t="shared" si="47"/>
        <v>#VALUE!</v>
      </c>
    </row>
    <row r="721" spans="2:8">
      <c r="B721" s="11" t="str">
        <f t="shared" si="45"/>
        <v/>
      </c>
      <c r="C721" s="11" t="str">
        <f t="shared" si="44"/>
        <v/>
      </c>
      <c r="F721" s="10" t="str">
        <v/>
      </c>
      <c r="G721" t="e">
        <f t="shared" si="46"/>
        <v>#VALUE!</v>
      </c>
      <c r="H721" s="13" t="e">
        <f t="shared" si="47"/>
        <v>#VALUE!</v>
      </c>
    </row>
    <row r="722" spans="2:8">
      <c r="B722" s="11" t="str">
        <f t="shared" si="45"/>
        <v/>
      </c>
      <c r="C722" s="11" t="str">
        <f t="shared" si="44"/>
        <v/>
      </c>
      <c r="F722" s="10" t="str">
        <v/>
      </c>
      <c r="G722" t="e">
        <f t="shared" si="46"/>
        <v>#VALUE!</v>
      </c>
      <c r="H722" s="13" t="e">
        <f t="shared" si="47"/>
        <v>#VALUE!</v>
      </c>
    </row>
    <row r="723" spans="2:8">
      <c r="B723" s="11" t="str">
        <f t="shared" si="45"/>
        <v/>
      </c>
      <c r="C723" s="11" t="str">
        <f t="shared" si="44"/>
        <v/>
      </c>
      <c r="F723" s="10" t="str">
        <v/>
      </c>
      <c r="G723" t="e">
        <f t="shared" si="46"/>
        <v>#VALUE!</v>
      </c>
      <c r="H723" s="13" t="e">
        <f t="shared" si="47"/>
        <v>#VALUE!</v>
      </c>
    </row>
    <row r="724" spans="2:8">
      <c r="B724" s="11" t="str">
        <f t="shared" si="45"/>
        <v/>
      </c>
      <c r="C724" s="11" t="str">
        <f t="shared" si="44"/>
        <v/>
      </c>
      <c r="F724" s="10" t="str">
        <v/>
      </c>
      <c r="G724" t="e">
        <f t="shared" si="46"/>
        <v>#VALUE!</v>
      </c>
      <c r="H724" s="13" t="e">
        <f t="shared" si="47"/>
        <v>#VALUE!</v>
      </c>
    </row>
    <row r="725" spans="2:8">
      <c r="B725" s="11" t="str">
        <f t="shared" si="45"/>
        <v/>
      </c>
      <c r="C725" s="11" t="str">
        <f t="shared" si="44"/>
        <v/>
      </c>
      <c r="F725" s="10" t="str">
        <v/>
      </c>
      <c r="G725" t="e">
        <f t="shared" si="46"/>
        <v>#VALUE!</v>
      </c>
      <c r="H725" s="13" t="e">
        <f t="shared" si="47"/>
        <v>#VALUE!</v>
      </c>
    </row>
    <row r="726" spans="2:8">
      <c r="B726" s="11" t="str">
        <f t="shared" si="45"/>
        <v/>
      </c>
      <c r="C726" s="11" t="str">
        <f t="shared" si="44"/>
        <v/>
      </c>
      <c r="F726" s="10" t="str">
        <v/>
      </c>
      <c r="G726" t="e">
        <f t="shared" si="46"/>
        <v>#VALUE!</v>
      </c>
      <c r="H726" s="13" t="e">
        <f t="shared" si="47"/>
        <v>#VALUE!</v>
      </c>
    </row>
    <row r="727" spans="2:8">
      <c r="B727" s="11" t="str">
        <f t="shared" si="45"/>
        <v/>
      </c>
      <c r="C727" s="11" t="str">
        <f t="shared" si="44"/>
        <v/>
      </c>
      <c r="F727" s="10" t="str">
        <v/>
      </c>
      <c r="G727" t="e">
        <f t="shared" si="46"/>
        <v>#VALUE!</v>
      </c>
      <c r="H727" s="13" t="e">
        <f t="shared" si="47"/>
        <v>#VALUE!</v>
      </c>
    </row>
    <row r="728" spans="2:8">
      <c r="B728" s="11" t="str">
        <f t="shared" si="45"/>
        <v/>
      </c>
      <c r="C728" s="11" t="str">
        <f t="shared" si="44"/>
        <v/>
      </c>
      <c r="F728" s="10" t="str">
        <v/>
      </c>
      <c r="G728" t="e">
        <f t="shared" si="46"/>
        <v>#VALUE!</v>
      </c>
      <c r="H728" s="13" t="e">
        <f t="shared" si="47"/>
        <v>#VALUE!</v>
      </c>
    </row>
    <row r="729" spans="2:8">
      <c r="B729" s="11" t="str">
        <f t="shared" si="45"/>
        <v/>
      </c>
      <c r="C729" s="11" t="str">
        <f t="shared" si="44"/>
        <v/>
      </c>
      <c r="F729" s="10" t="str">
        <v/>
      </c>
      <c r="G729" t="e">
        <f t="shared" si="46"/>
        <v>#VALUE!</v>
      </c>
      <c r="H729" s="13" t="e">
        <f t="shared" si="47"/>
        <v>#VALUE!</v>
      </c>
    </row>
    <row r="730" spans="2:8">
      <c r="B730" s="11" t="str">
        <f t="shared" si="45"/>
        <v/>
      </c>
      <c r="C730" s="11" t="str">
        <f t="shared" si="44"/>
        <v/>
      </c>
      <c r="F730" s="10" t="str">
        <v/>
      </c>
      <c r="G730" t="e">
        <f t="shared" si="46"/>
        <v>#VALUE!</v>
      </c>
      <c r="H730" s="13" t="e">
        <f t="shared" si="47"/>
        <v>#VALUE!</v>
      </c>
    </row>
    <row r="731" spans="2:8">
      <c r="B731" s="11" t="str">
        <f t="shared" si="45"/>
        <v/>
      </c>
      <c r="C731" s="11" t="str">
        <f t="shared" si="44"/>
        <v/>
      </c>
      <c r="F731" s="10" t="str">
        <v/>
      </c>
      <c r="G731" t="e">
        <f t="shared" si="46"/>
        <v>#VALUE!</v>
      </c>
      <c r="H731" s="13" t="e">
        <f t="shared" si="47"/>
        <v>#VALUE!</v>
      </c>
    </row>
    <row r="732" spans="2:8">
      <c r="B732" s="11" t="str">
        <f t="shared" si="45"/>
        <v/>
      </c>
      <c r="C732" s="11" t="str">
        <f t="shared" si="44"/>
        <v/>
      </c>
      <c r="F732" s="10" t="str">
        <v/>
      </c>
      <c r="G732" t="e">
        <f t="shared" si="46"/>
        <v>#VALUE!</v>
      </c>
      <c r="H732" s="13" t="e">
        <f t="shared" si="47"/>
        <v>#VALUE!</v>
      </c>
    </row>
    <row r="733" spans="2:8">
      <c r="B733" s="11" t="str">
        <f t="shared" si="45"/>
        <v/>
      </c>
      <c r="C733" s="11" t="str">
        <f t="shared" si="44"/>
        <v/>
      </c>
      <c r="F733" s="10" t="str">
        <v/>
      </c>
      <c r="G733" t="e">
        <f t="shared" si="46"/>
        <v>#VALUE!</v>
      </c>
      <c r="H733" s="13" t="e">
        <f t="shared" si="47"/>
        <v>#VALUE!</v>
      </c>
    </row>
    <row r="734" spans="2:8">
      <c r="B734" s="11" t="str">
        <f t="shared" si="45"/>
        <v/>
      </c>
      <c r="C734" s="11" t="str">
        <f t="shared" si="44"/>
        <v/>
      </c>
      <c r="F734" s="10" t="str">
        <v/>
      </c>
      <c r="G734" t="e">
        <f t="shared" si="46"/>
        <v>#VALUE!</v>
      </c>
      <c r="H734" s="13" t="e">
        <f t="shared" si="47"/>
        <v>#VALUE!</v>
      </c>
    </row>
    <row r="735" spans="2:8">
      <c r="B735" s="11" t="str">
        <f t="shared" si="45"/>
        <v/>
      </c>
      <c r="C735" s="11" t="str">
        <f t="shared" si="44"/>
        <v/>
      </c>
      <c r="F735" s="10" t="str">
        <v/>
      </c>
      <c r="G735" t="e">
        <f t="shared" si="46"/>
        <v>#VALUE!</v>
      </c>
      <c r="H735" s="13" t="e">
        <f t="shared" si="47"/>
        <v>#VALUE!</v>
      </c>
    </row>
    <row r="736" spans="2:8">
      <c r="B736" s="11" t="str">
        <f t="shared" si="45"/>
        <v/>
      </c>
      <c r="C736" s="11" t="str">
        <f t="shared" si="44"/>
        <v/>
      </c>
      <c r="F736" s="10" t="str">
        <v/>
      </c>
      <c r="G736" t="e">
        <f t="shared" si="46"/>
        <v>#VALUE!</v>
      </c>
      <c r="H736" s="13" t="e">
        <f t="shared" si="47"/>
        <v>#VALUE!</v>
      </c>
    </row>
    <row r="737" spans="2:8">
      <c r="B737" s="11" t="str">
        <f t="shared" si="45"/>
        <v/>
      </c>
      <c r="C737" s="11" t="str">
        <f t="shared" si="44"/>
        <v/>
      </c>
      <c r="F737" s="10" t="str">
        <v/>
      </c>
      <c r="G737" t="e">
        <f t="shared" si="46"/>
        <v>#VALUE!</v>
      </c>
      <c r="H737" s="13" t="e">
        <f t="shared" si="47"/>
        <v>#VALUE!</v>
      </c>
    </row>
    <row r="738" spans="2:8">
      <c r="B738" s="11" t="str">
        <f t="shared" si="45"/>
        <v/>
      </c>
      <c r="C738" s="11" t="str">
        <f t="shared" si="44"/>
        <v/>
      </c>
      <c r="F738" s="10" t="str">
        <v/>
      </c>
      <c r="G738" t="e">
        <f t="shared" si="46"/>
        <v>#VALUE!</v>
      </c>
      <c r="H738" s="13" t="e">
        <f t="shared" si="47"/>
        <v>#VALUE!</v>
      </c>
    </row>
    <row r="739" spans="2:8">
      <c r="B739" s="11" t="str">
        <f t="shared" si="45"/>
        <v/>
      </c>
      <c r="C739" s="11" t="str">
        <f t="shared" si="44"/>
        <v/>
      </c>
      <c r="F739" s="10" t="str">
        <v/>
      </c>
      <c r="G739" t="e">
        <f t="shared" si="46"/>
        <v>#VALUE!</v>
      </c>
      <c r="H739" s="13" t="e">
        <f t="shared" si="47"/>
        <v>#VALUE!</v>
      </c>
    </row>
    <row r="740" spans="2:8">
      <c r="B740" s="11" t="str">
        <f t="shared" si="45"/>
        <v/>
      </c>
      <c r="C740" s="11" t="str">
        <f t="shared" si="44"/>
        <v/>
      </c>
      <c r="F740" s="10" t="str">
        <v/>
      </c>
      <c r="G740" t="e">
        <f t="shared" si="46"/>
        <v>#VALUE!</v>
      </c>
      <c r="H740" s="13" t="e">
        <f t="shared" si="47"/>
        <v>#VALUE!</v>
      </c>
    </row>
    <row r="741" spans="2:8">
      <c r="B741" s="11" t="str">
        <f t="shared" si="45"/>
        <v/>
      </c>
      <c r="C741" s="11" t="str">
        <f t="shared" si="44"/>
        <v/>
      </c>
      <c r="F741" s="10" t="str">
        <v/>
      </c>
      <c r="G741" t="e">
        <f t="shared" si="46"/>
        <v>#VALUE!</v>
      </c>
      <c r="H741" s="13" t="e">
        <f t="shared" si="47"/>
        <v>#VALUE!</v>
      </c>
    </row>
    <row r="742" spans="2:8">
      <c r="B742" s="11" t="str">
        <f t="shared" si="45"/>
        <v/>
      </c>
      <c r="C742" s="11" t="str">
        <f t="shared" si="44"/>
        <v/>
      </c>
      <c r="F742" s="10" t="str">
        <v/>
      </c>
      <c r="G742" t="e">
        <f t="shared" si="46"/>
        <v>#VALUE!</v>
      </c>
      <c r="H742" s="13" t="e">
        <f t="shared" si="47"/>
        <v>#VALUE!</v>
      </c>
    </row>
    <row r="743" spans="2:8">
      <c r="B743" s="11" t="str">
        <f t="shared" si="45"/>
        <v/>
      </c>
      <c r="C743" s="11" t="str">
        <f t="shared" si="44"/>
        <v/>
      </c>
      <c r="F743" s="10" t="str">
        <v/>
      </c>
      <c r="G743" t="e">
        <f t="shared" si="46"/>
        <v>#VALUE!</v>
      </c>
      <c r="H743" s="13" t="e">
        <f t="shared" si="47"/>
        <v>#VALUE!</v>
      </c>
    </row>
    <row r="744" spans="2:8">
      <c r="B744" s="11" t="str">
        <f t="shared" si="45"/>
        <v/>
      </c>
      <c r="C744" s="11" t="str">
        <f t="shared" si="44"/>
        <v/>
      </c>
      <c r="F744" s="10" t="str">
        <v/>
      </c>
      <c r="G744" t="e">
        <f t="shared" si="46"/>
        <v>#VALUE!</v>
      </c>
      <c r="H744" s="13" t="e">
        <f t="shared" si="47"/>
        <v>#VALUE!</v>
      </c>
    </row>
    <row r="745" spans="2:8">
      <c r="B745" s="11" t="str">
        <f t="shared" si="45"/>
        <v/>
      </c>
      <c r="C745" s="11" t="str">
        <f t="shared" ref="C745:C808" si="48">IF(B745="артикул",A745,"")</f>
        <v/>
      </c>
      <c r="F745" s="10" t="str">
        <v/>
      </c>
      <c r="G745" t="e">
        <f t="shared" si="46"/>
        <v>#VALUE!</v>
      </c>
      <c r="H745" s="13" t="e">
        <f t="shared" si="47"/>
        <v>#VALUE!</v>
      </c>
    </row>
    <row r="746" spans="2:8">
      <c r="B746" s="11" t="str">
        <f t="shared" si="45"/>
        <v/>
      </c>
      <c r="C746" s="11" t="str">
        <f t="shared" si="48"/>
        <v/>
      </c>
      <c r="F746" s="10" t="str">
        <v/>
      </c>
      <c r="G746" t="e">
        <f t="shared" si="46"/>
        <v>#VALUE!</v>
      </c>
      <c r="H746" s="13" t="e">
        <f t="shared" si="47"/>
        <v>#VALUE!</v>
      </c>
    </row>
    <row r="747" spans="2:8">
      <c r="B747" s="11" t="str">
        <f t="shared" si="45"/>
        <v/>
      </c>
      <c r="C747" s="11" t="str">
        <f t="shared" si="48"/>
        <v/>
      </c>
      <c r="F747" s="10" t="str">
        <v/>
      </c>
      <c r="G747" t="e">
        <f t="shared" si="46"/>
        <v>#VALUE!</v>
      </c>
      <c r="H747" s="13" t="e">
        <f t="shared" si="47"/>
        <v>#VALUE!</v>
      </c>
    </row>
    <row r="748" spans="2:8">
      <c r="B748" s="11" t="str">
        <f t="shared" si="45"/>
        <v/>
      </c>
      <c r="C748" s="11" t="str">
        <f t="shared" si="48"/>
        <v/>
      </c>
      <c r="F748" s="10" t="str">
        <v/>
      </c>
      <c r="G748" t="e">
        <f t="shared" si="46"/>
        <v>#VALUE!</v>
      </c>
      <c r="H748" s="13" t="e">
        <f t="shared" si="47"/>
        <v>#VALUE!</v>
      </c>
    </row>
    <row r="749" spans="2:8">
      <c r="B749" s="11" t="str">
        <f t="shared" si="45"/>
        <v/>
      </c>
      <c r="C749" s="11" t="str">
        <f t="shared" si="48"/>
        <v/>
      </c>
      <c r="F749" s="10" t="str">
        <v/>
      </c>
      <c r="G749" t="e">
        <f t="shared" si="46"/>
        <v>#VALUE!</v>
      </c>
      <c r="H749" s="13" t="e">
        <f t="shared" si="47"/>
        <v>#VALUE!</v>
      </c>
    </row>
    <row r="750" spans="2:8">
      <c r="B750" s="11" t="str">
        <f t="shared" si="45"/>
        <v/>
      </c>
      <c r="C750" s="11" t="str">
        <f t="shared" si="48"/>
        <v/>
      </c>
      <c r="F750" s="10" t="str">
        <v/>
      </c>
      <c r="G750" t="e">
        <f t="shared" si="46"/>
        <v>#VALUE!</v>
      </c>
      <c r="H750" s="13" t="e">
        <f t="shared" si="47"/>
        <v>#VALUE!</v>
      </c>
    </row>
    <row r="751" spans="2:8">
      <c r="B751" s="11" t="str">
        <f t="shared" si="45"/>
        <v/>
      </c>
      <c r="C751" s="11" t="str">
        <f t="shared" si="48"/>
        <v/>
      </c>
      <c r="F751" s="10" t="str">
        <v/>
      </c>
      <c r="G751" t="e">
        <f t="shared" si="46"/>
        <v>#VALUE!</v>
      </c>
      <c r="H751" s="13" t="e">
        <f t="shared" si="47"/>
        <v>#VALUE!</v>
      </c>
    </row>
    <row r="752" spans="2:8">
      <c r="B752" s="11" t="str">
        <f t="shared" si="45"/>
        <v/>
      </c>
      <c r="C752" s="11" t="str">
        <f t="shared" si="48"/>
        <v/>
      </c>
      <c r="F752" s="10" t="str">
        <v/>
      </c>
      <c r="G752" t="e">
        <f t="shared" si="46"/>
        <v>#VALUE!</v>
      </c>
      <c r="H752" s="13" t="e">
        <f t="shared" si="47"/>
        <v>#VALUE!</v>
      </c>
    </row>
    <row r="753" spans="2:8">
      <c r="B753" s="11" t="str">
        <f t="shared" si="45"/>
        <v/>
      </c>
      <c r="C753" s="11" t="str">
        <f t="shared" si="48"/>
        <v/>
      </c>
      <c r="F753" s="10" t="str">
        <v/>
      </c>
      <c r="G753" t="e">
        <f t="shared" si="46"/>
        <v>#VALUE!</v>
      </c>
      <c r="H753" s="13" t="e">
        <f t="shared" si="47"/>
        <v>#VALUE!</v>
      </c>
    </row>
    <row r="754" spans="2:8">
      <c r="B754" s="11" t="str">
        <f t="shared" si="45"/>
        <v/>
      </c>
      <c r="C754" s="11" t="str">
        <f t="shared" si="48"/>
        <v/>
      </c>
      <c r="F754" s="10" t="str">
        <v/>
      </c>
      <c r="G754" t="e">
        <f t="shared" si="46"/>
        <v>#VALUE!</v>
      </c>
      <c r="H754" s="13" t="e">
        <f t="shared" si="47"/>
        <v>#VALUE!</v>
      </c>
    </row>
    <row r="755" spans="2:8">
      <c r="B755" s="11" t="str">
        <f t="shared" si="45"/>
        <v/>
      </c>
      <c r="C755" s="11" t="str">
        <f t="shared" si="48"/>
        <v/>
      </c>
      <c r="F755" s="10" t="str">
        <v/>
      </c>
      <c r="G755" t="e">
        <f t="shared" si="46"/>
        <v>#VALUE!</v>
      </c>
      <c r="H755" s="13" t="e">
        <f t="shared" si="47"/>
        <v>#VALUE!</v>
      </c>
    </row>
    <row r="756" spans="2:8">
      <c r="B756" s="11" t="str">
        <f t="shared" si="45"/>
        <v/>
      </c>
      <c r="C756" s="11" t="str">
        <f t="shared" si="48"/>
        <v/>
      </c>
      <c r="F756" s="10" t="str">
        <v/>
      </c>
      <c r="G756" t="e">
        <f t="shared" si="46"/>
        <v>#VALUE!</v>
      </c>
      <c r="H756" s="13" t="e">
        <f t="shared" si="47"/>
        <v>#VALUE!</v>
      </c>
    </row>
    <row r="757" spans="2:8">
      <c r="B757" s="11" t="str">
        <f t="shared" si="45"/>
        <v/>
      </c>
      <c r="C757" s="11" t="str">
        <f t="shared" si="48"/>
        <v/>
      </c>
      <c r="F757" s="10" t="str">
        <v/>
      </c>
      <c r="G757" t="e">
        <f t="shared" si="46"/>
        <v>#VALUE!</v>
      </c>
      <c r="H757" s="13" t="e">
        <f t="shared" si="47"/>
        <v>#VALUE!</v>
      </c>
    </row>
    <row r="758" spans="2:8">
      <c r="B758" s="11" t="str">
        <f t="shared" si="45"/>
        <v/>
      </c>
      <c r="C758" s="11" t="str">
        <f t="shared" si="48"/>
        <v/>
      </c>
      <c r="F758" s="10" t="str">
        <v/>
      </c>
      <c r="G758" t="e">
        <f t="shared" si="46"/>
        <v>#VALUE!</v>
      </c>
      <c r="H758" s="13" t="e">
        <f t="shared" si="47"/>
        <v>#VALUE!</v>
      </c>
    </row>
    <row r="759" spans="2:8">
      <c r="B759" s="11" t="str">
        <f t="shared" si="45"/>
        <v/>
      </c>
      <c r="C759" s="11" t="str">
        <f t="shared" si="48"/>
        <v/>
      </c>
      <c r="F759" s="10" t="str">
        <v/>
      </c>
      <c r="G759" t="e">
        <f t="shared" si="46"/>
        <v>#VALUE!</v>
      </c>
      <c r="H759" s="13" t="e">
        <f t="shared" si="47"/>
        <v>#VALUE!</v>
      </c>
    </row>
    <row r="760" spans="2:8">
      <c r="B760" s="11" t="str">
        <f t="shared" si="45"/>
        <v/>
      </c>
      <c r="C760" s="11" t="str">
        <f t="shared" si="48"/>
        <v/>
      </c>
      <c r="F760" s="10" t="str">
        <v/>
      </c>
      <c r="G760" t="e">
        <f t="shared" si="46"/>
        <v>#VALUE!</v>
      </c>
      <c r="H760" s="13" t="e">
        <f t="shared" si="47"/>
        <v>#VALUE!</v>
      </c>
    </row>
    <row r="761" spans="2:8">
      <c r="B761" s="11" t="str">
        <f t="shared" si="45"/>
        <v/>
      </c>
      <c r="C761" s="11" t="str">
        <f t="shared" si="48"/>
        <v/>
      </c>
      <c r="F761" s="10" t="str">
        <v/>
      </c>
      <c r="G761" t="e">
        <f t="shared" si="46"/>
        <v>#VALUE!</v>
      </c>
      <c r="H761" s="13" t="e">
        <f t="shared" si="47"/>
        <v>#VALUE!</v>
      </c>
    </row>
    <row r="762" spans="2:8">
      <c r="B762" s="11" t="str">
        <f t="shared" si="45"/>
        <v/>
      </c>
      <c r="C762" s="11" t="str">
        <f t="shared" si="48"/>
        <v/>
      </c>
      <c r="F762" s="10" t="str">
        <v/>
      </c>
      <c r="G762" t="e">
        <f t="shared" si="46"/>
        <v>#VALUE!</v>
      </c>
      <c r="H762" s="13" t="e">
        <f t="shared" si="47"/>
        <v>#VALUE!</v>
      </c>
    </row>
    <row r="763" spans="2:8">
      <c r="B763" s="11" t="str">
        <f t="shared" si="45"/>
        <v/>
      </c>
      <c r="C763" s="11" t="str">
        <f t="shared" si="48"/>
        <v/>
      </c>
      <c r="F763" s="10" t="str">
        <v/>
      </c>
      <c r="G763" t="e">
        <f t="shared" si="46"/>
        <v>#VALUE!</v>
      </c>
      <c r="H763" s="13" t="e">
        <f t="shared" si="47"/>
        <v>#VALUE!</v>
      </c>
    </row>
    <row r="764" spans="2:8">
      <c r="B764" s="11" t="str">
        <f t="shared" si="45"/>
        <v/>
      </c>
      <c r="C764" s="11" t="str">
        <f t="shared" si="48"/>
        <v/>
      </c>
      <c r="F764" s="10" t="str">
        <v/>
      </c>
      <c r="G764" t="e">
        <f t="shared" si="46"/>
        <v>#VALUE!</v>
      </c>
      <c r="H764" s="13" t="e">
        <f t="shared" si="47"/>
        <v>#VALUE!</v>
      </c>
    </row>
    <row r="765" spans="2:8">
      <c r="B765" s="11" t="str">
        <f t="shared" si="45"/>
        <v/>
      </c>
      <c r="C765" s="11" t="str">
        <f t="shared" si="48"/>
        <v/>
      </c>
      <c r="F765" s="10" t="str">
        <v/>
      </c>
      <c r="G765" t="e">
        <f t="shared" si="46"/>
        <v>#VALUE!</v>
      </c>
      <c r="H765" s="13" t="e">
        <f t="shared" si="47"/>
        <v>#VALUE!</v>
      </c>
    </row>
    <row r="766" spans="2:8">
      <c r="B766" s="11" t="str">
        <f t="shared" si="45"/>
        <v/>
      </c>
      <c r="C766" s="11" t="str">
        <f t="shared" si="48"/>
        <v/>
      </c>
      <c r="F766" s="10" t="str">
        <v/>
      </c>
      <c r="G766" t="e">
        <f t="shared" si="46"/>
        <v>#VALUE!</v>
      </c>
      <c r="H766" s="13" t="e">
        <f t="shared" si="47"/>
        <v>#VALUE!</v>
      </c>
    </row>
    <row r="767" spans="2:8">
      <c r="B767" s="11" t="str">
        <f t="shared" si="45"/>
        <v/>
      </c>
      <c r="C767" s="11" t="str">
        <f t="shared" si="48"/>
        <v/>
      </c>
      <c r="F767" s="10" t="str">
        <v/>
      </c>
      <c r="G767" t="e">
        <f t="shared" si="46"/>
        <v>#VALUE!</v>
      </c>
      <c r="H767" s="13" t="e">
        <f t="shared" si="47"/>
        <v>#VALUE!</v>
      </c>
    </row>
    <row r="768" spans="2:8">
      <c r="B768" s="11" t="str">
        <f t="shared" si="45"/>
        <v/>
      </c>
      <c r="C768" s="11" t="str">
        <f t="shared" si="48"/>
        <v/>
      </c>
      <c r="F768" s="10" t="str">
        <v/>
      </c>
      <c r="G768" t="e">
        <f t="shared" si="46"/>
        <v>#VALUE!</v>
      </c>
      <c r="H768" s="13" t="e">
        <f t="shared" si="47"/>
        <v>#VALUE!</v>
      </c>
    </row>
    <row r="769" spans="2:8">
      <c r="B769" s="11" t="str">
        <f t="shared" ref="B769:B832" si="49">IFERROR(IF(FIND(" ",A769)=6,IF(IFERROR(FIND(" PB",A769),"")&lt;&gt;"","артикул",IF(IFERROR(FIND(" CRN",A769),"")&lt;&gt;"","артикул","")),""),"")</f>
        <v/>
      </c>
      <c r="C769" s="11" t="str">
        <f t="shared" si="48"/>
        <v/>
      </c>
      <c r="F769" s="10" t="str">
        <v/>
      </c>
      <c r="G769" t="e">
        <f t="shared" si="46"/>
        <v>#VALUE!</v>
      </c>
      <c r="H769" s="13" t="e">
        <f t="shared" si="47"/>
        <v>#VALUE!</v>
      </c>
    </row>
    <row r="770" spans="2:8">
      <c r="B770" s="11" t="str">
        <f t="shared" si="49"/>
        <v/>
      </c>
      <c r="C770" s="11" t="str">
        <f t="shared" si="48"/>
        <v/>
      </c>
      <c r="F770" s="10" t="str">
        <v/>
      </c>
      <c r="G770" t="e">
        <f t="shared" ref="G770:G833" si="50">CONCATENATE(LEFT(F770,5),
MID(F770,
SEARCH("\",SUBSTITUTE(F770," ","\",LEN(F770)-LEN(SUBSTITUTE(F770," ",""))-4)),
SEARCH("\",SUBSTITUTE(F770," ","\",LEN(F770)-LEN(SUBSTITUTE(F770," ",""))-3))-
SEARCH("\",SUBSTITUTE(F770," ","\",LEN(F770)-LEN(SUBSTITUTE(F770," ",""))-4)))*1)</f>
        <v>#VALUE!</v>
      </c>
      <c r="H770" s="13" t="e">
        <f t="shared" ref="H770:H833" si="51">SUBSTITUTE(
RIGHT(F770,LEN(F770)-
FIND("\",SUBSTITUTE(F770," ","\",LEN(F770)-LEN(SUBSTITUTE(F770," ",""))))),
".","")</f>
        <v>#VALUE!</v>
      </c>
    </row>
    <row r="771" spans="2:8">
      <c r="B771" s="11" t="str">
        <f t="shared" si="49"/>
        <v/>
      </c>
      <c r="C771" s="11" t="str">
        <f t="shared" si="48"/>
        <v/>
      </c>
      <c r="F771" s="10" t="str">
        <v/>
      </c>
      <c r="G771" t="e">
        <f t="shared" si="50"/>
        <v>#VALUE!</v>
      </c>
      <c r="H771" s="13" t="e">
        <f t="shared" si="51"/>
        <v>#VALUE!</v>
      </c>
    </row>
    <row r="772" spans="2:8">
      <c r="B772" s="11" t="str">
        <f t="shared" si="49"/>
        <v/>
      </c>
      <c r="C772" s="11" t="str">
        <f t="shared" si="48"/>
        <v/>
      </c>
      <c r="F772" s="10" t="str">
        <v/>
      </c>
      <c r="G772" t="e">
        <f t="shared" si="50"/>
        <v>#VALUE!</v>
      </c>
      <c r="H772" s="13" t="e">
        <f t="shared" si="51"/>
        <v>#VALUE!</v>
      </c>
    </row>
    <row r="773" spans="2:8">
      <c r="B773" s="11" t="str">
        <f t="shared" si="49"/>
        <v/>
      </c>
      <c r="C773" s="11" t="str">
        <f t="shared" si="48"/>
        <v/>
      </c>
      <c r="F773" s="10" t="str">
        <v/>
      </c>
      <c r="G773" t="e">
        <f t="shared" si="50"/>
        <v>#VALUE!</v>
      </c>
      <c r="H773" s="13" t="e">
        <f t="shared" si="51"/>
        <v>#VALUE!</v>
      </c>
    </row>
    <row r="774" spans="2:8">
      <c r="B774" s="11" t="str">
        <f t="shared" si="49"/>
        <v/>
      </c>
      <c r="C774" s="11" t="str">
        <f t="shared" si="48"/>
        <v/>
      </c>
      <c r="F774" s="10" t="str">
        <v/>
      </c>
      <c r="G774" t="e">
        <f t="shared" si="50"/>
        <v>#VALUE!</v>
      </c>
      <c r="H774" s="13" t="e">
        <f t="shared" si="51"/>
        <v>#VALUE!</v>
      </c>
    </row>
    <row r="775" spans="2:8">
      <c r="B775" s="11" t="str">
        <f t="shared" si="49"/>
        <v/>
      </c>
      <c r="C775" s="11" t="str">
        <f t="shared" si="48"/>
        <v/>
      </c>
      <c r="F775" s="10" t="str">
        <v/>
      </c>
      <c r="G775" t="e">
        <f t="shared" si="50"/>
        <v>#VALUE!</v>
      </c>
      <c r="H775" s="13" t="e">
        <f t="shared" si="51"/>
        <v>#VALUE!</v>
      </c>
    </row>
    <row r="776" spans="2:8">
      <c r="B776" s="11" t="str">
        <f t="shared" si="49"/>
        <v/>
      </c>
      <c r="C776" s="11" t="str">
        <f t="shared" si="48"/>
        <v/>
      </c>
      <c r="F776" s="10" t="str">
        <v/>
      </c>
      <c r="G776" t="e">
        <f t="shared" si="50"/>
        <v>#VALUE!</v>
      </c>
      <c r="H776" s="13" t="e">
        <f t="shared" si="51"/>
        <v>#VALUE!</v>
      </c>
    </row>
    <row r="777" spans="2:8">
      <c r="B777" s="11" t="str">
        <f t="shared" si="49"/>
        <v/>
      </c>
      <c r="C777" s="11" t="str">
        <f t="shared" si="48"/>
        <v/>
      </c>
      <c r="F777" s="10" t="str">
        <v/>
      </c>
      <c r="G777" t="e">
        <f t="shared" si="50"/>
        <v>#VALUE!</v>
      </c>
      <c r="H777" s="13" t="e">
        <f t="shared" si="51"/>
        <v>#VALUE!</v>
      </c>
    </row>
    <row r="778" spans="2:8">
      <c r="B778" s="11" t="str">
        <f t="shared" si="49"/>
        <v/>
      </c>
      <c r="C778" s="11" t="str">
        <f t="shared" si="48"/>
        <v/>
      </c>
      <c r="F778" s="10" t="str">
        <v/>
      </c>
      <c r="G778" t="e">
        <f t="shared" si="50"/>
        <v>#VALUE!</v>
      </c>
      <c r="H778" s="13" t="e">
        <f t="shared" si="51"/>
        <v>#VALUE!</v>
      </c>
    </row>
    <row r="779" spans="2:8">
      <c r="B779" s="11" t="str">
        <f t="shared" si="49"/>
        <v/>
      </c>
      <c r="C779" s="11" t="str">
        <f t="shared" si="48"/>
        <v/>
      </c>
      <c r="F779" s="10" t="str">
        <v/>
      </c>
      <c r="G779" t="e">
        <f t="shared" si="50"/>
        <v>#VALUE!</v>
      </c>
      <c r="H779" s="13" t="e">
        <f t="shared" si="51"/>
        <v>#VALUE!</v>
      </c>
    </row>
    <row r="780" spans="2:8">
      <c r="B780" s="11" t="str">
        <f t="shared" si="49"/>
        <v/>
      </c>
      <c r="C780" s="11" t="str">
        <f t="shared" si="48"/>
        <v/>
      </c>
      <c r="F780" s="10" t="str">
        <v/>
      </c>
      <c r="G780" t="e">
        <f t="shared" si="50"/>
        <v>#VALUE!</v>
      </c>
      <c r="H780" s="13" t="e">
        <f t="shared" si="51"/>
        <v>#VALUE!</v>
      </c>
    </row>
    <row r="781" spans="2:8">
      <c r="B781" s="11" t="str">
        <f t="shared" si="49"/>
        <v/>
      </c>
      <c r="C781" s="11" t="str">
        <f t="shared" si="48"/>
        <v/>
      </c>
      <c r="F781" s="10" t="str">
        <v/>
      </c>
      <c r="G781" t="e">
        <f t="shared" si="50"/>
        <v>#VALUE!</v>
      </c>
      <c r="H781" s="13" t="e">
        <f t="shared" si="51"/>
        <v>#VALUE!</v>
      </c>
    </row>
    <row r="782" spans="2:8">
      <c r="B782" s="11" t="str">
        <f t="shared" si="49"/>
        <v/>
      </c>
      <c r="C782" s="11" t="str">
        <f t="shared" si="48"/>
        <v/>
      </c>
      <c r="F782" s="10" t="str">
        <v/>
      </c>
      <c r="G782" t="e">
        <f t="shared" si="50"/>
        <v>#VALUE!</v>
      </c>
      <c r="H782" s="13" t="e">
        <f t="shared" si="51"/>
        <v>#VALUE!</v>
      </c>
    </row>
    <row r="783" spans="2:8">
      <c r="B783" s="11" t="str">
        <f t="shared" si="49"/>
        <v/>
      </c>
      <c r="C783" s="11" t="str">
        <f t="shared" si="48"/>
        <v/>
      </c>
      <c r="F783" s="10" t="str">
        <v/>
      </c>
      <c r="G783" t="e">
        <f t="shared" si="50"/>
        <v>#VALUE!</v>
      </c>
      <c r="H783" s="13" t="e">
        <f t="shared" si="51"/>
        <v>#VALUE!</v>
      </c>
    </row>
    <row r="784" spans="2:8">
      <c r="B784" s="11" t="str">
        <f t="shared" si="49"/>
        <v/>
      </c>
      <c r="C784" s="11" t="str">
        <f t="shared" si="48"/>
        <v/>
      </c>
      <c r="F784" s="10" t="str">
        <v/>
      </c>
      <c r="G784" t="e">
        <f t="shared" si="50"/>
        <v>#VALUE!</v>
      </c>
      <c r="H784" s="13" t="e">
        <f t="shared" si="51"/>
        <v>#VALUE!</v>
      </c>
    </row>
    <row r="785" spans="2:8">
      <c r="B785" s="11" t="str">
        <f t="shared" si="49"/>
        <v/>
      </c>
      <c r="C785" s="11" t="str">
        <f t="shared" si="48"/>
        <v/>
      </c>
      <c r="F785" s="10" t="str">
        <v/>
      </c>
      <c r="G785" t="e">
        <f t="shared" si="50"/>
        <v>#VALUE!</v>
      </c>
      <c r="H785" s="13" t="e">
        <f t="shared" si="51"/>
        <v>#VALUE!</v>
      </c>
    </row>
    <row r="786" spans="2:8">
      <c r="B786" s="11" t="str">
        <f t="shared" si="49"/>
        <v/>
      </c>
      <c r="C786" s="11" t="str">
        <f t="shared" si="48"/>
        <v/>
      </c>
      <c r="F786" s="10" t="str">
        <v/>
      </c>
      <c r="G786" t="e">
        <f t="shared" si="50"/>
        <v>#VALUE!</v>
      </c>
      <c r="H786" s="13" t="e">
        <f t="shared" si="51"/>
        <v>#VALUE!</v>
      </c>
    </row>
    <row r="787" spans="2:8">
      <c r="B787" s="11" t="str">
        <f t="shared" si="49"/>
        <v/>
      </c>
      <c r="C787" s="11" t="str">
        <f t="shared" si="48"/>
        <v/>
      </c>
      <c r="F787" s="10" t="str">
        <v/>
      </c>
      <c r="G787" t="e">
        <f t="shared" si="50"/>
        <v>#VALUE!</v>
      </c>
      <c r="H787" s="13" t="e">
        <f t="shared" si="51"/>
        <v>#VALUE!</v>
      </c>
    </row>
    <row r="788" spans="2:8">
      <c r="B788" s="11" t="str">
        <f t="shared" si="49"/>
        <v/>
      </c>
      <c r="C788" s="11" t="str">
        <f t="shared" si="48"/>
        <v/>
      </c>
      <c r="F788" s="10" t="str">
        <v/>
      </c>
      <c r="G788" t="e">
        <f t="shared" si="50"/>
        <v>#VALUE!</v>
      </c>
      <c r="H788" s="13" t="e">
        <f t="shared" si="51"/>
        <v>#VALUE!</v>
      </c>
    </row>
    <row r="789" spans="2:8">
      <c r="B789" s="11" t="str">
        <f t="shared" si="49"/>
        <v/>
      </c>
      <c r="C789" s="11" t="str">
        <f t="shared" si="48"/>
        <v/>
      </c>
      <c r="F789" s="10" t="str">
        <v/>
      </c>
      <c r="G789" t="e">
        <f t="shared" si="50"/>
        <v>#VALUE!</v>
      </c>
      <c r="H789" s="13" t="e">
        <f t="shared" si="51"/>
        <v>#VALUE!</v>
      </c>
    </row>
    <row r="790" spans="2:8">
      <c r="B790" s="11" t="str">
        <f t="shared" si="49"/>
        <v/>
      </c>
      <c r="C790" s="11" t="str">
        <f t="shared" si="48"/>
        <v/>
      </c>
      <c r="F790" s="10" t="str">
        <v/>
      </c>
      <c r="G790" t="e">
        <f t="shared" si="50"/>
        <v>#VALUE!</v>
      </c>
      <c r="H790" s="13" t="e">
        <f t="shared" si="51"/>
        <v>#VALUE!</v>
      </c>
    </row>
    <row r="791" spans="2:8">
      <c r="B791" s="11" t="str">
        <f t="shared" si="49"/>
        <v/>
      </c>
      <c r="C791" s="11" t="str">
        <f t="shared" si="48"/>
        <v/>
      </c>
      <c r="F791" s="10" t="str">
        <v/>
      </c>
      <c r="G791" t="e">
        <f t="shared" si="50"/>
        <v>#VALUE!</v>
      </c>
      <c r="H791" s="13" t="e">
        <f t="shared" si="51"/>
        <v>#VALUE!</v>
      </c>
    </row>
    <row r="792" spans="2:8">
      <c r="B792" s="11" t="str">
        <f t="shared" si="49"/>
        <v/>
      </c>
      <c r="C792" s="11" t="str">
        <f t="shared" si="48"/>
        <v/>
      </c>
      <c r="F792" s="10" t="str">
        <v/>
      </c>
      <c r="G792" t="e">
        <f t="shared" si="50"/>
        <v>#VALUE!</v>
      </c>
      <c r="H792" s="13" t="e">
        <f t="shared" si="51"/>
        <v>#VALUE!</v>
      </c>
    </row>
    <row r="793" spans="2:8">
      <c r="B793" s="11" t="str">
        <f t="shared" si="49"/>
        <v/>
      </c>
      <c r="C793" s="11" t="str">
        <f t="shared" si="48"/>
        <v/>
      </c>
      <c r="F793" s="10" t="str">
        <v/>
      </c>
      <c r="G793" t="e">
        <f t="shared" si="50"/>
        <v>#VALUE!</v>
      </c>
      <c r="H793" s="13" t="e">
        <f t="shared" si="51"/>
        <v>#VALUE!</v>
      </c>
    </row>
    <row r="794" spans="2:8">
      <c r="B794" s="11" t="str">
        <f t="shared" si="49"/>
        <v/>
      </c>
      <c r="C794" s="11" t="str">
        <f t="shared" si="48"/>
        <v/>
      </c>
      <c r="F794" s="10" t="str">
        <v/>
      </c>
      <c r="G794" t="e">
        <f t="shared" si="50"/>
        <v>#VALUE!</v>
      </c>
      <c r="H794" s="13" t="e">
        <f t="shared" si="51"/>
        <v>#VALUE!</v>
      </c>
    </row>
    <row r="795" spans="2:8">
      <c r="B795" s="11" t="str">
        <f t="shared" si="49"/>
        <v/>
      </c>
      <c r="C795" s="11" t="str">
        <f t="shared" si="48"/>
        <v/>
      </c>
      <c r="F795" s="10" t="str">
        <v/>
      </c>
      <c r="G795" t="e">
        <f t="shared" si="50"/>
        <v>#VALUE!</v>
      </c>
      <c r="H795" s="13" t="e">
        <f t="shared" si="51"/>
        <v>#VALUE!</v>
      </c>
    </row>
    <row r="796" spans="2:8">
      <c r="B796" s="11" t="str">
        <f t="shared" si="49"/>
        <v/>
      </c>
      <c r="C796" s="11" t="str">
        <f t="shared" si="48"/>
        <v/>
      </c>
      <c r="F796" s="10" t="str">
        <v/>
      </c>
      <c r="G796" t="e">
        <f t="shared" si="50"/>
        <v>#VALUE!</v>
      </c>
      <c r="H796" s="13" t="e">
        <f t="shared" si="51"/>
        <v>#VALUE!</v>
      </c>
    </row>
    <row r="797" spans="2:8">
      <c r="B797" s="11" t="str">
        <f t="shared" si="49"/>
        <v/>
      </c>
      <c r="C797" s="11" t="str">
        <f t="shared" si="48"/>
        <v/>
      </c>
      <c r="F797" s="10" t="str">
        <v/>
      </c>
      <c r="G797" t="e">
        <f t="shared" si="50"/>
        <v>#VALUE!</v>
      </c>
      <c r="H797" s="13" t="e">
        <f t="shared" si="51"/>
        <v>#VALUE!</v>
      </c>
    </row>
    <row r="798" spans="2:8">
      <c r="B798" s="11" t="str">
        <f t="shared" si="49"/>
        <v/>
      </c>
      <c r="C798" s="11" t="str">
        <f t="shared" si="48"/>
        <v/>
      </c>
      <c r="F798" s="10" t="str">
        <v/>
      </c>
      <c r="G798" t="e">
        <f t="shared" si="50"/>
        <v>#VALUE!</v>
      </c>
      <c r="H798" s="13" t="e">
        <f t="shared" si="51"/>
        <v>#VALUE!</v>
      </c>
    </row>
    <row r="799" spans="2:8">
      <c r="B799" s="11" t="str">
        <f t="shared" si="49"/>
        <v/>
      </c>
      <c r="C799" s="11" t="str">
        <f t="shared" si="48"/>
        <v/>
      </c>
      <c r="F799" s="10" t="str">
        <v/>
      </c>
      <c r="G799" t="e">
        <f t="shared" si="50"/>
        <v>#VALUE!</v>
      </c>
      <c r="H799" s="13" t="e">
        <f t="shared" si="51"/>
        <v>#VALUE!</v>
      </c>
    </row>
    <row r="800" spans="2:8">
      <c r="B800" s="11" t="str">
        <f t="shared" si="49"/>
        <v/>
      </c>
      <c r="C800" s="11" t="str">
        <f t="shared" si="48"/>
        <v/>
      </c>
      <c r="F800" s="10" t="str">
        <v/>
      </c>
      <c r="G800" t="e">
        <f t="shared" si="50"/>
        <v>#VALUE!</v>
      </c>
      <c r="H800" s="13" t="e">
        <f t="shared" si="51"/>
        <v>#VALUE!</v>
      </c>
    </row>
    <row r="801" spans="2:8">
      <c r="B801" s="11" t="str">
        <f t="shared" si="49"/>
        <v/>
      </c>
      <c r="C801" s="11" t="str">
        <f t="shared" si="48"/>
        <v/>
      </c>
      <c r="F801" s="10" t="str">
        <v/>
      </c>
      <c r="G801" t="e">
        <f t="shared" si="50"/>
        <v>#VALUE!</v>
      </c>
      <c r="H801" s="13" t="e">
        <f t="shared" si="51"/>
        <v>#VALUE!</v>
      </c>
    </row>
    <row r="802" spans="2:8">
      <c r="B802" s="11" t="str">
        <f t="shared" si="49"/>
        <v/>
      </c>
      <c r="C802" s="11" t="str">
        <f t="shared" si="48"/>
        <v/>
      </c>
      <c r="F802" s="10" t="str">
        <v/>
      </c>
      <c r="G802" t="e">
        <f t="shared" si="50"/>
        <v>#VALUE!</v>
      </c>
      <c r="H802" s="13" t="e">
        <f t="shared" si="51"/>
        <v>#VALUE!</v>
      </c>
    </row>
    <row r="803" spans="2:8">
      <c r="B803" s="11" t="str">
        <f t="shared" si="49"/>
        <v/>
      </c>
      <c r="C803" s="11" t="str">
        <f t="shared" si="48"/>
        <v/>
      </c>
      <c r="F803" s="10" t="str">
        <v/>
      </c>
      <c r="G803" t="e">
        <f t="shared" si="50"/>
        <v>#VALUE!</v>
      </c>
      <c r="H803" s="13" t="e">
        <f t="shared" si="51"/>
        <v>#VALUE!</v>
      </c>
    </row>
    <row r="804" spans="2:8">
      <c r="B804" s="11" t="str">
        <f t="shared" si="49"/>
        <v/>
      </c>
      <c r="C804" s="11" t="str">
        <f t="shared" si="48"/>
        <v/>
      </c>
      <c r="F804" s="10" t="str">
        <v/>
      </c>
      <c r="G804" t="e">
        <f t="shared" si="50"/>
        <v>#VALUE!</v>
      </c>
      <c r="H804" s="13" t="e">
        <f t="shared" si="51"/>
        <v>#VALUE!</v>
      </c>
    </row>
    <row r="805" spans="2:8">
      <c r="B805" s="11" t="str">
        <f t="shared" si="49"/>
        <v/>
      </c>
      <c r="C805" s="11" t="str">
        <f t="shared" si="48"/>
        <v/>
      </c>
      <c r="F805" s="10" t="str">
        <v/>
      </c>
      <c r="G805" t="e">
        <f t="shared" si="50"/>
        <v>#VALUE!</v>
      </c>
      <c r="H805" s="13" t="e">
        <f t="shared" si="51"/>
        <v>#VALUE!</v>
      </c>
    </row>
    <row r="806" spans="2:8">
      <c r="B806" s="11" t="str">
        <f t="shared" si="49"/>
        <v/>
      </c>
      <c r="C806" s="11" t="str">
        <f t="shared" si="48"/>
        <v/>
      </c>
      <c r="F806" s="10" t="str">
        <v/>
      </c>
      <c r="G806" t="e">
        <f t="shared" si="50"/>
        <v>#VALUE!</v>
      </c>
      <c r="H806" s="13" t="e">
        <f t="shared" si="51"/>
        <v>#VALUE!</v>
      </c>
    </row>
    <row r="807" spans="2:8">
      <c r="B807" s="11" t="str">
        <f t="shared" si="49"/>
        <v/>
      </c>
      <c r="C807" s="11" t="str">
        <f t="shared" si="48"/>
        <v/>
      </c>
      <c r="F807" s="10" t="str">
        <v/>
      </c>
      <c r="G807" t="e">
        <f t="shared" si="50"/>
        <v>#VALUE!</v>
      </c>
      <c r="H807" s="13" t="e">
        <f t="shared" si="51"/>
        <v>#VALUE!</v>
      </c>
    </row>
    <row r="808" spans="2:8">
      <c r="B808" s="11" t="str">
        <f t="shared" si="49"/>
        <v/>
      </c>
      <c r="C808" s="11" t="str">
        <f t="shared" si="48"/>
        <v/>
      </c>
      <c r="F808" s="10" t="str">
        <v/>
      </c>
      <c r="G808" t="e">
        <f t="shared" si="50"/>
        <v>#VALUE!</v>
      </c>
      <c r="H808" s="13" t="e">
        <f t="shared" si="51"/>
        <v>#VALUE!</v>
      </c>
    </row>
    <row r="809" spans="2:8">
      <c r="B809" s="11" t="str">
        <f t="shared" si="49"/>
        <v/>
      </c>
      <c r="C809" s="11" t="str">
        <f t="shared" ref="C809:C872" si="52">IF(B809="артикул",A809,"")</f>
        <v/>
      </c>
      <c r="F809" s="10" t="str">
        <v/>
      </c>
      <c r="G809" t="e">
        <f t="shared" si="50"/>
        <v>#VALUE!</v>
      </c>
      <c r="H809" s="13" t="e">
        <f t="shared" si="51"/>
        <v>#VALUE!</v>
      </c>
    </row>
    <row r="810" spans="2:8">
      <c r="B810" s="11" t="str">
        <f t="shared" si="49"/>
        <v/>
      </c>
      <c r="C810" s="11" t="str">
        <f t="shared" si="52"/>
        <v/>
      </c>
      <c r="F810" s="10" t="str">
        <v/>
      </c>
      <c r="G810" t="e">
        <f t="shared" si="50"/>
        <v>#VALUE!</v>
      </c>
      <c r="H810" s="13" t="e">
        <f t="shared" si="51"/>
        <v>#VALUE!</v>
      </c>
    </row>
    <row r="811" spans="2:8">
      <c r="B811" s="11" t="str">
        <f t="shared" si="49"/>
        <v/>
      </c>
      <c r="C811" s="11" t="str">
        <f t="shared" si="52"/>
        <v/>
      </c>
      <c r="F811" s="10" t="str">
        <v/>
      </c>
      <c r="G811" t="e">
        <f t="shared" si="50"/>
        <v>#VALUE!</v>
      </c>
      <c r="H811" s="13" t="e">
        <f t="shared" si="51"/>
        <v>#VALUE!</v>
      </c>
    </row>
    <row r="812" spans="2:8">
      <c r="B812" s="11" t="str">
        <f t="shared" si="49"/>
        <v/>
      </c>
      <c r="C812" s="11" t="str">
        <f t="shared" si="52"/>
        <v/>
      </c>
      <c r="F812" s="10" t="str">
        <v/>
      </c>
      <c r="G812" t="e">
        <f t="shared" si="50"/>
        <v>#VALUE!</v>
      </c>
      <c r="H812" s="13" t="e">
        <f t="shared" si="51"/>
        <v>#VALUE!</v>
      </c>
    </row>
    <row r="813" spans="2:8">
      <c r="B813" s="11" t="str">
        <f t="shared" si="49"/>
        <v/>
      </c>
      <c r="C813" s="11" t="str">
        <f t="shared" si="52"/>
        <v/>
      </c>
      <c r="F813" s="10" t="str">
        <v/>
      </c>
      <c r="G813" t="e">
        <f t="shared" si="50"/>
        <v>#VALUE!</v>
      </c>
      <c r="H813" s="13" t="e">
        <f t="shared" si="51"/>
        <v>#VALUE!</v>
      </c>
    </row>
    <row r="814" spans="2:8">
      <c r="B814" s="11" t="str">
        <f t="shared" si="49"/>
        <v/>
      </c>
      <c r="C814" s="11" t="str">
        <f t="shared" si="52"/>
        <v/>
      </c>
      <c r="F814" s="10" t="str">
        <v/>
      </c>
      <c r="G814" t="e">
        <f t="shared" si="50"/>
        <v>#VALUE!</v>
      </c>
      <c r="H814" s="13" t="e">
        <f t="shared" si="51"/>
        <v>#VALUE!</v>
      </c>
    </row>
    <row r="815" spans="2:8">
      <c r="B815" s="11" t="str">
        <f t="shared" si="49"/>
        <v/>
      </c>
      <c r="C815" s="11" t="str">
        <f t="shared" si="52"/>
        <v/>
      </c>
      <c r="F815" s="10" t="str">
        <v/>
      </c>
      <c r="G815" t="e">
        <f t="shared" si="50"/>
        <v>#VALUE!</v>
      </c>
      <c r="H815" s="13" t="e">
        <f t="shared" si="51"/>
        <v>#VALUE!</v>
      </c>
    </row>
    <row r="816" spans="2:8">
      <c r="B816" s="11" t="str">
        <f t="shared" si="49"/>
        <v/>
      </c>
      <c r="C816" s="11" t="str">
        <f t="shared" si="52"/>
        <v/>
      </c>
      <c r="F816" s="10" t="str">
        <v/>
      </c>
      <c r="G816" t="e">
        <f t="shared" si="50"/>
        <v>#VALUE!</v>
      </c>
      <c r="H816" s="13" t="e">
        <f t="shared" si="51"/>
        <v>#VALUE!</v>
      </c>
    </row>
    <row r="817" spans="2:8">
      <c r="B817" s="11" t="str">
        <f t="shared" si="49"/>
        <v/>
      </c>
      <c r="C817" s="11" t="str">
        <f t="shared" si="52"/>
        <v/>
      </c>
      <c r="F817" s="10" t="str">
        <v/>
      </c>
      <c r="G817" t="e">
        <f t="shared" si="50"/>
        <v>#VALUE!</v>
      </c>
      <c r="H817" s="13" t="e">
        <f t="shared" si="51"/>
        <v>#VALUE!</v>
      </c>
    </row>
    <row r="818" spans="2:8">
      <c r="B818" s="11" t="str">
        <f t="shared" si="49"/>
        <v/>
      </c>
      <c r="C818" s="11" t="str">
        <f t="shared" si="52"/>
        <v/>
      </c>
      <c r="F818" s="10" t="str">
        <v/>
      </c>
      <c r="G818" t="e">
        <f t="shared" si="50"/>
        <v>#VALUE!</v>
      </c>
      <c r="H818" s="13" t="e">
        <f t="shared" si="51"/>
        <v>#VALUE!</v>
      </c>
    </row>
    <row r="819" spans="2:8">
      <c r="B819" s="11" t="str">
        <f t="shared" si="49"/>
        <v/>
      </c>
      <c r="C819" s="11" t="str">
        <f t="shared" si="52"/>
        <v/>
      </c>
      <c r="F819" s="10" t="str">
        <v/>
      </c>
      <c r="G819" t="e">
        <f t="shared" si="50"/>
        <v>#VALUE!</v>
      </c>
      <c r="H819" s="13" t="e">
        <f t="shared" si="51"/>
        <v>#VALUE!</v>
      </c>
    </row>
    <row r="820" spans="2:8">
      <c r="B820" s="11" t="str">
        <f t="shared" si="49"/>
        <v/>
      </c>
      <c r="C820" s="11" t="str">
        <f t="shared" si="52"/>
        <v/>
      </c>
      <c r="F820" s="10" t="str">
        <v/>
      </c>
      <c r="G820" t="e">
        <f t="shared" si="50"/>
        <v>#VALUE!</v>
      </c>
      <c r="H820" s="13" t="e">
        <f t="shared" si="51"/>
        <v>#VALUE!</v>
      </c>
    </row>
    <row r="821" spans="2:8">
      <c r="B821" s="11" t="str">
        <f t="shared" si="49"/>
        <v/>
      </c>
      <c r="C821" s="11" t="str">
        <f t="shared" si="52"/>
        <v/>
      </c>
      <c r="F821" s="10" t="str">
        <v/>
      </c>
      <c r="G821" t="e">
        <f t="shared" si="50"/>
        <v>#VALUE!</v>
      </c>
      <c r="H821" s="13" t="e">
        <f t="shared" si="51"/>
        <v>#VALUE!</v>
      </c>
    </row>
    <row r="822" spans="2:8">
      <c r="B822" s="11" t="str">
        <f t="shared" si="49"/>
        <v/>
      </c>
      <c r="C822" s="11" t="str">
        <f t="shared" si="52"/>
        <v/>
      </c>
      <c r="F822" s="10" t="str">
        <v/>
      </c>
      <c r="G822" t="e">
        <f t="shared" si="50"/>
        <v>#VALUE!</v>
      </c>
      <c r="H822" s="13" t="e">
        <f t="shared" si="51"/>
        <v>#VALUE!</v>
      </c>
    </row>
    <row r="823" spans="2:8">
      <c r="B823" s="11" t="str">
        <f t="shared" si="49"/>
        <v/>
      </c>
      <c r="C823" s="11" t="str">
        <f t="shared" si="52"/>
        <v/>
      </c>
      <c r="F823" s="10" t="str">
        <v/>
      </c>
      <c r="G823" t="e">
        <f t="shared" si="50"/>
        <v>#VALUE!</v>
      </c>
      <c r="H823" s="13" t="e">
        <f t="shared" si="51"/>
        <v>#VALUE!</v>
      </c>
    </row>
    <row r="824" spans="2:8">
      <c r="B824" s="11" t="str">
        <f t="shared" si="49"/>
        <v/>
      </c>
      <c r="C824" s="11" t="str">
        <f t="shared" si="52"/>
        <v/>
      </c>
      <c r="F824" s="10" t="str">
        <v/>
      </c>
      <c r="G824" t="e">
        <f t="shared" si="50"/>
        <v>#VALUE!</v>
      </c>
      <c r="H824" s="13" t="e">
        <f t="shared" si="51"/>
        <v>#VALUE!</v>
      </c>
    </row>
    <row r="825" spans="2:8">
      <c r="B825" s="11" t="str">
        <f t="shared" si="49"/>
        <v/>
      </c>
      <c r="C825" s="11" t="str">
        <f t="shared" si="52"/>
        <v/>
      </c>
      <c r="F825" s="10" t="str">
        <v/>
      </c>
      <c r="G825" t="e">
        <f t="shared" si="50"/>
        <v>#VALUE!</v>
      </c>
      <c r="H825" s="13" t="e">
        <f t="shared" si="51"/>
        <v>#VALUE!</v>
      </c>
    </row>
    <row r="826" spans="2:8">
      <c r="B826" s="11" t="str">
        <f t="shared" si="49"/>
        <v/>
      </c>
      <c r="C826" s="11" t="str">
        <f t="shared" si="52"/>
        <v/>
      </c>
      <c r="F826" s="10" t="str">
        <v/>
      </c>
      <c r="G826" t="e">
        <f t="shared" si="50"/>
        <v>#VALUE!</v>
      </c>
      <c r="H826" s="13" t="e">
        <f t="shared" si="51"/>
        <v>#VALUE!</v>
      </c>
    </row>
    <row r="827" spans="2:8">
      <c r="B827" s="11" t="str">
        <f t="shared" si="49"/>
        <v/>
      </c>
      <c r="C827" s="11" t="str">
        <f t="shared" si="52"/>
        <v/>
      </c>
      <c r="F827" s="10" t="str">
        <v/>
      </c>
      <c r="G827" t="e">
        <f t="shared" si="50"/>
        <v>#VALUE!</v>
      </c>
      <c r="H827" s="13" t="e">
        <f t="shared" si="51"/>
        <v>#VALUE!</v>
      </c>
    </row>
    <row r="828" spans="2:8">
      <c r="B828" s="11" t="str">
        <f t="shared" si="49"/>
        <v/>
      </c>
      <c r="C828" s="11" t="str">
        <f t="shared" si="52"/>
        <v/>
      </c>
      <c r="F828" s="10" t="str">
        <v/>
      </c>
      <c r="G828" t="e">
        <f t="shared" si="50"/>
        <v>#VALUE!</v>
      </c>
      <c r="H828" s="13" t="e">
        <f t="shared" si="51"/>
        <v>#VALUE!</v>
      </c>
    </row>
    <row r="829" spans="2:8">
      <c r="B829" s="11" t="str">
        <f t="shared" si="49"/>
        <v/>
      </c>
      <c r="C829" s="11" t="str">
        <f t="shared" si="52"/>
        <v/>
      </c>
      <c r="F829" s="10" t="str">
        <v/>
      </c>
      <c r="G829" t="e">
        <f t="shared" si="50"/>
        <v>#VALUE!</v>
      </c>
      <c r="H829" s="13" t="e">
        <f t="shared" si="51"/>
        <v>#VALUE!</v>
      </c>
    </row>
    <row r="830" spans="2:8">
      <c r="B830" s="11" t="str">
        <f t="shared" si="49"/>
        <v/>
      </c>
      <c r="C830" s="11" t="str">
        <f t="shared" si="52"/>
        <v/>
      </c>
      <c r="F830" s="10" t="str">
        <v/>
      </c>
      <c r="G830" t="e">
        <f t="shared" si="50"/>
        <v>#VALUE!</v>
      </c>
      <c r="H830" s="13" t="e">
        <f t="shared" si="51"/>
        <v>#VALUE!</v>
      </c>
    </row>
    <row r="831" spans="2:8">
      <c r="B831" s="11" t="str">
        <f t="shared" si="49"/>
        <v/>
      </c>
      <c r="C831" s="11" t="str">
        <f t="shared" si="52"/>
        <v/>
      </c>
      <c r="F831" s="10" t="str">
        <v/>
      </c>
      <c r="G831" t="e">
        <f t="shared" si="50"/>
        <v>#VALUE!</v>
      </c>
      <c r="H831" s="13" t="e">
        <f t="shared" si="51"/>
        <v>#VALUE!</v>
      </c>
    </row>
    <row r="832" spans="2:8">
      <c r="B832" s="11" t="str">
        <f t="shared" si="49"/>
        <v/>
      </c>
      <c r="C832" s="11" t="str">
        <f t="shared" si="52"/>
        <v/>
      </c>
      <c r="F832" s="10" t="str">
        <v/>
      </c>
      <c r="G832" t="e">
        <f t="shared" si="50"/>
        <v>#VALUE!</v>
      </c>
      <c r="H832" s="13" t="e">
        <f t="shared" si="51"/>
        <v>#VALUE!</v>
      </c>
    </row>
    <row r="833" spans="2:8">
      <c r="B833" s="11" t="str">
        <f t="shared" ref="B833:B896" si="53">IFERROR(IF(FIND(" ",A833)=6,IF(IFERROR(FIND(" PB",A833),"")&lt;&gt;"","артикул",IF(IFERROR(FIND(" CRN",A833),"")&lt;&gt;"","артикул","")),""),"")</f>
        <v/>
      </c>
      <c r="C833" s="11" t="str">
        <f t="shared" si="52"/>
        <v/>
      </c>
      <c r="F833" s="10" t="str">
        <v/>
      </c>
      <c r="G833" t="e">
        <f t="shared" si="50"/>
        <v>#VALUE!</v>
      </c>
      <c r="H833" s="13" t="e">
        <f t="shared" si="51"/>
        <v>#VALUE!</v>
      </c>
    </row>
    <row r="834" spans="2:8">
      <c r="B834" s="11" t="str">
        <f t="shared" si="53"/>
        <v/>
      </c>
      <c r="C834" s="11" t="str">
        <f t="shared" si="52"/>
        <v/>
      </c>
      <c r="F834" s="10" t="str">
        <v/>
      </c>
      <c r="G834" t="e">
        <f t="shared" ref="G834:G897" si="54">CONCATENATE(LEFT(F834,5),
MID(F834,
SEARCH("\",SUBSTITUTE(F834," ","\",LEN(F834)-LEN(SUBSTITUTE(F834," ",""))-4)),
SEARCH("\",SUBSTITUTE(F834," ","\",LEN(F834)-LEN(SUBSTITUTE(F834," ",""))-3))-
SEARCH("\",SUBSTITUTE(F834," ","\",LEN(F834)-LEN(SUBSTITUTE(F834," ",""))-4)))*1)</f>
        <v>#VALUE!</v>
      </c>
      <c r="H834" s="13" t="e">
        <f t="shared" ref="H834:H897" si="55">SUBSTITUTE(
RIGHT(F834,LEN(F834)-
FIND("\",SUBSTITUTE(F834," ","\",LEN(F834)-LEN(SUBSTITUTE(F834," ",""))))),
".","")</f>
        <v>#VALUE!</v>
      </c>
    </row>
    <row r="835" spans="2:8">
      <c r="B835" s="11" t="str">
        <f t="shared" si="53"/>
        <v/>
      </c>
      <c r="C835" s="11" t="str">
        <f t="shared" si="52"/>
        <v/>
      </c>
      <c r="F835" s="10" t="str">
        <v/>
      </c>
      <c r="G835" t="e">
        <f t="shared" si="54"/>
        <v>#VALUE!</v>
      </c>
      <c r="H835" s="13" t="e">
        <f t="shared" si="55"/>
        <v>#VALUE!</v>
      </c>
    </row>
    <row r="836" spans="2:8">
      <c r="B836" s="11" t="str">
        <f t="shared" si="53"/>
        <v/>
      </c>
      <c r="C836" s="11" t="str">
        <f t="shared" si="52"/>
        <v/>
      </c>
      <c r="F836" s="10" t="str">
        <v/>
      </c>
      <c r="G836" t="e">
        <f t="shared" si="54"/>
        <v>#VALUE!</v>
      </c>
      <c r="H836" s="13" t="e">
        <f t="shared" si="55"/>
        <v>#VALUE!</v>
      </c>
    </row>
    <row r="837" spans="2:8">
      <c r="B837" s="11" t="str">
        <f t="shared" si="53"/>
        <v/>
      </c>
      <c r="C837" s="11" t="str">
        <f t="shared" si="52"/>
        <v/>
      </c>
      <c r="F837" s="10" t="str">
        <v/>
      </c>
      <c r="G837" t="e">
        <f t="shared" si="54"/>
        <v>#VALUE!</v>
      </c>
      <c r="H837" s="13" t="e">
        <f t="shared" si="55"/>
        <v>#VALUE!</v>
      </c>
    </row>
    <row r="838" spans="2:8">
      <c r="B838" s="11" t="str">
        <f t="shared" si="53"/>
        <v/>
      </c>
      <c r="C838" s="11" t="str">
        <f t="shared" si="52"/>
        <v/>
      </c>
      <c r="F838" s="10" t="str">
        <v/>
      </c>
      <c r="G838" t="e">
        <f t="shared" si="54"/>
        <v>#VALUE!</v>
      </c>
      <c r="H838" s="13" t="e">
        <f t="shared" si="55"/>
        <v>#VALUE!</v>
      </c>
    </row>
    <row r="839" spans="2:8">
      <c r="B839" s="11" t="str">
        <f t="shared" si="53"/>
        <v/>
      </c>
      <c r="C839" s="11" t="str">
        <f t="shared" si="52"/>
        <v/>
      </c>
      <c r="F839" s="10" t="str">
        <v/>
      </c>
      <c r="G839" t="e">
        <f t="shared" si="54"/>
        <v>#VALUE!</v>
      </c>
      <c r="H839" s="13" t="e">
        <f t="shared" si="55"/>
        <v>#VALUE!</v>
      </c>
    </row>
    <row r="840" spans="2:8">
      <c r="B840" s="11" t="str">
        <f t="shared" si="53"/>
        <v/>
      </c>
      <c r="C840" s="11" t="str">
        <f t="shared" si="52"/>
        <v/>
      </c>
      <c r="F840" s="10" t="str">
        <v/>
      </c>
      <c r="G840" t="e">
        <f t="shared" si="54"/>
        <v>#VALUE!</v>
      </c>
      <c r="H840" s="13" t="e">
        <f t="shared" si="55"/>
        <v>#VALUE!</v>
      </c>
    </row>
    <row r="841" spans="2:8">
      <c r="B841" s="11" t="str">
        <f t="shared" si="53"/>
        <v/>
      </c>
      <c r="C841" s="11" t="str">
        <f t="shared" si="52"/>
        <v/>
      </c>
      <c r="F841" s="10" t="str">
        <v/>
      </c>
      <c r="G841" t="e">
        <f t="shared" si="54"/>
        <v>#VALUE!</v>
      </c>
      <c r="H841" s="13" t="e">
        <f t="shared" si="55"/>
        <v>#VALUE!</v>
      </c>
    </row>
    <row r="842" spans="2:8">
      <c r="B842" s="11" t="str">
        <f t="shared" si="53"/>
        <v/>
      </c>
      <c r="C842" s="11" t="str">
        <f t="shared" si="52"/>
        <v/>
      </c>
      <c r="F842" s="10" t="str">
        <v/>
      </c>
      <c r="G842" t="e">
        <f t="shared" si="54"/>
        <v>#VALUE!</v>
      </c>
      <c r="H842" s="13" t="e">
        <f t="shared" si="55"/>
        <v>#VALUE!</v>
      </c>
    </row>
    <row r="843" spans="2:8">
      <c r="B843" s="11" t="str">
        <f t="shared" si="53"/>
        <v/>
      </c>
      <c r="C843" s="11" t="str">
        <f t="shared" si="52"/>
        <v/>
      </c>
      <c r="F843" s="10" t="str">
        <v/>
      </c>
      <c r="G843" t="e">
        <f t="shared" si="54"/>
        <v>#VALUE!</v>
      </c>
      <c r="H843" s="13" t="e">
        <f t="shared" si="55"/>
        <v>#VALUE!</v>
      </c>
    </row>
    <row r="844" spans="2:8">
      <c r="B844" s="11" t="str">
        <f t="shared" si="53"/>
        <v/>
      </c>
      <c r="C844" s="11" t="str">
        <f t="shared" si="52"/>
        <v/>
      </c>
      <c r="F844" s="10" t="str">
        <v/>
      </c>
      <c r="G844" t="e">
        <f t="shared" si="54"/>
        <v>#VALUE!</v>
      </c>
      <c r="H844" s="13" t="e">
        <f t="shared" si="55"/>
        <v>#VALUE!</v>
      </c>
    </row>
    <row r="845" spans="2:8">
      <c r="B845" s="11" t="str">
        <f t="shared" si="53"/>
        <v/>
      </c>
      <c r="C845" s="11" t="str">
        <f t="shared" si="52"/>
        <v/>
      </c>
      <c r="F845" s="10" t="str">
        <v/>
      </c>
      <c r="G845" t="e">
        <f t="shared" si="54"/>
        <v>#VALUE!</v>
      </c>
      <c r="H845" s="13" t="e">
        <f t="shared" si="55"/>
        <v>#VALUE!</v>
      </c>
    </row>
    <row r="846" spans="2:8">
      <c r="B846" s="11" t="str">
        <f t="shared" si="53"/>
        <v/>
      </c>
      <c r="C846" s="11" t="str">
        <f t="shared" si="52"/>
        <v/>
      </c>
      <c r="F846" s="10" t="str">
        <v/>
      </c>
      <c r="G846" t="e">
        <f t="shared" si="54"/>
        <v>#VALUE!</v>
      </c>
      <c r="H846" s="13" t="e">
        <f t="shared" si="55"/>
        <v>#VALUE!</v>
      </c>
    </row>
    <row r="847" spans="2:8">
      <c r="B847" s="11" t="str">
        <f t="shared" si="53"/>
        <v/>
      </c>
      <c r="C847" s="11" t="str">
        <f t="shared" si="52"/>
        <v/>
      </c>
      <c r="F847" s="10" t="str">
        <v/>
      </c>
      <c r="G847" t="e">
        <f t="shared" si="54"/>
        <v>#VALUE!</v>
      </c>
      <c r="H847" s="13" t="e">
        <f t="shared" si="55"/>
        <v>#VALUE!</v>
      </c>
    </row>
    <row r="848" spans="2:8">
      <c r="B848" s="11" t="str">
        <f t="shared" si="53"/>
        <v/>
      </c>
      <c r="C848" s="11" t="str">
        <f t="shared" si="52"/>
        <v/>
      </c>
      <c r="F848" s="10" t="str">
        <v/>
      </c>
      <c r="G848" t="e">
        <f t="shared" si="54"/>
        <v>#VALUE!</v>
      </c>
      <c r="H848" s="13" t="e">
        <f t="shared" si="55"/>
        <v>#VALUE!</v>
      </c>
    </row>
    <row r="849" spans="2:8">
      <c r="B849" s="11" t="str">
        <f t="shared" si="53"/>
        <v/>
      </c>
      <c r="C849" s="11" t="str">
        <f t="shared" si="52"/>
        <v/>
      </c>
      <c r="F849" s="10" t="str">
        <v/>
      </c>
      <c r="G849" t="e">
        <f t="shared" si="54"/>
        <v>#VALUE!</v>
      </c>
      <c r="H849" s="13" t="e">
        <f t="shared" si="55"/>
        <v>#VALUE!</v>
      </c>
    </row>
    <row r="850" spans="2:8">
      <c r="B850" s="11" t="str">
        <f t="shared" si="53"/>
        <v/>
      </c>
      <c r="C850" s="11" t="str">
        <f t="shared" si="52"/>
        <v/>
      </c>
      <c r="F850" s="10" t="str">
        <v/>
      </c>
      <c r="G850" t="e">
        <f t="shared" si="54"/>
        <v>#VALUE!</v>
      </c>
      <c r="H850" s="13" t="e">
        <f t="shared" si="55"/>
        <v>#VALUE!</v>
      </c>
    </row>
    <row r="851" spans="2:8">
      <c r="B851" s="11" t="str">
        <f t="shared" si="53"/>
        <v/>
      </c>
      <c r="C851" s="11" t="str">
        <f t="shared" si="52"/>
        <v/>
      </c>
      <c r="F851" s="10" t="str">
        <v/>
      </c>
      <c r="G851" t="e">
        <f t="shared" si="54"/>
        <v>#VALUE!</v>
      </c>
      <c r="H851" s="13" t="e">
        <f t="shared" si="55"/>
        <v>#VALUE!</v>
      </c>
    </row>
    <row r="852" spans="2:8">
      <c r="B852" s="11" t="str">
        <f t="shared" si="53"/>
        <v/>
      </c>
      <c r="C852" s="11" t="str">
        <f t="shared" si="52"/>
        <v/>
      </c>
      <c r="F852" s="10" t="str">
        <v/>
      </c>
      <c r="G852" t="e">
        <f t="shared" si="54"/>
        <v>#VALUE!</v>
      </c>
      <c r="H852" s="13" t="e">
        <f t="shared" si="55"/>
        <v>#VALUE!</v>
      </c>
    </row>
    <row r="853" spans="2:8">
      <c r="B853" s="11" t="str">
        <f t="shared" si="53"/>
        <v/>
      </c>
      <c r="C853" s="11" t="str">
        <f t="shared" si="52"/>
        <v/>
      </c>
      <c r="F853" s="10" t="str">
        <v/>
      </c>
      <c r="G853" t="e">
        <f t="shared" si="54"/>
        <v>#VALUE!</v>
      </c>
      <c r="H853" s="13" t="e">
        <f t="shared" si="55"/>
        <v>#VALUE!</v>
      </c>
    </row>
    <row r="854" spans="2:8">
      <c r="B854" s="11" t="str">
        <f t="shared" si="53"/>
        <v/>
      </c>
      <c r="C854" s="11" t="str">
        <f t="shared" si="52"/>
        <v/>
      </c>
      <c r="F854" s="10" t="str">
        <v/>
      </c>
      <c r="G854" t="e">
        <f t="shared" si="54"/>
        <v>#VALUE!</v>
      </c>
      <c r="H854" s="13" t="e">
        <f t="shared" si="55"/>
        <v>#VALUE!</v>
      </c>
    </row>
    <row r="855" spans="2:8">
      <c r="B855" s="11" t="str">
        <f t="shared" si="53"/>
        <v/>
      </c>
      <c r="C855" s="11" t="str">
        <f t="shared" si="52"/>
        <v/>
      </c>
      <c r="F855" s="10" t="str">
        <v/>
      </c>
      <c r="G855" t="e">
        <f t="shared" si="54"/>
        <v>#VALUE!</v>
      </c>
      <c r="H855" s="13" t="e">
        <f t="shared" si="55"/>
        <v>#VALUE!</v>
      </c>
    </row>
    <row r="856" spans="2:8">
      <c r="B856" s="11" t="str">
        <f t="shared" si="53"/>
        <v/>
      </c>
      <c r="C856" s="11" t="str">
        <f t="shared" si="52"/>
        <v/>
      </c>
      <c r="F856" s="10" t="str">
        <v/>
      </c>
      <c r="G856" t="e">
        <f t="shared" si="54"/>
        <v>#VALUE!</v>
      </c>
      <c r="H856" s="13" t="e">
        <f t="shared" si="55"/>
        <v>#VALUE!</v>
      </c>
    </row>
    <row r="857" spans="2:8">
      <c r="B857" s="11" t="str">
        <f t="shared" si="53"/>
        <v/>
      </c>
      <c r="C857" s="11" t="str">
        <f t="shared" si="52"/>
        <v/>
      </c>
      <c r="F857" s="10" t="str">
        <v/>
      </c>
      <c r="G857" t="e">
        <f t="shared" si="54"/>
        <v>#VALUE!</v>
      </c>
      <c r="H857" s="13" t="e">
        <f t="shared" si="55"/>
        <v>#VALUE!</v>
      </c>
    </row>
    <row r="858" spans="2:8">
      <c r="B858" s="11" t="str">
        <f t="shared" si="53"/>
        <v/>
      </c>
      <c r="C858" s="11" t="str">
        <f t="shared" si="52"/>
        <v/>
      </c>
      <c r="F858" s="10" t="str">
        <v/>
      </c>
      <c r="G858" t="e">
        <f t="shared" si="54"/>
        <v>#VALUE!</v>
      </c>
      <c r="H858" s="13" t="e">
        <f t="shared" si="55"/>
        <v>#VALUE!</v>
      </c>
    </row>
    <row r="859" spans="2:8">
      <c r="B859" s="11" t="str">
        <f t="shared" si="53"/>
        <v/>
      </c>
      <c r="C859" s="11" t="str">
        <f t="shared" si="52"/>
        <v/>
      </c>
      <c r="F859" s="10" t="str">
        <v/>
      </c>
      <c r="G859" t="e">
        <f t="shared" si="54"/>
        <v>#VALUE!</v>
      </c>
      <c r="H859" s="13" t="e">
        <f t="shared" si="55"/>
        <v>#VALUE!</v>
      </c>
    </row>
    <row r="860" spans="2:8">
      <c r="B860" s="11" t="str">
        <f t="shared" si="53"/>
        <v/>
      </c>
      <c r="C860" s="11" t="str">
        <f t="shared" si="52"/>
        <v/>
      </c>
      <c r="F860" s="10" t="str">
        <v/>
      </c>
      <c r="G860" t="e">
        <f t="shared" si="54"/>
        <v>#VALUE!</v>
      </c>
      <c r="H860" s="13" t="e">
        <f t="shared" si="55"/>
        <v>#VALUE!</v>
      </c>
    </row>
    <row r="861" spans="2:8">
      <c r="B861" s="11" t="str">
        <f t="shared" si="53"/>
        <v/>
      </c>
      <c r="C861" s="11" t="str">
        <f t="shared" si="52"/>
        <v/>
      </c>
      <c r="F861" s="10" t="str">
        <v/>
      </c>
      <c r="G861" t="e">
        <f t="shared" si="54"/>
        <v>#VALUE!</v>
      </c>
      <c r="H861" s="13" t="e">
        <f t="shared" si="55"/>
        <v>#VALUE!</v>
      </c>
    </row>
    <row r="862" spans="2:8">
      <c r="B862" s="11" t="str">
        <f t="shared" si="53"/>
        <v/>
      </c>
      <c r="C862" s="11" t="str">
        <f t="shared" si="52"/>
        <v/>
      </c>
      <c r="F862" s="10" t="str">
        <v/>
      </c>
      <c r="G862" t="e">
        <f t="shared" si="54"/>
        <v>#VALUE!</v>
      </c>
      <c r="H862" s="13" t="e">
        <f t="shared" si="55"/>
        <v>#VALUE!</v>
      </c>
    </row>
    <row r="863" spans="2:8">
      <c r="B863" s="11" t="str">
        <f t="shared" si="53"/>
        <v/>
      </c>
      <c r="C863" s="11" t="str">
        <f t="shared" si="52"/>
        <v/>
      </c>
      <c r="F863" s="10" t="str">
        <v/>
      </c>
      <c r="G863" t="e">
        <f t="shared" si="54"/>
        <v>#VALUE!</v>
      </c>
      <c r="H863" s="13" t="e">
        <f t="shared" si="55"/>
        <v>#VALUE!</v>
      </c>
    </row>
    <row r="864" spans="2:8">
      <c r="B864" s="11" t="str">
        <f t="shared" si="53"/>
        <v/>
      </c>
      <c r="C864" s="11" t="str">
        <f t="shared" si="52"/>
        <v/>
      </c>
      <c r="F864" s="10" t="str">
        <v/>
      </c>
      <c r="G864" t="e">
        <f t="shared" si="54"/>
        <v>#VALUE!</v>
      </c>
      <c r="H864" s="13" t="e">
        <f t="shared" si="55"/>
        <v>#VALUE!</v>
      </c>
    </row>
    <row r="865" spans="2:8">
      <c r="B865" s="11" t="str">
        <f t="shared" si="53"/>
        <v/>
      </c>
      <c r="C865" s="11" t="str">
        <f t="shared" si="52"/>
        <v/>
      </c>
      <c r="F865" s="10" t="str">
        <v/>
      </c>
      <c r="G865" t="e">
        <f t="shared" si="54"/>
        <v>#VALUE!</v>
      </c>
      <c r="H865" s="13" t="e">
        <f t="shared" si="55"/>
        <v>#VALUE!</v>
      </c>
    </row>
    <row r="866" spans="2:8">
      <c r="B866" s="11" t="str">
        <f t="shared" si="53"/>
        <v/>
      </c>
      <c r="C866" s="11" t="str">
        <f t="shared" si="52"/>
        <v/>
      </c>
      <c r="F866" s="10" t="str">
        <v/>
      </c>
      <c r="G866" t="e">
        <f t="shared" si="54"/>
        <v>#VALUE!</v>
      </c>
      <c r="H866" s="13" t="e">
        <f t="shared" si="55"/>
        <v>#VALUE!</v>
      </c>
    </row>
    <row r="867" spans="2:8">
      <c r="B867" s="11" t="str">
        <f t="shared" si="53"/>
        <v/>
      </c>
      <c r="C867" s="11" t="str">
        <f t="shared" si="52"/>
        <v/>
      </c>
      <c r="F867" s="10" t="str">
        <v/>
      </c>
      <c r="G867" t="e">
        <f t="shared" si="54"/>
        <v>#VALUE!</v>
      </c>
      <c r="H867" s="13" t="e">
        <f t="shared" si="55"/>
        <v>#VALUE!</v>
      </c>
    </row>
    <row r="868" spans="2:8">
      <c r="B868" s="11" t="str">
        <f t="shared" si="53"/>
        <v/>
      </c>
      <c r="C868" s="11" t="str">
        <f t="shared" si="52"/>
        <v/>
      </c>
      <c r="F868" s="10" t="str">
        <v/>
      </c>
      <c r="G868" t="e">
        <f t="shared" si="54"/>
        <v>#VALUE!</v>
      </c>
      <c r="H868" s="13" t="e">
        <f t="shared" si="55"/>
        <v>#VALUE!</v>
      </c>
    </row>
    <row r="869" spans="2:8">
      <c r="B869" s="11" t="str">
        <f t="shared" si="53"/>
        <v/>
      </c>
      <c r="C869" s="11" t="str">
        <f t="shared" si="52"/>
        <v/>
      </c>
      <c r="F869" s="10" t="str">
        <v/>
      </c>
      <c r="G869" t="e">
        <f t="shared" si="54"/>
        <v>#VALUE!</v>
      </c>
      <c r="H869" s="13" t="e">
        <f t="shared" si="55"/>
        <v>#VALUE!</v>
      </c>
    </row>
    <row r="870" spans="2:8">
      <c r="B870" s="11" t="str">
        <f t="shared" si="53"/>
        <v/>
      </c>
      <c r="C870" s="11" t="str">
        <f t="shared" si="52"/>
        <v/>
      </c>
      <c r="F870" s="10" t="str">
        <v/>
      </c>
      <c r="G870" t="e">
        <f t="shared" si="54"/>
        <v>#VALUE!</v>
      </c>
      <c r="H870" s="13" t="e">
        <f t="shared" si="55"/>
        <v>#VALUE!</v>
      </c>
    </row>
    <row r="871" spans="2:8">
      <c r="B871" s="11" t="str">
        <f t="shared" si="53"/>
        <v/>
      </c>
      <c r="C871" s="11" t="str">
        <f t="shared" si="52"/>
        <v/>
      </c>
      <c r="F871" s="10" t="str">
        <v/>
      </c>
      <c r="G871" t="e">
        <f t="shared" si="54"/>
        <v>#VALUE!</v>
      </c>
      <c r="H871" s="13" t="e">
        <f t="shared" si="55"/>
        <v>#VALUE!</v>
      </c>
    </row>
    <row r="872" spans="2:8">
      <c r="B872" s="11" t="str">
        <f t="shared" si="53"/>
        <v/>
      </c>
      <c r="C872" s="11" t="str">
        <f t="shared" si="52"/>
        <v/>
      </c>
      <c r="F872" s="10" t="str">
        <v/>
      </c>
      <c r="G872" t="e">
        <f t="shared" si="54"/>
        <v>#VALUE!</v>
      </c>
      <c r="H872" s="13" t="e">
        <f t="shared" si="55"/>
        <v>#VALUE!</v>
      </c>
    </row>
    <row r="873" spans="2:8">
      <c r="B873" s="11" t="str">
        <f t="shared" si="53"/>
        <v/>
      </c>
      <c r="C873" s="11" t="str">
        <f t="shared" ref="C873:C936" si="56">IF(B873="артикул",A873,"")</f>
        <v/>
      </c>
      <c r="F873" s="10" t="str">
        <v/>
      </c>
      <c r="G873" t="e">
        <f t="shared" si="54"/>
        <v>#VALUE!</v>
      </c>
      <c r="H873" s="13" t="e">
        <f t="shared" si="55"/>
        <v>#VALUE!</v>
      </c>
    </row>
    <row r="874" spans="2:8">
      <c r="B874" s="11" t="str">
        <f t="shared" si="53"/>
        <v/>
      </c>
      <c r="C874" s="11" t="str">
        <f t="shared" si="56"/>
        <v/>
      </c>
      <c r="F874" s="10" t="str">
        <v/>
      </c>
      <c r="G874" t="e">
        <f t="shared" si="54"/>
        <v>#VALUE!</v>
      </c>
      <c r="H874" s="13" t="e">
        <f t="shared" si="55"/>
        <v>#VALUE!</v>
      </c>
    </row>
    <row r="875" spans="2:8">
      <c r="B875" s="11" t="str">
        <f t="shared" si="53"/>
        <v/>
      </c>
      <c r="C875" s="11" t="str">
        <f t="shared" si="56"/>
        <v/>
      </c>
      <c r="F875" s="10" t="str">
        <v/>
      </c>
      <c r="G875" t="e">
        <f t="shared" si="54"/>
        <v>#VALUE!</v>
      </c>
      <c r="H875" s="13" t="e">
        <f t="shared" si="55"/>
        <v>#VALUE!</v>
      </c>
    </row>
    <row r="876" spans="2:8">
      <c r="B876" s="11" t="str">
        <f t="shared" si="53"/>
        <v/>
      </c>
      <c r="C876" s="11" t="str">
        <f t="shared" si="56"/>
        <v/>
      </c>
      <c r="F876" s="10" t="str">
        <v/>
      </c>
      <c r="G876" t="e">
        <f t="shared" si="54"/>
        <v>#VALUE!</v>
      </c>
      <c r="H876" s="13" t="e">
        <f t="shared" si="55"/>
        <v>#VALUE!</v>
      </c>
    </row>
    <row r="877" spans="2:8">
      <c r="B877" s="11" t="str">
        <f t="shared" si="53"/>
        <v/>
      </c>
      <c r="C877" s="11" t="str">
        <f t="shared" si="56"/>
        <v/>
      </c>
      <c r="F877" s="10" t="str">
        <v/>
      </c>
      <c r="G877" t="e">
        <f t="shared" si="54"/>
        <v>#VALUE!</v>
      </c>
      <c r="H877" s="13" t="e">
        <f t="shared" si="55"/>
        <v>#VALUE!</v>
      </c>
    </row>
    <row r="878" spans="2:8">
      <c r="B878" s="11" t="str">
        <f t="shared" si="53"/>
        <v/>
      </c>
      <c r="C878" s="11" t="str">
        <f t="shared" si="56"/>
        <v/>
      </c>
      <c r="F878" s="10" t="str">
        <v/>
      </c>
      <c r="G878" t="e">
        <f t="shared" si="54"/>
        <v>#VALUE!</v>
      </c>
      <c r="H878" s="13" t="e">
        <f t="shared" si="55"/>
        <v>#VALUE!</v>
      </c>
    </row>
    <row r="879" spans="2:8">
      <c r="B879" s="11" t="str">
        <f t="shared" si="53"/>
        <v/>
      </c>
      <c r="C879" s="11" t="str">
        <f t="shared" si="56"/>
        <v/>
      </c>
      <c r="F879" s="10" t="str">
        <v/>
      </c>
      <c r="G879" t="e">
        <f t="shared" si="54"/>
        <v>#VALUE!</v>
      </c>
      <c r="H879" s="13" t="e">
        <f t="shared" si="55"/>
        <v>#VALUE!</v>
      </c>
    </row>
    <row r="880" spans="2:8">
      <c r="B880" s="11" t="str">
        <f t="shared" si="53"/>
        <v/>
      </c>
      <c r="C880" s="11" t="str">
        <f t="shared" si="56"/>
        <v/>
      </c>
      <c r="F880" s="10" t="str">
        <v/>
      </c>
      <c r="G880" t="e">
        <f t="shared" si="54"/>
        <v>#VALUE!</v>
      </c>
      <c r="H880" s="13" t="e">
        <f t="shared" si="55"/>
        <v>#VALUE!</v>
      </c>
    </row>
    <row r="881" spans="2:8">
      <c r="B881" s="11" t="str">
        <f t="shared" si="53"/>
        <v/>
      </c>
      <c r="C881" s="11" t="str">
        <f t="shared" si="56"/>
        <v/>
      </c>
      <c r="F881" s="10" t="str">
        <v/>
      </c>
      <c r="G881" t="e">
        <f t="shared" si="54"/>
        <v>#VALUE!</v>
      </c>
      <c r="H881" s="13" t="e">
        <f t="shared" si="55"/>
        <v>#VALUE!</v>
      </c>
    </row>
    <row r="882" spans="2:8">
      <c r="B882" s="11" t="str">
        <f t="shared" si="53"/>
        <v/>
      </c>
      <c r="C882" s="11" t="str">
        <f t="shared" si="56"/>
        <v/>
      </c>
      <c r="F882" s="10" t="str">
        <v/>
      </c>
      <c r="G882" t="e">
        <f t="shared" si="54"/>
        <v>#VALUE!</v>
      </c>
      <c r="H882" s="13" t="e">
        <f t="shared" si="55"/>
        <v>#VALUE!</v>
      </c>
    </row>
    <row r="883" spans="2:8">
      <c r="B883" s="11" t="str">
        <f t="shared" si="53"/>
        <v/>
      </c>
      <c r="C883" s="11" t="str">
        <f t="shared" si="56"/>
        <v/>
      </c>
      <c r="F883" s="10" t="str">
        <v/>
      </c>
      <c r="G883" t="e">
        <f t="shared" si="54"/>
        <v>#VALUE!</v>
      </c>
      <c r="H883" s="13" t="e">
        <f t="shared" si="55"/>
        <v>#VALUE!</v>
      </c>
    </row>
    <row r="884" spans="2:8">
      <c r="B884" s="11" t="str">
        <f t="shared" si="53"/>
        <v/>
      </c>
      <c r="C884" s="11" t="str">
        <f t="shared" si="56"/>
        <v/>
      </c>
      <c r="F884" s="10" t="str">
        <v/>
      </c>
      <c r="G884" t="e">
        <f t="shared" si="54"/>
        <v>#VALUE!</v>
      </c>
      <c r="H884" s="13" t="e">
        <f t="shared" si="55"/>
        <v>#VALUE!</v>
      </c>
    </row>
    <row r="885" spans="2:8">
      <c r="B885" s="11" t="str">
        <f t="shared" si="53"/>
        <v/>
      </c>
      <c r="C885" s="11" t="str">
        <f t="shared" si="56"/>
        <v/>
      </c>
      <c r="F885" s="10" t="str">
        <v/>
      </c>
      <c r="G885" t="e">
        <f t="shared" si="54"/>
        <v>#VALUE!</v>
      </c>
      <c r="H885" s="13" t="e">
        <f t="shared" si="55"/>
        <v>#VALUE!</v>
      </c>
    </row>
    <row r="886" spans="2:8">
      <c r="B886" s="11" t="str">
        <f t="shared" si="53"/>
        <v/>
      </c>
      <c r="C886" s="11" t="str">
        <f t="shared" si="56"/>
        <v/>
      </c>
      <c r="F886" s="10" t="str">
        <v/>
      </c>
      <c r="G886" t="e">
        <f t="shared" si="54"/>
        <v>#VALUE!</v>
      </c>
      <c r="H886" s="13" t="e">
        <f t="shared" si="55"/>
        <v>#VALUE!</v>
      </c>
    </row>
    <row r="887" spans="2:8">
      <c r="B887" s="11" t="str">
        <f t="shared" si="53"/>
        <v/>
      </c>
      <c r="C887" s="11" t="str">
        <f t="shared" si="56"/>
        <v/>
      </c>
      <c r="F887" s="10" t="str">
        <v/>
      </c>
      <c r="G887" t="e">
        <f t="shared" si="54"/>
        <v>#VALUE!</v>
      </c>
      <c r="H887" s="13" t="e">
        <f t="shared" si="55"/>
        <v>#VALUE!</v>
      </c>
    </row>
    <row r="888" spans="2:8">
      <c r="B888" s="11" t="str">
        <f t="shared" si="53"/>
        <v/>
      </c>
      <c r="C888" s="11" t="str">
        <f t="shared" si="56"/>
        <v/>
      </c>
      <c r="F888" s="10" t="str">
        <v/>
      </c>
      <c r="G888" t="e">
        <f t="shared" si="54"/>
        <v>#VALUE!</v>
      </c>
      <c r="H888" s="13" t="e">
        <f t="shared" si="55"/>
        <v>#VALUE!</v>
      </c>
    </row>
    <row r="889" spans="2:8">
      <c r="B889" s="11" t="str">
        <f t="shared" si="53"/>
        <v/>
      </c>
      <c r="C889" s="11" t="str">
        <f t="shared" si="56"/>
        <v/>
      </c>
      <c r="F889" s="10" t="str">
        <v/>
      </c>
      <c r="G889" t="e">
        <f t="shared" si="54"/>
        <v>#VALUE!</v>
      </c>
      <c r="H889" s="13" t="e">
        <f t="shared" si="55"/>
        <v>#VALUE!</v>
      </c>
    </row>
    <row r="890" spans="2:8">
      <c r="B890" s="11" t="str">
        <f t="shared" si="53"/>
        <v/>
      </c>
      <c r="C890" s="11" t="str">
        <f t="shared" si="56"/>
        <v/>
      </c>
      <c r="F890" s="10" t="str">
        <v/>
      </c>
      <c r="G890" t="e">
        <f t="shared" si="54"/>
        <v>#VALUE!</v>
      </c>
      <c r="H890" s="13" t="e">
        <f t="shared" si="55"/>
        <v>#VALUE!</v>
      </c>
    </row>
    <row r="891" spans="2:8">
      <c r="B891" s="11" t="str">
        <f t="shared" si="53"/>
        <v/>
      </c>
      <c r="C891" s="11" t="str">
        <f t="shared" si="56"/>
        <v/>
      </c>
      <c r="F891" s="10" t="str">
        <v/>
      </c>
      <c r="G891" t="e">
        <f t="shared" si="54"/>
        <v>#VALUE!</v>
      </c>
      <c r="H891" s="13" t="e">
        <f t="shared" si="55"/>
        <v>#VALUE!</v>
      </c>
    </row>
    <row r="892" spans="2:8">
      <c r="B892" s="11" t="str">
        <f t="shared" si="53"/>
        <v/>
      </c>
      <c r="C892" s="11" t="str">
        <f t="shared" si="56"/>
        <v/>
      </c>
      <c r="F892" s="10" t="str">
        <v/>
      </c>
      <c r="G892" t="e">
        <f t="shared" si="54"/>
        <v>#VALUE!</v>
      </c>
      <c r="H892" s="13" t="e">
        <f t="shared" si="55"/>
        <v>#VALUE!</v>
      </c>
    </row>
    <row r="893" spans="2:8">
      <c r="B893" s="11" t="str">
        <f t="shared" si="53"/>
        <v/>
      </c>
      <c r="C893" s="11" t="str">
        <f t="shared" si="56"/>
        <v/>
      </c>
      <c r="F893" s="10" t="str">
        <v/>
      </c>
      <c r="G893" t="e">
        <f t="shared" si="54"/>
        <v>#VALUE!</v>
      </c>
      <c r="H893" s="13" t="e">
        <f t="shared" si="55"/>
        <v>#VALUE!</v>
      </c>
    </row>
    <row r="894" spans="2:8">
      <c r="B894" s="11" t="str">
        <f t="shared" si="53"/>
        <v/>
      </c>
      <c r="C894" s="11" t="str">
        <f t="shared" si="56"/>
        <v/>
      </c>
      <c r="F894" s="10" t="str">
        <v/>
      </c>
      <c r="G894" t="e">
        <f t="shared" si="54"/>
        <v>#VALUE!</v>
      </c>
      <c r="H894" s="13" t="e">
        <f t="shared" si="55"/>
        <v>#VALUE!</v>
      </c>
    </row>
    <row r="895" spans="2:8">
      <c r="B895" s="11" t="str">
        <f t="shared" si="53"/>
        <v/>
      </c>
      <c r="C895" s="11" t="str">
        <f t="shared" si="56"/>
        <v/>
      </c>
      <c r="F895" s="10" t="str">
        <v/>
      </c>
      <c r="G895" t="e">
        <f t="shared" si="54"/>
        <v>#VALUE!</v>
      </c>
      <c r="H895" s="13" t="e">
        <f t="shared" si="55"/>
        <v>#VALUE!</v>
      </c>
    </row>
    <row r="896" spans="2:8">
      <c r="B896" s="11" t="str">
        <f t="shared" si="53"/>
        <v/>
      </c>
      <c r="C896" s="11" t="str">
        <f t="shared" si="56"/>
        <v/>
      </c>
      <c r="F896" s="10" t="str">
        <v/>
      </c>
      <c r="G896" t="e">
        <f t="shared" si="54"/>
        <v>#VALUE!</v>
      </c>
      <c r="H896" s="13" t="e">
        <f t="shared" si="55"/>
        <v>#VALUE!</v>
      </c>
    </row>
    <row r="897" spans="2:8">
      <c r="B897" s="11" t="str">
        <f t="shared" ref="B897:B960" si="57">IFERROR(IF(FIND(" ",A897)=6,IF(IFERROR(FIND(" PB",A897),"")&lt;&gt;"","артикул",IF(IFERROR(FIND(" CRN",A897),"")&lt;&gt;"","артикул","")),""),"")</f>
        <v/>
      </c>
      <c r="C897" s="11" t="str">
        <f t="shared" si="56"/>
        <v/>
      </c>
      <c r="F897" s="10" t="str">
        <v/>
      </c>
      <c r="G897" t="e">
        <f t="shared" si="54"/>
        <v>#VALUE!</v>
      </c>
      <c r="H897" s="13" t="e">
        <f t="shared" si="55"/>
        <v>#VALUE!</v>
      </c>
    </row>
    <row r="898" spans="2:8">
      <c r="B898" s="11" t="str">
        <f t="shared" si="57"/>
        <v/>
      </c>
      <c r="C898" s="11" t="str">
        <f t="shared" si="56"/>
        <v/>
      </c>
      <c r="F898" s="10" t="str">
        <v/>
      </c>
      <c r="G898" t="e">
        <f t="shared" ref="G898:G961" si="58">CONCATENATE(LEFT(F898,5),
MID(F898,
SEARCH("\",SUBSTITUTE(F898," ","\",LEN(F898)-LEN(SUBSTITUTE(F898," ",""))-4)),
SEARCH("\",SUBSTITUTE(F898," ","\",LEN(F898)-LEN(SUBSTITUTE(F898," ",""))-3))-
SEARCH("\",SUBSTITUTE(F898," ","\",LEN(F898)-LEN(SUBSTITUTE(F898," ",""))-4)))*1)</f>
        <v>#VALUE!</v>
      </c>
      <c r="H898" s="13" t="e">
        <f t="shared" ref="H898:H961" si="59">SUBSTITUTE(
RIGHT(F898,LEN(F898)-
FIND("\",SUBSTITUTE(F898," ","\",LEN(F898)-LEN(SUBSTITUTE(F898," ",""))))),
".","")</f>
        <v>#VALUE!</v>
      </c>
    </row>
    <row r="899" spans="2:8">
      <c r="B899" s="11" t="str">
        <f t="shared" si="57"/>
        <v/>
      </c>
      <c r="C899" s="11" t="str">
        <f t="shared" si="56"/>
        <v/>
      </c>
      <c r="F899" s="10" t="str">
        <v/>
      </c>
      <c r="G899" t="e">
        <f t="shared" si="58"/>
        <v>#VALUE!</v>
      </c>
      <c r="H899" s="13" t="e">
        <f t="shared" si="59"/>
        <v>#VALUE!</v>
      </c>
    </row>
    <row r="900" spans="2:8">
      <c r="B900" s="11" t="str">
        <f t="shared" si="57"/>
        <v/>
      </c>
      <c r="C900" s="11" t="str">
        <f t="shared" si="56"/>
        <v/>
      </c>
      <c r="F900" s="10" t="str">
        <v/>
      </c>
      <c r="G900" t="e">
        <f t="shared" si="58"/>
        <v>#VALUE!</v>
      </c>
      <c r="H900" s="13" t="e">
        <f t="shared" si="59"/>
        <v>#VALUE!</v>
      </c>
    </row>
    <row r="901" spans="2:8">
      <c r="B901" s="11" t="str">
        <f t="shared" si="57"/>
        <v/>
      </c>
      <c r="C901" s="11" t="str">
        <f t="shared" si="56"/>
        <v/>
      </c>
      <c r="F901" s="10" t="str">
        <v/>
      </c>
      <c r="G901" t="e">
        <f t="shared" si="58"/>
        <v>#VALUE!</v>
      </c>
      <c r="H901" s="13" t="e">
        <f t="shared" si="59"/>
        <v>#VALUE!</v>
      </c>
    </row>
    <row r="902" spans="2:8">
      <c r="B902" s="11" t="str">
        <f t="shared" si="57"/>
        <v/>
      </c>
      <c r="C902" s="11" t="str">
        <f t="shared" si="56"/>
        <v/>
      </c>
      <c r="F902" s="10" t="str">
        <v/>
      </c>
      <c r="G902" t="e">
        <f t="shared" si="58"/>
        <v>#VALUE!</v>
      </c>
      <c r="H902" s="13" t="e">
        <f t="shared" si="59"/>
        <v>#VALUE!</v>
      </c>
    </row>
    <row r="903" spans="2:8">
      <c r="B903" s="11" t="str">
        <f t="shared" si="57"/>
        <v/>
      </c>
      <c r="C903" s="11" t="str">
        <f t="shared" si="56"/>
        <v/>
      </c>
      <c r="F903" s="10" t="str">
        <v/>
      </c>
      <c r="G903" t="e">
        <f t="shared" si="58"/>
        <v>#VALUE!</v>
      </c>
      <c r="H903" s="13" t="e">
        <f t="shared" si="59"/>
        <v>#VALUE!</v>
      </c>
    </row>
    <row r="904" spans="2:8">
      <c r="B904" s="11" t="str">
        <f t="shared" si="57"/>
        <v/>
      </c>
      <c r="C904" s="11" t="str">
        <f t="shared" si="56"/>
        <v/>
      </c>
      <c r="F904" s="10" t="str">
        <v/>
      </c>
      <c r="G904" t="e">
        <f t="shared" si="58"/>
        <v>#VALUE!</v>
      </c>
      <c r="H904" s="13" t="e">
        <f t="shared" si="59"/>
        <v>#VALUE!</v>
      </c>
    </row>
    <row r="905" spans="2:8">
      <c r="B905" s="11" t="str">
        <f t="shared" si="57"/>
        <v/>
      </c>
      <c r="C905" s="11" t="str">
        <f t="shared" si="56"/>
        <v/>
      </c>
      <c r="F905" s="10" t="str">
        <v/>
      </c>
      <c r="G905" t="e">
        <f t="shared" si="58"/>
        <v>#VALUE!</v>
      </c>
      <c r="H905" s="13" t="e">
        <f t="shared" si="59"/>
        <v>#VALUE!</v>
      </c>
    </row>
    <row r="906" spans="2:8">
      <c r="B906" s="11" t="str">
        <f t="shared" si="57"/>
        <v/>
      </c>
      <c r="C906" s="11" t="str">
        <f t="shared" si="56"/>
        <v/>
      </c>
      <c r="F906" s="10" t="str">
        <v/>
      </c>
      <c r="G906" t="e">
        <f t="shared" si="58"/>
        <v>#VALUE!</v>
      </c>
      <c r="H906" s="13" t="e">
        <f t="shared" si="59"/>
        <v>#VALUE!</v>
      </c>
    </row>
    <row r="907" spans="2:8">
      <c r="B907" s="11" t="str">
        <f t="shared" si="57"/>
        <v/>
      </c>
      <c r="C907" s="11" t="str">
        <f t="shared" si="56"/>
        <v/>
      </c>
      <c r="F907" s="10" t="str">
        <v/>
      </c>
      <c r="G907" t="e">
        <f t="shared" si="58"/>
        <v>#VALUE!</v>
      </c>
      <c r="H907" s="13" t="e">
        <f t="shared" si="59"/>
        <v>#VALUE!</v>
      </c>
    </row>
    <row r="908" spans="2:8">
      <c r="B908" s="11" t="str">
        <f t="shared" si="57"/>
        <v/>
      </c>
      <c r="C908" s="11" t="str">
        <f t="shared" si="56"/>
        <v/>
      </c>
      <c r="F908" s="10" t="str">
        <v/>
      </c>
      <c r="G908" t="e">
        <f t="shared" si="58"/>
        <v>#VALUE!</v>
      </c>
      <c r="H908" s="13" t="e">
        <f t="shared" si="59"/>
        <v>#VALUE!</v>
      </c>
    </row>
    <row r="909" spans="2:8">
      <c r="B909" s="11" t="str">
        <f t="shared" si="57"/>
        <v/>
      </c>
      <c r="C909" s="11" t="str">
        <f t="shared" si="56"/>
        <v/>
      </c>
      <c r="F909" s="10" t="str">
        <v/>
      </c>
      <c r="G909" t="e">
        <f t="shared" si="58"/>
        <v>#VALUE!</v>
      </c>
      <c r="H909" s="13" t="e">
        <f t="shared" si="59"/>
        <v>#VALUE!</v>
      </c>
    </row>
    <row r="910" spans="2:8">
      <c r="B910" s="11" t="str">
        <f t="shared" si="57"/>
        <v/>
      </c>
      <c r="C910" s="11" t="str">
        <f t="shared" si="56"/>
        <v/>
      </c>
      <c r="F910" s="10" t="str">
        <v/>
      </c>
      <c r="G910" t="e">
        <f t="shared" si="58"/>
        <v>#VALUE!</v>
      </c>
      <c r="H910" s="13" t="e">
        <f t="shared" si="59"/>
        <v>#VALUE!</v>
      </c>
    </row>
    <row r="911" spans="2:8">
      <c r="B911" s="11" t="str">
        <f t="shared" si="57"/>
        <v/>
      </c>
      <c r="C911" s="11" t="str">
        <f t="shared" si="56"/>
        <v/>
      </c>
      <c r="F911" s="10" t="str">
        <v/>
      </c>
      <c r="G911" t="e">
        <f t="shared" si="58"/>
        <v>#VALUE!</v>
      </c>
      <c r="H911" s="13" t="e">
        <f t="shared" si="59"/>
        <v>#VALUE!</v>
      </c>
    </row>
    <row r="912" spans="2:8">
      <c r="B912" s="11" t="str">
        <f t="shared" si="57"/>
        <v/>
      </c>
      <c r="C912" s="11" t="str">
        <f t="shared" si="56"/>
        <v/>
      </c>
      <c r="F912" s="10" t="str">
        <v/>
      </c>
      <c r="G912" t="e">
        <f t="shared" si="58"/>
        <v>#VALUE!</v>
      </c>
      <c r="H912" s="13" t="e">
        <f t="shared" si="59"/>
        <v>#VALUE!</v>
      </c>
    </row>
    <row r="913" spans="2:8">
      <c r="B913" s="11" t="str">
        <f t="shared" si="57"/>
        <v/>
      </c>
      <c r="C913" s="11" t="str">
        <f t="shared" si="56"/>
        <v/>
      </c>
      <c r="F913" s="10" t="str">
        <v/>
      </c>
      <c r="G913" t="e">
        <f t="shared" si="58"/>
        <v>#VALUE!</v>
      </c>
      <c r="H913" s="13" t="e">
        <f t="shared" si="59"/>
        <v>#VALUE!</v>
      </c>
    </row>
    <row r="914" spans="2:8">
      <c r="B914" s="11" t="str">
        <f t="shared" si="57"/>
        <v/>
      </c>
      <c r="C914" s="11" t="str">
        <f t="shared" si="56"/>
        <v/>
      </c>
      <c r="F914" s="10" t="str">
        <v/>
      </c>
      <c r="G914" t="e">
        <f t="shared" si="58"/>
        <v>#VALUE!</v>
      </c>
      <c r="H914" s="13" t="e">
        <f t="shared" si="59"/>
        <v>#VALUE!</v>
      </c>
    </row>
    <row r="915" spans="2:8">
      <c r="B915" s="11" t="str">
        <f t="shared" si="57"/>
        <v/>
      </c>
      <c r="C915" s="11" t="str">
        <f t="shared" si="56"/>
        <v/>
      </c>
      <c r="F915" s="10" t="str">
        <v/>
      </c>
      <c r="G915" t="e">
        <f t="shared" si="58"/>
        <v>#VALUE!</v>
      </c>
      <c r="H915" s="13" t="e">
        <f t="shared" si="59"/>
        <v>#VALUE!</v>
      </c>
    </row>
    <row r="916" spans="2:8">
      <c r="B916" s="11" t="str">
        <f t="shared" si="57"/>
        <v/>
      </c>
      <c r="C916" s="11" t="str">
        <f t="shared" si="56"/>
        <v/>
      </c>
      <c r="F916" s="10" t="str">
        <v/>
      </c>
      <c r="G916" t="e">
        <f t="shared" si="58"/>
        <v>#VALUE!</v>
      </c>
      <c r="H916" s="13" t="e">
        <f t="shared" si="59"/>
        <v>#VALUE!</v>
      </c>
    </row>
    <row r="917" spans="2:8">
      <c r="B917" s="11" t="str">
        <f t="shared" si="57"/>
        <v/>
      </c>
      <c r="C917" s="11" t="str">
        <f t="shared" si="56"/>
        <v/>
      </c>
      <c r="F917" s="10" t="str">
        <v/>
      </c>
      <c r="G917" t="e">
        <f t="shared" si="58"/>
        <v>#VALUE!</v>
      </c>
      <c r="H917" s="13" t="e">
        <f t="shared" si="59"/>
        <v>#VALUE!</v>
      </c>
    </row>
    <row r="918" spans="2:8">
      <c r="B918" s="11" t="str">
        <f t="shared" si="57"/>
        <v/>
      </c>
      <c r="C918" s="11" t="str">
        <f t="shared" si="56"/>
        <v/>
      </c>
      <c r="F918" s="10" t="str">
        <v/>
      </c>
      <c r="G918" t="e">
        <f t="shared" si="58"/>
        <v>#VALUE!</v>
      </c>
      <c r="H918" s="13" t="e">
        <f t="shared" si="59"/>
        <v>#VALUE!</v>
      </c>
    </row>
    <row r="919" spans="2:8">
      <c r="B919" s="11" t="str">
        <f t="shared" si="57"/>
        <v/>
      </c>
      <c r="C919" s="11" t="str">
        <f t="shared" si="56"/>
        <v/>
      </c>
      <c r="F919" s="10" t="str">
        <v/>
      </c>
      <c r="G919" t="e">
        <f t="shared" si="58"/>
        <v>#VALUE!</v>
      </c>
      <c r="H919" s="13" t="e">
        <f t="shared" si="59"/>
        <v>#VALUE!</v>
      </c>
    </row>
    <row r="920" spans="2:8">
      <c r="B920" s="11" t="str">
        <f t="shared" si="57"/>
        <v/>
      </c>
      <c r="C920" s="11" t="str">
        <f t="shared" si="56"/>
        <v/>
      </c>
      <c r="F920" s="10" t="str">
        <v/>
      </c>
      <c r="G920" t="e">
        <f t="shared" si="58"/>
        <v>#VALUE!</v>
      </c>
      <c r="H920" s="13" t="e">
        <f t="shared" si="59"/>
        <v>#VALUE!</v>
      </c>
    </row>
    <row r="921" spans="2:8">
      <c r="B921" s="11" t="str">
        <f t="shared" si="57"/>
        <v/>
      </c>
      <c r="C921" s="11" t="str">
        <f t="shared" si="56"/>
        <v/>
      </c>
      <c r="F921" s="10" t="str">
        <v/>
      </c>
      <c r="G921" t="e">
        <f t="shared" si="58"/>
        <v>#VALUE!</v>
      </c>
      <c r="H921" s="13" t="e">
        <f t="shared" si="59"/>
        <v>#VALUE!</v>
      </c>
    </row>
    <row r="922" spans="2:8">
      <c r="B922" s="11" t="str">
        <f t="shared" si="57"/>
        <v/>
      </c>
      <c r="C922" s="11" t="str">
        <f t="shared" si="56"/>
        <v/>
      </c>
      <c r="F922" s="10" t="str">
        <v/>
      </c>
      <c r="G922" t="e">
        <f t="shared" si="58"/>
        <v>#VALUE!</v>
      </c>
      <c r="H922" s="13" t="e">
        <f t="shared" si="59"/>
        <v>#VALUE!</v>
      </c>
    </row>
    <row r="923" spans="2:8">
      <c r="B923" s="11" t="str">
        <f t="shared" si="57"/>
        <v/>
      </c>
      <c r="C923" s="11" t="str">
        <f t="shared" si="56"/>
        <v/>
      </c>
      <c r="F923" s="10" t="str">
        <v/>
      </c>
      <c r="G923" t="e">
        <f t="shared" si="58"/>
        <v>#VALUE!</v>
      </c>
      <c r="H923" s="13" t="e">
        <f t="shared" si="59"/>
        <v>#VALUE!</v>
      </c>
    </row>
    <row r="924" spans="2:8">
      <c r="B924" s="11" t="str">
        <f t="shared" si="57"/>
        <v/>
      </c>
      <c r="C924" s="11" t="str">
        <f t="shared" si="56"/>
        <v/>
      </c>
      <c r="F924" s="10" t="str">
        <v/>
      </c>
      <c r="G924" t="e">
        <f t="shared" si="58"/>
        <v>#VALUE!</v>
      </c>
      <c r="H924" s="13" t="e">
        <f t="shared" si="59"/>
        <v>#VALUE!</v>
      </c>
    </row>
    <row r="925" spans="2:8">
      <c r="B925" s="11" t="str">
        <f t="shared" si="57"/>
        <v/>
      </c>
      <c r="C925" s="11" t="str">
        <f t="shared" si="56"/>
        <v/>
      </c>
      <c r="F925" s="10" t="str">
        <v/>
      </c>
      <c r="G925" t="e">
        <f t="shared" si="58"/>
        <v>#VALUE!</v>
      </c>
      <c r="H925" s="13" t="e">
        <f t="shared" si="59"/>
        <v>#VALUE!</v>
      </c>
    </row>
    <row r="926" spans="2:8">
      <c r="B926" s="11" t="str">
        <f t="shared" si="57"/>
        <v/>
      </c>
      <c r="C926" s="11" t="str">
        <f t="shared" si="56"/>
        <v/>
      </c>
      <c r="F926" s="10" t="str">
        <v/>
      </c>
      <c r="G926" t="e">
        <f t="shared" si="58"/>
        <v>#VALUE!</v>
      </c>
      <c r="H926" s="13" t="e">
        <f t="shared" si="59"/>
        <v>#VALUE!</v>
      </c>
    </row>
    <row r="927" spans="2:8">
      <c r="B927" s="11" t="str">
        <f t="shared" si="57"/>
        <v/>
      </c>
      <c r="C927" s="11" t="str">
        <f t="shared" si="56"/>
        <v/>
      </c>
      <c r="F927" s="10" t="str">
        <v/>
      </c>
      <c r="G927" t="e">
        <f t="shared" si="58"/>
        <v>#VALUE!</v>
      </c>
      <c r="H927" s="13" t="e">
        <f t="shared" si="59"/>
        <v>#VALUE!</v>
      </c>
    </row>
    <row r="928" spans="2:8">
      <c r="B928" s="11" t="str">
        <f t="shared" si="57"/>
        <v/>
      </c>
      <c r="C928" s="11" t="str">
        <f t="shared" si="56"/>
        <v/>
      </c>
      <c r="F928" s="10" t="str">
        <v/>
      </c>
      <c r="G928" t="e">
        <f t="shared" si="58"/>
        <v>#VALUE!</v>
      </c>
      <c r="H928" s="13" t="e">
        <f t="shared" si="59"/>
        <v>#VALUE!</v>
      </c>
    </row>
    <row r="929" spans="2:8">
      <c r="B929" s="11" t="str">
        <f t="shared" si="57"/>
        <v/>
      </c>
      <c r="C929" s="11" t="str">
        <f t="shared" si="56"/>
        <v/>
      </c>
      <c r="F929" s="10" t="str">
        <v/>
      </c>
      <c r="G929" t="e">
        <f t="shared" si="58"/>
        <v>#VALUE!</v>
      </c>
      <c r="H929" s="13" t="e">
        <f t="shared" si="59"/>
        <v>#VALUE!</v>
      </c>
    </row>
    <row r="930" spans="2:8">
      <c r="B930" s="11" t="str">
        <f t="shared" si="57"/>
        <v/>
      </c>
      <c r="C930" s="11" t="str">
        <f t="shared" si="56"/>
        <v/>
      </c>
      <c r="F930" s="10" t="str">
        <v/>
      </c>
      <c r="G930" t="e">
        <f t="shared" si="58"/>
        <v>#VALUE!</v>
      </c>
      <c r="H930" s="13" t="e">
        <f t="shared" si="59"/>
        <v>#VALUE!</v>
      </c>
    </row>
    <row r="931" spans="2:8">
      <c r="B931" s="11" t="str">
        <f t="shared" si="57"/>
        <v/>
      </c>
      <c r="C931" s="11" t="str">
        <f t="shared" si="56"/>
        <v/>
      </c>
      <c r="F931" s="10" t="str">
        <v/>
      </c>
      <c r="G931" t="e">
        <f t="shared" si="58"/>
        <v>#VALUE!</v>
      </c>
      <c r="H931" s="13" t="e">
        <f t="shared" si="59"/>
        <v>#VALUE!</v>
      </c>
    </row>
    <row r="932" spans="2:8">
      <c r="B932" s="11" t="str">
        <f t="shared" si="57"/>
        <v/>
      </c>
      <c r="C932" s="11" t="str">
        <f t="shared" si="56"/>
        <v/>
      </c>
      <c r="F932" s="10" t="str">
        <v/>
      </c>
      <c r="G932" t="e">
        <f t="shared" si="58"/>
        <v>#VALUE!</v>
      </c>
      <c r="H932" s="13" t="e">
        <f t="shared" si="59"/>
        <v>#VALUE!</v>
      </c>
    </row>
    <row r="933" spans="2:8">
      <c r="B933" s="11" t="str">
        <f t="shared" si="57"/>
        <v/>
      </c>
      <c r="C933" s="11" t="str">
        <f t="shared" si="56"/>
        <v/>
      </c>
      <c r="F933" s="10" t="str">
        <v/>
      </c>
      <c r="G933" t="e">
        <f t="shared" si="58"/>
        <v>#VALUE!</v>
      </c>
      <c r="H933" s="13" t="e">
        <f t="shared" si="59"/>
        <v>#VALUE!</v>
      </c>
    </row>
    <row r="934" spans="2:8">
      <c r="B934" s="11" t="str">
        <f t="shared" si="57"/>
        <v/>
      </c>
      <c r="C934" s="11" t="str">
        <f t="shared" si="56"/>
        <v/>
      </c>
      <c r="F934" s="10" t="str">
        <v/>
      </c>
      <c r="G934" t="e">
        <f t="shared" si="58"/>
        <v>#VALUE!</v>
      </c>
      <c r="H934" s="13" t="e">
        <f t="shared" si="59"/>
        <v>#VALUE!</v>
      </c>
    </row>
    <row r="935" spans="2:8">
      <c r="B935" s="11" t="str">
        <f t="shared" si="57"/>
        <v/>
      </c>
      <c r="C935" s="11" t="str">
        <f t="shared" si="56"/>
        <v/>
      </c>
      <c r="F935" s="10" t="str">
        <v/>
      </c>
      <c r="G935" t="e">
        <f t="shared" si="58"/>
        <v>#VALUE!</v>
      </c>
      <c r="H935" s="13" t="e">
        <f t="shared" si="59"/>
        <v>#VALUE!</v>
      </c>
    </row>
    <row r="936" spans="2:8">
      <c r="B936" s="11" t="str">
        <f t="shared" si="57"/>
        <v/>
      </c>
      <c r="C936" s="11" t="str">
        <f t="shared" si="56"/>
        <v/>
      </c>
      <c r="F936" s="10" t="str">
        <v/>
      </c>
      <c r="G936" t="e">
        <f t="shared" si="58"/>
        <v>#VALUE!</v>
      </c>
      <c r="H936" s="13" t="e">
        <f t="shared" si="59"/>
        <v>#VALUE!</v>
      </c>
    </row>
    <row r="937" spans="2:8">
      <c r="B937" s="11" t="str">
        <f t="shared" si="57"/>
        <v/>
      </c>
      <c r="C937" s="11" t="str">
        <f t="shared" ref="C937:C1000" si="60">IF(B937="артикул",A937,"")</f>
        <v/>
      </c>
      <c r="F937" s="10" t="str">
        <v/>
      </c>
      <c r="G937" t="e">
        <f t="shared" si="58"/>
        <v>#VALUE!</v>
      </c>
      <c r="H937" s="13" t="e">
        <f t="shared" si="59"/>
        <v>#VALUE!</v>
      </c>
    </row>
    <row r="938" spans="2:8">
      <c r="B938" s="11" t="str">
        <f t="shared" si="57"/>
        <v/>
      </c>
      <c r="C938" s="11" t="str">
        <f t="shared" si="60"/>
        <v/>
      </c>
      <c r="F938" s="10" t="str">
        <v/>
      </c>
      <c r="G938" t="e">
        <f t="shared" si="58"/>
        <v>#VALUE!</v>
      </c>
      <c r="H938" s="13" t="e">
        <f t="shared" si="59"/>
        <v>#VALUE!</v>
      </c>
    </row>
    <row r="939" spans="2:8">
      <c r="B939" s="11" t="str">
        <f t="shared" si="57"/>
        <v/>
      </c>
      <c r="C939" s="11" t="str">
        <f t="shared" si="60"/>
        <v/>
      </c>
      <c r="F939" s="10" t="str">
        <v/>
      </c>
      <c r="G939" t="e">
        <f t="shared" si="58"/>
        <v>#VALUE!</v>
      </c>
      <c r="H939" s="13" t="e">
        <f t="shared" si="59"/>
        <v>#VALUE!</v>
      </c>
    </row>
    <row r="940" spans="2:8">
      <c r="B940" s="11" t="str">
        <f t="shared" si="57"/>
        <v/>
      </c>
      <c r="C940" s="11" t="str">
        <f t="shared" si="60"/>
        <v/>
      </c>
      <c r="F940" s="10" t="str">
        <v/>
      </c>
      <c r="G940" t="e">
        <f t="shared" si="58"/>
        <v>#VALUE!</v>
      </c>
      <c r="H940" s="13" t="e">
        <f t="shared" si="59"/>
        <v>#VALUE!</v>
      </c>
    </row>
    <row r="941" spans="2:8">
      <c r="B941" s="11" t="str">
        <f t="shared" si="57"/>
        <v/>
      </c>
      <c r="C941" s="11" t="str">
        <f t="shared" si="60"/>
        <v/>
      </c>
      <c r="F941" s="10" t="str">
        <v/>
      </c>
      <c r="G941" t="e">
        <f t="shared" si="58"/>
        <v>#VALUE!</v>
      </c>
      <c r="H941" s="13" t="e">
        <f t="shared" si="59"/>
        <v>#VALUE!</v>
      </c>
    </row>
    <row r="942" spans="2:8">
      <c r="B942" s="11" t="str">
        <f t="shared" si="57"/>
        <v/>
      </c>
      <c r="C942" s="11" t="str">
        <f t="shared" si="60"/>
        <v/>
      </c>
      <c r="F942" s="10" t="str">
        <v/>
      </c>
      <c r="G942" t="e">
        <f t="shared" si="58"/>
        <v>#VALUE!</v>
      </c>
      <c r="H942" s="13" t="e">
        <f t="shared" si="59"/>
        <v>#VALUE!</v>
      </c>
    </row>
    <row r="943" spans="2:8">
      <c r="B943" s="11" t="str">
        <f t="shared" si="57"/>
        <v/>
      </c>
      <c r="C943" s="11" t="str">
        <f t="shared" si="60"/>
        <v/>
      </c>
      <c r="F943" s="10" t="str">
        <v/>
      </c>
      <c r="G943" t="e">
        <f t="shared" si="58"/>
        <v>#VALUE!</v>
      </c>
      <c r="H943" s="13" t="e">
        <f t="shared" si="59"/>
        <v>#VALUE!</v>
      </c>
    </row>
    <row r="944" spans="2:8">
      <c r="B944" s="11" t="str">
        <f t="shared" si="57"/>
        <v/>
      </c>
      <c r="C944" s="11" t="str">
        <f t="shared" si="60"/>
        <v/>
      </c>
      <c r="F944" s="10" t="str">
        <v/>
      </c>
      <c r="G944" t="e">
        <f t="shared" si="58"/>
        <v>#VALUE!</v>
      </c>
      <c r="H944" s="13" t="e">
        <f t="shared" si="59"/>
        <v>#VALUE!</v>
      </c>
    </row>
    <row r="945" spans="2:8">
      <c r="B945" s="11" t="str">
        <f t="shared" si="57"/>
        <v/>
      </c>
      <c r="C945" s="11" t="str">
        <f t="shared" si="60"/>
        <v/>
      </c>
      <c r="F945" s="10" t="str">
        <v/>
      </c>
      <c r="G945" t="e">
        <f t="shared" si="58"/>
        <v>#VALUE!</v>
      </c>
      <c r="H945" s="13" t="e">
        <f t="shared" si="59"/>
        <v>#VALUE!</v>
      </c>
    </row>
    <row r="946" spans="2:8">
      <c r="B946" s="11" t="str">
        <f t="shared" si="57"/>
        <v/>
      </c>
      <c r="C946" s="11" t="str">
        <f t="shared" si="60"/>
        <v/>
      </c>
      <c r="F946" s="10" t="str">
        <v/>
      </c>
      <c r="G946" t="e">
        <f t="shared" si="58"/>
        <v>#VALUE!</v>
      </c>
      <c r="H946" s="13" t="e">
        <f t="shared" si="59"/>
        <v>#VALUE!</v>
      </c>
    </row>
    <row r="947" spans="2:8">
      <c r="B947" s="11" t="str">
        <f t="shared" si="57"/>
        <v/>
      </c>
      <c r="C947" s="11" t="str">
        <f t="shared" si="60"/>
        <v/>
      </c>
      <c r="F947" s="10" t="str">
        <v/>
      </c>
      <c r="G947" t="e">
        <f t="shared" si="58"/>
        <v>#VALUE!</v>
      </c>
      <c r="H947" s="13" t="e">
        <f t="shared" si="59"/>
        <v>#VALUE!</v>
      </c>
    </row>
    <row r="948" spans="2:8">
      <c r="B948" s="11" t="str">
        <f t="shared" si="57"/>
        <v/>
      </c>
      <c r="C948" s="11" t="str">
        <f t="shared" si="60"/>
        <v/>
      </c>
      <c r="F948" s="10" t="str">
        <v/>
      </c>
      <c r="G948" t="e">
        <f t="shared" si="58"/>
        <v>#VALUE!</v>
      </c>
      <c r="H948" s="13" t="e">
        <f t="shared" si="59"/>
        <v>#VALUE!</v>
      </c>
    </row>
    <row r="949" spans="2:8">
      <c r="B949" s="11" t="str">
        <f t="shared" si="57"/>
        <v/>
      </c>
      <c r="C949" s="11" t="str">
        <f t="shared" si="60"/>
        <v/>
      </c>
      <c r="F949" s="10" t="str">
        <v/>
      </c>
      <c r="G949" t="e">
        <f t="shared" si="58"/>
        <v>#VALUE!</v>
      </c>
      <c r="H949" s="13" t="e">
        <f t="shared" si="59"/>
        <v>#VALUE!</v>
      </c>
    </row>
    <row r="950" spans="2:8">
      <c r="B950" s="11" t="str">
        <f t="shared" si="57"/>
        <v/>
      </c>
      <c r="C950" s="11" t="str">
        <f t="shared" si="60"/>
        <v/>
      </c>
      <c r="F950" s="10" t="str">
        <v/>
      </c>
      <c r="G950" t="e">
        <f t="shared" si="58"/>
        <v>#VALUE!</v>
      </c>
      <c r="H950" s="13" t="e">
        <f t="shared" si="59"/>
        <v>#VALUE!</v>
      </c>
    </row>
    <row r="951" spans="2:8">
      <c r="B951" s="11" t="str">
        <f t="shared" si="57"/>
        <v/>
      </c>
      <c r="C951" s="11" t="str">
        <f t="shared" si="60"/>
        <v/>
      </c>
      <c r="F951" s="10" t="str">
        <v/>
      </c>
      <c r="G951" t="e">
        <f t="shared" si="58"/>
        <v>#VALUE!</v>
      </c>
      <c r="H951" s="13" t="e">
        <f t="shared" si="59"/>
        <v>#VALUE!</v>
      </c>
    </row>
    <row r="952" spans="2:8">
      <c r="B952" s="11" t="str">
        <f t="shared" si="57"/>
        <v/>
      </c>
      <c r="C952" s="11" t="str">
        <f t="shared" si="60"/>
        <v/>
      </c>
      <c r="F952" s="10" t="str">
        <v/>
      </c>
      <c r="G952" t="e">
        <f t="shared" si="58"/>
        <v>#VALUE!</v>
      </c>
      <c r="H952" s="13" t="e">
        <f t="shared" si="59"/>
        <v>#VALUE!</v>
      </c>
    </row>
    <row r="953" spans="2:8">
      <c r="B953" s="11" t="str">
        <f t="shared" si="57"/>
        <v/>
      </c>
      <c r="C953" s="11" t="str">
        <f t="shared" si="60"/>
        <v/>
      </c>
      <c r="F953" s="10" t="str">
        <v/>
      </c>
      <c r="G953" t="e">
        <f t="shared" si="58"/>
        <v>#VALUE!</v>
      </c>
      <c r="H953" s="13" t="e">
        <f t="shared" si="59"/>
        <v>#VALUE!</v>
      </c>
    </row>
    <row r="954" spans="2:8">
      <c r="B954" s="11" t="str">
        <f t="shared" si="57"/>
        <v/>
      </c>
      <c r="C954" s="11" t="str">
        <f t="shared" si="60"/>
        <v/>
      </c>
      <c r="F954" s="10" t="str">
        <v/>
      </c>
      <c r="G954" t="e">
        <f t="shared" si="58"/>
        <v>#VALUE!</v>
      </c>
      <c r="H954" s="13" t="e">
        <f t="shared" si="59"/>
        <v>#VALUE!</v>
      </c>
    </row>
    <row r="955" spans="2:8">
      <c r="B955" s="11" t="str">
        <f t="shared" si="57"/>
        <v/>
      </c>
      <c r="C955" s="11" t="str">
        <f t="shared" si="60"/>
        <v/>
      </c>
      <c r="F955" s="10" t="str">
        <v/>
      </c>
      <c r="G955" t="e">
        <f t="shared" si="58"/>
        <v>#VALUE!</v>
      </c>
      <c r="H955" s="13" t="e">
        <f t="shared" si="59"/>
        <v>#VALUE!</v>
      </c>
    </row>
    <row r="956" spans="2:8">
      <c r="B956" s="11" t="str">
        <f t="shared" si="57"/>
        <v/>
      </c>
      <c r="C956" s="11" t="str">
        <f t="shared" si="60"/>
        <v/>
      </c>
      <c r="F956" s="10" t="str">
        <v/>
      </c>
      <c r="G956" t="e">
        <f t="shared" si="58"/>
        <v>#VALUE!</v>
      </c>
      <c r="H956" s="13" t="e">
        <f t="shared" si="59"/>
        <v>#VALUE!</v>
      </c>
    </row>
    <row r="957" spans="2:8">
      <c r="B957" s="11" t="str">
        <f t="shared" si="57"/>
        <v/>
      </c>
      <c r="C957" s="11" t="str">
        <f t="shared" si="60"/>
        <v/>
      </c>
      <c r="F957" s="10" t="str">
        <v/>
      </c>
      <c r="G957" t="e">
        <f t="shared" si="58"/>
        <v>#VALUE!</v>
      </c>
      <c r="H957" s="13" t="e">
        <f t="shared" si="59"/>
        <v>#VALUE!</v>
      </c>
    </row>
    <row r="958" spans="2:8">
      <c r="B958" s="11" t="str">
        <f t="shared" si="57"/>
        <v/>
      </c>
      <c r="C958" s="11" t="str">
        <f t="shared" si="60"/>
        <v/>
      </c>
      <c r="F958" s="10" t="str">
        <v/>
      </c>
      <c r="G958" t="e">
        <f t="shared" si="58"/>
        <v>#VALUE!</v>
      </c>
      <c r="H958" s="13" t="e">
        <f t="shared" si="59"/>
        <v>#VALUE!</v>
      </c>
    </row>
    <row r="959" spans="2:8">
      <c r="B959" s="11" t="str">
        <f t="shared" si="57"/>
        <v/>
      </c>
      <c r="C959" s="11" t="str">
        <f t="shared" si="60"/>
        <v/>
      </c>
      <c r="F959" s="10" t="str">
        <v/>
      </c>
      <c r="G959" t="e">
        <f t="shared" si="58"/>
        <v>#VALUE!</v>
      </c>
      <c r="H959" s="13" t="e">
        <f t="shared" si="59"/>
        <v>#VALUE!</v>
      </c>
    </row>
    <row r="960" spans="2:8">
      <c r="B960" s="11" t="str">
        <f t="shared" si="57"/>
        <v/>
      </c>
      <c r="C960" s="11" t="str">
        <f t="shared" si="60"/>
        <v/>
      </c>
      <c r="F960" s="10" t="str">
        <v/>
      </c>
      <c r="G960" t="e">
        <f t="shared" si="58"/>
        <v>#VALUE!</v>
      </c>
      <c r="H960" s="13" t="e">
        <f t="shared" si="59"/>
        <v>#VALUE!</v>
      </c>
    </row>
    <row r="961" spans="2:8">
      <c r="B961" s="11" t="str">
        <f t="shared" ref="B961:B1024" si="61">IFERROR(IF(FIND(" ",A961)=6,IF(IFERROR(FIND(" PB",A961),"")&lt;&gt;"","артикул",IF(IFERROR(FIND(" CRN",A961),"")&lt;&gt;"","артикул","")),""),"")</f>
        <v/>
      </c>
      <c r="C961" s="11" t="str">
        <f t="shared" si="60"/>
        <v/>
      </c>
      <c r="F961" s="10" t="str">
        <v/>
      </c>
      <c r="G961" t="e">
        <f t="shared" si="58"/>
        <v>#VALUE!</v>
      </c>
      <c r="H961" s="13" t="e">
        <f t="shared" si="59"/>
        <v>#VALUE!</v>
      </c>
    </row>
    <row r="962" spans="2:8">
      <c r="B962" s="11" t="str">
        <f t="shared" si="61"/>
        <v/>
      </c>
      <c r="C962" s="11" t="str">
        <f t="shared" si="60"/>
        <v/>
      </c>
      <c r="F962" s="10" t="str">
        <v/>
      </c>
      <c r="G962" t="e">
        <f t="shared" ref="G962:G1025" si="62">CONCATENATE(LEFT(F962,5),
MID(F962,
SEARCH("\",SUBSTITUTE(F962," ","\",LEN(F962)-LEN(SUBSTITUTE(F962," ",""))-4)),
SEARCH("\",SUBSTITUTE(F962," ","\",LEN(F962)-LEN(SUBSTITUTE(F962," ",""))-3))-
SEARCH("\",SUBSTITUTE(F962," ","\",LEN(F962)-LEN(SUBSTITUTE(F962," ",""))-4)))*1)</f>
        <v>#VALUE!</v>
      </c>
      <c r="H962" s="13" t="e">
        <f t="shared" ref="H962:H1025" si="63">SUBSTITUTE(
RIGHT(F962,LEN(F962)-
FIND("\",SUBSTITUTE(F962," ","\",LEN(F962)-LEN(SUBSTITUTE(F962," ",""))))),
".","")</f>
        <v>#VALUE!</v>
      </c>
    </row>
    <row r="963" spans="2:8">
      <c r="B963" s="11" t="str">
        <f t="shared" si="61"/>
        <v/>
      </c>
      <c r="C963" s="11" t="str">
        <f t="shared" si="60"/>
        <v/>
      </c>
      <c r="F963" s="10" t="str">
        <v/>
      </c>
      <c r="G963" t="e">
        <f t="shared" si="62"/>
        <v>#VALUE!</v>
      </c>
      <c r="H963" s="13" t="e">
        <f t="shared" si="63"/>
        <v>#VALUE!</v>
      </c>
    </row>
    <row r="964" spans="2:8">
      <c r="B964" s="11" t="str">
        <f t="shared" si="61"/>
        <v/>
      </c>
      <c r="C964" s="11" t="str">
        <f t="shared" si="60"/>
        <v/>
      </c>
      <c r="F964" s="10" t="str">
        <v/>
      </c>
      <c r="G964" t="e">
        <f t="shared" si="62"/>
        <v>#VALUE!</v>
      </c>
      <c r="H964" s="13" t="e">
        <f t="shared" si="63"/>
        <v>#VALUE!</v>
      </c>
    </row>
    <row r="965" spans="2:8">
      <c r="B965" s="11" t="str">
        <f t="shared" si="61"/>
        <v/>
      </c>
      <c r="C965" s="11" t="str">
        <f t="shared" si="60"/>
        <v/>
      </c>
      <c r="F965" s="10" t="str">
        <v/>
      </c>
      <c r="G965" t="e">
        <f t="shared" si="62"/>
        <v>#VALUE!</v>
      </c>
      <c r="H965" s="13" t="e">
        <f t="shared" si="63"/>
        <v>#VALUE!</v>
      </c>
    </row>
    <row r="966" spans="2:8">
      <c r="B966" s="11" t="str">
        <f t="shared" si="61"/>
        <v/>
      </c>
      <c r="C966" s="11" t="str">
        <f t="shared" si="60"/>
        <v/>
      </c>
      <c r="F966" s="10" t="str">
        <v/>
      </c>
      <c r="G966" t="e">
        <f t="shared" si="62"/>
        <v>#VALUE!</v>
      </c>
      <c r="H966" s="13" t="e">
        <f t="shared" si="63"/>
        <v>#VALUE!</v>
      </c>
    </row>
    <row r="967" spans="2:8">
      <c r="B967" s="11" t="str">
        <f t="shared" si="61"/>
        <v/>
      </c>
      <c r="C967" s="11" t="str">
        <f t="shared" si="60"/>
        <v/>
      </c>
      <c r="F967" s="10" t="str">
        <v/>
      </c>
      <c r="G967" t="e">
        <f t="shared" si="62"/>
        <v>#VALUE!</v>
      </c>
      <c r="H967" s="13" t="e">
        <f t="shared" si="63"/>
        <v>#VALUE!</v>
      </c>
    </row>
    <row r="968" spans="2:8">
      <c r="B968" s="11" t="str">
        <f t="shared" si="61"/>
        <v/>
      </c>
      <c r="C968" s="11" t="str">
        <f t="shared" si="60"/>
        <v/>
      </c>
      <c r="F968" s="10" t="str">
        <v/>
      </c>
      <c r="G968" t="e">
        <f t="shared" si="62"/>
        <v>#VALUE!</v>
      </c>
      <c r="H968" s="13" t="e">
        <f t="shared" si="63"/>
        <v>#VALUE!</v>
      </c>
    </row>
    <row r="969" spans="2:8">
      <c r="B969" s="11" t="str">
        <f t="shared" si="61"/>
        <v/>
      </c>
      <c r="C969" s="11" t="str">
        <f t="shared" si="60"/>
        <v/>
      </c>
      <c r="F969" s="10" t="str">
        <v/>
      </c>
      <c r="G969" t="e">
        <f t="shared" si="62"/>
        <v>#VALUE!</v>
      </c>
      <c r="H969" s="13" t="e">
        <f t="shared" si="63"/>
        <v>#VALUE!</v>
      </c>
    </row>
    <row r="970" spans="2:8">
      <c r="B970" s="11" t="str">
        <f t="shared" si="61"/>
        <v/>
      </c>
      <c r="C970" s="11" t="str">
        <f t="shared" si="60"/>
        <v/>
      </c>
      <c r="F970" s="10" t="str">
        <v/>
      </c>
      <c r="G970" t="e">
        <f t="shared" si="62"/>
        <v>#VALUE!</v>
      </c>
      <c r="H970" s="13" t="e">
        <f t="shared" si="63"/>
        <v>#VALUE!</v>
      </c>
    </row>
    <row r="971" spans="2:8">
      <c r="B971" s="11" t="str">
        <f t="shared" si="61"/>
        <v/>
      </c>
      <c r="C971" s="11" t="str">
        <f t="shared" si="60"/>
        <v/>
      </c>
      <c r="F971" s="10" t="str">
        <v/>
      </c>
      <c r="G971" t="e">
        <f t="shared" si="62"/>
        <v>#VALUE!</v>
      </c>
      <c r="H971" s="13" t="e">
        <f t="shared" si="63"/>
        <v>#VALUE!</v>
      </c>
    </row>
    <row r="972" spans="2:8">
      <c r="B972" s="11" t="str">
        <f t="shared" si="61"/>
        <v/>
      </c>
      <c r="C972" s="11" t="str">
        <f t="shared" si="60"/>
        <v/>
      </c>
      <c r="F972" s="10" t="str">
        <v/>
      </c>
      <c r="G972" t="e">
        <f t="shared" si="62"/>
        <v>#VALUE!</v>
      </c>
      <c r="H972" s="13" t="e">
        <f t="shared" si="63"/>
        <v>#VALUE!</v>
      </c>
    </row>
    <row r="973" spans="2:8">
      <c r="B973" s="11" t="str">
        <f t="shared" si="61"/>
        <v/>
      </c>
      <c r="C973" s="11" t="str">
        <f t="shared" si="60"/>
        <v/>
      </c>
      <c r="F973" s="10" t="str">
        <v/>
      </c>
      <c r="G973" t="e">
        <f t="shared" si="62"/>
        <v>#VALUE!</v>
      </c>
      <c r="H973" s="13" t="e">
        <f t="shared" si="63"/>
        <v>#VALUE!</v>
      </c>
    </row>
    <row r="974" spans="2:8">
      <c r="B974" s="11" t="str">
        <f t="shared" si="61"/>
        <v/>
      </c>
      <c r="C974" s="11" t="str">
        <f t="shared" si="60"/>
        <v/>
      </c>
      <c r="F974" s="10" t="str">
        <v/>
      </c>
      <c r="G974" t="e">
        <f t="shared" si="62"/>
        <v>#VALUE!</v>
      </c>
      <c r="H974" s="13" t="e">
        <f t="shared" si="63"/>
        <v>#VALUE!</v>
      </c>
    </row>
    <row r="975" spans="2:8">
      <c r="B975" s="11" t="str">
        <f t="shared" si="61"/>
        <v/>
      </c>
      <c r="C975" s="11" t="str">
        <f t="shared" si="60"/>
        <v/>
      </c>
      <c r="F975" s="10" t="str">
        <v/>
      </c>
      <c r="G975" t="e">
        <f t="shared" si="62"/>
        <v>#VALUE!</v>
      </c>
      <c r="H975" s="13" t="e">
        <f t="shared" si="63"/>
        <v>#VALUE!</v>
      </c>
    </row>
    <row r="976" spans="2:8">
      <c r="B976" s="11" t="str">
        <f t="shared" si="61"/>
        <v/>
      </c>
      <c r="C976" s="11" t="str">
        <f t="shared" si="60"/>
        <v/>
      </c>
      <c r="F976" s="10" t="str">
        <v/>
      </c>
      <c r="G976" t="e">
        <f t="shared" si="62"/>
        <v>#VALUE!</v>
      </c>
      <c r="H976" s="13" t="e">
        <f t="shared" si="63"/>
        <v>#VALUE!</v>
      </c>
    </row>
    <row r="977" spans="2:8">
      <c r="B977" s="11" t="str">
        <f t="shared" si="61"/>
        <v/>
      </c>
      <c r="C977" s="11" t="str">
        <f t="shared" si="60"/>
        <v/>
      </c>
      <c r="F977" s="10" t="str">
        <v/>
      </c>
      <c r="G977" t="e">
        <f t="shared" si="62"/>
        <v>#VALUE!</v>
      </c>
      <c r="H977" s="13" t="e">
        <f t="shared" si="63"/>
        <v>#VALUE!</v>
      </c>
    </row>
    <row r="978" spans="2:8">
      <c r="B978" s="11" t="str">
        <f t="shared" si="61"/>
        <v/>
      </c>
      <c r="C978" s="11" t="str">
        <f t="shared" si="60"/>
        <v/>
      </c>
      <c r="F978" s="10" t="str">
        <v/>
      </c>
      <c r="G978" t="e">
        <f t="shared" si="62"/>
        <v>#VALUE!</v>
      </c>
      <c r="H978" s="13" t="e">
        <f t="shared" si="63"/>
        <v>#VALUE!</v>
      </c>
    </row>
    <row r="979" spans="2:8">
      <c r="B979" s="11" t="str">
        <f t="shared" si="61"/>
        <v/>
      </c>
      <c r="C979" s="11" t="str">
        <f t="shared" si="60"/>
        <v/>
      </c>
      <c r="F979" s="10" t="str">
        <v/>
      </c>
      <c r="G979" t="e">
        <f t="shared" si="62"/>
        <v>#VALUE!</v>
      </c>
      <c r="H979" s="13" t="e">
        <f t="shared" si="63"/>
        <v>#VALUE!</v>
      </c>
    </row>
    <row r="980" spans="2:8">
      <c r="B980" s="11" t="str">
        <f t="shared" si="61"/>
        <v/>
      </c>
      <c r="C980" s="11" t="str">
        <f t="shared" si="60"/>
        <v/>
      </c>
      <c r="F980" s="10" t="str">
        <v/>
      </c>
      <c r="G980" t="e">
        <f t="shared" si="62"/>
        <v>#VALUE!</v>
      </c>
      <c r="H980" s="13" t="e">
        <f t="shared" si="63"/>
        <v>#VALUE!</v>
      </c>
    </row>
    <row r="981" spans="2:8">
      <c r="B981" s="11" t="str">
        <f t="shared" si="61"/>
        <v/>
      </c>
      <c r="C981" s="11" t="str">
        <f t="shared" si="60"/>
        <v/>
      </c>
      <c r="F981" s="10" t="str">
        <v/>
      </c>
      <c r="G981" t="e">
        <f t="shared" si="62"/>
        <v>#VALUE!</v>
      </c>
      <c r="H981" s="13" t="e">
        <f t="shared" si="63"/>
        <v>#VALUE!</v>
      </c>
    </row>
    <row r="982" spans="2:8">
      <c r="B982" s="11" t="str">
        <f t="shared" si="61"/>
        <v/>
      </c>
      <c r="C982" s="11" t="str">
        <f t="shared" si="60"/>
        <v/>
      </c>
      <c r="F982" s="10" t="str">
        <v/>
      </c>
      <c r="G982" t="e">
        <f t="shared" si="62"/>
        <v>#VALUE!</v>
      </c>
      <c r="H982" s="13" t="e">
        <f t="shared" si="63"/>
        <v>#VALUE!</v>
      </c>
    </row>
    <row r="983" spans="2:8">
      <c r="B983" s="11" t="str">
        <f t="shared" si="61"/>
        <v/>
      </c>
      <c r="C983" s="11" t="str">
        <f t="shared" si="60"/>
        <v/>
      </c>
      <c r="F983" s="10" t="str">
        <v/>
      </c>
      <c r="G983" t="e">
        <f t="shared" si="62"/>
        <v>#VALUE!</v>
      </c>
      <c r="H983" s="13" t="e">
        <f t="shared" si="63"/>
        <v>#VALUE!</v>
      </c>
    </row>
    <row r="984" spans="2:8">
      <c r="B984" s="11" t="str">
        <f t="shared" si="61"/>
        <v/>
      </c>
      <c r="C984" s="11" t="str">
        <f t="shared" si="60"/>
        <v/>
      </c>
      <c r="F984" s="10" t="str">
        <v/>
      </c>
      <c r="G984" t="e">
        <f t="shared" si="62"/>
        <v>#VALUE!</v>
      </c>
      <c r="H984" s="13" t="e">
        <f t="shared" si="63"/>
        <v>#VALUE!</v>
      </c>
    </row>
    <row r="985" spans="2:8">
      <c r="B985" s="11" t="str">
        <f t="shared" si="61"/>
        <v/>
      </c>
      <c r="C985" s="11" t="str">
        <f t="shared" si="60"/>
        <v/>
      </c>
      <c r="F985" s="10" t="str">
        <v/>
      </c>
      <c r="G985" t="e">
        <f t="shared" si="62"/>
        <v>#VALUE!</v>
      </c>
      <c r="H985" s="13" t="e">
        <f t="shared" si="63"/>
        <v>#VALUE!</v>
      </c>
    </row>
    <row r="986" spans="2:8">
      <c r="B986" s="11" t="str">
        <f t="shared" si="61"/>
        <v/>
      </c>
      <c r="C986" s="11" t="str">
        <f t="shared" si="60"/>
        <v/>
      </c>
      <c r="F986" s="10" t="str">
        <v/>
      </c>
      <c r="G986" t="e">
        <f t="shared" si="62"/>
        <v>#VALUE!</v>
      </c>
      <c r="H986" s="13" t="e">
        <f t="shared" si="63"/>
        <v>#VALUE!</v>
      </c>
    </row>
    <row r="987" spans="2:8">
      <c r="B987" s="11" t="str">
        <f t="shared" si="61"/>
        <v/>
      </c>
      <c r="C987" s="11" t="str">
        <f t="shared" si="60"/>
        <v/>
      </c>
      <c r="F987" s="10" t="str">
        <v/>
      </c>
      <c r="G987" t="e">
        <f t="shared" si="62"/>
        <v>#VALUE!</v>
      </c>
      <c r="H987" s="13" t="e">
        <f t="shared" si="63"/>
        <v>#VALUE!</v>
      </c>
    </row>
    <row r="988" spans="2:8">
      <c r="B988" s="11" t="str">
        <f t="shared" si="61"/>
        <v/>
      </c>
      <c r="C988" s="11" t="str">
        <f t="shared" si="60"/>
        <v/>
      </c>
      <c r="F988" s="10" t="str">
        <v/>
      </c>
      <c r="G988" t="e">
        <f t="shared" si="62"/>
        <v>#VALUE!</v>
      </c>
      <c r="H988" s="13" t="e">
        <f t="shared" si="63"/>
        <v>#VALUE!</v>
      </c>
    </row>
    <row r="989" spans="2:8">
      <c r="B989" s="11" t="str">
        <f t="shared" si="61"/>
        <v/>
      </c>
      <c r="C989" s="11" t="str">
        <f t="shared" si="60"/>
        <v/>
      </c>
      <c r="F989" s="10" t="str">
        <v/>
      </c>
      <c r="G989" t="e">
        <f t="shared" si="62"/>
        <v>#VALUE!</v>
      </c>
      <c r="H989" s="13" t="e">
        <f t="shared" si="63"/>
        <v>#VALUE!</v>
      </c>
    </row>
    <row r="990" spans="2:8">
      <c r="B990" s="11" t="str">
        <f t="shared" si="61"/>
        <v/>
      </c>
      <c r="C990" s="11" t="str">
        <f t="shared" si="60"/>
        <v/>
      </c>
      <c r="F990" s="10" t="str">
        <v/>
      </c>
      <c r="G990" t="e">
        <f t="shared" si="62"/>
        <v>#VALUE!</v>
      </c>
      <c r="H990" s="13" t="e">
        <f t="shared" si="63"/>
        <v>#VALUE!</v>
      </c>
    </row>
    <row r="991" spans="2:8">
      <c r="B991" s="11" t="str">
        <f t="shared" si="61"/>
        <v/>
      </c>
      <c r="C991" s="11" t="str">
        <f t="shared" si="60"/>
        <v/>
      </c>
      <c r="F991" s="10" t="str">
        <v/>
      </c>
      <c r="G991" t="e">
        <f t="shared" si="62"/>
        <v>#VALUE!</v>
      </c>
      <c r="H991" s="13" t="e">
        <f t="shared" si="63"/>
        <v>#VALUE!</v>
      </c>
    </row>
    <row r="992" spans="2:8">
      <c r="B992" s="11" t="str">
        <f t="shared" si="61"/>
        <v/>
      </c>
      <c r="C992" s="11" t="str">
        <f t="shared" si="60"/>
        <v/>
      </c>
      <c r="F992" s="10" t="str">
        <v/>
      </c>
      <c r="G992" t="e">
        <f t="shared" si="62"/>
        <v>#VALUE!</v>
      </c>
      <c r="H992" s="13" t="e">
        <f t="shared" si="63"/>
        <v>#VALUE!</v>
      </c>
    </row>
    <row r="993" spans="2:8">
      <c r="B993" s="11" t="str">
        <f t="shared" si="61"/>
        <v/>
      </c>
      <c r="C993" s="11" t="str">
        <f t="shared" si="60"/>
        <v/>
      </c>
      <c r="F993" s="10" t="str">
        <v/>
      </c>
      <c r="G993" t="e">
        <f t="shared" si="62"/>
        <v>#VALUE!</v>
      </c>
      <c r="H993" s="13" t="e">
        <f t="shared" si="63"/>
        <v>#VALUE!</v>
      </c>
    </row>
    <row r="994" spans="2:8">
      <c r="B994" s="11" t="str">
        <f t="shared" si="61"/>
        <v/>
      </c>
      <c r="C994" s="11" t="str">
        <f t="shared" si="60"/>
        <v/>
      </c>
      <c r="F994" s="10" t="str">
        <v/>
      </c>
      <c r="G994" t="e">
        <f t="shared" si="62"/>
        <v>#VALUE!</v>
      </c>
      <c r="H994" s="13" t="e">
        <f t="shared" si="63"/>
        <v>#VALUE!</v>
      </c>
    </row>
    <row r="995" spans="2:8">
      <c r="B995" s="11" t="str">
        <f t="shared" si="61"/>
        <v/>
      </c>
      <c r="C995" s="11" t="str">
        <f t="shared" si="60"/>
        <v/>
      </c>
      <c r="F995" s="10" t="str">
        <v/>
      </c>
      <c r="G995" t="e">
        <f t="shared" si="62"/>
        <v>#VALUE!</v>
      </c>
      <c r="H995" s="13" t="e">
        <f t="shared" si="63"/>
        <v>#VALUE!</v>
      </c>
    </row>
    <row r="996" spans="2:8">
      <c r="B996" s="11" t="str">
        <f t="shared" si="61"/>
        <v/>
      </c>
      <c r="C996" s="11" t="str">
        <f t="shared" si="60"/>
        <v/>
      </c>
      <c r="F996" s="10" t="str">
        <v/>
      </c>
      <c r="G996" t="e">
        <f t="shared" si="62"/>
        <v>#VALUE!</v>
      </c>
      <c r="H996" s="13" t="e">
        <f t="shared" si="63"/>
        <v>#VALUE!</v>
      </c>
    </row>
    <row r="997" spans="2:8">
      <c r="B997" s="11" t="str">
        <f t="shared" si="61"/>
        <v/>
      </c>
      <c r="C997" s="11" t="str">
        <f t="shared" si="60"/>
        <v/>
      </c>
      <c r="F997" s="10" t="str">
        <v/>
      </c>
      <c r="G997" t="e">
        <f t="shared" si="62"/>
        <v>#VALUE!</v>
      </c>
      <c r="H997" s="13" t="e">
        <f t="shared" si="63"/>
        <v>#VALUE!</v>
      </c>
    </row>
    <row r="998" spans="2:8">
      <c r="B998" s="11" t="str">
        <f t="shared" si="61"/>
        <v/>
      </c>
      <c r="C998" s="11" t="str">
        <f t="shared" si="60"/>
        <v/>
      </c>
      <c r="F998" s="10" t="str">
        <v/>
      </c>
      <c r="G998" t="e">
        <f t="shared" si="62"/>
        <v>#VALUE!</v>
      </c>
      <c r="H998" s="13" t="e">
        <f t="shared" si="63"/>
        <v>#VALUE!</v>
      </c>
    </row>
    <row r="999" spans="2:8">
      <c r="B999" s="11" t="str">
        <f t="shared" si="61"/>
        <v/>
      </c>
      <c r="C999" s="11" t="str">
        <f t="shared" si="60"/>
        <v/>
      </c>
      <c r="F999" s="10" t="str">
        <v/>
      </c>
      <c r="G999" t="e">
        <f t="shared" si="62"/>
        <v>#VALUE!</v>
      </c>
      <c r="H999" s="13" t="e">
        <f t="shared" si="63"/>
        <v>#VALUE!</v>
      </c>
    </row>
    <row r="1000" spans="2:8">
      <c r="B1000" s="11" t="str">
        <f t="shared" si="61"/>
        <v/>
      </c>
      <c r="C1000" s="11" t="str">
        <f t="shared" si="60"/>
        <v/>
      </c>
      <c r="F1000" s="10" t="str">
        <v/>
      </c>
      <c r="G1000" t="e">
        <f t="shared" si="62"/>
        <v>#VALUE!</v>
      </c>
      <c r="H1000" s="13" t="e">
        <f t="shared" si="63"/>
        <v>#VALUE!</v>
      </c>
    </row>
    <row r="1001" spans="2:8">
      <c r="B1001" s="11" t="str">
        <f t="shared" si="61"/>
        <v/>
      </c>
      <c r="C1001" s="11" t="str">
        <f t="shared" ref="C1001:C1064" si="64">IF(B1001="артикул",A1001,"")</f>
        <v/>
      </c>
      <c r="F1001" s="10" t="str">
        <v/>
      </c>
      <c r="G1001" t="e">
        <f t="shared" si="62"/>
        <v>#VALUE!</v>
      </c>
      <c r="H1001" s="13" t="e">
        <f t="shared" si="63"/>
        <v>#VALUE!</v>
      </c>
    </row>
    <row r="1002" spans="2:8">
      <c r="B1002" s="11" t="str">
        <f t="shared" si="61"/>
        <v/>
      </c>
      <c r="C1002" s="11" t="str">
        <f t="shared" si="64"/>
        <v/>
      </c>
      <c r="F1002" s="10" t="str">
        <v/>
      </c>
      <c r="G1002" t="e">
        <f t="shared" si="62"/>
        <v>#VALUE!</v>
      </c>
      <c r="H1002" s="13" t="e">
        <f t="shared" si="63"/>
        <v>#VALUE!</v>
      </c>
    </row>
    <row r="1003" spans="2:8">
      <c r="B1003" s="11" t="str">
        <f t="shared" si="61"/>
        <v/>
      </c>
      <c r="C1003" s="11" t="str">
        <f t="shared" si="64"/>
        <v/>
      </c>
      <c r="F1003" s="10" t="str">
        <v/>
      </c>
      <c r="G1003" t="e">
        <f t="shared" si="62"/>
        <v>#VALUE!</v>
      </c>
      <c r="H1003" s="13" t="e">
        <f t="shared" si="63"/>
        <v>#VALUE!</v>
      </c>
    </row>
    <row r="1004" spans="2:8">
      <c r="B1004" s="11" t="str">
        <f t="shared" si="61"/>
        <v/>
      </c>
      <c r="C1004" s="11" t="str">
        <f t="shared" si="64"/>
        <v/>
      </c>
      <c r="F1004" s="10" t="str">
        <v/>
      </c>
      <c r="G1004" t="e">
        <f t="shared" si="62"/>
        <v>#VALUE!</v>
      </c>
      <c r="H1004" s="13" t="e">
        <f t="shared" si="63"/>
        <v>#VALUE!</v>
      </c>
    </row>
    <row r="1005" spans="2:8">
      <c r="B1005" s="11" t="str">
        <f t="shared" si="61"/>
        <v/>
      </c>
      <c r="C1005" s="11" t="str">
        <f t="shared" si="64"/>
        <v/>
      </c>
      <c r="F1005" s="10" t="str">
        <v/>
      </c>
      <c r="G1005" t="e">
        <f t="shared" si="62"/>
        <v>#VALUE!</v>
      </c>
      <c r="H1005" s="13" t="e">
        <f t="shared" si="63"/>
        <v>#VALUE!</v>
      </c>
    </row>
    <row r="1006" spans="2:8">
      <c r="B1006" s="11" t="str">
        <f t="shared" si="61"/>
        <v/>
      </c>
      <c r="C1006" s="11" t="str">
        <f t="shared" si="64"/>
        <v/>
      </c>
      <c r="F1006" s="10" t="str">
        <v/>
      </c>
      <c r="G1006" t="e">
        <f t="shared" si="62"/>
        <v>#VALUE!</v>
      </c>
      <c r="H1006" s="13" t="e">
        <f t="shared" si="63"/>
        <v>#VALUE!</v>
      </c>
    </row>
    <row r="1007" spans="2:8">
      <c r="B1007" s="11" t="str">
        <f t="shared" si="61"/>
        <v/>
      </c>
      <c r="C1007" s="11" t="str">
        <f t="shared" si="64"/>
        <v/>
      </c>
      <c r="F1007" s="10" t="str">
        <v/>
      </c>
      <c r="G1007" t="e">
        <f t="shared" si="62"/>
        <v>#VALUE!</v>
      </c>
      <c r="H1007" s="13" t="e">
        <f t="shared" si="63"/>
        <v>#VALUE!</v>
      </c>
    </row>
    <row r="1008" spans="2:8">
      <c r="B1008" s="11" t="str">
        <f t="shared" si="61"/>
        <v/>
      </c>
      <c r="C1008" s="11" t="str">
        <f t="shared" si="64"/>
        <v/>
      </c>
      <c r="F1008" s="10" t="str">
        <v/>
      </c>
      <c r="G1008" t="e">
        <f t="shared" si="62"/>
        <v>#VALUE!</v>
      </c>
      <c r="H1008" s="13" t="e">
        <f t="shared" si="63"/>
        <v>#VALUE!</v>
      </c>
    </row>
    <row r="1009" spans="2:8">
      <c r="B1009" s="11" t="str">
        <f t="shared" si="61"/>
        <v/>
      </c>
      <c r="C1009" s="11" t="str">
        <f t="shared" si="64"/>
        <v/>
      </c>
      <c r="F1009" s="10" t="str">
        <v/>
      </c>
      <c r="G1009" t="e">
        <f t="shared" si="62"/>
        <v>#VALUE!</v>
      </c>
      <c r="H1009" s="13" t="e">
        <f t="shared" si="63"/>
        <v>#VALUE!</v>
      </c>
    </row>
    <row r="1010" spans="2:8">
      <c r="B1010" s="11" t="str">
        <f t="shared" si="61"/>
        <v/>
      </c>
      <c r="C1010" s="11" t="str">
        <f t="shared" si="64"/>
        <v/>
      </c>
      <c r="F1010" s="10" t="str">
        <v/>
      </c>
      <c r="G1010" t="e">
        <f t="shared" si="62"/>
        <v>#VALUE!</v>
      </c>
      <c r="H1010" s="13" t="e">
        <f t="shared" si="63"/>
        <v>#VALUE!</v>
      </c>
    </row>
    <row r="1011" spans="2:8">
      <c r="B1011" s="11" t="str">
        <f t="shared" si="61"/>
        <v/>
      </c>
      <c r="C1011" s="11" t="str">
        <f t="shared" si="64"/>
        <v/>
      </c>
      <c r="F1011" s="10" t="str">
        <v/>
      </c>
      <c r="G1011" t="e">
        <f t="shared" si="62"/>
        <v>#VALUE!</v>
      </c>
      <c r="H1011" s="13" t="e">
        <f t="shared" si="63"/>
        <v>#VALUE!</v>
      </c>
    </row>
    <row r="1012" spans="2:8">
      <c r="B1012" s="11" t="str">
        <f t="shared" si="61"/>
        <v/>
      </c>
      <c r="C1012" s="11" t="str">
        <f t="shared" si="64"/>
        <v/>
      </c>
      <c r="F1012" s="10" t="str">
        <v/>
      </c>
      <c r="G1012" t="e">
        <f t="shared" si="62"/>
        <v>#VALUE!</v>
      </c>
      <c r="H1012" s="13" t="e">
        <f t="shared" si="63"/>
        <v>#VALUE!</v>
      </c>
    </row>
    <row r="1013" spans="2:8">
      <c r="B1013" s="11" t="str">
        <f t="shared" si="61"/>
        <v/>
      </c>
      <c r="C1013" s="11" t="str">
        <f t="shared" si="64"/>
        <v/>
      </c>
      <c r="F1013" s="10" t="str">
        <v/>
      </c>
      <c r="G1013" t="e">
        <f t="shared" si="62"/>
        <v>#VALUE!</v>
      </c>
      <c r="H1013" s="13" t="e">
        <f t="shared" si="63"/>
        <v>#VALUE!</v>
      </c>
    </row>
    <row r="1014" spans="2:8">
      <c r="B1014" s="11" t="str">
        <f t="shared" si="61"/>
        <v/>
      </c>
      <c r="C1014" s="11" t="str">
        <f t="shared" si="64"/>
        <v/>
      </c>
      <c r="F1014" s="10" t="str">
        <v/>
      </c>
      <c r="G1014" t="e">
        <f t="shared" si="62"/>
        <v>#VALUE!</v>
      </c>
      <c r="H1014" s="13" t="e">
        <f t="shared" si="63"/>
        <v>#VALUE!</v>
      </c>
    </row>
    <row r="1015" spans="2:8">
      <c r="B1015" s="11" t="str">
        <f t="shared" si="61"/>
        <v/>
      </c>
      <c r="C1015" s="11" t="str">
        <f t="shared" si="64"/>
        <v/>
      </c>
      <c r="F1015" s="10" t="str">
        <v/>
      </c>
      <c r="G1015" t="e">
        <f t="shared" si="62"/>
        <v>#VALUE!</v>
      </c>
      <c r="H1015" s="13" t="e">
        <f t="shared" si="63"/>
        <v>#VALUE!</v>
      </c>
    </row>
    <row r="1016" spans="2:8">
      <c r="B1016" s="11" t="str">
        <f t="shared" si="61"/>
        <v/>
      </c>
      <c r="C1016" s="11" t="str">
        <f t="shared" si="64"/>
        <v/>
      </c>
      <c r="F1016" s="10" t="str">
        <v/>
      </c>
      <c r="G1016" t="e">
        <f t="shared" si="62"/>
        <v>#VALUE!</v>
      </c>
      <c r="H1016" s="13" t="e">
        <f t="shared" si="63"/>
        <v>#VALUE!</v>
      </c>
    </row>
    <row r="1017" spans="2:8">
      <c r="B1017" s="11" t="str">
        <f t="shared" si="61"/>
        <v/>
      </c>
      <c r="C1017" s="11" t="str">
        <f t="shared" si="64"/>
        <v/>
      </c>
      <c r="F1017" s="10" t="str">
        <v/>
      </c>
      <c r="G1017" t="e">
        <f t="shared" si="62"/>
        <v>#VALUE!</v>
      </c>
      <c r="H1017" s="13" t="e">
        <f t="shared" si="63"/>
        <v>#VALUE!</v>
      </c>
    </row>
    <row r="1018" spans="2:8">
      <c r="B1018" s="11" t="str">
        <f t="shared" si="61"/>
        <v/>
      </c>
      <c r="C1018" s="11" t="str">
        <f t="shared" si="64"/>
        <v/>
      </c>
      <c r="F1018" s="10" t="str">
        <v/>
      </c>
      <c r="G1018" t="e">
        <f t="shared" si="62"/>
        <v>#VALUE!</v>
      </c>
      <c r="H1018" s="13" t="e">
        <f t="shared" si="63"/>
        <v>#VALUE!</v>
      </c>
    </row>
    <row r="1019" spans="2:8">
      <c r="B1019" s="11" t="str">
        <f t="shared" si="61"/>
        <v/>
      </c>
      <c r="C1019" s="11" t="str">
        <f t="shared" si="64"/>
        <v/>
      </c>
      <c r="F1019" s="10" t="str">
        <v/>
      </c>
      <c r="G1019" t="e">
        <f t="shared" si="62"/>
        <v>#VALUE!</v>
      </c>
      <c r="H1019" s="13" t="e">
        <f t="shared" si="63"/>
        <v>#VALUE!</v>
      </c>
    </row>
    <row r="1020" spans="2:8">
      <c r="B1020" s="11" t="str">
        <f t="shared" si="61"/>
        <v/>
      </c>
      <c r="C1020" s="11" t="str">
        <f t="shared" si="64"/>
        <v/>
      </c>
      <c r="F1020" s="10" t="str">
        <v/>
      </c>
      <c r="G1020" t="e">
        <f t="shared" si="62"/>
        <v>#VALUE!</v>
      </c>
      <c r="H1020" s="13" t="e">
        <f t="shared" si="63"/>
        <v>#VALUE!</v>
      </c>
    </row>
    <row r="1021" spans="2:8">
      <c r="B1021" s="11" t="str">
        <f t="shared" si="61"/>
        <v/>
      </c>
      <c r="C1021" s="11" t="str">
        <f t="shared" si="64"/>
        <v/>
      </c>
      <c r="F1021" s="10" t="str">
        <v/>
      </c>
      <c r="G1021" t="e">
        <f t="shared" si="62"/>
        <v>#VALUE!</v>
      </c>
      <c r="H1021" s="13" t="e">
        <f t="shared" si="63"/>
        <v>#VALUE!</v>
      </c>
    </row>
    <row r="1022" spans="2:8">
      <c r="B1022" s="11" t="str">
        <f t="shared" si="61"/>
        <v/>
      </c>
      <c r="C1022" s="11" t="str">
        <f t="shared" si="64"/>
        <v/>
      </c>
      <c r="F1022" s="10" t="str">
        <v/>
      </c>
      <c r="G1022" t="e">
        <f t="shared" si="62"/>
        <v>#VALUE!</v>
      </c>
      <c r="H1022" s="13" t="e">
        <f t="shared" si="63"/>
        <v>#VALUE!</v>
      </c>
    </row>
    <row r="1023" spans="2:8">
      <c r="B1023" s="11" t="str">
        <f t="shared" si="61"/>
        <v/>
      </c>
      <c r="C1023" s="11" t="str">
        <f t="shared" si="64"/>
        <v/>
      </c>
      <c r="F1023" s="10" t="str">
        <v/>
      </c>
      <c r="G1023" t="e">
        <f t="shared" si="62"/>
        <v>#VALUE!</v>
      </c>
      <c r="H1023" s="13" t="e">
        <f t="shared" si="63"/>
        <v>#VALUE!</v>
      </c>
    </row>
    <row r="1024" spans="2:8">
      <c r="B1024" s="11" t="str">
        <f t="shared" si="61"/>
        <v/>
      </c>
      <c r="C1024" s="11" t="str">
        <f t="shared" si="64"/>
        <v/>
      </c>
      <c r="F1024" s="10" t="str">
        <v/>
      </c>
      <c r="G1024" t="e">
        <f t="shared" si="62"/>
        <v>#VALUE!</v>
      </c>
      <c r="H1024" s="13" t="e">
        <f t="shared" si="63"/>
        <v>#VALUE!</v>
      </c>
    </row>
    <row r="1025" spans="2:8">
      <c r="B1025" s="11" t="str">
        <f t="shared" ref="B1025:B1088" si="65">IFERROR(IF(FIND(" ",A1025)=6,IF(IFERROR(FIND(" PB",A1025),"")&lt;&gt;"","артикул",IF(IFERROR(FIND(" CRN",A1025),"")&lt;&gt;"","артикул","")),""),"")</f>
        <v/>
      </c>
      <c r="C1025" s="11" t="str">
        <f t="shared" si="64"/>
        <v/>
      </c>
      <c r="F1025" s="10" t="str">
        <v/>
      </c>
      <c r="G1025" t="e">
        <f t="shared" si="62"/>
        <v>#VALUE!</v>
      </c>
      <c r="H1025" s="13" t="e">
        <f t="shared" si="63"/>
        <v>#VALUE!</v>
      </c>
    </row>
    <row r="1026" spans="2:8">
      <c r="B1026" s="11" t="str">
        <f t="shared" si="65"/>
        <v/>
      </c>
      <c r="C1026" s="11" t="str">
        <f t="shared" si="64"/>
        <v/>
      </c>
      <c r="F1026" s="10" t="str">
        <v/>
      </c>
      <c r="G1026" t="e">
        <f t="shared" ref="G1026:G1089" si="66">CONCATENATE(LEFT(F1026,5),
MID(F1026,
SEARCH("\",SUBSTITUTE(F1026," ","\",LEN(F1026)-LEN(SUBSTITUTE(F1026," ",""))-4)),
SEARCH("\",SUBSTITUTE(F1026," ","\",LEN(F1026)-LEN(SUBSTITUTE(F1026," ",""))-3))-
SEARCH("\",SUBSTITUTE(F1026," ","\",LEN(F1026)-LEN(SUBSTITUTE(F1026," ",""))-4)))*1)</f>
        <v>#VALUE!</v>
      </c>
      <c r="H1026" s="13" t="e">
        <f t="shared" ref="H1026:H1089" si="67">SUBSTITUTE(
RIGHT(F1026,LEN(F1026)-
FIND("\",SUBSTITUTE(F1026," ","\",LEN(F1026)-LEN(SUBSTITUTE(F1026," ",""))))),
".","")</f>
        <v>#VALUE!</v>
      </c>
    </row>
    <row r="1027" spans="2:8">
      <c r="B1027" s="11" t="str">
        <f t="shared" si="65"/>
        <v/>
      </c>
      <c r="C1027" s="11" t="str">
        <f t="shared" si="64"/>
        <v/>
      </c>
      <c r="F1027" s="10" t="str">
        <v/>
      </c>
      <c r="G1027" t="e">
        <f t="shared" si="66"/>
        <v>#VALUE!</v>
      </c>
      <c r="H1027" s="13" t="e">
        <f t="shared" si="67"/>
        <v>#VALUE!</v>
      </c>
    </row>
    <row r="1028" spans="2:8">
      <c r="B1028" s="11" t="str">
        <f t="shared" si="65"/>
        <v/>
      </c>
      <c r="C1028" s="11" t="str">
        <f t="shared" si="64"/>
        <v/>
      </c>
      <c r="F1028" s="10" t="str">
        <v/>
      </c>
      <c r="G1028" t="e">
        <f t="shared" si="66"/>
        <v>#VALUE!</v>
      </c>
      <c r="H1028" s="13" t="e">
        <f t="shared" si="67"/>
        <v>#VALUE!</v>
      </c>
    </row>
    <row r="1029" spans="2:8">
      <c r="B1029" s="11" t="str">
        <f t="shared" si="65"/>
        <v/>
      </c>
      <c r="C1029" s="11" t="str">
        <f t="shared" si="64"/>
        <v/>
      </c>
      <c r="F1029" s="10" t="str">
        <v/>
      </c>
      <c r="G1029" t="e">
        <f t="shared" si="66"/>
        <v>#VALUE!</v>
      </c>
      <c r="H1029" s="13" t="e">
        <f t="shared" si="67"/>
        <v>#VALUE!</v>
      </c>
    </row>
    <row r="1030" spans="2:8">
      <c r="B1030" s="11" t="str">
        <f t="shared" si="65"/>
        <v/>
      </c>
      <c r="C1030" s="11" t="str">
        <f t="shared" si="64"/>
        <v/>
      </c>
      <c r="F1030" s="10" t="str">
        <v/>
      </c>
      <c r="G1030" t="e">
        <f t="shared" si="66"/>
        <v>#VALUE!</v>
      </c>
      <c r="H1030" s="13" t="e">
        <f t="shared" si="67"/>
        <v>#VALUE!</v>
      </c>
    </row>
    <row r="1031" spans="2:8">
      <c r="B1031" s="11" t="str">
        <f t="shared" si="65"/>
        <v/>
      </c>
      <c r="C1031" s="11" t="str">
        <f t="shared" si="64"/>
        <v/>
      </c>
      <c r="F1031" s="10" t="str">
        <v/>
      </c>
      <c r="G1031" t="e">
        <f t="shared" si="66"/>
        <v>#VALUE!</v>
      </c>
      <c r="H1031" s="13" t="e">
        <f t="shared" si="67"/>
        <v>#VALUE!</v>
      </c>
    </row>
    <row r="1032" spans="2:8">
      <c r="B1032" s="11" t="str">
        <f t="shared" si="65"/>
        <v/>
      </c>
      <c r="C1032" s="11" t="str">
        <f t="shared" si="64"/>
        <v/>
      </c>
      <c r="F1032" s="10" t="str">
        <v/>
      </c>
      <c r="G1032" t="e">
        <f t="shared" si="66"/>
        <v>#VALUE!</v>
      </c>
      <c r="H1032" s="13" t="e">
        <f t="shared" si="67"/>
        <v>#VALUE!</v>
      </c>
    </row>
    <row r="1033" spans="2:8">
      <c r="B1033" s="11" t="str">
        <f t="shared" si="65"/>
        <v/>
      </c>
      <c r="C1033" s="11" t="str">
        <f t="shared" si="64"/>
        <v/>
      </c>
      <c r="F1033" s="10" t="str">
        <v/>
      </c>
      <c r="G1033" t="e">
        <f t="shared" si="66"/>
        <v>#VALUE!</v>
      </c>
      <c r="H1033" s="13" t="e">
        <f t="shared" si="67"/>
        <v>#VALUE!</v>
      </c>
    </row>
    <row r="1034" spans="2:8">
      <c r="B1034" s="11" t="str">
        <f t="shared" si="65"/>
        <v/>
      </c>
      <c r="C1034" s="11" t="str">
        <f t="shared" si="64"/>
        <v/>
      </c>
      <c r="F1034" s="10" t="str">
        <v/>
      </c>
      <c r="G1034" t="e">
        <f t="shared" si="66"/>
        <v>#VALUE!</v>
      </c>
      <c r="H1034" s="13" t="e">
        <f t="shared" si="67"/>
        <v>#VALUE!</v>
      </c>
    </row>
    <row r="1035" spans="2:8">
      <c r="B1035" s="11" t="str">
        <f t="shared" si="65"/>
        <v/>
      </c>
      <c r="C1035" s="11" t="str">
        <f t="shared" si="64"/>
        <v/>
      </c>
      <c r="F1035" s="10" t="str">
        <v/>
      </c>
      <c r="G1035" t="e">
        <f t="shared" si="66"/>
        <v>#VALUE!</v>
      </c>
      <c r="H1035" s="13" t="e">
        <f t="shared" si="67"/>
        <v>#VALUE!</v>
      </c>
    </row>
    <row r="1036" spans="2:8">
      <c r="B1036" s="11" t="str">
        <f t="shared" si="65"/>
        <v/>
      </c>
      <c r="C1036" s="11" t="str">
        <f t="shared" si="64"/>
        <v/>
      </c>
      <c r="F1036" s="10" t="str">
        <v/>
      </c>
      <c r="G1036" t="e">
        <f t="shared" si="66"/>
        <v>#VALUE!</v>
      </c>
      <c r="H1036" s="13" t="e">
        <f t="shared" si="67"/>
        <v>#VALUE!</v>
      </c>
    </row>
    <row r="1037" spans="2:8">
      <c r="B1037" s="11" t="str">
        <f t="shared" si="65"/>
        <v/>
      </c>
      <c r="C1037" s="11" t="str">
        <f t="shared" si="64"/>
        <v/>
      </c>
      <c r="F1037" s="10" t="str">
        <v/>
      </c>
      <c r="G1037" t="e">
        <f t="shared" si="66"/>
        <v>#VALUE!</v>
      </c>
      <c r="H1037" s="13" t="e">
        <f t="shared" si="67"/>
        <v>#VALUE!</v>
      </c>
    </row>
    <row r="1038" spans="2:8">
      <c r="B1038" s="11" t="str">
        <f t="shared" si="65"/>
        <v/>
      </c>
      <c r="C1038" s="11" t="str">
        <f t="shared" si="64"/>
        <v/>
      </c>
      <c r="F1038" s="10" t="str">
        <v/>
      </c>
      <c r="G1038" t="e">
        <f t="shared" si="66"/>
        <v>#VALUE!</v>
      </c>
      <c r="H1038" s="13" t="e">
        <f t="shared" si="67"/>
        <v>#VALUE!</v>
      </c>
    </row>
    <row r="1039" spans="2:8">
      <c r="B1039" s="11" t="str">
        <f t="shared" si="65"/>
        <v/>
      </c>
      <c r="C1039" s="11" t="str">
        <f t="shared" si="64"/>
        <v/>
      </c>
      <c r="F1039" s="10" t="str">
        <v/>
      </c>
      <c r="G1039" t="e">
        <f t="shared" si="66"/>
        <v>#VALUE!</v>
      </c>
      <c r="H1039" s="13" t="e">
        <f t="shared" si="67"/>
        <v>#VALUE!</v>
      </c>
    </row>
    <row r="1040" spans="2:8">
      <c r="B1040" s="11" t="str">
        <f t="shared" si="65"/>
        <v/>
      </c>
      <c r="C1040" s="11" t="str">
        <f t="shared" si="64"/>
        <v/>
      </c>
      <c r="F1040" s="10" t="str">
        <v/>
      </c>
      <c r="G1040" t="e">
        <f t="shared" si="66"/>
        <v>#VALUE!</v>
      </c>
      <c r="H1040" s="13" t="e">
        <f t="shared" si="67"/>
        <v>#VALUE!</v>
      </c>
    </row>
    <row r="1041" spans="2:8">
      <c r="B1041" s="11" t="str">
        <f t="shared" si="65"/>
        <v/>
      </c>
      <c r="C1041" s="11" t="str">
        <f t="shared" si="64"/>
        <v/>
      </c>
      <c r="F1041" s="10" t="str">
        <v/>
      </c>
      <c r="G1041" t="e">
        <f t="shared" si="66"/>
        <v>#VALUE!</v>
      </c>
      <c r="H1041" s="13" t="e">
        <f t="shared" si="67"/>
        <v>#VALUE!</v>
      </c>
    </row>
    <row r="1042" spans="2:8">
      <c r="B1042" s="11" t="str">
        <f t="shared" si="65"/>
        <v/>
      </c>
      <c r="C1042" s="11" t="str">
        <f t="shared" si="64"/>
        <v/>
      </c>
      <c r="F1042" s="10" t="str">
        <v/>
      </c>
      <c r="G1042" t="e">
        <f t="shared" si="66"/>
        <v>#VALUE!</v>
      </c>
      <c r="H1042" s="13" t="e">
        <f t="shared" si="67"/>
        <v>#VALUE!</v>
      </c>
    </row>
    <row r="1043" spans="2:8">
      <c r="B1043" s="11" t="str">
        <f t="shared" si="65"/>
        <v/>
      </c>
      <c r="C1043" s="11" t="str">
        <f t="shared" si="64"/>
        <v/>
      </c>
      <c r="F1043" s="10" t="str">
        <v/>
      </c>
      <c r="G1043" t="e">
        <f t="shared" si="66"/>
        <v>#VALUE!</v>
      </c>
      <c r="H1043" s="13" t="e">
        <f t="shared" si="67"/>
        <v>#VALUE!</v>
      </c>
    </row>
    <row r="1044" spans="2:8">
      <c r="B1044" s="11" t="str">
        <f t="shared" si="65"/>
        <v/>
      </c>
      <c r="C1044" s="11" t="str">
        <f t="shared" si="64"/>
        <v/>
      </c>
      <c r="F1044" s="10" t="str">
        <v/>
      </c>
      <c r="G1044" t="e">
        <f t="shared" si="66"/>
        <v>#VALUE!</v>
      </c>
      <c r="H1044" s="13" t="e">
        <f t="shared" si="67"/>
        <v>#VALUE!</v>
      </c>
    </row>
    <row r="1045" spans="2:8">
      <c r="B1045" s="11" t="str">
        <f t="shared" si="65"/>
        <v/>
      </c>
      <c r="C1045" s="11" t="str">
        <f t="shared" si="64"/>
        <v/>
      </c>
      <c r="F1045" s="10" t="str">
        <v/>
      </c>
      <c r="G1045" t="e">
        <f t="shared" si="66"/>
        <v>#VALUE!</v>
      </c>
      <c r="H1045" s="13" t="e">
        <f t="shared" si="67"/>
        <v>#VALUE!</v>
      </c>
    </row>
    <row r="1046" spans="2:8">
      <c r="B1046" s="11" t="str">
        <f t="shared" si="65"/>
        <v/>
      </c>
      <c r="C1046" s="11" t="str">
        <f t="shared" si="64"/>
        <v/>
      </c>
      <c r="F1046" s="10" t="str">
        <v/>
      </c>
      <c r="G1046" t="e">
        <f t="shared" si="66"/>
        <v>#VALUE!</v>
      </c>
      <c r="H1046" s="13" t="e">
        <f t="shared" si="67"/>
        <v>#VALUE!</v>
      </c>
    </row>
    <row r="1047" spans="2:8">
      <c r="B1047" s="11" t="str">
        <f t="shared" si="65"/>
        <v/>
      </c>
      <c r="C1047" s="11" t="str">
        <f t="shared" si="64"/>
        <v/>
      </c>
      <c r="F1047" s="10" t="str">
        <v/>
      </c>
      <c r="G1047" t="e">
        <f t="shared" si="66"/>
        <v>#VALUE!</v>
      </c>
      <c r="H1047" s="13" t="e">
        <f t="shared" si="67"/>
        <v>#VALUE!</v>
      </c>
    </row>
    <row r="1048" spans="2:8">
      <c r="B1048" s="11" t="str">
        <f t="shared" si="65"/>
        <v/>
      </c>
      <c r="C1048" s="11" t="str">
        <f t="shared" si="64"/>
        <v/>
      </c>
      <c r="F1048" s="10" t="str">
        <v/>
      </c>
      <c r="G1048" t="e">
        <f t="shared" si="66"/>
        <v>#VALUE!</v>
      </c>
      <c r="H1048" s="13" t="e">
        <f t="shared" si="67"/>
        <v>#VALUE!</v>
      </c>
    </row>
    <row r="1049" spans="2:8">
      <c r="B1049" s="11" t="str">
        <f t="shared" si="65"/>
        <v/>
      </c>
      <c r="C1049" s="11" t="str">
        <f t="shared" si="64"/>
        <v/>
      </c>
      <c r="F1049" s="10" t="str">
        <v/>
      </c>
      <c r="G1049" t="e">
        <f t="shared" si="66"/>
        <v>#VALUE!</v>
      </c>
      <c r="H1049" s="13" t="e">
        <f t="shared" si="67"/>
        <v>#VALUE!</v>
      </c>
    </row>
    <row r="1050" spans="2:8">
      <c r="B1050" s="11" t="str">
        <f t="shared" si="65"/>
        <v/>
      </c>
      <c r="C1050" s="11" t="str">
        <f t="shared" si="64"/>
        <v/>
      </c>
      <c r="F1050" s="10" t="str">
        <v/>
      </c>
      <c r="G1050" t="e">
        <f t="shared" si="66"/>
        <v>#VALUE!</v>
      </c>
      <c r="H1050" s="13" t="e">
        <f t="shared" si="67"/>
        <v>#VALUE!</v>
      </c>
    </row>
    <row r="1051" spans="2:8">
      <c r="B1051" s="11" t="str">
        <f t="shared" si="65"/>
        <v/>
      </c>
      <c r="C1051" s="11" t="str">
        <f t="shared" si="64"/>
        <v/>
      </c>
      <c r="F1051" s="10" t="str">
        <v/>
      </c>
      <c r="G1051" t="e">
        <f t="shared" si="66"/>
        <v>#VALUE!</v>
      </c>
      <c r="H1051" s="13" t="e">
        <f t="shared" si="67"/>
        <v>#VALUE!</v>
      </c>
    </row>
    <row r="1052" spans="2:8">
      <c r="B1052" s="11" t="str">
        <f t="shared" si="65"/>
        <v/>
      </c>
      <c r="C1052" s="11" t="str">
        <f t="shared" si="64"/>
        <v/>
      </c>
      <c r="F1052" s="10" t="str">
        <v/>
      </c>
      <c r="G1052" t="e">
        <f t="shared" si="66"/>
        <v>#VALUE!</v>
      </c>
      <c r="H1052" s="13" t="e">
        <f t="shared" si="67"/>
        <v>#VALUE!</v>
      </c>
    </row>
    <row r="1053" spans="2:8">
      <c r="B1053" s="11" t="str">
        <f t="shared" si="65"/>
        <v/>
      </c>
      <c r="C1053" s="11" t="str">
        <f t="shared" si="64"/>
        <v/>
      </c>
      <c r="F1053" s="10" t="str">
        <v/>
      </c>
      <c r="G1053" t="e">
        <f t="shared" si="66"/>
        <v>#VALUE!</v>
      </c>
      <c r="H1053" s="13" t="e">
        <f t="shared" si="67"/>
        <v>#VALUE!</v>
      </c>
    </row>
    <row r="1054" spans="2:8">
      <c r="B1054" s="11" t="str">
        <f t="shared" si="65"/>
        <v/>
      </c>
      <c r="C1054" s="11" t="str">
        <f t="shared" si="64"/>
        <v/>
      </c>
      <c r="F1054" s="10" t="str">
        <v/>
      </c>
      <c r="G1054" t="e">
        <f t="shared" si="66"/>
        <v>#VALUE!</v>
      </c>
      <c r="H1054" s="13" t="e">
        <f t="shared" si="67"/>
        <v>#VALUE!</v>
      </c>
    </row>
    <row r="1055" spans="2:8">
      <c r="B1055" s="11" t="str">
        <f t="shared" si="65"/>
        <v/>
      </c>
      <c r="C1055" s="11" t="str">
        <f t="shared" si="64"/>
        <v/>
      </c>
      <c r="F1055" s="10" t="str">
        <v/>
      </c>
      <c r="G1055" t="e">
        <f t="shared" si="66"/>
        <v>#VALUE!</v>
      </c>
      <c r="H1055" s="13" t="e">
        <f t="shared" si="67"/>
        <v>#VALUE!</v>
      </c>
    </row>
    <row r="1056" spans="2:8">
      <c r="B1056" s="11" t="str">
        <f t="shared" si="65"/>
        <v/>
      </c>
      <c r="C1056" s="11" t="str">
        <f t="shared" si="64"/>
        <v/>
      </c>
      <c r="F1056" s="10" t="str">
        <v/>
      </c>
      <c r="G1056" t="e">
        <f t="shared" si="66"/>
        <v>#VALUE!</v>
      </c>
      <c r="H1056" s="13" t="e">
        <f t="shared" si="67"/>
        <v>#VALUE!</v>
      </c>
    </row>
    <row r="1057" spans="2:8">
      <c r="B1057" s="11" t="str">
        <f t="shared" si="65"/>
        <v/>
      </c>
      <c r="C1057" s="11" t="str">
        <f t="shared" si="64"/>
        <v/>
      </c>
      <c r="F1057" s="10" t="str">
        <v/>
      </c>
      <c r="G1057" t="e">
        <f t="shared" si="66"/>
        <v>#VALUE!</v>
      </c>
      <c r="H1057" s="13" t="e">
        <f t="shared" si="67"/>
        <v>#VALUE!</v>
      </c>
    </row>
    <row r="1058" spans="2:8">
      <c r="B1058" s="11" t="str">
        <f t="shared" si="65"/>
        <v/>
      </c>
      <c r="C1058" s="11" t="str">
        <f t="shared" si="64"/>
        <v/>
      </c>
      <c r="F1058" s="10" t="str">
        <v/>
      </c>
      <c r="G1058" t="e">
        <f t="shared" si="66"/>
        <v>#VALUE!</v>
      </c>
      <c r="H1058" s="13" t="e">
        <f t="shared" si="67"/>
        <v>#VALUE!</v>
      </c>
    </row>
    <row r="1059" spans="2:8">
      <c r="B1059" s="11" t="str">
        <f t="shared" si="65"/>
        <v/>
      </c>
      <c r="C1059" s="11" t="str">
        <f t="shared" si="64"/>
        <v/>
      </c>
      <c r="F1059" s="10" t="str">
        <v/>
      </c>
      <c r="G1059" t="e">
        <f t="shared" si="66"/>
        <v>#VALUE!</v>
      </c>
      <c r="H1059" s="13" t="e">
        <f t="shared" si="67"/>
        <v>#VALUE!</v>
      </c>
    </row>
    <row r="1060" spans="2:8">
      <c r="B1060" s="11" t="str">
        <f t="shared" si="65"/>
        <v/>
      </c>
      <c r="C1060" s="11" t="str">
        <f t="shared" si="64"/>
        <v/>
      </c>
      <c r="F1060" s="10" t="str">
        <v/>
      </c>
      <c r="G1060" t="e">
        <f t="shared" si="66"/>
        <v>#VALUE!</v>
      </c>
      <c r="H1060" s="13" t="e">
        <f t="shared" si="67"/>
        <v>#VALUE!</v>
      </c>
    </row>
    <row r="1061" spans="2:8">
      <c r="B1061" s="11" t="str">
        <f t="shared" si="65"/>
        <v/>
      </c>
      <c r="C1061" s="11" t="str">
        <f t="shared" si="64"/>
        <v/>
      </c>
      <c r="F1061" s="10" t="str">
        <v/>
      </c>
      <c r="G1061" t="e">
        <f t="shared" si="66"/>
        <v>#VALUE!</v>
      </c>
      <c r="H1061" s="13" t="e">
        <f t="shared" si="67"/>
        <v>#VALUE!</v>
      </c>
    </row>
    <row r="1062" spans="2:8">
      <c r="B1062" s="11" t="str">
        <f t="shared" si="65"/>
        <v/>
      </c>
      <c r="C1062" s="11" t="str">
        <f t="shared" si="64"/>
        <v/>
      </c>
      <c r="F1062" s="10" t="str">
        <v/>
      </c>
      <c r="G1062" t="e">
        <f t="shared" si="66"/>
        <v>#VALUE!</v>
      </c>
      <c r="H1062" s="13" t="e">
        <f t="shared" si="67"/>
        <v>#VALUE!</v>
      </c>
    </row>
    <row r="1063" spans="2:8">
      <c r="B1063" s="11" t="str">
        <f t="shared" si="65"/>
        <v/>
      </c>
      <c r="C1063" s="11" t="str">
        <f t="shared" si="64"/>
        <v/>
      </c>
      <c r="F1063" s="10" t="str">
        <v/>
      </c>
      <c r="G1063" t="e">
        <f t="shared" si="66"/>
        <v>#VALUE!</v>
      </c>
      <c r="H1063" s="13" t="e">
        <f t="shared" si="67"/>
        <v>#VALUE!</v>
      </c>
    </row>
    <row r="1064" spans="2:8">
      <c r="B1064" s="11" t="str">
        <f t="shared" si="65"/>
        <v/>
      </c>
      <c r="C1064" s="11" t="str">
        <f t="shared" si="64"/>
        <v/>
      </c>
      <c r="F1064" s="10" t="str">
        <v/>
      </c>
      <c r="G1064" t="e">
        <f t="shared" si="66"/>
        <v>#VALUE!</v>
      </c>
      <c r="H1064" s="13" t="e">
        <f t="shared" si="67"/>
        <v>#VALUE!</v>
      </c>
    </row>
    <row r="1065" spans="2:8">
      <c r="B1065" s="11" t="str">
        <f t="shared" si="65"/>
        <v/>
      </c>
      <c r="C1065" s="11" t="str">
        <f t="shared" ref="C1065:C1128" si="68">IF(B1065="артикул",A1065,"")</f>
        <v/>
      </c>
      <c r="F1065" s="10" t="str">
        <v/>
      </c>
      <c r="G1065" t="e">
        <f t="shared" si="66"/>
        <v>#VALUE!</v>
      </c>
      <c r="H1065" s="13" t="e">
        <f t="shared" si="67"/>
        <v>#VALUE!</v>
      </c>
    </row>
    <row r="1066" spans="2:8">
      <c r="B1066" s="11" t="str">
        <f t="shared" si="65"/>
        <v/>
      </c>
      <c r="C1066" s="11" t="str">
        <f t="shared" si="68"/>
        <v/>
      </c>
      <c r="F1066" s="10" t="str">
        <v/>
      </c>
      <c r="G1066" t="e">
        <f t="shared" si="66"/>
        <v>#VALUE!</v>
      </c>
      <c r="H1066" s="13" t="e">
        <f t="shared" si="67"/>
        <v>#VALUE!</v>
      </c>
    </row>
    <row r="1067" spans="2:8">
      <c r="B1067" s="11" t="str">
        <f t="shared" si="65"/>
        <v/>
      </c>
      <c r="C1067" s="11" t="str">
        <f t="shared" si="68"/>
        <v/>
      </c>
      <c r="F1067" s="10" t="str">
        <v/>
      </c>
      <c r="G1067" t="e">
        <f t="shared" si="66"/>
        <v>#VALUE!</v>
      </c>
      <c r="H1067" s="13" t="e">
        <f t="shared" si="67"/>
        <v>#VALUE!</v>
      </c>
    </row>
    <row r="1068" spans="2:8">
      <c r="B1068" s="11" t="str">
        <f t="shared" si="65"/>
        <v/>
      </c>
      <c r="C1068" s="11" t="str">
        <f t="shared" si="68"/>
        <v/>
      </c>
      <c r="F1068" s="10" t="str">
        <v/>
      </c>
      <c r="G1068" t="e">
        <f t="shared" si="66"/>
        <v>#VALUE!</v>
      </c>
      <c r="H1068" s="13" t="e">
        <f t="shared" si="67"/>
        <v>#VALUE!</v>
      </c>
    </row>
    <row r="1069" spans="2:8">
      <c r="B1069" s="11" t="str">
        <f t="shared" si="65"/>
        <v/>
      </c>
      <c r="C1069" s="11" t="str">
        <f t="shared" si="68"/>
        <v/>
      </c>
      <c r="F1069" s="10" t="str">
        <v/>
      </c>
      <c r="G1069" t="e">
        <f t="shared" si="66"/>
        <v>#VALUE!</v>
      </c>
      <c r="H1069" s="13" t="e">
        <f t="shared" si="67"/>
        <v>#VALUE!</v>
      </c>
    </row>
    <row r="1070" spans="2:8">
      <c r="B1070" s="11" t="str">
        <f t="shared" si="65"/>
        <v/>
      </c>
      <c r="C1070" s="11" t="str">
        <f t="shared" si="68"/>
        <v/>
      </c>
      <c r="F1070" s="10" t="str">
        <v/>
      </c>
      <c r="G1070" t="e">
        <f t="shared" si="66"/>
        <v>#VALUE!</v>
      </c>
      <c r="H1070" s="13" t="e">
        <f t="shared" si="67"/>
        <v>#VALUE!</v>
      </c>
    </row>
    <row r="1071" spans="2:8">
      <c r="B1071" s="11" t="str">
        <f t="shared" si="65"/>
        <v/>
      </c>
      <c r="C1071" s="11" t="str">
        <f t="shared" si="68"/>
        <v/>
      </c>
      <c r="F1071" s="10" t="str">
        <v/>
      </c>
      <c r="G1071" t="e">
        <f t="shared" si="66"/>
        <v>#VALUE!</v>
      </c>
      <c r="H1071" s="13" t="e">
        <f t="shared" si="67"/>
        <v>#VALUE!</v>
      </c>
    </row>
    <row r="1072" spans="2:8">
      <c r="B1072" s="11" t="str">
        <f t="shared" si="65"/>
        <v/>
      </c>
      <c r="C1072" s="11" t="str">
        <f t="shared" si="68"/>
        <v/>
      </c>
      <c r="F1072" s="10" t="str">
        <v/>
      </c>
      <c r="G1072" t="e">
        <f t="shared" si="66"/>
        <v>#VALUE!</v>
      </c>
      <c r="H1072" s="13" t="e">
        <f t="shared" si="67"/>
        <v>#VALUE!</v>
      </c>
    </row>
    <row r="1073" spans="2:8">
      <c r="B1073" s="11" t="str">
        <f t="shared" si="65"/>
        <v/>
      </c>
      <c r="C1073" s="11" t="str">
        <f t="shared" si="68"/>
        <v/>
      </c>
      <c r="F1073" s="10" t="str">
        <v/>
      </c>
      <c r="G1073" t="e">
        <f t="shared" si="66"/>
        <v>#VALUE!</v>
      </c>
      <c r="H1073" s="13" t="e">
        <f t="shared" si="67"/>
        <v>#VALUE!</v>
      </c>
    </row>
    <row r="1074" spans="2:8">
      <c r="B1074" s="11" t="str">
        <f t="shared" si="65"/>
        <v/>
      </c>
      <c r="C1074" s="11" t="str">
        <f t="shared" si="68"/>
        <v/>
      </c>
      <c r="F1074" s="10" t="str">
        <v/>
      </c>
      <c r="G1074" t="e">
        <f t="shared" si="66"/>
        <v>#VALUE!</v>
      </c>
      <c r="H1074" s="13" t="e">
        <f t="shared" si="67"/>
        <v>#VALUE!</v>
      </c>
    </row>
    <row r="1075" spans="2:8">
      <c r="B1075" s="11" t="str">
        <f t="shared" si="65"/>
        <v/>
      </c>
      <c r="C1075" s="11" t="str">
        <f t="shared" si="68"/>
        <v/>
      </c>
      <c r="F1075" s="10" t="str">
        <v/>
      </c>
      <c r="G1075" t="e">
        <f t="shared" si="66"/>
        <v>#VALUE!</v>
      </c>
      <c r="H1075" s="13" t="e">
        <f t="shared" si="67"/>
        <v>#VALUE!</v>
      </c>
    </row>
    <row r="1076" spans="2:8">
      <c r="B1076" s="11" t="str">
        <f t="shared" si="65"/>
        <v/>
      </c>
      <c r="C1076" s="11" t="str">
        <f t="shared" si="68"/>
        <v/>
      </c>
      <c r="F1076" s="10" t="str">
        <v/>
      </c>
      <c r="G1076" t="e">
        <f t="shared" si="66"/>
        <v>#VALUE!</v>
      </c>
      <c r="H1076" s="13" t="e">
        <f t="shared" si="67"/>
        <v>#VALUE!</v>
      </c>
    </row>
    <row r="1077" spans="2:8">
      <c r="B1077" s="11" t="str">
        <f t="shared" si="65"/>
        <v/>
      </c>
      <c r="C1077" s="11" t="str">
        <f t="shared" si="68"/>
        <v/>
      </c>
      <c r="F1077" s="10" t="str">
        <v/>
      </c>
      <c r="G1077" t="e">
        <f t="shared" si="66"/>
        <v>#VALUE!</v>
      </c>
      <c r="H1077" s="13" t="e">
        <f t="shared" si="67"/>
        <v>#VALUE!</v>
      </c>
    </row>
    <row r="1078" spans="2:8">
      <c r="B1078" s="11" t="str">
        <f t="shared" si="65"/>
        <v/>
      </c>
      <c r="C1078" s="11" t="str">
        <f t="shared" si="68"/>
        <v/>
      </c>
      <c r="F1078" s="10" t="str">
        <v/>
      </c>
      <c r="G1078" t="e">
        <f t="shared" si="66"/>
        <v>#VALUE!</v>
      </c>
      <c r="H1078" s="13" t="e">
        <f t="shared" si="67"/>
        <v>#VALUE!</v>
      </c>
    </row>
    <row r="1079" spans="2:8">
      <c r="B1079" s="11" t="str">
        <f t="shared" si="65"/>
        <v/>
      </c>
      <c r="C1079" s="11" t="str">
        <f t="shared" si="68"/>
        <v/>
      </c>
      <c r="F1079" s="10" t="str">
        <v/>
      </c>
      <c r="G1079" t="e">
        <f t="shared" si="66"/>
        <v>#VALUE!</v>
      </c>
      <c r="H1079" s="13" t="e">
        <f t="shared" si="67"/>
        <v>#VALUE!</v>
      </c>
    </row>
    <row r="1080" spans="2:8">
      <c r="B1080" s="11" t="str">
        <f t="shared" si="65"/>
        <v/>
      </c>
      <c r="C1080" s="11" t="str">
        <f t="shared" si="68"/>
        <v/>
      </c>
      <c r="F1080" s="10" t="str">
        <v/>
      </c>
      <c r="G1080" t="e">
        <f t="shared" si="66"/>
        <v>#VALUE!</v>
      </c>
      <c r="H1080" s="13" t="e">
        <f t="shared" si="67"/>
        <v>#VALUE!</v>
      </c>
    </row>
    <row r="1081" spans="2:8">
      <c r="B1081" s="11" t="str">
        <f t="shared" si="65"/>
        <v/>
      </c>
      <c r="C1081" s="11" t="str">
        <f t="shared" si="68"/>
        <v/>
      </c>
      <c r="F1081" s="10" t="str">
        <v/>
      </c>
      <c r="G1081" t="e">
        <f t="shared" si="66"/>
        <v>#VALUE!</v>
      </c>
      <c r="H1081" s="13" t="e">
        <f t="shared" si="67"/>
        <v>#VALUE!</v>
      </c>
    </row>
    <row r="1082" spans="2:8">
      <c r="B1082" s="11" t="str">
        <f t="shared" si="65"/>
        <v/>
      </c>
      <c r="C1082" s="11" t="str">
        <f t="shared" si="68"/>
        <v/>
      </c>
      <c r="F1082" s="10" t="str">
        <v/>
      </c>
      <c r="G1082" t="e">
        <f t="shared" si="66"/>
        <v>#VALUE!</v>
      </c>
      <c r="H1082" s="13" t="e">
        <f t="shared" si="67"/>
        <v>#VALUE!</v>
      </c>
    </row>
    <row r="1083" spans="2:8">
      <c r="B1083" s="11" t="str">
        <f t="shared" si="65"/>
        <v/>
      </c>
      <c r="C1083" s="11" t="str">
        <f t="shared" si="68"/>
        <v/>
      </c>
      <c r="F1083" s="10" t="str">
        <v/>
      </c>
      <c r="G1083" t="e">
        <f t="shared" si="66"/>
        <v>#VALUE!</v>
      </c>
      <c r="H1083" s="13" t="e">
        <f t="shared" si="67"/>
        <v>#VALUE!</v>
      </c>
    </row>
    <row r="1084" spans="2:8">
      <c r="B1084" s="11" t="str">
        <f t="shared" si="65"/>
        <v/>
      </c>
      <c r="C1084" s="11" t="str">
        <f t="shared" si="68"/>
        <v/>
      </c>
      <c r="F1084" s="10" t="str">
        <v/>
      </c>
      <c r="G1084" t="e">
        <f t="shared" si="66"/>
        <v>#VALUE!</v>
      </c>
      <c r="H1084" s="13" t="e">
        <f t="shared" si="67"/>
        <v>#VALUE!</v>
      </c>
    </row>
    <row r="1085" spans="2:8">
      <c r="B1085" s="11" t="str">
        <f t="shared" si="65"/>
        <v/>
      </c>
      <c r="C1085" s="11" t="str">
        <f t="shared" si="68"/>
        <v/>
      </c>
      <c r="F1085" s="10" t="str">
        <v/>
      </c>
      <c r="G1085" t="e">
        <f t="shared" si="66"/>
        <v>#VALUE!</v>
      </c>
      <c r="H1085" s="13" t="e">
        <f t="shared" si="67"/>
        <v>#VALUE!</v>
      </c>
    </row>
    <row r="1086" spans="2:8">
      <c r="B1086" s="11" t="str">
        <f t="shared" si="65"/>
        <v/>
      </c>
      <c r="C1086" s="11" t="str">
        <f t="shared" si="68"/>
        <v/>
      </c>
      <c r="F1086" s="10" t="str">
        <v/>
      </c>
      <c r="G1086" t="e">
        <f t="shared" si="66"/>
        <v>#VALUE!</v>
      </c>
      <c r="H1086" s="13" t="e">
        <f t="shared" si="67"/>
        <v>#VALUE!</v>
      </c>
    </row>
    <row r="1087" spans="2:8">
      <c r="B1087" s="11" t="str">
        <f t="shared" si="65"/>
        <v/>
      </c>
      <c r="C1087" s="11" t="str">
        <f t="shared" si="68"/>
        <v/>
      </c>
      <c r="F1087" s="10" t="str">
        <v/>
      </c>
      <c r="G1087" t="e">
        <f t="shared" si="66"/>
        <v>#VALUE!</v>
      </c>
      <c r="H1087" s="13" t="e">
        <f t="shared" si="67"/>
        <v>#VALUE!</v>
      </c>
    </row>
    <row r="1088" spans="2:8">
      <c r="B1088" s="11" t="str">
        <f t="shared" si="65"/>
        <v/>
      </c>
      <c r="C1088" s="11" t="str">
        <f t="shared" si="68"/>
        <v/>
      </c>
      <c r="F1088" s="10" t="str">
        <v/>
      </c>
      <c r="G1088" t="e">
        <f t="shared" si="66"/>
        <v>#VALUE!</v>
      </c>
      <c r="H1088" s="13" t="e">
        <f t="shared" si="67"/>
        <v>#VALUE!</v>
      </c>
    </row>
    <row r="1089" spans="2:8">
      <c r="B1089" s="11" t="str">
        <f t="shared" ref="B1089:B1152" si="69">IFERROR(IF(FIND(" ",A1089)=6,IF(IFERROR(FIND(" PB",A1089),"")&lt;&gt;"","артикул",IF(IFERROR(FIND(" CRN",A1089),"")&lt;&gt;"","артикул","")),""),"")</f>
        <v/>
      </c>
      <c r="C1089" s="11" t="str">
        <f t="shared" si="68"/>
        <v/>
      </c>
      <c r="F1089" s="10" t="str">
        <v/>
      </c>
      <c r="G1089" t="e">
        <f t="shared" si="66"/>
        <v>#VALUE!</v>
      </c>
      <c r="H1089" s="13" t="e">
        <f t="shared" si="67"/>
        <v>#VALUE!</v>
      </c>
    </row>
    <row r="1090" spans="2:8">
      <c r="B1090" s="11" t="str">
        <f t="shared" si="69"/>
        <v/>
      </c>
      <c r="C1090" s="11" t="str">
        <f t="shared" si="68"/>
        <v/>
      </c>
      <c r="F1090" s="10" t="str">
        <v/>
      </c>
      <c r="G1090" t="e">
        <f t="shared" ref="G1090:G1153" si="70">CONCATENATE(LEFT(F1090,5),
MID(F1090,
SEARCH("\",SUBSTITUTE(F1090," ","\",LEN(F1090)-LEN(SUBSTITUTE(F1090," ",""))-4)),
SEARCH("\",SUBSTITUTE(F1090," ","\",LEN(F1090)-LEN(SUBSTITUTE(F1090," ",""))-3))-
SEARCH("\",SUBSTITUTE(F1090," ","\",LEN(F1090)-LEN(SUBSTITUTE(F1090," ",""))-4)))*1)</f>
        <v>#VALUE!</v>
      </c>
      <c r="H1090" s="13" t="e">
        <f t="shared" ref="H1090:H1153" si="71">SUBSTITUTE(
RIGHT(F1090,LEN(F1090)-
FIND("\",SUBSTITUTE(F1090," ","\",LEN(F1090)-LEN(SUBSTITUTE(F1090," ",""))))),
".","")</f>
        <v>#VALUE!</v>
      </c>
    </row>
    <row r="1091" spans="2:8">
      <c r="B1091" s="11" t="str">
        <f t="shared" si="69"/>
        <v/>
      </c>
      <c r="C1091" s="11" t="str">
        <f t="shared" si="68"/>
        <v/>
      </c>
      <c r="F1091" s="10" t="str">
        <v/>
      </c>
      <c r="G1091" t="e">
        <f t="shared" si="70"/>
        <v>#VALUE!</v>
      </c>
      <c r="H1091" s="13" t="e">
        <f t="shared" si="71"/>
        <v>#VALUE!</v>
      </c>
    </row>
    <row r="1092" spans="2:8">
      <c r="B1092" s="11" t="str">
        <f t="shared" si="69"/>
        <v/>
      </c>
      <c r="C1092" s="11" t="str">
        <f t="shared" si="68"/>
        <v/>
      </c>
      <c r="F1092" s="10" t="str">
        <v/>
      </c>
      <c r="G1092" t="e">
        <f t="shared" si="70"/>
        <v>#VALUE!</v>
      </c>
      <c r="H1092" s="13" t="e">
        <f t="shared" si="71"/>
        <v>#VALUE!</v>
      </c>
    </row>
    <row r="1093" spans="2:8">
      <c r="B1093" s="11" t="str">
        <f t="shared" si="69"/>
        <v/>
      </c>
      <c r="C1093" s="11" t="str">
        <f t="shared" si="68"/>
        <v/>
      </c>
      <c r="F1093" s="10" t="str">
        <v/>
      </c>
      <c r="G1093" t="e">
        <f t="shared" si="70"/>
        <v>#VALUE!</v>
      </c>
      <c r="H1093" s="13" t="e">
        <f t="shared" si="71"/>
        <v>#VALUE!</v>
      </c>
    </row>
    <row r="1094" spans="2:8">
      <c r="B1094" s="11" t="str">
        <f t="shared" si="69"/>
        <v/>
      </c>
      <c r="C1094" s="11" t="str">
        <f t="shared" si="68"/>
        <v/>
      </c>
      <c r="F1094" s="10" t="str">
        <v/>
      </c>
      <c r="G1094" t="e">
        <f t="shared" si="70"/>
        <v>#VALUE!</v>
      </c>
      <c r="H1094" s="13" t="e">
        <f t="shared" si="71"/>
        <v>#VALUE!</v>
      </c>
    </row>
    <row r="1095" spans="2:8">
      <c r="B1095" s="11" t="str">
        <f t="shared" si="69"/>
        <v/>
      </c>
      <c r="C1095" s="11" t="str">
        <f t="shared" si="68"/>
        <v/>
      </c>
      <c r="F1095" s="10" t="str">
        <v/>
      </c>
      <c r="G1095" t="e">
        <f t="shared" si="70"/>
        <v>#VALUE!</v>
      </c>
      <c r="H1095" s="13" t="e">
        <f t="shared" si="71"/>
        <v>#VALUE!</v>
      </c>
    </row>
    <row r="1096" spans="2:8">
      <c r="B1096" s="11" t="str">
        <f t="shared" si="69"/>
        <v/>
      </c>
      <c r="C1096" s="11" t="str">
        <f t="shared" si="68"/>
        <v/>
      </c>
      <c r="F1096" s="10" t="str">
        <v/>
      </c>
      <c r="G1096" t="e">
        <f t="shared" si="70"/>
        <v>#VALUE!</v>
      </c>
      <c r="H1096" s="13" t="e">
        <f t="shared" si="71"/>
        <v>#VALUE!</v>
      </c>
    </row>
    <row r="1097" spans="2:8">
      <c r="B1097" s="11" t="str">
        <f t="shared" si="69"/>
        <v/>
      </c>
      <c r="C1097" s="11" t="str">
        <f t="shared" si="68"/>
        <v/>
      </c>
      <c r="F1097" s="10" t="str">
        <v/>
      </c>
      <c r="G1097" t="e">
        <f t="shared" si="70"/>
        <v>#VALUE!</v>
      </c>
      <c r="H1097" s="13" t="e">
        <f t="shared" si="71"/>
        <v>#VALUE!</v>
      </c>
    </row>
    <row r="1098" spans="2:8">
      <c r="B1098" s="11" t="str">
        <f t="shared" si="69"/>
        <v/>
      </c>
      <c r="C1098" s="11" t="str">
        <f t="shared" si="68"/>
        <v/>
      </c>
      <c r="F1098" s="10" t="str">
        <v/>
      </c>
      <c r="G1098" t="e">
        <f t="shared" si="70"/>
        <v>#VALUE!</v>
      </c>
      <c r="H1098" s="13" t="e">
        <f t="shared" si="71"/>
        <v>#VALUE!</v>
      </c>
    </row>
    <row r="1099" spans="2:8">
      <c r="B1099" s="11" t="str">
        <f t="shared" si="69"/>
        <v/>
      </c>
      <c r="C1099" s="11" t="str">
        <f t="shared" si="68"/>
        <v/>
      </c>
      <c r="F1099" s="10" t="str">
        <v/>
      </c>
      <c r="G1099" t="e">
        <f t="shared" si="70"/>
        <v>#VALUE!</v>
      </c>
      <c r="H1099" s="13" t="e">
        <f t="shared" si="71"/>
        <v>#VALUE!</v>
      </c>
    </row>
    <row r="1100" spans="2:8">
      <c r="B1100" s="11" t="str">
        <f t="shared" si="69"/>
        <v/>
      </c>
      <c r="C1100" s="11" t="str">
        <f t="shared" si="68"/>
        <v/>
      </c>
      <c r="F1100" s="10" t="str">
        <v/>
      </c>
      <c r="G1100" t="e">
        <f t="shared" si="70"/>
        <v>#VALUE!</v>
      </c>
      <c r="H1100" s="13" t="e">
        <f t="shared" si="71"/>
        <v>#VALUE!</v>
      </c>
    </row>
    <row r="1101" spans="2:8">
      <c r="B1101" s="11" t="str">
        <f t="shared" si="69"/>
        <v/>
      </c>
      <c r="C1101" s="11" t="str">
        <f t="shared" si="68"/>
        <v/>
      </c>
      <c r="F1101" s="10" t="str">
        <v/>
      </c>
      <c r="G1101" t="e">
        <f t="shared" si="70"/>
        <v>#VALUE!</v>
      </c>
      <c r="H1101" s="13" t="e">
        <f t="shared" si="71"/>
        <v>#VALUE!</v>
      </c>
    </row>
    <row r="1102" spans="2:8">
      <c r="B1102" s="11" t="str">
        <f t="shared" si="69"/>
        <v/>
      </c>
      <c r="C1102" s="11" t="str">
        <f t="shared" si="68"/>
        <v/>
      </c>
      <c r="F1102" s="10" t="str">
        <v/>
      </c>
      <c r="G1102" t="e">
        <f t="shared" si="70"/>
        <v>#VALUE!</v>
      </c>
      <c r="H1102" s="13" t="e">
        <f t="shared" si="71"/>
        <v>#VALUE!</v>
      </c>
    </row>
    <row r="1103" spans="2:8">
      <c r="B1103" s="11" t="str">
        <f t="shared" si="69"/>
        <v/>
      </c>
      <c r="C1103" s="11" t="str">
        <f t="shared" si="68"/>
        <v/>
      </c>
      <c r="F1103" s="10" t="str">
        <v/>
      </c>
      <c r="G1103" t="e">
        <f t="shared" si="70"/>
        <v>#VALUE!</v>
      </c>
      <c r="H1103" s="13" t="e">
        <f t="shared" si="71"/>
        <v>#VALUE!</v>
      </c>
    </row>
    <row r="1104" spans="2:8">
      <c r="B1104" s="11" t="str">
        <f t="shared" si="69"/>
        <v/>
      </c>
      <c r="C1104" s="11" t="str">
        <f t="shared" si="68"/>
        <v/>
      </c>
      <c r="F1104" s="10" t="str">
        <v/>
      </c>
      <c r="G1104" t="e">
        <f t="shared" si="70"/>
        <v>#VALUE!</v>
      </c>
      <c r="H1104" s="13" t="e">
        <f t="shared" si="71"/>
        <v>#VALUE!</v>
      </c>
    </row>
    <row r="1105" spans="2:8">
      <c r="B1105" s="11" t="str">
        <f t="shared" si="69"/>
        <v/>
      </c>
      <c r="C1105" s="11" t="str">
        <f t="shared" si="68"/>
        <v/>
      </c>
      <c r="F1105" s="10" t="str">
        <v/>
      </c>
      <c r="G1105" t="e">
        <f t="shared" si="70"/>
        <v>#VALUE!</v>
      </c>
      <c r="H1105" s="13" t="e">
        <f t="shared" si="71"/>
        <v>#VALUE!</v>
      </c>
    </row>
    <row r="1106" spans="2:8">
      <c r="B1106" s="11" t="str">
        <f t="shared" si="69"/>
        <v/>
      </c>
      <c r="C1106" s="11" t="str">
        <f t="shared" si="68"/>
        <v/>
      </c>
      <c r="F1106" s="10" t="str">
        <v/>
      </c>
      <c r="G1106" t="e">
        <f t="shared" si="70"/>
        <v>#VALUE!</v>
      </c>
      <c r="H1106" s="13" t="e">
        <f t="shared" si="71"/>
        <v>#VALUE!</v>
      </c>
    </row>
    <row r="1107" spans="2:8">
      <c r="B1107" s="11" t="str">
        <f t="shared" si="69"/>
        <v/>
      </c>
      <c r="C1107" s="11" t="str">
        <f t="shared" si="68"/>
        <v/>
      </c>
      <c r="F1107" s="10" t="str">
        <v/>
      </c>
      <c r="G1107" t="e">
        <f t="shared" si="70"/>
        <v>#VALUE!</v>
      </c>
      <c r="H1107" s="13" t="e">
        <f t="shared" si="71"/>
        <v>#VALUE!</v>
      </c>
    </row>
    <row r="1108" spans="2:8">
      <c r="B1108" s="11" t="str">
        <f t="shared" si="69"/>
        <v/>
      </c>
      <c r="C1108" s="11" t="str">
        <f t="shared" si="68"/>
        <v/>
      </c>
      <c r="F1108" s="10" t="str">
        <v/>
      </c>
      <c r="G1108" t="e">
        <f t="shared" si="70"/>
        <v>#VALUE!</v>
      </c>
      <c r="H1108" s="13" t="e">
        <f t="shared" si="71"/>
        <v>#VALUE!</v>
      </c>
    </row>
    <row r="1109" spans="2:8">
      <c r="B1109" s="11" t="str">
        <f t="shared" si="69"/>
        <v/>
      </c>
      <c r="C1109" s="11" t="str">
        <f t="shared" si="68"/>
        <v/>
      </c>
      <c r="F1109" s="10" t="str">
        <v/>
      </c>
      <c r="G1109" t="e">
        <f t="shared" si="70"/>
        <v>#VALUE!</v>
      </c>
      <c r="H1109" s="13" t="e">
        <f t="shared" si="71"/>
        <v>#VALUE!</v>
      </c>
    </row>
    <row r="1110" spans="2:8">
      <c r="B1110" s="11" t="str">
        <f t="shared" si="69"/>
        <v/>
      </c>
      <c r="C1110" s="11" t="str">
        <f t="shared" si="68"/>
        <v/>
      </c>
      <c r="F1110" s="10" t="str">
        <v/>
      </c>
      <c r="G1110" t="e">
        <f t="shared" si="70"/>
        <v>#VALUE!</v>
      </c>
      <c r="H1110" s="13" t="e">
        <f t="shared" si="71"/>
        <v>#VALUE!</v>
      </c>
    </row>
    <row r="1111" spans="2:8">
      <c r="B1111" s="11" t="str">
        <f t="shared" si="69"/>
        <v/>
      </c>
      <c r="C1111" s="11" t="str">
        <f t="shared" si="68"/>
        <v/>
      </c>
      <c r="F1111" s="10" t="str">
        <v/>
      </c>
      <c r="G1111" t="e">
        <f t="shared" si="70"/>
        <v>#VALUE!</v>
      </c>
      <c r="H1111" s="13" t="e">
        <f t="shared" si="71"/>
        <v>#VALUE!</v>
      </c>
    </row>
    <row r="1112" spans="2:8">
      <c r="B1112" s="11" t="str">
        <f t="shared" si="69"/>
        <v/>
      </c>
      <c r="C1112" s="11" t="str">
        <f t="shared" si="68"/>
        <v/>
      </c>
      <c r="F1112" s="10" t="str">
        <v/>
      </c>
      <c r="G1112" t="e">
        <f t="shared" si="70"/>
        <v>#VALUE!</v>
      </c>
      <c r="H1112" s="13" t="e">
        <f t="shared" si="71"/>
        <v>#VALUE!</v>
      </c>
    </row>
    <row r="1113" spans="2:8">
      <c r="B1113" s="11" t="str">
        <f t="shared" si="69"/>
        <v/>
      </c>
      <c r="C1113" s="11" t="str">
        <f t="shared" si="68"/>
        <v/>
      </c>
      <c r="F1113" s="10" t="str">
        <v/>
      </c>
      <c r="G1113" t="e">
        <f t="shared" si="70"/>
        <v>#VALUE!</v>
      </c>
      <c r="H1113" s="13" t="e">
        <f t="shared" si="71"/>
        <v>#VALUE!</v>
      </c>
    </row>
    <row r="1114" spans="2:8">
      <c r="B1114" s="11" t="str">
        <f t="shared" si="69"/>
        <v/>
      </c>
      <c r="C1114" s="11" t="str">
        <f t="shared" si="68"/>
        <v/>
      </c>
      <c r="F1114" s="10" t="str">
        <v/>
      </c>
      <c r="G1114" t="e">
        <f t="shared" si="70"/>
        <v>#VALUE!</v>
      </c>
      <c r="H1114" s="13" t="e">
        <f t="shared" si="71"/>
        <v>#VALUE!</v>
      </c>
    </row>
    <row r="1115" spans="2:8">
      <c r="B1115" s="11" t="str">
        <f t="shared" si="69"/>
        <v/>
      </c>
      <c r="C1115" s="11" t="str">
        <f t="shared" si="68"/>
        <v/>
      </c>
      <c r="F1115" s="10" t="str">
        <v/>
      </c>
      <c r="G1115" t="e">
        <f t="shared" si="70"/>
        <v>#VALUE!</v>
      </c>
      <c r="H1115" s="13" t="e">
        <f t="shared" si="71"/>
        <v>#VALUE!</v>
      </c>
    </row>
    <row r="1116" spans="2:8">
      <c r="B1116" s="11" t="str">
        <f t="shared" si="69"/>
        <v/>
      </c>
      <c r="C1116" s="11" t="str">
        <f t="shared" si="68"/>
        <v/>
      </c>
      <c r="F1116" s="10" t="str">
        <v/>
      </c>
      <c r="G1116" t="e">
        <f t="shared" si="70"/>
        <v>#VALUE!</v>
      </c>
      <c r="H1116" s="13" t="e">
        <f t="shared" si="71"/>
        <v>#VALUE!</v>
      </c>
    </row>
    <row r="1117" spans="2:8">
      <c r="B1117" s="11" t="str">
        <f t="shared" si="69"/>
        <v/>
      </c>
      <c r="C1117" s="11" t="str">
        <f t="shared" si="68"/>
        <v/>
      </c>
      <c r="F1117" s="10" t="str">
        <v/>
      </c>
      <c r="G1117" t="e">
        <f t="shared" si="70"/>
        <v>#VALUE!</v>
      </c>
      <c r="H1117" s="13" t="e">
        <f t="shared" si="71"/>
        <v>#VALUE!</v>
      </c>
    </row>
    <row r="1118" spans="2:8">
      <c r="B1118" s="11" t="str">
        <f t="shared" si="69"/>
        <v/>
      </c>
      <c r="C1118" s="11" t="str">
        <f t="shared" si="68"/>
        <v/>
      </c>
      <c r="F1118" s="10" t="str">
        <v/>
      </c>
      <c r="G1118" t="e">
        <f t="shared" si="70"/>
        <v>#VALUE!</v>
      </c>
      <c r="H1118" s="13" t="e">
        <f t="shared" si="71"/>
        <v>#VALUE!</v>
      </c>
    </row>
    <row r="1119" spans="2:8">
      <c r="B1119" s="11" t="str">
        <f t="shared" si="69"/>
        <v/>
      </c>
      <c r="C1119" s="11" t="str">
        <f t="shared" si="68"/>
        <v/>
      </c>
      <c r="F1119" s="10" t="str">
        <v/>
      </c>
      <c r="G1119" t="e">
        <f t="shared" si="70"/>
        <v>#VALUE!</v>
      </c>
      <c r="H1119" s="13" t="e">
        <f t="shared" si="71"/>
        <v>#VALUE!</v>
      </c>
    </row>
    <row r="1120" spans="2:8">
      <c r="B1120" s="11" t="str">
        <f t="shared" si="69"/>
        <v/>
      </c>
      <c r="C1120" s="11" t="str">
        <f t="shared" si="68"/>
        <v/>
      </c>
      <c r="F1120" s="10" t="str">
        <v/>
      </c>
      <c r="G1120" t="e">
        <f t="shared" si="70"/>
        <v>#VALUE!</v>
      </c>
      <c r="H1120" s="13" t="e">
        <f t="shared" si="71"/>
        <v>#VALUE!</v>
      </c>
    </row>
    <row r="1121" spans="2:8">
      <c r="B1121" s="11" t="str">
        <f t="shared" si="69"/>
        <v/>
      </c>
      <c r="C1121" s="11" t="str">
        <f t="shared" si="68"/>
        <v/>
      </c>
      <c r="F1121" s="10" t="str">
        <v/>
      </c>
      <c r="G1121" t="e">
        <f t="shared" si="70"/>
        <v>#VALUE!</v>
      </c>
      <c r="H1121" s="13" t="e">
        <f t="shared" si="71"/>
        <v>#VALUE!</v>
      </c>
    </row>
    <row r="1122" spans="2:8">
      <c r="B1122" s="11" t="str">
        <f t="shared" si="69"/>
        <v/>
      </c>
      <c r="C1122" s="11" t="str">
        <f t="shared" si="68"/>
        <v/>
      </c>
      <c r="F1122" s="10" t="str">
        <v/>
      </c>
      <c r="G1122" t="e">
        <f t="shared" si="70"/>
        <v>#VALUE!</v>
      </c>
      <c r="H1122" s="13" t="e">
        <f t="shared" si="71"/>
        <v>#VALUE!</v>
      </c>
    </row>
    <row r="1123" spans="2:8">
      <c r="B1123" s="11" t="str">
        <f t="shared" si="69"/>
        <v/>
      </c>
      <c r="C1123" s="11" t="str">
        <f t="shared" si="68"/>
        <v/>
      </c>
      <c r="F1123" s="10" t="str">
        <v/>
      </c>
      <c r="G1123" t="e">
        <f t="shared" si="70"/>
        <v>#VALUE!</v>
      </c>
      <c r="H1123" s="13" t="e">
        <f t="shared" si="71"/>
        <v>#VALUE!</v>
      </c>
    </row>
    <row r="1124" spans="2:8">
      <c r="B1124" s="11" t="str">
        <f t="shared" si="69"/>
        <v/>
      </c>
      <c r="C1124" s="11" t="str">
        <f t="shared" si="68"/>
        <v/>
      </c>
      <c r="F1124" s="10" t="str">
        <v/>
      </c>
      <c r="G1124" t="e">
        <f t="shared" si="70"/>
        <v>#VALUE!</v>
      </c>
      <c r="H1124" s="13" t="e">
        <f t="shared" si="71"/>
        <v>#VALUE!</v>
      </c>
    </row>
    <row r="1125" spans="2:8">
      <c r="B1125" s="11" t="str">
        <f t="shared" si="69"/>
        <v/>
      </c>
      <c r="C1125" s="11" t="str">
        <f t="shared" si="68"/>
        <v/>
      </c>
      <c r="F1125" s="10" t="str">
        <v/>
      </c>
      <c r="G1125" t="e">
        <f t="shared" si="70"/>
        <v>#VALUE!</v>
      </c>
      <c r="H1125" s="13" t="e">
        <f t="shared" si="71"/>
        <v>#VALUE!</v>
      </c>
    </row>
    <row r="1126" spans="2:8">
      <c r="B1126" s="11" t="str">
        <f t="shared" si="69"/>
        <v/>
      </c>
      <c r="C1126" s="11" t="str">
        <f t="shared" si="68"/>
        <v/>
      </c>
      <c r="F1126" s="10" t="str">
        <v/>
      </c>
      <c r="G1126" t="e">
        <f t="shared" si="70"/>
        <v>#VALUE!</v>
      </c>
      <c r="H1126" s="13" t="e">
        <f t="shared" si="71"/>
        <v>#VALUE!</v>
      </c>
    </row>
    <row r="1127" spans="2:8">
      <c r="B1127" s="11" t="str">
        <f t="shared" si="69"/>
        <v/>
      </c>
      <c r="C1127" s="11" t="str">
        <f t="shared" si="68"/>
        <v/>
      </c>
      <c r="F1127" s="10" t="str">
        <v/>
      </c>
      <c r="G1127" t="e">
        <f t="shared" si="70"/>
        <v>#VALUE!</v>
      </c>
      <c r="H1127" s="13" t="e">
        <f t="shared" si="71"/>
        <v>#VALUE!</v>
      </c>
    </row>
    <row r="1128" spans="2:8">
      <c r="B1128" s="11" t="str">
        <f t="shared" si="69"/>
        <v/>
      </c>
      <c r="C1128" s="11" t="str">
        <f t="shared" si="68"/>
        <v/>
      </c>
      <c r="F1128" s="10" t="str">
        <v/>
      </c>
      <c r="G1128" t="e">
        <f t="shared" si="70"/>
        <v>#VALUE!</v>
      </c>
      <c r="H1128" s="13" t="e">
        <f t="shared" si="71"/>
        <v>#VALUE!</v>
      </c>
    </row>
    <row r="1129" spans="2:8">
      <c r="B1129" s="11" t="str">
        <f t="shared" si="69"/>
        <v/>
      </c>
      <c r="C1129" s="11" t="str">
        <f t="shared" ref="C1129:C1192" si="72">IF(B1129="артикул",A1129,"")</f>
        <v/>
      </c>
      <c r="F1129" s="10" t="str">
        <v/>
      </c>
      <c r="G1129" t="e">
        <f t="shared" si="70"/>
        <v>#VALUE!</v>
      </c>
      <c r="H1129" s="13" t="e">
        <f t="shared" si="71"/>
        <v>#VALUE!</v>
      </c>
    </row>
    <row r="1130" spans="2:8">
      <c r="B1130" s="11" t="str">
        <f t="shared" si="69"/>
        <v/>
      </c>
      <c r="C1130" s="11" t="str">
        <f t="shared" si="72"/>
        <v/>
      </c>
      <c r="F1130" s="10" t="str">
        <v/>
      </c>
      <c r="G1130" t="e">
        <f t="shared" si="70"/>
        <v>#VALUE!</v>
      </c>
      <c r="H1130" s="13" t="e">
        <f t="shared" si="71"/>
        <v>#VALUE!</v>
      </c>
    </row>
    <row r="1131" spans="2:8">
      <c r="B1131" s="11" t="str">
        <f t="shared" si="69"/>
        <v/>
      </c>
      <c r="C1131" s="11" t="str">
        <f t="shared" si="72"/>
        <v/>
      </c>
      <c r="F1131" s="10" t="str">
        <v/>
      </c>
      <c r="G1131" t="e">
        <f t="shared" si="70"/>
        <v>#VALUE!</v>
      </c>
      <c r="H1131" s="13" t="e">
        <f t="shared" si="71"/>
        <v>#VALUE!</v>
      </c>
    </row>
    <row r="1132" spans="2:8">
      <c r="B1132" s="11" t="str">
        <f t="shared" si="69"/>
        <v/>
      </c>
      <c r="C1132" s="11" t="str">
        <f t="shared" si="72"/>
        <v/>
      </c>
      <c r="F1132" s="10" t="str">
        <v/>
      </c>
      <c r="G1132" t="e">
        <f t="shared" si="70"/>
        <v>#VALUE!</v>
      </c>
      <c r="H1132" s="13" t="e">
        <f t="shared" si="71"/>
        <v>#VALUE!</v>
      </c>
    </row>
    <row r="1133" spans="2:8">
      <c r="B1133" s="11" t="str">
        <f t="shared" si="69"/>
        <v/>
      </c>
      <c r="C1133" s="11" t="str">
        <f t="shared" si="72"/>
        <v/>
      </c>
      <c r="F1133" s="10" t="str">
        <v/>
      </c>
      <c r="G1133" t="e">
        <f t="shared" si="70"/>
        <v>#VALUE!</v>
      </c>
      <c r="H1133" s="13" t="e">
        <f t="shared" si="71"/>
        <v>#VALUE!</v>
      </c>
    </row>
    <row r="1134" spans="2:8">
      <c r="B1134" s="11" t="str">
        <f t="shared" si="69"/>
        <v/>
      </c>
      <c r="C1134" s="11" t="str">
        <f t="shared" si="72"/>
        <v/>
      </c>
      <c r="F1134" s="10" t="str">
        <v/>
      </c>
      <c r="G1134" t="e">
        <f t="shared" si="70"/>
        <v>#VALUE!</v>
      </c>
      <c r="H1134" s="13" t="e">
        <f t="shared" si="71"/>
        <v>#VALUE!</v>
      </c>
    </row>
    <row r="1135" spans="2:8">
      <c r="B1135" s="11" t="str">
        <f t="shared" si="69"/>
        <v/>
      </c>
      <c r="C1135" s="11" t="str">
        <f t="shared" si="72"/>
        <v/>
      </c>
      <c r="F1135" s="10" t="str">
        <v/>
      </c>
      <c r="G1135" t="e">
        <f t="shared" si="70"/>
        <v>#VALUE!</v>
      </c>
      <c r="H1135" s="13" t="e">
        <f t="shared" si="71"/>
        <v>#VALUE!</v>
      </c>
    </row>
    <row r="1136" spans="2:8">
      <c r="B1136" s="11" t="str">
        <f t="shared" si="69"/>
        <v/>
      </c>
      <c r="C1136" s="11" t="str">
        <f t="shared" si="72"/>
        <v/>
      </c>
      <c r="F1136" s="10" t="str">
        <v/>
      </c>
      <c r="G1136" t="e">
        <f t="shared" si="70"/>
        <v>#VALUE!</v>
      </c>
      <c r="H1136" s="13" t="e">
        <f t="shared" si="71"/>
        <v>#VALUE!</v>
      </c>
    </row>
    <row r="1137" spans="2:8">
      <c r="B1137" s="11" t="str">
        <f t="shared" si="69"/>
        <v/>
      </c>
      <c r="C1137" s="11" t="str">
        <f t="shared" si="72"/>
        <v/>
      </c>
      <c r="F1137" s="10" t="str">
        <v/>
      </c>
      <c r="G1137" t="e">
        <f t="shared" si="70"/>
        <v>#VALUE!</v>
      </c>
      <c r="H1137" s="13" t="e">
        <f t="shared" si="71"/>
        <v>#VALUE!</v>
      </c>
    </row>
    <row r="1138" spans="2:8">
      <c r="B1138" s="11" t="str">
        <f t="shared" si="69"/>
        <v/>
      </c>
      <c r="C1138" s="11" t="str">
        <f t="shared" si="72"/>
        <v/>
      </c>
      <c r="F1138" s="10" t="str">
        <v/>
      </c>
      <c r="G1138" t="e">
        <f t="shared" si="70"/>
        <v>#VALUE!</v>
      </c>
      <c r="H1138" s="13" t="e">
        <f t="shared" si="71"/>
        <v>#VALUE!</v>
      </c>
    </row>
    <row r="1139" spans="2:8">
      <c r="B1139" s="11" t="str">
        <f t="shared" si="69"/>
        <v/>
      </c>
      <c r="C1139" s="11" t="str">
        <f t="shared" si="72"/>
        <v/>
      </c>
      <c r="F1139" s="10" t="str">
        <v/>
      </c>
      <c r="G1139" t="e">
        <f t="shared" si="70"/>
        <v>#VALUE!</v>
      </c>
      <c r="H1139" s="13" t="e">
        <f t="shared" si="71"/>
        <v>#VALUE!</v>
      </c>
    </row>
    <row r="1140" spans="2:8">
      <c r="B1140" s="11" t="str">
        <f t="shared" si="69"/>
        <v/>
      </c>
      <c r="C1140" s="11" t="str">
        <f t="shared" si="72"/>
        <v/>
      </c>
      <c r="F1140" s="10" t="str">
        <v/>
      </c>
      <c r="G1140" t="e">
        <f t="shared" si="70"/>
        <v>#VALUE!</v>
      </c>
      <c r="H1140" s="13" t="e">
        <f t="shared" si="71"/>
        <v>#VALUE!</v>
      </c>
    </row>
    <row r="1141" spans="2:8">
      <c r="B1141" s="11" t="str">
        <f t="shared" si="69"/>
        <v/>
      </c>
      <c r="C1141" s="11" t="str">
        <f t="shared" si="72"/>
        <v/>
      </c>
      <c r="F1141" s="10" t="str">
        <v/>
      </c>
      <c r="G1141" t="e">
        <f t="shared" si="70"/>
        <v>#VALUE!</v>
      </c>
      <c r="H1141" s="13" t="e">
        <f t="shared" si="71"/>
        <v>#VALUE!</v>
      </c>
    </row>
    <row r="1142" spans="2:8">
      <c r="B1142" s="11" t="str">
        <f t="shared" si="69"/>
        <v/>
      </c>
      <c r="C1142" s="11" t="str">
        <f t="shared" si="72"/>
        <v/>
      </c>
      <c r="F1142" s="10" t="str">
        <v/>
      </c>
      <c r="G1142" t="e">
        <f t="shared" si="70"/>
        <v>#VALUE!</v>
      </c>
      <c r="H1142" s="13" t="e">
        <f t="shared" si="71"/>
        <v>#VALUE!</v>
      </c>
    </row>
    <row r="1143" spans="2:8">
      <c r="B1143" s="11" t="str">
        <f t="shared" si="69"/>
        <v/>
      </c>
      <c r="C1143" s="11" t="str">
        <f t="shared" si="72"/>
        <v/>
      </c>
      <c r="F1143" s="10" t="str">
        <v/>
      </c>
      <c r="G1143" t="e">
        <f t="shared" si="70"/>
        <v>#VALUE!</v>
      </c>
      <c r="H1143" s="13" t="e">
        <f t="shared" si="71"/>
        <v>#VALUE!</v>
      </c>
    </row>
    <row r="1144" spans="2:8">
      <c r="B1144" s="11" t="str">
        <f t="shared" si="69"/>
        <v/>
      </c>
      <c r="C1144" s="11" t="str">
        <f t="shared" si="72"/>
        <v/>
      </c>
      <c r="F1144" s="10" t="str">
        <v/>
      </c>
      <c r="G1144" t="e">
        <f t="shared" si="70"/>
        <v>#VALUE!</v>
      </c>
      <c r="H1144" s="13" t="e">
        <f t="shared" si="71"/>
        <v>#VALUE!</v>
      </c>
    </row>
    <row r="1145" spans="2:8">
      <c r="B1145" s="11" t="str">
        <f t="shared" si="69"/>
        <v/>
      </c>
      <c r="C1145" s="11" t="str">
        <f t="shared" si="72"/>
        <v/>
      </c>
      <c r="F1145" s="10" t="str">
        <v/>
      </c>
      <c r="G1145" t="e">
        <f t="shared" si="70"/>
        <v>#VALUE!</v>
      </c>
      <c r="H1145" s="13" t="e">
        <f t="shared" si="71"/>
        <v>#VALUE!</v>
      </c>
    </row>
    <row r="1146" spans="2:8">
      <c r="B1146" s="11" t="str">
        <f t="shared" si="69"/>
        <v/>
      </c>
      <c r="C1146" s="11" t="str">
        <f t="shared" si="72"/>
        <v/>
      </c>
      <c r="F1146" s="10" t="str">
        <v/>
      </c>
      <c r="G1146" t="e">
        <f t="shared" si="70"/>
        <v>#VALUE!</v>
      </c>
      <c r="H1146" s="13" t="e">
        <f t="shared" si="71"/>
        <v>#VALUE!</v>
      </c>
    </row>
    <row r="1147" spans="2:8">
      <c r="B1147" s="11" t="str">
        <f t="shared" si="69"/>
        <v/>
      </c>
      <c r="C1147" s="11" t="str">
        <f t="shared" si="72"/>
        <v/>
      </c>
      <c r="F1147" s="10" t="str">
        <v/>
      </c>
      <c r="G1147" t="e">
        <f t="shared" si="70"/>
        <v>#VALUE!</v>
      </c>
      <c r="H1147" s="13" t="e">
        <f t="shared" si="71"/>
        <v>#VALUE!</v>
      </c>
    </row>
    <row r="1148" spans="2:8">
      <c r="B1148" s="11" t="str">
        <f t="shared" si="69"/>
        <v/>
      </c>
      <c r="C1148" s="11" t="str">
        <f t="shared" si="72"/>
        <v/>
      </c>
      <c r="F1148" s="10" t="str">
        <v/>
      </c>
      <c r="G1148" t="e">
        <f t="shared" si="70"/>
        <v>#VALUE!</v>
      </c>
      <c r="H1148" s="13" t="e">
        <f t="shared" si="71"/>
        <v>#VALUE!</v>
      </c>
    </row>
    <row r="1149" spans="2:8">
      <c r="B1149" s="11" t="str">
        <f t="shared" si="69"/>
        <v/>
      </c>
      <c r="C1149" s="11" t="str">
        <f t="shared" si="72"/>
        <v/>
      </c>
      <c r="F1149" s="10" t="str">
        <v/>
      </c>
      <c r="G1149" t="e">
        <f t="shared" si="70"/>
        <v>#VALUE!</v>
      </c>
      <c r="H1149" s="13" t="e">
        <f t="shared" si="71"/>
        <v>#VALUE!</v>
      </c>
    </row>
    <row r="1150" spans="2:8">
      <c r="B1150" s="11" t="str">
        <f t="shared" si="69"/>
        <v/>
      </c>
      <c r="C1150" s="11" t="str">
        <f t="shared" si="72"/>
        <v/>
      </c>
      <c r="F1150" s="10" t="str">
        <v/>
      </c>
      <c r="G1150" t="e">
        <f t="shared" si="70"/>
        <v>#VALUE!</v>
      </c>
      <c r="H1150" s="13" t="e">
        <f t="shared" si="71"/>
        <v>#VALUE!</v>
      </c>
    </row>
    <row r="1151" spans="2:8">
      <c r="B1151" s="11" t="str">
        <f t="shared" si="69"/>
        <v/>
      </c>
      <c r="C1151" s="11" t="str">
        <f t="shared" si="72"/>
        <v/>
      </c>
      <c r="F1151" s="10" t="str">
        <v/>
      </c>
      <c r="G1151" t="e">
        <f t="shared" si="70"/>
        <v>#VALUE!</v>
      </c>
      <c r="H1151" s="13" t="e">
        <f t="shared" si="71"/>
        <v>#VALUE!</v>
      </c>
    </row>
    <row r="1152" spans="2:8">
      <c r="B1152" s="11" t="str">
        <f t="shared" si="69"/>
        <v/>
      </c>
      <c r="C1152" s="11" t="str">
        <f t="shared" si="72"/>
        <v/>
      </c>
      <c r="F1152" s="10" t="str">
        <v/>
      </c>
      <c r="G1152" t="e">
        <f t="shared" si="70"/>
        <v>#VALUE!</v>
      </c>
      <c r="H1152" s="13" t="e">
        <f t="shared" si="71"/>
        <v>#VALUE!</v>
      </c>
    </row>
    <row r="1153" spans="2:8">
      <c r="B1153" s="11" t="str">
        <f t="shared" ref="B1153:B1216" si="73">IFERROR(IF(FIND(" ",A1153)=6,IF(IFERROR(FIND(" PB",A1153),"")&lt;&gt;"","артикул",IF(IFERROR(FIND(" CRN",A1153),"")&lt;&gt;"","артикул","")),""),"")</f>
        <v/>
      </c>
      <c r="C1153" s="11" t="str">
        <f t="shared" si="72"/>
        <v/>
      </c>
      <c r="F1153" s="10" t="str">
        <v/>
      </c>
      <c r="G1153" t="e">
        <f t="shared" si="70"/>
        <v>#VALUE!</v>
      </c>
      <c r="H1153" s="13" t="e">
        <f t="shared" si="71"/>
        <v>#VALUE!</v>
      </c>
    </row>
    <row r="1154" spans="2:8">
      <c r="B1154" s="11" t="str">
        <f t="shared" si="73"/>
        <v/>
      </c>
      <c r="C1154" s="11" t="str">
        <f t="shared" si="72"/>
        <v/>
      </c>
      <c r="F1154" s="10" t="str">
        <v/>
      </c>
      <c r="G1154" t="e">
        <f t="shared" ref="G1154:G1217" si="74">CONCATENATE(LEFT(F1154,5),
MID(F1154,
SEARCH("\",SUBSTITUTE(F1154," ","\",LEN(F1154)-LEN(SUBSTITUTE(F1154," ",""))-4)),
SEARCH("\",SUBSTITUTE(F1154," ","\",LEN(F1154)-LEN(SUBSTITUTE(F1154," ",""))-3))-
SEARCH("\",SUBSTITUTE(F1154," ","\",LEN(F1154)-LEN(SUBSTITUTE(F1154," ",""))-4)))*1)</f>
        <v>#VALUE!</v>
      </c>
      <c r="H1154" s="13" t="e">
        <f t="shared" ref="H1154:H1217" si="75">SUBSTITUTE(
RIGHT(F1154,LEN(F1154)-
FIND("\",SUBSTITUTE(F1154," ","\",LEN(F1154)-LEN(SUBSTITUTE(F1154," ",""))))),
".","")</f>
        <v>#VALUE!</v>
      </c>
    </row>
    <row r="1155" spans="2:8">
      <c r="B1155" s="11" t="str">
        <f t="shared" si="73"/>
        <v/>
      </c>
      <c r="C1155" s="11" t="str">
        <f t="shared" si="72"/>
        <v/>
      </c>
      <c r="F1155" s="10" t="str">
        <v/>
      </c>
      <c r="G1155" t="e">
        <f t="shared" si="74"/>
        <v>#VALUE!</v>
      </c>
      <c r="H1155" s="13" t="e">
        <f t="shared" si="75"/>
        <v>#VALUE!</v>
      </c>
    </row>
    <row r="1156" spans="2:8">
      <c r="B1156" s="11" t="str">
        <f t="shared" si="73"/>
        <v/>
      </c>
      <c r="C1156" s="11" t="str">
        <f t="shared" si="72"/>
        <v/>
      </c>
      <c r="F1156" s="10" t="str">
        <v/>
      </c>
      <c r="G1156" t="e">
        <f t="shared" si="74"/>
        <v>#VALUE!</v>
      </c>
      <c r="H1156" s="13" t="e">
        <f t="shared" si="75"/>
        <v>#VALUE!</v>
      </c>
    </row>
    <row r="1157" spans="2:8">
      <c r="B1157" s="11" t="str">
        <f t="shared" si="73"/>
        <v/>
      </c>
      <c r="C1157" s="11" t="str">
        <f t="shared" si="72"/>
        <v/>
      </c>
      <c r="F1157" s="10" t="str">
        <v/>
      </c>
      <c r="G1157" t="e">
        <f t="shared" si="74"/>
        <v>#VALUE!</v>
      </c>
      <c r="H1157" s="13" t="e">
        <f t="shared" si="75"/>
        <v>#VALUE!</v>
      </c>
    </row>
    <row r="1158" spans="2:8">
      <c r="B1158" s="11" t="str">
        <f t="shared" si="73"/>
        <v/>
      </c>
      <c r="C1158" s="11" t="str">
        <f t="shared" si="72"/>
        <v/>
      </c>
      <c r="F1158" s="10" t="str">
        <v/>
      </c>
      <c r="G1158" t="e">
        <f t="shared" si="74"/>
        <v>#VALUE!</v>
      </c>
      <c r="H1158" s="13" t="e">
        <f t="shared" si="75"/>
        <v>#VALUE!</v>
      </c>
    </row>
    <row r="1159" spans="2:8">
      <c r="B1159" s="11" t="str">
        <f t="shared" si="73"/>
        <v/>
      </c>
      <c r="C1159" s="11" t="str">
        <f t="shared" si="72"/>
        <v/>
      </c>
      <c r="F1159" s="10" t="str">
        <v/>
      </c>
      <c r="G1159" t="e">
        <f t="shared" si="74"/>
        <v>#VALUE!</v>
      </c>
      <c r="H1159" s="13" t="e">
        <f t="shared" si="75"/>
        <v>#VALUE!</v>
      </c>
    </row>
    <row r="1160" spans="2:8">
      <c r="B1160" s="11" t="str">
        <f t="shared" si="73"/>
        <v/>
      </c>
      <c r="C1160" s="11" t="str">
        <f t="shared" si="72"/>
        <v/>
      </c>
      <c r="F1160" s="10" t="str">
        <v/>
      </c>
      <c r="G1160" t="e">
        <f t="shared" si="74"/>
        <v>#VALUE!</v>
      </c>
      <c r="H1160" s="13" t="e">
        <f t="shared" si="75"/>
        <v>#VALUE!</v>
      </c>
    </row>
    <row r="1161" spans="2:8">
      <c r="B1161" s="11" t="str">
        <f t="shared" si="73"/>
        <v/>
      </c>
      <c r="C1161" s="11" t="str">
        <f t="shared" si="72"/>
        <v/>
      </c>
      <c r="F1161" s="10" t="str">
        <v/>
      </c>
      <c r="G1161" t="e">
        <f t="shared" si="74"/>
        <v>#VALUE!</v>
      </c>
      <c r="H1161" s="13" t="e">
        <f t="shared" si="75"/>
        <v>#VALUE!</v>
      </c>
    </row>
    <row r="1162" spans="2:8">
      <c r="B1162" s="11" t="str">
        <f t="shared" si="73"/>
        <v/>
      </c>
      <c r="C1162" s="11" t="str">
        <f t="shared" si="72"/>
        <v/>
      </c>
      <c r="F1162" s="10" t="str">
        <v/>
      </c>
      <c r="G1162" t="e">
        <f t="shared" si="74"/>
        <v>#VALUE!</v>
      </c>
      <c r="H1162" s="13" t="e">
        <f t="shared" si="75"/>
        <v>#VALUE!</v>
      </c>
    </row>
    <row r="1163" spans="2:8">
      <c r="B1163" s="11" t="str">
        <f t="shared" si="73"/>
        <v/>
      </c>
      <c r="C1163" s="11" t="str">
        <f t="shared" si="72"/>
        <v/>
      </c>
      <c r="F1163" s="10" t="str">
        <v/>
      </c>
      <c r="G1163" t="e">
        <f t="shared" si="74"/>
        <v>#VALUE!</v>
      </c>
      <c r="H1163" s="13" t="e">
        <f t="shared" si="75"/>
        <v>#VALUE!</v>
      </c>
    </row>
    <row r="1164" spans="2:8">
      <c r="B1164" s="11" t="str">
        <f t="shared" si="73"/>
        <v/>
      </c>
      <c r="C1164" s="11" t="str">
        <f t="shared" si="72"/>
        <v/>
      </c>
      <c r="F1164" s="10" t="str">
        <v/>
      </c>
      <c r="G1164" t="e">
        <f t="shared" si="74"/>
        <v>#VALUE!</v>
      </c>
      <c r="H1164" s="13" t="e">
        <f t="shared" si="75"/>
        <v>#VALUE!</v>
      </c>
    </row>
    <row r="1165" spans="2:8">
      <c r="B1165" s="11" t="str">
        <f t="shared" si="73"/>
        <v/>
      </c>
      <c r="C1165" s="11" t="str">
        <f t="shared" si="72"/>
        <v/>
      </c>
      <c r="F1165" s="10" t="str">
        <v/>
      </c>
      <c r="G1165" t="e">
        <f t="shared" si="74"/>
        <v>#VALUE!</v>
      </c>
      <c r="H1165" s="13" t="e">
        <f t="shared" si="75"/>
        <v>#VALUE!</v>
      </c>
    </row>
    <row r="1166" spans="2:8">
      <c r="B1166" s="11" t="str">
        <f t="shared" si="73"/>
        <v/>
      </c>
      <c r="C1166" s="11" t="str">
        <f t="shared" si="72"/>
        <v/>
      </c>
      <c r="F1166" s="10" t="str">
        <v/>
      </c>
      <c r="G1166" t="e">
        <f t="shared" si="74"/>
        <v>#VALUE!</v>
      </c>
      <c r="H1166" s="13" t="e">
        <f t="shared" si="75"/>
        <v>#VALUE!</v>
      </c>
    </row>
    <row r="1167" spans="2:8">
      <c r="B1167" s="11" t="str">
        <f t="shared" si="73"/>
        <v/>
      </c>
      <c r="C1167" s="11" t="str">
        <f t="shared" si="72"/>
        <v/>
      </c>
      <c r="F1167" s="10" t="str">
        <v/>
      </c>
      <c r="G1167" t="e">
        <f t="shared" si="74"/>
        <v>#VALUE!</v>
      </c>
      <c r="H1167" s="13" t="e">
        <f t="shared" si="75"/>
        <v>#VALUE!</v>
      </c>
    </row>
    <row r="1168" spans="2:8">
      <c r="B1168" s="11" t="str">
        <f t="shared" si="73"/>
        <v/>
      </c>
      <c r="C1168" s="11" t="str">
        <f t="shared" si="72"/>
        <v/>
      </c>
      <c r="F1168" s="10" t="str">
        <v/>
      </c>
      <c r="G1168" t="e">
        <f t="shared" si="74"/>
        <v>#VALUE!</v>
      </c>
      <c r="H1168" s="13" t="e">
        <f t="shared" si="75"/>
        <v>#VALUE!</v>
      </c>
    </row>
    <row r="1169" spans="2:8">
      <c r="B1169" s="11" t="str">
        <f t="shared" si="73"/>
        <v/>
      </c>
      <c r="C1169" s="11" t="str">
        <f t="shared" si="72"/>
        <v/>
      </c>
      <c r="F1169" s="10" t="str">
        <v/>
      </c>
      <c r="G1169" t="e">
        <f t="shared" si="74"/>
        <v>#VALUE!</v>
      </c>
      <c r="H1169" s="13" t="e">
        <f t="shared" si="75"/>
        <v>#VALUE!</v>
      </c>
    </row>
    <row r="1170" spans="2:8">
      <c r="B1170" s="11" t="str">
        <f t="shared" si="73"/>
        <v/>
      </c>
      <c r="C1170" s="11" t="str">
        <f t="shared" si="72"/>
        <v/>
      </c>
      <c r="F1170" s="10" t="str">
        <v/>
      </c>
      <c r="G1170" t="e">
        <f t="shared" si="74"/>
        <v>#VALUE!</v>
      </c>
      <c r="H1170" s="13" t="e">
        <f t="shared" si="75"/>
        <v>#VALUE!</v>
      </c>
    </row>
    <row r="1171" spans="2:8">
      <c r="B1171" s="11" t="str">
        <f t="shared" si="73"/>
        <v/>
      </c>
      <c r="C1171" s="11" t="str">
        <f t="shared" si="72"/>
        <v/>
      </c>
      <c r="F1171" s="10" t="str">
        <v/>
      </c>
      <c r="G1171" t="e">
        <f t="shared" si="74"/>
        <v>#VALUE!</v>
      </c>
      <c r="H1171" s="13" t="e">
        <f t="shared" si="75"/>
        <v>#VALUE!</v>
      </c>
    </row>
    <row r="1172" spans="2:8">
      <c r="B1172" s="11" t="str">
        <f t="shared" si="73"/>
        <v/>
      </c>
      <c r="C1172" s="11" t="str">
        <f t="shared" si="72"/>
        <v/>
      </c>
      <c r="F1172" s="10" t="str">
        <v/>
      </c>
      <c r="G1172" t="e">
        <f t="shared" si="74"/>
        <v>#VALUE!</v>
      </c>
      <c r="H1172" s="13" t="e">
        <f t="shared" si="75"/>
        <v>#VALUE!</v>
      </c>
    </row>
    <row r="1173" spans="2:8">
      <c r="B1173" s="11" t="str">
        <f t="shared" si="73"/>
        <v/>
      </c>
      <c r="C1173" s="11" t="str">
        <f t="shared" si="72"/>
        <v/>
      </c>
      <c r="F1173" s="10" t="str">
        <v/>
      </c>
      <c r="G1173" t="e">
        <f t="shared" si="74"/>
        <v>#VALUE!</v>
      </c>
      <c r="H1173" s="13" t="e">
        <f t="shared" si="75"/>
        <v>#VALUE!</v>
      </c>
    </row>
    <row r="1174" spans="2:8">
      <c r="B1174" s="11" t="str">
        <f t="shared" si="73"/>
        <v/>
      </c>
      <c r="C1174" s="11" t="str">
        <f t="shared" si="72"/>
        <v/>
      </c>
      <c r="F1174" s="10" t="str">
        <v/>
      </c>
      <c r="G1174" t="e">
        <f t="shared" si="74"/>
        <v>#VALUE!</v>
      </c>
      <c r="H1174" s="13" t="e">
        <f t="shared" si="75"/>
        <v>#VALUE!</v>
      </c>
    </row>
    <row r="1175" spans="2:8">
      <c r="B1175" s="11" t="str">
        <f t="shared" si="73"/>
        <v/>
      </c>
      <c r="C1175" s="11" t="str">
        <f t="shared" si="72"/>
        <v/>
      </c>
      <c r="F1175" s="10" t="str">
        <v/>
      </c>
      <c r="G1175" t="e">
        <f t="shared" si="74"/>
        <v>#VALUE!</v>
      </c>
      <c r="H1175" s="13" t="e">
        <f t="shared" si="75"/>
        <v>#VALUE!</v>
      </c>
    </row>
    <row r="1176" spans="2:8">
      <c r="B1176" s="11" t="str">
        <f t="shared" si="73"/>
        <v/>
      </c>
      <c r="C1176" s="11" t="str">
        <f t="shared" si="72"/>
        <v/>
      </c>
      <c r="F1176" s="10" t="str">
        <v/>
      </c>
      <c r="G1176" t="e">
        <f t="shared" si="74"/>
        <v>#VALUE!</v>
      </c>
      <c r="H1176" s="13" t="e">
        <f t="shared" si="75"/>
        <v>#VALUE!</v>
      </c>
    </row>
    <row r="1177" spans="2:8">
      <c r="B1177" s="11" t="str">
        <f t="shared" si="73"/>
        <v/>
      </c>
      <c r="C1177" s="11" t="str">
        <f t="shared" si="72"/>
        <v/>
      </c>
      <c r="F1177" s="10" t="str">
        <v/>
      </c>
      <c r="G1177" t="e">
        <f t="shared" si="74"/>
        <v>#VALUE!</v>
      </c>
      <c r="H1177" s="13" t="e">
        <f t="shared" si="75"/>
        <v>#VALUE!</v>
      </c>
    </row>
    <row r="1178" spans="2:8">
      <c r="B1178" s="11" t="str">
        <f t="shared" si="73"/>
        <v/>
      </c>
      <c r="C1178" s="11" t="str">
        <f t="shared" si="72"/>
        <v/>
      </c>
      <c r="F1178" s="10" t="str">
        <v/>
      </c>
      <c r="G1178" t="e">
        <f t="shared" si="74"/>
        <v>#VALUE!</v>
      </c>
      <c r="H1178" s="13" t="e">
        <f t="shared" si="75"/>
        <v>#VALUE!</v>
      </c>
    </row>
    <row r="1179" spans="2:8">
      <c r="B1179" s="11" t="str">
        <f t="shared" si="73"/>
        <v/>
      </c>
      <c r="C1179" s="11" t="str">
        <f t="shared" si="72"/>
        <v/>
      </c>
      <c r="F1179" s="10" t="str">
        <v/>
      </c>
      <c r="G1179" t="e">
        <f t="shared" si="74"/>
        <v>#VALUE!</v>
      </c>
      <c r="H1179" s="13" t="e">
        <f t="shared" si="75"/>
        <v>#VALUE!</v>
      </c>
    </row>
    <row r="1180" spans="2:8">
      <c r="B1180" s="11" t="str">
        <f t="shared" si="73"/>
        <v/>
      </c>
      <c r="C1180" s="11" t="str">
        <f t="shared" si="72"/>
        <v/>
      </c>
      <c r="F1180" s="10" t="str">
        <v/>
      </c>
      <c r="G1180" t="e">
        <f t="shared" si="74"/>
        <v>#VALUE!</v>
      </c>
      <c r="H1180" s="13" t="e">
        <f t="shared" si="75"/>
        <v>#VALUE!</v>
      </c>
    </row>
    <row r="1181" spans="2:8">
      <c r="B1181" s="11" t="str">
        <f t="shared" si="73"/>
        <v/>
      </c>
      <c r="C1181" s="11" t="str">
        <f t="shared" si="72"/>
        <v/>
      </c>
      <c r="F1181" s="10" t="str">
        <v/>
      </c>
      <c r="G1181" t="e">
        <f t="shared" si="74"/>
        <v>#VALUE!</v>
      </c>
      <c r="H1181" s="13" t="e">
        <f t="shared" si="75"/>
        <v>#VALUE!</v>
      </c>
    </row>
    <row r="1182" spans="2:8">
      <c r="B1182" s="11" t="str">
        <f t="shared" si="73"/>
        <v/>
      </c>
      <c r="C1182" s="11" t="str">
        <f t="shared" si="72"/>
        <v/>
      </c>
      <c r="F1182" s="10" t="str">
        <v/>
      </c>
      <c r="G1182" t="e">
        <f t="shared" si="74"/>
        <v>#VALUE!</v>
      </c>
      <c r="H1182" s="13" t="e">
        <f t="shared" si="75"/>
        <v>#VALUE!</v>
      </c>
    </row>
    <row r="1183" spans="2:8">
      <c r="B1183" s="11" t="str">
        <f t="shared" si="73"/>
        <v/>
      </c>
      <c r="C1183" s="11" t="str">
        <f t="shared" si="72"/>
        <v/>
      </c>
      <c r="F1183" s="10" t="str">
        <v/>
      </c>
      <c r="G1183" t="e">
        <f t="shared" si="74"/>
        <v>#VALUE!</v>
      </c>
      <c r="H1183" s="13" t="e">
        <f t="shared" si="75"/>
        <v>#VALUE!</v>
      </c>
    </row>
    <row r="1184" spans="2:8">
      <c r="B1184" s="11" t="str">
        <f t="shared" si="73"/>
        <v/>
      </c>
      <c r="C1184" s="11" t="str">
        <f t="shared" si="72"/>
        <v/>
      </c>
      <c r="F1184" s="10" t="str">
        <v/>
      </c>
      <c r="G1184" t="e">
        <f t="shared" si="74"/>
        <v>#VALUE!</v>
      </c>
      <c r="H1184" s="13" t="e">
        <f t="shared" si="75"/>
        <v>#VALUE!</v>
      </c>
    </row>
    <row r="1185" spans="2:8">
      <c r="B1185" s="11" t="str">
        <f t="shared" si="73"/>
        <v/>
      </c>
      <c r="C1185" s="11" t="str">
        <f t="shared" si="72"/>
        <v/>
      </c>
      <c r="F1185" s="10" t="str">
        <v/>
      </c>
      <c r="G1185" t="e">
        <f t="shared" si="74"/>
        <v>#VALUE!</v>
      </c>
      <c r="H1185" s="13" t="e">
        <f t="shared" si="75"/>
        <v>#VALUE!</v>
      </c>
    </row>
    <row r="1186" spans="2:8">
      <c r="B1186" s="11" t="str">
        <f t="shared" si="73"/>
        <v/>
      </c>
      <c r="C1186" s="11" t="str">
        <f t="shared" si="72"/>
        <v/>
      </c>
      <c r="F1186" s="10" t="str">
        <v/>
      </c>
      <c r="G1186" t="e">
        <f t="shared" si="74"/>
        <v>#VALUE!</v>
      </c>
      <c r="H1186" s="13" t="e">
        <f t="shared" si="75"/>
        <v>#VALUE!</v>
      </c>
    </row>
    <row r="1187" spans="2:8">
      <c r="B1187" s="11" t="str">
        <f t="shared" si="73"/>
        <v/>
      </c>
      <c r="C1187" s="11" t="str">
        <f t="shared" si="72"/>
        <v/>
      </c>
      <c r="F1187" s="10" t="str">
        <v/>
      </c>
      <c r="G1187" t="e">
        <f t="shared" si="74"/>
        <v>#VALUE!</v>
      </c>
      <c r="H1187" s="13" t="e">
        <f t="shared" si="75"/>
        <v>#VALUE!</v>
      </c>
    </row>
    <row r="1188" spans="2:8">
      <c r="B1188" s="11" t="str">
        <f t="shared" si="73"/>
        <v/>
      </c>
      <c r="C1188" s="11" t="str">
        <f t="shared" si="72"/>
        <v/>
      </c>
      <c r="F1188" s="10" t="str">
        <v/>
      </c>
      <c r="G1188" t="e">
        <f t="shared" si="74"/>
        <v>#VALUE!</v>
      </c>
      <c r="H1188" s="13" t="e">
        <f t="shared" si="75"/>
        <v>#VALUE!</v>
      </c>
    </row>
    <row r="1189" spans="2:8">
      <c r="B1189" s="11" t="str">
        <f t="shared" si="73"/>
        <v/>
      </c>
      <c r="C1189" s="11" t="str">
        <f t="shared" si="72"/>
        <v/>
      </c>
      <c r="F1189" s="10" t="str">
        <v/>
      </c>
      <c r="G1189" t="e">
        <f t="shared" si="74"/>
        <v>#VALUE!</v>
      </c>
      <c r="H1189" s="13" t="e">
        <f t="shared" si="75"/>
        <v>#VALUE!</v>
      </c>
    </row>
    <row r="1190" spans="2:8">
      <c r="B1190" s="11" t="str">
        <f t="shared" si="73"/>
        <v/>
      </c>
      <c r="C1190" s="11" t="str">
        <f t="shared" si="72"/>
        <v/>
      </c>
      <c r="F1190" s="10" t="str">
        <v/>
      </c>
      <c r="G1190" t="e">
        <f t="shared" si="74"/>
        <v>#VALUE!</v>
      </c>
      <c r="H1190" s="13" t="e">
        <f t="shared" si="75"/>
        <v>#VALUE!</v>
      </c>
    </row>
    <row r="1191" spans="2:8">
      <c r="B1191" s="11" t="str">
        <f t="shared" si="73"/>
        <v/>
      </c>
      <c r="C1191" s="11" t="str">
        <f t="shared" si="72"/>
        <v/>
      </c>
      <c r="F1191" s="10" t="str">
        <v/>
      </c>
      <c r="G1191" t="e">
        <f t="shared" si="74"/>
        <v>#VALUE!</v>
      </c>
      <c r="H1191" s="13" t="e">
        <f t="shared" si="75"/>
        <v>#VALUE!</v>
      </c>
    </row>
    <row r="1192" spans="2:8">
      <c r="B1192" s="11" t="str">
        <f t="shared" si="73"/>
        <v/>
      </c>
      <c r="C1192" s="11" t="str">
        <f t="shared" si="72"/>
        <v/>
      </c>
      <c r="F1192" s="10" t="str">
        <v/>
      </c>
      <c r="G1192" t="e">
        <f t="shared" si="74"/>
        <v>#VALUE!</v>
      </c>
      <c r="H1192" s="13" t="e">
        <f t="shared" si="75"/>
        <v>#VALUE!</v>
      </c>
    </row>
    <row r="1193" spans="2:8">
      <c r="B1193" s="11" t="str">
        <f t="shared" si="73"/>
        <v/>
      </c>
      <c r="C1193" s="11" t="str">
        <f t="shared" ref="C1193:C1256" si="76">IF(B1193="артикул",A1193,"")</f>
        <v/>
      </c>
      <c r="F1193" s="10" t="str">
        <v/>
      </c>
      <c r="G1193" t="e">
        <f t="shared" si="74"/>
        <v>#VALUE!</v>
      </c>
      <c r="H1193" s="13" t="e">
        <f t="shared" si="75"/>
        <v>#VALUE!</v>
      </c>
    </row>
    <row r="1194" spans="2:8">
      <c r="B1194" s="11" t="str">
        <f t="shared" si="73"/>
        <v/>
      </c>
      <c r="C1194" s="11" t="str">
        <f t="shared" si="76"/>
        <v/>
      </c>
      <c r="F1194" s="10" t="str">
        <v/>
      </c>
      <c r="G1194" t="e">
        <f t="shared" si="74"/>
        <v>#VALUE!</v>
      </c>
      <c r="H1194" s="13" t="e">
        <f t="shared" si="75"/>
        <v>#VALUE!</v>
      </c>
    </row>
    <row r="1195" spans="2:8">
      <c r="B1195" s="11" t="str">
        <f t="shared" si="73"/>
        <v/>
      </c>
      <c r="C1195" s="11" t="str">
        <f t="shared" si="76"/>
        <v/>
      </c>
      <c r="F1195" s="10" t="str">
        <v/>
      </c>
      <c r="G1195" t="e">
        <f t="shared" si="74"/>
        <v>#VALUE!</v>
      </c>
      <c r="H1195" s="13" t="e">
        <f t="shared" si="75"/>
        <v>#VALUE!</v>
      </c>
    </row>
    <row r="1196" spans="2:8">
      <c r="B1196" s="11" t="str">
        <f t="shared" si="73"/>
        <v/>
      </c>
      <c r="C1196" s="11" t="str">
        <f t="shared" si="76"/>
        <v/>
      </c>
      <c r="F1196" s="10" t="str">
        <v/>
      </c>
      <c r="G1196" t="e">
        <f t="shared" si="74"/>
        <v>#VALUE!</v>
      </c>
      <c r="H1196" s="13" t="e">
        <f t="shared" si="75"/>
        <v>#VALUE!</v>
      </c>
    </row>
    <row r="1197" spans="2:8">
      <c r="B1197" s="11" t="str">
        <f t="shared" si="73"/>
        <v/>
      </c>
      <c r="C1197" s="11" t="str">
        <f t="shared" si="76"/>
        <v/>
      </c>
      <c r="F1197" s="10" t="str">
        <v/>
      </c>
      <c r="G1197" t="e">
        <f t="shared" si="74"/>
        <v>#VALUE!</v>
      </c>
      <c r="H1197" s="13" t="e">
        <f t="shared" si="75"/>
        <v>#VALUE!</v>
      </c>
    </row>
    <row r="1198" spans="2:8">
      <c r="B1198" s="11" t="str">
        <f t="shared" si="73"/>
        <v/>
      </c>
      <c r="C1198" s="11" t="str">
        <f t="shared" si="76"/>
        <v/>
      </c>
      <c r="F1198" s="10" t="str">
        <v/>
      </c>
      <c r="G1198" t="e">
        <f t="shared" si="74"/>
        <v>#VALUE!</v>
      </c>
      <c r="H1198" s="13" t="e">
        <f t="shared" si="75"/>
        <v>#VALUE!</v>
      </c>
    </row>
    <row r="1199" spans="2:8">
      <c r="B1199" s="11" t="str">
        <f t="shared" si="73"/>
        <v/>
      </c>
      <c r="C1199" s="11" t="str">
        <f t="shared" si="76"/>
        <v/>
      </c>
      <c r="F1199" s="10" t="str">
        <v/>
      </c>
      <c r="G1199" t="e">
        <f t="shared" si="74"/>
        <v>#VALUE!</v>
      </c>
      <c r="H1199" s="13" t="e">
        <f t="shared" si="75"/>
        <v>#VALUE!</v>
      </c>
    </row>
    <row r="1200" spans="2:8">
      <c r="B1200" s="11" t="str">
        <f t="shared" si="73"/>
        <v/>
      </c>
      <c r="C1200" s="11" t="str">
        <f t="shared" si="76"/>
        <v/>
      </c>
      <c r="F1200" s="10" t="str">
        <v/>
      </c>
      <c r="G1200" t="e">
        <f t="shared" si="74"/>
        <v>#VALUE!</v>
      </c>
      <c r="H1200" s="13" t="e">
        <f t="shared" si="75"/>
        <v>#VALUE!</v>
      </c>
    </row>
    <row r="1201" spans="2:8">
      <c r="B1201" s="11" t="str">
        <f t="shared" si="73"/>
        <v/>
      </c>
      <c r="C1201" s="11" t="str">
        <f t="shared" si="76"/>
        <v/>
      </c>
      <c r="F1201" s="10" t="str">
        <v/>
      </c>
      <c r="G1201" t="e">
        <f t="shared" si="74"/>
        <v>#VALUE!</v>
      </c>
      <c r="H1201" s="13" t="e">
        <f t="shared" si="75"/>
        <v>#VALUE!</v>
      </c>
    </row>
    <row r="1202" spans="2:8">
      <c r="B1202" s="11" t="str">
        <f t="shared" si="73"/>
        <v/>
      </c>
      <c r="C1202" s="11" t="str">
        <f t="shared" si="76"/>
        <v/>
      </c>
      <c r="F1202" s="10" t="str">
        <v/>
      </c>
      <c r="G1202" t="e">
        <f t="shared" si="74"/>
        <v>#VALUE!</v>
      </c>
      <c r="H1202" s="13" t="e">
        <f t="shared" si="75"/>
        <v>#VALUE!</v>
      </c>
    </row>
    <row r="1203" spans="2:8">
      <c r="B1203" s="11" t="str">
        <f t="shared" si="73"/>
        <v/>
      </c>
      <c r="C1203" s="11" t="str">
        <f t="shared" si="76"/>
        <v/>
      </c>
      <c r="F1203" s="10" t="str">
        <v/>
      </c>
      <c r="G1203" t="e">
        <f t="shared" si="74"/>
        <v>#VALUE!</v>
      </c>
      <c r="H1203" s="13" t="e">
        <f t="shared" si="75"/>
        <v>#VALUE!</v>
      </c>
    </row>
    <row r="1204" spans="2:8">
      <c r="B1204" s="11" t="str">
        <f t="shared" si="73"/>
        <v/>
      </c>
      <c r="C1204" s="11" t="str">
        <f t="shared" si="76"/>
        <v/>
      </c>
      <c r="F1204" s="10" t="str">
        <v/>
      </c>
      <c r="G1204" t="e">
        <f t="shared" si="74"/>
        <v>#VALUE!</v>
      </c>
      <c r="H1204" s="13" t="e">
        <f t="shared" si="75"/>
        <v>#VALUE!</v>
      </c>
    </row>
    <row r="1205" spans="2:8">
      <c r="B1205" s="11" t="str">
        <f t="shared" si="73"/>
        <v/>
      </c>
      <c r="C1205" s="11" t="str">
        <f t="shared" si="76"/>
        <v/>
      </c>
      <c r="F1205" s="10" t="str">
        <v/>
      </c>
      <c r="G1205" t="e">
        <f t="shared" si="74"/>
        <v>#VALUE!</v>
      </c>
      <c r="H1205" s="13" t="e">
        <f t="shared" si="75"/>
        <v>#VALUE!</v>
      </c>
    </row>
    <row r="1206" spans="2:8">
      <c r="B1206" s="11" t="str">
        <f t="shared" si="73"/>
        <v/>
      </c>
      <c r="C1206" s="11" t="str">
        <f t="shared" si="76"/>
        <v/>
      </c>
      <c r="F1206" s="10" t="str">
        <v/>
      </c>
      <c r="G1206" t="e">
        <f t="shared" si="74"/>
        <v>#VALUE!</v>
      </c>
      <c r="H1206" s="13" t="e">
        <f t="shared" si="75"/>
        <v>#VALUE!</v>
      </c>
    </row>
    <row r="1207" spans="2:8">
      <c r="B1207" s="11" t="str">
        <f t="shared" si="73"/>
        <v/>
      </c>
      <c r="C1207" s="11" t="str">
        <f t="shared" si="76"/>
        <v/>
      </c>
      <c r="F1207" s="10" t="str">
        <v/>
      </c>
      <c r="G1207" t="e">
        <f t="shared" si="74"/>
        <v>#VALUE!</v>
      </c>
      <c r="H1207" s="13" t="e">
        <f t="shared" si="75"/>
        <v>#VALUE!</v>
      </c>
    </row>
    <row r="1208" spans="2:8">
      <c r="B1208" s="11" t="str">
        <f t="shared" si="73"/>
        <v/>
      </c>
      <c r="C1208" s="11" t="str">
        <f t="shared" si="76"/>
        <v/>
      </c>
      <c r="F1208" s="10" t="str">
        <v/>
      </c>
      <c r="G1208" t="e">
        <f t="shared" si="74"/>
        <v>#VALUE!</v>
      </c>
      <c r="H1208" s="13" t="e">
        <f t="shared" si="75"/>
        <v>#VALUE!</v>
      </c>
    </row>
    <row r="1209" spans="2:8">
      <c r="B1209" s="11" t="str">
        <f t="shared" si="73"/>
        <v/>
      </c>
      <c r="C1209" s="11" t="str">
        <f t="shared" si="76"/>
        <v/>
      </c>
      <c r="F1209" s="10" t="str">
        <v/>
      </c>
      <c r="G1209" t="e">
        <f t="shared" si="74"/>
        <v>#VALUE!</v>
      </c>
      <c r="H1209" s="13" t="e">
        <f t="shared" si="75"/>
        <v>#VALUE!</v>
      </c>
    </row>
    <row r="1210" spans="2:8">
      <c r="B1210" s="11" t="str">
        <f t="shared" si="73"/>
        <v/>
      </c>
      <c r="C1210" s="11" t="str">
        <f t="shared" si="76"/>
        <v/>
      </c>
      <c r="F1210" s="10" t="str">
        <v/>
      </c>
      <c r="G1210" t="e">
        <f t="shared" si="74"/>
        <v>#VALUE!</v>
      </c>
      <c r="H1210" s="13" t="e">
        <f t="shared" si="75"/>
        <v>#VALUE!</v>
      </c>
    </row>
    <row r="1211" spans="2:8">
      <c r="B1211" s="11" t="str">
        <f t="shared" si="73"/>
        <v/>
      </c>
      <c r="C1211" s="11" t="str">
        <f t="shared" si="76"/>
        <v/>
      </c>
      <c r="F1211" s="10" t="str">
        <v/>
      </c>
      <c r="G1211" t="e">
        <f t="shared" si="74"/>
        <v>#VALUE!</v>
      </c>
      <c r="H1211" s="13" t="e">
        <f t="shared" si="75"/>
        <v>#VALUE!</v>
      </c>
    </row>
    <row r="1212" spans="2:8">
      <c r="B1212" s="11" t="str">
        <f t="shared" si="73"/>
        <v/>
      </c>
      <c r="C1212" s="11" t="str">
        <f t="shared" si="76"/>
        <v/>
      </c>
      <c r="F1212" s="10" t="str">
        <v/>
      </c>
      <c r="G1212" t="e">
        <f t="shared" si="74"/>
        <v>#VALUE!</v>
      </c>
      <c r="H1212" s="13" t="e">
        <f t="shared" si="75"/>
        <v>#VALUE!</v>
      </c>
    </row>
    <row r="1213" spans="2:8">
      <c r="B1213" s="11" t="str">
        <f t="shared" si="73"/>
        <v/>
      </c>
      <c r="C1213" s="11" t="str">
        <f t="shared" si="76"/>
        <v/>
      </c>
      <c r="F1213" s="10" t="str">
        <v/>
      </c>
      <c r="G1213" t="e">
        <f t="shared" si="74"/>
        <v>#VALUE!</v>
      </c>
      <c r="H1213" s="13" t="e">
        <f t="shared" si="75"/>
        <v>#VALUE!</v>
      </c>
    </row>
    <row r="1214" spans="2:8">
      <c r="B1214" s="11" t="str">
        <f t="shared" si="73"/>
        <v/>
      </c>
      <c r="C1214" s="11" t="str">
        <f t="shared" si="76"/>
        <v/>
      </c>
      <c r="F1214" s="10" t="str">
        <v/>
      </c>
      <c r="G1214" t="e">
        <f t="shared" si="74"/>
        <v>#VALUE!</v>
      </c>
      <c r="H1214" s="13" t="e">
        <f t="shared" si="75"/>
        <v>#VALUE!</v>
      </c>
    </row>
    <row r="1215" spans="2:8">
      <c r="B1215" s="11" t="str">
        <f t="shared" si="73"/>
        <v/>
      </c>
      <c r="C1215" s="11" t="str">
        <f t="shared" si="76"/>
        <v/>
      </c>
      <c r="F1215" s="10" t="str">
        <v/>
      </c>
      <c r="G1215" t="e">
        <f t="shared" si="74"/>
        <v>#VALUE!</v>
      </c>
      <c r="H1215" s="13" t="e">
        <f t="shared" si="75"/>
        <v>#VALUE!</v>
      </c>
    </row>
    <row r="1216" spans="2:8">
      <c r="B1216" s="11" t="str">
        <f t="shared" si="73"/>
        <v/>
      </c>
      <c r="C1216" s="11" t="str">
        <f t="shared" si="76"/>
        <v/>
      </c>
      <c r="F1216" s="10" t="str">
        <v/>
      </c>
      <c r="G1216" t="e">
        <f t="shared" si="74"/>
        <v>#VALUE!</v>
      </c>
      <c r="H1216" s="13" t="e">
        <f t="shared" si="75"/>
        <v>#VALUE!</v>
      </c>
    </row>
    <row r="1217" spans="2:8">
      <c r="B1217" s="11" t="str">
        <f t="shared" ref="B1217:B1280" si="77">IFERROR(IF(FIND(" ",A1217)=6,IF(IFERROR(FIND(" PB",A1217),"")&lt;&gt;"","артикул",IF(IFERROR(FIND(" CRN",A1217),"")&lt;&gt;"","артикул","")),""),"")</f>
        <v/>
      </c>
      <c r="C1217" s="11" t="str">
        <f t="shared" si="76"/>
        <v/>
      </c>
      <c r="F1217" s="10" t="str">
        <v/>
      </c>
      <c r="G1217" t="e">
        <f t="shared" si="74"/>
        <v>#VALUE!</v>
      </c>
      <c r="H1217" s="13" t="e">
        <f t="shared" si="75"/>
        <v>#VALUE!</v>
      </c>
    </row>
    <row r="1218" spans="2:8">
      <c r="B1218" s="11" t="str">
        <f t="shared" si="77"/>
        <v/>
      </c>
      <c r="C1218" s="11" t="str">
        <f t="shared" si="76"/>
        <v/>
      </c>
      <c r="F1218" s="10" t="str">
        <v/>
      </c>
      <c r="G1218" t="e">
        <f t="shared" ref="G1218:G1281" si="78">CONCATENATE(LEFT(F1218,5),
MID(F1218,
SEARCH("\",SUBSTITUTE(F1218," ","\",LEN(F1218)-LEN(SUBSTITUTE(F1218," ",""))-4)),
SEARCH("\",SUBSTITUTE(F1218," ","\",LEN(F1218)-LEN(SUBSTITUTE(F1218," ",""))-3))-
SEARCH("\",SUBSTITUTE(F1218," ","\",LEN(F1218)-LEN(SUBSTITUTE(F1218," ",""))-4)))*1)</f>
        <v>#VALUE!</v>
      </c>
      <c r="H1218" s="13" t="e">
        <f t="shared" ref="H1218:H1281" si="79">SUBSTITUTE(
RIGHT(F1218,LEN(F1218)-
FIND("\",SUBSTITUTE(F1218," ","\",LEN(F1218)-LEN(SUBSTITUTE(F1218," ",""))))),
".","")</f>
        <v>#VALUE!</v>
      </c>
    </row>
    <row r="1219" spans="2:8">
      <c r="B1219" s="11" t="str">
        <f t="shared" si="77"/>
        <v/>
      </c>
      <c r="C1219" s="11" t="str">
        <f t="shared" si="76"/>
        <v/>
      </c>
      <c r="F1219" s="10" t="str">
        <v/>
      </c>
      <c r="G1219" t="e">
        <f t="shared" si="78"/>
        <v>#VALUE!</v>
      </c>
      <c r="H1219" s="13" t="e">
        <f t="shared" si="79"/>
        <v>#VALUE!</v>
      </c>
    </row>
    <row r="1220" spans="2:8">
      <c r="B1220" s="11" t="str">
        <f t="shared" si="77"/>
        <v/>
      </c>
      <c r="C1220" s="11" t="str">
        <f t="shared" si="76"/>
        <v/>
      </c>
      <c r="F1220" s="10" t="str">
        <v/>
      </c>
      <c r="G1220" t="e">
        <f t="shared" si="78"/>
        <v>#VALUE!</v>
      </c>
      <c r="H1220" s="13" t="e">
        <f t="shared" si="79"/>
        <v>#VALUE!</v>
      </c>
    </row>
    <row r="1221" spans="2:8">
      <c r="B1221" s="11" t="str">
        <f t="shared" si="77"/>
        <v/>
      </c>
      <c r="C1221" s="11" t="str">
        <f t="shared" si="76"/>
        <v/>
      </c>
      <c r="F1221" s="10" t="str">
        <v/>
      </c>
      <c r="G1221" t="e">
        <f t="shared" si="78"/>
        <v>#VALUE!</v>
      </c>
      <c r="H1221" s="13" t="e">
        <f t="shared" si="79"/>
        <v>#VALUE!</v>
      </c>
    </row>
    <row r="1222" spans="2:8">
      <c r="B1222" s="11" t="str">
        <f t="shared" si="77"/>
        <v/>
      </c>
      <c r="C1222" s="11" t="str">
        <f t="shared" si="76"/>
        <v/>
      </c>
      <c r="F1222" s="10" t="str">
        <v/>
      </c>
      <c r="G1222" t="e">
        <f t="shared" si="78"/>
        <v>#VALUE!</v>
      </c>
      <c r="H1222" s="13" t="e">
        <f t="shared" si="79"/>
        <v>#VALUE!</v>
      </c>
    </row>
    <row r="1223" spans="2:8">
      <c r="B1223" s="11" t="str">
        <f t="shared" si="77"/>
        <v/>
      </c>
      <c r="C1223" s="11" t="str">
        <f t="shared" si="76"/>
        <v/>
      </c>
      <c r="F1223" s="10" t="str">
        <v/>
      </c>
      <c r="G1223" t="e">
        <f t="shared" si="78"/>
        <v>#VALUE!</v>
      </c>
      <c r="H1223" s="13" t="e">
        <f t="shared" si="79"/>
        <v>#VALUE!</v>
      </c>
    </row>
    <row r="1224" spans="2:8">
      <c r="B1224" s="11" t="str">
        <f t="shared" si="77"/>
        <v/>
      </c>
      <c r="C1224" s="11" t="str">
        <f t="shared" si="76"/>
        <v/>
      </c>
      <c r="F1224" s="10" t="str">
        <v/>
      </c>
      <c r="G1224" t="e">
        <f t="shared" si="78"/>
        <v>#VALUE!</v>
      </c>
      <c r="H1224" s="13" t="e">
        <f t="shared" si="79"/>
        <v>#VALUE!</v>
      </c>
    </row>
    <row r="1225" spans="2:8">
      <c r="B1225" s="11" t="str">
        <f t="shared" si="77"/>
        <v/>
      </c>
      <c r="C1225" s="11" t="str">
        <f t="shared" si="76"/>
        <v/>
      </c>
      <c r="F1225" s="10" t="str">
        <v/>
      </c>
      <c r="G1225" t="e">
        <f t="shared" si="78"/>
        <v>#VALUE!</v>
      </c>
      <c r="H1225" s="13" t="e">
        <f t="shared" si="79"/>
        <v>#VALUE!</v>
      </c>
    </row>
    <row r="1226" spans="2:8">
      <c r="B1226" s="11" t="str">
        <f t="shared" si="77"/>
        <v/>
      </c>
      <c r="C1226" s="11" t="str">
        <f t="shared" si="76"/>
        <v/>
      </c>
      <c r="F1226" s="10" t="str">
        <v/>
      </c>
      <c r="G1226" t="e">
        <f t="shared" si="78"/>
        <v>#VALUE!</v>
      </c>
      <c r="H1226" s="13" t="e">
        <f t="shared" si="79"/>
        <v>#VALUE!</v>
      </c>
    </row>
    <row r="1227" spans="2:8">
      <c r="B1227" s="11" t="str">
        <f t="shared" si="77"/>
        <v/>
      </c>
      <c r="C1227" s="11" t="str">
        <f t="shared" si="76"/>
        <v/>
      </c>
      <c r="F1227" s="10" t="str">
        <v/>
      </c>
      <c r="G1227" t="e">
        <f t="shared" si="78"/>
        <v>#VALUE!</v>
      </c>
      <c r="H1227" s="13" t="e">
        <f t="shared" si="79"/>
        <v>#VALUE!</v>
      </c>
    </row>
    <row r="1228" spans="2:8">
      <c r="B1228" s="11" t="str">
        <f t="shared" si="77"/>
        <v/>
      </c>
      <c r="C1228" s="11" t="str">
        <f t="shared" si="76"/>
        <v/>
      </c>
      <c r="F1228" s="10" t="str">
        <v/>
      </c>
      <c r="G1228" t="e">
        <f t="shared" si="78"/>
        <v>#VALUE!</v>
      </c>
      <c r="H1228" s="13" t="e">
        <f t="shared" si="79"/>
        <v>#VALUE!</v>
      </c>
    </row>
    <row r="1229" spans="2:8">
      <c r="B1229" s="11" t="str">
        <f t="shared" si="77"/>
        <v/>
      </c>
      <c r="C1229" s="11" t="str">
        <f t="shared" si="76"/>
        <v/>
      </c>
      <c r="F1229" s="10" t="str">
        <v/>
      </c>
      <c r="G1229" t="e">
        <f t="shared" si="78"/>
        <v>#VALUE!</v>
      </c>
      <c r="H1229" s="13" t="e">
        <f t="shared" si="79"/>
        <v>#VALUE!</v>
      </c>
    </row>
    <row r="1230" spans="2:8">
      <c r="B1230" s="11" t="str">
        <f t="shared" si="77"/>
        <v/>
      </c>
      <c r="C1230" s="11" t="str">
        <f t="shared" si="76"/>
        <v/>
      </c>
      <c r="F1230" s="10" t="str">
        <v/>
      </c>
      <c r="G1230" t="e">
        <f t="shared" si="78"/>
        <v>#VALUE!</v>
      </c>
      <c r="H1230" s="13" t="e">
        <f t="shared" si="79"/>
        <v>#VALUE!</v>
      </c>
    </row>
    <row r="1231" spans="2:8">
      <c r="B1231" s="11" t="str">
        <f t="shared" si="77"/>
        <v/>
      </c>
      <c r="C1231" s="11" t="str">
        <f t="shared" si="76"/>
        <v/>
      </c>
      <c r="F1231" s="10" t="str">
        <v/>
      </c>
      <c r="G1231" t="e">
        <f t="shared" si="78"/>
        <v>#VALUE!</v>
      </c>
      <c r="H1231" s="13" t="e">
        <f t="shared" si="79"/>
        <v>#VALUE!</v>
      </c>
    </row>
    <row r="1232" spans="2:8">
      <c r="B1232" s="11" t="str">
        <f t="shared" si="77"/>
        <v/>
      </c>
      <c r="C1232" s="11" t="str">
        <f t="shared" si="76"/>
        <v/>
      </c>
      <c r="F1232" s="10" t="str">
        <v/>
      </c>
      <c r="G1232" t="e">
        <f t="shared" si="78"/>
        <v>#VALUE!</v>
      </c>
      <c r="H1232" s="13" t="e">
        <f t="shared" si="79"/>
        <v>#VALUE!</v>
      </c>
    </row>
    <row r="1233" spans="2:8">
      <c r="B1233" s="11" t="str">
        <f t="shared" si="77"/>
        <v/>
      </c>
      <c r="C1233" s="11" t="str">
        <f t="shared" si="76"/>
        <v/>
      </c>
      <c r="F1233" s="10" t="str">
        <v/>
      </c>
      <c r="G1233" t="e">
        <f t="shared" si="78"/>
        <v>#VALUE!</v>
      </c>
      <c r="H1233" s="13" t="e">
        <f t="shared" si="79"/>
        <v>#VALUE!</v>
      </c>
    </row>
    <row r="1234" spans="2:8">
      <c r="B1234" s="11" t="str">
        <f t="shared" si="77"/>
        <v/>
      </c>
      <c r="C1234" s="11" t="str">
        <f t="shared" si="76"/>
        <v/>
      </c>
      <c r="F1234" s="10" t="str">
        <v/>
      </c>
      <c r="G1234" t="e">
        <f t="shared" si="78"/>
        <v>#VALUE!</v>
      </c>
      <c r="H1234" s="13" t="e">
        <f t="shared" si="79"/>
        <v>#VALUE!</v>
      </c>
    </row>
    <row r="1235" spans="2:8">
      <c r="B1235" s="11" t="str">
        <f t="shared" si="77"/>
        <v/>
      </c>
      <c r="C1235" s="11" t="str">
        <f t="shared" si="76"/>
        <v/>
      </c>
      <c r="F1235" s="10" t="str">
        <v/>
      </c>
      <c r="G1235" t="e">
        <f t="shared" si="78"/>
        <v>#VALUE!</v>
      </c>
      <c r="H1235" s="13" t="e">
        <f t="shared" si="79"/>
        <v>#VALUE!</v>
      </c>
    </row>
    <row r="1236" spans="2:8">
      <c r="B1236" s="11" t="str">
        <f t="shared" si="77"/>
        <v/>
      </c>
      <c r="C1236" s="11" t="str">
        <f t="shared" si="76"/>
        <v/>
      </c>
      <c r="F1236" s="10" t="str">
        <v/>
      </c>
      <c r="G1236" t="e">
        <f t="shared" si="78"/>
        <v>#VALUE!</v>
      </c>
      <c r="H1236" s="13" t="e">
        <f t="shared" si="79"/>
        <v>#VALUE!</v>
      </c>
    </row>
    <row r="1237" spans="2:8">
      <c r="B1237" s="11" t="str">
        <f t="shared" si="77"/>
        <v/>
      </c>
      <c r="C1237" s="11" t="str">
        <f t="shared" si="76"/>
        <v/>
      </c>
      <c r="F1237" s="10" t="str">
        <v/>
      </c>
      <c r="G1237" t="e">
        <f t="shared" si="78"/>
        <v>#VALUE!</v>
      </c>
      <c r="H1237" s="13" t="e">
        <f t="shared" si="79"/>
        <v>#VALUE!</v>
      </c>
    </row>
    <row r="1238" spans="2:8">
      <c r="B1238" s="11" t="str">
        <f t="shared" si="77"/>
        <v/>
      </c>
      <c r="C1238" s="11" t="str">
        <f t="shared" si="76"/>
        <v/>
      </c>
      <c r="F1238" s="10" t="str">
        <v/>
      </c>
      <c r="G1238" t="e">
        <f t="shared" si="78"/>
        <v>#VALUE!</v>
      </c>
      <c r="H1238" s="13" t="e">
        <f t="shared" si="79"/>
        <v>#VALUE!</v>
      </c>
    </row>
    <row r="1239" spans="2:8">
      <c r="B1239" s="11" t="str">
        <f t="shared" si="77"/>
        <v/>
      </c>
      <c r="C1239" s="11" t="str">
        <f t="shared" si="76"/>
        <v/>
      </c>
      <c r="F1239" s="10" t="str">
        <v/>
      </c>
      <c r="G1239" t="e">
        <f t="shared" si="78"/>
        <v>#VALUE!</v>
      </c>
      <c r="H1239" s="13" t="e">
        <f t="shared" si="79"/>
        <v>#VALUE!</v>
      </c>
    </row>
    <row r="1240" spans="2:8">
      <c r="B1240" s="11" t="str">
        <f t="shared" si="77"/>
        <v/>
      </c>
      <c r="C1240" s="11" t="str">
        <f t="shared" si="76"/>
        <v/>
      </c>
      <c r="F1240" s="10" t="str">
        <v/>
      </c>
      <c r="G1240" t="e">
        <f t="shared" si="78"/>
        <v>#VALUE!</v>
      </c>
      <c r="H1240" s="13" t="e">
        <f t="shared" si="79"/>
        <v>#VALUE!</v>
      </c>
    </row>
    <row r="1241" spans="2:8">
      <c r="B1241" s="11" t="str">
        <f t="shared" si="77"/>
        <v/>
      </c>
      <c r="C1241" s="11" t="str">
        <f t="shared" si="76"/>
        <v/>
      </c>
      <c r="F1241" s="10" t="str">
        <v/>
      </c>
      <c r="G1241" t="e">
        <f t="shared" si="78"/>
        <v>#VALUE!</v>
      </c>
      <c r="H1241" s="13" t="e">
        <f t="shared" si="79"/>
        <v>#VALUE!</v>
      </c>
    </row>
    <row r="1242" spans="2:8">
      <c r="B1242" s="11" t="str">
        <f t="shared" si="77"/>
        <v/>
      </c>
      <c r="C1242" s="11" t="str">
        <f t="shared" si="76"/>
        <v/>
      </c>
      <c r="F1242" s="10" t="str">
        <v/>
      </c>
      <c r="G1242" t="e">
        <f t="shared" si="78"/>
        <v>#VALUE!</v>
      </c>
      <c r="H1242" s="13" t="e">
        <f t="shared" si="79"/>
        <v>#VALUE!</v>
      </c>
    </row>
    <row r="1243" spans="2:8">
      <c r="B1243" s="11" t="str">
        <f t="shared" si="77"/>
        <v/>
      </c>
      <c r="C1243" s="11" t="str">
        <f t="shared" si="76"/>
        <v/>
      </c>
      <c r="F1243" s="10" t="str">
        <v/>
      </c>
      <c r="G1243" t="e">
        <f t="shared" si="78"/>
        <v>#VALUE!</v>
      </c>
      <c r="H1243" s="13" t="e">
        <f t="shared" si="79"/>
        <v>#VALUE!</v>
      </c>
    </row>
    <row r="1244" spans="2:8">
      <c r="B1244" s="11" t="str">
        <f t="shared" si="77"/>
        <v/>
      </c>
      <c r="C1244" s="11" t="str">
        <f t="shared" si="76"/>
        <v/>
      </c>
      <c r="F1244" s="10" t="str">
        <v/>
      </c>
      <c r="G1244" t="e">
        <f t="shared" si="78"/>
        <v>#VALUE!</v>
      </c>
      <c r="H1244" s="13" t="e">
        <f t="shared" si="79"/>
        <v>#VALUE!</v>
      </c>
    </row>
    <row r="1245" spans="2:8">
      <c r="B1245" s="11" t="str">
        <f t="shared" si="77"/>
        <v/>
      </c>
      <c r="C1245" s="11" t="str">
        <f t="shared" si="76"/>
        <v/>
      </c>
      <c r="F1245" s="10" t="str">
        <v/>
      </c>
      <c r="G1245" t="e">
        <f t="shared" si="78"/>
        <v>#VALUE!</v>
      </c>
      <c r="H1245" s="13" t="e">
        <f t="shared" si="79"/>
        <v>#VALUE!</v>
      </c>
    </row>
    <row r="1246" spans="2:8">
      <c r="B1246" s="11" t="str">
        <f t="shared" si="77"/>
        <v/>
      </c>
      <c r="C1246" s="11" t="str">
        <f t="shared" si="76"/>
        <v/>
      </c>
      <c r="F1246" s="10" t="str">
        <v/>
      </c>
      <c r="G1246" t="e">
        <f t="shared" si="78"/>
        <v>#VALUE!</v>
      </c>
      <c r="H1246" s="13" t="e">
        <f t="shared" si="79"/>
        <v>#VALUE!</v>
      </c>
    </row>
    <row r="1247" spans="2:8">
      <c r="B1247" s="11" t="str">
        <f t="shared" si="77"/>
        <v/>
      </c>
      <c r="C1247" s="11" t="str">
        <f t="shared" si="76"/>
        <v/>
      </c>
      <c r="F1247" s="10" t="str">
        <v/>
      </c>
      <c r="G1247" t="e">
        <f t="shared" si="78"/>
        <v>#VALUE!</v>
      </c>
      <c r="H1247" s="13" t="e">
        <f t="shared" si="79"/>
        <v>#VALUE!</v>
      </c>
    </row>
    <row r="1248" spans="2:8">
      <c r="B1248" s="11" t="str">
        <f t="shared" si="77"/>
        <v/>
      </c>
      <c r="C1248" s="11" t="str">
        <f t="shared" si="76"/>
        <v/>
      </c>
      <c r="F1248" s="10" t="str">
        <v/>
      </c>
      <c r="G1248" t="e">
        <f t="shared" si="78"/>
        <v>#VALUE!</v>
      </c>
      <c r="H1248" s="13" t="e">
        <f t="shared" si="79"/>
        <v>#VALUE!</v>
      </c>
    </row>
    <row r="1249" spans="2:8">
      <c r="B1249" s="11" t="str">
        <f t="shared" si="77"/>
        <v/>
      </c>
      <c r="C1249" s="11" t="str">
        <f t="shared" si="76"/>
        <v/>
      </c>
      <c r="F1249" s="10" t="str">
        <v/>
      </c>
      <c r="G1249" t="e">
        <f t="shared" si="78"/>
        <v>#VALUE!</v>
      </c>
      <c r="H1249" s="13" t="e">
        <f t="shared" si="79"/>
        <v>#VALUE!</v>
      </c>
    </row>
    <row r="1250" spans="2:8">
      <c r="B1250" s="11" t="str">
        <f t="shared" si="77"/>
        <v/>
      </c>
      <c r="C1250" s="11" t="str">
        <f t="shared" si="76"/>
        <v/>
      </c>
      <c r="F1250" s="10" t="str">
        <v/>
      </c>
      <c r="G1250" t="e">
        <f t="shared" si="78"/>
        <v>#VALUE!</v>
      </c>
      <c r="H1250" s="13" t="e">
        <f t="shared" si="79"/>
        <v>#VALUE!</v>
      </c>
    </row>
    <row r="1251" spans="2:8">
      <c r="B1251" s="11" t="str">
        <f t="shared" si="77"/>
        <v/>
      </c>
      <c r="C1251" s="11" t="str">
        <f t="shared" si="76"/>
        <v/>
      </c>
      <c r="F1251" s="10" t="str">
        <v/>
      </c>
      <c r="G1251" t="e">
        <f t="shared" si="78"/>
        <v>#VALUE!</v>
      </c>
      <c r="H1251" s="13" t="e">
        <f t="shared" si="79"/>
        <v>#VALUE!</v>
      </c>
    </row>
    <row r="1252" spans="2:8">
      <c r="B1252" s="11" t="str">
        <f t="shared" si="77"/>
        <v/>
      </c>
      <c r="C1252" s="11" t="str">
        <f t="shared" si="76"/>
        <v/>
      </c>
      <c r="F1252" s="10" t="str">
        <v/>
      </c>
      <c r="G1252" t="e">
        <f t="shared" si="78"/>
        <v>#VALUE!</v>
      </c>
      <c r="H1252" s="13" t="e">
        <f t="shared" si="79"/>
        <v>#VALUE!</v>
      </c>
    </row>
    <row r="1253" spans="2:8">
      <c r="B1253" s="11" t="str">
        <f t="shared" si="77"/>
        <v/>
      </c>
      <c r="C1253" s="11" t="str">
        <f t="shared" si="76"/>
        <v/>
      </c>
      <c r="F1253" s="10" t="str">
        <v/>
      </c>
      <c r="G1253" t="e">
        <f t="shared" si="78"/>
        <v>#VALUE!</v>
      </c>
      <c r="H1253" s="13" t="e">
        <f t="shared" si="79"/>
        <v>#VALUE!</v>
      </c>
    </row>
    <row r="1254" spans="2:8">
      <c r="B1254" s="11" t="str">
        <f t="shared" si="77"/>
        <v/>
      </c>
      <c r="C1254" s="11" t="str">
        <f t="shared" si="76"/>
        <v/>
      </c>
      <c r="F1254" s="10" t="str">
        <v/>
      </c>
      <c r="G1254" t="e">
        <f t="shared" si="78"/>
        <v>#VALUE!</v>
      </c>
      <c r="H1254" s="13" t="e">
        <f t="shared" si="79"/>
        <v>#VALUE!</v>
      </c>
    </row>
    <row r="1255" spans="2:8">
      <c r="B1255" s="11" t="str">
        <f t="shared" si="77"/>
        <v/>
      </c>
      <c r="C1255" s="11" t="str">
        <f t="shared" si="76"/>
        <v/>
      </c>
      <c r="F1255" s="10" t="str">
        <v/>
      </c>
      <c r="G1255" t="e">
        <f t="shared" si="78"/>
        <v>#VALUE!</v>
      </c>
      <c r="H1255" s="13" t="e">
        <f t="shared" si="79"/>
        <v>#VALUE!</v>
      </c>
    </row>
    <row r="1256" spans="2:8">
      <c r="B1256" s="11" t="str">
        <f t="shared" si="77"/>
        <v/>
      </c>
      <c r="C1256" s="11" t="str">
        <f t="shared" si="76"/>
        <v/>
      </c>
      <c r="F1256" s="10" t="str">
        <v/>
      </c>
      <c r="G1256" t="e">
        <f t="shared" si="78"/>
        <v>#VALUE!</v>
      </c>
      <c r="H1256" s="13" t="e">
        <f t="shared" si="79"/>
        <v>#VALUE!</v>
      </c>
    </row>
    <row r="1257" spans="2:8">
      <c r="B1257" s="11" t="str">
        <f t="shared" si="77"/>
        <v/>
      </c>
      <c r="C1257" s="11" t="str">
        <f t="shared" ref="C1257:C1320" si="80">IF(B1257="артикул",A1257,"")</f>
        <v/>
      </c>
      <c r="F1257" s="10" t="str">
        <v/>
      </c>
      <c r="G1257" t="e">
        <f t="shared" si="78"/>
        <v>#VALUE!</v>
      </c>
      <c r="H1257" s="13" t="e">
        <f t="shared" si="79"/>
        <v>#VALUE!</v>
      </c>
    </row>
    <row r="1258" spans="2:8">
      <c r="B1258" s="11" t="str">
        <f t="shared" si="77"/>
        <v/>
      </c>
      <c r="C1258" s="11" t="str">
        <f t="shared" si="80"/>
        <v/>
      </c>
      <c r="F1258" s="10" t="str">
        <v/>
      </c>
      <c r="G1258" t="e">
        <f t="shared" si="78"/>
        <v>#VALUE!</v>
      </c>
      <c r="H1258" s="13" t="e">
        <f t="shared" si="79"/>
        <v>#VALUE!</v>
      </c>
    </row>
    <row r="1259" spans="2:8">
      <c r="B1259" s="11" t="str">
        <f t="shared" si="77"/>
        <v/>
      </c>
      <c r="C1259" s="11" t="str">
        <f t="shared" si="80"/>
        <v/>
      </c>
      <c r="F1259" s="10" t="str">
        <v/>
      </c>
      <c r="G1259" t="e">
        <f t="shared" si="78"/>
        <v>#VALUE!</v>
      </c>
      <c r="H1259" s="13" t="e">
        <f t="shared" si="79"/>
        <v>#VALUE!</v>
      </c>
    </row>
    <row r="1260" spans="2:8">
      <c r="B1260" s="11" t="str">
        <f t="shared" si="77"/>
        <v/>
      </c>
      <c r="C1260" s="11" t="str">
        <f t="shared" si="80"/>
        <v/>
      </c>
      <c r="F1260" s="10" t="str">
        <v/>
      </c>
      <c r="G1260" t="e">
        <f t="shared" si="78"/>
        <v>#VALUE!</v>
      </c>
      <c r="H1260" s="13" t="e">
        <f t="shared" si="79"/>
        <v>#VALUE!</v>
      </c>
    </row>
    <row r="1261" spans="2:8">
      <c r="B1261" s="11" t="str">
        <f t="shared" si="77"/>
        <v/>
      </c>
      <c r="C1261" s="11" t="str">
        <f t="shared" si="80"/>
        <v/>
      </c>
      <c r="F1261" s="10" t="str">
        <v/>
      </c>
      <c r="G1261" t="e">
        <f t="shared" si="78"/>
        <v>#VALUE!</v>
      </c>
      <c r="H1261" s="13" t="e">
        <f t="shared" si="79"/>
        <v>#VALUE!</v>
      </c>
    </row>
    <row r="1262" spans="2:8">
      <c r="B1262" s="11" t="str">
        <f t="shared" si="77"/>
        <v/>
      </c>
      <c r="C1262" s="11" t="str">
        <f t="shared" si="80"/>
        <v/>
      </c>
      <c r="F1262" s="10" t="str">
        <v/>
      </c>
      <c r="G1262" t="e">
        <f t="shared" si="78"/>
        <v>#VALUE!</v>
      </c>
      <c r="H1262" s="13" t="e">
        <f t="shared" si="79"/>
        <v>#VALUE!</v>
      </c>
    </row>
    <row r="1263" spans="2:8">
      <c r="B1263" s="11" t="str">
        <f t="shared" si="77"/>
        <v/>
      </c>
      <c r="C1263" s="11" t="str">
        <f t="shared" si="80"/>
        <v/>
      </c>
      <c r="F1263" s="10" t="str">
        <v/>
      </c>
      <c r="G1263" t="e">
        <f t="shared" si="78"/>
        <v>#VALUE!</v>
      </c>
      <c r="H1263" s="13" t="e">
        <f t="shared" si="79"/>
        <v>#VALUE!</v>
      </c>
    </row>
    <row r="1264" spans="2:8">
      <c r="B1264" s="11" t="str">
        <f t="shared" si="77"/>
        <v/>
      </c>
      <c r="C1264" s="11" t="str">
        <f t="shared" si="80"/>
        <v/>
      </c>
      <c r="F1264" s="10" t="str">
        <v/>
      </c>
      <c r="G1264" t="e">
        <f t="shared" si="78"/>
        <v>#VALUE!</v>
      </c>
      <c r="H1264" s="13" t="e">
        <f t="shared" si="79"/>
        <v>#VALUE!</v>
      </c>
    </row>
    <row r="1265" spans="2:8">
      <c r="B1265" s="11" t="str">
        <f t="shared" si="77"/>
        <v/>
      </c>
      <c r="C1265" s="11" t="str">
        <f t="shared" si="80"/>
        <v/>
      </c>
      <c r="F1265" s="10" t="str">
        <v/>
      </c>
      <c r="G1265" t="e">
        <f t="shared" si="78"/>
        <v>#VALUE!</v>
      </c>
      <c r="H1265" s="13" t="e">
        <f t="shared" si="79"/>
        <v>#VALUE!</v>
      </c>
    </row>
    <row r="1266" spans="2:8">
      <c r="B1266" s="11" t="str">
        <f t="shared" si="77"/>
        <v/>
      </c>
      <c r="C1266" s="11" t="str">
        <f t="shared" si="80"/>
        <v/>
      </c>
      <c r="F1266" s="10" t="str">
        <v/>
      </c>
      <c r="G1266" t="e">
        <f t="shared" si="78"/>
        <v>#VALUE!</v>
      </c>
      <c r="H1266" s="13" t="e">
        <f t="shared" si="79"/>
        <v>#VALUE!</v>
      </c>
    </row>
    <row r="1267" spans="2:8">
      <c r="B1267" s="11" t="str">
        <f t="shared" si="77"/>
        <v/>
      </c>
      <c r="C1267" s="11" t="str">
        <f t="shared" si="80"/>
        <v/>
      </c>
      <c r="F1267" s="10" t="str">
        <v/>
      </c>
      <c r="G1267" t="e">
        <f t="shared" si="78"/>
        <v>#VALUE!</v>
      </c>
      <c r="H1267" s="13" t="e">
        <f t="shared" si="79"/>
        <v>#VALUE!</v>
      </c>
    </row>
    <row r="1268" spans="2:8">
      <c r="B1268" s="11" t="str">
        <f t="shared" si="77"/>
        <v/>
      </c>
      <c r="C1268" s="11" t="str">
        <f t="shared" si="80"/>
        <v/>
      </c>
      <c r="F1268" s="10" t="str">
        <v/>
      </c>
      <c r="G1268" t="e">
        <f t="shared" si="78"/>
        <v>#VALUE!</v>
      </c>
      <c r="H1268" s="13" t="e">
        <f t="shared" si="79"/>
        <v>#VALUE!</v>
      </c>
    </row>
    <row r="1269" spans="2:8">
      <c r="B1269" s="11" t="str">
        <f t="shared" si="77"/>
        <v/>
      </c>
      <c r="C1269" s="11" t="str">
        <f t="shared" si="80"/>
        <v/>
      </c>
      <c r="F1269" s="10" t="str">
        <v/>
      </c>
      <c r="G1269" t="e">
        <f t="shared" si="78"/>
        <v>#VALUE!</v>
      </c>
      <c r="H1269" s="13" t="e">
        <f t="shared" si="79"/>
        <v>#VALUE!</v>
      </c>
    </row>
    <row r="1270" spans="2:8">
      <c r="B1270" s="11" t="str">
        <f t="shared" si="77"/>
        <v/>
      </c>
      <c r="C1270" s="11" t="str">
        <f t="shared" si="80"/>
        <v/>
      </c>
      <c r="F1270" s="10" t="str">
        <v/>
      </c>
      <c r="G1270" t="e">
        <f t="shared" si="78"/>
        <v>#VALUE!</v>
      </c>
      <c r="H1270" s="13" t="e">
        <f t="shared" si="79"/>
        <v>#VALUE!</v>
      </c>
    </row>
    <row r="1271" spans="2:8">
      <c r="B1271" s="11" t="str">
        <f t="shared" si="77"/>
        <v/>
      </c>
      <c r="C1271" s="11" t="str">
        <f t="shared" si="80"/>
        <v/>
      </c>
      <c r="F1271" s="10" t="str">
        <v/>
      </c>
      <c r="G1271" t="e">
        <f t="shared" si="78"/>
        <v>#VALUE!</v>
      </c>
      <c r="H1271" s="13" t="e">
        <f t="shared" si="79"/>
        <v>#VALUE!</v>
      </c>
    </row>
    <row r="1272" spans="2:8">
      <c r="B1272" s="11" t="str">
        <f t="shared" si="77"/>
        <v/>
      </c>
      <c r="C1272" s="11" t="str">
        <f t="shared" si="80"/>
        <v/>
      </c>
      <c r="F1272" s="10" t="str">
        <v/>
      </c>
      <c r="G1272" t="e">
        <f t="shared" si="78"/>
        <v>#VALUE!</v>
      </c>
      <c r="H1272" s="13" t="e">
        <f t="shared" si="79"/>
        <v>#VALUE!</v>
      </c>
    </row>
    <row r="1273" spans="2:8">
      <c r="B1273" s="11" t="str">
        <f t="shared" si="77"/>
        <v/>
      </c>
      <c r="C1273" s="11" t="str">
        <f t="shared" si="80"/>
        <v/>
      </c>
      <c r="F1273" s="10" t="str">
        <v/>
      </c>
      <c r="G1273" t="e">
        <f t="shared" si="78"/>
        <v>#VALUE!</v>
      </c>
      <c r="H1273" s="13" t="e">
        <f t="shared" si="79"/>
        <v>#VALUE!</v>
      </c>
    </row>
    <row r="1274" spans="2:8">
      <c r="B1274" s="11" t="str">
        <f t="shared" si="77"/>
        <v/>
      </c>
      <c r="C1274" s="11" t="str">
        <f t="shared" si="80"/>
        <v/>
      </c>
      <c r="F1274" s="10" t="str">
        <v/>
      </c>
      <c r="G1274" t="e">
        <f t="shared" si="78"/>
        <v>#VALUE!</v>
      </c>
      <c r="H1274" s="13" t="e">
        <f t="shared" si="79"/>
        <v>#VALUE!</v>
      </c>
    </row>
    <row r="1275" spans="2:8">
      <c r="B1275" s="11" t="str">
        <f t="shared" si="77"/>
        <v/>
      </c>
      <c r="C1275" s="11" t="str">
        <f t="shared" si="80"/>
        <v/>
      </c>
      <c r="F1275" s="10" t="str">
        <v/>
      </c>
      <c r="G1275" t="e">
        <f t="shared" si="78"/>
        <v>#VALUE!</v>
      </c>
      <c r="H1275" s="13" t="e">
        <f t="shared" si="79"/>
        <v>#VALUE!</v>
      </c>
    </row>
    <row r="1276" spans="2:8">
      <c r="B1276" s="11" t="str">
        <f t="shared" si="77"/>
        <v/>
      </c>
      <c r="C1276" s="11" t="str">
        <f t="shared" si="80"/>
        <v/>
      </c>
      <c r="F1276" s="10" t="str">
        <v/>
      </c>
      <c r="G1276" t="e">
        <f t="shared" si="78"/>
        <v>#VALUE!</v>
      </c>
      <c r="H1276" s="13" t="e">
        <f t="shared" si="79"/>
        <v>#VALUE!</v>
      </c>
    </row>
    <row r="1277" spans="2:8">
      <c r="B1277" s="11" t="str">
        <f t="shared" si="77"/>
        <v/>
      </c>
      <c r="C1277" s="11" t="str">
        <f t="shared" si="80"/>
        <v/>
      </c>
      <c r="F1277" s="10" t="str">
        <v/>
      </c>
      <c r="G1277" t="e">
        <f t="shared" si="78"/>
        <v>#VALUE!</v>
      </c>
      <c r="H1277" s="13" t="e">
        <f t="shared" si="79"/>
        <v>#VALUE!</v>
      </c>
    </row>
    <row r="1278" spans="2:8">
      <c r="B1278" s="11" t="str">
        <f t="shared" si="77"/>
        <v/>
      </c>
      <c r="C1278" s="11" t="str">
        <f t="shared" si="80"/>
        <v/>
      </c>
      <c r="F1278" s="10" t="str">
        <v/>
      </c>
      <c r="G1278" t="e">
        <f t="shared" si="78"/>
        <v>#VALUE!</v>
      </c>
      <c r="H1278" s="13" t="e">
        <f t="shared" si="79"/>
        <v>#VALUE!</v>
      </c>
    </row>
    <row r="1279" spans="2:8">
      <c r="B1279" s="11" t="str">
        <f t="shared" si="77"/>
        <v/>
      </c>
      <c r="C1279" s="11" t="str">
        <f t="shared" si="80"/>
        <v/>
      </c>
      <c r="F1279" s="10" t="str">
        <v/>
      </c>
      <c r="G1279" t="e">
        <f t="shared" si="78"/>
        <v>#VALUE!</v>
      </c>
      <c r="H1279" s="13" t="e">
        <f t="shared" si="79"/>
        <v>#VALUE!</v>
      </c>
    </row>
    <row r="1280" spans="2:8">
      <c r="B1280" s="11" t="str">
        <f t="shared" si="77"/>
        <v/>
      </c>
      <c r="C1280" s="11" t="str">
        <f t="shared" si="80"/>
        <v/>
      </c>
      <c r="F1280" s="10" t="str">
        <v/>
      </c>
      <c r="G1280" t="e">
        <f t="shared" si="78"/>
        <v>#VALUE!</v>
      </c>
      <c r="H1280" s="13" t="e">
        <f t="shared" si="79"/>
        <v>#VALUE!</v>
      </c>
    </row>
    <row r="1281" spans="2:8">
      <c r="B1281" s="11" t="str">
        <f t="shared" ref="B1281:B1344" si="81">IFERROR(IF(FIND(" ",A1281)=6,IF(IFERROR(FIND(" PB",A1281),"")&lt;&gt;"","артикул",IF(IFERROR(FIND(" CRN",A1281),"")&lt;&gt;"","артикул","")),""),"")</f>
        <v/>
      </c>
      <c r="C1281" s="11" t="str">
        <f t="shared" si="80"/>
        <v/>
      </c>
      <c r="F1281" s="10" t="str">
        <v/>
      </c>
      <c r="G1281" t="e">
        <f t="shared" si="78"/>
        <v>#VALUE!</v>
      </c>
      <c r="H1281" s="13" t="e">
        <f t="shared" si="79"/>
        <v>#VALUE!</v>
      </c>
    </row>
    <row r="1282" spans="2:8">
      <c r="B1282" s="11" t="str">
        <f t="shared" si="81"/>
        <v/>
      </c>
      <c r="C1282" s="11" t="str">
        <f t="shared" si="80"/>
        <v/>
      </c>
      <c r="F1282" s="10" t="str">
        <v/>
      </c>
      <c r="G1282" t="e">
        <f t="shared" ref="G1282:G1345" si="82">CONCATENATE(LEFT(F1282,5),
MID(F1282,
SEARCH("\",SUBSTITUTE(F1282," ","\",LEN(F1282)-LEN(SUBSTITUTE(F1282," ",""))-4)),
SEARCH("\",SUBSTITUTE(F1282," ","\",LEN(F1282)-LEN(SUBSTITUTE(F1282," ",""))-3))-
SEARCH("\",SUBSTITUTE(F1282," ","\",LEN(F1282)-LEN(SUBSTITUTE(F1282," ",""))-4)))*1)</f>
        <v>#VALUE!</v>
      </c>
      <c r="H1282" s="13" t="e">
        <f t="shared" ref="H1282:H1345" si="83">SUBSTITUTE(
RIGHT(F1282,LEN(F1282)-
FIND("\",SUBSTITUTE(F1282," ","\",LEN(F1282)-LEN(SUBSTITUTE(F1282," ",""))))),
".","")</f>
        <v>#VALUE!</v>
      </c>
    </row>
    <row r="1283" spans="2:8">
      <c r="B1283" s="11" t="str">
        <f t="shared" si="81"/>
        <v/>
      </c>
      <c r="C1283" s="11" t="str">
        <f t="shared" si="80"/>
        <v/>
      </c>
      <c r="F1283" s="10" t="str">
        <v/>
      </c>
      <c r="G1283" t="e">
        <f t="shared" si="82"/>
        <v>#VALUE!</v>
      </c>
      <c r="H1283" s="13" t="e">
        <f t="shared" si="83"/>
        <v>#VALUE!</v>
      </c>
    </row>
    <row r="1284" spans="2:8">
      <c r="B1284" s="11" t="str">
        <f t="shared" si="81"/>
        <v/>
      </c>
      <c r="C1284" s="11" t="str">
        <f t="shared" si="80"/>
        <v/>
      </c>
      <c r="F1284" s="10" t="str">
        <v/>
      </c>
      <c r="G1284" t="e">
        <f t="shared" si="82"/>
        <v>#VALUE!</v>
      </c>
      <c r="H1284" s="13" t="e">
        <f t="shared" si="83"/>
        <v>#VALUE!</v>
      </c>
    </row>
    <row r="1285" spans="2:8">
      <c r="B1285" s="11" t="str">
        <f t="shared" si="81"/>
        <v/>
      </c>
      <c r="C1285" s="11" t="str">
        <f t="shared" si="80"/>
        <v/>
      </c>
      <c r="F1285" s="10" t="str">
        <v/>
      </c>
      <c r="G1285" t="e">
        <f t="shared" si="82"/>
        <v>#VALUE!</v>
      </c>
      <c r="H1285" s="13" t="e">
        <f t="shared" si="83"/>
        <v>#VALUE!</v>
      </c>
    </row>
    <row r="1286" spans="2:8">
      <c r="B1286" s="11" t="str">
        <f t="shared" si="81"/>
        <v/>
      </c>
      <c r="C1286" s="11" t="str">
        <f t="shared" si="80"/>
        <v/>
      </c>
      <c r="F1286" s="10" t="str">
        <v/>
      </c>
      <c r="G1286" t="e">
        <f t="shared" si="82"/>
        <v>#VALUE!</v>
      </c>
      <c r="H1286" s="13" t="e">
        <f t="shared" si="83"/>
        <v>#VALUE!</v>
      </c>
    </row>
    <row r="1287" spans="2:8">
      <c r="B1287" s="11" t="str">
        <f t="shared" si="81"/>
        <v/>
      </c>
      <c r="C1287" s="11" t="str">
        <f t="shared" si="80"/>
        <v/>
      </c>
      <c r="F1287" s="10" t="str">
        <v/>
      </c>
      <c r="G1287" t="e">
        <f t="shared" si="82"/>
        <v>#VALUE!</v>
      </c>
      <c r="H1287" s="13" t="e">
        <f t="shared" si="83"/>
        <v>#VALUE!</v>
      </c>
    </row>
    <row r="1288" spans="2:8">
      <c r="B1288" s="11" t="str">
        <f t="shared" si="81"/>
        <v/>
      </c>
      <c r="C1288" s="11" t="str">
        <f t="shared" si="80"/>
        <v/>
      </c>
      <c r="F1288" s="10" t="str">
        <v/>
      </c>
      <c r="G1288" t="e">
        <f t="shared" si="82"/>
        <v>#VALUE!</v>
      </c>
      <c r="H1288" s="13" t="e">
        <f t="shared" si="83"/>
        <v>#VALUE!</v>
      </c>
    </row>
    <row r="1289" spans="2:8">
      <c r="B1289" s="11" t="str">
        <f t="shared" si="81"/>
        <v/>
      </c>
      <c r="C1289" s="11" t="str">
        <f t="shared" si="80"/>
        <v/>
      </c>
      <c r="F1289" s="10" t="str">
        <v/>
      </c>
      <c r="G1289" t="e">
        <f t="shared" si="82"/>
        <v>#VALUE!</v>
      </c>
      <c r="H1289" s="13" t="e">
        <f t="shared" si="83"/>
        <v>#VALUE!</v>
      </c>
    </row>
    <row r="1290" spans="2:8">
      <c r="B1290" s="11" t="str">
        <f t="shared" si="81"/>
        <v/>
      </c>
      <c r="C1290" s="11" t="str">
        <f t="shared" si="80"/>
        <v/>
      </c>
      <c r="F1290" s="10" t="str">
        <v/>
      </c>
      <c r="G1290" t="e">
        <f t="shared" si="82"/>
        <v>#VALUE!</v>
      </c>
      <c r="H1290" s="13" t="e">
        <f t="shared" si="83"/>
        <v>#VALUE!</v>
      </c>
    </row>
    <row r="1291" spans="2:8">
      <c r="B1291" s="11" t="str">
        <f t="shared" si="81"/>
        <v/>
      </c>
      <c r="C1291" s="11" t="str">
        <f t="shared" si="80"/>
        <v/>
      </c>
      <c r="F1291" s="10" t="str">
        <v/>
      </c>
      <c r="G1291" t="e">
        <f t="shared" si="82"/>
        <v>#VALUE!</v>
      </c>
      <c r="H1291" s="13" t="e">
        <f t="shared" si="83"/>
        <v>#VALUE!</v>
      </c>
    </row>
    <row r="1292" spans="2:8">
      <c r="B1292" s="11" t="str">
        <f t="shared" si="81"/>
        <v/>
      </c>
      <c r="C1292" s="11" t="str">
        <f t="shared" si="80"/>
        <v/>
      </c>
      <c r="F1292" s="10" t="str">
        <v/>
      </c>
      <c r="G1292" t="e">
        <f t="shared" si="82"/>
        <v>#VALUE!</v>
      </c>
      <c r="H1292" s="13" t="e">
        <f t="shared" si="83"/>
        <v>#VALUE!</v>
      </c>
    </row>
    <row r="1293" spans="2:8">
      <c r="B1293" s="11" t="str">
        <f t="shared" si="81"/>
        <v/>
      </c>
      <c r="C1293" s="11" t="str">
        <f t="shared" si="80"/>
        <v/>
      </c>
      <c r="F1293" s="10" t="str">
        <v/>
      </c>
      <c r="G1293" t="e">
        <f t="shared" si="82"/>
        <v>#VALUE!</v>
      </c>
      <c r="H1293" s="13" t="e">
        <f t="shared" si="83"/>
        <v>#VALUE!</v>
      </c>
    </row>
    <row r="1294" spans="2:8">
      <c r="B1294" s="11" t="str">
        <f t="shared" si="81"/>
        <v/>
      </c>
      <c r="C1294" s="11" t="str">
        <f t="shared" si="80"/>
        <v/>
      </c>
      <c r="F1294" s="10" t="str">
        <v/>
      </c>
      <c r="G1294" t="e">
        <f t="shared" si="82"/>
        <v>#VALUE!</v>
      </c>
      <c r="H1294" s="13" t="e">
        <f t="shared" si="83"/>
        <v>#VALUE!</v>
      </c>
    </row>
    <row r="1295" spans="2:8">
      <c r="B1295" s="11" t="str">
        <f t="shared" si="81"/>
        <v/>
      </c>
      <c r="C1295" s="11" t="str">
        <f t="shared" si="80"/>
        <v/>
      </c>
      <c r="F1295" s="10" t="str">
        <v/>
      </c>
      <c r="G1295" t="e">
        <f t="shared" si="82"/>
        <v>#VALUE!</v>
      </c>
      <c r="H1295" s="13" t="e">
        <f t="shared" si="83"/>
        <v>#VALUE!</v>
      </c>
    </row>
    <row r="1296" spans="2:8">
      <c r="B1296" s="11" t="str">
        <f t="shared" si="81"/>
        <v/>
      </c>
      <c r="C1296" s="11" t="str">
        <f t="shared" si="80"/>
        <v/>
      </c>
      <c r="F1296" s="10" t="str">
        <v/>
      </c>
      <c r="G1296" t="e">
        <f t="shared" si="82"/>
        <v>#VALUE!</v>
      </c>
      <c r="H1296" s="13" t="e">
        <f t="shared" si="83"/>
        <v>#VALUE!</v>
      </c>
    </row>
    <row r="1297" spans="2:8">
      <c r="B1297" s="11" t="str">
        <f t="shared" si="81"/>
        <v/>
      </c>
      <c r="C1297" s="11" t="str">
        <f t="shared" si="80"/>
        <v/>
      </c>
      <c r="F1297" s="10" t="str">
        <v/>
      </c>
      <c r="G1297" t="e">
        <f t="shared" si="82"/>
        <v>#VALUE!</v>
      </c>
      <c r="H1297" s="13" t="e">
        <f t="shared" si="83"/>
        <v>#VALUE!</v>
      </c>
    </row>
    <row r="1298" spans="2:8">
      <c r="B1298" s="11" t="str">
        <f t="shared" si="81"/>
        <v/>
      </c>
      <c r="C1298" s="11" t="str">
        <f t="shared" si="80"/>
        <v/>
      </c>
      <c r="F1298" s="10" t="str">
        <v/>
      </c>
      <c r="G1298" t="e">
        <f t="shared" si="82"/>
        <v>#VALUE!</v>
      </c>
      <c r="H1298" s="13" t="e">
        <f t="shared" si="83"/>
        <v>#VALUE!</v>
      </c>
    </row>
    <row r="1299" spans="2:8">
      <c r="B1299" s="11" t="str">
        <f t="shared" si="81"/>
        <v/>
      </c>
      <c r="C1299" s="11" t="str">
        <f t="shared" si="80"/>
        <v/>
      </c>
      <c r="F1299" s="10" t="str">
        <v/>
      </c>
      <c r="G1299" t="e">
        <f t="shared" si="82"/>
        <v>#VALUE!</v>
      </c>
      <c r="H1299" s="13" t="e">
        <f t="shared" si="83"/>
        <v>#VALUE!</v>
      </c>
    </row>
    <row r="1300" spans="2:8">
      <c r="B1300" s="11" t="str">
        <f t="shared" si="81"/>
        <v/>
      </c>
      <c r="C1300" s="11" t="str">
        <f t="shared" si="80"/>
        <v/>
      </c>
      <c r="F1300" s="10" t="str">
        <v/>
      </c>
      <c r="G1300" t="e">
        <f t="shared" si="82"/>
        <v>#VALUE!</v>
      </c>
      <c r="H1300" s="13" t="e">
        <f t="shared" si="83"/>
        <v>#VALUE!</v>
      </c>
    </row>
    <row r="1301" spans="2:8">
      <c r="B1301" s="11" t="str">
        <f t="shared" si="81"/>
        <v/>
      </c>
      <c r="C1301" s="11" t="str">
        <f t="shared" si="80"/>
        <v/>
      </c>
      <c r="F1301" s="10" t="str">
        <v/>
      </c>
      <c r="G1301" t="e">
        <f t="shared" si="82"/>
        <v>#VALUE!</v>
      </c>
      <c r="H1301" s="13" t="e">
        <f t="shared" si="83"/>
        <v>#VALUE!</v>
      </c>
    </row>
    <row r="1302" spans="2:8">
      <c r="B1302" s="11" t="str">
        <f t="shared" si="81"/>
        <v/>
      </c>
      <c r="C1302" s="11" t="str">
        <f t="shared" si="80"/>
        <v/>
      </c>
      <c r="F1302" s="10" t="str">
        <v/>
      </c>
      <c r="G1302" t="e">
        <f t="shared" si="82"/>
        <v>#VALUE!</v>
      </c>
      <c r="H1302" s="13" t="e">
        <f t="shared" si="83"/>
        <v>#VALUE!</v>
      </c>
    </row>
    <row r="1303" spans="2:8">
      <c r="B1303" s="11" t="str">
        <f t="shared" si="81"/>
        <v/>
      </c>
      <c r="C1303" s="11" t="str">
        <f t="shared" si="80"/>
        <v/>
      </c>
      <c r="F1303" s="10" t="str">
        <v/>
      </c>
      <c r="G1303" t="e">
        <f t="shared" si="82"/>
        <v>#VALUE!</v>
      </c>
      <c r="H1303" s="13" t="e">
        <f t="shared" si="83"/>
        <v>#VALUE!</v>
      </c>
    </row>
    <row r="1304" spans="2:8">
      <c r="B1304" s="11" t="str">
        <f t="shared" si="81"/>
        <v/>
      </c>
      <c r="C1304" s="11" t="str">
        <f t="shared" si="80"/>
        <v/>
      </c>
      <c r="F1304" s="10" t="str">
        <v/>
      </c>
      <c r="G1304" t="e">
        <f t="shared" si="82"/>
        <v>#VALUE!</v>
      </c>
      <c r="H1304" s="13" t="e">
        <f t="shared" si="83"/>
        <v>#VALUE!</v>
      </c>
    </row>
    <row r="1305" spans="2:8">
      <c r="B1305" s="11" t="str">
        <f t="shared" si="81"/>
        <v/>
      </c>
      <c r="C1305" s="11" t="str">
        <f t="shared" si="80"/>
        <v/>
      </c>
      <c r="F1305" s="10" t="str">
        <v/>
      </c>
      <c r="G1305" t="e">
        <f t="shared" si="82"/>
        <v>#VALUE!</v>
      </c>
      <c r="H1305" s="13" t="e">
        <f t="shared" si="83"/>
        <v>#VALUE!</v>
      </c>
    </row>
    <row r="1306" spans="2:8">
      <c r="B1306" s="11" t="str">
        <f t="shared" si="81"/>
        <v/>
      </c>
      <c r="C1306" s="11" t="str">
        <f t="shared" si="80"/>
        <v/>
      </c>
      <c r="F1306" s="10" t="str">
        <v/>
      </c>
      <c r="G1306" t="e">
        <f t="shared" si="82"/>
        <v>#VALUE!</v>
      </c>
      <c r="H1306" s="13" t="e">
        <f t="shared" si="83"/>
        <v>#VALUE!</v>
      </c>
    </row>
    <row r="1307" spans="2:8">
      <c r="B1307" s="11" t="str">
        <f t="shared" si="81"/>
        <v/>
      </c>
      <c r="C1307" s="11" t="str">
        <f t="shared" si="80"/>
        <v/>
      </c>
      <c r="F1307" s="10" t="str">
        <v/>
      </c>
      <c r="G1307" t="e">
        <f t="shared" si="82"/>
        <v>#VALUE!</v>
      </c>
      <c r="H1307" s="13" t="e">
        <f t="shared" si="83"/>
        <v>#VALUE!</v>
      </c>
    </row>
    <row r="1308" spans="2:8">
      <c r="B1308" s="11" t="str">
        <f t="shared" si="81"/>
        <v/>
      </c>
      <c r="C1308" s="11" t="str">
        <f t="shared" si="80"/>
        <v/>
      </c>
      <c r="F1308" s="10" t="str">
        <v/>
      </c>
      <c r="G1308" t="e">
        <f t="shared" si="82"/>
        <v>#VALUE!</v>
      </c>
      <c r="H1308" s="13" t="e">
        <f t="shared" si="83"/>
        <v>#VALUE!</v>
      </c>
    </row>
    <row r="1309" spans="2:8">
      <c r="B1309" s="11" t="str">
        <f t="shared" si="81"/>
        <v/>
      </c>
      <c r="C1309" s="11" t="str">
        <f t="shared" si="80"/>
        <v/>
      </c>
      <c r="F1309" s="10" t="str">
        <v/>
      </c>
      <c r="G1309" t="e">
        <f t="shared" si="82"/>
        <v>#VALUE!</v>
      </c>
      <c r="H1309" s="13" t="e">
        <f t="shared" si="83"/>
        <v>#VALUE!</v>
      </c>
    </row>
    <row r="1310" spans="2:8">
      <c r="B1310" s="11" t="str">
        <f t="shared" si="81"/>
        <v/>
      </c>
      <c r="C1310" s="11" t="str">
        <f t="shared" si="80"/>
        <v/>
      </c>
      <c r="F1310" s="10" t="str">
        <v/>
      </c>
      <c r="G1310" t="e">
        <f t="shared" si="82"/>
        <v>#VALUE!</v>
      </c>
      <c r="H1310" s="13" t="e">
        <f t="shared" si="83"/>
        <v>#VALUE!</v>
      </c>
    </row>
    <row r="1311" spans="2:8">
      <c r="B1311" s="11" t="str">
        <f t="shared" si="81"/>
        <v/>
      </c>
      <c r="C1311" s="11" t="str">
        <f t="shared" si="80"/>
        <v/>
      </c>
      <c r="F1311" s="10" t="str">
        <v/>
      </c>
      <c r="G1311" t="e">
        <f t="shared" si="82"/>
        <v>#VALUE!</v>
      </c>
      <c r="H1311" s="13" t="e">
        <f t="shared" si="83"/>
        <v>#VALUE!</v>
      </c>
    </row>
    <row r="1312" spans="2:8">
      <c r="B1312" s="11" t="str">
        <f t="shared" si="81"/>
        <v/>
      </c>
      <c r="C1312" s="11" t="str">
        <f t="shared" si="80"/>
        <v/>
      </c>
      <c r="F1312" s="10" t="str">
        <v/>
      </c>
      <c r="G1312" t="e">
        <f t="shared" si="82"/>
        <v>#VALUE!</v>
      </c>
      <c r="H1312" s="13" t="e">
        <f t="shared" si="83"/>
        <v>#VALUE!</v>
      </c>
    </row>
    <row r="1313" spans="2:8">
      <c r="B1313" s="11" t="str">
        <f t="shared" si="81"/>
        <v/>
      </c>
      <c r="C1313" s="11" t="str">
        <f t="shared" si="80"/>
        <v/>
      </c>
      <c r="F1313" s="10" t="str">
        <v/>
      </c>
      <c r="G1313" t="e">
        <f t="shared" si="82"/>
        <v>#VALUE!</v>
      </c>
      <c r="H1313" s="13" t="e">
        <f t="shared" si="83"/>
        <v>#VALUE!</v>
      </c>
    </row>
    <row r="1314" spans="2:8">
      <c r="B1314" s="11" t="str">
        <f t="shared" si="81"/>
        <v/>
      </c>
      <c r="C1314" s="11" t="str">
        <f t="shared" si="80"/>
        <v/>
      </c>
      <c r="F1314" s="10" t="str">
        <v/>
      </c>
      <c r="G1314" t="e">
        <f t="shared" si="82"/>
        <v>#VALUE!</v>
      </c>
      <c r="H1314" s="13" t="e">
        <f t="shared" si="83"/>
        <v>#VALUE!</v>
      </c>
    </row>
    <row r="1315" spans="2:8">
      <c r="B1315" s="11" t="str">
        <f t="shared" si="81"/>
        <v/>
      </c>
      <c r="C1315" s="11" t="str">
        <f t="shared" si="80"/>
        <v/>
      </c>
      <c r="F1315" s="10" t="str">
        <v/>
      </c>
      <c r="G1315" t="e">
        <f t="shared" si="82"/>
        <v>#VALUE!</v>
      </c>
      <c r="H1315" s="13" t="e">
        <f t="shared" si="83"/>
        <v>#VALUE!</v>
      </c>
    </row>
    <row r="1316" spans="2:8">
      <c r="B1316" s="11" t="str">
        <f t="shared" si="81"/>
        <v/>
      </c>
      <c r="C1316" s="11" t="str">
        <f t="shared" si="80"/>
        <v/>
      </c>
      <c r="F1316" s="10" t="str">
        <v/>
      </c>
      <c r="G1316" t="e">
        <f t="shared" si="82"/>
        <v>#VALUE!</v>
      </c>
      <c r="H1316" s="13" t="e">
        <f t="shared" si="83"/>
        <v>#VALUE!</v>
      </c>
    </row>
    <row r="1317" spans="2:8">
      <c r="B1317" s="11" t="str">
        <f t="shared" si="81"/>
        <v/>
      </c>
      <c r="C1317" s="11" t="str">
        <f t="shared" si="80"/>
        <v/>
      </c>
      <c r="F1317" s="10" t="str">
        <v/>
      </c>
      <c r="G1317" t="e">
        <f t="shared" si="82"/>
        <v>#VALUE!</v>
      </c>
      <c r="H1317" s="13" t="e">
        <f t="shared" si="83"/>
        <v>#VALUE!</v>
      </c>
    </row>
    <row r="1318" spans="2:8">
      <c r="B1318" s="11" t="str">
        <f t="shared" si="81"/>
        <v/>
      </c>
      <c r="C1318" s="11" t="str">
        <f t="shared" si="80"/>
        <v/>
      </c>
      <c r="F1318" s="10" t="str">
        <v/>
      </c>
      <c r="G1318" t="e">
        <f t="shared" si="82"/>
        <v>#VALUE!</v>
      </c>
      <c r="H1318" s="13" t="e">
        <f t="shared" si="83"/>
        <v>#VALUE!</v>
      </c>
    </row>
    <row r="1319" spans="2:8">
      <c r="B1319" s="11" t="str">
        <f t="shared" si="81"/>
        <v/>
      </c>
      <c r="C1319" s="11" t="str">
        <f t="shared" si="80"/>
        <v/>
      </c>
      <c r="F1319" s="10" t="str">
        <v/>
      </c>
      <c r="G1319" t="e">
        <f t="shared" si="82"/>
        <v>#VALUE!</v>
      </c>
      <c r="H1319" s="13" t="e">
        <f t="shared" si="83"/>
        <v>#VALUE!</v>
      </c>
    </row>
    <row r="1320" spans="2:8">
      <c r="B1320" s="11" t="str">
        <f t="shared" si="81"/>
        <v/>
      </c>
      <c r="C1320" s="11" t="str">
        <f t="shared" si="80"/>
        <v/>
      </c>
      <c r="F1320" s="10" t="str">
        <v/>
      </c>
      <c r="G1320" t="e">
        <f t="shared" si="82"/>
        <v>#VALUE!</v>
      </c>
      <c r="H1320" s="13" t="e">
        <f t="shared" si="83"/>
        <v>#VALUE!</v>
      </c>
    </row>
    <row r="1321" spans="2:8">
      <c r="B1321" s="11" t="str">
        <f t="shared" si="81"/>
        <v/>
      </c>
      <c r="C1321" s="11" t="str">
        <f t="shared" ref="C1321:C1384" si="84">IF(B1321="артикул",A1321,"")</f>
        <v/>
      </c>
      <c r="F1321" s="10" t="str">
        <v/>
      </c>
      <c r="G1321" t="e">
        <f t="shared" si="82"/>
        <v>#VALUE!</v>
      </c>
      <c r="H1321" s="13" t="e">
        <f t="shared" si="83"/>
        <v>#VALUE!</v>
      </c>
    </row>
    <row r="1322" spans="2:8">
      <c r="B1322" s="11" t="str">
        <f t="shared" si="81"/>
        <v/>
      </c>
      <c r="C1322" s="11" t="str">
        <f t="shared" si="84"/>
        <v/>
      </c>
      <c r="F1322" s="10" t="str">
        <v/>
      </c>
      <c r="G1322" t="e">
        <f t="shared" si="82"/>
        <v>#VALUE!</v>
      </c>
      <c r="H1322" s="13" t="e">
        <f t="shared" si="83"/>
        <v>#VALUE!</v>
      </c>
    </row>
    <row r="1323" spans="2:8">
      <c r="B1323" s="11" t="str">
        <f t="shared" si="81"/>
        <v/>
      </c>
      <c r="C1323" s="11" t="str">
        <f t="shared" si="84"/>
        <v/>
      </c>
      <c r="F1323" s="10" t="str">
        <v/>
      </c>
      <c r="G1323" t="e">
        <f t="shared" si="82"/>
        <v>#VALUE!</v>
      </c>
      <c r="H1323" s="13" t="e">
        <f t="shared" si="83"/>
        <v>#VALUE!</v>
      </c>
    </row>
    <row r="1324" spans="2:8">
      <c r="B1324" s="11" t="str">
        <f t="shared" si="81"/>
        <v/>
      </c>
      <c r="C1324" s="11" t="str">
        <f t="shared" si="84"/>
        <v/>
      </c>
      <c r="F1324" s="10" t="str">
        <v/>
      </c>
      <c r="G1324" t="e">
        <f t="shared" si="82"/>
        <v>#VALUE!</v>
      </c>
      <c r="H1324" s="13" t="e">
        <f t="shared" si="83"/>
        <v>#VALUE!</v>
      </c>
    </row>
    <row r="1325" spans="2:8">
      <c r="B1325" s="11" t="str">
        <f t="shared" si="81"/>
        <v/>
      </c>
      <c r="C1325" s="11" t="str">
        <f t="shared" si="84"/>
        <v/>
      </c>
      <c r="F1325" s="10" t="str">
        <v/>
      </c>
      <c r="G1325" t="e">
        <f t="shared" si="82"/>
        <v>#VALUE!</v>
      </c>
      <c r="H1325" s="13" t="e">
        <f t="shared" si="83"/>
        <v>#VALUE!</v>
      </c>
    </row>
    <row r="1326" spans="2:8">
      <c r="B1326" s="11" t="str">
        <f t="shared" si="81"/>
        <v/>
      </c>
      <c r="C1326" s="11" t="str">
        <f t="shared" si="84"/>
        <v/>
      </c>
      <c r="F1326" s="10" t="str">
        <v/>
      </c>
      <c r="G1326" t="e">
        <f t="shared" si="82"/>
        <v>#VALUE!</v>
      </c>
      <c r="H1326" s="13" t="e">
        <f t="shared" si="83"/>
        <v>#VALUE!</v>
      </c>
    </row>
    <row r="1327" spans="2:8">
      <c r="B1327" s="11" t="str">
        <f t="shared" si="81"/>
        <v/>
      </c>
      <c r="C1327" s="11" t="str">
        <f t="shared" si="84"/>
        <v/>
      </c>
      <c r="F1327" s="10" t="str">
        <v/>
      </c>
      <c r="G1327" t="e">
        <f t="shared" si="82"/>
        <v>#VALUE!</v>
      </c>
      <c r="H1327" s="13" t="e">
        <f t="shared" si="83"/>
        <v>#VALUE!</v>
      </c>
    </row>
    <row r="1328" spans="2:8">
      <c r="B1328" s="11" t="str">
        <f t="shared" si="81"/>
        <v/>
      </c>
      <c r="C1328" s="11" t="str">
        <f t="shared" si="84"/>
        <v/>
      </c>
      <c r="F1328" s="10" t="str">
        <v/>
      </c>
      <c r="G1328" t="e">
        <f t="shared" si="82"/>
        <v>#VALUE!</v>
      </c>
      <c r="H1328" s="13" t="e">
        <f t="shared" si="83"/>
        <v>#VALUE!</v>
      </c>
    </row>
    <row r="1329" spans="2:8">
      <c r="B1329" s="11" t="str">
        <f t="shared" si="81"/>
        <v/>
      </c>
      <c r="C1329" s="11" t="str">
        <f t="shared" si="84"/>
        <v/>
      </c>
      <c r="F1329" s="10" t="str">
        <v/>
      </c>
      <c r="G1329" t="e">
        <f t="shared" si="82"/>
        <v>#VALUE!</v>
      </c>
      <c r="H1329" s="13" t="e">
        <f t="shared" si="83"/>
        <v>#VALUE!</v>
      </c>
    </row>
    <row r="1330" spans="2:8">
      <c r="B1330" s="11" t="str">
        <f t="shared" si="81"/>
        <v/>
      </c>
      <c r="C1330" s="11" t="str">
        <f t="shared" si="84"/>
        <v/>
      </c>
      <c r="F1330" s="10" t="str">
        <v/>
      </c>
      <c r="G1330" t="e">
        <f t="shared" si="82"/>
        <v>#VALUE!</v>
      </c>
      <c r="H1330" s="13" t="e">
        <f t="shared" si="83"/>
        <v>#VALUE!</v>
      </c>
    </row>
    <row r="1331" spans="2:8">
      <c r="B1331" s="11" t="str">
        <f t="shared" si="81"/>
        <v/>
      </c>
      <c r="C1331" s="11" t="str">
        <f t="shared" si="84"/>
        <v/>
      </c>
      <c r="F1331" s="10" t="str">
        <v/>
      </c>
      <c r="G1331" t="e">
        <f t="shared" si="82"/>
        <v>#VALUE!</v>
      </c>
      <c r="H1331" s="13" t="e">
        <f t="shared" si="83"/>
        <v>#VALUE!</v>
      </c>
    </row>
    <row r="1332" spans="2:8">
      <c r="B1332" s="11" t="str">
        <f t="shared" si="81"/>
        <v/>
      </c>
      <c r="C1332" s="11" t="str">
        <f t="shared" si="84"/>
        <v/>
      </c>
      <c r="F1332" s="10" t="str">
        <v/>
      </c>
      <c r="G1332" t="e">
        <f t="shared" si="82"/>
        <v>#VALUE!</v>
      </c>
      <c r="H1332" s="13" t="e">
        <f t="shared" si="83"/>
        <v>#VALUE!</v>
      </c>
    </row>
    <row r="1333" spans="2:8">
      <c r="B1333" s="11" t="str">
        <f t="shared" si="81"/>
        <v/>
      </c>
      <c r="C1333" s="11" t="str">
        <f t="shared" si="84"/>
        <v/>
      </c>
      <c r="F1333" s="10" t="str">
        <v/>
      </c>
      <c r="G1333" t="e">
        <f t="shared" si="82"/>
        <v>#VALUE!</v>
      </c>
      <c r="H1333" s="13" t="e">
        <f t="shared" si="83"/>
        <v>#VALUE!</v>
      </c>
    </row>
    <row r="1334" spans="2:8">
      <c r="B1334" s="11" t="str">
        <f t="shared" si="81"/>
        <v/>
      </c>
      <c r="C1334" s="11" t="str">
        <f t="shared" si="84"/>
        <v/>
      </c>
      <c r="F1334" s="10" t="str">
        <v/>
      </c>
      <c r="G1334" t="e">
        <f t="shared" si="82"/>
        <v>#VALUE!</v>
      </c>
      <c r="H1334" s="13" t="e">
        <f t="shared" si="83"/>
        <v>#VALUE!</v>
      </c>
    </row>
    <row r="1335" spans="2:8">
      <c r="B1335" s="11" t="str">
        <f t="shared" si="81"/>
        <v/>
      </c>
      <c r="C1335" s="11" t="str">
        <f t="shared" si="84"/>
        <v/>
      </c>
      <c r="F1335" s="10" t="str">
        <v/>
      </c>
      <c r="G1335" t="e">
        <f t="shared" si="82"/>
        <v>#VALUE!</v>
      </c>
      <c r="H1335" s="13" t="e">
        <f t="shared" si="83"/>
        <v>#VALUE!</v>
      </c>
    </row>
    <row r="1336" spans="2:8">
      <c r="B1336" s="11" t="str">
        <f t="shared" si="81"/>
        <v/>
      </c>
      <c r="C1336" s="11" t="str">
        <f t="shared" si="84"/>
        <v/>
      </c>
      <c r="F1336" s="10" t="str">
        <v/>
      </c>
      <c r="G1336" t="e">
        <f t="shared" si="82"/>
        <v>#VALUE!</v>
      </c>
      <c r="H1336" s="13" t="e">
        <f t="shared" si="83"/>
        <v>#VALUE!</v>
      </c>
    </row>
    <row r="1337" spans="2:8">
      <c r="B1337" s="11" t="str">
        <f t="shared" si="81"/>
        <v/>
      </c>
      <c r="C1337" s="11" t="str">
        <f t="shared" si="84"/>
        <v/>
      </c>
      <c r="F1337" s="10" t="str">
        <v/>
      </c>
      <c r="G1337" t="e">
        <f t="shared" si="82"/>
        <v>#VALUE!</v>
      </c>
      <c r="H1337" s="13" t="e">
        <f t="shared" si="83"/>
        <v>#VALUE!</v>
      </c>
    </row>
    <row r="1338" spans="2:8">
      <c r="B1338" s="11" t="str">
        <f t="shared" si="81"/>
        <v/>
      </c>
      <c r="C1338" s="11" t="str">
        <f t="shared" si="84"/>
        <v/>
      </c>
      <c r="F1338" s="10" t="str">
        <v/>
      </c>
      <c r="G1338" t="e">
        <f t="shared" si="82"/>
        <v>#VALUE!</v>
      </c>
      <c r="H1338" s="13" t="e">
        <f t="shared" si="83"/>
        <v>#VALUE!</v>
      </c>
    </row>
    <row r="1339" spans="2:8">
      <c r="B1339" s="11" t="str">
        <f t="shared" si="81"/>
        <v/>
      </c>
      <c r="C1339" s="11" t="str">
        <f t="shared" si="84"/>
        <v/>
      </c>
      <c r="F1339" s="10" t="str">
        <v/>
      </c>
      <c r="G1339" t="e">
        <f t="shared" si="82"/>
        <v>#VALUE!</v>
      </c>
      <c r="H1339" s="13" t="e">
        <f t="shared" si="83"/>
        <v>#VALUE!</v>
      </c>
    </row>
    <row r="1340" spans="2:8">
      <c r="B1340" s="11" t="str">
        <f t="shared" si="81"/>
        <v/>
      </c>
      <c r="C1340" s="11" t="str">
        <f t="shared" si="84"/>
        <v/>
      </c>
      <c r="F1340" s="10" t="str">
        <v/>
      </c>
      <c r="G1340" t="e">
        <f t="shared" si="82"/>
        <v>#VALUE!</v>
      </c>
      <c r="H1340" s="13" t="e">
        <f t="shared" si="83"/>
        <v>#VALUE!</v>
      </c>
    </row>
    <row r="1341" spans="2:8">
      <c r="B1341" s="11" t="str">
        <f t="shared" si="81"/>
        <v/>
      </c>
      <c r="C1341" s="11" t="str">
        <f t="shared" si="84"/>
        <v/>
      </c>
      <c r="F1341" s="10" t="str">
        <v/>
      </c>
      <c r="G1341" t="e">
        <f t="shared" si="82"/>
        <v>#VALUE!</v>
      </c>
      <c r="H1341" s="13" t="e">
        <f t="shared" si="83"/>
        <v>#VALUE!</v>
      </c>
    </row>
    <row r="1342" spans="2:8">
      <c r="B1342" s="11" t="str">
        <f t="shared" si="81"/>
        <v/>
      </c>
      <c r="C1342" s="11" t="str">
        <f t="shared" si="84"/>
        <v/>
      </c>
      <c r="F1342" s="10" t="str">
        <v/>
      </c>
      <c r="G1342" t="e">
        <f t="shared" si="82"/>
        <v>#VALUE!</v>
      </c>
      <c r="H1342" s="13" t="e">
        <f t="shared" si="83"/>
        <v>#VALUE!</v>
      </c>
    </row>
    <row r="1343" spans="2:8">
      <c r="B1343" s="11" t="str">
        <f t="shared" si="81"/>
        <v/>
      </c>
      <c r="C1343" s="11" t="str">
        <f t="shared" si="84"/>
        <v/>
      </c>
      <c r="F1343" s="10" t="str">
        <v/>
      </c>
      <c r="G1343" t="e">
        <f t="shared" si="82"/>
        <v>#VALUE!</v>
      </c>
      <c r="H1343" s="13" t="e">
        <f t="shared" si="83"/>
        <v>#VALUE!</v>
      </c>
    </row>
    <row r="1344" spans="2:8">
      <c r="B1344" s="11" t="str">
        <f t="shared" si="81"/>
        <v/>
      </c>
      <c r="C1344" s="11" t="str">
        <f t="shared" si="84"/>
        <v/>
      </c>
      <c r="F1344" s="10" t="str">
        <v/>
      </c>
      <c r="G1344" t="e">
        <f t="shared" si="82"/>
        <v>#VALUE!</v>
      </c>
      <c r="H1344" s="13" t="e">
        <f t="shared" si="83"/>
        <v>#VALUE!</v>
      </c>
    </row>
    <row r="1345" spans="2:8">
      <c r="B1345" s="11" t="str">
        <f t="shared" ref="B1345:B1408" si="85">IFERROR(IF(FIND(" ",A1345)=6,IF(IFERROR(FIND(" PB",A1345),"")&lt;&gt;"","артикул",IF(IFERROR(FIND(" CRN",A1345),"")&lt;&gt;"","артикул","")),""),"")</f>
        <v/>
      </c>
      <c r="C1345" s="11" t="str">
        <f t="shared" si="84"/>
        <v/>
      </c>
      <c r="F1345" s="10" t="str">
        <v/>
      </c>
      <c r="G1345" t="e">
        <f t="shared" si="82"/>
        <v>#VALUE!</v>
      </c>
      <c r="H1345" s="13" t="e">
        <f t="shared" si="83"/>
        <v>#VALUE!</v>
      </c>
    </row>
    <row r="1346" spans="2:8">
      <c r="B1346" s="11" t="str">
        <f t="shared" si="85"/>
        <v/>
      </c>
      <c r="C1346" s="11" t="str">
        <f t="shared" si="84"/>
        <v/>
      </c>
      <c r="F1346" s="10" t="str">
        <v/>
      </c>
      <c r="G1346" t="e">
        <f t="shared" ref="G1346:G1409" si="86">CONCATENATE(LEFT(F1346,5),
MID(F1346,
SEARCH("\",SUBSTITUTE(F1346," ","\",LEN(F1346)-LEN(SUBSTITUTE(F1346," ",""))-4)),
SEARCH("\",SUBSTITUTE(F1346," ","\",LEN(F1346)-LEN(SUBSTITUTE(F1346," ",""))-3))-
SEARCH("\",SUBSTITUTE(F1346," ","\",LEN(F1346)-LEN(SUBSTITUTE(F1346," ",""))-4)))*1)</f>
        <v>#VALUE!</v>
      </c>
      <c r="H1346" s="13" t="e">
        <f t="shared" ref="H1346:H1409" si="87">SUBSTITUTE(
RIGHT(F1346,LEN(F1346)-
FIND("\",SUBSTITUTE(F1346," ","\",LEN(F1346)-LEN(SUBSTITUTE(F1346," ",""))))),
".","")</f>
        <v>#VALUE!</v>
      </c>
    </row>
    <row r="1347" spans="2:8">
      <c r="B1347" s="11" t="str">
        <f t="shared" si="85"/>
        <v/>
      </c>
      <c r="C1347" s="11" t="str">
        <f t="shared" si="84"/>
        <v/>
      </c>
      <c r="F1347" s="10" t="str">
        <v/>
      </c>
      <c r="G1347" t="e">
        <f t="shared" si="86"/>
        <v>#VALUE!</v>
      </c>
      <c r="H1347" s="13" t="e">
        <f t="shared" si="87"/>
        <v>#VALUE!</v>
      </c>
    </row>
    <row r="1348" spans="2:8">
      <c r="B1348" s="11" t="str">
        <f t="shared" si="85"/>
        <v/>
      </c>
      <c r="C1348" s="11" t="str">
        <f t="shared" si="84"/>
        <v/>
      </c>
      <c r="F1348" s="10" t="str">
        <v/>
      </c>
      <c r="G1348" t="e">
        <f t="shared" si="86"/>
        <v>#VALUE!</v>
      </c>
      <c r="H1348" s="13" t="e">
        <f t="shared" si="87"/>
        <v>#VALUE!</v>
      </c>
    </row>
    <row r="1349" spans="2:8">
      <c r="B1349" s="11" t="str">
        <f t="shared" si="85"/>
        <v/>
      </c>
      <c r="C1349" s="11" t="str">
        <f t="shared" si="84"/>
        <v/>
      </c>
      <c r="F1349" s="10" t="str">
        <v/>
      </c>
      <c r="G1349" t="e">
        <f t="shared" si="86"/>
        <v>#VALUE!</v>
      </c>
      <c r="H1349" s="13" t="e">
        <f t="shared" si="87"/>
        <v>#VALUE!</v>
      </c>
    </row>
    <row r="1350" spans="2:8">
      <c r="B1350" s="11" t="str">
        <f t="shared" si="85"/>
        <v/>
      </c>
      <c r="C1350" s="11" t="str">
        <f t="shared" si="84"/>
        <v/>
      </c>
      <c r="F1350" s="10" t="str">
        <v/>
      </c>
      <c r="G1350" t="e">
        <f t="shared" si="86"/>
        <v>#VALUE!</v>
      </c>
      <c r="H1350" s="13" t="e">
        <f t="shared" si="87"/>
        <v>#VALUE!</v>
      </c>
    </row>
    <row r="1351" spans="2:8">
      <c r="B1351" s="11" t="str">
        <f t="shared" si="85"/>
        <v/>
      </c>
      <c r="C1351" s="11" t="str">
        <f t="shared" si="84"/>
        <v/>
      </c>
      <c r="F1351" s="10" t="str">
        <v/>
      </c>
      <c r="G1351" t="e">
        <f t="shared" si="86"/>
        <v>#VALUE!</v>
      </c>
      <c r="H1351" s="13" t="e">
        <f t="shared" si="87"/>
        <v>#VALUE!</v>
      </c>
    </row>
    <row r="1352" spans="2:8">
      <c r="B1352" s="11" t="str">
        <f t="shared" si="85"/>
        <v/>
      </c>
      <c r="C1352" s="11" t="str">
        <f t="shared" si="84"/>
        <v/>
      </c>
      <c r="F1352" s="10" t="str">
        <v/>
      </c>
      <c r="G1352" t="e">
        <f t="shared" si="86"/>
        <v>#VALUE!</v>
      </c>
      <c r="H1352" s="13" t="e">
        <f t="shared" si="87"/>
        <v>#VALUE!</v>
      </c>
    </row>
    <row r="1353" spans="2:8">
      <c r="B1353" s="11" t="str">
        <f t="shared" si="85"/>
        <v/>
      </c>
      <c r="C1353" s="11" t="str">
        <f t="shared" si="84"/>
        <v/>
      </c>
      <c r="F1353" s="10" t="str">
        <v/>
      </c>
      <c r="G1353" t="e">
        <f t="shared" si="86"/>
        <v>#VALUE!</v>
      </c>
      <c r="H1353" s="13" t="e">
        <f t="shared" si="87"/>
        <v>#VALUE!</v>
      </c>
    </row>
    <row r="1354" spans="2:8">
      <c r="B1354" s="11" t="str">
        <f t="shared" si="85"/>
        <v/>
      </c>
      <c r="C1354" s="11" t="str">
        <f t="shared" si="84"/>
        <v/>
      </c>
      <c r="F1354" s="10" t="str">
        <v/>
      </c>
      <c r="G1354" t="e">
        <f t="shared" si="86"/>
        <v>#VALUE!</v>
      </c>
      <c r="H1354" s="13" t="e">
        <f t="shared" si="87"/>
        <v>#VALUE!</v>
      </c>
    </row>
    <row r="1355" spans="2:8">
      <c r="B1355" s="11" t="str">
        <f t="shared" si="85"/>
        <v/>
      </c>
      <c r="C1355" s="11" t="str">
        <f t="shared" si="84"/>
        <v/>
      </c>
      <c r="F1355" s="10" t="str">
        <v/>
      </c>
      <c r="G1355" t="e">
        <f t="shared" si="86"/>
        <v>#VALUE!</v>
      </c>
      <c r="H1355" s="13" t="e">
        <f t="shared" si="87"/>
        <v>#VALUE!</v>
      </c>
    </row>
    <row r="1356" spans="2:8">
      <c r="B1356" s="11" t="str">
        <f t="shared" si="85"/>
        <v/>
      </c>
      <c r="C1356" s="11" t="str">
        <f t="shared" si="84"/>
        <v/>
      </c>
      <c r="F1356" s="10" t="str">
        <v/>
      </c>
      <c r="G1356" t="e">
        <f t="shared" si="86"/>
        <v>#VALUE!</v>
      </c>
      <c r="H1356" s="13" t="e">
        <f t="shared" si="87"/>
        <v>#VALUE!</v>
      </c>
    </row>
    <row r="1357" spans="2:8">
      <c r="B1357" s="11" t="str">
        <f t="shared" si="85"/>
        <v/>
      </c>
      <c r="C1357" s="11" t="str">
        <f t="shared" si="84"/>
        <v/>
      </c>
      <c r="F1357" s="10" t="str">
        <v/>
      </c>
      <c r="G1357" t="e">
        <f t="shared" si="86"/>
        <v>#VALUE!</v>
      </c>
      <c r="H1357" s="13" t="e">
        <f t="shared" si="87"/>
        <v>#VALUE!</v>
      </c>
    </row>
    <row r="1358" spans="2:8">
      <c r="B1358" s="11" t="str">
        <f t="shared" si="85"/>
        <v/>
      </c>
      <c r="C1358" s="11" t="str">
        <f t="shared" si="84"/>
        <v/>
      </c>
      <c r="F1358" s="10" t="str">
        <v/>
      </c>
      <c r="G1358" t="e">
        <f t="shared" si="86"/>
        <v>#VALUE!</v>
      </c>
      <c r="H1358" s="13" t="e">
        <f t="shared" si="87"/>
        <v>#VALUE!</v>
      </c>
    </row>
    <row r="1359" spans="2:8">
      <c r="B1359" s="11" t="str">
        <f t="shared" si="85"/>
        <v/>
      </c>
      <c r="C1359" s="11" t="str">
        <f t="shared" si="84"/>
        <v/>
      </c>
      <c r="F1359" s="10" t="str">
        <v/>
      </c>
      <c r="G1359" t="e">
        <f t="shared" si="86"/>
        <v>#VALUE!</v>
      </c>
      <c r="H1359" s="13" t="e">
        <f t="shared" si="87"/>
        <v>#VALUE!</v>
      </c>
    </row>
    <row r="1360" spans="2:8">
      <c r="B1360" s="11" t="str">
        <f t="shared" si="85"/>
        <v/>
      </c>
      <c r="C1360" s="11" t="str">
        <f t="shared" si="84"/>
        <v/>
      </c>
      <c r="F1360" s="10" t="str">
        <v/>
      </c>
      <c r="G1360" t="e">
        <f t="shared" si="86"/>
        <v>#VALUE!</v>
      </c>
      <c r="H1360" s="13" t="e">
        <f t="shared" si="87"/>
        <v>#VALUE!</v>
      </c>
    </row>
    <row r="1361" spans="2:8">
      <c r="B1361" s="11" t="str">
        <f t="shared" si="85"/>
        <v/>
      </c>
      <c r="C1361" s="11" t="str">
        <f t="shared" si="84"/>
        <v/>
      </c>
      <c r="F1361" s="10" t="str">
        <v/>
      </c>
      <c r="G1361" t="e">
        <f t="shared" si="86"/>
        <v>#VALUE!</v>
      </c>
      <c r="H1361" s="13" t="e">
        <f t="shared" si="87"/>
        <v>#VALUE!</v>
      </c>
    </row>
    <row r="1362" spans="2:8">
      <c r="B1362" s="11" t="str">
        <f t="shared" si="85"/>
        <v/>
      </c>
      <c r="C1362" s="11" t="str">
        <f t="shared" si="84"/>
        <v/>
      </c>
      <c r="F1362" s="10" t="str">
        <v/>
      </c>
      <c r="G1362" t="e">
        <f t="shared" si="86"/>
        <v>#VALUE!</v>
      </c>
      <c r="H1362" s="13" t="e">
        <f t="shared" si="87"/>
        <v>#VALUE!</v>
      </c>
    </row>
    <row r="1363" spans="2:8">
      <c r="B1363" s="11" t="str">
        <f t="shared" si="85"/>
        <v/>
      </c>
      <c r="C1363" s="11" t="str">
        <f t="shared" si="84"/>
        <v/>
      </c>
      <c r="F1363" s="10" t="str">
        <v/>
      </c>
      <c r="G1363" t="e">
        <f t="shared" si="86"/>
        <v>#VALUE!</v>
      </c>
      <c r="H1363" s="13" t="e">
        <f t="shared" si="87"/>
        <v>#VALUE!</v>
      </c>
    </row>
    <row r="1364" spans="2:8">
      <c r="B1364" s="11" t="str">
        <f t="shared" si="85"/>
        <v/>
      </c>
      <c r="C1364" s="11" t="str">
        <f t="shared" si="84"/>
        <v/>
      </c>
      <c r="F1364" s="10" t="str">
        <v/>
      </c>
      <c r="G1364" t="e">
        <f t="shared" si="86"/>
        <v>#VALUE!</v>
      </c>
      <c r="H1364" s="13" t="e">
        <f t="shared" si="87"/>
        <v>#VALUE!</v>
      </c>
    </row>
    <row r="1365" spans="2:8">
      <c r="B1365" s="11" t="str">
        <f t="shared" si="85"/>
        <v/>
      </c>
      <c r="C1365" s="11" t="str">
        <f t="shared" si="84"/>
        <v/>
      </c>
      <c r="F1365" s="10" t="str">
        <v/>
      </c>
      <c r="G1365" t="e">
        <f t="shared" si="86"/>
        <v>#VALUE!</v>
      </c>
      <c r="H1365" s="13" t="e">
        <f t="shared" si="87"/>
        <v>#VALUE!</v>
      </c>
    </row>
    <row r="1366" spans="2:8">
      <c r="B1366" s="11" t="str">
        <f t="shared" si="85"/>
        <v/>
      </c>
      <c r="C1366" s="11" t="str">
        <f t="shared" si="84"/>
        <v/>
      </c>
      <c r="F1366" s="10" t="str">
        <v/>
      </c>
      <c r="G1366" t="e">
        <f t="shared" si="86"/>
        <v>#VALUE!</v>
      </c>
      <c r="H1366" s="13" t="e">
        <f t="shared" si="87"/>
        <v>#VALUE!</v>
      </c>
    </row>
    <row r="1367" spans="2:8">
      <c r="B1367" s="11" t="str">
        <f t="shared" si="85"/>
        <v/>
      </c>
      <c r="C1367" s="11" t="str">
        <f t="shared" si="84"/>
        <v/>
      </c>
      <c r="F1367" s="10" t="str">
        <v/>
      </c>
      <c r="G1367" t="e">
        <f t="shared" si="86"/>
        <v>#VALUE!</v>
      </c>
      <c r="H1367" s="13" t="e">
        <f t="shared" si="87"/>
        <v>#VALUE!</v>
      </c>
    </row>
    <row r="1368" spans="2:8">
      <c r="B1368" s="11" t="str">
        <f t="shared" si="85"/>
        <v/>
      </c>
      <c r="C1368" s="11" t="str">
        <f t="shared" si="84"/>
        <v/>
      </c>
      <c r="F1368" s="10" t="str">
        <v/>
      </c>
      <c r="G1368" t="e">
        <f t="shared" si="86"/>
        <v>#VALUE!</v>
      </c>
      <c r="H1368" s="13" t="e">
        <f t="shared" si="87"/>
        <v>#VALUE!</v>
      </c>
    </row>
    <row r="1369" spans="2:8">
      <c r="B1369" s="11" t="str">
        <f t="shared" si="85"/>
        <v/>
      </c>
      <c r="C1369" s="11" t="str">
        <f t="shared" si="84"/>
        <v/>
      </c>
      <c r="F1369" s="10" t="str">
        <v/>
      </c>
      <c r="G1369" t="e">
        <f t="shared" si="86"/>
        <v>#VALUE!</v>
      </c>
      <c r="H1369" s="13" t="e">
        <f t="shared" si="87"/>
        <v>#VALUE!</v>
      </c>
    </row>
    <row r="1370" spans="2:8">
      <c r="B1370" s="11" t="str">
        <f t="shared" si="85"/>
        <v/>
      </c>
      <c r="C1370" s="11" t="str">
        <f t="shared" si="84"/>
        <v/>
      </c>
      <c r="F1370" s="10" t="str">
        <v/>
      </c>
      <c r="G1370" t="e">
        <f t="shared" si="86"/>
        <v>#VALUE!</v>
      </c>
      <c r="H1370" s="13" t="e">
        <f t="shared" si="87"/>
        <v>#VALUE!</v>
      </c>
    </row>
    <row r="1371" spans="2:8">
      <c r="B1371" s="11" t="str">
        <f t="shared" si="85"/>
        <v/>
      </c>
      <c r="C1371" s="11" t="str">
        <f t="shared" si="84"/>
        <v/>
      </c>
      <c r="F1371" s="10" t="str">
        <v/>
      </c>
      <c r="G1371" t="e">
        <f t="shared" si="86"/>
        <v>#VALUE!</v>
      </c>
      <c r="H1371" s="13" t="e">
        <f t="shared" si="87"/>
        <v>#VALUE!</v>
      </c>
    </row>
    <row r="1372" spans="2:8">
      <c r="B1372" s="11" t="str">
        <f t="shared" si="85"/>
        <v/>
      </c>
      <c r="C1372" s="11" t="str">
        <f t="shared" si="84"/>
        <v/>
      </c>
      <c r="F1372" s="10" t="str">
        <v/>
      </c>
      <c r="G1372" t="e">
        <f t="shared" si="86"/>
        <v>#VALUE!</v>
      </c>
      <c r="H1372" s="13" t="e">
        <f t="shared" si="87"/>
        <v>#VALUE!</v>
      </c>
    </row>
    <row r="1373" spans="2:8">
      <c r="B1373" s="11" t="str">
        <f t="shared" si="85"/>
        <v/>
      </c>
      <c r="C1373" s="11" t="str">
        <f t="shared" si="84"/>
        <v/>
      </c>
      <c r="F1373" s="10" t="str">
        <v/>
      </c>
      <c r="G1373" t="e">
        <f t="shared" si="86"/>
        <v>#VALUE!</v>
      </c>
      <c r="H1373" s="13" t="e">
        <f t="shared" si="87"/>
        <v>#VALUE!</v>
      </c>
    </row>
    <row r="1374" spans="2:8">
      <c r="B1374" s="11" t="str">
        <f t="shared" si="85"/>
        <v/>
      </c>
      <c r="C1374" s="11" t="str">
        <f t="shared" si="84"/>
        <v/>
      </c>
      <c r="F1374" s="10" t="str">
        <v/>
      </c>
      <c r="G1374" t="e">
        <f t="shared" si="86"/>
        <v>#VALUE!</v>
      </c>
      <c r="H1374" s="13" t="e">
        <f t="shared" si="87"/>
        <v>#VALUE!</v>
      </c>
    </row>
    <row r="1375" spans="2:8">
      <c r="B1375" s="11" t="str">
        <f t="shared" si="85"/>
        <v/>
      </c>
      <c r="C1375" s="11" t="str">
        <f t="shared" si="84"/>
        <v/>
      </c>
      <c r="F1375" s="10" t="str">
        <v/>
      </c>
      <c r="G1375" t="e">
        <f t="shared" si="86"/>
        <v>#VALUE!</v>
      </c>
      <c r="H1375" s="13" t="e">
        <f t="shared" si="87"/>
        <v>#VALUE!</v>
      </c>
    </row>
    <row r="1376" spans="2:8">
      <c r="B1376" s="11" t="str">
        <f t="shared" si="85"/>
        <v/>
      </c>
      <c r="C1376" s="11" t="str">
        <f t="shared" si="84"/>
        <v/>
      </c>
      <c r="F1376" s="10" t="str">
        <v/>
      </c>
      <c r="G1376" t="e">
        <f t="shared" si="86"/>
        <v>#VALUE!</v>
      </c>
      <c r="H1376" s="13" t="e">
        <f t="shared" si="87"/>
        <v>#VALUE!</v>
      </c>
    </row>
    <row r="1377" spans="2:8">
      <c r="B1377" s="11" t="str">
        <f t="shared" si="85"/>
        <v/>
      </c>
      <c r="C1377" s="11" t="str">
        <f t="shared" si="84"/>
        <v/>
      </c>
      <c r="F1377" s="10" t="str">
        <v/>
      </c>
      <c r="G1377" t="e">
        <f t="shared" si="86"/>
        <v>#VALUE!</v>
      </c>
      <c r="H1377" s="13" t="e">
        <f t="shared" si="87"/>
        <v>#VALUE!</v>
      </c>
    </row>
    <row r="1378" spans="2:8">
      <c r="B1378" s="11" t="str">
        <f t="shared" si="85"/>
        <v/>
      </c>
      <c r="C1378" s="11" t="str">
        <f t="shared" si="84"/>
        <v/>
      </c>
      <c r="F1378" s="10" t="str">
        <v/>
      </c>
      <c r="G1378" t="e">
        <f t="shared" si="86"/>
        <v>#VALUE!</v>
      </c>
      <c r="H1378" s="13" t="e">
        <f t="shared" si="87"/>
        <v>#VALUE!</v>
      </c>
    </row>
    <row r="1379" spans="2:8">
      <c r="B1379" s="11" t="str">
        <f t="shared" si="85"/>
        <v/>
      </c>
      <c r="C1379" s="11" t="str">
        <f t="shared" si="84"/>
        <v/>
      </c>
      <c r="F1379" s="10" t="str">
        <v/>
      </c>
      <c r="G1379" t="e">
        <f t="shared" si="86"/>
        <v>#VALUE!</v>
      </c>
      <c r="H1379" s="13" t="e">
        <f t="shared" si="87"/>
        <v>#VALUE!</v>
      </c>
    </row>
    <row r="1380" spans="2:8">
      <c r="B1380" s="11" t="str">
        <f t="shared" si="85"/>
        <v/>
      </c>
      <c r="C1380" s="11" t="str">
        <f t="shared" si="84"/>
        <v/>
      </c>
      <c r="F1380" s="10" t="str">
        <v/>
      </c>
      <c r="G1380" t="e">
        <f t="shared" si="86"/>
        <v>#VALUE!</v>
      </c>
      <c r="H1380" s="13" t="e">
        <f t="shared" si="87"/>
        <v>#VALUE!</v>
      </c>
    </row>
    <row r="1381" spans="2:8">
      <c r="B1381" s="11" t="str">
        <f t="shared" si="85"/>
        <v/>
      </c>
      <c r="C1381" s="11" t="str">
        <f t="shared" si="84"/>
        <v/>
      </c>
      <c r="F1381" s="10" t="str">
        <v/>
      </c>
      <c r="G1381" t="e">
        <f t="shared" si="86"/>
        <v>#VALUE!</v>
      </c>
      <c r="H1381" s="13" t="e">
        <f t="shared" si="87"/>
        <v>#VALUE!</v>
      </c>
    </row>
    <row r="1382" spans="2:8">
      <c r="B1382" s="11" t="str">
        <f t="shared" si="85"/>
        <v/>
      </c>
      <c r="C1382" s="11" t="str">
        <f t="shared" si="84"/>
        <v/>
      </c>
      <c r="F1382" s="10" t="str">
        <v/>
      </c>
      <c r="G1382" t="e">
        <f t="shared" si="86"/>
        <v>#VALUE!</v>
      </c>
      <c r="H1382" s="13" t="e">
        <f t="shared" si="87"/>
        <v>#VALUE!</v>
      </c>
    </row>
    <row r="1383" spans="2:8">
      <c r="B1383" s="11" t="str">
        <f t="shared" si="85"/>
        <v/>
      </c>
      <c r="C1383" s="11" t="str">
        <f t="shared" si="84"/>
        <v/>
      </c>
      <c r="F1383" s="10" t="str">
        <v/>
      </c>
      <c r="G1383" t="e">
        <f t="shared" si="86"/>
        <v>#VALUE!</v>
      </c>
      <c r="H1383" s="13" t="e">
        <f t="shared" si="87"/>
        <v>#VALUE!</v>
      </c>
    </row>
    <row r="1384" spans="2:8">
      <c r="B1384" s="11" t="str">
        <f t="shared" si="85"/>
        <v/>
      </c>
      <c r="C1384" s="11" t="str">
        <f t="shared" si="84"/>
        <v/>
      </c>
      <c r="F1384" s="10" t="str">
        <v/>
      </c>
      <c r="G1384" t="e">
        <f t="shared" si="86"/>
        <v>#VALUE!</v>
      </c>
      <c r="H1384" s="13" t="e">
        <f t="shared" si="87"/>
        <v>#VALUE!</v>
      </c>
    </row>
    <row r="1385" spans="2:8">
      <c r="B1385" s="11" t="str">
        <f t="shared" si="85"/>
        <v/>
      </c>
      <c r="C1385" s="11" t="str">
        <f t="shared" ref="C1385:C1448" si="88">IF(B1385="артикул",A1385,"")</f>
        <v/>
      </c>
      <c r="F1385" s="10" t="str">
        <v/>
      </c>
      <c r="G1385" t="e">
        <f t="shared" si="86"/>
        <v>#VALUE!</v>
      </c>
      <c r="H1385" s="13" t="e">
        <f t="shared" si="87"/>
        <v>#VALUE!</v>
      </c>
    </row>
    <row r="1386" spans="2:8">
      <c r="B1386" s="11" t="str">
        <f t="shared" si="85"/>
        <v/>
      </c>
      <c r="C1386" s="11" t="str">
        <f t="shared" si="88"/>
        <v/>
      </c>
      <c r="F1386" s="10" t="str">
        <v/>
      </c>
      <c r="G1386" t="e">
        <f t="shared" si="86"/>
        <v>#VALUE!</v>
      </c>
      <c r="H1386" s="13" t="e">
        <f t="shared" si="87"/>
        <v>#VALUE!</v>
      </c>
    </row>
    <row r="1387" spans="2:8">
      <c r="B1387" s="11" t="str">
        <f t="shared" si="85"/>
        <v/>
      </c>
      <c r="C1387" s="11" t="str">
        <f t="shared" si="88"/>
        <v/>
      </c>
      <c r="F1387" s="10" t="str">
        <v/>
      </c>
      <c r="G1387" t="e">
        <f t="shared" si="86"/>
        <v>#VALUE!</v>
      </c>
      <c r="H1387" s="13" t="e">
        <f t="shared" si="87"/>
        <v>#VALUE!</v>
      </c>
    </row>
    <row r="1388" spans="2:8">
      <c r="B1388" s="11" t="str">
        <f t="shared" si="85"/>
        <v/>
      </c>
      <c r="C1388" s="11" t="str">
        <f t="shared" si="88"/>
        <v/>
      </c>
      <c r="F1388" s="10" t="str">
        <v/>
      </c>
      <c r="G1388" t="e">
        <f t="shared" si="86"/>
        <v>#VALUE!</v>
      </c>
      <c r="H1388" s="13" t="e">
        <f t="shared" si="87"/>
        <v>#VALUE!</v>
      </c>
    </row>
    <row r="1389" spans="2:8">
      <c r="B1389" s="11" t="str">
        <f t="shared" si="85"/>
        <v/>
      </c>
      <c r="C1389" s="11" t="str">
        <f t="shared" si="88"/>
        <v/>
      </c>
      <c r="F1389" s="10" t="str">
        <v/>
      </c>
      <c r="G1389" t="e">
        <f t="shared" si="86"/>
        <v>#VALUE!</v>
      </c>
      <c r="H1389" s="13" t="e">
        <f t="shared" si="87"/>
        <v>#VALUE!</v>
      </c>
    </row>
    <row r="1390" spans="2:8">
      <c r="B1390" s="11" t="str">
        <f t="shared" si="85"/>
        <v/>
      </c>
      <c r="C1390" s="11" t="str">
        <f t="shared" si="88"/>
        <v/>
      </c>
      <c r="F1390" s="10" t="str">
        <v/>
      </c>
      <c r="G1390" t="e">
        <f t="shared" si="86"/>
        <v>#VALUE!</v>
      </c>
      <c r="H1390" s="13" t="e">
        <f t="shared" si="87"/>
        <v>#VALUE!</v>
      </c>
    </row>
    <row r="1391" spans="2:8">
      <c r="B1391" s="11" t="str">
        <f t="shared" si="85"/>
        <v/>
      </c>
      <c r="C1391" s="11" t="str">
        <f t="shared" si="88"/>
        <v/>
      </c>
      <c r="F1391" s="10" t="str">
        <v/>
      </c>
      <c r="G1391" t="e">
        <f t="shared" si="86"/>
        <v>#VALUE!</v>
      </c>
      <c r="H1391" s="13" t="e">
        <f t="shared" si="87"/>
        <v>#VALUE!</v>
      </c>
    </row>
    <row r="1392" spans="2:8">
      <c r="B1392" s="11" t="str">
        <f t="shared" si="85"/>
        <v/>
      </c>
      <c r="C1392" s="11" t="str">
        <f t="shared" si="88"/>
        <v/>
      </c>
      <c r="F1392" s="10" t="str">
        <v/>
      </c>
      <c r="G1392" t="e">
        <f t="shared" si="86"/>
        <v>#VALUE!</v>
      </c>
      <c r="H1392" s="13" t="e">
        <f t="shared" si="87"/>
        <v>#VALUE!</v>
      </c>
    </row>
    <row r="1393" spans="2:8">
      <c r="B1393" s="11" t="str">
        <f t="shared" si="85"/>
        <v/>
      </c>
      <c r="C1393" s="11" t="str">
        <f t="shared" si="88"/>
        <v/>
      </c>
      <c r="F1393" s="10" t="str">
        <v/>
      </c>
      <c r="G1393" t="e">
        <f t="shared" si="86"/>
        <v>#VALUE!</v>
      </c>
      <c r="H1393" s="13" t="e">
        <f t="shared" si="87"/>
        <v>#VALUE!</v>
      </c>
    </row>
    <row r="1394" spans="2:8">
      <c r="B1394" s="11" t="str">
        <f t="shared" si="85"/>
        <v/>
      </c>
      <c r="C1394" s="11" t="str">
        <f t="shared" si="88"/>
        <v/>
      </c>
      <c r="F1394" s="10" t="str">
        <v/>
      </c>
      <c r="G1394" t="e">
        <f t="shared" si="86"/>
        <v>#VALUE!</v>
      </c>
      <c r="H1394" s="13" t="e">
        <f t="shared" si="87"/>
        <v>#VALUE!</v>
      </c>
    </row>
    <row r="1395" spans="2:8">
      <c r="B1395" s="11" t="str">
        <f t="shared" si="85"/>
        <v/>
      </c>
      <c r="C1395" s="11" t="str">
        <f t="shared" si="88"/>
        <v/>
      </c>
      <c r="F1395" s="10" t="str">
        <v/>
      </c>
      <c r="G1395" t="e">
        <f t="shared" si="86"/>
        <v>#VALUE!</v>
      </c>
      <c r="H1395" s="13" t="e">
        <f t="shared" si="87"/>
        <v>#VALUE!</v>
      </c>
    </row>
    <row r="1396" spans="2:8">
      <c r="B1396" s="11" t="str">
        <f t="shared" si="85"/>
        <v/>
      </c>
      <c r="C1396" s="11" t="str">
        <f t="shared" si="88"/>
        <v/>
      </c>
      <c r="F1396" s="10" t="str">
        <v/>
      </c>
      <c r="G1396" t="e">
        <f t="shared" si="86"/>
        <v>#VALUE!</v>
      </c>
      <c r="H1396" s="13" t="e">
        <f t="shared" si="87"/>
        <v>#VALUE!</v>
      </c>
    </row>
    <row r="1397" spans="2:8">
      <c r="B1397" s="11" t="str">
        <f t="shared" si="85"/>
        <v/>
      </c>
      <c r="C1397" s="11" t="str">
        <f t="shared" si="88"/>
        <v/>
      </c>
      <c r="F1397" s="10" t="str">
        <v/>
      </c>
      <c r="G1397" t="e">
        <f t="shared" si="86"/>
        <v>#VALUE!</v>
      </c>
      <c r="H1397" s="13" t="e">
        <f t="shared" si="87"/>
        <v>#VALUE!</v>
      </c>
    </row>
    <row r="1398" spans="2:8">
      <c r="B1398" s="11" t="str">
        <f t="shared" si="85"/>
        <v/>
      </c>
      <c r="C1398" s="11" t="str">
        <f t="shared" si="88"/>
        <v/>
      </c>
      <c r="F1398" s="10" t="str">
        <v/>
      </c>
      <c r="G1398" t="e">
        <f t="shared" si="86"/>
        <v>#VALUE!</v>
      </c>
      <c r="H1398" s="13" t="e">
        <f t="shared" si="87"/>
        <v>#VALUE!</v>
      </c>
    </row>
    <row r="1399" spans="2:8">
      <c r="B1399" s="11" t="str">
        <f t="shared" si="85"/>
        <v/>
      </c>
      <c r="C1399" s="11" t="str">
        <f t="shared" si="88"/>
        <v/>
      </c>
      <c r="F1399" s="10" t="str">
        <v/>
      </c>
      <c r="G1399" t="e">
        <f t="shared" si="86"/>
        <v>#VALUE!</v>
      </c>
      <c r="H1399" s="13" t="e">
        <f t="shared" si="87"/>
        <v>#VALUE!</v>
      </c>
    </row>
    <row r="1400" spans="2:8">
      <c r="B1400" s="11" t="str">
        <f t="shared" si="85"/>
        <v/>
      </c>
      <c r="C1400" s="11" t="str">
        <f t="shared" si="88"/>
        <v/>
      </c>
      <c r="F1400" s="10" t="str">
        <v/>
      </c>
      <c r="G1400" t="e">
        <f t="shared" si="86"/>
        <v>#VALUE!</v>
      </c>
      <c r="H1400" s="13" t="e">
        <f t="shared" si="87"/>
        <v>#VALUE!</v>
      </c>
    </row>
    <row r="1401" spans="2:8">
      <c r="B1401" s="11" t="str">
        <f t="shared" si="85"/>
        <v/>
      </c>
      <c r="C1401" s="11" t="str">
        <f t="shared" si="88"/>
        <v/>
      </c>
      <c r="F1401" s="10" t="str">
        <v/>
      </c>
      <c r="G1401" t="e">
        <f t="shared" si="86"/>
        <v>#VALUE!</v>
      </c>
      <c r="H1401" s="13" t="e">
        <f t="shared" si="87"/>
        <v>#VALUE!</v>
      </c>
    </row>
    <row r="1402" spans="2:8">
      <c r="B1402" s="11" t="str">
        <f t="shared" si="85"/>
        <v/>
      </c>
      <c r="C1402" s="11" t="str">
        <f t="shared" si="88"/>
        <v/>
      </c>
      <c r="F1402" s="10" t="str">
        <v/>
      </c>
      <c r="G1402" t="e">
        <f t="shared" si="86"/>
        <v>#VALUE!</v>
      </c>
      <c r="H1402" s="13" t="e">
        <f t="shared" si="87"/>
        <v>#VALUE!</v>
      </c>
    </row>
    <row r="1403" spans="2:8">
      <c r="B1403" s="11" t="str">
        <f t="shared" si="85"/>
        <v/>
      </c>
      <c r="C1403" s="11" t="str">
        <f t="shared" si="88"/>
        <v/>
      </c>
      <c r="F1403" s="10" t="str">
        <v/>
      </c>
      <c r="G1403" t="e">
        <f t="shared" si="86"/>
        <v>#VALUE!</v>
      </c>
      <c r="H1403" s="13" t="e">
        <f t="shared" si="87"/>
        <v>#VALUE!</v>
      </c>
    </row>
    <row r="1404" spans="2:8">
      <c r="B1404" s="11" t="str">
        <f t="shared" si="85"/>
        <v/>
      </c>
      <c r="C1404" s="11" t="str">
        <f t="shared" si="88"/>
        <v/>
      </c>
      <c r="F1404" s="10" t="str">
        <v/>
      </c>
      <c r="G1404" t="e">
        <f t="shared" si="86"/>
        <v>#VALUE!</v>
      </c>
      <c r="H1404" s="13" t="e">
        <f t="shared" si="87"/>
        <v>#VALUE!</v>
      </c>
    </row>
    <row r="1405" spans="2:8">
      <c r="B1405" s="11" t="str">
        <f t="shared" si="85"/>
        <v/>
      </c>
      <c r="C1405" s="11" t="str">
        <f t="shared" si="88"/>
        <v/>
      </c>
      <c r="F1405" s="10" t="str">
        <v/>
      </c>
      <c r="G1405" t="e">
        <f t="shared" si="86"/>
        <v>#VALUE!</v>
      </c>
      <c r="H1405" s="13" t="e">
        <f t="shared" si="87"/>
        <v>#VALUE!</v>
      </c>
    </row>
    <row r="1406" spans="2:8">
      <c r="B1406" s="11" t="str">
        <f t="shared" si="85"/>
        <v/>
      </c>
      <c r="C1406" s="11" t="str">
        <f t="shared" si="88"/>
        <v/>
      </c>
      <c r="F1406" s="10" t="str">
        <v/>
      </c>
      <c r="G1406" t="e">
        <f t="shared" si="86"/>
        <v>#VALUE!</v>
      </c>
      <c r="H1406" s="13" t="e">
        <f t="shared" si="87"/>
        <v>#VALUE!</v>
      </c>
    </row>
    <row r="1407" spans="2:8">
      <c r="B1407" s="11" t="str">
        <f t="shared" si="85"/>
        <v/>
      </c>
      <c r="C1407" s="11" t="str">
        <f t="shared" si="88"/>
        <v/>
      </c>
      <c r="F1407" s="10" t="str">
        <v/>
      </c>
      <c r="G1407" t="e">
        <f t="shared" si="86"/>
        <v>#VALUE!</v>
      </c>
      <c r="H1407" s="13" t="e">
        <f t="shared" si="87"/>
        <v>#VALUE!</v>
      </c>
    </row>
    <row r="1408" spans="2:8">
      <c r="B1408" s="11" t="str">
        <f t="shared" si="85"/>
        <v/>
      </c>
      <c r="C1408" s="11" t="str">
        <f t="shared" si="88"/>
        <v/>
      </c>
      <c r="F1408" s="10" t="str">
        <v/>
      </c>
      <c r="G1408" t="e">
        <f t="shared" si="86"/>
        <v>#VALUE!</v>
      </c>
      <c r="H1408" s="13" t="e">
        <f t="shared" si="87"/>
        <v>#VALUE!</v>
      </c>
    </row>
    <row r="1409" spans="2:8">
      <c r="B1409" s="11" t="str">
        <f t="shared" ref="B1409:B1472" si="89">IFERROR(IF(FIND(" ",A1409)=6,IF(IFERROR(FIND(" PB",A1409),"")&lt;&gt;"","артикул",IF(IFERROR(FIND(" CRN",A1409),"")&lt;&gt;"","артикул","")),""),"")</f>
        <v/>
      </c>
      <c r="C1409" s="11" t="str">
        <f t="shared" si="88"/>
        <v/>
      </c>
      <c r="F1409" s="10" t="str">
        <v/>
      </c>
      <c r="G1409" t="e">
        <f t="shared" si="86"/>
        <v>#VALUE!</v>
      </c>
      <c r="H1409" s="13" t="e">
        <f t="shared" si="87"/>
        <v>#VALUE!</v>
      </c>
    </row>
    <row r="1410" spans="2:8">
      <c r="B1410" s="11" t="str">
        <f t="shared" si="89"/>
        <v/>
      </c>
      <c r="C1410" s="11" t="str">
        <f t="shared" si="88"/>
        <v/>
      </c>
      <c r="F1410" s="10" t="str">
        <v/>
      </c>
      <c r="G1410" t="e">
        <f t="shared" ref="G1410:G1473" si="90">CONCATENATE(LEFT(F1410,5),
MID(F1410,
SEARCH("\",SUBSTITUTE(F1410," ","\",LEN(F1410)-LEN(SUBSTITUTE(F1410," ",""))-4)),
SEARCH("\",SUBSTITUTE(F1410," ","\",LEN(F1410)-LEN(SUBSTITUTE(F1410," ",""))-3))-
SEARCH("\",SUBSTITUTE(F1410," ","\",LEN(F1410)-LEN(SUBSTITUTE(F1410," ",""))-4)))*1)</f>
        <v>#VALUE!</v>
      </c>
      <c r="H1410" s="13" t="e">
        <f t="shared" ref="H1410:H1473" si="91">SUBSTITUTE(
RIGHT(F1410,LEN(F1410)-
FIND("\",SUBSTITUTE(F1410," ","\",LEN(F1410)-LEN(SUBSTITUTE(F1410," ",""))))),
".","")</f>
        <v>#VALUE!</v>
      </c>
    </row>
    <row r="1411" spans="2:8">
      <c r="B1411" s="11" t="str">
        <f t="shared" si="89"/>
        <v/>
      </c>
      <c r="C1411" s="11" t="str">
        <f t="shared" si="88"/>
        <v/>
      </c>
      <c r="F1411" s="10" t="str">
        <v/>
      </c>
      <c r="G1411" t="e">
        <f t="shared" si="90"/>
        <v>#VALUE!</v>
      </c>
      <c r="H1411" s="13" t="e">
        <f t="shared" si="91"/>
        <v>#VALUE!</v>
      </c>
    </row>
    <row r="1412" spans="2:8">
      <c r="B1412" s="11" t="str">
        <f t="shared" si="89"/>
        <v/>
      </c>
      <c r="C1412" s="11" t="str">
        <f t="shared" si="88"/>
        <v/>
      </c>
      <c r="F1412" s="10" t="str">
        <v/>
      </c>
      <c r="G1412" t="e">
        <f t="shared" si="90"/>
        <v>#VALUE!</v>
      </c>
      <c r="H1412" s="13" t="e">
        <f t="shared" si="91"/>
        <v>#VALUE!</v>
      </c>
    </row>
    <row r="1413" spans="2:8">
      <c r="B1413" s="11" t="str">
        <f t="shared" si="89"/>
        <v/>
      </c>
      <c r="C1413" s="11" t="str">
        <f t="shared" si="88"/>
        <v/>
      </c>
      <c r="F1413" s="10" t="str">
        <v/>
      </c>
      <c r="G1413" t="e">
        <f t="shared" si="90"/>
        <v>#VALUE!</v>
      </c>
      <c r="H1413" s="13" t="e">
        <f t="shared" si="91"/>
        <v>#VALUE!</v>
      </c>
    </row>
    <row r="1414" spans="2:8">
      <c r="B1414" s="11" t="str">
        <f t="shared" si="89"/>
        <v/>
      </c>
      <c r="C1414" s="11" t="str">
        <f t="shared" si="88"/>
        <v/>
      </c>
      <c r="F1414" s="10" t="str">
        <v/>
      </c>
      <c r="G1414" t="e">
        <f t="shared" si="90"/>
        <v>#VALUE!</v>
      </c>
      <c r="H1414" s="13" t="e">
        <f t="shared" si="91"/>
        <v>#VALUE!</v>
      </c>
    </row>
    <row r="1415" spans="2:8">
      <c r="B1415" s="11" t="str">
        <f t="shared" si="89"/>
        <v/>
      </c>
      <c r="C1415" s="11" t="str">
        <f t="shared" si="88"/>
        <v/>
      </c>
      <c r="F1415" s="10" t="str">
        <v/>
      </c>
      <c r="G1415" t="e">
        <f t="shared" si="90"/>
        <v>#VALUE!</v>
      </c>
      <c r="H1415" s="13" t="e">
        <f t="shared" si="91"/>
        <v>#VALUE!</v>
      </c>
    </row>
    <row r="1416" spans="2:8">
      <c r="B1416" s="11" t="str">
        <f t="shared" si="89"/>
        <v/>
      </c>
      <c r="C1416" s="11" t="str">
        <f t="shared" si="88"/>
        <v/>
      </c>
      <c r="F1416" s="10" t="str">
        <v/>
      </c>
      <c r="G1416" t="e">
        <f t="shared" si="90"/>
        <v>#VALUE!</v>
      </c>
      <c r="H1416" s="13" t="e">
        <f t="shared" si="91"/>
        <v>#VALUE!</v>
      </c>
    </row>
    <row r="1417" spans="2:8">
      <c r="B1417" s="11" t="str">
        <f t="shared" si="89"/>
        <v/>
      </c>
      <c r="C1417" s="11" t="str">
        <f t="shared" si="88"/>
        <v/>
      </c>
      <c r="F1417" s="10" t="str">
        <v/>
      </c>
      <c r="G1417" t="e">
        <f t="shared" si="90"/>
        <v>#VALUE!</v>
      </c>
      <c r="H1417" s="13" t="e">
        <f t="shared" si="91"/>
        <v>#VALUE!</v>
      </c>
    </row>
    <row r="1418" spans="2:8">
      <c r="B1418" s="11" t="str">
        <f t="shared" si="89"/>
        <v/>
      </c>
      <c r="C1418" s="11" t="str">
        <f t="shared" si="88"/>
        <v/>
      </c>
      <c r="F1418" s="10" t="str">
        <v/>
      </c>
      <c r="G1418" t="e">
        <f t="shared" si="90"/>
        <v>#VALUE!</v>
      </c>
      <c r="H1418" s="13" t="e">
        <f t="shared" si="91"/>
        <v>#VALUE!</v>
      </c>
    </row>
    <row r="1419" spans="2:8">
      <c r="B1419" s="11" t="str">
        <f t="shared" si="89"/>
        <v/>
      </c>
      <c r="C1419" s="11" t="str">
        <f t="shared" si="88"/>
        <v/>
      </c>
      <c r="F1419" s="10" t="str">
        <v/>
      </c>
      <c r="G1419" t="e">
        <f t="shared" si="90"/>
        <v>#VALUE!</v>
      </c>
      <c r="H1419" s="13" t="e">
        <f t="shared" si="91"/>
        <v>#VALUE!</v>
      </c>
    </row>
    <row r="1420" spans="2:8">
      <c r="B1420" s="11" t="str">
        <f t="shared" si="89"/>
        <v/>
      </c>
      <c r="C1420" s="11" t="str">
        <f t="shared" si="88"/>
        <v/>
      </c>
      <c r="F1420" s="10" t="str">
        <v/>
      </c>
      <c r="G1420" t="e">
        <f t="shared" si="90"/>
        <v>#VALUE!</v>
      </c>
      <c r="H1420" s="13" t="e">
        <f t="shared" si="91"/>
        <v>#VALUE!</v>
      </c>
    </row>
    <row r="1421" spans="2:8">
      <c r="B1421" s="11" t="str">
        <f t="shared" si="89"/>
        <v/>
      </c>
      <c r="C1421" s="11" t="str">
        <f t="shared" si="88"/>
        <v/>
      </c>
      <c r="F1421" s="10" t="str">
        <v/>
      </c>
      <c r="G1421" t="e">
        <f t="shared" si="90"/>
        <v>#VALUE!</v>
      </c>
      <c r="H1421" s="13" t="e">
        <f t="shared" si="91"/>
        <v>#VALUE!</v>
      </c>
    </row>
    <row r="1422" spans="2:8">
      <c r="B1422" s="11" t="str">
        <f t="shared" si="89"/>
        <v/>
      </c>
      <c r="C1422" s="11" t="str">
        <f t="shared" si="88"/>
        <v/>
      </c>
      <c r="F1422" s="10" t="str">
        <v/>
      </c>
      <c r="G1422" t="e">
        <f t="shared" si="90"/>
        <v>#VALUE!</v>
      </c>
      <c r="H1422" s="13" t="e">
        <f t="shared" si="91"/>
        <v>#VALUE!</v>
      </c>
    </row>
    <row r="1423" spans="2:8">
      <c r="B1423" s="11" t="str">
        <f t="shared" si="89"/>
        <v/>
      </c>
      <c r="C1423" s="11" t="str">
        <f t="shared" si="88"/>
        <v/>
      </c>
      <c r="F1423" s="10" t="str">
        <v/>
      </c>
      <c r="G1423" t="e">
        <f t="shared" si="90"/>
        <v>#VALUE!</v>
      </c>
      <c r="H1423" s="13" t="e">
        <f t="shared" si="91"/>
        <v>#VALUE!</v>
      </c>
    </row>
    <row r="1424" spans="2:8">
      <c r="B1424" s="11" t="str">
        <f t="shared" si="89"/>
        <v/>
      </c>
      <c r="C1424" s="11" t="str">
        <f t="shared" si="88"/>
        <v/>
      </c>
      <c r="F1424" s="10" t="str">
        <v/>
      </c>
      <c r="G1424" t="e">
        <f t="shared" si="90"/>
        <v>#VALUE!</v>
      </c>
      <c r="H1424" s="13" t="e">
        <f t="shared" si="91"/>
        <v>#VALUE!</v>
      </c>
    </row>
    <row r="1425" spans="2:8">
      <c r="B1425" s="11" t="str">
        <f t="shared" si="89"/>
        <v/>
      </c>
      <c r="C1425" s="11" t="str">
        <f t="shared" si="88"/>
        <v/>
      </c>
      <c r="F1425" s="10" t="str">
        <v/>
      </c>
      <c r="G1425" t="e">
        <f t="shared" si="90"/>
        <v>#VALUE!</v>
      </c>
      <c r="H1425" s="13" t="e">
        <f t="shared" si="91"/>
        <v>#VALUE!</v>
      </c>
    </row>
    <row r="1426" spans="2:8">
      <c r="B1426" s="11" t="str">
        <f t="shared" si="89"/>
        <v/>
      </c>
      <c r="C1426" s="11" t="str">
        <f t="shared" si="88"/>
        <v/>
      </c>
      <c r="F1426" s="10" t="str">
        <v/>
      </c>
      <c r="G1426" t="e">
        <f t="shared" si="90"/>
        <v>#VALUE!</v>
      </c>
      <c r="H1426" s="13" t="e">
        <f t="shared" si="91"/>
        <v>#VALUE!</v>
      </c>
    </row>
    <row r="1427" spans="2:8">
      <c r="B1427" s="11" t="str">
        <f t="shared" si="89"/>
        <v/>
      </c>
      <c r="C1427" s="11" t="str">
        <f t="shared" si="88"/>
        <v/>
      </c>
      <c r="F1427" s="10" t="str">
        <v/>
      </c>
      <c r="G1427" t="e">
        <f t="shared" si="90"/>
        <v>#VALUE!</v>
      </c>
      <c r="H1427" s="13" t="e">
        <f t="shared" si="91"/>
        <v>#VALUE!</v>
      </c>
    </row>
    <row r="1428" spans="2:8">
      <c r="B1428" s="11" t="str">
        <f t="shared" si="89"/>
        <v/>
      </c>
      <c r="C1428" s="11" t="str">
        <f t="shared" si="88"/>
        <v/>
      </c>
      <c r="F1428" s="10" t="str">
        <v/>
      </c>
      <c r="G1428" t="e">
        <f t="shared" si="90"/>
        <v>#VALUE!</v>
      </c>
      <c r="H1428" s="13" t="e">
        <f t="shared" si="91"/>
        <v>#VALUE!</v>
      </c>
    </row>
    <row r="1429" spans="2:8">
      <c r="B1429" s="11" t="str">
        <f t="shared" si="89"/>
        <v/>
      </c>
      <c r="C1429" s="11" t="str">
        <f t="shared" si="88"/>
        <v/>
      </c>
      <c r="F1429" s="10" t="str">
        <v/>
      </c>
      <c r="G1429" t="e">
        <f t="shared" si="90"/>
        <v>#VALUE!</v>
      </c>
      <c r="H1429" s="13" t="e">
        <f t="shared" si="91"/>
        <v>#VALUE!</v>
      </c>
    </row>
    <row r="1430" spans="2:8">
      <c r="B1430" s="11" t="str">
        <f t="shared" si="89"/>
        <v/>
      </c>
      <c r="C1430" s="11" t="str">
        <f t="shared" si="88"/>
        <v/>
      </c>
      <c r="F1430" s="10" t="str">
        <v/>
      </c>
      <c r="G1430" t="e">
        <f t="shared" si="90"/>
        <v>#VALUE!</v>
      </c>
      <c r="H1430" s="13" t="e">
        <f t="shared" si="91"/>
        <v>#VALUE!</v>
      </c>
    </row>
    <row r="1431" spans="2:8">
      <c r="B1431" s="11" t="str">
        <f t="shared" si="89"/>
        <v/>
      </c>
      <c r="C1431" s="11" t="str">
        <f t="shared" si="88"/>
        <v/>
      </c>
      <c r="F1431" s="10" t="str">
        <v/>
      </c>
      <c r="G1431" t="e">
        <f t="shared" si="90"/>
        <v>#VALUE!</v>
      </c>
      <c r="H1431" s="13" t="e">
        <f t="shared" si="91"/>
        <v>#VALUE!</v>
      </c>
    </row>
    <row r="1432" spans="2:8">
      <c r="B1432" s="11" t="str">
        <f t="shared" si="89"/>
        <v/>
      </c>
      <c r="C1432" s="11" t="str">
        <f t="shared" si="88"/>
        <v/>
      </c>
      <c r="F1432" s="10" t="str">
        <v/>
      </c>
      <c r="G1432" t="e">
        <f t="shared" si="90"/>
        <v>#VALUE!</v>
      </c>
      <c r="H1432" s="13" t="e">
        <f t="shared" si="91"/>
        <v>#VALUE!</v>
      </c>
    </row>
    <row r="1433" spans="2:8">
      <c r="B1433" s="11" t="str">
        <f t="shared" si="89"/>
        <v/>
      </c>
      <c r="C1433" s="11" t="str">
        <f t="shared" si="88"/>
        <v/>
      </c>
      <c r="F1433" s="10" t="str">
        <v/>
      </c>
      <c r="G1433" t="e">
        <f t="shared" si="90"/>
        <v>#VALUE!</v>
      </c>
      <c r="H1433" s="13" t="e">
        <f t="shared" si="91"/>
        <v>#VALUE!</v>
      </c>
    </row>
    <row r="1434" spans="2:8">
      <c r="B1434" s="11" t="str">
        <f t="shared" si="89"/>
        <v/>
      </c>
      <c r="C1434" s="11" t="str">
        <f t="shared" si="88"/>
        <v/>
      </c>
      <c r="F1434" s="10" t="str">
        <v/>
      </c>
      <c r="G1434" t="e">
        <f t="shared" si="90"/>
        <v>#VALUE!</v>
      </c>
      <c r="H1434" s="13" t="e">
        <f t="shared" si="91"/>
        <v>#VALUE!</v>
      </c>
    </row>
    <row r="1435" spans="2:8">
      <c r="B1435" s="11" t="str">
        <f t="shared" si="89"/>
        <v/>
      </c>
      <c r="C1435" s="11" t="str">
        <f t="shared" si="88"/>
        <v/>
      </c>
      <c r="F1435" s="10" t="str">
        <v/>
      </c>
      <c r="G1435" t="e">
        <f t="shared" si="90"/>
        <v>#VALUE!</v>
      </c>
      <c r="H1435" s="13" t="e">
        <f t="shared" si="91"/>
        <v>#VALUE!</v>
      </c>
    </row>
    <row r="1436" spans="2:8">
      <c r="B1436" s="11" t="str">
        <f t="shared" si="89"/>
        <v/>
      </c>
      <c r="C1436" s="11" t="str">
        <f t="shared" si="88"/>
        <v/>
      </c>
      <c r="F1436" s="10" t="str">
        <v/>
      </c>
      <c r="G1436" t="e">
        <f t="shared" si="90"/>
        <v>#VALUE!</v>
      </c>
      <c r="H1436" s="13" t="e">
        <f t="shared" si="91"/>
        <v>#VALUE!</v>
      </c>
    </row>
    <row r="1437" spans="2:8">
      <c r="B1437" s="11" t="str">
        <f t="shared" si="89"/>
        <v/>
      </c>
      <c r="C1437" s="11" t="str">
        <f t="shared" si="88"/>
        <v/>
      </c>
      <c r="F1437" s="10" t="str">
        <v/>
      </c>
      <c r="G1437" t="e">
        <f t="shared" si="90"/>
        <v>#VALUE!</v>
      </c>
      <c r="H1437" s="13" t="e">
        <f t="shared" si="91"/>
        <v>#VALUE!</v>
      </c>
    </row>
    <row r="1438" spans="2:8">
      <c r="B1438" s="11" t="str">
        <f t="shared" si="89"/>
        <v/>
      </c>
      <c r="C1438" s="11" t="str">
        <f t="shared" si="88"/>
        <v/>
      </c>
      <c r="F1438" s="10" t="str">
        <v/>
      </c>
      <c r="G1438" t="e">
        <f t="shared" si="90"/>
        <v>#VALUE!</v>
      </c>
      <c r="H1438" s="13" t="e">
        <f t="shared" si="91"/>
        <v>#VALUE!</v>
      </c>
    </row>
    <row r="1439" spans="2:8">
      <c r="B1439" s="11" t="str">
        <f t="shared" si="89"/>
        <v/>
      </c>
      <c r="C1439" s="11" t="str">
        <f t="shared" si="88"/>
        <v/>
      </c>
      <c r="F1439" s="10" t="str">
        <v/>
      </c>
      <c r="G1439" t="e">
        <f t="shared" si="90"/>
        <v>#VALUE!</v>
      </c>
      <c r="H1439" s="13" t="e">
        <f t="shared" si="91"/>
        <v>#VALUE!</v>
      </c>
    </row>
    <row r="1440" spans="2:8">
      <c r="B1440" s="11" t="str">
        <f t="shared" si="89"/>
        <v/>
      </c>
      <c r="C1440" s="11" t="str">
        <f t="shared" si="88"/>
        <v/>
      </c>
      <c r="F1440" s="10" t="str">
        <v/>
      </c>
      <c r="G1440" t="e">
        <f t="shared" si="90"/>
        <v>#VALUE!</v>
      </c>
      <c r="H1440" s="13" t="e">
        <f t="shared" si="91"/>
        <v>#VALUE!</v>
      </c>
    </row>
    <row r="1441" spans="2:8">
      <c r="B1441" s="11" t="str">
        <f t="shared" si="89"/>
        <v/>
      </c>
      <c r="C1441" s="11" t="str">
        <f t="shared" si="88"/>
        <v/>
      </c>
      <c r="F1441" s="10" t="str">
        <v/>
      </c>
      <c r="G1441" t="e">
        <f t="shared" si="90"/>
        <v>#VALUE!</v>
      </c>
      <c r="H1441" s="13" t="e">
        <f t="shared" si="91"/>
        <v>#VALUE!</v>
      </c>
    </row>
    <row r="1442" spans="2:8">
      <c r="B1442" s="11" t="str">
        <f t="shared" si="89"/>
        <v/>
      </c>
      <c r="C1442" s="11" t="str">
        <f t="shared" si="88"/>
        <v/>
      </c>
      <c r="F1442" s="10" t="str">
        <v/>
      </c>
      <c r="G1442" t="e">
        <f t="shared" si="90"/>
        <v>#VALUE!</v>
      </c>
      <c r="H1442" s="13" t="e">
        <f t="shared" si="91"/>
        <v>#VALUE!</v>
      </c>
    </row>
    <row r="1443" spans="2:8">
      <c r="B1443" s="11" t="str">
        <f t="shared" si="89"/>
        <v/>
      </c>
      <c r="C1443" s="11" t="str">
        <f t="shared" si="88"/>
        <v/>
      </c>
      <c r="F1443" s="10" t="str">
        <v/>
      </c>
      <c r="G1443" t="e">
        <f t="shared" si="90"/>
        <v>#VALUE!</v>
      </c>
      <c r="H1443" s="13" t="e">
        <f t="shared" si="91"/>
        <v>#VALUE!</v>
      </c>
    </row>
    <row r="1444" spans="2:8">
      <c r="B1444" s="11" t="str">
        <f t="shared" si="89"/>
        <v/>
      </c>
      <c r="C1444" s="11" t="str">
        <f t="shared" si="88"/>
        <v/>
      </c>
      <c r="F1444" s="10" t="str">
        <v/>
      </c>
      <c r="G1444" t="e">
        <f t="shared" si="90"/>
        <v>#VALUE!</v>
      </c>
      <c r="H1444" s="13" t="e">
        <f t="shared" si="91"/>
        <v>#VALUE!</v>
      </c>
    </row>
    <row r="1445" spans="2:8">
      <c r="B1445" s="11" t="str">
        <f t="shared" si="89"/>
        <v/>
      </c>
      <c r="C1445" s="11" t="str">
        <f t="shared" si="88"/>
        <v/>
      </c>
      <c r="F1445" s="10" t="str">
        <v/>
      </c>
      <c r="G1445" t="e">
        <f t="shared" si="90"/>
        <v>#VALUE!</v>
      </c>
      <c r="H1445" s="13" t="e">
        <f t="shared" si="91"/>
        <v>#VALUE!</v>
      </c>
    </row>
    <row r="1446" spans="2:8">
      <c r="B1446" s="11" t="str">
        <f t="shared" si="89"/>
        <v/>
      </c>
      <c r="C1446" s="11" t="str">
        <f t="shared" si="88"/>
        <v/>
      </c>
      <c r="F1446" s="10" t="str">
        <v/>
      </c>
      <c r="G1446" t="e">
        <f t="shared" si="90"/>
        <v>#VALUE!</v>
      </c>
      <c r="H1446" s="13" t="e">
        <f t="shared" si="91"/>
        <v>#VALUE!</v>
      </c>
    </row>
    <row r="1447" spans="2:8">
      <c r="B1447" s="11" t="str">
        <f t="shared" si="89"/>
        <v/>
      </c>
      <c r="C1447" s="11" t="str">
        <f t="shared" si="88"/>
        <v/>
      </c>
      <c r="F1447" s="10" t="str">
        <v/>
      </c>
      <c r="G1447" t="e">
        <f t="shared" si="90"/>
        <v>#VALUE!</v>
      </c>
      <c r="H1447" s="13" t="e">
        <f t="shared" si="91"/>
        <v>#VALUE!</v>
      </c>
    </row>
    <row r="1448" spans="2:8">
      <c r="B1448" s="11" t="str">
        <f t="shared" si="89"/>
        <v/>
      </c>
      <c r="C1448" s="11" t="str">
        <f t="shared" si="88"/>
        <v/>
      </c>
      <c r="F1448" s="10" t="str">
        <v/>
      </c>
      <c r="G1448" t="e">
        <f t="shared" si="90"/>
        <v>#VALUE!</v>
      </c>
      <c r="H1448" s="13" t="e">
        <f t="shared" si="91"/>
        <v>#VALUE!</v>
      </c>
    </row>
    <row r="1449" spans="2:8">
      <c r="B1449" s="11" t="str">
        <f t="shared" si="89"/>
        <v/>
      </c>
      <c r="C1449" s="11" t="str">
        <f t="shared" ref="C1449:C1512" si="92">IF(B1449="артикул",A1449,"")</f>
        <v/>
      </c>
      <c r="F1449" s="10" t="str">
        <v/>
      </c>
      <c r="G1449" t="e">
        <f t="shared" si="90"/>
        <v>#VALUE!</v>
      </c>
      <c r="H1449" s="13" t="e">
        <f t="shared" si="91"/>
        <v>#VALUE!</v>
      </c>
    </row>
    <row r="1450" spans="2:8">
      <c r="B1450" s="11" t="str">
        <f t="shared" si="89"/>
        <v/>
      </c>
      <c r="C1450" s="11" t="str">
        <f t="shared" si="92"/>
        <v/>
      </c>
      <c r="F1450" s="10" t="str">
        <v/>
      </c>
      <c r="G1450" t="e">
        <f t="shared" si="90"/>
        <v>#VALUE!</v>
      </c>
      <c r="H1450" s="13" t="e">
        <f t="shared" si="91"/>
        <v>#VALUE!</v>
      </c>
    </row>
    <row r="1451" spans="2:8">
      <c r="B1451" s="11" t="str">
        <f t="shared" si="89"/>
        <v/>
      </c>
      <c r="C1451" s="11" t="str">
        <f t="shared" si="92"/>
        <v/>
      </c>
      <c r="F1451" s="10" t="str">
        <v/>
      </c>
      <c r="G1451" t="e">
        <f t="shared" si="90"/>
        <v>#VALUE!</v>
      </c>
      <c r="H1451" s="13" t="e">
        <f t="shared" si="91"/>
        <v>#VALUE!</v>
      </c>
    </row>
    <row r="1452" spans="2:8">
      <c r="B1452" s="11" t="str">
        <f t="shared" si="89"/>
        <v/>
      </c>
      <c r="C1452" s="11" t="str">
        <f t="shared" si="92"/>
        <v/>
      </c>
      <c r="F1452" s="10" t="str">
        <v/>
      </c>
      <c r="G1452" t="e">
        <f t="shared" si="90"/>
        <v>#VALUE!</v>
      </c>
      <c r="H1452" s="13" t="e">
        <f t="shared" si="91"/>
        <v>#VALUE!</v>
      </c>
    </row>
    <row r="1453" spans="2:8">
      <c r="B1453" s="11" t="str">
        <f t="shared" si="89"/>
        <v/>
      </c>
      <c r="C1453" s="11" t="str">
        <f t="shared" si="92"/>
        <v/>
      </c>
      <c r="F1453" s="10" t="str">
        <v/>
      </c>
      <c r="G1453" t="e">
        <f t="shared" si="90"/>
        <v>#VALUE!</v>
      </c>
      <c r="H1453" s="13" t="e">
        <f t="shared" si="91"/>
        <v>#VALUE!</v>
      </c>
    </row>
    <row r="1454" spans="2:8">
      <c r="B1454" s="11" t="str">
        <f t="shared" si="89"/>
        <v/>
      </c>
      <c r="C1454" s="11" t="str">
        <f t="shared" si="92"/>
        <v/>
      </c>
      <c r="F1454" s="10" t="str">
        <v/>
      </c>
      <c r="G1454" t="e">
        <f t="shared" si="90"/>
        <v>#VALUE!</v>
      </c>
      <c r="H1454" s="13" t="e">
        <f t="shared" si="91"/>
        <v>#VALUE!</v>
      </c>
    </row>
    <row r="1455" spans="2:8">
      <c r="B1455" s="11" t="str">
        <f t="shared" si="89"/>
        <v/>
      </c>
      <c r="C1455" s="11" t="str">
        <f t="shared" si="92"/>
        <v/>
      </c>
      <c r="F1455" s="10" t="str">
        <v/>
      </c>
      <c r="G1455" t="e">
        <f t="shared" si="90"/>
        <v>#VALUE!</v>
      </c>
      <c r="H1455" s="13" t="e">
        <f t="shared" si="91"/>
        <v>#VALUE!</v>
      </c>
    </row>
    <row r="1456" spans="2:8">
      <c r="B1456" s="11" t="str">
        <f t="shared" si="89"/>
        <v/>
      </c>
      <c r="C1456" s="11" t="str">
        <f t="shared" si="92"/>
        <v/>
      </c>
      <c r="F1456" s="10" t="str">
        <v/>
      </c>
      <c r="G1456" t="e">
        <f t="shared" si="90"/>
        <v>#VALUE!</v>
      </c>
      <c r="H1456" s="13" t="e">
        <f t="shared" si="91"/>
        <v>#VALUE!</v>
      </c>
    </row>
    <row r="1457" spans="2:8">
      <c r="B1457" s="11" t="str">
        <f t="shared" si="89"/>
        <v/>
      </c>
      <c r="C1457" s="11" t="str">
        <f t="shared" si="92"/>
        <v/>
      </c>
      <c r="F1457" s="10" t="str">
        <v/>
      </c>
      <c r="G1457" t="e">
        <f t="shared" si="90"/>
        <v>#VALUE!</v>
      </c>
      <c r="H1457" s="13" t="e">
        <f t="shared" si="91"/>
        <v>#VALUE!</v>
      </c>
    </row>
    <row r="1458" spans="2:8">
      <c r="B1458" s="11" t="str">
        <f t="shared" si="89"/>
        <v/>
      </c>
      <c r="C1458" s="11" t="str">
        <f t="shared" si="92"/>
        <v/>
      </c>
      <c r="F1458" s="10" t="str">
        <v/>
      </c>
      <c r="G1458" t="e">
        <f t="shared" si="90"/>
        <v>#VALUE!</v>
      </c>
      <c r="H1458" s="13" t="e">
        <f t="shared" si="91"/>
        <v>#VALUE!</v>
      </c>
    </row>
    <row r="1459" spans="2:8">
      <c r="B1459" s="11" t="str">
        <f t="shared" si="89"/>
        <v/>
      </c>
      <c r="C1459" s="11" t="str">
        <f t="shared" si="92"/>
        <v/>
      </c>
      <c r="F1459" s="10" t="str">
        <v/>
      </c>
      <c r="G1459" t="e">
        <f t="shared" si="90"/>
        <v>#VALUE!</v>
      </c>
      <c r="H1459" s="13" t="e">
        <f t="shared" si="91"/>
        <v>#VALUE!</v>
      </c>
    </row>
    <row r="1460" spans="2:8">
      <c r="B1460" s="11" t="str">
        <f t="shared" si="89"/>
        <v/>
      </c>
      <c r="C1460" s="11" t="str">
        <f t="shared" si="92"/>
        <v/>
      </c>
      <c r="F1460" s="10" t="str">
        <v/>
      </c>
      <c r="G1460" t="e">
        <f t="shared" si="90"/>
        <v>#VALUE!</v>
      </c>
      <c r="H1460" s="13" t="e">
        <f t="shared" si="91"/>
        <v>#VALUE!</v>
      </c>
    </row>
    <row r="1461" spans="2:8">
      <c r="B1461" s="11" t="str">
        <f t="shared" si="89"/>
        <v/>
      </c>
      <c r="C1461" s="11" t="str">
        <f t="shared" si="92"/>
        <v/>
      </c>
      <c r="F1461" s="10" t="str">
        <v/>
      </c>
      <c r="G1461" t="e">
        <f t="shared" si="90"/>
        <v>#VALUE!</v>
      </c>
      <c r="H1461" s="13" t="e">
        <f t="shared" si="91"/>
        <v>#VALUE!</v>
      </c>
    </row>
    <row r="1462" spans="2:8">
      <c r="B1462" s="11" t="str">
        <f t="shared" si="89"/>
        <v/>
      </c>
      <c r="C1462" s="11" t="str">
        <f t="shared" si="92"/>
        <v/>
      </c>
      <c r="F1462" s="10" t="str">
        <v/>
      </c>
      <c r="G1462" t="e">
        <f t="shared" si="90"/>
        <v>#VALUE!</v>
      </c>
      <c r="H1462" s="13" t="e">
        <f t="shared" si="91"/>
        <v>#VALUE!</v>
      </c>
    </row>
    <row r="1463" spans="2:8">
      <c r="B1463" s="11" t="str">
        <f t="shared" si="89"/>
        <v/>
      </c>
      <c r="C1463" s="11" t="str">
        <f t="shared" si="92"/>
        <v/>
      </c>
      <c r="F1463" s="10" t="str">
        <v/>
      </c>
      <c r="G1463" t="e">
        <f t="shared" si="90"/>
        <v>#VALUE!</v>
      </c>
      <c r="H1463" s="13" t="e">
        <f t="shared" si="91"/>
        <v>#VALUE!</v>
      </c>
    </row>
    <row r="1464" spans="2:8">
      <c r="B1464" s="11" t="str">
        <f t="shared" si="89"/>
        <v/>
      </c>
      <c r="C1464" s="11" t="str">
        <f t="shared" si="92"/>
        <v/>
      </c>
      <c r="F1464" s="10" t="str">
        <v/>
      </c>
      <c r="G1464" t="e">
        <f t="shared" si="90"/>
        <v>#VALUE!</v>
      </c>
      <c r="H1464" s="13" t="e">
        <f t="shared" si="91"/>
        <v>#VALUE!</v>
      </c>
    </row>
    <row r="1465" spans="2:8">
      <c r="B1465" s="11" t="str">
        <f t="shared" si="89"/>
        <v/>
      </c>
      <c r="C1465" s="11" t="str">
        <f t="shared" si="92"/>
        <v/>
      </c>
      <c r="F1465" s="10" t="str">
        <v/>
      </c>
      <c r="G1465" t="e">
        <f t="shared" si="90"/>
        <v>#VALUE!</v>
      </c>
      <c r="H1465" s="13" t="e">
        <f t="shared" si="91"/>
        <v>#VALUE!</v>
      </c>
    </row>
    <row r="1466" spans="2:8">
      <c r="B1466" s="11" t="str">
        <f t="shared" si="89"/>
        <v/>
      </c>
      <c r="C1466" s="11" t="str">
        <f t="shared" si="92"/>
        <v/>
      </c>
      <c r="F1466" s="10" t="str">
        <v/>
      </c>
      <c r="G1466" t="e">
        <f t="shared" si="90"/>
        <v>#VALUE!</v>
      </c>
      <c r="H1466" s="13" t="e">
        <f t="shared" si="91"/>
        <v>#VALUE!</v>
      </c>
    </row>
    <row r="1467" spans="2:8">
      <c r="B1467" s="11" t="str">
        <f t="shared" si="89"/>
        <v/>
      </c>
      <c r="C1467" s="11" t="str">
        <f t="shared" si="92"/>
        <v/>
      </c>
      <c r="F1467" s="10" t="str">
        <v/>
      </c>
      <c r="G1467" t="e">
        <f t="shared" si="90"/>
        <v>#VALUE!</v>
      </c>
      <c r="H1467" s="13" t="e">
        <f t="shared" si="91"/>
        <v>#VALUE!</v>
      </c>
    </row>
    <row r="1468" spans="2:8">
      <c r="B1468" s="11" t="str">
        <f t="shared" si="89"/>
        <v/>
      </c>
      <c r="C1468" s="11" t="str">
        <f t="shared" si="92"/>
        <v/>
      </c>
      <c r="F1468" s="10" t="str">
        <v/>
      </c>
      <c r="G1468" t="e">
        <f t="shared" si="90"/>
        <v>#VALUE!</v>
      </c>
      <c r="H1468" s="13" t="e">
        <f t="shared" si="91"/>
        <v>#VALUE!</v>
      </c>
    </row>
    <row r="1469" spans="2:8">
      <c r="B1469" s="11" t="str">
        <f t="shared" si="89"/>
        <v/>
      </c>
      <c r="C1469" s="11" t="str">
        <f t="shared" si="92"/>
        <v/>
      </c>
      <c r="F1469" s="10" t="str">
        <v/>
      </c>
      <c r="G1469" t="e">
        <f t="shared" si="90"/>
        <v>#VALUE!</v>
      </c>
      <c r="H1469" s="13" t="e">
        <f t="shared" si="91"/>
        <v>#VALUE!</v>
      </c>
    </row>
    <row r="1470" spans="2:8">
      <c r="B1470" s="11" t="str">
        <f t="shared" si="89"/>
        <v/>
      </c>
      <c r="C1470" s="11" t="str">
        <f t="shared" si="92"/>
        <v/>
      </c>
      <c r="F1470" s="10" t="str">
        <v/>
      </c>
      <c r="G1470" t="e">
        <f t="shared" si="90"/>
        <v>#VALUE!</v>
      </c>
      <c r="H1470" s="13" t="e">
        <f t="shared" si="91"/>
        <v>#VALUE!</v>
      </c>
    </row>
    <row r="1471" spans="2:8">
      <c r="B1471" s="11" t="str">
        <f t="shared" si="89"/>
        <v/>
      </c>
      <c r="C1471" s="11" t="str">
        <f t="shared" si="92"/>
        <v/>
      </c>
      <c r="F1471" s="10" t="str">
        <v/>
      </c>
      <c r="G1471" t="e">
        <f t="shared" si="90"/>
        <v>#VALUE!</v>
      </c>
      <c r="H1471" s="13" t="e">
        <f t="shared" si="91"/>
        <v>#VALUE!</v>
      </c>
    </row>
    <row r="1472" spans="2:8">
      <c r="B1472" s="11" t="str">
        <f t="shared" si="89"/>
        <v/>
      </c>
      <c r="C1472" s="11" t="str">
        <f t="shared" si="92"/>
        <v/>
      </c>
      <c r="F1472" s="10" t="str">
        <v/>
      </c>
      <c r="G1472" t="e">
        <f t="shared" si="90"/>
        <v>#VALUE!</v>
      </c>
      <c r="H1472" s="13" t="e">
        <f t="shared" si="91"/>
        <v>#VALUE!</v>
      </c>
    </row>
    <row r="1473" spans="2:8">
      <c r="B1473" s="11" t="str">
        <f t="shared" ref="B1473:B1536" si="93">IFERROR(IF(FIND(" ",A1473)=6,IF(IFERROR(FIND(" PB",A1473),"")&lt;&gt;"","артикул",IF(IFERROR(FIND(" CRN",A1473),"")&lt;&gt;"","артикул","")),""),"")</f>
        <v/>
      </c>
      <c r="C1473" s="11" t="str">
        <f t="shared" si="92"/>
        <v/>
      </c>
      <c r="F1473" s="10" t="str">
        <v/>
      </c>
      <c r="G1473" t="e">
        <f t="shared" si="90"/>
        <v>#VALUE!</v>
      </c>
      <c r="H1473" s="13" t="e">
        <f t="shared" si="91"/>
        <v>#VALUE!</v>
      </c>
    </row>
    <row r="1474" spans="2:8">
      <c r="B1474" s="11" t="str">
        <f t="shared" si="93"/>
        <v/>
      </c>
      <c r="C1474" s="11" t="str">
        <f t="shared" si="92"/>
        <v/>
      </c>
      <c r="F1474" s="10" t="str">
        <v/>
      </c>
      <c r="G1474" t="e">
        <f t="shared" ref="G1474:G1537" si="94">CONCATENATE(LEFT(F1474,5),
MID(F1474,
SEARCH("\",SUBSTITUTE(F1474," ","\",LEN(F1474)-LEN(SUBSTITUTE(F1474," ",""))-4)),
SEARCH("\",SUBSTITUTE(F1474," ","\",LEN(F1474)-LEN(SUBSTITUTE(F1474," ",""))-3))-
SEARCH("\",SUBSTITUTE(F1474," ","\",LEN(F1474)-LEN(SUBSTITUTE(F1474," ",""))-4)))*1)</f>
        <v>#VALUE!</v>
      </c>
      <c r="H1474" s="13" t="e">
        <f t="shared" ref="H1474:H1537" si="95">SUBSTITUTE(
RIGHT(F1474,LEN(F1474)-
FIND("\",SUBSTITUTE(F1474," ","\",LEN(F1474)-LEN(SUBSTITUTE(F1474," ",""))))),
".","")</f>
        <v>#VALUE!</v>
      </c>
    </row>
    <row r="1475" spans="2:8">
      <c r="B1475" s="11" t="str">
        <f t="shared" si="93"/>
        <v/>
      </c>
      <c r="C1475" s="11" t="str">
        <f t="shared" si="92"/>
        <v/>
      </c>
      <c r="F1475" s="10" t="str">
        <v/>
      </c>
      <c r="G1475" t="e">
        <f t="shared" si="94"/>
        <v>#VALUE!</v>
      </c>
      <c r="H1475" s="13" t="e">
        <f t="shared" si="95"/>
        <v>#VALUE!</v>
      </c>
    </row>
    <row r="1476" spans="2:8">
      <c r="B1476" s="11" t="str">
        <f t="shared" si="93"/>
        <v/>
      </c>
      <c r="C1476" s="11" t="str">
        <f t="shared" si="92"/>
        <v/>
      </c>
      <c r="F1476" s="10" t="str">
        <v/>
      </c>
      <c r="G1476" t="e">
        <f t="shared" si="94"/>
        <v>#VALUE!</v>
      </c>
      <c r="H1476" s="13" t="e">
        <f t="shared" si="95"/>
        <v>#VALUE!</v>
      </c>
    </row>
    <row r="1477" spans="2:8">
      <c r="B1477" s="11" t="str">
        <f t="shared" si="93"/>
        <v/>
      </c>
      <c r="C1477" s="11" t="str">
        <f t="shared" si="92"/>
        <v/>
      </c>
      <c r="F1477" s="10" t="str">
        <v/>
      </c>
      <c r="G1477" t="e">
        <f t="shared" si="94"/>
        <v>#VALUE!</v>
      </c>
      <c r="H1477" s="13" t="e">
        <f t="shared" si="95"/>
        <v>#VALUE!</v>
      </c>
    </row>
    <row r="1478" spans="2:8">
      <c r="B1478" s="11" t="str">
        <f t="shared" si="93"/>
        <v/>
      </c>
      <c r="C1478" s="11" t="str">
        <f t="shared" si="92"/>
        <v/>
      </c>
      <c r="F1478" s="10" t="str">
        <v/>
      </c>
      <c r="G1478" t="e">
        <f t="shared" si="94"/>
        <v>#VALUE!</v>
      </c>
      <c r="H1478" s="13" t="e">
        <f t="shared" si="95"/>
        <v>#VALUE!</v>
      </c>
    </row>
    <row r="1479" spans="2:8">
      <c r="B1479" s="11" t="str">
        <f t="shared" si="93"/>
        <v/>
      </c>
      <c r="C1479" s="11" t="str">
        <f t="shared" si="92"/>
        <v/>
      </c>
      <c r="F1479" s="10" t="str">
        <v/>
      </c>
      <c r="G1479" t="e">
        <f t="shared" si="94"/>
        <v>#VALUE!</v>
      </c>
      <c r="H1479" s="13" t="e">
        <f t="shared" si="95"/>
        <v>#VALUE!</v>
      </c>
    </row>
    <row r="1480" spans="2:8">
      <c r="B1480" s="11" t="str">
        <f t="shared" si="93"/>
        <v/>
      </c>
      <c r="C1480" s="11" t="str">
        <f t="shared" si="92"/>
        <v/>
      </c>
      <c r="F1480" s="10" t="str">
        <v/>
      </c>
      <c r="G1480" t="e">
        <f t="shared" si="94"/>
        <v>#VALUE!</v>
      </c>
      <c r="H1480" s="13" t="e">
        <f t="shared" si="95"/>
        <v>#VALUE!</v>
      </c>
    </row>
    <row r="1481" spans="2:8">
      <c r="B1481" s="11" t="str">
        <f t="shared" si="93"/>
        <v/>
      </c>
      <c r="C1481" s="11" t="str">
        <f t="shared" si="92"/>
        <v/>
      </c>
      <c r="F1481" s="10" t="str">
        <v/>
      </c>
      <c r="G1481" t="e">
        <f t="shared" si="94"/>
        <v>#VALUE!</v>
      </c>
      <c r="H1481" s="13" t="e">
        <f t="shared" si="95"/>
        <v>#VALUE!</v>
      </c>
    </row>
    <row r="1482" spans="2:8">
      <c r="B1482" s="11" t="str">
        <f t="shared" si="93"/>
        <v/>
      </c>
      <c r="C1482" s="11" t="str">
        <f t="shared" si="92"/>
        <v/>
      </c>
      <c r="F1482" s="10" t="str">
        <v/>
      </c>
      <c r="G1482" t="e">
        <f t="shared" si="94"/>
        <v>#VALUE!</v>
      </c>
      <c r="H1482" s="13" t="e">
        <f t="shared" si="95"/>
        <v>#VALUE!</v>
      </c>
    </row>
    <row r="1483" spans="2:8">
      <c r="B1483" s="11" t="str">
        <f t="shared" si="93"/>
        <v/>
      </c>
      <c r="C1483" s="11" t="str">
        <f t="shared" si="92"/>
        <v/>
      </c>
      <c r="F1483" s="10" t="str">
        <v/>
      </c>
      <c r="G1483" t="e">
        <f t="shared" si="94"/>
        <v>#VALUE!</v>
      </c>
      <c r="H1483" s="13" t="e">
        <f t="shared" si="95"/>
        <v>#VALUE!</v>
      </c>
    </row>
    <row r="1484" spans="2:8">
      <c r="B1484" s="11" t="str">
        <f t="shared" si="93"/>
        <v/>
      </c>
      <c r="C1484" s="11" t="str">
        <f t="shared" si="92"/>
        <v/>
      </c>
      <c r="F1484" s="10" t="str">
        <v/>
      </c>
      <c r="G1484" t="e">
        <f t="shared" si="94"/>
        <v>#VALUE!</v>
      </c>
      <c r="H1484" s="13" t="e">
        <f t="shared" si="95"/>
        <v>#VALUE!</v>
      </c>
    </row>
    <row r="1485" spans="2:8">
      <c r="B1485" s="11" t="str">
        <f t="shared" si="93"/>
        <v/>
      </c>
      <c r="C1485" s="11" t="str">
        <f t="shared" si="92"/>
        <v/>
      </c>
      <c r="F1485" s="10" t="str">
        <v/>
      </c>
      <c r="G1485" t="e">
        <f t="shared" si="94"/>
        <v>#VALUE!</v>
      </c>
      <c r="H1485" s="13" t="e">
        <f t="shared" si="95"/>
        <v>#VALUE!</v>
      </c>
    </row>
    <row r="1486" spans="2:8">
      <c r="B1486" s="11" t="str">
        <f t="shared" si="93"/>
        <v/>
      </c>
      <c r="C1486" s="11" t="str">
        <f t="shared" si="92"/>
        <v/>
      </c>
      <c r="F1486" s="10" t="str">
        <v/>
      </c>
      <c r="G1486" t="e">
        <f t="shared" si="94"/>
        <v>#VALUE!</v>
      </c>
      <c r="H1486" s="13" t="e">
        <f t="shared" si="95"/>
        <v>#VALUE!</v>
      </c>
    </row>
    <row r="1487" spans="2:8">
      <c r="B1487" s="11" t="str">
        <f t="shared" si="93"/>
        <v/>
      </c>
      <c r="C1487" s="11" t="str">
        <f t="shared" si="92"/>
        <v/>
      </c>
      <c r="F1487" s="10" t="str">
        <v/>
      </c>
      <c r="G1487" t="e">
        <f t="shared" si="94"/>
        <v>#VALUE!</v>
      </c>
      <c r="H1487" s="13" t="e">
        <f t="shared" si="95"/>
        <v>#VALUE!</v>
      </c>
    </row>
    <row r="1488" spans="2:8">
      <c r="B1488" s="11" t="str">
        <f t="shared" si="93"/>
        <v/>
      </c>
      <c r="C1488" s="11" t="str">
        <f t="shared" si="92"/>
        <v/>
      </c>
      <c r="F1488" s="10" t="str">
        <v/>
      </c>
      <c r="G1488" t="e">
        <f t="shared" si="94"/>
        <v>#VALUE!</v>
      </c>
      <c r="H1488" s="13" t="e">
        <f t="shared" si="95"/>
        <v>#VALUE!</v>
      </c>
    </row>
    <row r="1489" spans="2:8">
      <c r="B1489" s="11" t="str">
        <f t="shared" si="93"/>
        <v/>
      </c>
      <c r="C1489" s="11" t="str">
        <f t="shared" si="92"/>
        <v/>
      </c>
      <c r="F1489" s="10" t="str">
        <v/>
      </c>
      <c r="G1489" t="e">
        <f t="shared" si="94"/>
        <v>#VALUE!</v>
      </c>
      <c r="H1489" s="13" t="e">
        <f t="shared" si="95"/>
        <v>#VALUE!</v>
      </c>
    </row>
    <row r="1490" spans="2:8">
      <c r="B1490" s="11" t="str">
        <f t="shared" si="93"/>
        <v/>
      </c>
      <c r="C1490" s="11" t="str">
        <f t="shared" si="92"/>
        <v/>
      </c>
      <c r="F1490" s="10" t="str">
        <v/>
      </c>
      <c r="G1490" t="e">
        <f t="shared" si="94"/>
        <v>#VALUE!</v>
      </c>
      <c r="H1490" s="13" t="e">
        <f t="shared" si="95"/>
        <v>#VALUE!</v>
      </c>
    </row>
    <row r="1491" spans="2:8">
      <c r="B1491" s="11" t="str">
        <f t="shared" si="93"/>
        <v/>
      </c>
      <c r="C1491" s="11" t="str">
        <f t="shared" si="92"/>
        <v/>
      </c>
      <c r="F1491" s="10" t="str">
        <v/>
      </c>
      <c r="G1491" t="e">
        <f t="shared" si="94"/>
        <v>#VALUE!</v>
      </c>
      <c r="H1491" s="13" t="e">
        <f t="shared" si="95"/>
        <v>#VALUE!</v>
      </c>
    </row>
    <row r="1492" spans="2:8">
      <c r="B1492" s="11" t="str">
        <f t="shared" si="93"/>
        <v/>
      </c>
      <c r="C1492" s="11" t="str">
        <f t="shared" si="92"/>
        <v/>
      </c>
      <c r="F1492" s="10" t="str">
        <v/>
      </c>
      <c r="G1492" t="e">
        <f t="shared" si="94"/>
        <v>#VALUE!</v>
      </c>
      <c r="H1492" s="13" t="e">
        <f t="shared" si="95"/>
        <v>#VALUE!</v>
      </c>
    </row>
    <row r="1493" spans="2:8">
      <c r="B1493" s="11" t="str">
        <f t="shared" si="93"/>
        <v/>
      </c>
      <c r="C1493" s="11" t="str">
        <f t="shared" si="92"/>
        <v/>
      </c>
      <c r="F1493" s="10" t="str">
        <v/>
      </c>
      <c r="G1493" t="e">
        <f t="shared" si="94"/>
        <v>#VALUE!</v>
      </c>
      <c r="H1493" s="13" t="e">
        <f t="shared" si="95"/>
        <v>#VALUE!</v>
      </c>
    </row>
    <row r="1494" spans="2:8">
      <c r="B1494" s="11" t="str">
        <f t="shared" si="93"/>
        <v/>
      </c>
      <c r="C1494" s="11" t="str">
        <f t="shared" si="92"/>
        <v/>
      </c>
      <c r="F1494" s="10" t="str">
        <v/>
      </c>
      <c r="G1494" t="e">
        <f t="shared" si="94"/>
        <v>#VALUE!</v>
      </c>
      <c r="H1494" s="13" t="e">
        <f t="shared" si="95"/>
        <v>#VALUE!</v>
      </c>
    </row>
    <row r="1495" spans="2:8">
      <c r="B1495" s="11" t="str">
        <f t="shared" si="93"/>
        <v/>
      </c>
      <c r="C1495" s="11" t="str">
        <f t="shared" si="92"/>
        <v/>
      </c>
      <c r="F1495" s="10" t="str">
        <v/>
      </c>
      <c r="G1495" t="e">
        <f t="shared" si="94"/>
        <v>#VALUE!</v>
      </c>
      <c r="H1495" s="13" t="e">
        <f t="shared" si="95"/>
        <v>#VALUE!</v>
      </c>
    </row>
    <row r="1496" spans="2:8">
      <c r="B1496" s="11" t="str">
        <f t="shared" si="93"/>
        <v/>
      </c>
      <c r="C1496" s="11" t="str">
        <f t="shared" si="92"/>
        <v/>
      </c>
      <c r="F1496" s="10" t="str">
        <v/>
      </c>
      <c r="G1496" t="e">
        <f t="shared" si="94"/>
        <v>#VALUE!</v>
      </c>
      <c r="H1496" s="13" t="e">
        <f t="shared" si="95"/>
        <v>#VALUE!</v>
      </c>
    </row>
    <row r="1497" spans="2:8">
      <c r="B1497" s="11" t="str">
        <f t="shared" si="93"/>
        <v/>
      </c>
      <c r="C1497" s="11" t="str">
        <f t="shared" si="92"/>
        <v/>
      </c>
      <c r="F1497" s="10" t="str">
        <v/>
      </c>
      <c r="G1497" t="e">
        <f t="shared" si="94"/>
        <v>#VALUE!</v>
      </c>
      <c r="H1497" s="13" t="e">
        <f t="shared" si="95"/>
        <v>#VALUE!</v>
      </c>
    </row>
    <row r="1498" spans="2:8">
      <c r="B1498" s="11" t="str">
        <f t="shared" si="93"/>
        <v/>
      </c>
      <c r="C1498" s="11" t="str">
        <f t="shared" si="92"/>
        <v/>
      </c>
      <c r="F1498" s="10" t="str">
        <v/>
      </c>
      <c r="G1498" t="e">
        <f t="shared" si="94"/>
        <v>#VALUE!</v>
      </c>
      <c r="H1498" s="13" t="e">
        <f t="shared" si="95"/>
        <v>#VALUE!</v>
      </c>
    </row>
    <row r="1499" spans="2:8">
      <c r="B1499" s="11" t="str">
        <f t="shared" si="93"/>
        <v/>
      </c>
      <c r="C1499" s="11" t="str">
        <f t="shared" si="92"/>
        <v/>
      </c>
      <c r="F1499" s="10" t="str">
        <v/>
      </c>
      <c r="G1499" t="e">
        <f t="shared" si="94"/>
        <v>#VALUE!</v>
      </c>
      <c r="H1499" s="13" t="e">
        <f t="shared" si="95"/>
        <v>#VALUE!</v>
      </c>
    </row>
    <row r="1500" spans="2:8">
      <c r="B1500" s="11" t="str">
        <f t="shared" si="93"/>
        <v/>
      </c>
      <c r="C1500" s="11" t="str">
        <f t="shared" si="92"/>
        <v/>
      </c>
      <c r="F1500" s="10" t="str">
        <v/>
      </c>
      <c r="G1500" t="e">
        <f t="shared" si="94"/>
        <v>#VALUE!</v>
      </c>
      <c r="H1500" s="13" t="e">
        <f t="shared" si="95"/>
        <v>#VALUE!</v>
      </c>
    </row>
    <row r="1501" spans="2:8">
      <c r="B1501" s="11" t="str">
        <f t="shared" si="93"/>
        <v/>
      </c>
      <c r="C1501" s="11" t="str">
        <f t="shared" si="92"/>
        <v/>
      </c>
      <c r="F1501" s="10" t="str">
        <v/>
      </c>
      <c r="G1501" t="e">
        <f t="shared" si="94"/>
        <v>#VALUE!</v>
      </c>
      <c r="H1501" s="13" t="e">
        <f t="shared" si="95"/>
        <v>#VALUE!</v>
      </c>
    </row>
    <row r="1502" spans="2:8">
      <c r="B1502" s="11" t="str">
        <f t="shared" si="93"/>
        <v/>
      </c>
      <c r="C1502" s="11" t="str">
        <f t="shared" si="92"/>
        <v/>
      </c>
      <c r="F1502" s="10" t="str">
        <v/>
      </c>
      <c r="G1502" t="e">
        <f t="shared" si="94"/>
        <v>#VALUE!</v>
      </c>
      <c r="H1502" s="13" t="e">
        <f t="shared" si="95"/>
        <v>#VALUE!</v>
      </c>
    </row>
    <row r="1503" spans="2:8">
      <c r="B1503" s="11" t="str">
        <f t="shared" si="93"/>
        <v/>
      </c>
      <c r="C1503" s="11" t="str">
        <f t="shared" si="92"/>
        <v/>
      </c>
      <c r="F1503" s="10" t="str">
        <v/>
      </c>
      <c r="G1503" t="e">
        <f t="shared" si="94"/>
        <v>#VALUE!</v>
      </c>
      <c r="H1503" s="13" t="e">
        <f t="shared" si="95"/>
        <v>#VALUE!</v>
      </c>
    </row>
    <row r="1504" spans="2:8">
      <c r="B1504" s="11" t="str">
        <f t="shared" si="93"/>
        <v/>
      </c>
      <c r="C1504" s="11" t="str">
        <f t="shared" si="92"/>
        <v/>
      </c>
      <c r="F1504" s="10" t="str">
        <v/>
      </c>
      <c r="G1504" t="e">
        <f t="shared" si="94"/>
        <v>#VALUE!</v>
      </c>
      <c r="H1504" s="13" t="e">
        <f t="shared" si="95"/>
        <v>#VALUE!</v>
      </c>
    </row>
    <row r="1505" spans="2:8">
      <c r="B1505" s="11" t="str">
        <f t="shared" si="93"/>
        <v/>
      </c>
      <c r="C1505" s="11" t="str">
        <f t="shared" si="92"/>
        <v/>
      </c>
      <c r="F1505" s="10" t="str">
        <v/>
      </c>
      <c r="G1505" t="e">
        <f t="shared" si="94"/>
        <v>#VALUE!</v>
      </c>
      <c r="H1505" s="13" t="e">
        <f t="shared" si="95"/>
        <v>#VALUE!</v>
      </c>
    </row>
    <row r="1506" spans="2:8">
      <c r="B1506" s="11" t="str">
        <f t="shared" si="93"/>
        <v/>
      </c>
      <c r="C1506" s="11" t="str">
        <f t="shared" si="92"/>
        <v/>
      </c>
      <c r="F1506" s="10" t="str">
        <v/>
      </c>
      <c r="G1506" t="e">
        <f t="shared" si="94"/>
        <v>#VALUE!</v>
      </c>
      <c r="H1506" s="13" t="e">
        <f t="shared" si="95"/>
        <v>#VALUE!</v>
      </c>
    </row>
    <row r="1507" spans="2:8">
      <c r="B1507" s="11" t="str">
        <f t="shared" si="93"/>
        <v/>
      </c>
      <c r="C1507" s="11" t="str">
        <f t="shared" si="92"/>
        <v/>
      </c>
      <c r="F1507" s="10" t="str">
        <v/>
      </c>
      <c r="G1507" t="e">
        <f t="shared" si="94"/>
        <v>#VALUE!</v>
      </c>
      <c r="H1507" s="13" t="e">
        <f t="shared" si="95"/>
        <v>#VALUE!</v>
      </c>
    </row>
    <row r="1508" spans="2:8">
      <c r="B1508" s="11" t="str">
        <f t="shared" si="93"/>
        <v/>
      </c>
      <c r="C1508" s="11" t="str">
        <f t="shared" si="92"/>
        <v/>
      </c>
      <c r="F1508" s="10" t="str">
        <v/>
      </c>
      <c r="G1508" t="e">
        <f t="shared" si="94"/>
        <v>#VALUE!</v>
      </c>
      <c r="H1508" s="13" t="e">
        <f t="shared" si="95"/>
        <v>#VALUE!</v>
      </c>
    </row>
    <row r="1509" spans="2:8">
      <c r="B1509" s="11" t="str">
        <f t="shared" si="93"/>
        <v/>
      </c>
      <c r="C1509" s="11" t="str">
        <f t="shared" si="92"/>
        <v/>
      </c>
      <c r="F1509" s="10" t="str">
        <v/>
      </c>
      <c r="G1509" t="e">
        <f t="shared" si="94"/>
        <v>#VALUE!</v>
      </c>
      <c r="H1509" s="13" t="e">
        <f t="shared" si="95"/>
        <v>#VALUE!</v>
      </c>
    </row>
    <row r="1510" spans="2:8">
      <c r="B1510" s="11" t="str">
        <f t="shared" si="93"/>
        <v/>
      </c>
      <c r="C1510" s="11" t="str">
        <f t="shared" si="92"/>
        <v/>
      </c>
      <c r="F1510" s="10" t="str">
        <v/>
      </c>
      <c r="G1510" t="e">
        <f t="shared" si="94"/>
        <v>#VALUE!</v>
      </c>
      <c r="H1510" s="13" t="e">
        <f t="shared" si="95"/>
        <v>#VALUE!</v>
      </c>
    </row>
    <row r="1511" spans="2:8">
      <c r="B1511" s="11" t="str">
        <f t="shared" si="93"/>
        <v/>
      </c>
      <c r="C1511" s="11" t="str">
        <f t="shared" si="92"/>
        <v/>
      </c>
      <c r="F1511" s="10" t="str">
        <v/>
      </c>
      <c r="G1511" t="e">
        <f t="shared" si="94"/>
        <v>#VALUE!</v>
      </c>
      <c r="H1511" s="13" t="e">
        <f t="shared" si="95"/>
        <v>#VALUE!</v>
      </c>
    </row>
    <row r="1512" spans="2:8">
      <c r="B1512" s="11" t="str">
        <f t="shared" si="93"/>
        <v/>
      </c>
      <c r="C1512" s="11" t="str">
        <f t="shared" si="92"/>
        <v/>
      </c>
      <c r="F1512" s="10" t="str">
        <v/>
      </c>
      <c r="G1512" t="e">
        <f t="shared" si="94"/>
        <v>#VALUE!</v>
      </c>
      <c r="H1512" s="13" t="e">
        <f t="shared" si="95"/>
        <v>#VALUE!</v>
      </c>
    </row>
    <row r="1513" spans="2:8">
      <c r="B1513" s="11" t="str">
        <f t="shared" si="93"/>
        <v/>
      </c>
      <c r="C1513" s="11" t="str">
        <f t="shared" ref="C1513:C1576" si="96">IF(B1513="артикул",A1513,"")</f>
        <v/>
      </c>
      <c r="F1513" s="10" t="str">
        <v/>
      </c>
      <c r="G1513" t="e">
        <f t="shared" si="94"/>
        <v>#VALUE!</v>
      </c>
      <c r="H1513" s="13" t="e">
        <f t="shared" si="95"/>
        <v>#VALUE!</v>
      </c>
    </row>
    <row r="1514" spans="2:8">
      <c r="B1514" s="11" t="str">
        <f t="shared" si="93"/>
        <v/>
      </c>
      <c r="C1514" s="11" t="str">
        <f t="shared" si="96"/>
        <v/>
      </c>
      <c r="F1514" s="10" t="str">
        <v/>
      </c>
      <c r="G1514" t="e">
        <f t="shared" si="94"/>
        <v>#VALUE!</v>
      </c>
      <c r="H1514" s="13" t="e">
        <f t="shared" si="95"/>
        <v>#VALUE!</v>
      </c>
    </row>
    <row r="1515" spans="2:8">
      <c r="B1515" s="11" t="str">
        <f t="shared" si="93"/>
        <v/>
      </c>
      <c r="C1515" s="11" t="str">
        <f t="shared" si="96"/>
        <v/>
      </c>
      <c r="F1515" s="10" t="str">
        <v/>
      </c>
      <c r="G1515" t="e">
        <f t="shared" si="94"/>
        <v>#VALUE!</v>
      </c>
      <c r="H1515" s="13" t="e">
        <f t="shared" si="95"/>
        <v>#VALUE!</v>
      </c>
    </row>
    <row r="1516" spans="2:8">
      <c r="B1516" s="11" t="str">
        <f t="shared" si="93"/>
        <v/>
      </c>
      <c r="C1516" s="11" t="str">
        <f t="shared" si="96"/>
        <v/>
      </c>
      <c r="F1516" s="10" t="str">
        <v/>
      </c>
      <c r="G1516" t="e">
        <f t="shared" si="94"/>
        <v>#VALUE!</v>
      </c>
      <c r="H1516" s="13" t="e">
        <f t="shared" si="95"/>
        <v>#VALUE!</v>
      </c>
    </row>
    <row r="1517" spans="2:8">
      <c r="B1517" s="11" t="str">
        <f t="shared" si="93"/>
        <v/>
      </c>
      <c r="C1517" s="11" t="str">
        <f t="shared" si="96"/>
        <v/>
      </c>
      <c r="F1517" s="10" t="str">
        <v/>
      </c>
      <c r="G1517" t="e">
        <f t="shared" si="94"/>
        <v>#VALUE!</v>
      </c>
      <c r="H1517" s="13" t="e">
        <f t="shared" si="95"/>
        <v>#VALUE!</v>
      </c>
    </row>
    <row r="1518" spans="2:8">
      <c r="B1518" s="11" t="str">
        <f t="shared" si="93"/>
        <v/>
      </c>
      <c r="C1518" s="11" t="str">
        <f t="shared" si="96"/>
        <v/>
      </c>
      <c r="F1518" s="10" t="str">
        <v/>
      </c>
      <c r="G1518" t="e">
        <f t="shared" si="94"/>
        <v>#VALUE!</v>
      </c>
      <c r="H1518" s="13" t="e">
        <f t="shared" si="95"/>
        <v>#VALUE!</v>
      </c>
    </row>
    <row r="1519" spans="2:8">
      <c r="B1519" s="11" t="str">
        <f t="shared" si="93"/>
        <v/>
      </c>
      <c r="C1519" s="11" t="str">
        <f t="shared" si="96"/>
        <v/>
      </c>
      <c r="F1519" s="10" t="str">
        <v/>
      </c>
      <c r="G1519" t="e">
        <f t="shared" si="94"/>
        <v>#VALUE!</v>
      </c>
      <c r="H1519" s="13" t="e">
        <f t="shared" si="95"/>
        <v>#VALUE!</v>
      </c>
    </row>
    <row r="1520" spans="2:8">
      <c r="B1520" s="11" t="str">
        <f t="shared" si="93"/>
        <v/>
      </c>
      <c r="C1520" s="11" t="str">
        <f t="shared" si="96"/>
        <v/>
      </c>
      <c r="F1520" s="10" t="str">
        <v/>
      </c>
      <c r="G1520" t="e">
        <f t="shared" si="94"/>
        <v>#VALUE!</v>
      </c>
      <c r="H1520" s="13" t="e">
        <f t="shared" si="95"/>
        <v>#VALUE!</v>
      </c>
    </row>
    <row r="1521" spans="2:8">
      <c r="B1521" s="11" t="str">
        <f t="shared" si="93"/>
        <v/>
      </c>
      <c r="C1521" s="11" t="str">
        <f t="shared" si="96"/>
        <v/>
      </c>
      <c r="F1521" s="10" t="str">
        <v/>
      </c>
      <c r="G1521" t="e">
        <f t="shared" si="94"/>
        <v>#VALUE!</v>
      </c>
      <c r="H1521" s="13" t="e">
        <f t="shared" si="95"/>
        <v>#VALUE!</v>
      </c>
    </row>
    <row r="1522" spans="2:8">
      <c r="B1522" s="11" t="str">
        <f t="shared" si="93"/>
        <v/>
      </c>
      <c r="C1522" s="11" t="str">
        <f t="shared" si="96"/>
        <v/>
      </c>
      <c r="F1522" s="10" t="str">
        <v/>
      </c>
      <c r="G1522" t="e">
        <f t="shared" si="94"/>
        <v>#VALUE!</v>
      </c>
      <c r="H1522" s="13" t="e">
        <f t="shared" si="95"/>
        <v>#VALUE!</v>
      </c>
    </row>
    <row r="1523" spans="2:8">
      <c r="B1523" s="11" t="str">
        <f t="shared" si="93"/>
        <v/>
      </c>
      <c r="C1523" s="11" t="str">
        <f t="shared" si="96"/>
        <v/>
      </c>
      <c r="F1523" s="10" t="str">
        <v/>
      </c>
      <c r="G1523" t="e">
        <f t="shared" si="94"/>
        <v>#VALUE!</v>
      </c>
      <c r="H1523" s="13" t="e">
        <f t="shared" si="95"/>
        <v>#VALUE!</v>
      </c>
    </row>
    <row r="1524" spans="2:8">
      <c r="B1524" s="11" t="str">
        <f t="shared" si="93"/>
        <v/>
      </c>
      <c r="C1524" s="11" t="str">
        <f t="shared" si="96"/>
        <v/>
      </c>
      <c r="F1524" s="10" t="str">
        <v/>
      </c>
      <c r="G1524" t="e">
        <f t="shared" si="94"/>
        <v>#VALUE!</v>
      </c>
      <c r="H1524" s="13" t="e">
        <f t="shared" si="95"/>
        <v>#VALUE!</v>
      </c>
    </row>
    <row r="1525" spans="2:8">
      <c r="B1525" s="11" t="str">
        <f t="shared" si="93"/>
        <v/>
      </c>
      <c r="C1525" s="11" t="str">
        <f t="shared" si="96"/>
        <v/>
      </c>
      <c r="F1525" s="10" t="str">
        <v/>
      </c>
      <c r="G1525" t="e">
        <f t="shared" si="94"/>
        <v>#VALUE!</v>
      </c>
      <c r="H1525" s="13" t="e">
        <f t="shared" si="95"/>
        <v>#VALUE!</v>
      </c>
    </row>
    <row r="1526" spans="2:8">
      <c r="B1526" s="11" t="str">
        <f t="shared" si="93"/>
        <v/>
      </c>
      <c r="C1526" s="11" t="str">
        <f t="shared" si="96"/>
        <v/>
      </c>
      <c r="F1526" s="10" t="str">
        <v/>
      </c>
      <c r="G1526" t="e">
        <f t="shared" si="94"/>
        <v>#VALUE!</v>
      </c>
      <c r="H1526" s="13" t="e">
        <f t="shared" si="95"/>
        <v>#VALUE!</v>
      </c>
    </row>
    <row r="1527" spans="2:8">
      <c r="B1527" s="11" t="str">
        <f t="shared" si="93"/>
        <v/>
      </c>
      <c r="C1527" s="11" t="str">
        <f t="shared" si="96"/>
        <v/>
      </c>
      <c r="F1527" s="10" t="str">
        <v/>
      </c>
      <c r="G1527" t="e">
        <f t="shared" si="94"/>
        <v>#VALUE!</v>
      </c>
      <c r="H1527" s="13" t="e">
        <f t="shared" si="95"/>
        <v>#VALUE!</v>
      </c>
    </row>
    <row r="1528" spans="2:8">
      <c r="B1528" s="11" t="str">
        <f t="shared" si="93"/>
        <v/>
      </c>
      <c r="C1528" s="11" t="str">
        <f t="shared" si="96"/>
        <v/>
      </c>
      <c r="F1528" s="10" t="str">
        <v/>
      </c>
      <c r="G1528" t="e">
        <f t="shared" si="94"/>
        <v>#VALUE!</v>
      </c>
      <c r="H1528" s="13" t="e">
        <f t="shared" si="95"/>
        <v>#VALUE!</v>
      </c>
    </row>
    <row r="1529" spans="2:8">
      <c r="B1529" s="11" t="str">
        <f t="shared" si="93"/>
        <v/>
      </c>
      <c r="C1529" s="11" t="str">
        <f t="shared" si="96"/>
        <v/>
      </c>
      <c r="F1529" s="10" t="str">
        <v/>
      </c>
      <c r="G1529" t="e">
        <f t="shared" si="94"/>
        <v>#VALUE!</v>
      </c>
      <c r="H1529" s="13" t="e">
        <f t="shared" si="95"/>
        <v>#VALUE!</v>
      </c>
    </row>
    <row r="1530" spans="2:8">
      <c r="B1530" s="11" t="str">
        <f t="shared" si="93"/>
        <v/>
      </c>
      <c r="C1530" s="11" t="str">
        <f t="shared" si="96"/>
        <v/>
      </c>
      <c r="F1530" s="10" t="str">
        <v/>
      </c>
      <c r="G1530" t="e">
        <f t="shared" si="94"/>
        <v>#VALUE!</v>
      </c>
      <c r="H1530" s="13" t="e">
        <f t="shared" si="95"/>
        <v>#VALUE!</v>
      </c>
    </row>
    <row r="1531" spans="2:8">
      <c r="B1531" s="11" t="str">
        <f t="shared" si="93"/>
        <v/>
      </c>
      <c r="C1531" s="11" t="str">
        <f t="shared" si="96"/>
        <v/>
      </c>
      <c r="F1531" s="10" t="str">
        <v/>
      </c>
      <c r="G1531" t="e">
        <f t="shared" si="94"/>
        <v>#VALUE!</v>
      </c>
      <c r="H1531" s="13" t="e">
        <f t="shared" si="95"/>
        <v>#VALUE!</v>
      </c>
    </row>
    <row r="1532" spans="2:8">
      <c r="B1532" s="11" t="str">
        <f t="shared" si="93"/>
        <v/>
      </c>
      <c r="C1532" s="11" t="str">
        <f t="shared" si="96"/>
        <v/>
      </c>
      <c r="F1532" s="10" t="str">
        <v/>
      </c>
      <c r="G1532" t="e">
        <f t="shared" si="94"/>
        <v>#VALUE!</v>
      </c>
      <c r="H1532" s="13" t="e">
        <f t="shared" si="95"/>
        <v>#VALUE!</v>
      </c>
    </row>
    <row r="1533" spans="2:8">
      <c r="B1533" s="11" t="str">
        <f t="shared" si="93"/>
        <v/>
      </c>
      <c r="C1533" s="11" t="str">
        <f t="shared" si="96"/>
        <v/>
      </c>
      <c r="F1533" s="10" t="str">
        <v/>
      </c>
      <c r="G1533" t="e">
        <f t="shared" si="94"/>
        <v>#VALUE!</v>
      </c>
      <c r="H1533" s="13" t="e">
        <f t="shared" si="95"/>
        <v>#VALUE!</v>
      </c>
    </row>
    <row r="1534" spans="2:8">
      <c r="B1534" s="11" t="str">
        <f t="shared" si="93"/>
        <v/>
      </c>
      <c r="C1534" s="11" t="str">
        <f t="shared" si="96"/>
        <v/>
      </c>
      <c r="F1534" s="10" t="str">
        <v/>
      </c>
      <c r="G1534" t="e">
        <f t="shared" si="94"/>
        <v>#VALUE!</v>
      </c>
      <c r="H1534" s="13" t="e">
        <f t="shared" si="95"/>
        <v>#VALUE!</v>
      </c>
    </row>
    <row r="1535" spans="2:8">
      <c r="B1535" s="11" t="str">
        <f t="shared" si="93"/>
        <v/>
      </c>
      <c r="C1535" s="11" t="str">
        <f t="shared" si="96"/>
        <v/>
      </c>
      <c r="F1535" s="10" t="str">
        <v/>
      </c>
      <c r="G1535" t="e">
        <f t="shared" si="94"/>
        <v>#VALUE!</v>
      </c>
      <c r="H1535" s="13" t="e">
        <f t="shared" si="95"/>
        <v>#VALUE!</v>
      </c>
    </row>
    <row r="1536" spans="2:8">
      <c r="B1536" s="11" t="str">
        <f t="shared" si="93"/>
        <v/>
      </c>
      <c r="C1536" s="11" t="str">
        <f t="shared" si="96"/>
        <v/>
      </c>
      <c r="F1536" s="10" t="str">
        <v/>
      </c>
      <c r="G1536" t="e">
        <f t="shared" si="94"/>
        <v>#VALUE!</v>
      </c>
      <c r="H1536" s="13" t="e">
        <f t="shared" si="95"/>
        <v>#VALUE!</v>
      </c>
    </row>
    <row r="1537" spans="2:8">
      <c r="B1537" s="11" t="str">
        <f t="shared" ref="B1537:B1600" si="97">IFERROR(IF(FIND(" ",A1537)=6,IF(IFERROR(FIND(" PB",A1537),"")&lt;&gt;"","артикул",IF(IFERROR(FIND(" CRN",A1537),"")&lt;&gt;"","артикул","")),""),"")</f>
        <v/>
      </c>
      <c r="C1537" s="11" t="str">
        <f t="shared" si="96"/>
        <v/>
      </c>
      <c r="F1537" s="10" t="str">
        <v/>
      </c>
      <c r="G1537" t="e">
        <f t="shared" si="94"/>
        <v>#VALUE!</v>
      </c>
      <c r="H1537" s="13" t="e">
        <f t="shared" si="95"/>
        <v>#VALUE!</v>
      </c>
    </row>
    <row r="1538" spans="2:8">
      <c r="B1538" s="11" t="str">
        <f t="shared" si="97"/>
        <v/>
      </c>
      <c r="C1538" s="11" t="str">
        <f t="shared" si="96"/>
        <v/>
      </c>
      <c r="F1538" s="10" t="str">
        <v/>
      </c>
      <c r="G1538" t="e">
        <f t="shared" ref="G1538:G1601" si="98">CONCATENATE(LEFT(F1538,5),
MID(F1538,
SEARCH("\",SUBSTITUTE(F1538," ","\",LEN(F1538)-LEN(SUBSTITUTE(F1538," ",""))-4)),
SEARCH("\",SUBSTITUTE(F1538," ","\",LEN(F1538)-LEN(SUBSTITUTE(F1538," ",""))-3))-
SEARCH("\",SUBSTITUTE(F1538," ","\",LEN(F1538)-LEN(SUBSTITUTE(F1538," ",""))-4)))*1)</f>
        <v>#VALUE!</v>
      </c>
      <c r="H1538" s="13" t="e">
        <f t="shared" ref="H1538:H1601" si="99">SUBSTITUTE(
RIGHT(F1538,LEN(F1538)-
FIND("\",SUBSTITUTE(F1538," ","\",LEN(F1538)-LEN(SUBSTITUTE(F1538," ",""))))),
".","")</f>
        <v>#VALUE!</v>
      </c>
    </row>
    <row r="1539" spans="2:8">
      <c r="B1539" s="11" t="str">
        <f t="shared" si="97"/>
        <v/>
      </c>
      <c r="C1539" s="11" t="str">
        <f t="shared" si="96"/>
        <v/>
      </c>
      <c r="F1539" s="10" t="str">
        <v/>
      </c>
      <c r="G1539" t="e">
        <f t="shared" si="98"/>
        <v>#VALUE!</v>
      </c>
      <c r="H1539" s="13" t="e">
        <f t="shared" si="99"/>
        <v>#VALUE!</v>
      </c>
    </row>
    <row r="1540" spans="2:8">
      <c r="B1540" s="11" t="str">
        <f t="shared" si="97"/>
        <v/>
      </c>
      <c r="C1540" s="11" t="str">
        <f t="shared" si="96"/>
        <v/>
      </c>
      <c r="F1540" s="10" t="str">
        <v/>
      </c>
      <c r="G1540" t="e">
        <f t="shared" si="98"/>
        <v>#VALUE!</v>
      </c>
      <c r="H1540" s="13" t="e">
        <f t="shared" si="99"/>
        <v>#VALUE!</v>
      </c>
    </row>
    <row r="1541" spans="2:8">
      <c r="B1541" s="11" t="str">
        <f t="shared" si="97"/>
        <v/>
      </c>
      <c r="C1541" s="11" t="str">
        <f t="shared" si="96"/>
        <v/>
      </c>
      <c r="F1541" s="10" t="str">
        <v/>
      </c>
      <c r="G1541" t="e">
        <f t="shared" si="98"/>
        <v>#VALUE!</v>
      </c>
      <c r="H1541" s="13" t="e">
        <f t="shared" si="99"/>
        <v>#VALUE!</v>
      </c>
    </row>
    <row r="1542" spans="2:8">
      <c r="B1542" s="11" t="str">
        <f t="shared" si="97"/>
        <v/>
      </c>
      <c r="C1542" s="11" t="str">
        <f t="shared" si="96"/>
        <v/>
      </c>
      <c r="F1542" s="10" t="str">
        <v/>
      </c>
      <c r="G1542" t="e">
        <f t="shared" si="98"/>
        <v>#VALUE!</v>
      </c>
      <c r="H1542" s="13" t="e">
        <f t="shared" si="99"/>
        <v>#VALUE!</v>
      </c>
    </row>
    <row r="1543" spans="2:8">
      <c r="B1543" s="11" t="str">
        <f t="shared" si="97"/>
        <v/>
      </c>
      <c r="C1543" s="11" t="str">
        <f t="shared" si="96"/>
        <v/>
      </c>
      <c r="F1543" s="10" t="str">
        <v/>
      </c>
      <c r="G1543" t="e">
        <f t="shared" si="98"/>
        <v>#VALUE!</v>
      </c>
      <c r="H1543" s="13" t="e">
        <f t="shared" si="99"/>
        <v>#VALUE!</v>
      </c>
    </row>
    <row r="1544" spans="2:8">
      <c r="B1544" s="11" t="str">
        <f t="shared" si="97"/>
        <v/>
      </c>
      <c r="C1544" s="11" t="str">
        <f t="shared" si="96"/>
        <v/>
      </c>
      <c r="F1544" s="10" t="str">
        <v/>
      </c>
      <c r="G1544" t="e">
        <f t="shared" si="98"/>
        <v>#VALUE!</v>
      </c>
      <c r="H1544" s="13" t="e">
        <f t="shared" si="99"/>
        <v>#VALUE!</v>
      </c>
    </row>
    <row r="1545" spans="2:8">
      <c r="B1545" s="11" t="str">
        <f t="shared" si="97"/>
        <v/>
      </c>
      <c r="C1545" s="11" t="str">
        <f t="shared" si="96"/>
        <v/>
      </c>
      <c r="F1545" s="10" t="str">
        <v/>
      </c>
      <c r="G1545" t="e">
        <f t="shared" si="98"/>
        <v>#VALUE!</v>
      </c>
      <c r="H1545" s="13" t="e">
        <f t="shared" si="99"/>
        <v>#VALUE!</v>
      </c>
    </row>
    <row r="1546" spans="2:8">
      <c r="B1546" s="11" t="str">
        <f t="shared" si="97"/>
        <v/>
      </c>
      <c r="C1546" s="11" t="str">
        <f t="shared" si="96"/>
        <v/>
      </c>
      <c r="F1546" s="10" t="str">
        <v/>
      </c>
      <c r="G1546" t="e">
        <f t="shared" si="98"/>
        <v>#VALUE!</v>
      </c>
      <c r="H1546" s="13" t="e">
        <f t="shared" si="99"/>
        <v>#VALUE!</v>
      </c>
    </row>
    <row r="1547" spans="2:8">
      <c r="B1547" s="11" t="str">
        <f t="shared" si="97"/>
        <v/>
      </c>
      <c r="C1547" s="11" t="str">
        <f t="shared" si="96"/>
        <v/>
      </c>
      <c r="F1547" s="10" t="str">
        <v/>
      </c>
      <c r="G1547" t="e">
        <f t="shared" si="98"/>
        <v>#VALUE!</v>
      </c>
      <c r="H1547" s="13" t="e">
        <f t="shared" si="99"/>
        <v>#VALUE!</v>
      </c>
    </row>
    <row r="1548" spans="2:8">
      <c r="B1548" s="11" t="str">
        <f t="shared" si="97"/>
        <v/>
      </c>
      <c r="C1548" s="11" t="str">
        <f t="shared" si="96"/>
        <v/>
      </c>
      <c r="F1548" s="10" t="str">
        <v/>
      </c>
      <c r="G1548" t="e">
        <f t="shared" si="98"/>
        <v>#VALUE!</v>
      </c>
      <c r="H1548" s="13" t="e">
        <f t="shared" si="99"/>
        <v>#VALUE!</v>
      </c>
    </row>
    <row r="1549" spans="2:8">
      <c r="B1549" s="11" t="str">
        <f t="shared" si="97"/>
        <v/>
      </c>
      <c r="C1549" s="11" t="str">
        <f t="shared" si="96"/>
        <v/>
      </c>
      <c r="F1549" s="10" t="str">
        <v/>
      </c>
      <c r="G1549" t="e">
        <f t="shared" si="98"/>
        <v>#VALUE!</v>
      </c>
      <c r="H1549" s="13" t="e">
        <f t="shared" si="99"/>
        <v>#VALUE!</v>
      </c>
    </row>
    <row r="1550" spans="2:8">
      <c r="B1550" s="11" t="str">
        <f t="shared" si="97"/>
        <v/>
      </c>
      <c r="C1550" s="11" t="str">
        <f t="shared" si="96"/>
        <v/>
      </c>
      <c r="F1550" s="10" t="str">
        <v/>
      </c>
      <c r="G1550" t="e">
        <f t="shared" si="98"/>
        <v>#VALUE!</v>
      </c>
      <c r="H1550" s="13" t="e">
        <f t="shared" si="99"/>
        <v>#VALUE!</v>
      </c>
    </row>
    <row r="1551" spans="2:8">
      <c r="B1551" s="11" t="str">
        <f t="shared" si="97"/>
        <v/>
      </c>
      <c r="C1551" s="11" t="str">
        <f t="shared" si="96"/>
        <v/>
      </c>
      <c r="F1551" s="10" t="str">
        <v/>
      </c>
      <c r="G1551" t="e">
        <f t="shared" si="98"/>
        <v>#VALUE!</v>
      </c>
      <c r="H1551" s="13" t="e">
        <f t="shared" si="99"/>
        <v>#VALUE!</v>
      </c>
    </row>
    <row r="1552" spans="2:8">
      <c r="B1552" s="11" t="str">
        <f t="shared" si="97"/>
        <v/>
      </c>
      <c r="C1552" s="11" t="str">
        <f t="shared" si="96"/>
        <v/>
      </c>
      <c r="F1552" s="10" t="str">
        <v/>
      </c>
      <c r="G1552" t="e">
        <f t="shared" si="98"/>
        <v>#VALUE!</v>
      </c>
      <c r="H1552" s="13" t="e">
        <f t="shared" si="99"/>
        <v>#VALUE!</v>
      </c>
    </row>
    <row r="1553" spans="2:8">
      <c r="B1553" s="11" t="str">
        <f t="shared" si="97"/>
        <v/>
      </c>
      <c r="C1553" s="11" t="str">
        <f t="shared" si="96"/>
        <v/>
      </c>
      <c r="F1553" s="10" t="str">
        <v/>
      </c>
      <c r="G1553" t="e">
        <f t="shared" si="98"/>
        <v>#VALUE!</v>
      </c>
      <c r="H1553" s="13" t="e">
        <f t="shared" si="99"/>
        <v>#VALUE!</v>
      </c>
    </row>
    <row r="1554" spans="2:8">
      <c r="B1554" s="11" t="str">
        <f t="shared" si="97"/>
        <v/>
      </c>
      <c r="C1554" s="11" t="str">
        <f t="shared" si="96"/>
        <v/>
      </c>
      <c r="F1554" s="10" t="str">
        <v/>
      </c>
      <c r="G1554" t="e">
        <f t="shared" si="98"/>
        <v>#VALUE!</v>
      </c>
      <c r="H1554" s="13" t="e">
        <f t="shared" si="99"/>
        <v>#VALUE!</v>
      </c>
    </row>
    <row r="1555" spans="2:8">
      <c r="B1555" s="11" t="str">
        <f t="shared" si="97"/>
        <v/>
      </c>
      <c r="C1555" s="11" t="str">
        <f t="shared" si="96"/>
        <v/>
      </c>
      <c r="F1555" s="10" t="str">
        <v/>
      </c>
      <c r="G1555" t="e">
        <f t="shared" si="98"/>
        <v>#VALUE!</v>
      </c>
      <c r="H1555" s="13" t="e">
        <f t="shared" si="99"/>
        <v>#VALUE!</v>
      </c>
    </row>
    <row r="1556" spans="2:8">
      <c r="B1556" s="11" t="str">
        <f t="shared" si="97"/>
        <v/>
      </c>
      <c r="C1556" s="11" t="str">
        <f t="shared" si="96"/>
        <v/>
      </c>
      <c r="F1556" s="10" t="str">
        <v/>
      </c>
      <c r="G1556" t="e">
        <f t="shared" si="98"/>
        <v>#VALUE!</v>
      </c>
      <c r="H1556" s="13" t="e">
        <f t="shared" si="99"/>
        <v>#VALUE!</v>
      </c>
    </row>
    <row r="1557" spans="2:8">
      <c r="B1557" s="11" t="str">
        <f t="shared" si="97"/>
        <v/>
      </c>
      <c r="C1557" s="11" t="str">
        <f t="shared" si="96"/>
        <v/>
      </c>
      <c r="F1557" s="10" t="str">
        <v/>
      </c>
      <c r="G1557" t="e">
        <f t="shared" si="98"/>
        <v>#VALUE!</v>
      </c>
      <c r="H1557" s="13" t="e">
        <f t="shared" si="99"/>
        <v>#VALUE!</v>
      </c>
    </row>
    <row r="1558" spans="2:8">
      <c r="B1558" s="11" t="str">
        <f t="shared" si="97"/>
        <v/>
      </c>
      <c r="C1558" s="11" t="str">
        <f t="shared" si="96"/>
        <v/>
      </c>
      <c r="F1558" s="10" t="str">
        <v/>
      </c>
      <c r="G1558" t="e">
        <f t="shared" si="98"/>
        <v>#VALUE!</v>
      </c>
      <c r="H1558" s="13" t="e">
        <f t="shared" si="99"/>
        <v>#VALUE!</v>
      </c>
    </row>
    <row r="1559" spans="2:8">
      <c r="B1559" s="11" t="str">
        <f t="shared" si="97"/>
        <v/>
      </c>
      <c r="C1559" s="11" t="str">
        <f t="shared" si="96"/>
        <v/>
      </c>
      <c r="F1559" s="10" t="str">
        <v/>
      </c>
      <c r="G1559" t="e">
        <f t="shared" si="98"/>
        <v>#VALUE!</v>
      </c>
      <c r="H1559" s="13" t="e">
        <f t="shared" si="99"/>
        <v>#VALUE!</v>
      </c>
    </row>
    <row r="1560" spans="2:8">
      <c r="B1560" s="11" t="str">
        <f t="shared" si="97"/>
        <v/>
      </c>
      <c r="C1560" s="11" t="str">
        <f t="shared" si="96"/>
        <v/>
      </c>
      <c r="F1560" s="10" t="str">
        <v/>
      </c>
      <c r="G1560" t="e">
        <f t="shared" si="98"/>
        <v>#VALUE!</v>
      </c>
      <c r="H1560" s="13" t="e">
        <f t="shared" si="99"/>
        <v>#VALUE!</v>
      </c>
    </row>
    <row r="1561" spans="2:8">
      <c r="B1561" s="11" t="str">
        <f t="shared" si="97"/>
        <v/>
      </c>
      <c r="C1561" s="11" t="str">
        <f t="shared" si="96"/>
        <v/>
      </c>
      <c r="F1561" s="10" t="str">
        <v/>
      </c>
      <c r="G1561" t="e">
        <f t="shared" si="98"/>
        <v>#VALUE!</v>
      </c>
      <c r="H1561" s="13" t="e">
        <f t="shared" si="99"/>
        <v>#VALUE!</v>
      </c>
    </row>
    <row r="1562" spans="2:8">
      <c r="B1562" s="11" t="str">
        <f t="shared" si="97"/>
        <v/>
      </c>
      <c r="C1562" s="11" t="str">
        <f t="shared" si="96"/>
        <v/>
      </c>
      <c r="F1562" s="10" t="str">
        <v/>
      </c>
      <c r="G1562" t="e">
        <f t="shared" si="98"/>
        <v>#VALUE!</v>
      </c>
      <c r="H1562" s="13" t="e">
        <f t="shared" si="99"/>
        <v>#VALUE!</v>
      </c>
    </row>
    <row r="1563" spans="2:8">
      <c r="B1563" s="11" t="str">
        <f t="shared" si="97"/>
        <v/>
      </c>
      <c r="C1563" s="11" t="str">
        <f t="shared" si="96"/>
        <v/>
      </c>
      <c r="F1563" s="10" t="str">
        <v/>
      </c>
      <c r="G1563" t="e">
        <f t="shared" si="98"/>
        <v>#VALUE!</v>
      </c>
      <c r="H1563" s="13" t="e">
        <f t="shared" si="99"/>
        <v>#VALUE!</v>
      </c>
    </row>
    <row r="1564" spans="2:8">
      <c r="B1564" s="11" t="str">
        <f t="shared" si="97"/>
        <v/>
      </c>
      <c r="C1564" s="11" t="str">
        <f t="shared" si="96"/>
        <v/>
      </c>
      <c r="F1564" s="10" t="str">
        <v/>
      </c>
      <c r="G1564" t="e">
        <f t="shared" si="98"/>
        <v>#VALUE!</v>
      </c>
      <c r="H1564" s="13" t="e">
        <f t="shared" si="99"/>
        <v>#VALUE!</v>
      </c>
    </row>
    <row r="1565" spans="2:8">
      <c r="B1565" s="11" t="str">
        <f t="shared" si="97"/>
        <v/>
      </c>
      <c r="C1565" s="11" t="str">
        <f t="shared" si="96"/>
        <v/>
      </c>
      <c r="F1565" s="10" t="str">
        <v/>
      </c>
      <c r="G1565" t="e">
        <f t="shared" si="98"/>
        <v>#VALUE!</v>
      </c>
      <c r="H1565" s="13" t="e">
        <f t="shared" si="99"/>
        <v>#VALUE!</v>
      </c>
    </row>
    <row r="1566" spans="2:8">
      <c r="B1566" s="11" t="str">
        <f t="shared" si="97"/>
        <v/>
      </c>
      <c r="C1566" s="11" t="str">
        <f t="shared" si="96"/>
        <v/>
      </c>
      <c r="F1566" s="10" t="str">
        <v/>
      </c>
      <c r="G1566" t="e">
        <f t="shared" si="98"/>
        <v>#VALUE!</v>
      </c>
      <c r="H1566" s="13" t="e">
        <f t="shared" si="99"/>
        <v>#VALUE!</v>
      </c>
    </row>
    <row r="1567" spans="2:8">
      <c r="B1567" s="11" t="str">
        <f t="shared" si="97"/>
        <v/>
      </c>
      <c r="C1567" s="11" t="str">
        <f t="shared" si="96"/>
        <v/>
      </c>
      <c r="F1567" s="10" t="str">
        <v/>
      </c>
      <c r="G1567" t="e">
        <f t="shared" si="98"/>
        <v>#VALUE!</v>
      </c>
      <c r="H1567" s="13" t="e">
        <f t="shared" si="99"/>
        <v>#VALUE!</v>
      </c>
    </row>
    <row r="1568" spans="2:8">
      <c r="B1568" s="11" t="str">
        <f t="shared" si="97"/>
        <v/>
      </c>
      <c r="C1568" s="11" t="str">
        <f t="shared" si="96"/>
        <v/>
      </c>
      <c r="F1568" s="10" t="str">
        <v/>
      </c>
      <c r="G1568" t="e">
        <f t="shared" si="98"/>
        <v>#VALUE!</v>
      </c>
      <c r="H1568" s="13" t="e">
        <f t="shared" si="99"/>
        <v>#VALUE!</v>
      </c>
    </row>
    <row r="1569" spans="2:8">
      <c r="B1569" s="11" t="str">
        <f t="shared" si="97"/>
        <v/>
      </c>
      <c r="C1569" s="11" t="str">
        <f t="shared" si="96"/>
        <v/>
      </c>
      <c r="F1569" s="10" t="str">
        <v/>
      </c>
      <c r="G1569" t="e">
        <f t="shared" si="98"/>
        <v>#VALUE!</v>
      </c>
      <c r="H1569" s="13" t="e">
        <f t="shared" si="99"/>
        <v>#VALUE!</v>
      </c>
    </row>
    <row r="1570" spans="2:8">
      <c r="B1570" s="11" t="str">
        <f t="shared" si="97"/>
        <v/>
      </c>
      <c r="C1570" s="11" t="str">
        <f t="shared" si="96"/>
        <v/>
      </c>
      <c r="F1570" s="10" t="str">
        <v/>
      </c>
      <c r="G1570" t="e">
        <f t="shared" si="98"/>
        <v>#VALUE!</v>
      </c>
      <c r="H1570" s="13" t="e">
        <f t="shared" si="99"/>
        <v>#VALUE!</v>
      </c>
    </row>
    <row r="1571" spans="2:8">
      <c r="B1571" s="11" t="str">
        <f t="shared" si="97"/>
        <v/>
      </c>
      <c r="C1571" s="11" t="str">
        <f t="shared" si="96"/>
        <v/>
      </c>
      <c r="F1571" s="10" t="str">
        <v/>
      </c>
      <c r="G1571" t="e">
        <f t="shared" si="98"/>
        <v>#VALUE!</v>
      </c>
      <c r="H1571" s="13" t="e">
        <f t="shared" si="99"/>
        <v>#VALUE!</v>
      </c>
    </row>
    <row r="1572" spans="2:8">
      <c r="B1572" s="11" t="str">
        <f t="shared" si="97"/>
        <v/>
      </c>
      <c r="C1572" s="11" t="str">
        <f t="shared" si="96"/>
        <v/>
      </c>
      <c r="F1572" s="10" t="str">
        <v/>
      </c>
      <c r="G1572" t="e">
        <f t="shared" si="98"/>
        <v>#VALUE!</v>
      </c>
      <c r="H1572" s="13" t="e">
        <f t="shared" si="99"/>
        <v>#VALUE!</v>
      </c>
    </row>
    <row r="1573" spans="2:8">
      <c r="B1573" s="11" t="str">
        <f t="shared" si="97"/>
        <v/>
      </c>
      <c r="C1573" s="11" t="str">
        <f t="shared" si="96"/>
        <v/>
      </c>
      <c r="F1573" s="10" t="str">
        <v/>
      </c>
      <c r="G1573" t="e">
        <f t="shared" si="98"/>
        <v>#VALUE!</v>
      </c>
      <c r="H1573" s="13" t="e">
        <f t="shared" si="99"/>
        <v>#VALUE!</v>
      </c>
    </row>
    <row r="1574" spans="2:8">
      <c r="B1574" s="11" t="str">
        <f t="shared" si="97"/>
        <v/>
      </c>
      <c r="C1574" s="11" t="str">
        <f t="shared" si="96"/>
        <v/>
      </c>
      <c r="F1574" s="10" t="str">
        <v/>
      </c>
      <c r="G1574" t="e">
        <f t="shared" si="98"/>
        <v>#VALUE!</v>
      </c>
      <c r="H1574" s="13" t="e">
        <f t="shared" si="99"/>
        <v>#VALUE!</v>
      </c>
    </row>
    <row r="1575" spans="2:8">
      <c r="B1575" s="11" t="str">
        <f t="shared" si="97"/>
        <v/>
      </c>
      <c r="C1575" s="11" t="str">
        <f t="shared" si="96"/>
        <v/>
      </c>
      <c r="F1575" s="10" t="str">
        <v/>
      </c>
      <c r="G1575" t="e">
        <f t="shared" si="98"/>
        <v>#VALUE!</v>
      </c>
      <c r="H1575" s="13" t="e">
        <f t="shared" si="99"/>
        <v>#VALUE!</v>
      </c>
    </row>
    <row r="1576" spans="2:8">
      <c r="B1576" s="11" t="str">
        <f t="shared" si="97"/>
        <v/>
      </c>
      <c r="C1576" s="11" t="str">
        <f t="shared" si="96"/>
        <v/>
      </c>
      <c r="F1576" s="10" t="str">
        <v/>
      </c>
      <c r="G1576" t="e">
        <f t="shared" si="98"/>
        <v>#VALUE!</v>
      </c>
      <c r="H1576" s="13" t="e">
        <f t="shared" si="99"/>
        <v>#VALUE!</v>
      </c>
    </row>
    <row r="1577" spans="2:8">
      <c r="B1577" s="11" t="str">
        <f t="shared" si="97"/>
        <v/>
      </c>
      <c r="C1577" s="11" t="str">
        <f t="shared" ref="C1577:C1640" si="100">IF(B1577="артикул",A1577,"")</f>
        <v/>
      </c>
      <c r="F1577" s="10" t="str">
        <v/>
      </c>
      <c r="G1577" t="e">
        <f t="shared" si="98"/>
        <v>#VALUE!</v>
      </c>
      <c r="H1577" s="13" t="e">
        <f t="shared" si="99"/>
        <v>#VALUE!</v>
      </c>
    </row>
    <row r="1578" spans="2:8">
      <c r="B1578" s="11" t="str">
        <f t="shared" si="97"/>
        <v/>
      </c>
      <c r="C1578" s="11" t="str">
        <f t="shared" si="100"/>
        <v/>
      </c>
      <c r="F1578" s="10" t="str">
        <v/>
      </c>
      <c r="G1578" t="e">
        <f t="shared" si="98"/>
        <v>#VALUE!</v>
      </c>
      <c r="H1578" s="13" t="e">
        <f t="shared" si="99"/>
        <v>#VALUE!</v>
      </c>
    </row>
    <row r="1579" spans="2:8">
      <c r="B1579" s="11" t="str">
        <f t="shared" si="97"/>
        <v/>
      </c>
      <c r="C1579" s="11" t="str">
        <f t="shared" si="100"/>
        <v/>
      </c>
      <c r="F1579" s="10" t="str">
        <v/>
      </c>
      <c r="G1579" t="e">
        <f t="shared" si="98"/>
        <v>#VALUE!</v>
      </c>
      <c r="H1579" s="13" t="e">
        <f t="shared" si="99"/>
        <v>#VALUE!</v>
      </c>
    </row>
    <row r="1580" spans="2:8">
      <c r="B1580" s="11" t="str">
        <f t="shared" si="97"/>
        <v/>
      </c>
      <c r="C1580" s="11" t="str">
        <f t="shared" si="100"/>
        <v/>
      </c>
      <c r="F1580" s="10" t="str">
        <v/>
      </c>
      <c r="G1580" t="e">
        <f t="shared" si="98"/>
        <v>#VALUE!</v>
      </c>
      <c r="H1580" s="13" t="e">
        <f t="shared" si="99"/>
        <v>#VALUE!</v>
      </c>
    </row>
    <row r="1581" spans="2:8">
      <c r="B1581" s="11" t="str">
        <f t="shared" si="97"/>
        <v/>
      </c>
      <c r="C1581" s="11" t="str">
        <f t="shared" si="100"/>
        <v/>
      </c>
      <c r="F1581" s="10" t="str">
        <v/>
      </c>
      <c r="G1581" t="e">
        <f t="shared" si="98"/>
        <v>#VALUE!</v>
      </c>
      <c r="H1581" s="13" t="e">
        <f t="shared" si="99"/>
        <v>#VALUE!</v>
      </c>
    </row>
    <row r="1582" spans="2:8">
      <c r="B1582" s="11" t="str">
        <f t="shared" si="97"/>
        <v/>
      </c>
      <c r="C1582" s="11" t="str">
        <f t="shared" si="100"/>
        <v/>
      </c>
      <c r="F1582" s="10" t="str">
        <v/>
      </c>
      <c r="G1582" t="e">
        <f t="shared" si="98"/>
        <v>#VALUE!</v>
      </c>
      <c r="H1582" s="13" t="e">
        <f t="shared" si="99"/>
        <v>#VALUE!</v>
      </c>
    </row>
    <row r="1583" spans="2:8">
      <c r="B1583" s="11" t="str">
        <f t="shared" si="97"/>
        <v/>
      </c>
      <c r="C1583" s="11" t="str">
        <f t="shared" si="100"/>
        <v/>
      </c>
      <c r="F1583" s="10" t="str">
        <v/>
      </c>
      <c r="G1583" t="e">
        <f t="shared" si="98"/>
        <v>#VALUE!</v>
      </c>
      <c r="H1583" s="13" t="e">
        <f t="shared" si="99"/>
        <v>#VALUE!</v>
      </c>
    </row>
    <row r="1584" spans="2:8">
      <c r="B1584" s="11" t="str">
        <f t="shared" si="97"/>
        <v/>
      </c>
      <c r="C1584" s="11" t="str">
        <f t="shared" si="100"/>
        <v/>
      </c>
      <c r="F1584" s="10" t="str">
        <v/>
      </c>
      <c r="G1584" t="e">
        <f t="shared" si="98"/>
        <v>#VALUE!</v>
      </c>
      <c r="H1584" s="13" t="e">
        <f t="shared" si="99"/>
        <v>#VALUE!</v>
      </c>
    </row>
    <row r="1585" spans="2:8">
      <c r="B1585" s="11" t="str">
        <f t="shared" si="97"/>
        <v/>
      </c>
      <c r="C1585" s="11" t="str">
        <f t="shared" si="100"/>
        <v/>
      </c>
      <c r="F1585" s="10" t="str">
        <v/>
      </c>
      <c r="G1585" t="e">
        <f t="shared" si="98"/>
        <v>#VALUE!</v>
      </c>
      <c r="H1585" s="13" t="e">
        <f t="shared" si="99"/>
        <v>#VALUE!</v>
      </c>
    </row>
    <row r="1586" spans="2:8">
      <c r="B1586" s="11" t="str">
        <f t="shared" si="97"/>
        <v/>
      </c>
      <c r="C1586" s="11" t="str">
        <f t="shared" si="100"/>
        <v/>
      </c>
      <c r="F1586" s="10" t="str">
        <v/>
      </c>
      <c r="G1586" t="e">
        <f t="shared" si="98"/>
        <v>#VALUE!</v>
      </c>
      <c r="H1586" s="13" t="e">
        <f t="shared" si="99"/>
        <v>#VALUE!</v>
      </c>
    </row>
    <row r="1587" spans="2:8">
      <c r="B1587" s="11" t="str">
        <f t="shared" si="97"/>
        <v/>
      </c>
      <c r="C1587" s="11" t="str">
        <f t="shared" si="100"/>
        <v/>
      </c>
      <c r="F1587" s="10" t="str">
        <v/>
      </c>
      <c r="G1587" t="e">
        <f t="shared" si="98"/>
        <v>#VALUE!</v>
      </c>
      <c r="H1587" s="13" t="e">
        <f t="shared" si="99"/>
        <v>#VALUE!</v>
      </c>
    </row>
    <row r="1588" spans="2:8">
      <c r="B1588" s="11" t="str">
        <f t="shared" si="97"/>
        <v/>
      </c>
      <c r="C1588" s="11" t="str">
        <f t="shared" si="100"/>
        <v/>
      </c>
      <c r="F1588" s="10" t="str">
        <v/>
      </c>
      <c r="G1588" t="e">
        <f t="shared" si="98"/>
        <v>#VALUE!</v>
      </c>
      <c r="H1588" s="13" t="e">
        <f t="shared" si="99"/>
        <v>#VALUE!</v>
      </c>
    </row>
    <row r="1589" spans="2:8">
      <c r="B1589" s="11" t="str">
        <f t="shared" si="97"/>
        <v/>
      </c>
      <c r="C1589" s="11" t="str">
        <f t="shared" si="100"/>
        <v/>
      </c>
      <c r="F1589" s="10" t="str">
        <v/>
      </c>
      <c r="G1589" t="e">
        <f t="shared" si="98"/>
        <v>#VALUE!</v>
      </c>
      <c r="H1589" s="13" t="e">
        <f t="shared" si="99"/>
        <v>#VALUE!</v>
      </c>
    </row>
    <row r="1590" spans="2:8">
      <c r="B1590" s="11" t="str">
        <f t="shared" si="97"/>
        <v/>
      </c>
      <c r="C1590" s="11" t="str">
        <f t="shared" si="100"/>
        <v/>
      </c>
      <c r="F1590" s="10" t="str">
        <v/>
      </c>
      <c r="G1590" t="e">
        <f t="shared" si="98"/>
        <v>#VALUE!</v>
      </c>
      <c r="H1590" s="13" t="e">
        <f t="shared" si="99"/>
        <v>#VALUE!</v>
      </c>
    </row>
    <row r="1591" spans="2:8">
      <c r="B1591" s="11" t="str">
        <f t="shared" si="97"/>
        <v/>
      </c>
      <c r="C1591" s="11" t="str">
        <f t="shared" si="100"/>
        <v/>
      </c>
      <c r="F1591" s="10" t="str">
        <v/>
      </c>
      <c r="G1591" t="e">
        <f t="shared" si="98"/>
        <v>#VALUE!</v>
      </c>
      <c r="H1591" s="13" t="e">
        <f t="shared" si="99"/>
        <v>#VALUE!</v>
      </c>
    </row>
    <row r="1592" spans="2:8">
      <c r="B1592" s="11" t="str">
        <f t="shared" si="97"/>
        <v/>
      </c>
      <c r="C1592" s="11" t="str">
        <f t="shared" si="100"/>
        <v/>
      </c>
      <c r="F1592" s="10" t="str">
        <v/>
      </c>
      <c r="G1592" t="e">
        <f t="shared" si="98"/>
        <v>#VALUE!</v>
      </c>
      <c r="H1592" s="13" t="e">
        <f t="shared" si="99"/>
        <v>#VALUE!</v>
      </c>
    </row>
    <row r="1593" spans="2:8">
      <c r="B1593" s="11" t="str">
        <f t="shared" si="97"/>
        <v/>
      </c>
      <c r="C1593" s="11" t="str">
        <f t="shared" si="100"/>
        <v/>
      </c>
      <c r="F1593" s="10" t="str">
        <v/>
      </c>
      <c r="G1593" t="e">
        <f t="shared" si="98"/>
        <v>#VALUE!</v>
      </c>
      <c r="H1593" s="13" t="e">
        <f t="shared" si="99"/>
        <v>#VALUE!</v>
      </c>
    </row>
    <row r="1594" spans="2:8">
      <c r="B1594" s="11" t="str">
        <f t="shared" si="97"/>
        <v/>
      </c>
      <c r="C1594" s="11" t="str">
        <f t="shared" si="100"/>
        <v/>
      </c>
      <c r="F1594" s="10" t="str">
        <v/>
      </c>
      <c r="G1594" t="e">
        <f t="shared" si="98"/>
        <v>#VALUE!</v>
      </c>
      <c r="H1594" s="13" t="e">
        <f t="shared" si="99"/>
        <v>#VALUE!</v>
      </c>
    </row>
    <row r="1595" spans="2:8">
      <c r="B1595" s="11" t="str">
        <f t="shared" si="97"/>
        <v/>
      </c>
      <c r="C1595" s="11" t="str">
        <f t="shared" si="100"/>
        <v/>
      </c>
      <c r="F1595" s="10" t="str">
        <v/>
      </c>
      <c r="G1595" t="e">
        <f t="shared" si="98"/>
        <v>#VALUE!</v>
      </c>
      <c r="H1595" s="13" t="e">
        <f t="shared" si="99"/>
        <v>#VALUE!</v>
      </c>
    </row>
    <row r="1596" spans="2:8">
      <c r="B1596" s="11" t="str">
        <f t="shared" si="97"/>
        <v/>
      </c>
      <c r="C1596" s="11" t="str">
        <f t="shared" si="100"/>
        <v/>
      </c>
      <c r="F1596" s="10" t="str">
        <v/>
      </c>
      <c r="G1596" t="e">
        <f t="shared" si="98"/>
        <v>#VALUE!</v>
      </c>
      <c r="H1596" s="13" t="e">
        <f t="shared" si="99"/>
        <v>#VALUE!</v>
      </c>
    </row>
    <row r="1597" spans="2:8">
      <c r="B1597" s="11" t="str">
        <f t="shared" si="97"/>
        <v/>
      </c>
      <c r="C1597" s="11" t="str">
        <f t="shared" si="100"/>
        <v/>
      </c>
      <c r="F1597" s="10" t="str">
        <v/>
      </c>
      <c r="G1597" t="e">
        <f t="shared" si="98"/>
        <v>#VALUE!</v>
      </c>
      <c r="H1597" s="13" t="e">
        <f t="shared" si="99"/>
        <v>#VALUE!</v>
      </c>
    </row>
    <row r="1598" spans="2:8">
      <c r="B1598" s="11" t="str">
        <f t="shared" si="97"/>
        <v/>
      </c>
      <c r="C1598" s="11" t="str">
        <f t="shared" si="100"/>
        <v/>
      </c>
      <c r="F1598" s="10" t="str">
        <v/>
      </c>
      <c r="G1598" t="e">
        <f t="shared" si="98"/>
        <v>#VALUE!</v>
      </c>
      <c r="H1598" s="13" t="e">
        <f t="shared" si="99"/>
        <v>#VALUE!</v>
      </c>
    </row>
    <row r="1599" spans="2:8">
      <c r="B1599" s="11" t="str">
        <f t="shared" si="97"/>
        <v/>
      </c>
      <c r="C1599" s="11" t="str">
        <f t="shared" si="100"/>
        <v/>
      </c>
      <c r="F1599" s="10" t="str">
        <v/>
      </c>
      <c r="G1599" t="e">
        <f t="shared" si="98"/>
        <v>#VALUE!</v>
      </c>
      <c r="H1599" s="13" t="e">
        <f t="shared" si="99"/>
        <v>#VALUE!</v>
      </c>
    </row>
    <row r="1600" spans="2:8">
      <c r="B1600" s="11" t="str">
        <f t="shared" si="97"/>
        <v/>
      </c>
      <c r="C1600" s="11" t="str">
        <f t="shared" si="100"/>
        <v/>
      </c>
      <c r="F1600" s="10" t="str">
        <v/>
      </c>
      <c r="G1600" t="e">
        <f t="shared" si="98"/>
        <v>#VALUE!</v>
      </c>
      <c r="H1600" s="13" t="e">
        <f t="shared" si="99"/>
        <v>#VALUE!</v>
      </c>
    </row>
    <row r="1601" spans="2:8">
      <c r="B1601" s="11" t="str">
        <f t="shared" ref="B1601:B1664" si="101">IFERROR(IF(FIND(" ",A1601)=6,IF(IFERROR(FIND(" PB",A1601),"")&lt;&gt;"","артикул",IF(IFERROR(FIND(" CRN",A1601),"")&lt;&gt;"","артикул","")),""),"")</f>
        <v/>
      </c>
      <c r="C1601" s="11" t="str">
        <f t="shared" si="100"/>
        <v/>
      </c>
      <c r="F1601" s="10" t="str">
        <v/>
      </c>
      <c r="G1601" t="e">
        <f t="shared" si="98"/>
        <v>#VALUE!</v>
      </c>
      <c r="H1601" s="13" t="e">
        <f t="shared" si="99"/>
        <v>#VALUE!</v>
      </c>
    </row>
    <row r="1602" spans="2:8">
      <c r="B1602" s="11" t="str">
        <f t="shared" si="101"/>
        <v/>
      </c>
      <c r="C1602" s="11" t="str">
        <f t="shared" si="100"/>
        <v/>
      </c>
      <c r="F1602" s="10" t="str">
        <v/>
      </c>
      <c r="G1602" t="e">
        <f t="shared" ref="G1602:G1665" si="102">CONCATENATE(LEFT(F1602,5),
MID(F1602,
SEARCH("\",SUBSTITUTE(F1602," ","\",LEN(F1602)-LEN(SUBSTITUTE(F1602," ",""))-4)),
SEARCH("\",SUBSTITUTE(F1602," ","\",LEN(F1602)-LEN(SUBSTITUTE(F1602," ",""))-3))-
SEARCH("\",SUBSTITUTE(F1602," ","\",LEN(F1602)-LEN(SUBSTITUTE(F1602," ",""))-4)))*1)</f>
        <v>#VALUE!</v>
      </c>
      <c r="H1602" s="13" t="e">
        <f t="shared" ref="H1602:H1665" si="103">SUBSTITUTE(
RIGHT(F1602,LEN(F1602)-
FIND("\",SUBSTITUTE(F1602," ","\",LEN(F1602)-LEN(SUBSTITUTE(F1602," ",""))))),
".","")</f>
        <v>#VALUE!</v>
      </c>
    </row>
    <row r="1603" spans="2:8">
      <c r="B1603" s="11" t="str">
        <f t="shared" si="101"/>
        <v/>
      </c>
      <c r="C1603" s="11" t="str">
        <f t="shared" si="100"/>
        <v/>
      </c>
      <c r="F1603" s="10" t="str">
        <v/>
      </c>
      <c r="G1603" t="e">
        <f t="shared" si="102"/>
        <v>#VALUE!</v>
      </c>
      <c r="H1603" s="13" t="e">
        <f t="shared" si="103"/>
        <v>#VALUE!</v>
      </c>
    </row>
    <row r="1604" spans="2:8">
      <c r="B1604" s="11" t="str">
        <f t="shared" si="101"/>
        <v/>
      </c>
      <c r="C1604" s="11" t="str">
        <f t="shared" si="100"/>
        <v/>
      </c>
      <c r="F1604" s="10" t="str">
        <v/>
      </c>
      <c r="G1604" t="e">
        <f t="shared" si="102"/>
        <v>#VALUE!</v>
      </c>
      <c r="H1604" s="13" t="e">
        <f t="shared" si="103"/>
        <v>#VALUE!</v>
      </c>
    </row>
    <row r="1605" spans="2:8">
      <c r="B1605" s="11" t="str">
        <f t="shared" si="101"/>
        <v/>
      </c>
      <c r="C1605" s="11" t="str">
        <f t="shared" si="100"/>
        <v/>
      </c>
      <c r="F1605" s="10" t="str">
        <v/>
      </c>
      <c r="G1605" t="e">
        <f t="shared" si="102"/>
        <v>#VALUE!</v>
      </c>
      <c r="H1605" s="13" t="e">
        <f t="shared" si="103"/>
        <v>#VALUE!</v>
      </c>
    </row>
    <row r="1606" spans="2:8">
      <c r="B1606" s="11" t="str">
        <f t="shared" si="101"/>
        <v/>
      </c>
      <c r="C1606" s="11" t="str">
        <f t="shared" si="100"/>
        <v/>
      </c>
      <c r="F1606" s="10" t="str">
        <v/>
      </c>
      <c r="G1606" t="e">
        <f t="shared" si="102"/>
        <v>#VALUE!</v>
      </c>
      <c r="H1606" s="13" t="e">
        <f t="shared" si="103"/>
        <v>#VALUE!</v>
      </c>
    </row>
    <row r="1607" spans="2:8">
      <c r="B1607" s="11" t="str">
        <f t="shared" si="101"/>
        <v/>
      </c>
      <c r="C1607" s="11" t="str">
        <f t="shared" si="100"/>
        <v/>
      </c>
      <c r="F1607" s="10" t="str">
        <v/>
      </c>
      <c r="G1607" t="e">
        <f t="shared" si="102"/>
        <v>#VALUE!</v>
      </c>
      <c r="H1607" s="13" t="e">
        <f t="shared" si="103"/>
        <v>#VALUE!</v>
      </c>
    </row>
    <row r="1608" spans="2:8">
      <c r="B1608" s="11" t="str">
        <f t="shared" si="101"/>
        <v/>
      </c>
      <c r="C1608" s="11" t="str">
        <f t="shared" si="100"/>
        <v/>
      </c>
      <c r="F1608" s="10" t="str">
        <v/>
      </c>
      <c r="G1608" t="e">
        <f t="shared" si="102"/>
        <v>#VALUE!</v>
      </c>
      <c r="H1608" s="13" t="e">
        <f t="shared" si="103"/>
        <v>#VALUE!</v>
      </c>
    </row>
    <row r="1609" spans="2:8">
      <c r="B1609" s="11" t="str">
        <f t="shared" si="101"/>
        <v/>
      </c>
      <c r="C1609" s="11" t="str">
        <f t="shared" si="100"/>
        <v/>
      </c>
      <c r="F1609" s="10" t="str">
        <v/>
      </c>
      <c r="G1609" t="e">
        <f t="shared" si="102"/>
        <v>#VALUE!</v>
      </c>
      <c r="H1609" s="13" t="e">
        <f t="shared" si="103"/>
        <v>#VALUE!</v>
      </c>
    </row>
    <row r="1610" spans="2:8">
      <c r="B1610" s="11" t="str">
        <f t="shared" si="101"/>
        <v/>
      </c>
      <c r="C1610" s="11" t="str">
        <f t="shared" si="100"/>
        <v/>
      </c>
      <c r="F1610" s="10" t="str">
        <v/>
      </c>
      <c r="G1610" t="e">
        <f t="shared" si="102"/>
        <v>#VALUE!</v>
      </c>
      <c r="H1610" s="13" t="e">
        <f t="shared" si="103"/>
        <v>#VALUE!</v>
      </c>
    </row>
    <row r="1611" spans="2:8">
      <c r="B1611" s="11" t="str">
        <f t="shared" si="101"/>
        <v/>
      </c>
      <c r="C1611" s="11" t="str">
        <f t="shared" si="100"/>
        <v/>
      </c>
      <c r="F1611" s="10" t="str">
        <v/>
      </c>
      <c r="G1611" t="e">
        <f t="shared" si="102"/>
        <v>#VALUE!</v>
      </c>
      <c r="H1611" s="13" t="e">
        <f t="shared" si="103"/>
        <v>#VALUE!</v>
      </c>
    </row>
    <row r="1612" spans="2:8">
      <c r="B1612" s="11" t="str">
        <f t="shared" si="101"/>
        <v/>
      </c>
      <c r="C1612" s="11" t="str">
        <f t="shared" si="100"/>
        <v/>
      </c>
      <c r="F1612" s="10" t="str">
        <v/>
      </c>
      <c r="G1612" t="e">
        <f t="shared" si="102"/>
        <v>#VALUE!</v>
      </c>
      <c r="H1612" s="13" t="e">
        <f t="shared" si="103"/>
        <v>#VALUE!</v>
      </c>
    </row>
    <row r="1613" spans="2:8">
      <c r="B1613" s="11" t="str">
        <f t="shared" si="101"/>
        <v/>
      </c>
      <c r="C1613" s="11" t="str">
        <f t="shared" si="100"/>
        <v/>
      </c>
      <c r="F1613" s="10" t="str">
        <v/>
      </c>
      <c r="G1613" t="e">
        <f t="shared" si="102"/>
        <v>#VALUE!</v>
      </c>
      <c r="H1613" s="13" t="e">
        <f t="shared" si="103"/>
        <v>#VALUE!</v>
      </c>
    </row>
    <row r="1614" spans="2:8">
      <c r="B1614" s="11" t="str">
        <f t="shared" si="101"/>
        <v/>
      </c>
      <c r="C1614" s="11" t="str">
        <f t="shared" si="100"/>
        <v/>
      </c>
      <c r="F1614" s="10" t="str">
        <v/>
      </c>
      <c r="G1614" t="e">
        <f t="shared" si="102"/>
        <v>#VALUE!</v>
      </c>
      <c r="H1614" s="13" t="e">
        <f t="shared" si="103"/>
        <v>#VALUE!</v>
      </c>
    </row>
    <row r="1615" spans="2:8">
      <c r="B1615" s="11" t="str">
        <f t="shared" si="101"/>
        <v/>
      </c>
      <c r="C1615" s="11" t="str">
        <f t="shared" si="100"/>
        <v/>
      </c>
      <c r="F1615" s="10" t="str">
        <v/>
      </c>
      <c r="G1615" t="e">
        <f t="shared" si="102"/>
        <v>#VALUE!</v>
      </c>
      <c r="H1615" s="13" t="e">
        <f t="shared" si="103"/>
        <v>#VALUE!</v>
      </c>
    </row>
    <row r="1616" spans="2:8">
      <c r="B1616" s="11" t="str">
        <f t="shared" si="101"/>
        <v/>
      </c>
      <c r="C1616" s="11" t="str">
        <f t="shared" si="100"/>
        <v/>
      </c>
      <c r="F1616" s="10" t="str">
        <v/>
      </c>
      <c r="G1616" t="e">
        <f t="shared" si="102"/>
        <v>#VALUE!</v>
      </c>
      <c r="H1616" s="13" t="e">
        <f t="shared" si="103"/>
        <v>#VALUE!</v>
      </c>
    </row>
    <row r="1617" spans="2:8">
      <c r="B1617" s="11" t="str">
        <f t="shared" si="101"/>
        <v/>
      </c>
      <c r="C1617" s="11" t="str">
        <f t="shared" si="100"/>
        <v/>
      </c>
      <c r="F1617" s="10" t="str">
        <v/>
      </c>
      <c r="G1617" t="e">
        <f t="shared" si="102"/>
        <v>#VALUE!</v>
      </c>
      <c r="H1617" s="13" t="e">
        <f t="shared" si="103"/>
        <v>#VALUE!</v>
      </c>
    </row>
    <row r="1618" spans="2:8">
      <c r="B1618" s="11" t="str">
        <f t="shared" si="101"/>
        <v/>
      </c>
      <c r="C1618" s="11" t="str">
        <f t="shared" si="100"/>
        <v/>
      </c>
      <c r="F1618" s="10" t="str">
        <v/>
      </c>
      <c r="G1618" t="e">
        <f t="shared" si="102"/>
        <v>#VALUE!</v>
      </c>
      <c r="H1618" s="13" t="e">
        <f t="shared" si="103"/>
        <v>#VALUE!</v>
      </c>
    </row>
    <row r="1619" spans="2:8">
      <c r="B1619" s="11" t="str">
        <f t="shared" si="101"/>
        <v/>
      </c>
      <c r="C1619" s="11" t="str">
        <f t="shared" si="100"/>
        <v/>
      </c>
      <c r="F1619" s="10" t="str">
        <v/>
      </c>
      <c r="G1619" t="e">
        <f t="shared" si="102"/>
        <v>#VALUE!</v>
      </c>
      <c r="H1619" s="13" t="e">
        <f t="shared" si="103"/>
        <v>#VALUE!</v>
      </c>
    </row>
    <row r="1620" spans="2:8">
      <c r="B1620" s="11" t="str">
        <f t="shared" si="101"/>
        <v/>
      </c>
      <c r="C1620" s="11" t="str">
        <f t="shared" si="100"/>
        <v/>
      </c>
      <c r="F1620" s="10" t="str">
        <v/>
      </c>
      <c r="G1620" t="e">
        <f t="shared" si="102"/>
        <v>#VALUE!</v>
      </c>
      <c r="H1620" s="13" t="e">
        <f t="shared" si="103"/>
        <v>#VALUE!</v>
      </c>
    </row>
    <row r="1621" spans="2:8">
      <c r="B1621" s="11" t="str">
        <f t="shared" si="101"/>
        <v/>
      </c>
      <c r="C1621" s="11" t="str">
        <f t="shared" si="100"/>
        <v/>
      </c>
      <c r="F1621" s="10" t="str">
        <v/>
      </c>
      <c r="G1621" t="e">
        <f t="shared" si="102"/>
        <v>#VALUE!</v>
      </c>
      <c r="H1621" s="13" t="e">
        <f t="shared" si="103"/>
        <v>#VALUE!</v>
      </c>
    </row>
    <row r="1622" spans="2:8">
      <c r="B1622" s="11" t="str">
        <f t="shared" si="101"/>
        <v/>
      </c>
      <c r="C1622" s="11" t="str">
        <f t="shared" si="100"/>
        <v/>
      </c>
      <c r="F1622" s="10" t="str">
        <v/>
      </c>
      <c r="G1622" t="e">
        <f t="shared" si="102"/>
        <v>#VALUE!</v>
      </c>
      <c r="H1622" s="13" t="e">
        <f t="shared" si="103"/>
        <v>#VALUE!</v>
      </c>
    </row>
    <row r="1623" spans="2:8">
      <c r="B1623" s="11" t="str">
        <f t="shared" si="101"/>
        <v/>
      </c>
      <c r="C1623" s="11" t="str">
        <f t="shared" si="100"/>
        <v/>
      </c>
      <c r="F1623" s="10" t="str">
        <v/>
      </c>
      <c r="G1623" t="e">
        <f t="shared" si="102"/>
        <v>#VALUE!</v>
      </c>
      <c r="H1623" s="13" t="e">
        <f t="shared" si="103"/>
        <v>#VALUE!</v>
      </c>
    </row>
    <row r="1624" spans="2:8">
      <c r="B1624" s="11" t="str">
        <f t="shared" si="101"/>
        <v/>
      </c>
      <c r="C1624" s="11" t="str">
        <f t="shared" si="100"/>
        <v/>
      </c>
      <c r="F1624" s="10" t="str">
        <v/>
      </c>
      <c r="G1624" t="e">
        <f t="shared" si="102"/>
        <v>#VALUE!</v>
      </c>
      <c r="H1624" s="13" t="e">
        <f t="shared" si="103"/>
        <v>#VALUE!</v>
      </c>
    </row>
    <row r="1625" spans="2:8">
      <c r="B1625" s="11" t="str">
        <f t="shared" si="101"/>
        <v/>
      </c>
      <c r="C1625" s="11" t="str">
        <f t="shared" si="100"/>
        <v/>
      </c>
      <c r="F1625" s="10" t="str">
        <v/>
      </c>
      <c r="G1625" t="e">
        <f t="shared" si="102"/>
        <v>#VALUE!</v>
      </c>
      <c r="H1625" s="13" t="e">
        <f t="shared" si="103"/>
        <v>#VALUE!</v>
      </c>
    </row>
    <row r="1626" spans="2:8">
      <c r="B1626" s="11" t="str">
        <f t="shared" si="101"/>
        <v/>
      </c>
      <c r="C1626" s="11" t="str">
        <f t="shared" si="100"/>
        <v/>
      </c>
      <c r="F1626" s="10" t="str">
        <v/>
      </c>
      <c r="G1626" t="e">
        <f t="shared" si="102"/>
        <v>#VALUE!</v>
      </c>
      <c r="H1626" s="13" t="e">
        <f t="shared" si="103"/>
        <v>#VALUE!</v>
      </c>
    </row>
    <row r="1627" spans="2:8">
      <c r="B1627" s="11" t="str">
        <f t="shared" si="101"/>
        <v/>
      </c>
      <c r="C1627" s="11" t="str">
        <f t="shared" si="100"/>
        <v/>
      </c>
      <c r="F1627" s="10" t="str">
        <v/>
      </c>
      <c r="G1627" t="e">
        <f t="shared" si="102"/>
        <v>#VALUE!</v>
      </c>
      <c r="H1627" s="13" t="e">
        <f t="shared" si="103"/>
        <v>#VALUE!</v>
      </c>
    </row>
    <row r="1628" spans="2:8">
      <c r="B1628" s="11" t="str">
        <f t="shared" si="101"/>
        <v/>
      </c>
      <c r="C1628" s="11" t="str">
        <f t="shared" si="100"/>
        <v/>
      </c>
      <c r="F1628" s="10" t="str">
        <v/>
      </c>
      <c r="G1628" t="e">
        <f t="shared" si="102"/>
        <v>#VALUE!</v>
      </c>
      <c r="H1628" s="13" t="e">
        <f t="shared" si="103"/>
        <v>#VALUE!</v>
      </c>
    </row>
    <row r="1629" spans="2:8">
      <c r="B1629" s="11" t="str">
        <f t="shared" si="101"/>
        <v/>
      </c>
      <c r="C1629" s="11" t="str">
        <f t="shared" si="100"/>
        <v/>
      </c>
      <c r="F1629" s="10" t="str">
        <v/>
      </c>
      <c r="G1629" t="e">
        <f t="shared" si="102"/>
        <v>#VALUE!</v>
      </c>
      <c r="H1629" s="13" t="e">
        <f t="shared" si="103"/>
        <v>#VALUE!</v>
      </c>
    </row>
    <row r="1630" spans="2:8">
      <c r="B1630" s="11" t="str">
        <f t="shared" si="101"/>
        <v/>
      </c>
      <c r="C1630" s="11" t="str">
        <f t="shared" si="100"/>
        <v/>
      </c>
      <c r="F1630" s="10" t="str">
        <v/>
      </c>
      <c r="G1630" t="e">
        <f t="shared" si="102"/>
        <v>#VALUE!</v>
      </c>
      <c r="H1630" s="13" t="e">
        <f t="shared" si="103"/>
        <v>#VALUE!</v>
      </c>
    </row>
    <row r="1631" spans="2:8">
      <c r="B1631" s="11" t="str">
        <f t="shared" si="101"/>
        <v/>
      </c>
      <c r="C1631" s="11" t="str">
        <f t="shared" si="100"/>
        <v/>
      </c>
      <c r="F1631" s="10" t="str">
        <v/>
      </c>
      <c r="G1631" t="e">
        <f t="shared" si="102"/>
        <v>#VALUE!</v>
      </c>
      <c r="H1631" s="13" t="e">
        <f t="shared" si="103"/>
        <v>#VALUE!</v>
      </c>
    </row>
    <row r="1632" spans="2:8">
      <c r="B1632" s="11" t="str">
        <f t="shared" si="101"/>
        <v/>
      </c>
      <c r="C1632" s="11" t="str">
        <f t="shared" si="100"/>
        <v/>
      </c>
      <c r="F1632" s="10" t="str">
        <v/>
      </c>
      <c r="G1632" t="e">
        <f t="shared" si="102"/>
        <v>#VALUE!</v>
      </c>
      <c r="H1632" s="13" t="e">
        <f t="shared" si="103"/>
        <v>#VALUE!</v>
      </c>
    </row>
    <row r="1633" spans="2:8">
      <c r="B1633" s="11" t="str">
        <f t="shared" si="101"/>
        <v/>
      </c>
      <c r="C1633" s="11" t="str">
        <f t="shared" si="100"/>
        <v/>
      </c>
      <c r="F1633" s="10" t="str">
        <v/>
      </c>
      <c r="G1633" t="e">
        <f t="shared" si="102"/>
        <v>#VALUE!</v>
      </c>
      <c r="H1633" s="13" t="e">
        <f t="shared" si="103"/>
        <v>#VALUE!</v>
      </c>
    </row>
    <row r="1634" spans="2:8">
      <c r="B1634" s="11" t="str">
        <f t="shared" si="101"/>
        <v/>
      </c>
      <c r="C1634" s="11" t="str">
        <f t="shared" si="100"/>
        <v/>
      </c>
      <c r="F1634" s="10" t="str">
        <v/>
      </c>
      <c r="G1634" t="e">
        <f t="shared" si="102"/>
        <v>#VALUE!</v>
      </c>
      <c r="H1634" s="13" t="e">
        <f t="shared" si="103"/>
        <v>#VALUE!</v>
      </c>
    </row>
    <row r="1635" spans="2:8">
      <c r="B1635" s="11" t="str">
        <f t="shared" si="101"/>
        <v/>
      </c>
      <c r="C1635" s="11" t="str">
        <f t="shared" si="100"/>
        <v/>
      </c>
      <c r="F1635" s="10" t="str">
        <v/>
      </c>
      <c r="G1635" t="e">
        <f t="shared" si="102"/>
        <v>#VALUE!</v>
      </c>
      <c r="H1635" s="13" t="e">
        <f t="shared" si="103"/>
        <v>#VALUE!</v>
      </c>
    </row>
    <row r="1636" spans="2:8">
      <c r="B1636" s="11" t="str">
        <f t="shared" si="101"/>
        <v/>
      </c>
      <c r="C1636" s="11" t="str">
        <f t="shared" si="100"/>
        <v/>
      </c>
      <c r="F1636" s="10" t="str">
        <v/>
      </c>
      <c r="G1636" t="e">
        <f t="shared" si="102"/>
        <v>#VALUE!</v>
      </c>
      <c r="H1636" s="13" t="e">
        <f t="shared" si="103"/>
        <v>#VALUE!</v>
      </c>
    </row>
    <row r="1637" spans="2:8">
      <c r="B1637" s="11" t="str">
        <f t="shared" si="101"/>
        <v/>
      </c>
      <c r="C1637" s="11" t="str">
        <f t="shared" si="100"/>
        <v/>
      </c>
      <c r="F1637" s="10" t="str">
        <v/>
      </c>
      <c r="G1637" t="e">
        <f t="shared" si="102"/>
        <v>#VALUE!</v>
      </c>
      <c r="H1637" s="13" t="e">
        <f t="shared" si="103"/>
        <v>#VALUE!</v>
      </c>
    </row>
    <row r="1638" spans="2:8">
      <c r="B1638" s="11" t="str">
        <f t="shared" si="101"/>
        <v/>
      </c>
      <c r="C1638" s="11" t="str">
        <f t="shared" si="100"/>
        <v/>
      </c>
      <c r="F1638" s="10" t="str">
        <v/>
      </c>
      <c r="G1638" t="e">
        <f t="shared" si="102"/>
        <v>#VALUE!</v>
      </c>
      <c r="H1638" s="13" t="e">
        <f t="shared" si="103"/>
        <v>#VALUE!</v>
      </c>
    </row>
    <row r="1639" spans="2:8">
      <c r="B1639" s="11" t="str">
        <f t="shared" si="101"/>
        <v/>
      </c>
      <c r="C1639" s="11" t="str">
        <f t="shared" si="100"/>
        <v/>
      </c>
      <c r="F1639" s="10" t="str">
        <v/>
      </c>
      <c r="G1639" t="e">
        <f t="shared" si="102"/>
        <v>#VALUE!</v>
      </c>
      <c r="H1639" s="13" t="e">
        <f t="shared" si="103"/>
        <v>#VALUE!</v>
      </c>
    </row>
    <row r="1640" spans="2:8">
      <c r="B1640" s="11" t="str">
        <f t="shared" si="101"/>
        <v/>
      </c>
      <c r="C1640" s="11" t="str">
        <f t="shared" si="100"/>
        <v/>
      </c>
      <c r="F1640" s="10" t="str">
        <v/>
      </c>
      <c r="G1640" t="e">
        <f t="shared" si="102"/>
        <v>#VALUE!</v>
      </c>
      <c r="H1640" s="13" t="e">
        <f t="shared" si="103"/>
        <v>#VALUE!</v>
      </c>
    </row>
    <row r="1641" spans="2:8">
      <c r="B1641" s="11" t="str">
        <f t="shared" si="101"/>
        <v/>
      </c>
      <c r="C1641" s="11" t="str">
        <f t="shared" ref="C1641:C1704" si="104">IF(B1641="артикул",A1641,"")</f>
        <v/>
      </c>
      <c r="F1641" s="10" t="str">
        <v/>
      </c>
      <c r="G1641" t="e">
        <f t="shared" si="102"/>
        <v>#VALUE!</v>
      </c>
      <c r="H1641" s="13" t="e">
        <f t="shared" si="103"/>
        <v>#VALUE!</v>
      </c>
    </row>
    <row r="1642" spans="2:8">
      <c r="B1642" s="11" t="str">
        <f t="shared" si="101"/>
        <v/>
      </c>
      <c r="C1642" s="11" t="str">
        <f t="shared" si="104"/>
        <v/>
      </c>
      <c r="F1642" s="10" t="str">
        <v/>
      </c>
      <c r="G1642" t="e">
        <f t="shared" si="102"/>
        <v>#VALUE!</v>
      </c>
      <c r="H1642" s="13" t="e">
        <f t="shared" si="103"/>
        <v>#VALUE!</v>
      </c>
    </row>
    <row r="1643" spans="2:8">
      <c r="B1643" s="11" t="str">
        <f t="shared" si="101"/>
        <v/>
      </c>
      <c r="C1643" s="11" t="str">
        <f t="shared" si="104"/>
        <v/>
      </c>
      <c r="F1643" s="10" t="str">
        <v/>
      </c>
      <c r="G1643" t="e">
        <f t="shared" si="102"/>
        <v>#VALUE!</v>
      </c>
      <c r="H1643" s="13" t="e">
        <f t="shared" si="103"/>
        <v>#VALUE!</v>
      </c>
    </row>
    <row r="1644" spans="2:8">
      <c r="B1644" s="11" t="str">
        <f t="shared" si="101"/>
        <v/>
      </c>
      <c r="C1644" s="11" t="str">
        <f t="shared" si="104"/>
        <v/>
      </c>
      <c r="F1644" s="10" t="str">
        <v/>
      </c>
      <c r="G1644" t="e">
        <f t="shared" si="102"/>
        <v>#VALUE!</v>
      </c>
      <c r="H1644" s="13" t="e">
        <f t="shared" si="103"/>
        <v>#VALUE!</v>
      </c>
    </row>
    <row r="1645" spans="2:8">
      <c r="B1645" s="11" t="str">
        <f t="shared" si="101"/>
        <v/>
      </c>
      <c r="C1645" s="11" t="str">
        <f t="shared" si="104"/>
        <v/>
      </c>
      <c r="F1645" s="10" t="str">
        <v/>
      </c>
      <c r="G1645" t="e">
        <f t="shared" si="102"/>
        <v>#VALUE!</v>
      </c>
      <c r="H1645" s="13" t="e">
        <f t="shared" si="103"/>
        <v>#VALUE!</v>
      </c>
    </row>
    <row r="1646" spans="2:8">
      <c r="B1646" s="11" t="str">
        <f t="shared" si="101"/>
        <v/>
      </c>
      <c r="C1646" s="11" t="str">
        <f t="shared" si="104"/>
        <v/>
      </c>
      <c r="F1646" s="10" t="str">
        <v/>
      </c>
      <c r="G1646" t="e">
        <f t="shared" si="102"/>
        <v>#VALUE!</v>
      </c>
      <c r="H1646" s="13" t="e">
        <f t="shared" si="103"/>
        <v>#VALUE!</v>
      </c>
    </row>
    <row r="1647" spans="2:8">
      <c r="B1647" s="11" t="str">
        <f t="shared" si="101"/>
        <v/>
      </c>
      <c r="C1647" s="11" t="str">
        <f t="shared" si="104"/>
        <v/>
      </c>
      <c r="F1647" s="10" t="str">
        <v/>
      </c>
      <c r="G1647" t="e">
        <f t="shared" si="102"/>
        <v>#VALUE!</v>
      </c>
      <c r="H1647" s="13" t="e">
        <f t="shared" si="103"/>
        <v>#VALUE!</v>
      </c>
    </row>
    <row r="1648" spans="2:8">
      <c r="B1648" s="11" t="str">
        <f t="shared" si="101"/>
        <v/>
      </c>
      <c r="C1648" s="11" t="str">
        <f t="shared" si="104"/>
        <v/>
      </c>
      <c r="F1648" s="10" t="str">
        <v/>
      </c>
      <c r="G1648" t="e">
        <f t="shared" si="102"/>
        <v>#VALUE!</v>
      </c>
      <c r="H1648" s="13" t="e">
        <f t="shared" si="103"/>
        <v>#VALUE!</v>
      </c>
    </row>
    <row r="1649" spans="2:8">
      <c r="B1649" s="11" t="str">
        <f t="shared" si="101"/>
        <v/>
      </c>
      <c r="C1649" s="11" t="str">
        <f t="shared" si="104"/>
        <v/>
      </c>
      <c r="F1649" s="10" t="str">
        <v/>
      </c>
      <c r="G1649" t="e">
        <f t="shared" si="102"/>
        <v>#VALUE!</v>
      </c>
      <c r="H1649" s="13" t="e">
        <f t="shared" si="103"/>
        <v>#VALUE!</v>
      </c>
    </row>
    <row r="1650" spans="2:8">
      <c r="B1650" s="11" t="str">
        <f t="shared" si="101"/>
        <v/>
      </c>
      <c r="C1650" s="11" t="str">
        <f t="shared" si="104"/>
        <v/>
      </c>
      <c r="F1650" s="10" t="str">
        <v/>
      </c>
      <c r="G1650" t="e">
        <f t="shared" si="102"/>
        <v>#VALUE!</v>
      </c>
      <c r="H1650" s="13" t="e">
        <f t="shared" si="103"/>
        <v>#VALUE!</v>
      </c>
    </row>
    <row r="1651" spans="2:8">
      <c r="B1651" s="11" t="str">
        <f t="shared" si="101"/>
        <v/>
      </c>
      <c r="C1651" s="11" t="str">
        <f t="shared" si="104"/>
        <v/>
      </c>
      <c r="F1651" s="10" t="str">
        <v/>
      </c>
      <c r="G1651" t="e">
        <f t="shared" si="102"/>
        <v>#VALUE!</v>
      </c>
      <c r="H1651" s="13" t="e">
        <f t="shared" si="103"/>
        <v>#VALUE!</v>
      </c>
    </row>
    <row r="1652" spans="2:8">
      <c r="B1652" s="11" t="str">
        <f t="shared" si="101"/>
        <v/>
      </c>
      <c r="C1652" s="11" t="str">
        <f t="shared" si="104"/>
        <v/>
      </c>
      <c r="F1652" s="10" t="str">
        <v/>
      </c>
      <c r="G1652" t="e">
        <f t="shared" si="102"/>
        <v>#VALUE!</v>
      </c>
      <c r="H1652" s="13" t="e">
        <f t="shared" si="103"/>
        <v>#VALUE!</v>
      </c>
    </row>
    <row r="1653" spans="2:8">
      <c r="B1653" s="11" t="str">
        <f t="shared" si="101"/>
        <v/>
      </c>
      <c r="C1653" s="11" t="str">
        <f t="shared" si="104"/>
        <v/>
      </c>
      <c r="F1653" s="10" t="str">
        <v/>
      </c>
      <c r="G1653" t="e">
        <f t="shared" si="102"/>
        <v>#VALUE!</v>
      </c>
      <c r="H1653" s="13" t="e">
        <f t="shared" si="103"/>
        <v>#VALUE!</v>
      </c>
    </row>
    <row r="1654" spans="2:8">
      <c r="B1654" s="11" t="str">
        <f t="shared" si="101"/>
        <v/>
      </c>
      <c r="C1654" s="11" t="str">
        <f t="shared" si="104"/>
        <v/>
      </c>
      <c r="F1654" s="10" t="str">
        <v/>
      </c>
      <c r="G1654" t="e">
        <f t="shared" si="102"/>
        <v>#VALUE!</v>
      </c>
      <c r="H1654" s="13" t="e">
        <f t="shared" si="103"/>
        <v>#VALUE!</v>
      </c>
    </row>
    <row r="1655" spans="2:8">
      <c r="B1655" s="11" t="str">
        <f t="shared" si="101"/>
        <v/>
      </c>
      <c r="C1655" s="11" t="str">
        <f t="shared" si="104"/>
        <v/>
      </c>
      <c r="F1655" s="10" t="str">
        <v/>
      </c>
      <c r="G1655" t="e">
        <f t="shared" si="102"/>
        <v>#VALUE!</v>
      </c>
      <c r="H1655" s="13" t="e">
        <f t="shared" si="103"/>
        <v>#VALUE!</v>
      </c>
    </row>
    <row r="1656" spans="2:8">
      <c r="B1656" s="11" t="str">
        <f t="shared" si="101"/>
        <v/>
      </c>
      <c r="C1656" s="11" t="str">
        <f t="shared" si="104"/>
        <v/>
      </c>
      <c r="F1656" s="10" t="str">
        <v/>
      </c>
      <c r="G1656" t="e">
        <f t="shared" si="102"/>
        <v>#VALUE!</v>
      </c>
      <c r="H1656" s="13" t="e">
        <f t="shared" si="103"/>
        <v>#VALUE!</v>
      </c>
    </row>
    <row r="1657" spans="2:8">
      <c r="B1657" s="11" t="str">
        <f t="shared" si="101"/>
        <v/>
      </c>
      <c r="C1657" s="11" t="str">
        <f t="shared" si="104"/>
        <v/>
      </c>
      <c r="F1657" s="10" t="str">
        <v/>
      </c>
      <c r="G1657" t="e">
        <f t="shared" si="102"/>
        <v>#VALUE!</v>
      </c>
      <c r="H1657" s="13" t="e">
        <f t="shared" si="103"/>
        <v>#VALUE!</v>
      </c>
    </row>
    <row r="1658" spans="2:8">
      <c r="B1658" s="11" t="str">
        <f t="shared" si="101"/>
        <v/>
      </c>
      <c r="C1658" s="11" t="str">
        <f t="shared" si="104"/>
        <v/>
      </c>
      <c r="F1658" s="10" t="str">
        <v/>
      </c>
      <c r="G1658" t="e">
        <f t="shared" si="102"/>
        <v>#VALUE!</v>
      </c>
      <c r="H1658" s="13" t="e">
        <f t="shared" si="103"/>
        <v>#VALUE!</v>
      </c>
    </row>
    <row r="1659" spans="2:8">
      <c r="B1659" s="11" t="str">
        <f t="shared" si="101"/>
        <v/>
      </c>
      <c r="C1659" s="11" t="str">
        <f t="shared" si="104"/>
        <v/>
      </c>
      <c r="F1659" s="10" t="str">
        <v/>
      </c>
      <c r="G1659" t="e">
        <f t="shared" si="102"/>
        <v>#VALUE!</v>
      </c>
      <c r="H1659" s="13" t="e">
        <f t="shared" si="103"/>
        <v>#VALUE!</v>
      </c>
    </row>
    <row r="1660" spans="2:8">
      <c r="B1660" s="11" t="str">
        <f t="shared" si="101"/>
        <v/>
      </c>
      <c r="C1660" s="11" t="str">
        <f t="shared" si="104"/>
        <v/>
      </c>
      <c r="F1660" s="10" t="str">
        <v/>
      </c>
      <c r="G1660" t="e">
        <f t="shared" si="102"/>
        <v>#VALUE!</v>
      </c>
      <c r="H1660" s="13" t="e">
        <f t="shared" si="103"/>
        <v>#VALUE!</v>
      </c>
    </row>
    <row r="1661" spans="2:8">
      <c r="B1661" s="11" t="str">
        <f t="shared" si="101"/>
        <v/>
      </c>
      <c r="C1661" s="11" t="str">
        <f t="shared" si="104"/>
        <v/>
      </c>
      <c r="F1661" s="10" t="str">
        <v/>
      </c>
      <c r="G1661" t="e">
        <f t="shared" si="102"/>
        <v>#VALUE!</v>
      </c>
      <c r="H1661" s="13" t="e">
        <f t="shared" si="103"/>
        <v>#VALUE!</v>
      </c>
    </row>
    <row r="1662" spans="2:8">
      <c r="B1662" s="11" t="str">
        <f t="shared" si="101"/>
        <v/>
      </c>
      <c r="C1662" s="11" t="str">
        <f t="shared" si="104"/>
        <v/>
      </c>
      <c r="F1662" s="10" t="str">
        <v/>
      </c>
      <c r="G1662" t="e">
        <f t="shared" si="102"/>
        <v>#VALUE!</v>
      </c>
      <c r="H1662" s="13" t="e">
        <f t="shared" si="103"/>
        <v>#VALUE!</v>
      </c>
    </row>
    <row r="1663" spans="2:8">
      <c r="B1663" s="11" t="str">
        <f t="shared" si="101"/>
        <v/>
      </c>
      <c r="C1663" s="11" t="str">
        <f t="shared" si="104"/>
        <v/>
      </c>
      <c r="F1663" s="10" t="str">
        <v/>
      </c>
      <c r="G1663" t="e">
        <f t="shared" si="102"/>
        <v>#VALUE!</v>
      </c>
      <c r="H1663" s="13" t="e">
        <f t="shared" si="103"/>
        <v>#VALUE!</v>
      </c>
    </row>
    <row r="1664" spans="2:8">
      <c r="B1664" s="11" t="str">
        <f t="shared" si="101"/>
        <v/>
      </c>
      <c r="C1664" s="11" t="str">
        <f t="shared" si="104"/>
        <v/>
      </c>
      <c r="F1664" s="10" t="str">
        <v/>
      </c>
      <c r="G1664" t="e">
        <f t="shared" si="102"/>
        <v>#VALUE!</v>
      </c>
      <c r="H1664" s="13" t="e">
        <f t="shared" si="103"/>
        <v>#VALUE!</v>
      </c>
    </row>
    <row r="1665" spans="2:8">
      <c r="B1665" s="11" t="str">
        <f t="shared" ref="B1665:B1728" si="105">IFERROR(IF(FIND(" ",A1665)=6,IF(IFERROR(FIND(" PB",A1665),"")&lt;&gt;"","артикул",IF(IFERROR(FIND(" CRN",A1665),"")&lt;&gt;"","артикул","")),""),"")</f>
        <v/>
      </c>
      <c r="C1665" s="11" t="str">
        <f t="shared" si="104"/>
        <v/>
      </c>
      <c r="F1665" s="10" t="str">
        <v/>
      </c>
      <c r="G1665" t="e">
        <f t="shared" si="102"/>
        <v>#VALUE!</v>
      </c>
      <c r="H1665" s="13" t="e">
        <f t="shared" si="103"/>
        <v>#VALUE!</v>
      </c>
    </row>
    <row r="1666" spans="2:8">
      <c r="B1666" s="11" t="str">
        <f t="shared" si="105"/>
        <v/>
      </c>
      <c r="C1666" s="11" t="str">
        <f t="shared" si="104"/>
        <v/>
      </c>
      <c r="F1666" s="10" t="str">
        <v/>
      </c>
      <c r="G1666" t="e">
        <f t="shared" ref="G1666:G1729" si="106">CONCATENATE(LEFT(F1666,5),
MID(F1666,
SEARCH("\",SUBSTITUTE(F1666," ","\",LEN(F1666)-LEN(SUBSTITUTE(F1666," ",""))-4)),
SEARCH("\",SUBSTITUTE(F1666," ","\",LEN(F1666)-LEN(SUBSTITUTE(F1666," ",""))-3))-
SEARCH("\",SUBSTITUTE(F1666," ","\",LEN(F1666)-LEN(SUBSTITUTE(F1666," ",""))-4)))*1)</f>
        <v>#VALUE!</v>
      </c>
      <c r="H1666" s="13" t="e">
        <f t="shared" ref="H1666:H1729" si="107">SUBSTITUTE(
RIGHT(F1666,LEN(F1666)-
FIND("\",SUBSTITUTE(F1666," ","\",LEN(F1666)-LEN(SUBSTITUTE(F1666," ",""))))),
".","")</f>
        <v>#VALUE!</v>
      </c>
    </row>
    <row r="1667" spans="2:8">
      <c r="B1667" s="11" t="str">
        <f t="shared" si="105"/>
        <v/>
      </c>
      <c r="C1667" s="11" t="str">
        <f t="shared" si="104"/>
        <v/>
      </c>
      <c r="F1667" s="10" t="str">
        <v/>
      </c>
      <c r="G1667" t="e">
        <f t="shared" si="106"/>
        <v>#VALUE!</v>
      </c>
      <c r="H1667" s="13" t="e">
        <f t="shared" si="107"/>
        <v>#VALUE!</v>
      </c>
    </row>
    <row r="1668" spans="2:8">
      <c r="B1668" s="11" t="str">
        <f t="shared" si="105"/>
        <v/>
      </c>
      <c r="C1668" s="11" t="str">
        <f t="shared" si="104"/>
        <v/>
      </c>
      <c r="F1668" s="10" t="str">
        <v/>
      </c>
      <c r="G1668" t="e">
        <f t="shared" si="106"/>
        <v>#VALUE!</v>
      </c>
      <c r="H1668" s="13" t="e">
        <f t="shared" si="107"/>
        <v>#VALUE!</v>
      </c>
    </row>
    <row r="1669" spans="2:8">
      <c r="B1669" s="11" t="str">
        <f t="shared" si="105"/>
        <v/>
      </c>
      <c r="C1669" s="11" t="str">
        <f t="shared" si="104"/>
        <v/>
      </c>
      <c r="F1669" s="10" t="str">
        <v/>
      </c>
      <c r="G1669" t="e">
        <f t="shared" si="106"/>
        <v>#VALUE!</v>
      </c>
      <c r="H1669" s="13" t="e">
        <f t="shared" si="107"/>
        <v>#VALUE!</v>
      </c>
    </row>
    <row r="1670" spans="2:8">
      <c r="B1670" s="11" t="str">
        <f t="shared" si="105"/>
        <v/>
      </c>
      <c r="C1670" s="11" t="str">
        <f t="shared" si="104"/>
        <v/>
      </c>
      <c r="F1670" s="10" t="str">
        <v/>
      </c>
      <c r="G1670" t="e">
        <f t="shared" si="106"/>
        <v>#VALUE!</v>
      </c>
      <c r="H1670" s="13" t="e">
        <f t="shared" si="107"/>
        <v>#VALUE!</v>
      </c>
    </row>
    <row r="1671" spans="2:8">
      <c r="B1671" s="11" t="str">
        <f t="shared" si="105"/>
        <v/>
      </c>
      <c r="C1671" s="11" t="str">
        <f t="shared" si="104"/>
        <v/>
      </c>
      <c r="F1671" s="10" t="str">
        <v/>
      </c>
      <c r="G1671" t="e">
        <f t="shared" si="106"/>
        <v>#VALUE!</v>
      </c>
      <c r="H1671" s="13" t="e">
        <f t="shared" si="107"/>
        <v>#VALUE!</v>
      </c>
    </row>
    <row r="1672" spans="2:8">
      <c r="B1672" s="11" t="str">
        <f t="shared" si="105"/>
        <v/>
      </c>
      <c r="C1672" s="11" t="str">
        <f t="shared" si="104"/>
        <v/>
      </c>
      <c r="F1672" s="10" t="str">
        <v/>
      </c>
      <c r="G1672" t="e">
        <f t="shared" si="106"/>
        <v>#VALUE!</v>
      </c>
      <c r="H1672" s="13" t="e">
        <f t="shared" si="107"/>
        <v>#VALUE!</v>
      </c>
    </row>
    <row r="1673" spans="2:8">
      <c r="B1673" s="11" t="str">
        <f t="shared" si="105"/>
        <v/>
      </c>
      <c r="C1673" s="11" t="str">
        <f t="shared" si="104"/>
        <v/>
      </c>
      <c r="F1673" s="10" t="str">
        <v/>
      </c>
      <c r="G1673" t="e">
        <f t="shared" si="106"/>
        <v>#VALUE!</v>
      </c>
      <c r="H1673" s="13" t="e">
        <f t="shared" si="107"/>
        <v>#VALUE!</v>
      </c>
    </row>
    <row r="1674" spans="2:8">
      <c r="B1674" s="11" t="str">
        <f t="shared" si="105"/>
        <v/>
      </c>
      <c r="C1674" s="11" t="str">
        <f t="shared" si="104"/>
        <v/>
      </c>
      <c r="F1674" s="10" t="str">
        <v/>
      </c>
      <c r="G1674" t="e">
        <f t="shared" si="106"/>
        <v>#VALUE!</v>
      </c>
      <c r="H1674" s="13" t="e">
        <f t="shared" si="107"/>
        <v>#VALUE!</v>
      </c>
    </row>
    <row r="1675" spans="2:8">
      <c r="B1675" s="11" t="str">
        <f t="shared" si="105"/>
        <v/>
      </c>
      <c r="C1675" s="11" t="str">
        <f t="shared" si="104"/>
        <v/>
      </c>
      <c r="F1675" s="10" t="str">
        <v/>
      </c>
      <c r="G1675" t="e">
        <f t="shared" si="106"/>
        <v>#VALUE!</v>
      </c>
      <c r="H1675" s="13" t="e">
        <f t="shared" si="107"/>
        <v>#VALUE!</v>
      </c>
    </row>
    <row r="1676" spans="2:8">
      <c r="B1676" s="11" t="str">
        <f t="shared" si="105"/>
        <v/>
      </c>
      <c r="C1676" s="11" t="str">
        <f t="shared" si="104"/>
        <v/>
      </c>
      <c r="F1676" s="10" t="str">
        <v/>
      </c>
      <c r="G1676" t="e">
        <f t="shared" si="106"/>
        <v>#VALUE!</v>
      </c>
      <c r="H1676" s="13" t="e">
        <f t="shared" si="107"/>
        <v>#VALUE!</v>
      </c>
    </row>
    <row r="1677" spans="2:8">
      <c r="B1677" s="11" t="str">
        <f t="shared" si="105"/>
        <v/>
      </c>
      <c r="C1677" s="11" t="str">
        <f t="shared" si="104"/>
        <v/>
      </c>
      <c r="F1677" s="10" t="str">
        <v/>
      </c>
      <c r="G1677" t="e">
        <f t="shared" si="106"/>
        <v>#VALUE!</v>
      </c>
      <c r="H1677" s="13" t="e">
        <f t="shared" si="107"/>
        <v>#VALUE!</v>
      </c>
    </row>
    <row r="1678" spans="2:8">
      <c r="B1678" s="11" t="str">
        <f t="shared" si="105"/>
        <v/>
      </c>
      <c r="C1678" s="11" t="str">
        <f t="shared" si="104"/>
        <v/>
      </c>
      <c r="F1678" s="10" t="str">
        <v/>
      </c>
      <c r="G1678" t="e">
        <f t="shared" si="106"/>
        <v>#VALUE!</v>
      </c>
      <c r="H1678" s="13" t="e">
        <f t="shared" si="107"/>
        <v>#VALUE!</v>
      </c>
    </row>
    <row r="1679" spans="2:8">
      <c r="B1679" s="11" t="str">
        <f t="shared" si="105"/>
        <v/>
      </c>
      <c r="C1679" s="11" t="str">
        <f t="shared" si="104"/>
        <v/>
      </c>
      <c r="F1679" s="10" t="str">
        <v/>
      </c>
      <c r="G1679" t="e">
        <f t="shared" si="106"/>
        <v>#VALUE!</v>
      </c>
      <c r="H1679" s="13" t="e">
        <f t="shared" si="107"/>
        <v>#VALUE!</v>
      </c>
    </row>
    <row r="1680" spans="2:8">
      <c r="B1680" s="11" t="str">
        <f t="shared" si="105"/>
        <v/>
      </c>
      <c r="C1680" s="11" t="str">
        <f t="shared" si="104"/>
        <v/>
      </c>
      <c r="F1680" s="10" t="str">
        <v/>
      </c>
      <c r="G1680" t="e">
        <f t="shared" si="106"/>
        <v>#VALUE!</v>
      </c>
      <c r="H1680" s="13" t="e">
        <f t="shared" si="107"/>
        <v>#VALUE!</v>
      </c>
    </row>
    <row r="1681" spans="2:8">
      <c r="B1681" s="11" t="str">
        <f t="shared" si="105"/>
        <v/>
      </c>
      <c r="C1681" s="11" t="str">
        <f t="shared" si="104"/>
        <v/>
      </c>
      <c r="F1681" s="10" t="str">
        <v/>
      </c>
      <c r="G1681" t="e">
        <f t="shared" si="106"/>
        <v>#VALUE!</v>
      </c>
      <c r="H1681" s="13" t="e">
        <f t="shared" si="107"/>
        <v>#VALUE!</v>
      </c>
    </row>
    <row r="1682" spans="2:8">
      <c r="B1682" s="11" t="str">
        <f t="shared" si="105"/>
        <v/>
      </c>
      <c r="C1682" s="11" t="str">
        <f t="shared" si="104"/>
        <v/>
      </c>
      <c r="F1682" s="10" t="str">
        <v/>
      </c>
      <c r="G1682" t="e">
        <f t="shared" si="106"/>
        <v>#VALUE!</v>
      </c>
      <c r="H1682" s="13" t="e">
        <f t="shared" si="107"/>
        <v>#VALUE!</v>
      </c>
    </row>
    <row r="1683" spans="2:8">
      <c r="B1683" s="11" t="str">
        <f t="shared" si="105"/>
        <v/>
      </c>
      <c r="C1683" s="11" t="str">
        <f t="shared" si="104"/>
        <v/>
      </c>
      <c r="F1683" s="10" t="str">
        <v/>
      </c>
      <c r="G1683" t="e">
        <f t="shared" si="106"/>
        <v>#VALUE!</v>
      </c>
      <c r="H1683" s="13" t="e">
        <f t="shared" si="107"/>
        <v>#VALUE!</v>
      </c>
    </row>
    <row r="1684" spans="2:8">
      <c r="B1684" s="11" t="str">
        <f t="shared" si="105"/>
        <v/>
      </c>
      <c r="C1684" s="11" t="str">
        <f t="shared" si="104"/>
        <v/>
      </c>
      <c r="F1684" s="10" t="str">
        <v/>
      </c>
      <c r="G1684" t="e">
        <f t="shared" si="106"/>
        <v>#VALUE!</v>
      </c>
      <c r="H1684" s="13" t="e">
        <f t="shared" si="107"/>
        <v>#VALUE!</v>
      </c>
    </row>
    <row r="1685" spans="2:8">
      <c r="B1685" s="11" t="str">
        <f t="shared" si="105"/>
        <v/>
      </c>
      <c r="C1685" s="11" t="str">
        <f t="shared" si="104"/>
        <v/>
      </c>
      <c r="F1685" s="10" t="str">
        <v/>
      </c>
      <c r="G1685" t="e">
        <f t="shared" si="106"/>
        <v>#VALUE!</v>
      </c>
      <c r="H1685" s="13" t="e">
        <f t="shared" si="107"/>
        <v>#VALUE!</v>
      </c>
    </row>
    <row r="1686" spans="2:8">
      <c r="B1686" s="11" t="str">
        <f t="shared" si="105"/>
        <v/>
      </c>
      <c r="C1686" s="11" t="str">
        <f t="shared" si="104"/>
        <v/>
      </c>
      <c r="F1686" s="10" t="str">
        <v/>
      </c>
      <c r="G1686" t="e">
        <f t="shared" si="106"/>
        <v>#VALUE!</v>
      </c>
      <c r="H1686" s="13" t="e">
        <f t="shared" si="107"/>
        <v>#VALUE!</v>
      </c>
    </row>
    <row r="1687" spans="2:8">
      <c r="B1687" s="11" t="str">
        <f t="shared" si="105"/>
        <v/>
      </c>
      <c r="C1687" s="11" t="str">
        <f t="shared" si="104"/>
        <v/>
      </c>
      <c r="F1687" s="10" t="str">
        <v/>
      </c>
      <c r="G1687" t="e">
        <f t="shared" si="106"/>
        <v>#VALUE!</v>
      </c>
      <c r="H1687" s="13" t="e">
        <f t="shared" si="107"/>
        <v>#VALUE!</v>
      </c>
    </row>
    <row r="1688" spans="2:8">
      <c r="B1688" s="11" t="str">
        <f t="shared" si="105"/>
        <v/>
      </c>
      <c r="C1688" s="11" t="str">
        <f t="shared" si="104"/>
        <v/>
      </c>
      <c r="F1688" s="10" t="str">
        <v/>
      </c>
      <c r="G1688" t="e">
        <f t="shared" si="106"/>
        <v>#VALUE!</v>
      </c>
      <c r="H1688" s="13" t="e">
        <f t="shared" si="107"/>
        <v>#VALUE!</v>
      </c>
    </row>
    <row r="1689" spans="2:8">
      <c r="B1689" s="11" t="str">
        <f t="shared" si="105"/>
        <v/>
      </c>
      <c r="C1689" s="11" t="str">
        <f t="shared" si="104"/>
        <v/>
      </c>
      <c r="F1689" s="10" t="str">
        <v/>
      </c>
      <c r="G1689" t="e">
        <f t="shared" si="106"/>
        <v>#VALUE!</v>
      </c>
      <c r="H1689" s="13" t="e">
        <f t="shared" si="107"/>
        <v>#VALUE!</v>
      </c>
    </row>
    <row r="1690" spans="2:8">
      <c r="B1690" s="11" t="str">
        <f t="shared" si="105"/>
        <v/>
      </c>
      <c r="C1690" s="11" t="str">
        <f t="shared" si="104"/>
        <v/>
      </c>
      <c r="F1690" s="10" t="str">
        <v/>
      </c>
      <c r="G1690" t="e">
        <f t="shared" si="106"/>
        <v>#VALUE!</v>
      </c>
      <c r="H1690" s="13" t="e">
        <f t="shared" si="107"/>
        <v>#VALUE!</v>
      </c>
    </row>
    <row r="1691" spans="2:8">
      <c r="B1691" s="11" t="str">
        <f t="shared" si="105"/>
        <v/>
      </c>
      <c r="C1691" s="11" t="str">
        <f t="shared" si="104"/>
        <v/>
      </c>
      <c r="F1691" s="10" t="str">
        <v/>
      </c>
      <c r="G1691" t="e">
        <f t="shared" si="106"/>
        <v>#VALUE!</v>
      </c>
      <c r="H1691" s="13" t="e">
        <f t="shared" si="107"/>
        <v>#VALUE!</v>
      </c>
    </row>
    <row r="1692" spans="2:8">
      <c r="B1692" s="11" t="str">
        <f t="shared" si="105"/>
        <v/>
      </c>
      <c r="C1692" s="11" t="str">
        <f t="shared" si="104"/>
        <v/>
      </c>
      <c r="F1692" s="10" t="str">
        <v/>
      </c>
      <c r="G1692" t="e">
        <f t="shared" si="106"/>
        <v>#VALUE!</v>
      </c>
      <c r="H1692" s="13" t="e">
        <f t="shared" si="107"/>
        <v>#VALUE!</v>
      </c>
    </row>
    <row r="1693" spans="2:8">
      <c r="B1693" s="11" t="str">
        <f t="shared" si="105"/>
        <v/>
      </c>
      <c r="C1693" s="11" t="str">
        <f t="shared" si="104"/>
        <v/>
      </c>
      <c r="F1693" s="10" t="str">
        <v/>
      </c>
      <c r="G1693" t="e">
        <f t="shared" si="106"/>
        <v>#VALUE!</v>
      </c>
      <c r="H1693" s="13" t="e">
        <f t="shared" si="107"/>
        <v>#VALUE!</v>
      </c>
    </row>
    <row r="1694" spans="2:8">
      <c r="B1694" s="11" t="str">
        <f t="shared" si="105"/>
        <v/>
      </c>
      <c r="C1694" s="11" t="str">
        <f t="shared" si="104"/>
        <v/>
      </c>
      <c r="F1694" s="10" t="str">
        <v/>
      </c>
      <c r="G1694" t="e">
        <f t="shared" si="106"/>
        <v>#VALUE!</v>
      </c>
      <c r="H1694" s="13" t="e">
        <f t="shared" si="107"/>
        <v>#VALUE!</v>
      </c>
    </row>
    <row r="1695" spans="2:8">
      <c r="B1695" s="11" t="str">
        <f t="shared" si="105"/>
        <v/>
      </c>
      <c r="C1695" s="11" t="str">
        <f t="shared" si="104"/>
        <v/>
      </c>
      <c r="F1695" s="10" t="str">
        <v/>
      </c>
      <c r="G1695" t="e">
        <f t="shared" si="106"/>
        <v>#VALUE!</v>
      </c>
      <c r="H1695" s="13" t="e">
        <f t="shared" si="107"/>
        <v>#VALUE!</v>
      </c>
    </row>
    <row r="1696" spans="2:8">
      <c r="B1696" s="11" t="str">
        <f t="shared" si="105"/>
        <v/>
      </c>
      <c r="C1696" s="11" t="str">
        <f t="shared" si="104"/>
        <v/>
      </c>
      <c r="F1696" s="10" t="str">
        <v/>
      </c>
      <c r="G1696" t="e">
        <f t="shared" si="106"/>
        <v>#VALUE!</v>
      </c>
      <c r="H1696" s="13" t="e">
        <f t="shared" si="107"/>
        <v>#VALUE!</v>
      </c>
    </row>
    <row r="1697" spans="2:8">
      <c r="B1697" s="11" t="str">
        <f t="shared" si="105"/>
        <v/>
      </c>
      <c r="C1697" s="11" t="str">
        <f t="shared" si="104"/>
        <v/>
      </c>
      <c r="F1697" s="10" t="str">
        <v/>
      </c>
      <c r="G1697" t="e">
        <f t="shared" si="106"/>
        <v>#VALUE!</v>
      </c>
      <c r="H1697" s="13" t="e">
        <f t="shared" si="107"/>
        <v>#VALUE!</v>
      </c>
    </row>
    <row r="1698" spans="2:8">
      <c r="B1698" s="11" t="str">
        <f t="shared" si="105"/>
        <v/>
      </c>
      <c r="C1698" s="11" t="str">
        <f t="shared" si="104"/>
        <v/>
      </c>
      <c r="F1698" s="10" t="str">
        <v/>
      </c>
      <c r="G1698" t="e">
        <f t="shared" si="106"/>
        <v>#VALUE!</v>
      </c>
      <c r="H1698" s="13" t="e">
        <f t="shared" si="107"/>
        <v>#VALUE!</v>
      </c>
    </row>
    <row r="1699" spans="2:8">
      <c r="B1699" s="11" t="str">
        <f t="shared" si="105"/>
        <v/>
      </c>
      <c r="C1699" s="11" t="str">
        <f t="shared" si="104"/>
        <v/>
      </c>
      <c r="F1699" s="10" t="str">
        <v/>
      </c>
      <c r="G1699" t="e">
        <f t="shared" si="106"/>
        <v>#VALUE!</v>
      </c>
      <c r="H1699" s="13" t="e">
        <f t="shared" si="107"/>
        <v>#VALUE!</v>
      </c>
    </row>
    <row r="1700" spans="2:8">
      <c r="B1700" s="11" t="str">
        <f t="shared" si="105"/>
        <v/>
      </c>
      <c r="C1700" s="11" t="str">
        <f t="shared" si="104"/>
        <v/>
      </c>
      <c r="F1700" s="10" t="str">
        <v/>
      </c>
      <c r="G1700" t="e">
        <f t="shared" si="106"/>
        <v>#VALUE!</v>
      </c>
      <c r="H1700" s="13" t="e">
        <f t="shared" si="107"/>
        <v>#VALUE!</v>
      </c>
    </row>
    <row r="1701" spans="2:8">
      <c r="B1701" s="11" t="str">
        <f t="shared" si="105"/>
        <v/>
      </c>
      <c r="C1701" s="11" t="str">
        <f t="shared" si="104"/>
        <v/>
      </c>
      <c r="F1701" s="10" t="str">
        <v/>
      </c>
      <c r="G1701" t="e">
        <f t="shared" si="106"/>
        <v>#VALUE!</v>
      </c>
      <c r="H1701" s="13" t="e">
        <f t="shared" si="107"/>
        <v>#VALUE!</v>
      </c>
    </row>
    <row r="1702" spans="2:8">
      <c r="B1702" s="11" t="str">
        <f t="shared" si="105"/>
        <v/>
      </c>
      <c r="C1702" s="11" t="str">
        <f t="shared" si="104"/>
        <v/>
      </c>
      <c r="F1702" s="10" t="str">
        <v/>
      </c>
      <c r="G1702" t="e">
        <f t="shared" si="106"/>
        <v>#VALUE!</v>
      </c>
      <c r="H1702" s="13" t="e">
        <f t="shared" si="107"/>
        <v>#VALUE!</v>
      </c>
    </row>
    <row r="1703" spans="2:8">
      <c r="B1703" s="11" t="str">
        <f t="shared" si="105"/>
        <v/>
      </c>
      <c r="C1703" s="11" t="str">
        <f t="shared" si="104"/>
        <v/>
      </c>
      <c r="F1703" s="10" t="str">
        <v/>
      </c>
      <c r="G1703" t="e">
        <f t="shared" si="106"/>
        <v>#VALUE!</v>
      </c>
      <c r="H1703" s="13" t="e">
        <f t="shared" si="107"/>
        <v>#VALUE!</v>
      </c>
    </row>
    <row r="1704" spans="2:8">
      <c r="B1704" s="11" t="str">
        <f t="shared" si="105"/>
        <v/>
      </c>
      <c r="C1704" s="11" t="str">
        <f t="shared" si="104"/>
        <v/>
      </c>
      <c r="F1704" s="10" t="str">
        <v/>
      </c>
      <c r="G1704" t="e">
        <f t="shared" si="106"/>
        <v>#VALUE!</v>
      </c>
      <c r="H1704" s="13" t="e">
        <f t="shared" si="107"/>
        <v>#VALUE!</v>
      </c>
    </row>
    <row r="1705" spans="2:8">
      <c r="B1705" s="11" t="str">
        <f t="shared" si="105"/>
        <v/>
      </c>
      <c r="C1705" s="11" t="str">
        <f t="shared" ref="C1705:C1768" si="108">IF(B1705="артикул",A1705,"")</f>
        <v/>
      </c>
      <c r="F1705" s="10" t="str">
        <v/>
      </c>
      <c r="G1705" t="e">
        <f t="shared" si="106"/>
        <v>#VALUE!</v>
      </c>
      <c r="H1705" s="13" t="e">
        <f t="shared" si="107"/>
        <v>#VALUE!</v>
      </c>
    </row>
    <row r="1706" spans="2:8">
      <c r="B1706" s="11" t="str">
        <f t="shared" si="105"/>
        <v/>
      </c>
      <c r="C1706" s="11" t="str">
        <f t="shared" si="108"/>
        <v/>
      </c>
      <c r="F1706" s="10" t="str">
        <v/>
      </c>
      <c r="G1706" t="e">
        <f t="shared" si="106"/>
        <v>#VALUE!</v>
      </c>
      <c r="H1706" s="13" t="e">
        <f t="shared" si="107"/>
        <v>#VALUE!</v>
      </c>
    </row>
    <row r="1707" spans="2:8">
      <c r="B1707" s="11" t="str">
        <f t="shared" si="105"/>
        <v/>
      </c>
      <c r="C1707" s="11" t="str">
        <f t="shared" si="108"/>
        <v/>
      </c>
      <c r="F1707" s="10" t="str">
        <v/>
      </c>
      <c r="G1707" t="e">
        <f t="shared" si="106"/>
        <v>#VALUE!</v>
      </c>
      <c r="H1707" s="13" t="e">
        <f t="shared" si="107"/>
        <v>#VALUE!</v>
      </c>
    </row>
    <row r="1708" spans="2:8">
      <c r="B1708" s="11" t="str">
        <f t="shared" si="105"/>
        <v/>
      </c>
      <c r="C1708" s="11" t="str">
        <f t="shared" si="108"/>
        <v/>
      </c>
      <c r="F1708" s="10" t="str">
        <v/>
      </c>
      <c r="G1708" t="e">
        <f t="shared" si="106"/>
        <v>#VALUE!</v>
      </c>
      <c r="H1708" s="13" t="e">
        <f t="shared" si="107"/>
        <v>#VALUE!</v>
      </c>
    </row>
    <row r="1709" spans="2:8">
      <c r="B1709" s="11" t="str">
        <f t="shared" si="105"/>
        <v/>
      </c>
      <c r="C1709" s="11" t="str">
        <f t="shared" si="108"/>
        <v/>
      </c>
      <c r="F1709" s="10" t="str">
        <v/>
      </c>
      <c r="G1709" t="e">
        <f t="shared" si="106"/>
        <v>#VALUE!</v>
      </c>
      <c r="H1709" s="13" t="e">
        <f t="shared" si="107"/>
        <v>#VALUE!</v>
      </c>
    </row>
    <row r="1710" spans="2:8">
      <c r="B1710" s="11" t="str">
        <f t="shared" si="105"/>
        <v/>
      </c>
      <c r="C1710" s="11" t="str">
        <f t="shared" si="108"/>
        <v/>
      </c>
      <c r="F1710" s="10" t="str">
        <v/>
      </c>
      <c r="G1710" t="e">
        <f t="shared" si="106"/>
        <v>#VALUE!</v>
      </c>
      <c r="H1710" s="13" t="e">
        <f t="shared" si="107"/>
        <v>#VALUE!</v>
      </c>
    </row>
    <row r="1711" spans="2:8">
      <c r="B1711" s="11" t="str">
        <f t="shared" si="105"/>
        <v/>
      </c>
      <c r="C1711" s="11" t="str">
        <f t="shared" si="108"/>
        <v/>
      </c>
      <c r="F1711" s="10" t="str">
        <v/>
      </c>
      <c r="G1711" t="e">
        <f t="shared" si="106"/>
        <v>#VALUE!</v>
      </c>
      <c r="H1711" s="13" t="e">
        <f t="shared" si="107"/>
        <v>#VALUE!</v>
      </c>
    </row>
    <row r="1712" spans="2:8">
      <c r="B1712" s="11" t="str">
        <f t="shared" si="105"/>
        <v/>
      </c>
      <c r="C1712" s="11" t="str">
        <f t="shared" si="108"/>
        <v/>
      </c>
      <c r="F1712" s="10" t="str">
        <v/>
      </c>
      <c r="G1712" t="e">
        <f t="shared" si="106"/>
        <v>#VALUE!</v>
      </c>
      <c r="H1712" s="13" t="e">
        <f t="shared" si="107"/>
        <v>#VALUE!</v>
      </c>
    </row>
    <row r="1713" spans="2:8">
      <c r="B1713" s="11" t="str">
        <f t="shared" si="105"/>
        <v/>
      </c>
      <c r="C1713" s="11" t="str">
        <f t="shared" si="108"/>
        <v/>
      </c>
      <c r="F1713" s="10" t="str">
        <v/>
      </c>
      <c r="G1713" t="e">
        <f t="shared" si="106"/>
        <v>#VALUE!</v>
      </c>
      <c r="H1713" s="13" t="e">
        <f t="shared" si="107"/>
        <v>#VALUE!</v>
      </c>
    </row>
    <row r="1714" spans="2:8">
      <c r="B1714" s="11" t="str">
        <f t="shared" si="105"/>
        <v/>
      </c>
      <c r="C1714" s="11" t="str">
        <f t="shared" si="108"/>
        <v/>
      </c>
      <c r="F1714" s="10" t="str">
        <v/>
      </c>
      <c r="G1714" t="e">
        <f t="shared" si="106"/>
        <v>#VALUE!</v>
      </c>
      <c r="H1714" s="13" t="e">
        <f t="shared" si="107"/>
        <v>#VALUE!</v>
      </c>
    </row>
    <row r="1715" spans="2:8">
      <c r="B1715" s="11" t="str">
        <f t="shared" si="105"/>
        <v/>
      </c>
      <c r="C1715" s="11" t="str">
        <f t="shared" si="108"/>
        <v/>
      </c>
      <c r="F1715" s="10" t="str">
        <v/>
      </c>
      <c r="G1715" t="e">
        <f t="shared" si="106"/>
        <v>#VALUE!</v>
      </c>
      <c r="H1715" s="13" t="e">
        <f t="shared" si="107"/>
        <v>#VALUE!</v>
      </c>
    </row>
    <row r="1716" spans="2:8">
      <c r="B1716" s="11" t="str">
        <f t="shared" si="105"/>
        <v/>
      </c>
      <c r="C1716" s="11" t="str">
        <f t="shared" si="108"/>
        <v/>
      </c>
      <c r="F1716" s="10" t="str">
        <v/>
      </c>
      <c r="G1716" t="e">
        <f t="shared" si="106"/>
        <v>#VALUE!</v>
      </c>
      <c r="H1716" s="13" t="e">
        <f t="shared" si="107"/>
        <v>#VALUE!</v>
      </c>
    </row>
    <row r="1717" spans="2:8">
      <c r="B1717" s="11" t="str">
        <f t="shared" si="105"/>
        <v/>
      </c>
      <c r="C1717" s="11" t="str">
        <f t="shared" si="108"/>
        <v/>
      </c>
      <c r="F1717" s="10" t="str">
        <v/>
      </c>
      <c r="G1717" t="e">
        <f t="shared" si="106"/>
        <v>#VALUE!</v>
      </c>
      <c r="H1717" s="13" t="e">
        <f t="shared" si="107"/>
        <v>#VALUE!</v>
      </c>
    </row>
    <row r="1718" spans="2:8">
      <c r="B1718" s="11" t="str">
        <f t="shared" si="105"/>
        <v/>
      </c>
      <c r="C1718" s="11" t="str">
        <f t="shared" si="108"/>
        <v/>
      </c>
      <c r="F1718" s="10" t="str">
        <v/>
      </c>
      <c r="G1718" t="e">
        <f t="shared" si="106"/>
        <v>#VALUE!</v>
      </c>
      <c r="H1718" s="13" t="e">
        <f t="shared" si="107"/>
        <v>#VALUE!</v>
      </c>
    </row>
    <row r="1719" spans="2:8">
      <c r="B1719" s="11" t="str">
        <f t="shared" si="105"/>
        <v/>
      </c>
      <c r="C1719" s="11" t="str">
        <f t="shared" si="108"/>
        <v/>
      </c>
      <c r="F1719" s="10" t="str">
        <v/>
      </c>
      <c r="G1719" t="e">
        <f t="shared" si="106"/>
        <v>#VALUE!</v>
      </c>
      <c r="H1719" s="13" t="e">
        <f t="shared" si="107"/>
        <v>#VALUE!</v>
      </c>
    </row>
    <row r="1720" spans="2:8">
      <c r="B1720" s="11" t="str">
        <f t="shared" si="105"/>
        <v/>
      </c>
      <c r="C1720" s="11" t="str">
        <f t="shared" si="108"/>
        <v/>
      </c>
      <c r="F1720" s="10" t="str">
        <v/>
      </c>
      <c r="G1720" t="e">
        <f t="shared" si="106"/>
        <v>#VALUE!</v>
      </c>
      <c r="H1720" s="13" t="e">
        <f t="shared" si="107"/>
        <v>#VALUE!</v>
      </c>
    </row>
    <row r="1721" spans="2:8">
      <c r="B1721" s="11" t="str">
        <f t="shared" si="105"/>
        <v/>
      </c>
      <c r="C1721" s="11" t="str">
        <f t="shared" si="108"/>
        <v/>
      </c>
      <c r="F1721" s="10" t="str">
        <v/>
      </c>
      <c r="G1721" t="e">
        <f t="shared" si="106"/>
        <v>#VALUE!</v>
      </c>
      <c r="H1721" s="13" t="e">
        <f t="shared" si="107"/>
        <v>#VALUE!</v>
      </c>
    </row>
    <row r="1722" spans="2:8">
      <c r="B1722" s="11" t="str">
        <f t="shared" si="105"/>
        <v/>
      </c>
      <c r="C1722" s="11" t="str">
        <f t="shared" si="108"/>
        <v/>
      </c>
      <c r="F1722" s="10" t="str">
        <v/>
      </c>
      <c r="G1722" t="e">
        <f t="shared" si="106"/>
        <v>#VALUE!</v>
      </c>
      <c r="H1722" s="13" t="e">
        <f t="shared" si="107"/>
        <v>#VALUE!</v>
      </c>
    </row>
    <row r="1723" spans="2:8">
      <c r="B1723" s="11" t="str">
        <f t="shared" si="105"/>
        <v/>
      </c>
      <c r="C1723" s="11" t="str">
        <f t="shared" si="108"/>
        <v/>
      </c>
      <c r="F1723" s="10" t="str">
        <v/>
      </c>
      <c r="G1723" t="e">
        <f t="shared" si="106"/>
        <v>#VALUE!</v>
      </c>
      <c r="H1723" s="13" t="e">
        <f t="shared" si="107"/>
        <v>#VALUE!</v>
      </c>
    </row>
    <row r="1724" spans="2:8">
      <c r="B1724" s="11" t="str">
        <f t="shared" si="105"/>
        <v/>
      </c>
      <c r="C1724" s="11" t="str">
        <f t="shared" si="108"/>
        <v/>
      </c>
      <c r="F1724" s="10" t="str">
        <v/>
      </c>
      <c r="G1724" t="e">
        <f t="shared" si="106"/>
        <v>#VALUE!</v>
      </c>
      <c r="H1724" s="13" t="e">
        <f t="shared" si="107"/>
        <v>#VALUE!</v>
      </c>
    </row>
    <row r="1725" spans="2:8">
      <c r="B1725" s="11" t="str">
        <f t="shared" si="105"/>
        <v/>
      </c>
      <c r="C1725" s="11" t="str">
        <f t="shared" si="108"/>
        <v/>
      </c>
      <c r="F1725" s="10" t="str">
        <v/>
      </c>
      <c r="G1725" t="e">
        <f t="shared" si="106"/>
        <v>#VALUE!</v>
      </c>
      <c r="H1725" s="13" t="e">
        <f t="shared" si="107"/>
        <v>#VALUE!</v>
      </c>
    </row>
    <row r="1726" spans="2:8">
      <c r="B1726" s="11" t="str">
        <f t="shared" si="105"/>
        <v/>
      </c>
      <c r="C1726" s="11" t="str">
        <f t="shared" si="108"/>
        <v/>
      </c>
      <c r="F1726" s="10" t="str">
        <v/>
      </c>
      <c r="G1726" t="e">
        <f t="shared" si="106"/>
        <v>#VALUE!</v>
      </c>
      <c r="H1726" s="13" t="e">
        <f t="shared" si="107"/>
        <v>#VALUE!</v>
      </c>
    </row>
    <row r="1727" spans="2:8">
      <c r="B1727" s="11" t="str">
        <f t="shared" si="105"/>
        <v/>
      </c>
      <c r="C1727" s="11" t="str">
        <f t="shared" si="108"/>
        <v/>
      </c>
      <c r="F1727" s="10" t="str">
        <v/>
      </c>
      <c r="G1727" t="e">
        <f t="shared" si="106"/>
        <v>#VALUE!</v>
      </c>
      <c r="H1727" s="13" t="e">
        <f t="shared" si="107"/>
        <v>#VALUE!</v>
      </c>
    </row>
    <row r="1728" spans="2:8">
      <c r="B1728" s="11" t="str">
        <f t="shared" si="105"/>
        <v/>
      </c>
      <c r="C1728" s="11" t="str">
        <f t="shared" si="108"/>
        <v/>
      </c>
      <c r="F1728" s="10" t="str">
        <v/>
      </c>
      <c r="G1728" t="e">
        <f t="shared" si="106"/>
        <v>#VALUE!</v>
      </c>
      <c r="H1728" s="13" t="e">
        <f t="shared" si="107"/>
        <v>#VALUE!</v>
      </c>
    </row>
    <row r="1729" spans="2:8">
      <c r="B1729" s="11" t="str">
        <f t="shared" ref="B1729:B1792" si="109">IFERROR(IF(FIND(" ",A1729)=6,IF(IFERROR(FIND(" PB",A1729),"")&lt;&gt;"","артикул",IF(IFERROR(FIND(" CRN",A1729),"")&lt;&gt;"","артикул","")),""),"")</f>
        <v/>
      </c>
      <c r="C1729" s="11" t="str">
        <f t="shared" si="108"/>
        <v/>
      </c>
      <c r="F1729" s="10" t="str">
        <v/>
      </c>
      <c r="G1729" t="e">
        <f t="shared" si="106"/>
        <v>#VALUE!</v>
      </c>
      <c r="H1729" s="13" t="e">
        <f t="shared" si="107"/>
        <v>#VALUE!</v>
      </c>
    </row>
    <row r="1730" spans="2:8">
      <c r="B1730" s="11" t="str">
        <f t="shared" si="109"/>
        <v/>
      </c>
      <c r="C1730" s="11" t="str">
        <f t="shared" si="108"/>
        <v/>
      </c>
      <c r="F1730" s="10" t="str">
        <v/>
      </c>
      <c r="G1730" t="e">
        <f t="shared" ref="G1730:G1793" si="110">CONCATENATE(LEFT(F1730,5),
MID(F1730,
SEARCH("\",SUBSTITUTE(F1730," ","\",LEN(F1730)-LEN(SUBSTITUTE(F1730," ",""))-4)),
SEARCH("\",SUBSTITUTE(F1730," ","\",LEN(F1730)-LEN(SUBSTITUTE(F1730," ",""))-3))-
SEARCH("\",SUBSTITUTE(F1730," ","\",LEN(F1730)-LEN(SUBSTITUTE(F1730," ",""))-4)))*1)</f>
        <v>#VALUE!</v>
      </c>
      <c r="H1730" s="13" t="e">
        <f t="shared" ref="H1730:H1793" si="111">SUBSTITUTE(
RIGHT(F1730,LEN(F1730)-
FIND("\",SUBSTITUTE(F1730," ","\",LEN(F1730)-LEN(SUBSTITUTE(F1730," ",""))))),
".","")</f>
        <v>#VALUE!</v>
      </c>
    </row>
    <row r="1731" spans="2:8">
      <c r="B1731" s="11" t="str">
        <f t="shared" si="109"/>
        <v/>
      </c>
      <c r="C1731" s="11" t="str">
        <f t="shared" si="108"/>
        <v/>
      </c>
      <c r="F1731" s="10" t="str">
        <v/>
      </c>
      <c r="G1731" t="e">
        <f t="shared" si="110"/>
        <v>#VALUE!</v>
      </c>
      <c r="H1731" s="13" t="e">
        <f t="shared" si="111"/>
        <v>#VALUE!</v>
      </c>
    </row>
    <row r="1732" spans="2:8">
      <c r="B1732" s="11" t="str">
        <f t="shared" si="109"/>
        <v/>
      </c>
      <c r="C1732" s="11" t="str">
        <f t="shared" si="108"/>
        <v/>
      </c>
      <c r="F1732" s="10" t="str">
        <v/>
      </c>
      <c r="G1732" t="e">
        <f t="shared" si="110"/>
        <v>#VALUE!</v>
      </c>
      <c r="H1732" s="13" t="e">
        <f t="shared" si="111"/>
        <v>#VALUE!</v>
      </c>
    </row>
    <row r="1733" spans="2:8">
      <c r="B1733" s="11" t="str">
        <f t="shared" si="109"/>
        <v/>
      </c>
      <c r="C1733" s="11" t="str">
        <f t="shared" si="108"/>
        <v/>
      </c>
      <c r="F1733" s="10" t="str">
        <v/>
      </c>
      <c r="G1733" t="e">
        <f t="shared" si="110"/>
        <v>#VALUE!</v>
      </c>
      <c r="H1733" s="13" t="e">
        <f t="shared" si="111"/>
        <v>#VALUE!</v>
      </c>
    </row>
    <row r="1734" spans="2:8">
      <c r="B1734" s="11" t="str">
        <f t="shared" si="109"/>
        <v/>
      </c>
      <c r="C1734" s="11" t="str">
        <f t="shared" si="108"/>
        <v/>
      </c>
      <c r="F1734" s="10" t="str">
        <v/>
      </c>
      <c r="G1734" t="e">
        <f t="shared" si="110"/>
        <v>#VALUE!</v>
      </c>
      <c r="H1734" s="13" t="e">
        <f t="shared" si="111"/>
        <v>#VALUE!</v>
      </c>
    </row>
    <row r="1735" spans="2:8">
      <c r="B1735" s="11" t="str">
        <f t="shared" si="109"/>
        <v/>
      </c>
      <c r="C1735" s="11" t="str">
        <f t="shared" si="108"/>
        <v/>
      </c>
      <c r="F1735" s="10" t="str">
        <v/>
      </c>
      <c r="G1735" t="e">
        <f t="shared" si="110"/>
        <v>#VALUE!</v>
      </c>
      <c r="H1735" s="13" t="e">
        <f t="shared" si="111"/>
        <v>#VALUE!</v>
      </c>
    </row>
    <row r="1736" spans="2:8">
      <c r="B1736" s="11" t="str">
        <f t="shared" si="109"/>
        <v/>
      </c>
      <c r="C1736" s="11" t="str">
        <f t="shared" si="108"/>
        <v/>
      </c>
      <c r="F1736" s="10" t="str">
        <v/>
      </c>
      <c r="G1736" t="e">
        <f t="shared" si="110"/>
        <v>#VALUE!</v>
      </c>
      <c r="H1736" s="13" t="e">
        <f t="shared" si="111"/>
        <v>#VALUE!</v>
      </c>
    </row>
    <row r="1737" spans="2:8">
      <c r="B1737" s="11" t="str">
        <f t="shared" si="109"/>
        <v/>
      </c>
      <c r="C1737" s="11" t="str">
        <f t="shared" si="108"/>
        <v/>
      </c>
      <c r="F1737" s="10" t="str">
        <v/>
      </c>
      <c r="G1737" t="e">
        <f t="shared" si="110"/>
        <v>#VALUE!</v>
      </c>
      <c r="H1737" s="13" t="e">
        <f t="shared" si="111"/>
        <v>#VALUE!</v>
      </c>
    </row>
    <row r="1738" spans="2:8">
      <c r="B1738" s="11" t="str">
        <f t="shared" si="109"/>
        <v/>
      </c>
      <c r="C1738" s="11" t="str">
        <f t="shared" si="108"/>
        <v/>
      </c>
      <c r="F1738" s="10" t="str">
        <v/>
      </c>
      <c r="G1738" t="e">
        <f t="shared" si="110"/>
        <v>#VALUE!</v>
      </c>
      <c r="H1738" s="13" t="e">
        <f t="shared" si="111"/>
        <v>#VALUE!</v>
      </c>
    </row>
    <row r="1739" spans="2:8">
      <c r="B1739" s="11" t="str">
        <f t="shared" si="109"/>
        <v/>
      </c>
      <c r="C1739" s="11" t="str">
        <f t="shared" si="108"/>
        <v/>
      </c>
      <c r="F1739" s="10" t="str">
        <v/>
      </c>
      <c r="G1739" t="e">
        <f t="shared" si="110"/>
        <v>#VALUE!</v>
      </c>
      <c r="H1739" s="13" t="e">
        <f t="shared" si="111"/>
        <v>#VALUE!</v>
      </c>
    </row>
    <row r="1740" spans="2:8">
      <c r="B1740" s="11" t="str">
        <f t="shared" si="109"/>
        <v/>
      </c>
      <c r="C1740" s="11" t="str">
        <f t="shared" si="108"/>
        <v/>
      </c>
      <c r="F1740" s="10" t="str">
        <v/>
      </c>
      <c r="G1740" t="e">
        <f t="shared" si="110"/>
        <v>#VALUE!</v>
      </c>
      <c r="H1740" s="13" t="e">
        <f t="shared" si="111"/>
        <v>#VALUE!</v>
      </c>
    </row>
    <row r="1741" spans="2:8">
      <c r="B1741" s="11" t="str">
        <f t="shared" si="109"/>
        <v/>
      </c>
      <c r="C1741" s="11" t="str">
        <f t="shared" si="108"/>
        <v/>
      </c>
      <c r="F1741" s="10" t="str">
        <v/>
      </c>
      <c r="G1741" t="e">
        <f t="shared" si="110"/>
        <v>#VALUE!</v>
      </c>
      <c r="H1741" s="13" t="e">
        <f t="shared" si="111"/>
        <v>#VALUE!</v>
      </c>
    </row>
    <row r="1742" spans="2:8">
      <c r="B1742" s="11" t="str">
        <f t="shared" si="109"/>
        <v/>
      </c>
      <c r="C1742" s="11" t="str">
        <f t="shared" si="108"/>
        <v/>
      </c>
      <c r="F1742" s="10" t="str">
        <v/>
      </c>
      <c r="G1742" t="e">
        <f t="shared" si="110"/>
        <v>#VALUE!</v>
      </c>
      <c r="H1742" s="13" t="e">
        <f t="shared" si="111"/>
        <v>#VALUE!</v>
      </c>
    </row>
    <row r="1743" spans="2:8">
      <c r="B1743" s="11" t="str">
        <f t="shared" si="109"/>
        <v/>
      </c>
      <c r="C1743" s="11" t="str">
        <f t="shared" si="108"/>
        <v/>
      </c>
      <c r="F1743" s="10" t="str">
        <v/>
      </c>
      <c r="G1743" t="e">
        <f t="shared" si="110"/>
        <v>#VALUE!</v>
      </c>
      <c r="H1743" s="13" t="e">
        <f t="shared" si="111"/>
        <v>#VALUE!</v>
      </c>
    </row>
    <row r="1744" spans="2:8">
      <c r="B1744" s="11" t="str">
        <f t="shared" si="109"/>
        <v/>
      </c>
      <c r="C1744" s="11" t="str">
        <f t="shared" si="108"/>
        <v/>
      </c>
      <c r="F1744" s="10" t="str">
        <v/>
      </c>
      <c r="G1744" t="e">
        <f t="shared" si="110"/>
        <v>#VALUE!</v>
      </c>
      <c r="H1744" s="13" t="e">
        <f t="shared" si="111"/>
        <v>#VALUE!</v>
      </c>
    </row>
    <row r="1745" spans="2:8">
      <c r="B1745" s="11" t="str">
        <f t="shared" si="109"/>
        <v/>
      </c>
      <c r="C1745" s="11" t="str">
        <f t="shared" si="108"/>
        <v/>
      </c>
      <c r="F1745" s="10" t="str">
        <v/>
      </c>
      <c r="G1745" t="e">
        <f t="shared" si="110"/>
        <v>#VALUE!</v>
      </c>
      <c r="H1745" s="13" t="e">
        <f t="shared" si="111"/>
        <v>#VALUE!</v>
      </c>
    </row>
    <row r="1746" spans="2:8">
      <c r="B1746" s="11" t="str">
        <f t="shared" si="109"/>
        <v/>
      </c>
      <c r="C1746" s="11" t="str">
        <f t="shared" si="108"/>
        <v/>
      </c>
      <c r="F1746" s="10" t="str">
        <v/>
      </c>
      <c r="G1746" t="e">
        <f t="shared" si="110"/>
        <v>#VALUE!</v>
      </c>
      <c r="H1746" s="13" t="e">
        <f t="shared" si="111"/>
        <v>#VALUE!</v>
      </c>
    </row>
    <row r="1747" spans="2:8">
      <c r="B1747" s="11" t="str">
        <f t="shared" si="109"/>
        <v/>
      </c>
      <c r="C1747" s="11" t="str">
        <f t="shared" si="108"/>
        <v/>
      </c>
      <c r="F1747" s="10" t="str">
        <v/>
      </c>
      <c r="G1747" t="e">
        <f t="shared" si="110"/>
        <v>#VALUE!</v>
      </c>
      <c r="H1747" s="13" t="e">
        <f t="shared" si="111"/>
        <v>#VALUE!</v>
      </c>
    </row>
    <row r="1748" spans="2:8">
      <c r="B1748" s="11" t="str">
        <f t="shared" si="109"/>
        <v/>
      </c>
      <c r="C1748" s="11" t="str">
        <f t="shared" si="108"/>
        <v/>
      </c>
      <c r="F1748" s="10" t="str">
        <v/>
      </c>
      <c r="G1748" t="e">
        <f t="shared" si="110"/>
        <v>#VALUE!</v>
      </c>
      <c r="H1748" s="13" t="e">
        <f t="shared" si="111"/>
        <v>#VALUE!</v>
      </c>
    </row>
    <row r="1749" spans="2:8">
      <c r="B1749" s="11" t="str">
        <f t="shared" si="109"/>
        <v/>
      </c>
      <c r="C1749" s="11" t="str">
        <f t="shared" si="108"/>
        <v/>
      </c>
      <c r="F1749" s="10" t="str">
        <v/>
      </c>
      <c r="G1749" t="e">
        <f t="shared" si="110"/>
        <v>#VALUE!</v>
      </c>
      <c r="H1749" s="13" t="e">
        <f t="shared" si="111"/>
        <v>#VALUE!</v>
      </c>
    </row>
    <row r="1750" spans="2:8">
      <c r="B1750" s="11" t="str">
        <f t="shared" si="109"/>
        <v/>
      </c>
      <c r="C1750" s="11" t="str">
        <f t="shared" si="108"/>
        <v/>
      </c>
      <c r="F1750" s="10" t="str">
        <v/>
      </c>
      <c r="G1750" t="e">
        <f t="shared" si="110"/>
        <v>#VALUE!</v>
      </c>
      <c r="H1750" s="13" t="e">
        <f t="shared" si="111"/>
        <v>#VALUE!</v>
      </c>
    </row>
    <row r="1751" spans="2:8">
      <c r="B1751" s="11" t="str">
        <f t="shared" si="109"/>
        <v/>
      </c>
      <c r="C1751" s="11" t="str">
        <f t="shared" si="108"/>
        <v/>
      </c>
      <c r="F1751" s="10" t="str">
        <v/>
      </c>
      <c r="G1751" t="e">
        <f t="shared" si="110"/>
        <v>#VALUE!</v>
      </c>
      <c r="H1751" s="13" t="e">
        <f t="shared" si="111"/>
        <v>#VALUE!</v>
      </c>
    </row>
    <row r="1752" spans="2:8">
      <c r="B1752" s="11" t="str">
        <f t="shared" si="109"/>
        <v/>
      </c>
      <c r="C1752" s="11" t="str">
        <f t="shared" si="108"/>
        <v/>
      </c>
      <c r="F1752" s="10" t="str">
        <v/>
      </c>
      <c r="G1752" t="e">
        <f t="shared" si="110"/>
        <v>#VALUE!</v>
      </c>
      <c r="H1752" s="13" t="e">
        <f t="shared" si="111"/>
        <v>#VALUE!</v>
      </c>
    </row>
    <row r="1753" spans="2:8">
      <c r="B1753" s="11" t="str">
        <f t="shared" si="109"/>
        <v/>
      </c>
      <c r="C1753" s="11" t="str">
        <f t="shared" si="108"/>
        <v/>
      </c>
      <c r="F1753" s="10" t="str">
        <v/>
      </c>
      <c r="G1753" t="e">
        <f t="shared" si="110"/>
        <v>#VALUE!</v>
      </c>
      <c r="H1753" s="13" t="e">
        <f t="shared" si="111"/>
        <v>#VALUE!</v>
      </c>
    </row>
    <row r="1754" spans="2:8">
      <c r="B1754" s="11" t="str">
        <f t="shared" si="109"/>
        <v/>
      </c>
      <c r="C1754" s="11" t="str">
        <f t="shared" si="108"/>
        <v/>
      </c>
      <c r="F1754" s="10" t="str">
        <v/>
      </c>
      <c r="G1754" t="e">
        <f t="shared" si="110"/>
        <v>#VALUE!</v>
      </c>
      <c r="H1754" s="13" t="e">
        <f t="shared" si="111"/>
        <v>#VALUE!</v>
      </c>
    </row>
    <row r="1755" spans="2:8">
      <c r="B1755" s="11" t="str">
        <f t="shared" si="109"/>
        <v/>
      </c>
      <c r="C1755" s="11" t="str">
        <f t="shared" si="108"/>
        <v/>
      </c>
      <c r="F1755" s="10" t="str">
        <v/>
      </c>
      <c r="G1755" t="e">
        <f t="shared" si="110"/>
        <v>#VALUE!</v>
      </c>
      <c r="H1755" s="13" t="e">
        <f t="shared" si="111"/>
        <v>#VALUE!</v>
      </c>
    </row>
    <row r="1756" spans="2:8">
      <c r="B1756" s="11" t="str">
        <f t="shared" si="109"/>
        <v/>
      </c>
      <c r="C1756" s="11" t="str">
        <f t="shared" si="108"/>
        <v/>
      </c>
      <c r="F1756" s="10" t="str">
        <v/>
      </c>
      <c r="G1756" t="e">
        <f t="shared" si="110"/>
        <v>#VALUE!</v>
      </c>
      <c r="H1756" s="13" t="e">
        <f t="shared" si="111"/>
        <v>#VALUE!</v>
      </c>
    </row>
    <row r="1757" spans="2:8">
      <c r="B1757" s="11" t="str">
        <f t="shared" si="109"/>
        <v/>
      </c>
      <c r="C1757" s="11" t="str">
        <f t="shared" si="108"/>
        <v/>
      </c>
      <c r="F1757" s="10" t="str">
        <v/>
      </c>
      <c r="G1757" t="e">
        <f t="shared" si="110"/>
        <v>#VALUE!</v>
      </c>
      <c r="H1757" s="13" t="e">
        <f t="shared" si="111"/>
        <v>#VALUE!</v>
      </c>
    </row>
    <row r="1758" spans="2:8">
      <c r="B1758" s="11" t="str">
        <f t="shared" si="109"/>
        <v/>
      </c>
      <c r="C1758" s="11" t="str">
        <f t="shared" si="108"/>
        <v/>
      </c>
      <c r="F1758" s="10" t="str">
        <v/>
      </c>
      <c r="G1758" t="e">
        <f t="shared" si="110"/>
        <v>#VALUE!</v>
      </c>
      <c r="H1758" s="13" t="e">
        <f t="shared" si="111"/>
        <v>#VALUE!</v>
      </c>
    </row>
    <row r="1759" spans="2:8">
      <c r="B1759" s="11" t="str">
        <f t="shared" si="109"/>
        <v/>
      </c>
      <c r="C1759" s="11" t="str">
        <f t="shared" si="108"/>
        <v/>
      </c>
      <c r="F1759" s="10" t="str">
        <v/>
      </c>
      <c r="G1759" t="e">
        <f t="shared" si="110"/>
        <v>#VALUE!</v>
      </c>
      <c r="H1759" s="13" t="e">
        <f t="shared" si="111"/>
        <v>#VALUE!</v>
      </c>
    </row>
    <row r="1760" spans="2:8">
      <c r="B1760" s="11" t="str">
        <f t="shared" si="109"/>
        <v/>
      </c>
      <c r="C1760" s="11" t="str">
        <f t="shared" si="108"/>
        <v/>
      </c>
      <c r="F1760" s="10" t="str">
        <v/>
      </c>
      <c r="G1760" t="e">
        <f t="shared" si="110"/>
        <v>#VALUE!</v>
      </c>
      <c r="H1760" s="13" t="e">
        <f t="shared" si="111"/>
        <v>#VALUE!</v>
      </c>
    </row>
    <row r="1761" spans="2:8">
      <c r="B1761" s="11" t="str">
        <f t="shared" si="109"/>
        <v/>
      </c>
      <c r="C1761" s="11" t="str">
        <f t="shared" si="108"/>
        <v/>
      </c>
      <c r="F1761" s="10" t="str">
        <v/>
      </c>
      <c r="G1761" t="e">
        <f t="shared" si="110"/>
        <v>#VALUE!</v>
      </c>
      <c r="H1761" s="13" t="e">
        <f t="shared" si="111"/>
        <v>#VALUE!</v>
      </c>
    </row>
    <row r="1762" spans="2:8">
      <c r="B1762" s="11" t="str">
        <f t="shared" si="109"/>
        <v/>
      </c>
      <c r="C1762" s="11" t="str">
        <f t="shared" si="108"/>
        <v/>
      </c>
      <c r="F1762" s="10" t="str">
        <v/>
      </c>
      <c r="G1762" t="e">
        <f t="shared" si="110"/>
        <v>#VALUE!</v>
      </c>
      <c r="H1762" s="13" t="e">
        <f t="shared" si="111"/>
        <v>#VALUE!</v>
      </c>
    </row>
    <row r="1763" spans="2:8">
      <c r="B1763" s="11" t="str">
        <f t="shared" si="109"/>
        <v/>
      </c>
      <c r="C1763" s="11" t="str">
        <f t="shared" si="108"/>
        <v/>
      </c>
      <c r="F1763" s="10" t="str">
        <v/>
      </c>
      <c r="G1763" t="e">
        <f t="shared" si="110"/>
        <v>#VALUE!</v>
      </c>
      <c r="H1763" s="13" t="e">
        <f t="shared" si="111"/>
        <v>#VALUE!</v>
      </c>
    </row>
    <row r="1764" spans="2:8">
      <c r="B1764" s="11" t="str">
        <f t="shared" si="109"/>
        <v/>
      </c>
      <c r="C1764" s="11" t="str">
        <f t="shared" si="108"/>
        <v/>
      </c>
      <c r="F1764" s="10" t="str">
        <v/>
      </c>
      <c r="G1764" t="e">
        <f t="shared" si="110"/>
        <v>#VALUE!</v>
      </c>
      <c r="H1764" s="13" t="e">
        <f t="shared" si="111"/>
        <v>#VALUE!</v>
      </c>
    </row>
    <row r="1765" spans="2:8">
      <c r="B1765" s="11" t="str">
        <f t="shared" si="109"/>
        <v/>
      </c>
      <c r="C1765" s="11" t="str">
        <f t="shared" si="108"/>
        <v/>
      </c>
      <c r="F1765" s="10" t="str">
        <v/>
      </c>
      <c r="G1765" t="e">
        <f t="shared" si="110"/>
        <v>#VALUE!</v>
      </c>
      <c r="H1765" s="13" t="e">
        <f t="shared" si="111"/>
        <v>#VALUE!</v>
      </c>
    </row>
    <row r="1766" spans="2:8">
      <c r="B1766" s="11" t="str">
        <f t="shared" si="109"/>
        <v/>
      </c>
      <c r="C1766" s="11" t="str">
        <f t="shared" si="108"/>
        <v/>
      </c>
      <c r="F1766" s="10" t="str">
        <v/>
      </c>
      <c r="G1766" t="e">
        <f t="shared" si="110"/>
        <v>#VALUE!</v>
      </c>
      <c r="H1766" s="13" t="e">
        <f t="shared" si="111"/>
        <v>#VALUE!</v>
      </c>
    </row>
    <row r="1767" spans="2:8">
      <c r="B1767" s="11" t="str">
        <f t="shared" si="109"/>
        <v/>
      </c>
      <c r="C1767" s="11" t="str">
        <f t="shared" si="108"/>
        <v/>
      </c>
      <c r="F1767" s="10" t="str">
        <v/>
      </c>
      <c r="G1767" t="e">
        <f t="shared" si="110"/>
        <v>#VALUE!</v>
      </c>
      <c r="H1767" s="13" t="e">
        <f t="shared" si="111"/>
        <v>#VALUE!</v>
      </c>
    </row>
    <row r="1768" spans="2:8">
      <c r="B1768" s="11" t="str">
        <f t="shared" si="109"/>
        <v/>
      </c>
      <c r="C1768" s="11" t="str">
        <f t="shared" si="108"/>
        <v/>
      </c>
      <c r="F1768" s="10" t="str">
        <v/>
      </c>
      <c r="G1768" t="e">
        <f t="shared" si="110"/>
        <v>#VALUE!</v>
      </c>
      <c r="H1768" s="13" t="e">
        <f t="shared" si="111"/>
        <v>#VALUE!</v>
      </c>
    </row>
    <row r="1769" spans="2:8">
      <c r="B1769" s="11" t="str">
        <f t="shared" si="109"/>
        <v/>
      </c>
      <c r="C1769" s="11" t="str">
        <f t="shared" ref="C1769:C1832" si="112">IF(B1769="артикул",A1769,"")</f>
        <v/>
      </c>
      <c r="F1769" s="10" t="str">
        <v/>
      </c>
      <c r="G1769" t="e">
        <f t="shared" si="110"/>
        <v>#VALUE!</v>
      </c>
      <c r="H1769" s="13" t="e">
        <f t="shared" si="111"/>
        <v>#VALUE!</v>
      </c>
    </row>
    <row r="1770" spans="2:8">
      <c r="B1770" s="11" t="str">
        <f t="shared" si="109"/>
        <v/>
      </c>
      <c r="C1770" s="11" t="str">
        <f t="shared" si="112"/>
        <v/>
      </c>
      <c r="F1770" s="10" t="str">
        <v/>
      </c>
      <c r="G1770" t="e">
        <f t="shared" si="110"/>
        <v>#VALUE!</v>
      </c>
      <c r="H1770" s="13" t="e">
        <f t="shared" si="111"/>
        <v>#VALUE!</v>
      </c>
    </row>
    <row r="1771" spans="2:8">
      <c r="B1771" s="11" t="str">
        <f t="shared" si="109"/>
        <v/>
      </c>
      <c r="C1771" s="11" t="str">
        <f t="shared" si="112"/>
        <v/>
      </c>
      <c r="F1771" s="10" t="str">
        <v/>
      </c>
      <c r="G1771" t="e">
        <f t="shared" si="110"/>
        <v>#VALUE!</v>
      </c>
      <c r="H1771" s="13" t="e">
        <f t="shared" si="111"/>
        <v>#VALUE!</v>
      </c>
    </row>
    <row r="1772" spans="2:8">
      <c r="B1772" s="11" t="str">
        <f t="shared" si="109"/>
        <v/>
      </c>
      <c r="C1772" s="11" t="str">
        <f t="shared" si="112"/>
        <v/>
      </c>
      <c r="F1772" s="10" t="str">
        <v/>
      </c>
      <c r="G1772" t="e">
        <f t="shared" si="110"/>
        <v>#VALUE!</v>
      </c>
      <c r="H1772" s="13" t="e">
        <f t="shared" si="111"/>
        <v>#VALUE!</v>
      </c>
    </row>
    <row r="1773" spans="2:8">
      <c r="B1773" s="11" t="str">
        <f t="shared" si="109"/>
        <v/>
      </c>
      <c r="C1773" s="11" t="str">
        <f t="shared" si="112"/>
        <v/>
      </c>
      <c r="F1773" s="10" t="str">
        <v/>
      </c>
      <c r="G1773" t="e">
        <f t="shared" si="110"/>
        <v>#VALUE!</v>
      </c>
      <c r="H1773" s="13" t="e">
        <f t="shared" si="111"/>
        <v>#VALUE!</v>
      </c>
    </row>
    <row r="1774" spans="2:8">
      <c r="B1774" s="11" t="str">
        <f t="shared" si="109"/>
        <v/>
      </c>
      <c r="C1774" s="11" t="str">
        <f t="shared" si="112"/>
        <v/>
      </c>
      <c r="F1774" s="10" t="str">
        <v/>
      </c>
      <c r="G1774" t="e">
        <f t="shared" si="110"/>
        <v>#VALUE!</v>
      </c>
      <c r="H1774" s="13" t="e">
        <f t="shared" si="111"/>
        <v>#VALUE!</v>
      </c>
    </row>
    <row r="1775" spans="2:8">
      <c r="B1775" s="11" t="str">
        <f t="shared" si="109"/>
        <v/>
      </c>
      <c r="C1775" s="11" t="str">
        <f t="shared" si="112"/>
        <v/>
      </c>
      <c r="F1775" s="10" t="str">
        <v/>
      </c>
      <c r="G1775" t="e">
        <f t="shared" si="110"/>
        <v>#VALUE!</v>
      </c>
      <c r="H1775" s="13" t="e">
        <f t="shared" si="111"/>
        <v>#VALUE!</v>
      </c>
    </row>
    <row r="1776" spans="2:8">
      <c r="B1776" s="11" t="str">
        <f t="shared" si="109"/>
        <v/>
      </c>
      <c r="C1776" s="11" t="str">
        <f t="shared" si="112"/>
        <v/>
      </c>
      <c r="F1776" s="10" t="str">
        <v/>
      </c>
      <c r="G1776" t="e">
        <f t="shared" si="110"/>
        <v>#VALUE!</v>
      </c>
      <c r="H1776" s="13" t="e">
        <f t="shared" si="111"/>
        <v>#VALUE!</v>
      </c>
    </row>
    <row r="1777" spans="2:8">
      <c r="B1777" s="11" t="str">
        <f t="shared" si="109"/>
        <v/>
      </c>
      <c r="C1777" s="11" t="str">
        <f t="shared" si="112"/>
        <v/>
      </c>
      <c r="F1777" s="10" t="str">
        <v/>
      </c>
      <c r="G1777" t="e">
        <f t="shared" si="110"/>
        <v>#VALUE!</v>
      </c>
      <c r="H1777" s="13" t="e">
        <f t="shared" si="111"/>
        <v>#VALUE!</v>
      </c>
    </row>
    <row r="1778" spans="2:8">
      <c r="B1778" s="11" t="str">
        <f t="shared" si="109"/>
        <v/>
      </c>
      <c r="C1778" s="11" t="str">
        <f t="shared" si="112"/>
        <v/>
      </c>
      <c r="F1778" s="10" t="str">
        <v/>
      </c>
      <c r="G1778" t="e">
        <f t="shared" si="110"/>
        <v>#VALUE!</v>
      </c>
      <c r="H1778" s="13" t="e">
        <f t="shared" si="111"/>
        <v>#VALUE!</v>
      </c>
    </row>
    <row r="1779" spans="2:8">
      <c r="B1779" s="11" t="str">
        <f t="shared" si="109"/>
        <v/>
      </c>
      <c r="C1779" s="11" t="str">
        <f t="shared" si="112"/>
        <v/>
      </c>
      <c r="F1779" s="10" t="str">
        <v/>
      </c>
      <c r="G1779" t="e">
        <f t="shared" si="110"/>
        <v>#VALUE!</v>
      </c>
      <c r="H1779" s="13" t="e">
        <f t="shared" si="111"/>
        <v>#VALUE!</v>
      </c>
    </row>
    <row r="1780" spans="2:8">
      <c r="B1780" s="11" t="str">
        <f t="shared" si="109"/>
        <v/>
      </c>
      <c r="C1780" s="11" t="str">
        <f t="shared" si="112"/>
        <v/>
      </c>
      <c r="F1780" s="10" t="str">
        <v/>
      </c>
      <c r="G1780" t="e">
        <f t="shared" si="110"/>
        <v>#VALUE!</v>
      </c>
      <c r="H1780" s="13" t="e">
        <f t="shared" si="111"/>
        <v>#VALUE!</v>
      </c>
    </row>
    <row r="1781" spans="2:8">
      <c r="B1781" s="11" t="str">
        <f t="shared" si="109"/>
        <v/>
      </c>
      <c r="C1781" s="11" t="str">
        <f t="shared" si="112"/>
        <v/>
      </c>
      <c r="F1781" s="10" t="str">
        <v/>
      </c>
      <c r="G1781" t="e">
        <f t="shared" si="110"/>
        <v>#VALUE!</v>
      </c>
      <c r="H1781" s="13" t="e">
        <f t="shared" si="111"/>
        <v>#VALUE!</v>
      </c>
    </row>
    <row r="1782" spans="2:8">
      <c r="B1782" s="11" t="str">
        <f t="shared" si="109"/>
        <v/>
      </c>
      <c r="C1782" s="11" t="str">
        <f t="shared" si="112"/>
        <v/>
      </c>
      <c r="F1782" s="10" t="str">
        <v/>
      </c>
      <c r="G1782" t="e">
        <f t="shared" si="110"/>
        <v>#VALUE!</v>
      </c>
      <c r="H1782" s="13" t="e">
        <f t="shared" si="111"/>
        <v>#VALUE!</v>
      </c>
    </row>
    <row r="1783" spans="2:8">
      <c r="B1783" s="11" t="str">
        <f t="shared" si="109"/>
        <v/>
      </c>
      <c r="C1783" s="11" t="str">
        <f t="shared" si="112"/>
        <v/>
      </c>
      <c r="F1783" s="10" t="str">
        <v/>
      </c>
      <c r="G1783" t="e">
        <f t="shared" si="110"/>
        <v>#VALUE!</v>
      </c>
      <c r="H1783" s="13" t="e">
        <f t="shared" si="111"/>
        <v>#VALUE!</v>
      </c>
    </row>
    <row r="1784" spans="2:8">
      <c r="B1784" s="11" t="str">
        <f t="shared" si="109"/>
        <v/>
      </c>
      <c r="C1784" s="11" t="str">
        <f t="shared" si="112"/>
        <v/>
      </c>
      <c r="F1784" s="10" t="str">
        <v/>
      </c>
      <c r="G1784" t="e">
        <f t="shared" si="110"/>
        <v>#VALUE!</v>
      </c>
      <c r="H1784" s="13" t="e">
        <f t="shared" si="111"/>
        <v>#VALUE!</v>
      </c>
    </row>
    <row r="1785" spans="2:8">
      <c r="B1785" s="11" t="str">
        <f t="shared" si="109"/>
        <v/>
      </c>
      <c r="C1785" s="11" t="str">
        <f t="shared" si="112"/>
        <v/>
      </c>
      <c r="F1785" s="10" t="str">
        <v/>
      </c>
      <c r="G1785" t="e">
        <f t="shared" si="110"/>
        <v>#VALUE!</v>
      </c>
      <c r="H1785" s="13" t="e">
        <f t="shared" si="111"/>
        <v>#VALUE!</v>
      </c>
    </row>
    <row r="1786" spans="2:8">
      <c r="B1786" s="11" t="str">
        <f t="shared" si="109"/>
        <v/>
      </c>
      <c r="C1786" s="11" t="str">
        <f t="shared" si="112"/>
        <v/>
      </c>
      <c r="F1786" s="10" t="str">
        <v/>
      </c>
      <c r="G1786" t="e">
        <f t="shared" si="110"/>
        <v>#VALUE!</v>
      </c>
      <c r="H1786" s="13" t="e">
        <f t="shared" si="111"/>
        <v>#VALUE!</v>
      </c>
    </row>
    <row r="1787" spans="2:8">
      <c r="B1787" s="11" t="str">
        <f t="shared" si="109"/>
        <v/>
      </c>
      <c r="C1787" s="11" t="str">
        <f t="shared" si="112"/>
        <v/>
      </c>
      <c r="F1787" s="10" t="str">
        <v/>
      </c>
      <c r="G1787" t="e">
        <f t="shared" si="110"/>
        <v>#VALUE!</v>
      </c>
      <c r="H1787" s="13" t="e">
        <f t="shared" si="111"/>
        <v>#VALUE!</v>
      </c>
    </row>
    <row r="1788" spans="2:8">
      <c r="B1788" s="11" t="str">
        <f t="shared" si="109"/>
        <v/>
      </c>
      <c r="C1788" s="11" t="str">
        <f t="shared" si="112"/>
        <v/>
      </c>
      <c r="F1788" s="10" t="str">
        <v/>
      </c>
      <c r="G1788" t="e">
        <f t="shared" si="110"/>
        <v>#VALUE!</v>
      </c>
      <c r="H1788" s="13" t="e">
        <f t="shared" si="111"/>
        <v>#VALUE!</v>
      </c>
    </row>
    <row r="1789" spans="2:8">
      <c r="B1789" s="11" t="str">
        <f t="shared" si="109"/>
        <v/>
      </c>
      <c r="C1789" s="11" t="str">
        <f t="shared" si="112"/>
        <v/>
      </c>
      <c r="F1789" s="10" t="str">
        <v/>
      </c>
      <c r="G1789" t="e">
        <f t="shared" si="110"/>
        <v>#VALUE!</v>
      </c>
      <c r="H1789" s="13" t="e">
        <f t="shared" si="111"/>
        <v>#VALUE!</v>
      </c>
    </row>
    <row r="1790" spans="2:8">
      <c r="B1790" s="11" t="str">
        <f t="shared" si="109"/>
        <v/>
      </c>
      <c r="C1790" s="11" t="str">
        <f t="shared" si="112"/>
        <v/>
      </c>
      <c r="F1790" s="10" t="str">
        <v/>
      </c>
      <c r="G1790" t="e">
        <f t="shared" si="110"/>
        <v>#VALUE!</v>
      </c>
      <c r="H1790" s="13" t="e">
        <f t="shared" si="111"/>
        <v>#VALUE!</v>
      </c>
    </row>
    <row r="1791" spans="2:8">
      <c r="B1791" s="11" t="str">
        <f t="shared" si="109"/>
        <v/>
      </c>
      <c r="C1791" s="11" t="str">
        <f t="shared" si="112"/>
        <v/>
      </c>
      <c r="F1791" s="10" t="str">
        <v/>
      </c>
      <c r="G1791" t="e">
        <f t="shared" si="110"/>
        <v>#VALUE!</v>
      </c>
      <c r="H1791" s="13" t="e">
        <f t="shared" si="111"/>
        <v>#VALUE!</v>
      </c>
    </row>
    <row r="1792" spans="2:8">
      <c r="B1792" s="11" t="str">
        <f t="shared" si="109"/>
        <v/>
      </c>
      <c r="C1792" s="11" t="str">
        <f t="shared" si="112"/>
        <v/>
      </c>
      <c r="F1792" s="10" t="str">
        <v/>
      </c>
      <c r="G1792" t="e">
        <f t="shared" si="110"/>
        <v>#VALUE!</v>
      </c>
      <c r="H1792" s="13" t="e">
        <f t="shared" si="111"/>
        <v>#VALUE!</v>
      </c>
    </row>
    <row r="1793" spans="2:8">
      <c r="B1793" s="11" t="str">
        <f t="shared" ref="B1793:B1856" si="113">IFERROR(IF(FIND(" ",A1793)=6,IF(IFERROR(FIND(" PB",A1793),"")&lt;&gt;"","артикул",IF(IFERROR(FIND(" CRN",A1793),"")&lt;&gt;"","артикул","")),""),"")</f>
        <v/>
      </c>
      <c r="C1793" s="11" t="str">
        <f t="shared" si="112"/>
        <v/>
      </c>
      <c r="F1793" s="10" t="str">
        <v/>
      </c>
      <c r="G1793" t="e">
        <f t="shared" si="110"/>
        <v>#VALUE!</v>
      </c>
      <c r="H1793" s="13" t="e">
        <f t="shared" si="111"/>
        <v>#VALUE!</v>
      </c>
    </row>
    <row r="1794" spans="2:8">
      <c r="B1794" s="11" t="str">
        <f t="shared" si="113"/>
        <v/>
      </c>
      <c r="C1794" s="11" t="str">
        <f t="shared" si="112"/>
        <v/>
      </c>
      <c r="F1794" s="10" t="str">
        <v/>
      </c>
      <c r="G1794" t="e">
        <f t="shared" ref="G1794:G1857" si="114">CONCATENATE(LEFT(F1794,5),
MID(F1794,
SEARCH("\",SUBSTITUTE(F1794," ","\",LEN(F1794)-LEN(SUBSTITUTE(F1794," ",""))-4)),
SEARCH("\",SUBSTITUTE(F1794," ","\",LEN(F1794)-LEN(SUBSTITUTE(F1794," ",""))-3))-
SEARCH("\",SUBSTITUTE(F1794," ","\",LEN(F1794)-LEN(SUBSTITUTE(F1794," ",""))-4)))*1)</f>
        <v>#VALUE!</v>
      </c>
      <c r="H1794" s="13" t="e">
        <f t="shared" ref="H1794:H1857" si="115">SUBSTITUTE(
RIGHT(F1794,LEN(F1794)-
FIND("\",SUBSTITUTE(F1794," ","\",LEN(F1794)-LEN(SUBSTITUTE(F1794," ",""))))),
".","")</f>
        <v>#VALUE!</v>
      </c>
    </row>
    <row r="1795" spans="2:8">
      <c r="B1795" s="11" t="str">
        <f t="shared" si="113"/>
        <v/>
      </c>
      <c r="C1795" s="11" t="str">
        <f t="shared" si="112"/>
        <v/>
      </c>
      <c r="F1795" s="10" t="str">
        <v/>
      </c>
      <c r="G1795" t="e">
        <f t="shared" si="114"/>
        <v>#VALUE!</v>
      </c>
      <c r="H1795" s="13" t="e">
        <f t="shared" si="115"/>
        <v>#VALUE!</v>
      </c>
    </row>
    <row r="1796" spans="2:8">
      <c r="B1796" s="11" t="str">
        <f t="shared" si="113"/>
        <v/>
      </c>
      <c r="C1796" s="11" t="str">
        <f t="shared" si="112"/>
        <v/>
      </c>
      <c r="F1796" s="10" t="str">
        <v/>
      </c>
      <c r="G1796" t="e">
        <f t="shared" si="114"/>
        <v>#VALUE!</v>
      </c>
      <c r="H1796" s="13" t="e">
        <f t="shared" si="115"/>
        <v>#VALUE!</v>
      </c>
    </row>
    <row r="1797" spans="2:8">
      <c r="B1797" s="11" t="str">
        <f t="shared" si="113"/>
        <v/>
      </c>
      <c r="C1797" s="11" t="str">
        <f t="shared" si="112"/>
        <v/>
      </c>
      <c r="F1797" s="10" t="str">
        <v/>
      </c>
      <c r="G1797" t="e">
        <f t="shared" si="114"/>
        <v>#VALUE!</v>
      </c>
      <c r="H1797" s="13" t="e">
        <f t="shared" si="115"/>
        <v>#VALUE!</v>
      </c>
    </row>
    <row r="1798" spans="2:8">
      <c r="B1798" s="11" t="str">
        <f t="shared" si="113"/>
        <v/>
      </c>
      <c r="C1798" s="11" t="str">
        <f t="shared" si="112"/>
        <v/>
      </c>
      <c r="F1798" s="10" t="str">
        <v/>
      </c>
      <c r="G1798" t="e">
        <f t="shared" si="114"/>
        <v>#VALUE!</v>
      </c>
      <c r="H1798" s="13" t="e">
        <f t="shared" si="115"/>
        <v>#VALUE!</v>
      </c>
    </row>
    <row r="1799" spans="2:8">
      <c r="B1799" s="11" t="str">
        <f t="shared" si="113"/>
        <v/>
      </c>
      <c r="C1799" s="11" t="str">
        <f t="shared" si="112"/>
        <v/>
      </c>
      <c r="F1799" s="10" t="str">
        <v/>
      </c>
      <c r="G1799" t="e">
        <f t="shared" si="114"/>
        <v>#VALUE!</v>
      </c>
      <c r="H1799" s="13" t="e">
        <f t="shared" si="115"/>
        <v>#VALUE!</v>
      </c>
    </row>
    <row r="1800" spans="2:8">
      <c r="B1800" s="11" t="str">
        <f t="shared" si="113"/>
        <v/>
      </c>
      <c r="C1800" s="11" t="str">
        <f t="shared" si="112"/>
        <v/>
      </c>
      <c r="F1800" s="10" t="str">
        <v/>
      </c>
      <c r="G1800" t="e">
        <f t="shared" si="114"/>
        <v>#VALUE!</v>
      </c>
      <c r="H1800" s="13" t="e">
        <f t="shared" si="115"/>
        <v>#VALUE!</v>
      </c>
    </row>
    <row r="1801" spans="2:8">
      <c r="B1801" s="11" t="str">
        <f t="shared" si="113"/>
        <v/>
      </c>
      <c r="C1801" s="11" t="str">
        <f t="shared" si="112"/>
        <v/>
      </c>
      <c r="F1801" s="10" t="str">
        <v/>
      </c>
      <c r="G1801" t="e">
        <f t="shared" si="114"/>
        <v>#VALUE!</v>
      </c>
      <c r="H1801" s="13" t="e">
        <f t="shared" si="115"/>
        <v>#VALUE!</v>
      </c>
    </row>
    <row r="1802" spans="2:8">
      <c r="B1802" s="11" t="str">
        <f t="shared" si="113"/>
        <v/>
      </c>
      <c r="C1802" s="11" t="str">
        <f t="shared" si="112"/>
        <v/>
      </c>
      <c r="F1802" s="10" t="str">
        <v/>
      </c>
      <c r="G1802" t="e">
        <f t="shared" si="114"/>
        <v>#VALUE!</v>
      </c>
      <c r="H1802" s="13" t="e">
        <f t="shared" si="115"/>
        <v>#VALUE!</v>
      </c>
    </row>
    <row r="1803" spans="2:8">
      <c r="B1803" s="11" t="str">
        <f t="shared" si="113"/>
        <v/>
      </c>
      <c r="C1803" s="11" t="str">
        <f t="shared" si="112"/>
        <v/>
      </c>
      <c r="F1803" s="10" t="str">
        <v/>
      </c>
      <c r="G1803" t="e">
        <f t="shared" si="114"/>
        <v>#VALUE!</v>
      </c>
      <c r="H1803" s="13" t="e">
        <f t="shared" si="115"/>
        <v>#VALUE!</v>
      </c>
    </row>
    <row r="1804" spans="2:8">
      <c r="B1804" s="11" t="str">
        <f t="shared" si="113"/>
        <v/>
      </c>
      <c r="C1804" s="11" t="str">
        <f t="shared" si="112"/>
        <v/>
      </c>
      <c r="F1804" s="10" t="str">
        <v/>
      </c>
      <c r="G1804" t="e">
        <f t="shared" si="114"/>
        <v>#VALUE!</v>
      </c>
      <c r="H1804" s="13" t="e">
        <f t="shared" si="115"/>
        <v>#VALUE!</v>
      </c>
    </row>
    <row r="1805" spans="2:8">
      <c r="B1805" s="11" t="str">
        <f t="shared" si="113"/>
        <v/>
      </c>
      <c r="C1805" s="11" t="str">
        <f t="shared" si="112"/>
        <v/>
      </c>
      <c r="F1805" s="10" t="str">
        <v/>
      </c>
      <c r="G1805" t="e">
        <f t="shared" si="114"/>
        <v>#VALUE!</v>
      </c>
      <c r="H1805" s="13" t="e">
        <f t="shared" si="115"/>
        <v>#VALUE!</v>
      </c>
    </row>
    <row r="1806" spans="2:8">
      <c r="B1806" s="11" t="str">
        <f t="shared" si="113"/>
        <v/>
      </c>
      <c r="C1806" s="11" t="str">
        <f t="shared" si="112"/>
        <v/>
      </c>
      <c r="F1806" s="10" t="str">
        <v/>
      </c>
      <c r="G1806" t="e">
        <f t="shared" si="114"/>
        <v>#VALUE!</v>
      </c>
      <c r="H1806" s="13" t="e">
        <f t="shared" si="115"/>
        <v>#VALUE!</v>
      </c>
    </row>
    <row r="1807" spans="2:8">
      <c r="B1807" s="11" t="str">
        <f t="shared" si="113"/>
        <v/>
      </c>
      <c r="C1807" s="11" t="str">
        <f t="shared" si="112"/>
        <v/>
      </c>
      <c r="F1807" s="10" t="str">
        <v/>
      </c>
      <c r="G1807" t="e">
        <f t="shared" si="114"/>
        <v>#VALUE!</v>
      </c>
      <c r="H1807" s="13" t="e">
        <f t="shared" si="115"/>
        <v>#VALUE!</v>
      </c>
    </row>
    <row r="1808" spans="2:8">
      <c r="B1808" s="11" t="str">
        <f t="shared" si="113"/>
        <v/>
      </c>
      <c r="C1808" s="11" t="str">
        <f t="shared" si="112"/>
        <v/>
      </c>
      <c r="F1808" s="10" t="str">
        <v/>
      </c>
      <c r="G1808" t="e">
        <f t="shared" si="114"/>
        <v>#VALUE!</v>
      </c>
      <c r="H1808" s="13" t="e">
        <f t="shared" si="115"/>
        <v>#VALUE!</v>
      </c>
    </row>
    <row r="1809" spans="2:8">
      <c r="B1809" s="11" t="str">
        <f t="shared" si="113"/>
        <v/>
      </c>
      <c r="C1809" s="11" t="str">
        <f t="shared" si="112"/>
        <v/>
      </c>
      <c r="F1809" s="10" t="str">
        <v/>
      </c>
      <c r="G1809" t="e">
        <f t="shared" si="114"/>
        <v>#VALUE!</v>
      </c>
      <c r="H1809" s="13" t="e">
        <f t="shared" si="115"/>
        <v>#VALUE!</v>
      </c>
    </row>
    <row r="1810" spans="2:8">
      <c r="B1810" s="11" t="str">
        <f t="shared" si="113"/>
        <v/>
      </c>
      <c r="C1810" s="11" t="str">
        <f t="shared" si="112"/>
        <v/>
      </c>
      <c r="F1810" s="10" t="str">
        <v/>
      </c>
      <c r="G1810" t="e">
        <f t="shared" si="114"/>
        <v>#VALUE!</v>
      </c>
      <c r="H1810" s="13" t="e">
        <f t="shared" si="115"/>
        <v>#VALUE!</v>
      </c>
    </row>
    <row r="1811" spans="2:8">
      <c r="B1811" s="11" t="str">
        <f t="shared" si="113"/>
        <v/>
      </c>
      <c r="C1811" s="11" t="str">
        <f t="shared" si="112"/>
        <v/>
      </c>
      <c r="F1811" s="10" t="str">
        <v/>
      </c>
      <c r="G1811" t="e">
        <f t="shared" si="114"/>
        <v>#VALUE!</v>
      </c>
      <c r="H1811" s="13" t="e">
        <f t="shared" si="115"/>
        <v>#VALUE!</v>
      </c>
    </row>
    <row r="1812" spans="2:8">
      <c r="B1812" s="11" t="str">
        <f t="shared" si="113"/>
        <v/>
      </c>
      <c r="C1812" s="11" t="str">
        <f t="shared" si="112"/>
        <v/>
      </c>
      <c r="F1812" s="10" t="str">
        <v/>
      </c>
      <c r="G1812" t="e">
        <f t="shared" si="114"/>
        <v>#VALUE!</v>
      </c>
      <c r="H1812" s="13" t="e">
        <f t="shared" si="115"/>
        <v>#VALUE!</v>
      </c>
    </row>
    <row r="1813" spans="2:8">
      <c r="B1813" s="11" t="str">
        <f t="shared" si="113"/>
        <v/>
      </c>
      <c r="C1813" s="11" t="str">
        <f t="shared" si="112"/>
        <v/>
      </c>
      <c r="F1813" s="10" t="str">
        <v/>
      </c>
      <c r="G1813" t="e">
        <f t="shared" si="114"/>
        <v>#VALUE!</v>
      </c>
      <c r="H1813" s="13" t="e">
        <f t="shared" si="115"/>
        <v>#VALUE!</v>
      </c>
    </row>
    <row r="1814" spans="2:8">
      <c r="B1814" s="11" t="str">
        <f t="shared" si="113"/>
        <v/>
      </c>
      <c r="C1814" s="11" t="str">
        <f t="shared" si="112"/>
        <v/>
      </c>
      <c r="F1814" s="10" t="str">
        <v/>
      </c>
      <c r="G1814" t="e">
        <f t="shared" si="114"/>
        <v>#VALUE!</v>
      </c>
      <c r="H1814" s="13" t="e">
        <f t="shared" si="115"/>
        <v>#VALUE!</v>
      </c>
    </row>
    <row r="1815" spans="2:8">
      <c r="B1815" s="11" t="str">
        <f t="shared" si="113"/>
        <v/>
      </c>
      <c r="C1815" s="11" t="str">
        <f t="shared" si="112"/>
        <v/>
      </c>
      <c r="F1815" s="10" t="str">
        <v/>
      </c>
      <c r="G1815" t="e">
        <f t="shared" si="114"/>
        <v>#VALUE!</v>
      </c>
      <c r="H1815" s="13" t="e">
        <f t="shared" si="115"/>
        <v>#VALUE!</v>
      </c>
    </row>
    <row r="1816" spans="2:8">
      <c r="B1816" s="11" t="str">
        <f t="shared" si="113"/>
        <v/>
      </c>
      <c r="C1816" s="11" t="str">
        <f t="shared" si="112"/>
        <v/>
      </c>
      <c r="F1816" s="10" t="str">
        <v/>
      </c>
      <c r="G1816" t="e">
        <f t="shared" si="114"/>
        <v>#VALUE!</v>
      </c>
      <c r="H1816" s="13" t="e">
        <f t="shared" si="115"/>
        <v>#VALUE!</v>
      </c>
    </row>
    <row r="1817" spans="2:8">
      <c r="B1817" s="11" t="str">
        <f t="shared" si="113"/>
        <v/>
      </c>
      <c r="C1817" s="11" t="str">
        <f t="shared" si="112"/>
        <v/>
      </c>
      <c r="F1817" s="10" t="str">
        <v/>
      </c>
      <c r="G1817" t="e">
        <f t="shared" si="114"/>
        <v>#VALUE!</v>
      </c>
      <c r="H1817" s="13" t="e">
        <f t="shared" si="115"/>
        <v>#VALUE!</v>
      </c>
    </row>
    <row r="1818" spans="2:8">
      <c r="B1818" s="11" t="str">
        <f t="shared" si="113"/>
        <v/>
      </c>
      <c r="C1818" s="11" t="str">
        <f t="shared" si="112"/>
        <v/>
      </c>
      <c r="F1818" s="10" t="str">
        <v/>
      </c>
      <c r="G1818" t="e">
        <f t="shared" si="114"/>
        <v>#VALUE!</v>
      </c>
      <c r="H1818" s="13" t="e">
        <f t="shared" si="115"/>
        <v>#VALUE!</v>
      </c>
    </row>
    <row r="1819" spans="2:8">
      <c r="B1819" s="11" t="str">
        <f t="shared" si="113"/>
        <v/>
      </c>
      <c r="C1819" s="11" t="str">
        <f t="shared" si="112"/>
        <v/>
      </c>
      <c r="F1819" s="10" t="str">
        <v/>
      </c>
      <c r="G1819" t="e">
        <f t="shared" si="114"/>
        <v>#VALUE!</v>
      </c>
      <c r="H1819" s="13" t="e">
        <f t="shared" si="115"/>
        <v>#VALUE!</v>
      </c>
    </row>
    <row r="1820" spans="2:8">
      <c r="B1820" s="11" t="str">
        <f t="shared" si="113"/>
        <v/>
      </c>
      <c r="C1820" s="11" t="str">
        <f t="shared" si="112"/>
        <v/>
      </c>
      <c r="F1820" s="10" t="str">
        <v/>
      </c>
      <c r="G1820" t="e">
        <f t="shared" si="114"/>
        <v>#VALUE!</v>
      </c>
      <c r="H1820" s="13" t="e">
        <f t="shared" si="115"/>
        <v>#VALUE!</v>
      </c>
    </row>
    <row r="1821" spans="2:8">
      <c r="B1821" s="11" t="str">
        <f t="shared" si="113"/>
        <v/>
      </c>
      <c r="C1821" s="11" t="str">
        <f t="shared" si="112"/>
        <v/>
      </c>
      <c r="F1821" s="10" t="str">
        <v/>
      </c>
      <c r="G1821" t="e">
        <f t="shared" si="114"/>
        <v>#VALUE!</v>
      </c>
      <c r="H1821" s="13" t="e">
        <f t="shared" si="115"/>
        <v>#VALUE!</v>
      </c>
    </row>
    <row r="1822" spans="2:8">
      <c r="B1822" s="11" t="str">
        <f t="shared" si="113"/>
        <v/>
      </c>
      <c r="C1822" s="11" t="str">
        <f t="shared" si="112"/>
        <v/>
      </c>
      <c r="F1822" s="10" t="str">
        <v/>
      </c>
      <c r="G1822" t="e">
        <f t="shared" si="114"/>
        <v>#VALUE!</v>
      </c>
      <c r="H1822" s="13" t="e">
        <f t="shared" si="115"/>
        <v>#VALUE!</v>
      </c>
    </row>
    <row r="1823" spans="2:8">
      <c r="B1823" s="11" t="str">
        <f t="shared" si="113"/>
        <v/>
      </c>
      <c r="C1823" s="11" t="str">
        <f t="shared" si="112"/>
        <v/>
      </c>
      <c r="F1823" s="10" t="str">
        <v/>
      </c>
      <c r="G1823" t="e">
        <f t="shared" si="114"/>
        <v>#VALUE!</v>
      </c>
      <c r="H1823" s="13" t="e">
        <f t="shared" si="115"/>
        <v>#VALUE!</v>
      </c>
    </row>
    <row r="1824" spans="2:8">
      <c r="B1824" s="11" t="str">
        <f t="shared" si="113"/>
        <v/>
      </c>
      <c r="C1824" s="11" t="str">
        <f t="shared" si="112"/>
        <v/>
      </c>
      <c r="F1824" s="10" t="str">
        <v/>
      </c>
      <c r="G1824" t="e">
        <f t="shared" si="114"/>
        <v>#VALUE!</v>
      </c>
      <c r="H1824" s="13" t="e">
        <f t="shared" si="115"/>
        <v>#VALUE!</v>
      </c>
    </row>
    <row r="1825" spans="2:8">
      <c r="B1825" s="11" t="str">
        <f t="shared" si="113"/>
        <v/>
      </c>
      <c r="C1825" s="11" t="str">
        <f t="shared" si="112"/>
        <v/>
      </c>
      <c r="F1825" s="10" t="str">
        <v/>
      </c>
      <c r="G1825" t="e">
        <f t="shared" si="114"/>
        <v>#VALUE!</v>
      </c>
      <c r="H1825" s="13" t="e">
        <f t="shared" si="115"/>
        <v>#VALUE!</v>
      </c>
    </row>
    <row r="1826" spans="2:8">
      <c r="B1826" s="11" t="str">
        <f t="shared" si="113"/>
        <v/>
      </c>
      <c r="C1826" s="11" t="str">
        <f t="shared" si="112"/>
        <v/>
      </c>
      <c r="F1826" s="10" t="str">
        <v/>
      </c>
      <c r="G1826" t="e">
        <f t="shared" si="114"/>
        <v>#VALUE!</v>
      </c>
      <c r="H1826" s="13" t="e">
        <f t="shared" si="115"/>
        <v>#VALUE!</v>
      </c>
    </row>
    <row r="1827" spans="2:8">
      <c r="B1827" s="11" t="str">
        <f t="shared" si="113"/>
        <v/>
      </c>
      <c r="C1827" s="11" t="str">
        <f t="shared" si="112"/>
        <v/>
      </c>
      <c r="F1827" s="10" t="str">
        <v/>
      </c>
      <c r="G1827" t="e">
        <f t="shared" si="114"/>
        <v>#VALUE!</v>
      </c>
      <c r="H1827" s="13" t="e">
        <f t="shared" si="115"/>
        <v>#VALUE!</v>
      </c>
    </row>
    <row r="1828" spans="2:8">
      <c r="B1828" s="11" t="str">
        <f t="shared" si="113"/>
        <v/>
      </c>
      <c r="C1828" s="11" t="str">
        <f t="shared" si="112"/>
        <v/>
      </c>
      <c r="F1828" s="10" t="str">
        <v/>
      </c>
      <c r="G1828" t="e">
        <f t="shared" si="114"/>
        <v>#VALUE!</v>
      </c>
      <c r="H1828" s="13" t="e">
        <f t="shared" si="115"/>
        <v>#VALUE!</v>
      </c>
    </row>
    <row r="1829" spans="2:8">
      <c r="B1829" s="11" t="str">
        <f t="shared" si="113"/>
        <v/>
      </c>
      <c r="C1829" s="11" t="str">
        <f t="shared" si="112"/>
        <v/>
      </c>
      <c r="F1829" s="10" t="str">
        <v/>
      </c>
      <c r="G1829" t="e">
        <f t="shared" si="114"/>
        <v>#VALUE!</v>
      </c>
      <c r="H1829" s="13" t="e">
        <f t="shared" si="115"/>
        <v>#VALUE!</v>
      </c>
    </row>
    <row r="1830" spans="2:8">
      <c r="B1830" s="11" t="str">
        <f t="shared" si="113"/>
        <v/>
      </c>
      <c r="C1830" s="11" t="str">
        <f t="shared" si="112"/>
        <v/>
      </c>
      <c r="F1830" s="10" t="str">
        <v/>
      </c>
      <c r="G1830" t="e">
        <f t="shared" si="114"/>
        <v>#VALUE!</v>
      </c>
      <c r="H1830" s="13" t="e">
        <f t="shared" si="115"/>
        <v>#VALUE!</v>
      </c>
    </row>
    <row r="1831" spans="2:8">
      <c r="B1831" s="11" t="str">
        <f t="shared" si="113"/>
        <v/>
      </c>
      <c r="C1831" s="11" t="str">
        <f t="shared" si="112"/>
        <v/>
      </c>
      <c r="F1831" s="10" t="str">
        <v/>
      </c>
      <c r="G1831" t="e">
        <f t="shared" si="114"/>
        <v>#VALUE!</v>
      </c>
      <c r="H1831" s="13" t="e">
        <f t="shared" si="115"/>
        <v>#VALUE!</v>
      </c>
    </row>
    <row r="1832" spans="2:8">
      <c r="B1832" s="11" t="str">
        <f t="shared" si="113"/>
        <v/>
      </c>
      <c r="C1832" s="11" t="str">
        <f t="shared" si="112"/>
        <v/>
      </c>
      <c r="F1832" s="10" t="str">
        <v/>
      </c>
      <c r="G1832" t="e">
        <f t="shared" si="114"/>
        <v>#VALUE!</v>
      </c>
      <c r="H1832" s="13" t="e">
        <f t="shared" si="115"/>
        <v>#VALUE!</v>
      </c>
    </row>
    <row r="1833" spans="2:8">
      <c r="B1833" s="11" t="str">
        <f t="shared" si="113"/>
        <v/>
      </c>
      <c r="C1833" s="11" t="str">
        <f t="shared" ref="C1833:C1896" si="116">IF(B1833="артикул",A1833,"")</f>
        <v/>
      </c>
      <c r="F1833" s="10" t="str">
        <v/>
      </c>
      <c r="G1833" t="e">
        <f t="shared" si="114"/>
        <v>#VALUE!</v>
      </c>
      <c r="H1833" s="13" t="e">
        <f t="shared" si="115"/>
        <v>#VALUE!</v>
      </c>
    </row>
    <row r="1834" spans="2:8">
      <c r="B1834" s="11" t="str">
        <f t="shared" si="113"/>
        <v/>
      </c>
      <c r="C1834" s="11" t="str">
        <f t="shared" si="116"/>
        <v/>
      </c>
      <c r="F1834" s="10" t="str">
        <v/>
      </c>
      <c r="G1834" t="e">
        <f t="shared" si="114"/>
        <v>#VALUE!</v>
      </c>
      <c r="H1834" s="13" t="e">
        <f t="shared" si="115"/>
        <v>#VALUE!</v>
      </c>
    </row>
    <row r="1835" spans="2:8">
      <c r="B1835" s="11" t="str">
        <f t="shared" si="113"/>
        <v/>
      </c>
      <c r="C1835" s="11" t="str">
        <f t="shared" si="116"/>
        <v/>
      </c>
      <c r="F1835" s="10" t="str">
        <v/>
      </c>
      <c r="G1835" t="e">
        <f t="shared" si="114"/>
        <v>#VALUE!</v>
      </c>
      <c r="H1835" s="13" t="e">
        <f t="shared" si="115"/>
        <v>#VALUE!</v>
      </c>
    </row>
    <row r="1836" spans="2:8">
      <c r="B1836" s="11" t="str">
        <f t="shared" si="113"/>
        <v/>
      </c>
      <c r="C1836" s="11" t="str">
        <f t="shared" si="116"/>
        <v/>
      </c>
      <c r="F1836" s="10" t="str">
        <v/>
      </c>
      <c r="G1836" t="e">
        <f t="shared" si="114"/>
        <v>#VALUE!</v>
      </c>
      <c r="H1836" s="13" t="e">
        <f t="shared" si="115"/>
        <v>#VALUE!</v>
      </c>
    </row>
    <row r="1837" spans="2:8">
      <c r="B1837" s="11" t="str">
        <f t="shared" si="113"/>
        <v/>
      </c>
      <c r="C1837" s="11" t="str">
        <f t="shared" si="116"/>
        <v/>
      </c>
      <c r="F1837" s="10" t="str">
        <v/>
      </c>
      <c r="G1837" t="e">
        <f t="shared" si="114"/>
        <v>#VALUE!</v>
      </c>
      <c r="H1837" s="13" t="e">
        <f t="shared" si="115"/>
        <v>#VALUE!</v>
      </c>
    </row>
    <row r="1838" spans="2:8">
      <c r="B1838" s="11" t="str">
        <f t="shared" si="113"/>
        <v/>
      </c>
      <c r="C1838" s="11" t="str">
        <f t="shared" si="116"/>
        <v/>
      </c>
      <c r="F1838" s="10" t="str">
        <v/>
      </c>
      <c r="G1838" t="e">
        <f t="shared" si="114"/>
        <v>#VALUE!</v>
      </c>
      <c r="H1838" s="13" t="e">
        <f t="shared" si="115"/>
        <v>#VALUE!</v>
      </c>
    </row>
    <row r="1839" spans="2:8">
      <c r="B1839" s="11" t="str">
        <f t="shared" si="113"/>
        <v/>
      </c>
      <c r="C1839" s="11" t="str">
        <f t="shared" si="116"/>
        <v/>
      </c>
      <c r="F1839" s="10" t="str">
        <v/>
      </c>
      <c r="G1839" t="e">
        <f t="shared" si="114"/>
        <v>#VALUE!</v>
      </c>
      <c r="H1839" s="13" t="e">
        <f t="shared" si="115"/>
        <v>#VALUE!</v>
      </c>
    </row>
    <row r="1840" spans="2:8">
      <c r="B1840" s="11" t="str">
        <f t="shared" si="113"/>
        <v/>
      </c>
      <c r="C1840" s="11" t="str">
        <f t="shared" si="116"/>
        <v/>
      </c>
      <c r="F1840" s="10" t="str">
        <v/>
      </c>
      <c r="G1840" t="e">
        <f t="shared" si="114"/>
        <v>#VALUE!</v>
      </c>
      <c r="H1840" s="13" t="e">
        <f t="shared" si="115"/>
        <v>#VALUE!</v>
      </c>
    </row>
    <row r="1841" spans="2:8">
      <c r="B1841" s="11" t="str">
        <f t="shared" si="113"/>
        <v/>
      </c>
      <c r="C1841" s="11" t="str">
        <f t="shared" si="116"/>
        <v/>
      </c>
      <c r="F1841" s="10" t="str">
        <v/>
      </c>
      <c r="G1841" t="e">
        <f t="shared" si="114"/>
        <v>#VALUE!</v>
      </c>
      <c r="H1841" s="13" t="e">
        <f t="shared" si="115"/>
        <v>#VALUE!</v>
      </c>
    </row>
    <row r="1842" spans="2:8">
      <c r="B1842" s="11" t="str">
        <f t="shared" si="113"/>
        <v/>
      </c>
      <c r="C1842" s="11" t="str">
        <f t="shared" si="116"/>
        <v/>
      </c>
      <c r="F1842" s="10" t="str">
        <v/>
      </c>
      <c r="G1842" t="e">
        <f t="shared" si="114"/>
        <v>#VALUE!</v>
      </c>
      <c r="H1842" s="13" t="e">
        <f t="shared" si="115"/>
        <v>#VALUE!</v>
      </c>
    </row>
    <row r="1843" spans="2:8">
      <c r="B1843" s="11" t="str">
        <f t="shared" si="113"/>
        <v/>
      </c>
      <c r="C1843" s="11" t="str">
        <f t="shared" si="116"/>
        <v/>
      </c>
      <c r="F1843" s="10" t="str">
        <v/>
      </c>
      <c r="G1843" t="e">
        <f t="shared" si="114"/>
        <v>#VALUE!</v>
      </c>
      <c r="H1843" s="13" t="e">
        <f t="shared" si="115"/>
        <v>#VALUE!</v>
      </c>
    </row>
    <row r="1844" spans="2:8">
      <c r="B1844" s="11" t="str">
        <f t="shared" si="113"/>
        <v/>
      </c>
      <c r="C1844" s="11" t="str">
        <f t="shared" si="116"/>
        <v/>
      </c>
      <c r="F1844" s="10" t="str">
        <v/>
      </c>
      <c r="G1844" t="e">
        <f t="shared" si="114"/>
        <v>#VALUE!</v>
      </c>
      <c r="H1844" s="13" t="e">
        <f t="shared" si="115"/>
        <v>#VALUE!</v>
      </c>
    </row>
    <row r="1845" spans="2:8">
      <c r="B1845" s="11" t="str">
        <f t="shared" si="113"/>
        <v/>
      </c>
      <c r="C1845" s="11" t="str">
        <f t="shared" si="116"/>
        <v/>
      </c>
      <c r="F1845" s="10" t="str">
        <v/>
      </c>
      <c r="G1845" t="e">
        <f t="shared" si="114"/>
        <v>#VALUE!</v>
      </c>
      <c r="H1845" s="13" t="e">
        <f t="shared" si="115"/>
        <v>#VALUE!</v>
      </c>
    </row>
    <row r="1846" spans="2:8">
      <c r="B1846" s="11" t="str">
        <f t="shared" si="113"/>
        <v/>
      </c>
      <c r="C1846" s="11" t="str">
        <f t="shared" si="116"/>
        <v/>
      </c>
      <c r="F1846" s="10" t="str">
        <v/>
      </c>
      <c r="G1846" t="e">
        <f t="shared" si="114"/>
        <v>#VALUE!</v>
      </c>
      <c r="H1846" s="13" t="e">
        <f t="shared" si="115"/>
        <v>#VALUE!</v>
      </c>
    </row>
    <row r="1847" spans="2:8">
      <c r="B1847" s="11" t="str">
        <f t="shared" si="113"/>
        <v/>
      </c>
      <c r="C1847" s="11" t="str">
        <f t="shared" si="116"/>
        <v/>
      </c>
      <c r="F1847" s="10" t="str">
        <v/>
      </c>
      <c r="G1847" t="e">
        <f t="shared" si="114"/>
        <v>#VALUE!</v>
      </c>
      <c r="H1847" s="13" t="e">
        <f t="shared" si="115"/>
        <v>#VALUE!</v>
      </c>
    </row>
    <row r="1848" spans="2:8">
      <c r="B1848" s="11" t="str">
        <f t="shared" si="113"/>
        <v/>
      </c>
      <c r="C1848" s="11" t="str">
        <f t="shared" si="116"/>
        <v/>
      </c>
      <c r="F1848" s="10" t="str">
        <v/>
      </c>
      <c r="G1848" t="e">
        <f t="shared" si="114"/>
        <v>#VALUE!</v>
      </c>
      <c r="H1848" s="13" t="e">
        <f t="shared" si="115"/>
        <v>#VALUE!</v>
      </c>
    </row>
    <row r="1849" spans="2:8">
      <c r="B1849" s="11" t="str">
        <f t="shared" si="113"/>
        <v/>
      </c>
      <c r="C1849" s="11" t="str">
        <f t="shared" si="116"/>
        <v/>
      </c>
      <c r="F1849" s="10" t="str">
        <v/>
      </c>
      <c r="G1849" t="e">
        <f t="shared" si="114"/>
        <v>#VALUE!</v>
      </c>
      <c r="H1849" s="13" t="e">
        <f t="shared" si="115"/>
        <v>#VALUE!</v>
      </c>
    </row>
    <row r="1850" spans="2:8">
      <c r="B1850" s="11" t="str">
        <f t="shared" si="113"/>
        <v/>
      </c>
      <c r="C1850" s="11" t="str">
        <f t="shared" si="116"/>
        <v/>
      </c>
      <c r="F1850" s="10" t="str">
        <v/>
      </c>
      <c r="G1850" t="e">
        <f t="shared" si="114"/>
        <v>#VALUE!</v>
      </c>
      <c r="H1850" s="13" t="e">
        <f t="shared" si="115"/>
        <v>#VALUE!</v>
      </c>
    </row>
    <row r="1851" spans="2:8">
      <c r="B1851" s="11" t="str">
        <f t="shared" si="113"/>
        <v/>
      </c>
      <c r="C1851" s="11" t="str">
        <f t="shared" si="116"/>
        <v/>
      </c>
      <c r="F1851" s="10" t="str">
        <v/>
      </c>
      <c r="G1851" t="e">
        <f t="shared" si="114"/>
        <v>#VALUE!</v>
      </c>
      <c r="H1851" s="13" t="e">
        <f t="shared" si="115"/>
        <v>#VALUE!</v>
      </c>
    </row>
    <row r="1852" spans="2:8">
      <c r="B1852" s="11" t="str">
        <f t="shared" si="113"/>
        <v/>
      </c>
      <c r="C1852" s="11" t="str">
        <f t="shared" si="116"/>
        <v/>
      </c>
      <c r="F1852" s="10" t="str">
        <v/>
      </c>
      <c r="G1852" t="e">
        <f t="shared" si="114"/>
        <v>#VALUE!</v>
      </c>
      <c r="H1852" s="13" t="e">
        <f t="shared" si="115"/>
        <v>#VALUE!</v>
      </c>
    </row>
    <row r="1853" spans="2:8">
      <c r="B1853" s="11" t="str">
        <f t="shared" si="113"/>
        <v/>
      </c>
      <c r="C1853" s="11" t="str">
        <f t="shared" si="116"/>
        <v/>
      </c>
      <c r="F1853" s="10" t="str">
        <v/>
      </c>
      <c r="G1853" t="e">
        <f t="shared" si="114"/>
        <v>#VALUE!</v>
      </c>
      <c r="H1853" s="13" t="e">
        <f t="shared" si="115"/>
        <v>#VALUE!</v>
      </c>
    </row>
    <row r="1854" spans="2:8">
      <c r="B1854" s="11" t="str">
        <f t="shared" si="113"/>
        <v/>
      </c>
      <c r="C1854" s="11" t="str">
        <f t="shared" si="116"/>
        <v/>
      </c>
      <c r="F1854" s="10" t="str">
        <v/>
      </c>
      <c r="G1854" t="e">
        <f t="shared" si="114"/>
        <v>#VALUE!</v>
      </c>
      <c r="H1854" s="13" t="e">
        <f t="shared" si="115"/>
        <v>#VALUE!</v>
      </c>
    </row>
    <row r="1855" spans="2:8">
      <c r="B1855" s="11" t="str">
        <f t="shared" si="113"/>
        <v/>
      </c>
      <c r="C1855" s="11" t="str">
        <f t="shared" si="116"/>
        <v/>
      </c>
      <c r="F1855" s="10" t="str">
        <v/>
      </c>
      <c r="G1855" t="e">
        <f t="shared" si="114"/>
        <v>#VALUE!</v>
      </c>
      <c r="H1855" s="13" t="e">
        <f t="shared" si="115"/>
        <v>#VALUE!</v>
      </c>
    </row>
    <row r="1856" spans="2:8">
      <c r="B1856" s="11" t="str">
        <f t="shared" si="113"/>
        <v/>
      </c>
      <c r="C1856" s="11" t="str">
        <f t="shared" si="116"/>
        <v/>
      </c>
      <c r="F1856" s="10" t="str">
        <v/>
      </c>
      <c r="G1856" t="e">
        <f t="shared" si="114"/>
        <v>#VALUE!</v>
      </c>
      <c r="H1856" s="13" t="e">
        <f t="shared" si="115"/>
        <v>#VALUE!</v>
      </c>
    </row>
    <row r="1857" spans="2:8">
      <c r="B1857" s="11" t="str">
        <f t="shared" ref="B1857:B1920" si="117">IFERROR(IF(FIND(" ",A1857)=6,IF(IFERROR(FIND(" PB",A1857),"")&lt;&gt;"","артикул",IF(IFERROR(FIND(" CRN",A1857),"")&lt;&gt;"","артикул","")),""),"")</f>
        <v/>
      </c>
      <c r="C1857" s="11" t="str">
        <f t="shared" si="116"/>
        <v/>
      </c>
      <c r="F1857" s="10" t="str">
        <v/>
      </c>
      <c r="G1857" t="e">
        <f t="shared" si="114"/>
        <v>#VALUE!</v>
      </c>
      <c r="H1857" s="13" t="e">
        <f t="shared" si="115"/>
        <v>#VALUE!</v>
      </c>
    </row>
    <row r="1858" spans="2:8">
      <c r="B1858" s="11" t="str">
        <f t="shared" si="117"/>
        <v/>
      </c>
      <c r="C1858" s="11" t="str">
        <f t="shared" si="116"/>
        <v/>
      </c>
      <c r="F1858" s="10" t="str">
        <v/>
      </c>
      <c r="G1858" t="e">
        <f t="shared" ref="G1858:G1921" si="118">CONCATENATE(LEFT(F1858,5),
MID(F1858,
SEARCH("\",SUBSTITUTE(F1858," ","\",LEN(F1858)-LEN(SUBSTITUTE(F1858," ",""))-4)),
SEARCH("\",SUBSTITUTE(F1858," ","\",LEN(F1858)-LEN(SUBSTITUTE(F1858," ",""))-3))-
SEARCH("\",SUBSTITUTE(F1858," ","\",LEN(F1858)-LEN(SUBSTITUTE(F1858," ",""))-4)))*1)</f>
        <v>#VALUE!</v>
      </c>
      <c r="H1858" s="13" t="e">
        <f t="shared" ref="H1858:H1921" si="119">SUBSTITUTE(
RIGHT(F1858,LEN(F1858)-
FIND("\",SUBSTITUTE(F1858," ","\",LEN(F1858)-LEN(SUBSTITUTE(F1858," ",""))))),
".","")</f>
        <v>#VALUE!</v>
      </c>
    </row>
    <row r="1859" spans="2:8">
      <c r="B1859" s="11" t="str">
        <f t="shared" si="117"/>
        <v/>
      </c>
      <c r="C1859" s="11" t="str">
        <f t="shared" si="116"/>
        <v/>
      </c>
      <c r="F1859" s="10" t="str">
        <v/>
      </c>
      <c r="G1859" t="e">
        <f t="shared" si="118"/>
        <v>#VALUE!</v>
      </c>
      <c r="H1859" s="13" t="e">
        <f t="shared" si="119"/>
        <v>#VALUE!</v>
      </c>
    </row>
    <row r="1860" spans="2:8">
      <c r="B1860" s="11" t="str">
        <f t="shared" si="117"/>
        <v/>
      </c>
      <c r="C1860" s="11" t="str">
        <f t="shared" si="116"/>
        <v/>
      </c>
      <c r="F1860" s="10" t="str">
        <v/>
      </c>
      <c r="G1860" t="e">
        <f t="shared" si="118"/>
        <v>#VALUE!</v>
      </c>
      <c r="H1860" s="13" t="e">
        <f t="shared" si="119"/>
        <v>#VALUE!</v>
      </c>
    </row>
    <row r="1861" spans="2:8">
      <c r="B1861" s="11" t="str">
        <f t="shared" si="117"/>
        <v/>
      </c>
      <c r="C1861" s="11" t="str">
        <f t="shared" si="116"/>
        <v/>
      </c>
      <c r="F1861" s="10" t="str">
        <v/>
      </c>
      <c r="G1861" t="e">
        <f t="shared" si="118"/>
        <v>#VALUE!</v>
      </c>
      <c r="H1861" s="13" t="e">
        <f t="shared" si="119"/>
        <v>#VALUE!</v>
      </c>
    </row>
    <row r="1862" spans="2:8">
      <c r="B1862" s="11" t="str">
        <f t="shared" si="117"/>
        <v/>
      </c>
      <c r="C1862" s="11" t="str">
        <f t="shared" si="116"/>
        <v/>
      </c>
      <c r="F1862" s="10" t="str">
        <v/>
      </c>
      <c r="G1862" t="e">
        <f t="shared" si="118"/>
        <v>#VALUE!</v>
      </c>
      <c r="H1862" s="13" t="e">
        <f t="shared" si="119"/>
        <v>#VALUE!</v>
      </c>
    </row>
    <row r="1863" spans="2:8">
      <c r="B1863" s="11" t="str">
        <f t="shared" si="117"/>
        <v/>
      </c>
      <c r="C1863" s="11" t="str">
        <f t="shared" si="116"/>
        <v/>
      </c>
      <c r="F1863" s="10" t="str">
        <v/>
      </c>
      <c r="G1863" t="e">
        <f t="shared" si="118"/>
        <v>#VALUE!</v>
      </c>
      <c r="H1863" s="13" t="e">
        <f t="shared" si="119"/>
        <v>#VALUE!</v>
      </c>
    </row>
    <row r="1864" spans="2:8">
      <c r="B1864" s="11" t="str">
        <f t="shared" si="117"/>
        <v/>
      </c>
      <c r="C1864" s="11" t="str">
        <f t="shared" si="116"/>
        <v/>
      </c>
      <c r="F1864" s="10" t="str">
        <v/>
      </c>
      <c r="G1864" t="e">
        <f t="shared" si="118"/>
        <v>#VALUE!</v>
      </c>
      <c r="H1864" s="13" t="e">
        <f t="shared" si="119"/>
        <v>#VALUE!</v>
      </c>
    </row>
    <row r="1865" spans="2:8">
      <c r="B1865" s="11" t="str">
        <f t="shared" si="117"/>
        <v/>
      </c>
      <c r="C1865" s="11" t="str">
        <f t="shared" si="116"/>
        <v/>
      </c>
      <c r="F1865" s="10" t="str">
        <v/>
      </c>
      <c r="G1865" t="e">
        <f t="shared" si="118"/>
        <v>#VALUE!</v>
      </c>
      <c r="H1865" s="13" t="e">
        <f t="shared" si="119"/>
        <v>#VALUE!</v>
      </c>
    </row>
    <row r="1866" spans="2:8">
      <c r="B1866" s="11" t="str">
        <f t="shared" si="117"/>
        <v/>
      </c>
      <c r="C1866" s="11" t="str">
        <f t="shared" si="116"/>
        <v/>
      </c>
      <c r="F1866" s="10" t="str">
        <v/>
      </c>
      <c r="G1866" t="e">
        <f t="shared" si="118"/>
        <v>#VALUE!</v>
      </c>
      <c r="H1866" s="13" t="e">
        <f t="shared" si="119"/>
        <v>#VALUE!</v>
      </c>
    </row>
    <row r="1867" spans="2:8">
      <c r="B1867" s="11" t="str">
        <f t="shared" si="117"/>
        <v/>
      </c>
      <c r="C1867" s="11" t="str">
        <f t="shared" si="116"/>
        <v/>
      </c>
      <c r="F1867" s="10" t="str">
        <v/>
      </c>
      <c r="G1867" t="e">
        <f t="shared" si="118"/>
        <v>#VALUE!</v>
      </c>
      <c r="H1867" s="13" t="e">
        <f t="shared" si="119"/>
        <v>#VALUE!</v>
      </c>
    </row>
    <row r="1868" spans="2:8">
      <c r="B1868" s="11" t="str">
        <f t="shared" si="117"/>
        <v/>
      </c>
      <c r="C1868" s="11" t="str">
        <f t="shared" si="116"/>
        <v/>
      </c>
      <c r="F1868" s="10" t="str">
        <v/>
      </c>
      <c r="G1868" t="e">
        <f t="shared" si="118"/>
        <v>#VALUE!</v>
      </c>
      <c r="H1868" s="13" t="e">
        <f t="shared" si="119"/>
        <v>#VALUE!</v>
      </c>
    </row>
    <row r="1869" spans="2:8">
      <c r="B1869" s="11" t="str">
        <f t="shared" si="117"/>
        <v/>
      </c>
      <c r="C1869" s="11" t="str">
        <f t="shared" si="116"/>
        <v/>
      </c>
      <c r="F1869" s="10" t="str">
        <v/>
      </c>
      <c r="G1869" t="e">
        <f t="shared" si="118"/>
        <v>#VALUE!</v>
      </c>
      <c r="H1869" s="13" t="e">
        <f t="shared" si="119"/>
        <v>#VALUE!</v>
      </c>
    </row>
    <row r="1870" spans="2:8">
      <c r="B1870" s="11" t="str">
        <f t="shared" si="117"/>
        <v/>
      </c>
      <c r="C1870" s="11" t="str">
        <f t="shared" si="116"/>
        <v/>
      </c>
      <c r="F1870" s="10" t="str">
        <v/>
      </c>
      <c r="G1870" t="e">
        <f t="shared" si="118"/>
        <v>#VALUE!</v>
      </c>
      <c r="H1870" s="13" t="e">
        <f t="shared" si="119"/>
        <v>#VALUE!</v>
      </c>
    </row>
    <row r="1871" spans="2:8">
      <c r="B1871" s="11" t="str">
        <f t="shared" si="117"/>
        <v/>
      </c>
      <c r="C1871" s="11" t="str">
        <f t="shared" si="116"/>
        <v/>
      </c>
      <c r="F1871" s="10" t="str">
        <v/>
      </c>
      <c r="G1871" t="e">
        <f t="shared" si="118"/>
        <v>#VALUE!</v>
      </c>
      <c r="H1871" s="13" t="e">
        <f t="shared" si="119"/>
        <v>#VALUE!</v>
      </c>
    </row>
    <row r="1872" spans="2:8">
      <c r="B1872" s="11" t="str">
        <f t="shared" si="117"/>
        <v/>
      </c>
      <c r="C1872" s="11" t="str">
        <f t="shared" si="116"/>
        <v/>
      </c>
      <c r="F1872" s="10" t="str">
        <v/>
      </c>
      <c r="G1872" t="e">
        <f t="shared" si="118"/>
        <v>#VALUE!</v>
      </c>
      <c r="H1872" s="13" t="e">
        <f t="shared" si="119"/>
        <v>#VALUE!</v>
      </c>
    </row>
    <row r="1873" spans="2:8">
      <c r="B1873" s="11" t="str">
        <f t="shared" si="117"/>
        <v/>
      </c>
      <c r="C1873" s="11" t="str">
        <f t="shared" si="116"/>
        <v/>
      </c>
      <c r="F1873" s="10" t="str">
        <v/>
      </c>
      <c r="G1873" t="e">
        <f t="shared" si="118"/>
        <v>#VALUE!</v>
      </c>
      <c r="H1873" s="13" t="e">
        <f t="shared" si="119"/>
        <v>#VALUE!</v>
      </c>
    </row>
    <row r="1874" spans="2:8">
      <c r="B1874" s="11" t="str">
        <f t="shared" si="117"/>
        <v/>
      </c>
      <c r="C1874" s="11" t="str">
        <f t="shared" si="116"/>
        <v/>
      </c>
      <c r="F1874" s="10" t="str">
        <v/>
      </c>
      <c r="G1874" t="e">
        <f t="shared" si="118"/>
        <v>#VALUE!</v>
      </c>
      <c r="H1874" s="13" t="e">
        <f t="shared" si="119"/>
        <v>#VALUE!</v>
      </c>
    </row>
    <row r="1875" spans="2:8">
      <c r="B1875" s="11" t="str">
        <f t="shared" si="117"/>
        <v/>
      </c>
      <c r="C1875" s="11" t="str">
        <f t="shared" si="116"/>
        <v/>
      </c>
      <c r="F1875" s="10" t="str">
        <v/>
      </c>
      <c r="G1875" t="e">
        <f t="shared" si="118"/>
        <v>#VALUE!</v>
      </c>
      <c r="H1875" s="13" t="e">
        <f t="shared" si="119"/>
        <v>#VALUE!</v>
      </c>
    </row>
    <row r="1876" spans="2:8">
      <c r="B1876" s="11" t="str">
        <f t="shared" si="117"/>
        <v/>
      </c>
      <c r="C1876" s="11" t="str">
        <f t="shared" si="116"/>
        <v/>
      </c>
      <c r="F1876" s="10" t="str">
        <v/>
      </c>
      <c r="G1876" t="e">
        <f t="shared" si="118"/>
        <v>#VALUE!</v>
      </c>
      <c r="H1876" s="13" t="e">
        <f t="shared" si="119"/>
        <v>#VALUE!</v>
      </c>
    </row>
    <row r="1877" spans="2:8">
      <c r="B1877" s="11" t="str">
        <f t="shared" si="117"/>
        <v/>
      </c>
      <c r="C1877" s="11" t="str">
        <f t="shared" si="116"/>
        <v/>
      </c>
      <c r="F1877" s="10" t="str">
        <v/>
      </c>
      <c r="G1877" t="e">
        <f t="shared" si="118"/>
        <v>#VALUE!</v>
      </c>
      <c r="H1877" s="13" t="e">
        <f t="shared" si="119"/>
        <v>#VALUE!</v>
      </c>
    </row>
    <row r="1878" spans="2:8">
      <c r="B1878" s="11" t="str">
        <f t="shared" si="117"/>
        <v/>
      </c>
      <c r="C1878" s="11" t="str">
        <f t="shared" si="116"/>
        <v/>
      </c>
      <c r="F1878" s="10" t="str">
        <v/>
      </c>
      <c r="G1878" t="e">
        <f t="shared" si="118"/>
        <v>#VALUE!</v>
      </c>
      <c r="H1878" s="13" t="e">
        <f t="shared" si="119"/>
        <v>#VALUE!</v>
      </c>
    </row>
    <row r="1879" spans="2:8">
      <c r="B1879" s="11" t="str">
        <f t="shared" si="117"/>
        <v/>
      </c>
      <c r="C1879" s="11" t="str">
        <f t="shared" si="116"/>
        <v/>
      </c>
      <c r="F1879" s="10" t="str">
        <v/>
      </c>
      <c r="G1879" t="e">
        <f t="shared" si="118"/>
        <v>#VALUE!</v>
      </c>
      <c r="H1879" s="13" t="e">
        <f t="shared" si="119"/>
        <v>#VALUE!</v>
      </c>
    </row>
    <row r="1880" spans="2:8">
      <c r="B1880" s="11" t="str">
        <f t="shared" si="117"/>
        <v/>
      </c>
      <c r="C1880" s="11" t="str">
        <f t="shared" si="116"/>
        <v/>
      </c>
      <c r="F1880" s="10" t="str">
        <v/>
      </c>
      <c r="G1880" t="e">
        <f t="shared" si="118"/>
        <v>#VALUE!</v>
      </c>
      <c r="H1880" s="13" t="e">
        <f t="shared" si="119"/>
        <v>#VALUE!</v>
      </c>
    </row>
    <row r="1881" spans="2:8">
      <c r="B1881" s="11" t="str">
        <f t="shared" si="117"/>
        <v/>
      </c>
      <c r="C1881" s="11" t="str">
        <f t="shared" si="116"/>
        <v/>
      </c>
      <c r="F1881" s="10" t="str">
        <v/>
      </c>
      <c r="G1881" t="e">
        <f t="shared" si="118"/>
        <v>#VALUE!</v>
      </c>
      <c r="H1881" s="13" t="e">
        <f t="shared" si="119"/>
        <v>#VALUE!</v>
      </c>
    </row>
    <row r="1882" spans="2:8">
      <c r="B1882" s="11" t="str">
        <f t="shared" si="117"/>
        <v/>
      </c>
      <c r="C1882" s="11" t="str">
        <f t="shared" si="116"/>
        <v/>
      </c>
      <c r="F1882" s="10" t="str">
        <v/>
      </c>
      <c r="G1882" t="e">
        <f t="shared" si="118"/>
        <v>#VALUE!</v>
      </c>
      <c r="H1882" s="13" t="e">
        <f t="shared" si="119"/>
        <v>#VALUE!</v>
      </c>
    </row>
    <row r="1883" spans="2:8">
      <c r="B1883" s="11" t="str">
        <f t="shared" si="117"/>
        <v/>
      </c>
      <c r="C1883" s="11" t="str">
        <f t="shared" si="116"/>
        <v/>
      </c>
      <c r="F1883" s="10" t="str">
        <v/>
      </c>
      <c r="G1883" t="e">
        <f t="shared" si="118"/>
        <v>#VALUE!</v>
      </c>
      <c r="H1883" s="13" t="e">
        <f t="shared" si="119"/>
        <v>#VALUE!</v>
      </c>
    </row>
    <row r="1884" spans="2:8">
      <c r="B1884" s="11" t="str">
        <f t="shared" si="117"/>
        <v/>
      </c>
      <c r="C1884" s="11" t="str">
        <f t="shared" si="116"/>
        <v/>
      </c>
      <c r="F1884" s="10" t="str">
        <v/>
      </c>
      <c r="G1884" t="e">
        <f t="shared" si="118"/>
        <v>#VALUE!</v>
      </c>
      <c r="H1884" s="13" t="e">
        <f t="shared" si="119"/>
        <v>#VALUE!</v>
      </c>
    </row>
    <row r="1885" spans="2:8">
      <c r="B1885" s="11" t="str">
        <f t="shared" si="117"/>
        <v/>
      </c>
      <c r="C1885" s="11" t="str">
        <f t="shared" si="116"/>
        <v/>
      </c>
      <c r="F1885" s="10" t="str">
        <v/>
      </c>
      <c r="G1885" t="e">
        <f t="shared" si="118"/>
        <v>#VALUE!</v>
      </c>
      <c r="H1885" s="13" t="e">
        <f t="shared" si="119"/>
        <v>#VALUE!</v>
      </c>
    </row>
    <row r="1886" spans="2:8">
      <c r="B1886" s="11" t="str">
        <f t="shared" si="117"/>
        <v/>
      </c>
      <c r="C1886" s="11" t="str">
        <f t="shared" si="116"/>
        <v/>
      </c>
      <c r="F1886" s="10" t="str">
        <v/>
      </c>
      <c r="G1886" t="e">
        <f t="shared" si="118"/>
        <v>#VALUE!</v>
      </c>
      <c r="H1886" s="13" t="e">
        <f t="shared" si="119"/>
        <v>#VALUE!</v>
      </c>
    </row>
    <row r="1887" spans="2:8">
      <c r="B1887" s="11" t="str">
        <f t="shared" si="117"/>
        <v/>
      </c>
      <c r="C1887" s="11" t="str">
        <f t="shared" si="116"/>
        <v/>
      </c>
      <c r="F1887" s="10" t="str">
        <v/>
      </c>
      <c r="G1887" t="e">
        <f t="shared" si="118"/>
        <v>#VALUE!</v>
      </c>
      <c r="H1887" s="13" t="e">
        <f t="shared" si="119"/>
        <v>#VALUE!</v>
      </c>
    </row>
    <row r="1888" spans="2:8">
      <c r="B1888" s="11" t="str">
        <f t="shared" si="117"/>
        <v/>
      </c>
      <c r="C1888" s="11" t="str">
        <f t="shared" si="116"/>
        <v/>
      </c>
      <c r="F1888" s="10" t="str">
        <v/>
      </c>
      <c r="G1888" t="e">
        <f t="shared" si="118"/>
        <v>#VALUE!</v>
      </c>
      <c r="H1888" s="13" t="e">
        <f t="shared" si="119"/>
        <v>#VALUE!</v>
      </c>
    </row>
    <row r="1889" spans="2:8">
      <c r="B1889" s="11" t="str">
        <f t="shared" si="117"/>
        <v/>
      </c>
      <c r="C1889" s="11" t="str">
        <f t="shared" si="116"/>
        <v/>
      </c>
      <c r="F1889" s="10" t="str">
        <v/>
      </c>
      <c r="G1889" t="e">
        <f t="shared" si="118"/>
        <v>#VALUE!</v>
      </c>
      <c r="H1889" s="13" t="e">
        <f t="shared" si="119"/>
        <v>#VALUE!</v>
      </c>
    </row>
    <row r="1890" spans="2:8">
      <c r="B1890" s="11" t="str">
        <f t="shared" si="117"/>
        <v/>
      </c>
      <c r="C1890" s="11" t="str">
        <f t="shared" si="116"/>
        <v/>
      </c>
      <c r="F1890" s="10" t="str">
        <v/>
      </c>
      <c r="G1890" t="e">
        <f t="shared" si="118"/>
        <v>#VALUE!</v>
      </c>
      <c r="H1890" s="13" t="e">
        <f t="shared" si="119"/>
        <v>#VALUE!</v>
      </c>
    </row>
    <row r="1891" spans="2:8">
      <c r="B1891" s="11" t="str">
        <f t="shared" si="117"/>
        <v/>
      </c>
      <c r="C1891" s="11" t="str">
        <f t="shared" si="116"/>
        <v/>
      </c>
      <c r="F1891" s="10" t="str">
        <v/>
      </c>
      <c r="G1891" t="e">
        <f t="shared" si="118"/>
        <v>#VALUE!</v>
      </c>
      <c r="H1891" s="13" t="e">
        <f t="shared" si="119"/>
        <v>#VALUE!</v>
      </c>
    </row>
    <row r="1892" spans="2:8">
      <c r="B1892" s="11" t="str">
        <f t="shared" si="117"/>
        <v/>
      </c>
      <c r="C1892" s="11" t="str">
        <f t="shared" si="116"/>
        <v/>
      </c>
      <c r="F1892" s="10" t="str">
        <v/>
      </c>
      <c r="G1892" t="e">
        <f t="shared" si="118"/>
        <v>#VALUE!</v>
      </c>
      <c r="H1892" s="13" t="e">
        <f t="shared" si="119"/>
        <v>#VALUE!</v>
      </c>
    </row>
    <row r="1893" spans="2:8">
      <c r="B1893" s="11" t="str">
        <f t="shared" si="117"/>
        <v/>
      </c>
      <c r="C1893" s="11" t="str">
        <f t="shared" si="116"/>
        <v/>
      </c>
      <c r="F1893" s="10" t="str">
        <v/>
      </c>
      <c r="G1893" t="e">
        <f t="shared" si="118"/>
        <v>#VALUE!</v>
      </c>
      <c r="H1893" s="13" t="e">
        <f t="shared" si="119"/>
        <v>#VALUE!</v>
      </c>
    </row>
    <row r="1894" spans="2:8">
      <c r="B1894" s="11" t="str">
        <f t="shared" si="117"/>
        <v/>
      </c>
      <c r="C1894" s="11" t="str">
        <f t="shared" si="116"/>
        <v/>
      </c>
      <c r="F1894" s="10" t="str">
        <v/>
      </c>
      <c r="G1894" t="e">
        <f t="shared" si="118"/>
        <v>#VALUE!</v>
      </c>
      <c r="H1894" s="13" t="e">
        <f t="shared" si="119"/>
        <v>#VALUE!</v>
      </c>
    </row>
    <row r="1895" spans="2:8">
      <c r="B1895" s="11" t="str">
        <f t="shared" si="117"/>
        <v/>
      </c>
      <c r="C1895" s="11" t="str">
        <f t="shared" si="116"/>
        <v/>
      </c>
      <c r="F1895" s="10" t="str">
        <v/>
      </c>
      <c r="G1895" t="e">
        <f t="shared" si="118"/>
        <v>#VALUE!</v>
      </c>
      <c r="H1895" s="13" t="e">
        <f t="shared" si="119"/>
        <v>#VALUE!</v>
      </c>
    </row>
    <row r="1896" spans="2:8">
      <c r="B1896" s="11" t="str">
        <f t="shared" si="117"/>
        <v/>
      </c>
      <c r="C1896" s="11" t="str">
        <f t="shared" si="116"/>
        <v/>
      </c>
      <c r="F1896" s="10" t="str">
        <v/>
      </c>
      <c r="G1896" t="e">
        <f t="shared" si="118"/>
        <v>#VALUE!</v>
      </c>
      <c r="H1896" s="13" t="e">
        <f t="shared" si="119"/>
        <v>#VALUE!</v>
      </c>
    </row>
    <row r="1897" spans="2:8">
      <c r="B1897" s="11" t="str">
        <f t="shared" si="117"/>
        <v/>
      </c>
      <c r="C1897" s="11" t="str">
        <f t="shared" ref="C1897:C1960" si="120">IF(B1897="артикул",A1897,"")</f>
        <v/>
      </c>
      <c r="F1897" s="10" t="str">
        <v/>
      </c>
      <c r="G1897" t="e">
        <f t="shared" si="118"/>
        <v>#VALUE!</v>
      </c>
      <c r="H1897" s="13" t="e">
        <f t="shared" si="119"/>
        <v>#VALUE!</v>
      </c>
    </row>
    <row r="1898" spans="2:8">
      <c r="B1898" s="11" t="str">
        <f t="shared" si="117"/>
        <v/>
      </c>
      <c r="C1898" s="11" t="str">
        <f t="shared" si="120"/>
        <v/>
      </c>
      <c r="F1898" s="10" t="str">
        <v/>
      </c>
      <c r="G1898" t="e">
        <f t="shared" si="118"/>
        <v>#VALUE!</v>
      </c>
      <c r="H1898" s="13" t="e">
        <f t="shared" si="119"/>
        <v>#VALUE!</v>
      </c>
    </row>
    <row r="1899" spans="2:8">
      <c r="B1899" s="11" t="str">
        <f t="shared" si="117"/>
        <v/>
      </c>
      <c r="C1899" s="11" t="str">
        <f t="shared" si="120"/>
        <v/>
      </c>
      <c r="F1899" s="10" t="str">
        <v/>
      </c>
      <c r="G1899" t="e">
        <f t="shared" si="118"/>
        <v>#VALUE!</v>
      </c>
      <c r="H1899" s="13" t="e">
        <f t="shared" si="119"/>
        <v>#VALUE!</v>
      </c>
    </row>
    <row r="1900" spans="2:8">
      <c r="B1900" s="11" t="str">
        <f t="shared" si="117"/>
        <v/>
      </c>
      <c r="C1900" s="11" t="str">
        <f t="shared" si="120"/>
        <v/>
      </c>
      <c r="F1900" s="10" t="str">
        <v/>
      </c>
      <c r="G1900" t="e">
        <f t="shared" si="118"/>
        <v>#VALUE!</v>
      </c>
      <c r="H1900" s="13" t="e">
        <f t="shared" si="119"/>
        <v>#VALUE!</v>
      </c>
    </row>
    <row r="1901" spans="2:8">
      <c r="B1901" s="11" t="str">
        <f t="shared" si="117"/>
        <v/>
      </c>
      <c r="C1901" s="11" t="str">
        <f t="shared" si="120"/>
        <v/>
      </c>
      <c r="F1901" s="10" t="str">
        <v/>
      </c>
      <c r="G1901" t="e">
        <f t="shared" si="118"/>
        <v>#VALUE!</v>
      </c>
      <c r="H1901" s="13" t="e">
        <f t="shared" si="119"/>
        <v>#VALUE!</v>
      </c>
    </row>
    <row r="1902" spans="2:8">
      <c r="B1902" s="11" t="str">
        <f t="shared" si="117"/>
        <v/>
      </c>
      <c r="C1902" s="11" t="str">
        <f t="shared" si="120"/>
        <v/>
      </c>
      <c r="F1902" s="10" t="str">
        <v/>
      </c>
      <c r="G1902" t="e">
        <f t="shared" si="118"/>
        <v>#VALUE!</v>
      </c>
      <c r="H1902" s="13" t="e">
        <f t="shared" si="119"/>
        <v>#VALUE!</v>
      </c>
    </row>
    <row r="1903" spans="2:8">
      <c r="B1903" s="11" t="str">
        <f t="shared" si="117"/>
        <v/>
      </c>
      <c r="C1903" s="11" t="str">
        <f t="shared" si="120"/>
        <v/>
      </c>
      <c r="F1903" s="10" t="str">
        <v/>
      </c>
      <c r="G1903" t="e">
        <f t="shared" si="118"/>
        <v>#VALUE!</v>
      </c>
      <c r="H1903" s="13" t="e">
        <f t="shared" si="119"/>
        <v>#VALUE!</v>
      </c>
    </row>
    <row r="1904" spans="2:8">
      <c r="B1904" s="11" t="str">
        <f t="shared" si="117"/>
        <v/>
      </c>
      <c r="C1904" s="11" t="str">
        <f t="shared" si="120"/>
        <v/>
      </c>
      <c r="F1904" s="10" t="str">
        <v/>
      </c>
      <c r="G1904" t="e">
        <f t="shared" si="118"/>
        <v>#VALUE!</v>
      </c>
      <c r="H1904" s="13" t="e">
        <f t="shared" si="119"/>
        <v>#VALUE!</v>
      </c>
    </row>
    <row r="1905" spans="2:8">
      <c r="B1905" s="11" t="str">
        <f t="shared" si="117"/>
        <v/>
      </c>
      <c r="C1905" s="11" t="str">
        <f t="shared" si="120"/>
        <v/>
      </c>
      <c r="F1905" s="10" t="str">
        <v/>
      </c>
      <c r="G1905" t="e">
        <f t="shared" si="118"/>
        <v>#VALUE!</v>
      </c>
      <c r="H1905" s="13" t="e">
        <f t="shared" si="119"/>
        <v>#VALUE!</v>
      </c>
    </row>
    <row r="1906" spans="2:8">
      <c r="B1906" s="11" t="str">
        <f t="shared" si="117"/>
        <v/>
      </c>
      <c r="C1906" s="11" t="str">
        <f t="shared" si="120"/>
        <v/>
      </c>
      <c r="F1906" s="10" t="str">
        <v/>
      </c>
      <c r="G1906" t="e">
        <f t="shared" si="118"/>
        <v>#VALUE!</v>
      </c>
      <c r="H1906" s="13" t="e">
        <f t="shared" si="119"/>
        <v>#VALUE!</v>
      </c>
    </row>
    <row r="1907" spans="2:8">
      <c r="B1907" s="11" t="str">
        <f t="shared" si="117"/>
        <v/>
      </c>
      <c r="C1907" s="11" t="str">
        <f t="shared" si="120"/>
        <v/>
      </c>
      <c r="F1907" s="10" t="str">
        <v/>
      </c>
      <c r="G1907" t="e">
        <f t="shared" si="118"/>
        <v>#VALUE!</v>
      </c>
      <c r="H1907" s="13" t="e">
        <f t="shared" si="119"/>
        <v>#VALUE!</v>
      </c>
    </row>
    <row r="1908" spans="2:8">
      <c r="B1908" s="11" t="str">
        <f t="shared" si="117"/>
        <v/>
      </c>
      <c r="C1908" s="11" t="str">
        <f t="shared" si="120"/>
        <v/>
      </c>
      <c r="F1908" s="10" t="str">
        <v/>
      </c>
      <c r="G1908" t="e">
        <f t="shared" si="118"/>
        <v>#VALUE!</v>
      </c>
      <c r="H1908" s="13" t="e">
        <f t="shared" si="119"/>
        <v>#VALUE!</v>
      </c>
    </row>
    <row r="1909" spans="2:8">
      <c r="B1909" s="11" t="str">
        <f t="shared" si="117"/>
        <v/>
      </c>
      <c r="C1909" s="11" t="str">
        <f t="shared" si="120"/>
        <v/>
      </c>
      <c r="F1909" s="10" t="str">
        <v/>
      </c>
      <c r="G1909" t="e">
        <f t="shared" si="118"/>
        <v>#VALUE!</v>
      </c>
      <c r="H1909" s="13" t="e">
        <f t="shared" si="119"/>
        <v>#VALUE!</v>
      </c>
    </row>
    <row r="1910" spans="2:8">
      <c r="B1910" s="11" t="str">
        <f t="shared" si="117"/>
        <v/>
      </c>
      <c r="C1910" s="11" t="str">
        <f t="shared" si="120"/>
        <v/>
      </c>
      <c r="F1910" s="10" t="str">
        <v/>
      </c>
      <c r="G1910" t="e">
        <f t="shared" si="118"/>
        <v>#VALUE!</v>
      </c>
      <c r="H1910" s="13" t="e">
        <f t="shared" si="119"/>
        <v>#VALUE!</v>
      </c>
    </row>
    <row r="1911" spans="2:8">
      <c r="B1911" s="11" t="str">
        <f t="shared" si="117"/>
        <v/>
      </c>
      <c r="C1911" s="11" t="str">
        <f t="shared" si="120"/>
        <v/>
      </c>
      <c r="F1911" s="10" t="str">
        <v/>
      </c>
      <c r="G1911" t="e">
        <f t="shared" si="118"/>
        <v>#VALUE!</v>
      </c>
      <c r="H1911" s="13" t="e">
        <f t="shared" si="119"/>
        <v>#VALUE!</v>
      </c>
    </row>
    <row r="1912" spans="2:8">
      <c r="B1912" s="11" t="str">
        <f t="shared" si="117"/>
        <v/>
      </c>
      <c r="C1912" s="11" t="str">
        <f t="shared" si="120"/>
        <v/>
      </c>
      <c r="F1912" s="10" t="str">
        <v/>
      </c>
      <c r="G1912" t="e">
        <f t="shared" si="118"/>
        <v>#VALUE!</v>
      </c>
      <c r="H1912" s="13" t="e">
        <f t="shared" si="119"/>
        <v>#VALUE!</v>
      </c>
    </row>
    <row r="1913" spans="2:8">
      <c r="B1913" s="11" t="str">
        <f t="shared" si="117"/>
        <v/>
      </c>
      <c r="C1913" s="11" t="str">
        <f t="shared" si="120"/>
        <v/>
      </c>
      <c r="F1913" s="10" t="str">
        <v/>
      </c>
      <c r="G1913" t="e">
        <f t="shared" si="118"/>
        <v>#VALUE!</v>
      </c>
      <c r="H1913" s="13" t="e">
        <f t="shared" si="119"/>
        <v>#VALUE!</v>
      </c>
    </row>
    <row r="1914" spans="2:8">
      <c r="B1914" s="11" t="str">
        <f t="shared" si="117"/>
        <v/>
      </c>
      <c r="C1914" s="11" t="str">
        <f t="shared" si="120"/>
        <v/>
      </c>
      <c r="F1914" s="10" t="str">
        <v/>
      </c>
      <c r="G1914" t="e">
        <f t="shared" si="118"/>
        <v>#VALUE!</v>
      </c>
      <c r="H1914" s="13" t="e">
        <f t="shared" si="119"/>
        <v>#VALUE!</v>
      </c>
    </row>
    <row r="1915" spans="2:8">
      <c r="B1915" s="11" t="str">
        <f t="shared" si="117"/>
        <v/>
      </c>
      <c r="C1915" s="11" t="str">
        <f t="shared" si="120"/>
        <v/>
      </c>
      <c r="F1915" s="10" t="str">
        <v/>
      </c>
      <c r="G1915" t="e">
        <f t="shared" si="118"/>
        <v>#VALUE!</v>
      </c>
      <c r="H1915" s="13" t="e">
        <f t="shared" si="119"/>
        <v>#VALUE!</v>
      </c>
    </row>
    <row r="1916" spans="2:8">
      <c r="B1916" s="11" t="str">
        <f t="shared" si="117"/>
        <v/>
      </c>
      <c r="C1916" s="11" t="str">
        <f t="shared" si="120"/>
        <v/>
      </c>
      <c r="F1916" s="10" t="str">
        <v/>
      </c>
      <c r="G1916" t="e">
        <f t="shared" si="118"/>
        <v>#VALUE!</v>
      </c>
      <c r="H1916" s="13" t="e">
        <f t="shared" si="119"/>
        <v>#VALUE!</v>
      </c>
    </row>
    <row r="1917" spans="2:8">
      <c r="B1917" s="11" t="str">
        <f t="shared" si="117"/>
        <v/>
      </c>
      <c r="C1917" s="11" t="str">
        <f t="shared" si="120"/>
        <v/>
      </c>
      <c r="F1917" s="10" t="str">
        <v/>
      </c>
      <c r="G1917" t="e">
        <f t="shared" si="118"/>
        <v>#VALUE!</v>
      </c>
      <c r="H1917" s="13" t="e">
        <f t="shared" si="119"/>
        <v>#VALUE!</v>
      </c>
    </row>
    <row r="1918" spans="2:8">
      <c r="B1918" s="11" t="str">
        <f t="shared" si="117"/>
        <v/>
      </c>
      <c r="C1918" s="11" t="str">
        <f t="shared" si="120"/>
        <v/>
      </c>
      <c r="F1918" s="10" t="str">
        <v/>
      </c>
      <c r="G1918" t="e">
        <f t="shared" si="118"/>
        <v>#VALUE!</v>
      </c>
      <c r="H1918" s="13" t="e">
        <f t="shared" si="119"/>
        <v>#VALUE!</v>
      </c>
    </row>
    <row r="1919" spans="2:8">
      <c r="B1919" s="11" t="str">
        <f t="shared" si="117"/>
        <v/>
      </c>
      <c r="C1919" s="11" t="str">
        <f t="shared" si="120"/>
        <v/>
      </c>
      <c r="F1919" s="10" t="str">
        <v/>
      </c>
      <c r="G1919" t="e">
        <f t="shared" si="118"/>
        <v>#VALUE!</v>
      </c>
      <c r="H1919" s="13" t="e">
        <f t="shared" si="119"/>
        <v>#VALUE!</v>
      </c>
    </row>
    <row r="1920" spans="2:8">
      <c r="B1920" s="11" t="str">
        <f t="shared" si="117"/>
        <v/>
      </c>
      <c r="C1920" s="11" t="str">
        <f t="shared" si="120"/>
        <v/>
      </c>
      <c r="F1920" s="10" t="str">
        <v/>
      </c>
      <c r="G1920" t="e">
        <f t="shared" si="118"/>
        <v>#VALUE!</v>
      </c>
      <c r="H1920" s="13" t="e">
        <f t="shared" si="119"/>
        <v>#VALUE!</v>
      </c>
    </row>
    <row r="1921" spans="2:8">
      <c r="B1921" s="11" t="str">
        <f t="shared" ref="B1921:B1984" si="121">IFERROR(IF(FIND(" ",A1921)=6,IF(IFERROR(FIND(" PB",A1921),"")&lt;&gt;"","артикул",IF(IFERROR(FIND(" CRN",A1921),"")&lt;&gt;"","артикул","")),""),"")</f>
        <v/>
      </c>
      <c r="C1921" s="11" t="str">
        <f t="shared" si="120"/>
        <v/>
      </c>
      <c r="F1921" s="10" t="str">
        <v/>
      </c>
      <c r="G1921" t="e">
        <f t="shared" si="118"/>
        <v>#VALUE!</v>
      </c>
      <c r="H1921" s="13" t="e">
        <f t="shared" si="119"/>
        <v>#VALUE!</v>
      </c>
    </row>
    <row r="1922" spans="2:8">
      <c r="B1922" s="11" t="str">
        <f t="shared" si="121"/>
        <v/>
      </c>
      <c r="C1922" s="11" t="str">
        <f t="shared" si="120"/>
        <v/>
      </c>
      <c r="F1922" s="10" t="str">
        <v/>
      </c>
      <c r="G1922" t="e">
        <f t="shared" ref="G1922:G1985" si="122">CONCATENATE(LEFT(F1922,5),
MID(F1922,
SEARCH("\",SUBSTITUTE(F1922," ","\",LEN(F1922)-LEN(SUBSTITUTE(F1922," ",""))-4)),
SEARCH("\",SUBSTITUTE(F1922," ","\",LEN(F1922)-LEN(SUBSTITUTE(F1922," ",""))-3))-
SEARCH("\",SUBSTITUTE(F1922," ","\",LEN(F1922)-LEN(SUBSTITUTE(F1922," ",""))-4)))*1)</f>
        <v>#VALUE!</v>
      </c>
      <c r="H1922" s="13" t="e">
        <f t="shared" ref="H1922:H1985" si="123">SUBSTITUTE(
RIGHT(F1922,LEN(F1922)-
FIND("\",SUBSTITUTE(F1922," ","\",LEN(F1922)-LEN(SUBSTITUTE(F1922," ",""))))),
".","")</f>
        <v>#VALUE!</v>
      </c>
    </row>
    <row r="1923" spans="2:8">
      <c r="B1923" s="11" t="str">
        <f t="shared" si="121"/>
        <v/>
      </c>
      <c r="C1923" s="11" t="str">
        <f t="shared" si="120"/>
        <v/>
      </c>
      <c r="F1923" s="10" t="str">
        <v/>
      </c>
      <c r="G1923" t="e">
        <f t="shared" si="122"/>
        <v>#VALUE!</v>
      </c>
      <c r="H1923" s="13" t="e">
        <f t="shared" si="123"/>
        <v>#VALUE!</v>
      </c>
    </row>
    <row r="1924" spans="2:8">
      <c r="B1924" s="11" t="str">
        <f t="shared" si="121"/>
        <v/>
      </c>
      <c r="C1924" s="11" t="str">
        <f t="shared" si="120"/>
        <v/>
      </c>
      <c r="F1924" s="10" t="str">
        <v/>
      </c>
      <c r="G1924" t="e">
        <f t="shared" si="122"/>
        <v>#VALUE!</v>
      </c>
      <c r="H1924" s="13" t="e">
        <f t="shared" si="123"/>
        <v>#VALUE!</v>
      </c>
    </row>
    <row r="1925" spans="2:8">
      <c r="B1925" s="11" t="str">
        <f t="shared" si="121"/>
        <v/>
      </c>
      <c r="C1925" s="11" t="str">
        <f t="shared" si="120"/>
        <v/>
      </c>
      <c r="F1925" s="10" t="str">
        <v/>
      </c>
      <c r="G1925" t="e">
        <f t="shared" si="122"/>
        <v>#VALUE!</v>
      </c>
      <c r="H1925" s="13" t="e">
        <f t="shared" si="123"/>
        <v>#VALUE!</v>
      </c>
    </row>
    <row r="1926" spans="2:8">
      <c r="B1926" s="11" t="str">
        <f t="shared" si="121"/>
        <v/>
      </c>
      <c r="C1926" s="11" t="str">
        <f t="shared" si="120"/>
        <v/>
      </c>
      <c r="F1926" s="10" t="str">
        <v/>
      </c>
      <c r="G1926" t="e">
        <f t="shared" si="122"/>
        <v>#VALUE!</v>
      </c>
      <c r="H1926" s="13" t="e">
        <f t="shared" si="123"/>
        <v>#VALUE!</v>
      </c>
    </row>
    <row r="1927" spans="2:8">
      <c r="B1927" s="11" t="str">
        <f t="shared" si="121"/>
        <v/>
      </c>
      <c r="C1927" s="11" t="str">
        <f t="shared" si="120"/>
        <v/>
      </c>
      <c r="F1927" s="10" t="str">
        <v/>
      </c>
      <c r="G1927" t="e">
        <f t="shared" si="122"/>
        <v>#VALUE!</v>
      </c>
      <c r="H1927" s="13" t="e">
        <f t="shared" si="123"/>
        <v>#VALUE!</v>
      </c>
    </row>
    <row r="1928" spans="2:8">
      <c r="B1928" s="11" t="str">
        <f t="shared" si="121"/>
        <v/>
      </c>
      <c r="C1928" s="11" t="str">
        <f t="shared" si="120"/>
        <v/>
      </c>
      <c r="F1928" s="10" t="str">
        <v/>
      </c>
      <c r="G1928" t="e">
        <f t="shared" si="122"/>
        <v>#VALUE!</v>
      </c>
      <c r="H1928" s="13" t="e">
        <f t="shared" si="123"/>
        <v>#VALUE!</v>
      </c>
    </row>
    <row r="1929" spans="2:8">
      <c r="B1929" s="11" t="str">
        <f t="shared" si="121"/>
        <v/>
      </c>
      <c r="C1929" s="11" t="str">
        <f t="shared" si="120"/>
        <v/>
      </c>
      <c r="F1929" s="10" t="str">
        <v/>
      </c>
      <c r="G1929" t="e">
        <f t="shared" si="122"/>
        <v>#VALUE!</v>
      </c>
      <c r="H1929" s="13" t="e">
        <f t="shared" si="123"/>
        <v>#VALUE!</v>
      </c>
    </row>
    <row r="1930" spans="2:8">
      <c r="B1930" s="11" t="str">
        <f t="shared" si="121"/>
        <v/>
      </c>
      <c r="C1930" s="11" t="str">
        <f t="shared" si="120"/>
        <v/>
      </c>
      <c r="F1930" s="10" t="str">
        <v/>
      </c>
      <c r="G1930" t="e">
        <f t="shared" si="122"/>
        <v>#VALUE!</v>
      </c>
      <c r="H1930" s="13" t="e">
        <f t="shared" si="123"/>
        <v>#VALUE!</v>
      </c>
    </row>
    <row r="1931" spans="2:8">
      <c r="B1931" s="11" t="str">
        <f t="shared" si="121"/>
        <v/>
      </c>
      <c r="C1931" s="11" t="str">
        <f t="shared" si="120"/>
        <v/>
      </c>
      <c r="F1931" s="10" t="str">
        <v/>
      </c>
      <c r="G1931" t="e">
        <f t="shared" si="122"/>
        <v>#VALUE!</v>
      </c>
      <c r="H1931" s="13" t="e">
        <f t="shared" si="123"/>
        <v>#VALUE!</v>
      </c>
    </row>
    <row r="1932" spans="2:8">
      <c r="B1932" s="11" t="str">
        <f t="shared" si="121"/>
        <v/>
      </c>
      <c r="C1932" s="11" t="str">
        <f t="shared" si="120"/>
        <v/>
      </c>
      <c r="F1932" s="10" t="str">
        <v/>
      </c>
      <c r="G1932" t="e">
        <f t="shared" si="122"/>
        <v>#VALUE!</v>
      </c>
      <c r="H1932" s="13" t="e">
        <f t="shared" si="123"/>
        <v>#VALUE!</v>
      </c>
    </row>
    <row r="1933" spans="2:8">
      <c r="B1933" s="11" t="str">
        <f t="shared" si="121"/>
        <v/>
      </c>
      <c r="C1933" s="11" t="str">
        <f t="shared" si="120"/>
        <v/>
      </c>
      <c r="F1933" s="10" t="str">
        <v/>
      </c>
      <c r="G1933" t="e">
        <f t="shared" si="122"/>
        <v>#VALUE!</v>
      </c>
      <c r="H1933" s="13" t="e">
        <f t="shared" si="123"/>
        <v>#VALUE!</v>
      </c>
    </row>
    <row r="1934" spans="2:8">
      <c r="B1934" s="11" t="str">
        <f t="shared" si="121"/>
        <v/>
      </c>
      <c r="C1934" s="11" t="str">
        <f t="shared" si="120"/>
        <v/>
      </c>
      <c r="F1934" s="10" t="str">
        <v/>
      </c>
      <c r="G1934" t="e">
        <f t="shared" si="122"/>
        <v>#VALUE!</v>
      </c>
      <c r="H1934" s="13" t="e">
        <f t="shared" si="123"/>
        <v>#VALUE!</v>
      </c>
    </row>
    <row r="1935" spans="2:8">
      <c r="B1935" s="11" t="str">
        <f t="shared" si="121"/>
        <v/>
      </c>
      <c r="C1935" s="11" t="str">
        <f t="shared" si="120"/>
        <v/>
      </c>
      <c r="F1935" s="10" t="str">
        <v/>
      </c>
      <c r="G1935" t="e">
        <f t="shared" si="122"/>
        <v>#VALUE!</v>
      </c>
      <c r="H1935" s="13" t="e">
        <f t="shared" si="123"/>
        <v>#VALUE!</v>
      </c>
    </row>
    <row r="1936" spans="2:8">
      <c r="B1936" s="11" t="str">
        <f t="shared" si="121"/>
        <v/>
      </c>
      <c r="C1936" s="11" t="str">
        <f t="shared" si="120"/>
        <v/>
      </c>
      <c r="F1936" s="10" t="str">
        <v/>
      </c>
      <c r="G1936" t="e">
        <f t="shared" si="122"/>
        <v>#VALUE!</v>
      </c>
      <c r="H1936" s="13" t="e">
        <f t="shared" si="123"/>
        <v>#VALUE!</v>
      </c>
    </row>
    <row r="1937" spans="2:8">
      <c r="B1937" s="11" t="str">
        <f t="shared" si="121"/>
        <v/>
      </c>
      <c r="C1937" s="11" t="str">
        <f t="shared" si="120"/>
        <v/>
      </c>
      <c r="F1937" s="10" t="str">
        <v/>
      </c>
      <c r="G1937" t="e">
        <f t="shared" si="122"/>
        <v>#VALUE!</v>
      </c>
      <c r="H1937" s="13" t="e">
        <f t="shared" si="123"/>
        <v>#VALUE!</v>
      </c>
    </row>
    <row r="1938" spans="2:8">
      <c r="B1938" s="11" t="str">
        <f t="shared" si="121"/>
        <v/>
      </c>
      <c r="C1938" s="11" t="str">
        <f t="shared" si="120"/>
        <v/>
      </c>
      <c r="F1938" s="10" t="str">
        <v/>
      </c>
      <c r="G1938" t="e">
        <f t="shared" si="122"/>
        <v>#VALUE!</v>
      </c>
      <c r="H1938" s="13" t="e">
        <f t="shared" si="123"/>
        <v>#VALUE!</v>
      </c>
    </row>
    <row r="1939" spans="2:8">
      <c r="B1939" s="11" t="str">
        <f t="shared" si="121"/>
        <v/>
      </c>
      <c r="C1939" s="11" t="str">
        <f t="shared" si="120"/>
        <v/>
      </c>
      <c r="F1939" s="10" t="str">
        <v/>
      </c>
      <c r="G1939" t="e">
        <f t="shared" si="122"/>
        <v>#VALUE!</v>
      </c>
      <c r="H1939" s="13" t="e">
        <f t="shared" si="123"/>
        <v>#VALUE!</v>
      </c>
    </row>
    <row r="1940" spans="2:8">
      <c r="B1940" s="11" t="str">
        <f t="shared" si="121"/>
        <v/>
      </c>
      <c r="C1940" s="11" t="str">
        <f t="shared" si="120"/>
        <v/>
      </c>
      <c r="F1940" s="10" t="str">
        <v/>
      </c>
      <c r="G1940" t="e">
        <f t="shared" si="122"/>
        <v>#VALUE!</v>
      </c>
      <c r="H1940" s="13" t="e">
        <f t="shared" si="123"/>
        <v>#VALUE!</v>
      </c>
    </row>
    <row r="1941" spans="2:8">
      <c r="B1941" s="11" t="str">
        <f t="shared" si="121"/>
        <v/>
      </c>
      <c r="C1941" s="11" t="str">
        <f t="shared" si="120"/>
        <v/>
      </c>
      <c r="F1941" s="10" t="str">
        <v/>
      </c>
      <c r="G1941" t="e">
        <f t="shared" si="122"/>
        <v>#VALUE!</v>
      </c>
      <c r="H1941" s="13" t="e">
        <f t="shared" si="123"/>
        <v>#VALUE!</v>
      </c>
    </row>
    <row r="1942" spans="2:8">
      <c r="B1942" s="11" t="str">
        <f t="shared" si="121"/>
        <v/>
      </c>
      <c r="C1942" s="11" t="str">
        <f t="shared" si="120"/>
        <v/>
      </c>
      <c r="F1942" s="10" t="str">
        <v/>
      </c>
      <c r="G1942" t="e">
        <f t="shared" si="122"/>
        <v>#VALUE!</v>
      </c>
      <c r="H1942" s="13" t="e">
        <f t="shared" si="123"/>
        <v>#VALUE!</v>
      </c>
    </row>
    <row r="1943" spans="2:8">
      <c r="B1943" s="11" t="str">
        <f t="shared" si="121"/>
        <v/>
      </c>
      <c r="C1943" s="11" t="str">
        <f t="shared" si="120"/>
        <v/>
      </c>
      <c r="F1943" s="10" t="str">
        <v/>
      </c>
      <c r="G1943" t="e">
        <f t="shared" si="122"/>
        <v>#VALUE!</v>
      </c>
      <c r="H1943" s="13" t="e">
        <f t="shared" si="123"/>
        <v>#VALUE!</v>
      </c>
    </row>
    <row r="1944" spans="2:8">
      <c r="B1944" s="11" t="str">
        <f t="shared" si="121"/>
        <v/>
      </c>
      <c r="C1944" s="11" t="str">
        <f t="shared" si="120"/>
        <v/>
      </c>
      <c r="F1944" s="10" t="str">
        <v/>
      </c>
      <c r="G1944" t="e">
        <f t="shared" si="122"/>
        <v>#VALUE!</v>
      </c>
      <c r="H1944" s="13" t="e">
        <f t="shared" si="123"/>
        <v>#VALUE!</v>
      </c>
    </row>
    <row r="1945" spans="2:8">
      <c r="B1945" s="11" t="str">
        <f t="shared" si="121"/>
        <v/>
      </c>
      <c r="C1945" s="11" t="str">
        <f t="shared" si="120"/>
        <v/>
      </c>
      <c r="F1945" s="10" t="str">
        <v/>
      </c>
      <c r="G1945" t="e">
        <f t="shared" si="122"/>
        <v>#VALUE!</v>
      </c>
      <c r="H1945" s="13" t="e">
        <f t="shared" si="123"/>
        <v>#VALUE!</v>
      </c>
    </row>
    <row r="1946" spans="2:8">
      <c r="B1946" s="11" t="str">
        <f t="shared" si="121"/>
        <v/>
      </c>
      <c r="C1946" s="11" t="str">
        <f t="shared" si="120"/>
        <v/>
      </c>
      <c r="F1946" s="10" t="str">
        <v/>
      </c>
      <c r="G1946" t="e">
        <f t="shared" si="122"/>
        <v>#VALUE!</v>
      </c>
      <c r="H1946" s="13" t="e">
        <f t="shared" si="123"/>
        <v>#VALUE!</v>
      </c>
    </row>
    <row r="1947" spans="2:8">
      <c r="B1947" s="11" t="str">
        <f t="shared" si="121"/>
        <v/>
      </c>
      <c r="C1947" s="11" t="str">
        <f t="shared" si="120"/>
        <v/>
      </c>
      <c r="F1947" s="10" t="str">
        <v/>
      </c>
      <c r="G1947" t="e">
        <f t="shared" si="122"/>
        <v>#VALUE!</v>
      </c>
      <c r="H1947" s="13" t="e">
        <f t="shared" si="123"/>
        <v>#VALUE!</v>
      </c>
    </row>
    <row r="1948" spans="2:8">
      <c r="B1948" s="11" t="str">
        <f t="shared" si="121"/>
        <v/>
      </c>
      <c r="C1948" s="11" t="str">
        <f t="shared" si="120"/>
        <v/>
      </c>
      <c r="F1948" s="10" t="str">
        <v/>
      </c>
      <c r="G1948" t="e">
        <f t="shared" si="122"/>
        <v>#VALUE!</v>
      </c>
      <c r="H1948" s="13" t="e">
        <f t="shared" si="123"/>
        <v>#VALUE!</v>
      </c>
    </row>
    <row r="1949" spans="2:8">
      <c r="B1949" s="11" t="str">
        <f t="shared" si="121"/>
        <v/>
      </c>
      <c r="C1949" s="11" t="str">
        <f t="shared" si="120"/>
        <v/>
      </c>
      <c r="F1949" s="10" t="str">
        <v/>
      </c>
      <c r="G1949" t="e">
        <f t="shared" si="122"/>
        <v>#VALUE!</v>
      </c>
      <c r="H1949" s="13" t="e">
        <f t="shared" si="123"/>
        <v>#VALUE!</v>
      </c>
    </row>
    <row r="1950" spans="2:8">
      <c r="B1950" s="11" t="str">
        <f t="shared" si="121"/>
        <v/>
      </c>
      <c r="C1950" s="11" t="str">
        <f t="shared" si="120"/>
        <v/>
      </c>
      <c r="F1950" s="10" t="str">
        <v/>
      </c>
      <c r="G1950" t="e">
        <f t="shared" si="122"/>
        <v>#VALUE!</v>
      </c>
      <c r="H1950" s="13" t="e">
        <f t="shared" si="123"/>
        <v>#VALUE!</v>
      </c>
    </row>
    <row r="1951" spans="2:8">
      <c r="B1951" s="11" t="str">
        <f t="shared" si="121"/>
        <v/>
      </c>
      <c r="C1951" s="11" t="str">
        <f t="shared" si="120"/>
        <v/>
      </c>
      <c r="F1951" s="10" t="str">
        <v/>
      </c>
      <c r="G1951" t="e">
        <f t="shared" si="122"/>
        <v>#VALUE!</v>
      </c>
      <c r="H1951" s="13" t="e">
        <f t="shared" si="123"/>
        <v>#VALUE!</v>
      </c>
    </row>
    <row r="1952" spans="2:8">
      <c r="B1952" s="11" t="str">
        <f t="shared" si="121"/>
        <v/>
      </c>
      <c r="C1952" s="11" t="str">
        <f t="shared" si="120"/>
        <v/>
      </c>
      <c r="F1952" s="10" t="str">
        <v/>
      </c>
      <c r="G1952" t="e">
        <f t="shared" si="122"/>
        <v>#VALUE!</v>
      </c>
      <c r="H1952" s="13" t="e">
        <f t="shared" si="123"/>
        <v>#VALUE!</v>
      </c>
    </row>
    <row r="1953" spans="2:8">
      <c r="B1953" s="11" t="str">
        <f t="shared" si="121"/>
        <v/>
      </c>
      <c r="C1953" s="11" t="str">
        <f t="shared" si="120"/>
        <v/>
      </c>
      <c r="F1953" s="10" t="str">
        <v/>
      </c>
      <c r="G1953" t="e">
        <f t="shared" si="122"/>
        <v>#VALUE!</v>
      </c>
      <c r="H1953" s="13" t="e">
        <f t="shared" si="123"/>
        <v>#VALUE!</v>
      </c>
    </row>
    <row r="1954" spans="2:8">
      <c r="B1954" s="11" t="str">
        <f t="shared" si="121"/>
        <v/>
      </c>
      <c r="C1954" s="11" t="str">
        <f t="shared" si="120"/>
        <v/>
      </c>
      <c r="F1954" s="10" t="str">
        <v/>
      </c>
      <c r="G1954" t="e">
        <f t="shared" si="122"/>
        <v>#VALUE!</v>
      </c>
      <c r="H1954" s="13" t="e">
        <f t="shared" si="123"/>
        <v>#VALUE!</v>
      </c>
    </row>
    <row r="1955" spans="2:8">
      <c r="B1955" s="11" t="str">
        <f t="shared" si="121"/>
        <v/>
      </c>
      <c r="C1955" s="11" t="str">
        <f t="shared" si="120"/>
        <v/>
      </c>
      <c r="F1955" s="10" t="str">
        <v/>
      </c>
      <c r="G1955" t="e">
        <f t="shared" si="122"/>
        <v>#VALUE!</v>
      </c>
      <c r="H1955" s="13" t="e">
        <f t="shared" si="123"/>
        <v>#VALUE!</v>
      </c>
    </row>
    <row r="1956" spans="2:8">
      <c r="B1956" s="11" t="str">
        <f t="shared" si="121"/>
        <v/>
      </c>
      <c r="C1956" s="11" t="str">
        <f t="shared" si="120"/>
        <v/>
      </c>
      <c r="F1956" s="10" t="str">
        <v/>
      </c>
      <c r="G1956" t="e">
        <f t="shared" si="122"/>
        <v>#VALUE!</v>
      </c>
      <c r="H1956" s="13" t="e">
        <f t="shared" si="123"/>
        <v>#VALUE!</v>
      </c>
    </row>
    <row r="1957" spans="2:8">
      <c r="B1957" s="11" t="str">
        <f t="shared" si="121"/>
        <v/>
      </c>
      <c r="C1957" s="11" t="str">
        <f t="shared" si="120"/>
        <v/>
      </c>
      <c r="F1957" s="10" t="str">
        <v/>
      </c>
      <c r="G1957" t="e">
        <f t="shared" si="122"/>
        <v>#VALUE!</v>
      </c>
      <c r="H1957" s="13" t="e">
        <f t="shared" si="123"/>
        <v>#VALUE!</v>
      </c>
    </row>
    <row r="1958" spans="2:8">
      <c r="B1958" s="11" t="str">
        <f t="shared" si="121"/>
        <v/>
      </c>
      <c r="C1958" s="11" t="str">
        <f t="shared" si="120"/>
        <v/>
      </c>
      <c r="F1958" s="10" t="str">
        <v/>
      </c>
      <c r="G1958" t="e">
        <f t="shared" si="122"/>
        <v>#VALUE!</v>
      </c>
      <c r="H1958" s="13" t="e">
        <f t="shared" si="123"/>
        <v>#VALUE!</v>
      </c>
    </row>
    <row r="1959" spans="2:8">
      <c r="B1959" s="11" t="str">
        <f t="shared" si="121"/>
        <v/>
      </c>
      <c r="C1959" s="11" t="str">
        <f t="shared" si="120"/>
        <v/>
      </c>
      <c r="F1959" s="10" t="str">
        <v/>
      </c>
      <c r="G1959" t="e">
        <f t="shared" si="122"/>
        <v>#VALUE!</v>
      </c>
      <c r="H1959" s="13" t="e">
        <f t="shared" si="123"/>
        <v>#VALUE!</v>
      </c>
    </row>
    <row r="1960" spans="2:8">
      <c r="B1960" s="11" t="str">
        <f t="shared" si="121"/>
        <v/>
      </c>
      <c r="C1960" s="11" t="str">
        <f t="shared" si="120"/>
        <v/>
      </c>
      <c r="F1960" s="10" t="str">
        <v/>
      </c>
      <c r="G1960" t="e">
        <f t="shared" si="122"/>
        <v>#VALUE!</v>
      </c>
      <c r="H1960" s="13" t="e">
        <f t="shared" si="123"/>
        <v>#VALUE!</v>
      </c>
    </row>
    <row r="1961" spans="2:8">
      <c r="B1961" s="11" t="str">
        <f t="shared" si="121"/>
        <v/>
      </c>
      <c r="C1961" s="11" t="str">
        <f t="shared" ref="C1961:C2024" si="124">IF(B1961="артикул",A1961,"")</f>
        <v/>
      </c>
      <c r="F1961" s="10" t="str">
        <v/>
      </c>
      <c r="G1961" t="e">
        <f t="shared" si="122"/>
        <v>#VALUE!</v>
      </c>
      <c r="H1961" s="13" t="e">
        <f t="shared" si="123"/>
        <v>#VALUE!</v>
      </c>
    </row>
    <row r="1962" spans="2:8">
      <c r="B1962" s="11" t="str">
        <f t="shared" si="121"/>
        <v/>
      </c>
      <c r="C1962" s="11" t="str">
        <f t="shared" si="124"/>
        <v/>
      </c>
      <c r="F1962" s="10" t="str">
        <v/>
      </c>
      <c r="G1962" t="e">
        <f t="shared" si="122"/>
        <v>#VALUE!</v>
      </c>
      <c r="H1962" s="13" t="e">
        <f t="shared" si="123"/>
        <v>#VALUE!</v>
      </c>
    </row>
    <row r="1963" spans="2:8">
      <c r="B1963" s="11" t="str">
        <f t="shared" si="121"/>
        <v/>
      </c>
      <c r="C1963" s="11" t="str">
        <f t="shared" si="124"/>
        <v/>
      </c>
      <c r="F1963" s="10" t="str">
        <v/>
      </c>
      <c r="G1963" t="e">
        <f t="shared" si="122"/>
        <v>#VALUE!</v>
      </c>
      <c r="H1963" s="13" t="e">
        <f t="shared" si="123"/>
        <v>#VALUE!</v>
      </c>
    </row>
    <row r="1964" spans="2:8">
      <c r="B1964" s="11" t="str">
        <f t="shared" si="121"/>
        <v/>
      </c>
      <c r="C1964" s="11" t="str">
        <f t="shared" si="124"/>
        <v/>
      </c>
      <c r="F1964" s="10" t="str">
        <v/>
      </c>
      <c r="G1964" t="e">
        <f t="shared" si="122"/>
        <v>#VALUE!</v>
      </c>
      <c r="H1964" s="13" t="e">
        <f t="shared" si="123"/>
        <v>#VALUE!</v>
      </c>
    </row>
    <row r="1965" spans="2:8">
      <c r="B1965" s="11" t="str">
        <f t="shared" si="121"/>
        <v/>
      </c>
      <c r="C1965" s="11" t="str">
        <f t="shared" si="124"/>
        <v/>
      </c>
      <c r="F1965" s="10" t="str">
        <v/>
      </c>
      <c r="G1965" t="e">
        <f t="shared" si="122"/>
        <v>#VALUE!</v>
      </c>
      <c r="H1965" s="13" t="e">
        <f t="shared" si="123"/>
        <v>#VALUE!</v>
      </c>
    </row>
    <row r="1966" spans="2:8">
      <c r="B1966" s="11" t="str">
        <f t="shared" si="121"/>
        <v/>
      </c>
      <c r="C1966" s="11" t="str">
        <f t="shared" si="124"/>
        <v/>
      </c>
      <c r="F1966" s="10" t="str">
        <v/>
      </c>
      <c r="G1966" t="e">
        <f t="shared" si="122"/>
        <v>#VALUE!</v>
      </c>
      <c r="H1966" s="13" t="e">
        <f t="shared" si="123"/>
        <v>#VALUE!</v>
      </c>
    </row>
    <row r="1967" spans="2:8">
      <c r="B1967" s="11" t="str">
        <f t="shared" si="121"/>
        <v/>
      </c>
      <c r="C1967" s="11" t="str">
        <f t="shared" si="124"/>
        <v/>
      </c>
      <c r="F1967" s="10" t="str">
        <v/>
      </c>
      <c r="G1967" t="e">
        <f t="shared" si="122"/>
        <v>#VALUE!</v>
      </c>
      <c r="H1967" s="13" t="e">
        <f t="shared" si="123"/>
        <v>#VALUE!</v>
      </c>
    </row>
    <row r="1968" spans="2:8">
      <c r="B1968" s="11" t="str">
        <f t="shared" si="121"/>
        <v/>
      </c>
      <c r="C1968" s="11" t="str">
        <f t="shared" si="124"/>
        <v/>
      </c>
      <c r="F1968" s="10" t="str">
        <v/>
      </c>
      <c r="G1968" t="e">
        <f t="shared" si="122"/>
        <v>#VALUE!</v>
      </c>
      <c r="H1968" s="13" t="e">
        <f t="shared" si="123"/>
        <v>#VALUE!</v>
      </c>
    </row>
    <row r="1969" spans="2:8">
      <c r="B1969" s="11" t="str">
        <f t="shared" si="121"/>
        <v/>
      </c>
      <c r="C1969" s="11" t="str">
        <f t="shared" si="124"/>
        <v/>
      </c>
      <c r="F1969" s="10" t="str">
        <v/>
      </c>
      <c r="G1969" t="e">
        <f t="shared" si="122"/>
        <v>#VALUE!</v>
      </c>
      <c r="H1969" s="13" t="e">
        <f t="shared" si="123"/>
        <v>#VALUE!</v>
      </c>
    </row>
    <row r="1970" spans="2:8">
      <c r="B1970" s="11" t="str">
        <f t="shared" si="121"/>
        <v/>
      </c>
      <c r="C1970" s="11" t="str">
        <f t="shared" si="124"/>
        <v/>
      </c>
      <c r="F1970" s="10" t="str">
        <v/>
      </c>
      <c r="G1970" t="e">
        <f t="shared" si="122"/>
        <v>#VALUE!</v>
      </c>
      <c r="H1970" s="13" t="e">
        <f t="shared" si="123"/>
        <v>#VALUE!</v>
      </c>
    </row>
    <row r="1971" spans="2:8">
      <c r="B1971" s="11" t="str">
        <f t="shared" si="121"/>
        <v/>
      </c>
      <c r="C1971" s="11" t="str">
        <f t="shared" si="124"/>
        <v/>
      </c>
      <c r="F1971" s="10" t="str">
        <v/>
      </c>
      <c r="G1971" t="e">
        <f t="shared" si="122"/>
        <v>#VALUE!</v>
      </c>
      <c r="H1971" s="13" t="e">
        <f t="shared" si="123"/>
        <v>#VALUE!</v>
      </c>
    </row>
    <row r="1972" spans="2:8">
      <c r="B1972" s="11" t="str">
        <f t="shared" si="121"/>
        <v/>
      </c>
      <c r="C1972" s="11" t="str">
        <f t="shared" si="124"/>
        <v/>
      </c>
      <c r="F1972" s="10" t="str">
        <v/>
      </c>
      <c r="G1972" t="e">
        <f t="shared" si="122"/>
        <v>#VALUE!</v>
      </c>
      <c r="H1972" s="13" t="e">
        <f t="shared" si="123"/>
        <v>#VALUE!</v>
      </c>
    </row>
    <row r="1973" spans="2:8">
      <c r="B1973" s="11" t="str">
        <f t="shared" si="121"/>
        <v/>
      </c>
      <c r="C1973" s="11" t="str">
        <f t="shared" si="124"/>
        <v/>
      </c>
      <c r="F1973" s="10" t="str">
        <v/>
      </c>
      <c r="G1973" t="e">
        <f t="shared" si="122"/>
        <v>#VALUE!</v>
      </c>
      <c r="H1973" s="13" t="e">
        <f t="shared" si="123"/>
        <v>#VALUE!</v>
      </c>
    </row>
    <row r="1974" spans="2:8">
      <c r="B1974" s="11" t="str">
        <f t="shared" si="121"/>
        <v/>
      </c>
      <c r="C1974" s="11" t="str">
        <f t="shared" si="124"/>
        <v/>
      </c>
      <c r="F1974" s="10" t="str">
        <v/>
      </c>
      <c r="G1974" t="e">
        <f t="shared" si="122"/>
        <v>#VALUE!</v>
      </c>
      <c r="H1974" s="13" t="e">
        <f t="shared" si="123"/>
        <v>#VALUE!</v>
      </c>
    </row>
    <row r="1975" spans="2:8">
      <c r="B1975" s="11" t="str">
        <f t="shared" si="121"/>
        <v/>
      </c>
      <c r="C1975" s="11" t="str">
        <f t="shared" si="124"/>
        <v/>
      </c>
      <c r="F1975" s="10" t="str">
        <v/>
      </c>
      <c r="G1975" t="e">
        <f t="shared" si="122"/>
        <v>#VALUE!</v>
      </c>
      <c r="H1975" s="13" t="e">
        <f t="shared" si="123"/>
        <v>#VALUE!</v>
      </c>
    </row>
    <row r="1976" spans="2:8">
      <c r="B1976" s="11" t="str">
        <f t="shared" si="121"/>
        <v/>
      </c>
      <c r="C1976" s="11" t="str">
        <f t="shared" si="124"/>
        <v/>
      </c>
      <c r="F1976" s="10" t="str">
        <v/>
      </c>
      <c r="G1976" t="e">
        <f t="shared" si="122"/>
        <v>#VALUE!</v>
      </c>
      <c r="H1976" s="13" t="e">
        <f t="shared" si="123"/>
        <v>#VALUE!</v>
      </c>
    </row>
    <row r="1977" spans="2:8">
      <c r="B1977" s="11" t="str">
        <f t="shared" si="121"/>
        <v/>
      </c>
      <c r="C1977" s="11" t="str">
        <f t="shared" si="124"/>
        <v/>
      </c>
      <c r="F1977" s="10" t="str">
        <v/>
      </c>
      <c r="G1977" t="e">
        <f t="shared" si="122"/>
        <v>#VALUE!</v>
      </c>
      <c r="H1977" s="13" t="e">
        <f t="shared" si="123"/>
        <v>#VALUE!</v>
      </c>
    </row>
    <row r="1978" spans="2:8">
      <c r="B1978" s="11" t="str">
        <f t="shared" si="121"/>
        <v/>
      </c>
      <c r="C1978" s="11" t="str">
        <f t="shared" si="124"/>
        <v/>
      </c>
      <c r="F1978" s="10" t="str">
        <v/>
      </c>
      <c r="G1978" t="e">
        <f t="shared" si="122"/>
        <v>#VALUE!</v>
      </c>
      <c r="H1978" s="13" t="e">
        <f t="shared" si="123"/>
        <v>#VALUE!</v>
      </c>
    </row>
    <row r="1979" spans="2:8">
      <c r="B1979" s="11" t="str">
        <f t="shared" si="121"/>
        <v/>
      </c>
      <c r="C1979" s="11" t="str">
        <f t="shared" si="124"/>
        <v/>
      </c>
      <c r="F1979" s="10" t="str">
        <v/>
      </c>
      <c r="G1979" t="e">
        <f t="shared" si="122"/>
        <v>#VALUE!</v>
      </c>
      <c r="H1979" s="13" t="e">
        <f t="shared" si="123"/>
        <v>#VALUE!</v>
      </c>
    </row>
    <row r="1980" spans="2:8">
      <c r="B1980" s="11" t="str">
        <f t="shared" si="121"/>
        <v/>
      </c>
      <c r="C1980" s="11" t="str">
        <f t="shared" si="124"/>
        <v/>
      </c>
      <c r="F1980" s="10" t="str">
        <v/>
      </c>
      <c r="G1980" t="e">
        <f t="shared" si="122"/>
        <v>#VALUE!</v>
      </c>
      <c r="H1980" s="13" t="e">
        <f t="shared" si="123"/>
        <v>#VALUE!</v>
      </c>
    </row>
    <row r="1981" spans="2:8">
      <c r="B1981" s="11" t="str">
        <f t="shared" si="121"/>
        <v/>
      </c>
      <c r="C1981" s="11" t="str">
        <f t="shared" si="124"/>
        <v/>
      </c>
      <c r="F1981" s="10" t="str">
        <v/>
      </c>
      <c r="G1981" t="e">
        <f t="shared" si="122"/>
        <v>#VALUE!</v>
      </c>
      <c r="H1981" s="13" t="e">
        <f t="shared" si="123"/>
        <v>#VALUE!</v>
      </c>
    </row>
    <row r="1982" spans="2:8">
      <c r="B1982" s="11" t="str">
        <f t="shared" si="121"/>
        <v/>
      </c>
      <c r="C1982" s="11" t="str">
        <f t="shared" si="124"/>
        <v/>
      </c>
      <c r="F1982" s="10" t="str">
        <v/>
      </c>
      <c r="G1982" t="e">
        <f t="shared" si="122"/>
        <v>#VALUE!</v>
      </c>
      <c r="H1982" s="13" t="e">
        <f t="shared" si="123"/>
        <v>#VALUE!</v>
      </c>
    </row>
    <row r="1983" spans="2:8">
      <c r="B1983" s="11" t="str">
        <f t="shared" si="121"/>
        <v/>
      </c>
      <c r="C1983" s="11" t="str">
        <f t="shared" si="124"/>
        <v/>
      </c>
      <c r="F1983" s="10" t="str">
        <v/>
      </c>
      <c r="G1983" t="e">
        <f t="shared" si="122"/>
        <v>#VALUE!</v>
      </c>
      <c r="H1983" s="13" t="e">
        <f t="shared" si="123"/>
        <v>#VALUE!</v>
      </c>
    </row>
    <row r="1984" spans="2:8">
      <c r="B1984" s="11" t="str">
        <f t="shared" si="121"/>
        <v/>
      </c>
      <c r="C1984" s="11" t="str">
        <f t="shared" si="124"/>
        <v/>
      </c>
      <c r="F1984" s="10" t="str">
        <v/>
      </c>
      <c r="G1984" t="e">
        <f t="shared" si="122"/>
        <v>#VALUE!</v>
      </c>
      <c r="H1984" s="13" t="e">
        <f t="shared" si="123"/>
        <v>#VALUE!</v>
      </c>
    </row>
    <row r="1985" spans="2:8">
      <c r="B1985" s="11" t="str">
        <f t="shared" ref="B1985:B2048" si="125">IFERROR(IF(FIND(" ",A1985)=6,IF(IFERROR(FIND(" PB",A1985),"")&lt;&gt;"","артикул",IF(IFERROR(FIND(" CRN",A1985),"")&lt;&gt;"","артикул","")),""),"")</f>
        <v/>
      </c>
      <c r="C1985" s="11" t="str">
        <f t="shared" si="124"/>
        <v/>
      </c>
      <c r="F1985" s="10" t="str">
        <v/>
      </c>
      <c r="G1985" t="e">
        <f t="shared" si="122"/>
        <v>#VALUE!</v>
      </c>
      <c r="H1985" s="13" t="e">
        <f t="shared" si="123"/>
        <v>#VALUE!</v>
      </c>
    </row>
    <row r="1986" spans="2:8">
      <c r="B1986" s="11" t="str">
        <f t="shared" si="125"/>
        <v/>
      </c>
      <c r="C1986" s="11" t="str">
        <f t="shared" si="124"/>
        <v/>
      </c>
      <c r="F1986" s="10" t="str">
        <v/>
      </c>
      <c r="G1986" t="e">
        <f t="shared" ref="G1986:G2049" si="126">CONCATENATE(LEFT(F1986,5),
MID(F1986,
SEARCH("\",SUBSTITUTE(F1986," ","\",LEN(F1986)-LEN(SUBSTITUTE(F1986," ",""))-4)),
SEARCH("\",SUBSTITUTE(F1986," ","\",LEN(F1986)-LEN(SUBSTITUTE(F1986," ",""))-3))-
SEARCH("\",SUBSTITUTE(F1986," ","\",LEN(F1986)-LEN(SUBSTITUTE(F1986," ",""))-4)))*1)</f>
        <v>#VALUE!</v>
      </c>
      <c r="H1986" s="13" t="e">
        <f t="shared" ref="H1986:H2049" si="127">SUBSTITUTE(
RIGHT(F1986,LEN(F1986)-
FIND("\",SUBSTITUTE(F1986," ","\",LEN(F1986)-LEN(SUBSTITUTE(F1986," ",""))))),
".","")</f>
        <v>#VALUE!</v>
      </c>
    </row>
    <row r="1987" spans="2:8">
      <c r="B1987" s="11" t="str">
        <f t="shared" si="125"/>
        <v/>
      </c>
      <c r="C1987" s="11" t="str">
        <f t="shared" si="124"/>
        <v/>
      </c>
      <c r="F1987" s="10" t="str">
        <v/>
      </c>
      <c r="G1987" t="e">
        <f t="shared" si="126"/>
        <v>#VALUE!</v>
      </c>
      <c r="H1987" s="13" t="e">
        <f t="shared" si="127"/>
        <v>#VALUE!</v>
      </c>
    </row>
    <row r="1988" spans="2:8">
      <c r="B1988" s="11" t="str">
        <f t="shared" si="125"/>
        <v/>
      </c>
      <c r="C1988" s="11" t="str">
        <f t="shared" si="124"/>
        <v/>
      </c>
      <c r="F1988" s="10" t="str">
        <v/>
      </c>
      <c r="G1988" t="e">
        <f t="shared" si="126"/>
        <v>#VALUE!</v>
      </c>
      <c r="H1988" s="13" t="e">
        <f t="shared" si="127"/>
        <v>#VALUE!</v>
      </c>
    </row>
    <row r="1989" spans="2:8">
      <c r="B1989" s="11" t="str">
        <f t="shared" si="125"/>
        <v/>
      </c>
      <c r="C1989" s="11" t="str">
        <f t="shared" si="124"/>
        <v/>
      </c>
      <c r="F1989" s="10" t="str">
        <v/>
      </c>
      <c r="G1989" t="e">
        <f t="shared" si="126"/>
        <v>#VALUE!</v>
      </c>
      <c r="H1989" s="13" t="e">
        <f t="shared" si="127"/>
        <v>#VALUE!</v>
      </c>
    </row>
    <row r="1990" spans="2:8">
      <c r="B1990" s="11" t="str">
        <f t="shared" si="125"/>
        <v/>
      </c>
      <c r="C1990" s="11" t="str">
        <f t="shared" si="124"/>
        <v/>
      </c>
      <c r="F1990" s="10" t="str">
        <v/>
      </c>
      <c r="G1990" t="e">
        <f t="shared" si="126"/>
        <v>#VALUE!</v>
      </c>
      <c r="H1990" s="13" t="e">
        <f t="shared" si="127"/>
        <v>#VALUE!</v>
      </c>
    </row>
    <row r="1991" spans="2:8">
      <c r="B1991" s="11" t="str">
        <f t="shared" si="125"/>
        <v/>
      </c>
      <c r="C1991" s="11" t="str">
        <f t="shared" si="124"/>
        <v/>
      </c>
      <c r="F1991" s="10" t="str">
        <v/>
      </c>
      <c r="G1991" t="e">
        <f t="shared" si="126"/>
        <v>#VALUE!</v>
      </c>
      <c r="H1991" s="13" t="e">
        <f t="shared" si="127"/>
        <v>#VALUE!</v>
      </c>
    </row>
    <row r="1992" spans="2:8">
      <c r="B1992" s="11" t="str">
        <f t="shared" si="125"/>
        <v/>
      </c>
      <c r="C1992" s="11" t="str">
        <f t="shared" si="124"/>
        <v/>
      </c>
      <c r="F1992" s="10" t="str">
        <v/>
      </c>
      <c r="G1992" t="e">
        <f t="shared" si="126"/>
        <v>#VALUE!</v>
      </c>
      <c r="H1992" s="13" t="e">
        <f t="shared" si="127"/>
        <v>#VALUE!</v>
      </c>
    </row>
    <row r="1993" spans="2:8">
      <c r="B1993" s="11" t="str">
        <f t="shared" si="125"/>
        <v/>
      </c>
      <c r="C1993" s="11" t="str">
        <f t="shared" si="124"/>
        <v/>
      </c>
      <c r="F1993" s="10" t="str">
        <v/>
      </c>
      <c r="G1993" t="e">
        <f t="shared" si="126"/>
        <v>#VALUE!</v>
      </c>
      <c r="H1993" s="13" t="e">
        <f t="shared" si="127"/>
        <v>#VALUE!</v>
      </c>
    </row>
    <row r="1994" spans="2:8">
      <c r="B1994" s="11" t="str">
        <f t="shared" si="125"/>
        <v/>
      </c>
      <c r="C1994" s="11" t="str">
        <f t="shared" si="124"/>
        <v/>
      </c>
      <c r="F1994" s="10" t="str">
        <v/>
      </c>
      <c r="G1994" t="e">
        <f t="shared" si="126"/>
        <v>#VALUE!</v>
      </c>
      <c r="H1994" s="13" t="e">
        <f t="shared" si="127"/>
        <v>#VALUE!</v>
      </c>
    </row>
    <row r="1995" spans="2:8">
      <c r="B1995" s="11" t="str">
        <f t="shared" si="125"/>
        <v/>
      </c>
      <c r="C1995" s="11" t="str">
        <f t="shared" si="124"/>
        <v/>
      </c>
      <c r="F1995" s="10" t="str">
        <v/>
      </c>
      <c r="G1995" t="e">
        <f t="shared" si="126"/>
        <v>#VALUE!</v>
      </c>
      <c r="H1995" s="13" t="e">
        <f t="shared" si="127"/>
        <v>#VALUE!</v>
      </c>
    </row>
    <row r="1996" spans="2:8">
      <c r="B1996" s="11" t="str">
        <f t="shared" si="125"/>
        <v/>
      </c>
      <c r="C1996" s="11" t="str">
        <f t="shared" si="124"/>
        <v/>
      </c>
      <c r="F1996" s="10" t="str">
        <v/>
      </c>
      <c r="G1996" t="e">
        <f t="shared" si="126"/>
        <v>#VALUE!</v>
      </c>
      <c r="H1996" s="13" t="e">
        <f t="shared" si="127"/>
        <v>#VALUE!</v>
      </c>
    </row>
    <row r="1997" spans="2:8">
      <c r="B1997" s="11" t="str">
        <f t="shared" si="125"/>
        <v/>
      </c>
      <c r="C1997" s="11" t="str">
        <f t="shared" si="124"/>
        <v/>
      </c>
      <c r="F1997" s="10" t="str">
        <v/>
      </c>
      <c r="G1997" t="e">
        <f t="shared" si="126"/>
        <v>#VALUE!</v>
      </c>
      <c r="H1997" s="13" t="e">
        <f t="shared" si="127"/>
        <v>#VALUE!</v>
      </c>
    </row>
    <row r="1998" spans="2:8">
      <c r="B1998" s="11" t="str">
        <f t="shared" si="125"/>
        <v/>
      </c>
      <c r="C1998" s="11" t="str">
        <f t="shared" si="124"/>
        <v/>
      </c>
      <c r="F1998" s="10" t="str">
        <v/>
      </c>
      <c r="G1998" t="e">
        <f t="shared" si="126"/>
        <v>#VALUE!</v>
      </c>
      <c r="H1998" s="13" t="e">
        <f t="shared" si="127"/>
        <v>#VALUE!</v>
      </c>
    </row>
    <row r="1999" spans="2:8">
      <c r="B1999" s="11" t="str">
        <f t="shared" si="125"/>
        <v/>
      </c>
      <c r="C1999" s="11" t="str">
        <f t="shared" si="124"/>
        <v/>
      </c>
      <c r="F1999" s="10" t="str">
        <v/>
      </c>
      <c r="G1999" t="e">
        <f t="shared" si="126"/>
        <v>#VALUE!</v>
      </c>
      <c r="H1999" s="13" t="e">
        <f t="shared" si="127"/>
        <v>#VALUE!</v>
      </c>
    </row>
    <row r="2000" spans="2:8">
      <c r="B2000" s="11" t="str">
        <f t="shared" si="125"/>
        <v/>
      </c>
      <c r="C2000" s="11" t="str">
        <f t="shared" si="124"/>
        <v/>
      </c>
      <c r="F2000" s="10" t="str">
        <v/>
      </c>
      <c r="G2000" t="e">
        <f t="shared" si="126"/>
        <v>#VALUE!</v>
      </c>
      <c r="H2000" s="13" t="e">
        <f t="shared" si="127"/>
        <v>#VALUE!</v>
      </c>
    </row>
    <row r="2001" spans="2:8">
      <c r="B2001" s="11" t="str">
        <f t="shared" si="125"/>
        <v/>
      </c>
      <c r="C2001" s="11" t="str">
        <f t="shared" si="124"/>
        <v/>
      </c>
      <c r="F2001" s="10" t="str">
        <v/>
      </c>
      <c r="G2001" t="e">
        <f t="shared" si="126"/>
        <v>#VALUE!</v>
      </c>
      <c r="H2001" s="13" t="e">
        <f t="shared" si="127"/>
        <v>#VALUE!</v>
      </c>
    </row>
    <row r="2002" spans="2:8">
      <c r="B2002" s="11" t="str">
        <f t="shared" si="125"/>
        <v/>
      </c>
      <c r="C2002" s="11" t="str">
        <f t="shared" si="124"/>
        <v/>
      </c>
      <c r="F2002" s="10" t="str">
        <v/>
      </c>
      <c r="G2002" t="e">
        <f t="shared" si="126"/>
        <v>#VALUE!</v>
      </c>
      <c r="H2002" s="13" t="e">
        <f t="shared" si="127"/>
        <v>#VALUE!</v>
      </c>
    </row>
    <row r="2003" spans="2:8">
      <c r="B2003" s="11" t="str">
        <f t="shared" si="125"/>
        <v/>
      </c>
      <c r="C2003" s="11" t="str">
        <f t="shared" si="124"/>
        <v/>
      </c>
      <c r="F2003" s="10" t="str">
        <v/>
      </c>
      <c r="G2003" t="e">
        <f t="shared" si="126"/>
        <v>#VALUE!</v>
      </c>
      <c r="H2003" s="13" t="e">
        <f t="shared" si="127"/>
        <v>#VALUE!</v>
      </c>
    </row>
    <row r="2004" spans="2:8">
      <c r="B2004" s="11" t="str">
        <f t="shared" si="125"/>
        <v/>
      </c>
      <c r="C2004" s="11" t="str">
        <f t="shared" si="124"/>
        <v/>
      </c>
      <c r="F2004" s="10" t="str">
        <v/>
      </c>
      <c r="G2004" t="e">
        <f t="shared" si="126"/>
        <v>#VALUE!</v>
      </c>
      <c r="H2004" s="13" t="e">
        <f t="shared" si="127"/>
        <v>#VALUE!</v>
      </c>
    </row>
    <row r="2005" spans="2:8">
      <c r="B2005" s="11" t="str">
        <f t="shared" si="125"/>
        <v/>
      </c>
      <c r="C2005" s="11" t="str">
        <f t="shared" si="124"/>
        <v/>
      </c>
      <c r="F2005" s="10" t="str">
        <v/>
      </c>
      <c r="G2005" t="e">
        <f t="shared" si="126"/>
        <v>#VALUE!</v>
      </c>
      <c r="H2005" s="13" t="e">
        <f t="shared" si="127"/>
        <v>#VALUE!</v>
      </c>
    </row>
    <row r="2006" spans="2:8">
      <c r="B2006" s="11" t="str">
        <f t="shared" si="125"/>
        <v/>
      </c>
      <c r="C2006" s="11" t="str">
        <f t="shared" si="124"/>
        <v/>
      </c>
      <c r="F2006" s="10" t="str">
        <v/>
      </c>
      <c r="G2006" t="e">
        <f t="shared" si="126"/>
        <v>#VALUE!</v>
      </c>
      <c r="H2006" s="13" t="e">
        <f t="shared" si="127"/>
        <v>#VALUE!</v>
      </c>
    </row>
    <row r="2007" spans="2:8">
      <c r="B2007" s="11" t="str">
        <f t="shared" si="125"/>
        <v/>
      </c>
      <c r="C2007" s="11" t="str">
        <f t="shared" si="124"/>
        <v/>
      </c>
      <c r="F2007" s="10" t="str">
        <v/>
      </c>
      <c r="G2007" t="e">
        <f t="shared" si="126"/>
        <v>#VALUE!</v>
      </c>
      <c r="H2007" s="13" t="e">
        <f t="shared" si="127"/>
        <v>#VALUE!</v>
      </c>
    </row>
    <row r="2008" spans="2:8">
      <c r="B2008" s="11" t="str">
        <f t="shared" si="125"/>
        <v/>
      </c>
      <c r="C2008" s="11" t="str">
        <f t="shared" si="124"/>
        <v/>
      </c>
      <c r="F2008" s="10" t="str">
        <v/>
      </c>
      <c r="G2008" t="e">
        <f t="shared" si="126"/>
        <v>#VALUE!</v>
      </c>
      <c r="H2008" s="13" t="e">
        <f t="shared" si="127"/>
        <v>#VALUE!</v>
      </c>
    </row>
    <row r="2009" spans="2:8">
      <c r="B2009" s="11" t="str">
        <f t="shared" si="125"/>
        <v/>
      </c>
      <c r="C2009" s="11" t="str">
        <f t="shared" si="124"/>
        <v/>
      </c>
      <c r="F2009" s="10" t="str">
        <v/>
      </c>
      <c r="G2009" t="e">
        <f t="shared" si="126"/>
        <v>#VALUE!</v>
      </c>
      <c r="H2009" s="13" t="e">
        <f t="shared" si="127"/>
        <v>#VALUE!</v>
      </c>
    </row>
    <row r="2010" spans="2:8">
      <c r="B2010" s="11" t="str">
        <f t="shared" si="125"/>
        <v/>
      </c>
      <c r="C2010" s="11" t="str">
        <f t="shared" si="124"/>
        <v/>
      </c>
      <c r="F2010" s="10" t="str">
        <v/>
      </c>
      <c r="G2010" t="e">
        <f t="shared" si="126"/>
        <v>#VALUE!</v>
      </c>
      <c r="H2010" s="13" t="e">
        <f t="shared" si="127"/>
        <v>#VALUE!</v>
      </c>
    </row>
    <row r="2011" spans="2:8">
      <c r="B2011" s="11" t="str">
        <f t="shared" si="125"/>
        <v/>
      </c>
      <c r="C2011" s="11" t="str">
        <f t="shared" si="124"/>
        <v/>
      </c>
      <c r="F2011" s="10" t="str">
        <v/>
      </c>
      <c r="G2011" t="e">
        <f t="shared" si="126"/>
        <v>#VALUE!</v>
      </c>
      <c r="H2011" s="13" t="e">
        <f t="shared" si="127"/>
        <v>#VALUE!</v>
      </c>
    </row>
    <row r="2012" spans="2:8">
      <c r="B2012" s="11" t="str">
        <f t="shared" si="125"/>
        <v/>
      </c>
      <c r="C2012" s="11" t="str">
        <f t="shared" si="124"/>
        <v/>
      </c>
      <c r="F2012" s="10" t="str">
        <v/>
      </c>
      <c r="G2012" t="e">
        <f t="shared" si="126"/>
        <v>#VALUE!</v>
      </c>
      <c r="H2012" s="13" t="e">
        <f t="shared" si="127"/>
        <v>#VALUE!</v>
      </c>
    </row>
    <row r="2013" spans="2:8">
      <c r="B2013" s="11" t="str">
        <f t="shared" si="125"/>
        <v/>
      </c>
      <c r="C2013" s="11" t="str">
        <f t="shared" si="124"/>
        <v/>
      </c>
      <c r="F2013" s="10" t="str">
        <v/>
      </c>
      <c r="G2013" t="e">
        <f t="shared" si="126"/>
        <v>#VALUE!</v>
      </c>
      <c r="H2013" s="13" t="e">
        <f t="shared" si="127"/>
        <v>#VALUE!</v>
      </c>
    </row>
    <row r="2014" spans="2:8">
      <c r="B2014" s="11" t="str">
        <f t="shared" si="125"/>
        <v/>
      </c>
      <c r="C2014" s="11" t="str">
        <f t="shared" si="124"/>
        <v/>
      </c>
      <c r="F2014" s="10" t="str">
        <v/>
      </c>
      <c r="G2014" t="e">
        <f t="shared" si="126"/>
        <v>#VALUE!</v>
      </c>
      <c r="H2014" s="13" t="e">
        <f t="shared" si="127"/>
        <v>#VALUE!</v>
      </c>
    </row>
    <row r="2015" spans="2:8">
      <c r="B2015" s="11" t="str">
        <f t="shared" si="125"/>
        <v/>
      </c>
      <c r="C2015" s="11" t="str">
        <f t="shared" si="124"/>
        <v/>
      </c>
      <c r="F2015" s="10" t="str">
        <v/>
      </c>
      <c r="G2015" t="e">
        <f t="shared" si="126"/>
        <v>#VALUE!</v>
      </c>
      <c r="H2015" s="13" t="e">
        <f t="shared" si="127"/>
        <v>#VALUE!</v>
      </c>
    </row>
    <row r="2016" spans="2:8">
      <c r="B2016" s="11" t="str">
        <f t="shared" si="125"/>
        <v/>
      </c>
      <c r="C2016" s="11" t="str">
        <f t="shared" si="124"/>
        <v/>
      </c>
      <c r="F2016" s="10" t="str">
        <v/>
      </c>
      <c r="G2016" t="e">
        <f t="shared" si="126"/>
        <v>#VALUE!</v>
      </c>
      <c r="H2016" s="13" t="e">
        <f t="shared" si="127"/>
        <v>#VALUE!</v>
      </c>
    </row>
    <row r="2017" spans="2:8">
      <c r="B2017" s="11" t="str">
        <f t="shared" si="125"/>
        <v/>
      </c>
      <c r="C2017" s="11" t="str">
        <f t="shared" si="124"/>
        <v/>
      </c>
      <c r="F2017" s="10" t="str">
        <v/>
      </c>
      <c r="G2017" t="e">
        <f t="shared" si="126"/>
        <v>#VALUE!</v>
      </c>
      <c r="H2017" s="13" t="e">
        <f t="shared" si="127"/>
        <v>#VALUE!</v>
      </c>
    </row>
    <row r="2018" spans="2:8">
      <c r="B2018" s="11" t="str">
        <f t="shared" si="125"/>
        <v/>
      </c>
      <c r="C2018" s="11" t="str">
        <f t="shared" si="124"/>
        <v/>
      </c>
      <c r="F2018" s="10" t="str">
        <v/>
      </c>
      <c r="G2018" t="e">
        <f t="shared" si="126"/>
        <v>#VALUE!</v>
      </c>
      <c r="H2018" s="13" t="e">
        <f t="shared" si="127"/>
        <v>#VALUE!</v>
      </c>
    </row>
    <row r="2019" spans="2:8">
      <c r="B2019" s="11" t="str">
        <f t="shared" si="125"/>
        <v/>
      </c>
      <c r="C2019" s="11" t="str">
        <f t="shared" si="124"/>
        <v/>
      </c>
      <c r="F2019" s="10" t="str">
        <v/>
      </c>
      <c r="G2019" t="e">
        <f t="shared" si="126"/>
        <v>#VALUE!</v>
      </c>
      <c r="H2019" s="13" t="e">
        <f t="shared" si="127"/>
        <v>#VALUE!</v>
      </c>
    </row>
    <row r="2020" spans="2:8">
      <c r="B2020" s="11" t="str">
        <f t="shared" si="125"/>
        <v/>
      </c>
      <c r="C2020" s="11" t="str">
        <f t="shared" si="124"/>
        <v/>
      </c>
      <c r="F2020" s="10" t="str">
        <v/>
      </c>
      <c r="G2020" t="e">
        <f t="shared" si="126"/>
        <v>#VALUE!</v>
      </c>
      <c r="H2020" s="13" t="e">
        <f t="shared" si="127"/>
        <v>#VALUE!</v>
      </c>
    </row>
    <row r="2021" spans="2:8">
      <c r="B2021" s="11" t="str">
        <f t="shared" si="125"/>
        <v/>
      </c>
      <c r="C2021" s="11" t="str">
        <f t="shared" si="124"/>
        <v/>
      </c>
      <c r="F2021" s="10" t="str">
        <v/>
      </c>
      <c r="G2021" t="e">
        <f t="shared" si="126"/>
        <v>#VALUE!</v>
      </c>
      <c r="H2021" s="13" t="e">
        <f t="shared" si="127"/>
        <v>#VALUE!</v>
      </c>
    </row>
    <row r="2022" spans="2:8">
      <c r="B2022" s="11" t="str">
        <f t="shared" si="125"/>
        <v/>
      </c>
      <c r="C2022" s="11" t="str">
        <f t="shared" si="124"/>
        <v/>
      </c>
      <c r="F2022" s="10" t="str">
        <v/>
      </c>
      <c r="G2022" t="e">
        <f t="shared" si="126"/>
        <v>#VALUE!</v>
      </c>
      <c r="H2022" s="13" t="e">
        <f t="shared" si="127"/>
        <v>#VALUE!</v>
      </c>
    </row>
    <row r="2023" spans="2:8">
      <c r="B2023" s="11" t="str">
        <f t="shared" si="125"/>
        <v/>
      </c>
      <c r="C2023" s="11" t="str">
        <f t="shared" si="124"/>
        <v/>
      </c>
      <c r="F2023" s="10" t="str">
        <v/>
      </c>
      <c r="G2023" t="e">
        <f t="shared" si="126"/>
        <v>#VALUE!</v>
      </c>
      <c r="H2023" s="13" t="e">
        <f t="shared" si="127"/>
        <v>#VALUE!</v>
      </c>
    </row>
    <row r="2024" spans="2:8">
      <c r="B2024" s="11" t="str">
        <f t="shared" si="125"/>
        <v/>
      </c>
      <c r="C2024" s="11" t="str">
        <f t="shared" si="124"/>
        <v/>
      </c>
      <c r="F2024" s="10" t="str">
        <v/>
      </c>
      <c r="G2024" t="e">
        <f t="shared" si="126"/>
        <v>#VALUE!</v>
      </c>
      <c r="H2024" s="13" t="e">
        <f t="shared" si="127"/>
        <v>#VALUE!</v>
      </c>
    </row>
    <row r="2025" spans="2:8">
      <c r="B2025" s="11" t="str">
        <f t="shared" si="125"/>
        <v/>
      </c>
      <c r="C2025" s="11" t="str">
        <f t="shared" ref="C2025:C2088" si="128">IF(B2025="артикул",A2025,"")</f>
        <v/>
      </c>
      <c r="F2025" s="10" t="str">
        <v/>
      </c>
      <c r="G2025" t="e">
        <f t="shared" si="126"/>
        <v>#VALUE!</v>
      </c>
      <c r="H2025" s="13" t="e">
        <f t="shared" si="127"/>
        <v>#VALUE!</v>
      </c>
    </row>
    <row r="2026" spans="2:8">
      <c r="B2026" s="11" t="str">
        <f t="shared" si="125"/>
        <v/>
      </c>
      <c r="C2026" s="11" t="str">
        <f t="shared" si="128"/>
        <v/>
      </c>
      <c r="F2026" s="10" t="str">
        <v/>
      </c>
      <c r="G2026" t="e">
        <f t="shared" si="126"/>
        <v>#VALUE!</v>
      </c>
      <c r="H2026" s="13" t="e">
        <f t="shared" si="127"/>
        <v>#VALUE!</v>
      </c>
    </row>
    <row r="2027" spans="2:8">
      <c r="B2027" s="11" t="str">
        <f t="shared" si="125"/>
        <v/>
      </c>
      <c r="C2027" s="11" t="str">
        <f t="shared" si="128"/>
        <v/>
      </c>
      <c r="F2027" s="10" t="str">
        <v/>
      </c>
      <c r="G2027" t="e">
        <f t="shared" si="126"/>
        <v>#VALUE!</v>
      </c>
      <c r="H2027" s="13" t="e">
        <f t="shared" si="127"/>
        <v>#VALUE!</v>
      </c>
    </row>
    <row r="2028" spans="2:8">
      <c r="B2028" s="11" t="str">
        <f t="shared" si="125"/>
        <v/>
      </c>
      <c r="C2028" s="11" t="str">
        <f t="shared" si="128"/>
        <v/>
      </c>
      <c r="F2028" s="10" t="str">
        <v/>
      </c>
      <c r="G2028" t="e">
        <f t="shared" si="126"/>
        <v>#VALUE!</v>
      </c>
      <c r="H2028" s="13" t="e">
        <f t="shared" si="127"/>
        <v>#VALUE!</v>
      </c>
    </row>
    <row r="2029" spans="2:8">
      <c r="B2029" s="11" t="str">
        <f t="shared" si="125"/>
        <v/>
      </c>
      <c r="C2029" s="11" t="str">
        <f t="shared" si="128"/>
        <v/>
      </c>
      <c r="F2029" s="10" t="str">
        <v/>
      </c>
      <c r="G2029" t="e">
        <f t="shared" si="126"/>
        <v>#VALUE!</v>
      </c>
      <c r="H2029" s="13" t="e">
        <f t="shared" si="127"/>
        <v>#VALUE!</v>
      </c>
    </row>
    <row r="2030" spans="2:8">
      <c r="B2030" s="11" t="str">
        <f t="shared" si="125"/>
        <v/>
      </c>
      <c r="C2030" s="11" t="str">
        <f t="shared" si="128"/>
        <v/>
      </c>
      <c r="F2030" s="10" t="str">
        <v/>
      </c>
      <c r="G2030" t="e">
        <f t="shared" si="126"/>
        <v>#VALUE!</v>
      </c>
      <c r="H2030" s="13" t="e">
        <f t="shared" si="127"/>
        <v>#VALUE!</v>
      </c>
    </row>
    <row r="2031" spans="2:8">
      <c r="B2031" s="11" t="str">
        <f t="shared" si="125"/>
        <v/>
      </c>
      <c r="C2031" s="11" t="str">
        <f t="shared" si="128"/>
        <v/>
      </c>
      <c r="F2031" s="10" t="str">
        <v/>
      </c>
      <c r="G2031" t="e">
        <f t="shared" si="126"/>
        <v>#VALUE!</v>
      </c>
      <c r="H2031" s="13" t="e">
        <f t="shared" si="127"/>
        <v>#VALUE!</v>
      </c>
    </row>
    <row r="2032" spans="2:8">
      <c r="B2032" s="11" t="str">
        <f t="shared" si="125"/>
        <v/>
      </c>
      <c r="C2032" s="11" t="str">
        <f t="shared" si="128"/>
        <v/>
      </c>
      <c r="F2032" s="10" t="str">
        <v/>
      </c>
      <c r="G2032" t="e">
        <f t="shared" si="126"/>
        <v>#VALUE!</v>
      </c>
      <c r="H2032" s="13" t="e">
        <f t="shared" si="127"/>
        <v>#VALUE!</v>
      </c>
    </row>
    <row r="2033" spans="2:8">
      <c r="B2033" s="11" t="str">
        <f t="shared" si="125"/>
        <v/>
      </c>
      <c r="C2033" s="11" t="str">
        <f t="shared" si="128"/>
        <v/>
      </c>
      <c r="F2033" s="10" t="str">
        <v/>
      </c>
      <c r="G2033" t="e">
        <f t="shared" si="126"/>
        <v>#VALUE!</v>
      </c>
      <c r="H2033" s="13" t="e">
        <f t="shared" si="127"/>
        <v>#VALUE!</v>
      </c>
    </row>
    <row r="2034" spans="2:8">
      <c r="B2034" s="11" t="str">
        <f t="shared" si="125"/>
        <v/>
      </c>
      <c r="C2034" s="11" t="str">
        <f t="shared" si="128"/>
        <v/>
      </c>
      <c r="F2034" s="10" t="str">
        <v/>
      </c>
      <c r="G2034" t="e">
        <f t="shared" si="126"/>
        <v>#VALUE!</v>
      </c>
      <c r="H2034" s="13" t="e">
        <f t="shared" si="127"/>
        <v>#VALUE!</v>
      </c>
    </row>
    <row r="2035" spans="2:8">
      <c r="B2035" s="11" t="str">
        <f t="shared" si="125"/>
        <v/>
      </c>
      <c r="C2035" s="11" t="str">
        <f t="shared" si="128"/>
        <v/>
      </c>
      <c r="F2035" s="10" t="str">
        <v/>
      </c>
      <c r="G2035" t="e">
        <f t="shared" si="126"/>
        <v>#VALUE!</v>
      </c>
      <c r="H2035" s="13" t="e">
        <f t="shared" si="127"/>
        <v>#VALUE!</v>
      </c>
    </row>
    <row r="2036" spans="2:8">
      <c r="B2036" s="11" t="str">
        <f t="shared" si="125"/>
        <v/>
      </c>
      <c r="C2036" s="11" t="str">
        <f t="shared" si="128"/>
        <v/>
      </c>
      <c r="F2036" s="10" t="str">
        <v/>
      </c>
      <c r="G2036" t="e">
        <f t="shared" si="126"/>
        <v>#VALUE!</v>
      </c>
      <c r="H2036" s="13" t="e">
        <f t="shared" si="127"/>
        <v>#VALUE!</v>
      </c>
    </row>
    <row r="2037" spans="2:8">
      <c r="B2037" s="11" t="str">
        <f t="shared" si="125"/>
        <v/>
      </c>
      <c r="C2037" s="11" t="str">
        <f t="shared" si="128"/>
        <v/>
      </c>
      <c r="F2037" s="10" t="str">
        <v/>
      </c>
      <c r="G2037" t="e">
        <f t="shared" si="126"/>
        <v>#VALUE!</v>
      </c>
      <c r="H2037" s="13" t="e">
        <f t="shared" si="127"/>
        <v>#VALUE!</v>
      </c>
    </row>
    <row r="2038" spans="2:8">
      <c r="B2038" s="11" t="str">
        <f t="shared" si="125"/>
        <v/>
      </c>
      <c r="C2038" s="11" t="str">
        <f t="shared" si="128"/>
        <v/>
      </c>
      <c r="F2038" s="10" t="str">
        <v/>
      </c>
      <c r="G2038" t="e">
        <f t="shared" si="126"/>
        <v>#VALUE!</v>
      </c>
      <c r="H2038" s="13" t="e">
        <f t="shared" si="127"/>
        <v>#VALUE!</v>
      </c>
    </row>
    <row r="2039" spans="2:8">
      <c r="B2039" s="11" t="str">
        <f t="shared" si="125"/>
        <v/>
      </c>
      <c r="C2039" s="11" t="str">
        <f t="shared" si="128"/>
        <v/>
      </c>
      <c r="F2039" s="10" t="str">
        <v/>
      </c>
      <c r="G2039" t="e">
        <f t="shared" si="126"/>
        <v>#VALUE!</v>
      </c>
      <c r="H2039" s="13" t="e">
        <f t="shared" si="127"/>
        <v>#VALUE!</v>
      </c>
    </row>
    <row r="2040" spans="2:8">
      <c r="B2040" s="11" t="str">
        <f t="shared" si="125"/>
        <v/>
      </c>
      <c r="C2040" s="11" t="str">
        <f t="shared" si="128"/>
        <v/>
      </c>
      <c r="F2040" s="10" t="str">
        <v/>
      </c>
      <c r="G2040" t="e">
        <f t="shared" si="126"/>
        <v>#VALUE!</v>
      </c>
      <c r="H2040" s="13" t="e">
        <f t="shared" si="127"/>
        <v>#VALUE!</v>
      </c>
    </row>
    <row r="2041" spans="2:8">
      <c r="B2041" s="11" t="str">
        <f t="shared" si="125"/>
        <v/>
      </c>
      <c r="C2041" s="11" t="str">
        <f t="shared" si="128"/>
        <v/>
      </c>
      <c r="F2041" s="10" t="str">
        <v/>
      </c>
      <c r="G2041" t="e">
        <f t="shared" si="126"/>
        <v>#VALUE!</v>
      </c>
      <c r="H2041" s="13" t="e">
        <f t="shared" si="127"/>
        <v>#VALUE!</v>
      </c>
    </row>
    <row r="2042" spans="2:8">
      <c r="B2042" s="11" t="str">
        <f t="shared" si="125"/>
        <v/>
      </c>
      <c r="C2042" s="11" t="str">
        <f t="shared" si="128"/>
        <v/>
      </c>
      <c r="F2042" s="10" t="str">
        <v/>
      </c>
      <c r="G2042" t="e">
        <f t="shared" si="126"/>
        <v>#VALUE!</v>
      </c>
      <c r="H2042" s="13" t="e">
        <f t="shared" si="127"/>
        <v>#VALUE!</v>
      </c>
    </row>
    <row r="2043" spans="2:8">
      <c r="B2043" s="11" t="str">
        <f t="shared" si="125"/>
        <v/>
      </c>
      <c r="C2043" s="11" t="str">
        <f t="shared" si="128"/>
        <v/>
      </c>
      <c r="F2043" s="10" t="str">
        <v/>
      </c>
      <c r="G2043" t="e">
        <f t="shared" si="126"/>
        <v>#VALUE!</v>
      </c>
      <c r="H2043" s="13" t="e">
        <f t="shared" si="127"/>
        <v>#VALUE!</v>
      </c>
    </row>
    <row r="2044" spans="2:8">
      <c r="B2044" s="11" t="str">
        <f t="shared" si="125"/>
        <v/>
      </c>
      <c r="C2044" s="11" t="str">
        <f t="shared" si="128"/>
        <v/>
      </c>
      <c r="F2044" s="10" t="str">
        <v/>
      </c>
      <c r="G2044" t="e">
        <f t="shared" si="126"/>
        <v>#VALUE!</v>
      </c>
      <c r="H2044" s="13" t="e">
        <f t="shared" si="127"/>
        <v>#VALUE!</v>
      </c>
    </row>
    <row r="2045" spans="2:8">
      <c r="B2045" s="11" t="str">
        <f t="shared" si="125"/>
        <v/>
      </c>
      <c r="C2045" s="11" t="str">
        <f t="shared" si="128"/>
        <v/>
      </c>
      <c r="F2045" s="10" t="str">
        <v/>
      </c>
      <c r="G2045" t="e">
        <f t="shared" si="126"/>
        <v>#VALUE!</v>
      </c>
      <c r="H2045" s="13" t="e">
        <f t="shared" si="127"/>
        <v>#VALUE!</v>
      </c>
    </row>
    <row r="2046" spans="2:8">
      <c r="B2046" s="11" t="str">
        <f t="shared" si="125"/>
        <v/>
      </c>
      <c r="C2046" s="11" t="str">
        <f t="shared" si="128"/>
        <v/>
      </c>
      <c r="F2046" s="10" t="str">
        <v/>
      </c>
      <c r="G2046" t="e">
        <f t="shared" si="126"/>
        <v>#VALUE!</v>
      </c>
      <c r="H2046" s="13" t="e">
        <f t="shared" si="127"/>
        <v>#VALUE!</v>
      </c>
    </row>
    <row r="2047" spans="2:8">
      <c r="B2047" s="11" t="str">
        <f t="shared" si="125"/>
        <v/>
      </c>
      <c r="C2047" s="11" t="str">
        <f t="shared" si="128"/>
        <v/>
      </c>
      <c r="F2047" s="10" t="str">
        <v/>
      </c>
      <c r="G2047" t="e">
        <f t="shared" si="126"/>
        <v>#VALUE!</v>
      </c>
      <c r="H2047" s="13" t="e">
        <f t="shared" si="127"/>
        <v>#VALUE!</v>
      </c>
    </row>
    <row r="2048" spans="2:8">
      <c r="B2048" s="11" t="str">
        <f t="shared" si="125"/>
        <v/>
      </c>
      <c r="C2048" s="11" t="str">
        <f t="shared" si="128"/>
        <v/>
      </c>
      <c r="F2048" s="10" t="str">
        <v/>
      </c>
      <c r="G2048" t="e">
        <f t="shared" si="126"/>
        <v>#VALUE!</v>
      </c>
      <c r="H2048" s="13" t="e">
        <f t="shared" si="127"/>
        <v>#VALUE!</v>
      </c>
    </row>
    <row r="2049" spans="2:8">
      <c r="B2049" s="11" t="str">
        <f t="shared" ref="B2049:B2112" si="129">IFERROR(IF(FIND(" ",A2049)=6,IF(IFERROR(FIND(" PB",A2049),"")&lt;&gt;"","артикул",IF(IFERROR(FIND(" CRN",A2049),"")&lt;&gt;"","артикул","")),""),"")</f>
        <v/>
      </c>
      <c r="C2049" s="11" t="str">
        <f t="shared" si="128"/>
        <v/>
      </c>
      <c r="F2049" s="10" t="str">
        <v/>
      </c>
      <c r="G2049" t="e">
        <f t="shared" si="126"/>
        <v>#VALUE!</v>
      </c>
      <c r="H2049" s="13" t="e">
        <f t="shared" si="127"/>
        <v>#VALUE!</v>
      </c>
    </row>
    <row r="2050" spans="2:8">
      <c r="B2050" s="11" t="str">
        <f t="shared" si="129"/>
        <v/>
      </c>
      <c r="C2050" s="11" t="str">
        <f t="shared" si="128"/>
        <v/>
      </c>
      <c r="F2050" s="10" t="str">
        <v/>
      </c>
      <c r="G2050" t="e">
        <f t="shared" ref="G2050:G2113" si="130">CONCATENATE(LEFT(F2050,5),
MID(F2050,
SEARCH("\",SUBSTITUTE(F2050," ","\",LEN(F2050)-LEN(SUBSTITUTE(F2050," ",""))-4)),
SEARCH("\",SUBSTITUTE(F2050," ","\",LEN(F2050)-LEN(SUBSTITUTE(F2050," ",""))-3))-
SEARCH("\",SUBSTITUTE(F2050," ","\",LEN(F2050)-LEN(SUBSTITUTE(F2050," ",""))-4)))*1)</f>
        <v>#VALUE!</v>
      </c>
      <c r="H2050" s="13" t="e">
        <f t="shared" ref="H2050:H2113" si="131">SUBSTITUTE(
RIGHT(F2050,LEN(F2050)-
FIND("\",SUBSTITUTE(F2050," ","\",LEN(F2050)-LEN(SUBSTITUTE(F2050," ",""))))),
".","")</f>
        <v>#VALUE!</v>
      </c>
    </row>
    <row r="2051" spans="2:8">
      <c r="B2051" s="11" t="str">
        <f t="shared" si="129"/>
        <v/>
      </c>
      <c r="C2051" s="11" t="str">
        <f t="shared" si="128"/>
        <v/>
      </c>
      <c r="F2051" s="10" t="str">
        <v/>
      </c>
      <c r="G2051" t="e">
        <f t="shared" si="130"/>
        <v>#VALUE!</v>
      </c>
      <c r="H2051" s="13" t="e">
        <f t="shared" si="131"/>
        <v>#VALUE!</v>
      </c>
    </row>
    <row r="2052" spans="2:8">
      <c r="B2052" s="11" t="str">
        <f t="shared" si="129"/>
        <v/>
      </c>
      <c r="C2052" s="11" t="str">
        <f t="shared" si="128"/>
        <v/>
      </c>
      <c r="F2052" s="10" t="str">
        <v/>
      </c>
      <c r="G2052" t="e">
        <f t="shared" si="130"/>
        <v>#VALUE!</v>
      </c>
      <c r="H2052" s="13" t="e">
        <f t="shared" si="131"/>
        <v>#VALUE!</v>
      </c>
    </row>
    <row r="2053" spans="2:8">
      <c r="B2053" s="11" t="str">
        <f t="shared" si="129"/>
        <v/>
      </c>
      <c r="C2053" s="11" t="str">
        <f t="shared" si="128"/>
        <v/>
      </c>
      <c r="F2053" s="10" t="str">
        <v/>
      </c>
      <c r="G2053" t="e">
        <f t="shared" si="130"/>
        <v>#VALUE!</v>
      </c>
      <c r="H2053" s="13" t="e">
        <f t="shared" si="131"/>
        <v>#VALUE!</v>
      </c>
    </row>
    <row r="2054" spans="2:8">
      <c r="B2054" s="11" t="str">
        <f t="shared" si="129"/>
        <v/>
      </c>
      <c r="C2054" s="11" t="str">
        <f t="shared" si="128"/>
        <v/>
      </c>
      <c r="F2054" s="10" t="str">
        <v/>
      </c>
      <c r="G2054" t="e">
        <f t="shared" si="130"/>
        <v>#VALUE!</v>
      </c>
      <c r="H2054" s="13" t="e">
        <f t="shared" si="131"/>
        <v>#VALUE!</v>
      </c>
    </row>
    <row r="2055" spans="2:8">
      <c r="B2055" s="11" t="str">
        <f t="shared" si="129"/>
        <v/>
      </c>
      <c r="C2055" s="11" t="str">
        <f t="shared" si="128"/>
        <v/>
      </c>
      <c r="F2055" s="10" t="str">
        <v/>
      </c>
      <c r="G2055" t="e">
        <f t="shared" si="130"/>
        <v>#VALUE!</v>
      </c>
      <c r="H2055" s="13" t="e">
        <f t="shared" si="131"/>
        <v>#VALUE!</v>
      </c>
    </row>
    <row r="2056" spans="2:8">
      <c r="B2056" s="11" t="str">
        <f t="shared" si="129"/>
        <v/>
      </c>
      <c r="C2056" s="11" t="str">
        <f t="shared" si="128"/>
        <v/>
      </c>
      <c r="F2056" s="10" t="str">
        <v/>
      </c>
      <c r="G2056" t="e">
        <f t="shared" si="130"/>
        <v>#VALUE!</v>
      </c>
      <c r="H2056" s="13" t="e">
        <f t="shared" si="131"/>
        <v>#VALUE!</v>
      </c>
    </row>
    <row r="2057" spans="2:8">
      <c r="B2057" s="11" t="str">
        <f t="shared" si="129"/>
        <v/>
      </c>
      <c r="C2057" s="11" t="str">
        <f t="shared" si="128"/>
        <v/>
      </c>
      <c r="F2057" s="10" t="str">
        <v/>
      </c>
      <c r="G2057" t="e">
        <f t="shared" si="130"/>
        <v>#VALUE!</v>
      </c>
      <c r="H2057" s="13" t="e">
        <f t="shared" si="131"/>
        <v>#VALUE!</v>
      </c>
    </row>
    <row r="2058" spans="2:8">
      <c r="B2058" s="11" t="str">
        <f t="shared" si="129"/>
        <v/>
      </c>
      <c r="C2058" s="11" t="str">
        <f t="shared" si="128"/>
        <v/>
      </c>
      <c r="F2058" s="10" t="str">
        <v/>
      </c>
      <c r="G2058" t="e">
        <f t="shared" si="130"/>
        <v>#VALUE!</v>
      </c>
      <c r="H2058" s="13" t="e">
        <f t="shared" si="131"/>
        <v>#VALUE!</v>
      </c>
    </row>
    <row r="2059" spans="2:8">
      <c r="B2059" s="11" t="str">
        <f t="shared" si="129"/>
        <v/>
      </c>
      <c r="C2059" s="11" t="str">
        <f t="shared" si="128"/>
        <v/>
      </c>
      <c r="F2059" s="10" t="str">
        <v/>
      </c>
      <c r="G2059" t="e">
        <f t="shared" si="130"/>
        <v>#VALUE!</v>
      </c>
      <c r="H2059" s="13" t="e">
        <f t="shared" si="131"/>
        <v>#VALUE!</v>
      </c>
    </row>
    <row r="2060" spans="2:8">
      <c r="B2060" s="11" t="str">
        <f t="shared" si="129"/>
        <v/>
      </c>
      <c r="C2060" s="11" t="str">
        <f t="shared" si="128"/>
        <v/>
      </c>
      <c r="F2060" s="10" t="str">
        <v/>
      </c>
      <c r="G2060" t="e">
        <f t="shared" si="130"/>
        <v>#VALUE!</v>
      </c>
      <c r="H2060" s="13" t="e">
        <f t="shared" si="131"/>
        <v>#VALUE!</v>
      </c>
    </row>
    <row r="2061" spans="2:8">
      <c r="B2061" s="11" t="str">
        <f t="shared" si="129"/>
        <v/>
      </c>
      <c r="C2061" s="11" t="str">
        <f t="shared" si="128"/>
        <v/>
      </c>
      <c r="F2061" s="10" t="str">
        <v/>
      </c>
      <c r="G2061" t="e">
        <f t="shared" si="130"/>
        <v>#VALUE!</v>
      </c>
      <c r="H2061" s="13" t="e">
        <f t="shared" si="131"/>
        <v>#VALUE!</v>
      </c>
    </row>
    <row r="2062" spans="2:8">
      <c r="B2062" s="11" t="str">
        <f t="shared" si="129"/>
        <v/>
      </c>
      <c r="C2062" s="11" t="str">
        <f t="shared" si="128"/>
        <v/>
      </c>
      <c r="F2062" s="10" t="str">
        <v/>
      </c>
      <c r="G2062" t="e">
        <f t="shared" si="130"/>
        <v>#VALUE!</v>
      </c>
      <c r="H2062" s="13" t="e">
        <f t="shared" si="131"/>
        <v>#VALUE!</v>
      </c>
    </row>
    <row r="2063" spans="2:8">
      <c r="B2063" s="11" t="str">
        <f t="shared" si="129"/>
        <v/>
      </c>
      <c r="C2063" s="11" t="str">
        <f t="shared" si="128"/>
        <v/>
      </c>
      <c r="F2063" s="10" t="str">
        <v/>
      </c>
      <c r="G2063" t="e">
        <f t="shared" si="130"/>
        <v>#VALUE!</v>
      </c>
      <c r="H2063" s="13" t="e">
        <f t="shared" si="131"/>
        <v>#VALUE!</v>
      </c>
    </row>
    <row r="2064" spans="2:8">
      <c r="B2064" s="11" t="str">
        <f t="shared" si="129"/>
        <v/>
      </c>
      <c r="C2064" s="11" t="str">
        <f t="shared" si="128"/>
        <v/>
      </c>
      <c r="F2064" s="10" t="str">
        <v/>
      </c>
      <c r="G2064" t="e">
        <f t="shared" si="130"/>
        <v>#VALUE!</v>
      </c>
      <c r="H2064" s="13" t="e">
        <f t="shared" si="131"/>
        <v>#VALUE!</v>
      </c>
    </row>
    <row r="2065" spans="2:8">
      <c r="B2065" s="11" t="str">
        <f t="shared" si="129"/>
        <v/>
      </c>
      <c r="C2065" s="11" t="str">
        <f t="shared" si="128"/>
        <v/>
      </c>
      <c r="F2065" s="10" t="str">
        <v/>
      </c>
      <c r="G2065" t="e">
        <f t="shared" si="130"/>
        <v>#VALUE!</v>
      </c>
      <c r="H2065" s="13" t="e">
        <f t="shared" si="131"/>
        <v>#VALUE!</v>
      </c>
    </row>
    <row r="2066" spans="2:8">
      <c r="B2066" s="11" t="str">
        <f t="shared" si="129"/>
        <v/>
      </c>
      <c r="C2066" s="11" t="str">
        <f t="shared" si="128"/>
        <v/>
      </c>
      <c r="F2066" s="10" t="str">
        <v/>
      </c>
      <c r="G2066" t="e">
        <f t="shared" si="130"/>
        <v>#VALUE!</v>
      </c>
      <c r="H2066" s="13" t="e">
        <f t="shared" si="131"/>
        <v>#VALUE!</v>
      </c>
    </row>
    <row r="2067" spans="2:8">
      <c r="B2067" s="11" t="str">
        <f t="shared" si="129"/>
        <v/>
      </c>
      <c r="C2067" s="11" t="str">
        <f t="shared" si="128"/>
        <v/>
      </c>
      <c r="F2067" s="10" t="str">
        <v/>
      </c>
      <c r="G2067" t="e">
        <f t="shared" si="130"/>
        <v>#VALUE!</v>
      </c>
      <c r="H2067" s="13" t="e">
        <f t="shared" si="131"/>
        <v>#VALUE!</v>
      </c>
    </row>
    <row r="2068" spans="2:8">
      <c r="B2068" s="11" t="str">
        <f t="shared" si="129"/>
        <v/>
      </c>
      <c r="C2068" s="11" t="str">
        <f t="shared" si="128"/>
        <v/>
      </c>
      <c r="F2068" s="10" t="str">
        <v/>
      </c>
      <c r="G2068" t="e">
        <f t="shared" si="130"/>
        <v>#VALUE!</v>
      </c>
      <c r="H2068" s="13" t="e">
        <f t="shared" si="131"/>
        <v>#VALUE!</v>
      </c>
    </row>
    <row r="2069" spans="2:8">
      <c r="B2069" s="11" t="str">
        <f t="shared" si="129"/>
        <v/>
      </c>
      <c r="C2069" s="11" t="str">
        <f t="shared" si="128"/>
        <v/>
      </c>
      <c r="F2069" s="10" t="str">
        <v/>
      </c>
      <c r="G2069" t="e">
        <f t="shared" si="130"/>
        <v>#VALUE!</v>
      </c>
      <c r="H2069" s="13" t="e">
        <f t="shared" si="131"/>
        <v>#VALUE!</v>
      </c>
    </row>
    <row r="2070" spans="2:8">
      <c r="B2070" s="11" t="str">
        <f t="shared" si="129"/>
        <v/>
      </c>
      <c r="C2070" s="11" t="str">
        <f t="shared" si="128"/>
        <v/>
      </c>
      <c r="F2070" s="10" t="str">
        <v/>
      </c>
      <c r="G2070" t="e">
        <f t="shared" si="130"/>
        <v>#VALUE!</v>
      </c>
      <c r="H2070" s="13" t="e">
        <f t="shared" si="131"/>
        <v>#VALUE!</v>
      </c>
    </row>
    <row r="2071" spans="2:8">
      <c r="B2071" s="11" t="str">
        <f t="shared" si="129"/>
        <v/>
      </c>
      <c r="C2071" s="11" t="str">
        <f t="shared" si="128"/>
        <v/>
      </c>
      <c r="F2071" s="10" t="str">
        <v/>
      </c>
      <c r="G2071" t="e">
        <f t="shared" si="130"/>
        <v>#VALUE!</v>
      </c>
      <c r="H2071" s="13" t="e">
        <f t="shared" si="131"/>
        <v>#VALUE!</v>
      </c>
    </row>
    <row r="2072" spans="2:8">
      <c r="B2072" s="11" t="str">
        <f t="shared" si="129"/>
        <v/>
      </c>
      <c r="C2072" s="11" t="str">
        <f t="shared" si="128"/>
        <v/>
      </c>
      <c r="F2072" s="10" t="str">
        <v/>
      </c>
      <c r="G2072" t="e">
        <f t="shared" si="130"/>
        <v>#VALUE!</v>
      </c>
      <c r="H2072" s="13" t="e">
        <f t="shared" si="131"/>
        <v>#VALUE!</v>
      </c>
    </row>
    <row r="2073" spans="2:8">
      <c r="B2073" s="11" t="str">
        <f t="shared" si="129"/>
        <v/>
      </c>
      <c r="C2073" s="11" t="str">
        <f t="shared" si="128"/>
        <v/>
      </c>
      <c r="F2073" s="10" t="str">
        <v/>
      </c>
      <c r="G2073" t="e">
        <f t="shared" si="130"/>
        <v>#VALUE!</v>
      </c>
      <c r="H2073" s="13" t="e">
        <f t="shared" si="131"/>
        <v>#VALUE!</v>
      </c>
    </row>
    <row r="2074" spans="2:8">
      <c r="B2074" s="11" t="str">
        <f t="shared" si="129"/>
        <v/>
      </c>
      <c r="C2074" s="11" t="str">
        <f t="shared" si="128"/>
        <v/>
      </c>
      <c r="F2074" s="10" t="str">
        <v/>
      </c>
      <c r="G2074" t="e">
        <f t="shared" si="130"/>
        <v>#VALUE!</v>
      </c>
      <c r="H2074" s="13" t="e">
        <f t="shared" si="131"/>
        <v>#VALUE!</v>
      </c>
    </row>
    <row r="2075" spans="2:8">
      <c r="B2075" s="11" t="str">
        <f t="shared" si="129"/>
        <v/>
      </c>
      <c r="C2075" s="11" t="str">
        <f t="shared" si="128"/>
        <v/>
      </c>
      <c r="F2075" s="10" t="str">
        <v/>
      </c>
      <c r="G2075" t="e">
        <f t="shared" si="130"/>
        <v>#VALUE!</v>
      </c>
      <c r="H2075" s="13" t="e">
        <f t="shared" si="131"/>
        <v>#VALUE!</v>
      </c>
    </row>
    <row r="2076" spans="2:8">
      <c r="B2076" s="11" t="str">
        <f t="shared" si="129"/>
        <v/>
      </c>
      <c r="C2076" s="11" t="str">
        <f t="shared" si="128"/>
        <v/>
      </c>
      <c r="F2076" s="10" t="str">
        <v/>
      </c>
      <c r="G2076" t="e">
        <f t="shared" si="130"/>
        <v>#VALUE!</v>
      </c>
      <c r="H2076" s="13" t="e">
        <f t="shared" si="131"/>
        <v>#VALUE!</v>
      </c>
    </row>
    <row r="2077" spans="2:8">
      <c r="B2077" s="11" t="str">
        <f t="shared" si="129"/>
        <v/>
      </c>
      <c r="C2077" s="11" t="str">
        <f t="shared" si="128"/>
        <v/>
      </c>
      <c r="F2077" s="10" t="str">
        <v/>
      </c>
      <c r="G2077" t="e">
        <f t="shared" si="130"/>
        <v>#VALUE!</v>
      </c>
      <c r="H2077" s="13" t="e">
        <f t="shared" si="131"/>
        <v>#VALUE!</v>
      </c>
    </row>
    <row r="2078" spans="2:8">
      <c r="B2078" s="11" t="str">
        <f t="shared" si="129"/>
        <v/>
      </c>
      <c r="C2078" s="11" t="str">
        <f t="shared" si="128"/>
        <v/>
      </c>
      <c r="F2078" s="10" t="str">
        <v/>
      </c>
      <c r="G2078" t="e">
        <f t="shared" si="130"/>
        <v>#VALUE!</v>
      </c>
      <c r="H2078" s="13" t="e">
        <f t="shared" si="131"/>
        <v>#VALUE!</v>
      </c>
    </row>
    <row r="2079" spans="2:8">
      <c r="B2079" s="11" t="str">
        <f t="shared" si="129"/>
        <v/>
      </c>
      <c r="C2079" s="11" t="str">
        <f t="shared" si="128"/>
        <v/>
      </c>
      <c r="F2079" s="10" t="str">
        <v/>
      </c>
      <c r="G2079" t="e">
        <f t="shared" si="130"/>
        <v>#VALUE!</v>
      </c>
      <c r="H2079" s="13" t="e">
        <f t="shared" si="131"/>
        <v>#VALUE!</v>
      </c>
    </row>
    <row r="2080" spans="2:8">
      <c r="B2080" s="11" t="str">
        <f t="shared" si="129"/>
        <v/>
      </c>
      <c r="C2080" s="11" t="str">
        <f t="shared" si="128"/>
        <v/>
      </c>
      <c r="F2080" s="10" t="str">
        <v/>
      </c>
      <c r="G2080" t="e">
        <f t="shared" si="130"/>
        <v>#VALUE!</v>
      </c>
      <c r="H2080" s="13" t="e">
        <f t="shared" si="131"/>
        <v>#VALUE!</v>
      </c>
    </row>
    <row r="2081" spans="2:8">
      <c r="B2081" s="11" t="str">
        <f t="shared" si="129"/>
        <v/>
      </c>
      <c r="C2081" s="11" t="str">
        <f t="shared" si="128"/>
        <v/>
      </c>
      <c r="F2081" s="10" t="str">
        <v/>
      </c>
      <c r="G2081" t="e">
        <f t="shared" si="130"/>
        <v>#VALUE!</v>
      </c>
      <c r="H2081" s="13" t="e">
        <f t="shared" si="131"/>
        <v>#VALUE!</v>
      </c>
    </row>
    <row r="2082" spans="2:8">
      <c r="B2082" s="11" t="str">
        <f t="shared" si="129"/>
        <v/>
      </c>
      <c r="C2082" s="11" t="str">
        <f t="shared" si="128"/>
        <v/>
      </c>
      <c r="F2082" s="10" t="str">
        <v/>
      </c>
      <c r="G2082" t="e">
        <f t="shared" si="130"/>
        <v>#VALUE!</v>
      </c>
      <c r="H2082" s="13" t="e">
        <f t="shared" si="131"/>
        <v>#VALUE!</v>
      </c>
    </row>
    <row r="2083" spans="2:8">
      <c r="B2083" s="11" t="str">
        <f t="shared" si="129"/>
        <v/>
      </c>
      <c r="C2083" s="11" t="str">
        <f t="shared" si="128"/>
        <v/>
      </c>
      <c r="F2083" s="10" t="str">
        <v/>
      </c>
      <c r="G2083" t="e">
        <f t="shared" si="130"/>
        <v>#VALUE!</v>
      </c>
      <c r="H2083" s="13" t="e">
        <f t="shared" si="131"/>
        <v>#VALUE!</v>
      </c>
    </row>
    <row r="2084" spans="2:8">
      <c r="B2084" s="11" t="str">
        <f t="shared" si="129"/>
        <v/>
      </c>
      <c r="C2084" s="11" t="str">
        <f t="shared" si="128"/>
        <v/>
      </c>
      <c r="F2084" s="10" t="str">
        <v/>
      </c>
      <c r="G2084" t="e">
        <f t="shared" si="130"/>
        <v>#VALUE!</v>
      </c>
      <c r="H2084" s="13" t="e">
        <f t="shared" si="131"/>
        <v>#VALUE!</v>
      </c>
    </row>
    <row r="2085" spans="2:8">
      <c r="B2085" s="11" t="str">
        <f t="shared" si="129"/>
        <v/>
      </c>
      <c r="C2085" s="11" t="str">
        <f t="shared" si="128"/>
        <v/>
      </c>
      <c r="F2085" s="10" t="str">
        <v/>
      </c>
      <c r="G2085" t="e">
        <f t="shared" si="130"/>
        <v>#VALUE!</v>
      </c>
      <c r="H2085" s="13" t="e">
        <f t="shared" si="131"/>
        <v>#VALUE!</v>
      </c>
    </row>
    <row r="2086" spans="2:8">
      <c r="B2086" s="11" t="str">
        <f t="shared" si="129"/>
        <v/>
      </c>
      <c r="C2086" s="11" t="str">
        <f t="shared" si="128"/>
        <v/>
      </c>
      <c r="F2086" s="10" t="str">
        <v/>
      </c>
      <c r="G2086" t="e">
        <f t="shared" si="130"/>
        <v>#VALUE!</v>
      </c>
      <c r="H2086" s="13" t="e">
        <f t="shared" si="131"/>
        <v>#VALUE!</v>
      </c>
    </row>
    <row r="2087" spans="2:8">
      <c r="B2087" s="11" t="str">
        <f t="shared" si="129"/>
        <v/>
      </c>
      <c r="C2087" s="11" t="str">
        <f t="shared" si="128"/>
        <v/>
      </c>
      <c r="F2087" s="10" t="str">
        <v/>
      </c>
      <c r="G2087" t="e">
        <f t="shared" si="130"/>
        <v>#VALUE!</v>
      </c>
      <c r="H2087" s="13" t="e">
        <f t="shared" si="131"/>
        <v>#VALUE!</v>
      </c>
    </row>
    <row r="2088" spans="2:8">
      <c r="B2088" s="11" t="str">
        <f t="shared" si="129"/>
        <v/>
      </c>
      <c r="C2088" s="11" t="str">
        <f t="shared" si="128"/>
        <v/>
      </c>
      <c r="F2088" s="10" t="str">
        <v/>
      </c>
      <c r="G2088" t="e">
        <f t="shared" si="130"/>
        <v>#VALUE!</v>
      </c>
      <c r="H2088" s="13" t="e">
        <f t="shared" si="131"/>
        <v>#VALUE!</v>
      </c>
    </row>
    <row r="2089" spans="2:8">
      <c r="B2089" s="11" t="str">
        <f t="shared" si="129"/>
        <v/>
      </c>
      <c r="C2089" s="11" t="str">
        <f t="shared" ref="C2089:C2152" si="132">IF(B2089="артикул",A2089,"")</f>
        <v/>
      </c>
      <c r="F2089" s="10" t="str">
        <v/>
      </c>
      <c r="G2089" t="e">
        <f t="shared" si="130"/>
        <v>#VALUE!</v>
      </c>
      <c r="H2089" s="13" t="e">
        <f t="shared" si="131"/>
        <v>#VALUE!</v>
      </c>
    </row>
    <row r="2090" spans="2:8">
      <c r="B2090" s="11" t="str">
        <f t="shared" si="129"/>
        <v/>
      </c>
      <c r="C2090" s="11" t="str">
        <f t="shared" si="132"/>
        <v/>
      </c>
      <c r="F2090" s="10" t="str">
        <v/>
      </c>
      <c r="G2090" t="e">
        <f t="shared" si="130"/>
        <v>#VALUE!</v>
      </c>
      <c r="H2090" s="13" t="e">
        <f t="shared" si="131"/>
        <v>#VALUE!</v>
      </c>
    </row>
    <row r="2091" spans="2:8">
      <c r="B2091" s="11" t="str">
        <f t="shared" si="129"/>
        <v/>
      </c>
      <c r="C2091" s="11" t="str">
        <f t="shared" si="132"/>
        <v/>
      </c>
      <c r="F2091" s="10" t="str">
        <v/>
      </c>
      <c r="G2091" t="e">
        <f t="shared" si="130"/>
        <v>#VALUE!</v>
      </c>
      <c r="H2091" s="13" t="e">
        <f t="shared" si="131"/>
        <v>#VALUE!</v>
      </c>
    </row>
    <row r="2092" spans="2:8">
      <c r="B2092" s="11" t="str">
        <f t="shared" si="129"/>
        <v/>
      </c>
      <c r="C2092" s="11" t="str">
        <f t="shared" si="132"/>
        <v/>
      </c>
      <c r="F2092" s="10" t="str">
        <v/>
      </c>
      <c r="G2092" t="e">
        <f t="shared" si="130"/>
        <v>#VALUE!</v>
      </c>
      <c r="H2092" s="13" t="e">
        <f t="shared" si="131"/>
        <v>#VALUE!</v>
      </c>
    </row>
    <row r="2093" spans="2:8">
      <c r="B2093" s="11" t="str">
        <f t="shared" si="129"/>
        <v/>
      </c>
      <c r="C2093" s="11" t="str">
        <f t="shared" si="132"/>
        <v/>
      </c>
      <c r="F2093" s="10" t="str">
        <v/>
      </c>
      <c r="G2093" t="e">
        <f t="shared" si="130"/>
        <v>#VALUE!</v>
      </c>
      <c r="H2093" s="13" t="e">
        <f t="shared" si="131"/>
        <v>#VALUE!</v>
      </c>
    </row>
    <row r="2094" spans="2:8">
      <c r="B2094" s="11" t="str">
        <f t="shared" si="129"/>
        <v/>
      </c>
      <c r="C2094" s="11" t="str">
        <f t="shared" si="132"/>
        <v/>
      </c>
      <c r="F2094" s="10" t="str">
        <v/>
      </c>
      <c r="G2094" t="e">
        <f t="shared" si="130"/>
        <v>#VALUE!</v>
      </c>
      <c r="H2094" s="13" t="e">
        <f t="shared" si="131"/>
        <v>#VALUE!</v>
      </c>
    </row>
    <row r="2095" spans="2:8">
      <c r="B2095" s="11" t="str">
        <f t="shared" si="129"/>
        <v/>
      </c>
      <c r="C2095" s="11" t="str">
        <f t="shared" si="132"/>
        <v/>
      </c>
      <c r="F2095" s="10" t="str">
        <v/>
      </c>
      <c r="G2095" t="e">
        <f t="shared" si="130"/>
        <v>#VALUE!</v>
      </c>
      <c r="H2095" s="13" t="e">
        <f t="shared" si="131"/>
        <v>#VALUE!</v>
      </c>
    </row>
    <row r="2096" spans="2:8">
      <c r="B2096" s="11" t="str">
        <f t="shared" si="129"/>
        <v/>
      </c>
      <c r="C2096" s="11" t="str">
        <f t="shared" si="132"/>
        <v/>
      </c>
      <c r="F2096" s="10" t="str">
        <v/>
      </c>
      <c r="G2096" t="e">
        <f t="shared" si="130"/>
        <v>#VALUE!</v>
      </c>
      <c r="H2096" s="13" t="e">
        <f t="shared" si="131"/>
        <v>#VALUE!</v>
      </c>
    </row>
    <row r="2097" spans="2:8">
      <c r="B2097" s="11" t="str">
        <f t="shared" si="129"/>
        <v/>
      </c>
      <c r="C2097" s="11" t="str">
        <f t="shared" si="132"/>
        <v/>
      </c>
      <c r="F2097" s="10" t="str">
        <v/>
      </c>
      <c r="G2097" t="e">
        <f t="shared" si="130"/>
        <v>#VALUE!</v>
      </c>
      <c r="H2097" s="13" t="e">
        <f t="shared" si="131"/>
        <v>#VALUE!</v>
      </c>
    </row>
    <row r="2098" spans="2:8">
      <c r="B2098" s="11" t="str">
        <f t="shared" si="129"/>
        <v/>
      </c>
      <c r="C2098" s="11" t="str">
        <f t="shared" si="132"/>
        <v/>
      </c>
      <c r="F2098" s="10" t="str">
        <v/>
      </c>
      <c r="G2098" t="e">
        <f t="shared" si="130"/>
        <v>#VALUE!</v>
      </c>
      <c r="H2098" s="13" t="e">
        <f t="shared" si="131"/>
        <v>#VALUE!</v>
      </c>
    </row>
    <row r="2099" spans="2:8">
      <c r="B2099" s="11" t="str">
        <f t="shared" si="129"/>
        <v/>
      </c>
      <c r="C2099" s="11" t="str">
        <f t="shared" si="132"/>
        <v/>
      </c>
      <c r="F2099" s="10" t="str">
        <v/>
      </c>
      <c r="G2099" t="e">
        <f t="shared" si="130"/>
        <v>#VALUE!</v>
      </c>
      <c r="H2099" s="13" t="e">
        <f t="shared" si="131"/>
        <v>#VALUE!</v>
      </c>
    </row>
    <row r="2100" spans="2:8">
      <c r="B2100" s="11" t="str">
        <f t="shared" si="129"/>
        <v/>
      </c>
      <c r="C2100" s="11" t="str">
        <f t="shared" si="132"/>
        <v/>
      </c>
      <c r="F2100" s="10" t="str">
        <v/>
      </c>
      <c r="G2100" t="e">
        <f t="shared" si="130"/>
        <v>#VALUE!</v>
      </c>
      <c r="H2100" s="13" t="e">
        <f t="shared" si="131"/>
        <v>#VALUE!</v>
      </c>
    </row>
    <row r="2101" spans="2:8">
      <c r="B2101" s="11" t="str">
        <f t="shared" si="129"/>
        <v/>
      </c>
      <c r="C2101" s="11" t="str">
        <f t="shared" si="132"/>
        <v/>
      </c>
      <c r="F2101" s="10" t="str">
        <v/>
      </c>
      <c r="G2101" t="e">
        <f t="shared" si="130"/>
        <v>#VALUE!</v>
      </c>
      <c r="H2101" s="13" t="e">
        <f t="shared" si="131"/>
        <v>#VALUE!</v>
      </c>
    </row>
    <row r="2102" spans="2:8">
      <c r="B2102" s="11" t="str">
        <f t="shared" si="129"/>
        <v/>
      </c>
      <c r="C2102" s="11" t="str">
        <f t="shared" si="132"/>
        <v/>
      </c>
      <c r="F2102" s="10" t="str">
        <v/>
      </c>
      <c r="G2102" t="e">
        <f t="shared" si="130"/>
        <v>#VALUE!</v>
      </c>
      <c r="H2102" s="13" t="e">
        <f t="shared" si="131"/>
        <v>#VALUE!</v>
      </c>
    </row>
    <row r="2103" spans="2:8">
      <c r="B2103" s="11" t="str">
        <f t="shared" si="129"/>
        <v/>
      </c>
      <c r="C2103" s="11" t="str">
        <f t="shared" si="132"/>
        <v/>
      </c>
      <c r="F2103" s="10" t="str">
        <v/>
      </c>
      <c r="G2103" t="e">
        <f t="shared" si="130"/>
        <v>#VALUE!</v>
      </c>
      <c r="H2103" s="13" t="e">
        <f t="shared" si="131"/>
        <v>#VALUE!</v>
      </c>
    </row>
    <row r="2104" spans="2:8">
      <c r="B2104" s="11" t="str">
        <f t="shared" si="129"/>
        <v/>
      </c>
      <c r="C2104" s="11" t="str">
        <f t="shared" si="132"/>
        <v/>
      </c>
      <c r="F2104" s="10" t="str">
        <v/>
      </c>
      <c r="G2104" t="e">
        <f t="shared" si="130"/>
        <v>#VALUE!</v>
      </c>
      <c r="H2104" s="13" t="e">
        <f t="shared" si="131"/>
        <v>#VALUE!</v>
      </c>
    </row>
    <row r="2105" spans="2:8">
      <c r="B2105" s="11" t="str">
        <f t="shared" si="129"/>
        <v/>
      </c>
      <c r="C2105" s="11" t="str">
        <f t="shared" si="132"/>
        <v/>
      </c>
      <c r="F2105" s="10" t="str">
        <v/>
      </c>
      <c r="G2105" t="e">
        <f t="shared" si="130"/>
        <v>#VALUE!</v>
      </c>
      <c r="H2105" s="13" t="e">
        <f t="shared" si="131"/>
        <v>#VALUE!</v>
      </c>
    </row>
    <row r="2106" spans="2:8">
      <c r="B2106" s="11" t="str">
        <f t="shared" si="129"/>
        <v/>
      </c>
      <c r="C2106" s="11" t="str">
        <f t="shared" si="132"/>
        <v/>
      </c>
      <c r="F2106" s="10" t="str">
        <v/>
      </c>
      <c r="G2106" t="e">
        <f t="shared" si="130"/>
        <v>#VALUE!</v>
      </c>
      <c r="H2106" s="13" t="e">
        <f t="shared" si="131"/>
        <v>#VALUE!</v>
      </c>
    </row>
    <row r="2107" spans="2:8">
      <c r="B2107" s="11" t="str">
        <f t="shared" si="129"/>
        <v/>
      </c>
      <c r="C2107" s="11" t="str">
        <f t="shared" si="132"/>
        <v/>
      </c>
      <c r="F2107" s="10" t="str">
        <v/>
      </c>
      <c r="G2107" t="e">
        <f t="shared" si="130"/>
        <v>#VALUE!</v>
      </c>
      <c r="H2107" s="13" t="e">
        <f t="shared" si="131"/>
        <v>#VALUE!</v>
      </c>
    </row>
    <row r="2108" spans="2:8">
      <c r="B2108" s="11" t="str">
        <f t="shared" si="129"/>
        <v/>
      </c>
      <c r="C2108" s="11" t="str">
        <f t="shared" si="132"/>
        <v/>
      </c>
      <c r="F2108" s="10" t="str">
        <v/>
      </c>
      <c r="G2108" t="e">
        <f t="shared" si="130"/>
        <v>#VALUE!</v>
      </c>
      <c r="H2108" s="13" t="e">
        <f t="shared" si="131"/>
        <v>#VALUE!</v>
      </c>
    </row>
    <row r="2109" spans="2:8">
      <c r="B2109" s="11" t="str">
        <f t="shared" si="129"/>
        <v/>
      </c>
      <c r="C2109" s="11" t="str">
        <f t="shared" si="132"/>
        <v/>
      </c>
      <c r="F2109" s="10" t="str">
        <v/>
      </c>
      <c r="G2109" t="e">
        <f t="shared" si="130"/>
        <v>#VALUE!</v>
      </c>
      <c r="H2109" s="13" t="e">
        <f t="shared" si="131"/>
        <v>#VALUE!</v>
      </c>
    </row>
    <row r="2110" spans="2:8">
      <c r="B2110" s="11" t="str">
        <f t="shared" si="129"/>
        <v/>
      </c>
      <c r="C2110" s="11" t="str">
        <f t="shared" si="132"/>
        <v/>
      </c>
      <c r="F2110" s="10" t="str">
        <v/>
      </c>
      <c r="G2110" t="e">
        <f t="shared" si="130"/>
        <v>#VALUE!</v>
      </c>
      <c r="H2110" s="13" t="e">
        <f t="shared" si="131"/>
        <v>#VALUE!</v>
      </c>
    </row>
    <row r="2111" spans="2:8">
      <c r="B2111" s="11" t="str">
        <f t="shared" si="129"/>
        <v/>
      </c>
      <c r="C2111" s="11" t="str">
        <f t="shared" si="132"/>
        <v/>
      </c>
      <c r="F2111" s="10" t="str">
        <v/>
      </c>
      <c r="G2111" t="e">
        <f t="shared" si="130"/>
        <v>#VALUE!</v>
      </c>
      <c r="H2111" s="13" t="e">
        <f t="shared" si="131"/>
        <v>#VALUE!</v>
      </c>
    </row>
    <row r="2112" spans="2:8">
      <c r="B2112" s="11" t="str">
        <f t="shared" si="129"/>
        <v/>
      </c>
      <c r="C2112" s="11" t="str">
        <f t="shared" si="132"/>
        <v/>
      </c>
      <c r="F2112" s="10" t="str">
        <v/>
      </c>
      <c r="G2112" t="e">
        <f t="shared" si="130"/>
        <v>#VALUE!</v>
      </c>
      <c r="H2112" s="13" t="e">
        <f t="shared" si="131"/>
        <v>#VALUE!</v>
      </c>
    </row>
    <row r="2113" spans="2:8">
      <c r="B2113" s="11" t="str">
        <f t="shared" ref="B2113:B2176" si="133">IFERROR(IF(FIND(" ",A2113)=6,IF(IFERROR(FIND(" PB",A2113),"")&lt;&gt;"","артикул",IF(IFERROR(FIND(" CRN",A2113),"")&lt;&gt;"","артикул","")),""),"")</f>
        <v/>
      </c>
      <c r="C2113" s="11" t="str">
        <f t="shared" si="132"/>
        <v/>
      </c>
      <c r="F2113" s="10" t="str">
        <v/>
      </c>
      <c r="G2113" t="e">
        <f t="shared" si="130"/>
        <v>#VALUE!</v>
      </c>
      <c r="H2113" s="13" t="e">
        <f t="shared" si="131"/>
        <v>#VALUE!</v>
      </c>
    </row>
    <row r="2114" spans="2:8">
      <c r="B2114" s="11" t="str">
        <f t="shared" si="133"/>
        <v/>
      </c>
      <c r="C2114" s="11" t="str">
        <f t="shared" si="132"/>
        <v/>
      </c>
      <c r="F2114" s="10" t="str">
        <v/>
      </c>
      <c r="G2114" t="e">
        <f t="shared" ref="G2114:G2177" si="134">CONCATENATE(LEFT(F2114,5),
MID(F2114,
SEARCH("\",SUBSTITUTE(F2114," ","\",LEN(F2114)-LEN(SUBSTITUTE(F2114," ",""))-4)),
SEARCH("\",SUBSTITUTE(F2114," ","\",LEN(F2114)-LEN(SUBSTITUTE(F2114," ",""))-3))-
SEARCH("\",SUBSTITUTE(F2114," ","\",LEN(F2114)-LEN(SUBSTITUTE(F2114," ",""))-4)))*1)</f>
        <v>#VALUE!</v>
      </c>
      <c r="H2114" s="13" t="e">
        <f t="shared" ref="H2114:H2177" si="135">SUBSTITUTE(
RIGHT(F2114,LEN(F2114)-
FIND("\",SUBSTITUTE(F2114," ","\",LEN(F2114)-LEN(SUBSTITUTE(F2114," ",""))))),
".","")</f>
        <v>#VALUE!</v>
      </c>
    </row>
    <row r="2115" spans="2:8">
      <c r="B2115" s="11" t="str">
        <f t="shared" si="133"/>
        <v/>
      </c>
      <c r="C2115" s="11" t="str">
        <f t="shared" si="132"/>
        <v/>
      </c>
      <c r="F2115" s="10" t="str">
        <v/>
      </c>
      <c r="G2115" t="e">
        <f t="shared" si="134"/>
        <v>#VALUE!</v>
      </c>
      <c r="H2115" s="13" t="e">
        <f t="shared" si="135"/>
        <v>#VALUE!</v>
      </c>
    </row>
    <row r="2116" spans="2:8">
      <c r="B2116" s="11" t="str">
        <f t="shared" si="133"/>
        <v/>
      </c>
      <c r="C2116" s="11" t="str">
        <f t="shared" si="132"/>
        <v/>
      </c>
      <c r="F2116" s="10" t="str">
        <v/>
      </c>
      <c r="G2116" t="e">
        <f t="shared" si="134"/>
        <v>#VALUE!</v>
      </c>
      <c r="H2116" s="13" t="e">
        <f t="shared" si="135"/>
        <v>#VALUE!</v>
      </c>
    </row>
    <row r="2117" spans="2:8">
      <c r="B2117" s="11" t="str">
        <f t="shared" si="133"/>
        <v/>
      </c>
      <c r="C2117" s="11" t="str">
        <f t="shared" si="132"/>
        <v/>
      </c>
      <c r="F2117" s="10" t="str">
        <v/>
      </c>
      <c r="G2117" t="e">
        <f t="shared" si="134"/>
        <v>#VALUE!</v>
      </c>
      <c r="H2117" s="13" t="e">
        <f t="shared" si="135"/>
        <v>#VALUE!</v>
      </c>
    </row>
    <row r="2118" spans="2:8">
      <c r="B2118" s="11" t="str">
        <f t="shared" si="133"/>
        <v/>
      </c>
      <c r="C2118" s="11" t="str">
        <f t="shared" si="132"/>
        <v/>
      </c>
      <c r="F2118" s="10" t="str">
        <v/>
      </c>
      <c r="G2118" t="e">
        <f t="shared" si="134"/>
        <v>#VALUE!</v>
      </c>
      <c r="H2118" s="13" t="e">
        <f t="shared" si="135"/>
        <v>#VALUE!</v>
      </c>
    </row>
    <row r="2119" spans="2:8">
      <c r="B2119" s="11" t="str">
        <f t="shared" si="133"/>
        <v/>
      </c>
      <c r="C2119" s="11" t="str">
        <f t="shared" si="132"/>
        <v/>
      </c>
      <c r="F2119" s="10" t="str">
        <v/>
      </c>
      <c r="G2119" t="e">
        <f t="shared" si="134"/>
        <v>#VALUE!</v>
      </c>
      <c r="H2119" s="13" t="e">
        <f t="shared" si="135"/>
        <v>#VALUE!</v>
      </c>
    </row>
    <row r="2120" spans="2:8">
      <c r="B2120" s="11" t="str">
        <f t="shared" si="133"/>
        <v/>
      </c>
      <c r="C2120" s="11" t="str">
        <f t="shared" si="132"/>
        <v/>
      </c>
      <c r="F2120" s="10" t="str">
        <v/>
      </c>
      <c r="G2120" t="e">
        <f t="shared" si="134"/>
        <v>#VALUE!</v>
      </c>
      <c r="H2120" s="13" t="e">
        <f t="shared" si="135"/>
        <v>#VALUE!</v>
      </c>
    </row>
    <row r="2121" spans="2:8">
      <c r="B2121" s="11" t="str">
        <f t="shared" si="133"/>
        <v/>
      </c>
      <c r="C2121" s="11" t="str">
        <f t="shared" si="132"/>
        <v/>
      </c>
      <c r="F2121" s="10" t="str">
        <v/>
      </c>
      <c r="G2121" t="e">
        <f t="shared" si="134"/>
        <v>#VALUE!</v>
      </c>
      <c r="H2121" s="13" t="e">
        <f t="shared" si="135"/>
        <v>#VALUE!</v>
      </c>
    </row>
    <row r="2122" spans="2:8">
      <c r="B2122" s="11" t="str">
        <f t="shared" si="133"/>
        <v/>
      </c>
      <c r="C2122" s="11" t="str">
        <f t="shared" si="132"/>
        <v/>
      </c>
      <c r="F2122" s="10" t="str">
        <v/>
      </c>
      <c r="G2122" t="e">
        <f t="shared" si="134"/>
        <v>#VALUE!</v>
      </c>
      <c r="H2122" s="13" t="e">
        <f t="shared" si="135"/>
        <v>#VALUE!</v>
      </c>
    </row>
    <row r="2123" spans="2:8">
      <c r="B2123" s="11" t="str">
        <f t="shared" si="133"/>
        <v/>
      </c>
      <c r="C2123" s="11" t="str">
        <f t="shared" si="132"/>
        <v/>
      </c>
      <c r="F2123" s="10" t="str">
        <v/>
      </c>
      <c r="G2123" t="e">
        <f t="shared" si="134"/>
        <v>#VALUE!</v>
      </c>
      <c r="H2123" s="13" t="e">
        <f t="shared" si="135"/>
        <v>#VALUE!</v>
      </c>
    </row>
    <row r="2124" spans="2:8">
      <c r="B2124" s="11" t="str">
        <f t="shared" si="133"/>
        <v/>
      </c>
      <c r="C2124" s="11" t="str">
        <f t="shared" si="132"/>
        <v/>
      </c>
      <c r="F2124" s="10" t="str">
        <v/>
      </c>
      <c r="G2124" t="e">
        <f t="shared" si="134"/>
        <v>#VALUE!</v>
      </c>
      <c r="H2124" s="13" t="e">
        <f t="shared" si="135"/>
        <v>#VALUE!</v>
      </c>
    </row>
    <row r="2125" spans="2:8">
      <c r="B2125" s="11" t="str">
        <f t="shared" si="133"/>
        <v/>
      </c>
      <c r="C2125" s="11" t="str">
        <f t="shared" si="132"/>
        <v/>
      </c>
      <c r="F2125" s="10" t="str">
        <v/>
      </c>
      <c r="G2125" t="e">
        <f t="shared" si="134"/>
        <v>#VALUE!</v>
      </c>
      <c r="H2125" s="13" t="e">
        <f t="shared" si="135"/>
        <v>#VALUE!</v>
      </c>
    </row>
    <row r="2126" spans="2:8">
      <c r="B2126" s="11" t="str">
        <f t="shared" si="133"/>
        <v/>
      </c>
      <c r="C2126" s="11" t="str">
        <f t="shared" si="132"/>
        <v/>
      </c>
      <c r="F2126" s="10" t="str">
        <v/>
      </c>
      <c r="G2126" t="e">
        <f t="shared" si="134"/>
        <v>#VALUE!</v>
      </c>
      <c r="H2126" s="13" t="e">
        <f t="shared" si="135"/>
        <v>#VALUE!</v>
      </c>
    </row>
    <row r="2127" spans="2:8">
      <c r="B2127" s="11" t="str">
        <f t="shared" si="133"/>
        <v/>
      </c>
      <c r="C2127" s="11" t="str">
        <f t="shared" si="132"/>
        <v/>
      </c>
      <c r="F2127" s="10" t="str">
        <v/>
      </c>
      <c r="G2127" t="e">
        <f t="shared" si="134"/>
        <v>#VALUE!</v>
      </c>
      <c r="H2127" s="13" t="e">
        <f t="shared" si="135"/>
        <v>#VALUE!</v>
      </c>
    </row>
    <row r="2128" spans="2:8">
      <c r="B2128" s="11" t="str">
        <f t="shared" si="133"/>
        <v/>
      </c>
      <c r="C2128" s="11" t="str">
        <f t="shared" si="132"/>
        <v/>
      </c>
      <c r="F2128" s="10" t="str">
        <v/>
      </c>
      <c r="G2128" t="e">
        <f t="shared" si="134"/>
        <v>#VALUE!</v>
      </c>
      <c r="H2128" s="13" t="e">
        <f t="shared" si="135"/>
        <v>#VALUE!</v>
      </c>
    </row>
    <row r="2129" spans="2:8">
      <c r="B2129" s="11" t="str">
        <f t="shared" si="133"/>
        <v/>
      </c>
      <c r="C2129" s="11" t="str">
        <f t="shared" si="132"/>
        <v/>
      </c>
      <c r="F2129" s="10" t="str">
        <v/>
      </c>
      <c r="G2129" t="e">
        <f t="shared" si="134"/>
        <v>#VALUE!</v>
      </c>
      <c r="H2129" s="13" t="e">
        <f t="shared" si="135"/>
        <v>#VALUE!</v>
      </c>
    </row>
    <row r="2130" spans="2:8">
      <c r="B2130" s="11" t="str">
        <f t="shared" si="133"/>
        <v/>
      </c>
      <c r="C2130" s="11" t="str">
        <f t="shared" si="132"/>
        <v/>
      </c>
      <c r="F2130" s="10" t="str">
        <v/>
      </c>
      <c r="G2130" t="e">
        <f t="shared" si="134"/>
        <v>#VALUE!</v>
      </c>
      <c r="H2130" s="13" t="e">
        <f t="shared" si="135"/>
        <v>#VALUE!</v>
      </c>
    </row>
    <row r="2131" spans="2:8">
      <c r="B2131" s="11" t="str">
        <f t="shared" si="133"/>
        <v/>
      </c>
      <c r="C2131" s="11" t="str">
        <f t="shared" si="132"/>
        <v/>
      </c>
      <c r="F2131" s="10" t="str">
        <v/>
      </c>
      <c r="G2131" t="e">
        <f t="shared" si="134"/>
        <v>#VALUE!</v>
      </c>
      <c r="H2131" s="13" t="e">
        <f t="shared" si="135"/>
        <v>#VALUE!</v>
      </c>
    </row>
    <row r="2132" spans="2:8">
      <c r="B2132" s="11" t="str">
        <f t="shared" si="133"/>
        <v/>
      </c>
      <c r="C2132" s="11" t="str">
        <f t="shared" si="132"/>
        <v/>
      </c>
      <c r="F2132" s="10" t="str">
        <v/>
      </c>
      <c r="G2132" t="e">
        <f t="shared" si="134"/>
        <v>#VALUE!</v>
      </c>
      <c r="H2132" s="13" t="e">
        <f t="shared" si="135"/>
        <v>#VALUE!</v>
      </c>
    </row>
    <row r="2133" spans="2:8">
      <c r="B2133" s="11" t="str">
        <f t="shared" si="133"/>
        <v/>
      </c>
      <c r="C2133" s="11" t="str">
        <f t="shared" si="132"/>
        <v/>
      </c>
      <c r="F2133" s="10" t="str">
        <v/>
      </c>
      <c r="G2133" t="e">
        <f t="shared" si="134"/>
        <v>#VALUE!</v>
      </c>
      <c r="H2133" s="13" t="e">
        <f t="shared" si="135"/>
        <v>#VALUE!</v>
      </c>
    </row>
    <row r="2134" spans="2:8">
      <c r="B2134" s="11" t="str">
        <f t="shared" si="133"/>
        <v/>
      </c>
      <c r="C2134" s="11" t="str">
        <f t="shared" si="132"/>
        <v/>
      </c>
      <c r="F2134" s="10" t="str">
        <v/>
      </c>
      <c r="G2134" t="e">
        <f t="shared" si="134"/>
        <v>#VALUE!</v>
      </c>
      <c r="H2134" s="13" t="e">
        <f t="shared" si="135"/>
        <v>#VALUE!</v>
      </c>
    </row>
    <row r="2135" spans="2:8">
      <c r="B2135" s="11" t="str">
        <f t="shared" si="133"/>
        <v/>
      </c>
      <c r="C2135" s="11" t="str">
        <f t="shared" si="132"/>
        <v/>
      </c>
      <c r="F2135" s="10" t="str">
        <v/>
      </c>
      <c r="G2135" t="e">
        <f t="shared" si="134"/>
        <v>#VALUE!</v>
      </c>
      <c r="H2135" s="13" t="e">
        <f t="shared" si="135"/>
        <v>#VALUE!</v>
      </c>
    </row>
    <row r="2136" spans="2:8">
      <c r="B2136" s="11" t="str">
        <f t="shared" si="133"/>
        <v/>
      </c>
      <c r="C2136" s="11" t="str">
        <f t="shared" si="132"/>
        <v/>
      </c>
      <c r="F2136" s="10" t="str">
        <v/>
      </c>
      <c r="G2136" t="e">
        <f t="shared" si="134"/>
        <v>#VALUE!</v>
      </c>
      <c r="H2136" s="13" t="e">
        <f t="shared" si="135"/>
        <v>#VALUE!</v>
      </c>
    </row>
    <row r="2137" spans="2:8">
      <c r="B2137" s="11" t="str">
        <f t="shared" si="133"/>
        <v/>
      </c>
      <c r="C2137" s="11" t="str">
        <f t="shared" si="132"/>
        <v/>
      </c>
      <c r="F2137" s="10" t="str">
        <v/>
      </c>
      <c r="G2137" t="e">
        <f t="shared" si="134"/>
        <v>#VALUE!</v>
      </c>
      <c r="H2137" s="13" t="e">
        <f t="shared" si="135"/>
        <v>#VALUE!</v>
      </c>
    </row>
    <row r="2138" spans="2:8">
      <c r="B2138" s="11" t="str">
        <f t="shared" si="133"/>
        <v/>
      </c>
      <c r="C2138" s="11" t="str">
        <f t="shared" si="132"/>
        <v/>
      </c>
      <c r="F2138" s="10" t="str">
        <v/>
      </c>
      <c r="G2138" t="e">
        <f t="shared" si="134"/>
        <v>#VALUE!</v>
      </c>
      <c r="H2138" s="13" t="e">
        <f t="shared" si="135"/>
        <v>#VALUE!</v>
      </c>
    </row>
    <row r="2139" spans="2:8">
      <c r="B2139" s="11" t="str">
        <f t="shared" si="133"/>
        <v/>
      </c>
      <c r="C2139" s="11" t="str">
        <f t="shared" si="132"/>
        <v/>
      </c>
      <c r="F2139" s="10" t="str">
        <v/>
      </c>
      <c r="G2139" t="e">
        <f t="shared" si="134"/>
        <v>#VALUE!</v>
      </c>
      <c r="H2139" s="13" t="e">
        <f t="shared" si="135"/>
        <v>#VALUE!</v>
      </c>
    </row>
    <row r="2140" spans="2:8">
      <c r="B2140" s="11" t="str">
        <f t="shared" si="133"/>
        <v/>
      </c>
      <c r="C2140" s="11" t="str">
        <f t="shared" si="132"/>
        <v/>
      </c>
      <c r="F2140" s="10" t="str">
        <v/>
      </c>
      <c r="G2140" t="e">
        <f t="shared" si="134"/>
        <v>#VALUE!</v>
      </c>
      <c r="H2140" s="13" t="e">
        <f t="shared" si="135"/>
        <v>#VALUE!</v>
      </c>
    </row>
    <row r="2141" spans="2:8">
      <c r="B2141" s="11" t="str">
        <f t="shared" si="133"/>
        <v/>
      </c>
      <c r="C2141" s="11" t="str">
        <f t="shared" si="132"/>
        <v/>
      </c>
      <c r="F2141" s="10" t="str">
        <v/>
      </c>
      <c r="G2141" t="e">
        <f t="shared" si="134"/>
        <v>#VALUE!</v>
      </c>
      <c r="H2141" s="13" t="e">
        <f t="shared" si="135"/>
        <v>#VALUE!</v>
      </c>
    </row>
    <row r="2142" spans="2:8">
      <c r="B2142" s="11" t="str">
        <f t="shared" si="133"/>
        <v/>
      </c>
      <c r="C2142" s="11" t="str">
        <f t="shared" si="132"/>
        <v/>
      </c>
      <c r="F2142" s="10" t="str">
        <v/>
      </c>
      <c r="G2142" t="e">
        <f t="shared" si="134"/>
        <v>#VALUE!</v>
      </c>
      <c r="H2142" s="13" t="e">
        <f t="shared" si="135"/>
        <v>#VALUE!</v>
      </c>
    </row>
    <row r="2143" spans="2:8">
      <c r="B2143" s="11" t="str">
        <f t="shared" si="133"/>
        <v/>
      </c>
      <c r="C2143" s="11" t="str">
        <f t="shared" si="132"/>
        <v/>
      </c>
      <c r="F2143" s="10" t="str">
        <v/>
      </c>
      <c r="G2143" t="e">
        <f t="shared" si="134"/>
        <v>#VALUE!</v>
      </c>
      <c r="H2143" s="13" t="e">
        <f t="shared" si="135"/>
        <v>#VALUE!</v>
      </c>
    </row>
    <row r="2144" spans="2:8">
      <c r="B2144" s="11" t="str">
        <f t="shared" si="133"/>
        <v/>
      </c>
      <c r="C2144" s="11" t="str">
        <f t="shared" si="132"/>
        <v/>
      </c>
      <c r="F2144" s="10" t="str">
        <v/>
      </c>
      <c r="G2144" t="e">
        <f t="shared" si="134"/>
        <v>#VALUE!</v>
      </c>
      <c r="H2144" s="13" t="e">
        <f t="shared" si="135"/>
        <v>#VALUE!</v>
      </c>
    </row>
    <row r="2145" spans="2:8">
      <c r="B2145" s="11" t="str">
        <f t="shared" si="133"/>
        <v/>
      </c>
      <c r="C2145" s="11" t="str">
        <f t="shared" si="132"/>
        <v/>
      </c>
      <c r="F2145" s="10" t="str">
        <v/>
      </c>
      <c r="G2145" t="e">
        <f t="shared" si="134"/>
        <v>#VALUE!</v>
      </c>
      <c r="H2145" s="13" t="e">
        <f t="shared" si="135"/>
        <v>#VALUE!</v>
      </c>
    </row>
    <row r="2146" spans="2:8">
      <c r="B2146" s="11" t="str">
        <f t="shared" si="133"/>
        <v/>
      </c>
      <c r="C2146" s="11" t="str">
        <f t="shared" si="132"/>
        <v/>
      </c>
      <c r="F2146" s="10" t="str">
        <v/>
      </c>
      <c r="G2146" t="e">
        <f t="shared" si="134"/>
        <v>#VALUE!</v>
      </c>
      <c r="H2146" s="13" t="e">
        <f t="shared" si="135"/>
        <v>#VALUE!</v>
      </c>
    </row>
    <row r="2147" spans="2:8">
      <c r="B2147" s="11" t="str">
        <f t="shared" si="133"/>
        <v/>
      </c>
      <c r="C2147" s="11" t="str">
        <f t="shared" si="132"/>
        <v/>
      </c>
      <c r="F2147" s="10" t="str">
        <v/>
      </c>
      <c r="G2147" t="e">
        <f t="shared" si="134"/>
        <v>#VALUE!</v>
      </c>
      <c r="H2147" s="13" t="e">
        <f t="shared" si="135"/>
        <v>#VALUE!</v>
      </c>
    </row>
    <row r="2148" spans="2:8">
      <c r="B2148" s="11" t="str">
        <f t="shared" si="133"/>
        <v/>
      </c>
      <c r="C2148" s="11" t="str">
        <f t="shared" si="132"/>
        <v/>
      </c>
      <c r="F2148" s="10" t="str">
        <v/>
      </c>
      <c r="G2148" t="e">
        <f t="shared" si="134"/>
        <v>#VALUE!</v>
      </c>
      <c r="H2148" s="13" t="e">
        <f t="shared" si="135"/>
        <v>#VALUE!</v>
      </c>
    </row>
    <row r="2149" spans="2:8">
      <c r="B2149" s="11" t="str">
        <f t="shared" si="133"/>
        <v/>
      </c>
      <c r="C2149" s="11" t="str">
        <f t="shared" si="132"/>
        <v/>
      </c>
      <c r="F2149" s="10" t="str">
        <v/>
      </c>
      <c r="G2149" t="e">
        <f t="shared" si="134"/>
        <v>#VALUE!</v>
      </c>
      <c r="H2149" s="13" t="e">
        <f t="shared" si="135"/>
        <v>#VALUE!</v>
      </c>
    </row>
    <row r="2150" spans="2:8">
      <c r="B2150" s="11" t="str">
        <f t="shared" si="133"/>
        <v/>
      </c>
      <c r="C2150" s="11" t="str">
        <f t="shared" si="132"/>
        <v/>
      </c>
      <c r="F2150" s="10" t="str">
        <v/>
      </c>
      <c r="G2150" t="e">
        <f t="shared" si="134"/>
        <v>#VALUE!</v>
      </c>
      <c r="H2150" s="13" t="e">
        <f t="shared" si="135"/>
        <v>#VALUE!</v>
      </c>
    </row>
    <row r="2151" spans="2:8">
      <c r="B2151" s="11" t="str">
        <f t="shared" si="133"/>
        <v/>
      </c>
      <c r="C2151" s="11" t="str">
        <f t="shared" si="132"/>
        <v/>
      </c>
      <c r="F2151" s="10" t="str">
        <v/>
      </c>
      <c r="G2151" t="e">
        <f t="shared" si="134"/>
        <v>#VALUE!</v>
      </c>
      <c r="H2151" s="13" t="e">
        <f t="shared" si="135"/>
        <v>#VALUE!</v>
      </c>
    </row>
    <row r="2152" spans="2:8">
      <c r="B2152" s="11" t="str">
        <f t="shared" si="133"/>
        <v/>
      </c>
      <c r="C2152" s="11" t="str">
        <f t="shared" si="132"/>
        <v/>
      </c>
      <c r="F2152" s="10" t="str">
        <v/>
      </c>
      <c r="G2152" t="e">
        <f t="shared" si="134"/>
        <v>#VALUE!</v>
      </c>
      <c r="H2152" s="13" t="e">
        <f t="shared" si="135"/>
        <v>#VALUE!</v>
      </c>
    </row>
    <row r="2153" spans="2:8">
      <c r="B2153" s="11" t="str">
        <f t="shared" si="133"/>
        <v/>
      </c>
      <c r="C2153" s="11" t="str">
        <f t="shared" ref="C2153:C2216" si="136">IF(B2153="артикул",A2153,"")</f>
        <v/>
      </c>
      <c r="F2153" s="10" t="str">
        <v/>
      </c>
      <c r="G2153" t="e">
        <f t="shared" si="134"/>
        <v>#VALUE!</v>
      </c>
      <c r="H2153" s="13" t="e">
        <f t="shared" si="135"/>
        <v>#VALUE!</v>
      </c>
    </row>
    <row r="2154" spans="2:8">
      <c r="B2154" s="11" t="str">
        <f t="shared" si="133"/>
        <v/>
      </c>
      <c r="C2154" s="11" t="str">
        <f t="shared" si="136"/>
        <v/>
      </c>
      <c r="F2154" s="10" t="str">
        <v/>
      </c>
      <c r="G2154" t="e">
        <f t="shared" si="134"/>
        <v>#VALUE!</v>
      </c>
      <c r="H2154" s="13" t="e">
        <f t="shared" si="135"/>
        <v>#VALUE!</v>
      </c>
    </row>
    <row r="2155" spans="2:8">
      <c r="B2155" s="11" t="str">
        <f t="shared" si="133"/>
        <v/>
      </c>
      <c r="C2155" s="11" t="str">
        <f t="shared" si="136"/>
        <v/>
      </c>
      <c r="F2155" s="10" t="str">
        <v/>
      </c>
      <c r="G2155" t="e">
        <f t="shared" si="134"/>
        <v>#VALUE!</v>
      </c>
      <c r="H2155" s="13" t="e">
        <f t="shared" si="135"/>
        <v>#VALUE!</v>
      </c>
    </row>
    <row r="2156" spans="2:8">
      <c r="B2156" s="11" t="str">
        <f t="shared" si="133"/>
        <v/>
      </c>
      <c r="C2156" s="11" t="str">
        <f t="shared" si="136"/>
        <v/>
      </c>
      <c r="F2156" s="10" t="str">
        <v/>
      </c>
      <c r="G2156" t="e">
        <f t="shared" si="134"/>
        <v>#VALUE!</v>
      </c>
      <c r="H2156" s="13" t="e">
        <f t="shared" si="135"/>
        <v>#VALUE!</v>
      </c>
    </row>
    <row r="2157" spans="2:8">
      <c r="B2157" s="11" t="str">
        <f t="shared" si="133"/>
        <v/>
      </c>
      <c r="C2157" s="11" t="str">
        <f t="shared" si="136"/>
        <v/>
      </c>
      <c r="F2157" s="10" t="str">
        <v/>
      </c>
      <c r="G2157" t="e">
        <f t="shared" si="134"/>
        <v>#VALUE!</v>
      </c>
      <c r="H2157" s="13" t="e">
        <f t="shared" si="135"/>
        <v>#VALUE!</v>
      </c>
    </row>
    <row r="2158" spans="2:8">
      <c r="B2158" s="11" t="str">
        <f t="shared" si="133"/>
        <v/>
      </c>
      <c r="C2158" s="11" t="str">
        <f t="shared" si="136"/>
        <v/>
      </c>
      <c r="F2158" s="10" t="str">
        <v/>
      </c>
      <c r="G2158" t="e">
        <f t="shared" si="134"/>
        <v>#VALUE!</v>
      </c>
      <c r="H2158" s="13" t="e">
        <f t="shared" si="135"/>
        <v>#VALUE!</v>
      </c>
    </row>
    <row r="2159" spans="2:8">
      <c r="B2159" s="11" t="str">
        <f t="shared" si="133"/>
        <v/>
      </c>
      <c r="C2159" s="11" t="str">
        <f t="shared" si="136"/>
        <v/>
      </c>
      <c r="F2159" s="10" t="str">
        <v/>
      </c>
      <c r="G2159" t="e">
        <f t="shared" si="134"/>
        <v>#VALUE!</v>
      </c>
      <c r="H2159" s="13" t="e">
        <f t="shared" si="135"/>
        <v>#VALUE!</v>
      </c>
    </row>
    <row r="2160" spans="2:8">
      <c r="B2160" s="11" t="str">
        <f t="shared" si="133"/>
        <v/>
      </c>
      <c r="C2160" s="11" t="str">
        <f t="shared" si="136"/>
        <v/>
      </c>
      <c r="F2160" s="10" t="str">
        <v/>
      </c>
      <c r="G2160" t="e">
        <f t="shared" si="134"/>
        <v>#VALUE!</v>
      </c>
      <c r="H2160" s="13" t="e">
        <f t="shared" si="135"/>
        <v>#VALUE!</v>
      </c>
    </row>
    <row r="2161" spans="2:8">
      <c r="B2161" s="11" t="str">
        <f t="shared" si="133"/>
        <v/>
      </c>
      <c r="C2161" s="11" t="str">
        <f t="shared" si="136"/>
        <v/>
      </c>
      <c r="F2161" s="10" t="str">
        <v/>
      </c>
      <c r="G2161" t="e">
        <f t="shared" si="134"/>
        <v>#VALUE!</v>
      </c>
      <c r="H2161" s="13" t="e">
        <f t="shared" si="135"/>
        <v>#VALUE!</v>
      </c>
    </row>
    <row r="2162" spans="2:8">
      <c r="B2162" s="11" t="str">
        <f t="shared" si="133"/>
        <v/>
      </c>
      <c r="C2162" s="11" t="str">
        <f t="shared" si="136"/>
        <v/>
      </c>
      <c r="F2162" s="10" t="str">
        <v/>
      </c>
      <c r="G2162" t="e">
        <f t="shared" si="134"/>
        <v>#VALUE!</v>
      </c>
      <c r="H2162" s="13" t="e">
        <f t="shared" si="135"/>
        <v>#VALUE!</v>
      </c>
    </row>
    <row r="2163" spans="2:8">
      <c r="B2163" s="11" t="str">
        <f t="shared" si="133"/>
        <v/>
      </c>
      <c r="C2163" s="11" t="str">
        <f t="shared" si="136"/>
        <v/>
      </c>
      <c r="F2163" s="10" t="str">
        <v/>
      </c>
      <c r="G2163" t="e">
        <f t="shared" si="134"/>
        <v>#VALUE!</v>
      </c>
      <c r="H2163" s="13" t="e">
        <f t="shared" si="135"/>
        <v>#VALUE!</v>
      </c>
    </row>
    <row r="2164" spans="2:8">
      <c r="B2164" s="11" t="str">
        <f t="shared" si="133"/>
        <v/>
      </c>
      <c r="C2164" s="11" t="str">
        <f t="shared" si="136"/>
        <v/>
      </c>
      <c r="F2164" s="10" t="str">
        <v/>
      </c>
      <c r="G2164" t="e">
        <f t="shared" si="134"/>
        <v>#VALUE!</v>
      </c>
      <c r="H2164" s="13" t="e">
        <f t="shared" si="135"/>
        <v>#VALUE!</v>
      </c>
    </row>
    <row r="2165" spans="2:8">
      <c r="B2165" s="11" t="str">
        <f t="shared" si="133"/>
        <v/>
      </c>
      <c r="C2165" s="11" t="str">
        <f t="shared" si="136"/>
        <v/>
      </c>
      <c r="F2165" s="10" t="str">
        <v/>
      </c>
      <c r="G2165" t="e">
        <f t="shared" si="134"/>
        <v>#VALUE!</v>
      </c>
      <c r="H2165" s="13" t="e">
        <f t="shared" si="135"/>
        <v>#VALUE!</v>
      </c>
    </row>
    <row r="2166" spans="2:8">
      <c r="B2166" s="11" t="str">
        <f t="shared" si="133"/>
        <v/>
      </c>
      <c r="C2166" s="11" t="str">
        <f t="shared" si="136"/>
        <v/>
      </c>
      <c r="F2166" s="10" t="str">
        <v/>
      </c>
      <c r="G2166" t="e">
        <f t="shared" si="134"/>
        <v>#VALUE!</v>
      </c>
      <c r="H2166" s="13" t="e">
        <f t="shared" si="135"/>
        <v>#VALUE!</v>
      </c>
    </row>
    <row r="2167" spans="2:8">
      <c r="B2167" s="11" t="str">
        <f t="shared" si="133"/>
        <v/>
      </c>
      <c r="C2167" s="11" t="str">
        <f t="shared" si="136"/>
        <v/>
      </c>
      <c r="F2167" s="10" t="str">
        <v/>
      </c>
      <c r="G2167" t="e">
        <f t="shared" si="134"/>
        <v>#VALUE!</v>
      </c>
      <c r="H2167" s="13" t="e">
        <f t="shared" si="135"/>
        <v>#VALUE!</v>
      </c>
    </row>
    <row r="2168" spans="2:8">
      <c r="B2168" s="11" t="str">
        <f t="shared" si="133"/>
        <v/>
      </c>
      <c r="C2168" s="11" t="str">
        <f t="shared" si="136"/>
        <v/>
      </c>
      <c r="F2168" s="10" t="str">
        <v/>
      </c>
      <c r="G2168" t="e">
        <f t="shared" si="134"/>
        <v>#VALUE!</v>
      </c>
      <c r="H2168" s="13" t="e">
        <f t="shared" si="135"/>
        <v>#VALUE!</v>
      </c>
    </row>
    <row r="2169" spans="2:8">
      <c r="B2169" s="11" t="str">
        <f t="shared" si="133"/>
        <v/>
      </c>
      <c r="C2169" s="11" t="str">
        <f t="shared" si="136"/>
        <v/>
      </c>
      <c r="F2169" s="10" t="str">
        <v/>
      </c>
      <c r="G2169" t="e">
        <f t="shared" si="134"/>
        <v>#VALUE!</v>
      </c>
      <c r="H2169" s="13" t="e">
        <f t="shared" si="135"/>
        <v>#VALUE!</v>
      </c>
    </row>
    <row r="2170" spans="2:8">
      <c r="B2170" s="11" t="str">
        <f t="shared" si="133"/>
        <v/>
      </c>
      <c r="C2170" s="11" t="str">
        <f t="shared" si="136"/>
        <v/>
      </c>
      <c r="F2170" s="10" t="str">
        <v/>
      </c>
      <c r="G2170" t="e">
        <f t="shared" si="134"/>
        <v>#VALUE!</v>
      </c>
      <c r="H2170" s="13" t="e">
        <f t="shared" si="135"/>
        <v>#VALUE!</v>
      </c>
    </row>
    <row r="2171" spans="2:8">
      <c r="B2171" s="11" t="str">
        <f t="shared" si="133"/>
        <v/>
      </c>
      <c r="C2171" s="11" t="str">
        <f t="shared" si="136"/>
        <v/>
      </c>
      <c r="F2171" s="10" t="str">
        <v/>
      </c>
      <c r="G2171" t="e">
        <f t="shared" si="134"/>
        <v>#VALUE!</v>
      </c>
      <c r="H2171" s="13" t="e">
        <f t="shared" si="135"/>
        <v>#VALUE!</v>
      </c>
    </row>
    <row r="2172" spans="2:8">
      <c r="B2172" s="11" t="str">
        <f t="shared" si="133"/>
        <v/>
      </c>
      <c r="C2172" s="11" t="str">
        <f t="shared" si="136"/>
        <v/>
      </c>
      <c r="F2172" s="10" t="str">
        <v/>
      </c>
      <c r="G2172" t="e">
        <f t="shared" si="134"/>
        <v>#VALUE!</v>
      </c>
      <c r="H2172" s="13" t="e">
        <f t="shared" si="135"/>
        <v>#VALUE!</v>
      </c>
    </row>
    <row r="2173" spans="2:8">
      <c r="B2173" s="11" t="str">
        <f t="shared" si="133"/>
        <v/>
      </c>
      <c r="C2173" s="11" t="str">
        <f t="shared" si="136"/>
        <v/>
      </c>
      <c r="F2173" s="10" t="str">
        <v/>
      </c>
      <c r="G2173" t="e">
        <f t="shared" si="134"/>
        <v>#VALUE!</v>
      </c>
      <c r="H2173" s="13" t="e">
        <f t="shared" si="135"/>
        <v>#VALUE!</v>
      </c>
    </row>
    <row r="2174" spans="2:8">
      <c r="B2174" s="11" t="str">
        <f t="shared" si="133"/>
        <v/>
      </c>
      <c r="C2174" s="11" t="str">
        <f t="shared" si="136"/>
        <v/>
      </c>
      <c r="F2174" s="10" t="str">
        <v/>
      </c>
      <c r="G2174" t="e">
        <f t="shared" si="134"/>
        <v>#VALUE!</v>
      </c>
      <c r="H2174" s="13" t="e">
        <f t="shared" si="135"/>
        <v>#VALUE!</v>
      </c>
    </row>
    <row r="2175" spans="2:8">
      <c r="B2175" s="11" t="str">
        <f t="shared" si="133"/>
        <v/>
      </c>
      <c r="C2175" s="11" t="str">
        <f t="shared" si="136"/>
        <v/>
      </c>
      <c r="F2175" s="10" t="str">
        <v/>
      </c>
      <c r="G2175" t="e">
        <f t="shared" si="134"/>
        <v>#VALUE!</v>
      </c>
      <c r="H2175" s="13" t="e">
        <f t="shared" si="135"/>
        <v>#VALUE!</v>
      </c>
    </row>
    <row r="2176" spans="2:8">
      <c r="B2176" s="11" t="str">
        <f t="shared" si="133"/>
        <v/>
      </c>
      <c r="C2176" s="11" t="str">
        <f t="shared" si="136"/>
        <v/>
      </c>
      <c r="F2176" s="10" t="str">
        <v/>
      </c>
      <c r="G2176" t="e">
        <f t="shared" si="134"/>
        <v>#VALUE!</v>
      </c>
      <c r="H2176" s="13" t="e">
        <f t="shared" si="135"/>
        <v>#VALUE!</v>
      </c>
    </row>
    <row r="2177" spans="2:8">
      <c r="B2177" s="11" t="str">
        <f t="shared" ref="B2177:B2240" si="137">IFERROR(IF(FIND(" ",A2177)=6,IF(IFERROR(FIND(" PB",A2177),"")&lt;&gt;"","артикул",IF(IFERROR(FIND(" CRN",A2177),"")&lt;&gt;"","артикул","")),""),"")</f>
        <v/>
      </c>
      <c r="C2177" s="11" t="str">
        <f t="shared" si="136"/>
        <v/>
      </c>
      <c r="F2177" s="10" t="str">
        <v/>
      </c>
      <c r="G2177" t="e">
        <f t="shared" si="134"/>
        <v>#VALUE!</v>
      </c>
      <c r="H2177" s="13" t="e">
        <f t="shared" si="135"/>
        <v>#VALUE!</v>
      </c>
    </row>
    <row r="2178" spans="2:8">
      <c r="B2178" s="11" t="str">
        <f t="shared" si="137"/>
        <v/>
      </c>
      <c r="C2178" s="11" t="str">
        <f t="shared" si="136"/>
        <v/>
      </c>
      <c r="F2178" s="10" t="str">
        <v/>
      </c>
      <c r="G2178" t="e">
        <f t="shared" ref="G2178:G2241" si="138">CONCATENATE(LEFT(F2178,5),
MID(F2178,
SEARCH("\",SUBSTITUTE(F2178," ","\",LEN(F2178)-LEN(SUBSTITUTE(F2178," ",""))-4)),
SEARCH("\",SUBSTITUTE(F2178," ","\",LEN(F2178)-LEN(SUBSTITUTE(F2178," ",""))-3))-
SEARCH("\",SUBSTITUTE(F2178," ","\",LEN(F2178)-LEN(SUBSTITUTE(F2178," ",""))-4)))*1)</f>
        <v>#VALUE!</v>
      </c>
      <c r="H2178" s="13" t="e">
        <f t="shared" ref="H2178:H2241" si="139">SUBSTITUTE(
RIGHT(F2178,LEN(F2178)-
FIND("\",SUBSTITUTE(F2178," ","\",LEN(F2178)-LEN(SUBSTITUTE(F2178," ",""))))),
".","")</f>
        <v>#VALUE!</v>
      </c>
    </row>
    <row r="2179" spans="2:8">
      <c r="B2179" s="11" t="str">
        <f t="shared" si="137"/>
        <v/>
      </c>
      <c r="C2179" s="11" t="str">
        <f t="shared" si="136"/>
        <v/>
      </c>
      <c r="F2179" s="10" t="str">
        <v/>
      </c>
      <c r="G2179" t="e">
        <f t="shared" si="138"/>
        <v>#VALUE!</v>
      </c>
      <c r="H2179" s="13" t="e">
        <f t="shared" si="139"/>
        <v>#VALUE!</v>
      </c>
    </row>
    <row r="2180" spans="2:8">
      <c r="B2180" s="11" t="str">
        <f t="shared" si="137"/>
        <v/>
      </c>
      <c r="C2180" s="11" t="str">
        <f t="shared" si="136"/>
        <v/>
      </c>
      <c r="F2180" s="10" t="str">
        <v/>
      </c>
      <c r="G2180" t="e">
        <f t="shared" si="138"/>
        <v>#VALUE!</v>
      </c>
      <c r="H2180" s="13" t="e">
        <f t="shared" si="139"/>
        <v>#VALUE!</v>
      </c>
    </row>
    <row r="2181" spans="2:8">
      <c r="B2181" s="11" t="str">
        <f t="shared" si="137"/>
        <v/>
      </c>
      <c r="C2181" s="11" t="str">
        <f t="shared" si="136"/>
        <v/>
      </c>
      <c r="F2181" s="10" t="str">
        <v/>
      </c>
      <c r="G2181" t="e">
        <f t="shared" si="138"/>
        <v>#VALUE!</v>
      </c>
      <c r="H2181" s="13" t="e">
        <f t="shared" si="139"/>
        <v>#VALUE!</v>
      </c>
    </row>
    <row r="2182" spans="2:8">
      <c r="B2182" s="11" t="str">
        <f t="shared" si="137"/>
        <v/>
      </c>
      <c r="C2182" s="11" t="str">
        <f t="shared" si="136"/>
        <v/>
      </c>
      <c r="F2182" s="10" t="str">
        <v/>
      </c>
      <c r="G2182" t="e">
        <f t="shared" si="138"/>
        <v>#VALUE!</v>
      </c>
      <c r="H2182" s="13" t="e">
        <f t="shared" si="139"/>
        <v>#VALUE!</v>
      </c>
    </row>
    <row r="2183" spans="2:8">
      <c r="B2183" s="11" t="str">
        <f t="shared" si="137"/>
        <v/>
      </c>
      <c r="C2183" s="11" t="str">
        <f t="shared" si="136"/>
        <v/>
      </c>
      <c r="F2183" s="10" t="str">
        <v/>
      </c>
      <c r="G2183" t="e">
        <f t="shared" si="138"/>
        <v>#VALUE!</v>
      </c>
      <c r="H2183" s="13" t="e">
        <f t="shared" si="139"/>
        <v>#VALUE!</v>
      </c>
    </row>
    <row r="2184" spans="2:8">
      <c r="B2184" s="11" t="str">
        <f t="shared" si="137"/>
        <v/>
      </c>
      <c r="C2184" s="11" t="str">
        <f t="shared" si="136"/>
        <v/>
      </c>
      <c r="F2184" s="10" t="str">
        <v/>
      </c>
      <c r="G2184" t="e">
        <f t="shared" si="138"/>
        <v>#VALUE!</v>
      </c>
      <c r="H2184" s="13" t="e">
        <f t="shared" si="139"/>
        <v>#VALUE!</v>
      </c>
    </row>
    <row r="2185" spans="2:8">
      <c r="B2185" s="11" t="str">
        <f t="shared" si="137"/>
        <v/>
      </c>
      <c r="C2185" s="11" t="str">
        <f t="shared" si="136"/>
        <v/>
      </c>
      <c r="F2185" s="10" t="str">
        <v/>
      </c>
      <c r="G2185" t="e">
        <f t="shared" si="138"/>
        <v>#VALUE!</v>
      </c>
      <c r="H2185" s="13" t="e">
        <f t="shared" si="139"/>
        <v>#VALUE!</v>
      </c>
    </row>
    <row r="2186" spans="2:8">
      <c r="B2186" s="11" t="str">
        <f t="shared" si="137"/>
        <v/>
      </c>
      <c r="C2186" s="11" t="str">
        <f t="shared" si="136"/>
        <v/>
      </c>
      <c r="F2186" s="10" t="str">
        <v/>
      </c>
      <c r="G2186" t="e">
        <f t="shared" si="138"/>
        <v>#VALUE!</v>
      </c>
      <c r="H2186" s="13" t="e">
        <f t="shared" si="139"/>
        <v>#VALUE!</v>
      </c>
    </row>
    <row r="2187" spans="2:8">
      <c r="B2187" s="11" t="str">
        <f t="shared" si="137"/>
        <v/>
      </c>
      <c r="C2187" s="11" t="str">
        <f t="shared" si="136"/>
        <v/>
      </c>
      <c r="F2187" s="10" t="str">
        <v/>
      </c>
      <c r="G2187" t="e">
        <f t="shared" si="138"/>
        <v>#VALUE!</v>
      </c>
      <c r="H2187" s="13" t="e">
        <f t="shared" si="139"/>
        <v>#VALUE!</v>
      </c>
    </row>
    <row r="2188" spans="2:8">
      <c r="B2188" s="11" t="str">
        <f t="shared" si="137"/>
        <v/>
      </c>
      <c r="C2188" s="11" t="str">
        <f t="shared" si="136"/>
        <v/>
      </c>
      <c r="F2188" s="10" t="str">
        <v/>
      </c>
      <c r="G2188" t="e">
        <f t="shared" si="138"/>
        <v>#VALUE!</v>
      </c>
      <c r="H2188" s="13" t="e">
        <f t="shared" si="139"/>
        <v>#VALUE!</v>
      </c>
    </row>
    <row r="2189" spans="2:8">
      <c r="B2189" s="11" t="str">
        <f t="shared" si="137"/>
        <v/>
      </c>
      <c r="C2189" s="11" t="str">
        <f t="shared" si="136"/>
        <v/>
      </c>
      <c r="F2189" s="10" t="str">
        <v/>
      </c>
      <c r="G2189" t="e">
        <f t="shared" si="138"/>
        <v>#VALUE!</v>
      </c>
      <c r="H2189" s="13" t="e">
        <f t="shared" si="139"/>
        <v>#VALUE!</v>
      </c>
    </row>
    <row r="2190" spans="2:8">
      <c r="B2190" s="11" t="str">
        <f t="shared" si="137"/>
        <v/>
      </c>
      <c r="C2190" s="11" t="str">
        <f t="shared" si="136"/>
        <v/>
      </c>
      <c r="F2190" s="10" t="str">
        <v/>
      </c>
      <c r="G2190" t="e">
        <f t="shared" si="138"/>
        <v>#VALUE!</v>
      </c>
      <c r="H2190" s="13" t="e">
        <f t="shared" si="139"/>
        <v>#VALUE!</v>
      </c>
    </row>
    <row r="2191" spans="2:8">
      <c r="B2191" s="11" t="str">
        <f t="shared" si="137"/>
        <v/>
      </c>
      <c r="C2191" s="11" t="str">
        <f t="shared" si="136"/>
        <v/>
      </c>
      <c r="F2191" s="10" t="str">
        <v/>
      </c>
      <c r="G2191" t="e">
        <f t="shared" si="138"/>
        <v>#VALUE!</v>
      </c>
      <c r="H2191" s="13" t="e">
        <f t="shared" si="139"/>
        <v>#VALUE!</v>
      </c>
    </row>
    <row r="2192" spans="2:8">
      <c r="B2192" s="11" t="str">
        <f t="shared" si="137"/>
        <v/>
      </c>
      <c r="C2192" s="11" t="str">
        <f t="shared" si="136"/>
        <v/>
      </c>
      <c r="F2192" s="10" t="str">
        <v/>
      </c>
      <c r="G2192" t="e">
        <f t="shared" si="138"/>
        <v>#VALUE!</v>
      </c>
      <c r="H2192" s="13" t="e">
        <f t="shared" si="139"/>
        <v>#VALUE!</v>
      </c>
    </row>
    <row r="2193" spans="2:8">
      <c r="B2193" s="11" t="str">
        <f t="shared" si="137"/>
        <v/>
      </c>
      <c r="C2193" s="11" t="str">
        <f t="shared" si="136"/>
        <v/>
      </c>
      <c r="F2193" s="10" t="str">
        <v/>
      </c>
      <c r="G2193" t="e">
        <f t="shared" si="138"/>
        <v>#VALUE!</v>
      </c>
      <c r="H2193" s="13" t="e">
        <f t="shared" si="139"/>
        <v>#VALUE!</v>
      </c>
    </row>
    <row r="2194" spans="2:8">
      <c r="B2194" s="11" t="str">
        <f t="shared" si="137"/>
        <v/>
      </c>
      <c r="C2194" s="11" t="str">
        <f t="shared" si="136"/>
        <v/>
      </c>
      <c r="F2194" s="10" t="str">
        <v/>
      </c>
      <c r="G2194" t="e">
        <f t="shared" si="138"/>
        <v>#VALUE!</v>
      </c>
      <c r="H2194" s="13" t="e">
        <f t="shared" si="139"/>
        <v>#VALUE!</v>
      </c>
    </row>
    <row r="2195" spans="2:8">
      <c r="B2195" s="11" t="str">
        <f t="shared" si="137"/>
        <v/>
      </c>
      <c r="C2195" s="11" t="str">
        <f t="shared" si="136"/>
        <v/>
      </c>
      <c r="F2195" s="10" t="str">
        <v/>
      </c>
      <c r="G2195" t="e">
        <f t="shared" si="138"/>
        <v>#VALUE!</v>
      </c>
      <c r="H2195" s="13" t="e">
        <f t="shared" si="139"/>
        <v>#VALUE!</v>
      </c>
    </row>
    <row r="2196" spans="2:8">
      <c r="B2196" s="11" t="str">
        <f t="shared" si="137"/>
        <v/>
      </c>
      <c r="C2196" s="11" t="str">
        <f t="shared" si="136"/>
        <v/>
      </c>
      <c r="F2196" s="10" t="str">
        <v/>
      </c>
      <c r="G2196" t="e">
        <f t="shared" si="138"/>
        <v>#VALUE!</v>
      </c>
      <c r="H2196" s="13" t="e">
        <f t="shared" si="139"/>
        <v>#VALUE!</v>
      </c>
    </row>
    <row r="2197" spans="2:8">
      <c r="B2197" s="11" t="str">
        <f t="shared" si="137"/>
        <v/>
      </c>
      <c r="C2197" s="11" t="str">
        <f t="shared" si="136"/>
        <v/>
      </c>
      <c r="F2197" s="10" t="str">
        <v/>
      </c>
      <c r="G2197" t="e">
        <f t="shared" si="138"/>
        <v>#VALUE!</v>
      </c>
      <c r="H2197" s="13" t="e">
        <f t="shared" si="139"/>
        <v>#VALUE!</v>
      </c>
    </row>
    <row r="2198" spans="2:8">
      <c r="B2198" s="11" t="str">
        <f t="shared" si="137"/>
        <v/>
      </c>
      <c r="C2198" s="11" t="str">
        <f t="shared" si="136"/>
        <v/>
      </c>
      <c r="F2198" s="10" t="str">
        <v/>
      </c>
      <c r="G2198" t="e">
        <f t="shared" si="138"/>
        <v>#VALUE!</v>
      </c>
      <c r="H2198" s="13" t="e">
        <f t="shared" si="139"/>
        <v>#VALUE!</v>
      </c>
    </row>
    <row r="2199" spans="2:8">
      <c r="B2199" s="11" t="str">
        <f t="shared" si="137"/>
        <v/>
      </c>
      <c r="C2199" s="11" t="str">
        <f t="shared" si="136"/>
        <v/>
      </c>
      <c r="F2199" s="10" t="str">
        <v/>
      </c>
      <c r="G2199" t="e">
        <f t="shared" si="138"/>
        <v>#VALUE!</v>
      </c>
      <c r="H2199" s="13" t="e">
        <f t="shared" si="139"/>
        <v>#VALUE!</v>
      </c>
    </row>
    <row r="2200" spans="2:8">
      <c r="B2200" s="11" t="str">
        <f t="shared" si="137"/>
        <v/>
      </c>
      <c r="C2200" s="11" t="str">
        <f t="shared" si="136"/>
        <v/>
      </c>
      <c r="F2200" s="10" t="str">
        <v/>
      </c>
      <c r="G2200" t="e">
        <f t="shared" si="138"/>
        <v>#VALUE!</v>
      </c>
      <c r="H2200" s="13" t="e">
        <f t="shared" si="139"/>
        <v>#VALUE!</v>
      </c>
    </row>
    <row r="2201" spans="2:8">
      <c r="B2201" s="11" t="str">
        <f t="shared" si="137"/>
        <v/>
      </c>
      <c r="C2201" s="11" t="str">
        <f t="shared" si="136"/>
        <v/>
      </c>
      <c r="F2201" s="10" t="str">
        <v/>
      </c>
      <c r="G2201" t="e">
        <f t="shared" si="138"/>
        <v>#VALUE!</v>
      </c>
      <c r="H2201" s="13" t="e">
        <f t="shared" si="139"/>
        <v>#VALUE!</v>
      </c>
    </row>
    <row r="2202" spans="2:8">
      <c r="B2202" s="11" t="str">
        <f t="shared" si="137"/>
        <v/>
      </c>
      <c r="C2202" s="11" t="str">
        <f t="shared" si="136"/>
        <v/>
      </c>
      <c r="F2202" s="10" t="str">
        <v/>
      </c>
      <c r="G2202" t="e">
        <f t="shared" si="138"/>
        <v>#VALUE!</v>
      </c>
      <c r="H2202" s="13" t="e">
        <f t="shared" si="139"/>
        <v>#VALUE!</v>
      </c>
    </row>
    <row r="2203" spans="2:8">
      <c r="B2203" s="11" t="str">
        <f t="shared" si="137"/>
        <v/>
      </c>
      <c r="C2203" s="11" t="str">
        <f t="shared" si="136"/>
        <v/>
      </c>
      <c r="F2203" s="10" t="str">
        <v/>
      </c>
      <c r="G2203" t="e">
        <f t="shared" si="138"/>
        <v>#VALUE!</v>
      </c>
      <c r="H2203" s="13" t="e">
        <f t="shared" si="139"/>
        <v>#VALUE!</v>
      </c>
    </row>
    <row r="2204" spans="2:8">
      <c r="B2204" s="11" t="str">
        <f t="shared" si="137"/>
        <v/>
      </c>
      <c r="C2204" s="11" t="str">
        <f t="shared" si="136"/>
        <v/>
      </c>
      <c r="F2204" s="10" t="str">
        <v/>
      </c>
      <c r="G2204" t="e">
        <f t="shared" si="138"/>
        <v>#VALUE!</v>
      </c>
      <c r="H2204" s="13" t="e">
        <f t="shared" si="139"/>
        <v>#VALUE!</v>
      </c>
    </row>
    <row r="2205" spans="2:8">
      <c r="B2205" s="11" t="str">
        <f t="shared" si="137"/>
        <v/>
      </c>
      <c r="C2205" s="11" t="str">
        <f t="shared" si="136"/>
        <v/>
      </c>
      <c r="F2205" s="10" t="str">
        <v/>
      </c>
      <c r="G2205" t="e">
        <f t="shared" si="138"/>
        <v>#VALUE!</v>
      </c>
      <c r="H2205" s="13" t="e">
        <f t="shared" si="139"/>
        <v>#VALUE!</v>
      </c>
    </row>
    <row r="2206" spans="2:8">
      <c r="B2206" s="11" t="str">
        <f t="shared" si="137"/>
        <v/>
      </c>
      <c r="C2206" s="11" t="str">
        <f t="shared" si="136"/>
        <v/>
      </c>
      <c r="F2206" s="10" t="str">
        <v/>
      </c>
      <c r="G2206" t="e">
        <f t="shared" si="138"/>
        <v>#VALUE!</v>
      </c>
      <c r="H2206" s="13" t="e">
        <f t="shared" si="139"/>
        <v>#VALUE!</v>
      </c>
    </row>
    <row r="2207" spans="2:8">
      <c r="B2207" s="11" t="str">
        <f t="shared" si="137"/>
        <v/>
      </c>
      <c r="C2207" s="11" t="str">
        <f t="shared" si="136"/>
        <v/>
      </c>
      <c r="F2207" s="10" t="str">
        <v/>
      </c>
      <c r="G2207" t="e">
        <f t="shared" si="138"/>
        <v>#VALUE!</v>
      </c>
      <c r="H2207" s="13" t="e">
        <f t="shared" si="139"/>
        <v>#VALUE!</v>
      </c>
    </row>
    <row r="2208" spans="2:8">
      <c r="B2208" s="11" t="str">
        <f t="shared" si="137"/>
        <v/>
      </c>
      <c r="C2208" s="11" t="str">
        <f t="shared" si="136"/>
        <v/>
      </c>
      <c r="F2208" s="10" t="str">
        <v/>
      </c>
      <c r="G2208" t="e">
        <f t="shared" si="138"/>
        <v>#VALUE!</v>
      </c>
      <c r="H2208" s="13" t="e">
        <f t="shared" si="139"/>
        <v>#VALUE!</v>
      </c>
    </row>
    <row r="2209" spans="2:8">
      <c r="B2209" s="11" t="str">
        <f t="shared" si="137"/>
        <v/>
      </c>
      <c r="C2209" s="11" t="str">
        <f t="shared" si="136"/>
        <v/>
      </c>
      <c r="F2209" s="10" t="str">
        <v/>
      </c>
      <c r="G2209" t="e">
        <f t="shared" si="138"/>
        <v>#VALUE!</v>
      </c>
      <c r="H2209" s="13" t="e">
        <f t="shared" si="139"/>
        <v>#VALUE!</v>
      </c>
    </row>
    <row r="2210" spans="2:8">
      <c r="B2210" s="11" t="str">
        <f t="shared" si="137"/>
        <v/>
      </c>
      <c r="C2210" s="11" t="str">
        <f t="shared" si="136"/>
        <v/>
      </c>
      <c r="F2210" s="10" t="str">
        <v/>
      </c>
      <c r="G2210" t="e">
        <f t="shared" si="138"/>
        <v>#VALUE!</v>
      </c>
      <c r="H2210" s="13" t="e">
        <f t="shared" si="139"/>
        <v>#VALUE!</v>
      </c>
    </row>
    <row r="2211" spans="2:8">
      <c r="B2211" s="11" t="str">
        <f t="shared" si="137"/>
        <v/>
      </c>
      <c r="C2211" s="11" t="str">
        <f t="shared" si="136"/>
        <v/>
      </c>
      <c r="F2211" s="10" t="str">
        <v/>
      </c>
      <c r="G2211" t="e">
        <f t="shared" si="138"/>
        <v>#VALUE!</v>
      </c>
      <c r="H2211" s="13" t="e">
        <f t="shared" si="139"/>
        <v>#VALUE!</v>
      </c>
    </row>
    <row r="2212" spans="2:8">
      <c r="B2212" s="11" t="str">
        <f t="shared" si="137"/>
        <v/>
      </c>
      <c r="C2212" s="11" t="str">
        <f t="shared" si="136"/>
        <v/>
      </c>
      <c r="F2212" s="10" t="str">
        <v/>
      </c>
      <c r="G2212" t="e">
        <f t="shared" si="138"/>
        <v>#VALUE!</v>
      </c>
      <c r="H2212" s="13" t="e">
        <f t="shared" si="139"/>
        <v>#VALUE!</v>
      </c>
    </row>
    <row r="2213" spans="2:8">
      <c r="B2213" s="11" t="str">
        <f t="shared" si="137"/>
        <v/>
      </c>
      <c r="C2213" s="11" t="str">
        <f t="shared" si="136"/>
        <v/>
      </c>
      <c r="F2213" s="10" t="str">
        <v/>
      </c>
      <c r="G2213" t="e">
        <f t="shared" si="138"/>
        <v>#VALUE!</v>
      </c>
      <c r="H2213" s="13" t="e">
        <f t="shared" si="139"/>
        <v>#VALUE!</v>
      </c>
    </row>
    <row r="2214" spans="2:8">
      <c r="B2214" s="11" t="str">
        <f t="shared" si="137"/>
        <v/>
      </c>
      <c r="C2214" s="11" t="str">
        <f t="shared" si="136"/>
        <v/>
      </c>
      <c r="F2214" s="10" t="str">
        <v/>
      </c>
      <c r="G2214" t="e">
        <f t="shared" si="138"/>
        <v>#VALUE!</v>
      </c>
      <c r="H2214" s="13" t="e">
        <f t="shared" si="139"/>
        <v>#VALUE!</v>
      </c>
    </row>
    <row r="2215" spans="2:8">
      <c r="B2215" s="11" t="str">
        <f t="shared" si="137"/>
        <v/>
      </c>
      <c r="C2215" s="11" t="str">
        <f t="shared" si="136"/>
        <v/>
      </c>
      <c r="F2215" s="10" t="str">
        <v/>
      </c>
      <c r="G2215" t="e">
        <f t="shared" si="138"/>
        <v>#VALUE!</v>
      </c>
      <c r="H2215" s="13" t="e">
        <f t="shared" si="139"/>
        <v>#VALUE!</v>
      </c>
    </row>
    <row r="2216" spans="2:8">
      <c r="B2216" s="11" t="str">
        <f t="shared" si="137"/>
        <v/>
      </c>
      <c r="C2216" s="11" t="str">
        <f t="shared" si="136"/>
        <v/>
      </c>
      <c r="F2216" s="10" t="str">
        <v/>
      </c>
      <c r="G2216" t="e">
        <f t="shared" si="138"/>
        <v>#VALUE!</v>
      </c>
      <c r="H2216" s="13" t="e">
        <f t="shared" si="139"/>
        <v>#VALUE!</v>
      </c>
    </row>
    <row r="2217" spans="2:8">
      <c r="B2217" s="11" t="str">
        <f t="shared" si="137"/>
        <v/>
      </c>
      <c r="C2217" s="11" t="str">
        <f t="shared" ref="C2217:C2280" si="140">IF(B2217="артикул",A2217,"")</f>
        <v/>
      </c>
      <c r="F2217" s="10" t="str">
        <v/>
      </c>
      <c r="G2217" t="e">
        <f t="shared" si="138"/>
        <v>#VALUE!</v>
      </c>
      <c r="H2217" s="13" t="e">
        <f t="shared" si="139"/>
        <v>#VALUE!</v>
      </c>
    </row>
    <row r="2218" spans="2:8">
      <c r="B2218" s="11" t="str">
        <f t="shared" si="137"/>
        <v/>
      </c>
      <c r="C2218" s="11" t="str">
        <f t="shared" si="140"/>
        <v/>
      </c>
      <c r="F2218" s="10" t="str">
        <v/>
      </c>
      <c r="G2218" t="e">
        <f t="shared" si="138"/>
        <v>#VALUE!</v>
      </c>
      <c r="H2218" s="13" t="e">
        <f t="shared" si="139"/>
        <v>#VALUE!</v>
      </c>
    </row>
    <row r="2219" spans="2:8">
      <c r="B2219" s="11" t="str">
        <f t="shared" si="137"/>
        <v/>
      </c>
      <c r="C2219" s="11" t="str">
        <f t="shared" si="140"/>
        <v/>
      </c>
      <c r="F2219" s="10" t="str">
        <v/>
      </c>
      <c r="G2219" t="e">
        <f t="shared" si="138"/>
        <v>#VALUE!</v>
      </c>
      <c r="H2219" s="13" t="e">
        <f t="shared" si="139"/>
        <v>#VALUE!</v>
      </c>
    </row>
    <row r="2220" spans="2:8">
      <c r="B2220" s="11" t="str">
        <f t="shared" si="137"/>
        <v/>
      </c>
      <c r="C2220" s="11" t="str">
        <f t="shared" si="140"/>
        <v/>
      </c>
      <c r="F2220" s="10" t="str">
        <v/>
      </c>
      <c r="G2220" t="e">
        <f t="shared" si="138"/>
        <v>#VALUE!</v>
      </c>
      <c r="H2220" s="13" t="e">
        <f t="shared" si="139"/>
        <v>#VALUE!</v>
      </c>
    </row>
    <row r="2221" spans="2:8">
      <c r="B2221" s="11" t="str">
        <f t="shared" si="137"/>
        <v/>
      </c>
      <c r="C2221" s="11" t="str">
        <f t="shared" si="140"/>
        <v/>
      </c>
      <c r="F2221" s="10" t="str">
        <v/>
      </c>
      <c r="G2221" t="e">
        <f t="shared" si="138"/>
        <v>#VALUE!</v>
      </c>
      <c r="H2221" s="13" t="e">
        <f t="shared" si="139"/>
        <v>#VALUE!</v>
      </c>
    </row>
    <row r="2222" spans="2:8">
      <c r="B2222" s="11" t="str">
        <f t="shared" si="137"/>
        <v/>
      </c>
      <c r="C2222" s="11" t="str">
        <f t="shared" si="140"/>
        <v/>
      </c>
      <c r="F2222" s="10" t="str">
        <v/>
      </c>
      <c r="G2222" t="e">
        <f t="shared" si="138"/>
        <v>#VALUE!</v>
      </c>
      <c r="H2222" s="13" t="e">
        <f t="shared" si="139"/>
        <v>#VALUE!</v>
      </c>
    </row>
    <row r="2223" spans="2:8">
      <c r="B2223" s="11" t="str">
        <f t="shared" si="137"/>
        <v/>
      </c>
      <c r="C2223" s="11" t="str">
        <f t="shared" si="140"/>
        <v/>
      </c>
      <c r="F2223" s="10" t="str">
        <v/>
      </c>
      <c r="G2223" t="e">
        <f t="shared" si="138"/>
        <v>#VALUE!</v>
      </c>
      <c r="H2223" s="13" t="e">
        <f t="shared" si="139"/>
        <v>#VALUE!</v>
      </c>
    </row>
    <row r="2224" spans="2:8">
      <c r="B2224" s="11" t="str">
        <f t="shared" si="137"/>
        <v/>
      </c>
      <c r="C2224" s="11" t="str">
        <f t="shared" si="140"/>
        <v/>
      </c>
      <c r="F2224" s="10" t="str">
        <v/>
      </c>
      <c r="G2224" t="e">
        <f t="shared" si="138"/>
        <v>#VALUE!</v>
      </c>
      <c r="H2224" s="13" t="e">
        <f t="shared" si="139"/>
        <v>#VALUE!</v>
      </c>
    </row>
    <row r="2225" spans="2:8">
      <c r="B2225" s="11" t="str">
        <f t="shared" si="137"/>
        <v/>
      </c>
      <c r="C2225" s="11" t="str">
        <f t="shared" si="140"/>
        <v/>
      </c>
      <c r="F2225" s="10" t="str">
        <v/>
      </c>
      <c r="G2225" t="e">
        <f t="shared" si="138"/>
        <v>#VALUE!</v>
      </c>
      <c r="H2225" s="13" t="e">
        <f t="shared" si="139"/>
        <v>#VALUE!</v>
      </c>
    </row>
    <row r="2226" spans="2:8">
      <c r="B2226" s="11" t="str">
        <f t="shared" si="137"/>
        <v/>
      </c>
      <c r="C2226" s="11" t="str">
        <f t="shared" si="140"/>
        <v/>
      </c>
      <c r="F2226" s="10" t="str">
        <v/>
      </c>
      <c r="G2226" t="e">
        <f t="shared" si="138"/>
        <v>#VALUE!</v>
      </c>
      <c r="H2226" s="13" t="e">
        <f t="shared" si="139"/>
        <v>#VALUE!</v>
      </c>
    </row>
    <row r="2227" spans="2:8">
      <c r="B2227" s="11" t="str">
        <f t="shared" si="137"/>
        <v/>
      </c>
      <c r="C2227" s="11" t="str">
        <f t="shared" si="140"/>
        <v/>
      </c>
      <c r="F2227" s="10" t="str">
        <v/>
      </c>
      <c r="G2227" t="e">
        <f t="shared" si="138"/>
        <v>#VALUE!</v>
      </c>
      <c r="H2227" s="13" t="e">
        <f t="shared" si="139"/>
        <v>#VALUE!</v>
      </c>
    </row>
    <row r="2228" spans="2:8">
      <c r="B2228" s="11" t="str">
        <f t="shared" si="137"/>
        <v/>
      </c>
      <c r="C2228" s="11" t="str">
        <f t="shared" si="140"/>
        <v/>
      </c>
      <c r="F2228" s="10" t="str">
        <v/>
      </c>
      <c r="G2228" t="e">
        <f t="shared" si="138"/>
        <v>#VALUE!</v>
      </c>
      <c r="H2228" s="13" t="e">
        <f t="shared" si="139"/>
        <v>#VALUE!</v>
      </c>
    </row>
    <row r="2229" spans="2:8">
      <c r="B2229" s="11" t="str">
        <f t="shared" si="137"/>
        <v/>
      </c>
      <c r="C2229" s="11" t="str">
        <f t="shared" si="140"/>
        <v/>
      </c>
      <c r="F2229" s="10" t="str">
        <v/>
      </c>
      <c r="G2229" t="e">
        <f t="shared" si="138"/>
        <v>#VALUE!</v>
      </c>
      <c r="H2229" s="13" t="e">
        <f t="shared" si="139"/>
        <v>#VALUE!</v>
      </c>
    </row>
    <row r="2230" spans="2:8">
      <c r="B2230" s="11" t="str">
        <f t="shared" si="137"/>
        <v/>
      </c>
      <c r="C2230" s="11" t="str">
        <f t="shared" si="140"/>
        <v/>
      </c>
      <c r="F2230" s="10" t="str">
        <v/>
      </c>
      <c r="G2230" t="e">
        <f t="shared" si="138"/>
        <v>#VALUE!</v>
      </c>
      <c r="H2230" s="13" t="e">
        <f t="shared" si="139"/>
        <v>#VALUE!</v>
      </c>
    </row>
    <row r="2231" spans="2:8">
      <c r="B2231" s="11" t="str">
        <f t="shared" si="137"/>
        <v/>
      </c>
      <c r="C2231" s="11" t="str">
        <f t="shared" si="140"/>
        <v/>
      </c>
      <c r="F2231" s="10" t="str">
        <v/>
      </c>
      <c r="G2231" t="e">
        <f t="shared" si="138"/>
        <v>#VALUE!</v>
      </c>
      <c r="H2231" s="13" t="e">
        <f t="shared" si="139"/>
        <v>#VALUE!</v>
      </c>
    </row>
    <row r="2232" spans="2:8">
      <c r="B2232" s="11" t="str">
        <f t="shared" si="137"/>
        <v/>
      </c>
      <c r="C2232" s="11" t="str">
        <f t="shared" si="140"/>
        <v/>
      </c>
      <c r="F2232" s="10" t="str">
        <v/>
      </c>
      <c r="G2232" t="e">
        <f t="shared" si="138"/>
        <v>#VALUE!</v>
      </c>
      <c r="H2232" s="13" t="e">
        <f t="shared" si="139"/>
        <v>#VALUE!</v>
      </c>
    </row>
    <row r="2233" spans="2:8">
      <c r="B2233" s="11" t="str">
        <f t="shared" si="137"/>
        <v/>
      </c>
      <c r="C2233" s="11" t="str">
        <f t="shared" si="140"/>
        <v/>
      </c>
      <c r="F2233" s="10" t="str">
        <v/>
      </c>
      <c r="G2233" t="e">
        <f t="shared" si="138"/>
        <v>#VALUE!</v>
      </c>
      <c r="H2233" s="13" t="e">
        <f t="shared" si="139"/>
        <v>#VALUE!</v>
      </c>
    </row>
    <row r="2234" spans="2:8">
      <c r="B2234" s="11" t="str">
        <f t="shared" si="137"/>
        <v/>
      </c>
      <c r="C2234" s="11" t="str">
        <f t="shared" si="140"/>
        <v/>
      </c>
      <c r="F2234" s="10" t="str">
        <v/>
      </c>
      <c r="G2234" t="e">
        <f t="shared" si="138"/>
        <v>#VALUE!</v>
      </c>
      <c r="H2234" s="13" t="e">
        <f t="shared" si="139"/>
        <v>#VALUE!</v>
      </c>
    </row>
    <row r="2235" spans="2:8">
      <c r="B2235" s="11" t="str">
        <f t="shared" si="137"/>
        <v/>
      </c>
      <c r="C2235" s="11" t="str">
        <f t="shared" si="140"/>
        <v/>
      </c>
      <c r="F2235" s="10" t="str">
        <v/>
      </c>
      <c r="G2235" t="e">
        <f t="shared" si="138"/>
        <v>#VALUE!</v>
      </c>
      <c r="H2235" s="13" t="e">
        <f t="shared" si="139"/>
        <v>#VALUE!</v>
      </c>
    </row>
    <row r="2236" spans="2:8">
      <c r="B2236" s="11" t="str">
        <f t="shared" si="137"/>
        <v/>
      </c>
      <c r="C2236" s="11" t="str">
        <f t="shared" si="140"/>
        <v/>
      </c>
      <c r="F2236" s="10" t="str">
        <v/>
      </c>
      <c r="G2236" t="e">
        <f t="shared" si="138"/>
        <v>#VALUE!</v>
      </c>
      <c r="H2236" s="13" t="e">
        <f t="shared" si="139"/>
        <v>#VALUE!</v>
      </c>
    </row>
    <row r="2237" spans="2:8">
      <c r="B2237" s="11" t="str">
        <f t="shared" si="137"/>
        <v/>
      </c>
      <c r="C2237" s="11" t="str">
        <f t="shared" si="140"/>
        <v/>
      </c>
      <c r="F2237" s="10" t="str">
        <v/>
      </c>
      <c r="G2237" t="e">
        <f t="shared" si="138"/>
        <v>#VALUE!</v>
      </c>
      <c r="H2237" s="13" t="e">
        <f t="shared" si="139"/>
        <v>#VALUE!</v>
      </c>
    </row>
    <row r="2238" spans="2:8">
      <c r="B2238" s="11" t="str">
        <f t="shared" si="137"/>
        <v/>
      </c>
      <c r="C2238" s="11" t="str">
        <f t="shared" si="140"/>
        <v/>
      </c>
      <c r="F2238" s="10" t="str">
        <v/>
      </c>
      <c r="G2238" t="e">
        <f t="shared" si="138"/>
        <v>#VALUE!</v>
      </c>
      <c r="H2238" s="13" t="e">
        <f t="shared" si="139"/>
        <v>#VALUE!</v>
      </c>
    </row>
    <row r="2239" spans="2:8">
      <c r="B2239" s="11" t="str">
        <f t="shared" si="137"/>
        <v/>
      </c>
      <c r="C2239" s="11" t="str">
        <f t="shared" si="140"/>
        <v/>
      </c>
      <c r="F2239" s="10" t="str">
        <v/>
      </c>
      <c r="G2239" t="e">
        <f t="shared" si="138"/>
        <v>#VALUE!</v>
      </c>
      <c r="H2239" s="13" t="e">
        <f t="shared" si="139"/>
        <v>#VALUE!</v>
      </c>
    </row>
    <row r="2240" spans="2:8">
      <c r="B2240" s="11" t="str">
        <f t="shared" si="137"/>
        <v/>
      </c>
      <c r="C2240" s="11" t="str">
        <f t="shared" si="140"/>
        <v/>
      </c>
      <c r="F2240" s="10" t="str">
        <v/>
      </c>
      <c r="G2240" t="e">
        <f t="shared" si="138"/>
        <v>#VALUE!</v>
      </c>
      <c r="H2240" s="13" t="e">
        <f t="shared" si="139"/>
        <v>#VALUE!</v>
      </c>
    </row>
    <row r="2241" spans="2:8">
      <c r="B2241" s="11" t="str">
        <f t="shared" ref="B2241:B2304" si="141">IFERROR(IF(FIND(" ",A2241)=6,IF(IFERROR(FIND(" PB",A2241),"")&lt;&gt;"","артикул",IF(IFERROR(FIND(" CRN",A2241),"")&lt;&gt;"","артикул","")),""),"")</f>
        <v/>
      </c>
      <c r="C2241" s="11" t="str">
        <f t="shared" si="140"/>
        <v/>
      </c>
      <c r="F2241" s="10" t="str">
        <v/>
      </c>
      <c r="G2241" t="e">
        <f t="shared" si="138"/>
        <v>#VALUE!</v>
      </c>
      <c r="H2241" s="13" t="e">
        <f t="shared" si="139"/>
        <v>#VALUE!</v>
      </c>
    </row>
    <row r="2242" spans="2:8">
      <c r="B2242" s="11" t="str">
        <f t="shared" si="141"/>
        <v/>
      </c>
      <c r="C2242" s="11" t="str">
        <f t="shared" si="140"/>
        <v/>
      </c>
      <c r="F2242" s="10" t="str">
        <v/>
      </c>
      <c r="G2242" t="e">
        <f t="shared" ref="G2242:G2305" si="142">CONCATENATE(LEFT(F2242,5),
MID(F2242,
SEARCH("\",SUBSTITUTE(F2242," ","\",LEN(F2242)-LEN(SUBSTITUTE(F2242," ",""))-4)),
SEARCH("\",SUBSTITUTE(F2242," ","\",LEN(F2242)-LEN(SUBSTITUTE(F2242," ",""))-3))-
SEARCH("\",SUBSTITUTE(F2242," ","\",LEN(F2242)-LEN(SUBSTITUTE(F2242," ",""))-4)))*1)</f>
        <v>#VALUE!</v>
      </c>
      <c r="H2242" s="13" t="e">
        <f t="shared" ref="H2242:H2305" si="143">SUBSTITUTE(
RIGHT(F2242,LEN(F2242)-
FIND("\",SUBSTITUTE(F2242," ","\",LEN(F2242)-LEN(SUBSTITUTE(F2242," ",""))))),
".","")</f>
        <v>#VALUE!</v>
      </c>
    </row>
    <row r="2243" spans="2:8">
      <c r="B2243" s="11" t="str">
        <f t="shared" si="141"/>
        <v/>
      </c>
      <c r="C2243" s="11" t="str">
        <f t="shared" si="140"/>
        <v/>
      </c>
      <c r="F2243" s="10" t="str">
        <v/>
      </c>
      <c r="G2243" t="e">
        <f t="shared" si="142"/>
        <v>#VALUE!</v>
      </c>
      <c r="H2243" s="13" t="e">
        <f t="shared" si="143"/>
        <v>#VALUE!</v>
      </c>
    </row>
    <row r="2244" spans="2:8">
      <c r="B2244" s="11" t="str">
        <f t="shared" si="141"/>
        <v/>
      </c>
      <c r="C2244" s="11" t="str">
        <f t="shared" si="140"/>
        <v/>
      </c>
      <c r="F2244" s="10" t="str">
        <v/>
      </c>
      <c r="G2244" t="e">
        <f t="shared" si="142"/>
        <v>#VALUE!</v>
      </c>
      <c r="H2244" s="13" t="e">
        <f t="shared" si="143"/>
        <v>#VALUE!</v>
      </c>
    </row>
    <row r="2245" spans="2:8">
      <c r="B2245" s="11" t="str">
        <f t="shared" si="141"/>
        <v/>
      </c>
      <c r="C2245" s="11" t="str">
        <f t="shared" si="140"/>
        <v/>
      </c>
      <c r="F2245" s="10" t="str">
        <v/>
      </c>
      <c r="G2245" t="e">
        <f t="shared" si="142"/>
        <v>#VALUE!</v>
      </c>
      <c r="H2245" s="13" t="e">
        <f t="shared" si="143"/>
        <v>#VALUE!</v>
      </c>
    </row>
    <row r="2246" spans="2:8">
      <c r="B2246" s="11" t="str">
        <f t="shared" si="141"/>
        <v/>
      </c>
      <c r="C2246" s="11" t="str">
        <f t="shared" si="140"/>
        <v/>
      </c>
      <c r="F2246" s="10" t="str">
        <v/>
      </c>
      <c r="G2246" t="e">
        <f t="shared" si="142"/>
        <v>#VALUE!</v>
      </c>
      <c r="H2246" s="13" t="e">
        <f t="shared" si="143"/>
        <v>#VALUE!</v>
      </c>
    </row>
    <row r="2247" spans="2:8">
      <c r="B2247" s="11" t="str">
        <f t="shared" si="141"/>
        <v/>
      </c>
      <c r="C2247" s="11" t="str">
        <f t="shared" si="140"/>
        <v/>
      </c>
      <c r="F2247" s="10" t="str">
        <v/>
      </c>
      <c r="G2247" t="e">
        <f t="shared" si="142"/>
        <v>#VALUE!</v>
      </c>
      <c r="H2247" s="13" t="e">
        <f t="shared" si="143"/>
        <v>#VALUE!</v>
      </c>
    </row>
    <row r="2248" spans="2:8">
      <c r="B2248" s="11" t="str">
        <f t="shared" si="141"/>
        <v/>
      </c>
      <c r="C2248" s="11" t="str">
        <f t="shared" si="140"/>
        <v/>
      </c>
      <c r="F2248" s="10" t="str">
        <v/>
      </c>
      <c r="G2248" t="e">
        <f t="shared" si="142"/>
        <v>#VALUE!</v>
      </c>
      <c r="H2248" s="13" t="e">
        <f t="shared" si="143"/>
        <v>#VALUE!</v>
      </c>
    </row>
    <row r="2249" spans="2:8">
      <c r="B2249" s="11" t="str">
        <f t="shared" si="141"/>
        <v/>
      </c>
      <c r="C2249" s="11" t="str">
        <f t="shared" si="140"/>
        <v/>
      </c>
      <c r="F2249" s="10" t="str">
        <v/>
      </c>
      <c r="G2249" t="e">
        <f t="shared" si="142"/>
        <v>#VALUE!</v>
      </c>
      <c r="H2249" s="13" t="e">
        <f t="shared" si="143"/>
        <v>#VALUE!</v>
      </c>
    </row>
    <row r="2250" spans="2:8">
      <c r="B2250" s="11" t="str">
        <f t="shared" si="141"/>
        <v/>
      </c>
      <c r="C2250" s="11" t="str">
        <f t="shared" si="140"/>
        <v/>
      </c>
      <c r="F2250" s="10" t="str">
        <v/>
      </c>
      <c r="G2250" t="e">
        <f t="shared" si="142"/>
        <v>#VALUE!</v>
      </c>
      <c r="H2250" s="13" t="e">
        <f t="shared" si="143"/>
        <v>#VALUE!</v>
      </c>
    </row>
    <row r="2251" spans="2:8">
      <c r="B2251" s="11" t="str">
        <f t="shared" si="141"/>
        <v/>
      </c>
      <c r="C2251" s="11" t="str">
        <f t="shared" si="140"/>
        <v/>
      </c>
      <c r="F2251" s="10" t="str">
        <v/>
      </c>
      <c r="G2251" t="e">
        <f t="shared" si="142"/>
        <v>#VALUE!</v>
      </c>
      <c r="H2251" s="13" t="e">
        <f t="shared" si="143"/>
        <v>#VALUE!</v>
      </c>
    </row>
    <row r="2252" spans="2:8">
      <c r="B2252" s="11" t="str">
        <f t="shared" si="141"/>
        <v/>
      </c>
      <c r="C2252" s="11" t="str">
        <f t="shared" si="140"/>
        <v/>
      </c>
      <c r="F2252" s="10" t="str">
        <v/>
      </c>
      <c r="G2252" t="e">
        <f t="shared" si="142"/>
        <v>#VALUE!</v>
      </c>
      <c r="H2252" s="13" t="e">
        <f t="shared" si="143"/>
        <v>#VALUE!</v>
      </c>
    </row>
    <row r="2253" spans="2:8">
      <c r="B2253" s="11" t="str">
        <f t="shared" si="141"/>
        <v/>
      </c>
      <c r="C2253" s="11" t="str">
        <f t="shared" si="140"/>
        <v/>
      </c>
      <c r="F2253" s="10" t="str">
        <v/>
      </c>
      <c r="G2253" t="e">
        <f t="shared" si="142"/>
        <v>#VALUE!</v>
      </c>
      <c r="H2253" s="13" t="e">
        <f t="shared" si="143"/>
        <v>#VALUE!</v>
      </c>
    </row>
    <row r="2254" spans="2:8">
      <c r="B2254" s="11" t="str">
        <f t="shared" si="141"/>
        <v/>
      </c>
      <c r="C2254" s="11" t="str">
        <f t="shared" si="140"/>
        <v/>
      </c>
      <c r="F2254" s="10" t="str">
        <v/>
      </c>
      <c r="G2254" t="e">
        <f t="shared" si="142"/>
        <v>#VALUE!</v>
      </c>
      <c r="H2254" s="13" t="e">
        <f t="shared" si="143"/>
        <v>#VALUE!</v>
      </c>
    </row>
    <row r="2255" spans="2:8">
      <c r="B2255" s="11" t="str">
        <f t="shared" si="141"/>
        <v/>
      </c>
      <c r="C2255" s="11" t="str">
        <f t="shared" si="140"/>
        <v/>
      </c>
      <c r="F2255" s="10" t="str">
        <v/>
      </c>
      <c r="G2255" t="e">
        <f t="shared" si="142"/>
        <v>#VALUE!</v>
      </c>
      <c r="H2255" s="13" t="e">
        <f t="shared" si="143"/>
        <v>#VALUE!</v>
      </c>
    </row>
    <row r="2256" spans="2:8">
      <c r="B2256" s="11" t="str">
        <f t="shared" si="141"/>
        <v/>
      </c>
      <c r="C2256" s="11" t="str">
        <f t="shared" si="140"/>
        <v/>
      </c>
      <c r="F2256" s="10" t="str">
        <v/>
      </c>
      <c r="G2256" t="e">
        <f t="shared" si="142"/>
        <v>#VALUE!</v>
      </c>
      <c r="H2256" s="13" t="e">
        <f t="shared" si="143"/>
        <v>#VALUE!</v>
      </c>
    </row>
    <row r="2257" spans="2:8">
      <c r="B2257" s="11" t="str">
        <f t="shared" si="141"/>
        <v/>
      </c>
      <c r="C2257" s="11" t="str">
        <f t="shared" si="140"/>
        <v/>
      </c>
      <c r="F2257" s="10" t="str">
        <v/>
      </c>
      <c r="G2257" t="e">
        <f t="shared" si="142"/>
        <v>#VALUE!</v>
      </c>
      <c r="H2257" s="13" t="e">
        <f t="shared" si="143"/>
        <v>#VALUE!</v>
      </c>
    </row>
    <row r="2258" spans="2:8">
      <c r="B2258" s="11" t="str">
        <f t="shared" si="141"/>
        <v/>
      </c>
      <c r="C2258" s="11" t="str">
        <f t="shared" si="140"/>
        <v/>
      </c>
      <c r="F2258" s="10" t="str">
        <v/>
      </c>
      <c r="G2258" t="e">
        <f t="shared" si="142"/>
        <v>#VALUE!</v>
      </c>
      <c r="H2258" s="13" t="e">
        <f t="shared" si="143"/>
        <v>#VALUE!</v>
      </c>
    </row>
    <row r="2259" spans="2:8">
      <c r="B2259" s="11" t="str">
        <f t="shared" si="141"/>
        <v/>
      </c>
      <c r="C2259" s="11" t="str">
        <f t="shared" si="140"/>
        <v/>
      </c>
      <c r="F2259" s="10" t="str">
        <v/>
      </c>
      <c r="G2259" t="e">
        <f t="shared" si="142"/>
        <v>#VALUE!</v>
      </c>
      <c r="H2259" s="13" t="e">
        <f t="shared" si="143"/>
        <v>#VALUE!</v>
      </c>
    </row>
    <row r="2260" spans="2:8">
      <c r="B2260" s="11" t="str">
        <f t="shared" si="141"/>
        <v/>
      </c>
      <c r="C2260" s="11" t="str">
        <f t="shared" si="140"/>
        <v/>
      </c>
      <c r="F2260" s="10" t="str">
        <v/>
      </c>
      <c r="G2260" t="e">
        <f t="shared" si="142"/>
        <v>#VALUE!</v>
      </c>
      <c r="H2260" s="13" t="e">
        <f t="shared" si="143"/>
        <v>#VALUE!</v>
      </c>
    </row>
    <row r="2261" spans="2:8">
      <c r="B2261" s="11" t="str">
        <f t="shared" si="141"/>
        <v/>
      </c>
      <c r="C2261" s="11" t="str">
        <f t="shared" si="140"/>
        <v/>
      </c>
      <c r="F2261" s="10" t="str">
        <v/>
      </c>
      <c r="G2261" t="e">
        <f t="shared" si="142"/>
        <v>#VALUE!</v>
      </c>
      <c r="H2261" s="13" t="e">
        <f t="shared" si="143"/>
        <v>#VALUE!</v>
      </c>
    </row>
    <row r="2262" spans="2:8">
      <c r="B2262" s="11" t="str">
        <f t="shared" si="141"/>
        <v/>
      </c>
      <c r="C2262" s="11" t="str">
        <f t="shared" si="140"/>
        <v/>
      </c>
      <c r="F2262" s="10" t="str">
        <v/>
      </c>
      <c r="G2262" t="e">
        <f t="shared" si="142"/>
        <v>#VALUE!</v>
      </c>
      <c r="H2262" s="13" t="e">
        <f t="shared" si="143"/>
        <v>#VALUE!</v>
      </c>
    </row>
    <row r="2263" spans="2:8">
      <c r="B2263" s="11" t="str">
        <f t="shared" si="141"/>
        <v/>
      </c>
      <c r="C2263" s="11" t="str">
        <f t="shared" si="140"/>
        <v/>
      </c>
      <c r="F2263" s="10" t="str">
        <v/>
      </c>
      <c r="G2263" t="e">
        <f t="shared" si="142"/>
        <v>#VALUE!</v>
      </c>
      <c r="H2263" s="13" t="e">
        <f t="shared" si="143"/>
        <v>#VALUE!</v>
      </c>
    </row>
    <row r="2264" spans="2:8">
      <c r="B2264" s="11" t="str">
        <f t="shared" si="141"/>
        <v/>
      </c>
      <c r="C2264" s="11" t="str">
        <f t="shared" si="140"/>
        <v/>
      </c>
      <c r="F2264" s="10" t="str">
        <v/>
      </c>
      <c r="G2264" t="e">
        <f t="shared" si="142"/>
        <v>#VALUE!</v>
      </c>
      <c r="H2264" s="13" t="e">
        <f t="shared" si="143"/>
        <v>#VALUE!</v>
      </c>
    </row>
    <row r="2265" spans="2:8">
      <c r="B2265" s="11" t="str">
        <f t="shared" si="141"/>
        <v/>
      </c>
      <c r="C2265" s="11" t="str">
        <f t="shared" si="140"/>
        <v/>
      </c>
      <c r="F2265" s="10" t="str">
        <v/>
      </c>
      <c r="G2265" t="e">
        <f t="shared" si="142"/>
        <v>#VALUE!</v>
      </c>
      <c r="H2265" s="13" t="e">
        <f t="shared" si="143"/>
        <v>#VALUE!</v>
      </c>
    </row>
    <row r="2266" spans="2:8">
      <c r="B2266" s="11" t="str">
        <f t="shared" si="141"/>
        <v/>
      </c>
      <c r="C2266" s="11" t="str">
        <f t="shared" si="140"/>
        <v/>
      </c>
      <c r="F2266" s="10" t="str">
        <v/>
      </c>
      <c r="G2266" t="e">
        <f t="shared" si="142"/>
        <v>#VALUE!</v>
      </c>
      <c r="H2266" s="13" t="e">
        <f t="shared" si="143"/>
        <v>#VALUE!</v>
      </c>
    </row>
    <row r="2267" spans="2:8">
      <c r="B2267" s="11" t="str">
        <f t="shared" si="141"/>
        <v/>
      </c>
      <c r="C2267" s="11" t="str">
        <f t="shared" si="140"/>
        <v/>
      </c>
      <c r="F2267" s="10" t="str">
        <v/>
      </c>
      <c r="G2267" t="e">
        <f t="shared" si="142"/>
        <v>#VALUE!</v>
      </c>
      <c r="H2267" s="13" t="e">
        <f t="shared" si="143"/>
        <v>#VALUE!</v>
      </c>
    </row>
    <row r="2268" spans="2:8">
      <c r="B2268" s="11" t="str">
        <f t="shared" si="141"/>
        <v/>
      </c>
      <c r="C2268" s="11" t="str">
        <f t="shared" si="140"/>
        <v/>
      </c>
      <c r="F2268" s="10" t="str">
        <v/>
      </c>
      <c r="G2268" t="e">
        <f t="shared" si="142"/>
        <v>#VALUE!</v>
      </c>
      <c r="H2268" s="13" t="e">
        <f t="shared" si="143"/>
        <v>#VALUE!</v>
      </c>
    </row>
    <row r="2269" spans="2:8">
      <c r="B2269" s="11" t="str">
        <f t="shared" si="141"/>
        <v/>
      </c>
      <c r="C2269" s="11" t="str">
        <f t="shared" si="140"/>
        <v/>
      </c>
      <c r="F2269" s="10" t="str">
        <v/>
      </c>
      <c r="G2269" t="e">
        <f t="shared" si="142"/>
        <v>#VALUE!</v>
      </c>
      <c r="H2269" s="13" t="e">
        <f t="shared" si="143"/>
        <v>#VALUE!</v>
      </c>
    </row>
    <row r="2270" spans="2:8">
      <c r="B2270" s="11" t="str">
        <f t="shared" si="141"/>
        <v/>
      </c>
      <c r="C2270" s="11" t="str">
        <f t="shared" si="140"/>
        <v/>
      </c>
      <c r="F2270" s="10" t="str">
        <v/>
      </c>
      <c r="G2270" t="e">
        <f t="shared" si="142"/>
        <v>#VALUE!</v>
      </c>
      <c r="H2270" s="13" t="e">
        <f t="shared" si="143"/>
        <v>#VALUE!</v>
      </c>
    </row>
    <row r="2271" spans="2:8">
      <c r="B2271" s="11" t="str">
        <f t="shared" si="141"/>
        <v/>
      </c>
      <c r="C2271" s="11" t="str">
        <f t="shared" si="140"/>
        <v/>
      </c>
      <c r="F2271" s="10" t="str">
        <v/>
      </c>
      <c r="G2271" t="e">
        <f t="shared" si="142"/>
        <v>#VALUE!</v>
      </c>
      <c r="H2271" s="13" t="e">
        <f t="shared" si="143"/>
        <v>#VALUE!</v>
      </c>
    </row>
    <row r="2272" spans="2:8">
      <c r="B2272" s="11" t="str">
        <f t="shared" si="141"/>
        <v/>
      </c>
      <c r="C2272" s="11" t="str">
        <f t="shared" si="140"/>
        <v/>
      </c>
      <c r="F2272" s="10" t="str">
        <v/>
      </c>
      <c r="G2272" t="e">
        <f t="shared" si="142"/>
        <v>#VALUE!</v>
      </c>
      <c r="H2272" s="13" t="e">
        <f t="shared" si="143"/>
        <v>#VALUE!</v>
      </c>
    </row>
    <row r="2273" spans="2:8">
      <c r="B2273" s="11" t="str">
        <f t="shared" si="141"/>
        <v/>
      </c>
      <c r="C2273" s="11" t="str">
        <f t="shared" si="140"/>
        <v/>
      </c>
      <c r="F2273" s="10" t="str">
        <v/>
      </c>
      <c r="G2273" t="e">
        <f t="shared" si="142"/>
        <v>#VALUE!</v>
      </c>
      <c r="H2273" s="13" t="e">
        <f t="shared" si="143"/>
        <v>#VALUE!</v>
      </c>
    </row>
    <row r="2274" spans="2:8">
      <c r="B2274" s="11" t="str">
        <f t="shared" si="141"/>
        <v/>
      </c>
      <c r="C2274" s="11" t="str">
        <f t="shared" si="140"/>
        <v/>
      </c>
      <c r="F2274" s="10" t="str">
        <v/>
      </c>
      <c r="G2274" t="e">
        <f t="shared" si="142"/>
        <v>#VALUE!</v>
      </c>
      <c r="H2274" s="13" t="e">
        <f t="shared" si="143"/>
        <v>#VALUE!</v>
      </c>
    </row>
    <row r="2275" spans="2:8">
      <c r="B2275" s="11" t="str">
        <f t="shared" si="141"/>
        <v/>
      </c>
      <c r="C2275" s="11" t="str">
        <f t="shared" si="140"/>
        <v/>
      </c>
      <c r="F2275" s="10" t="str">
        <v/>
      </c>
      <c r="G2275" t="e">
        <f t="shared" si="142"/>
        <v>#VALUE!</v>
      </c>
      <c r="H2275" s="13" t="e">
        <f t="shared" si="143"/>
        <v>#VALUE!</v>
      </c>
    </row>
    <row r="2276" spans="2:8">
      <c r="B2276" s="11" t="str">
        <f t="shared" si="141"/>
        <v/>
      </c>
      <c r="C2276" s="11" t="str">
        <f t="shared" si="140"/>
        <v/>
      </c>
      <c r="F2276" s="10" t="str">
        <v/>
      </c>
      <c r="G2276" t="e">
        <f t="shared" si="142"/>
        <v>#VALUE!</v>
      </c>
      <c r="H2276" s="13" t="e">
        <f t="shared" si="143"/>
        <v>#VALUE!</v>
      </c>
    </row>
    <row r="2277" spans="2:8">
      <c r="B2277" s="11" t="str">
        <f t="shared" si="141"/>
        <v/>
      </c>
      <c r="C2277" s="11" t="str">
        <f t="shared" si="140"/>
        <v/>
      </c>
      <c r="F2277" s="10" t="str">
        <v/>
      </c>
      <c r="G2277" t="e">
        <f t="shared" si="142"/>
        <v>#VALUE!</v>
      </c>
      <c r="H2277" s="13" t="e">
        <f t="shared" si="143"/>
        <v>#VALUE!</v>
      </c>
    </row>
    <row r="2278" spans="2:8">
      <c r="B2278" s="11" t="str">
        <f t="shared" si="141"/>
        <v/>
      </c>
      <c r="C2278" s="11" t="str">
        <f t="shared" si="140"/>
        <v/>
      </c>
      <c r="F2278" s="10" t="str">
        <v/>
      </c>
      <c r="G2278" t="e">
        <f t="shared" si="142"/>
        <v>#VALUE!</v>
      </c>
      <c r="H2278" s="13" t="e">
        <f t="shared" si="143"/>
        <v>#VALUE!</v>
      </c>
    </row>
    <row r="2279" spans="2:8">
      <c r="B2279" s="11" t="str">
        <f t="shared" si="141"/>
        <v/>
      </c>
      <c r="C2279" s="11" t="str">
        <f t="shared" si="140"/>
        <v/>
      </c>
      <c r="F2279" s="10" t="str">
        <v/>
      </c>
      <c r="G2279" t="e">
        <f t="shared" si="142"/>
        <v>#VALUE!</v>
      </c>
      <c r="H2279" s="13" t="e">
        <f t="shared" si="143"/>
        <v>#VALUE!</v>
      </c>
    </row>
    <row r="2280" spans="2:8">
      <c r="B2280" s="11" t="str">
        <f t="shared" si="141"/>
        <v/>
      </c>
      <c r="C2280" s="11" t="str">
        <f t="shared" si="140"/>
        <v/>
      </c>
      <c r="F2280" s="10" t="str">
        <v/>
      </c>
      <c r="G2280" t="e">
        <f t="shared" si="142"/>
        <v>#VALUE!</v>
      </c>
      <c r="H2280" s="13" t="e">
        <f t="shared" si="143"/>
        <v>#VALUE!</v>
      </c>
    </row>
    <row r="2281" spans="2:8">
      <c r="B2281" s="11" t="str">
        <f t="shared" si="141"/>
        <v/>
      </c>
      <c r="C2281" s="11" t="str">
        <f t="shared" ref="C2281:C2344" si="144">IF(B2281="артикул",A2281,"")</f>
        <v/>
      </c>
      <c r="F2281" s="10" t="str">
        <v/>
      </c>
      <c r="G2281" t="e">
        <f t="shared" si="142"/>
        <v>#VALUE!</v>
      </c>
      <c r="H2281" s="13" t="e">
        <f t="shared" si="143"/>
        <v>#VALUE!</v>
      </c>
    </row>
    <row r="2282" spans="2:8">
      <c r="B2282" s="11" t="str">
        <f t="shared" si="141"/>
        <v/>
      </c>
      <c r="C2282" s="11" t="str">
        <f t="shared" si="144"/>
        <v/>
      </c>
      <c r="F2282" s="10" t="str">
        <v/>
      </c>
      <c r="G2282" t="e">
        <f t="shared" si="142"/>
        <v>#VALUE!</v>
      </c>
      <c r="H2282" s="13" t="e">
        <f t="shared" si="143"/>
        <v>#VALUE!</v>
      </c>
    </row>
    <row r="2283" spans="2:8">
      <c r="B2283" s="11" t="str">
        <f t="shared" si="141"/>
        <v/>
      </c>
      <c r="C2283" s="11" t="str">
        <f t="shared" si="144"/>
        <v/>
      </c>
      <c r="F2283" s="10" t="str">
        <v/>
      </c>
      <c r="G2283" t="e">
        <f t="shared" si="142"/>
        <v>#VALUE!</v>
      </c>
      <c r="H2283" s="13" t="e">
        <f t="shared" si="143"/>
        <v>#VALUE!</v>
      </c>
    </row>
    <row r="2284" spans="2:8">
      <c r="B2284" s="11" t="str">
        <f t="shared" si="141"/>
        <v/>
      </c>
      <c r="C2284" s="11" t="str">
        <f t="shared" si="144"/>
        <v/>
      </c>
      <c r="F2284" s="10" t="str">
        <v/>
      </c>
      <c r="G2284" t="e">
        <f t="shared" si="142"/>
        <v>#VALUE!</v>
      </c>
      <c r="H2284" s="13" t="e">
        <f t="shared" si="143"/>
        <v>#VALUE!</v>
      </c>
    </row>
    <row r="2285" spans="2:8">
      <c r="B2285" s="11" t="str">
        <f t="shared" si="141"/>
        <v/>
      </c>
      <c r="C2285" s="11" t="str">
        <f t="shared" si="144"/>
        <v/>
      </c>
      <c r="F2285" s="10" t="str">
        <v/>
      </c>
      <c r="G2285" t="e">
        <f t="shared" si="142"/>
        <v>#VALUE!</v>
      </c>
      <c r="H2285" s="13" t="e">
        <f t="shared" si="143"/>
        <v>#VALUE!</v>
      </c>
    </row>
    <row r="2286" spans="2:8">
      <c r="B2286" s="11" t="str">
        <f t="shared" si="141"/>
        <v/>
      </c>
      <c r="C2286" s="11" t="str">
        <f t="shared" si="144"/>
        <v/>
      </c>
      <c r="F2286" s="10" t="str">
        <v/>
      </c>
      <c r="G2286" t="e">
        <f t="shared" si="142"/>
        <v>#VALUE!</v>
      </c>
      <c r="H2286" s="13" t="e">
        <f t="shared" si="143"/>
        <v>#VALUE!</v>
      </c>
    </row>
    <row r="2287" spans="2:8">
      <c r="B2287" s="11" t="str">
        <f t="shared" si="141"/>
        <v/>
      </c>
      <c r="C2287" s="11" t="str">
        <f t="shared" si="144"/>
        <v/>
      </c>
      <c r="F2287" s="10" t="str">
        <v/>
      </c>
      <c r="G2287" t="e">
        <f t="shared" si="142"/>
        <v>#VALUE!</v>
      </c>
      <c r="H2287" s="13" t="e">
        <f t="shared" si="143"/>
        <v>#VALUE!</v>
      </c>
    </row>
    <row r="2288" spans="2:8">
      <c r="B2288" s="11" t="str">
        <f t="shared" si="141"/>
        <v/>
      </c>
      <c r="C2288" s="11" t="str">
        <f t="shared" si="144"/>
        <v/>
      </c>
      <c r="F2288" s="10" t="str">
        <v/>
      </c>
      <c r="G2288" t="e">
        <f t="shared" si="142"/>
        <v>#VALUE!</v>
      </c>
      <c r="H2288" s="13" t="e">
        <f t="shared" si="143"/>
        <v>#VALUE!</v>
      </c>
    </row>
    <row r="2289" spans="2:8">
      <c r="B2289" s="11" t="str">
        <f t="shared" si="141"/>
        <v/>
      </c>
      <c r="C2289" s="11" t="str">
        <f t="shared" si="144"/>
        <v/>
      </c>
      <c r="F2289" s="10" t="str">
        <v/>
      </c>
      <c r="G2289" t="e">
        <f t="shared" si="142"/>
        <v>#VALUE!</v>
      </c>
      <c r="H2289" s="13" t="e">
        <f t="shared" si="143"/>
        <v>#VALUE!</v>
      </c>
    </row>
    <row r="2290" spans="2:8">
      <c r="B2290" s="11" t="str">
        <f t="shared" si="141"/>
        <v/>
      </c>
      <c r="C2290" s="11" t="str">
        <f t="shared" si="144"/>
        <v/>
      </c>
      <c r="F2290" s="10" t="str">
        <v/>
      </c>
      <c r="G2290" t="e">
        <f t="shared" si="142"/>
        <v>#VALUE!</v>
      </c>
      <c r="H2290" s="13" t="e">
        <f t="shared" si="143"/>
        <v>#VALUE!</v>
      </c>
    </row>
    <row r="2291" spans="2:8">
      <c r="B2291" s="11" t="str">
        <f t="shared" si="141"/>
        <v/>
      </c>
      <c r="C2291" s="11" t="str">
        <f t="shared" si="144"/>
        <v/>
      </c>
      <c r="F2291" s="10" t="str">
        <v/>
      </c>
      <c r="G2291" t="e">
        <f t="shared" si="142"/>
        <v>#VALUE!</v>
      </c>
      <c r="H2291" s="13" t="e">
        <f t="shared" si="143"/>
        <v>#VALUE!</v>
      </c>
    </row>
    <row r="2292" spans="2:8">
      <c r="B2292" s="11" t="str">
        <f t="shared" si="141"/>
        <v/>
      </c>
      <c r="C2292" s="11" t="str">
        <f t="shared" si="144"/>
        <v/>
      </c>
      <c r="F2292" s="10" t="str">
        <v/>
      </c>
      <c r="G2292" t="e">
        <f t="shared" si="142"/>
        <v>#VALUE!</v>
      </c>
      <c r="H2292" s="13" t="e">
        <f t="shared" si="143"/>
        <v>#VALUE!</v>
      </c>
    </row>
    <row r="2293" spans="2:8">
      <c r="B2293" s="11" t="str">
        <f t="shared" si="141"/>
        <v/>
      </c>
      <c r="C2293" s="11" t="str">
        <f t="shared" si="144"/>
        <v/>
      </c>
      <c r="F2293" s="10" t="str">
        <v/>
      </c>
      <c r="G2293" t="e">
        <f t="shared" si="142"/>
        <v>#VALUE!</v>
      </c>
      <c r="H2293" s="13" t="e">
        <f t="shared" si="143"/>
        <v>#VALUE!</v>
      </c>
    </row>
    <row r="2294" spans="2:8">
      <c r="B2294" s="11" t="str">
        <f t="shared" si="141"/>
        <v/>
      </c>
      <c r="C2294" s="11" t="str">
        <f t="shared" si="144"/>
        <v/>
      </c>
      <c r="F2294" s="10" t="str">
        <v/>
      </c>
      <c r="G2294" t="e">
        <f t="shared" si="142"/>
        <v>#VALUE!</v>
      </c>
      <c r="H2294" s="13" t="e">
        <f t="shared" si="143"/>
        <v>#VALUE!</v>
      </c>
    </row>
    <row r="2295" spans="2:8">
      <c r="B2295" s="11" t="str">
        <f t="shared" si="141"/>
        <v/>
      </c>
      <c r="C2295" s="11" t="str">
        <f t="shared" si="144"/>
        <v/>
      </c>
      <c r="F2295" s="10" t="str">
        <v/>
      </c>
      <c r="G2295" t="e">
        <f t="shared" si="142"/>
        <v>#VALUE!</v>
      </c>
      <c r="H2295" s="13" t="e">
        <f t="shared" si="143"/>
        <v>#VALUE!</v>
      </c>
    </row>
    <row r="2296" spans="2:8">
      <c r="B2296" s="11" t="str">
        <f t="shared" si="141"/>
        <v/>
      </c>
      <c r="C2296" s="11" t="str">
        <f t="shared" si="144"/>
        <v/>
      </c>
      <c r="F2296" s="10" t="str">
        <v/>
      </c>
      <c r="G2296" t="e">
        <f t="shared" si="142"/>
        <v>#VALUE!</v>
      </c>
      <c r="H2296" s="13" t="e">
        <f t="shared" si="143"/>
        <v>#VALUE!</v>
      </c>
    </row>
    <row r="2297" spans="2:8">
      <c r="B2297" s="11" t="str">
        <f t="shared" si="141"/>
        <v/>
      </c>
      <c r="C2297" s="11" t="str">
        <f t="shared" si="144"/>
        <v/>
      </c>
      <c r="F2297" s="10" t="str">
        <v/>
      </c>
      <c r="G2297" t="e">
        <f t="shared" si="142"/>
        <v>#VALUE!</v>
      </c>
      <c r="H2297" s="13" t="e">
        <f t="shared" si="143"/>
        <v>#VALUE!</v>
      </c>
    </row>
    <row r="2298" spans="2:8">
      <c r="B2298" s="11" t="str">
        <f t="shared" si="141"/>
        <v/>
      </c>
      <c r="C2298" s="11" t="str">
        <f t="shared" si="144"/>
        <v/>
      </c>
      <c r="F2298" s="10" t="str">
        <v/>
      </c>
      <c r="G2298" t="e">
        <f t="shared" si="142"/>
        <v>#VALUE!</v>
      </c>
      <c r="H2298" s="13" t="e">
        <f t="shared" si="143"/>
        <v>#VALUE!</v>
      </c>
    </row>
    <row r="2299" spans="2:8">
      <c r="B2299" s="11" t="str">
        <f t="shared" si="141"/>
        <v/>
      </c>
      <c r="C2299" s="11" t="str">
        <f t="shared" si="144"/>
        <v/>
      </c>
      <c r="F2299" s="10" t="str">
        <v/>
      </c>
      <c r="G2299" t="e">
        <f t="shared" si="142"/>
        <v>#VALUE!</v>
      </c>
      <c r="H2299" s="13" t="e">
        <f t="shared" si="143"/>
        <v>#VALUE!</v>
      </c>
    </row>
    <row r="2300" spans="2:8">
      <c r="B2300" s="11" t="str">
        <f t="shared" si="141"/>
        <v/>
      </c>
      <c r="C2300" s="11" t="str">
        <f t="shared" si="144"/>
        <v/>
      </c>
      <c r="F2300" s="10" t="str">
        <v/>
      </c>
      <c r="G2300" t="e">
        <f t="shared" si="142"/>
        <v>#VALUE!</v>
      </c>
      <c r="H2300" s="13" t="e">
        <f t="shared" si="143"/>
        <v>#VALUE!</v>
      </c>
    </row>
    <row r="2301" spans="2:8">
      <c r="B2301" s="11" t="str">
        <f t="shared" si="141"/>
        <v/>
      </c>
      <c r="C2301" s="11" t="str">
        <f t="shared" si="144"/>
        <v/>
      </c>
      <c r="F2301" s="10" t="str">
        <v/>
      </c>
      <c r="G2301" t="e">
        <f t="shared" si="142"/>
        <v>#VALUE!</v>
      </c>
      <c r="H2301" s="13" t="e">
        <f t="shared" si="143"/>
        <v>#VALUE!</v>
      </c>
    </row>
    <row r="2302" spans="2:8">
      <c r="B2302" s="11" t="str">
        <f t="shared" si="141"/>
        <v/>
      </c>
      <c r="C2302" s="11" t="str">
        <f t="shared" si="144"/>
        <v/>
      </c>
      <c r="F2302" s="10" t="str">
        <v/>
      </c>
      <c r="G2302" t="e">
        <f t="shared" si="142"/>
        <v>#VALUE!</v>
      </c>
      <c r="H2302" s="13" t="e">
        <f t="shared" si="143"/>
        <v>#VALUE!</v>
      </c>
    </row>
    <row r="2303" spans="2:8">
      <c r="B2303" s="11" t="str">
        <f t="shared" si="141"/>
        <v/>
      </c>
      <c r="C2303" s="11" t="str">
        <f t="shared" si="144"/>
        <v/>
      </c>
      <c r="F2303" s="10" t="str">
        <v/>
      </c>
      <c r="G2303" t="e">
        <f t="shared" si="142"/>
        <v>#VALUE!</v>
      </c>
      <c r="H2303" s="13" t="e">
        <f t="shared" si="143"/>
        <v>#VALUE!</v>
      </c>
    </row>
    <row r="2304" spans="2:8">
      <c r="B2304" s="11" t="str">
        <f t="shared" si="141"/>
        <v/>
      </c>
      <c r="C2304" s="11" t="str">
        <f t="shared" si="144"/>
        <v/>
      </c>
      <c r="F2304" s="10" t="str">
        <v/>
      </c>
      <c r="G2304" t="e">
        <f t="shared" si="142"/>
        <v>#VALUE!</v>
      </c>
      <c r="H2304" s="13" t="e">
        <f t="shared" si="143"/>
        <v>#VALUE!</v>
      </c>
    </row>
    <row r="2305" spans="2:8">
      <c r="B2305" s="11" t="str">
        <f t="shared" ref="B2305:B2368" si="145">IFERROR(IF(FIND(" ",A2305)=6,IF(IFERROR(FIND(" PB",A2305),"")&lt;&gt;"","артикул",IF(IFERROR(FIND(" CRN",A2305),"")&lt;&gt;"","артикул","")),""),"")</f>
        <v/>
      </c>
      <c r="C2305" s="11" t="str">
        <f t="shared" si="144"/>
        <v/>
      </c>
      <c r="F2305" s="10" t="str">
        <v/>
      </c>
      <c r="G2305" t="e">
        <f t="shared" si="142"/>
        <v>#VALUE!</v>
      </c>
      <c r="H2305" s="13" t="e">
        <f t="shared" si="143"/>
        <v>#VALUE!</v>
      </c>
    </row>
    <row r="2306" spans="2:8">
      <c r="B2306" s="11" t="str">
        <f t="shared" si="145"/>
        <v/>
      </c>
      <c r="C2306" s="11" t="str">
        <f t="shared" si="144"/>
        <v/>
      </c>
      <c r="F2306" s="10" t="str">
        <v/>
      </c>
      <c r="G2306" t="e">
        <f t="shared" ref="G2306:G2369" si="146">CONCATENATE(LEFT(F2306,5),
MID(F2306,
SEARCH("\",SUBSTITUTE(F2306," ","\",LEN(F2306)-LEN(SUBSTITUTE(F2306," ",""))-4)),
SEARCH("\",SUBSTITUTE(F2306," ","\",LEN(F2306)-LEN(SUBSTITUTE(F2306," ",""))-3))-
SEARCH("\",SUBSTITUTE(F2306," ","\",LEN(F2306)-LEN(SUBSTITUTE(F2306," ",""))-4)))*1)</f>
        <v>#VALUE!</v>
      </c>
      <c r="H2306" s="13" t="e">
        <f t="shared" ref="H2306:H2369" si="147">SUBSTITUTE(
RIGHT(F2306,LEN(F2306)-
FIND("\",SUBSTITUTE(F2306," ","\",LEN(F2306)-LEN(SUBSTITUTE(F2306," ",""))))),
".","")</f>
        <v>#VALUE!</v>
      </c>
    </row>
    <row r="2307" spans="2:8">
      <c r="B2307" s="11" t="str">
        <f t="shared" si="145"/>
        <v/>
      </c>
      <c r="C2307" s="11" t="str">
        <f t="shared" si="144"/>
        <v/>
      </c>
      <c r="F2307" s="10" t="str">
        <v/>
      </c>
      <c r="G2307" t="e">
        <f t="shared" si="146"/>
        <v>#VALUE!</v>
      </c>
      <c r="H2307" s="13" t="e">
        <f t="shared" si="147"/>
        <v>#VALUE!</v>
      </c>
    </row>
    <row r="2308" spans="2:8">
      <c r="B2308" s="11" t="str">
        <f t="shared" si="145"/>
        <v/>
      </c>
      <c r="C2308" s="11" t="str">
        <f t="shared" si="144"/>
        <v/>
      </c>
      <c r="F2308" s="10" t="str">
        <v/>
      </c>
      <c r="G2308" t="e">
        <f t="shared" si="146"/>
        <v>#VALUE!</v>
      </c>
      <c r="H2308" s="13" t="e">
        <f t="shared" si="147"/>
        <v>#VALUE!</v>
      </c>
    </row>
    <row r="2309" spans="2:8">
      <c r="B2309" s="11" t="str">
        <f t="shared" si="145"/>
        <v/>
      </c>
      <c r="C2309" s="11" t="str">
        <f t="shared" si="144"/>
        <v/>
      </c>
      <c r="F2309" s="10" t="str">
        <v/>
      </c>
      <c r="G2309" t="e">
        <f t="shared" si="146"/>
        <v>#VALUE!</v>
      </c>
      <c r="H2309" s="13" t="e">
        <f t="shared" si="147"/>
        <v>#VALUE!</v>
      </c>
    </row>
    <row r="2310" spans="2:8">
      <c r="B2310" s="11" t="str">
        <f t="shared" si="145"/>
        <v/>
      </c>
      <c r="C2310" s="11" t="str">
        <f t="shared" si="144"/>
        <v/>
      </c>
      <c r="F2310" s="10" t="str">
        <v/>
      </c>
      <c r="G2310" t="e">
        <f t="shared" si="146"/>
        <v>#VALUE!</v>
      </c>
      <c r="H2310" s="13" t="e">
        <f t="shared" si="147"/>
        <v>#VALUE!</v>
      </c>
    </row>
    <row r="2311" spans="2:8">
      <c r="B2311" s="11" t="str">
        <f t="shared" si="145"/>
        <v/>
      </c>
      <c r="C2311" s="11" t="str">
        <f t="shared" si="144"/>
        <v/>
      </c>
      <c r="F2311" s="10" t="str">
        <v/>
      </c>
      <c r="G2311" t="e">
        <f t="shared" si="146"/>
        <v>#VALUE!</v>
      </c>
      <c r="H2311" s="13" t="e">
        <f t="shared" si="147"/>
        <v>#VALUE!</v>
      </c>
    </row>
    <row r="2312" spans="2:8">
      <c r="B2312" s="11" t="str">
        <f t="shared" si="145"/>
        <v/>
      </c>
      <c r="C2312" s="11" t="str">
        <f t="shared" si="144"/>
        <v/>
      </c>
      <c r="F2312" s="10" t="str">
        <v/>
      </c>
      <c r="G2312" t="e">
        <f t="shared" si="146"/>
        <v>#VALUE!</v>
      </c>
      <c r="H2312" s="13" t="e">
        <f t="shared" si="147"/>
        <v>#VALUE!</v>
      </c>
    </row>
    <row r="2313" spans="2:8">
      <c r="B2313" s="11" t="str">
        <f t="shared" si="145"/>
        <v/>
      </c>
      <c r="C2313" s="11" t="str">
        <f t="shared" si="144"/>
        <v/>
      </c>
      <c r="F2313" s="10" t="str">
        <v/>
      </c>
      <c r="G2313" t="e">
        <f t="shared" si="146"/>
        <v>#VALUE!</v>
      </c>
      <c r="H2313" s="13" t="e">
        <f t="shared" si="147"/>
        <v>#VALUE!</v>
      </c>
    </row>
    <row r="2314" spans="2:8">
      <c r="B2314" s="11" t="str">
        <f t="shared" si="145"/>
        <v/>
      </c>
      <c r="C2314" s="11" t="str">
        <f t="shared" si="144"/>
        <v/>
      </c>
      <c r="F2314" s="10" t="str">
        <v/>
      </c>
      <c r="G2314" t="e">
        <f t="shared" si="146"/>
        <v>#VALUE!</v>
      </c>
      <c r="H2314" s="13" t="e">
        <f t="shared" si="147"/>
        <v>#VALUE!</v>
      </c>
    </row>
    <row r="2315" spans="2:8">
      <c r="B2315" s="11" t="str">
        <f t="shared" si="145"/>
        <v/>
      </c>
      <c r="C2315" s="11" t="str">
        <f t="shared" si="144"/>
        <v/>
      </c>
      <c r="F2315" s="10" t="str">
        <v/>
      </c>
      <c r="G2315" t="e">
        <f t="shared" si="146"/>
        <v>#VALUE!</v>
      </c>
      <c r="H2315" s="13" t="e">
        <f t="shared" si="147"/>
        <v>#VALUE!</v>
      </c>
    </row>
    <row r="2316" spans="2:8">
      <c r="B2316" s="11" t="str">
        <f t="shared" si="145"/>
        <v/>
      </c>
      <c r="C2316" s="11" t="str">
        <f t="shared" si="144"/>
        <v/>
      </c>
      <c r="F2316" s="10" t="str">
        <v/>
      </c>
      <c r="G2316" t="e">
        <f t="shared" si="146"/>
        <v>#VALUE!</v>
      </c>
      <c r="H2316" s="13" t="e">
        <f t="shared" si="147"/>
        <v>#VALUE!</v>
      </c>
    </row>
    <row r="2317" spans="2:8">
      <c r="B2317" s="11" t="str">
        <f t="shared" si="145"/>
        <v/>
      </c>
      <c r="C2317" s="11" t="str">
        <f t="shared" si="144"/>
        <v/>
      </c>
      <c r="F2317" s="10" t="str">
        <v/>
      </c>
      <c r="G2317" t="e">
        <f t="shared" si="146"/>
        <v>#VALUE!</v>
      </c>
      <c r="H2317" s="13" t="e">
        <f t="shared" si="147"/>
        <v>#VALUE!</v>
      </c>
    </row>
    <row r="2318" spans="2:8">
      <c r="B2318" s="11" t="str">
        <f t="shared" si="145"/>
        <v/>
      </c>
      <c r="C2318" s="11" t="str">
        <f t="shared" si="144"/>
        <v/>
      </c>
      <c r="F2318" s="10" t="str">
        <v/>
      </c>
      <c r="G2318" t="e">
        <f t="shared" si="146"/>
        <v>#VALUE!</v>
      </c>
      <c r="H2318" s="13" t="e">
        <f t="shared" si="147"/>
        <v>#VALUE!</v>
      </c>
    </row>
    <row r="2319" spans="2:8">
      <c r="B2319" s="11" t="str">
        <f t="shared" si="145"/>
        <v/>
      </c>
      <c r="C2319" s="11" t="str">
        <f t="shared" si="144"/>
        <v/>
      </c>
      <c r="F2319" s="10" t="str">
        <v/>
      </c>
      <c r="G2319" t="e">
        <f t="shared" si="146"/>
        <v>#VALUE!</v>
      </c>
      <c r="H2319" s="13" t="e">
        <f t="shared" si="147"/>
        <v>#VALUE!</v>
      </c>
    </row>
    <row r="2320" spans="2:8">
      <c r="B2320" s="11" t="str">
        <f t="shared" si="145"/>
        <v/>
      </c>
      <c r="C2320" s="11" t="str">
        <f t="shared" si="144"/>
        <v/>
      </c>
      <c r="F2320" s="10" t="str">
        <v/>
      </c>
      <c r="G2320" t="e">
        <f t="shared" si="146"/>
        <v>#VALUE!</v>
      </c>
      <c r="H2320" s="13" t="e">
        <f t="shared" si="147"/>
        <v>#VALUE!</v>
      </c>
    </row>
    <row r="2321" spans="2:8">
      <c r="B2321" s="11" t="str">
        <f t="shared" si="145"/>
        <v/>
      </c>
      <c r="C2321" s="11" t="str">
        <f t="shared" si="144"/>
        <v/>
      </c>
      <c r="F2321" s="10" t="str">
        <v/>
      </c>
      <c r="G2321" t="e">
        <f t="shared" si="146"/>
        <v>#VALUE!</v>
      </c>
      <c r="H2321" s="13" t="e">
        <f t="shared" si="147"/>
        <v>#VALUE!</v>
      </c>
    </row>
    <row r="2322" spans="2:8">
      <c r="B2322" s="11" t="str">
        <f t="shared" si="145"/>
        <v/>
      </c>
      <c r="C2322" s="11" t="str">
        <f t="shared" si="144"/>
        <v/>
      </c>
      <c r="F2322" s="10" t="str">
        <v/>
      </c>
      <c r="G2322" t="e">
        <f t="shared" si="146"/>
        <v>#VALUE!</v>
      </c>
      <c r="H2322" s="13" t="e">
        <f t="shared" si="147"/>
        <v>#VALUE!</v>
      </c>
    </row>
    <row r="2323" spans="2:8">
      <c r="B2323" s="11" t="str">
        <f t="shared" si="145"/>
        <v/>
      </c>
      <c r="C2323" s="11" t="str">
        <f t="shared" si="144"/>
        <v/>
      </c>
      <c r="F2323" s="10" t="str">
        <v/>
      </c>
      <c r="G2323" t="e">
        <f t="shared" si="146"/>
        <v>#VALUE!</v>
      </c>
      <c r="H2323" s="13" t="e">
        <f t="shared" si="147"/>
        <v>#VALUE!</v>
      </c>
    </row>
    <row r="2324" spans="2:8">
      <c r="B2324" s="11" t="str">
        <f t="shared" si="145"/>
        <v/>
      </c>
      <c r="C2324" s="11" t="str">
        <f t="shared" si="144"/>
        <v/>
      </c>
      <c r="F2324" s="10" t="str">
        <v/>
      </c>
      <c r="G2324" t="e">
        <f t="shared" si="146"/>
        <v>#VALUE!</v>
      </c>
      <c r="H2324" s="13" t="e">
        <f t="shared" si="147"/>
        <v>#VALUE!</v>
      </c>
    </row>
    <row r="2325" spans="2:8">
      <c r="B2325" s="11" t="str">
        <f t="shared" si="145"/>
        <v/>
      </c>
      <c r="C2325" s="11" t="str">
        <f t="shared" si="144"/>
        <v/>
      </c>
      <c r="F2325" s="10" t="str">
        <v/>
      </c>
      <c r="G2325" t="e">
        <f t="shared" si="146"/>
        <v>#VALUE!</v>
      </c>
      <c r="H2325" s="13" t="e">
        <f t="shared" si="147"/>
        <v>#VALUE!</v>
      </c>
    </row>
    <row r="2326" spans="2:8">
      <c r="B2326" s="11" t="str">
        <f t="shared" si="145"/>
        <v/>
      </c>
      <c r="C2326" s="11" t="str">
        <f t="shared" si="144"/>
        <v/>
      </c>
      <c r="F2326" s="10" t="str">
        <v/>
      </c>
      <c r="G2326" t="e">
        <f t="shared" si="146"/>
        <v>#VALUE!</v>
      </c>
      <c r="H2326" s="13" t="e">
        <f t="shared" si="147"/>
        <v>#VALUE!</v>
      </c>
    </row>
    <row r="2327" spans="2:8">
      <c r="B2327" s="11" t="str">
        <f t="shared" si="145"/>
        <v/>
      </c>
      <c r="C2327" s="11" t="str">
        <f t="shared" si="144"/>
        <v/>
      </c>
      <c r="F2327" s="10" t="str">
        <v/>
      </c>
      <c r="G2327" t="e">
        <f t="shared" si="146"/>
        <v>#VALUE!</v>
      </c>
      <c r="H2327" s="13" t="e">
        <f t="shared" si="147"/>
        <v>#VALUE!</v>
      </c>
    </row>
    <row r="2328" spans="2:8">
      <c r="B2328" s="11" t="str">
        <f t="shared" si="145"/>
        <v/>
      </c>
      <c r="C2328" s="11" t="str">
        <f t="shared" si="144"/>
        <v/>
      </c>
      <c r="F2328" s="10" t="str">
        <v/>
      </c>
      <c r="G2328" t="e">
        <f t="shared" si="146"/>
        <v>#VALUE!</v>
      </c>
      <c r="H2328" s="13" t="e">
        <f t="shared" si="147"/>
        <v>#VALUE!</v>
      </c>
    </row>
    <row r="2329" spans="2:8">
      <c r="B2329" s="11" t="str">
        <f t="shared" si="145"/>
        <v/>
      </c>
      <c r="C2329" s="11" t="str">
        <f t="shared" si="144"/>
        <v/>
      </c>
      <c r="F2329" s="10" t="str">
        <v/>
      </c>
      <c r="G2329" t="e">
        <f t="shared" si="146"/>
        <v>#VALUE!</v>
      </c>
      <c r="H2329" s="13" t="e">
        <f t="shared" si="147"/>
        <v>#VALUE!</v>
      </c>
    </row>
    <row r="2330" spans="2:8">
      <c r="B2330" s="11" t="str">
        <f t="shared" si="145"/>
        <v/>
      </c>
      <c r="C2330" s="11" t="str">
        <f t="shared" si="144"/>
        <v/>
      </c>
      <c r="F2330" s="10" t="str">
        <v/>
      </c>
      <c r="G2330" t="e">
        <f t="shared" si="146"/>
        <v>#VALUE!</v>
      </c>
      <c r="H2330" s="13" t="e">
        <f t="shared" si="147"/>
        <v>#VALUE!</v>
      </c>
    </row>
    <row r="2331" spans="2:8">
      <c r="B2331" s="11" t="str">
        <f t="shared" si="145"/>
        <v/>
      </c>
      <c r="C2331" s="11" t="str">
        <f t="shared" si="144"/>
        <v/>
      </c>
      <c r="F2331" s="10" t="str">
        <v/>
      </c>
      <c r="G2331" t="e">
        <f t="shared" si="146"/>
        <v>#VALUE!</v>
      </c>
      <c r="H2331" s="13" t="e">
        <f t="shared" si="147"/>
        <v>#VALUE!</v>
      </c>
    </row>
    <row r="2332" spans="2:8">
      <c r="B2332" s="11" t="str">
        <f t="shared" si="145"/>
        <v/>
      </c>
      <c r="C2332" s="11" t="str">
        <f t="shared" si="144"/>
        <v/>
      </c>
      <c r="F2332" s="10" t="str">
        <v/>
      </c>
      <c r="G2332" t="e">
        <f t="shared" si="146"/>
        <v>#VALUE!</v>
      </c>
      <c r="H2332" s="13" t="e">
        <f t="shared" si="147"/>
        <v>#VALUE!</v>
      </c>
    </row>
    <row r="2333" spans="2:8">
      <c r="B2333" s="11" t="str">
        <f t="shared" si="145"/>
        <v/>
      </c>
      <c r="C2333" s="11" t="str">
        <f t="shared" si="144"/>
        <v/>
      </c>
      <c r="F2333" s="10" t="str">
        <v/>
      </c>
      <c r="G2333" t="e">
        <f t="shared" si="146"/>
        <v>#VALUE!</v>
      </c>
      <c r="H2333" s="13" t="e">
        <f t="shared" si="147"/>
        <v>#VALUE!</v>
      </c>
    </row>
    <row r="2334" spans="2:8">
      <c r="B2334" s="11" t="str">
        <f t="shared" si="145"/>
        <v/>
      </c>
      <c r="C2334" s="11" t="str">
        <f t="shared" si="144"/>
        <v/>
      </c>
      <c r="F2334" s="10" t="str">
        <v/>
      </c>
      <c r="G2334" t="e">
        <f t="shared" si="146"/>
        <v>#VALUE!</v>
      </c>
      <c r="H2334" s="13" t="e">
        <f t="shared" si="147"/>
        <v>#VALUE!</v>
      </c>
    </row>
    <row r="2335" spans="2:8">
      <c r="B2335" s="11" t="str">
        <f t="shared" si="145"/>
        <v/>
      </c>
      <c r="C2335" s="11" t="str">
        <f t="shared" si="144"/>
        <v/>
      </c>
      <c r="F2335" s="10" t="str">
        <v/>
      </c>
      <c r="G2335" t="e">
        <f t="shared" si="146"/>
        <v>#VALUE!</v>
      </c>
      <c r="H2335" s="13" t="e">
        <f t="shared" si="147"/>
        <v>#VALUE!</v>
      </c>
    </row>
    <row r="2336" spans="2:8">
      <c r="B2336" s="11" t="str">
        <f t="shared" si="145"/>
        <v/>
      </c>
      <c r="C2336" s="11" t="str">
        <f t="shared" si="144"/>
        <v/>
      </c>
      <c r="F2336" s="10" t="str">
        <v/>
      </c>
      <c r="G2336" t="e">
        <f t="shared" si="146"/>
        <v>#VALUE!</v>
      </c>
      <c r="H2336" s="13" t="e">
        <f t="shared" si="147"/>
        <v>#VALUE!</v>
      </c>
    </row>
    <row r="2337" spans="2:8">
      <c r="B2337" s="11" t="str">
        <f t="shared" si="145"/>
        <v/>
      </c>
      <c r="C2337" s="11" t="str">
        <f t="shared" si="144"/>
        <v/>
      </c>
      <c r="F2337" s="10" t="str">
        <v/>
      </c>
      <c r="G2337" t="e">
        <f t="shared" si="146"/>
        <v>#VALUE!</v>
      </c>
      <c r="H2337" s="13" t="e">
        <f t="shared" si="147"/>
        <v>#VALUE!</v>
      </c>
    </row>
    <row r="2338" spans="2:8">
      <c r="B2338" s="11" t="str">
        <f t="shared" si="145"/>
        <v/>
      </c>
      <c r="C2338" s="11" t="str">
        <f t="shared" si="144"/>
        <v/>
      </c>
      <c r="F2338" s="10" t="str">
        <v/>
      </c>
      <c r="G2338" t="e">
        <f t="shared" si="146"/>
        <v>#VALUE!</v>
      </c>
      <c r="H2338" s="13" t="e">
        <f t="shared" si="147"/>
        <v>#VALUE!</v>
      </c>
    </row>
    <row r="2339" spans="2:8">
      <c r="B2339" s="11" t="str">
        <f t="shared" si="145"/>
        <v/>
      </c>
      <c r="C2339" s="11" t="str">
        <f t="shared" si="144"/>
        <v/>
      </c>
      <c r="F2339" s="10" t="str">
        <v/>
      </c>
      <c r="G2339" t="e">
        <f t="shared" si="146"/>
        <v>#VALUE!</v>
      </c>
      <c r="H2339" s="13" t="e">
        <f t="shared" si="147"/>
        <v>#VALUE!</v>
      </c>
    </row>
    <row r="2340" spans="2:8">
      <c r="B2340" s="11" t="str">
        <f t="shared" si="145"/>
        <v/>
      </c>
      <c r="C2340" s="11" t="str">
        <f t="shared" si="144"/>
        <v/>
      </c>
      <c r="F2340" s="10" t="str">
        <v/>
      </c>
      <c r="G2340" t="e">
        <f t="shared" si="146"/>
        <v>#VALUE!</v>
      </c>
      <c r="H2340" s="13" t="e">
        <f t="shared" si="147"/>
        <v>#VALUE!</v>
      </c>
    </row>
    <row r="2341" spans="2:8">
      <c r="B2341" s="11" t="str">
        <f t="shared" si="145"/>
        <v/>
      </c>
      <c r="C2341" s="11" t="str">
        <f t="shared" si="144"/>
        <v/>
      </c>
      <c r="F2341" s="10" t="str">
        <v/>
      </c>
      <c r="G2341" t="e">
        <f t="shared" si="146"/>
        <v>#VALUE!</v>
      </c>
      <c r="H2341" s="13" t="e">
        <f t="shared" si="147"/>
        <v>#VALUE!</v>
      </c>
    </row>
    <row r="2342" spans="2:8">
      <c r="B2342" s="11" t="str">
        <f t="shared" si="145"/>
        <v/>
      </c>
      <c r="C2342" s="11" t="str">
        <f t="shared" si="144"/>
        <v/>
      </c>
      <c r="F2342" s="10" t="str">
        <v/>
      </c>
      <c r="G2342" t="e">
        <f t="shared" si="146"/>
        <v>#VALUE!</v>
      </c>
      <c r="H2342" s="13" t="e">
        <f t="shared" si="147"/>
        <v>#VALUE!</v>
      </c>
    </row>
    <row r="2343" spans="2:8">
      <c r="B2343" s="11" t="str">
        <f t="shared" si="145"/>
        <v/>
      </c>
      <c r="C2343" s="11" t="str">
        <f t="shared" si="144"/>
        <v/>
      </c>
      <c r="F2343" s="10" t="str">
        <v/>
      </c>
      <c r="G2343" t="e">
        <f t="shared" si="146"/>
        <v>#VALUE!</v>
      </c>
      <c r="H2343" s="13" t="e">
        <f t="shared" si="147"/>
        <v>#VALUE!</v>
      </c>
    </row>
    <row r="2344" spans="2:8">
      <c r="B2344" s="11" t="str">
        <f t="shared" si="145"/>
        <v/>
      </c>
      <c r="C2344" s="11" t="str">
        <f t="shared" si="144"/>
        <v/>
      </c>
      <c r="F2344" s="10" t="str">
        <v/>
      </c>
      <c r="G2344" t="e">
        <f t="shared" si="146"/>
        <v>#VALUE!</v>
      </c>
      <c r="H2344" s="13" t="e">
        <f t="shared" si="147"/>
        <v>#VALUE!</v>
      </c>
    </row>
    <row r="2345" spans="2:8">
      <c r="B2345" s="11" t="str">
        <f t="shared" si="145"/>
        <v/>
      </c>
      <c r="C2345" s="11" t="str">
        <f t="shared" ref="C2345:C2408" si="148">IF(B2345="артикул",A2345,"")</f>
        <v/>
      </c>
      <c r="F2345" s="10" t="str">
        <v/>
      </c>
      <c r="G2345" t="e">
        <f t="shared" si="146"/>
        <v>#VALUE!</v>
      </c>
      <c r="H2345" s="13" t="e">
        <f t="shared" si="147"/>
        <v>#VALUE!</v>
      </c>
    </row>
    <row r="2346" spans="2:8">
      <c r="B2346" s="11" t="str">
        <f t="shared" si="145"/>
        <v/>
      </c>
      <c r="C2346" s="11" t="str">
        <f t="shared" si="148"/>
        <v/>
      </c>
      <c r="F2346" s="10" t="str">
        <v/>
      </c>
      <c r="G2346" t="e">
        <f t="shared" si="146"/>
        <v>#VALUE!</v>
      </c>
      <c r="H2346" s="13" t="e">
        <f t="shared" si="147"/>
        <v>#VALUE!</v>
      </c>
    </row>
    <row r="2347" spans="2:8">
      <c r="B2347" s="11" t="str">
        <f t="shared" si="145"/>
        <v/>
      </c>
      <c r="C2347" s="11" t="str">
        <f t="shared" si="148"/>
        <v/>
      </c>
      <c r="F2347" s="10" t="str">
        <v/>
      </c>
      <c r="G2347" t="e">
        <f t="shared" si="146"/>
        <v>#VALUE!</v>
      </c>
      <c r="H2347" s="13" t="e">
        <f t="shared" si="147"/>
        <v>#VALUE!</v>
      </c>
    </row>
    <row r="2348" spans="2:8">
      <c r="B2348" s="11" t="str">
        <f t="shared" si="145"/>
        <v/>
      </c>
      <c r="C2348" s="11" t="str">
        <f t="shared" si="148"/>
        <v/>
      </c>
      <c r="F2348" s="10" t="str">
        <v/>
      </c>
      <c r="G2348" t="e">
        <f t="shared" si="146"/>
        <v>#VALUE!</v>
      </c>
      <c r="H2348" s="13" t="e">
        <f t="shared" si="147"/>
        <v>#VALUE!</v>
      </c>
    </row>
    <row r="2349" spans="2:8">
      <c r="B2349" s="11" t="str">
        <f t="shared" si="145"/>
        <v/>
      </c>
      <c r="C2349" s="11" t="str">
        <f t="shared" si="148"/>
        <v/>
      </c>
      <c r="F2349" s="10" t="str">
        <v/>
      </c>
      <c r="G2349" t="e">
        <f t="shared" si="146"/>
        <v>#VALUE!</v>
      </c>
      <c r="H2349" s="13" t="e">
        <f t="shared" si="147"/>
        <v>#VALUE!</v>
      </c>
    </row>
    <row r="2350" spans="2:8">
      <c r="B2350" s="11" t="str">
        <f t="shared" si="145"/>
        <v/>
      </c>
      <c r="C2350" s="11" t="str">
        <f t="shared" si="148"/>
        <v/>
      </c>
      <c r="F2350" s="10" t="str">
        <v/>
      </c>
      <c r="G2350" t="e">
        <f t="shared" si="146"/>
        <v>#VALUE!</v>
      </c>
      <c r="H2350" s="13" t="e">
        <f t="shared" si="147"/>
        <v>#VALUE!</v>
      </c>
    </row>
    <row r="2351" spans="2:8">
      <c r="B2351" s="11" t="str">
        <f t="shared" si="145"/>
        <v/>
      </c>
      <c r="C2351" s="11" t="str">
        <f t="shared" si="148"/>
        <v/>
      </c>
      <c r="F2351" s="10" t="str">
        <v/>
      </c>
      <c r="G2351" t="e">
        <f t="shared" si="146"/>
        <v>#VALUE!</v>
      </c>
      <c r="H2351" s="13" t="e">
        <f t="shared" si="147"/>
        <v>#VALUE!</v>
      </c>
    </row>
    <row r="2352" spans="2:8">
      <c r="B2352" s="11" t="str">
        <f t="shared" si="145"/>
        <v/>
      </c>
      <c r="C2352" s="11" t="str">
        <f t="shared" si="148"/>
        <v/>
      </c>
      <c r="F2352" s="10" t="str">
        <v/>
      </c>
      <c r="G2352" t="e">
        <f t="shared" si="146"/>
        <v>#VALUE!</v>
      </c>
      <c r="H2352" s="13" t="e">
        <f t="shared" si="147"/>
        <v>#VALUE!</v>
      </c>
    </row>
    <row r="2353" spans="2:8">
      <c r="B2353" s="11" t="str">
        <f t="shared" si="145"/>
        <v/>
      </c>
      <c r="C2353" s="11" t="str">
        <f t="shared" si="148"/>
        <v/>
      </c>
      <c r="F2353" s="10" t="str">
        <v/>
      </c>
      <c r="G2353" t="e">
        <f t="shared" si="146"/>
        <v>#VALUE!</v>
      </c>
      <c r="H2353" s="13" t="e">
        <f t="shared" si="147"/>
        <v>#VALUE!</v>
      </c>
    </row>
    <row r="2354" spans="2:8">
      <c r="B2354" s="11" t="str">
        <f t="shared" si="145"/>
        <v/>
      </c>
      <c r="C2354" s="11" t="str">
        <f t="shared" si="148"/>
        <v/>
      </c>
      <c r="F2354" s="10" t="str">
        <v/>
      </c>
      <c r="G2354" t="e">
        <f t="shared" si="146"/>
        <v>#VALUE!</v>
      </c>
      <c r="H2354" s="13" t="e">
        <f t="shared" si="147"/>
        <v>#VALUE!</v>
      </c>
    </row>
    <row r="2355" spans="2:8">
      <c r="B2355" s="11" t="str">
        <f t="shared" si="145"/>
        <v/>
      </c>
      <c r="C2355" s="11" t="str">
        <f t="shared" si="148"/>
        <v/>
      </c>
      <c r="F2355" s="10" t="str">
        <v/>
      </c>
      <c r="G2355" t="e">
        <f t="shared" si="146"/>
        <v>#VALUE!</v>
      </c>
      <c r="H2355" s="13" t="e">
        <f t="shared" si="147"/>
        <v>#VALUE!</v>
      </c>
    </row>
    <row r="2356" spans="2:8">
      <c r="B2356" s="11" t="str">
        <f t="shared" si="145"/>
        <v/>
      </c>
      <c r="C2356" s="11" t="str">
        <f t="shared" si="148"/>
        <v/>
      </c>
      <c r="F2356" s="10" t="str">
        <v/>
      </c>
      <c r="G2356" t="e">
        <f t="shared" si="146"/>
        <v>#VALUE!</v>
      </c>
      <c r="H2356" s="13" t="e">
        <f t="shared" si="147"/>
        <v>#VALUE!</v>
      </c>
    </row>
    <row r="2357" spans="2:8">
      <c r="B2357" s="11" t="str">
        <f t="shared" si="145"/>
        <v/>
      </c>
      <c r="C2357" s="11" t="str">
        <f t="shared" si="148"/>
        <v/>
      </c>
      <c r="F2357" s="10" t="str">
        <v/>
      </c>
      <c r="G2357" t="e">
        <f t="shared" si="146"/>
        <v>#VALUE!</v>
      </c>
      <c r="H2357" s="13" t="e">
        <f t="shared" si="147"/>
        <v>#VALUE!</v>
      </c>
    </row>
    <row r="2358" spans="2:8">
      <c r="B2358" s="11" t="str">
        <f t="shared" si="145"/>
        <v/>
      </c>
      <c r="C2358" s="11" t="str">
        <f t="shared" si="148"/>
        <v/>
      </c>
      <c r="F2358" s="10" t="str">
        <v/>
      </c>
      <c r="G2358" t="e">
        <f t="shared" si="146"/>
        <v>#VALUE!</v>
      </c>
      <c r="H2358" s="13" t="e">
        <f t="shared" si="147"/>
        <v>#VALUE!</v>
      </c>
    </row>
    <row r="2359" spans="2:8">
      <c r="B2359" s="11" t="str">
        <f t="shared" si="145"/>
        <v/>
      </c>
      <c r="C2359" s="11" t="str">
        <f t="shared" si="148"/>
        <v/>
      </c>
      <c r="F2359" s="10" t="str">
        <v/>
      </c>
      <c r="G2359" t="e">
        <f t="shared" si="146"/>
        <v>#VALUE!</v>
      </c>
      <c r="H2359" s="13" t="e">
        <f t="shared" si="147"/>
        <v>#VALUE!</v>
      </c>
    </row>
    <row r="2360" spans="2:8">
      <c r="B2360" s="11" t="str">
        <f t="shared" si="145"/>
        <v/>
      </c>
      <c r="C2360" s="11" t="str">
        <f t="shared" si="148"/>
        <v/>
      </c>
      <c r="F2360" s="10" t="str">
        <v/>
      </c>
      <c r="G2360" t="e">
        <f t="shared" si="146"/>
        <v>#VALUE!</v>
      </c>
      <c r="H2360" s="13" t="e">
        <f t="shared" si="147"/>
        <v>#VALUE!</v>
      </c>
    </row>
    <row r="2361" spans="2:8">
      <c r="B2361" s="11" t="str">
        <f t="shared" si="145"/>
        <v/>
      </c>
      <c r="C2361" s="11" t="str">
        <f t="shared" si="148"/>
        <v/>
      </c>
      <c r="F2361" s="10" t="str">
        <v/>
      </c>
      <c r="G2361" t="e">
        <f t="shared" si="146"/>
        <v>#VALUE!</v>
      </c>
      <c r="H2361" s="13" t="e">
        <f t="shared" si="147"/>
        <v>#VALUE!</v>
      </c>
    </row>
    <row r="2362" spans="2:8">
      <c r="B2362" s="11" t="str">
        <f t="shared" si="145"/>
        <v/>
      </c>
      <c r="C2362" s="11" t="str">
        <f t="shared" si="148"/>
        <v/>
      </c>
      <c r="F2362" s="10" t="str">
        <v/>
      </c>
      <c r="G2362" t="e">
        <f t="shared" si="146"/>
        <v>#VALUE!</v>
      </c>
      <c r="H2362" s="13" t="e">
        <f t="shared" si="147"/>
        <v>#VALUE!</v>
      </c>
    </row>
    <row r="2363" spans="2:8">
      <c r="B2363" s="11" t="str">
        <f t="shared" si="145"/>
        <v/>
      </c>
      <c r="C2363" s="11" t="str">
        <f t="shared" si="148"/>
        <v/>
      </c>
      <c r="F2363" s="10" t="str">
        <v/>
      </c>
      <c r="G2363" t="e">
        <f t="shared" si="146"/>
        <v>#VALUE!</v>
      </c>
      <c r="H2363" s="13" t="e">
        <f t="shared" si="147"/>
        <v>#VALUE!</v>
      </c>
    </row>
    <row r="2364" spans="2:8">
      <c r="B2364" s="11" t="str">
        <f t="shared" si="145"/>
        <v/>
      </c>
      <c r="C2364" s="11" t="str">
        <f t="shared" si="148"/>
        <v/>
      </c>
      <c r="F2364" s="10" t="str">
        <v/>
      </c>
      <c r="G2364" t="e">
        <f t="shared" si="146"/>
        <v>#VALUE!</v>
      </c>
      <c r="H2364" s="13" t="e">
        <f t="shared" si="147"/>
        <v>#VALUE!</v>
      </c>
    </row>
    <row r="2365" spans="2:8">
      <c r="B2365" s="11" t="str">
        <f t="shared" si="145"/>
        <v/>
      </c>
      <c r="C2365" s="11" t="str">
        <f t="shared" si="148"/>
        <v/>
      </c>
      <c r="F2365" s="10" t="str">
        <v/>
      </c>
      <c r="G2365" t="e">
        <f t="shared" si="146"/>
        <v>#VALUE!</v>
      </c>
      <c r="H2365" s="13" t="e">
        <f t="shared" si="147"/>
        <v>#VALUE!</v>
      </c>
    </row>
    <row r="2366" spans="2:8">
      <c r="B2366" s="11" t="str">
        <f t="shared" si="145"/>
        <v/>
      </c>
      <c r="C2366" s="11" t="str">
        <f t="shared" si="148"/>
        <v/>
      </c>
      <c r="F2366" s="10" t="str">
        <v/>
      </c>
      <c r="G2366" t="e">
        <f t="shared" si="146"/>
        <v>#VALUE!</v>
      </c>
      <c r="H2366" s="13" t="e">
        <f t="shared" si="147"/>
        <v>#VALUE!</v>
      </c>
    </row>
    <row r="2367" spans="2:8">
      <c r="B2367" s="11" t="str">
        <f t="shared" si="145"/>
        <v/>
      </c>
      <c r="C2367" s="11" t="str">
        <f t="shared" si="148"/>
        <v/>
      </c>
      <c r="F2367" s="10" t="str">
        <v/>
      </c>
      <c r="G2367" t="e">
        <f t="shared" si="146"/>
        <v>#VALUE!</v>
      </c>
      <c r="H2367" s="13" t="e">
        <f t="shared" si="147"/>
        <v>#VALUE!</v>
      </c>
    </row>
    <row r="2368" spans="2:8">
      <c r="B2368" s="11" t="str">
        <f t="shared" si="145"/>
        <v/>
      </c>
      <c r="C2368" s="11" t="str">
        <f t="shared" si="148"/>
        <v/>
      </c>
      <c r="F2368" s="10" t="str">
        <v/>
      </c>
      <c r="G2368" t="e">
        <f t="shared" si="146"/>
        <v>#VALUE!</v>
      </c>
      <c r="H2368" s="13" t="e">
        <f t="shared" si="147"/>
        <v>#VALUE!</v>
      </c>
    </row>
    <row r="2369" spans="2:8">
      <c r="B2369" s="11" t="str">
        <f t="shared" ref="B2369:B2432" si="149">IFERROR(IF(FIND(" ",A2369)=6,IF(IFERROR(FIND(" PB",A2369),"")&lt;&gt;"","артикул",IF(IFERROR(FIND(" CRN",A2369),"")&lt;&gt;"","артикул","")),""),"")</f>
        <v/>
      </c>
      <c r="C2369" s="11" t="str">
        <f t="shared" si="148"/>
        <v/>
      </c>
      <c r="F2369" s="10" t="str">
        <v/>
      </c>
      <c r="G2369" t="e">
        <f t="shared" si="146"/>
        <v>#VALUE!</v>
      </c>
      <c r="H2369" s="13" t="e">
        <f t="shared" si="147"/>
        <v>#VALUE!</v>
      </c>
    </row>
    <row r="2370" spans="2:8">
      <c r="B2370" s="11" t="str">
        <f t="shared" si="149"/>
        <v/>
      </c>
      <c r="C2370" s="11" t="str">
        <f t="shared" si="148"/>
        <v/>
      </c>
      <c r="F2370" s="10" t="str">
        <v/>
      </c>
      <c r="G2370" t="e">
        <f t="shared" ref="G2370:G2433" si="150">CONCATENATE(LEFT(F2370,5),
MID(F2370,
SEARCH("\",SUBSTITUTE(F2370," ","\",LEN(F2370)-LEN(SUBSTITUTE(F2370," ",""))-4)),
SEARCH("\",SUBSTITUTE(F2370," ","\",LEN(F2370)-LEN(SUBSTITUTE(F2370," ",""))-3))-
SEARCH("\",SUBSTITUTE(F2370," ","\",LEN(F2370)-LEN(SUBSTITUTE(F2370," ",""))-4)))*1)</f>
        <v>#VALUE!</v>
      </c>
      <c r="H2370" s="13" t="e">
        <f t="shared" ref="H2370:H2433" si="151">SUBSTITUTE(
RIGHT(F2370,LEN(F2370)-
FIND("\",SUBSTITUTE(F2370," ","\",LEN(F2370)-LEN(SUBSTITUTE(F2370," ",""))))),
".","")</f>
        <v>#VALUE!</v>
      </c>
    </row>
    <row r="2371" spans="2:8">
      <c r="B2371" s="11" t="str">
        <f t="shared" si="149"/>
        <v/>
      </c>
      <c r="C2371" s="11" t="str">
        <f t="shared" si="148"/>
        <v/>
      </c>
      <c r="F2371" s="10" t="str">
        <v/>
      </c>
      <c r="G2371" t="e">
        <f t="shared" si="150"/>
        <v>#VALUE!</v>
      </c>
      <c r="H2371" s="13" t="e">
        <f t="shared" si="151"/>
        <v>#VALUE!</v>
      </c>
    </row>
    <row r="2372" spans="2:8">
      <c r="B2372" s="11" t="str">
        <f t="shared" si="149"/>
        <v/>
      </c>
      <c r="C2372" s="11" t="str">
        <f t="shared" si="148"/>
        <v/>
      </c>
      <c r="F2372" s="10" t="str">
        <v/>
      </c>
      <c r="G2372" t="e">
        <f t="shared" si="150"/>
        <v>#VALUE!</v>
      </c>
      <c r="H2372" s="13" t="e">
        <f t="shared" si="151"/>
        <v>#VALUE!</v>
      </c>
    </row>
    <row r="2373" spans="2:8">
      <c r="B2373" s="11" t="str">
        <f t="shared" si="149"/>
        <v/>
      </c>
      <c r="C2373" s="11" t="str">
        <f t="shared" si="148"/>
        <v/>
      </c>
      <c r="F2373" s="10" t="str">
        <v/>
      </c>
      <c r="G2373" t="e">
        <f t="shared" si="150"/>
        <v>#VALUE!</v>
      </c>
      <c r="H2373" s="13" t="e">
        <f t="shared" si="151"/>
        <v>#VALUE!</v>
      </c>
    </row>
    <row r="2374" spans="2:8">
      <c r="B2374" s="11" t="str">
        <f t="shared" si="149"/>
        <v/>
      </c>
      <c r="C2374" s="11" t="str">
        <f t="shared" si="148"/>
        <v/>
      </c>
      <c r="F2374" s="10" t="str">
        <v/>
      </c>
      <c r="G2374" t="e">
        <f t="shared" si="150"/>
        <v>#VALUE!</v>
      </c>
      <c r="H2374" s="13" t="e">
        <f t="shared" si="151"/>
        <v>#VALUE!</v>
      </c>
    </row>
    <row r="2375" spans="2:8">
      <c r="B2375" s="11" t="str">
        <f t="shared" si="149"/>
        <v/>
      </c>
      <c r="C2375" s="11" t="str">
        <f t="shared" si="148"/>
        <v/>
      </c>
      <c r="F2375" s="10" t="str">
        <v/>
      </c>
      <c r="G2375" t="e">
        <f t="shared" si="150"/>
        <v>#VALUE!</v>
      </c>
      <c r="H2375" s="13" t="e">
        <f t="shared" si="151"/>
        <v>#VALUE!</v>
      </c>
    </row>
    <row r="2376" spans="2:8">
      <c r="B2376" s="11" t="str">
        <f t="shared" si="149"/>
        <v/>
      </c>
      <c r="C2376" s="11" t="str">
        <f t="shared" si="148"/>
        <v/>
      </c>
      <c r="F2376" s="10" t="str">
        <v/>
      </c>
      <c r="G2376" t="e">
        <f t="shared" si="150"/>
        <v>#VALUE!</v>
      </c>
      <c r="H2376" s="13" t="e">
        <f t="shared" si="151"/>
        <v>#VALUE!</v>
      </c>
    </row>
    <row r="2377" spans="2:8">
      <c r="B2377" s="11" t="str">
        <f t="shared" si="149"/>
        <v/>
      </c>
      <c r="C2377" s="11" t="str">
        <f t="shared" si="148"/>
        <v/>
      </c>
      <c r="F2377" s="10" t="str">
        <v/>
      </c>
      <c r="G2377" t="e">
        <f t="shared" si="150"/>
        <v>#VALUE!</v>
      </c>
      <c r="H2377" s="13" t="e">
        <f t="shared" si="151"/>
        <v>#VALUE!</v>
      </c>
    </row>
    <row r="2378" spans="2:8">
      <c r="B2378" s="11" t="str">
        <f t="shared" si="149"/>
        <v/>
      </c>
      <c r="C2378" s="11" t="str">
        <f t="shared" si="148"/>
        <v/>
      </c>
      <c r="F2378" s="10" t="str">
        <v/>
      </c>
      <c r="G2378" t="e">
        <f t="shared" si="150"/>
        <v>#VALUE!</v>
      </c>
      <c r="H2378" s="13" t="e">
        <f t="shared" si="151"/>
        <v>#VALUE!</v>
      </c>
    </row>
    <row r="2379" spans="2:8">
      <c r="B2379" s="11" t="str">
        <f t="shared" si="149"/>
        <v/>
      </c>
      <c r="C2379" s="11" t="str">
        <f t="shared" si="148"/>
        <v/>
      </c>
      <c r="F2379" s="10" t="str">
        <v/>
      </c>
      <c r="G2379" t="e">
        <f t="shared" si="150"/>
        <v>#VALUE!</v>
      </c>
      <c r="H2379" s="13" t="e">
        <f t="shared" si="151"/>
        <v>#VALUE!</v>
      </c>
    </row>
    <row r="2380" spans="2:8">
      <c r="B2380" s="11" t="str">
        <f t="shared" si="149"/>
        <v/>
      </c>
      <c r="C2380" s="11" t="str">
        <f t="shared" si="148"/>
        <v/>
      </c>
      <c r="F2380" s="10" t="str">
        <v/>
      </c>
      <c r="G2380" t="e">
        <f t="shared" si="150"/>
        <v>#VALUE!</v>
      </c>
      <c r="H2380" s="13" t="e">
        <f t="shared" si="151"/>
        <v>#VALUE!</v>
      </c>
    </row>
    <row r="2381" spans="2:8">
      <c r="B2381" s="11" t="str">
        <f t="shared" si="149"/>
        <v/>
      </c>
      <c r="C2381" s="11" t="str">
        <f t="shared" si="148"/>
        <v/>
      </c>
      <c r="F2381" s="10" t="str">
        <v/>
      </c>
      <c r="G2381" t="e">
        <f t="shared" si="150"/>
        <v>#VALUE!</v>
      </c>
      <c r="H2381" s="13" t="e">
        <f t="shared" si="151"/>
        <v>#VALUE!</v>
      </c>
    </row>
    <row r="2382" spans="2:8">
      <c r="B2382" s="11" t="str">
        <f t="shared" si="149"/>
        <v/>
      </c>
      <c r="C2382" s="11" t="str">
        <f t="shared" si="148"/>
        <v/>
      </c>
      <c r="F2382" s="10" t="str">
        <v/>
      </c>
      <c r="G2382" t="e">
        <f t="shared" si="150"/>
        <v>#VALUE!</v>
      </c>
      <c r="H2382" s="13" t="e">
        <f t="shared" si="151"/>
        <v>#VALUE!</v>
      </c>
    </row>
    <row r="2383" spans="2:8">
      <c r="B2383" s="11" t="str">
        <f t="shared" si="149"/>
        <v/>
      </c>
      <c r="C2383" s="11" t="str">
        <f t="shared" si="148"/>
        <v/>
      </c>
      <c r="F2383" s="10" t="str">
        <v/>
      </c>
      <c r="G2383" t="e">
        <f t="shared" si="150"/>
        <v>#VALUE!</v>
      </c>
      <c r="H2383" s="13" t="e">
        <f t="shared" si="151"/>
        <v>#VALUE!</v>
      </c>
    </row>
    <row r="2384" spans="2:8">
      <c r="B2384" s="11" t="str">
        <f t="shared" si="149"/>
        <v/>
      </c>
      <c r="C2384" s="11" t="str">
        <f t="shared" si="148"/>
        <v/>
      </c>
      <c r="F2384" s="10" t="str">
        <v/>
      </c>
      <c r="G2384" t="e">
        <f t="shared" si="150"/>
        <v>#VALUE!</v>
      </c>
      <c r="H2384" s="13" t="e">
        <f t="shared" si="151"/>
        <v>#VALUE!</v>
      </c>
    </row>
    <row r="2385" spans="2:8">
      <c r="B2385" s="11" t="str">
        <f t="shared" si="149"/>
        <v/>
      </c>
      <c r="C2385" s="11" t="str">
        <f t="shared" si="148"/>
        <v/>
      </c>
      <c r="F2385" s="10" t="str">
        <v/>
      </c>
      <c r="G2385" t="e">
        <f t="shared" si="150"/>
        <v>#VALUE!</v>
      </c>
      <c r="H2385" s="13" t="e">
        <f t="shared" si="151"/>
        <v>#VALUE!</v>
      </c>
    </row>
    <row r="2386" spans="2:8">
      <c r="B2386" s="11" t="str">
        <f t="shared" si="149"/>
        <v/>
      </c>
      <c r="C2386" s="11" t="str">
        <f t="shared" si="148"/>
        <v/>
      </c>
      <c r="F2386" s="10" t="str">
        <v/>
      </c>
      <c r="G2386" t="e">
        <f t="shared" si="150"/>
        <v>#VALUE!</v>
      </c>
      <c r="H2386" s="13" t="e">
        <f t="shared" si="151"/>
        <v>#VALUE!</v>
      </c>
    </row>
    <row r="2387" spans="2:8">
      <c r="B2387" s="11" t="str">
        <f t="shared" si="149"/>
        <v/>
      </c>
      <c r="C2387" s="11" t="str">
        <f t="shared" si="148"/>
        <v/>
      </c>
      <c r="F2387" s="10" t="str">
        <v/>
      </c>
      <c r="G2387" t="e">
        <f t="shared" si="150"/>
        <v>#VALUE!</v>
      </c>
      <c r="H2387" s="13" t="e">
        <f t="shared" si="151"/>
        <v>#VALUE!</v>
      </c>
    </row>
    <row r="2388" spans="2:8">
      <c r="B2388" s="11" t="str">
        <f t="shared" si="149"/>
        <v/>
      </c>
      <c r="C2388" s="11" t="str">
        <f t="shared" si="148"/>
        <v/>
      </c>
      <c r="F2388" s="10" t="str">
        <v/>
      </c>
      <c r="G2388" t="e">
        <f t="shared" si="150"/>
        <v>#VALUE!</v>
      </c>
      <c r="H2388" s="13" t="e">
        <f t="shared" si="151"/>
        <v>#VALUE!</v>
      </c>
    </row>
    <row r="2389" spans="2:8">
      <c r="B2389" s="11" t="str">
        <f t="shared" si="149"/>
        <v/>
      </c>
      <c r="C2389" s="11" t="str">
        <f t="shared" si="148"/>
        <v/>
      </c>
      <c r="F2389" s="10" t="str">
        <v/>
      </c>
      <c r="G2389" t="e">
        <f t="shared" si="150"/>
        <v>#VALUE!</v>
      </c>
      <c r="H2389" s="13" t="e">
        <f t="shared" si="151"/>
        <v>#VALUE!</v>
      </c>
    </row>
    <row r="2390" spans="2:8">
      <c r="B2390" s="11" t="str">
        <f t="shared" si="149"/>
        <v/>
      </c>
      <c r="C2390" s="11" t="str">
        <f t="shared" si="148"/>
        <v/>
      </c>
      <c r="F2390" s="10" t="str">
        <v/>
      </c>
      <c r="G2390" t="e">
        <f t="shared" si="150"/>
        <v>#VALUE!</v>
      </c>
      <c r="H2390" s="13" t="e">
        <f t="shared" si="151"/>
        <v>#VALUE!</v>
      </c>
    </row>
    <row r="2391" spans="2:8">
      <c r="B2391" s="11" t="str">
        <f t="shared" si="149"/>
        <v/>
      </c>
      <c r="C2391" s="11" t="str">
        <f t="shared" si="148"/>
        <v/>
      </c>
      <c r="F2391" s="10" t="str">
        <v/>
      </c>
      <c r="G2391" t="e">
        <f t="shared" si="150"/>
        <v>#VALUE!</v>
      </c>
      <c r="H2391" s="13" t="e">
        <f t="shared" si="151"/>
        <v>#VALUE!</v>
      </c>
    </row>
    <row r="2392" spans="2:8">
      <c r="B2392" s="11" t="str">
        <f t="shared" si="149"/>
        <v/>
      </c>
      <c r="C2392" s="11" t="str">
        <f t="shared" si="148"/>
        <v/>
      </c>
      <c r="F2392" s="10" t="str">
        <v/>
      </c>
      <c r="G2392" t="e">
        <f t="shared" si="150"/>
        <v>#VALUE!</v>
      </c>
      <c r="H2392" s="13" t="e">
        <f t="shared" si="151"/>
        <v>#VALUE!</v>
      </c>
    </row>
    <row r="2393" spans="2:8">
      <c r="B2393" s="11" t="str">
        <f t="shared" si="149"/>
        <v/>
      </c>
      <c r="C2393" s="11" t="str">
        <f t="shared" si="148"/>
        <v/>
      </c>
      <c r="F2393" s="10" t="str">
        <v/>
      </c>
      <c r="G2393" t="e">
        <f t="shared" si="150"/>
        <v>#VALUE!</v>
      </c>
      <c r="H2393" s="13" t="e">
        <f t="shared" si="151"/>
        <v>#VALUE!</v>
      </c>
    </row>
    <row r="2394" spans="2:8">
      <c r="B2394" s="11" t="str">
        <f t="shared" si="149"/>
        <v/>
      </c>
      <c r="C2394" s="11" t="str">
        <f t="shared" si="148"/>
        <v/>
      </c>
      <c r="F2394" s="10" t="str">
        <v/>
      </c>
      <c r="G2394" t="e">
        <f t="shared" si="150"/>
        <v>#VALUE!</v>
      </c>
      <c r="H2394" s="13" t="e">
        <f t="shared" si="151"/>
        <v>#VALUE!</v>
      </c>
    </row>
    <row r="2395" spans="2:8">
      <c r="B2395" s="11" t="str">
        <f t="shared" si="149"/>
        <v/>
      </c>
      <c r="C2395" s="11" t="str">
        <f t="shared" si="148"/>
        <v/>
      </c>
      <c r="F2395" s="10" t="str">
        <v/>
      </c>
      <c r="G2395" t="e">
        <f t="shared" si="150"/>
        <v>#VALUE!</v>
      </c>
      <c r="H2395" s="13" t="e">
        <f t="shared" si="151"/>
        <v>#VALUE!</v>
      </c>
    </row>
    <row r="2396" spans="2:8">
      <c r="B2396" s="11" t="str">
        <f t="shared" si="149"/>
        <v/>
      </c>
      <c r="C2396" s="11" t="str">
        <f t="shared" si="148"/>
        <v/>
      </c>
      <c r="F2396" s="10" t="str">
        <v/>
      </c>
      <c r="G2396" t="e">
        <f t="shared" si="150"/>
        <v>#VALUE!</v>
      </c>
      <c r="H2396" s="13" t="e">
        <f t="shared" si="151"/>
        <v>#VALUE!</v>
      </c>
    </row>
    <row r="2397" spans="2:8">
      <c r="B2397" s="11" t="str">
        <f t="shared" si="149"/>
        <v/>
      </c>
      <c r="C2397" s="11" t="str">
        <f t="shared" si="148"/>
        <v/>
      </c>
      <c r="F2397" s="10" t="str">
        <v/>
      </c>
      <c r="G2397" t="e">
        <f t="shared" si="150"/>
        <v>#VALUE!</v>
      </c>
      <c r="H2397" s="13" t="e">
        <f t="shared" si="151"/>
        <v>#VALUE!</v>
      </c>
    </row>
    <row r="2398" spans="2:8">
      <c r="B2398" s="11" t="str">
        <f t="shared" si="149"/>
        <v/>
      </c>
      <c r="C2398" s="11" t="str">
        <f t="shared" si="148"/>
        <v/>
      </c>
      <c r="F2398" s="10" t="str">
        <v/>
      </c>
      <c r="G2398" t="e">
        <f t="shared" si="150"/>
        <v>#VALUE!</v>
      </c>
      <c r="H2398" s="13" t="e">
        <f t="shared" si="151"/>
        <v>#VALUE!</v>
      </c>
    </row>
    <row r="2399" spans="2:8">
      <c r="B2399" s="11" t="str">
        <f t="shared" si="149"/>
        <v/>
      </c>
      <c r="C2399" s="11" t="str">
        <f t="shared" si="148"/>
        <v/>
      </c>
      <c r="F2399" s="10" t="str">
        <v/>
      </c>
      <c r="G2399" t="e">
        <f t="shared" si="150"/>
        <v>#VALUE!</v>
      </c>
      <c r="H2399" s="13" t="e">
        <f t="shared" si="151"/>
        <v>#VALUE!</v>
      </c>
    </row>
    <row r="2400" spans="2:8">
      <c r="B2400" s="11" t="str">
        <f t="shared" si="149"/>
        <v/>
      </c>
      <c r="C2400" s="11" t="str">
        <f t="shared" si="148"/>
        <v/>
      </c>
      <c r="F2400" s="10" t="str">
        <v/>
      </c>
      <c r="G2400" t="e">
        <f t="shared" si="150"/>
        <v>#VALUE!</v>
      </c>
      <c r="H2400" s="13" t="e">
        <f t="shared" si="151"/>
        <v>#VALUE!</v>
      </c>
    </row>
    <row r="2401" spans="2:8">
      <c r="B2401" s="11" t="str">
        <f t="shared" si="149"/>
        <v/>
      </c>
      <c r="C2401" s="11" t="str">
        <f t="shared" si="148"/>
        <v/>
      </c>
      <c r="F2401" s="10" t="str">
        <v/>
      </c>
      <c r="G2401" t="e">
        <f t="shared" si="150"/>
        <v>#VALUE!</v>
      </c>
      <c r="H2401" s="13" t="e">
        <f t="shared" si="151"/>
        <v>#VALUE!</v>
      </c>
    </row>
    <row r="2402" spans="2:8">
      <c r="B2402" s="11" t="str">
        <f t="shared" si="149"/>
        <v/>
      </c>
      <c r="C2402" s="11" t="str">
        <f t="shared" si="148"/>
        <v/>
      </c>
      <c r="F2402" s="10" t="str">
        <v/>
      </c>
      <c r="G2402" t="e">
        <f t="shared" si="150"/>
        <v>#VALUE!</v>
      </c>
      <c r="H2402" s="13" t="e">
        <f t="shared" si="151"/>
        <v>#VALUE!</v>
      </c>
    </row>
    <row r="2403" spans="2:8">
      <c r="B2403" s="11" t="str">
        <f t="shared" si="149"/>
        <v/>
      </c>
      <c r="C2403" s="11" t="str">
        <f t="shared" si="148"/>
        <v/>
      </c>
      <c r="F2403" s="10" t="str">
        <v/>
      </c>
      <c r="G2403" t="e">
        <f t="shared" si="150"/>
        <v>#VALUE!</v>
      </c>
      <c r="H2403" s="13" t="e">
        <f t="shared" si="151"/>
        <v>#VALUE!</v>
      </c>
    </row>
    <row r="2404" spans="2:8">
      <c r="B2404" s="11" t="str">
        <f t="shared" si="149"/>
        <v/>
      </c>
      <c r="C2404" s="11" t="str">
        <f t="shared" si="148"/>
        <v/>
      </c>
      <c r="F2404" s="10" t="str">
        <v/>
      </c>
      <c r="G2404" t="e">
        <f t="shared" si="150"/>
        <v>#VALUE!</v>
      </c>
      <c r="H2404" s="13" t="e">
        <f t="shared" si="151"/>
        <v>#VALUE!</v>
      </c>
    </row>
    <row r="2405" spans="2:8">
      <c r="B2405" s="11" t="str">
        <f t="shared" si="149"/>
        <v/>
      </c>
      <c r="C2405" s="11" t="str">
        <f t="shared" si="148"/>
        <v/>
      </c>
      <c r="F2405" s="10" t="str">
        <v/>
      </c>
      <c r="G2405" t="e">
        <f t="shared" si="150"/>
        <v>#VALUE!</v>
      </c>
      <c r="H2405" s="13" t="e">
        <f t="shared" si="151"/>
        <v>#VALUE!</v>
      </c>
    </row>
    <row r="2406" spans="2:8">
      <c r="B2406" s="11" t="str">
        <f t="shared" si="149"/>
        <v/>
      </c>
      <c r="C2406" s="11" t="str">
        <f t="shared" si="148"/>
        <v/>
      </c>
      <c r="F2406" s="10" t="str">
        <v/>
      </c>
      <c r="G2406" t="e">
        <f t="shared" si="150"/>
        <v>#VALUE!</v>
      </c>
      <c r="H2406" s="13" t="e">
        <f t="shared" si="151"/>
        <v>#VALUE!</v>
      </c>
    </row>
    <row r="2407" spans="2:8">
      <c r="B2407" s="11" t="str">
        <f t="shared" si="149"/>
        <v/>
      </c>
      <c r="C2407" s="11" t="str">
        <f t="shared" si="148"/>
        <v/>
      </c>
      <c r="F2407" s="10" t="str">
        <v/>
      </c>
      <c r="G2407" t="e">
        <f t="shared" si="150"/>
        <v>#VALUE!</v>
      </c>
      <c r="H2407" s="13" t="e">
        <f t="shared" si="151"/>
        <v>#VALUE!</v>
      </c>
    </row>
    <row r="2408" spans="2:8">
      <c r="B2408" s="11" t="str">
        <f t="shared" si="149"/>
        <v/>
      </c>
      <c r="C2408" s="11" t="str">
        <f t="shared" si="148"/>
        <v/>
      </c>
      <c r="F2408" s="10" t="str">
        <v/>
      </c>
      <c r="G2408" t="e">
        <f t="shared" si="150"/>
        <v>#VALUE!</v>
      </c>
      <c r="H2408" s="13" t="e">
        <f t="shared" si="151"/>
        <v>#VALUE!</v>
      </c>
    </row>
    <row r="2409" spans="2:8">
      <c r="B2409" s="11" t="str">
        <f t="shared" si="149"/>
        <v/>
      </c>
      <c r="C2409" s="11" t="str">
        <f t="shared" ref="C2409:C2472" si="152">IF(B2409="артикул",A2409,"")</f>
        <v/>
      </c>
      <c r="F2409" s="10" t="str">
        <v/>
      </c>
      <c r="G2409" t="e">
        <f t="shared" si="150"/>
        <v>#VALUE!</v>
      </c>
      <c r="H2409" s="13" t="e">
        <f t="shared" si="151"/>
        <v>#VALUE!</v>
      </c>
    </row>
    <row r="2410" spans="2:8">
      <c r="B2410" s="11" t="str">
        <f t="shared" si="149"/>
        <v/>
      </c>
      <c r="C2410" s="11" t="str">
        <f t="shared" si="152"/>
        <v/>
      </c>
      <c r="F2410" s="10" t="str">
        <v/>
      </c>
      <c r="G2410" t="e">
        <f t="shared" si="150"/>
        <v>#VALUE!</v>
      </c>
      <c r="H2410" s="13" t="e">
        <f t="shared" si="151"/>
        <v>#VALUE!</v>
      </c>
    </row>
    <row r="2411" spans="2:8">
      <c r="B2411" s="11" t="str">
        <f t="shared" si="149"/>
        <v/>
      </c>
      <c r="C2411" s="11" t="str">
        <f t="shared" si="152"/>
        <v/>
      </c>
      <c r="F2411" s="10" t="str">
        <v/>
      </c>
      <c r="G2411" t="e">
        <f t="shared" si="150"/>
        <v>#VALUE!</v>
      </c>
      <c r="H2411" s="13" t="e">
        <f t="shared" si="151"/>
        <v>#VALUE!</v>
      </c>
    </row>
    <row r="2412" spans="2:8">
      <c r="B2412" s="11" t="str">
        <f t="shared" si="149"/>
        <v/>
      </c>
      <c r="C2412" s="11" t="str">
        <f t="shared" si="152"/>
        <v/>
      </c>
      <c r="F2412" s="10" t="str">
        <v/>
      </c>
      <c r="G2412" t="e">
        <f t="shared" si="150"/>
        <v>#VALUE!</v>
      </c>
      <c r="H2412" s="13" t="e">
        <f t="shared" si="151"/>
        <v>#VALUE!</v>
      </c>
    </row>
    <row r="2413" spans="2:8">
      <c r="B2413" s="11" t="str">
        <f t="shared" si="149"/>
        <v/>
      </c>
      <c r="C2413" s="11" t="str">
        <f t="shared" si="152"/>
        <v/>
      </c>
      <c r="F2413" s="10" t="str">
        <v/>
      </c>
      <c r="G2413" t="e">
        <f t="shared" si="150"/>
        <v>#VALUE!</v>
      </c>
      <c r="H2413" s="13" t="e">
        <f t="shared" si="151"/>
        <v>#VALUE!</v>
      </c>
    </row>
    <row r="2414" spans="2:8">
      <c r="B2414" s="11" t="str">
        <f t="shared" si="149"/>
        <v/>
      </c>
      <c r="C2414" s="11" t="str">
        <f t="shared" si="152"/>
        <v/>
      </c>
      <c r="F2414" s="10" t="str">
        <v/>
      </c>
      <c r="G2414" t="e">
        <f t="shared" si="150"/>
        <v>#VALUE!</v>
      </c>
      <c r="H2414" s="13" t="e">
        <f t="shared" si="151"/>
        <v>#VALUE!</v>
      </c>
    </row>
    <row r="2415" spans="2:8">
      <c r="B2415" s="11" t="str">
        <f t="shared" si="149"/>
        <v/>
      </c>
      <c r="C2415" s="11" t="str">
        <f t="shared" si="152"/>
        <v/>
      </c>
      <c r="F2415" s="10" t="str">
        <v/>
      </c>
      <c r="G2415" t="e">
        <f t="shared" si="150"/>
        <v>#VALUE!</v>
      </c>
      <c r="H2415" s="13" t="e">
        <f t="shared" si="151"/>
        <v>#VALUE!</v>
      </c>
    </row>
    <row r="2416" spans="2:8">
      <c r="B2416" s="11" t="str">
        <f t="shared" si="149"/>
        <v/>
      </c>
      <c r="C2416" s="11" t="str">
        <f t="shared" si="152"/>
        <v/>
      </c>
      <c r="F2416" s="10" t="str">
        <v/>
      </c>
      <c r="G2416" t="e">
        <f t="shared" si="150"/>
        <v>#VALUE!</v>
      </c>
      <c r="H2416" s="13" t="e">
        <f t="shared" si="151"/>
        <v>#VALUE!</v>
      </c>
    </row>
    <row r="2417" spans="2:8">
      <c r="B2417" s="11" t="str">
        <f t="shared" si="149"/>
        <v/>
      </c>
      <c r="C2417" s="11" t="str">
        <f t="shared" si="152"/>
        <v/>
      </c>
      <c r="F2417" s="10" t="str">
        <v/>
      </c>
      <c r="G2417" t="e">
        <f t="shared" si="150"/>
        <v>#VALUE!</v>
      </c>
      <c r="H2417" s="13" t="e">
        <f t="shared" si="151"/>
        <v>#VALUE!</v>
      </c>
    </row>
    <row r="2418" spans="2:8">
      <c r="B2418" s="11" t="str">
        <f t="shared" si="149"/>
        <v/>
      </c>
      <c r="C2418" s="11" t="str">
        <f t="shared" si="152"/>
        <v/>
      </c>
      <c r="F2418" s="10" t="str">
        <v/>
      </c>
      <c r="G2418" t="e">
        <f t="shared" si="150"/>
        <v>#VALUE!</v>
      </c>
      <c r="H2418" s="13" t="e">
        <f t="shared" si="151"/>
        <v>#VALUE!</v>
      </c>
    </row>
    <row r="2419" spans="2:8">
      <c r="B2419" s="11" t="str">
        <f t="shared" si="149"/>
        <v/>
      </c>
      <c r="C2419" s="11" t="str">
        <f t="shared" si="152"/>
        <v/>
      </c>
      <c r="F2419" s="10" t="str">
        <v/>
      </c>
      <c r="G2419" t="e">
        <f t="shared" si="150"/>
        <v>#VALUE!</v>
      </c>
      <c r="H2419" s="13" t="e">
        <f t="shared" si="151"/>
        <v>#VALUE!</v>
      </c>
    </row>
    <row r="2420" spans="2:8">
      <c r="B2420" s="11" t="str">
        <f t="shared" si="149"/>
        <v/>
      </c>
      <c r="C2420" s="11" t="str">
        <f t="shared" si="152"/>
        <v/>
      </c>
      <c r="F2420" s="10" t="str">
        <v/>
      </c>
      <c r="G2420" t="e">
        <f t="shared" si="150"/>
        <v>#VALUE!</v>
      </c>
      <c r="H2420" s="13" t="e">
        <f t="shared" si="151"/>
        <v>#VALUE!</v>
      </c>
    </row>
    <row r="2421" spans="2:8">
      <c r="B2421" s="11" t="str">
        <f t="shared" si="149"/>
        <v/>
      </c>
      <c r="C2421" s="11" t="str">
        <f t="shared" si="152"/>
        <v/>
      </c>
      <c r="F2421" s="10" t="str">
        <v/>
      </c>
      <c r="G2421" t="e">
        <f t="shared" si="150"/>
        <v>#VALUE!</v>
      </c>
      <c r="H2421" s="13" t="e">
        <f t="shared" si="151"/>
        <v>#VALUE!</v>
      </c>
    </row>
    <row r="2422" spans="2:8">
      <c r="B2422" s="11" t="str">
        <f t="shared" si="149"/>
        <v/>
      </c>
      <c r="C2422" s="11" t="str">
        <f t="shared" si="152"/>
        <v/>
      </c>
      <c r="F2422" s="10" t="str">
        <v/>
      </c>
      <c r="G2422" t="e">
        <f t="shared" si="150"/>
        <v>#VALUE!</v>
      </c>
      <c r="H2422" s="13" t="e">
        <f t="shared" si="151"/>
        <v>#VALUE!</v>
      </c>
    </row>
    <row r="2423" spans="2:8">
      <c r="B2423" s="11" t="str">
        <f t="shared" si="149"/>
        <v/>
      </c>
      <c r="C2423" s="11" t="str">
        <f t="shared" si="152"/>
        <v/>
      </c>
      <c r="F2423" s="10" t="str">
        <v/>
      </c>
      <c r="G2423" t="e">
        <f t="shared" si="150"/>
        <v>#VALUE!</v>
      </c>
      <c r="H2423" s="13" t="e">
        <f t="shared" si="151"/>
        <v>#VALUE!</v>
      </c>
    </row>
    <row r="2424" spans="2:8">
      <c r="B2424" s="11" t="str">
        <f t="shared" si="149"/>
        <v/>
      </c>
      <c r="C2424" s="11" t="str">
        <f t="shared" si="152"/>
        <v/>
      </c>
      <c r="F2424" s="10" t="str">
        <v/>
      </c>
      <c r="G2424" t="e">
        <f t="shared" si="150"/>
        <v>#VALUE!</v>
      </c>
      <c r="H2424" s="13" t="e">
        <f t="shared" si="151"/>
        <v>#VALUE!</v>
      </c>
    </row>
    <row r="2425" spans="2:8">
      <c r="B2425" s="11" t="str">
        <f t="shared" si="149"/>
        <v/>
      </c>
      <c r="C2425" s="11" t="str">
        <f t="shared" si="152"/>
        <v/>
      </c>
      <c r="F2425" s="10" t="str">
        <v/>
      </c>
      <c r="G2425" t="e">
        <f t="shared" si="150"/>
        <v>#VALUE!</v>
      </c>
      <c r="H2425" s="13" t="e">
        <f t="shared" si="151"/>
        <v>#VALUE!</v>
      </c>
    </row>
    <row r="2426" spans="2:8">
      <c r="B2426" s="11" t="str">
        <f t="shared" si="149"/>
        <v/>
      </c>
      <c r="C2426" s="11" t="str">
        <f t="shared" si="152"/>
        <v/>
      </c>
      <c r="F2426" s="10" t="str">
        <v/>
      </c>
      <c r="G2426" t="e">
        <f t="shared" si="150"/>
        <v>#VALUE!</v>
      </c>
      <c r="H2426" s="13" t="e">
        <f t="shared" si="151"/>
        <v>#VALUE!</v>
      </c>
    </row>
    <row r="2427" spans="2:8">
      <c r="B2427" s="11" t="str">
        <f t="shared" si="149"/>
        <v/>
      </c>
      <c r="C2427" s="11" t="str">
        <f t="shared" si="152"/>
        <v/>
      </c>
      <c r="F2427" s="10" t="str">
        <v/>
      </c>
      <c r="G2427" t="e">
        <f t="shared" si="150"/>
        <v>#VALUE!</v>
      </c>
      <c r="H2427" s="13" t="e">
        <f t="shared" si="151"/>
        <v>#VALUE!</v>
      </c>
    </row>
    <row r="2428" spans="2:8">
      <c r="B2428" s="11" t="str">
        <f t="shared" si="149"/>
        <v/>
      </c>
      <c r="C2428" s="11" t="str">
        <f t="shared" si="152"/>
        <v/>
      </c>
      <c r="F2428" s="10" t="str">
        <v/>
      </c>
      <c r="G2428" t="e">
        <f t="shared" si="150"/>
        <v>#VALUE!</v>
      </c>
      <c r="H2428" s="13" t="e">
        <f t="shared" si="151"/>
        <v>#VALUE!</v>
      </c>
    </row>
    <row r="2429" spans="2:8">
      <c r="B2429" s="11" t="str">
        <f t="shared" si="149"/>
        <v/>
      </c>
      <c r="C2429" s="11" t="str">
        <f t="shared" si="152"/>
        <v/>
      </c>
      <c r="F2429" s="10" t="str">
        <v/>
      </c>
      <c r="G2429" t="e">
        <f t="shared" si="150"/>
        <v>#VALUE!</v>
      </c>
      <c r="H2429" s="13" t="e">
        <f t="shared" si="151"/>
        <v>#VALUE!</v>
      </c>
    </row>
    <row r="2430" spans="2:8">
      <c r="B2430" s="11" t="str">
        <f t="shared" si="149"/>
        <v/>
      </c>
      <c r="C2430" s="11" t="str">
        <f t="shared" si="152"/>
        <v/>
      </c>
      <c r="F2430" s="10" t="str">
        <v/>
      </c>
      <c r="G2430" t="e">
        <f t="shared" si="150"/>
        <v>#VALUE!</v>
      </c>
      <c r="H2430" s="13" t="e">
        <f t="shared" si="151"/>
        <v>#VALUE!</v>
      </c>
    </row>
    <row r="2431" spans="2:8">
      <c r="B2431" s="11" t="str">
        <f t="shared" si="149"/>
        <v/>
      </c>
      <c r="C2431" s="11" t="str">
        <f t="shared" si="152"/>
        <v/>
      </c>
      <c r="F2431" s="10" t="str">
        <v/>
      </c>
      <c r="G2431" t="e">
        <f t="shared" si="150"/>
        <v>#VALUE!</v>
      </c>
      <c r="H2431" s="13" t="e">
        <f t="shared" si="151"/>
        <v>#VALUE!</v>
      </c>
    </row>
    <row r="2432" spans="2:8">
      <c r="B2432" s="11" t="str">
        <f t="shared" si="149"/>
        <v/>
      </c>
      <c r="C2432" s="11" t="str">
        <f t="shared" si="152"/>
        <v/>
      </c>
      <c r="F2432" s="10" t="str">
        <v/>
      </c>
      <c r="G2432" t="e">
        <f t="shared" si="150"/>
        <v>#VALUE!</v>
      </c>
      <c r="H2432" s="13" t="e">
        <f t="shared" si="151"/>
        <v>#VALUE!</v>
      </c>
    </row>
    <row r="2433" spans="2:8">
      <c r="B2433" s="11" t="str">
        <f t="shared" ref="B2433:B2496" si="153">IFERROR(IF(FIND(" ",A2433)=6,IF(IFERROR(FIND(" PB",A2433),"")&lt;&gt;"","артикул",IF(IFERROR(FIND(" CRN",A2433),"")&lt;&gt;"","артикул","")),""),"")</f>
        <v/>
      </c>
      <c r="C2433" s="11" t="str">
        <f t="shared" si="152"/>
        <v/>
      </c>
      <c r="F2433" s="10" t="str">
        <v/>
      </c>
      <c r="G2433" t="e">
        <f t="shared" si="150"/>
        <v>#VALUE!</v>
      </c>
      <c r="H2433" s="13" t="e">
        <f t="shared" si="151"/>
        <v>#VALUE!</v>
      </c>
    </row>
    <row r="2434" spans="2:8">
      <c r="B2434" s="11" t="str">
        <f t="shared" si="153"/>
        <v/>
      </c>
      <c r="C2434" s="11" t="str">
        <f t="shared" si="152"/>
        <v/>
      </c>
      <c r="F2434" s="10" t="str">
        <v/>
      </c>
      <c r="G2434" t="e">
        <f t="shared" ref="G2434:G2497" si="154">CONCATENATE(LEFT(F2434,5),
MID(F2434,
SEARCH("\",SUBSTITUTE(F2434," ","\",LEN(F2434)-LEN(SUBSTITUTE(F2434," ",""))-4)),
SEARCH("\",SUBSTITUTE(F2434," ","\",LEN(F2434)-LEN(SUBSTITUTE(F2434," ",""))-3))-
SEARCH("\",SUBSTITUTE(F2434," ","\",LEN(F2434)-LEN(SUBSTITUTE(F2434," ",""))-4)))*1)</f>
        <v>#VALUE!</v>
      </c>
      <c r="H2434" s="13" t="e">
        <f t="shared" ref="H2434:H2497" si="155">SUBSTITUTE(
RIGHT(F2434,LEN(F2434)-
FIND("\",SUBSTITUTE(F2434," ","\",LEN(F2434)-LEN(SUBSTITUTE(F2434," ",""))))),
".","")</f>
        <v>#VALUE!</v>
      </c>
    </row>
    <row r="2435" spans="2:8">
      <c r="B2435" s="11" t="str">
        <f t="shared" si="153"/>
        <v/>
      </c>
      <c r="C2435" s="11" t="str">
        <f t="shared" si="152"/>
        <v/>
      </c>
      <c r="F2435" s="10" t="str">
        <v/>
      </c>
      <c r="G2435" t="e">
        <f t="shared" si="154"/>
        <v>#VALUE!</v>
      </c>
      <c r="H2435" s="13" t="e">
        <f t="shared" si="155"/>
        <v>#VALUE!</v>
      </c>
    </row>
    <row r="2436" spans="2:8">
      <c r="B2436" s="11" t="str">
        <f t="shared" si="153"/>
        <v/>
      </c>
      <c r="C2436" s="11" t="str">
        <f t="shared" si="152"/>
        <v/>
      </c>
      <c r="F2436" s="10" t="str">
        <v/>
      </c>
      <c r="G2436" t="e">
        <f t="shared" si="154"/>
        <v>#VALUE!</v>
      </c>
      <c r="H2436" s="13" t="e">
        <f t="shared" si="155"/>
        <v>#VALUE!</v>
      </c>
    </row>
    <row r="2437" spans="2:8">
      <c r="B2437" s="11" t="str">
        <f t="shared" si="153"/>
        <v/>
      </c>
      <c r="C2437" s="11" t="str">
        <f t="shared" si="152"/>
        <v/>
      </c>
      <c r="F2437" s="10" t="str">
        <v/>
      </c>
      <c r="G2437" t="e">
        <f t="shared" si="154"/>
        <v>#VALUE!</v>
      </c>
      <c r="H2437" s="13" t="e">
        <f t="shared" si="155"/>
        <v>#VALUE!</v>
      </c>
    </row>
    <row r="2438" spans="2:8">
      <c r="B2438" s="11" t="str">
        <f t="shared" si="153"/>
        <v/>
      </c>
      <c r="C2438" s="11" t="str">
        <f t="shared" si="152"/>
        <v/>
      </c>
      <c r="F2438" s="10" t="str">
        <v/>
      </c>
      <c r="G2438" t="e">
        <f t="shared" si="154"/>
        <v>#VALUE!</v>
      </c>
      <c r="H2438" s="13" t="e">
        <f t="shared" si="155"/>
        <v>#VALUE!</v>
      </c>
    </row>
    <row r="2439" spans="2:8">
      <c r="B2439" s="11" t="str">
        <f t="shared" si="153"/>
        <v/>
      </c>
      <c r="C2439" s="11" t="str">
        <f t="shared" si="152"/>
        <v/>
      </c>
      <c r="F2439" s="10" t="str">
        <v/>
      </c>
      <c r="G2439" t="e">
        <f t="shared" si="154"/>
        <v>#VALUE!</v>
      </c>
      <c r="H2439" s="13" t="e">
        <f t="shared" si="155"/>
        <v>#VALUE!</v>
      </c>
    </row>
    <row r="2440" spans="2:8">
      <c r="B2440" s="11" t="str">
        <f t="shared" si="153"/>
        <v/>
      </c>
      <c r="C2440" s="11" t="str">
        <f t="shared" si="152"/>
        <v/>
      </c>
      <c r="F2440" s="10" t="str">
        <v/>
      </c>
      <c r="G2440" t="e">
        <f t="shared" si="154"/>
        <v>#VALUE!</v>
      </c>
      <c r="H2440" s="13" t="e">
        <f t="shared" si="155"/>
        <v>#VALUE!</v>
      </c>
    </row>
    <row r="2441" spans="2:8">
      <c r="B2441" s="11" t="str">
        <f t="shared" si="153"/>
        <v/>
      </c>
      <c r="C2441" s="11" t="str">
        <f t="shared" si="152"/>
        <v/>
      </c>
      <c r="F2441" s="10" t="str">
        <v/>
      </c>
      <c r="G2441" t="e">
        <f t="shared" si="154"/>
        <v>#VALUE!</v>
      </c>
      <c r="H2441" s="13" t="e">
        <f t="shared" si="155"/>
        <v>#VALUE!</v>
      </c>
    </row>
    <row r="2442" spans="2:8">
      <c r="B2442" s="11" t="str">
        <f t="shared" si="153"/>
        <v/>
      </c>
      <c r="C2442" s="11" t="str">
        <f t="shared" si="152"/>
        <v/>
      </c>
      <c r="F2442" s="10" t="str">
        <v/>
      </c>
      <c r="G2442" t="e">
        <f t="shared" si="154"/>
        <v>#VALUE!</v>
      </c>
      <c r="H2442" s="13" t="e">
        <f t="shared" si="155"/>
        <v>#VALUE!</v>
      </c>
    </row>
    <row r="2443" spans="2:8">
      <c r="B2443" s="11" t="str">
        <f t="shared" si="153"/>
        <v/>
      </c>
      <c r="C2443" s="11" t="str">
        <f t="shared" si="152"/>
        <v/>
      </c>
      <c r="F2443" s="10" t="str">
        <v/>
      </c>
      <c r="G2443" t="e">
        <f t="shared" si="154"/>
        <v>#VALUE!</v>
      </c>
      <c r="H2443" s="13" t="e">
        <f t="shared" si="155"/>
        <v>#VALUE!</v>
      </c>
    </row>
    <row r="2444" spans="2:8">
      <c r="B2444" s="11" t="str">
        <f t="shared" si="153"/>
        <v/>
      </c>
      <c r="C2444" s="11" t="str">
        <f t="shared" si="152"/>
        <v/>
      </c>
      <c r="F2444" s="10" t="str">
        <v/>
      </c>
      <c r="G2444" t="e">
        <f t="shared" si="154"/>
        <v>#VALUE!</v>
      </c>
      <c r="H2444" s="13" t="e">
        <f t="shared" si="155"/>
        <v>#VALUE!</v>
      </c>
    </row>
    <row r="2445" spans="2:8">
      <c r="B2445" s="11" t="str">
        <f t="shared" si="153"/>
        <v/>
      </c>
      <c r="C2445" s="11" t="str">
        <f t="shared" si="152"/>
        <v/>
      </c>
      <c r="F2445" s="10" t="str">
        <v/>
      </c>
      <c r="G2445" t="e">
        <f t="shared" si="154"/>
        <v>#VALUE!</v>
      </c>
      <c r="H2445" s="13" t="e">
        <f t="shared" si="155"/>
        <v>#VALUE!</v>
      </c>
    </row>
    <row r="2446" spans="2:8">
      <c r="B2446" s="11" t="str">
        <f t="shared" si="153"/>
        <v/>
      </c>
      <c r="C2446" s="11" t="str">
        <f t="shared" si="152"/>
        <v/>
      </c>
      <c r="F2446" s="10" t="str">
        <v/>
      </c>
      <c r="G2446" t="e">
        <f t="shared" si="154"/>
        <v>#VALUE!</v>
      </c>
      <c r="H2446" s="13" t="e">
        <f t="shared" si="155"/>
        <v>#VALUE!</v>
      </c>
    </row>
    <row r="2447" spans="2:8">
      <c r="B2447" s="11" t="str">
        <f t="shared" si="153"/>
        <v/>
      </c>
      <c r="C2447" s="11" t="str">
        <f t="shared" si="152"/>
        <v/>
      </c>
      <c r="F2447" s="10" t="str">
        <v/>
      </c>
      <c r="G2447" t="e">
        <f t="shared" si="154"/>
        <v>#VALUE!</v>
      </c>
      <c r="H2447" s="13" t="e">
        <f t="shared" si="155"/>
        <v>#VALUE!</v>
      </c>
    </row>
    <row r="2448" spans="2:8">
      <c r="B2448" s="11" t="str">
        <f t="shared" si="153"/>
        <v/>
      </c>
      <c r="C2448" s="11" t="str">
        <f t="shared" si="152"/>
        <v/>
      </c>
      <c r="F2448" s="10" t="str">
        <v/>
      </c>
      <c r="G2448" t="e">
        <f t="shared" si="154"/>
        <v>#VALUE!</v>
      </c>
      <c r="H2448" s="13" t="e">
        <f t="shared" si="155"/>
        <v>#VALUE!</v>
      </c>
    </row>
    <row r="2449" spans="2:8">
      <c r="B2449" s="11" t="str">
        <f t="shared" si="153"/>
        <v/>
      </c>
      <c r="C2449" s="11" t="str">
        <f t="shared" si="152"/>
        <v/>
      </c>
      <c r="F2449" s="10" t="str">
        <v/>
      </c>
      <c r="G2449" t="e">
        <f t="shared" si="154"/>
        <v>#VALUE!</v>
      </c>
      <c r="H2449" s="13" t="e">
        <f t="shared" si="155"/>
        <v>#VALUE!</v>
      </c>
    </row>
    <row r="2450" spans="2:8">
      <c r="B2450" s="11" t="str">
        <f t="shared" si="153"/>
        <v/>
      </c>
      <c r="C2450" s="11" t="str">
        <f t="shared" si="152"/>
        <v/>
      </c>
      <c r="F2450" s="10" t="str">
        <v/>
      </c>
      <c r="G2450" t="e">
        <f t="shared" si="154"/>
        <v>#VALUE!</v>
      </c>
      <c r="H2450" s="13" t="e">
        <f t="shared" si="155"/>
        <v>#VALUE!</v>
      </c>
    </row>
    <row r="2451" spans="2:8">
      <c r="B2451" s="11" t="str">
        <f t="shared" si="153"/>
        <v/>
      </c>
      <c r="C2451" s="11" t="str">
        <f t="shared" si="152"/>
        <v/>
      </c>
      <c r="F2451" s="10" t="str">
        <v/>
      </c>
      <c r="G2451" t="e">
        <f t="shared" si="154"/>
        <v>#VALUE!</v>
      </c>
      <c r="H2451" s="13" t="e">
        <f t="shared" si="155"/>
        <v>#VALUE!</v>
      </c>
    </row>
    <row r="2452" spans="2:8">
      <c r="B2452" s="11" t="str">
        <f t="shared" si="153"/>
        <v/>
      </c>
      <c r="C2452" s="11" t="str">
        <f t="shared" si="152"/>
        <v/>
      </c>
      <c r="F2452" s="10" t="str">
        <v/>
      </c>
      <c r="G2452" t="e">
        <f t="shared" si="154"/>
        <v>#VALUE!</v>
      </c>
      <c r="H2452" s="13" t="e">
        <f t="shared" si="155"/>
        <v>#VALUE!</v>
      </c>
    </row>
    <row r="2453" spans="2:8">
      <c r="B2453" s="11" t="str">
        <f t="shared" si="153"/>
        <v/>
      </c>
      <c r="C2453" s="11" t="str">
        <f t="shared" si="152"/>
        <v/>
      </c>
      <c r="F2453" s="10" t="str">
        <v/>
      </c>
      <c r="G2453" t="e">
        <f t="shared" si="154"/>
        <v>#VALUE!</v>
      </c>
      <c r="H2453" s="13" t="e">
        <f t="shared" si="155"/>
        <v>#VALUE!</v>
      </c>
    </row>
    <row r="2454" spans="2:8">
      <c r="B2454" s="11" t="str">
        <f t="shared" si="153"/>
        <v/>
      </c>
      <c r="C2454" s="11" t="str">
        <f t="shared" si="152"/>
        <v/>
      </c>
      <c r="F2454" s="10" t="str">
        <v/>
      </c>
      <c r="G2454" t="e">
        <f t="shared" si="154"/>
        <v>#VALUE!</v>
      </c>
      <c r="H2454" s="13" t="e">
        <f t="shared" si="155"/>
        <v>#VALUE!</v>
      </c>
    </row>
    <row r="2455" spans="2:8">
      <c r="B2455" s="11" t="str">
        <f t="shared" si="153"/>
        <v/>
      </c>
      <c r="C2455" s="11" t="str">
        <f t="shared" si="152"/>
        <v/>
      </c>
      <c r="F2455" s="10" t="str">
        <v/>
      </c>
      <c r="G2455" t="e">
        <f t="shared" si="154"/>
        <v>#VALUE!</v>
      </c>
      <c r="H2455" s="13" t="e">
        <f t="shared" si="155"/>
        <v>#VALUE!</v>
      </c>
    </row>
    <row r="2456" spans="2:8">
      <c r="B2456" s="11" t="str">
        <f t="shared" si="153"/>
        <v/>
      </c>
      <c r="C2456" s="11" t="str">
        <f t="shared" si="152"/>
        <v/>
      </c>
      <c r="F2456" s="10" t="str">
        <v/>
      </c>
      <c r="G2456" t="e">
        <f t="shared" si="154"/>
        <v>#VALUE!</v>
      </c>
      <c r="H2456" s="13" t="e">
        <f t="shared" si="155"/>
        <v>#VALUE!</v>
      </c>
    </row>
    <row r="2457" spans="2:8">
      <c r="B2457" s="11" t="str">
        <f t="shared" si="153"/>
        <v/>
      </c>
      <c r="C2457" s="11" t="str">
        <f t="shared" si="152"/>
        <v/>
      </c>
      <c r="F2457" s="10" t="str">
        <v/>
      </c>
      <c r="G2457" t="e">
        <f t="shared" si="154"/>
        <v>#VALUE!</v>
      </c>
      <c r="H2457" s="13" t="e">
        <f t="shared" si="155"/>
        <v>#VALUE!</v>
      </c>
    </row>
    <row r="2458" spans="2:8">
      <c r="B2458" s="11" t="str">
        <f t="shared" si="153"/>
        <v/>
      </c>
      <c r="C2458" s="11" t="str">
        <f t="shared" si="152"/>
        <v/>
      </c>
      <c r="F2458" s="10" t="str">
        <v/>
      </c>
      <c r="G2458" t="e">
        <f t="shared" si="154"/>
        <v>#VALUE!</v>
      </c>
      <c r="H2458" s="13" t="e">
        <f t="shared" si="155"/>
        <v>#VALUE!</v>
      </c>
    </row>
    <row r="2459" spans="2:8">
      <c r="B2459" s="11" t="str">
        <f t="shared" si="153"/>
        <v/>
      </c>
      <c r="C2459" s="11" t="str">
        <f t="shared" si="152"/>
        <v/>
      </c>
      <c r="F2459" s="10" t="str">
        <v/>
      </c>
      <c r="G2459" t="e">
        <f t="shared" si="154"/>
        <v>#VALUE!</v>
      </c>
      <c r="H2459" s="13" t="e">
        <f t="shared" si="155"/>
        <v>#VALUE!</v>
      </c>
    </row>
    <row r="2460" spans="2:8">
      <c r="B2460" s="11" t="str">
        <f t="shared" si="153"/>
        <v/>
      </c>
      <c r="C2460" s="11" t="str">
        <f t="shared" si="152"/>
        <v/>
      </c>
      <c r="F2460" s="10" t="str">
        <v/>
      </c>
      <c r="G2460" t="e">
        <f t="shared" si="154"/>
        <v>#VALUE!</v>
      </c>
      <c r="H2460" s="13" t="e">
        <f t="shared" si="155"/>
        <v>#VALUE!</v>
      </c>
    </row>
    <row r="2461" spans="2:8">
      <c r="B2461" s="11" t="str">
        <f t="shared" si="153"/>
        <v/>
      </c>
      <c r="C2461" s="11" t="str">
        <f t="shared" si="152"/>
        <v/>
      </c>
      <c r="F2461" s="10" t="str">
        <v/>
      </c>
      <c r="G2461" t="e">
        <f t="shared" si="154"/>
        <v>#VALUE!</v>
      </c>
      <c r="H2461" s="13" t="e">
        <f t="shared" si="155"/>
        <v>#VALUE!</v>
      </c>
    </row>
    <row r="2462" spans="2:8">
      <c r="B2462" s="11" t="str">
        <f t="shared" si="153"/>
        <v/>
      </c>
      <c r="C2462" s="11" t="str">
        <f t="shared" si="152"/>
        <v/>
      </c>
      <c r="F2462" s="10" t="str">
        <v/>
      </c>
      <c r="G2462" t="e">
        <f t="shared" si="154"/>
        <v>#VALUE!</v>
      </c>
      <c r="H2462" s="13" t="e">
        <f t="shared" si="155"/>
        <v>#VALUE!</v>
      </c>
    </row>
    <row r="2463" spans="2:8">
      <c r="B2463" s="11" t="str">
        <f t="shared" si="153"/>
        <v/>
      </c>
      <c r="C2463" s="11" t="str">
        <f t="shared" si="152"/>
        <v/>
      </c>
      <c r="F2463" s="10" t="str">
        <v/>
      </c>
      <c r="G2463" t="e">
        <f t="shared" si="154"/>
        <v>#VALUE!</v>
      </c>
      <c r="H2463" s="13" t="e">
        <f t="shared" si="155"/>
        <v>#VALUE!</v>
      </c>
    </row>
    <row r="2464" spans="2:8">
      <c r="B2464" s="11" t="str">
        <f t="shared" si="153"/>
        <v/>
      </c>
      <c r="C2464" s="11" t="str">
        <f t="shared" si="152"/>
        <v/>
      </c>
      <c r="F2464" s="10" t="str">
        <v/>
      </c>
      <c r="G2464" t="e">
        <f t="shared" si="154"/>
        <v>#VALUE!</v>
      </c>
      <c r="H2464" s="13" t="e">
        <f t="shared" si="155"/>
        <v>#VALUE!</v>
      </c>
    </row>
    <row r="2465" spans="2:8">
      <c r="B2465" s="11" t="str">
        <f t="shared" si="153"/>
        <v/>
      </c>
      <c r="C2465" s="11" t="str">
        <f t="shared" si="152"/>
        <v/>
      </c>
      <c r="F2465" s="10" t="str">
        <v/>
      </c>
      <c r="G2465" t="e">
        <f t="shared" si="154"/>
        <v>#VALUE!</v>
      </c>
      <c r="H2465" s="13" t="e">
        <f t="shared" si="155"/>
        <v>#VALUE!</v>
      </c>
    </row>
    <row r="2466" spans="2:8">
      <c r="B2466" s="11" t="str">
        <f t="shared" si="153"/>
        <v/>
      </c>
      <c r="C2466" s="11" t="str">
        <f t="shared" si="152"/>
        <v/>
      </c>
      <c r="F2466" s="10" t="str">
        <v/>
      </c>
      <c r="G2466" t="e">
        <f t="shared" si="154"/>
        <v>#VALUE!</v>
      </c>
      <c r="H2466" s="13" t="e">
        <f t="shared" si="155"/>
        <v>#VALUE!</v>
      </c>
    </row>
    <row r="2467" spans="2:8">
      <c r="B2467" s="11" t="str">
        <f t="shared" si="153"/>
        <v/>
      </c>
      <c r="C2467" s="11" t="str">
        <f t="shared" si="152"/>
        <v/>
      </c>
      <c r="F2467" s="10" t="str">
        <v/>
      </c>
      <c r="G2467" t="e">
        <f t="shared" si="154"/>
        <v>#VALUE!</v>
      </c>
      <c r="H2467" s="13" t="e">
        <f t="shared" si="155"/>
        <v>#VALUE!</v>
      </c>
    </row>
    <row r="2468" spans="2:8">
      <c r="B2468" s="11" t="str">
        <f t="shared" si="153"/>
        <v/>
      </c>
      <c r="C2468" s="11" t="str">
        <f t="shared" si="152"/>
        <v/>
      </c>
      <c r="F2468" s="10" t="str">
        <v/>
      </c>
      <c r="G2468" t="e">
        <f t="shared" si="154"/>
        <v>#VALUE!</v>
      </c>
      <c r="H2468" s="13" t="e">
        <f t="shared" si="155"/>
        <v>#VALUE!</v>
      </c>
    </row>
    <row r="2469" spans="2:8">
      <c r="B2469" s="11" t="str">
        <f t="shared" si="153"/>
        <v/>
      </c>
      <c r="C2469" s="11" t="str">
        <f t="shared" si="152"/>
        <v/>
      </c>
      <c r="F2469" s="10" t="str">
        <v/>
      </c>
      <c r="G2469" t="e">
        <f t="shared" si="154"/>
        <v>#VALUE!</v>
      </c>
      <c r="H2469" s="13" t="e">
        <f t="shared" si="155"/>
        <v>#VALUE!</v>
      </c>
    </row>
    <row r="2470" spans="2:8">
      <c r="B2470" s="11" t="str">
        <f t="shared" si="153"/>
        <v/>
      </c>
      <c r="C2470" s="11" t="str">
        <f t="shared" si="152"/>
        <v/>
      </c>
      <c r="F2470" s="10" t="str">
        <v/>
      </c>
      <c r="G2470" t="e">
        <f t="shared" si="154"/>
        <v>#VALUE!</v>
      </c>
      <c r="H2470" s="13" t="e">
        <f t="shared" si="155"/>
        <v>#VALUE!</v>
      </c>
    </row>
    <row r="2471" spans="2:8">
      <c r="B2471" s="11" t="str">
        <f t="shared" si="153"/>
        <v/>
      </c>
      <c r="C2471" s="11" t="str">
        <f t="shared" si="152"/>
        <v/>
      </c>
      <c r="F2471" s="10" t="str">
        <v/>
      </c>
      <c r="G2471" t="e">
        <f t="shared" si="154"/>
        <v>#VALUE!</v>
      </c>
      <c r="H2471" s="13" t="e">
        <f t="shared" si="155"/>
        <v>#VALUE!</v>
      </c>
    </row>
    <row r="2472" spans="2:8">
      <c r="B2472" s="11" t="str">
        <f t="shared" si="153"/>
        <v/>
      </c>
      <c r="C2472" s="11" t="str">
        <f t="shared" si="152"/>
        <v/>
      </c>
      <c r="F2472" s="10" t="str">
        <v/>
      </c>
      <c r="G2472" t="e">
        <f t="shared" si="154"/>
        <v>#VALUE!</v>
      </c>
      <c r="H2472" s="13" t="e">
        <f t="shared" si="155"/>
        <v>#VALUE!</v>
      </c>
    </row>
    <row r="2473" spans="2:8">
      <c r="B2473" s="11" t="str">
        <f t="shared" si="153"/>
        <v/>
      </c>
      <c r="C2473" s="11" t="str">
        <f t="shared" ref="C2473:C2536" si="156">IF(B2473="артикул",A2473,"")</f>
        <v/>
      </c>
      <c r="F2473" s="10" t="str">
        <v/>
      </c>
      <c r="G2473" t="e">
        <f t="shared" si="154"/>
        <v>#VALUE!</v>
      </c>
      <c r="H2473" s="13" t="e">
        <f t="shared" si="155"/>
        <v>#VALUE!</v>
      </c>
    </row>
    <row r="2474" spans="2:8">
      <c r="B2474" s="11" t="str">
        <f t="shared" si="153"/>
        <v/>
      </c>
      <c r="C2474" s="11" t="str">
        <f t="shared" si="156"/>
        <v/>
      </c>
      <c r="F2474" s="10" t="str">
        <v/>
      </c>
      <c r="G2474" t="e">
        <f t="shared" si="154"/>
        <v>#VALUE!</v>
      </c>
      <c r="H2474" s="13" t="e">
        <f t="shared" si="155"/>
        <v>#VALUE!</v>
      </c>
    </row>
    <row r="2475" spans="2:8">
      <c r="B2475" s="11" t="str">
        <f t="shared" si="153"/>
        <v/>
      </c>
      <c r="C2475" s="11" t="str">
        <f t="shared" si="156"/>
        <v/>
      </c>
      <c r="F2475" s="10" t="str">
        <v/>
      </c>
      <c r="G2475" t="e">
        <f t="shared" si="154"/>
        <v>#VALUE!</v>
      </c>
      <c r="H2475" s="13" t="e">
        <f t="shared" si="155"/>
        <v>#VALUE!</v>
      </c>
    </row>
    <row r="2476" spans="2:8">
      <c r="B2476" s="11" t="str">
        <f t="shared" si="153"/>
        <v/>
      </c>
      <c r="C2476" s="11" t="str">
        <f t="shared" si="156"/>
        <v/>
      </c>
      <c r="F2476" s="10" t="str">
        <v/>
      </c>
      <c r="G2476" t="e">
        <f t="shared" si="154"/>
        <v>#VALUE!</v>
      </c>
      <c r="H2476" s="13" t="e">
        <f t="shared" si="155"/>
        <v>#VALUE!</v>
      </c>
    </row>
    <row r="2477" spans="2:8">
      <c r="B2477" s="11" t="str">
        <f t="shared" si="153"/>
        <v/>
      </c>
      <c r="C2477" s="11" t="str">
        <f t="shared" si="156"/>
        <v/>
      </c>
      <c r="F2477" s="10" t="str">
        <v/>
      </c>
      <c r="G2477" t="e">
        <f t="shared" si="154"/>
        <v>#VALUE!</v>
      </c>
      <c r="H2477" s="13" t="e">
        <f t="shared" si="155"/>
        <v>#VALUE!</v>
      </c>
    </row>
    <row r="2478" spans="2:8">
      <c r="B2478" s="11" t="str">
        <f t="shared" si="153"/>
        <v/>
      </c>
      <c r="C2478" s="11" t="str">
        <f t="shared" si="156"/>
        <v/>
      </c>
      <c r="F2478" s="10" t="str">
        <v/>
      </c>
      <c r="G2478" t="e">
        <f t="shared" si="154"/>
        <v>#VALUE!</v>
      </c>
      <c r="H2478" s="13" t="e">
        <f t="shared" si="155"/>
        <v>#VALUE!</v>
      </c>
    </row>
    <row r="2479" spans="2:8">
      <c r="B2479" s="11" t="str">
        <f t="shared" si="153"/>
        <v/>
      </c>
      <c r="C2479" s="11" t="str">
        <f t="shared" si="156"/>
        <v/>
      </c>
      <c r="F2479" s="10" t="str">
        <v/>
      </c>
      <c r="G2479" t="e">
        <f t="shared" si="154"/>
        <v>#VALUE!</v>
      </c>
      <c r="H2479" s="13" t="e">
        <f t="shared" si="155"/>
        <v>#VALUE!</v>
      </c>
    </row>
    <row r="2480" spans="2:8">
      <c r="B2480" s="11" t="str">
        <f t="shared" si="153"/>
        <v/>
      </c>
      <c r="C2480" s="11" t="str">
        <f t="shared" si="156"/>
        <v/>
      </c>
      <c r="F2480" s="10" t="str">
        <v/>
      </c>
      <c r="G2480" t="e">
        <f t="shared" si="154"/>
        <v>#VALUE!</v>
      </c>
      <c r="H2480" s="13" t="e">
        <f t="shared" si="155"/>
        <v>#VALUE!</v>
      </c>
    </row>
    <row r="2481" spans="2:8">
      <c r="B2481" s="11" t="str">
        <f t="shared" si="153"/>
        <v/>
      </c>
      <c r="C2481" s="11" t="str">
        <f t="shared" si="156"/>
        <v/>
      </c>
      <c r="F2481" s="10" t="str">
        <v/>
      </c>
      <c r="G2481" t="e">
        <f t="shared" si="154"/>
        <v>#VALUE!</v>
      </c>
      <c r="H2481" s="13" t="e">
        <f t="shared" si="155"/>
        <v>#VALUE!</v>
      </c>
    </row>
    <row r="2482" spans="2:8">
      <c r="B2482" s="11" t="str">
        <f t="shared" si="153"/>
        <v/>
      </c>
      <c r="C2482" s="11" t="str">
        <f t="shared" si="156"/>
        <v/>
      </c>
      <c r="F2482" s="10" t="str">
        <v/>
      </c>
      <c r="G2482" t="e">
        <f t="shared" si="154"/>
        <v>#VALUE!</v>
      </c>
      <c r="H2482" s="13" t="e">
        <f t="shared" si="155"/>
        <v>#VALUE!</v>
      </c>
    </row>
    <row r="2483" spans="2:8">
      <c r="B2483" s="11" t="str">
        <f t="shared" si="153"/>
        <v/>
      </c>
      <c r="C2483" s="11" t="str">
        <f t="shared" si="156"/>
        <v/>
      </c>
      <c r="F2483" s="10" t="str">
        <v/>
      </c>
      <c r="G2483" t="e">
        <f t="shared" si="154"/>
        <v>#VALUE!</v>
      </c>
      <c r="H2483" s="13" t="e">
        <f t="shared" si="155"/>
        <v>#VALUE!</v>
      </c>
    </row>
    <row r="2484" spans="2:8">
      <c r="B2484" s="11" t="str">
        <f t="shared" si="153"/>
        <v/>
      </c>
      <c r="C2484" s="11" t="str">
        <f t="shared" si="156"/>
        <v/>
      </c>
      <c r="F2484" s="10" t="str">
        <v/>
      </c>
      <c r="G2484" t="e">
        <f t="shared" si="154"/>
        <v>#VALUE!</v>
      </c>
      <c r="H2484" s="13" t="e">
        <f t="shared" si="155"/>
        <v>#VALUE!</v>
      </c>
    </row>
    <row r="2485" spans="2:8">
      <c r="B2485" s="11" t="str">
        <f t="shared" si="153"/>
        <v/>
      </c>
      <c r="C2485" s="11" t="str">
        <f t="shared" si="156"/>
        <v/>
      </c>
      <c r="F2485" s="10" t="str">
        <v/>
      </c>
      <c r="G2485" t="e">
        <f t="shared" si="154"/>
        <v>#VALUE!</v>
      </c>
      <c r="H2485" s="13" t="e">
        <f t="shared" si="155"/>
        <v>#VALUE!</v>
      </c>
    </row>
    <row r="2486" spans="2:8">
      <c r="B2486" s="11" t="str">
        <f t="shared" si="153"/>
        <v/>
      </c>
      <c r="C2486" s="11" t="str">
        <f t="shared" si="156"/>
        <v/>
      </c>
      <c r="F2486" s="10" t="str">
        <v/>
      </c>
      <c r="G2486" t="e">
        <f t="shared" si="154"/>
        <v>#VALUE!</v>
      </c>
      <c r="H2486" s="13" t="e">
        <f t="shared" si="155"/>
        <v>#VALUE!</v>
      </c>
    </row>
    <row r="2487" spans="2:8">
      <c r="B2487" s="11" t="str">
        <f t="shared" si="153"/>
        <v/>
      </c>
      <c r="C2487" s="11" t="str">
        <f t="shared" si="156"/>
        <v/>
      </c>
      <c r="F2487" s="10" t="str">
        <v/>
      </c>
      <c r="G2487" t="e">
        <f t="shared" si="154"/>
        <v>#VALUE!</v>
      </c>
      <c r="H2487" s="13" t="e">
        <f t="shared" si="155"/>
        <v>#VALUE!</v>
      </c>
    </row>
    <row r="2488" spans="2:8">
      <c r="B2488" s="11" t="str">
        <f t="shared" si="153"/>
        <v/>
      </c>
      <c r="C2488" s="11" t="str">
        <f t="shared" si="156"/>
        <v/>
      </c>
      <c r="F2488" s="10" t="str">
        <v/>
      </c>
      <c r="G2488" t="e">
        <f t="shared" si="154"/>
        <v>#VALUE!</v>
      </c>
      <c r="H2488" s="13" t="e">
        <f t="shared" si="155"/>
        <v>#VALUE!</v>
      </c>
    </row>
    <row r="2489" spans="2:8">
      <c r="B2489" s="11" t="str">
        <f t="shared" si="153"/>
        <v/>
      </c>
      <c r="C2489" s="11" t="str">
        <f t="shared" si="156"/>
        <v/>
      </c>
      <c r="F2489" s="10" t="str">
        <v/>
      </c>
      <c r="G2489" t="e">
        <f t="shared" si="154"/>
        <v>#VALUE!</v>
      </c>
      <c r="H2489" s="13" t="e">
        <f t="shared" si="155"/>
        <v>#VALUE!</v>
      </c>
    </row>
    <row r="2490" spans="2:8">
      <c r="B2490" s="11" t="str">
        <f t="shared" si="153"/>
        <v/>
      </c>
      <c r="C2490" s="11" t="str">
        <f t="shared" si="156"/>
        <v/>
      </c>
      <c r="F2490" s="10" t="str">
        <v/>
      </c>
      <c r="G2490" t="e">
        <f t="shared" si="154"/>
        <v>#VALUE!</v>
      </c>
      <c r="H2490" s="13" t="e">
        <f t="shared" si="155"/>
        <v>#VALUE!</v>
      </c>
    </row>
    <row r="2491" spans="2:8">
      <c r="B2491" s="11" t="str">
        <f t="shared" si="153"/>
        <v/>
      </c>
      <c r="C2491" s="11" t="str">
        <f t="shared" si="156"/>
        <v/>
      </c>
      <c r="F2491" s="10" t="str">
        <v/>
      </c>
      <c r="G2491" t="e">
        <f t="shared" si="154"/>
        <v>#VALUE!</v>
      </c>
      <c r="H2491" s="13" t="e">
        <f t="shared" si="155"/>
        <v>#VALUE!</v>
      </c>
    </row>
    <row r="2492" spans="2:8">
      <c r="B2492" s="11" t="str">
        <f t="shared" si="153"/>
        <v/>
      </c>
      <c r="C2492" s="11" t="str">
        <f t="shared" si="156"/>
        <v/>
      </c>
      <c r="F2492" s="10" t="str">
        <v/>
      </c>
      <c r="G2492" t="e">
        <f t="shared" si="154"/>
        <v>#VALUE!</v>
      </c>
      <c r="H2492" s="13" t="e">
        <f t="shared" si="155"/>
        <v>#VALUE!</v>
      </c>
    </row>
    <row r="2493" spans="2:8">
      <c r="B2493" s="11" t="str">
        <f t="shared" si="153"/>
        <v/>
      </c>
      <c r="C2493" s="11" t="str">
        <f t="shared" si="156"/>
        <v/>
      </c>
      <c r="F2493" s="10" t="str">
        <v/>
      </c>
      <c r="G2493" t="e">
        <f t="shared" si="154"/>
        <v>#VALUE!</v>
      </c>
      <c r="H2493" s="13" t="e">
        <f t="shared" si="155"/>
        <v>#VALUE!</v>
      </c>
    </row>
    <row r="2494" spans="2:8">
      <c r="B2494" s="11" t="str">
        <f t="shared" si="153"/>
        <v/>
      </c>
      <c r="C2494" s="11" t="str">
        <f t="shared" si="156"/>
        <v/>
      </c>
      <c r="F2494" s="10" t="str">
        <v/>
      </c>
      <c r="G2494" t="e">
        <f t="shared" si="154"/>
        <v>#VALUE!</v>
      </c>
      <c r="H2494" s="13" t="e">
        <f t="shared" si="155"/>
        <v>#VALUE!</v>
      </c>
    </row>
    <row r="2495" spans="2:8">
      <c r="B2495" s="11" t="str">
        <f t="shared" si="153"/>
        <v/>
      </c>
      <c r="C2495" s="11" t="str">
        <f t="shared" si="156"/>
        <v/>
      </c>
      <c r="F2495" s="10" t="str">
        <v/>
      </c>
      <c r="G2495" t="e">
        <f t="shared" si="154"/>
        <v>#VALUE!</v>
      </c>
      <c r="H2495" s="13" t="e">
        <f t="shared" si="155"/>
        <v>#VALUE!</v>
      </c>
    </row>
    <row r="2496" spans="2:8">
      <c r="B2496" s="11" t="str">
        <f t="shared" si="153"/>
        <v/>
      </c>
      <c r="C2496" s="11" t="str">
        <f t="shared" si="156"/>
        <v/>
      </c>
      <c r="F2496" s="10" t="str">
        <v/>
      </c>
      <c r="G2496" t="e">
        <f t="shared" si="154"/>
        <v>#VALUE!</v>
      </c>
      <c r="H2496" s="13" t="e">
        <f t="shared" si="155"/>
        <v>#VALUE!</v>
      </c>
    </row>
    <row r="2497" spans="2:8">
      <c r="B2497" s="11" t="str">
        <f t="shared" ref="B2497:B2560" si="157">IFERROR(IF(FIND(" ",A2497)=6,IF(IFERROR(FIND(" PB",A2497),"")&lt;&gt;"","артикул",IF(IFERROR(FIND(" CRN",A2497),"")&lt;&gt;"","артикул","")),""),"")</f>
        <v/>
      </c>
      <c r="C2497" s="11" t="str">
        <f t="shared" si="156"/>
        <v/>
      </c>
      <c r="F2497" s="10" t="str">
        <v/>
      </c>
      <c r="G2497" t="e">
        <f t="shared" si="154"/>
        <v>#VALUE!</v>
      </c>
      <c r="H2497" s="13" t="e">
        <f t="shared" si="155"/>
        <v>#VALUE!</v>
      </c>
    </row>
    <row r="2498" spans="2:8">
      <c r="B2498" s="11" t="str">
        <f t="shared" si="157"/>
        <v/>
      </c>
      <c r="C2498" s="11" t="str">
        <f t="shared" si="156"/>
        <v/>
      </c>
      <c r="F2498" s="10" t="str">
        <v/>
      </c>
      <c r="G2498" t="e">
        <f t="shared" ref="G2498:G2561" si="158">CONCATENATE(LEFT(F2498,5),
MID(F2498,
SEARCH("\",SUBSTITUTE(F2498," ","\",LEN(F2498)-LEN(SUBSTITUTE(F2498," ",""))-4)),
SEARCH("\",SUBSTITUTE(F2498," ","\",LEN(F2498)-LEN(SUBSTITUTE(F2498," ",""))-3))-
SEARCH("\",SUBSTITUTE(F2498," ","\",LEN(F2498)-LEN(SUBSTITUTE(F2498," ",""))-4)))*1)</f>
        <v>#VALUE!</v>
      </c>
      <c r="H2498" s="13" t="e">
        <f t="shared" ref="H2498:H2561" si="159">SUBSTITUTE(
RIGHT(F2498,LEN(F2498)-
FIND("\",SUBSTITUTE(F2498," ","\",LEN(F2498)-LEN(SUBSTITUTE(F2498," ",""))))),
".","")</f>
        <v>#VALUE!</v>
      </c>
    </row>
    <row r="2499" spans="2:8">
      <c r="B2499" s="11" t="str">
        <f t="shared" si="157"/>
        <v/>
      </c>
      <c r="C2499" s="11" t="str">
        <f t="shared" si="156"/>
        <v/>
      </c>
      <c r="F2499" s="10" t="str">
        <v/>
      </c>
      <c r="G2499" t="e">
        <f t="shared" si="158"/>
        <v>#VALUE!</v>
      </c>
      <c r="H2499" s="13" t="e">
        <f t="shared" si="159"/>
        <v>#VALUE!</v>
      </c>
    </row>
    <row r="2500" spans="2:8">
      <c r="B2500" s="11" t="str">
        <f t="shared" si="157"/>
        <v/>
      </c>
      <c r="C2500" s="11" t="str">
        <f t="shared" si="156"/>
        <v/>
      </c>
      <c r="F2500" s="10" t="str">
        <v/>
      </c>
      <c r="G2500" t="e">
        <f t="shared" si="158"/>
        <v>#VALUE!</v>
      </c>
      <c r="H2500" s="13" t="e">
        <f t="shared" si="159"/>
        <v>#VALUE!</v>
      </c>
    </row>
    <row r="2501" spans="2:8">
      <c r="B2501" s="11" t="str">
        <f t="shared" si="157"/>
        <v/>
      </c>
      <c r="C2501" s="11" t="str">
        <f t="shared" si="156"/>
        <v/>
      </c>
      <c r="F2501" s="10" t="str">
        <v/>
      </c>
      <c r="G2501" t="e">
        <f t="shared" si="158"/>
        <v>#VALUE!</v>
      </c>
      <c r="H2501" s="13" t="e">
        <f t="shared" si="159"/>
        <v>#VALUE!</v>
      </c>
    </row>
    <row r="2502" spans="2:8">
      <c r="B2502" s="11" t="str">
        <f t="shared" si="157"/>
        <v/>
      </c>
      <c r="C2502" s="11" t="str">
        <f t="shared" si="156"/>
        <v/>
      </c>
      <c r="F2502" s="10" t="str">
        <v/>
      </c>
      <c r="G2502" t="e">
        <f t="shared" si="158"/>
        <v>#VALUE!</v>
      </c>
      <c r="H2502" s="13" t="e">
        <f t="shared" si="159"/>
        <v>#VALUE!</v>
      </c>
    </row>
    <row r="2503" spans="2:8">
      <c r="B2503" s="11" t="str">
        <f t="shared" si="157"/>
        <v/>
      </c>
      <c r="C2503" s="11" t="str">
        <f t="shared" si="156"/>
        <v/>
      </c>
      <c r="F2503" s="10" t="str">
        <v/>
      </c>
      <c r="G2503" t="e">
        <f t="shared" si="158"/>
        <v>#VALUE!</v>
      </c>
      <c r="H2503" s="13" t="e">
        <f t="shared" si="159"/>
        <v>#VALUE!</v>
      </c>
    </row>
    <row r="2504" spans="2:8">
      <c r="B2504" s="11" t="str">
        <f t="shared" si="157"/>
        <v/>
      </c>
      <c r="C2504" s="11" t="str">
        <f t="shared" si="156"/>
        <v/>
      </c>
      <c r="F2504" s="10" t="str">
        <v/>
      </c>
      <c r="G2504" t="e">
        <f t="shared" si="158"/>
        <v>#VALUE!</v>
      </c>
      <c r="H2504" s="13" t="e">
        <f t="shared" si="159"/>
        <v>#VALUE!</v>
      </c>
    </row>
    <row r="2505" spans="2:8">
      <c r="B2505" s="11" t="str">
        <f t="shared" si="157"/>
        <v/>
      </c>
      <c r="C2505" s="11" t="str">
        <f t="shared" si="156"/>
        <v/>
      </c>
      <c r="F2505" s="10" t="str">
        <v/>
      </c>
      <c r="G2505" t="e">
        <f t="shared" si="158"/>
        <v>#VALUE!</v>
      </c>
      <c r="H2505" s="13" t="e">
        <f t="shared" si="159"/>
        <v>#VALUE!</v>
      </c>
    </row>
    <row r="2506" spans="2:8">
      <c r="B2506" s="11" t="str">
        <f t="shared" si="157"/>
        <v/>
      </c>
      <c r="C2506" s="11" t="str">
        <f t="shared" si="156"/>
        <v/>
      </c>
      <c r="F2506" s="10" t="str">
        <v/>
      </c>
      <c r="G2506" t="e">
        <f t="shared" si="158"/>
        <v>#VALUE!</v>
      </c>
      <c r="H2506" s="13" t="e">
        <f t="shared" si="159"/>
        <v>#VALUE!</v>
      </c>
    </row>
    <row r="2507" spans="2:8">
      <c r="B2507" s="11" t="str">
        <f t="shared" si="157"/>
        <v/>
      </c>
      <c r="C2507" s="11" t="str">
        <f t="shared" si="156"/>
        <v/>
      </c>
      <c r="F2507" s="10" t="str">
        <v/>
      </c>
      <c r="G2507" t="e">
        <f t="shared" si="158"/>
        <v>#VALUE!</v>
      </c>
      <c r="H2507" s="13" t="e">
        <f t="shared" si="159"/>
        <v>#VALUE!</v>
      </c>
    </row>
    <row r="2508" spans="2:8">
      <c r="B2508" s="11" t="str">
        <f t="shared" si="157"/>
        <v/>
      </c>
      <c r="C2508" s="11" t="str">
        <f t="shared" si="156"/>
        <v/>
      </c>
      <c r="F2508" s="10" t="str">
        <v/>
      </c>
      <c r="G2508" t="e">
        <f t="shared" si="158"/>
        <v>#VALUE!</v>
      </c>
      <c r="H2508" s="13" t="e">
        <f t="shared" si="159"/>
        <v>#VALUE!</v>
      </c>
    </row>
    <row r="2509" spans="2:8">
      <c r="B2509" s="11" t="str">
        <f t="shared" si="157"/>
        <v/>
      </c>
      <c r="C2509" s="11" t="str">
        <f t="shared" si="156"/>
        <v/>
      </c>
      <c r="F2509" s="10" t="str">
        <v/>
      </c>
      <c r="G2509" t="e">
        <f t="shared" si="158"/>
        <v>#VALUE!</v>
      </c>
      <c r="H2509" s="13" t="e">
        <f t="shared" si="159"/>
        <v>#VALUE!</v>
      </c>
    </row>
    <row r="2510" spans="2:8">
      <c r="B2510" s="11" t="str">
        <f t="shared" si="157"/>
        <v/>
      </c>
      <c r="C2510" s="11" t="str">
        <f t="shared" si="156"/>
        <v/>
      </c>
      <c r="F2510" s="10" t="str">
        <v/>
      </c>
      <c r="G2510" t="e">
        <f t="shared" si="158"/>
        <v>#VALUE!</v>
      </c>
      <c r="H2510" s="13" t="e">
        <f t="shared" si="159"/>
        <v>#VALUE!</v>
      </c>
    </row>
    <row r="2511" spans="2:8">
      <c r="B2511" s="11" t="str">
        <f t="shared" si="157"/>
        <v/>
      </c>
      <c r="C2511" s="11" t="str">
        <f t="shared" si="156"/>
        <v/>
      </c>
      <c r="F2511" s="10" t="str">
        <v/>
      </c>
      <c r="G2511" t="e">
        <f t="shared" si="158"/>
        <v>#VALUE!</v>
      </c>
      <c r="H2511" s="13" t="e">
        <f t="shared" si="159"/>
        <v>#VALUE!</v>
      </c>
    </row>
    <row r="2512" spans="2:8">
      <c r="B2512" s="11" t="str">
        <f t="shared" si="157"/>
        <v/>
      </c>
      <c r="C2512" s="11" t="str">
        <f t="shared" si="156"/>
        <v/>
      </c>
      <c r="F2512" s="10" t="str">
        <v/>
      </c>
      <c r="G2512" t="e">
        <f t="shared" si="158"/>
        <v>#VALUE!</v>
      </c>
      <c r="H2512" s="13" t="e">
        <f t="shared" si="159"/>
        <v>#VALUE!</v>
      </c>
    </row>
    <row r="2513" spans="2:8">
      <c r="B2513" s="11" t="str">
        <f t="shared" si="157"/>
        <v/>
      </c>
      <c r="C2513" s="11" t="str">
        <f t="shared" si="156"/>
        <v/>
      </c>
      <c r="F2513" s="10" t="str">
        <v/>
      </c>
      <c r="G2513" t="e">
        <f t="shared" si="158"/>
        <v>#VALUE!</v>
      </c>
      <c r="H2513" s="13" t="e">
        <f t="shared" si="159"/>
        <v>#VALUE!</v>
      </c>
    </row>
    <row r="2514" spans="2:8">
      <c r="B2514" s="11" t="str">
        <f t="shared" si="157"/>
        <v/>
      </c>
      <c r="C2514" s="11" t="str">
        <f t="shared" si="156"/>
        <v/>
      </c>
      <c r="F2514" s="10" t="str">
        <v/>
      </c>
      <c r="G2514" t="e">
        <f t="shared" si="158"/>
        <v>#VALUE!</v>
      </c>
      <c r="H2514" s="13" t="e">
        <f t="shared" si="159"/>
        <v>#VALUE!</v>
      </c>
    </row>
    <row r="2515" spans="2:8">
      <c r="B2515" s="11" t="str">
        <f t="shared" si="157"/>
        <v/>
      </c>
      <c r="C2515" s="11" t="str">
        <f t="shared" si="156"/>
        <v/>
      </c>
      <c r="F2515" s="10" t="str">
        <v/>
      </c>
      <c r="G2515" t="e">
        <f t="shared" si="158"/>
        <v>#VALUE!</v>
      </c>
      <c r="H2515" s="13" t="e">
        <f t="shared" si="159"/>
        <v>#VALUE!</v>
      </c>
    </row>
    <row r="2516" spans="2:8">
      <c r="B2516" s="11" t="str">
        <f t="shared" si="157"/>
        <v/>
      </c>
      <c r="C2516" s="11" t="str">
        <f t="shared" si="156"/>
        <v/>
      </c>
      <c r="F2516" s="10" t="str">
        <v/>
      </c>
      <c r="G2516" t="e">
        <f t="shared" si="158"/>
        <v>#VALUE!</v>
      </c>
      <c r="H2516" s="13" t="e">
        <f t="shared" si="159"/>
        <v>#VALUE!</v>
      </c>
    </row>
    <row r="2517" spans="2:8">
      <c r="B2517" s="11" t="str">
        <f t="shared" si="157"/>
        <v/>
      </c>
      <c r="C2517" s="11" t="str">
        <f t="shared" si="156"/>
        <v/>
      </c>
      <c r="F2517" s="10" t="str">
        <v/>
      </c>
      <c r="G2517" t="e">
        <f t="shared" si="158"/>
        <v>#VALUE!</v>
      </c>
      <c r="H2517" s="13" t="e">
        <f t="shared" si="159"/>
        <v>#VALUE!</v>
      </c>
    </row>
    <row r="2518" spans="2:8">
      <c r="B2518" s="11" t="str">
        <f t="shared" si="157"/>
        <v/>
      </c>
      <c r="C2518" s="11" t="str">
        <f t="shared" si="156"/>
        <v/>
      </c>
      <c r="F2518" s="10" t="str">
        <v/>
      </c>
      <c r="G2518" t="e">
        <f t="shared" si="158"/>
        <v>#VALUE!</v>
      </c>
      <c r="H2518" s="13" t="e">
        <f t="shared" si="159"/>
        <v>#VALUE!</v>
      </c>
    </row>
    <row r="2519" spans="2:8">
      <c r="B2519" s="11" t="str">
        <f t="shared" si="157"/>
        <v/>
      </c>
      <c r="C2519" s="11" t="str">
        <f t="shared" si="156"/>
        <v/>
      </c>
      <c r="F2519" s="10" t="str">
        <v/>
      </c>
      <c r="G2519" t="e">
        <f t="shared" si="158"/>
        <v>#VALUE!</v>
      </c>
      <c r="H2519" s="13" t="e">
        <f t="shared" si="159"/>
        <v>#VALUE!</v>
      </c>
    </row>
    <row r="2520" spans="2:8">
      <c r="B2520" s="11" t="str">
        <f t="shared" si="157"/>
        <v/>
      </c>
      <c r="C2520" s="11" t="str">
        <f t="shared" si="156"/>
        <v/>
      </c>
      <c r="F2520" s="10" t="str">
        <v/>
      </c>
      <c r="G2520" t="e">
        <f t="shared" si="158"/>
        <v>#VALUE!</v>
      </c>
      <c r="H2520" s="13" t="e">
        <f t="shared" si="159"/>
        <v>#VALUE!</v>
      </c>
    </row>
    <row r="2521" spans="2:8">
      <c r="B2521" s="11" t="str">
        <f t="shared" si="157"/>
        <v/>
      </c>
      <c r="C2521" s="11" t="str">
        <f t="shared" si="156"/>
        <v/>
      </c>
      <c r="F2521" s="10" t="str">
        <v/>
      </c>
      <c r="G2521" t="e">
        <f t="shared" si="158"/>
        <v>#VALUE!</v>
      </c>
      <c r="H2521" s="13" t="e">
        <f t="shared" si="159"/>
        <v>#VALUE!</v>
      </c>
    </row>
    <row r="2522" spans="2:8">
      <c r="B2522" s="11" t="str">
        <f t="shared" si="157"/>
        <v/>
      </c>
      <c r="C2522" s="11" t="str">
        <f t="shared" si="156"/>
        <v/>
      </c>
      <c r="F2522" s="10" t="str">
        <v/>
      </c>
      <c r="G2522" t="e">
        <f t="shared" si="158"/>
        <v>#VALUE!</v>
      </c>
      <c r="H2522" s="13" t="e">
        <f t="shared" si="159"/>
        <v>#VALUE!</v>
      </c>
    </row>
    <row r="2523" spans="2:8">
      <c r="B2523" s="11" t="str">
        <f t="shared" si="157"/>
        <v/>
      </c>
      <c r="C2523" s="11" t="str">
        <f t="shared" si="156"/>
        <v/>
      </c>
      <c r="F2523" s="10" t="str">
        <v/>
      </c>
      <c r="G2523" t="e">
        <f t="shared" si="158"/>
        <v>#VALUE!</v>
      </c>
      <c r="H2523" s="13" t="e">
        <f t="shared" si="159"/>
        <v>#VALUE!</v>
      </c>
    </row>
    <row r="2524" spans="2:8">
      <c r="B2524" s="11" t="str">
        <f t="shared" si="157"/>
        <v/>
      </c>
      <c r="C2524" s="11" t="str">
        <f t="shared" si="156"/>
        <v/>
      </c>
      <c r="F2524" s="10" t="str">
        <v/>
      </c>
      <c r="G2524" t="e">
        <f t="shared" si="158"/>
        <v>#VALUE!</v>
      </c>
      <c r="H2524" s="13" t="e">
        <f t="shared" si="159"/>
        <v>#VALUE!</v>
      </c>
    </row>
    <row r="2525" spans="2:8">
      <c r="B2525" s="11" t="str">
        <f t="shared" si="157"/>
        <v/>
      </c>
      <c r="C2525" s="11" t="str">
        <f t="shared" si="156"/>
        <v/>
      </c>
      <c r="F2525" s="10" t="str">
        <v/>
      </c>
      <c r="G2525" t="e">
        <f t="shared" si="158"/>
        <v>#VALUE!</v>
      </c>
      <c r="H2525" s="13" t="e">
        <f t="shared" si="159"/>
        <v>#VALUE!</v>
      </c>
    </row>
    <row r="2526" spans="2:8">
      <c r="B2526" s="11" t="str">
        <f t="shared" si="157"/>
        <v/>
      </c>
      <c r="C2526" s="11" t="str">
        <f t="shared" si="156"/>
        <v/>
      </c>
      <c r="F2526" s="10" t="str">
        <v/>
      </c>
      <c r="G2526" t="e">
        <f t="shared" si="158"/>
        <v>#VALUE!</v>
      </c>
      <c r="H2526" s="13" t="e">
        <f t="shared" si="159"/>
        <v>#VALUE!</v>
      </c>
    </row>
    <row r="2527" spans="2:8">
      <c r="B2527" s="11" t="str">
        <f t="shared" si="157"/>
        <v/>
      </c>
      <c r="C2527" s="11" t="str">
        <f t="shared" si="156"/>
        <v/>
      </c>
      <c r="F2527" s="10" t="str">
        <v/>
      </c>
      <c r="G2527" t="e">
        <f t="shared" si="158"/>
        <v>#VALUE!</v>
      </c>
      <c r="H2527" s="13" t="e">
        <f t="shared" si="159"/>
        <v>#VALUE!</v>
      </c>
    </row>
    <row r="2528" spans="2:8">
      <c r="B2528" s="11" t="str">
        <f t="shared" si="157"/>
        <v/>
      </c>
      <c r="C2528" s="11" t="str">
        <f t="shared" si="156"/>
        <v/>
      </c>
      <c r="F2528" s="10" t="str">
        <v/>
      </c>
      <c r="G2528" t="e">
        <f t="shared" si="158"/>
        <v>#VALUE!</v>
      </c>
      <c r="H2528" s="13" t="e">
        <f t="shared" si="159"/>
        <v>#VALUE!</v>
      </c>
    </row>
    <row r="2529" spans="2:8">
      <c r="B2529" s="11" t="str">
        <f t="shared" si="157"/>
        <v/>
      </c>
      <c r="C2529" s="11" t="str">
        <f t="shared" si="156"/>
        <v/>
      </c>
      <c r="F2529" s="10" t="str">
        <v/>
      </c>
      <c r="G2529" t="e">
        <f t="shared" si="158"/>
        <v>#VALUE!</v>
      </c>
      <c r="H2529" s="13" t="e">
        <f t="shared" si="159"/>
        <v>#VALUE!</v>
      </c>
    </row>
    <row r="2530" spans="2:8">
      <c r="B2530" s="11" t="str">
        <f t="shared" si="157"/>
        <v/>
      </c>
      <c r="C2530" s="11" t="str">
        <f t="shared" si="156"/>
        <v/>
      </c>
      <c r="F2530" s="10" t="str">
        <v/>
      </c>
      <c r="G2530" t="e">
        <f t="shared" si="158"/>
        <v>#VALUE!</v>
      </c>
      <c r="H2530" s="13" t="e">
        <f t="shared" si="159"/>
        <v>#VALUE!</v>
      </c>
    </row>
    <row r="2531" spans="2:8">
      <c r="B2531" s="11" t="str">
        <f t="shared" si="157"/>
        <v/>
      </c>
      <c r="C2531" s="11" t="str">
        <f t="shared" si="156"/>
        <v/>
      </c>
      <c r="F2531" s="10" t="str">
        <v/>
      </c>
      <c r="G2531" t="e">
        <f t="shared" si="158"/>
        <v>#VALUE!</v>
      </c>
      <c r="H2531" s="13" t="e">
        <f t="shared" si="159"/>
        <v>#VALUE!</v>
      </c>
    </row>
    <row r="2532" spans="2:8">
      <c r="B2532" s="11" t="str">
        <f t="shared" si="157"/>
        <v/>
      </c>
      <c r="C2532" s="11" t="str">
        <f t="shared" si="156"/>
        <v/>
      </c>
      <c r="F2532" s="10" t="str">
        <v/>
      </c>
      <c r="G2532" t="e">
        <f t="shared" si="158"/>
        <v>#VALUE!</v>
      </c>
      <c r="H2532" s="13" t="e">
        <f t="shared" si="159"/>
        <v>#VALUE!</v>
      </c>
    </row>
    <row r="2533" spans="2:8">
      <c r="B2533" s="11" t="str">
        <f t="shared" si="157"/>
        <v/>
      </c>
      <c r="C2533" s="11" t="str">
        <f t="shared" si="156"/>
        <v/>
      </c>
      <c r="F2533" s="10" t="str">
        <v/>
      </c>
      <c r="G2533" t="e">
        <f t="shared" si="158"/>
        <v>#VALUE!</v>
      </c>
      <c r="H2533" s="13" t="e">
        <f t="shared" si="159"/>
        <v>#VALUE!</v>
      </c>
    </row>
    <row r="2534" spans="2:8">
      <c r="B2534" s="11" t="str">
        <f t="shared" si="157"/>
        <v/>
      </c>
      <c r="C2534" s="11" t="str">
        <f t="shared" si="156"/>
        <v/>
      </c>
      <c r="F2534" s="10" t="str">
        <v/>
      </c>
      <c r="G2534" t="e">
        <f t="shared" si="158"/>
        <v>#VALUE!</v>
      </c>
      <c r="H2534" s="13" t="e">
        <f t="shared" si="159"/>
        <v>#VALUE!</v>
      </c>
    </row>
    <row r="2535" spans="2:8">
      <c r="B2535" s="11" t="str">
        <f t="shared" si="157"/>
        <v/>
      </c>
      <c r="C2535" s="11" t="str">
        <f t="shared" si="156"/>
        <v/>
      </c>
      <c r="F2535" s="10" t="str">
        <v/>
      </c>
      <c r="G2535" t="e">
        <f t="shared" si="158"/>
        <v>#VALUE!</v>
      </c>
      <c r="H2535" s="13" t="e">
        <f t="shared" si="159"/>
        <v>#VALUE!</v>
      </c>
    </row>
    <row r="2536" spans="2:8">
      <c r="B2536" s="11" t="str">
        <f t="shared" si="157"/>
        <v/>
      </c>
      <c r="C2536" s="11" t="str">
        <f t="shared" si="156"/>
        <v/>
      </c>
      <c r="F2536" s="10" t="str">
        <v/>
      </c>
      <c r="G2536" t="e">
        <f t="shared" si="158"/>
        <v>#VALUE!</v>
      </c>
      <c r="H2536" s="13" t="e">
        <f t="shared" si="159"/>
        <v>#VALUE!</v>
      </c>
    </row>
    <row r="2537" spans="2:8">
      <c r="B2537" s="11" t="str">
        <f t="shared" si="157"/>
        <v/>
      </c>
      <c r="C2537" s="11" t="str">
        <f t="shared" ref="C2537:C2600" si="160">IF(B2537="артикул",A2537,"")</f>
        <v/>
      </c>
      <c r="F2537" s="10" t="str">
        <v/>
      </c>
      <c r="G2537" t="e">
        <f t="shared" si="158"/>
        <v>#VALUE!</v>
      </c>
      <c r="H2537" s="13" t="e">
        <f t="shared" si="159"/>
        <v>#VALUE!</v>
      </c>
    </row>
    <row r="2538" spans="2:8">
      <c r="B2538" s="11" t="str">
        <f t="shared" si="157"/>
        <v/>
      </c>
      <c r="C2538" s="11" t="str">
        <f t="shared" si="160"/>
        <v/>
      </c>
      <c r="F2538" s="10" t="str">
        <v/>
      </c>
      <c r="G2538" t="e">
        <f t="shared" si="158"/>
        <v>#VALUE!</v>
      </c>
      <c r="H2538" s="13" t="e">
        <f t="shared" si="159"/>
        <v>#VALUE!</v>
      </c>
    </row>
    <row r="2539" spans="2:8">
      <c r="B2539" s="11" t="str">
        <f t="shared" si="157"/>
        <v/>
      </c>
      <c r="C2539" s="11" t="str">
        <f t="shared" si="160"/>
        <v/>
      </c>
      <c r="F2539" s="10" t="str">
        <v/>
      </c>
      <c r="G2539" t="e">
        <f t="shared" si="158"/>
        <v>#VALUE!</v>
      </c>
      <c r="H2539" s="13" t="e">
        <f t="shared" si="159"/>
        <v>#VALUE!</v>
      </c>
    </row>
    <row r="2540" spans="2:8">
      <c r="B2540" s="11" t="str">
        <f t="shared" si="157"/>
        <v/>
      </c>
      <c r="C2540" s="11" t="str">
        <f t="shared" si="160"/>
        <v/>
      </c>
      <c r="F2540" s="10" t="str">
        <v/>
      </c>
      <c r="G2540" t="e">
        <f t="shared" si="158"/>
        <v>#VALUE!</v>
      </c>
      <c r="H2540" s="13" t="e">
        <f t="shared" si="159"/>
        <v>#VALUE!</v>
      </c>
    </row>
    <row r="2541" spans="2:8">
      <c r="B2541" s="11" t="str">
        <f t="shared" si="157"/>
        <v/>
      </c>
      <c r="C2541" s="11" t="str">
        <f t="shared" si="160"/>
        <v/>
      </c>
      <c r="F2541" s="10" t="str">
        <v/>
      </c>
      <c r="G2541" t="e">
        <f t="shared" si="158"/>
        <v>#VALUE!</v>
      </c>
      <c r="H2541" s="13" t="e">
        <f t="shared" si="159"/>
        <v>#VALUE!</v>
      </c>
    </row>
    <row r="2542" spans="2:8">
      <c r="B2542" s="11" t="str">
        <f t="shared" si="157"/>
        <v/>
      </c>
      <c r="C2542" s="11" t="str">
        <f t="shared" si="160"/>
        <v/>
      </c>
      <c r="F2542" s="10" t="str">
        <v/>
      </c>
      <c r="G2542" t="e">
        <f t="shared" si="158"/>
        <v>#VALUE!</v>
      </c>
      <c r="H2542" s="13" t="e">
        <f t="shared" si="159"/>
        <v>#VALUE!</v>
      </c>
    </row>
    <row r="2543" spans="2:8">
      <c r="B2543" s="11" t="str">
        <f t="shared" si="157"/>
        <v/>
      </c>
      <c r="C2543" s="11" t="str">
        <f t="shared" si="160"/>
        <v/>
      </c>
      <c r="F2543" s="10" t="str">
        <v/>
      </c>
      <c r="G2543" t="e">
        <f t="shared" si="158"/>
        <v>#VALUE!</v>
      </c>
      <c r="H2543" s="13" t="e">
        <f t="shared" si="159"/>
        <v>#VALUE!</v>
      </c>
    </row>
    <row r="2544" spans="2:8">
      <c r="B2544" s="11" t="str">
        <f t="shared" si="157"/>
        <v/>
      </c>
      <c r="C2544" s="11" t="str">
        <f t="shared" si="160"/>
        <v/>
      </c>
      <c r="F2544" s="10" t="str">
        <v/>
      </c>
      <c r="G2544" t="e">
        <f t="shared" si="158"/>
        <v>#VALUE!</v>
      </c>
      <c r="H2544" s="13" t="e">
        <f t="shared" si="159"/>
        <v>#VALUE!</v>
      </c>
    </row>
    <row r="2545" spans="2:8">
      <c r="B2545" s="11" t="str">
        <f t="shared" si="157"/>
        <v/>
      </c>
      <c r="C2545" s="11" t="str">
        <f t="shared" si="160"/>
        <v/>
      </c>
      <c r="F2545" s="10" t="str">
        <v/>
      </c>
      <c r="G2545" t="e">
        <f t="shared" si="158"/>
        <v>#VALUE!</v>
      </c>
      <c r="H2545" s="13" t="e">
        <f t="shared" si="159"/>
        <v>#VALUE!</v>
      </c>
    </row>
    <row r="2546" spans="2:8">
      <c r="B2546" s="11" t="str">
        <f t="shared" si="157"/>
        <v/>
      </c>
      <c r="C2546" s="11" t="str">
        <f t="shared" si="160"/>
        <v/>
      </c>
      <c r="F2546" s="10" t="str">
        <v/>
      </c>
      <c r="G2546" t="e">
        <f t="shared" si="158"/>
        <v>#VALUE!</v>
      </c>
      <c r="H2546" s="13" t="e">
        <f t="shared" si="159"/>
        <v>#VALUE!</v>
      </c>
    </row>
    <row r="2547" spans="2:8">
      <c r="B2547" s="11" t="str">
        <f t="shared" si="157"/>
        <v/>
      </c>
      <c r="C2547" s="11" t="str">
        <f t="shared" si="160"/>
        <v/>
      </c>
      <c r="F2547" s="10" t="str">
        <v/>
      </c>
      <c r="G2547" t="e">
        <f t="shared" si="158"/>
        <v>#VALUE!</v>
      </c>
      <c r="H2547" s="13" t="e">
        <f t="shared" si="159"/>
        <v>#VALUE!</v>
      </c>
    </row>
    <row r="2548" spans="2:8">
      <c r="B2548" s="11" t="str">
        <f t="shared" si="157"/>
        <v/>
      </c>
      <c r="C2548" s="11" t="str">
        <f t="shared" si="160"/>
        <v/>
      </c>
      <c r="F2548" s="10" t="str">
        <v/>
      </c>
      <c r="G2548" t="e">
        <f t="shared" si="158"/>
        <v>#VALUE!</v>
      </c>
      <c r="H2548" s="13" t="e">
        <f t="shared" si="159"/>
        <v>#VALUE!</v>
      </c>
    </row>
    <row r="2549" spans="2:8">
      <c r="B2549" s="11" t="str">
        <f t="shared" si="157"/>
        <v/>
      </c>
      <c r="C2549" s="11" t="str">
        <f t="shared" si="160"/>
        <v/>
      </c>
      <c r="F2549" s="10" t="str">
        <v/>
      </c>
      <c r="G2549" t="e">
        <f t="shared" si="158"/>
        <v>#VALUE!</v>
      </c>
      <c r="H2549" s="13" t="e">
        <f t="shared" si="159"/>
        <v>#VALUE!</v>
      </c>
    </row>
    <row r="2550" spans="2:8">
      <c r="B2550" s="11" t="str">
        <f t="shared" si="157"/>
        <v/>
      </c>
      <c r="C2550" s="11" t="str">
        <f t="shared" si="160"/>
        <v/>
      </c>
      <c r="F2550" s="10" t="str">
        <v/>
      </c>
      <c r="G2550" t="e">
        <f t="shared" si="158"/>
        <v>#VALUE!</v>
      </c>
      <c r="H2550" s="13" t="e">
        <f t="shared" si="159"/>
        <v>#VALUE!</v>
      </c>
    </row>
    <row r="2551" spans="2:8">
      <c r="B2551" s="11" t="str">
        <f t="shared" si="157"/>
        <v/>
      </c>
      <c r="C2551" s="11" t="str">
        <f t="shared" si="160"/>
        <v/>
      </c>
      <c r="F2551" s="10" t="str">
        <v/>
      </c>
      <c r="G2551" t="e">
        <f t="shared" si="158"/>
        <v>#VALUE!</v>
      </c>
      <c r="H2551" s="13" t="e">
        <f t="shared" si="159"/>
        <v>#VALUE!</v>
      </c>
    </row>
    <row r="2552" spans="2:8">
      <c r="B2552" s="11" t="str">
        <f t="shared" si="157"/>
        <v/>
      </c>
      <c r="C2552" s="11" t="str">
        <f t="shared" si="160"/>
        <v/>
      </c>
      <c r="F2552" s="10" t="str">
        <v/>
      </c>
      <c r="G2552" t="e">
        <f t="shared" si="158"/>
        <v>#VALUE!</v>
      </c>
      <c r="H2552" s="13" t="e">
        <f t="shared" si="159"/>
        <v>#VALUE!</v>
      </c>
    </row>
    <row r="2553" spans="2:8">
      <c r="B2553" s="11" t="str">
        <f t="shared" si="157"/>
        <v/>
      </c>
      <c r="C2553" s="11" t="str">
        <f t="shared" si="160"/>
        <v/>
      </c>
      <c r="F2553" s="10" t="str">
        <v/>
      </c>
      <c r="G2553" t="e">
        <f t="shared" si="158"/>
        <v>#VALUE!</v>
      </c>
      <c r="H2553" s="13" t="e">
        <f t="shared" si="159"/>
        <v>#VALUE!</v>
      </c>
    </row>
    <row r="2554" spans="2:8">
      <c r="B2554" s="11" t="str">
        <f t="shared" si="157"/>
        <v/>
      </c>
      <c r="C2554" s="11" t="str">
        <f t="shared" si="160"/>
        <v/>
      </c>
      <c r="F2554" s="10" t="str">
        <v/>
      </c>
      <c r="G2554" t="e">
        <f t="shared" si="158"/>
        <v>#VALUE!</v>
      </c>
      <c r="H2554" s="13" t="e">
        <f t="shared" si="159"/>
        <v>#VALUE!</v>
      </c>
    </row>
    <row r="2555" spans="2:8">
      <c r="B2555" s="11" t="str">
        <f t="shared" si="157"/>
        <v/>
      </c>
      <c r="C2555" s="11" t="str">
        <f t="shared" si="160"/>
        <v/>
      </c>
      <c r="F2555" s="10" t="str">
        <v/>
      </c>
      <c r="G2555" t="e">
        <f t="shared" si="158"/>
        <v>#VALUE!</v>
      </c>
      <c r="H2555" s="13" t="e">
        <f t="shared" si="159"/>
        <v>#VALUE!</v>
      </c>
    </row>
    <row r="2556" spans="2:8">
      <c r="B2556" s="11" t="str">
        <f t="shared" si="157"/>
        <v/>
      </c>
      <c r="C2556" s="11" t="str">
        <f t="shared" si="160"/>
        <v/>
      </c>
      <c r="F2556" s="10" t="str">
        <v/>
      </c>
      <c r="G2556" t="e">
        <f t="shared" si="158"/>
        <v>#VALUE!</v>
      </c>
      <c r="H2556" s="13" t="e">
        <f t="shared" si="159"/>
        <v>#VALUE!</v>
      </c>
    </row>
    <row r="2557" spans="2:8">
      <c r="B2557" s="11" t="str">
        <f t="shared" si="157"/>
        <v/>
      </c>
      <c r="C2557" s="11" t="str">
        <f t="shared" si="160"/>
        <v/>
      </c>
      <c r="F2557" s="10" t="str">
        <v/>
      </c>
      <c r="G2557" t="e">
        <f t="shared" si="158"/>
        <v>#VALUE!</v>
      </c>
      <c r="H2557" s="13" t="e">
        <f t="shared" si="159"/>
        <v>#VALUE!</v>
      </c>
    </row>
    <row r="2558" spans="2:8">
      <c r="B2558" s="11" t="str">
        <f t="shared" si="157"/>
        <v/>
      </c>
      <c r="C2558" s="11" t="str">
        <f t="shared" si="160"/>
        <v/>
      </c>
      <c r="F2558" s="10" t="str">
        <v/>
      </c>
      <c r="G2558" t="e">
        <f t="shared" si="158"/>
        <v>#VALUE!</v>
      </c>
      <c r="H2558" s="13" t="e">
        <f t="shared" si="159"/>
        <v>#VALUE!</v>
      </c>
    </row>
    <row r="2559" spans="2:8">
      <c r="B2559" s="11" t="str">
        <f t="shared" si="157"/>
        <v/>
      </c>
      <c r="C2559" s="11" t="str">
        <f t="shared" si="160"/>
        <v/>
      </c>
      <c r="F2559" s="10" t="str">
        <v/>
      </c>
      <c r="G2559" t="e">
        <f t="shared" si="158"/>
        <v>#VALUE!</v>
      </c>
      <c r="H2559" s="13" t="e">
        <f t="shared" si="159"/>
        <v>#VALUE!</v>
      </c>
    </row>
    <row r="2560" spans="2:8">
      <c r="B2560" s="11" t="str">
        <f t="shared" si="157"/>
        <v/>
      </c>
      <c r="C2560" s="11" t="str">
        <f t="shared" si="160"/>
        <v/>
      </c>
      <c r="F2560" s="10" t="str">
        <v/>
      </c>
      <c r="G2560" t="e">
        <f t="shared" si="158"/>
        <v>#VALUE!</v>
      </c>
      <c r="H2560" s="13" t="e">
        <f t="shared" si="159"/>
        <v>#VALUE!</v>
      </c>
    </row>
    <row r="2561" spans="2:8">
      <c r="B2561" s="11" t="str">
        <f t="shared" ref="B2561:B2624" si="161">IFERROR(IF(FIND(" ",A2561)=6,IF(IFERROR(FIND(" PB",A2561),"")&lt;&gt;"","артикул",IF(IFERROR(FIND(" CRN",A2561),"")&lt;&gt;"","артикул","")),""),"")</f>
        <v/>
      </c>
      <c r="C2561" s="11" t="str">
        <f t="shared" si="160"/>
        <v/>
      </c>
      <c r="F2561" s="10" t="str">
        <v/>
      </c>
      <c r="G2561" t="e">
        <f t="shared" si="158"/>
        <v>#VALUE!</v>
      </c>
      <c r="H2561" s="13" t="e">
        <f t="shared" si="159"/>
        <v>#VALUE!</v>
      </c>
    </row>
    <row r="2562" spans="2:8">
      <c r="B2562" s="11" t="str">
        <f t="shared" si="161"/>
        <v/>
      </c>
      <c r="C2562" s="11" t="str">
        <f t="shared" si="160"/>
        <v/>
      </c>
      <c r="F2562" s="10" t="str">
        <v/>
      </c>
      <c r="G2562" t="e">
        <f t="shared" ref="G2562:G2625" si="162">CONCATENATE(LEFT(F2562,5),
MID(F2562,
SEARCH("\",SUBSTITUTE(F2562," ","\",LEN(F2562)-LEN(SUBSTITUTE(F2562," ",""))-4)),
SEARCH("\",SUBSTITUTE(F2562," ","\",LEN(F2562)-LEN(SUBSTITUTE(F2562," ",""))-3))-
SEARCH("\",SUBSTITUTE(F2562," ","\",LEN(F2562)-LEN(SUBSTITUTE(F2562," ",""))-4)))*1)</f>
        <v>#VALUE!</v>
      </c>
      <c r="H2562" s="13" t="e">
        <f t="shared" ref="H2562:H2625" si="163">SUBSTITUTE(
RIGHT(F2562,LEN(F2562)-
FIND("\",SUBSTITUTE(F2562," ","\",LEN(F2562)-LEN(SUBSTITUTE(F2562," ",""))))),
".","")</f>
        <v>#VALUE!</v>
      </c>
    </row>
    <row r="2563" spans="2:8">
      <c r="B2563" s="11" t="str">
        <f t="shared" si="161"/>
        <v/>
      </c>
      <c r="C2563" s="11" t="str">
        <f t="shared" si="160"/>
        <v/>
      </c>
      <c r="F2563" s="10" t="str">
        <v/>
      </c>
      <c r="G2563" t="e">
        <f t="shared" si="162"/>
        <v>#VALUE!</v>
      </c>
      <c r="H2563" s="13" t="e">
        <f t="shared" si="163"/>
        <v>#VALUE!</v>
      </c>
    </row>
    <row r="2564" spans="2:8">
      <c r="B2564" s="11" t="str">
        <f t="shared" si="161"/>
        <v/>
      </c>
      <c r="C2564" s="11" t="str">
        <f t="shared" si="160"/>
        <v/>
      </c>
      <c r="F2564" s="10" t="str">
        <v/>
      </c>
      <c r="G2564" t="e">
        <f t="shared" si="162"/>
        <v>#VALUE!</v>
      </c>
      <c r="H2564" s="13" t="e">
        <f t="shared" si="163"/>
        <v>#VALUE!</v>
      </c>
    </row>
    <row r="2565" spans="2:8">
      <c r="B2565" s="11" t="str">
        <f t="shared" si="161"/>
        <v/>
      </c>
      <c r="C2565" s="11" t="str">
        <f t="shared" si="160"/>
        <v/>
      </c>
      <c r="F2565" s="10" t="str">
        <v/>
      </c>
      <c r="G2565" t="e">
        <f t="shared" si="162"/>
        <v>#VALUE!</v>
      </c>
      <c r="H2565" s="13" t="e">
        <f t="shared" si="163"/>
        <v>#VALUE!</v>
      </c>
    </row>
    <row r="2566" spans="2:8">
      <c r="B2566" s="11" t="str">
        <f t="shared" si="161"/>
        <v/>
      </c>
      <c r="C2566" s="11" t="str">
        <f t="shared" si="160"/>
        <v/>
      </c>
      <c r="F2566" s="10" t="str">
        <v/>
      </c>
      <c r="G2566" t="e">
        <f t="shared" si="162"/>
        <v>#VALUE!</v>
      </c>
      <c r="H2566" s="13" t="e">
        <f t="shared" si="163"/>
        <v>#VALUE!</v>
      </c>
    </row>
    <row r="2567" spans="2:8">
      <c r="B2567" s="11" t="str">
        <f t="shared" si="161"/>
        <v/>
      </c>
      <c r="C2567" s="11" t="str">
        <f t="shared" si="160"/>
        <v/>
      </c>
      <c r="F2567" s="10" t="str">
        <v/>
      </c>
      <c r="G2567" t="e">
        <f t="shared" si="162"/>
        <v>#VALUE!</v>
      </c>
      <c r="H2567" s="13" t="e">
        <f t="shared" si="163"/>
        <v>#VALUE!</v>
      </c>
    </row>
    <row r="2568" spans="2:8">
      <c r="B2568" s="11" t="str">
        <f t="shared" si="161"/>
        <v/>
      </c>
      <c r="C2568" s="11" t="str">
        <f t="shared" si="160"/>
        <v/>
      </c>
      <c r="F2568" s="10" t="str">
        <v/>
      </c>
      <c r="G2568" t="e">
        <f t="shared" si="162"/>
        <v>#VALUE!</v>
      </c>
      <c r="H2568" s="13" t="e">
        <f t="shared" si="163"/>
        <v>#VALUE!</v>
      </c>
    </row>
    <row r="2569" spans="2:8">
      <c r="B2569" s="11" t="str">
        <f t="shared" si="161"/>
        <v/>
      </c>
      <c r="C2569" s="11" t="str">
        <f t="shared" si="160"/>
        <v/>
      </c>
      <c r="F2569" s="10" t="str">
        <v/>
      </c>
      <c r="G2569" t="e">
        <f t="shared" si="162"/>
        <v>#VALUE!</v>
      </c>
      <c r="H2569" s="13" t="e">
        <f t="shared" si="163"/>
        <v>#VALUE!</v>
      </c>
    </row>
    <row r="2570" spans="2:8">
      <c r="B2570" s="11" t="str">
        <f t="shared" si="161"/>
        <v/>
      </c>
      <c r="C2570" s="11" t="str">
        <f t="shared" si="160"/>
        <v/>
      </c>
      <c r="F2570" s="10" t="str">
        <v/>
      </c>
      <c r="G2570" t="e">
        <f t="shared" si="162"/>
        <v>#VALUE!</v>
      </c>
      <c r="H2570" s="13" t="e">
        <f t="shared" si="163"/>
        <v>#VALUE!</v>
      </c>
    </row>
    <row r="2571" spans="2:8">
      <c r="B2571" s="11" t="str">
        <f t="shared" si="161"/>
        <v/>
      </c>
      <c r="C2571" s="11" t="str">
        <f t="shared" si="160"/>
        <v/>
      </c>
      <c r="F2571" s="10" t="str">
        <v/>
      </c>
      <c r="G2571" t="e">
        <f t="shared" si="162"/>
        <v>#VALUE!</v>
      </c>
      <c r="H2571" s="13" t="e">
        <f t="shared" si="163"/>
        <v>#VALUE!</v>
      </c>
    </row>
    <row r="2572" spans="2:8">
      <c r="B2572" s="11" t="str">
        <f t="shared" si="161"/>
        <v/>
      </c>
      <c r="C2572" s="11" t="str">
        <f t="shared" si="160"/>
        <v/>
      </c>
      <c r="F2572" s="10" t="str">
        <v/>
      </c>
      <c r="G2572" t="e">
        <f t="shared" si="162"/>
        <v>#VALUE!</v>
      </c>
      <c r="H2572" s="13" t="e">
        <f t="shared" si="163"/>
        <v>#VALUE!</v>
      </c>
    </row>
    <row r="2573" spans="2:8">
      <c r="B2573" s="11" t="str">
        <f t="shared" si="161"/>
        <v/>
      </c>
      <c r="C2573" s="11" t="str">
        <f t="shared" si="160"/>
        <v/>
      </c>
      <c r="F2573" s="10" t="str">
        <v/>
      </c>
      <c r="G2573" t="e">
        <f t="shared" si="162"/>
        <v>#VALUE!</v>
      </c>
      <c r="H2573" s="13" t="e">
        <f t="shared" si="163"/>
        <v>#VALUE!</v>
      </c>
    </row>
    <row r="2574" spans="2:8">
      <c r="B2574" s="11" t="str">
        <f t="shared" si="161"/>
        <v/>
      </c>
      <c r="C2574" s="11" t="str">
        <f t="shared" si="160"/>
        <v/>
      </c>
      <c r="F2574" s="10" t="str">
        <v/>
      </c>
      <c r="G2574" t="e">
        <f t="shared" si="162"/>
        <v>#VALUE!</v>
      </c>
      <c r="H2574" s="13" t="e">
        <f t="shared" si="163"/>
        <v>#VALUE!</v>
      </c>
    </row>
    <row r="2575" spans="2:8">
      <c r="B2575" s="11" t="str">
        <f t="shared" si="161"/>
        <v/>
      </c>
      <c r="C2575" s="11" t="str">
        <f t="shared" si="160"/>
        <v/>
      </c>
      <c r="F2575" s="10" t="str">
        <v/>
      </c>
      <c r="G2575" t="e">
        <f t="shared" si="162"/>
        <v>#VALUE!</v>
      </c>
      <c r="H2575" s="13" t="e">
        <f t="shared" si="163"/>
        <v>#VALUE!</v>
      </c>
    </row>
    <row r="2576" spans="2:8">
      <c r="B2576" s="11" t="str">
        <f t="shared" si="161"/>
        <v/>
      </c>
      <c r="C2576" s="11" t="str">
        <f t="shared" si="160"/>
        <v/>
      </c>
      <c r="F2576" s="10" t="str">
        <v/>
      </c>
      <c r="G2576" t="e">
        <f t="shared" si="162"/>
        <v>#VALUE!</v>
      </c>
      <c r="H2576" s="13" t="e">
        <f t="shared" si="163"/>
        <v>#VALUE!</v>
      </c>
    </row>
    <row r="2577" spans="2:8">
      <c r="B2577" s="11" t="str">
        <f t="shared" si="161"/>
        <v/>
      </c>
      <c r="C2577" s="11" t="str">
        <f t="shared" si="160"/>
        <v/>
      </c>
      <c r="F2577" s="10" t="str">
        <v/>
      </c>
      <c r="G2577" t="e">
        <f t="shared" si="162"/>
        <v>#VALUE!</v>
      </c>
      <c r="H2577" s="13" t="e">
        <f t="shared" si="163"/>
        <v>#VALUE!</v>
      </c>
    </row>
    <row r="2578" spans="2:8">
      <c r="B2578" s="11" t="str">
        <f t="shared" si="161"/>
        <v/>
      </c>
      <c r="C2578" s="11" t="str">
        <f t="shared" si="160"/>
        <v/>
      </c>
      <c r="F2578" s="10" t="str">
        <v/>
      </c>
      <c r="G2578" t="e">
        <f t="shared" si="162"/>
        <v>#VALUE!</v>
      </c>
      <c r="H2578" s="13" t="e">
        <f t="shared" si="163"/>
        <v>#VALUE!</v>
      </c>
    </row>
    <row r="2579" spans="2:8">
      <c r="B2579" s="11" t="str">
        <f t="shared" si="161"/>
        <v/>
      </c>
      <c r="C2579" s="11" t="str">
        <f t="shared" si="160"/>
        <v/>
      </c>
      <c r="F2579" s="10" t="str">
        <v/>
      </c>
      <c r="G2579" t="e">
        <f t="shared" si="162"/>
        <v>#VALUE!</v>
      </c>
      <c r="H2579" s="13" t="e">
        <f t="shared" si="163"/>
        <v>#VALUE!</v>
      </c>
    </row>
    <row r="2580" spans="2:8">
      <c r="B2580" s="11" t="str">
        <f t="shared" si="161"/>
        <v/>
      </c>
      <c r="C2580" s="11" t="str">
        <f t="shared" si="160"/>
        <v/>
      </c>
      <c r="F2580" s="10" t="str">
        <v/>
      </c>
      <c r="G2580" t="e">
        <f t="shared" si="162"/>
        <v>#VALUE!</v>
      </c>
      <c r="H2580" s="13" t="e">
        <f t="shared" si="163"/>
        <v>#VALUE!</v>
      </c>
    </row>
    <row r="2581" spans="2:8">
      <c r="B2581" s="11" t="str">
        <f t="shared" si="161"/>
        <v/>
      </c>
      <c r="C2581" s="11" t="str">
        <f t="shared" si="160"/>
        <v/>
      </c>
      <c r="F2581" s="10" t="str">
        <v/>
      </c>
      <c r="G2581" t="e">
        <f t="shared" si="162"/>
        <v>#VALUE!</v>
      </c>
      <c r="H2581" s="13" t="e">
        <f t="shared" si="163"/>
        <v>#VALUE!</v>
      </c>
    </row>
    <row r="2582" spans="2:8">
      <c r="B2582" s="11" t="str">
        <f t="shared" si="161"/>
        <v/>
      </c>
      <c r="C2582" s="11" t="str">
        <f t="shared" si="160"/>
        <v/>
      </c>
      <c r="F2582" s="10" t="str">
        <v/>
      </c>
      <c r="G2582" t="e">
        <f t="shared" si="162"/>
        <v>#VALUE!</v>
      </c>
      <c r="H2582" s="13" t="e">
        <f t="shared" si="163"/>
        <v>#VALUE!</v>
      </c>
    </row>
    <row r="2583" spans="2:8">
      <c r="B2583" s="11" t="str">
        <f t="shared" si="161"/>
        <v/>
      </c>
      <c r="C2583" s="11" t="str">
        <f t="shared" si="160"/>
        <v/>
      </c>
      <c r="F2583" s="10" t="str">
        <v/>
      </c>
      <c r="G2583" t="e">
        <f t="shared" si="162"/>
        <v>#VALUE!</v>
      </c>
      <c r="H2583" s="13" t="e">
        <f t="shared" si="163"/>
        <v>#VALUE!</v>
      </c>
    </row>
    <row r="2584" spans="2:8">
      <c r="B2584" s="11" t="str">
        <f t="shared" si="161"/>
        <v/>
      </c>
      <c r="C2584" s="11" t="str">
        <f t="shared" si="160"/>
        <v/>
      </c>
      <c r="F2584" s="10" t="str">
        <v/>
      </c>
      <c r="G2584" t="e">
        <f t="shared" si="162"/>
        <v>#VALUE!</v>
      </c>
      <c r="H2584" s="13" t="e">
        <f t="shared" si="163"/>
        <v>#VALUE!</v>
      </c>
    </row>
    <row r="2585" spans="2:8">
      <c r="B2585" s="11" t="str">
        <f t="shared" si="161"/>
        <v/>
      </c>
      <c r="C2585" s="11" t="str">
        <f t="shared" si="160"/>
        <v/>
      </c>
      <c r="F2585" s="10" t="str">
        <v/>
      </c>
      <c r="G2585" t="e">
        <f t="shared" si="162"/>
        <v>#VALUE!</v>
      </c>
      <c r="H2585" s="13" t="e">
        <f t="shared" si="163"/>
        <v>#VALUE!</v>
      </c>
    </row>
    <row r="2586" spans="2:8">
      <c r="B2586" s="11" t="str">
        <f t="shared" si="161"/>
        <v/>
      </c>
      <c r="C2586" s="11" t="str">
        <f t="shared" si="160"/>
        <v/>
      </c>
      <c r="F2586" s="10" t="str">
        <v/>
      </c>
      <c r="G2586" t="e">
        <f t="shared" si="162"/>
        <v>#VALUE!</v>
      </c>
      <c r="H2586" s="13" t="e">
        <f t="shared" si="163"/>
        <v>#VALUE!</v>
      </c>
    </row>
    <row r="2587" spans="2:8">
      <c r="B2587" s="11" t="str">
        <f t="shared" si="161"/>
        <v/>
      </c>
      <c r="C2587" s="11" t="str">
        <f t="shared" si="160"/>
        <v/>
      </c>
      <c r="F2587" s="10" t="str">
        <v/>
      </c>
      <c r="G2587" t="e">
        <f t="shared" si="162"/>
        <v>#VALUE!</v>
      </c>
      <c r="H2587" s="13" t="e">
        <f t="shared" si="163"/>
        <v>#VALUE!</v>
      </c>
    </row>
    <row r="2588" spans="2:8">
      <c r="B2588" s="11" t="str">
        <f t="shared" si="161"/>
        <v/>
      </c>
      <c r="C2588" s="11" t="str">
        <f t="shared" si="160"/>
        <v/>
      </c>
      <c r="F2588" s="10" t="str">
        <v/>
      </c>
      <c r="G2588" t="e">
        <f t="shared" si="162"/>
        <v>#VALUE!</v>
      </c>
      <c r="H2588" s="13" t="e">
        <f t="shared" si="163"/>
        <v>#VALUE!</v>
      </c>
    </row>
    <row r="2589" spans="2:8">
      <c r="B2589" s="11" t="str">
        <f t="shared" si="161"/>
        <v/>
      </c>
      <c r="C2589" s="11" t="str">
        <f t="shared" si="160"/>
        <v/>
      </c>
      <c r="F2589" s="10" t="str">
        <v/>
      </c>
      <c r="G2589" t="e">
        <f t="shared" si="162"/>
        <v>#VALUE!</v>
      </c>
      <c r="H2589" s="13" t="e">
        <f t="shared" si="163"/>
        <v>#VALUE!</v>
      </c>
    </row>
    <row r="2590" spans="2:8">
      <c r="B2590" s="11" t="str">
        <f t="shared" si="161"/>
        <v/>
      </c>
      <c r="C2590" s="11" t="str">
        <f t="shared" si="160"/>
        <v/>
      </c>
      <c r="F2590" s="10" t="str">
        <v/>
      </c>
      <c r="G2590" t="e">
        <f t="shared" si="162"/>
        <v>#VALUE!</v>
      </c>
      <c r="H2590" s="13" t="e">
        <f t="shared" si="163"/>
        <v>#VALUE!</v>
      </c>
    </row>
    <row r="2591" spans="2:8">
      <c r="B2591" s="11" t="str">
        <f t="shared" si="161"/>
        <v/>
      </c>
      <c r="C2591" s="11" t="str">
        <f t="shared" si="160"/>
        <v/>
      </c>
      <c r="F2591" s="10" t="str">
        <v/>
      </c>
      <c r="G2591" t="e">
        <f t="shared" si="162"/>
        <v>#VALUE!</v>
      </c>
      <c r="H2591" s="13" t="e">
        <f t="shared" si="163"/>
        <v>#VALUE!</v>
      </c>
    </row>
    <row r="2592" spans="2:8">
      <c r="B2592" s="11" t="str">
        <f t="shared" si="161"/>
        <v/>
      </c>
      <c r="C2592" s="11" t="str">
        <f t="shared" si="160"/>
        <v/>
      </c>
      <c r="F2592" s="10" t="str">
        <v/>
      </c>
      <c r="G2592" t="e">
        <f t="shared" si="162"/>
        <v>#VALUE!</v>
      </c>
      <c r="H2592" s="13" t="e">
        <f t="shared" si="163"/>
        <v>#VALUE!</v>
      </c>
    </row>
    <row r="2593" spans="2:8">
      <c r="B2593" s="11" t="str">
        <f t="shared" si="161"/>
        <v/>
      </c>
      <c r="C2593" s="11" t="str">
        <f t="shared" si="160"/>
        <v/>
      </c>
      <c r="F2593" s="10" t="str">
        <v/>
      </c>
      <c r="G2593" t="e">
        <f t="shared" si="162"/>
        <v>#VALUE!</v>
      </c>
      <c r="H2593" s="13" t="e">
        <f t="shared" si="163"/>
        <v>#VALUE!</v>
      </c>
    </row>
    <row r="2594" spans="2:8">
      <c r="B2594" s="11" t="str">
        <f t="shared" si="161"/>
        <v/>
      </c>
      <c r="C2594" s="11" t="str">
        <f t="shared" si="160"/>
        <v/>
      </c>
      <c r="F2594" s="10" t="str">
        <v/>
      </c>
      <c r="G2594" t="e">
        <f t="shared" si="162"/>
        <v>#VALUE!</v>
      </c>
      <c r="H2594" s="13" t="e">
        <f t="shared" si="163"/>
        <v>#VALUE!</v>
      </c>
    </row>
    <row r="2595" spans="2:8">
      <c r="B2595" s="11" t="str">
        <f t="shared" si="161"/>
        <v/>
      </c>
      <c r="C2595" s="11" t="str">
        <f t="shared" si="160"/>
        <v/>
      </c>
      <c r="F2595" s="10" t="str">
        <v/>
      </c>
      <c r="G2595" t="e">
        <f t="shared" si="162"/>
        <v>#VALUE!</v>
      </c>
      <c r="H2595" s="13" t="e">
        <f t="shared" si="163"/>
        <v>#VALUE!</v>
      </c>
    </row>
    <row r="2596" spans="2:8">
      <c r="B2596" s="11" t="str">
        <f t="shared" si="161"/>
        <v/>
      </c>
      <c r="C2596" s="11" t="str">
        <f t="shared" si="160"/>
        <v/>
      </c>
      <c r="F2596" s="10" t="str">
        <v/>
      </c>
      <c r="G2596" t="e">
        <f t="shared" si="162"/>
        <v>#VALUE!</v>
      </c>
      <c r="H2596" s="13" t="e">
        <f t="shared" si="163"/>
        <v>#VALUE!</v>
      </c>
    </row>
    <row r="2597" spans="2:8">
      <c r="B2597" s="11" t="str">
        <f t="shared" si="161"/>
        <v/>
      </c>
      <c r="C2597" s="11" t="str">
        <f t="shared" si="160"/>
        <v/>
      </c>
      <c r="F2597" s="10" t="str">
        <v/>
      </c>
      <c r="G2597" t="e">
        <f t="shared" si="162"/>
        <v>#VALUE!</v>
      </c>
      <c r="H2597" s="13" t="e">
        <f t="shared" si="163"/>
        <v>#VALUE!</v>
      </c>
    </row>
    <row r="2598" spans="2:8">
      <c r="B2598" s="11" t="str">
        <f t="shared" si="161"/>
        <v/>
      </c>
      <c r="C2598" s="11" t="str">
        <f t="shared" si="160"/>
        <v/>
      </c>
      <c r="F2598" s="10" t="str">
        <v/>
      </c>
      <c r="G2598" t="e">
        <f t="shared" si="162"/>
        <v>#VALUE!</v>
      </c>
      <c r="H2598" s="13" t="e">
        <f t="shared" si="163"/>
        <v>#VALUE!</v>
      </c>
    </row>
    <row r="2599" spans="2:8">
      <c r="B2599" s="11" t="str">
        <f t="shared" si="161"/>
        <v/>
      </c>
      <c r="C2599" s="11" t="str">
        <f t="shared" si="160"/>
        <v/>
      </c>
      <c r="F2599" s="10" t="str">
        <v/>
      </c>
      <c r="G2599" t="e">
        <f t="shared" si="162"/>
        <v>#VALUE!</v>
      </c>
      <c r="H2599" s="13" t="e">
        <f t="shared" si="163"/>
        <v>#VALUE!</v>
      </c>
    </row>
    <row r="2600" spans="2:8">
      <c r="B2600" s="11" t="str">
        <f t="shared" si="161"/>
        <v/>
      </c>
      <c r="C2600" s="11" t="str">
        <f t="shared" si="160"/>
        <v/>
      </c>
      <c r="F2600" s="10" t="str">
        <v/>
      </c>
      <c r="G2600" t="e">
        <f t="shared" si="162"/>
        <v>#VALUE!</v>
      </c>
      <c r="H2600" s="13" t="e">
        <f t="shared" si="163"/>
        <v>#VALUE!</v>
      </c>
    </row>
    <row r="2601" spans="2:8">
      <c r="B2601" s="11" t="str">
        <f t="shared" si="161"/>
        <v/>
      </c>
      <c r="C2601" s="11" t="str">
        <f t="shared" ref="C2601:C2664" si="164">IF(B2601="артикул",A2601,"")</f>
        <v/>
      </c>
      <c r="F2601" s="10" t="str">
        <v/>
      </c>
      <c r="G2601" t="e">
        <f t="shared" si="162"/>
        <v>#VALUE!</v>
      </c>
      <c r="H2601" s="13" t="e">
        <f t="shared" si="163"/>
        <v>#VALUE!</v>
      </c>
    </row>
    <row r="2602" spans="2:8">
      <c r="B2602" s="11" t="str">
        <f t="shared" si="161"/>
        <v/>
      </c>
      <c r="C2602" s="11" t="str">
        <f t="shared" si="164"/>
        <v/>
      </c>
      <c r="F2602" s="10" t="str">
        <v/>
      </c>
      <c r="G2602" t="e">
        <f t="shared" si="162"/>
        <v>#VALUE!</v>
      </c>
      <c r="H2602" s="13" t="e">
        <f t="shared" si="163"/>
        <v>#VALUE!</v>
      </c>
    </row>
    <row r="2603" spans="2:8">
      <c r="B2603" s="11" t="str">
        <f t="shared" si="161"/>
        <v/>
      </c>
      <c r="C2603" s="11" t="str">
        <f t="shared" si="164"/>
        <v/>
      </c>
      <c r="F2603" s="10" t="str">
        <v/>
      </c>
      <c r="G2603" t="e">
        <f t="shared" si="162"/>
        <v>#VALUE!</v>
      </c>
      <c r="H2603" s="13" t="e">
        <f t="shared" si="163"/>
        <v>#VALUE!</v>
      </c>
    </row>
    <row r="2604" spans="2:8">
      <c r="B2604" s="11" t="str">
        <f t="shared" si="161"/>
        <v/>
      </c>
      <c r="C2604" s="11" t="str">
        <f t="shared" si="164"/>
        <v/>
      </c>
      <c r="F2604" s="10" t="str">
        <v/>
      </c>
      <c r="G2604" t="e">
        <f t="shared" si="162"/>
        <v>#VALUE!</v>
      </c>
      <c r="H2604" s="13" t="e">
        <f t="shared" si="163"/>
        <v>#VALUE!</v>
      </c>
    </row>
    <row r="2605" spans="2:8">
      <c r="B2605" s="11" t="str">
        <f t="shared" si="161"/>
        <v/>
      </c>
      <c r="C2605" s="11" t="str">
        <f t="shared" si="164"/>
        <v/>
      </c>
      <c r="F2605" s="10" t="str">
        <v/>
      </c>
      <c r="G2605" t="e">
        <f t="shared" si="162"/>
        <v>#VALUE!</v>
      </c>
      <c r="H2605" s="13" t="e">
        <f t="shared" si="163"/>
        <v>#VALUE!</v>
      </c>
    </row>
    <row r="2606" spans="2:8">
      <c r="B2606" s="11" t="str">
        <f t="shared" si="161"/>
        <v/>
      </c>
      <c r="C2606" s="11" t="str">
        <f t="shared" si="164"/>
        <v/>
      </c>
      <c r="F2606" s="10" t="str">
        <v/>
      </c>
      <c r="G2606" t="e">
        <f t="shared" si="162"/>
        <v>#VALUE!</v>
      </c>
      <c r="H2606" s="13" t="e">
        <f t="shared" si="163"/>
        <v>#VALUE!</v>
      </c>
    </row>
    <row r="2607" spans="2:8">
      <c r="B2607" s="11" t="str">
        <f t="shared" si="161"/>
        <v/>
      </c>
      <c r="C2607" s="11" t="str">
        <f t="shared" si="164"/>
        <v/>
      </c>
      <c r="F2607" s="10" t="str">
        <v/>
      </c>
      <c r="G2607" t="e">
        <f t="shared" si="162"/>
        <v>#VALUE!</v>
      </c>
      <c r="H2607" s="13" t="e">
        <f t="shared" si="163"/>
        <v>#VALUE!</v>
      </c>
    </row>
    <row r="2608" spans="2:8">
      <c r="B2608" s="11" t="str">
        <f t="shared" si="161"/>
        <v/>
      </c>
      <c r="C2608" s="11" t="str">
        <f t="shared" si="164"/>
        <v/>
      </c>
      <c r="F2608" s="10" t="str">
        <v/>
      </c>
      <c r="G2608" t="e">
        <f t="shared" si="162"/>
        <v>#VALUE!</v>
      </c>
      <c r="H2608" s="13" t="e">
        <f t="shared" si="163"/>
        <v>#VALUE!</v>
      </c>
    </row>
    <row r="2609" spans="2:8">
      <c r="B2609" s="11" t="str">
        <f t="shared" si="161"/>
        <v/>
      </c>
      <c r="C2609" s="11" t="str">
        <f t="shared" si="164"/>
        <v/>
      </c>
      <c r="F2609" s="10" t="str">
        <v/>
      </c>
      <c r="G2609" t="e">
        <f t="shared" si="162"/>
        <v>#VALUE!</v>
      </c>
      <c r="H2609" s="13" t="e">
        <f t="shared" si="163"/>
        <v>#VALUE!</v>
      </c>
    </row>
    <row r="2610" spans="2:8">
      <c r="B2610" s="11" t="str">
        <f t="shared" si="161"/>
        <v/>
      </c>
      <c r="C2610" s="11" t="str">
        <f t="shared" si="164"/>
        <v/>
      </c>
      <c r="F2610" s="10" t="str">
        <v/>
      </c>
      <c r="G2610" t="e">
        <f t="shared" si="162"/>
        <v>#VALUE!</v>
      </c>
      <c r="H2610" s="13" t="e">
        <f t="shared" si="163"/>
        <v>#VALUE!</v>
      </c>
    </row>
    <row r="2611" spans="2:8">
      <c r="B2611" s="11" t="str">
        <f t="shared" si="161"/>
        <v/>
      </c>
      <c r="C2611" s="11" t="str">
        <f t="shared" si="164"/>
        <v/>
      </c>
      <c r="F2611" s="10" t="str">
        <v/>
      </c>
      <c r="G2611" t="e">
        <f t="shared" si="162"/>
        <v>#VALUE!</v>
      </c>
      <c r="H2611" s="13" t="e">
        <f t="shared" si="163"/>
        <v>#VALUE!</v>
      </c>
    </row>
    <row r="2612" spans="2:8">
      <c r="B2612" s="11" t="str">
        <f t="shared" si="161"/>
        <v/>
      </c>
      <c r="C2612" s="11" t="str">
        <f t="shared" si="164"/>
        <v/>
      </c>
      <c r="F2612" s="10" t="str">
        <v/>
      </c>
      <c r="G2612" t="e">
        <f t="shared" si="162"/>
        <v>#VALUE!</v>
      </c>
      <c r="H2612" s="13" t="e">
        <f t="shared" si="163"/>
        <v>#VALUE!</v>
      </c>
    </row>
    <row r="2613" spans="2:8">
      <c r="B2613" s="11" t="str">
        <f t="shared" si="161"/>
        <v/>
      </c>
      <c r="C2613" s="11" t="str">
        <f t="shared" si="164"/>
        <v/>
      </c>
      <c r="F2613" s="10" t="str">
        <v/>
      </c>
      <c r="G2613" t="e">
        <f t="shared" si="162"/>
        <v>#VALUE!</v>
      </c>
      <c r="H2613" s="13" t="e">
        <f t="shared" si="163"/>
        <v>#VALUE!</v>
      </c>
    </row>
    <row r="2614" spans="2:8">
      <c r="B2614" s="11" t="str">
        <f t="shared" si="161"/>
        <v/>
      </c>
      <c r="C2614" s="11" t="str">
        <f t="shared" si="164"/>
        <v/>
      </c>
      <c r="F2614" s="10" t="str">
        <v/>
      </c>
      <c r="G2614" t="e">
        <f t="shared" si="162"/>
        <v>#VALUE!</v>
      </c>
      <c r="H2614" s="13" t="e">
        <f t="shared" si="163"/>
        <v>#VALUE!</v>
      </c>
    </row>
    <row r="2615" spans="2:8">
      <c r="B2615" s="11" t="str">
        <f t="shared" si="161"/>
        <v/>
      </c>
      <c r="C2615" s="11" t="str">
        <f t="shared" si="164"/>
        <v/>
      </c>
      <c r="F2615" s="10" t="str">
        <v/>
      </c>
      <c r="G2615" t="e">
        <f t="shared" si="162"/>
        <v>#VALUE!</v>
      </c>
      <c r="H2615" s="13" t="e">
        <f t="shared" si="163"/>
        <v>#VALUE!</v>
      </c>
    </row>
    <row r="2616" spans="2:8">
      <c r="B2616" s="11" t="str">
        <f t="shared" si="161"/>
        <v/>
      </c>
      <c r="C2616" s="11" t="str">
        <f t="shared" si="164"/>
        <v/>
      </c>
      <c r="F2616" s="10" t="str">
        <v/>
      </c>
      <c r="G2616" t="e">
        <f t="shared" si="162"/>
        <v>#VALUE!</v>
      </c>
      <c r="H2616" s="13" t="e">
        <f t="shared" si="163"/>
        <v>#VALUE!</v>
      </c>
    </row>
    <row r="2617" spans="2:8">
      <c r="B2617" s="11" t="str">
        <f t="shared" si="161"/>
        <v/>
      </c>
      <c r="C2617" s="11" t="str">
        <f t="shared" si="164"/>
        <v/>
      </c>
      <c r="F2617" s="10" t="str">
        <v/>
      </c>
      <c r="G2617" t="e">
        <f t="shared" si="162"/>
        <v>#VALUE!</v>
      </c>
      <c r="H2617" s="13" t="e">
        <f t="shared" si="163"/>
        <v>#VALUE!</v>
      </c>
    </row>
    <row r="2618" spans="2:8">
      <c r="B2618" s="11" t="str">
        <f t="shared" si="161"/>
        <v/>
      </c>
      <c r="C2618" s="11" t="str">
        <f t="shared" si="164"/>
        <v/>
      </c>
      <c r="F2618" s="10" t="str">
        <v/>
      </c>
      <c r="G2618" t="e">
        <f t="shared" si="162"/>
        <v>#VALUE!</v>
      </c>
      <c r="H2618" s="13" t="e">
        <f t="shared" si="163"/>
        <v>#VALUE!</v>
      </c>
    </row>
    <row r="2619" spans="2:8">
      <c r="B2619" s="11" t="str">
        <f t="shared" si="161"/>
        <v/>
      </c>
      <c r="C2619" s="11" t="str">
        <f t="shared" si="164"/>
        <v/>
      </c>
      <c r="F2619" s="10" t="str">
        <v/>
      </c>
      <c r="G2619" t="e">
        <f t="shared" si="162"/>
        <v>#VALUE!</v>
      </c>
      <c r="H2619" s="13" t="e">
        <f t="shared" si="163"/>
        <v>#VALUE!</v>
      </c>
    </row>
    <row r="2620" spans="2:8">
      <c r="B2620" s="11" t="str">
        <f t="shared" si="161"/>
        <v/>
      </c>
      <c r="C2620" s="11" t="str">
        <f t="shared" si="164"/>
        <v/>
      </c>
      <c r="F2620" s="10" t="str">
        <v/>
      </c>
      <c r="G2620" t="e">
        <f t="shared" si="162"/>
        <v>#VALUE!</v>
      </c>
      <c r="H2620" s="13" t="e">
        <f t="shared" si="163"/>
        <v>#VALUE!</v>
      </c>
    </row>
    <row r="2621" spans="2:8">
      <c r="B2621" s="11" t="str">
        <f t="shared" si="161"/>
        <v/>
      </c>
      <c r="C2621" s="11" t="str">
        <f t="shared" si="164"/>
        <v/>
      </c>
      <c r="F2621" s="10" t="str">
        <v/>
      </c>
      <c r="G2621" t="e">
        <f t="shared" si="162"/>
        <v>#VALUE!</v>
      </c>
      <c r="H2621" s="13" t="e">
        <f t="shared" si="163"/>
        <v>#VALUE!</v>
      </c>
    </row>
    <row r="2622" spans="2:8">
      <c r="B2622" s="11" t="str">
        <f t="shared" si="161"/>
        <v/>
      </c>
      <c r="C2622" s="11" t="str">
        <f t="shared" si="164"/>
        <v/>
      </c>
      <c r="F2622" s="10" t="str">
        <v/>
      </c>
      <c r="G2622" t="e">
        <f t="shared" si="162"/>
        <v>#VALUE!</v>
      </c>
      <c r="H2622" s="13" t="e">
        <f t="shared" si="163"/>
        <v>#VALUE!</v>
      </c>
    </row>
    <row r="2623" spans="2:8">
      <c r="B2623" s="11" t="str">
        <f t="shared" si="161"/>
        <v/>
      </c>
      <c r="C2623" s="11" t="str">
        <f t="shared" si="164"/>
        <v/>
      </c>
      <c r="F2623" s="10" t="str">
        <v/>
      </c>
      <c r="G2623" t="e">
        <f t="shared" si="162"/>
        <v>#VALUE!</v>
      </c>
      <c r="H2623" s="13" t="e">
        <f t="shared" si="163"/>
        <v>#VALUE!</v>
      </c>
    </row>
    <row r="2624" spans="2:8">
      <c r="B2624" s="11" t="str">
        <f t="shared" si="161"/>
        <v/>
      </c>
      <c r="C2624" s="11" t="str">
        <f t="shared" si="164"/>
        <v/>
      </c>
      <c r="F2624" s="10" t="str">
        <v/>
      </c>
      <c r="G2624" t="e">
        <f t="shared" si="162"/>
        <v>#VALUE!</v>
      </c>
      <c r="H2624" s="13" t="e">
        <f t="shared" si="163"/>
        <v>#VALUE!</v>
      </c>
    </row>
    <row r="2625" spans="2:8">
      <c r="B2625" s="11" t="str">
        <f t="shared" ref="B2625:B2688" si="165">IFERROR(IF(FIND(" ",A2625)=6,IF(IFERROR(FIND(" PB",A2625),"")&lt;&gt;"","артикул",IF(IFERROR(FIND(" CRN",A2625),"")&lt;&gt;"","артикул","")),""),"")</f>
        <v/>
      </c>
      <c r="C2625" s="11" t="str">
        <f t="shared" si="164"/>
        <v/>
      </c>
      <c r="F2625" s="10" t="str">
        <v/>
      </c>
      <c r="G2625" t="e">
        <f t="shared" si="162"/>
        <v>#VALUE!</v>
      </c>
      <c r="H2625" s="13" t="e">
        <f t="shared" si="163"/>
        <v>#VALUE!</v>
      </c>
    </row>
    <row r="2626" spans="2:8">
      <c r="B2626" s="11" t="str">
        <f t="shared" si="165"/>
        <v/>
      </c>
      <c r="C2626" s="11" t="str">
        <f t="shared" si="164"/>
        <v/>
      </c>
      <c r="F2626" s="10" t="str">
        <v/>
      </c>
      <c r="G2626" t="e">
        <f t="shared" ref="G2626:G2689" si="166">CONCATENATE(LEFT(F2626,5),
MID(F2626,
SEARCH("\",SUBSTITUTE(F2626," ","\",LEN(F2626)-LEN(SUBSTITUTE(F2626," ",""))-4)),
SEARCH("\",SUBSTITUTE(F2626," ","\",LEN(F2626)-LEN(SUBSTITUTE(F2626," ",""))-3))-
SEARCH("\",SUBSTITUTE(F2626," ","\",LEN(F2626)-LEN(SUBSTITUTE(F2626," ",""))-4)))*1)</f>
        <v>#VALUE!</v>
      </c>
      <c r="H2626" s="13" t="e">
        <f t="shared" ref="H2626:H2689" si="167">SUBSTITUTE(
RIGHT(F2626,LEN(F2626)-
FIND("\",SUBSTITUTE(F2626," ","\",LEN(F2626)-LEN(SUBSTITUTE(F2626," ",""))))),
".","")</f>
        <v>#VALUE!</v>
      </c>
    </row>
    <row r="2627" spans="2:8">
      <c r="B2627" s="11" t="str">
        <f t="shared" si="165"/>
        <v/>
      </c>
      <c r="C2627" s="11" t="str">
        <f t="shared" si="164"/>
        <v/>
      </c>
      <c r="F2627" s="10" t="str">
        <v/>
      </c>
      <c r="G2627" t="e">
        <f t="shared" si="166"/>
        <v>#VALUE!</v>
      </c>
      <c r="H2627" s="13" t="e">
        <f t="shared" si="167"/>
        <v>#VALUE!</v>
      </c>
    </row>
    <row r="2628" spans="2:8">
      <c r="B2628" s="11" t="str">
        <f t="shared" si="165"/>
        <v/>
      </c>
      <c r="C2628" s="11" t="str">
        <f t="shared" si="164"/>
        <v/>
      </c>
      <c r="F2628" s="10" t="str">
        <v/>
      </c>
      <c r="G2628" t="e">
        <f t="shared" si="166"/>
        <v>#VALUE!</v>
      </c>
      <c r="H2628" s="13" t="e">
        <f t="shared" si="167"/>
        <v>#VALUE!</v>
      </c>
    </row>
    <row r="2629" spans="2:8">
      <c r="B2629" s="11" t="str">
        <f t="shared" si="165"/>
        <v/>
      </c>
      <c r="C2629" s="11" t="str">
        <f t="shared" si="164"/>
        <v/>
      </c>
      <c r="F2629" s="10" t="str">
        <v/>
      </c>
      <c r="G2629" t="e">
        <f t="shared" si="166"/>
        <v>#VALUE!</v>
      </c>
      <c r="H2629" s="13" t="e">
        <f t="shared" si="167"/>
        <v>#VALUE!</v>
      </c>
    </row>
    <row r="2630" spans="2:8">
      <c r="B2630" s="11" t="str">
        <f t="shared" si="165"/>
        <v/>
      </c>
      <c r="C2630" s="11" t="str">
        <f t="shared" si="164"/>
        <v/>
      </c>
      <c r="F2630" s="10" t="str">
        <v/>
      </c>
      <c r="G2630" t="e">
        <f t="shared" si="166"/>
        <v>#VALUE!</v>
      </c>
      <c r="H2630" s="13" t="e">
        <f t="shared" si="167"/>
        <v>#VALUE!</v>
      </c>
    </row>
    <row r="2631" spans="2:8">
      <c r="B2631" s="11" t="str">
        <f t="shared" si="165"/>
        <v/>
      </c>
      <c r="C2631" s="11" t="str">
        <f t="shared" si="164"/>
        <v/>
      </c>
      <c r="F2631" s="10" t="str">
        <v/>
      </c>
      <c r="G2631" t="e">
        <f t="shared" si="166"/>
        <v>#VALUE!</v>
      </c>
      <c r="H2631" s="13" t="e">
        <f t="shared" si="167"/>
        <v>#VALUE!</v>
      </c>
    </row>
    <row r="2632" spans="2:8">
      <c r="B2632" s="11" t="str">
        <f t="shared" si="165"/>
        <v/>
      </c>
      <c r="C2632" s="11" t="str">
        <f t="shared" si="164"/>
        <v/>
      </c>
      <c r="F2632" s="10" t="str">
        <v/>
      </c>
      <c r="G2632" t="e">
        <f t="shared" si="166"/>
        <v>#VALUE!</v>
      </c>
      <c r="H2632" s="13" t="e">
        <f t="shared" si="167"/>
        <v>#VALUE!</v>
      </c>
    </row>
    <row r="2633" spans="2:8">
      <c r="B2633" s="11" t="str">
        <f t="shared" si="165"/>
        <v/>
      </c>
      <c r="C2633" s="11" t="str">
        <f t="shared" si="164"/>
        <v/>
      </c>
      <c r="F2633" s="10" t="str">
        <v/>
      </c>
      <c r="G2633" t="e">
        <f t="shared" si="166"/>
        <v>#VALUE!</v>
      </c>
      <c r="H2633" s="13" t="e">
        <f t="shared" si="167"/>
        <v>#VALUE!</v>
      </c>
    </row>
    <row r="2634" spans="2:8">
      <c r="B2634" s="11" t="str">
        <f t="shared" si="165"/>
        <v/>
      </c>
      <c r="C2634" s="11" t="str">
        <f t="shared" si="164"/>
        <v/>
      </c>
      <c r="F2634" s="10" t="str">
        <v/>
      </c>
      <c r="G2634" t="e">
        <f t="shared" si="166"/>
        <v>#VALUE!</v>
      </c>
      <c r="H2634" s="13" t="e">
        <f t="shared" si="167"/>
        <v>#VALUE!</v>
      </c>
    </row>
    <row r="2635" spans="2:8">
      <c r="B2635" s="11" t="str">
        <f t="shared" si="165"/>
        <v/>
      </c>
      <c r="C2635" s="11" t="str">
        <f t="shared" si="164"/>
        <v/>
      </c>
      <c r="F2635" s="10" t="str">
        <v/>
      </c>
      <c r="G2635" t="e">
        <f t="shared" si="166"/>
        <v>#VALUE!</v>
      </c>
      <c r="H2635" s="13" t="e">
        <f t="shared" si="167"/>
        <v>#VALUE!</v>
      </c>
    </row>
    <row r="2636" spans="2:8">
      <c r="B2636" s="11" t="str">
        <f t="shared" si="165"/>
        <v/>
      </c>
      <c r="C2636" s="11" t="str">
        <f t="shared" si="164"/>
        <v/>
      </c>
      <c r="F2636" s="10" t="str">
        <v/>
      </c>
      <c r="G2636" t="e">
        <f t="shared" si="166"/>
        <v>#VALUE!</v>
      </c>
      <c r="H2636" s="13" t="e">
        <f t="shared" si="167"/>
        <v>#VALUE!</v>
      </c>
    </row>
    <row r="2637" spans="2:8">
      <c r="B2637" s="11" t="str">
        <f t="shared" si="165"/>
        <v/>
      </c>
      <c r="C2637" s="11" t="str">
        <f t="shared" si="164"/>
        <v/>
      </c>
      <c r="F2637" s="10" t="str">
        <v/>
      </c>
      <c r="G2637" t="e">
        <f t="shared" si="166"/>
        <v>#VALUE!</v>
      </c>
      <c r="H2637" s="13" t="e">
        <f t="shared" si="167"/>
        <v>#VALUE!</v>
      </c>
    </row>
    <row r="2638" spans="2:8">
      <c r="B2638" s="11" t="str">
        <f t="shared" si="165"/>
        <v/>
      </c>
      <c r="C2638" s="11" t="str">
        <f t="shared" si="164"/>
        <v/>
      </c>
      <c r="F2638" s="10" t="str">
        <v/>
      </c>
      <c r="G2638" t="e">
        <f t="shared" si="166"/>
        <v>#VALUE!</v>
      </c>
      <c r="H2638" s="13" t="e">
        <f t="shared" si="167"/>
        <v>#VALUE!</v>
      </c>
    </row>
    <row r="2639" spans="2:8">
      <c r="B2639" s="11" t="str">
        <f t="shared" si="165"/>
        <v/>
      </c>
      <c r="C2639" s="11" t="str">
        <f t="shared" si="164"/>
        <v/>
      </c>
      <c r="F2639" s="10" t="str">
        <v/>
      </c>
      <c r="G2639" t="e">
        <f t="shared" si="166"/>
        <v>#VALUE!</v>
      </c>
      <c r="H2639" s="13" t="e">
        <f t="shared" si="167"/>
        <v>#VALUE!</v>
      </c>
    </row>
    <row r="2640" spans="2:8">
      <c r="B2640" s="11" t="str">
        <f t="shared" si="165"/>
        <v/>
      </c>
      <c r="C2640" s="11" t="str">
        <f t="shared" si="164"/>
        <v/>
      </c>
      <c r="F2640" s="10" t="str">
        <v/>
      </c>
      <c r="G2640" t="e">
        <f t="shared" si="166"/>
        <v>#VALUE!</v>
      </c>
      <c r="H2640" s="13" t="e">
        <f t="shared" si="167"/>
        <v>#VALUE!</v>
      </c>
    </row>
    <row r="2641" spans="2:8">
      <c r="B2641" s="11" t="str">
        <f t="shared" si="165"/>
        <v/>
      </c>
      <c r="C2641" s="11" t="str">
        <f t="shared" si="164"/>
        <v/>
      </c>
      <c r="F2641" s="10" t="str">
        <v/>
      </c>
      <c r="G2641" t="e">
        <f t="shared" si="166"/>
        <v>#VALUE!</v>
      </c>
      <c r="H2641" s="13" t="e">
        <f t="shared" si="167"/>
        <v>#VALUE!</v>
      </c>
    </row>
    <row r="2642" spans="2:8">
      <c r="B2642" s="11" t="str">
        <f t="shared" si="165"/>
        <v/>
      </c>
      <c r="C2642" s="11" t="str">
        <f t="shared" si="164"/>
        <v/>
      </c>
      <c r="F2642" s="10" t="str">
        <v/>
      </c>
      <c r="G2642" t="e">
        <f t="shared" si="166"/>
        <v>#VALUE!</v>
      </c>
      <c r="H2642" s="13" t="e">
        <f t="shared" si="167"/>
        <v>#VALUE!</v>
      </c>
    </row>
    <row r="2643" spans="2:8">
      <c r="B2643" s="11" t="str">
        <f t="shared" si="165"/>
        <v/>
      </c>
      <c r="C2643" s="11" t="str">
        <f t="shared" si="164"/>
        <v/>
      </c>
      <c r="F2643" s="10" t="str">
        <v/>
      </c>
      <c r="G2643" t="e">
        <f t="shared" si="166"/>
        <v>#VALUE!</v>
      </c>
      <c r="H2643" s="13" t="e">
        <f t="shared" si="167"/>
        <v>#VALUE!</v>
      </c>
    </row>
    <row r="2644" spans="2:8">
      <c r="B2644" s="11" t="str">
        <f t="shared" si="165"/>
        <v/>
      </c>
      <c r="C2644" s="11" t="str">
        <f t="shared" si="164"/>
        <v/>
      </c>
      <c r="F2644" s="10" t="str">
        <v/>
      </c>
      <c r="G2644" t="e">
        <f t="shared" si="166"/>
        <v>#VALUE!</v>
      </c>
      <c r="H2644" s="13" t="e">
        <f t="shared" si="167"/>
        <v>#VALUE!</v>
      </c>
    </row>
    <row r="2645" spans="2:8">
      <c r="B2645" s="11" t="str">
        <f t="shared" si="165"/>
        <v/>
      </c>
      <c r="C2645" s="11" t="str">
        <f t="shared" si="164"/>
        <v/>
      </c>
      <c r="F2645" s="10" t="str">
        <v/>
      </c>
      <c r="G2645" t="e">
        <f t="shared" si="166"/>
        <v>#VALUE!</v>
      </c>
      <c r="H2645" s="13" t="e">
        <f t="shared" si="167"/>
        <v>#VALUE!</v>
      </c>
    </row>
    <row r="2646" spans="2:8">
      <c r="B2646" s="11" t="str">
        <f t="shared" si="165"/>
        <v/>
      </c>
      <c r="C2646" s="11" t="str">
        <f t="shared" si="164"/>
        <v/>
      </c>
      <c r="F2646" s="10" t="str">
        <v/>
      </c>
      <c r="G2646" t="e">
        <f t="shared" si="166"/>
        <v>#VALUE!</v>
      </c>
      <c r="H2646" s="13" t="e">
        <f t="shared" si="167"/>
        <v>#VALUE!</v>
      </c>
    </row>
    <row r="2647" spans="2:8">
      <c r="B2647" s="11" t="str">
        <f t="shared" si="165"/>
        <v/>
      </c>
      <c r="C2647" s="11" t="str">
        <f t="shared" si="164"/>
        <v/>
      </c>
      <c r="F2647" s="10" t="str">
        <v/>
      </c>
      <c r="G2647" t="e">
        <f t="shared" si="166"/>
        <v>#VALUE!</v>
      </c>
      <c r="H2647" s="13" t="e">
        <f t="shared" si="167"/>
        <v>#VALUE!</v>
      </c>
    </row>
    <row r="2648" spans="2:8">
      <c r="B2648" s="11" t="str">
        <f t="shared" si="165"/>
        <v/>
      </c>
      <c r="C2648" s="11" t="str">
        <f t="shared" si="164"/>
        <v/>
      </c>
      <c r="F2648" s="10" t="str">
        <v/>
      </c>
      <c r="G2648" t="e">
        <f t="shared" si="166"/>
        <v>#VALUE!</v>
      </c>
      <c r="H2648" s="13" t="e">
        <f t="shared" si="167"/>
        <v>#VALUE!</v>
      </c>
    </row>
    <row r="2649" spans="2:8">
      <c r="B2649" s="11" t="str">
        <f t="shared" si="165"/>
        <v/>
      </c>
      <c r="C2649" s="11" t="str">
        <f t="shared" si="164"/>
        <v/>
      </c>
      <c r="F2649" s="10" t="str">
        <v/>
      </c>
      <c r="G2649" t="e">
        <f t="shared" si="166"/>
        <v>#VALUE!</v>
      </c>
      <c r="H2649" s="13" t="e">
        <f t="shared" si="167"/>
        <v>#VALUE!</v>
      </c>
    </row>
    <row r="2650" spans="2:8">
      <c r="B2650" s="11" t="str">
        <f t="shared" si="165"/>
        <v/>
      </c>
      <c r="C2650" s="11" t="str">
        <f t="shared" si="164"/>
        <v/>
      </c>
      <c r="F2650" s="10" t="str">
        <v/>
      </c>
      <c r="G2650" t="e">
        <f t="shared" si="166"/>
        <v>#VALUE!</v>
      </c>
      <c r="H2650" s="13" t="e">
        <f t="shared" si="167"/>
        <v>#VALUE!</v>
      </c>
    </row>
    <row r="2651" spans="2:8">
      <c r="B2651" s="11" t="str">
        <f t="shared" si="165"/>
        <v/>
      </c>
      <c r="C2651" s="11" t="str">
        <f t="shared" si="164"/>
        <v/>
      </c>
      <c r="F2651" s="10" t="str">
        <v/>
      </c>
      <c r="G2651" t="e">
        <f t="shared" si="166"/>
        <v>#VALUE!</v>
      </c>
      <c r="H2651" s="13" t="e">
        <f t="shared" si="167"/>
        <v>#VALUE!</v>
      </c>
    </row>
    <row r="2652" spans="2:8">
      <c r="B2652" s="11" t="str">
        <f t="shared" si="165"/>
        <v/>
      </c>
      <c r="C2652" s="11" t="str">
        <f t="shared" si="164"/>
        <v/>
      </c>
      <c r="F2652" s="10" t="str">
        <v/>
      </c>
      <c r="G2652" t="e">
        <f t="shared" si="166"/>
        <v>#VALUE!</v>
      </c>
      <c r="H2652" s="13" t="e">
        <f t="shared" si="167"/>
        <v>#VALUE!</v>
      </c>
    </row>
    <row r="2653" spans="2:8">
      <c r="B2653" s="11" t="str">
        <f t="shared" si="165"/>
        <v/>
      </c>
      <c r="C2653" s="11" t="str">
        <f t="shared" si="164"/>
        <v/>
      </c>
      <c r="F2653" s="10" t="str">
        <v/>
      </c>
      <c r="G2653" t="e">
        <f t="shared" si="166"/>
        <v>#VALUE!</v>
      </c>
      <c r="H2653" s="13" t="e">
        <f t="shared" si="167"/>
        <v>#VALUE!</v>
      </c>
    </row>
    <row r="2654" spans="2:8">
      <c r="B2654" s="11" t="str">
        <f t="shared" si="165"/>
        <v/>
      </c>
      <c r="C2654" s="11" t="str">
        <f t="shared" si="164"/>
        <v/>
      </c>
      <c r="F2654" s="10" t="str">
        <v/>
      </c>
      <c r="G2654" t="e">
        <f t="shared" si="166"/>
        <v>#VALUE!</v>
      </c>
      <c r="H2654" s="13" t="e">
        <f t="shared" si="167"/>
        <v>#VALUE!</v>
      </c>
    </row>
    <row r="2655" spans="2:8">
      <c r="B2655" s="11" t="str">
        <f t="shared" si="165"/>
        <v/>
      </c>
      <c r="C2655" s="11" t="str">
        <f t="shared" si="164"/>
        <v/>
      </c>
      <c r="F2655" s="10" t="str">
        <v/>
      </c>
      <c r="G2655" t="e">
        <f t="shared" si="166"/>
        <v>#VALUE!</v>
      </c>
      <c r="H2655" s="13" t="e">
        <f t="shared" si="167"/>
        <v>#VALUE!</v>
      </c>
    </row>
    <row r="2656" spans="2:8">
      <c r="B2656" s="11" t="str">
        <f t="shared" si="165"/>
        <v/>
      </c>
      <c r="C2656" s="11" t="str">
        <f t="shared" si="164"/>
        <v/>
      </c>
      <c r="F2656" s="10" t="str">
        <v/>
      </c>
      <c r="G2656" t="e">
        <f t="shared" si="166"/>
        <v>#VALUE!</v>
      </c>
      <c r="H2656" s="13" t="e">
        <f t="shared" si="167"/>
        <v>#VALUE!</v>
      </c>
    </row>
    <row r="2657" spans="2:8">
      <c r="B2657" s="11" t="str">
        <f t="shared" si="165"/>
        <v/>
      </c>
      <c r="C2657" s="11" t="str">
        <f t="shared" si="164"/>
        <v/>
      </c>
      <c r="F2657" s="10" t="str">
        <v/>
      </c>
      <c r="G2657" t="e">
        <f t="shared" si="166"/>
        <v>#VALUE!</v>
      </c>
      <c r="H2657" s="13" t="e">
        <f t="shared" si="167"/>
        <v>#VALUE!</v>
      </c>
    </row>
    <row r="2658" spans="2:8">
      <c r="B2658" s="11" t="str">
        <f t="shared" si="165"/>
        <v/>
      </c>
      <c r="C2658" s="11" t="str">
        <f t="shared" si="164"/>
        <v/>
      </c>
      <c r="F2658" s="10" t="str">
        <v/>
      </c>
      <c r="G2658" t="e">
        <f t="shared" si="166"/>
        <v>#VALUE!</v>
      </c>
      <c r="H2658" s="13" t="e">
        <f t="shared" si="167"/>
        <v>#VALUE!</v>
      </c>
    </row>
    <row r="2659" spans="2:8">
      <c r="B2659" s="11" t="str">
        <f t="shared" si="165"/>
        <v/>
      </c>
      <c r="C2659" s="11" t="str">
        <f t="shared" si="164"/>
        <v/>
      </c>
      <c r="F2659" s="10" t="str">
        <v/>
      </c>
      <c r="G2659" t="e">
        <f t="shared" si="166"/>
        <v>#VALUE!</v>
      </c>
      <c r="H2659" s="13" t="e">
        <f t="shared" si="167"/>
        <v>#VALUE!</v>
      </c>
    </row>
    <row r="2660" spans="2:8">
      <c r="B2660" s="11" t="str">
        <f t="shared" si="165"/>
        <v/>
      </c>
      <c r="C2660" s="11" t="str">
        <f t="shared" si="164"/>
        <v/>
      </c>
      <c r="F2660" s="10" t="str">
        <v/>
      </c>
      <c r="G2660" t="e">
        <f t="shared" si="166"/>
        <v>#VALUE!</v>
      </c>
      <c r="H2660" s="13" t="e">
        <f t="shared" si="167"/>
        <v>#VALUE!</v>
      </c>
    </row>
    <row r="2661" spans="2:8">
      <c r="B2661" s="11" t="str">
        <f t="shared" si="165"/>
        <v/>
      </c>
      <c r="C2661" s="11" t="str">
        <f t="shared" si="164"/>
        <v/>
      </c>
      <c r="F2661" s="10" t="str">
        <v/>
      </c>
      <c r="G2661" t="e">
        <f t="shared" si="166"/>
        <v>#VALUE!</v>
      </c>
      <c r="H2661" s="13" t="e">
        <f t="shared" si="167"/>
        <v>#VALUE!</v>
      </c>
    </row>
    <row r="2662" spans="2:8">
      <c r="B2662" s="11" t="str">
        <f t="shared" si="165"/>
        <v/>
      </c>
      <c r="C2662" s="11" t="str">
        <f t="shared" si="164"/>
        <v/>
      </c>
      <c r="F2662" s="10" t="str">
        <v/>
      </c>
      <c r="G2662" t="e">
        <f t="shared" si="166"/>
        <v>#VALUE!</v>
      </c>
      <c r="H2662" s="13" t="e">
        <f t="shared" si="167"/>
        <v>#VALUE!</v>
      </c>
    </row>
    <row r="2663" spans="2:8">
      <c r="B2663" s="11" t="str">
        <f t="shared" si="165"/>
        <v/>
      </c>
      <c r="C2663" s="11" t="str">
        <f t="shared" si="164"/>
        <v/>
      </c>
      <c r="F2663" s="10" t="str">
        <v/>
      </c>
      <c r="G2663" t="e">
        <f t="shared" si="166"/>
        <v>#VALUE!</v>
      </c>
      <c r="H2663" s="13" t="e">
        <f t="shared" si="167"/>
        <v>#VALUE!</v>
      </c>
    </row>
    <row r="2664" spans="2:8">
      <c r="B2664" s="11" t="str">
        <f t="shared" si="165"/>
        <v/>
      </c>
      <c r="C2664" s="11" t="str">
        <f t="shared" si="164"/>
        <v/>
      </c>
      <c r="F2664" s="10" t="str">
        <v/>
      </c>
      <c r="G2664" t="e">
        <f t="shared" si="166"/>
        <v>#VALUE!</v>
      </c>
      <c r="H2664" s="13" t="e">
        <f t="shared" si="167"/>
        <v>#VALUE!</v>
      </c>
    </row>
    <row r="2665" spans="2:8">
      <c r="B2665" s="11" t="str">
        <f t="shared" si="165"/>
        <v/>
      </c>
      <c r="C2665" s="11" t="str">
        <f t="shared" ref="C2665:C2728" si="168">IF(B2665="артикул",A2665,"")</f>
        <v/>
      </c>
      <c r="F2665" s="10" t="str">
        <v/>
      </c>
      <c r="G2665" t="e">
        <f t="shared" si="166"/>
        <v>#VALUE!</v>
      </c>
      <c r="H2665" s="13" t="e">
        <f t="shared" si="167"/>
        <v>#VALUE!</v>
      </c>
    </row>
    <row r="2666" spans="2:8">
      <c r="B2666" s="11" t="str">
        <f t="shared" si="165"/>
        <v/>
      </c>
      <c r="C2666" s="11" t="str">
        <f t="shared" si="168"/>
        <v/>
      </c>
      <c r="F2666" s="10" t="str">
        <v/>
      </c>
      <c r="G2666" t="e">
        <f t="shared" si="166"/>
        <v>#VALUE!</v>
      </c>
      <c r="H2666" s="13" t="e">
        <f t="shared" si="167"/>
        <v>#VALUE!</v>
      </c>
    </row>
    <row r="2667" spans="2:8">
      <c r="B2667" s="11" t="str">
        <f t="shared" si="165"/>
        <v/>
      </c>
      <c r="C2667" s="11" t="str">
        <f t="shared" si="168"/>
        <v/>
      </c>
      <c r="F2667" s="10" t="str">
        <v/>
      </c>
      <c r="G2667" t="e">
        <f t="shared" si="166"/>
        <v>#VALUE!</v>
      </c>
      <c r="H2667" s="13" t="e">
        <f t="shared" si="167"/>
        <v>#VALUE!</v>
      </c>
    </row>
    <row r="2668" spans="2:8">
      <c r="B2668" s="11" t="str">
        <f t="shared" si="165"/>
        <v/>
      </c>
      <c r="C2668" s="11" t="str">
        <f t="shared" si="168"/>
        <v/>
      </c>
      <c r="F2668" s="10" t="str">
        <v/>
      </c>
      <c r="G2668" t="e">
        <f t="shared" si="166"/>
        <v>#VALUE!</v>
      </c>
      <c r="H2668" s="13" t="e">
        <f t="shared" si="167"/>
        <v>#VALUE!</v>
      </c>
    </row>
    <row r="2669" spans="2:8">
      <c r="B2669" s="11" t="str">
        <f t="shared" si="165"/>
        <v/>
      </c>
      <c r="C2669" s="11" t="str">
        <f t="shared" si="168"/>
        <v/>
      </c>
      <c r="F2669" s="10" t="str">
        <v/>
      </c>
      <c r="G2669" t="e">
        <f t="shared" si="166"/>
        <v>#VALUE!</v>
      </c>
      <c r="H2669" s="13" t="e">
        <f t="shared" si="167"/>
        <v>#VALUE!</v>
      </c>
    </row>
    <row r="2670" spans="2:8">
      <c r="B2670" s="11" t="str">
        <f t="shared" si="165"/>
        <v/>
      </c>
      <c r="C2670" s="11" t="str">
        <f t="shared" si="168"/>
        <v/>
      </c>
      <c r="F2670" s="10" t="str">
        <v/>
      </c>
      <c r="G2670" t="e">
        <f t="shared" si="166"/>
        <v>#VALUE!</v>
      </c>
      <c r="H2670" s="13" t="e">
        <f t="shared" si="167"/>
        <v>#VALUE!</v>
      </c>
    </row>
    <row r="2671" spans="2:8">
      <c r="B2671" s="11" t="str">
        <f t="shared" si="165"/>
        <v/>
      </c>
      <c r="C2671" s="11" t="str">
        <f t="shared" si="168"/>
        <v/>
      </c>
      <c r="F2671" s="10" t="str">
        <v/>
      </c>
      <c r="G2671" t="e">
        <f t="shared" si="166"/>
        <v>#VALUE!</v>
      </c>
      <c r="H2671" s="13" t="e">
        <f t="shared" si="167"/>
        <v>#VALUE!</v>
      </c>
    </row>
    <row r="2672" spans="2:8">
      <c r="B2672" s="11" t="str">
        <f t="shared" si="165"/>
        <v/>
      </c>
      <c r="C2672" s="11" t="str">
        <f t="shared" si="168"/>
        <v/>
      </c>
      <c r="F2672" s="10" t="str">
        <v/>
      </c>
      <c r="G2672" t="e">
        <f t="shared" si="166"/>
        <v>#VALUE!</v>
      </c>
      <c r="H2672" s="13" t="e">
        <f t="shared" si="167"/>
        <v>#VALUE!</v>
      </c>
    </row>
    <row r="2673" spans="2:8">
      <c r="B2673" s="11" t="str">
        <f t="shared" si="165"/>
        <v/>
      </c>
      <c r="C2673" s="11" t="str">
        <f t="shared" si="168"/>
        <v/>
      </c>
      <c r="F2673" s="10" t="str">
        <v/>
      </c>
      <c r="G2673" t="e">
        <f t="shared" si="166"/>
        <v>#VALUE!</v>
      </c>
      <c r="H2673" s="13" t="e">
        <f t="shared" si="167"/>
        <v>#VALUE!</v>
      </c>
    </row>
    <row r="2674" spans="2:8">
      <c r="B2674" s="11" t="str">
        <f t="shared" si="165"/>
        <v/>
      </c>
      <c r="C2674" s="11" t="str">
        <f t="shared" si="168"/>
        <v/>
      </c>
      <c r="F2674" s="10" t="str">
        <v/>
      </c>
      <c r="G2674" t="e">
        <f t="shared" si="166"/>
        <v>#VALUE!</v>
      </c>
      <c r="H2674" s="13" t="e">
        <f t="shared" si="167"/>
        <v>#VALUE!</v>
      </c>
    </row>
    <row r="2675" spans="2:8">
      <c r="B2675" s="11" t="str">
        <f t="shared" si="165"/>
        <v/>
      </c>
      <c r="C2675" s="11" t="str">
        <f t="shared" si="168"/>
        <v/>
      </c>
      <c r="F2675" s="10" t="str">
        <v/>
      </c>
      <c r="G2675" t="e">
        <f t="shared" si="166"/>
        <v>#VALUE!</v>
      </c>
      <c r="H2675" s="13" t="e">
        <f t="shared" si="167"/>
        <v>#VALUE!</v>
      </c>
    </row>
    <row r="2676" spans="2:8">
      <c r="B2676" s="11" t="str">
        <f t="shared" si="165"/>
        <v/>
      </c>
      <c r="C2676" s="11" t="str">
        <f t="shared" si="168"/>
        <v/>
      </c>
      <c r="F2676" s="10" t="str">
        <v/>
      </c>
      <c r="G2676" t="e">
        <f t="shared" si="166"/>
        <v>#VALUE!</v>
      </c>
      <c r="H2676" s="13" t="e">
        <f t="shared" si="167"/>
        <v>#VALUE!</v>
      </c>
    </row>
    <row r="2677" spans="2:8">
      <c r="B2677" s="11" t="str">
        <f t="shared" si="165"/>
        <v/>
      </c>
      <c r="C2677" s="11" t="str">
        <f t="shared" si="168"/>
        <v/>
      </c>
      <c r="F2677" s="10" t="str">
        <v/>
      </c>
      <c r="G2677" t="e">
        <f t="shared" si="166"/>
        <v>#VALUE!</v>
      </c>
      <c r="H2677" s="13" t="e">
        <f t="shared" si="167"/>
        <v>#VALUE!</v>
      </c>
    </row>
    <row r="2678" spans="2:8">
      <c r="B2678" s="11" t="str">
        <f t="shared" si="165"/>
        <v/>
      </c>
      <c r="C2678" s="11" t="str">
        <f t="shared" si="168"/>
        <v/>
      </c>
      <c r="F2678" s="10" t="str">
        <v/>
      </c>
      <c r="G2678" t="e">
        <f t="shared" si="166"/>
        <v>#VALUE!</v>
      </c>
      <c r="H2678" s="13" t="e">
        <f t="shared" si="167"/>
        <v>#VALUE!</v>
      </c>
    </row>
    <row r="2679" spans="2:8">
      <c r="B2679" s="11" t="str">
        <f t="shared" si="165"/>
        <v/>
      </c>
      <c r="C2679" s="11" t="str">
        <f t="shared" si="168"/>
        <v/>
      </c>
      <c r="F2679" s="10" t="str">
        <v/>
      </c>
      <c r="G2679" t="e">
        <f t="shared" si="166"/>
        <v>#VALUE!</v>
      </c>
      <c r="H2679" s="13" t="e">
        <f t="shared" si="167"/>
        <v>#VALUE!</v>
      </c>
    </row>
    <row r="2680" spans="2:8">
      <c r="B2680" s="11" t="str">
        <f t="shared" si="165"/>
        <v/>
      </c>
      <c r="C2680" s="11" t="str">
        <f t="shared" si="168"/>
        <v/>
      </c>
      <c r="F2680" s="10" t="str">
        <v/>
      </c>
      <c r="G2680" t="e">
        <f t="shared" si="166"/>
        <v>#VALUE!</v>
      </c>
      <c r="H2680" s="13" t="e">
        <f t="shared" si="167"/>
        <v>#VALUE!</v>
      </c>
    </row>
    <row r="2681" spans="2:8">
      <c r="B2681" s="11" t="str">
        <f t="shared" si="165"/>
        <v/>
      </c>
      <c r="C2681" s="11" t="str">
        <f t="shared" si="168"/>
        <v/>
      </c>
      <c r="F2681" s="10" t="str">
        <v/>
      </c>
      <c r="G2681" t="e">
        <f t="shared" si="166"/>
        <v>#VALUE!</v>
      </c>
      <c r="H2681" s="13" t="e">
        <f t="shared" si="167"/>
        <v>#VALUE!</v>
      </c>
    </row>
    <row r="2682" spans="2:8">
      <c r="B2682" s="11" t="str">
        <f t="shared" si="165"/>
        <v/>
      </c>
      <c r="C2682" s="11" t="str">
        <f t="shared" si="168"/>
        <v/>
      </c>
      <c r="F2682" s="10" t="str">
        <v/>
      </c>
      <c r="G2682" t="e">
        <f t="shared" si="166"/>
        <v>#VALUE!</v>
      </c>
      <c r="H2682" s="13" t="e">
        <f t="shared" si="167"/>
        <v>#VALUE!</v>
      </c>
    </row>
    <row r="2683" spans="2:8">
      <c r="B2683" s="11" t="str">
        <f t="shared" si="165"/>
        <v/>
      </c>
      <c r="C2683" s="11" t="str">
        <f t="shared" si="168"/>
        <v/>
      </c>
      <c r="F2683" s="10" t="str">
        <v/>
      </c>
      <c r="G2683" t="e">
        <f t="shared" si="166"/>
        <v>#VALUE!</v>
      </c>
      <c r="H2683" s="13" t="e">
        <f t="shared" si="167"/>
        <v>#VALUE!</v>
      </c>
    </row>
    <row r="2684" spans="2:8">
      <c r="B2684" s="11" t="str">
        <f t="shared" si="165"/>
        <v/>
      </c>
      <c r="C2684" s="11" t="str">
        <f t="shared" si="168"/>
        <v/>
      </c>
      <c r="F2684" s="10" t="str">
        <v/>
      </c>
      <c r="G2684" t="e">
        <f t="shared" si="166"/>
        <v>#VALUE!</v>
      </c>
      <c r="H2684" s="13" t="e">
        <f t="shared" si="167"/>
        <v>#VALUE!</v>
      </c>
    </row>
    <row r="2685" spans="2:8">
      <c r="B2685" s="11" t="str">
        <f t="shared" si="165"/>
        <v/>
      </c>
      <c r="C2685" s="11" t="str">
        <f t="shared" si="168"/>
        <v/>
      </c>
      <c r="F2685" s="10" t="str">
        <v/>
      </c>
      <c r="G2685" t="e">
        <f t="shared" si="166"/>
        <v>#VALUE!</v>
      </c>
      <c r="H2685" s="13" t="e">
        <f t="shared" si="167"/>
        <v>#VALUE!</v>
      </c>
    </row>
    <row r="2686" spans="2:8">
      <c r="B2686" s="11" t="str">
        <f t="shared" si="165"/>
        <v/>
      </c>
      <c r="C2686" s="11" t="str">
        <f t="shared" si="168"/>
        <v/>
      </c>
      <c r="F2686" s="10" t="str">
        <v/>
      </c>
      <c r="G2686" t="e">
        <f t="shared" si="166"/>
        <v>#VALUE!</v>
      </c>
      <c r="H2686" s="13" t="e">
        <f t="shared" si="167"/>
        <v>#VALUE!</v>
      </c>
    </row>
    <row r="2687" spans="2:8">
      <c r="B2687" s="11" t="str">
        <f t="shared" si="165"/>
        <v/>
      </c>
      <c r="C2687" s="11" t="str">
        <f t="shared" si="168"/>
        <v/>
      </c>
      <c r="F2687" s="10" t="str">
        <v/>
      </c>
      <c r="G2687" t="e">
        <f t="shared" si="166"/>
        <v>#VALUE!</v>
      </c>
      <c r="H2687" s="13" t="e">
        <f t="shared" si="167"/>
        <v>#VALUE!</v>
      </c>
    </row>
    <row r="2688" spans="2:8">
      <c r="B2688" s="11" t="str">
        <f t="shared" si="165"/>
        <v/>
      </c>
      <c r="C2688" s="11" t="str">
        <f t="shared" si="168"/>
        <v/>
      </c>
      <c r="F2688" s="10" t="str">
        <v/>
      </c>
      <c r="G2688" t="e">
        <f t="shared" si="166"/>
        <v>#VALUE!</v>
      </c>
      <c r="H2688" s="13" t="e">
        <f t="shared" si="167"/>
        <v>#VALUE!</v>
      </c>
    </row>
    <row r="2689" spans="2:8">
      <c r="B2689" s="11" t="str">
        <f t="shared" ref="B2689:B2752" si="169">IFERROR(IF(FIND(" ",A2689)=6,IF(IFERROR(FIND(" PB",A2689),"")&lt;&gt;"","артикул",IF(IFERROR(FIND(" CRN",A2689),"")&lt;&gt;"","артикул","")),""),"")</f>
        <v/>
      </c>
      <c r="C2689" s="11" t="str">
        <f t="shared" si="168"/>
        <v/>
      </c>
      <c r="F2689" s="10" t="str">
        <v/>
      </c>
      <c r="G2689" t="e">
        <f t="shared" si="166"/>
        <v>#VALUE!</v>
      </c>
      <c r="H2689" s="13" t="e">
        <f t="shared" si="167"/>
        <v>#VALUE!</v>
      </c>
    </row>
    <row r="2690" spans="2:8">
      <c r="B2690" s="11" t="str">
        <f t="shared" si="169"/>
        <v/>
      </c>
      <c r="C2690" s="11" t="str">
        <f t="shared" si="168"/>
        <v/>
      </c>
      <c r="F2690" s="10" t="str">
        <v/>
      </c>
      <c r="G2690" t="e">
        <f t="shared" ref="G2690:G2753" si="170">CONCATENATE(LEFT(F2690,5),
MID(F2690,
SEARCH("\",SUBSTITUTE(F2690," ","\",LEN(F2690)-LEN(SUBSTITUTE(F2690," ",""))-4)),
SEARCH("\",SUBSTITUTE(F2690," ","\",LEN(F2690)-LEN(SUBSTITUTE(F2690," ",""))-3))-
SEARCH("\",SUBSTITUTE(F2690," ","\",LEN(F2690)-LEN(SUBSTITUTE(F2690," ",""))-4)))*1)</f>
        <v>#VALUE!</v>
      </c>
      <c r="H2690" s="13" t="e">
        <f t="shared" ref="H2690:H2753" si="171">SUBSTITUTE(
RIGHT(F2690,LEN(F2690)-
FIND("\",SUBSTITUTE(F2690," ","\",LEN(F2690)-LEN(SUBSTITUTE(F2690," ",""))))),
".","")</f>
        <v>#VALUE!</v>
      </c>
    </row>
    <row r="2691" spans="2:8">
      <c r="B2691" s="11" t="str">
        <f t="shared" si="169"/>
        <v/>
      </c>
      <c r="C2691" s="11" t="str">
        <f t="shared" si="168"/>
        <v/>
      </c>
      <c r="F2691" s="10" t="str">
        <v/>
      </c>
      <c r="G2691" t="e">
        <f t="shared" si="170"/>
        <v>#VALUE!</v>
      </c>
      <c r="H2691" s="13" t="e">
        <f t="shared" si="171"/>
        <v>#VALUE!</v>
      </c>
    </row>
    <row r="2692" spans="2:8">
      <c r="B2692" s="11" t="str">
        <f t="shared" si="169"/>
        <v/>
      </c>
      <c r="C2692" s="11" t="str">
        <f t="shared" si="168"/>
        <v/>
      </c>
      <c r="F2692" s="10" t="str">
        <v/>
      </c>
      <c r="G2692" t="e">
        <f t="shared" si="170"/>
        <v>#VALUE!</v>
      </c>
      <c r="H2692" s="13" t="e">
        <f t="shared" si="171"/>
        <v>#VALUE!</v>
      </c>
    </row>
    <row r="2693" spans="2:8">
      <c r="B2693" s="11" t="str">
        <f t="shared" si="169"/>
        <v/>
      </c>
      <c r="C2693" s="11" t="str">
        <f t="shared" si="168"/>
        <v/>
      </c>
      <c r="F2693" s="10" t="str">
        <v/>
      </c>
      <c r="G2693" t="e">
        <f t="shared" si="170"/>
        <v>#VALUE!</v>
      </c>
      <c r="H2693" s="13" t="e">
        <f t="shared" si="171"/>
        <v>#VALUE!</v>
      </c>
    </row>
    <row r="2694" spans="2:8">
      <c r="B2694" s="11" t="str">
        <f t="shared" si="169"/>
        <v/>
      </c>
      <c r="C2694" s="11" t="str">
        <f t="shared" si="168"/>
        <v/>
      </c>
      <c r="F2694" s="10" t="str">
        <v/>
      </c>
      <c r="G2694" t="e">
        <f t="shared" si="170"/>
        <v>#VALUE!</v>
      </c>
      <c r="H2694" s="13" t="e">
        <f t="shared" si="171"/>
        <v>#VALUE!</v>
      </c>
    </row>
    <row r="2695" spans="2:8">
      <c r="B2695" s="11" t="str">
        <f t="shared" si="169"/>
        <v/>
      </c>
      <c r="C2695" s="11" t="str">
        <f t="shared" si="168"/>
        <v/>
      </c>
      <c r="F2695" s="10" t="str">
        <v/>
      </c>
      <c r="G2695" t="e">
        <f t="shared" si="170"/>
        <v>#VALUE!</v>
      </c>
      <c r="H2695" s="13" t="e">
        <f t="shared" si="171"/>
        <v>#VALUE!</v>
      </c>
    </row>
    <row r="2696" spans="2:8">
      <c r="B2696" s="11" t="str">
        <f t="shared" si="169"/>
        <v/>
      </c>
      <c r="C2696" s="11" t="str">
        <f t="shared" si="168"/>
        <v/>
      </c>
      <c r="F2696" s="10" t="str">
        <v/>
      </c>
      <c r="G2696" t="e">
        <f t="shared" si="170"/>
        <v>#VALUE!</v>
      </c>
      <c r="H2696" s="13" t="e">
        <f t="shared" si="171"/>
        <v>#VALUE!</v>
      </c>
    </row>
    <row r="2697" spans="2:8">
      <c r="B2697" s="11" t="str">
        <f t="shared" si="169"/>
        <v/>
      </c>
      <c r="C2697" s="11" t="str">
        <f t="shared" si="168"/>
        <v/>
      </c>
      <c r="F2697" s="10" t="str">
        <v/>
      </c>
      <c r="G2697" t="e">
        <f t="shared" si="170"/>
        <v>#VALUE!</v>
      </c>
      <c r="H2697" s="13" t="e">
        <f t="shared" si="171"/>
        <v>#VALUE!</v>
      </c>
    </row>
    <row r="2698" spans="2:8">
      <c r="B2698" s="11" t="str">
        <f t="shared" si="169"/>
        <v/>
      </c>
      <c r="C2698" s="11" t="str">
        <f t="shared" si="168"/>
        <v/>
      </c>
      <c r="F2698" s="10" t="str">
        <v/>
      </c>
      <c r="G2698" t="e">
        <f t="shared" si="170"/>
        <v>#VALUE!</v>
      </c>
      <c r="H2698" s="13" t="e">
        <f t="shared" si="171"/>
        <v>#VALUE!</v>
      </c>
    </row>
    <row r="2699" spans="2:8">
      <c r="B2699" s="11" t="str">
        <f t="shared" si="169"/>
        <v/>
      </c>
      <c r="C2699" s="11" t="str">
        <f t="shared" si="168"/>
        <v/>
      </c>
      <c r="F2699" s="10" t="str">
        <v/>
      </c>
      <c r="G2699" t="e">
        <f t="shared" si="170"/>
        <v>#VALUE!</v>
      </c>
      <c r="H2699" s="13" t="e">
        <f t="shared" si="171"/>
        <v>#VALUE!</v>
      </c>
    </row>
    <row r="2700" spans="2:8">
      <c r="B2700" s="11" t="str">
        <f t="shared" si="169"/>
        <v/>
      </c>
      <c r="C2700" s="11" t="str">
        <f t="shared" si="168"/>
        <v/>
      </c>
      <c r="F2700" s="10" t="str">
        <v/>
      </c>
      <c r="G2700" t="e">
        <f t="shared" si="170"/>
        <v>#VALUE!</v>
      </c>
      <c r="H2700" s="13" t="e">
        <f t="shared" si="171"/>
        <v>#VALUE!</v>
      </c>
    </row>
    <row r="2701" spans="2:8">
      <c r="B2701" s="11" t="str">
        <f t="shared" si="169"/>
        <v/>
      </c>
      <c r="C2701" s="11" t="str">
        <f t="shared" si="168"/>
        <v/>
      </c>
      <c r="F2701" s="10" t="str">
        <v/>
      </c>
      <c r="G2701" t="e">
        <f t="shared" si="170"/>
        <v>#VALUE!</v>
      </c>
      <c r="H2701" s="13" t="e">
        <f t="shared" si="171"/>
        <v>#VALUE!</v>
      </c>
    </row>
    <row r="2702" spans="2:8">
      <c r="B2702" s="11" t="str">
        <f t="shared" si="169"/>
        <v/>
      </c>
      <c r="C2702" s="11" t="str">
        <f t="shared" si="168"/>
        <v/>
      </c>
      <c r="F2702" s="10" t="str">
        <v/>
      </c>
      <c r="G2702" t="e">
        <f t="shared" si="170"/>
        <v>#VALUE!</v>
      </c>
      <c r="H2702" s="13" t="e">
        <f t="shared" si="171"/>
        <v>#VALUE!</v>
      </c>
    </row>
    <row r="2703" spans="2:8">
      <c r="B2703" s="11" t="str">
        <f t="shared" si="169"/>
        <v/>
      </c>
      <c r="C2703" s="11" t="str">
        <f t="shared" si="168"/>
        <v/>
      </c>
      <c r="F2703" s="10" t="str">
        <v/>
      </c>
      <c r="G2703" t="e">
        <f t="shared" si="170"/>
        <v>#VALUE!</v>
      </c>
      <c r="H2703" s="13" t="e">
        <f t="shared" si="171"/>
        <v>#VALUE!</v>
      </c>
    </row>
    <row r="2704" spans="2:8">
      <c r="B2704" s="11" t="str">
        <f t="shared" si="169"/>
        <v/>
      </c>
      <c r="C2704" s="11" t="str">
        <f t="shared" si="168"/>
        <v/>
      </c>
      <c r="F2704" s="10" t="str">
        <v/>
      </c>
      <c r="G2704" t="e">
        <f t="shared" si="170"/>
        <v>#VALUE!</v>
      </c>
      <c r="H2704" s="13" t="e">
        <f t="shared" si="171"/>
        <v>#VALUE!</v>
      </c>
    </row>
    <row r="2705" spans="2:8">
      <c r="B2705" s="11" t="str">
        <f t="shared" si="169"/>
        <v/>
      </c>
      <c r="C2705" s="11" t="str">
        <f t="shared" si="168"/>
        <v/>
      </c>
      <c r="F2705" s="10" t="str">
        <v/>
      </c>
      <c r="G2705" t="e">
        <f t="shared" si="170"/>
        <v>#VALUE!</v>
      </c>
      <c r="H2705" s="13" t="e">
        <f t="shared" si="171"/>
        <v>#VALUE!</v>
      </c>
    </row>
    <row r="2706" spans="2:8">
      <c r="B2706" s="11" t="str">
        <f t="shared" si="169"/>
        <v/>
      </c>
      <c r="C2706" s="11" t="str">
        <f t="shared" si="168"/>
        <v/>
      </c>
      <c r="F2706" s="10" t="str">
        <v/>
      </c>
      <c r="G2706" t="e">
        <f t="shared" si="170"/>
        <v>#VALUE!</v>
      </c>
      <c r="H2706" s="13" t="e">
        <f t="shared" si="171"/>
        <v>#VALUE!</v>
      </c>
    </row>
    <row r="2707" spans="2:8">
      <c r="B2707" s="11" t="str">
        <f t="shared" si="169"/>
        <v/>
      </c>
      <c r="C2707" s="11" t="str">
        <f t="shared" si="168"/>
        <v/>
      </c>
      <c r="F2707" s="10" t="str">
        <v/>
      </c>
      <c r="G2707" t="e">
        <f t="shared" si="170"/>
        <v>#VALUE!</v>
      </c>
      <c r="H2707" s="13" t="e">
        <f t="shared" si="171"/>
        <v>#VALUE!</v>
      </c>
    </row>
    <row r="2708" spans="2:8">
      <c r="B2708" s="11" t="str">
        <f t="shared" si="169"/>
        <v/>
      </c>
      <c r="C2708" s="11" t="str">
        <f t="shared" si="168"/>
        <v/>
      </c>
      <c r="F2708" s="10" t="str">
        <v/>
      </c>
      <c r="G2708" t="e">
        <f t="shared" si="170"/>
        <v>#VALUE!</v>
      </c>
      <c r="H2708" s="13" t="e">
        <f t="shared" si="171"/>
        <v>#VALUE!</v>
      </c>
    </row>
    <row r="2709" spans="2:8">
      <c r="B2709" s="11" t="str">
        <f t="shared" si="169"/>
        <v/>
      </c>
      <c r="C2709" s="11" t="str">
        <f t="shared" si="168"/>
        <v/>
      </c>
      <c r="F2709" s="10" t="str">
        <v/>
      </c>
      <c r="G2709" t="e">
        <f t="shared" si="170"/>
        <v>#VALUE!</v>
      </c>
      <c r="H2709" s="13" t="e">
        <f t="shared" si="171"/>
        <v>#VALUE!</v>
      </c>
    </row>
    <row r="2710" spans="2:8">
      <c r="B2710" s="11" t="str">
        <f t="shared" si="169"/>
        <v/>
      </c>
      <c r="C2710" s="11" t="str">
        <f t="shared" si="168"/>
        <v/>
      </c>
      <c r="F2710" s="10" t="str">
        <v/>
      </c>
      <c r="G2710" t="e">
        <f t="shared" si="170"/>
        <v>#VALUE!</v>
      </c>
      <c r="H2710" s="13" t="e">
        <f t="shared" si="171"/>
        <v>#VALUE!</v>
      </c>
    </row>
    <row r="2711" spans="2:8">
      <c r="B2711" s="11" t="str">
        <f t="shared" si="169"/>
        <v/>
      </c>
      <c r="C2711" s="11" t="str">
        <f t="shared" si="168"/>
        <v/>
      </c>
      <c r="F2711" s="10" t="str">
        <v/>
      </c>
      <c r="G2711" t="e">
        <f t="shared" si="170"/>
        <v>#VALUE!</v>
      </c>
      <c r="H2711" s="13" t="e">
        <f t="shared" si="171"/>
        <v>#VALUE!</v>
      </c>
    </row>
    <row r="2712" spans="2:8">
      <c r="B2712" s="11" t="str">
        <f t="shared" si="169"/>
        <v/>
      </c>
      <c r="C2712" s="11" t="str">
        <f t="shared" si="168"/>
        <v/>
      </c>
      <c r="F2712" s="10" t="str">
        <v/>
      </c>
      <c r="G2712" t="e">
        <f t="shared" si="170"/>
        <v>#VALUE!</v>
      </c>
      <c r="H2712" s="13" t="e">
        <f t="shared" si="171"/>
        <v>#VALUE!</v>
      </c>
    </row>
    <row r="2713" spans="2:8">
      <c r="B2713" s="11" t="str">
        <f t="shared" si="169"/>
        <v/>
      </c>
      <c r="C2713" s="11" t="str">
        <f t="shared" si="168"/>
        <v/>
      </c>
      <c r="F2713" s="10" t="str">
        <v/>
      </c>
      <c r="G2713" t="e">
        <f t="shared" si="170"/>
        <v>#VALUE!</v>
      </c>
      <c r="H2713" s="13" t="e">
        <f t="shared" si="171"/>
        <v>#VALUE!</v>
      </c>
    </row>
    <row r="2714" spans="2:8">
      <c r="B2714" s="11" t="str">
        <f t="shared" si="169"/>
        <v/>
      </c>
      <c r="C2714" s="11" t="str">
        <f t="shared" si="168"/>
        <v/>
      </c>
      <c r="F2714" s="10" t="str">
        <v/>
      </c>
      <c r="G2714" t="e">
        <f t="shared" si="170"/>
        <v>#VALUE!</v>
      </c>
      <c r="H2714" s="13" t="e">
        <f t="shared" si="171"/>
        <v>#VALUE!</v>
      </c>
    </row>
    <row r="2715" spans="2:8">
      <c r="B2715" s="11" t="str">
        <f t="shared" si="169"/>
        <v/>
      </c>
      <c r="C2715" s="11" t="str">
        <f t="shared" si="168"/>
        <v/>
      </c>
      <c r="F2715" s="10" t="str">
        <v/>
      </c>
      <c r="G2715" t="e">
        <f t="shared" si="170"/>
        <v>#VALUE!</v>
      </c>
      <c r="H2715" s="13" t="e">
        <f t="shared" si="171"/>
        <v>#VALUE!</v>
      </c>
    </row>
    <row r="2716" spans="2:8">
      <c r="B2716" s="11" t="str">
        <f t="shared" si="169"/>
        <v/>
      </c>
      <c r="C2716" s="11" t="str">
        <f t="shared" si="168"/>
        <v/>
      </c>
      <c r="F2716" s="10" t="str">
        <v/>
      </c>
      <c r="G2716" t="e">
        <f t="shared" si="170"/>
        <v>#VALUE!</v>
      </c>
      <c r="H2716" s="13" t="e">
        <f t="shared" si="171"/>
        <v>#VALUE!</v>
      </c>
    </row>
    <row r="2717" spans="2:8">
      <c r="B2717" s="11" t="str">
        <f t="shared" si="169"/>
        <v/>
      </c>
      <c r="C2717" s="11" t="str">
        <f t="shared" si="168"/>
        <v/>
      </c>
      <c r="F2717" s="10" t="str">
        <v/>
      </c>
      <c r="G2717" t="e">
        <f t="shared" si="170"/>
        <v>#VALUE!</v>
      </c>
      <c r="H2717" s="13" t="e">
        <f t="shared" si="171"/>
        <v>#VALUE!</v>
      </c>
    </row>
    <row r="2718" spans="2:8">
      <c r="B2718" s="11" t="str">
        <f t="shared" si="169"/>
        <v/>
      </c>
      <c r="C2718" s="11" t="str">
        <f t="shared" si="168"/>
        <v/>
      </c>
      <c r="F2718" s="10" t="str">
        <v/>
      </c>
      <c r="G2718" t="e">
        <f t="shared" si="170"/>
        <v>#VALUE!</v>
      </c>
      <c r="H2718" s="13" t="e">
        <f t="shared" si="171"/>
        <v>#VALUE!</v>
      </c>
    </row>
    <row r="2719" spans="2:8">
      <c r="B2719" s="11" t="str">
        <f t="shared" si="169"/>
        <v/>
      </c>
      <c r="C2719" s="11" t="str">
        <f t="shared" si="168"/>
        <v/>
      </c>
      <c r="F2719" s="10" t="str">
        <v/>
      </c>
      <c r="G2719" t="e">
        <f t="shared" si="170"/>
        <v>#VALUE!</v>
      </c>
      <c r="H2719" s="13" t="e">
        <f t="shared" si="171"/>
        <v>#VALUE!</v>
      </c>
    </row>
    <row r="2720" spans="2:8">
      <c r="B2720" s="11" t="str">
        <f t="shared" si="169"/>
        <v/>
      </c>
      <c r="C2720" s="11" t="str">
        <f t="shared" si="168"/>
        <v/>
      </c>
      <c r="F2720" s="10" t="str">
        <v/>
      </c>
      <c r="G2720" t="e">
        <f t="shared" si="170"/>
        <v>#VALUE!</v>
      </c>
      <c r="H2720" s="13" t="e">
        <f t="shared" si="171"/>
        <v>#VALUE!</v>
      </c>
    </row>
    <row r="2721" spans="2:8">
      <c r="B2721" s="11" t="str">
        <f t="shared" si="169"/>
        <v/>
      </c>
      <c r="C2721" s="11" t="str">
        <f t="shared" si="168"/>
        <v/>
      </c>
      <c r="F2721" s="10" t="str">
        <v/>
      </c>
      <c r="G2721" t="e">
        <f t="shared" si="170"/>
        <v>#VALUE!</v>
      </c>
      <c r="H2721" s="13" t="e">
        <f t="shared" si="171"/>
        <v>#VALUE!</v>
      </c>
    </row>
    <row r="2722" spans="2:8">
      <c r="B2722" s="11" t="str">
        <f t="shared" si="169"/>
        <v/>
      </c>
      <c r="C2722" s="11" t="str">
        <f t="shared" si="168"/>
        <v/>
      </c>
      <c r="F2722" s="10" t="str">
        <v/>
      </c>
      <c r="G2722" t="e">
        <f t="shared" si="170"/>
        <v>#VALUE!</v>
      </c>
      <c r="H2722" s="13" t="e">
        <f t="shared" si="171"/>
        <v>#VALUE!</v>
      </c>
    </row>
    <row r="2723" spans="2:8">
      <c r="B2723" s="11" t="str">
        <f t="shared" si="169"/>
        <v/>
      </c>
      <c r="C2723" s="11" t="str">
        <f t="shared" si="168"/>
        <v/>
      </c>
      <c r="F2723" s="10" t="str">
        <v/>
      </c>
      <c r="G2723" t="e">
        <f t="shared" si="170"/>
        <v>#VALUE!</v>
      </c>
      <c r="H2723" s="13" t="e">
        <f t="shared" si="171"/>
        <v>#VALUE!</v>
      </c>
    </row>
    <row r="2724" spans="2:8">
      <c r="B2724" s="11" t="str">
        <f t="shared" si="169"/>
        <v/>
      </c>
      <c r="C2724" s="11" t="str">
        <f t="shared" si="168"/>
        <v/>
      </c>
      <c r="F2724" s="10" t="str">
        <v/>
      </c>
      <c r="G2724" t="e">
        <f t="shared" si="170"/>
        <v>#VALUE!</v>
      </c>
      <c r="H2724" s="13" t="e">
        <f t="shared" si="171"/>
        <v>#VALUE!</v>
      </c>
    </row>
    <row r="2725" spans="2:8">
      <c r="B2725" s="11" t="str">
        <f t="shared" si="169"/>
        <v/>
      </c>
      <c r="C2725" s="11" t="str">
        <f t="shared" si="168"/>
        <v/>
      </c>
      <c r="F2725" s="10" t="str">
        <v/>
      </c>
      <c r="G2725" t="e">
        <f t="shared" si="170"/>
        <v>#VALUE!</v>
      </c>
      <c r="H2725" s="13" t="e">
        <f t="shared" si="171"/>
        <v>#VALUE!</v>
      </c>
    </row>
    <row r="2726" spans="2:8">
      <c r="B2726" s="11" t="str">
        <f t="shared" si="169"/>
        <v/>
      </c>
      <c r="C2726" s="11" t="str">
        <f t="shared" si="168"/>
        <v/>
      </c>
      <c r="F2726" s="10" t="str">
        <v/>
      </c>
      <c r="G2726" t="e">
        <f t="shared" si="170"/>
        <v>#VALUE!</v>
      </c>
      <c r="H2726" s="13" t="e">
        <f t="shared" si="171"/>
        <v>#VALUE!</v>
      </c>
    </row>
    <row r="2727" spans="2:8">
      <c r="B2727" s="11" t="str">
        <f t="shared" si="169"/>
        <v/>
      </c>
      <c r="C2727" s="11" t="str">
        <f t="shared" si="168"/>
        <v/>
      </c>
      <c r="F2727" s="10" t="str">
        <v/>
      </c>
      <c r="G2727" t="e">
        <f t="shared" si="170"/>
        <v>#VALUE!</v>
      </c>
      <c r="H2727" s="13" t="e">
        <f t="shared" si="171"/>
        <v>#VALUE!</v>
      </c>
    </row>
    <row r="2728" spans="2:8">
      <c r="B2728" s="11" t="str">
        <f t="shared" si="169"/>
        <v/>
      </c>
      <c r="C2728" s="11" t="str">
        <f t="shared" si="168"/>
        <v/>
      </c>
      <c r="F2728" s="10" t="str">
        <v/>
      </c>
      <c r="G2728" t="e">
        <f t="shared" si="170"/>
        <v>#VALUE!</v>
      </c>
      <c r="H2728" s="13" t="e">
        <f t="shared" si="171"/>
        <v>#VALUE!</v>
      </c>
    </row>
    <row r="2729" spans="2:8">
      <c r="B2729" s="11" t="str">
        <f t="shared" si="169"/>
        <v/>
      </c>
      <c r="C2729" s="11" t="str">
        <f t="shared" ref="C2729:C2792" si="172">IF(B2729="артикул",A2729,"")</f>
        <v/>
      </c>
      <c r="F2729" s="10" t="str">
        <v/>
      </c>
      <c r="G2729" t="e">
        <f t="shared" si="170"/>
        <v>#VALUE!</v>
      </c>
      <c r="H2729" s="13" t="e">
        <f t="shared" si="171"/>
        <v>#VALUE!</v>
      </c>
    </row>
    <row r="2730" spans="2:8">
      <c r="B2730" s="11" t="str">
        <f t="shared" si="169"/>
        <v/>
      </c>
      <c r="C2730" s="11" t="str">
        <f t="shared" si="172"/>
        <v/>
      </c>
      <c r="F2730" s="10" t="str">
        <v/>
      </c>
      <c r="G2730" t="e">
        <f t="shared" si="170"/>
        <v>#VALUE!</v>
      </c>
      <c r="H2730" s="13" t="e">
        <f t="shared" si="171"/>
        <v>#VALUE!</v>
      </c>
    </row>
    <row r="2731" spans="2:8">
      <c r="B2731" s="11" t="str">
        <f t="shared" si="169"/>
        <v/>
      </c>
      <c r="C2731" s="11" t="str">
        <f t="shared" si="172"/>
        <v/>
      </c>
      <c r="F2731" s="10" t="str">
        <v/>
      </c>
      <c r="G2731" t="e">
        <f t="shared" si="170"/>
        <v>#VALUE!</v>
      </c>
      <c r="H2731" s="13" t="e">
        <f t="shared" si="171"/>
        <v>#VALUE!</v>
      </c>
    </row>
    <row r="2732" spans="2:8">
      <c r="B2732" s="11" t="str">
        <f t="shared" si="169"/>
        <v/>
      </c>
      <c r="C2732" s="11" t="str">
        <f t="shared" si="172"/>
        <v/>
      </c>
      <c r="F2732" s="10" t="str">
        <v/>
      </c>
      <c r="G2732" t="e">
        <f t="shared" si="170"/>
        <v>#VALUE!</v>
      </c>
      <c r="H2732" s="13" t="e">
        <f t="shared" si="171"/>
        <v>#VALUE!</v>
      </c>
    </row>
    <row r="2733" spans="2:8">
      <c r="B2733" s="11" t="str">
        <f t="shared" si="169"/>
        <v/>
      </c>
      <c r="C2733" s="11" t="str">
        <f t="shared" si="172"/>
        <v/>
      </c>
      <c r="F2733" s="10" t="str">
        <v/>
      </c>
      <c r="G2733" t="e">
        <f t="shared" si="170"/>
        <v>#VALUE!</v>
      </c>
      <c r="H2733" s="13" t="e">
        <f t="shared" si="171"/>
        <v>#VALUE!</v>
      </c>
    </row>
    <row r="2734" spans="2:8">
      <c r="B2734" s="11" t="str">
        <f t="shared" si="169"/>
        <v/>
      </c>
      <c r="C2734" s="11" t="str">
        <f t="shared" si="172"/>
        <v/>
      </c>
      <c r="F2734" s="10" t="str">
        <v/>
      </c>
      <c r="G2734" t="e">
        <f t="shared" si="170"/>
        <v>#VALUE!</v>
      </c>
      <c r="H2734" s="13" t="e">
        <f t="shared" si="171"/>
        <v>#VALUE!</v>
      </c>
    </row>
    <row r="2735" spans="2:8">
      <c r="B2735" s="11" t="str">
        <f t="shared" si="169"/>
        <v/>
      </c>
      <c r="C2735" s="11" t="str">
        <f t="shared" si="172"/>
        <v/>
      </c>
      <c r="F2735" s="10" t="str">
        <v/>
      </c>
      <c r="G2735" t="e">
        <f t="shared" si="170"/>
        <v>#VALUE!</v>
      </c>
      <c r="H2735" s="13" t="e">
        <f t="shared" si="171"/>
        <v>#VALUE!</v>
      </c>
    </row>
    <row r="2736" spans="2:8">
      <c r="B2736" s="11" t="str">
        <f t="shared" si="169"/>
        <v/>
      </c>
      <c r="C2736" s="11" t="str">
        <f t="shared" si="172"/>
        <v/>
      </c>
      <c r="F2736" s="10" t="str">
        <v/>
      </c>
      <c r="G2736" t="e">
        <f t="shared" si="170"/>
        <v>#VALUE!</v>
      </c>
      <c r="H2736" s="13" t="e">
        <f t="shared" si="171"/>
        <v>#VALUE!</v>
      </c>
    </row>
    <row r="2737" spans="2:8">
      <c r="B2737" s="11" t="str">
        <f t="shared" si="169"/>
        <v/>
      </c>
      <c r="C2737" s="11" t="str">
        <f t="shared" si="172"/>
        <v/>
      </c>
      <c r="F2737" s="10" t="str">
        <v/>
      </c>
      <c r="G2737" t="e">
        <f t="shared" si="170"/>
        <v>#VALUE!</v>
      </c>
      <c r="H2737" s="13" t="e">
        <f t="shared" si="171"/>
        <v>#VALUE!</v>
      </c>
    </row>
    <row r="2738" spans="2:8">
      <c r="B2738" s="11" t="str">
        <f t="shared" si="169"/>
        <v/>
      </c>
      <c r="C2738" s="11" t="str">
        <f t="shared" si="172"/>
        <v/>
      </c>
      <c r="F2738" s="10" t="str">
        <v/>
      </c>
      <c r="G2738" t="e">
        <f t="shared" si="170"/>
        <v>#VALUE!</v>
      </c>
      <c r="H2738" s="13" t="e">
        <f t="shared" si="171"/>
        <v>#VALUE!</v>
      </c>
    </row>
    <row r="2739" spans="2:8">
      <c r="B2739" s="11" t="str">
        <f t="shared" si="169"/>
        <v/>
      </c>
      <c r="C2739" s="11" t="str">
        <f t="shared" si="172"/>
        <v/>
      </c>
      <c r="F2739" s="10" t="str">
        <v/>
      </c>
      <c r="G2739" t="e">
        <f t="shared" si="170"/>
        <v>#VALUE!</v>
      </c>
      <c r="H2739" s="13" t="e">
        <f t="shared" si="171"/>
        <v>#VALUE!</v>
      </c>
    </row>
    <row r="2740" spans="2:8">
      <c r="B2740" s="11" t="str">
        <f t="shared" si="169"/>
        <v/>
      </c>
      <c r="C2740" s="11" t="str">
        <f t="shared" si="172"/>
        <v/>
      </c>
      <c r="F2740" s="10" t="str">
        <v/>
      </c>
      <c r="G2740" t="e">
        <f t="shared" si="170"/>
        <v>#VALUE!</v>
      </c>
      <c r="H2740" s="13" t="e">
        <f t="shared" si="171"/>
        <v>#VALUE!</v>
      </c>
    </row>
    <row r="2741" spans="2:8">
      <c r="B2741" s="11" t="str">
        <f t="shared" si="169"/>
        <v/>
      </c>
      <c r="C2741" s="11" t="str">
        <f t="shared" si="172"/>
        <v/>
      </c>
      <c r="F2741" s="10" t="str">
        <v/>
      </c>
      <c r="G2741" t="e">
        <f t="shared" si="170"/>
        <v>#VALUE!</v>
      </c>
      <c r="H2741" s="13" t="e">
        <f t="shared" si="171"/>
        <v>#VALUE!</v>
      </c>
    </row>
    <row r="2742" spans="2:8">
      <c r="B2742" s="11" t="str">
        <f t="shared" si="169"/>
        <v/>
      </c>
      <c r="C2742" s="11" t="str">
        <f t="shared" si="172"/>
        <v/>
      </c>
      <c r="F2742" s="10" t="str">
        <v/>
      </c>
      <c r="G2742" t="e">
        <f t="shared" si="170"/>
        <v>#VALUE!</v>
      </c>
      <c r="H2742" s="13" t="e">
        <f t="shared" si="171"/>
        <v>#VALUE!</v>
      </c>
    </row>
    <row r="2743" spans="2:8">
      <c r="B2743" s="11" t="str">
        <f t="shared" si="169"/>
        <v/>
      </c>
      <c r="C2743" s="11" t="str">
        <f t="shared" si="172"/>
        <v/>
      </c>
      <c r="F2743" s="10" t="str">
        <v/>
      </c>
      <c r="G2743" t="e">
        <f t="shared" si="170"/>
        <v>#VALUE!</v>
      </c>
      <c r="H2743" s="13" t="e">
        <f t="shared" si="171"/>
        <v>#VALUE!</v>
      </c>
    </row>
    <row r="2744" spans="2:8">
      <c r="B2744" s="11" t="str">
        <f t="shared" si="169"/>
        <v/>
      </c>
      <c r="C2744" s="11" t="str">
        <f t="shared" si="172"/>
        <v/>
      </c>
      <c r="F2744" s="10" t="str">
        <v/>
      </c>
      <c r="G2744" t="e">
        <f t="shared" si="170"/>
        <v>#VALUE!</v>
      </c>
      <c r="H2744" s="13" t="e">
        <f t="shared" si="171"/>
        <v>#VALUE!</v>
      </c>
    </row>
    <row r="2745" spans="2:8">
      <c r="B2745" s="11" t="str">
        <f t="shared" si="169"/>
        <v/>
      </c>
      <c r="C2745" s="11" t="str">
        <f t="shared" si="172"/>
        <v/>
      </c>
      <c r="F2745" s="10" t="str">
        <v/>
      </c>
      <c r="G2745" t="e">
        <f t="shared" si="170"/>
        <v>#VALUE!</v>
      </c>
      <c r="H2745" s="13" t="e">
        <f t="shared" si="171"/>
        <v>#VALUE!</v>
      </c>
    </row>
    <row r="2746" spans="2:8">
      <c r="B2746" s="11" t="str">
        <f t="shared" si="169"/>
        <v/>
      </c>
      <c r="C2746" s="11" t="str">
        <f t="shared" si="172"/>
        <v/>
      </c>
      <c r="F2746" s="10" t="str">
        <v/>
      </c>
      <c r="G2746" t="e">
        <f t="shared" si="170"/>
        <v>#VALUE!</v>
      </c>
      <c r="H2746" s="13" t="e">
        <f t="shared" si="171"/>
        <v>#VALUE!</v>
      </c>
    </row>
    <row r="2747" spans="2:8">
      <c r="B2747" s="11" t="str">
        <f t="shared" si="169"/>
        <v/>
      </c>
      <c r="C2747" s="11" t="str">
        <f t="shared" si="172"/>
        <v/>
      </c>
      <c r="F2747" s="10" t="str">
        <v/>
      </c>
      <c r="G2747" t="e">
        <f t="shared" si="170"/>
        <v>#VALUE!</v>
      </c>
      <c r="H2747" s="13" t="e">
        <f t="shared" si="171"/>
        <v>#VALUE!</v>
      </c>
    </row>
    <row r="2748" spans="2:8">
      <c r="B2748" s="11" t="str">
        <f t="shared" si="169"/>
        <v/>
      </c>
      <c r="C2748" s="11" t="str">
        <f t="shared" si="172"/>
        <v/>
      </c>
      <c r="F2748" s="10" t="str">
        <v/>
      </c>
      <c r="G2748" t="e">
        <f t="shared" si="170"/>
        <v>#VALUE!</v>
      </c>
      <c r="H2748" s="13" t="e">
        <f t="shared" si="171"/>
        <v>#VALUE!</v>
      </c>
    </row>
    <row r="2749" spans="2:8">
      <c r="B2749" s="11" t="str">
        <f t="shared" si="169"/>
        <v/>
      </c>
      <c r="C2749" s="11" t="str">
        <f t="shared" si="172"/>
        <v/>
      </c>
      <c r="F2749" s="10" t="str">
        <v/>
      </c>
      <c r="G2749" t="e">
        <f t="shared" si="170"/>
        <v>#VALUE!</v>
      </c>
      <c r="H2749" s="13" t="e">
        <f t="shared" si="171"/>
        <v>#VALUE!</v>
      </c>
    </row>
    <row r="2750" spans="2:8">
      <c r="B2750" s="11" t="str">
        <f t="shared" si="169"/>
        <v/>
      </c>
      <c r="C2750" s="11" t="str">
        <f t="shared" si="172"/>
        <v/>
      </c>
      <c r="F2750" s="10" t="str">
        <v/>
      </c>
      <c r="G2750" t="e">
        <f t="shared" si="170"/>
        <v>#VALUE!</v>
      </c>
      <c r="H2750" s="13" t="e">
        <f t="shared" si="171"/>
        <v>#VALUE!</v>
      </c>
    </row>
    <row r="2751" spans="2:8">
      <c r="B2751" s="11" t="str">
        <f t="shared" si="169"/>
        <v/>
      </c>
      <c r="C2751" s="11" t="str">
        <f t="shared" si="172"/>
        <v/>
      </c>
      <c r="F2751" s="10" t="str">
        <v/>
      </c>
      <c r="G2751" t="e">
        <f t="shared" si="170"/>
        <v>#VALUE!</v>
      </c>
      <c r="H2751" s="13" t="e">
        <f t="shared" si="171"/>
        <v>#VALUE!</v>
      </c>
    </row>
    <row r="2752" spans="2:8">
      <c r="B2752" s="11" t="str">
        <f t="shared" si="169"/>
        <v/>
      </c>
      <c r="C2752" s="11" t="str">
        <f t="shared" si="172"/>
        <v/>
      </c>
      <c r="F2752" s="10" t="str">
        <v/>
      </c>
      <c r="G2752" t="e">
        <f t="shared" si="170"/>
        <v>#VALUE!</v>
      </c>
      <c r="H2752" s="13" t="e">
        <f t="shared" si="171"/>
        <v>#VALUE!</v>
      </c>
    </row>
    <row r="2753" spans="2:8">
      <c r="B2753" s="11" t="str">
        <f t="shared" ref="B2753:B2816" si="173">IFERROR(IF(FIND(" ",A2753)=6,IF(IFERROR(FIND(" PB",A2753),"")&lt;&gt;"","артикул",IF(IFERROR(FIND(" CRN",A2753),"")&lt;&gt;"","артикул","")),""),"")</f>
        <v/>
      </c>
      <c r="C2753" s="11" t="str">
        <f t="shared" si="172"/>
        <v/>
      </c>
      <c r="F2753" s="10" t="str">
        <v/>
      </c>
      <c r="G2753" t="e">
        <f t="shared" si="170"/>
        <v>#VALUE!</v>
      </c>
      <c r="H2753" s="13" t="e">
        <f t="shared" si="171"/>
        <v>#VALUE!</v>
      </c>
    </row>
    <row r="2754" spans="2:8">
      <c r="B2754" s="11" t="str">
        <f t="shared" si="173"/>
        <v/>
      </c>
      <c r="C2754" s="11" t="str">
        <f t="shared" si="172"/>
        <v/>
      </c>
      <c r="F2754" s="10" t="str">
        <v/>
      </c>
      <c r="G2754" t="e">
        <f t="shared" ref="G2754:G2817" si="174">CONCATENATE(LEFT(F2754,5),
MID(F2754,
SEARCH("\",SUBSTITUTE(F2754," ","\",LEN(F2754)-LEN(SUBSTITUTE(F2754," ",""))-4)),
SEARCH("\",SUBSTITUTE(F2754," ","\",LEN(F2754)-LEN(SUBSTITUTE(F2754," ",""))-3))-
SEARCH("\",SUBSTITUTE(F2754," ","\",LEN(F2754)-LEN(SUBSTITUTE(F2754," ",""))-4)))*1)</f>
        <v>#VALUE!</v>
      </c>
      <c r="H2754" s="13" t="e">
        <f t="shared" ref="H2754:H2817" si="175">SUBSTITUTE(
RIGHT(F2754,LEN(F2754)-
FIND("\",SUBSTITUTE(F2754," ","\",LEN(F2754)-LEN(SUBSTITUTE(F2754," ",""))))),
".","")</f>
        <v>#VALUE!</v>
      </c>
    </row>
    <row r="2755" spans="2:8">
      <c r="B2755" s="11" t="str">
        <f t="shared" si="173"/>
        <v/>
      </c>
      <c r="C2755" s="11" t="str">
        <f t="shared" si="172"/>
        <v/>
      </c>
      <c r="F2755" s="10" t="str">
        <v/>
      </c>
      <c r="G2755" t="e">
        <f t="shared" si="174"/>
        <v>#VALUE!</v>
      </c>
      <c r="H2755" s="13" t="e">
        <f t="shared" si="175"/>
        <v>#VALUE!</v>
      </c>
    </row>
    <row r="2756" spans="2:8">
      <c r="B2756" s="11" t="str">
        <f t="shared" si="173"/>
        <v/>
      </c>
      <c r="C2756" s="11" t="str">
        <f t="shared" si="172"/>
        <v/>
      </c>
      <c r="F2756" s="10" t="str">
        <v/>
      </c>
      <c r="G2756" t="e">
        <f t="shared" si="174"/>
        <v>#VALUE!</v>
      </c>
      <c r="H2756" s="13" t="e">
        <f t="shared" si="175"/>
        <v>#VALUE!</v>
      </c>
    </row>
    <row r="2757" spans="2:8">
      <c r="B2757" s="11" t="str">
        <f t="shared" si="173"/>
        <v/>
      </c>
      <c r="C2757" s="11" t="str">
        <f t="shared" si="172"/>
        <v/>
      </c>
      <c r="F2757" s="10" t="str">
        <v/>
      </c>
      <c r="G2757" t="e">
        <f t="shared" si="174"/>
        <v>#VALUE!</v>
      </c>
      <c r="H2757" s="13" t="e">
        <f t="shared" si="175"/>
        <v>#VALUE!</v>
      </c>
    </row>
    <row r="2758" spans="2:8">
      <c r="B2758" s="11" t="str">
        <f t="shared" si="173"/>
        <v/>
      </c>
      <c r="C2758" s="11" t="str">
        <f t="shared" si="172"/>
        <v/>
      </c>
      <c r="F2758" s="10" t="str">
        <v/>
      </c>
      <c r="G2758" t="e">
        <f t="shared" si="174"/>
        <v>#VALUE!</v>
      </c>
      <c r="H2758" s="13" t="e">
        <f t="shared" si="175"/>
        <v>#VALUE!</v>
      </c>
    </row>
    <row r="2759" spans="2:8">
      <c r="B2759" s="11" t="str">
        <f t="shared" si="173"/>
        <v/>
      </c>
      <c r="C2759" s="11" t="str">
        <f t="shared" si="172"/>
        <v/>
      </c>
      <c r="F2759" s="10" t="str">
        <v/>
      </c>
      <c r="G2759" t="e">
        <f t="shared" si="174"/>
        <v>#VALUE!</v>
      </c>
      <c r="H2759" s="13" t="e">
        <f t="shared" si="175"/>
        <v>#VALUE!</v>
      </c>
    </row>
    <row r="2760" spans="2:8">
      <c r="B2760" s="11" t="str">
        <f t="shared" si="173"/>
        <v/>
      </c>
      <c r="C2760" s="11" t="str">
        <f t="shared" si="172"/>
        <v/>
      </c>
      <c r="F2760" s="10" t="str">
        <v/>
      </c>
      <c r="G2760" t="e">
        <f t="shared" si="174"/>
        <v>#VALUE!</v>
      </c>
      <c r="H2760" s="13" t="e">
        <f t="shared" si="175"/>
        <v>#VALUE!</v>
      </c>
    </row>
    <row r="2761" spans="2:8">
      <c r="B2761" s="11" t="str">
        <f t="shared" si="173"/>
        <v/>
      </c>
      <c r="C2761" s="11" t="str">
        <f t="shared" si="172"/>
        <v/>
      </c>
      <c r="F2761" s="10" t="str">
        <v/>
      </c>
      <c r="G2761" t="e">
        <f t="shared" si="174"/>
        <v>#VALUE!</v>
      </c>
      <c r="H2761" s="13" t="e">
        <f t="shared" si="175"/>
        <v>#VALUE!</v>
      </c>
    </row>
    <row r="2762" spans="2:8">
      <c r="B2762" s="11" t="str">
        <f t="shared" si="173"/>
        <v/>
      </c>
      <c r="C2762" s="11" t="str">
        <f t="shared" si="172"/>
        <v/>
      </c>
      <c r="F2762" s="10" t="str">
        <v/>
      </c>
      <c r="G2762" t="e">
        <f t="shared" si="174"/>
        <v>#VALUE!</v>
      </c>
      <c r="H2762" s="13" t="e">
        <f t="shared" si="175"/>
        <v>#VALUE!</v>
      </c>
    </row>
    <row r="2763" spans="2:8">
      <c r="B2763" s="11" t="str">
        <f t="shared" si="173"/>
        <v/>
      </c>
      <c r="C2763" s="11" t="str">
        <f t="shared" si="172"/>
        <v/>
      </c>
      <c r="F2763" s="10" t="str">
        <v/>
      </c>
      <c r="G2763" t="e">
        <f t="shared" si="174"/>
        <v>#VALUE!</v>
      </c>
      <c r="H2763" s="13" t="e">
        <f t="shared" si="175"/>
        <v>#VALUE!</v>
      </c>
    </row>
    <row r="2764" spans="2:8">
      <c r="B2764" s="11" t="str">
        <f t="shared" si="173"/>
        <v/>
      </c>
      <c r="C2764" s="11" t="str">
        <f t="shared" si="172"/>
        <v/>
      </c>
      <c r="F2764" s="10" t="str">
        <v/>
      </c>
      <c r="G2764" t="e">
        <f t="shared" si="174"/>
        <v>#VALUE!</v>
      </c>
      <c r="H2764" s="13" t="e">
        <f t="shared" si="175"/>
        <v>#VALUE!</v>
      </c>
    </row>
    <row r="2765" spans="2:8">
      <c r="B2765" s="11" t="str">
        <f t="shared" si="173"/>
        <v/>
      </c>
      <c r="C2765" s="11" t="str">
        <f t="shared" si="172"/>
        <v/>
      </c>
      <c r="F2765" s="10" t="str">
        <v/>
      </c>
      <c r="G2765" t="e">
        <f t="shared" si="174"/>
        <v>#VALUE!</v>
      </c>
      <c r="H2765" s="13" t="e">
        <f t="shared" si="175"/>
        <v>#VALUE!</v>
      </c>
    </row>
    <row r="2766" spans="2:8">
      <c r="B2766" s="11" t="str">
        <f t="shared" si="173"/>
        <v/>
      </c>
      <c r="C2766" s="11" t="str">
        <f t="shared" si="172"/>
        <v/>
      </c>
      <c r="F2766" s="10" t="str">
        <v/>
      </c>
      <c r="G2766" t="e">
        <f t="shared" si="174"/>
        <v>#VALUE!</v>
      </c>
      <c r="H2766" s="13" t="e">
        <f t="shared" si="175"/>
        <v>#VALUE!</v>
      </c>
    </row>
    <row r="2767" spans="2:8">
      <c r="B2767" s="11" t="str">
        <f t="shared" si="173"/>
        <v/>
      </c>
      <c r="C2767" s="11" t="str">
        <f t="shared" si="172"/>
        <v/>
      </c>
      <c r="F2767" s="10" t="str">
        <v/>
      </c>
      <c r="G2767" t="e">
        <f t="shared" si="174"/>
        <v>#VALUE!</v>
      </c>
      <c r="H2767" s="13" t="e">
        <f t="shared" si="175"/>
        <v>#VALUE!</v>
      </c>
    </row>
    <row r="2768" spans="2:8">
      <c r="B2768" s="11" t="str">
        <f t="shared" si="173"/>
        <v/>
      </c>
      <c r="C2768" s="11" t="str">
        <f t="shared" si="172"/>
        <v/>
      </c>
      <c r="F2768" s="10" t="str">
        <v/>
      </c>
      <c r="G2768" t="e">
        <f t="shared" si="174"/>
        <v>#VALUE!</v>
      </c>
      <c r="H2768" s="13" t="e">
        <f t="shared" si="175"/>
        <v>#VALUE!</v>
      </c>
    </row>
    <row r="2769" spans="2:8">
      <c r="B2769" s="11" t="str">
        <f t="shared" si="173"/>
        <v/>
      </c>
      <c r="C2769" s="11" t="str">
        <f t="shared" si="172"/>
        <v/>
      </c>
      <c r="F2769" s="10" t="str">
        <v/>
      </c>
      <c r="G2769" t="e">
        <f t="shared" si="174"/>
        <v>#VALUE!</v>
      </c>
      <c r="H2769" s="13" t="e">
        <f t="shared" si="175"/>
        <v>#VALUE!</v>
      </c>
    </row>
    <row r="2770" spans="2:8">
      <c r="B2770" s="11" t="str">
        <f t="shared" si="173"/>
        <v/>
      </c>
      <c r="C2770" s="11" t="str">
        <f t="shared" si="172"/>
        <v/>
      </c>
      <c r="F2770" s="10" t="str">
        <v/>
      </c>
      <c r="G2770" t="e">
        <f t="shared" si="174"/>
        <v>#VALUE!</v>
      </c>
      <c r="H2770" s="13" t="e">
        <f t="shared" si="175"/>
        <v>#VALUE!</v>
      </c>
    </row>
    <row r="2771" spans="2:8">
      <c r="B2771" s="11" t="str">
        <f t="shared" si="173"/>
        <v/>
      </c>
      <c r="C2771" s="11" t="str">
        <f t="shared" si="172"/>
        <v/>
      </c>
      <c r="F2771" s="10" t="str">
        <v/>
      </c>
      <c r="G2771" t="e">
        <f t="shared" si="174"/>
        <v>#VALUE!</v>
      </c>
      <c r="H2771" s="13" t="e">
        <f t="shared" si="175"/>
        <v>#VALUE!</v>
      </c>
    </row>
    <row r="2772" spans="2:8">
      <c r="B2772" s="11" t="str">
        <f t="shared" si="173"/>
        <v/>
      </c>
      <c r="C2772" s="11" t="str">
        <f t="shared" si="172"/>
        <v/>
      </c>
      <c r="F2772" s="10" t="str">
        <v/>
      </c>
      <c r="G2772" t="e">
        <f t="shared" si="174"/>
        <v>#VALUE!</v>
      </c>
      <c r="H2772" s="13" t="e">
        <f t="shared" si="175"/>
        <v>#VALUE!</v>
      </c>
    </row>
    <row r="2773" spans="2:8">
      <c r="B2773" s="11" t="str">
        <f t="shared" si="173"/>
        <v/>
      </c>
      <c r="C2773" s="11" t="str">
        <f t="shared" si="172"/>
        <v/>
      </c>
      <c r="F2773" s="10" t="str">
        <v/>
      </c>
      <c r="G2773" t="e">
        <f t="shared" si="174"/>
        <v>#VALUE!</v>
      </c>
      <c r="H2773" s="13" t="e">
        <f t="shared" si="175"/>
        <v>#VALUE!</v>
      </c>
    </row>
    <row r="2774" spans="2:8">
      <c r="B2774" s="11" t="str">
        <f t="shared" si="173"/>
        <v/>
      </c>
      <c r="C2774" s="11" t="str">
        <f t="shared" si="172"/>
        <v/>
      </c>
      <c r="F2774" s="10" t="str">
        <v/>
      </c>
      <c r="G2774" t="e">
        <f t="shared" si="174"/>
        <v>#VALUE!</v>
      </c>
      <c r="H2774" s="13" t="e">
        <f t="shared" si="175"/>
        <v>#VALUE!</v>
      </c>
    </row>
    <row r="2775" spans="2:8">
      <c r="B2775" s="11" t="str">
        <f t="shared" si="173"/>
        <v/>
      </c>
      <c r="C2775" s="11" t="str">
        <f t="shared" si="172"/>
        <v/>
      </c>
      <c r="F2775" s="10" t="str">
        <v/>
      </c>
      <c r="G2775" t="e">
        <f t="shared" si="174"/>
        <v>#VALUE!</v>
      </c>
      <c r="H2775" s="13" t="e">
        <f t="shared" si="175"/>
        <v>#VALUE!</v>
      </c>
    </row>
    <row r="2776" spans="2:8">
      <c r="B2776" s="11" t="str">
        <f t="shared" si="173"/>
        <v/>
      </c>
      <c r="C2776" s="11" t="str">
        <f t="shared" si="172"/>
        <v/>
      </c>
      <c r="F2776" s="10" t="str">
        <v/>
      </c>
      <c r="G2776" t="e">
        <f t="shared" si="174"/>
        <v>#VALUE!</v>
      </c>
      <c r="H2776" s="13" t="e">
        <f t="shared" si="175"/>
        <v>#VALUE!</v>
      </c>
    </row>
    <row r="2777" spans="2:8">
      <c r="B2777" s="11" t="str">
        <f t="shared" si="173"/>
        <v/>
      </c>
      <c r="C2777" s="11" t="str">
        <f t="shared" si="172"/>
        <v/>
      </c>
      <c r="F2777" s="10" t="str">
        <v/>
      </c>
      <c r="G2777" t="e">
        <f t="shared" si="174"/>
        <v>#VALUE!</v>
      </c>
      <c r="H2777" s="13" t="e">
        <f t="shared" si="175"/>
        <v>#VALUE!</v>
      </c>
    </row>
    <row r="2778" spans="2:8">
      <c r="B2778" s="11" t="str">
        <f t="shared" si="173"/>
        <v/>
      </c>
      <c r="C2778" s="11" t="str">
        <f t="shared" si="172"/>
        <v/>
      </c>
      <c r="F2778" s="10" t="str">
        <v/>
      </c>
      <c r="G2778" t="e">
        <f t="shared" si="174"/>
        <v>#VALUE!</v>
      </c>
      <c r="H2778" s="13" t="e">
        <f t="shared" si="175"/>
        <v>#VALUE!</v>
      </c>
    </row>
    <row r="2779" spans="2:8">
      <c r="B2779" s="11" t="str">
        <f t="shared" si="173"/>
        <v/>
      </c>
      <c r="C2779" s="11" t="str">
        <f t="shared" si="172"/>
        <v/>
      </c>
      <c r="F2779" s="10" t="str">
        <v/>
      </c>
      <c r="G2779" t="e">
        <f t="shared" si="174"/>
        <v>#VALUE!</v>
      </c>
      <c r="H2779" s="13" t="e">
        <f t="shared" si="175"/>
        <v>#VALUE!</v>
      </c>
    </row>
    <row r="2780" spans="2:8">
      <c r="B2780" s="11" t="str">
        <f t="shared" si="173"/>
        <v/>
      </c>
      <c r="C2780" s="11" t="str">
        <f t="shared" si="172"/>
        <v/>
      </c>
      <c r="F2780" s="10" t="str">
        <v/>
      </c>
      <c r="G2780" t="e">
        <f t="shared" si="174"/>
        <v>#VALUE!</v>
      </c>
      <c r="H2780" s="13" t="e">
        <f t="shared" si="175"/>
        <v>#VALUE!</v>
      </c>
    </row>
    <row r="2781" spans="2:8">
      <c r="B2781" s="11" t="str">
        <f t="shared" si="173"/>
        <v/>
      </c>
      <c r="C2781" s="11" t="str">
        <f t="shared" si="172"/>
        <v/>
      </c>
      <c r="F2781" s="10" t="str">
        <v/>
      </c>
      <c r="G2781" t="e">
        <f t="shared" si="174"/>
        <v>#VALUE!</v>
      </c>
      <c r="H2781" s="13" t="e">
        <f t="shared" si="175"/>
        <v>#VALUE!</v>
      </c>
    </row>
    <row r="2782" spans="2:8">
      <c r="B2782" s="11" t="str">
        <f t="shared" si="173"/>
        <v/>
      </c>
      <c r="C2782" s="11" t="str">
        <f t="shared" si="172"/>
        <v/>
      </c>
      <c r="F2782" s="10" t="str">
        <v/>
      </c>
      <c r="G2782" t="e">
        <f t="shared" si="174"/>
        <v>#VALUE!</v>
      </c>
      <c r="H2782" s="13" t="e">
        <f t="shared" si="175"/>
        <v>#VALUE!</v>
      </c>
    </row>
    <row r="2783" spans="2:8">
      <c r="B2783" s="11" t="str">
        <f t="shared" si="173"/>
        <v/>
      </c>
      <c r="C2783" s="11" t="str">
        <f t="shared" si="172"/>
        <v/>
      </c>
      <c r="F2783" s="10" t="str">
        <v/>
      </c>
      <c r="G2783" t="e">
        <f t="shared" si="174"/>
        <v>#VALUE!</v>
      </c>
      <c r="H2783" s="13" t="e">
        <f t="shared" si="175"/>
        <v>#VALUE!</v>
      </c>
    </row>
    <row r="2784" spans="2:8">
      <c r="B2784" s="11" t="str">
        <f t="shared" si="173"/>
        <v/>
      </c>
      <c r="C2784" s="11" t="str">
        <f t="shared" si="172"/>
        <v/>
      </c>
      <c r="F2784" s="10" t="str">
        <v/>
      </c>
      <c r="G2784" t="e">
        <f t="shared" si="174"/>
        <v>#VALUE!</v>
      </c>
      <c r="H2784" s="13" t="e">
        <f t="shared" si="175"/>
        <v>#VALUE!</v>
      </c>
    </row>
    <row r="2785" spans="2:8">
      <c r="B2785" s="11" t="str">
        <f t="shared" si="173"/>
        <v/>
      </c>
      <c r="C2785" s="11" t="str">
        <f t="shared" si="172"/>
        <v/>
      </c>
      <c r="F2785" s="10" t="str">
        <v/>
      </c>
      <c r="G2785" t="e">
        <f t="shared" si="174"/>
        <v>#VALUE!</v>
      </c>
      <c r="H2785" s="13" t="e">
        <f t="shared" si="175"/>
        <v>#VALUE!</v>
      </c>
    </row>
    <row r="2786" spans="2:8">
      <c r="B2786" s="11" t="str">
        <f t="shared" si="173"/>
        <v/>
      </c>
      <c r="C2786" s="11" t="str">
        <f t="shared" si="172"/>
        <v/>
      </c>
      <c r="F2786" s="10" t="str">
        <v/>
      </c>
      <c r="G2786" t="e">
        <f t="shared" si="174"/>
        <v>#VALUE!</v>
      </c>
      <c r="H2786" s="13" t="e">
        <f t="shared" si="175"/>
        <v>#VALUE!</v>
      </c>
    </row>
    <row r="2787" spans="2:8">
      <c r="B2787" s="11" t="str">
        <f t="shared" si="173"/>
        <v/>
      </c>
      <c r="C2787" s="11" t="str">
        <f t="shared" si="172"/>
        <v/>
      </c>
      <c r="F2787" s="10" t="str">
        <v/>
      </c>
      <c r="G2787" t="e">
        <f t="shared" si="174"/>
        <v>#VALUE!</v>
      </c>
      <c r="H2787" s="13" t="e">
        <f t="shared" si="175"/>
        <v>#VALUE!</v>
      </c>
    </row>
    <row r="2788" spans="2:8">
      <c r="B2788" s="11" t="str">
        <f t="shared" si="173"/>
        <v/>
      </c>
      <c r="C2788" s="11" t="str">
        <f t="shared" si="172"/>
        <v/>
      </c>
      <c r="F2788" s="10" t="str">
        <v/>
      </c>
      <c r="G2788" t="e">
        <f t="shared" si="174"/>
        <v>#VALUE!</v>
      </c>
      <c r="H2788" s="13" t="e">
        <f t="shared" si="175"/>
        <v>#VALUE!</v>
      </c>
    </row>
    <row r="2789" spans="2:8">
      <c r="B2789" s="11" t="str">
        <f t="shared" si="173"/>
        <v/>
      </c>
      <c r="C2789" s="11" t="str">
        <f t="shared" si="172"/>
        <v/>
      </c>
      <c r="F2789" s="10" t="str">
        <v/>
      </c>
      <c r="G2789" t="e">
        <f t="shared" si="174"/>
        <v>#VALUE!</v>
      </c>
      <c r="H2789" s="13" t="e">
        <f t="shared" si="175"/>
        <v>#VALUE!</v>
      </c>
    </row>
    <row r="2790" spans="2:8">
      <c r="B2790" s="11" t="str">
        <f t="shared" si="173"/>
        <v/>
      </c>
      <c r="C2790" s="11" t="str">
        <f t="shared" si="172"/>
        <v/>
      </c>
      <c r="F2790" s="10" t="str">
        <v/>
      </c>
      <c r="G2790" t="e">
        <f t="shared" si="174"/>
        <v>#VALUE!</v>
      </c>
      <c r="H2790" s="13" t="e">
        <f t="shared" si="175"/>
        <v>#VALUE!</v>
      </c>
    </row>
    <row r="2791" spans="2:8">
      <c r="B2791" s="11" t="str">
        <f t="shared" si="173"/>
        <v/>
      </c>
      <c r="C2791" s="11" t="str">
        <f t="shared" si="172"/>
        <v/>
      </c>
      <c r="F2791" s="10" t="str">
        <v/>
      </c>
      <c r="G2791" t="e">
        <f t="shared" si="174"/>
        <v>#VALUE!</v>
      </c>
      <c r="H2791" s="13" t="e">
        <f t="shared" si="175"/>
        <v>#VALUE!</v>
      </c>
    </row>
    <row r="2792" spans="2:8">
      <c r="B2792" s="11" t="str">
        <f t="shared" si="173"/>
        <v/>
      </c>
      <c r="C2792" s="11" t="str">
        <f t="shared" si="172"/>
        <v/>
      </c>
      <c r="F2792" s="10" t="str">
        <v/>
      </c>
      <c r="G2792" t="e">
        <f t="shared" si="174"/>
        <v>#VALUE!</v>
      </c>
      <c r="H2792" s="13" t="e">
        <f t="shared" si="175"/>
        <v>#VALUE!</v>
      </c>
    </row>
    <row r="2793" spans="2:8">
      <c r="B2793" s="11" t="str">
        <f t="shared" si="173"/>
        <v/>
      </c>
      <c r="C2793" s="11" t="str">
        <f t="shared" ref="C2793:C2856" si="176">IF(B2793="артикул",A2793,"")</f>
        <v/>
      </c>
      <c r="F2793" s="10" t="str">
        <v/>
      </c>
      <c r="G2793" t="e">
        <f t="shared" si="174"/>
        <v>#VALUE!</v>
      </c>
      <c r="H2793" s="13" t="e">
        <f t="shared" si="175"/>
        <v>#VALUE!</v>
      </c>
    </row>
    <row r="2794" spans="2:8">
      <c r="B2794" s="11" t="str">
        <f t="shared" si="173"/>
        <v/>
      </c>
      <c r="C2794" s="11" t="str">
        <f t="shared" si="176"/>
        <v/>
      </c>
      <c r="F2794" s="10" t="str">
        <v/>
      </c>
      <c r="G2794" t="e">
        <f t="shared" si="174"/>
        <v>#VALUE!</v>
      </c>
      <c r="H2794" s="13" t="e">
        <f t="shared" si="175"/>
        <v>#VALUE!</v>
      </c>
    </row>
    <row r="2795" spans="2:8">
      <c r="B2795" s="11" t="str">
        <f t="shared" si="173"/>
        <v/>
      </c>
      <c r="C2795" s="11" t="str">
        <f t="shared" si="176"/>
        <v/>
      </c>
      <c r="F2795" s="10" t="str">
        <v/>
      </c>
      <c r="G2795" t="e">
        <f t="shared" si="174"/>
        <v>#VALUE!</v>
      </c>
      <c r="H2795" s="13" t="e">
        <f t="shared" si="175"/>
        <v>#VALUE!</v>
      </c>
    </row>
    <row r="2796" spans="2:8">
      <c r="B2796" s="11" t="str">
        <f t="shared" si="173"/>
        <v/>
      </c>
      <c r="C2796" s="11" t="str">
        <f t="shared" si="176"/>
        <v/>
      </c>
      <c r="F2796" s="10" t="str">
        <v/>
      </c>
      <c r="G2796" t="e">
        <f t="shared" si="174"/>
        <v>#VALUE!</v>
      </c>
      <c r="H2796" s="13" t="e">
        <f t="shared" si="175"/>
        <v>#VALUE!</v>
      </c>
    </row>
    <row r="2797" spans="2:8">
      <c r="B2797" s="11" t="str">
        <f t="shared" si="173"/>
        <v/>
      </c>
      <c r="C2797" s="11" t="str">
        <f t="shared" si="176"/>
        <v/>
      </c>
      <c r="F2797" s="10" t="str">
        <v/>
      </c>
      <c r="G2797" t="e">
        <f t="shared" si="174"/>
        <v>#VALUE!</v>
      </c>
      <c r="H2797" s="13" t="e">
        <f t="shared" si="175"/>
        <v>#VALUE!</v>
      </c>
    </row>
    <row r="2798" spans="2:8">
      <c r="B2798" s="11" t="str">
        <f t="shared" si="173"/>
        <v/>
      </c>
      <c r="C2798" s="11" t="str">
        <f t="shared" si="176"/>
        <v/>
      </c>
      <c r="F2798" s="10" t="str">
        <v/>
      </c>
      <c r="G2798" t="e">
        <f t="shared" si="174"/>
        <v>#VALUE!</v>
      </c>
      <c r="H2798" s="13" t="e">
        <f t="shared" si="175"/>
        <v>#VALUE!</v>
      </c>
    </row>
    <row r="2799" spans="2:8">
      <c r="B2799" s="11" t="str">
        <f t="shared" si="173"/>
        <v/>
      </c>
      <c r="C2799" s="11" t="str">
        <f t="shared" si="176"/>
        <v/>
      </c>
      <c r="F2799" s="10" t="str">
        <v/>
      </c>
      <c r="G2799" t="e">
        <f t="shared" si="174"/>
        <v>#VALUE!</v>
      </c>
      <c r="H2799" s="13" t="e">
        <f t="shared" si="175"/>
        <v>#VALUE!</v>
      </c>
    </row>
    <row r="2800" spans="2:8">
      <c r="B2800" s="11" t="str">
        <f t="shared" si="173"/>
        <v/>
      </c>
      <c r="C2800" s="11" t="str">
        <f t="shared" si="176"/>
        <v/>
      </c>
      <c r="F2800" s="10" t="str">
        <v/>
      </c>
      <c r="G2800" t="e">
        <f t="shared" si="174"/>
        <v>#VALUE!</v>
      </c>
      <c r="H2800" s="13" t="e">
        <f t="shared" si="175"/>
        <v>#VALUE!</v>
      </c>
    </row>
    <row r="2801" spans="2:8">
      <c r="B2801" s="11" t="str">
        <f t="shared" si="173"/>
        <v/>
      </c>
      <c r="C2801" s="11" t="str">
        <f t="shared" si="176"/>
        <v/>
      </c>
      <c r="F2801" s="10" t="str">
        <v/>
      </c>
      <c r="G2801" t="e">
        <f t="shared" si="174"/>
        <v>#VALUE!</v>
      </c>
      <c r="H2801" s="13" t="e">
        <f t="shared" si="175"/>
        <v>#VALUE!</v>
      </c>
    </row>
    <row r="2802" spans="2:8">
      <c r="B2802" s="11" t="str">
        <f t="shared" si="173"/>
        <v/>
      </c>
      <c r="C2802" s="11" t="str">
        <f t="shared" si="176"/>
        <v/>
      </c>
      <c r="F2802" s="10" t="str">
        <v/>
      </c>
      <c r="G2802" t="e">
        <f t="shared" si="174"/>
        <v>#VALUE!</v>
      </c>
      <c r="H2802" s="13" t="e">
        <f t="shared" si="175"/>
        <v>#VALUE!</v>
      </c>
    </row>
    <row r="2803" spans="2:8">
      <c r="B2803" s="11" t="str">
        <f t="shared" si="173"/>
        <v/>
      </c>
      <c r="C2803" s="11" t="str">
        <f t="shared" si="176"/>
        <v/>
      </c>
      <c r="F2803" s="10" t="str">
        <v/>
      </c>
      <c r="G2803" t="e">
        <f t="shared" si="174"/>
        <v>#VALUE!</v>
      </c>
      <c r="H2803" s="13" t="e">
        <f t="shared" si="175"/>
        <v>#VALUE!</v>
      </c>
    </row>
    <row r="2804" spans="2:8">
      <c r="B2804" s="11" t="str">
        <f t="shared" si="173"/>
        <v/>
      </c>
      <c r="C2804" s="11" t="str">
        <f t="shared" si="176"/>
        <v/>
      </c>
      <c r="F2804" s="10" t="str">
        <v/>
      </c>
      <c r="G2804" t="e">
        <f t="shared" si="174"/>
        <v>#VALUE!</v>
      </c>
      <c r="H2804" s="13" t="e">
        <f t="shared" si="175"/>
        <v>#VALUE!</v>
      </c>
    </row>
    <row r="2805" spans="2:8">
      <c r="B2805" s="11" t="str">
        <f t="shared" si="173"/>
        <v/>
      </c>
      <c r="C2805" s="11" t="str">
        <f t="shared" si="176"/>
        <v/>
      </c>
      <c r="F2805" s="10" t="str">
        <v/>
      </c>
      <c r="G2805" t="e">
        <f t="shared" si="174"/>
        <v>#VALUE!</v>
      </c>
      <c r="H2805" s="13" t="e">
        <f t="shared" si="175"/>
        <v>#VALUE!</v>
      </c>
    </row>
    <row r="2806" spans="2:8">
      <c r="B2806" s="11" t="str">
        <f t="shared" si="173"/>
        <v/>
      </c>
      <c r="C2806" s="11" t="str">
        <f t="shared" si="176"/>
        <v/>
      </c>
      <c r="F2806" s="10" t="str">
        <v/>
      </c>
      <c r="G2806" t="e">
        <f t="shared" si="174"/>
        <v>#VALUE!</v>
      </c>
      <c r="H2806" s="13" t="e">
        <f t="shared" si="175"/>
        <v>#VALUE!</v>
      </c>
    </row>
    <row r="2807" spans="2:8">
      <c r="B2807" s="11" t="str">
        <f t="shared" si="173"/>
        <v/>
      </c>
      <c r="C2807" s="11" t="str">
        <f t="shared" si="176"/>
        <v/>
      </c>
      <c r="F2807" s="10" t="str">
        <v/>
      </c>
      <c r="G2807" t="e">
        <f t="shared" si="174"/>
        <v>#VALUE!</v>
      </c>
      <c r="H2807" s="13" t="e">
        <f t="shared" si="175"/>
        <v>#VALUE!</v>
      </c>
    </row>
    <row r="2808" spans="2:8">
      <c r="B2808" s="11" t="str">
        <f t="shared" si="173"/>
        <v/>
      </c>
      <c r="C2808" s="11" t="str">
        <f t="shared" si="176"/>
        <v/>
      </c>
      <c r="F2808" s="10" t="str">
        <v/>
      </c>
      <c r="G2808" t="e">
        <f t="shared" si="174"/>
        <v>#VALUE!</v>
      </c>
      <c r="H2808" s="13" t="e">
        <f t="shared" si="175"/>
        <v>#VALUE!</v>
      </c>
    </row>
    <row r="2809" spans="2:8">
      <c r="B2809" s="11" t="str">
        <f t="shared" si="173"/>
        <v/>
      </c>
      <c r="C2809" s="11" t="str">
        <f t="shared" si="176"/>
        <v/>
      </c>
      <c r="F2809" s="10" t="str">
        <v/>
      </c>
      <c r="G2809" t="e">
        <f t="shared" si="174"/>
        <v>#VALUE!</v>
      </c>
      <c r="H2809" s="13" t="e">
        <f t="shared" si="175"/>
        <v>#VALUE!</v>
      </c>
    </row>
    <row r="2810" spans="2:8">
      <c r="B2810" s="11" t="str">
        <f t="shared" si="173"/>
        <v/>
      </c>
      <c r="C2810" s="11" t="str">
        <f t="shared" si="176"/>
        <v/>
      </c>
      <c r="F2810" s="10" t="str">
        <v/>
      </c>
      <c r="G2810" t="e">
        <f t="shared" si="174"/>
        <v>#VALUE!</v>
      </c>
      <c r="H2810" s="13" t="e">
        <f t="shared" si="175"/>
        <v>#VALUE!</v>
      </c>
    </row>
    <row r="2811" spans="2:8">
      <c r="B2811" s="11" t="str">
        <f t="shared" si="173"/>
        <v/>
      </c>
      <c r="C2811" s="11" t="str">
        <f t="shared" si="176"/>
        <v/>
      </c>
      <c r="F2811" s="10" t="str">
        <v/>
      </c>
      <c r="G2811" t="e">
        <f t="shared" si="174"/>
        <v>#VALUE!</v>
      </c>
      <c r="H2811" s="13" t="e">
        <f t="shared" si="175"/>
        <v>#VALUE!</v>
      </c>
    </row>
    <row r="2812" spans="2:8">
      <c r="B2812" s="11" t="str">
        <f t="shared" si="173"/>
        <v/>
      </c>
      <c r="C2812" s="11" t="str">
        <f t="shared" si="176"/>
        <v/>
      </c>
      <c r="F2812" s="10" t="str">
        <v/>
      </c>
      <c r="G2812" t="e">
        <f t="shared" si="174"/>
        <v>#VALUE!</v>
      </c>
      <c r="H2812" s="13" t="e">
        <f t="shared" si="175"/>
        <v>#VALUE!</v>
      </c>
    </row>
    <row r="2813" spans="2:8">
      <c r="B2813" s="11" t="str">
        <f t="shared" si="173"/>
        <v/>
      </c>
      <c r="C2813" s="11" t="str">
        <f t="shared" si="176"/>
        <v/>
      </c>
      <c r="F2813" s="10" t="str">
        <v/>
      </c>
      <c r="G2813" t="e">
        <f t="shared" si="174"/>
        <v>#VALUE!</v>
      </c>
      <c r="H2813" s="13" t="e">
        <f t="shared" si="175"/>
        <v>#VALUE!</v>
      </c>
    </row>
    <row r="2814" spans="2:8">
      <c r="B2814" s="11" t="str">
        <f t="shared" si="173"/>
        <v/>
      </c>
      <c r="C2814" s="11" t="str">
        <f t="shared" si="176"/>
        <v/>
      </c>
      <c r="F2814" s="10" t="str">
        <v/>
      </c>
      <c r="G2814" t="e">
        <f t="shared" si="174"/>
        <v>#VALUE!</v>
      </c>
      <c r="H2814" s="13" t="e">
        <f t="shared" si="175"/>
        <v>#VALUE!</v>
      </c>
    </row>
    <row r="2815" spans="2:8">
      <c r="B2815" s="11" t="str">
        <f t="shared" si="173"/>
        <v/>
      </c>
      <c r="C2815" s="11" t="str">
        <f t="shared" si="176"/>
        <v/>
      </c>
      <c r="F2815" s="10" t="str">
        <v/>
      </c>
      <c r="G2815" t="e">
        <f t="shared" si="174"/>
        <v>#VALUE!</v>
      </c>
      <c r="H2815" s="13" t="e">
        <f t="shared" si="175"/>
        <v>#VALUE!</v>
      </c>
    </row>
    <row r="2816" spans="2:8">
      <c r="B2816" s="11" t="str">
        <f t="shared" si="173"/>
        <v/>
      </c>
      <c r="C2816" s="11" t="str">
        <f t="shared" si="176"/>
        <v/>
      </c>
      <c r="F2816" s="10" t="str">
        <v/>
      </c>
      <c r="G2816" t="e">
        <f t="shared" si="174"/>
        <v>#VALUE!</v>
      </c>
      <c r="H2816" s="13" t="e">
        <f t="shared" si="175"/>
        <v>#VALUE!</v>
      </c>
    </row>
    <row r="2817" spans="2:8">
      <c r="B2817" s="11" t="str">
        <f t="shared" ref="B2817:B2880" si="177">IFERROR(IF(FIND(" ",A2817)=6,IF(IFERROR(FIND(" PB",A2817),"")&lt;&gt;"","артикул",IF(IFERROR(FIND(" CRN",A2817),"")&lt;&gt;"","артикул","")),""),"")</f>
        <v/>
      </c>
      <c r="C2817" s="11" t="str">
        <f t="shared" si="176"/>
        <v/>
      </c>
      <c r="F2817" s="10" t="str">
        <v/>
      </c>
      <c r="G2817" t="e">
        <f t="shared" si="174"/>
        <v>#VALUE!</v>
      </c>
      <c r="H2817" s="13" t="e">
        <f t="shared" si="175"/>
        <v>#VALUE!</v>
      </c>
    </row>
    <row r="2818" spans="2:8">
      <c r="B2818" s="11" t="str">
        <f t="shared" si="177"/>
        <v/>
      </c>
      <c r="C2818" s="11" t="str">
        <f t="shared" si="176"/>
        <v/>
      </c>
      <c r="F2818" s="10" t="str">
        <v/>
      </c>
      <c r="G2818" t="e">
        <f t="shared" ref="G2818:G2881" si="178">CONCATENATE(LEFT(F2818,5),
MID(F2818,
SEARCH("\",SUBSTITUTE(F2818," ","\",LEN(F2818)-LEN(SUBSTITUTE(F2818," ",""))-4)),
SEARCH("\",SUBSTITUTE(F2818," ","\",LEN(F2818)-LEN(SUBSTITUTE(F2818," ",""))-3))-
SEARCH("\",SUBSTITUTE(F2818," ","\",LEN(F2818)-LEN(SUBSTITUTE(F2818," ",""))-4)))*1)</f>
        <v>#VALUE!</v>
      </c>
      <c r="H2818" s="13" t="e">
        <f t="shared" ref="H2818:H2881" si="179">SUBSTITUTE(
RIGHT(F2818,LEN(F2818)-
FIND("\",SUBSTITUTE(F2818," ","\",LEN(F2818)-LEN(SUBSTITUTE(F2818," ",""))))),
".","")</f>
        <v>#VALUE!</v>
      </c>
    </row>
    <row r="2819" spans="2:8">
      <c r="B2819" s="11" t="str">
        <f t="shared" si="177"/>
        <v/>
      </c>
      <c r="C2819" s="11" t="str">
        <f t="shared" si="176"/>
        <v/>
      </c>
      <c r="F2819" s="10" t="str">
        <v/>
      </c>
      <c r="G2819" t="e">
        <f t="shared" si="178"/>
        <v>#VALUE!</v>
      </c>
      <c r="H2819" s="13" t="e">
        <f t="shared" si="179"/>
        <v>#VALUE!</v>
      </c>
    </row>
    <row r="2820" spans="2:8">
      <c r="B2820" s="11" t="str">
        <f t="shared" si="177"/>
        <v/>
      </c>
      <c r="C2820" s="11" t="str">
        <f t="shared" si="176"/>
        <v/>
      </c>
      <c r="F2820" s="10" t="str">
        <v/>
      </c>
      <c r="G2820" t="e">
        <f t="shared" si="178"/>
        <v>#VALUE!</v>
      </c>
      <c r="H2820" s="13" t="e">
        <f t="shared" si="179"/>
        <v>#VALUE!</v>
      </c>
    </row>
    <row r="2821" spans="2:8">
      <c r="B2821" s="11" t="str">
        <f t="shared" si="177"/>
        <v/>
      </c>
      <c r="C2821" s="11" t="str">
        <f t="shared" si="176"/>
        <v/>
      </c>
      <c r="F2821" s="10" t="str">
        <v/>
      </c>
      <c r="G2821" t="e">
        <f t="shared" si="178"/>
        <v>#VALUE!</v>
      </c>
      <c r="H2821" s="13" t="e">
        <f t="shared" si="179"/>
        <v>#VALUE!</v>
      </c>
    </row>
    <row r="2822" spans="2:8">
      <c r="B2822" s="11" t="str">
        <f t="shared" si="177"/>
        <v/>
      </c>
      <c r="C2822" s="11" t="str">
        <f t="shared" si="176"/>
        <v/>
      </c>
      <c r="F2822" s="10" t="str">
        <v/>
      </c>
      <c r="G2822" t="e">
        <f t="shared" si="178"/>
        <v>#VALUE!</v>
      </c>
      <c r="H2822" s="13" t="e">
        <f t="shared" si="179"/>
        <v>#VALUE!</v>
      </c>
    </row>
    <row r="2823" spans="2:8">
      <c r="B2823" s="11" t="str">
        <f t="shared" si="177"/>
        <v/>
      </c>
      <c r="C2823" s="11" t="str">
        <f t="shared" si="176"/>
        <v/>
      </c>
      <c r="F2823" s="10" t="str">
        <v/>
      </c>
      <c r="G2823" t="e">
        <f t="shared" si="178"/>
        <v>#VALUE!</v>
      </c>
      <c r="H2823" s="13" t="e">
        <f t="shared" si="179"/>
        <v>#VALUE!</v>
      </c>
    </row>
    <row r="2824" spans="2:8">
      <c r="B2824" s="11" t="str">
        <f t="shared" si="177"/>
        <v/>
      </c>
      <c r="C2824" s="11" t="str">
        <f t="shared" si="176"/>
        <v/>
      </c>
      <c r="F2824" s="10" t="str">
        <v/>
      </c>
      <c r="G2824" t="e">
        <f t="shared" si="178"/>
        <v>#VALUE!</v>
      </c>
      <c r="H2824" s="13" t="e">
        <f t="shared" si="179"/>
        <v>#VALUE!</v>
      </c>
    </row>
    <row r="2825" spans="2:8">
      <c r="B2825" s="11" t="str">
        <f t="shared" si="177"/>
        <v/>
      </c>
      <c r="C2825" s="11" t="str">
        <f t="shared" si="176"/>
        <v/>
      </c>
      <c r="F2825" s="10" t="str">
        <v/>
      </c>
      <c r="G2825" t="e">
        <f t="shared" si="178"/>
        <v>#VALUE!</v>
      </c>
      <c r="H2825" s="13" t="e">
        <f t="shared" si="179"/>
        <v>#VALUE!</v>
      </c>
    </row>
    <row r="2826" spans="2:8">
      <c r="B2826" s="11" t="str">
        <f t="shared" si="177"/>
        <v/>
      </c>
      <c r="C2826" s="11" t="str">
        <f t="shared" si="176"/>
        <v/>
      </c>
      <c r="F2826" s="10" t="str">
        <v/>
      </c>
      <c r="G2826" t="e">
        <f t="shared" si="178"/>
        <v>#VALUE!</v>
      </c>
      <c r="H2826" s="13" t="e">
        <f t="shared" si="179"/>
        <v>#VALUE!</v>
      </c>
    </row>
    <row r="2827" spans="2:8">
      <c r="B2827" s="11" t="str">
        <f t="shared" si="177"/>
        <v/>
      </c>
      <c r="C2827" s="11" t="str">
        <f t="shared" si="176"/>
        <v/>
      </c>
      <c r="F2827" s="10" t="str">
        <v/>
      </c>
      <c r="G2827" t="e">
        <f t="shared" si="178"/>
        <v>#VALUE!</v>
      </c>
      <c r="H2827" s="13" t="e">
        <f t="shared" si="179"/>
        <v>#VALUE!</v>
      </c>
    </row>
    <row r="2828" spans="2:8">
      <c r="B2828" s="11" t="str">
        <f t="shared" si="177"/>
        <v/>
      </c>
      <c r="C2828" s="11" t="str">
        <f t="shared" si="176"/>
        <v/>
      </c>
      <c r="F2828" s="10" t="str">
        <v/>
      </c>
      <c r="G2828" t="e">
        <f t="shared" si="178"/>
        <v>#VALUE!</v>
      </c>
      <c r="H2828" s="13" t="e">
        <f t="shared" si="179"/>
        <v>#VALUE!</v>
      </c>
    </row>
    <row r="2829" spans="2:8">
      <c r="B2829" s="11" t="str">
        <f t="shared" si="177"/>
        <v/>
      </c>
      <c r="C2829" s="11" t="str">
        <f t="shared" si="176"/>
        <v/>
      </c>
      <c r="F2829" s="10" t="str">
        <v/>
      </c>
      <c r="G2829" t="e">
        <f t="shared" si="178"/>
        <v>#VALUE!</v>
      </c>
      <c r="H2829" s="13" t="e">
        <f t="shared" si="179"/>
        <v>#VALUE!</v>
      </c>
    </row>
    <row r="2830" spans="2:8">
      <c r="B2830" s="11" t="str">
        <f t="shared" si="177"/>
        <v/>
      </c>
      <c r="C2830" s="11" t="str">
        <f t="shared" si="176"/>
        <v/>
      </c>
      <c r="F2830" s="10" t="str">
        <v/>
      </c>
      <c r="G2830" t="e">
        <f t="shared" si="178"/>
        <v>#VALUE!</v>
      </c>
      <c r="H2830" s="13" t="e">
        <f t="shared" si="179"/>
        <v>#VALUE!</v>
      </c>
    </row>
    <row r="2831" spans="2:8">
      <c r="B2831" s="11" t="str">
        <f t="shared" si="177"/>
        <v/>
      </c>
      <c r="C2831" s="11" t="str">
        <f t="shared" si="176"/>
        <v/>
      </c>
      <c r="F2831" s="10" t="str">
        <v/>
      </c>
      <c r="G2831" t="e">
        <f t="shared" si="178"/>
        <v>#VALUE!</v>
      </c>
      <c r="H2831" s="13" t="e">
        <f t="shared" si="179"/>
        <v>#VALUE!</v>
      </c>
    </row>
    <row r="2832" spans="2:8">
      <c r="B2832" s="11" t="str">
        <f t="shared" si="177"/>
        <v/>
      </c>
      <c r="C2832" s="11" t="str">
        <f t="shared" si="176"/>
        <v/>
      </c>
      <c r="F2832" s="10" t="str">
        <v/>
      </c>
      <c r="G2832" t="e">
        <f t="shared" si="178"/>
        <v>#VALUE!</v>
      </c>
      <c r="H2832" s="13" t="e">
        <f t="shared" si="179"/>
        <v>#VALUE!</v>
      </c>
    </row>
    <row r="2833" spans="2:8">
      <c r="B2833" s="11" t="str">
        <f t="shared" si="177"/>
        <v/>
      </c>
      <c r="C2833" s="11" t="str">
        <f t="shared" si="176"/>
        <v/>
      </c>
      <c r="F2833" s="10" t="str">
        <v/>
      </c>
      <c r="G2833" t="e">
        <f t="shared" si="178"/>
        <v>#VALUE!</v>
      </c>
      <c r="H2833" s="13" t="e">
        <f t="shared" si="179"/>
        <v>#VALUE!</v>
      </c>
    </row>
    <row r="2834" spans="2:8">
      <c r="B2834" s="11" t="str">
        <f t="shared" si="177"/>
        <v/>
      </c>
      <c r="C2834" s="11" t="str">
        <f t="shared" si="176"/>
        <v/>
      </c>
      <c r="F2834" s="10" t="str">
        <v/>
      </c>
      <c r="G2834" t="e">
        <f t="shared" si="178"/>
        <v>#VALUE!</v>
      </c>
      <c r="H2834" s="13" t="e">
        <f t="shared" si="179"/>
        <v>#VALUE!</v>
      </c>
    </row>
    <row r="2835" spans="2:8">
      <c r="B2835" s="11" t="str">
        <f t="shared" si="177"/>
        <v/>
      </c>
      <c r="C2835" s="11" t="str">
        <f t="shared" si="176"/>
        <v/>
      </c>
      <c r="F2835" s="10" t="str">
        <v/>
      </c>
      <c r="G2835" t="e">
        <f t="shared" si="178"/>
        <v>#VALUE!</v>
      </c>
      <c r="H2835" s="13" t="e">
        <f t="shared" si="179"/>
        <v>#VALUE!</v>
      </c>
    </row>
    <row r="2836" spans="2:8">
      <c r="B2836" s="11" t="str">
        <f t="shared" si="177"/>
        <v/>
      </c>
      <c r="C2836" s="11" t="str">
        <f t="shared" si="176"/>
        <v/>
      </c>
      <c r="F2836" s="10" t="str">
        <v/>
      </c>
      <c r="G2836" t="e">
        <f t="shared" si="178"/>
        <v>#VALUE!</v>
      </c>
      <c r="H2836" s="13" t="e">
        <f t="shared" si="179"/>
        <v>#VALUE!</v>
      </c>
    </row>
    <row r="2837" spans="2:8">
      <c r="B2837" s="11" t="str">
        <f t="shared" si="177"/>
        <v/>
      </c>
      <c r="C2837" s="11" t="str">
        <f t="shared" si="176"/>
        <v/>
      </c>
      <c r="F2837" s="10" t="str">
        <v/>
      </c>
      <c r="G2837" t="e">
        <f t="shared" si="178"/>
        <v>#VALUE!</v>
      </c>
      <c r="H2837" s="13" t="e">
        <f t="shared" si="179"/>
        <v>#VALUE!</v>
      </c>
    </row>
    <row r="2838" spans="2:8">
      <c r="B2838" s="11" t="str">
        <f t="shared" si="177"/>
        <v/>
      </c>
      <c r="C2838" s="11" t="str">
        <f t="shared" si="176"/>
        <v/>
      </c>
      <c r="F2838" s="10" t="str">
        <v/>
      </c>
      <c r="G2838" t="e">
        <f t="shared" si="178"/>
        <v>#VALUE!</v>
      </c>
      <c r="H2838" s="13" t="e">
        <f t="shared" si="179"/>
        <v>#VALUE!</v>
      </c>
    </row>
    <row r="2839" spans="2:8">
      <c r="B2839" s="11" t="str">
        <f t="shared" si="177"/>
        <v/>
      </c>
      <c r="C2839" s="11" t="str">
        <f t="shared" si="176"/>
        <v/>
      </c>
      <c r="F2839" s="10" t="str">
        <v/>
      </c>
      <c r="G2839" t="e">
        <f t="shared" si="178"/>
        <v>#VALUE!</v>
      </c>
      <c r="H2839" s="13" t="e">
        <f t="shared" si="179"/>
        <v>#VALUE!</v>
      </c>
    </row>
    <row r="2840" spans="2:8">
      <c r="B2840" s="11" t="str">
        <f t="shared" si="177"/>
        <v/>
      </c>
      <c r="C2840" s="11" t="str">
        <f t="shared" si="176"/>
        <v/>
      </c>
      <c r="F2840" s="10" t="str">
        <v/>
      </c>
      <c r="G2840" t="e">
        <f t="shared" si="178"/>
        <v>#VALUE!</v>
      </c>
      <c r="H2840" s="13" t="e">
        <f t="shared" si="179"/>
        <v>#VALUE!</v>
      </c>
    </row>
    <row r="2841" spans="2:8">
      <c r="B2841" s="11" t="str">
        <f t="shared" si="177"/>
        <v/>
      </c>
      <c r="C2841" s="11" t="str">
        <f t="shared" si="176"/>
        <v/>
      </c>
      <c r="F2841" s="10" t="str">
        <v/>
      </c>
      <c r="G2841" t="e">
        <f t="shared" si="178"/>
        <v>#VALUE!</v>
      </c>
      <c r="H2841" s="13" t="e">
        <f t="shared" si="179"/>
        <v>#VALUE!</v>
      </c>
    </row>
    <row r="2842" spans="2:8">
      <c r="B2842" s="11" t="str">
        <f t="shared" si="177"/>
        <v/>
      </c>
      <c r="C2842" s="11" t="str">
        <f t="shared" si="176"/>
        <v/>
      </c>
      <c r="F2842" s="10" t="str">
        <v/>
      </c>
      <c r="G2842" t="e">
        <f t="shared" si="178"/>
        <v>#VALUE!</v>
      </c>
      <c r="H2842" s="13" t="e">
        <f t="shared" si="179"/>
        <v>#VALUE!</v>
      </c>
    </row>
    <row r="2843" spans="2:8">
      <c r="B2843" s="11" t="str">
        <f t="shared" si="177"/>
        <v/>
      </c>
      <c r="C2843" s="11" t="str">
        <f t="shared" si="176"/>
        <v/>
      </c>
      <c r="F2843" s="10" t="str">
        <v/>
      </c>
      <c r="G2843" t="e">
        <f t="shared" si="178"/>
        <v>#VALUE!</v>
      </c>
      <c r="H2843" s="13" t="e">
        <f t="shared" si="179"/>
        <v>#VALUE!</v>
      </c>
    </row>
    <row r="2844" spans="2:8">
      <c r="B2844" s="11" t="str">
        <f t="shared" si="177"/>
        <v/>
      </c>
      <c r="C2844" s="11" t="str">
        <f t="shared" si="176"/>
        <v/>
      </c>
      <c r="F2844" s="10" t="str">
        <v/>
      </c>
      <c r="G2844" t="e">
        <f t="shared" si="178"/>
        <v>#VALUE!</v>
      </c>
      <c r="H2844" s="13" t="e">
        <f t="shared" si="179"/>
        <v>#VALUE!</v>
      </c>
    </row>
    <row r="2845" spans="2:8">
      <c r="B2845" s="11" t="str">
        <f t="shared" si="177"/>
        <v/>
      </c>
      <c r="C2845" s="11" t="str">
        <f t="shared" si="176"/>
        <v/>
      </c>
      <c r="F2845" s="10" t="str">
        <v/>
      </c>
      <c r="G2845" t="e">
        <f t="shared" si="178"/>
        <v>#VALUE!</v>
      </c>
      <c r="H2845" s="13" t="e">
        <f t="shared" si="179"/>
        <v>#VALUE!</v>
      </c>
    </row>
    <row r="2846" spans="2:8">
      <c r="B2846" s="11" t="str">
        <f t="shared" si="177"/>
        <v/>
      </c>
      <c r="C2846" s="11" t="str">
        <f t="shared" si="176"/>
        <v/>
      </c>
      <c r="F2846" s="10" t="str">
        <v/>
      </c>
      <c r="G2846" t="e">
        <f t="shared" si="178"/>
        <v>#VALUE!</v>
      </c>
      <c r="H2846" s="13" t="e">
        <f t="shared" si="179"/>
        <v>#VALUE!</v>
      </c>
    </row>
    <row r="2847" spans="2:8">
      <c r="B2847" s="11" t="str">
        <f t="shared" si="177"/>
        <v/>
      </c>
      <c r="C2847" s="11" t="str">
        <f t="shared" si="176"/>
        <v/>
      </c>
      <c r="F2847" s="10" t="str">
        <v/>
      </c>
      <c r="G2847" t="e">
        <f t="shared" si="178"/>
        <v>#VALUE!</v>
      </c>
      <c r="H2847" s="13" t="e">
        <f t="shared" si="179"/>
        <v>#VALUE!</v>
      </c>
    </row>
    <row r="2848" spans="2:8">
      <c r="B2848" s="11" t="str">
        <f t="shared" si="177"/>
        <v/>
      </c>
      <c r="C2848" s="11" t="str">
        <f t="shared" si="176"/>
        <v/>
      </c>
      <c r="F2848" s="10" t="str">
        <v/>
      </c>
      <c r="G2848" t="e">
        <f t="shared" si="178"/>
        <v>#VALUE!</v>
      </c>
      <c r="H2848" s="13" t="e">
        <f t="shared" si="179"/>
        <v>#VALUE!</v>
      </c>
    </row>
    <row r="2849" spans="2:8">
      <c r="B2849" s="11" t="str">
        <f t="shared" si="177"/>
        <v/>
      </c>
      <c r="C2849" s="11" t="str">
        <f t="shared" si="176"/>
        <v/>
      </c>
      <c r="F2849" s="10" t="str">
        <v/>
      </c>
      <c r="G2849" t="e">
        <f t="shared" si="178"/>
        <v>#VALUE!</v>
      </c>
      <c r="H2849" s="13" t="e">
        <f t="shared" si="179"/>
        <v>#VALUE!</v>
      </c>
    </row>
    <row r="2850" spans="2:8">
      <c r="B2850" s="11" t="str">
        <f t="shared" si="177"/>
        <v/>
      </c>
      <c r="C2850" s="11" t="str">
        <f t="shared" si="176"/>
        <v/>
      </c>
      <c r="F2850" s="10" t="str">
        <v/>
      </c>
      <c r="G2850" t="e">
        <f t="shared" si="178"/>
        <v>#VALUE!</v>
      </c>
      <c r="H2850" s="13" t="e">
        <f t="shared" si="179"/>
        <v>#VALUE!</v>
      </c>
    </row>
    <row r="2851" spans="2:8">
      <c r="B2851" s="11" t="str">
        <f t="shared" si="177"/>
        <v/>
      </c>
      <c r="C2851" s="11" t="str">
        <f t="shared" si="176"/>
        <v/>
      </c>
      <c r="F2851" s="10" t="str">
        <v/>
      </c>
      <c r="G2851" t="e">
        <f t="shared" si="178"/>
        <v>#VALUE!</v>
      </c>
      <c r="H2851" s="13" t="e">
        <f t="shared" si="179"/>
        <v>#VALUE!</v>
      </c>
    </row>
    <row r="2852" spans="2:8">
      <c r="B2852" s="11" t="str">
        <f t="shared" si="177"/>
        <v/>
      </c>
      <c r="C2852" s="11" t="str">
        <f t="shared" si="176"/>
        <v/>
      </c>
      <c r="F2852" s="10" t="str">
        <v/>
      </c>
      <c r="G2852" t="e">
        <f t="shared" si="178"/>
        <v>#VALUE!</v>
      </c>
      <c r="H2852" s="13" t="e">
        <f t="shared" si="179"/>
        <v>#VALUE!</v>
      </c>
    </row>
    <row r="2853" spans="2:8">
      <c r="B2853" s="11" t="str">
        <f t="shared" si="177"/>
        <v/>
      </c>
      <c r="C2853" s="11" t="str">
        <f t="shared" si="176"/>
        <v/>
      </c>
      <c r="F2853" s="10" t="str">
        <v/>
      </c>
      <c r="G2853" t="e">
        <f t="shared" si="178"/>
        <v>#VALUE!</v>
      </c>
      <c r="H2853" s="13" t="e">
        <f t="shared" si="179"/>
        <v>#VALUE!</v>
      </c>
    </row>
    <row r="2854" spans="2:8">
      <c r="B2854" s="11" t="str">
        <f t="shared" si="177"/>
        <v/>
      </c>
      <c r="C2854" s="11" t="str">
        <f t="shared" si="176"/>
        <v/>
      </c>
      <c r="F2854" s="10" t="str">
        <v/>
      </c>
      <c r="G2854" t="e">
        <f t="shared" si="178"/>
        <v>#VALUE!</v>
      </c>
      <c r="H2854" s="13" t="e">
        <f t="shared" si="179"/>
        <v>#VALUE!</v>
      </c>
    </row>
    <row r="2855" spans="2:8">
      <c r="B2855" s="11" t="str">
        <f t="shared" si="177"/>
        <v/>
      </c>
      <c r="C2855" s="11" t="str">
        <f t="shared" si="176"/>
        <v/>
      </c>
      <c r="F2855" s="10" t="str">
        <v/>
      </c>
      <c r="G2855" t="e">
        <f t="shared" si="178"/>
        <v>#VALUE!</v>
      </c>
      <c r="H2855" s="13" t="e">
        <f t="shared" si="179"/>
        <v>#VALUE!</v>
      </c>
    </row>
    <row r="2856" spans="2:8">
      <c r="B2856" s="11" t="str">
        <f t="shared" si="177"/>
        <v/>
      </c>
      <c r="C2856" s="11" t="str">
        <f t="shared" si="176"/>
        <v/>
      </c>
      <c r="F2856" s="10" t="str">
        <v/>
      </c>
      <c r="G2856" t="e">
        <f t="shared" si="178"/>
        <v>#VALUE!</v>
      </c>
      <c r="H2856" s="13" t="e">
        <f t="shared" si="179"/>
        <v>#VALUE!</v>
      </c>
    </row>
    <row r="2857" spans="2:8">
      <c r="B2857" s="11" t="str">
        <f t="shared" si="177"/>
        <v/>
      </c>
      <c r="C2857" s="11" t="str">
        <f t="shared" ref="C2857:C2920" si="180">IF(B2857="артикул",A2857,"")</f>
        <v/>
      </c>
      <c r="F2857" s="10" t="str">
        <v/>
      </c>
      <c r="G2857" t="e">
        <f t="shared" si="178"/>
        <v>#VALUE!</v>
      </c>
      <c r="H2857" s="13" t="e">
        <f t="shared" si="179"/>
        <v>#VALUE!</v>
      </c>
    </row>
    <row r="2858" spans="2:8">
      <c r="B2858" s="11" t="str">
        <f t="shared" si="177"/>
        <v/>
      </c>
      <c r="C2858" s="11" t="str">
        <f t="shared" si="180"/>
        <v/>
      </c>
      <c r="F2858" s="10" t="str">
        <v/>
      </c>
      <c r="G2858" t="e">
        <f t="shared" si="178"/>
        <v>#VALUE!</v>
      </c>
      <c r="H2858" s="13" t="e">
        <f t="shared" si="179"/>
        <v>#VALUE!</v>
      </c>
    </row>
    <row r="2859" spans="2:8">
      <c r="B2859" s="11" t="str">
        <f t="shared" si="177"/>
        <v/>
      </c>
      <c r="C2859" s="11" t="str">
        <f t="shared" si="180"/>
        <v/>
      </c>
      <c r="F2859" s="10" t="str">
        <v/>
      </c>
      <c r="G2859" t="e">
        <f t="shared" si="178"/>
        <v>#VALUE!</v>
      </c>
      <c r="H2859" s="13" t="e">
        <f t="shared" si="179"/>
        <v>#VALUE!</v>
      </c>
    </row>
    <row r="2860" spans="2:8">
      <c r="B2860" s="11" t="str">
        <f t="shared" si="177"/>
        <v/>
      </c>
      <c r="C2860" s="11" t="str">
        <f t="shared" si="180"/>
        <v/>
      </c>
      <c r="F2860" s="10" t="str">
        <v/>
      </c>
      <c r="G2860" t="e">
        <f t="shared" si="178"/>
        <v>#VALUE!</v>
      </c>
      <c r="H2860" s="13" t="e">
        <f t="shared" si="179"/>
        <v>#VALUE!</v>
      </c>
    </row>
    <row r="2861" spans="2:8">
      <c r="B2861" s="11" t="str">
        <f t="shared" si="177"/>
        <v/>
      </c>
      <c r="C2861" s="11" t="str">
        <f t="shared" si="180"/>
        <v/>
      </c>
      <c r="F2861" s="10" t="str">
        <v/>
      </c>
      <c r="G2861" t="e">
        <f t="shared" si="178"/>
        <v>#VALUE!</v>
      </c>
      <c r="H2861" s="13" t="e">
        <f t="shared" si="179"/>
        <v>#VALUE!</v>
      </c>
    </row>
    <row r="2862" spans="2:8">
      <c r="B2862" s="11" t="str">
        <f t="shared" si="177"/>
        <v/>
      </c>
      <c r="C2862" s="11" t="str">
        <f t="shared" si="180"/>
        <v/>
      </c>
      <c r="F2862" s="10" t="str">
        <v/>
      </c>
      <c r="G2862" t="e">
        <f t="shared" si="178"/>
        <v>#VALUE!</v>
      </c>
      <c r="H2862" s="13" t="e">
        <f t="shared" si="179"/>
        <v>#VALUE!</v>
      </c>
    </row>
    <row r="2863" spans="2:8">
      <c r="B2863" s="11" t="str">
        <f t="shared" si="177"/>
        <v/>
      </c>
      <c r="C2863" s="11" t="str">
        <f t="shared" si="180"/>
        <v/>
      </c>
      <c r="F2863" s="10" t="str">
        <v/>
      </c>
      <c r="G2863" t="e">
        <f t="shared" si="178"/>
        <v>#VALUE!</v>
      </c>
      <c r="H2863" s="13" t="e">
        <f t="shared" si="179"/>
        <v>#VALUE!</v>
      </c>
    </row>
    <row r="2864" spans="2:8">
      <c r="B2864" s="11" t="str">
        <f t="shared" si="177"/>
        <v/>
      </c>
      <c r="C2864" s="11" t="str">
        <f t="shared" si="180"/>
        <v/>
      </c>
      <c r="F2864" s="10" t="str">
        <v/>
      </c>
      <c r="G2864" t="e">
        <f t="shared" si="178"/>
        <v>#VALUE!</v>
      </c>
      <c r="H2864" s="13" t="e">
        <f t="shared" si="179"/>
        <v>#VALUE!</v>
      </c>
    </row>
    <row r="2865" spans="2:8">
      <c r="B2865" s="11" t="str">
        <f t="shared" si="177"/>
        <v/>
      </c>
      <c r="C2865" s="11" t="str">
        <f t="shared" si="180"/>
        <v/>
      </c>
      <c r="F2865" s="10" t="str">
        <v/>
      </c>
      <c r="G2865" t="e">
        <f t="shared" si="178"/>
        <v>#VALUE!</v>
      </c>
      <c r="H2865" s="13" t="e">
        <f t="shared" si="179"/>
        <v>#VALUE!</v>
      </c>
    </row>
    <row r="2866" spans="2:8">
      <c r="B2866" s="11" t="str">
        <f t="shared" si="177"/>
        <v/>
      </c>
      <c r="C2866" s="11" t="str">
        <f t="shared" si="180"/>
        <v/>
      </c>
      <c r="F2866" s="10" t="str">
        <v/>
      </c>
      <c r="G2866" t="e">
        <f t="shared" si="178"/>
        <v>#VALUE!</v>
      </c>
      <c r="H2866" s="13" t="e">
        <f t="shared" si="179"/>
        <v>#VALUE!</v>
      </c>
    </row>
    <row r="2867" spans="2:8">
      <c r="B2867" s="11" t="str">
        <f t="shared" si="177"/>
        <v/>
      </c>
      <c r="C2867" s="11" t="str">
        <f t="shared" si="180"/>
        <v/>
      </c>
      <c r="F2867" s="10" t="str">
        <v/>
      </c>
      <c r="G2867" t="e">
        <f t="shared" si="178"/>
        <v>#VALUE!</v>
      </c>
      <c r="H2867" s="13" t="e">
        <f t="shared" si="179"/>
        <v>#VALUE!</v>
      </c>
    </row>
    <row r="2868" spans="2:8">
      <c r="B2868" s="11" t="str">
        <f t="shared" si="177"/>
        <v/>
      </c>
      <c r="C2868" s="11" t="str">
        <f t="shared" si="180"/>
        <v/>
      </c>
      <c r="F2868" s="10" t="str">
        <v/>
      </c>
      <c r="G2868" t="e">
        <f t="shared" si="178"/>
        <v>#VALUE!</v>
      </c>
      <c r="H2868" s="13" t="e">
        <f t="shared" si="179"/>
        <v>#VALUE!</v>
      </c>
    </row>
    <row r="2869" spans="2:8">
      <c r="B2869" s="11" t="str">
        <f t="shared" si="177"/>
        <v/>
      </c>
      <c r="C2869" s="11" t="str">
        <f t="shared" si="180"/>
        <v/>
      </c>
      <c r="F2869" s="10" t="str">
        <v/>
      </c>
      <c r="G2869" t="e">
        <f t="shared" si="178"/>
        <v>#VALUE!</v>
      </c>
      <c r="H2869" s="13" t="e">
        <f t="shared" si="179"/>
        <v>#VALUE!</v>
      </c>
    </row>
    <row r="2870" spans="2:8">
      <c r="B2870" s="11" t="str">
        <f t="shared" si="177"/>
        <v/>
      </c>
      <c r="C2870" s="11" t="str">
        <f t="shared" si="180"/>
        <v/>
      </c>
      <c r="F2870" s="10" t="str">
        <v/>
      </c>
      <c r="G2870" t="e">
        <f t="shared" si="178"/>
        <v>#VALUE!</v>
      </c>
      <c r="H2870" s="13" t="e">
        <f t="shared" si="179"/>
        <v>#VALUE!</v>
      </c>
    </row>
    <row r="2871" spans="2:8">
      <c r="B2871" s="11" t="str">
        <f t="shared" si="177"/>
        <v/>
      </c>
      <c r="C2871" s="11" t="str">
        <f t="shared" si="180"/>
        <v/>
      </c>
      <c r="F2871" s="10" t="str">
        <v/>
      </c>
      <c r="G2871" t="e">
        <f t="shared" si="178"/>
        <v>#VALUE!</v>
      </c>
      <c r="H2871" s="13" t="e">
        <f t="shared" si="179"/>
        <v>#VALUE!</v>
      </c>
    </row>
    <row r="2872" spans="2:8">
      <c r="B2872" s="11" t="str">
        <f t="shared" si="177"/>
        <v/>
      </c>
      <c r="C2872" s="11" t="str">
        <f t="shared" si="180"/>
        <v/>
      </c>
      <c r="F2872" s="10" t="str">
        <v/>
      </c>
      <c r="G2872" t="e">
        <f t="shared" si="178"/>
        <v>#VALUE!</v>
      </c>
      <c r="H2872" s="13" t="e">
        <f t="shared" si="179"/>
        <v>#VALUE!</v>
      </c>
    </row>
    <row r="2873" spans="2:8">
      <c r="B2873" s="11" t="str">
        <f t="shared" si="177"/>
        <v/>
      </c>
      <c r="C2873" s="11" t="str">
        <f t="shared" si="180"/>
        <v/>
      </c>
      <c r="F2873" s="10" t="str">
        <v/>
      </c>
      <c r="G2873" t="e">
        <f t="shared" si="178"/>
        <v>#VALUE!</v>
      </c>
      <c r="H2873" s="13" t="e">
        <f t="shared" si="179"/>
        <v>#VALUE!</v>
      </c>
    </row>
    <row r="2874" spans="2:8">
      <c r="B2874" s="11" t="str">
        <f t="shared" si="177"/>
        <v/>
      </c>
      <c r="C2874" s="11" t="str">
        <f t="shared" si="180"/>
        <v/>
      </c>
      <c r="F2874" s="10" t="str">
        <v/>
      </c>
      <c r="G2874" t="e">
        <f t="shared" si="178"/>
        <v>#VALUE!</v>
      </c>
      <c r="H2874" s="13" t="e">
        <f t="shared" si="179"/>
        <v>#VALUE!</v>
      </c>
    </row>
    <row r="2875" spans="2:8">
      <c r="B2875" s="11" t="str">
        <f t="shared" si="177"/>
        <v/>
      </c>
      <c r="C2875" s="11" t="str">
        <f t="shared" si="180"/>
        <v/>
      </c>
      <c r="F2875" s="10" t="str">
        <v/>
      </c>
      <c r="G2875" t="e">
        <f t="shared" si="178"/>
        <v>#VALUE!</v>
      </c>
      <c r="H2875" s="13" t="e">
        <f t="shared" si="179"/>
        <v>#VALUE!</v>
      </c>
    </row>
    <row r="2876" spans="2:8">
      <c r="B2876" s="11" t="str">
        <f t="shared" si="177"/>
        <v/>
      </c>
      <c r="C2876" s="11" t="str">
        <f t="shared" si="180"/>
        <v/>
      </c>
      <c r="F2876" s="10" t="str">
        <v/>
      </c>
      <c r="G2876" t="e">
        <f t="shared" si="178"/>
        <v>#VALUE!</v>
      </c>
      <c r="H2876" s="13" t="e">
        <f t="shared" si="179"/>
        <v>#VALUE!</v>
      </c>
    </row>
    <row r="2877" spans="2:8">
      <c r="B2877" s="11" t="str">
        <f t="shared" si="177"/>
        <v/>
      </c>
      <c r="C2877" s="11" t="str">
        <f t="shared" si="180"/>
        <v/>
      </c>
      <c r="F2877" s="10" t="str">
        <v/>
      </c>
      <c r="G2877" t="e">
        <f t="shared" si="178"/>
        <v>#VALUE!</v>
      </c>
      <c r="H2877" s="13" t="e">
        <f t="shared" si="179"/>
        <v>#VALUE!</v>
      </c>
    </row>
    <row r="2878" spans="2:8">
      <c r="B2878" s="11" t="str">
        <f t="shared" si="177"/>
        <v/>
      </c>
      <c r="C2878" s="11" t="str">
        <f t="shared" si="180"/>
        <v/>
      </c>
      <c r="F2878" s="10" t="str">
        <v/>
      </c>
      <c r="G2878" t="e">
        <f t="shared" si="178"/>
        <v>#VALUE!</v>
      </c>
      <c r="H2878" s="13" t="e">
        <f t="shared" si="179"/>
        <v>#VALUE!</v>
      </c>
    </row>
    <row r="2879" spans="2:8">
      <c r="B2879" s="11" t="str">
        <f t="shared" si="177"/>
        <v/>
      </c>
      <c r="C2879" s="11" t="str">
        <f t="shared" si="180"/>
        <v/>
      </c>
      <c r="F2879" s="10" t="str">
        <v/>
      </c>
      <c r="G2879" t="e">
        <f t="shared" si="178"/>
        <v>#VALUE!</v>
      </c>
      <c r="H2879" s="13" t="e">
        <f t="shared" si="179"/>
        <v>#VALUE!</v>
      </c>
    </row>
    <row r="2880" spans="2:8">
      <c r="B2880" s="11" t="str">
        <f t="shared" si="177"/>
        <v/>
      </c>
      <c r="C2880" s="11" t="str">
        <f t="shared" si="180"/>
        <v/>
      </c>
      <c r="F2880" s="10" t="str">
        <v/>
      </c>
      <c r="G2880" t="e">
        <f t="shared" si="178"/>
        <v>#VALUE!</v>
      </c>
      <c r="H2880" s="13" t="e">
        <f t="shared" si="179"/>
        <v>#VALUE!</v>
      </c>
    </row>
    <row r="2881" spans="2:8">
      <c r="B2881" s="11" t="str">
        <f t="shared" ref="B2881:B2944" si="181">IFERROR(IF(FIND(" ",A2881)=6,IF(IFERROR(FIND(" PB",A2881),"")&lt;&gt;"","артикул",IF(IFERROR(FIND(" CRN",A2881),"")&lt;&gt;"","артикул","")),""),"")</f>
        <v/>
      </c>
      <c r="C2881" s="11" t="str">
        <f t="shared" si="180"/>
        <v/>
      </c>
      <c r="F2881" s="10" t="str">
        <v/>
      </c>
      <c r="G2881" t="e">
        <f t="shared" si="178"/>
        <v>#VALUE!</v>
      </c>
      <c r="H2881" s="13" t="e">
        <f t="shared" si="179"/>
        <v>#VALUE!</v>
      </c>
    </row>
    <row r="2882" spans="2:8">
      <c r="B2882" s="11" t="str">
        <f t="shared" si="181"/>
        <v/>
      </c>
      <c r="C2882" s="11" t="str">
        <f t="shared" si="180"/>
        <v/>
      </c>
      <c r="F2882" s="10" t="str">
        <v/>
      </c>
      <c r="G2882" t="e">
        <f t="shared" ref="G2882:G2945" si="182">CONCATENATE(LEFT(F2882,5),
MID(F2882,
SEARCH("\",SUBSTITUTE(F2882," ","\",LEN(F2882)-LEN(SUBSTITUTE(F2882," ",""))-4)),
SEARCH("\",SUBSTITUTE(F2882," ","\",LEN(F2882)-LEN(SUBSTITUTE(F2882," ",""))-3))-
SEARCH("\",SUBSTITUTE(F2882," ","\",LEN(F2882)-LEN(SUBSTITUTE(F2882," ",""))-4)))*1)</f>
        <v>#VALUE!</v>
      </c>
      <c r="H2882" s="13" t="e">
        <f t="shared" ref="H2882:H2945" si="183">SUBSTITUTE(
RIGHT(F2882,LEN(F2882)-
FIND("\",SUBSTITUTE(F2882," ","\",LEN(F2882)-LEN(SUBSTITUTE(F2882," ",""))))),
".","")</f>
        <v>#VALUE!</v>
      </c>
    </row>
    <row r="2883" spans="2:8">
      <c r="B2883" s="11" t="str">
        <f t="shared" si="181"/>
        <v/>
      </c>
      <c r="C2883" s="11" t="str">
        <f t="shared" si="180"/>
        <v/>
      </c>
      <c r="F2883" s="10" t="str">
        <v/>
      </c>
      <c r="G2883" t="e">
        <f t="shared" si="182"/>
        <v>#VALUE!</v>
      </c>
      <c r="H2883" s="13" t="e">
        <f t="shared" si="183"/>
        <v>#VALUE!</v>
      </c>
    </row>
    <row r="2884" spans="2:8">
      <c r="B2884" s="11" t="str">
        <f t="shared" si="181"/>
        <v/>
      </c>
      <c r="C2884" s="11" t="str">
        <f t="shared" si="180"/>
        <v/>
      </c>
      <c r="F2884" s="10" t="str">
        <v/>
      </c>
      <c r="G2884" t="e">
        <f t="shared" si="182"/>
        <v>#VALUE!</v>
      </c>
      <c r="H2884" s="13" t="e">
        <f t="shared" si="183"/>
        <v>#VALUE!</v>
      </c>
    </row>
    <row r="2885" spans="2:8">
      <c r="B2885" s="11" t="str">
        <f t="shared" si="181"/>
        <v/>
      </c>
      <c r="C2885" s="11" t="str">
        <f t="shared" si="180"/>
        <v/>
      </c>
      <c r="F2885" s="10" t="str">
        <v/>
      </c>
      <c r="G2885" t="e">
        <f t="shared" si="182"/>
        <v>#VALUE!</v>
      </c>
      <c r="H2885" s="13" t="e">
        <f t="shared" si="183"/>
        <v>#VALUE!</v>
      </c>
    </row>
    <row r="2886" spans="2:8">
      <c r="B2886" s="11" t="str">
        <f t="shared" si="181"/>
        <v/>
      </c>
      <c r="C2886" s="11" t="str">
        <f t="shared" si="180"/>
        <v/>
      </c>
      <c r="F2886" s="10" t="str">
        <v/>
      </c>
      <c r="G2886" t="e">
        <f t="shared" si="182"/>
        <v>#VALUE!</v>
      </c>
      <c r="H2886" s="13" t="e">
        <f t="shared" si="183"/>
        <v>#VALUE!</v>
      </c>
    </row>
    <row r="2887" spans="2:8">
      <c r="B2887" s="11" t="str">
        <f t="shared" si="181"/>
        <v/>
      </c>
      <c r="C2887" s="11" t="str">
        <f t="shared" si="180"/>
        <v/>
      </c>
      <c r="F2887" s="10" t="str">
        <v/>
      </c>
      <c r="G2887" t="e">
        <f t="shared" si="182"/>
        <v>#VALUE!</v>
      </c>
      <c r="H2887" s="13" t="e">
        <f t="shared" si="183"/>
        <v>#VALUE!</v>
      </c>
    </row>
    <row r="2888" spans="2:8">
      <c r="B2888" s="11" t="str">
        <f t="shared" si="181"/>
        <v/>
      </c>
      <c r="C2888" s="11" t="str">
        <f t="shared" si="180"/>
        <v/>
      </c>
      <c r="F2888" s="10" t="str">
        <v/>
      </c>
      <c r="G2888" t="e">
        <f t="shared" si="182"/>
        <v>#VALUE!</v>
      </c>
      <c r="H2888" s="13" t="e">
        <f t="shared" si="183"/>
        <v>#VALUE!</v>
      </c>
    </row>
    <row r="2889" spans="2:8">
      <c r="B2889" s="11" t="str">
        <f t="shared" si="181"/>
        <v/>
      </c>
      <c r="C2889" s="11" t="str">
        <f t="shared" si="180"/>
        <v/>
      </c>
      <c r="F2889" s="10" t="str">
        <v/>
      </c>
      <c r="G2889" t="e">
        <f t="shared" si="182"/>
        <v>#VALUE!</v>
      </c>
      <c r="H2889" s="13" t="e">
        <f t="shared" si="183"/>
        <v>#VALUE!</v>
      </c>
    </row>
    <row r="2890" spans="2:8">
      <c r="B2890" s="11" t="str">
        <f t="shared" si="181"/>
        <v/>
      </c>
      <c r="C2890" s="11" t="str">
        <f t="shared" si="180"/>
        <v/>
      </c>
      <c r="F2890" s="10" t="str">
        <v/>
      </c>
      <c r="G2890" t="e">
        <f t="shared" si="182"/>
        <v>#VALUE!</v>
      </c>
      <c r="H2890" s="13" t="e">
        <f t="shared" si="183"/>
        <v>#VALUE!</v>
      </c>
    </row>
    <row r="2891" spans="2:8">
      <c r="B2891" s="11" t="str">
        <f t="shared" si="181"/>
        <v/>
      </c>
      <c r="C2891" s="11" t="str">
        <f t="shared" si="180"/>
        <v/>
      </c>
      <c r="F2891" s="10" t="str">
        <v/>
      </c>
      <c r="G2891" t="e">
        <f t="shared" si="182"/>
        <v>#VALUE!</v>
      </c>
      <c r="H2891" s="13" t="e">
        <f t="shared" si="183"/>
        <v>#VALUE!</v>
      </c>
    </row>
    <row r="2892" spans="2:8">
      <c r="B2892" s="11" t="str">
        <f t="shared" si="181"/>
        <v/>
      </c>
      <c r="C2892" s="11" t="str">
        <f t="shared" si="180"/>
        <v/>
      </c>
      <c r="F2892" s="10" t="str">
        <v/>
      </c>
      <c r="G2892" t="e">
        <f t="shared" si="182"/>
        <v>#VALUE!</v>
      </c>
      <c r="H2892" s="13" t="e">
        <f t="shared" si="183"/>
        <v>#VALUE!</v>
      </c>
    </row>
    <row r="2893" spans="2:8">
      <c r="B2893" s="11" t="str">
        <f t="shared" si="181"/>
        <v/>
      </c>
      <c r="C2893" s="11" t="str">
        <f t="shared" si="180"/>
        <v/>
      </c>
      <c r="F2893" s="10" t="str">
        <v/>
      </c>
      <c r="G2893" t="e">
        <f t="shared" si="182"/>
        <v>#VALUE!</v>
      </c>
      <c r="H2893" s="13" t="e">
        <f t="shared" si="183"/>
        <v>#VALUE!</v>
      </c>
    </row>
    <row r="2894" spans="2:8">
      <c r="B2894" s="11" t="str">
        <f t="shared" si="181"/>
        <v/>
      </c>
      <c r="C2894" s="11" t="str">
        <f t="shared" si="180"/>
        <v/>
      </c>
      <c r="F2894" s="10" t="str">
        <v/>
      </c>
      <c r="G2894" t="e">
        <f t="shared" si="182"/>
        <v>#VALUE!</v>
      </c>
      <c r="H2894" s="13" t="e">
        <f t="shared" si="183"/>
        <v>#VALUE!</v>
      </c>
    </row>
    <row r="2895" spans="2:8">
      <c r="B2895" s="11" t="str">
        <f t="shared" si="181"/>
        <v/>
      </c>
      <c r="C2895" s="11" t="str">
        <f t="shared" si="180"/>
        <v/>
      </c>
      <c r="F2895" s="10" t="str">
        <v/>
      </c>
      <c r="G2895" t="e">
        <f t="shared" si="182"/>
        <v>#VALUE!</v>
      </c>
      <c r="H2895" s="13" t="e">
        <f t="shared" si="183"/>
        <v>#VALUE!</v>
      </c>
    </row>
    <row r="2896" spans="2:8">
      <c r="B2896" s="11" t="str">
        <f t="shared" si="181"/>
        <v/>
      </c>
      <c r="C2896" s="11" t="str">
        <f t="shared" si="180"/>
        <v/>
      </c>
      <c r="F2896" s="10" t="str">
        <v/>
      </c>
      <c r="G2896" t="e">
        <f t="shared" si="182"/>
        <v>#VALUE!</v>
      </c>
      <c r="H2896" s="13" t="e">
        <f t="shared" si="183"/>
        <v>#VALUE!</v>
      </c>
    </row>
    <row r="2897" spans="2:8">
      <c r="B2897" s="11" t="str">
        <f t="shared" si="181"/>
        <v/>
      </c>
      <c r="C2897" s="11" t="str">
        <f t="shared" si="180"/>
        <v/>
      </c>
      <c r="F2897" s="10" t="str">
        <v/>
      </c>
      <c r="G2897" t="e">
        <f t="shared" si="182"/>
        <v>#VALUE!</v>
      </c>
      <c r="H2897" s="13" t="e">
        <f t="shared" si="183"/>
        <v>#VALUE!</v>
      </c>
    </row>
    <row r="2898" spans="2:8">
      <c r="B2898" s="11" t="str">
        <f t="shared" si="181"/>
        <v/>
      </c>
      <c r="C2898" s="11" t="str">
        <f t="shared" si="180"/>
        <v/>
      </c>
      <c r="F2898" s="10" t="str">
        <v/>
      </c>
      <c r="G2898" t="e">
        <f t="shared" si="182"/>
        <v>#VALUE!</v>
      </c>
      <c r="H2898" s="13" t="e">
        <f t="shared" si="183"/>
        <v>#VALUE!</v>
      </c>
    </row>
    <row r="2899" spans="2:8">
      <c r="B2899" s="11" t="str">
        <f t="shared" si="181"/>
        <v/>
      </c>
      <c r="C2899" s="11" t="str">
        <f t="shared" si="180"/>
        <v/>
      </c>
      <c r="F2899" s="10" t="str">
        <v/>
      </c>
      <c r="G2899" t="e">
        <f t="shared" si="182"/>
        <v>#VALUE!</v>
      </c>
      <c r="H2899" s="13" t="e">
        <f t="shared" si="183"/>
        <v>#VALUE!</v>
      </c>
    </row>
    <row r="2900" spans="2:8">
      <c r="B2900" s="11" t="str">
        <f t="shared" si="181"/>
        <v/>
      </c>
      <c r="C2900" s="11" t="str">
        <f t="shared" si="180"/>
        <v/>
      </c>
      <c r="F2900" s="10" t="str">
        <v/>
      </c>
      <c r="G2900" t="e">
        <f t="shared" si="182"/>
        <v>#VALUE!</v>
      </c>
      <c r="H2900" s="13" t="e">
        <f t="shared" si="183"/>
        <v>#VALUE!</v>
      </c>
    </row>
    <row r="2901" spans="2:8">
      <c r="B2901" s="11" t="str">
        <f t="shared" si="181"/>
        <v/>
      </c>
      <c r="C2901" s="11" t="str">
        <f t="shared" si="180"/>
        <v/>
      </c>
      <c r="F2901" s="10" t="str">
        <v/>
      </c>
      <c r="G2901" t="e">
        <f t="shared" si="182"/>
        <v>#VALUE!</v>
      </c>
      <c r="H2901" s="13" t="e">
        <f t="shared" si="183"/>
        <v>#VALUE!</v>
      </c>
    </row>
    <row r="2902" spans="2:8">
      <c r="B2902" s="11" t="str">
        <f t="shared" si="181"/>
        <v/>
      </c>
      <c r="C2902" s="11" t="str">
        <f t="shared" si="180"/>
        <v/>
      </c>
      <c r="F2902" s="10" t="str">
        <v/>
      </c>
      <c r="G2902" t="e">
        <f t="shared" si="182"/>
        <v>#VALUE!</v>
      </c>
      <c r="H2902" s="13" t="e">
        <f t="shared" si="183"/>
        <v>#VALUE!</v>
      </c>
    </row>
    <row r="2903" spans="2:8">
      <c r="B2903" s="11" t="str">
        <f t="shared" si="181"/>
        <v/>
      </c>
      <c r="C2903" s="11" t="str">
        <f t="shared" si="180"/>
        <v/>
      </c>
      <c r="F2903" s="10" t="str">
        <v/>
      </c>
      <c r="G2903" t="e">
        <f t="shared" si="182"/>
        <v>#VALUE!</v>
      </c>
      <c r="H2903" s="13" t="e">
        <f t="shared" si="183"/>
        <v>#VALUE!</v>
      </c>
    </row>
    <row r="2904" spans="2:8">
      <c r="B2904" s="11" t="str">
        <f t="shared" si="181"/>
        <v/>
      </c>
      <c r="C2904" s="11" t="str">
        <f t="shared" si="180"/>
        <v/>
      </c>
      <c r="F2904" s="10" t="str">
        <v/>
      </c>
      <c r="G2904" t="e">
        <f t="shared" si="182"/>
        <v>#VALUE!</v>
      </c>
      <c r="H2904" s="13" t="e">
        <f t="shared" si="183"/>
        <v>#VALUE!</v>
      </c>
    </row>
    <row r="2905" spans="2:8">
      <c r="B2905" s="11" t="str">
        <f t="shared" si="181"/>
        <v/>
      </c>
      <c r="C2905" s="11" t="str">
        <f t="shared" si="180"/>
        <v/>
      </c>
      <c r="F2905" s="10" t="str">
        <v/>
      </c>
      <c r="G2905" t="e">
        <f t="shared" si="182"/>
        <v>#VALUE!</v>
      </c>
      <c r="H2905" s="13" t="e">
        <f t="shared" si="183"/>
        <v>#VALUE!</v>
      </c>
    </row>
    <row r="2906" spans="2:8">
      <c r="B2906" s="11" t="str">
        <f t="shared" si="181"/>
        <v/>
      </c>
      <c r="C2906" s="11" t="str">
        <f t="shared" si="180"/>
        <v/>
      </c>
      <c r="F2906" s="10" t="str">
        <v/>
      </c>
      <c r="G2906" t="e">
        <f t="shared" si="182"/>
        <v>#VALUE!</v>
      </c>
      <c r="H2906" s="13" t="e">
        <f t="shared" si="183"/>
        <v>#VALUE!</v>
      </c>
    </row>
    <row r="2907" spans="2:8">
      <c r="B2907" s="11" t="str">
        <f t="shared" si="181"/>
        <v/>
      </c>
      <c r="C2907" s="11" t="str">
        <f t="shared" si="180"/>
        <v/>
      </c>
      <c r="F2907" s="10" t="str">
        <v/>
      </c>
      <c r="G2907" t="e">
        <f t="shared" si="182"/>
        <v>#VALUE!</v>
      </c>
      <c r="H2907" s="13" t="e">
        <f t="shared" si="183"/>
        <v>#VALUE!</v>
      </c>
    </row>
    <row r="2908" spans="2:8">
      <c r="B2908" s="11" t="str">
        <f t="shared" si="181"/>
        <v/>
      </c>
      <c r="C2908" s="11" t="str">
        <f t="shared" si="180"/>
        <v/>
      </c>
      <c r="F2908" s="10" t="str">
        <v/>
      </c>
      <c r="G2908" t="e">
        <f t="shared" si="182"/>
        <v>#VALUE!</v>
      </c>
      <c r="H2908" s="13" t="e">
        <f t="shared" si="183"/>
        <v>#VALUE!</v>
      </c>
    </row>
    <row r="2909" spans="2:8">
      <c r="B2909" s="11" t="str">
        <f t="shared" si="181"/>
        <v/>
      </c>
      <c r="C2909" s="11" t="str">
        <f t="shared" si="180"/>
        <v/>
      </c>
      <c r="F2909" s="10" t="str">
        <v/>
      </c>
      <c r="G2909" t="e">
        <f t="shared" si="182"/>
        <v>#VALUE!</v>
      </c>
      <c r="H2909" s="13" t="e">
        <f t="shared" si="183"/>
        <v>#VALUE!</v>
      </c>
    </row>
    <row r="2910" spans="2:8">
      <c r="B2910" s="11" t="str">
        <f t="shared" si="181"/>
        <v/>
      </c>
      <c r="C2910" s="11" t="str">
        <f t="shared" si="180"/>
        <v/>
      </c>
      <c r="F2910" s="10" t="str">
        <v/>
      </c>
      <c r="G2910" t="e">
        <f t="shared" si="182"/>
        <v>#VALUE!</v>
      </c>
      <c r="H2910" s="13" t="e">
        <f t="shared" si="183"/>
        <v>#VALUE!</v>
      </c>
    </row>
    <row r="2911" spans="2:8">
      <c r="B2911" s="11" t="str">
        <f t="shared" si="181"/>
        <v/>
      </c>
      <c r="C2911" s="11" t="str">
        <f t="shared" si="180"/>
        <v/>
      </c>
      <c r="F2911" s="10" t="str">
        <v/>
      </c>
      <c r="G2911" t="e">
        <f t="shared" si="182"/>
        <v>#VALUE!</v>
      </c>
      <c r="H2911" s="13" t="e">
        <f t="shared" si="183"/>
        <v>#VALUE!</v>
      </c>
    </row>
    <row r="2912" spans="2:8">
      <c r="B2912" s="11" t="str">
        <f t="shared" si="181"/>
        <v/>
      </c>
      <c r="C2912" s="11" t="str">
        <f t="shared" si="180"/>
        <v/>
      </c>
      <c r="F2912" s="10" t="str">
        <v/>
      </c>
      <c r="G2912" t="e">
        <f t="shared" si="182"/>
        <v>#VALUE!</v>
      </c>
      <c r="H2912" s="13" t="e">
        <f t="shared" si="183"/>
        <v>#VALUE!</v>
      </c>
    </row>
    <row r="2913" spans="2:8">
      <c r="B2913" s="11" t="str">
        <f t="shared" si="181"/>
        <v/>
      </c>
      <c r="C2913" s="11" t="str">
        <f t="shared" si="180"/>
        <v/>
      </c>
      <c r="F2913" s="10" t="str">
        <v/>
      </c>
      <c r="G2913" t="e">
        <f t="shared" si="182"/>
        <v>#VALUE!</v>
      </c>
      <c r="H2913" s="13" t="e">
        <f t="shared" si="183"/>
        <v>#VALUE!</v>
      </c>
    </row>
    <row r="2914" spans="2:8">
      <c r="B2914" s="11" t="str">
        <f t="shared" si="181"/>
        <v/>
      </c>
      <c r="C2914" s="11" t="str">
        <f t="shared" si="180"/>
        <v/>
      </c>
      <c r="F2914" s="10" t="str">
        <v/>
      </c>
      <c r="G2914" t="e">
        <f t="shared" si="182"/>
        <v>#VALUE!</v>
      </c>
      <c r="H2914" s="13" t="e">
        <f t="shared" si="183"/>
        <v>#VALUE!</v>
      </c>
    </row>
    <row r="2915" spans="2:8">
      <c r="B2915" s="11" t="str">
        <f t="shared" si="181"/>
        <v/>
      </c>
      <c r="C2915" s="11" t="str">
        <f t="shared" si="180"/>
        <v/>
      </c>
      <c r="F2915" s="10" t="str">
        <v/>
      </c>
      <c r="G2915" t="e">
        <f t="shared" si="182"/>
        <v>#VALUE!</v>
      </c>
      <c r="H2915" s="13" t="e">
        <f t="shared" si="183"/>
        <v>#VALUE!</v>
      </c>
    </row>
    <row r="2916" spans="2:8">
      <c r="B2916" s="11" t="str">
        <f t="shared" si="181"/>
        <v/>
      </c>
      <c r="C2916" s="11" t="str">
        <f t="shared" si="180"/>
        <v/>
      </c>
      <c r="F2916" s="10" t="str">
        <v/>
      </c>
      <c r="G2916" t="e">
        <f t="shared" si="182"/>
        <v>#VALUE!</v>
      </c>
      <c r="H2916" s="13" t="e">
        <f t="shared" si="183"/>
        <v>#VALUE!</v>
      </c>
    </row>
    <row r="2917" spans="2:8">
      <c r="B2917" s="11" t="str">
        <f t="shared" si="181"/>
        <v/>
      </c>
      <c r="C2917" s="11" t="str">
        <f t="shared" si="180"/>
        <v/>
      </c>
      <c r="F2917" s="10" t="str">
        <v/>
      </c>
      <c r="G2917" t="e">
        <f t="shared" si="182"/>
        <v>#VALUE!</v>
      </c>
      <c r="H2917" s="13" t="e">
        <f t="shared" si="183"/>
        <v>#VALUE!</v>
      </c>
    </row>
    <row r="2918" spans="2:8">
      <c r="B2918" s="11" t="str">
        <f t="shared" si="181"/>
        <v/>
      </c>
      <c r="C2918" s="11" t="str">
        <f t="shared" si="180"/>
        <v/>
      </c>
      <c r="F2918" s="10" t="str">
        <v/>
      </c>
      <c r="G2918" t="e">
        <f t="shared" si="182"/>
        <v>#VALUE!</v>
      </c>
      <c r="H2918" s="13" t="e">
        <f t="shared" si="183"/>
        <v>#VALUE!</v>
      </c>
    </row>
    <row r="2919" spans="2:8">
      <c r="B2919" s="11" t="str">
        <f t="shared" si="181"/>
        <v/>
      </c>
      <c r="C2919" s="11" t="str">
        <f t="shared" si="180"/>
        <v/>
      </c>
      <c r="F2919" s="10" t="str">
        <v/>
      </c>
      <c r="G2919" t="e">
        <f t="shared" si="182"/>
        <v>#VALUE!</v>
      </c>
      <c r="H2919" s="13" t="e">
        <f t="shared" si="183"/>
        <v>#VALUE!</v>
      </c>
    </row>
    <row r="2920" spans="2:8">
      <c r="B2920" s="11" t="str">
        <f t="shared" si="181"/>
        <v/>
      </c>
      <c r="C2920" s="11" t="str">
        <f t="shared" si="180"/>
        <v/>
      </c>
      <c r="F2920" s="10" t="str">
        <v/>
      </c>
      <c r="G2920" t="e">
        <f t="shared" si="182"/>
        <v>#VALUE!</v>
      </c>
      <c r="H2920" s="13" t="e">
        <f t="shared" si="183"/>
        <v>#VALUE!</v>
      </c>
    </row>
    <row r="2921" spans="2:8">
      <c r="B2921" s="11" t="str">
        <f t="shared" si="181"/>
        <v/>
      </c>
      <c r="C2921" s="11" t="str">
        <f t="shared" ref="C2921:C2984" si="184">IF(B2921="артикул",A2921,"")</f>
        <v/>
      </c>
      <c r="F2921" s="10" t="str">
        <v/>
      </c>
      <c r="G2921" t="e">
        <f t="shared" si="182"/>
        <v>#VALUE!</v>
      </c>
      <c r="H2921" s="13" t="e">
        <f t="shared" si="183"/>
        <v>#VALUE!</v>
      </c>
    </row>
    <row r="2922" spans="2:8">
      <c r="B2922" s="11" t="str">
        <f t="shared" si="181"/>
        <v/>
      </c>
      <c r="C2922" s="11" t="str">
        <f t="shared" si="184"/>
        <v/>
      </c>
      <c r="F2922" s="10" t="str">
        <v/>
      </c>
      <c r="G2922" t="e">
        <f t="shared" si="182"/>
        <v>#VALUE!</v>
      </c>
      <c r="H2922" s="13" t="e">
        <f t="shared" si="183"/>
        <v>#VALUE!</v>
      </c>
    </row>
    <row r="2923" spans="2:8">
      <c r="B2923" s="11" t="str">
        <f t="shared" si="181"/>
        <v/>
      </c>
      <c r="C2923" s="11" t="str">
        <f t="shared" si="184"/>
        <v/>
      </c>
      <c r="F2923" s="10" t="str">
        <v/>
      </c>
      <c r="G2923" t="e">
        <f t="shared" si="182"/>
        <v>#VALUE!</v>
      </c>
      <c r="H2923" s="13" t="e">
        <f t="shared" si="183"/>
        <v>#VALUE!</v>
      </c>
    </row>
    <row r="2924" spans="2:8">
      <c r="B2924" s="11" t="str">
        <f t="shared" si="181"/>
        <v/>
      </c>
      <c r="C2924" s="11" t="str">
        <f t="shared" si="184"/>
        <v/>
      </c>
      <c r="F2924" s="10" t="str">
        <v/>
      </c>
      <c r="G2924" t="e">
        <f t="shared" si="182"/>
        <v>#VALUE!</v>
      </c>
      <c r="H2924" s="13" t="e">
        <f t="shared" si="183"/>
        <v>#VALUE!</v>
      </c>
    </row>
    <row r="2925" spans="2:8">
      <c r="B2925" s="11" t="str">
        <f t="shared" si="181"/>
        <v/>
      </c>
      <c r="C2925" s="11" t="str">
        <f t="shared" si="184"/>
        <v/>
      </c>
      <c r="F2925" s="10" t="str">
        <v/>
      </c>
      <c r="G2925" t="e">
        <f t="shared" si="182"/>
        <v>#VALUE!</v>
      </c>
      <c r="H2925" s="13" t="e">
        <f t="shared" si="183"/>
        <v>#VALUE!</v>
      </c>
    </row>
    <row r="2926" spans="2:8">
      <c r="B2926" s="11" t="str">
        <f t="shared" si="181"/>
        <v/>
      </c>
      <c r="C2926" s="11" t="str">
        <f t="shared" si="184"/>
        <v/>
      </c>
      <c r="F2926" s="10" t="str">
        <v/>
      </c>
      <c r="G2926" t="e">
        <f t="shared" si="182"/>
        <v>#VALUE!</v>
      </c>
      <c r="H2926" s="13" t="e">
        <f t="shared" si="183"/>
        <v>#VALUE!</v>
      </c>
    </row>
    <row r="2927" spans="2:8">
      <c r="B2927" s="11" t="str">
        <f t="shared" si="181"/>
        <v/>
      </c>
      <c r="C2927" s="11" t="str">
        <f t="shared" si="184"/>
        <v/>
      </c>
      <c r="F2927" s="10" t="str">
        <v/>
      </c>
      <c r="G2927" t="e">
        <f t="shared" si="182"/>
        <v>#VALUE!</v>
      </c>
      <c r="H2927" s="13" t="e">
        <f t="shared" si="183"/>
        <v>#VALUE!</v>
      </c>
    </row>
    <row r="2928" spans="2:8">
      <c r="B2928" s="11" t="str">
        <f t="shared" si="181"/>
        <v/>
      </c>
      <c r="C2928" s="11" t="str">
        <f t="shared" si="184"/>
        <v/>
      </c>
      <c r="F2928" s="10" t="str">
        <v/>
      </c>
      <c r="G2928" t="e">
        <f t="shared" si="182"/>
        <v>#VALUE!</v>
      </c>
      <c r="H2928" s="13" t="e">
        <f t="shared" si="183"/>
        <v>#VALUE!</v>
      </c>
    </row>
    <row r="2929" spans="2:8">
      <c r="B2929" s="11" t="str">
        <f t="shared" si="181"/>
        <v/>
      </c>
      <c r="C2929" s="11" t="str">
        <f t="shared" si="184"/>
        <v/>
      </c>
      <c r="F2929" s="10" t="str">
        <v/>
      </c>
      <c r="G2929" t="e">
        <f t="shared" si="182"/>
        <v>#VALUE!</v>
      </c>
      <c r="H2929" s="13" t="e">
        <f t="shared" si="183"/>
        <v>#VALUE!</v>
      </c>
    </row>
    <row r="2930" spans="2:8">
      <c r="B2930" s="11" t="str">
        <f t="shared" si="181"/>
        <v/>
      </c>
      <c r="C2930" s="11" t="str">
        <f t="shared" si="184"/>
        <v/>
      </c>
      <c r="F2930" s="10" t="str">
        <v/>
      </c>
      <c r="G2930" t="e">
        <f t="shared" si="182"/>
        <v>#VALUE!</v>
      </c>
      <c r="H2930" s="13" t="e">
        <f t="shared" si="183"/>
        <v>#VALUE!</v>
      </c>
    </row>
    <row r="2931" spans="2:8">
      <c r="B2931" s="11" t="str">
        <f t="shared" si="181"/>
        <v/>
      </c>
      <c r="C2931" s="11" t="str">
        <f t="shared" si="184"/>
        <v/>
      </c>
      <c r="F2931" s="10" t="str">
        <v/>
      </c>
      <c r="G2931" t="e">
        <f t="shared" si="182"/>
        <v>#VALUE!</v>
      </c>
      <c r="H2931" s="13" t="e">
        <f t="shared" si="183"/>
        <v>#VALUE!</v>
      </c>
    </row>
    <row r="2932" spans="2:8">
      <c r="B2932" s="11" t="str">
        <f t="shared" si="181"/>
        <v/>
      </c>
      <c r="C2932" s="11" t="str">
        <f t="shared" si="184"/>
        <v/>
      </c>
      <c r="F2932" s="10" t="str">
        <v/>
      </c>
      <c r="G2932" t="e">
        <f t="shared" si="182"/>
        <v>#VALUE!</v>
      </c>
      <c r="H2932" s="13" t="e">
        <f t="shared" si="183"/>
        <v>#VALUE!</v>
      </c>
    </row>
    <row r="2933" spans="2:8">
      <c r="B2933" s="11" t="str">
        <f t="shared" si="181"/>
        <v/>
      </c>
      <c r="C2933" s="11" t="str">
        <f t="shared" si="184"/>
        <v/>
      </c>
      <c r="F2933" s="10" t="str">
        <v/>
      </c>
      <c r="G2933" t="e">
        <f t="shared" si="182"/>
        <v>#VALUE!</v>
      </c>
      <c r="H2933" s="13" t="e">
        <f t="shared" si="183"/>
        <v>#VALUE!</v>
      </c>
    </row>
    <row r="2934" spans="2:8">
      <c r="B2934" s="11" t="str">
        <f t="shared" si="181"/>
        <v/>
      </c>
      <c r="C2934" s="11" t="str">
        <f t="shared" si="184"/>
        <v/>
      </c>
      <c r="F2934" s="10" t="str">
        <v/>
      </c>
      <c r="G2934" t="e">
        <f t="shared" si="182"/>
        <v>#VALUE!</v>
      </c>
      <c r="H2934" s="13" t="e">
        <f t="shared" si="183"/>
        <v>#VALUE!</v>
      </c>
    </row>
    <row r="2935" spans="2:8">
      <c r="B2935" s="11" t="str">
        <f t="shared" si="181"/>
        <v/>
      </c>
      <c r="C2935" s="11" t="str">
        <f t="shared" si="184"/>
        <v/>
      </c>
      <c r="F2935" s="10" t="str">
        <v/>
      </c>
      <c r="G2935" t="e">
        <f t="shared" si="182"/>
        <v>#VALUE!</v>
      </c>
      <c r="H2935" s="13" t="e">
        <f t="shared" si="183"/>
        <v>#VALUE!</v>
      </c>
    </row>
    <row r="2936" spans="2:8">
      <c r="B2936" s="11" t="str">
        <f t="shared" si="181"/>
        <v/>
      </c>
      <c r="C2936" s="11" t="str">
        <f t="shared" si="184"/>
        <v/>
      </c>
      <c r="F2936" s="10" t="str">
        <v/>
      </c>
      <c r="G2936" t="e">
        <f t="shared" si="182"/>
        <v>#VALUE!</v>
      </c>
      <c r="H2936" s="13" t="e">
        <f t="shared" si="183"/>
        <v>#VALUE!</v>
      </c>
    </row>
    <row r="2937" spans="2:8">
      <c r="B2937" s="11" t="str">
        <f t="shared" si="181"/>
        <v/>
      </c>
      <c r="C2937" s="11" t="str">
        <f t="shared" si="184"/>
        <v/>
      </c>
      <c r="F2937" s="10" t="str">
        <v/>
      </c>
      <c r="G2937" t="e">
        <f t="shared" si="182"/>
        <v>#VALUE!</v>
      </c>
      <c r="H2937" s="13" t="e">
        <f t="shared" si="183"/>
        <v>#VALUE!</v>
      </c>
    </row>
    <row r="2938" spans="2:8">
      <c r="B2938" s="11" t="str">
        <f t="shared" si="181"/>
        <v/>
      </c>
      <c r="C2938" s="11" t="str">
        <f t="shared" si="184"/>
        <v/>
      </c>
      <c r="F2938" s="10" t="str">
        <v/>
      </c>
      <c r="G2938" t="e">
        <f t="shared" si="182"/>
        <v>#VALUE!</v>
      </c>
      <c r="H2938" s="13" t="e">
        <f t="shared" si="183"/>
        <v>#VALUE!</v>
      </c>
    </row>
    <row r="2939" spans="2:8">
      <c r="B2939" s="11" t="str">
        <f t="shared" si="181"/>
        <v/>
      </c>
      <c r="C2939" s="11" t="str">
        <f t="shared" si="184"/>
        <v/>
      </c>
      <c r="F2939" s="10" t="str">
        <v/>
      </c>
      <c r="G2939" t="e">
        <f t="shared" si="182"/>
        <v>#VALUE!</v>
      </c>
      <c r="H2939" s="13" t="e">
        <f t="shared" si="183"/>
        <v>#VALUE!</v>
      </c>
    </row>
    <row r="2940" spans="2:8">
      <c r="B2940" s="11" t="str">
        <f t="shared" si="181"/>
        <v/>
      </c>
      <c r="C2940" s="11" t="str">
        <f t="shared" si="184"/>
        <v/>
      </c>
      <c r="F2940" s="10" t="str">
        <v/>
      </c>
      <c r="G2940" t="e">
        <f t="shared" si="182"/>
        <v>#VALUE!</v>
      </c>
      <c r="H2940" s="13" t="e">
        <f t="shared" si="183"/>
        <v>#VALUE!</v>
      </c>
    </row>
    <row r="2941" spans="2:8">
      <c r="B2941" s="11" t="str">
        <f t="shared" si="181"/>
        <v/>
      </c>
      <c r="C2941" s="11" t="str">
        <f t="shared" si="184"/>
        <v/>
      </c>
      <c r="F2941" s="10" t="str">
        <v/>
      </c>
      <c r="G2941" t="e">
        <f t="shared" si="182"/>
        <v>#VALUE!</v>
      </c>
      <c r="H2941" s="13" t="e">
        <f t="shared" si="183"/>
        <v>#VALUE!</v>
      </c>
    </row>
    <row r="2942" spans="2:8">
      <c r="B2942" s="11" t="str">
        <f t="shared" si="181"/>
        <v/>
      </c>
      <c r="C2942" s="11" t="str">
        <f t="shared" si="184"/>
        <v/>
      </c>
      <c r="F2942" s="10" t="str">
        <v/>
      </c>
      <c r="G2942" t="e">
        <f t="shared" si="182"/>
        <v>#VALUE!</v>
      </c>
      <c r="H2942" s="13" t="e">
        <f t="shared" si="183"/>
        <v>#VALUE!</v>
      </c>
    </row>
    <row r="2943" spans="2:8">
      <c r="B2943" s="11" t="str">
        <f t="shared" si="181"/>
        <v/>
      </c>
      <c r="C2943" s="11" t="str">
        <f t="shared" si="184"/>
        <v/>
      </c>
      <c r="F2943" s="10" t="str">
        <v/>
      </c>
      <c r="G2943" t="e">
        <f t="shared" si="182"/>
        <v>#VALUE!</v>
      </c>
      <c r="H2943" s="13" t="e">
        <f t="shared" si="183"/>
        <v>#VALUE!</v>
      </c>
    </row>
    <row r="2944" spans="2:8">
      <c r="B2944" s="11" t="str">
        <f t="shared" si="181"/>
        <v/>
      </c>
      <c r="C2944" s="11" t="str">
        <f t="shared" si="184"/>
        <v/>
      </c>
      <c r="F2944" s="10" t="str">
        <v/>
      </c>
      <c r="G2944" t="e">
        <f t="shared" si="182"/>
        <v>#VALUE!</v>
      </c>
      <c r="H2944" s="13" t="e">
        <f t="shared" si="183"/>
        <v>#VALUE!</v>
      </c>
    </row>
    <row r="2945" spans="2:8">
      <c r="B2945" s="11" t="str">
        <f t="shared" ref="B2945:B3008" si="185">IFERROR(IF(FIND(" ",A2945)=6,IF(IFERROR(FIND(" PB",A2945),"")&lt;&gt;"","артикул",IF(IFERROR(FIND(" CRN",A2945),"")&lt;&gt;"","артикул","")),""),"")</f>
        <v/>
      </c>
      <c r="C2945" s="11" t="str">
        <f t="shared" si="184"/>
        <v/>
      </c>
      <c r="F2945" s="10" t="str">
        <v/>
      </c>
      <c r="G2945" t="e">
        <f t="shared" si="182"/>
        <v>#VALUE!</v>
      </c>
      <c r="H2945" s="13" t="e">
        <f t="shared" si="183"/>
        <v>#VALUE!</v>
      </c>
    </row>
    <row r="2946" spans="2:8">
      <c r="B2946" s="11" t="str">
        <f t="shared" si="185"/>
        <v/>
      </c>
      <c r="C2946" s="11" t="str">
        <f t="shared" si="184"/>
        <v/>
      </c>
      <c r="F2946" s="10" t="str">
        <v/>
      </c>
      <c r="G2946" t="e">
        <f t="shared" ref="G2946:G3009" si="186">CONCATENATE(LEFT(F2946,5),
MID(F2946,
SEARCH("\",SUBSTITUTE(F2946," ","\",LEN(F2946)-LEN(SUBSTITUTE(F2946," ",""))-4)),
SEARCH("\",SUBSTITUTE(F2946," ","\",LEN(F2946)-LEN(SUBSTITUTE(F2946," ",""))-3))-
SEARCH("\",SUBSTITUTE(F2946," ","\",LEN(F2946)-LEN(SUBSTITUTE(F2946," ",""))-4)))*1)</f>
        <v>#VALUE!</v>
      </c>
      <c r="H2946" s="13" t="e">
        <f t="shared" ref="H2946:H3009" si="187">SUBSTITUTE(
RIGHT(F2946,LEN(F2946)-
FIND("\",SUBSTITUTE(F2946," ","\",LEN(F2946)-LEN(SUBSTITUTE(F2946," ",""))))),
".","")</f>
        <v>#VALUE!</v>
      </c>
    </row>
    <row r="2947" spans="2:8">
      <c r="B2947" s="11" t="str">
        <f t="shared" si="185"/>
        <v/>
      </c>
      <c r="C2947" s="11" t="str">
        <f t="shared" si="184"/>
        <v/>
      </c>
      <c r="F2947" s="10" t="str">
        <v/>
      </c>
      <c r="G2947" t="e">
        <f t="shared" si="186"/>
        <v>#VALUE!</v>
      </c>
      <c r="H2947" s="13" t="e">
        <f t="shared" si="187"/>
        <v>#VALUE!</v>
      </c>
    </row>
    <row r="2948" spans="2:8">
      <c r="B2948" s="11" t="str">
        <f t="shared" si="185"/>
        <v/>
      </c>
      <c r="C2948" s="11" t="str">
        <f t="shared" si="184"/>
        <v/>
      </c>
      <c r="F2948" s="10" t="str">
        <v/>
      </c>
      <c r="G2948" t="e">
        <f t="shared" si="186"/>
        <v>#VALUE!</v>
      </c>
      <c r="H2948" s="13" t="e">
        <f t="shared" si="187"/>
        <v>#VALUE!</v>
      </c>
    </row>
    <row r="2949" spans="2:8">
      <c r="B2949" s="11" t="str">
        <f t="shared" si="185"/>
        <v/>
      </c>
      <c r="C2949" s="11" t="str">
        <f t="shared" si="184"/>
        <v/>
      </c>
      <c r="F2949" s="10" t="str">
        <v/>
      </c>
      <c r="G2949" t="e">
        <f t="shared" si="186"/>
        <v>#VALUE!</v>
      </c>
      <c r="H2949" s="13" t="e">
        <f t="shared" si="187"/>
        <v>#VALUE!</v>
      </c>
    </row>
    <row r="2950" spans="2:8">
      <c r="B2950" s="11" t="str">
        <f t="shared" si="185"/>
        <v/>
      </c>
      <c r="C2950" s="11" t="str">
        <f t="shared" si="184"/>
        <v/>
      </c>
      <c r="F2950" s="10" t="str">
        <v/>
      </c>
      <c r="G2950" t="e">
        <f t="shared" si="186"/>
        <v>#VALUE!</v>
      </c>
      <c r="H2950" s="13" t="e">
        <f t="shared" si="187"/>
        <v>#VALUE!</v>
      </c>
    </row>
    <row r="2951" spans="2:8">
      <c r="B2951" s="11" t="str">
        <f t="shared" si="185"/>
        <v/>
      </c>
      <c r="C2951" s="11" t="str">
        <f t="shared" si="184"/>
        <v/>
      </c>
      <c r="F2951" s="10" t="str">
        <v/>
      </c>
      <c r="G2951" t="e">
        <f t="shared" si="186"/>
        <v>#VALUE!</v>
      </c>
      <c r="H2951" s="13" t="e">
        <f t="shared" si="187"/>
        <v>#VALUE!</v>
      </c>
    </row>
    <row r="2952" spans="2:8">
      <c r="B2952" s="11" t="str">
        <f t="shared" si="185"/>
        <v/>
      </c>
      <c r="C2952" s="11" t="str">
        <f t="shared" si="184"/>
        <v/>
      </c>
      <c r="F2952" s="10" t="str">
        <v/>
      </c>
      <c r="G2952" t="e">
        <f t="shared" si="186"/>
        <v>#VALUE!</v>
      </c>
      <c r="H2952" s="13" t="e">
        <f t="shared" si="187"/>
        <v>#VALUE!</v>
      </c>
    </row>
    <row r="2953" spans="2:8">
      <c r="B2953" s="11" t="str">
        <f t="shared" si="185"/>
        <v/>
      </c>
      <c r="C2953" s="11" t="str">
        <f t="shared" si="184"/>
        <v/>
      </c>
      <c r="F2953" s="10" t="str">
        <v/>
      </c>
      <c r="G2953" t="e">
        <f t="shared" si="186"/>
        <v>#VALUE!</v>
      </c>
      <c r="H2953" s="13" t="e">
        <f t="shared" si="187"/>
        <v>#VALUE!</v>
      </c>
    </row>
    <row r="2954" spans="2:8">
      <c r="B2954" s="11" t="str">
        <f t="shared" si="185"/>
        <v/>
      </c>
      <c r="C2954" s="11" t="str">
        <f t="shared" si="184"/>
        <v/>
      </c>
      <c r="F2954" s="10" t="str">
        <v/>
      </c>
      <c r="G2954" t="e">
        <f t="shared" si="186"/>
        <v>#VALUE!</v>
      </c>
      <c r="H2954" s="13" t="e">
        <f t="shared" si="187"/>
        <v>#VALUE!</v>
      </c>
    </row>
    <row r="2955" spans="2:8">
      <c r="B2955" s="11" t="str">
        <f t="shared" si="185"/>
        <v/>
      </c>
      <c r="C2955" s="11" t="str">
        <f t="shared" si="184"/>
        <v/>
      </c>
      <c r="F2955" s="10" t="str">
        <v/>
      </c>
      <c r="G2955" t="e">
        <f t="shared" si="186"/>
        <v>#VALUE!</v>
      </c>
      <c r="H2955" s="13" t="e">
        <f t="shared" si="187"/>
        <v>#VALUE!</v>
      </c>
    </row>
    <row r="2956" spans="2:8">
      <c r="B2956" s="11" t="str">
        <f t="shared" si="185"/>
        <v/>
      </c>
      <c r="C2956" s="11" t="str">
        <f t="shared" si="184"/>
        <v/>
      </c>
      <c r="F2956" s="10" t="str">
        <v/>
      </c>
      <c r="G2956" t="e">
        <f t="shared" si="186"/>
        <v>#VALUE!</v>
      </c>
      <c r="H2956" s="13" t="e">
        <f t="shared" si="187"/>
        <v>#VALUE!</v>
      </c>
    </row>
    <row r="2957" spans="2:8">
      <c r="B2957" s="11" t="str">
        <f t="shared" si="185"/>
        <v/>
      </c>
      <c r="C2957" s="11" t="str">
        <f t="shared" si="184"/>
        <v/>
      </c>
      <c r="F2957" s="10" t="str">
        <v/>
      </c>
      <c r="G2957" t="e">
        <f t="shared" si="186"/>
        <v>#VALUE!</v>
      </c>
      <c r="H2957" s="13" t="e">
        <f t="shared" si="187"/>
        <v>#VALUE!</v>
      </c>
    </row>
    <row r="2958" spans="2:8">
      <c r="B2958" s="11" t="str">
        <f t="shared" si="185"/>
        <v/>
      </c>
      <c r="C2958" s="11" t="str">
        <f t="shared" si="184"/>
        <v/>
      </c>
      <c r="F2958" s="10" t="str">
        <v/>
      </c>
      <c r="G2958" t="e">
        <f t="shared" si="186"/>
        <v>#VALUE!</v>
      </c>
      <c r="H2958" s="13" t="e">
        <f t="shared" si="187"/>
        <v>#VALUE!</v>
      </c>
    </row>
    <row r="2959" spans="2:8">
      <c r="B2959" s="11" t="str">
        <f t="shared" si="185"/>
        <v/>
      </c>
      <c r="C2959" s="11" t="str">
        <f t="shared" si="184"/>
        <v/>
      </c>
      <c r="F2959" s="10" t="str">
        <v/>
      </c>
      <c r="G2959" t="e">
        <f t="shared" si="186"/>
        <v>#VALUE!</v>
      </c>
      <c r="H2959" s="13" t="e">
        <f t="shared" si="187"/>
        <v>#VALUE!</v>
      </c>
    </row>
    <row r="2960" spans="2:8">
      <c r="B2960" s="11" t="str">
        <f t="shared" si="185"/>
        <v/>
      </c>
      <c r="C2960" s="11" t="str">
        <f t="shared" si="184"/>
        <v/>
      </c>
      <c r="F2960" s="10" t="str">
        <v/>
      </c>
      <c r="G2960" t="e">
        <f t="shared" si="186"/>
        <v>#VALUE!</v>
      </c>
      <c r="H2960" s="13" t="e">
        <f t="shared" si="187"/>
        <v>#VALUE!</v>
      </c>
    </row>
    <row r="2961" spans="2:8">
      <c r="B2961" s="11" t="str">
        <f t="shared" si="185"/>
        <v/>
      </c>
      <c r="C2961" s="11" t="str">
        <f t="shared" si="184"/>
        <v/>
      </c>
      <c r="F2961" s="10" t="str">
        <v/>
      </c>
      <c r="G2961" t="e">
        <f t="shared" si="186"/>
        <v>#VALUE!</v>
      </c>
      <c r="H2961" s="13" t="e">
        <f t="shared" si="187"/>
        <v>#VALUE!</v>
      </c>
    </row>
    <row r="2962" spans="2:8">
      <c r="B2962" s="11" t="str">
        <f t="shared" si="185"/>
        <v/>
      </c>
      <c r="C2962" s="11" t="str">
        <f t="shared" si="184"/>
        <v/>
      </c>
      <c r="F2962" s="10" t="str">
        <v/>
      </c>
      <c r="G2962" t="e">
        <f t="shared" si="186"/>
        <v>#VALUE!</v>
      </c>
      <c r="H2962" s="13" t="e">
        <f t="shared" si="187"/>
        <v>#VALUE!</v>
      </c>
    </row>
    <row r="2963" spans="2:8">
      <c r="B2963" s="11" t="str">
        <f t="shared" si="185"/>
        <v/>
      </c>
      <c r="C2963" s="11" t="str">
        <f t="shared" si="184"/>
        <v/>
      </c>
      <c r="F2963" s="10" t="str">
        <v/>
      </c>
      <c r="G2963" t="e">
        <f t="shared" si="186"/>
        <v>#VALUE!</v>
      </c>
      <c r="H2963" s="13" t="e">
        <f t="shared" si="187"/>
        <v>#VALUE!</v>
      </c>
    </row>
    <row r="2964" spans="2:8">
      <c r="B2964" s="11" t="str">
        <f t="shared" si="185"/>
        <v/>
      </c>
      <c r="C2964" s="11" t="str">
        <f t="shared" si="184"/>
        <v/>
      </c>
      <c r="F2964" s="10" t="str">
        <v/>
      </c>
      <c r="G2964" t="e">
        <f t="shared" si="186"/>
        <v>#VALUE!</v>
      </c>
      <c r="H2964" s="13" t="e">
        <f t="shared" si="187"/>
        <v>#VALUE!</v>
      </c>
    </row>
    <row r="2965" spans="2:8">
      <c r="B2965" s="11" t="str">
        <f t="shared" si="185"/>
        <v/>
      </c>
      <c r="C2965" s="11" t="str">
        <f t="shared" si="184"/>
        <v/>
      </c>
      <c r="F2965" s="10" t="str">
        <v/>
      </c>
      <c r="G2965" t="e">
        <f t="shared" si="186"/>
        <v>#VALUE!</v>
      </c>
      <c r="H2965" s="13" t="e">
        <f t="shared" si="187"/>
        <v>#VALUE!</v>
      </c>
    </row>
    <row r="2966" spans="2:8">
      <c r="B2966" s="11" t="str">
        <f t="shared" si="185"/>
        <v/>
      </c>
      <c r="C2966" s="11" t="str">
        <f t="shared" si="184"/>
        <v/>
      </c>
      <c r="F2966" s="10" t="str">
        <v/>
      </c>
      <c r="G2966" t="e">
        <f t="shared" si="186"/>
        <v>#VALUE!</v>
      </c>
      <c r="H2966" s="13" t="e">
        <f t="shared" si="187"/>
        <v>#VALUE!</v>
      </c>
    </row>
    <row r="2967" spans="2:8">
      <c r="B2967" s="11" t="str">
        <f t="shared" si="185"/>
        <v/>
      </c>
      <c r="C2967" s="11" t="str">
        <f t="shared" si="184"/>
        <v/>
      </c>
      <c r="F2967" s="10" t="str">
        <v/>
      </c>
      <c r="G2967" t="e">
        <f t="shared" si="186"/>
        <v>#VALUE!</v>
      </c>
      <c r="H2967" s="13" t="e">
        <f t="shared" si="187"/>
        <v>#VALUE!</v>
      </c>
    </row>
    <row r="2968" spans="2:8">
      <c r="B2968" s="11" t="str">
        <f t="shared" si="185"/>
        <v/>
      </c>
      <c r="C2968" s="11" t="str">
        <f t="shared" si="184"/>
        <v/>
      </c>
      <c r="F2968" s="10" t="str">
        <v/>
      </c>
      <c r="G2968" t="e">
        <f t="shared" si="186"/>
        <v>#VALUE!</v>
      </c>
      <c r="H2968" s="13" t="e">
        <f t="shared" si="187"/>
        <v>#VALUE!</v>
      </c>
    </row>
    <row r="2969" spans="2:8">
      <c r="B2969" s="11" t="str">
        <f t="shared" si="185"/>
        <v/>
      </c>
      <c r="C2969" s="11" t="str">
        <f t="shared" si="184"/>
        <v/>
      </c>
      <c r="F2969" s="10" t="str">
        <v/>
      </c>
      <c r="G2969" t="e">
        <f t="shared" si="186"/>
        <v>#VALUE!</v>
      </c>
      <c r="H2969" s="13" t="e">
        <f t="shared" si="187"/>
        <v>#VALUE!</v>
      </c>
    </row>
    <row r="2970" spans="2:8">
      <c r="B2970" s="11" t="str">
        <f t="shared" si="185"/>
        <v/>
      </c>
      <c r="C2970" s="11" t="str">
        <f t="shared" si="184"/>
        <v/>
      </c>
      <c r="F2970" s="10" t="str">
        <v/>
      </c>
      <c r="G2970" t="e">
        <f t="shared" si="186"/>
        <v>#VALUE!</v>
      </c>
      <c r="H2970" s="13" t="e">
        <f t="shared" si="187"/>
        <v>#VALUE!</v>
      </c>
    </row>
    <row r="2971" spans="2:8">
      <c r="B2971" s="11" t="str">
        <f t="shared" si="185"/>
        <v/>
      </c>
      <c r="C2971" s="11" t="str">
        <f t="shared" si="184"/>
        <v/>
      </c>
      <c r="F2971" s="10" t="str">
        <v/>
      </c>
      <c r="G2971" t="e">
        <f t="shared" si="186"/>
        <v>#VALUE!</v>
      </c>
      <c r="H2971" s="13" t="e">
        <f t="shared" si="187"/>
        <v>#VALUE!</v>
      </c>
    </row>
    <row r="2972" spans="2:8">
      <c r="B2972" s="11" t="str">
        <f t="shared" si="185"/>
        <v/>
      </c>
      <c r="C2972" s="11" t="str">
        <f t="shared" si="184"/>
        <v/>
      </c>
      <c r="F2972" s="10" t="str">
        <v/>
      </c>
      <c r="G2972" t="e">
        <f t="shared" si="186"/>
        <v>#VALUE!</v>
      </c>
      <c r="H2972" s="13" t="e">
        <f t="shared" si="187"/>
        <v>#VALUE!</v>
      </c>
    </row>
    <row r="2973" spans="2:8">
      <c r="B2973" s="11" t="str">
        <f t="shared" si="185"/>
        <v/>
      </c>
      <c r="C2973" s="11" t="str">
        <f t="shared" si="184"/>
        <v/>
      </c>
      <c r="F2973" s="10" t="str">
        <v/>
      </c>
      <c r="G2973" t="e">
        <f t="shared" si="186"/>
        <v>#VALUE!</v>
      </c>
      <c r="H2973" s="13" t="e">
        <f t="shared" si="187"/>
        <v>#VALUE!</v>
      </c>
    </row>
    <row r="2974" spans="2:8">
      <c r="B2974" s="11" t="str">
        <f t="shared" si="185"/>
        <v/>
      </c>
      <c r="C2974" s="11" t="str">
        <f t="shared" si="184"/>
        <v/>
      </c>
      <c r="F2974" s="10" t="str">
        <v/>
      </c>
      <c r="G2974" t="e">
        <f t="shared" si="186"/>
        <v>#VALUE!</v>
      </c>
      <c r="H2974" s="13" t="e">
        <f t="shared" si="187"/>
        <v>#VALUE!</v>
      </c>
    </row>
    <row r="2975" spans="2:8">
      <c r="B2975" s="11" t="str">
        <f t="shared" si="185"/>
        <v/>
      </c>
      <c r="C2975" s="11" t="str">
        <f t="shared" si="184"/>
        <v/>
      </c>
      <c r="F2975" s="10" t="str">
        <v/>
      </c>
      <c r="G2975" t="e">
        <f t="shared" si="186"/>
        <v>#VALUE!</v>
      </c>
      <c r="H2975" s="13" t="e">
        <f t="shared" si="187"/>
        <v>#VALUE!</v>
      </c>
    </row>
    <row r="2976" spans="2:8">
      <c r="B2976" s="11" t="str">
        <f t="shared" si="185"/>
        <v/>
      </c>
      <c r="C2976" s="11" t="str">
        <f t="shared" si="184"/>
        <v/>
      </c>
      <c r="F2976" s="10" t="str">
        <v/>
      </c>
      <c r="G2976" t="e">
        <f t="shared" si="186"/>
        <v>#VALUE!</v>
      </c>
      <c r="H2976" s="13" t="e">
        <f t="shared" si="187"/>
        <v>#VALUE!</v>
      </c>
    </row>
    <row r="2977" spans="2:8">
      <c r="B2977" s="11" t="str">
        <f t="shared" si="185"/>
        <v/>
      </c>
      <c r="C2977" s="11" t="str">
        <f t="shared" si="184"/>
        <v/>
      </c>
      <c r="F2977" s="10" t="str">
        <v/>
      </c>
      <c r="G2977" t="e">
        <f t="shared" si="186"/>
        <v>#VALUE!</v>
      </c>
      <c r="H2977" s="13" t="e">
        <f t="shared" si="187"/>
        <v>#VALUE!</v>
      </c>
    </row>
    <row r="2978" spans="2:8">
      <c r="B2978" s="11" t="str">
        <f t="shared" si="185"/>
        <v/>
      </c>
      <c r="C2978" s="11" t="str">
        <f t="shared" si="184"/>
        <v/>
      </c>
      <c r="F2978" s="10" t="str">
        <v/>
      </c>
      <c r="G2978" t="e">
        <f t="shared" si="186"/>
        <v>#VALUE!</v>
      </c>
      <c r="H2978" s="13" t="e">
        <f t="shared" si="187"/>
        <v>#VALUE!</v>
      </c>
    </row>
    <row r="2979" spans="2:8">
      <c r="B2979" s="11" t="str">
        <f t="shared" si="185"/>
        <v/>
      </c>
      <c r="C2979" s="11" t="str">
        <f t="shared" si="184"/>
        <v/>
      </c>
      <c r="F2979" s="10" t="str">
        <v/>
      </c>
      <c r="G2979" t="e">
        <f t="shared" si="186"/>
        <v>#VALUE!</v>
      </c>
      <c r="H2979" s="13" t="e">
        <f t="shared" si="187"/>
        <v>#VALUE!</v>
      </c>
    </row>
    <row r="2980" spans="2:8">
      <c r="B2980" s="11" t="str">
        <f t="shared" si="185"/>
        <v/>
      </c>
      <c r="C2980" s="11" t="str">
        <f t="shared" si="184"/>
        <v/>
      </c>
      <c r="F2980" s="10" t="str">
        <v/>
      </c>
      <c r="G2980" t="e">
        <f t="shared" si="186"/>
        <v>#VALUE!</v>
      </c>
      <c r="H2980" s="13" t="e">
        <f t="shared" si="187"/>
        <v>#VALUE!</v>
      </c>
    </row>
    <row r="2981" spans="2:8">
      <c r="B2981" s="11" t="str">
        <f t="shared" si="185"/>
        <v/>
      </c>
      <c r="C2981" s="11" t="str">
        <f t="shared" si="184"/>
        <v/>
      </c>
      <c r="F2981" s="10" t="str">
        <v/>
      </c>
      <c r="G2981" t="e">
        <f t="shared" si="186"/>
        <v>#VALUE!</v>
      </c>
      <c r="H2981" s="13" t="e">
        <f t="shared" si="187"/>
        <v>#VALUE!</v>
      </c>
    </row>
    <row r="2982" spans="2:8">
      <c r="B2982" s="11" t="str">
        <f t="shared" si="185"/>
        <v/>
      </c>
      <c r="C2982" s="11" t="str">
        <f t="shared" si="184"/>
        <v/>
      </c>
      <c r="F2982" s="10" t="str">
        <v/>
      </c>
      <c r="G2982" t="e">
        <f t="shared" si="186"/>
        <v>#VALUE!</v>
      </c>
      <c r="H2982" s="13" t="e">
        <f t="shared" si="187"/>
        <v>#VALUE!</v>
      </c>
    </row>
    <row r="2983" spans="2:8">
      <c r="B2983" s="11" t="str">
        <f t="shared" si="185"/>
        <v/>
      </c>
      <c r="C2983" s="11" t="str">
        <f t="shared" si="184"/>
        <v/>
      </c>
      <c r="F2983" s="10" t="str">
        <v/>
      </c>
      <c r="G2983" t="e">
        <f t="shared" si="186"/>
        <v>#VALUE!</v>
      </c>
      <c r="H2983" s="13" t="e">
        <f t="shared" si="187"/>
        <v>#VALUE!</v>
      </c>
    </row>
    <row r="2984" spans="2:8">
      <c r="B2984" s="11" t="str">
        <f t="shared" si="185"/>
        <v/>
      </c>
      <c r="C2984" s="11" t="str">
        <f t="shared" si="184"/>
        <v/>
      </c>
      <c r="F2984" s="10" t="str">
        <v/>
      </c>
      <c r="G2984" t="e">
        <f t="shared" si="186"/>
        <v>#VALUE!</v>
      </c>
      <c r="H2984" s="13" t="e">
        <f t="shared" si="187"/>
        <v>#VALUE!</v>
      </c>
    </row>
    <row r="2985" spans="2:8">
      <c r="B2985" s="11" t="str">
        <f t="shared" si="185"/>
        <v/>
      </c>
      <c r="C2985" s="11" t="str">
        <f t="shared" ref="C2985:C3048" si="188">IF(B2985="артикул",A2985,"")</f>
        <v/>
      </c>
      <c r="F2985" s="10" t="str">
        <v/>
      </c>
      <c r="G2985" t="e">
        <f t="shared" si="186"/>
        <v>#VALUE!</v>
      </c>
      <c r="H2985" s="13" t="e">
        <f t="shared" si="187"/>
        <v>#VALUE!</v>
      </c>
    </row>
    <row r="2986" spans="2:8">
      <c r="B2986" s="11" t="str">
        <f t="shared" si="185"/>
        <v/>
      </c>
      <c r="C2986" s="11" t="str">
        <f t="shared" si="188"/>
        <v/>
      </c>
      <c r="F2986" s="10" t="str">
        <v/>
      </c>
      <c r="G2986" t="e">
        <f t="shared" si="186"/>
        <v>#VALUE!</v>
      </c>
      <c r="H2986" s="13" t="e">
        <f t="shared" si="187"/>
        <v>#VALUE!</v>
      </c>
    </row>
    <row r="2987" spans="2:8">
      <c r="B2987" s="11" t="str">
        <f t="shared" si="185"/>
        <v/>
      </c>
      <c r="C2987" s="11" t="str">
        <f t="shared" si="188"/>
        <v/>
      </c>
      <c r="F2987" s="10" t="str">
        <v/>
      </c>
      <c r="G2987" t="e">
        <f t="shared" si="186"/>
        <v>#VALUE!</v>
      </c>
      <c r="H2987" s="13" t="e">
        <f t="shared" si="187"/>
        <v>#VALUE!</v>
      </c>
    </row>
    <row r="2988" spans="2:8">
      <c r="B2988" s="11" t="str">
        <f t="shared" si="185"/>
        <v/>
      </c>
      <c r="C2988" s="11" t="str">
        <f t="shared" si="188"/>
        <v/>
      </c>
      <c r="F2988" s="10" t="str">
        <v/>
      </c>
      <c r="G2988" t="e">
        <f t="shared" si="186"/>
        <v>#VALUE!</v>
      </c>
      <c r="H2988" s="13" t="e">
        <f t="shared" si="187"/>
        <v>#VALUE!</v>
      </c>
    </row>
    <row r="2989" spans="2:8">
      <c r="B2989" s="11" t="str">
        <f t="shared" si="185"/>
        <v/>
      </c>
      <c r="C2989" s="11" t="str">
        <f t="shared" si="188"/>
        <v/>
      </c>
      <c r="F2989" s="10" t="str">
        <v/>
      </c>
      <c r="G2989" t="e">
        <f t="shared" si="186"/>
        <v>#VALUE!</v>
      </c>
      <c r="H2989" s="13" t="e">
        <f t="shared" si="187"/>
        <v>#VALUE!</v>
      </c>
    </row>
    <row r="2990" spans="2:8">
      <c r="B2990" s="11" t="str">
        <f t="shared" si="185"/>
        <v/>
      </c>
      <c r="C2990" s="11" t="str">
        <f t="shared" si="188"/>
        <v/>
      </c>
      <c r="F2990" s="10" t="str">
        <v/>
      </c>
      <c r="G2990" t="e">
        <f t="shared" si="186"/>
        <v>#VALUE!</v>
      </c>
      <c r="H2990" s="13" t="e">
        <f t="shared" si="187"/>
        <v>#VALUE!</v>
      </c>
    </row>
    <row r="2991" spans="2:8">
      <c r="B2991" s="11" t="str">
        <f t="shared" si="185"/>
        <v/>
      </c>
      <c r="C2991" s="11" t="str">
        <f t="shared" si="188"/>
        <v/>
      </c>
      <c r="F2991" s="10" t="str">
        <v/>
      </c>
      <c r="G2991" t="e">
        <f t="shared" si="186"/>
        <v>#VALUE!</v>
      </c>
      <c r="H2991" s="13" t="e">
        <f t="shared" si="187"/>
        <v>#VALUE!</v>
      </c>
    </row>
    <row r="2992" spans="2:8">
      <c r="B2992" s="11" t="str">
        <f t="shared" si="185"/>
        <v/>
      </c>
      <c r="C2992" s="11" t="str">
        <f t="shared" si="188"/>
        <v/>
      </c>
      <c r="F2992" s="10" t="str">
        <v/>
      </c>
      <c r="G2992" t="e">
        <f t="shared" si="186"/>
        <v>#VALUE!</v>
      </c>
      <c r="H2992" s="13" t="e">
        <f t="shared" si="187"/>
        <v>#VALUE!</v>
      </c>
    </row>
    <row r="2993" spans="2:8">
      <c r="B2993" s="11" t="str">
        <f t="shared" si="185"/>
        <v/>
      </c>
      <c r="C2993" s="11" t="str">
        <f t="shared" si="188"/>
        <v/>
      </c>
      <c r="F2993" s="10" t="str">
        <v/>
      </c>
      <c r="G2993" t="e">
        <f t="shared" si="186"/>
        <v>#VALUE!</v>
      </c>
      <c r="H2993" s="13" t="e">
        <f t="shared" si="187"/>
        <v>#VALUE!</v>
      </c>
    </row>
    <row r="2994" spans="2:8">
      <c r="B2994" s="11" t="str">
        <f t="shared" si="185"/>
        <v/>
      </c>
      <c r="C2994" s="11" t="str">
        <f t="shared" si="188"/>
        <v/>
      </c>
      <c r="F2994" s="10" t="str">
        <v/>
      </c>
      <c r="G2994" t="e">
        <f t="shared" si="186"/>
        <v>#VALUE!</v>
      </c>
      <c r="H2994" s="13" t="e">
        <f t="shared" si="187"/>
        <v>#VALUE!</v>
      </c>
    </row>
    <row r="2995" spans="2:8">
      <c r="B2995" s="11" t="str">
        <f t="shared" si="185"/>
        <v/>
      </c>
      <c r="C2995" s="11" t="str">
        <f t="shared" si="188"/>
        <v/>
      </c>
      <c r="F2995" s="10" t="str">
        <v/>
      </c>
      <c r="G2995" t="e">
        <f t="shared" si="186"/>
        <v>#VALUE!</v>
      </c>
      <c r="H2995" s="13" t="e">
        <f t="shared" si="187"/>
        <v>#VALUE!</v>
      </c>
    </row>
    <row r="2996" spans="2:8">
      <c r="B2996" s="11" t="str">
        <f t="shared" si="185"/>
        <v/>
      </c>
      <c r="C2996" s="11" t="str">
        <f t="shared" si="188"/>
        <v/>
      </c>
      <c r="F2996" s="10" t="str">
        <v/>
      </c>
      <c r="G2996" t="e">
        <f t="shared" si="186"/>
        <v>#VALUE!</v>
      </c>
      <c r="H2996" s="13" t="e">
        <f t="shared" si="187"/>
        <v>#VALUE!</v>
      </c>
    </row>
    <row r="2997" spans="2:8">
      <c r="B2997" s="11" t="str">
        <f t="shared" si="185"/>
        <v/>
      </c>
      <c r="C2997" s="11" t="str">
        <f t="shared" si="188"/>
        <v/>
      </c>
      <c r="F2997" s="10" t="str">
        <v/>
      </c>
      <c r="G2997" t="e">
        <f t="shared" si="186"/>
        <v>#VALUE!</v>
      </c>
      <c r="H2997" s="13" t="e">
        <f t="shared" si="187"/>
        <v>#VALUE!</v>
      </c>
    </row>
    <row r="2998" spans="2:8">
      <c r="B2998" s="11" t="str">
        <f t="shared" si="185"/>
        <v/>
      </c>
      <c r="C2998" s="11" t="str">
        <f t="shared" si="188"/>
        <v/>
      </c>
      <c r="F2998" s="10" t="str">
        <v/>
      </c>
      <c r="G2998" t="e">
        <f t="shared" si="186"/>
        <v>#VALUE!</v>
      </c>
      <c r="H2998" s="13" t="e">
        <f t="shared" si="187"/>
        <v>#VALUE!</v>
      </c>
    </row>
    <row r="2999" spans="2:8">
      <c r="B2999" s="11" t="str">
        <f t="shared" si="185"/>
        <v/>
      </c>
      <c r="C2999" s="11" t="str">
        <f t="shared" si="188"/>
        <v/>
      </c>
      <c r="F2999" s="10" t="str">
        <v/>
      </c>
      <c r="G2999" t="e">
        <f t="shared" si="186"/>
        <v>#VALUE!</v>
      </c>
      <c r="H2999" s="13" t="e">
        <f t="shared" si="187"/>
        <v>#VALUE!</v>
      </c>
    </row>
    <row r="3000" spans="2:8">
      <c r="B3000" s="11" t="str">
        <f t="shared" si="185"/>
        <v/>
      </c>
      <c r="C3000" s="11" t="str">
        <f t="shared" si="188"/>
        <v/>
      </c>
      <c r="F3000" s="10" t="str">
        <v/>
      </c>
      <c r="G3000" t="e">
        <f t="shared" si="186"/>
        <v>#VALUE!</v>
      </c>
      <c r="H3000" s="13" t="e">
        <f t="shared" si="187"/>
        <v>#VALUE!</v>
      </c>
    </row>
    <row r="3001" spans="2:8">
      <c r="B3001" s="11" t="str">
        <f t="shared" si="185"/>
        <v/>
      </c>
      <c r="C3001" s="11" t="str">
        <f t="shared" si="188"/>
        <v/>
      </c>
      <c r="F3001" s="10" t="str">
        <v/>
      </c>
      <c r="G3001" t="e">
        <f t="shared" si="186"/>
        <v>#VALUE!</v>
      </c>
      <c r="H3001" s="13" t="e">
        <f t="shared" si="187"/>
        <v>#VALUE!</v>
      </c>
    </row>
    <row r="3002" spans="2:8">
      <c r="B3002" s="11" t="str">
        <f t="shared" si="185"/>
        <v/>
      </c>
      <c r="C3002" s="11" t="str">
        <f t="shared" si="188"/>
        <v/>
      </c>
      <c r="F3002" s="10" t="str">
        <v/>
      </c>
      <c r="G3002" t="e">
        <f t="shared" si="186"/>
        <v>#VALUE!</v>
      </c>
      <c r="H3002" s="13" t="e">
        <f t="shared" si="187"/>
        <v>#VALUE!</v>
      </c>
    </row>
    <row r="3003" spans="2:8">
      <c r="B3003" s="11" t="str">
        <f t="shared" si="185"/>
        <v/>
      </c>
      <c r="C3003" s="11" t="str">
        <f t="shared" si="188"/>
        <v/>
      </c>
      <c r="F3003" s="10" t="str">
        <v/>
      </c>
      <c r="G3003" t="e">
        <f t="shared" si="186"/>
        <v>#VALUE!</v>
      </c>
      <c r="H3003" s="13" t="e">
        <f t="shared" si="187"/>
        <v>#VALUE!</v>
      </c>
    </row>
    <row r="3004" spans="2:8">
      <c r="B3004" s="11" t="str">
        <f t="shared" si="185"/>
        <v/>
      </c>
      <c r="C3004" s="11" t="str">
        <f t="shared" si="188"/>
        <v/>
      </c>
      <c r="F3004" s="10" t="str">
        <v/>
      </c>
      <c r="G3004" t="e">
        <f t="shared" si="186"/>
        <v>#VALUE!</v>
      </c>
      <c r="H3004" s="13" t="e">
        <f t="shared" si="187"/>
        <v>#VALUE!</v>
      </c>
    </row>
    <row r="3005" spans="2:8">
      <c r="B3005" s="11" t="str">
        <f t="shared" si="185"/>
        <v/>
      </c>
      <c r="C3005" s="11" t="str">
        <f t="shared" si="188"/>
        <v/>
      </c>
      <c r="F3005" s="10" t="str">
        <v/>
      </c>
      <c r="G3005" t="e">
        <f t="shared" si="186"/>
        <v>#VALUE!</v>
      </c>
      <c r="H3005" s="13" t="e">
        <f t="shared" si="187"/>
        <v>#VALUE!</v>
      </c>
    </row>
    <row r="3006" spans="2:8">
      <c r="B3006" s="11" t="str">
        <f t="shared" si="185"/>
        <v/>
      </c>
      <c r="C3006" s="11" t="str">
        <f t="shared" si="188"/>
        <v/>
      </c>
      <c r="F3006" s="10" t="str">
        <v/>
      </c>
      <c r="G3006" t="e">
        <f t="shared" si="186"/>
        <v>#VALUE!</v>
      </c>
      <c r="H3006" s="13" t="e">
        <f t="shared" si="187"/>
        <v>#VALUE!</v>
      </c>
    </row>
    <row r="3007" spans="2:8">
      <c r="B3007" s="11" t="str">
        <f t="shared" si="185"/>
        <v/>
      </c>
      <c r="C3007" s="11" t="str">
        <f t="shared" si="188"/>
        <v/>
      </c>
      <c r="F3007" s="10" t="str">
        <v/>
      </c>
      <c r="G3007" t="e">
        <f t="shared" si="186"/>
        <v>#VALUE!</v>
      </c>
      <c r="H3007" s="13" t="e">
        <f t="shared" si="187"/>
        <v>#VALUE!</v>
      </c>
    </row>
    <row r="3008" spans="2:8">
      <c r="B3008" s="11" t="str">
        <f t="shared" si="185"/>
        <v/>
      </c>
      <c r="C3008" s="11" t="str">
        <f t="shared" si="188"/>
        <v/>
      </c>
      <c r="F3008" s="10" t="str">
        <v/>
      </c>
      <c r="G3008" t="e">
        <f t="shared" si="186"/>
        <v>#VALUE!</v>
      </c>
      <c r="H3008" s="13" t="e">
        <f t="shared" si="187"/>
        <v>#VALUE!</v>
      </c>
    </row>
    <row r="3009" spans="2:8">
      <c r="B3009" s="11" t="str">
        <f t="shared" ref="B3009:B3072" si="189">IFERROR(IF(FIND(" ",A3009)=6,IF(IFERROR(FIND(" PB",A3009),"")&lt;&gt;"","артикул",IF(IFERROR(FIND(" CRN",A3009),"")&lt;&gt;"","артикул","")),""),"")</f>
        <v/>
      </c>
      <c r="C3009" s="11" t="str">
        <f t="shared" si="188"/>
        <v/>
      </c>
      <c r="F3009" s="10" t="str">
        <v/>
      </c>
      <c r="G3009" t="e">
        <f t="shared" si="186"/>
        <v>#VALUE!</v>
      </c>
      <c r="H3009" s="13" t="e">
        <f t="shared" si="187"/>
        <v>#VALUE!</v>
      </c>
    </row>
    <row r="3010" spans="2:8">
      <c r="B3010" s="11" t="str">
        <f t="shared" si="189"/>
        <v/>
      </c>
      <c r="C3010" s="11" t="str">
        <f t="shared" si="188"/>
        <v/>
      </c>
      <c r="F3010" s="10" t="str">
        <v/>
      </c>
      <c r="G3010" t="e">
        <f t="shared" ref="G3010:G3073" si="190">CONCATENATE(LEFT(F3010,5),
MID(F3010,
SEARCH("\",SUBSTITUTE(F3010," ","\",LEN(F3010)-LEN(SUBSTITUTE(F3010," ",""))-4)),
SEARCH("\",SUBSTITUTE(F3010," ","\",LEN(F3010)-LEN(SUBSTITUTE(F3010," ",""))-3))-
SEARCH("\",SUBSTITUTE(F3010," ","\",LEN(F3010)-LEN(SUBSTITUTE(F3010," ",""))-4)))*1)</f>
        <v>#VALUE!</v>
      </c>
      <c r="H3010" s="13" t="e">
        <f t="shared" ref="H3010:H3073" si="191">SUBSTITUTE(
RIGHT(F3010,LEN(F3010)-
FIND("\",SUBSTITUTE(F3010," ","\",LEN(F3010)-LEN(SUBSTITUTE(F3010," ",""))))),
".","")</f>
        <v>#VALUE!</v>
      </c>
    </row>
    <row r="3011" spans="2:8">
      <c r="B3011" s="11" t="str">
        <f t="shared" si="189"/>
        <v/>
      </c>
      <c r="C3011" s="11" t="str">
        <f t="shared" si="188"/>
        <v/>
      </c>
      <c r="F3011" s="10" t="str">
        <v/>
      </c>
      <c r="G3011" t="e">
        <f t="shared" si="190"/>
        <v>#VALUE!</v>
      </c>
      <c r="H3011" s="13" t="e">
        <f t="shared" si="191"/>
        <v>#VALUE!</v>
      </c>
    </row>
    <row r="3012" spans="2:8">
      <c r="B3012" s="11" t="str">
        <f t="shared" si="189"/>
        <v/>
      </c>
      <c r="C3012" s="11" t="str">
        <f t="shared" si="188"/>
        <v/>
      </c>
      <c r="F3012" s="10" t="str">
        <v/>
      </c>
      <c r="G3012" t="e">
        <f t="shared" si="190"/>
        <v>#VALUE!</v>
      </c>
      <c r="H3012" s="13" t="e">
        <f t="shared" si="191"/>
        <v>#VALUE!</v>
      </c>
    </row>
    <row r="3013" spans="2:8">
      <c r="B3013" s="11" t="str">
        <f t="shared" si="189"/>
        <v/>
      </c>
      <c r="C3013" s="11" t="str">
        <f t="shared" si="188"/>
        <v/>
      </c>
      <c r="F3013" s="10" t="str">
        <v/>
      </c>
      <c r="G3013" t="e">
        <f t="shared" si="190"/>
        <v>#VALUE!</v>
      </c>
      <c r="H3013" s="13" t="e">
        <f t="shared" si="191"/>
        <v>#VALUE!</v>
      </c>
    </row>
    <row r="3014" spans="2:8">
      <c r="B3014" s="11" t="str">
        <f t="shared" si="189"/>
        <v/>
      </c>
      <c r="C3014" s="11" t="str">
        <f t="shared" si="188"/>
        <v/>
      </c>
      <c r="F3014" s="10" t="str">
        <v/>
      </c>
      <c r="G3014" t="e">
        <f t="shared" si="190"/>
        <v>#VALUE!</v>
      </c>
      <c r="H3014" s="13" t="e">
        <f t="shared" si="191"/>
        <v>#VALUE!</v>
      </c>
    </row>
    <row r="3015" spans="2:8">
      <c r="B3015" s="11" t="str">
        <f t="shared" si="189"/>
        <v/>
      </c>
      <c r="C3015" s="11" t="str">
        <f t="shared" si="188"/>
        <v/>
      </c>
      <c r="F3015" s="10" t="str">
        <v/>
      </c>
      <c r="G3015" t="e">
        <f t="shared" si="190"/>
        <v>#VALUE!</v>
      </c>
      <c r="H3015" s="13" t="e">
        <f t="shared" si="191"/>
        <v>#VALUE!</v>
      </c>
    </row>
    <row r="3016" spans="2:8">
      <c r="B3016" s="11" t="str">
        <f t="shared" si="189"/>
        <v/>
      </c>
      <c r="C3016" s="11" t="str">
        <f t="shared" si="188"/>
        <v/>
      </c>
      <c r="F3016" s="10" t="str">
        <v/>
      </c>
      <c r="G3016" t="e">
        <f t="shared" si="190"/>
        <v>#VALUE!</v>
      </c>
      <c r="H3016" s="13" t="e">
        <f t="shared" si="191"/>
        <v>#VALUE!</v>
      </c>
    </row>
    <row r="3017" spans="2:8">
      <c r="B3017" s="11" t="str">
        <f t="shared" si="189"/>
        <v/>
      </c>
      <c r="C3017" s="11" t="str">
        <f t="shared" si="188"/>
        <v/>
      </c>
      <c r="F3017" s="10" t="str">
        <v/>
      </c>
      <c r="G3017" t="e">
        <f t="shared" si="190"/>
        <v>#VALUE!</v>
      </c>
      <c r="H3017" s="13" t="e">
        <f t="shared" si="191"/>
        <v>#VALUE!</v>
      </c>
    </row>
    <row r="3018" spans="2:8">
      <c r="B3018" s="11" t="str">
        <f t="shared" si="189"/>
        <v/>
      </c>
      <c r="C3018" s="11" t="str">
        <f t="shared" si="188"/>
        <v/>
      </c>
      <c r="F3018" s="10" t="str">
        <v/>
      </c>
      <c r="G3018" t="e">
        <f t="shared" si="190"/>
        <v>#VALUE!</v>
      </c>
      <c r="H3018" s="13" t="e">
        <f t="shared" si="191"/>
        <v>#VALUE!</v>
      </c>
    </row>
    <row r="3019" spans="2:8">
      <c r="B3019" s="11" t="str">
        <f t="shared" si="189"/>
        <v/>
      </c>
      <c r="C3019" s="11" t="str">
        <f t="shared" si="188"/>
        <v/>
      </c>
      <c r="F3019" s="10" t="str">
        <v/>
      </c>
      <c r="G3019" t="e">
        <f t="shared" si="190"/>
        <v>#VALUE!</v>
      </c>
      <c r="H3019" s="13" t="e">
        <f t="shared" si="191"/>
        <v>#VALUE!</v>
      </c>
    </row>
    <row r="3020" spans="2:8">
      <c r="B3020" s="11" t="str">
        <f t="shared" si="189"/>
        <v/>
      </c>
      <c r="C3020" s="11" t="str">
        <f t="shared" si="188"/>
        <v/>
      </c>
      <c r="F3020" s="10" t="str">
        <v/>
      </c>
      <c r="G3020" t="e">
        <f t="shared" si="190"/>
        <v>#VALUE!</v>
      </c>
      <c r="H3020" s="13" t="e">
        <f t="shared" si="191"/>
        <v>#VALUE!</v>
      </c>
    </row>
    <row r="3021" spans="2:8">
      <c r="B3021" s="11" t="str">
        <f t="shared" si="189"/>
        <v/>
      </c>
      <c r="C3021" s="11" t="str">
        <f t="shared" si="188"/>
        <v/>
      </c>
      <c r="F3021" s="10" t="str">
        <v/>
      </c>
      <c r="G3021" t="e">
        <f t="shared" si="190"/>
        <v>#VALUE!</v>
      </c>
      <c r="H3021" s="13" t="e">
        <f t="shared" si="191"/>
        <v>#VALUE!</v>
      </c>
    </row>
    <row r="3022" spans="2:8">
      <c r="B3022" s="11" t="str">
        <f t="shared" si="189"/>
        <v/>
      </c>
      <c r="C3022" s="11" t="str">
        <f t="shared" si="188"/>
        <v/>
      </c>
      <c r="F3022" s="10" t="str">
        <v/>
      </c>
      <c r="G3022" t="e">
        <f t="shared" si="190"/>
        <v>#VALUE!</v>
      </c>
      <c r="H3022" s="13" t="e">
        <f t="shared" si="191"/>
        <v>#VALUE!</v>
      </c>
    </row>
    <row r="3023" spans="2:8">
      <c r="B3023" s="11" t="str">
        <f t="shared" si="189"/>
        <v/>
      </c>
      <c r="C3023" s="11" t="str">
        <f t="shared" si="188"/>
        <v/>
      </c>
      <c r="F3023" s="10" t="str">
        <v/>
      </c>
      <c r="G3023" t="e">
        <f t="shared" si="190"/>
        <v>#VALUE!</v>
      </c>
      <c r="H3023" s="13" t="e">
        <f t="shared" si="191"/>
        <v>#VALUE!</v>
      </c>
    </row>
    <row r="3024" spans="2:8">
      <c r="B3024" s="11" t="str">
        <f t="shared" si="189"/>
        <v/>
      </c>
      <c r="C3024" s="11" t="str">
        <f t="shared" si="188"/>
        <v/>
      </c>
      <c r="F3024" s="10" t="str">
        <v/>
      </c>
      <c r="G3024" t="e">
        <f t="shared" si="190"/>
        <v>#VALUE!</v>
      </c>
      <c r="H3024" s="13" t="e">
        <f t="shared" si="191"/>
        <v>#VALUE!</v>
      </c>
    </row>
    <row r="3025" spans="2:8">
      <c r="B3025" s="11" t="str">
        <f t="shared" si="189"/>
        <v/>
      </c>
      <c r="C3025" s="11" t="str">
        <f t="shared" si="188"/>
        <v/>
      </c>
      <c r="F3025" s="10" t="str">
        <v/>
      </c>
      <c r="G3025" t="e">
        <f t="shared" si="190"/>
        <v>#VALUE!</v>
      </c>
      <c r="H3025" s="13" t="e">
        <f t="shared" si="191"/>
        <v>#VALUE!</v>
      </c>
    </row>
    <row r="3026" spans="2:8">
      <c r="B3026" s="11" t="str">
        <f t="shared" si="189"/>
        <v/>
      </c>
      <c r="C3026" s="11" t="str">
        <f t="shared" si="188"/>
        <v/>
      </c>
      <c r="F3026" s="10" t="str">
        <v/>
      </c>
      <c r="G3026" t="e">
        <f t="shared" si="190"/>
        <v>#VALUE!</v>
      </c>
      <c r="H3026" s="13" t="e">
        <f t="shared" si="191"/>
        <v>#VALUE!</v>
      </c>
    </row>
    <row r="3027" spans="2:8">
      <c r="B3027" s="11" t="str">
        <f t="shared" si="189"/>
        <v/>
      </c>
      <c r="C3027" s="11" t="str">
        <f t="shared" si="188"/>
        <v/>
      </c>
      <c r="F3027" s="10" t="str">
        <v/>
      </c>
      <c r="G3027" t="e">
        <f t="shared" si="190"/>
        <v>#VALUE!</v>
      </c>
      <c r="H3027" s="13" t="e">
        <f t="shared" si="191"/>
        <v>#VALUE!</v>
      </c>
    </row>
    <row r="3028" spans="2:8">
      <c r="B3028" s="11" t="str">
        <f t="shared" si="189"/>
        <v/>
      </c>
      <c r="C3028" s="11" t="str">
        <f t="shared" si="188"/>
        <v/>
      </c>
      <c r="F3028" s="10" t="str">
        <v/>
      </c>
      <c r="G3028" t="e">
        <f t="shared" si="190"/>
        <v>#VALUE!</v>
      </c>
      <c r="H3028" s="13" t="e">
        <f t="shared" si="191"/>
        <v>#VALUE!</v>
      </c>
    </row>
    <row r="3029" spans="2:8">
      <c r="B3029" s="11" t="str">
        <f t="shared" si="189"/>
        <v/>
      </c>
      <c r="C3029" s="11" t="str">
        <f t="shared" si="188"/>
        <v/>
      </c>
      <c r="F3029" s="10" t="str">
        <v/>
      </c>
      <c r="G3029" t="e">
        <f t="shared" si="190"/>
        <v>#VALUE!</v>
      </c>
      <c r="H3029" s="13" t="e">
        <f t="shared" si="191"/>
        <v>#VALUE!</v>
      </c>
    </row>
    <row r="3030" spans="2:8">
      <c r="B3030" s="11" t="str">
        <f t="shared" si="189"/>
        <v/>
      </c>
      <c r="C3030" s="11" t="str">
        <f t="shared" si="188"/>
        <v/>
      </c>
      <c r="F3030" s="10" t="str">
        <v/>
      </c>
      <c r="G3030" t="e">
        <f t="shared" si="190"/>
        <v>#VALUE!</v>
      </c>
      <c r="H3030" s="13" t="e">
        <f t="shared" si="191"/>
        <v>#VALUE!</v>
      </c>
    </row>
    <row r="3031" spans="2:8">
      <c r="B3031" s="11" t="str">
        <f t="shared" si="189"/>
        <v/>
      </c>
      <c r="C3031" s="11" t="str">
        <f t="shared" si="188"/>
        <v/>
      </c>
      <c r="F3031" s="10" t="str">
        <v/>
      </c>
      <c r="G3031" t="e">
        <f t="shared" si="190"/>
        <v>#VALUE!</v>
      </c>
      <c r="H3031" s="13" t="e">
        <f t="shared" si="191"/>
        <v>#VALUE!</v>
      </c>
    </row>
    <row r="3032" spans="2:8">
      <c r="B3032" s="11" t="str">
        <f t="shared" si="189"/>
        <v/>
      </c>
      <c r="C3032" s="11" t="str">
        <f t="shared" si="188"/>
        <v/>
      </c>
      <c r="F3032" s="10" t="str">
        <v/>
      </c>
      <c r="G3032" t="e">
        <f t="shared" si="190"/>
        <v>#VALUE!</v>
      </c>
      <c r="H3032" s="13" t="e">
        <f t="shared" si="191"/>
        <v>#VALUE!</v>
      </c>
    </row>
    <row r="3033" spans="2:8">
      <c r="B3033" s="11" t="str">
        <f t="shared" si="189"/>
        <v/>
      </c>
      <c r="C3033" s="11" t="str">
        <f t="shared" si="188"/>
        <v/>
      </c>
      <c r="F3033" s="10" t="str">
        <v/>
      </c>
      <c r="G3033" t="e">
        <f t="shared" si="190"/>
        <v>#VALUE!</v>
      </c>
      <c r="H3033" s="13" t="e">
        <f t="shared" si="191"/>
        <v>#VALUE!</v>
      </c>
    </row>
    <row r="3034" spans="2:8">
      <c r="B3034" s="11" t="str">
        <f t="shared" si="189"/>
        <v/>
      </c>
      <c r="C3034" s="11" t="str">
        <f t="shared" si="188"/>
        <v/>
      </c>
      <c r="F3034" s="10" t="str">
        <v/>
      </c>
      <c r="G3034" t="e">
        <f t="shared" si="190"/>
        <v>#VALUE!</v>
      </c>
      <c r="H3034" s="13" t="e">
        <f t="shared" si="191"/>
        <v>#VALUE!</v>
      </c>
    </row>
    <row r="3035" spans="2:8">
      <c r="B3035" s="11" t="str">
        <f t="shared" si="189"/>
        <v/>
      </c>
      <c r="C3035" s="11" t="str">
        <f t="shared" si="188"/>
        <v/>
      </c>
      <c r="F3035" s="10" t="str">
        <v/>
      </c>
      <c r="G3035" t="e">
        <f t="shared" si="190"/>
        <v>#VALUE!</v>
      </c>
      <c r="H3035" s="13" t="e">
        <f t="shared" si="191"/>
        <v>#VALUE!</v>
      </c>
    </row>
    <row r="3036" spans="2:8">
      <c r="B3036" s="11" t="str">
        <f t="shared" si="189"/>
        <v/>
      </c>
      <c r="C3036" s="11" t="str">
        <f t="shared" si="188"/>
        <v/>
      </c>
      <c r="F3036" s="10" t="str">
        <v/>
      </c>
      <c r="G3036" t="e">
        <f t="shared" si="190"/>
        <v>#VALUE!</v>
      </c>
      <c r="H3036" s="13" t="e">
        <f t="shared" si="191"/>
        <v>#VALUE!</v>
      </c>
    </row>
    <row r="3037" spans="2:8">
      <c r="B3037" s="11" t="str">
        <f t="shared" si="189"/>
        <v/>
      </c>
      <c r="C3037" s="11" t="str">
        <f t="shared" si="188"/>
        <v/>
      </c>
      <c r="F3037" s="10" t="str">
        <v/>
      </c>
      <c r="G3037" t="e">
        <f t="shared" si="190"/>
        <v>#VALUE!</v>
      </c>
      <c r="H3037" s="13" t="e">
        <f t="shared" si="191"/>
        <v>#VALUE!</v>
      </c>
    </row>
    <row r="3038" spans="2:8">
      <c r="B3038" s="11" t="str">
        <f t="shared" si="189"/>
        <v/>
      </c>
      <c r="C3038" s="11" t="str">
        <f t="shared" si="188"/>
        <v/>
      </c>
      <c r="F3038" s="10" t="str">
        <v/>
      </c>
      <c r="G3038" t="e">
        <f t="shared" si="190"/>
        <v>#VALUE!</v>
      </c>
      <c r="H3038" s="13" t="e">
        <f t="shared" si="191"/>
        <v>#VALUE!</v>
      </c>
    </row>
    <row r="3039" spans="2:8">
      <c r="B3039" s="11" t="str">
        <f t="shared" si="189"/>
        <v/>
      </c>
      <c r="C3039" s="11" t="str">
        <f t="shared" si="188"/>
        <v/>
      </c>
      <c r="F3039" s="10" t="str">
        <v/>
      </c>
      <c r="G3039" t="e">
        <f t="shared" si="190"/>
        <v>#VALUE!</v>
      </c>
      <c r="H3039" s="13" t="e">
        <f t="shared" si="191"/>
        <v>#VALUE!</v>
      </c>
    </row>
    <row r="3040" spans="2:8">
      <c r="B3040" s="11" t="str">
        <f t="shared" si="189"/>
        <v/>
      </c>
      <c r="C3040" s="11" t="str">
        <f t="shared" si="188"/>
        <v/>
      </c>
      <c r="F3040" s="10" t="str">
        <v/>
      </c>
      <c r="G3040" t="e">
        <f t="shared" si="190"/>
        <v>#VALUE!</v>
      </c>
      <c r="H3040" s="13" t="e">
        <f t="shared" si="191"/>
        <v>#VALUE!</v>
      </c>
    </row>
    <row r="3041" spans="2:8">
      <c r="B3041" s="11" t="str">
        <f t="shared" si="189"/>
        <v/>
      </c>
      <c r="C3041" s="11" t="str">
        <f t="shared" si="188"/>
        <v/>
      </c>
      <c r="F3041" s="10" t="str">
        <v/>
      </c>
      <c r="G3041" t="e">
        <f t="shared" si="190"/>
        <v>#VALUE!</v>
      </c>
      <c r="H3041" s="13" t="e">
        <f t="shared" si="191"/>
        <v>#VALUE!</v>
      </c>
    </row>
    <row r="3042" spans="2:8">
      <c r="B3042" s="11" t="str">
        <f t="shared" si="189"/>
        <v/>
      </c>
      <c r="C3042" s="11" t="str">
        <f t="shared" si="188"/>
        <v/>
      </c>
      <c r="F3042" s="10" t="str">
        <v/>
      </c>
      <c r="G3042" t="e">
        <f t="shared" si="190"/>
        <v>#VALUE!</v>
      </c>
      <c r="H3042" s="13" t="e">
        <f t="shared" si="191"/>
        <v>#VALUE!</v>
      </c>
    </row>
    <row r="3043" spans="2:8">
      <c r="B3043" s="11" t="str">
        <f t="shared" si="189"/>
        <v/>
      </c>
      <c r="C3043" s="11" t="str">
        <f t="shared" si="188"/>
        <v/>
      </c>
      <c r="F3043" s="10" t="str">
        <v/>
      </c>
      <c r="G3043" t="e">
        <f t="shared" si="190"/>
        <v>#VALUE!</v>
      </c>
      <c r="H3043" s="13" t="e">
        <f t="shared" si="191"/>
        <v>#VALUE!</v>
      </c>
    </row>
    <row r="3044" spans="2:8">
      <c r="B3044" s="11" t="str">
        <f t="shared" si="189"/>
        <v/>
      </c>
      <c r="C3044" s="11" t="str">
        <f t="shared" si="188"/>
        <v/>
      </c>
      <c r="F3044" s="10" t="str">
        <v/>
      </c>
      <c r="G3044" t="e">
        <f t="shared" si="190"/>
        <v>#VALUE!</v>
      </c>
      <c r="H3044" s="13" t="e">
        <f t="shared" si="191"/>
        <v>#VALUE!</v>
      </c>
    </row>
    <row r="3045" spans="2:8">
      <c r="B3045" s="11" t="str">
        <f t="shared" si="189"/>
        <v/>
      </c>
      <c r="C3045" s="11" t="str">
        <f t="shared" si="188"/>
        <v/>
      </c>
      <c r="F3045" s="10" t="str">
        <v/>
      </c>
      <c r="G3045" t="e">
        <f t="shared" si="190"/>
        <v>#VALUE!</v>
      </c>
      <c r="H3045" s="13" t="e">
        <f t="shared" si="191"/>
        <v>#VALUE!</v>
      </c>
    </row>
    <row r="3046" spans="2:8">
      <c r="B3046" s="11" t="str">
        <f t="shared" si="189"/>
        <v/>
      </c>
      <c r="C3046" s="11" t="str">
        <f t="shared" si="188"/>
        <v/>
      </c>
      <c r="F3046" s="10" t="str">
        <v/>
      </c>
      <c r="G3046" t="e">
        <f t="shared" si="190"/>
        <v>#VALUE!</v>
      </c>
      <c r="H3046" s="13" t="e">
        <f t="shared" si="191"/>
        <v>#VALUE!</v>
      </c>
    </row>
    <row r="3047" spans="2:8">
      <c r="B3047" s="11" t="str">
        <f t="shared" si="189"/>
        <v/>
      </c>
      <c r="C3047" s="11" t="str">
        <f t="shared" si="188"/>
        <v/>
      </c>
      <c r="F3047" s="10" t="str">
        <v/>
      </c>
      <c r="G3047" t="e">
        <f t="shared" si="190"/>
        <v>#VALUE!</v>
      </c>
      <c r="H3047" s="13" t="e">
        <f t="shared" si="191"/>
        <v>#VALUE!</v>
      </c>
    </row>
    <row r="3048" spans="2:8">
      <c r="B3048" s="11" t="str">
        <f t="shared" si="189"/>
        <v/>
      </c>
      <c r="C3048" s="11" t="str">
        <f t="shared" si="188"/>
        <v/>
      </c>
      <c r="F3048" s="10" t="str">
        <v/>
      </c>
      <c r="G3048" t="e">
        <f t="shared" si="190"/>
        <v>#VALUE!</v>
      </c>
      <c r="H3048" s="13" t="e">
        <f t="shared" si="191"/>
        <v>#VALUE!</v>
      </c>
    </row>
    <row r="3049" spans="2:8">
      <c r="B3049" s="11" t="str">
        <f t="shared" si="189"/>
        <v/>
      </c>
      <c r="C3049" s="11" t="str">
        <f t="shared" ref="C3049:C3112" si="192">IF(B3049="артикул",A3049,"")</f>
        <v/>
      </c>
      <c r="F3049" s="10" t="str">
        <v/>
      </c>
      <c r="G3049" t="e">
        <f t="shared" si="190"/>
        <v>#VALUE!</v>
      </c>
      <c r="H3049" s="13" t="e">
        <f t="shared" si="191"/>
        <v>#VALUE!</v>
      </c>
    </row>
    <row r="3050" spans="2:8">
      <c r="B3050" s="11" t="str">
        <f t="shared" si="189"/>
        <v/>
      </c>
      <c r="C3050" s="11" t="str">
        <f t="shared" si="192"/>
        <v/>
      </c>
      <c r="F3050" s="10" t="str">
        <v/>
      </c>
      <c r="G3050" t="e">
        <f t="shared" si="190"/>
        <v>#VALUE!</v>
      </c>
      <c r="H3050" s="13" t="e">
        <f t="shared" si="191"/>
        <v>#VALUE!</v>
      </c>
    </row>
    <row r="3051" spans="2:8">
      <c r="B3051" s="11" t="str">
        <f t="shared" si="189"/>
        <v/>
      </c>
      <c r="C3051" s="11" t="str">
        <f t="shared" si="192"/>
        <v/>
      </c>
      <c r="F3051" s="10" t="str">
        <v/>
      </c>
      <c r="G3051" t="e">
        <f t="shared" si="190"/>
        <v>#VALUE!</v>
      </c>
      <c r="H3051" s="13" t="e">
        <f t="shared" si="191"/>
        <v>#VALUE!</v>
      </c>
    </row>
    <row r="3052" spans="2:8">
      <c r="B3052" s="11" t="str">
        <f t="shared" si="189"/>
        <v/>
      </c>
      <c r="C3052" s="11" t="str">
        <f t="shared" si="192"/>
        <v/>
      </c>
      <c r="F3052" s="10" t="str">
        <v/>
      </c>
      <c r="G3052" t="e">
        <f t="shared" si="190"/>
        <v>#VALUE!</v>
      </c>
      <c r="H3052" s="13" t="e">
        <f t="shared" si="191"/>
        <v>#VALUE!</v>
      </c>
    </row>
    <row r="3053" spans="2:8">
      <c r="B3053" s="11" t="str">
        <f t="shared" si="189"/>
        <v/>
      </c>
      <c r="C3053" s="11" t="str">
        <f t="shared" si="192"/>
        <v/>
      </c>
      <c r="F3053" s="10" t="str">
        <v/>
      </c>
      <c r="G3053" t="e">
        <f t="shared" si="190"/>
        <v>#VALUE!</v>
      </c>
      <c r="H3053" s="13" t="e">
        <f t="shared" si="191"/>
        <v>#VALUE!</v>
      </c>
    </row>
    <row r="3054" spans="2:8">
      <c r="B3054" s="11" t="str">
        <f t="shared" si="189"/>
        <v/>
      </c>
      <c r="C3054" s="11" t="str">
        <f t="shared" si="192"/>
        <v/>
      </c>
      <c r="F3054" s="10" t="str">
        <v/>
      </c>
      <c r="G3054" t="e">
        <f t="shared" si="190"/>
        <v>#VALUE!</v>
      </c>
      <c r="H3054" s="13" t="e">
        <f t="shared" si="191"/>
        <v>#VALUE!</v>
      </c>
    </row>
    <row r="3055" spans="2:8">
      <c r="B3055" s="11" t="str">
        <f t="shared" si="189"/>
        <v/>
      </c>
      <c r="C3055" s="11" t="str">
        <f t="shared" si="192"/>
        <v/>
      </c>
      <c r="F3055" s="10" t="str">
        <v/>
      </c>
      <c r="G3055" t="e">
        <f t="shared" si="190"/>
        <v>#VALUE!</v>
      </c>
      <c r="H3055" s="13" t="e">
        <f t="shared" si="191"/>
        <v>#VALUE!</v>
      </c>
    </row>
    <row r="3056" spans="2:8">
      <c r="B3056" s="11" t="str">
        <f t="shared" si="189"/>
        <v/>
      </c>
      <c r="C3056" s="11" t="str">
        <f t="shared" si="192"/>
        <v/>
      </c>
      <c r="F3056" s="10" t="str">
        <v/>
      </c>
      <c r="G3056" t="e">
        <f t="shared" si="190"/>
        <v>#VALUE!</v>
      </c>
      <c r="H3056" s="13" t="e">
        <f t="shared" si="191"/>
        <v>#VALUE!</v>
      </c>
    </row>
    <row r="3057" spans="2:8">
      <c r="B3057" s="11" t="str">
        <f t="shared" si="189"/>
        <v/>
      </c>
      <c r="C3057" s="11" t="str">
        <f t="shared" si="192"/>
        <v/>
      </c>
      <c r="F3057" s="10" t="str">
        <v/>
      </c>
      <c r="G3057" t="e">
        <f t="shared" si="190"/>
        <v>#VALUE!</v>
      </c>
      <c r="H3057" s="13" t="e">
        <f t="shared" si="191"/>
        <v>#VALUE!</v>
      </c>
    </row>
    <row r="3058" spans="2:8">
      <c r="B3058" s="11" t="str">
        <f t="shared" si="189"/>
        <v/>
      </c>
      <c r="C3058" s="11" t="str">
        <f t="shared" si="192"/>
        <v/>
      </c>
      <c r="F3058" s="10" t="str">
        <v/>
      </c>
      <c r="G3058" t="e">
        <f t="shared" si="190"/>
        <v>#VALUE!</v>
      </c>
      <c r="H3058" s="13" t="e">
        <f t="shared" si="191"/>
        <v>#VALUE!</v>
      </c>
    </row>
    <row r="3059" spans="2:8">
      <c r="B3059" s="11" t="str">
        <f t="shared" si="189"/>
        <v/>
      </c>
      <c r="C3059" s="11" t="str">
        <f t="shared" si="192"/>
        <v/>
      </c>
      <c r="F3059" s="10" t="str">
        <v/>
      </c>
      <c r="G3059" t="e">
        <f t="shared" si="190"/>
        <v>#VALUE!</v>
      </c>
      <c r="H3059" s="13" t="e">
        <f t="shared" si="191"/>
        <v>#VALUE!</v>
      </c>
    </row>
    <row r="3060" spans="2:8">
      <c r="B3060" s="11" t="str">
        <f t="shared" si="189"/>
        <v/>
      </c>
      <c r="C3060" s="11" t="str">
        <f t="shared" si="192"/>
        <v/>
      </c>
      <c r="F3060" s="10" t="str">
        <v/>
      </c>
      <c r="G3060" t="e">
        <f t="shared" si="190"/>
        <v>#VALUE!</v>
      </c>
      <c r="H3060" s="13" t="e">
        <f t="shared" si="191"/>
        <v>#VALUE!</v>
      </c>
    </row>
    <row r="3061" spans="2:8">
      <c r="B3061" s="11" t="str">
        <f t="shared" si="189"/>
        <v/>
      </c>
      <c r="C3061" s="11" t="str">
        <f t="shared" si="192"/>
        <v/>
      </c>
      <c r="F3061" s="10" t="str">
        <v/>
      </c>
      <c r="G3061" t="e">
        <f t="shared" si="190"/>
        <v>#VALUE!</v>
      </c>
      <c r="H3061" s="13" t="e">
        <f t="shared" si="191"/>
        <v>#VALUE!</v>
      </c>
    </row>
    <row r="3062" spans="2:8">
      <c r="B3062" s="11" t="str">
        <f t="shared" si="189"/>
        <v/>
      </c>
      <c r="C3062" s="11" t="str">
        <f t="shared" si="192"/>
        <v/>
      </c>
      <c r="F3062" s="10" t="str">
        <v/>
      </c>
      <c r="G3062" t="e">
        <f t="shared" si="190"/>
        <v>#VALUE!</v>
      </c>
      <c r="H3062" s="13" t="e">
        <f t="shared" si="191"/>
        <v>#VALUE!</v>
      </c>
    </row>
    <row r="3063" spans="2:8">
      <c r="B3063" s="11" t="str">
        <f t="shared" si="189"/>
        <v/>
      </c>
      <c r="C3063" s="11" t="str">
        <f t="shared" si="192"/>
        <v/>
      </c>
      <c r="F3063" s="10" t="str">
        <v/>
      </c>
      <c r="G3063" t="e">
        <f t="shared" si="190"/>
        <v>#VALUE!</v>
      </c>
      <c r="H3063" s="13" t="e">
        <f t="shared" si="191"/>
        <v>#VALUE!</v>
      </c>
    </row>
    <row r="3064" spans="2:8">
      <c r="B3064" s="11" t="str">
        <f t="shared" si="189"/>
        <v/>
      </c>
      <c r="C3064" s="11" t="str">
        <f t="shared" si="192"/>
        <v/>
      </c>
      <c r="F3064" s="10" t="str">
        <v/>
      </c>
      <c r="G3064" t="e">
        <f t="shared" si="190"/>
        <v>#VALUE!</v>
      </c>
      <c r="H3064" s="13" t="e">
        <f t="shared" si="191"/>
        <v>#VALUE!</v>
      </c>
    </row>
    <row r="3065" spans="2:8">
      <c r="B3065" s="11" t="str">
        <f t="shared" si="189"/>
        <v/>
      </c>
      <c r="C3065" s="11" t="str">
        <f t="shared" si="192"/>
        <v/>
      </c>
      <c r="F3065" s="10" t="str">
        <v/>
      </c>
      <c r="G3065" t="e">
        <f t="shared" si="190"/>
        <v>#VALUE!</v>
      </c>
      <c r="H3065" s="13" t="e">
        <f t="shared" si="191"/>
        <v>#VALUE!</v>
      </c>
    </row>
    <row r="3066" spans="2:8">
      <c r="B3066" s="11" t="str">
        <f t="shared" si="189"/>
        <v/>
      </c>
      <c r="C3066" s="11" t="str">
        <f t="shared" si="192"/>
        <v/>
      </c>
      <c r="F3066" s="10" t="str">
        <v/>
      </c>
      <c r="G3066" t="e">
        <f t="shared" si="190"/>
        <v>#VALUE!</v>
      </c>
      <c r="H3066" s="13" t="e">
        <f t="shared" si="191"/>
        <v>#VALUE!</v>
      </c>
    </row>
    <row r="3067" spans="2:8">
      <c r="B3067" s="11" t="str">
        <f t="shared" si="189"/>
        <v/>
      </c>
      <c r="C3067" s="11" t="str">
        <f t="shared" si="192"/>
        <v/>
      </c>
      <c r="F3067" s="10" t="str">
        <v/>
      </c>
      <c r="G3067" t="e">
        <f t="shared" si="190"/>
        <v>#VALUE!</v>
      </c>
      <c r="H3067" s="13" t="e">
        <f t="shared" si="191"/>
        <v>#VALUE!</v>
      </c>
    </row>
    <row r="3068" spans="2:8">
      <c r="B3068" s="11" t="str">
        <f t="shared" si="189"/>
        <v/>
      </c>
      <c r="C3068" s="11" t="str">
        <f t="shared" si="192"/>
        <v/>
      </c>
      <c r="F3068" s="10" t="str">
        <v/>
      </c>
      <c r="G3068" t="e">
        <f t="shared" si="190"/>
        <v>#VALUE!</v>
      </c>
      <c r="H3068" s="13" t="e">
        <f t="shared" si="191"/>
        <v>#VALUE!</v>
      </c>
    </row>
    <row r="3069" spans="2:8">
      <c r="B3069" s="11" t="str">
        <f t="shared" si="189"/>
        <v/>
      </c>
      <c r="C3069" s="11" t="str">
        <f t="shared" si="192"/>
        <v/>
      </c>
      <c r="F3069" s="10" t="str">
        <v/>
      </c>
      <c r="G3069" t="e">
        <f t="shared" si="190"/>
        <v>#VALUE!</v>
      </c>
      <c r="H3069" s="13" t="e">
        <f t="shared" si="191"/>
        <v>#VALUE!</v>
      </c>
    </row>
    <row r="3070" spans="2:8">
      <c r="B3070" s="11" t="str">
        <f t="shared" si="189"/>
        <v/>
      </c>
      <c r="C3070" s="11" t="str">
        <f t="shared" si="192"/>
        <v/>
      </c>
      <c r="F3070" s="10" t="str">
        <v/>
      </c>
      <c r="G3070" t="e">
        <f t="shared" si="190"/>
        <v>#VALUE!</v>
      </c>
      <c r="H3070" s="13" t="e">
        <f t="shared" si="191"/>
        <v>#VALUE!</v>
      </c>
    </row>
    <row r="3071" spans="2:8">
      <c r="B3071" s="11" t="str">
        <f t="shared" si="189"/>
        <v/>
      </c>
      <c r="C3071" s="11" t="str">
        <f t="shared" si="192"/>
        <v/>
      </c>
      <c r="F3071" s="10" t="str">
        <v/>
      </c>
      <c r="G3071" t="e">
        <f t="shared" si="190"/>
        <v>#VALUE!</v>
      </c>
      <c r="H3071" s="13" t="e">
        <f t="shared" si="191"/>
        <v>#VALUE!</v>
      </c>
    </row>
    <row r="3072" spans="2:8">
      <c r="B3072" s="11" t="str">
        <f t="shared" si="189"/>
        <v/>
      </c>
      <c r="C3072" s="11" t="str">
        <f t="shared" si="192"/>
        <v/>
      </c>
      <c r="F3072" s="10" t="str">
        <v/>
      </c>
      <c r="G3072" t="e">
        <f t="shared" si="190"/>
        <v>#VALUE!</v>
      </c>
      <c r="H3072" s="13" t="e">
        <f t="shared" si="191"/>
        <v>#VALUE!</v>
      </c>
    </row>
    <row r="3073" spans="2:8">
      <c r="B3073" s="11" t="str">
        <f t="shared" ref="B3073:B3136" si="193">IFERROR(IF(FIND(" ",A3073)=6,IF(IFERROR(FIND(" PB",A3073),"")&lt;&gt;"","артикул",IF(IFERROR(FIND(" CRN",A3073),"")&lt;&gt;"","артикул","")),""),"")</f>
        <v/>
      </c>
      <c r="C3073" s="11" t="str">
        <f t="shared" si="192"/>
        <v/>
      </c>
      <c r="F3073" s="10" t="str">
        <v/>
      </c>
      <c r="G3073" t="e">
        <f t="shared" si="190"/>
        <v>#VALUE!</v>
      </c>
      <c r="H3073" s="13" t="e">
        <f t="shared" si="191"/>
        <v>#VALUE!</v>
      </c>
    </row>
    <row r="3074" spans="2:8">
      <c r="B3074" s="11" t="str">
        <f t="shared" si="193"/>
        <v/>
      </c>
      <c r="C3074" s="11" t="str">
        <f t="shared" si="192"/>
        <v/>
      </c>
      <c r="F3074" s="10" t="str">
        <v/>
      </c>
      <c r="G3074" t="e">
        <f t="shared" ref="G3074:G3137" si="194">CONCATENATE(LEFT(F3074,5),
MID(F3074,
SEARCH("\",SUBSTITUTE(F3074," ","\",LEN(F3074)-LEN(SUBSTITUTE(F3074," ",""))-4)),
SEARCH("\",SUBSTITUTE(F3074," ","\",LEN(F3074)-LEN(SUBSTITUTE(F3074," ",""))-3))-
SEARCH("\",SUBSTITUTE(F3074," ","\",LEN(F3074)-LEN(SUBSTITUTE(F3074," ",""))-4)))*1)</f>
        <v>#VALUE!</v>
      </c>
      <c r="H3074" s="13" t="e">
        <f t="shared" ref="H3074:H3137" si="195">SUBSTITUTE(
RIGHT(F3074,LEN(F3074)-
FIND("\",SUBSTITUTE(F3074," ","\",LEN(F3074)-LEN(SUBSTITUTE(F3074," ",""))))),
".","")</f>
        <v>#VALUE!</v>
      </c>
    </row>
    <row r="3075" spans="2:8">
      <c r="B3075" s="11" t="str">
        <f t="shared" si="193"/>
        <v/>
      </c>
      <c r="C3075" s="11" t="str">
        <f t="shared" si="192"/>
        <v/>
      </c>
      <c r="F3075" s="10" t="str">
        <v/>
      </c>
      <c r="G3075" t="e">
        <f t="shared" si="194"/>
        <v>#VALUE!</v>
      </c>
      <c r="H3075" s="13" t="e">
        <f t="shared" si="195"/>
        <v>#VALUE!</v>
      </c>
    </row>
    <row r="3076" spans="2:8">
      <c r="B3076" s="11" t="str">
        <f t="shared" si="193"/>
        <v/>
      </c>
      <c r="C3076" s="11" t="str">
        <f t="shared" si="192"/>
        <v/>
      </c>
      <c r="F3076" s="10" t="str">
        <v/>
      </c>
      <c r="G3076" t="e">
        <f t="shared" si="194"/>
        <v>#VALUE!</v>
      </c>
      <c r="H3076" s="13" t="e">
        <f t="shared" si="195"/>
        <v>#VALUE!</v>
      </c>
    </row>
    <row r="3077" spans="2:8">
      <c r="B3077" s="11" t="str">
        <f t="shared" si="193"/>
        <v/>
      </c>
      <c r="C3077" s="11" t="str">
        <f t="shared" si="192"/>
        <v/>
      </c>
      <c r="F3077" s="10" t="str">
        <v/>
      </c>
      <c r="G3077" t="e">
        <f t="shared" si="194"/>
        <v>#VALUE!</v>
      </c>
      <c r="H3077" s="13" t="e">
        <f t="shared" si="195"/>
        <v>#VALUE!</v>
      </c>
    </row>
    <row r="3078" spans="2:8">
      <c r="B3078" s="11" t="str">
        <f t="shared" si="193"/>
        <v/>
      </c>
      <c r="C3078" s="11" t="str">
        <f t="shared" si="192"/>
        <v/>
      </c>
      <c r="F3078" s="10" t="str">
        <v/>
      </c>
      <c r="G3078" t="e">
        <f t="shared" si="194"/>
        <v>#VALUE!</v>
      </c>
      <c r="H3078" s="13" t="e">
        <f t="shared" si="195"/>
        <v>#VALUE!</v>
      </c>
    </row>
    <row r="3079" spans="2:8">
      <c r="B3079" s="11" t="str">
        <f t="shared" si="193"/>
        <v/>
      </c>
      <c r="C3079" s="11" t="str">
        <f t="shared" si="192"/>
        <v/>
      </c>
      <c r="F3079" s="10" t="str">
        <v/>
      </c>
      <c r="G3079" t="e">
        <f t="shared" si="194"/>
        <v>#VALUE!</v>
      </c>
      <c r="H3079" s="13" t="e">
        <f t="shared" si="195"/>
        <v>#VALUE!</v>
      </c>
    </row>
    <row r="3080" spans="2:8">
      <c r="B3080" s="11" t="str">
        <f t="shared" si="193"/>
        <v/>
      </c>
      <c r="C3080" s="11" t="str">
        <f t="shared" si="192"/>
        <v/>
      </c>
      <c r="F3080" s="10" t="str">
        <v/>
      </c>
      <c r="G3080" t="e">
        <f t="shared" si="194"/>
        <v>#VALUE!</v>
      </c>
      <c r="H3080" s="13" t="e">
        <f t="shared" si="195"/>
        <v>#VALUE!</v>
      </c>
    </row>
    <row r="3081" spans="2:8">
      <c r="B3081" s="11" t="str">
        <f t="shared" si="193"/>
        <v/>
      </c>
      <c r="C3081" s="11" t="str">
        <f t="shared" si="192"/>
        <v/>
      </c>
      <c r="F3081" s="10" t="str">
        <v/>
      </c>
      <c r="G3081" t="e">
        <f t="shared" si="194"/>
        <v>#VALUE!</v>
      </c>
      <c r="H3081" s="13" t="e">
        <f t="shared" si="195"/>
        <v>#VALUE!</v>
      </c>
    </row>
    <row r="3082" spans="2:8">
      <c r="B3082" s="11" t="str">
        <f t="shared" si="193"/>
        <v/>
      </c>
      <c r="C3082" s="11" t="str">
        <f t="shared" si="192"/>
        <v/>
      </c>
      <c r="F3082" s="10" t="str">
        <v/>
      </c>
      <c r="G3082" t="e">
        <f t="shared" si="194"/>
        <v>#VALUE!</v>
      </c>
      <c r="H3082" s="13" t="e">
        <f t="shared" si="195"/>
        <v>#VALUE!</v>
      </c>
    </row>
    <row r="3083" spans="2:8">
      <c r="B3083" s="11" t="str">
        <f t="shared" si="193"/>
        <v/>
      </c>
      <c r="C3083" s="11" t="str">
        <f t="shared" si="192"/>
        <v/>
      </c>
      <c r="F3083" s="10" t="str">
        <v/>
      </c>
      <c r="G3083" t="e">
        <f t="shared" si="194"/>
        <v>#VALUE!</v>
      </c>
      <c r="H3083" s="13" t="e">
        <f t="shared" si="195"/>
        <v>#VALUE!</v>
      </c>
    </row>
    <row r="3084" spans="2:8">
      <c r="B3084" s="11" t="str">
        <f t="shared" si="193"/>
        <v/>
      </c>
      <c r="C3084" s="11" t="str">
        <f t="shared" si="192"/>
        <v/>
      </c>
      <c r="F3084" s="10" t="str">
        <v/>
      </c>
      <c r="G3084" t="e">
        <f t="shared" si="194"/>
        <v>#VALUE!</v>
      </c>
      <c r="H3084" s="13" t="e">
        <f t="shared" si="195"/>
        <v>#VALUE!</v>
      </c>
    </row>
    <row r="3085" spans="2:8">
      <c r="B3085" s="11" t="str">
        <f t="shared" si="193"/>
        <v/>
      </c>
      <c r="C3085" s="11" t="str">
        <f t="shared" si="192"/>
        <v/>
      </c>
      <c r="F3085" s="10" t="str">
        <v/>
      </c>
      <c r="G3085" t="e">
        <f t="shared" si="194"/>
        <v>#VALUE!</v>
      </c>
      <c r="H3085" s="13" t="e">
        <f t="shared" si="195"/>
        <v>#VALUE!</v>
      </c>
    </row>
    <row r="3086" spans="2:8">
      <c r="B3086" s="11" t="str">
        <f t="shared" si="193"/>
        <v/>
      </c>
      <c r="C3086" s="11" t="str">
        <f t="shared" si="192"/>
        <v/>
      </c>
      <c r="F3086" s="10" t="str">
        <v/>
      </c>
      <c r="G3086" t="e">
        <f t="shared" si="194"/>
        <v>#VALUE!</v>
      </c>
      <c r="H3086" s="13" t="e">
        <f t="shared" si="195"/>
        <v>#VALUE!</v>
      </c>
    </row>
    <row r="3087" spans="2:8">
      <c r="B3087" s="11" t="str">
        <f t="shared" si="193"/>
        <v/>
      </c>
      <c r="C3087" s="11" t="str">
        <f t="shared" si="192"/>
        <v/>
      </c>
      <c r="F3087" s="10" t="str">
        <v/>
      </c>
      <c r="G3087" t="e">
        <f t="shared" si="194"/>
        <v>#VALUE!</v>
      </c>
      <c r="H3087" s="13" t="e">
        <f t="shared" si="195"/>
        <v>#VALUE!</v>
      </c>
    </row>
    <row r="3088" spans="2:8">
      <c r="B3088" s="11" t="str">
        <f t="shared" si="193"/>
        <v/>
      </c>
      <c r="C3088" s="11" t="str">
        <f t="shared" si="192"/>
        <v/>
      </c>
      <c r="F3088" s="10" t="str">
        <v/>
      </c>
      <c r="G3088" t="e">
        <f t="shared" si="194"/>
        <v>#VALUE!</v>
      </c>
      <c r="H3088" s="13" t="e">
        <f t="shared" si="195"/>
        <v>#VALUE!</v>
      </c>
    </row>
    <row r="3089" spans="2:8">
      <c r="B3089" s="11" t="str">
        <f t="shared" si="193"/>
        <v/>
      </c>
      <c r="C3089" s="11" t="str">
        <f t="shared" si="192"/>
        <v/>
      </c>
      <c r="F3089" s="10" t="str">
        <v/>
      </c>
      <c r="G3089" t="e">
        <f t="shared" si="194"/>
        <v>#VALUE!</v>
      </c>
      <c r="H3089" s="13" t="e">
        <f t="shared" si="195"/>
        <v>#VALUE!</v>
      </c>
    </row>
    <row r="3090" spans="2:8">
      <c r="B3090" s="11" t="str">
        <f t="shared" si="193"/>
        <v/>
      </c>
      <c r="C3090" s="11" t="str">
        <f t="shared" si="192"/>
        <v/>
      </c>
      <c r="F3090" s="10" t="str">
        <v/>
      </c>
      <c r="G3090" t="e">
        <f t="shared" si="194"/>
        <v>#VALUE!</v>
      </c>
      <c r="H3090" s="13" t="e">
        <f t="shared" si="195"/>
        <v>#VALUE!</v>
      </c>
    </row>
    <row r="3091" spans="2:8">
      <c r="B3091" s="11" t="str">
        <f t="shared" si="193"/>
        <v/>
      </c>
      <c r="C3091" s="11" t="str">
        <f t="shared" si="192"/>
        <v/>
      </c>
      <c r="F3091" s="10" t="str">
        <v/>
      </c>
      <c r="G3091" t="e">
        <f t="shared" si="194"/>
        <v>#VALUE!</v>
      </c>
      <c r="H3091" s="13" t="e">
        <f t="shared" si="195"/>
        <v>#VALUE!</v>
      </c>
    </row>
    <row r="3092" spans="2:8">
      <c r="B3092" s="11" t="str">
        <f t="shared" si="193"/>
        <v/>
      </c>
      <c r="C3092" s="11" t="str">
        <f t="shared" si="192"/>
        <v/>
      </c>
      <c r="F3092" s="10" t="str">
        <v/>
      </c>
      <c r="G3092" t="e">
        <f t="shared" si="194"/>
        <v>#VALUE!</v>
      </c>
      <c r="H3092" s="13" t="e">
        <f t="shared" si="195"/>
        <v>#VALUE!</v>
      </c>
    </row>
    <row r="3093" spans="2:8">
      <c r="B3093" s="11" t="str">
        <f t="shared" si="193"/>
        <v/>
      </c>
      <c r="C3093" s="11" t="str">
        <f t="shared" si="192"/>
        <v/>
      </c>
      <c r="F3093" s="10" t="str">
        <v/>
      </c>
      <c r="G3093" t="e">
        <f t="shared" si="194"/>
        <v>#VALUE!</v>
      </c>
      <c r="H3093" s="13" t="e">
        <f t="shared" si="195"/>
        <v>#VALUE!</v>
      </c>
    </row>
    <row r="3094" spans="2:8">
      <c r="B3094" s="11" t="str">
        <f t="shared" si="193"/>
        <v/>
      </c>
      <c r="C3094" s="11" t="str">
        <f t="shared" si="192"/>
        <v/>
      </c>
      <c r="F3094" s="10" t="str">
        <v/>
      </c>
      <c r="G3094" t="e">
        <f t="shared" si="194"/>
        <v>#VALUE!</v>
      </c>
      <c r="H3094" s="13" t="e">
        <f t="shared" si="195"/>
        <v>#VALUE!</v>
      </c>
    </row>
    <row r="3095" spans="2:8">
      <c r="B3095" s="11" t="str">
        <f t="shared" si="193"/>
        <v/>
      </c>
      <c r="C3095" s="11" t="str">
        <f t="shared" si="192"/>
        <v/>
      </c>
      <c r="F3095" s="10" t="str">
        <v/>
      </c>
      <c r="G3095" t="e">
        <f t="shared" si="194"/>
        <v>#VALUE!</v>
      </c>
      <c r="H3095" s="13" t="e">
        <f t="shared" si="195"/>
        <v>#VALUE!</v>
      </c>
    </row>
    <row r="3096" spans="2:8">
      <c r="B3096" s="11" t="str">
        <f t="shared" si="193"/>
        <v/>
      </c>
      <c r="C3096" s="11" t="str">
        <f t="shared" si="192"/>
        <v/>
      </c>
      <c r="F3096" s="10" t="str">
        <v/>
      </c>
      <c r="G3096" t="e">
        <f t="shared" si="194"/>
        <v>#VALUE!</v>
      </c>
      <c r="H3096" s="13" t="e">
        <f t="shared" si="195"/>
        <v>#VALUE!</v>
      </c>
    </row>
    <row r="3097" spans="2:8">
      <c r="B3097" s="11" t="str">
        <f t="shared" si="193"/>
        <v/>
      </c>
      <c r="C3097" s="11" t="str">
        <f t="shared" si="192"/>
        <v/>
      </c>
      <c r="F3097" s="10" t="str">
        <v/>
      </c>
      <c r="G3097" t="e">
        <f t="shared" si="194"/>
        <v>#VALUE!</v>
      </c>
      <c r="H3097" s="13" t="e">
        <f t="shared" si="195"/>
        <v>#VALUE!</v>
      </c>
    </row>
    <row r="3098" spans="2:8">
      <c r="B3098" s="11" t="str">
        <f t="shared" si="193"/>
        <v/>
      </c>
      <c r="C3098" s="11" t="str">
        <f t="shared" si="192"/>
        <v/>
      </c>
      <c r="F3098" s="10" t="str">
        <v/>
      </c>
      <c r="G3098" t="e">
        <f t="shared" si="194"/>
        <v>#VALUE!</v>
      </c>
      <c r="H3098" s="13" t="e">
        <f t="shared" si="195"/>
        <v>#VALUE!</v>
      </c>
    </row>
    <row r="3099" spans="2:8">
      <c r="B3099" s="11" t="str">
        <f t="shared" si="193"/>
        <v/>
      </c>
      <c r="C3099" s="11" t="str">
        <f t="shared" si="192"/>
        <v/>
      </c>
      <c r="F3099" s="10" t="str">
        <v/>
      </c>
      <c r="G3099" t="e">
        <f t="shared" si="194"/>
        <v>#VALUE!</v>
      </c>
      <c r="H3099" s="13" t="e">
        <f t="shared" si="195"/>
        <v>#VALUE!</v>
      </c>
    </row>
    <row r="3100" spans="2:8">
      <c r="B3100" s="11" t="str">
        <f t="shared" si="193"/>
        <v/>
      </c>
      <c r="C3100" s="11" t="str">
        <f t="shared" si="192"/>
        <v/>
      </c>
      <c r="F3100" s="10" t="str">
        <v/>
      </c>
      <c r="G3100" t="e">
        <f t="shared" si="194"/>
        <v>#VALUE!</v>
      </c>
      <c r="H3100" s="13" t="e">
        <f t="shared" si="195"/>
        <v>#VALUE!</v>
      </c>
    </row>
    <row r="3101" spans="2:8">
      <c r="B3101" s="11" t="str">
        <f t="shared" si="193"/>
        <v/>
      </c>
      <c r="C3101" s="11" t="str">
        <f t="shared" si="192"/>
        <v/>
      </c>
      <c r="F3101" s="10" t="str">
        <v/>
      </c>
      <c r="G3101" t="e">
        <f t="shared" si="194"/>
        <v>#VALUE!</v>
      </c>
      <c r="H3101" s="13" t="e">
        <f t="shared" si="195"/>
        <v>#VALUE!</v>
      </c>
    </row>
    <row r="3102" spans="2:8">
      <c r="B3102" s="11" t="str">
        <f t="shared" si="193"/>
        <v/>
      </c>
      <c r="C3102" s="11" t="str">
        <f t="shared" si="192"/>
        <v/>
      </c>
      <c r="F3102" s="10" t="str">
        <v/>
      </c>
      <c r="G3102" t="e">
        <f t="shared" si="194"/>
        <v>#VALUE!</v>
      </c>
      <c r="H3102" s="13" t="e">
        <f t="shared" si="195"/>
        <v>#VALUE!</v>
      </c>
    </row>
    <row r="3103" spans="2:8">
      <c r="B3103" s="11" t="str">
        <f t="shared" si="193"/>
        <v/>
      </c>
      <c r="C3103" s="11" t="str">
        <f t="shared" si="192"/>
        <v/>
      </c>
      <c r="F3103" s="10" t="str">
        <v/>
      </c>
      <c r="G3103" t="e">
        <f t="shared" si="194"/>
        <v>#VALUE!</v>
      </c>
      <c r="H3103" s="13" t="e">
        <f t="shared" si="195"/>
        <v>#VALUE!</v>
      </c>
    </row>
    <row r="3104" spans="2:8">
      <c r="B3104" s="11" t="str">
        <f t="shared" si="193"/>
        <v/>
      </c>
      <c r="C3104" s="11" t="str">
        <f t="shared" si="192"/>
        <v/>
      </c>
      <c r="F3104" s="10" t="str">
        <v/>
      </c>
      <c r="G3104" t="e">
        <f t="shared" si="194"/>
        <v>#VALUE!</v>
      </c>
      <c r="H3104" s="13" t="e">
        <f t="shared" si="195"/>
        <v>#VALUE!</v>
      </c>
    </row>
    <row r="3105" spans="2:8">
      <c r="B3105" s="11" t="str">
        <f t="shared" si="193"/>
        <v/>
      </c>
      <c r="C3105" s="11" t="str">
        <f t="shared" si="192"/>
        <v/>
      </c>
      <c r="F3105" s="10" t="str">
        <v/>
      </c>
      <c r="G3105" t="e">
        <f t="shared" si="194"/>
        <v>#VALUE!</v>
      </c>
      <c r="H3105" s="13" t="e">
        <f t="shared" si="195"/>
        <v>#VALUE!</v>
      </c>
    </row>
    <row r="3106" spans="2:8">
      <c r="B3106" s="11" t="str">
        <f t="shared" si="193"/>
        <v/>
      </c>
      <c r="C3106" s="11" t="str">
        <f t="shared" si="192"/>
        <v/>
      </c>
      <c r="F3106" s="10" t="str">
        <v/>
      </c>
      <c r="G3106" t="e">
        <f t="shared" si="194"/>
        <v>#VALUE!</v>
      </c>
      <c r="H3106" s="13" t="e">
        <f t="shared" si="195"/>
        <v>#VALUE!</v>
      </c>
    </row>
    <row r="3107" spans="2:8">
      <c r="B3107" s="11" t="str">
        <f t="shared" si="193"/>
        <v/>
      </c>
      <c r="C3107" s="11" t="str">
        <f t="shared" si="192"/>
        <v/>
      </c>
      <c r="F3107" s="10" t="str">
        <v/>
      </c>
      <c r="G3107" t="e">
        <f t="shared" si="194"/>
        <v>#VALUE!</v>
      </c>
      <c r="H3107" s="13" t="e">
        <f t="shared" si="195"/>
        <v>#VALUE!</v>
      </c>
    </row>
    <row r="3108" spans="2:8">
      <c r="B3108" s="11" t="str">
        <f t="shared" si="193"/>
        <v/>
      </c>
      <c r="C3108" s="11" t="str">
        <f t="shared" si="192"/>
        <v/>
      </c>
      <c r="F3108" s="10" t="str">
        <v/>
      </c>
      <c r="G3108" t="e">
        <f t="shared" si="194"/>
        <v>#VALUE!</v>
      </c>
      <c r="H3108" s="13" t="e">
        <f t="shared" si="195"/>
        <v>#VALUE!</v>
      </c>
    </row>
    <row r="3109" spans="2:8">
      <c r="B3109" s="11" t="str">
        <f t="shared" si="193"/>
        <v/>
      </c>
      <c r="C3109" s="11" t="str">
        <f t="shared" si="192"/>
        <v/>
      </c>
      <c r="F3109" s="10" t="str">
        <v/>
      </c>
      <c r="G3109" t="e">
        <f t="shared" si="194"/>
        <v>#VALUE!</v>
      </c>
      <c r="H3109" s="13" t="e">
        <f t="shared" si="195"/>
        <v>#VALUE!</v>
      </c>
    </row>
    <row r="3110" spans="2:8">
      <c r="B3110" s="11" t="str">
        <f t="shared" si="193"/>
        <v/>
      </c>
      <c r="C3110" s="11" t="str">
        <f t="shared" si="192"/>
        <v/>
      </c>
      <c r="F3110" s="10" t="str">
        <v/>
      </c>
      <c r="G3110" t="e">
        <f t="shared" si="194"/>
        <v>#VALUE!</v>
      </c>
      <c r="H3110" s="13" t="e">
        <f t="shared" si="195"/>
        <v>#VALUE!</v>
      </c>
    </row>
    <row r="3111" spans="2:8">
      <c r="B3111" s="11" t="str">
        <f t="shared" si="193"/>
        <v/>
      </c>
      <c r="C3111" s="11" t="str">
        <f t="shared" si="192"/>
        <v/>
      </c>
      <c r="F3111" s="10" t="str">
        <v/>
      </c>
      <c r="G3111" t="e">
        <f t="shared" si="194"/>
        <v>#VALUE!</v>
      </c>
      <c r="H3111" s="13" t="e">
        <f t="shared" si="195"/>
        <v>#VALUE!</v>
      </c>
    </row>
    <row r="3112" spans="2:8">
      <c r="B3112" s="11" t="str">
        <f t="shared" si="193"/>
        <v/>
      </c>
      <c r="C3112" s="11" t="str">
        <f t="shared" si="192"/>
        <v/>
      </c>
      <c r="F3112" s="10" t="str">
        <v/>
      </c>
      <c r="G3112" t="e">
        <f t="shared" si="194"/>
        <v>#VALUE!</v>
      </c>
      <c r="H3112" s="13" t="e">
        <f t="shared" si="195"/>
        <v>#VALUE!</v>
      </c>
    </row>
    <row r="3113" spans="2:8">
      <c r="B3113" s="11" t="str">
        <f t="shared" si="193"/>
        <v/>
      </c>
      <c r="C3113" s="11" t="str">
        <f t="shared" ref="C3113:C3176" si="196">IF(B3113="артикул",A3113,"")</f>
        <v/>
      </c>
      <c r="F3113" s="10" t="str">
        <v/>
      </c>
      <c r="G3113" t="e">
        <f t="shared" si="194"/>
        <v>#VALUE!</v>
      </c>
      <c r="H3113" s="13" t="e">
        <f t="shared" si="195"/>
        <v>#VALUE!</v>
      </c>
    </row>
    <row r="3114" spans="2:8">
      <c r="B3114" s="11" t="str">
        <f t="shared" si="193"/>
        <v/>
      </c>
      <c r="C3114" s="11" t="str">
        <f t="shared" si="196"/>
        <v/>
      </c>
      <c r="F3114" s="10" t="str">
        <v/>
      </c>
      <c r="G3114" t="e">
        <f t="shared" si="194"/>
        <v>#VALUE!</v>
      </c>
      <c r="H3114" s="13" t="e">
        <f t="shared" si="195"/>
        <v>#VALUE!</v>
      </c>
    </row>
    <row r="3115" spans="2:8">
      <c r="B3115" s="11" t="str">
        <f t="shared" si="193"/>
        <v/>
      </c>
      <c r="C3115" s="11" t="str">
        <f t="shared" si="196"/>
        <v/>
      </c>
      <c r="F3115" s="10" t="str">
        <v/>
      </c>
      <c r="G3115" t="e">
        <f t="shared" si="194"/>
        <v>#VALUE!</v>
      </c>
      <c r="H3115" s="13" t="e">
        <f t="shared" si="195"/>
        <v>#VALUE!</v>
      </c>
    </row>
    <row r="3116" spans="2:8">
      <c r="B3116" s="11" t="str">
        <f t="shared" si="193"/>
        <v/>
      </c>
      <c r="C3116" s="11" t="str">
        <f t="shared" si="196"/>
        <v/>
      </c>
      <c r="F3116" s="10" t="str">
        <v/>
      </c>
      <c r="G3116" t="e">
        <f t="shared" si="194"/>
        <v>#VALUE!</v>
      </c>
      <c r="H3116" s="13" t="e">
        <f t="shared" si="195"/>
        <v>#VALUE!</v>
      </c>
    </row>
    <row r="3117" spans="2:8">
      <c r="B3117" s="11" t="str">
        <f t="shared" si="193"/>
        <v/>
      </c>
      <c r="C3117" s="11" t="str">
        <f t="shared" si="196"/>
        <v/>
      </c>
      <c r="F3117" s="10" t="str">
        <v/>
      </c>
      <c r="G3117" t="e">
        <f t="shared" si="194"/>
        <v>#VALUE!</v>
      </c>
      <c r="H3117" s="13" t="e">
        <f t="shared" si="195"/>
        <v>#VALUE!</v>
      </c>
    </row>
    <row r="3118" spans="2:8">
      <c r="B3118" s="11" t="str">
        <f t="shared" si="193"/>
        <v/>
      </c>
      <c r="C3118" s="11" t="str">
        <f t="shared" si="196"/>
        <v/>
      </c>
      <c r="F3118" s="10" t="str">
        <v/>
      </c>
      <c r="G3118" t="e">
        <f t="shared" si="194"/>
        <v>#VALUE!</v>
      </c>
      <c r="H3118" s="13" t="e">
        <f t="shared" si="195"/>
        <v>#VALUE!</v>
      </c>
    </row>
    <row r="3119" spans="2:8">
      <c r="B3119" s="11" t="str">
        <f t="shared" si="193"/>
        <v/>
      </c>
      <c r="C3119" s="11" t="str">
        <f t="shared" si="196"/>
        <v/>
      </c>
      <c r="F3119" s="10" t="str">
        <v/>
      </c>
      <c r="G3119" t="e">
        <f t="shared" si="194"/>
        <v>#VALUE!</v>
      </c>
      <c r="H3119" s="13" t="e">
        <f t="shared" si="195"/>
        <v>#VALUE!</v>
      </c>
    </row>
    <row r="3120" spans="2:8">
      <c r="B3120" s="11" t="str">
        <f t="shared" si="193"/>
        <v/>
      </c>
      <c r="C3120" s="11" t="str">
        <f t="shared" si="196"/>
        <v/>
      </c>
      <c r="F3120" s="10" t="str">
        <v/>
      </c>
      <c r="G3120" t="e">
        <f t="shared" si="194"/>
        <v>#VALUE!</v>
      </c>
      <c r="H3120" s="13" t="e">
        <f t="shared" si="195"/>
        <v>#VALUE!</v>
      </c>
    </row>
    <row r="3121" spans="2:8">
      <c r="B3121" s="11" t="str">
        <f t="shared" si="193"/>
        <v/>
      </c>
      <c r="C3121" s="11" t="str">
        <f t="shared" si="196"/>
        <v/>
      </c>
      <c r="F3121" s="10" t="str">
        <v/>
      </c>
      <c r="G3121" t="e">
        <f t="shared" si="194"/>
        <v>#VALUE!</v>
      </c>
      <c r="H3121" s="13" t="e">
        <f t="shared" si="195"/>
        <v>#VALUE!</v>
      </c>
    </row>
    <row r="3122" spans="2:8">
      <c r="B3122" s="11" t="str">
        <f t="shared" si="193"/>
        <v/>
      </c>
      <c r="C3122" s="11" t="str">
        <f t="shared" si="196"/>
        <v/>
      </c>
      <c r="F3122" s="10" t="str">
        <v/>
      </c>
      <c r="G3122" t="e">
        <f t="shared" si="194"/>
        <v>#VALUE!</v>
      </c>
      <c r="H3122" s="13" t="e">
        <f t="shared" si="195"/>
        <v>#VALUE!</v>
      </c>
    </row>
    <row r="3123" spans="2:8">
      <c r="B3123" s="11" t="str">
        <f t="shared" si="193"/>
        <v/>
      </c>
      <c r="C3123" s="11" t="str">
        <f t="shared" si="196"/>
        <v/>
      </c>
      <c r="F3123" s="10" t="str">
        <v/>
      </c>
      <c r="G3123" t="e">
        <f t="shared" si="194"/>
        <v>#VALUE!</v>
      </c>
      <c r="H3123" s="13" t="e">
        <f t="shared" si="195"/>
        <v>#VALUE!</v>
      </c>
    </row>
    <row r="3124" spans="2:8">
      <c r="B3124" s="11" t="str">
        <f t="shared" si="193"/>
        <v/>
      </c>
      <c r="C3124" s="11" t="str">
        <f t="shared" si="196"/>
        <v/>
      </c>
      <c r="F3124" s="10" t="str">
        <v/>
      </c>
      <c r="G3124" t="e">
        <f t="shared" si="194"/>
        <v>#VALUE!</v>
      </c>
      <c r="H3124" s="13" t="e">
        <f t="shared" si="195"/>
        <v>#VALUE!</v>
      </c>
    </row>
    <row r="3125" spans="2:8">
      <c r="B3125" s="11" t="str">
        <f t="shared" si="193"/>
        <v/>
      </c>
      <c r="C3125" s="11" t="str">
        <f t="shared" si="196"/>
        <v/>
      </c>
      <c r="F3125" s="10" t="str">
        <v/>
      </c>
      <c r="G3125" t="e">
        <f t="shared" si="194"/>
        <v>#VALUE!</v>
      </c>
      <c r="H3125" s="13" t="e">
        <f t="shared" si="195"/>
        <v>#VALUE!</v>
      </c>
    </row>
    <row r="3126" spans="2:8">
      <c r="B3126" s="11" t="str">
        <f t="shared" si="193"/>
        <v/>
      </c>
      <c r="C3126" s="11" t="str">
        <f t="shared" si="196"/>
        <v/>
      </c>
      <c r="F3126" s="10" t="str">
        <v/>
      </c>
      <c r="G3126" t="e">
        <f t="shared" si="194"/>
        <v>#VALUE!</v>
      </c>
      <c r="H3126" s="13" t="e">
        <f t="shared" si="195"/>
        <v>#VALUE!</v>
      </c>
    </row>
    <row r="3127" spans="2:8">
      <c r="B3127" s="11" t="str">
        <f t="shared" si="193"/>
        <v/>
      </c>
      <c r="C3127" s="11" t="str">
        <f t="shared" si="196"/>
        <v/>
      </c>
      <c r="F3127" s="10" t="str">
        <v/>
      </c>
      <c r="G3127" t="e">
        <f t="shared" si="194"/>
        <v>#VALUE!</v>
      </c>
      <c r="H3127" s="13" t="e">
        <f t="shared" si="195"/>
        <v>#VALUE!</v>
      </c>
    </row>
    <row r="3128" spans="2:8">
      <c r="B3128" s="11" t="str">
        <f t="shared" si="193"/>
        <v/>
      </c>
      <c r="C3128" s="11" t="str">
        <f t="shared" si="196"/>
        <v/>
      </c>
      <c r="F3128" s="10" t="str">
        <v/>
      </c>
      <c r="G3128" t="e">
        <f t="shared" si="194"/>
        <v>#VALUE!</v>
      </c>
      <c r="H3128" s="13" t="e">
        <f t="shared" si="195"/>
        <v>#VALUE!</v>
      </c>
    </row>
    <row r="3129" spans="2:8">
      <c r="B3129" s="11" t="str">
        <f t="shared" si="193"/>
        <v/>
      </c>
      <c r="C3129" s="11" t="str">
        <f t="shared" si="196"/>
        <v/>
      </c>
      <c r="F3129" s="10" t="str">
        <v/>
      </c>
      <c r="G3129" t="e">
        <f t="shared" si="194"/>
        <v>#VALUE!</v>
      </c>
      <c r="H3129" s="13" t="e">
        <f t="shared" si="195"/>
        <v>#VALUE!</v>
      </c>
    </row>
    <row r="3130" spans="2:8">
      <c r="B3130" s="11" t="str">
        <f t="shared" si="193"/>
        <v/>
      </c>
      <c r="C3130" s="11" t="str">
        <f t="shared" si="196"/>
        <v/>
      </c>
      <c r="F3130" s="10" t="str">
        <v/>
      </c>
      <c r="G3130" t="e">
        <f t="shared" si="194"/>
        <v>#VALUE!</v>
      </c>
      <c r="H3130" s="13" t="e">
        <f t="shared" si="195"/>
        <v>#VALUE!</v>
      </c>
    </row>
    <row r="3131" spans="2:8">
      <c r="B3131" s="11" t="str">
        <f t="shared" si="193"/>
        <v/>
      </c>
      <c r="C3131" s="11" t="str">
        <f t="shared" si="196"/>
        <v/>
      </c>
      <c r="F3131" s="10" t="str">
        <v/>
      </c>
      <c r="G3131" t="e">
        <f t="shared" si="194"/>
        <v>#VALUE!</v>
      </c>
      <c r="H3131" s="13" t="e">
        <f t="shared" si="195"/>
        <v>#VALUE!</v>
      </c>
    </row>
    <row r="3132" spans="2:8">
      <c r="B3132" s="11" t="str">
        <f t="shared" si="193"/>
        <v/>
      </c>
      <c r="C3132" s="11" t="str">
        <f t="shared" si="196"/>
        <v/>
      </c>
      <c r="F3132" s="10" t="str">
        <v/>
      </c>
      <c r="G3132" t="e">
        <f t="shared" si="194"/>
        <v>#VALUE!</v>
      </c>
      <c r="H3132" s="13" t="e">
        <f t="shared" si="195"/>
        <v>#VALUE!</v>
      </c>
    </row>
    <row r="3133" spans="2:8">
      <c r="B3133" s="11" t="str">
        <f t="shared" si="193"/>
        <v/>
      </c>
      <c r="C3133" s="11" t="str">
        <f t="shared" si="196"/>
        <v/>
      </c>
      <c r="F3133" s="10" t="str">
        <v/>
      </c>
      <c r="G3133" t="e">
        <f t="shared" si="194"/>
        <v>#VALUE!</v>
      </c>
      <c r="H3133" s="13" t="e">
        <f t="shared" si="195"/>
        <v>#VALUE!</v>
      </c>
    </row>
    <row r="3134" spans="2:8">
      <c r="B3134" s="11" t="str">
        <f t="shared" si="193"/>
        <v/>
      </c>
      <c r="C3134" s="11" t="str">
        <f t="shared" si="196"/>
        <v/>
      </c>
      <c r="F3134" s="10" t="str">
        <v/>
      </c>
      <c r="G3134" t="e">
        <f t="shared" si="194"/>
        <v>#VALUE!</v>
      </c>
      <c r="H3134" s="13" t="e">
        <f t="shared" si="195"/>
        <v>#VALUE!</v>
      </c>
    </row>
    <row r="3135" spans="2:8">
      <c r="B3135" s="11" t="str">
        <f t="shared" si="193"/>
        <v/>
      </c>
      <c r="C3135" s="11" t="str">
        <f t="shared" si="196"/>
        <v/>
      </c>
      <c r="F3135" s="10" t="str">
        <v/>
      </c>
      <c r="G3135" t="e">
        <f t="shared" si="194"/>
        <v>#VALUE!</v>
      </c>
      <c r="H3135" s="13" t="e">
        <f t="shared" si="195"/>
        <v>#VALUE!</v>
      </c>
    </row>
    <row r="3136" spans="2:8">
      <c r="B3136" s="11" t="str">
        <f t="shared" si="193"/>
        <v/>
      </c>
      <c r="C3136" s="11" t="str">
        <f t="shared" si="196"/>
        <v/>
      </c>
      <c r="F3136" s="10" t="str">
        <v/>
      </c>
      <c r="G3136" t="e">
        <f t="shared" si="194"/>
        <v>#VALUE!</v>
      </c>
      <c r="H3136" s="13" t="e">
        <f t="shared" si="195"/>
        <v>#VALUE!</v>
      </c>
    </row>
    <row r="3137" spans="2:8">
      <c r="B3137" s="11" t="str">
        <f t="shared" ref="B3137:B3200" si="197">IFERROR(IF(FIND(" ",A3137)=6,IF(IFERROR(FIND(" PB",A3137),"")&lt;&gt;"","артикул",IF(IFERROR(FIND(" CRN",A3137),"")&lt;&gt;"","артикул","")),""),"")</f>
        <v/>
      </c>
      <c r="C3137" s="11" t="str">
        <f t="shared" si="196"/>
        <v/>
      </c>
      <c r="F3137" s="10" t="str">
        <v/>
      </c>
      <c r="G3137" t="e">
        <f t="shared" si="194"/>
        <v>#VALUE!</v>
      </c>
      <c r="H3137" s="13" t="e">
        <f t="shared" si="195"/>
        <v>#VALUE!</v>
      </c>
    </row>
    <row r="3138" spans="2:8">
      <c r="B3138" s="11" t="str">
        <f t="shared" si="197"/>
        <v/>
      </c>
      <c r="C3138" s="11" t="str">
        <f t="shared" si="196"/>
        <v/>
      </c>
      <c r="F3138" s="10" t="str">
        <v/>
      </c>
      <c r="G3138" t="e">
        <f t="shared" ref="G3138:G3201" si="198">CONCATENATE(LEFT(F3138,5),
MID(F3138,
SEARCH("\",SUBSTITUTE(F3138," ","\",LEN(F3138)-LEN(SUBSTITUTE(F3138," ",""))-4)),
SEARCH("\",SUBSTITUTE(F3138," ","\",LEN(F3138)-LEN(SUBSTITUTE(F3138," ",""))-3))-
SEARCH("\",SUBSTITUTE(F3138," ","\",LEN(F3138)-LEN(SUBSTITUTE(F3138," ",""))-4)))*1)</f>
        <v>#VALUE!</v>
      </c>
      <c r="H3138" s="13" t="e">
        <f t="shared" ref="H3138:H3201" si="199">SUBSTITUTE(
RIGHT(F3138,LEN(F3138)-
FIND("\",SUBSTITUTE(F3138," ","\",LEN(F3138)-LEN(SUBSTITUTE(F3138," ",""))))),
".","")</f>
        <v>#VALUE!</v>
      </c>
    </row>
    <row r="3139" spans="2:8">
      <c r="B3139" s="11" t="str">
        <f t="shared" si="197"/>
        <v/>
      </c>
      <c r="C3139" s="11" t="str">
        <f t="shared" si="196"/>
        <v/>
      </c>
      <c r="F3139" s="10" t="str">
        <v/>
      </c>
      <c r="G3139" t="e">
        <f t="shared" si="198"/>
        <v>#VALUE!</v>
      </c>
      <c r="H3139" s="13" t="e">
        <f t="shared" si="199"/>
        <v>#VALUE!</v>
      </c>
    </row>
    <row r="3140" spans="2:8">
      <c r="B3140" s="11" t="str">
        <f t="shared" si="197"/>
        <v/>
      </c>
      <c r="C3140" s="11" t="str">
        <f t="shared" si="196"/>
        <v/>
      </c>
      <c r="F3140" s="10" t="str">
        <v/>
      </c>
      <c r="G3140" t="e">
        <f t="shared" si="198"/>
        <v>#VALUE!</v>
      </c>
      <c r="H3140" s="13" t="e">
        <f t="shared" si="199"/>
        <v>#VALUE!</v>
      </c>
    </row>
    <row r="3141" spans="2:8">
      <c r="B3141" s="11" t="str">
        <f t="shared" si="197"/>
        <v/>
      </c>
      <c r="C3141" s="11" t="str">
        <f t="shared" si="196"/>
        <v/>
      </c>
      <c r="F3141" s="10" t="str">
        <v/>
      </c>
      <c r="G3141" t="e">
        <f t="shared" si="198"/>
        <v>#VALUE!</v>
      </c>
      <c r="H3141" s="13" t="e">
        <f t="shared" si="199"/>
        <v>#VALUE!</v>
      </c>
    </row>
    <row r="3142" spans="2:8">
      <c r="B3142" s="11" t="str">
        <f t="shared" si="197"/>
        <v/>
      </c>
      <c r="C3142" s="11" t="str">
        <f t="shared" si="196"/>
        <v/>
      </c>
      <c r="F3142" s="10" t="str">
        <v/>
      </c>
      <c r="G3142" t="e">
        <f t="shared" si="198"/>
        <v>#VALUE!</v>
      </c>
      <c r="H3142" s="13" t="e">
        <f t="shared" si="199"/>
        <v>#VALUE!</v>
      </c>
    </row>
    <row r="3143" spans="2:8">
      <c r="B3143" s="11" t="str">
        <f t="shared" si="197"/>
        <v/>
      </c>
      <c r="C3143" s="11" t="str">
        <f t="shared" si="196"/>
        <v/>
      </c>
      <c r="F3143" s="10" t="str">
        <v/>
      </c>
      <c r="G3143" t="e">
        <f t="shared" si="198"/>
        <v>#VALUE!</v>
      </c>
      <c r="H3143" s="13" t="e">
        <f t="shared" si="199"/>
        <v>#VALUE!</v>
      </c>
    </row>
    <row r="3144" spans="2:8">
      <c r="B3144" s="11" t="str">
        <f t="shared" si="197"/>
        <v/>
      </c>
      <c r="C3144" s="11" t="str">
        <f t="shared" si="196"/>
        <v/>
      </c>
      <c r="F3144" s="10" t="str">
        <v/>
      </c>
      <c r="G3144" t="e">
        <f t="shared" si="198"/>
        <v>#VALUE!</v>
      </c>
      <c r="H3144" s="13" t="e">
        <f t="shared" si="199"/>
        <v>#VALUE!</v>
      </c>
    </row>
    <row r="3145" spans="2:8">
      <c r="B3145" s="11" t="str">
        <f t="shared" si="197"/>
        <v/>
      </c>
      <c r="C3145" s="11" t="str">
        <f t="shared" si="196"/>
        <v/>
      </c>
      <c r="F3145" s="10" t="str">
        <v/>
      </c>
      <c r="G3145" t="e">
        <f t="shared" si="198"/>
        <v>#VALUE!</v>
      </c>
      <c r="H3145" s="13" t="e">
        <f t="shared" si="199"/>
        <v>#VALUE!</v>
      </c>
    </row>
    <row r="3146" spans="2:8">
      <c r="B3146" s="11" t="str">
        <f t="shared" si="197"/>
        <v/>
      </c>
      <c r="C3146" s="11" t="str">
        <f t="shared" si="196"/>
        <v/>
      </c>
      <c r="F3146" s="10" t="str">
        <v/>
      </c>
      <c r="G3146" t="e">
        <f t="shared" si="198"/>
        <v>#VALUE!</v>
      </c>
      <c r="H3146" s="13" t="e">
        <f t="shared" si="199"/>
        <v>#VALUE!</v>
      </c>
    </row>
    <row r="3147" spans="2:8">
      <c r="B3147" s="11" t="str">
        <f t="shared" si="197"/>
        <v/>
      </c>
      <c r="C3147" s="11" t="str">
        <f t="shared" si="196"/>
        <v/>
      </c>
      <c r="F3147" s="10" t="str">
        <v/>
      </c>
      <c r="G3147" t="e">
        <f t="shared" si="198"/>
        <v>#VALUE!</v>
      </c>
      <c r="H3147" s="13" t="e">
        <f t="shared" si="199"/>
        <v>#VALUE!</v>
      </c>
    </row>
    <row r="3148" spans="2:8">
      <c r="B3148" s="11" t="str">
        <f t="shared" si="197"/>
        <v/>
      </c>
      <c r="C3148" s="11" t="str">
        <f t="shared" si="196"/>
        <v/>
      </c>
      <c r="F3148" s="10" t="str">
        <v/>
      </c>
      <c r="G3148" t="e">
        <f t="shared" si="198"/>
        <v>#VALUE!</v>
      </c>
      <c r="H3148" s="13" t="e">
        <f t="shared" si="199"/>
        <v>#VALUE!</v>
      </c>
    </row>
    <row r="3149" spans="2:8">
      <c r="B3149" s="11" t="str">
        <f t="shared" si="197"/>
        <v/>
      </c>
      <c r="C3149" s="11" t="str">
        <f t="shared" si="196"/>
        <v/>
      </c>
      <c r="F3149" s="10" t="str">
        <v/>
      </c>
      <c r="G3149" t="e">
        <f t="shared" si="198"/>
        <v>#VALUE!</v>
      </c>
      <c r="H3149" s="13" t="e">
        <f t="shared" si="199"/>
        <v>#VALUE!</v>
      </c>
    </row>
    <row r="3150" spans="2:8">
      <c r="B3150" s="11" t="str">
        <f t="shared" si="197"/>
        <v/>
      </c>
      <c r="C3150" s="11" t="str">
        <f t="shared" si="196"/>
        <v/>
      </c>
      <c r="F3150" s="10" t="str">
        <v/>
      </c>
      <c r="G3150" t="e">
        <f t="shared" si="198"/>
        <v>#VALUE!</v>
      </c>
      <c r="H3150" s="13" t="e">
        <f t="shared" si="199"/>
        <v>#VALUE!</v>
      </c>
    </row>
    <row r="3151" spans="2:8">
      <c r="B3151" s="11" t="str">
        <f t="shared" si="197"/>
        <v/>
      </c>
      <c r="C3151" s="11" t="str">
        <f t="shared" si="196"/>
        <v/>
      </c>
      <c r="F3151" s="10" t="str">
        <v/>
      </c>
      <c r="G3151" t="e">
        <f t="shared" si="198"/>
        <v>#VALUE!</v>
      </c>
      <c r="H3151" s="13" t="e">
        <f t="shared" si="199"/>
        <v>#VALUE!</v>
      </c>
    </row>
    <row r="3152" spans="2:8">
      <c r="B3152" s="11" t="str">
        <f t="shared" si="197"/>
        <v/>
      </c>
      <c r="C3152" s="11" t="str">
        <f t="shared" si="196"/>
        <v/>
      </c>
      <c r="F3152" s="10" t="str">
        <v/>
      </c>
      <c r="G3152" t="e">
        <f t="shared" si="198"/>
        <v>#VALUE!</v>
      </c>
      <c r="H3152" s="13" t="e">
        <f t="shared" si="199"/>
        <v>#VALUE!</v>
      </c>
    </row>
    <row r="3153" spans="2:8">
      <c r="B3153" s="11" t="str">
        <f t="shared" si="197"/>
        <v/>
      </c>
      <c r="C3153" s="11" t="str">
        <f t="shared" si="196"/>
        <v/>
      </c>
      <c r="F3153" s="10" t="str">
        <v/>
      </c>
      <c r="G3153" t="e">
        <f t="shared" si="198"/>
        <v>#VALUE!</v>
      </c>
      <c r="H3153" s="13" t="e">
        <f t="shared" si="199"/>
        <v>#VALUE!</v>
      </c>
    </row>
    <row r="3154" spans="2:8">
      <c r="B3154" s="11" t="str">
        <f t="shared" si="197"/>
        <v/>
      </c>
      <c r="C3154" s="11" t="str">
        <f t="shared" si="196"/>
        <v/>
      </c>
      <c r="F3154" s="10" t="str">
        <v/>
      </c>
      <c r="G3154" t="e">
        <f t="shared" si="198"/>
        <v>#VALUE!</v>
      </c>
      <c r="H3154" s="13" t="e">
        <f t="shared" si="199"/>
        <v>#VALUE!</v>
      </c>
    </row>
    <row r="3155" spans="2:8">
      <c r="B3155" s="11" t="str">
        <f t="shared" si="197"/>
        <v/>
      </c>
      <c r="C3155" s="11" t="str">
        <f t="shared" si="196"/>
        <v/>
      </c>
      <c r="F3155" s="10" t="str">
        <v/>
      </c>
      <c r="G3155" t="e">
        <f t="shared" si="198"/>
        <v>#VALUE!</v>
      </c>
      <c r="H3155" s="13" t="e">
        <f t="shared" si="199"/>
        <v>#VALUE!</v>
      </c>
    </row>
    <row r="3156" spans="2:8">
      <c r="B3156" s="11" t="str">
        <f t="shared" si="197"/>
        <v/>
      </c>
      <c r="C3156" s="11" t="str">
        <f t="shared" si="196"/>
        <v/>
      </c>
      <c r="F3156" s="10" t="str">
        <v/>
      </c>
      <c r="G3156" t="e">
        <f t="shared" si="198"/>
        <v>#VALUE!</v>
      </c>
      <c r="H3156" s="13" t="e">
        <f t="shared" si="199"/>
        <v>#VALUE!</v>
      </c>
    </row>
    <row r="3157" spans="2:8">
      <c r="B3157" s="11" t="str">
        <f t="shared" si="197"/>
        <v/>
      </c>
      <c r="C3157" s="11" t="str">
        <f t="shared" si="196"/>
        <v/>
      </c>
      <c r="F3157" s="10" t="str">
        <v/>
      </c>
      <c r="G3157" t="e">
        <f t="shared" si="198"/>
        <v>#VALUE!</v>
      </c>
      <c r="H3157" s="13" t="e">
        <f t="shared" si="199"/>
        <v>#VALUE!</v>
      </c>
    </row>
    <row r="3158" spans="2:8">
      <c r="B3158" s="11" t="str">
        <f t="shared" si="197"/>
        <v/>
      </c>
      <c r="C3158" s="11" t="str">
        <f t="shared" si="196"/>
        <v/>
      </c>
      <c r="F3158" s="10" t="str">
        <v/>
      </c>
      <c r="G3158" t="e">
        <f t="shared" si="198"/>
        <v>#VALUE!</v>
      </c>
      <c r="H3158" s="13" t="e">
        <f t="shared" si="199"/>
        <v>#VALUE!</v>
      </c>
    </row>
    <row r="3159" spans="2:8">
      <c r="B3159" s="11" t="str">
        <f t="shared" si="197"/>
        <v/>
      </c>
      <c r="C3159" s="11" t="str">
        <f t="shared" si="196"/>
        <v/>
      </c>
      <c r="F3159" s="10" t="str">
        <v/>
      </c>
      <c r="G3159" t="e">
        <f t="shared" si="198"/>
        <v>#VALUE!</v>
      </c>
      <c r="H3159" s="13" t="e">
        <f t="shared" si="199"/>
        <v>#VALUE!</v>
      </c>
    </row>
    <row r="3160" spans="2:8">
      <c r="B3160" s="11" t="str">
        <f t="shared" si="197"/>
        <v/>
      </c>
      <c r="C3160" s="11" t="str">
        <f t="shared" si="196"/>
        <v/>
      </c>
      <c r="F3160" s="10" t="str">
        <v/>
      </c>
      <c r="G3160" t="e">
        <f t="shared" si="198"/>
        <v>#VALUE!</v>
      </c>
      <c r="H3160" s="13" t="e">
        <f t="shared" si="199"/>
        <v>#VALUE!</v>
      </c>
    </row>
    <row r="3161" spans="2:8">
      <c r="B3161" s="11" t="str">
        <f t="shared" si="197"/>
        <v/>
      </c>
      <c r="C3161" s="11" t="str">
        <f t="shared" si="196"/>
        <v/>
      </c>
      <c r="F3161" s="10" t="str">
        <v/>
      </c>
      <c r="G3161" t="e">
        <f t="shared" si="198"/>
        <v>#VALUE!</v>
      </c>
      <c r="H3161" s="13" t="e">
        <f t="shared" si="199"/>
        <v>#VALUE!</v>
      </c>
    </row>
    <row r="3162" spans="2:8">
      <c r="B3162" s="11" t="str">
        <f t="shared" si="197"/>
        <v/>
      </c>
      <c r="C3162" s="11" t="str">
        <f t="shared" si="196"/>
        <v/>
      </c>
      <c r="F3162" s="10" t="str">
        <v/>
      </c>
      <c r="G3162" t="e">
        <f t="shared" si="198"/>
        <v>#VALUE!</v>
      </c>
      <c r="H3162" s="13" t="e">
        <f t="shared" si="199"/>
        <v>#VALUE!</v>
      </c>
    </row>
    <row r="3163" spans="2:8">
      <c r="B3163" s="11" t="str">
        <f t="shared" si="197"/>
        <v/>
      </c>
      <c r="C3163" s="11" t="str">
        <f t="shared" si="196"/>
        <v/>
      </c>
      <c r="F3163" s="10" t="str">
        <v/>
      </c>
      <c r="G3163" t="e">
        <f t="shared" si="198"/>
        <v>#VALUE!</v>
      </c>
      <c r="H3163" s="13" t="e">
        <f t="shared" si="199"/>
        <v>#VALUE!</v>
      </c>
    </row>
    <row r="3164" spans="2:8">
      <c r="B3164" s="11" t="str">
        <f t="shared" si="197"/>
        <v/>
      </c>
      <c r="C3164" s="11" t="str">
        <f t="shared" si="196"/>
        <v/>
      </c>
      <c r="F3164" s="10" t="str">
        <v/>
      </c>
      <c r="G3164" t="e">
        <f t="shared" si="198"/>
        <v>#VALUE!</v>
      </c>
      <c r="H3164" s="13" t="e">
        <f t="shared" si="199"/>
        <v>#VALUE!</v>
      </c>
    </row>
    <row r="3165" spans="2:8">
      <c r="B3165" s="11" t="str">
        <f t="shared" si="197"/>
        <v/>
      </c>
      <c r="C3165" s="11" t="str">
        <f t="shared" si="196"/>
        <v/>
      </c>
      <c r="F3165" s="10" t="str">
        <v/>
      </c>
      <c r="G3165" t="e">
        <f t="shared" si="198"/>
        <v>#VALUE!</v>
      </c>
      <c r="H3165" s="13" t="e">
        <f t="shared" si="199"/>
        <v>#VALUE!</v>
      </c>
    </row>
    <row r="3166" spans="2:8">
      <c r="B3166" s="11" t="str">
        <f t="shared" si="197"/>
        <v/>
      </c>
      <c r="C3166" s="11" t="str">
        <f t="shared" si="196"/>
        <v/>
      </c>
      <c r="F3166" s="10" t="str">
        <v/>
      </c>
      <c r="G3166" t="e">
        <f t="shared" si="198"/>
        <v>#VALUE!</v>
      </c>
      <c r="H3166" s="13" t="e">
        <f t="shared" si="199"/>
        <v>#VALUE!</v>
      </c>
    </row>
    <row r="3167" spans="2:8">
      <c r="B3167" s="11" t="str">
        <f t="shared" si="197"/>
        <v/>
      </c>
      <c r="C3167" s="11" t="str">
        <f t="shared" si="196"/>
        <v/>
      </c>
      <c r="F3167" s="10" t="str">
        <v/>
      </c>
      <c r="G3167" t="e">
        <f t="shared" si="198"/>
        <v>#VALUE!</v>
      </c>
      <c r="H3167" s="13" t="e">
        <f t="shared" si="199"/>
        <v>#VALUE!</v>
      </c>
    </row>
    <row r="3168" spans="2:8">
      <c r="B3168" s="11" t="str">
        <f t="shared" si="197"/>
        <v/>
      </c>
      <c r="C3168" s="11" t="str">
        <f t="shared" si="196"/>
        <v/>
      </c>
      <c r="F3168" s="10" t="str">
        <v/>
      </c>
      <c r="G3168" t="e">
        <f t="shared" si="198"/>
        <v>#VALUE!</v>
      </c>
      <c r="H3168" s="13" t="e">
        <f t="shared" si="199"/>
        <v>#VALUE!</v>
      </c>
    </row>
    <row r="3169" spans="2:8">
      <c r="B3169" s="11" t="str">
        <f t="shared" si="197"/>
        <v/>
      </c>
      <c r="C3169" s="11" t="str">
        <f t="shared" si="196"/>
        <v/>
      </c>
      <c r="F3169" s="10" t="str">
        <v/>
      </c>
      <c r="G3169" t="e">
        <f t="shared" si="198"/>
        <v>#VALUE!</v>
      </c>
      <c r="H3169" s="13" t="e">
        <f t="shared" si="199"/>
        <v>#VALUE!</v>
      </c>
    </row>
    <row r="3170" spans="2:8">
      <c r="B3170" s="11" t="str">
        <f t="shared" si="197"/>
        <v/>
      </c>
      <c r="C3170" s="11" t="str">
        <f t="shared" si="196"/>
        <v/>
      </c>
      <c r="F3170" s="10" t="str">
        <v/>
      </c>
      <c r="G3170" t="e">
        <f t="shared" si="198"/>
        <v>#VALUE!</v>
      </c>
      <c r="H3170" s="13" t="e">
        <f t="shared" si="199"/>
        <v>#VALUE!</v>
      </c>
    </row>
    <row r="3171" spans="2:8">
      <c r="B3171" s="11" t="str">
        <f t="shared" si="197"/>
        <v/>
      </c>
      <c r="C3171" s="11" t="str">
        <f t="shared" si="196"/>
        <v/>
      </c>
      <c r="F3171" s="10" t="str">
        <v/>
      </c>
      <c r="G3171" t="e">
        <f t="shared" si="198"/>
        <v>#VALUE!</v>
      </c>
      <c r="H3171" s="13" t="e">
        <f t="shared" si="199"/>
        <v>#VALUE!</v>
      </c>
    </row>
    <row r="3172" spans="2:8">
      <c r="B3172" s="11" t="str">
        <f t="shared" si="197"/>
        <v/>
      </c>
      <c r="C3172" s="11" t="str">
        <f t="shared" si="196"/>
        <v/>
      </c>
      <c r="F3172" s="10" t="str">
        <v/>
      </c>
      <c r="G3172" t="e">
        <f t="shared" si="198"/>
        <v>#VALUE!</v>
      </c>
      <c r="H3172" s="13" t="e">
        <f t="shared" si="199"/>
        <v>#VALUE!</v>
      </c>
    </row>
    <row r="3173" spans="2:8">
      <c r="B3173" s="11" t="str">
        <f t="shared" si="197"/>
        <v/>
      </c>
      <c r="C3173" s="11" t="str">
        <f t="shared" si="196"/>
        <v/>
      </c>
      <c r="F3173" s="10" t="str">
        <v/>
      </c>
      <c r="G3173" t="e">
        <f t="shared" si="198"/>
        <v>#VALUE!</v>
      </c>
      <c r="H3173" s="13" t="e">
        <f t="shared" si="199"/>
        <v>#VALUE!</v>
      </c>
    </row>
    <row r="3174" spans="2:8">
      <c r="B3174" s="11" t="str">
        <f t="shared" si="197"/>
        <v/>
      </c>
      <c r="C3174" s="11" t="str">
        <f t="shared" si="196"/>
        <v/>
      </c>
      <c r="F3174" s="10" t="str">
        <v/>
      </c>
      <c r="G3174" t="e">
        <f t="shared" si="198"/>
        <v>#VALUE!</v>
      </c>
      <c r="H3174" s="13" t="e">
        <f t="shared" si="199"/>
        <v>#VALUE!</v>
      </c>
    </row>
    <row r="3175" spans="2:8">
      <c r="B3175" s="11" t="str">
        <f t="shared" si="197"/>
        <v/>
      </c>
      <c r="C3175" s="11" t="str">
        <f t="shared" si="196"/>
        <v/>
      </c>
      <c r="F3175" s="10" t="str">
        <v/>
      </c>
      <c r="G3175" t="e">
        <f t="shared" si="198"/>
        <v>#VALUE!</v>
      </c>
      <c r="H3175" s="13" t="e">
        <f t="shared" si="199"/>
        <v>#VALUE!</v>
      </c>
    </row>
    <row r="3176" spans="2:8">
      <c r="B3176" s="11" t="str">
        <f t="shared" si="197"/>
        <v/>
      </c>
      <c r="C3176" s="11" t="str">
        <f t="shared" si="196"/>
        <v/>
      </c>
      <c r="F3176" s="10" t="str">
        <v/>
      </c>
      <c r="G3176" t="e">
        <f t="shared" si="198"/>
        <v>#VALUE!</v>
      </c>
      <c r="H3176" s="13" t="e">
        <f t="shared" si="199"/>
        <v>#VALUE!</v>
      </c>
    </row>
    <row r="3177" spans="2:8">
      <c r="B3177" s="11" t="str">
        <f t="shared" si="197"/>
        <v/>
      </c>
      <c r="C3177" s="11" t="str">
        <f t="shared" ref="C3177:C3240" si="200">IF(B3177="артикул",A3177,"")</f>
        <v/>
      </c>
      <c r="F3177" s="10" t="str">
        <v/>
      </c>
      <c r="G3177" t="e">
        <f t="shared" si="198"/>
        <v>#VALUE!</v>
      </c>
      <c r="H3177" s="13" t="e">
        <f t="shared" si="199"/>
        <v>#VALUE!</v>
      </c>
    </row>
    <row r="3178" spans="2:8">
      <c r="B3178" s="11" t="str">
        <f t="shared" si="197"/>
        <v/>
      </c>
      <c r="C3178" s="11" t="str">
        <f t="shared" si="200"/>
        <v/>
      </c>
      <c r="F3178" s="10" t="str">
        <v/>
      </c>
      <c r="G3178" t="e">
        <f t="shared" si="198"/>
        <v>#VALUE!</v>
      </c>
      <c r="H3178" s="13" t="e">
        <f t="shared" si="199"/>
        <v>#VALUE!</v>
      </c>
    </row>
    <row r="3179" spans="2:8">
      <c r="B3179" s="11" t="str">
        <f t="shared" si="197"/>
        <v/>
      </c>
      <c r="C3179" s="11" t="str">
        <f t="shared" si="200"/>
        <v/>
      </c>
      <c r="F3179" s="10" t="str">
        <v/>
      </c>
      <c r="G3179" t="e">
        <f t="shared" si="198"/>
        <v>#VALUE!</v>
      </c>
      <c r="H3179" s="13" t="e">
        <f t="shared" si="199"/>
        <v>#VALUE!</v>
      </c>
    </row>
    <row r="3180" spans="2:8">
      <c r="B3180" s="11" t="str">
        <f t="shared" si="197"/>
        <v/>
      </c>
      <c r="C3180" s="11" t="str">
        <f t="shared" si="200"/>
        <v/>
      </c>
      <c r="F3180" s="10" t="str">
        <v/>
      </c>
      <c r="G3180" t="e">
        <f t="shared" si="198"/>
        <v>#VALUE!</v>
      </c>
      <c r="H3180" s="13" t="e">
        <f t="shared" si="199"/>
        <v>#VALUE!</v>
      </c>
    </row>
    <row r="3181" spans="2:8">
      <c r="B3181" s="11" t="str">
        <f t="shared" si="197"/>
        <v/>
      </c>
      <c r="C3181" s="11" t="str">
        <f t="shared" si="200"/>
        <v/>
      </c>
      <c r="F3181" s="10" t="str">
        <v/>
      </c>
      <c r="G3181" t="e">
        <f t="shared" si="198"/>
        <v>#VALUE!</v>
      </c>
      <c r="H3181" s="13" t="e">
        <f t="shared" si="199"/>
        <v>#VALUE!</v>
      </c>
    </row>
    <row r="3182" spans="2:8">
      <c r="B3182" s="11" t="str">
        <f t="shared" si="197"/>
        <v/>
      </c>
      <c r="C3182" s="11" t="str">
        <f t="shared" si="200"/>
        <v/>
      </c>
      <c r="F3182" s="10" t="str">
        <v/>
      </c>
      <c r="G3182" t="e">
        <f t="shared" si="198"/>
        <v>#VALUE!</v>
      </c>
      <c r="H3182" s="13" t="e">
        <f t="shared" si="199"/>
        <v>#VALUE!</v>
      </c>
    </row>
    <row r="3183" spans="2:8">
      <c r="B3183" s="11" t="str">
        <f t="shared" si="197"/>
        <v/>
      </c>
      <c r="C3183" s="11" t="str">
        <f t="shared" si="200"/>
        <v/>
      </c>
      <c r="F3183" s="10" t="str">
        <v/>
      </c>
      <c r="G3183" t="e">
        <f t="shared" si="198"/>
        <v>#VALUE!</v>
      </c>
      <c r="H3183" s="13" t="e">
        <f t="shared" si="199"/>
        <v>#VALUE!</v>
      </c>
    </row>
    <row r="3184" spans="2:8">
      <c r="B3184" s="11" t="str">
        <f t="shared" si="197"/>
        <v/>
      </c>
      <c r="C3184" s="11" t="str">
        <f t="shared" si="200"/>
        <v/>
      </c>
      <c r="F3184" s="10" t="str">
        <v/>
      </c>
      <c r="G3184" t="e">
        <f t="shared" si="198"/>
        <v>#VALUE!</v>
      </c>
      <c r="H3184" s="13" t="e">
        <f t="shared" si="199"/>
        <v>#VALUE!</v>
      </c>
    </row>
    <row r="3185" spans="2:8">
      <c r="B3185" s="11" t="str">
        <f t="shared" si="197"/>
        <v/>
      </c>
      <c r="C3185" s="11" t="str">
        <f t="shared" si="200"/>
        <v/>
      </c>
      <c r="F3185" s="10" t="str">
        <v/>
      </c>
      <c r="G3185" t="e">
        <f t="shared" si="198"/>
        <v>#VALUE!</v>
      </c>
      <c r="H3185" s="13" t="e">
        <f t="shared" si="199"/>
        <v>#VALUE!</v>
      </c>
    </row>
    <row r="3186" spans="2:8">
      <c r="B3186" s="11" t="str">
        <f t="shared" si="197"/>
        <v/>
      </c>
      <c r="C3186" s="11" t="str">
        <f t="shared" si="200"/>
        <v/>
      </c>
      <c r="F3186" s="10" t="str">
        <v/>
      </c>
      <c r="G3186" t="e">
        <f t="shared" si="198"/>
        <v>#VALUE!</v>
      </c>
      <c r="H3186" s="13" t="e">
        <f t="shared" si="199"/>
        <v>#VALUE!</v>
      </c>
    </row>
    <row r="3187" spans="2:8">
      <c r="B3187" s="11" t="str">
        <f t="shared" si="197"/>
        <v/>
      </c>
      <c r="C3187" s="11" t="str">
        <f t="shared" si="200"/>
        <v/>
      </c>
      <c r="F3187" s="10" t="str">
        <v/>
      </c>
      <c r="G3187" t="e">
        <f t="shared" si="198"/>
        <v>#VALUE!</v>
      </c>
      <c r="H3187" s="13" t="e">
        <f t="shared" si="199"/>
        <v>#VALUE!</v>
      </c>
    </row>
    <row r="3188" spans="2:8">
      <c r="B3188" s="11" t="str">
        <f t="shared" si="197"/>
        <v/>
      </c>
      <c r="C3188" s="11" t="str">
        <f t="shared" si="200"/>
        <v/>
      </c>
      <c r="F3188" s="10" t="str">
        <v/>
      </c>
      <c r="G3188" t="e">
        <f t="shared" si="198"/>
        <v>#VALUE!</v>
      </c>
      <c r="H3188" s="13" t="e">
        <f t="shared" si="199"/>
        <v>#VALUE!</v>
      </c>
    </row>
    <row r="3189" spans="2:8">
      <c r="B3189" s="11" t="str">
        <f t="shared" si="197"/>
        <v/>
      </c>
      <c r="C3189" s="11" t="str">
        <f t="shared" si="200"/>
        <v/>
      </c>
      <c r="F3189" s="10" t="str">
        <v/>
      </c>
      <c r="G3189" t="e">
        <f t="shared" si="198"/>
        <v>#VALUE!</v>
      </c>
      <c r="H3189" s="13" t="e">
        <f t="shared" si="199"/>
        <v>#VALUE!</v>
      </c>
    </row>
    <row r="3190" spans="2:8">
      <c r="B3190" s="11" t="str">
        <f t="shared" si="197"/>
        <v/>
      </c>
      <c r="C3190" s="11" t="str">
        <f t="shared" si="200"/>
        <v/>
      </c>
      <c r="F3190" s="10" t="str">
        <v/>
      </c>
      <c r="G3190" t="e">
        <f t="shared" si="198"/>
        <v>#VALUE!</v>
      </c>
      <c r="H3190" s="13" t="e">
        <f t="shared" si="199"/>
        <v>#VALUE!</v>
      </c>
    </row>
    <row r="3191" spans="2:8">
      <c r="B3191" s="11" t="str">
        <f t="shared" si="197"/>
        <v/>
      </c>
      <c r="C3191" s="11" t="str">
        <f t="shared" si="200"/>
        <v/>
      </c>
      <c r="F3191" s="10" t="str">
        <v/>
      </c>
      <c r="G3191" t="e">
        <f t="shared" si="198"/>
        <v>#VALUE!</v>
      </c>
      <c r="H3191" s="13" t="e">
        <f t="shared" si="199"/>
        <v>#VALUE!</v>
      </c>
    </row>
    <row r="3192" spans="2:8">
      <c r="B3192" s="11" t="str">
        <f t="shared" si="197"/>
        <v/>
      </c>
      <c r="C3192" s="11" t="str">
        <f t="shared" si="200"/>
        <v/>
      </c>
      <c r="F3192" s="10" t="str">
        <v/>
      </c>
      <c r="G3192" t="e">
        <f t="shared" si="198"/>
        <v>#VALUE!</v>
      </c>
      <c r="H3192" s="13" t="e">
        <f t="shared" si="199"/>
        <v>#VALUE!</v>
      </c>
    </row>
    <row r="3193" spans="2:8">
      <c r="B3193" s="11" t="str">
        <f t="shared" si="197"/>
        <v/>
      </c>
      <c r="C3193" s="11" t="str">
        <f t="shared" si="200"/>
        <v/>
      </c>
      <c r="F3193" s="10" t="str">
        <v/>
      </c>
      <c r="G3193" t="e">
        <f t="shared" si="198"/>
        <v>#VALUE!</v>
      </c>
      <c r="H3193" s="13" t="e">
        <f t="shared" si="199"/>
        <v>#VALUE!</v>
      </c>
    </row>
    <row r="3194" spans="2:8">
      <c r="B3194" s="11" t="str">
        <f t="shared" si="197"/>
        <v/>
      </c>
      <c r="C3194" s="11" t="str">
        <f t="shared" si="200"/>
        <v/>
      </c>
      <c r="F3194" s="10" t="str">
        <v/>
      </c>
      <c r="G3194" t="e">
        <f t="shared" si="198"/>
        <v>#VALUE!</v>
      </c>
      <c r="H3194" s="13" t="e">
        <f t="shared" si="199"/>
        <v>#VALUE!</v>
      </c>
    </row>
    <row r="3195" spans="2:8">
      <c r="B3195" s="11" t="str">
        <f t="shared" si="197"/>
        <v/>
      </c>
      <c r="C3195" s="11" t="str">
        <f t="shared" si="200"/>
        <v/>
      </c>
      <c r="F3195" s="10" t="str">
        <v/>
      </c>
      <c r="G3195" t="e">
        <f t="shared" si="198"/>
        <v>#VALUE!</v>
      </c>
      <c r="H3195" s="13" t="e">
        <f t="shared" si="199"/>
        <v>#VALUE!</v>
      </c>
    </row>
    <row r="3196" spans="2:8">
      <c r="B3196" s="11" t="str">
        <f t="shared" si="197"/>
        <v/>
      </c>
      <c r="C3196" s="11" t="str">
        <f t="shared" si="200"/>
        <v/>
      </c>
      <c r="F3196" s="10" t="str">
        <v/>
      </c>
      <c r="G3196" t="e">
        <f t="shared" si="198"/>
        <v>#VALUE!</v>
      </c>
      <c r="H3196" s="13" t="e">
        <f t="shared" si="199"/>
        <v>#VALUE!</v>
      </c>
    </row>
    <row r="3197" spans="2:8">
      <c r="B3197" s="11" t="str">
        <f t="shared" si="197"/>
        <v/>
      </c>
      <c r="C3197" s="11" t="str">
        <f t="shared" si="200"/>
        <v/>
      </c>
      <c r="F3197" s="10" t="str">
        <v/>
      </c>
      <c r="G3197" t="e">
        <f t="shared" si="198"/>
        <v>#VALUE!</v>
      </c>
      <c r="H3197" s="13" t="e">
        <f t="shared" si="199"/>
        <v>#VALUE!</v>
      </c>
    </row>
    <row r="3198" spans="2:8">
      <c r="B3198" s="11" t="str">
        <f t="shared" si="197"/>
        <v/>
      </c>
      <c r="C3198" s="11" t="str">
        <f t="shared" si="200"/>
        <v/>
      </c>
      <c r="F3198" s="10" t="str">
        <v/>
      </c>
      <c r="G3198" t="e">
        <f t="shared" si="198"/>
        <v>#VALUE!</v>
      </c>
      <c r="H3198" s="13" t="e">
        <f t="shared" si="199"/>
        <v>#VALUE!</v>
      </c>
    </row>
    <row r="3199" spans="2:8">
      <c r="B3199" s="11" t="str">
        <f t="shared" si="197"/>
        <v/>
      </c>
      <c r="C3199" s="11" t="str">
        <f t="shared" si="200"/>
        <v/>
      </c>
      <c r="F3199" s="10" t="str">
        <v/>
      </c>
      <c r="G3199" t="e">
        <f t="shared" si="198"/>
        <v>#VALUE!</v>
      </c>
      <c r="H3199" s="13" t="e">
        <f t="shared" si="199"/>
        <v>#VALUE!</v>
      </c>
    </row>
    <row r="3200" spans="2:8">
      <c r="B3200" s="11" t="str">
        <f t="shared" si="197"/>
        <v/>
      </c>
      <c r="C3200" s="11" t="str">
        <f t="shared" si="200"/>
        <v/>
      </c>
      <c r="F3200" s="10" t="str">
        <v/>
      </c>
      <c r="G3200" t="e">
        <f t="shared" si="198"/>
        <v>#VALUE!</v>
      </c>
      <c r="H3200" s="13" t="e">
        <f t="shared" si="199"/>
        <v>#VALUE!</v>
      </c>
    </row>
    <row r="3201" spans="2:8">
      <c r="B3201" s="11" t="str">
        <f t="shared" ref="B3201:B3264" si="201">IFERROR(IF(FIND(" ",A3201)=6,IF(IFERROR(FIND(" PB",A3201),"")&lt;&gt;"","артикул",IF(IFERROR(FIND(" CRN",A3201),"")&lt;&gt;"","артикул","")),""),"")</f>
        <v/>
      </c>
      <c r="C3201" s="11" t="str">
        <f t="shared" si="200"/>
        <v/>
      </c>
      <c r="F3201" s="10" t="str">
        <v/>
      </c>
      <c r="G3201" t="e">
        <f t="shared" si="198"/>
        <v>#VALUE!</v>
      </c>
      <c r="H3201" s="13" t="e">
        <f t="shared" si="199"/>
        <v>#VALUE!</v>
      </c>
    </row>
    <row r="3202" spans="2:8">
      <c r="B3202" s="11" t="str">
        <f t="shared" si="201"/>
        <v/>
      </c>
      <c r="C3202" s="11" t="str">
        <f t="shared" si="200"/>
        <v/>
      </c>
      <c r="F3202" s="10" t="str">
        <v/>
      </c>
      <c r="G3202" t="e">
        <f t="shared" ref="G3202:G3265" si="202">CONCATENATE(LEFT(F3202,5),
MID(F3202,
SEARCH("\",SUBSTITUTE(F3202," ","\",LEN(F3202)-LEN(SUBSTITUTE(F3202," ",""))-4)),
SEARCH("\",SUBSTITUTE(F3202," ","\",LEN(F3202)-LEN(SUBSTITUTE(F3202," ",""))-3))-
SEARCH("\",SUBSTITUTE(F3202," ","\",LEN(F3202)-LEN(SUBSTITUTE(F3202," ",""))-4)))*1)</f>
        <v>#VALUE!</v>
      </c>
      <c r="H3202" s="13" t="e">
        <f t="shared" ref="H3202:H3265" si="203">SUBSTITUTE(
RIGHT(F3202,LEN(F3202)-
FIND("\",SUBSTITUTE(F3202," ","\",LEN(F3202)-LEN(SUBSTITUTE(F3202," ",""))))),
".","")</f>
        <v>#VALUE!</v>
      </c>
    </row>
    <row r="3203" spans="2:8">
      <c r="B3203" s="11" t="str">
        <f t="shared" si="201"/>
        <v/>
      </c>
      <c r="C3203" s="11" t="str">
        <f t="shared" si="200"/>
        <v/>
      </c>
      <c r="F3203" s="10" t="str">
        <v/>
      </c>
      <c r="G3203" t="e">
        <f t="shared" si="202"/>
        <v>#VALUE!</v>
      </c>
      <c r="H3203" s="13" t="e">
        <f t="shared" si="203"/>
        <v>#VALUE!</v>
      </c>
    </row>
    <row r="3204" spans="2:8">
      <c r="B3204" s="11" t="str">
        <f t="shared" si="201"/>
        <v/>
      </c>
      <c r="C3204" s="11" t="str">
        <f t="shared" si="200"/>
        <v/>
      </c>
      <c r="F3204" s="10" t="str">
        <v/>
      </c>
      <c r="G3204" t="e">
        <f t="shared" si="202"/>
        <v>#VALUE!</v>
      </c>
      <c r="H3204" s="13" t="e">
        <f t="shared" si="203"/>
        <v>#VALUE!</v>
      </c>
    </row>
    <row r="3205" spans="2:8">
      <c r="B3205" s="11" t="str">
        <f t="shared" si="201"/>
        <v/>
      </c>
      <c r="C3205" s="11" t="str">
        <f t="shared" si="200"/>
        <v/>
      </c>
      <c r="F3205" s="10" t="str">
        <v/>
      </c>
      <c r="G3205" t="e">
        <f t="shared" si="202"/>
        <v>#VALUE!</v>
      </c>
      <c r="H3205" s="13" t="e">
        <f t="shared" si="203"/>
        <v>#VALUE!</v>
      </c>
    </row>
    <row r="3206" spans="2:8">
      <c r="B3206" s="11" t="str">
        <f t="shared" si="201"/>
        <v/>
      </c>
      <c r="C3206" s="11" t="str">
        <f t="shared" si="200"/>
        <v/>
      </c>
      <c r="F3206" s="10" t="str">
        <v/>
      </c>
      <c r="G3206" t="e">
        <f t="shared" si="202"/>
        <v>#VALUE!</v>
      </c>
      <c r="H3206" s="13" t="e">
        <f t="shared" si="203"/>
        <v>#VALUE!</v>
      </c>
    </row>
    <row r="3207" spans="2:8">
      <c r="B3207" s="11" t="str">
        <f t="shared" si="201"/>
        <v/>
      </c>
      <c r="C3207" s="11" t="str">
        <f t="shared" si="200"/>
        <v/>
      </c>
      <c r="F3207" s="10" t="str">
        <v/>
      </c>
      <c r="G3207" t="e">
        <f t="shared" si="202"/>
        <v>#VALUE!</v>
      </c>
      <c r="H3207" s="13" t="e">
        <f t="shared" si="203"/>
        <v>#VALUE!</v>
      </c>
    </row>
    <row r="3208" spans="2:8">
      <c r="B3208" s="11" t="str">
        <f t="shared" si="201"/>
        <v/>
      </c>
      <c r="C3208" s="11" t="str">
        <f t="shared" si="200"/>
        <v/>
      </c>
      <c r="F3208" s="10" t="str">
        <v/>
      </c>
      <c r="G3208" t="e">
        <f t="shared" si="202"/>
        <v>#VALUE!</v>
      </c>
      <c r="H3208" s="13" t="e">
        <f t="shared" si="203"/>
        <v>#VALUE!</v>
      </c>
    </row>
    <row r="3209" spans="2:8">
      <c r="B3209" s="11" t="str">
        <f t="shared" si="201"/>
        <v/>
      </c>
      <c r="C3209" s="11" t="str">
        <f t="shared" si="200"/>
        <v/>
      </c>
      <c r="F3209" s="10" t="str">
        <v/>
      </c>
      <c r="G3209" t="e">
        <f t="shared" si="202"/>
        <v>#VALUE!</v>
      </c>
      <c r="H3209" s="13" t="e">
        <f t="shared" si="203"/>
        <v>#VALUE!</v>
      </c>
    </row>
    <row r="3210" spans="2:8">
      <c r="B3210" s="11" t="str">
        <f t="shared" si="201"/>
        <v/>
      </c>
      <c r="C3210" s="11" t="str">
        <f t="shared" si="200"/>
        <v/>
      </c>
      <c r="F3210" s="10" t="str">
        <v/>
      </c>
      <c r="G3210" t="e">
        <f t="shared" si="202"/>
        <v>#VALUE!</v>
      </c>
      <c r="H3210" s="13" t="e">
        <f t="shared" si="203"/>
        <v>#VALUE!</v>
      </c>
    </row>
    <row r="3211" spans="2:8">
      <c r="B3211" s="11" t="str">
        <f t="shared" si="201"/>
        <v/>
      </c>
      <c r="C3211" s="11" t="str">
        <f t="shared" si="200"/>
        <v/>
      </c>
      <c r="F3211" s="10" t="str">
        <v/>
      </c>
      <c r="G3211" t="e">
        <f t="shared" si="202"/>
        <v>#VALUE!</v>
      </c>
      <c r="H3211" s="13" t="e">
        <f t="shared" si="203"/>
        <v>#VALUE!</v>
      </c>
    </row>
    <row r="3212" spans="2:8">
      <c r="B3212" s="11" t="str">
        <f t="shared" si="201"/>
        <v/>
      </c>
      <c r="C3212" s="11" t="str">
        <f t="shared" si="200"/>
        <v/>
      </c>
      <c r="F3212" s="10" t="str">
        <v/>
      </c>
      <c r="G3212" t="e">
        <f t="shared" si="202"/>
        <v>#VALUE!</v>
      </c>
      <c r="H3212" s="13" t="e">
        <f t="shared" si="203"/>
        <v>#VALUE!</v>
      </c>
    </row>
    <row r="3213" spans="2:8">
      <c r="B3213" s="11" t="str">
        <f t="shared" si="201"/>
        <v/>
      </c>
      <c r="C3213" s="11" t="str">
        <f t="shared" si="200"/>
        <v/>
      </c>
      <c r="F3213" s="10" t="str">
        <v/>
      </c>
      <c r="G3213" t="e">
        <f t="shared" si="202"/>
        <v>#VALUE!</v>
      </c>
      <c r="H3213" s="13" t="e">
        <f t="shared" si="203"/>
        <v>#VALUE!</v>
      </c>
    </row>
    <row r="3214" spans="2:8">
      <c r="B3214" s="11" t="str">
        <f t="shared" si="201"/>
        <v/>
      </c>
      <c r="C3214" s="11" t="str">
        <f t="shared" si="200"/>
        <v/>
      </c>
      <c r="F3214" s="10" t="str">
        <v/>
      </c>
      <c r="G3214" t="e">
        <f t="shared" si="202"/>
        <v>#VALUE!</v>
      </c>
      <c r="H3214" s="13" t="e">
        <f t="shared" si="203"/>
        <v>#VALUE!</v>
      </c>
    </row>
    <row r="3215" spans="2:8">
      <c r="B3215" s="11" t="str">
        <f t="shared" si="201"/>
        <v/>
      </c>
      <c r="C3215" s="11" t="str">
        <f t="shared" si="200"/>
        <v/>
      </c>
      <c r="F3215" s="10" t="str">
        <v/>
      </c>
      <c r="G3215" t="e">
        <f t="shared" si="202"/>
        <v>#VALUE!</v>
      </c>
      <c r="H3215" s="13" t="e">
        <f t="shared" si="203"/>
        <v>#VALUE!</v>
      </c>
    </row>
    <row r="3216" spans="2:8">
      <c r="B3216" s="11" t="str">
        <f t="shared" si="201"/>
        <v/>
      </c>
      <c r="C3216" s="11" t="str">
        <f t="shared" si="200"/>
        <v/>
      </c>
      <c r="F3216" s="10" t="str">
        <v/>
      </c>
      <c r="G3216" t="e">
        <f t="shared" si="202"/>
        <v>#VALUE!</v>
      </c>
      <c r="H3216" s="13" t="e">
        <f t="shared" si="203"/>
        <v>#VALUE!</v>
      </c>
    </row>
    <row r="3217" spans="2:8">
      <c r="B3217" s="11" t="str">
        <f t="shared" si="201"/>
        <v/>
      </c>
      <c r="C3217" s="11" t="str">
        <f t="shared" si="200"/>
        <v/>
      </c>
      <c r="F3217" s="10" t="str">
        <v/>
      </c>
      <c r="G3217" t="e">
        <f t="shared" si="202"/>
        <v>#VALUE!</v>
      </c>
      <c r="H3217" s="13" t="e">
        <f t="shared" si="203"/>
        <v>#VALUE!</v>
      </c>
    </row>
    <row r="3218" spans="2:8">
      <c r="B3218" s="11" t="str">
        <f t="shared" si="201"/>
        <v/>
      </c>
      <c r="C3218" s="11" t="str">
        <f t="shared" si="200"/>
        <v/>
      </c>
      <c r="F3218" s="10" t="str">
        <v/>
      </c>
      <c r="G3218" t="e">
        <f t="shared" si="202"/>
        <v>#VALUE!</v>
      </c>
      <c r="H3218" s="13" t="e">
        <f t="shared" si="203"/>
        <v>#VALUE!</v>
      </c>
    </row>
    <row r="3219" spans="2:8">
      <c r="B3219" s="11" t="str">
        <f t="shared" si="201"/>
        <v/>
      </c>
      <c r="C3219" s="11" t="str">
        <f t="shared" si="200"/>
        <v/>
      </c>
      <c r="F3219" s="10" t="str">
        <v/>
      </c>
      <c r="G3219" t="e">
        <f t="shared" si="202"/>
        <v>#VALUE!</v>
      </c>
      <c r="H3219" s="13" t="e">
        <f t="shared" si="203"/>
        <v>#VALUE!</v>
      </c>
    </row>
    <row r="3220" spans="2:8">
      <c r="B3220" s="11" t="str">
        <f t="shared" si="201"/>
        <v/>
      </c>
      <c r="C3220" s="11" t="str">
        <f t="shared" si="200"/>
        <v/>
      </c>
      <c r="F3220" s="10" t="str">
        <v/>
      </c>
      <c r="G3220" t="e">
        <f t="shared" si="202"/>
        <v>#VALUE!</v>
      </c>
      <c r="H3220" s="13" t="e">
        <f t="shared" si="203"/>
        <v>#VALUE!</v>
      </c>
    </row>
    <row r="3221" spans="2:8">
      <c r="B3221" s="11" t="str">
        <f t="shared" si="201"/>
        <v/>
      </c>
      <c r="C3221" s="11" t="str">
        <f t="shared" si="200"/>
        <v/>
      </c>
      <c r="F3221" s="10" t="str">
        <v/>
      </c>
      <c r="G3221" t="e">
        <f t="shared" si="202"/>
        <v>#VALUE!</v>
      </c>
      <c r="H3221" s="13" t="e">
        <f t="shared" si="203"/>
        <v>#VALUE!</v>
      </c>
    </row>
    <row r="3222" spans="2:8">
      <c r="B3222" s="11" t="str">
        <f t="shared" si="201"/>
        <v/>
      </c>
      <c r="C3222" s="11" t="str">
        <f t="shared" si="200"/>
        <v/>
      </c>
      <c r="F3222" s="10" t="str">
        <v/>
      </c>
      <c r="G3222" t="e">
        <f t="shared" si="202"/>
        <v>#VALUE!</v>
      </c>
      <c r="H3222" s="13" t="e">
        <f t="shared" si="203"/>
        <v>#VALUE!</v>
      </c>
    </row>
    <row r="3223" spans="2:8">
      <c r="B3223" s="11" t="str">
        <f t="shared" si="201"/>
        <v/>
      </c>
      <c r="C3223" s="11" t="str">
        <f t="shared" si="200"/>
        <v/>
      </c>
      <c r="F3223" s="10" t="str">
        <v/>
      </c>
      <c r="G3223" t="e">
        <f t="shared" si="202"/>
        <v>#VALUE!</v>
      </c>
      <c r="H3223" s="13" t="e">
        <f t="shared" si="203"/>
        <v>#VALUE!</v>
      </c>
    </row>
    <row r="3224" spans="2:8">
      <c r="B3224" s="11" t="str">
        <f t="shared" si="201"/>
        <v/>
      </c>
      <c r="C3224" s="11" t="str">
        <f t="shared" si="200"/>
        <v/>
      </c>
      <c r="F3224" s="10" t="str">
        <v/>
      </c>
      <c r="G3224" t="e">
        <f t="shared" si="202"/>
        <v>#VALUE!</v>
      </c>
      <c r="H3224" s="13" t="e">
        <f t="shared" si="203"/>
        <v>#VALUE!</v>
      </c>
    </row>
    <row r="3225" spans="2:8">
      <c r="B3225" s="11" t="str">
        <f t="shared" si="201"/>
        <v/>
      </c>
      <c r="C3225" s="11" t="str">
        <f t="shared" si="200"/>
        <v/>
      </c>
      <c r="F3225" s="10" t="str">
        <v/>
      </c>
      <c r="G3225" t="e">
        <f t="shared" si="202"/>
        <v>#VALUE!</v>
      </c>
      <c r="H3225" s="13" t="e">
        <f t="shared" si="203"/>
        <v>#VALUE!</v>
      </c>
    </row>
    <row r="3226" spans="2:8">
      <c r="B3226" s="11" t="str">
        <f t="shared" si="201"/>
        <v/>
      </c>
      <c r="C3226" s="11" t="str">
        <f t="shared" si="200"/>
        <v/>
      </c>
      <c r="F3226" s="10" t="str">
        <v/>
      </c>
      <c r="G3226" t="e">
        <f t="shared" si="202"/>
        <v>#VALUE!</v>
      </c>
      <c r="H3226" s="13" t="e">
        <f t="shared" si="203"/>
        <v>#VALUE!</v>
      </c>
    </row>
    <row r="3227" spans="2:8">
      <c r="B3227" s="11" t="str">
        <f t="shared" si="201"/>
        <v/>
      </c>
      <c r="C3227" s="11" t="str">
        <f t="shared" si="200"/>
        <v/>
      </c>
      <c r="F3227" s="10" t="str">
        <v/>
      </c>
      <c r="G3227" t="e">
        <f t="shared" si="202"/>
        <v>#VALUE!</v>
      </c>
      <c r="H3227" s="13" t="e">
        <f t="shared" si="203"/>
        <v>#VALUE!</v>
      </c>
    </row>
    <row r="3228" spans="2:8">
      <c r="B3228" s="11" t="str">
        <f t="shared" si="201"/>
        <v/>
      </c>
      <c r="C3228" s="11" t="str">
        <f t="shared" si="200"/>
        <v/>
      </c>
      <c r="F3228" s="10" t="str">
        <v/>
      </c>
      <c r="G3228" t="e">
        <f t="shared" si="202"/>
        <v>#VALUE!</v>
      </c>
      <c r="H3228" s="13" t="e">
        <f t="shared" si="203"/>
        <v>#VALUE!</v>
      </c>
    </row>
    <row r="3229" spans="2:8">
      <c r="B3229" s="11" t="str">
        <f t="shared" si="201"/>
        <v/>
      </c>
      <c r="C3229" s="11" t="str">
        <f t="shared" si="200"/>
        <v/>
      </c>
      <c r="F3229" s="10" t="str">
        <v/>
      </c>
      <c r="G3229" t="e">
        <f t="shared" si="202"/>
        <v>#VALUE!</v>
      </c>
      <c r="H3229" s="13" t="e">
        <f t="shared" si="203"/>
        <v>#VALUE!</v>
      </c>
    </row>
    <row r="3230" spans="2:8">
      <c r="B3230" s="11" t="str">
        <f t="shared" si="201"/>
        <v/>
      </c>
      <c r="C3230" s="11" t="str">
        <f t="shared" si="200"/>
        <v/>
      </c>
      <c r="F3230" s="10" t="str">
        <v/>
      </c>
      <c r="G3230" t="e">
        <f t="shared" si="202"/>
        <v>#VALUE!</v>
      </c>
      <c r="H3230" s="13" t="e">
        <f t="shared" si="203"/>
        <v>#VALUE!</v>
      </c>
    </row>
    <row r="3231" spans="2:8">
      <c r="B3231" s="11" t="str">
        <f t="shared" si="201"/>
        <v/>
      </c>
      <c r="C3231" s="11" t="str">
        <f t="shared" si="200"/>
        <v/>
      </c>
      <c r="F3231" s="10" t="str">
        <v/>
      </c>
      <c r="G3231" t="e">
        <f t="shared" si="202"/>
        <v>#VALUE!</v>
      </c>
      <c r="H3231" s="13" t="e">
        <f t="shared" si="203"/>
        <v>#VALUE!</v>
      </c>
    </row>
    <row r="3232" spans="2:8">
      <c r="B3232" s="11" t="str">
        <f t="shared" si="201"/>
        <v/>
      </c>
      <c r="C3232" s="11" t="str">
        <f t="shared" si="200"/>
        <v/>
      </c>
      <c r="F3232" s="10" t="str">
        <v/>
      </c>
      <c r="G3232" t="e">
        <f t="shared" si="202"/>
        <v>#VALUE!</v>
      </c>
      <c r="H3232" s="13" t="e">
        <f t="shared" si="203"/>
        <v>#VALUE!</v>
      </c>
    </row>
    <row r="3233" spans="2:8">
      <c r="B3233" s="11" t="str">
        <f t="shared" si="201"/>
        <v/>
      </c>
      <c r="C3233" s="11" t="str">
        <f t="shared" si="200"/>
        <v/>
      </c>
      <c r="F3233" s="10" t="str">
        <v/>
      </c>
      <c r="G3233" t="e">
        <f t="shared" si="202"/>
        <v>#VALUE!</v>
      </c>
      <c r="H3233" s="13" t="e">
        <f t="shared" si="203"/>
        <v>#VALUE!</v>
      </c>
    </row>
    <row r="3234" spans="2:8">
      <c r="B3234" s="11" t="str">
        <f t="shared" si="201"/>
        <v/>
      </c>
      <c r="C3234" s="11" t="str">
        <f t="shared" si="200"/>
        <v/>
      </c>
      <c r="F3234" s="10" t="str">
        <v/>
      </c>
      <c r="G3234" t="e">
        <f t="shared" si="202"/>
        <v>#VALUE!</v>
      </c>
      <c r="H3234" s="13" t="e">
        <f t="shared" si="203"/>
        <v>#VALUE!</v>
      </c>
    </row>
    <row r="3235" spans="2:8">
      <c r="B3235" s="11" t="str">
        <f t="shared" si="201"/>
        <v/>
      </c>
      <c r="C3235" s="11" t="str">
        <f t="shared" si="200"/>
        <v/>
      </c>
      <c r="F3235" s="10" t="str">
        <v/>
      </c>
      <c r="G3235" t="e">
        <f t="shared" si="202"/>
        <v>#VALUE!</v>
      </c>
      <c r="H3235" s="13" t="e">
        <f t="shared" si="203"/>
        <v>#VALUE!</v>
      </c>
    </row>
    <row r="3236" spans="2:8">
      <c r="B3236" s="11" t="str">
        <f t="shared" si="201"/>
        <v/>
      </c>
      <c r="C3236" s="11" t="str">
        <f t="shared" si="200"/>
        <v/>
      </c>
      <c r="F3236" s="10" t="str">
        <v/>
      </c>
      <c r="G3236" t="e">
        <f t="shared" si="202"/>
        <v>#VALUE!</v>
      </c>
      <c r="H3236" s="13" t="e">
        <f t="shared" si="203"/>
        <v>#VALUE!</v>
      </c>
    </row>
    <row r="3237" spans="2:8">
      <c r="B3237" s="11" t="str">
        <f t="shared" si="201"/>
        <v/>
      </c>
      <c r="C3237" s="11" t="str">
        <f t="shared" si="200"/>
        <v/>
      </c>
      <c r="F3237" s="10" t="str">
        <v/>
      </c>
      <c r="G3237" t="e">
        <f t="shared" si="202"/>
        <v>#VALUE!</v>
      </c>
      <c r="H3237" s="13" t="e">
        <f t="shared" si="203"/>
        <v>#VALUE!</v>
      </c>
    </row>
    <row r="3238" spans="2:8">
      <c r="B3238" s="11" t="str">
        <f t="shared" si="201"/>
        <v/>
      </c>
      <c r="C3238" s="11" t="str">
        <f t="shared" si="200"/>
        <v/>
      </c>
      <c r="F3238" s="10" t="str">
        <v/>
      </c>
      <c r="G3238" t="e">
        <f t="shared" si="202"/>
        <v>#VALUE!</v>
      </c>
      <c r="H3238" s="13" t="e">
        <f t="shared" si="203"/>
        <v>#VALUE!</v>
      </c>
    </row>
    <row r="3239" spans="2:8">
      <c r="B3239" s="11" t="str">
        <f t="shared" si="201"/>
        <v/>
      </c>
      <c r="C3239" s="11" t="str">
        <f t="shared" si="200"/>
        <v/>
      </c>
      <c r="F3239" s="10" t="str">
        <v/>
      </c>
      <c r="G3239" t="e">
        <f t="shared" si="202"/>
        <v>#VALUE!</v>
      </c>
      <c r="H3239" s="13" t="e">
        <f t="shared" si="203"/>
        <v>#VALUE!</v>
      </c>
    </row>
    <row r="3240" spans="2:8">
      <c r="B3240" s="11" t="str">
        <f t="shared" si="201"/>
        <v/>
      </c>
      <c r="C3240" s="11" t="str">
        <f t="shared" si="200"/>
        <v/>
      </c>
      <c r="F3240" s="10" t="str">
        <v/>
      </c>
      <c r="G3240" t="e">
        <f t="shared" si="202"/>
        <v>#VALUE!</v>
      </c>
      <c r="H3240" s="13" t="e">
        <f t="shared" si="203"/>
        <v>#VALUE!</v>
      </c>
    </row>
    <row r="3241" spans="2:8">
      <c r="B3241" s="11" t="str">
        <f t="shared" si="201"/>
        <v/>
      </c>
      <c r="C3241" s="11" t="str">
        <f t="shared" ref="C3241:C3304" si="204">IF(B3241="артикул",A3241,"")</f>
        <v/>
      </c>
      <c r="F3241" s="10" t="str">
        <v/>
      </c>
      <c r="G3241" t="e">
        <f t="shared" si="202"/>
        <v>#VALUE!</v>
      </c>
      <c r="H3241" s="13" t="e">
        <f t="shared" si="203"/>
        <v>#VALUE!</v>
      </c>
    </row>
    <row r="3242" spans="2:8">
      <c r="B3242" s="11" t="str">
        <f t="shared" si="201"/>
        <v/>
      </c>
      <c r="C3242" s="11" t="str">
        <f t="shared" si="204"/>
        <v/>
      </c>
      <c r="F3242" s="10" t="str">
        <v/>
      </c>
      <c r="G3242" t="e">
        <f t="shared" si="202"/>
        <v>#VALUE!</v>
      </c>
      <c r="H3242" s="13" t="e">
        <f t="shared" si="203"/>
        <v>#VALUE!</v>
      </c>
    </row>
    <row r="3243" spans="2:8">
      <c r="B3243" s="11" t="str">
        <f t="shared" si="201"/>
        <v/>
      </c>
      <c r="C3243" s="11" t="str">
        <f t="shared" si="204"/>
        <v/>
      </c>
      <c r="F3243" s="10" t="str">
        <v/>
      </c>
      <c r="G3243" t="e">
        <f t="shared" si="202"/>
        <v>#VALUE!</v>
      </c>
      <c r="H3243" s="13" t="e">
        <f t="shared" si="203"/>
        <v>#VALUE!</v>
      </c>
    </row>
    <row r="3244" spans="2:8">
      <c r="B3244" s="11" t="str">
        <f t="shared" si="201"/>
        <v/>
      </c>
      <c r="C3244" s="11" t="str">
        <f t="shared" si="204"/>
        <v/>
      </c>
      <c r="F3244" s="10" t="str">
        <v/>
      </c>
      <c r="G3244" t="e">
        <f t="shared" si="202"/>
        <v>#VALUE!</v>
      </c>
      <c r="H3244" s="13" t="e">
        <f t="shared" si="203"/>
        <v>#VALUE!</v>
      </c>
    </row>
    <row r="3245" spans="2:8">
      <c r="B3245" s="11" t="str">
        <f t="shared" si="201"/>
        <v/>
      </c>
      <c r="C3245" s="11" t="str">
        <f t="shared" si="204"/>
        <v/>
      </c>
      <c r="F3245" s="10" t="str">
        <v/>
      </c>
      <c r="G3245" t="e">
        <f t="shared" si="202"/>
        <v>#VALUE!</v>
      </c>
      <c r="H3245" s="13" t="e">
        <f t="shared" si="203"/>
        <v>#VALUE!</v>
      </c>
    </row>
    <row r="3246" spans="2:8">
      <c r="B3246" s="11" t="str">
        <f t="shared" si="201"/>
        <v/>
      </c>
      <c r="C3246" s="11" t="str">
        <f t="shared" si="204"/>
        <v/>
      </c>
      <c r="F3246" s="10" t="str">
        <v/>
      </c>
      <c r="G3246" t="e">
        <f t="shared" si="202"/>
        <v>#VALUE!</v>
      </c>
      <c r="H3246" s="13" t="e">
        <f t="shared" si="203"/>
        <v>#VALUE!</v>
      </c>
    </row>
    <row r="3247" spans="2:8">
      <c r="B3247" s="11" t="str">
        <f t="shared" si="201"/>
        <v/>
      </c>
      <c r="C3247" s="11" t="str">
        <f t="shared" si="204"/>
        <v/>
      </c>
      <c r="F3247" s="10" t="str">
        <v/>
      </c>
      <c r="G3247" t="e">
        <f t="shared" si="202"/>
        <v>#VALUE!</v>
      </c>
      <c r="H3247" s="13" t="e">
        <f t="shared" si="203"/>
        <v>#VALUE!</v>
      </c>
    </row>
    <row r="3248" spans="2:8">
      <c r="B3248" s="11" t="str">
        <f t="shared" si="201"/>
        <v/>
      </c>
      <c r="C3248" s="11" t="str">
        <f t="shared" si="204"/>
        <v/>
      </c>
      <c r="F3248" s="10" t="str">
        <v/>
      </c>
      <c r="G3248" t="e">
        <f t="shared" si="202"/>
        <v>#VALUE!</v>
      </c>
      <c r="H3248" s="13" t="e">
        <f t="shared" si="203"/>
        <v>#VALUE!</v>
      </c>
    </row>
    <row r="3249" spans="2:8">
      <c r="B3249" s="11" t="str">
        <f t="shared" si="201"/>
        <v/>
      </c>
      <c r="C3249" s="11" t="str">
        <f t="shared" si="204"/>
        <v/>
      </c>
      <c r="F3249" s="10" t="str">
        <v/>
      </c>
      <c r="G3249" t="e">
        <f t="shared" si="202"/>
        <v>#VALUE!</v>
      </c>
      <c r="H3249" s="13" t="e">
        <f t="shared" si="203"/>
        <v>#VALUE!</v>
      </c>
    </row>
    <row r="3250" spans="2:8">
      <c r="B3250" s="11" t="str">
        <f t="shared" si="201"/>
        <v/>
      </c>
      <c r="C3250" s="11" t="str">
        <f t="shared" si="204"/>
        <v/>
      </c>
      <c r="F3250" s="10" t="str">
        <v/>
      </c>
      <c r="G3250" t="e">
        <f t="shared" si="202"/>
        <v>#VALUE!</v>
      </c>
      <c r="H3250" s="13" t="e">
        <f t="shared" si="203"/>
        <v>#VALUE!</v>
      </c>
    </row>
    <row r="3251" spans="2:8">
      <c r="B3251" s="11" t="str">
        <f t="shared" si="201"/>
        <v/>
      </c>
      <c r="C3251" s="11" t="str">
        <f t="shared" si="204"/>
        <v/>
      </c>
      <c r="F3251" s="10" t="str">
        <v/>
      </c>
      <c r="G3251" t="e">
        <f t="shared" si="202"/>
        <v>#VALUE!</v>
      </c>
      <c r="H3251" s="13" t="e">
        <f t="shared" si="203"/>
        <v>#VALUE!</v>
      </c>
    </row>
    <row r="3252" spans="2:8">
      <c r="B3252" s="11" t="str">
        <f t="shared" si="201"/>
        <v/>
      </c>
      <c r="C3252" s="11" t="str">
        <f t="shared" si="204"/>
        <v/>
      </c>
      <c r="F3252" s="10" t="str">
        <v/>
      </c>
      <c r="G3252" t="e">
        <f t="shared" si="202"/>
        <v>#VALUE!</v>
      </c>
      <c r="H3252" s="13" t="e">
        <f t="shared" si="203"/>
        <v>#VALUE!</v>
      </c>
    </row>
    <row r="3253" spans="2:8">
      <c r="B3253" s="11" t="str">
        <f t="shared" si="201"/>
        <v/>
      </c>
      <c r="C3253" s="11" t="str">
        <f t="shared" si="204"/>
        <v/>
      </c>
      <c r="F3253" s="10" t="str">
        <v/>
      </c>
      <c r="G3253" t="e">
        <f t="shared" si="202"/>
        <v>#VALUE!</v>
      </c>
      <c r="H3253" s="13" t="e">
        <f t="shared" si="203"/>
        <v>#VALUE!</v>
      </c>
    </row>
    <row r="3254" spans="2:8">
      <c r="B3254" s="11" t="str">
        <f t="shared" si="201"/>
        <v/>
      </c>
      <c r="C3254" s="11" t="str">
        <f t="shared" si="204"/>
        <v/>
      </c>
      <c r="F3254" s="10" t="str">
        <v/>
      </c>
      <c r="G3254" t="e">
        <f t="shared" si="202"/>
        <v>#VALUE!</v>
      </c>
      <c r="H3254" s="13" t="e">
        <f t="shared" si="203"/>
        <v>#VALUE!</v>
      </c>
    </row>
    <row r="3255" spans="2:8">
      <c r="B3255" s="11" t="str">
        <f t="shared" si="201"/>
        <v/>
      </c>
      <c r="C3255" s="11" t="str">
        <f t="shared" si="204"/>
        <v/>
      </c>
      <c r="F3255" s="10" t="str">
        <v/>
      </c>
      <c r="G3255" t="e">
        <f t="shared" si="202"/>
        <v>#VALUE!</v>
      </c>
      <c r="H3255" s="13" t="e">
        <f t="shared" si="203"/>
        <v>#VALUE!</v>
      </c>
    </row>
    <row r="3256" spans="2:8">
      <c r="B3256" s="11" t="str">
        <f t="shared" si="201"/>
        <v/>
      </c>
      <c r="C3256" s="11" t="str">
        <f t="shared" si="204"/>
        <v/>
      </c>
      <c r="F3256" s="10" t="str">
        <v/>
      </c>
      <c r="G3256" t="e">
        <f t="shared" si="202"/>
        <v>#VALUE!</v>
      </c>
      <c r="H3256" s="13" t="e">
        <f t="shared" si="203"/>
        <v>#VALUE!</v>
      </c>
    </row>
    <row r="3257" spans="2:8">
      <c r="B3257" s="11" t="str">
        <f t="shared" si="201"/>
        <v/>
      </c>
      <c r="C3257" s="11" t="str">
        <f t="shared" si="204"/>
        <v/>
      </c>
      <c r="F3257" s="10" t="str">
        <v/>
      </c>
      <c r="G3257" t="e">
        <f t="shared" si="202"/>
        <v>#VALUE!</v>
      </c>
      <c r="H3257" s="13" t="e">
        <f t="shared" si="203"/>
        <v>#VALUE!</v>
      </c>
    </row>
    <row r="3258" spans="2:8">
      <c r="B3258" s="11" t="str">
        <f t="shared" si="201"/>
        <v/>
      </c>
      <c r="C3258" s="11" t="str">
        <f t="shared" si="204"/>
        <v/>
      </c>
      <c r="F3258" s="10" t="str">
        <v/>
      </c>
      <c r="G3258" t="e">
        <f t="shared" si="202"/>
        <v>#VALUE!</v>
      </c>
      <c r="H3258" s="13" t="e">
        <f t="shared" si="203"/>
        <v>#VALUE!</v>
      </c>
    </row>
    <row r="3259" spans="2:8">
      <c r="B3259" s="11" t="str">
        <f t="shared" si="201"/>
        <v/>
      </c>
      <c r="C3259" s="11" t="str">
        <f t="shared" si="204"/>
        <v/>
      </c>
      <c r="F3259" s="10" t="str">
        <v/>
      </c>
      <c r="G3259" t="e">
        <f t="shared" si="202"/>
        <v>#VALUE!</v>
      </c>
      <c r="H3259" s="13" t="e">
        <f t="shared" si="203"/>
        <v>#VALUE!</v>
      </c>
    </row>
    <row r="3260" spans="2:8">
      <c r="B3260" s="11" t="str">
        <f t="shared" si="201"/>
        <v/>
      </c>
      <c r="C3260" s="11" t="str">
        <f t="shared" si="204"/>
        <v/>
      </c>
      <c r="F3260" s="10" t="str">
        <v/>
      </c>
      <c r="G3260" t="e">
        <f t="shared" si="202"/>
        <v>#VALUE!</v>
      </c>
      <c r="H3260" s="13" t="e">
        <f t="shared" si="203"/>
        <v>#VALUE!</v>
      </c>
    </row>
    <row r="3261" spans="2:8">
      <c r="B3261" s="11" t="str">
        <f t="shared" si="201"/>
        <v/>
      </c>
      <c r="C3261" s="11" t="str">
        <f t="shared" si="204"/>
        <v/>
      </c>
      <c r="F3261" s="10" t="str">
        <v/>
      </c>
      <c r="G3261" t="e">
        <f t="shared" si="202"/>
        <v>#VALUE!</v>
      </c>
      <c r="H3261" s="13" t="e">
        <f t="shared" si="203"/>
        <v>#VALUE!</v>
      </c>
    </row>
    <row r="3262" spans="2:8">
      <c r="B3262" s="11" t="str">
        <f t="shared" si="201"/>
        <v/>
      </c>
      <c r="C3262" s="11" t="str">
        <f t="shared" si="204"/>
        <v/>
      </c>
      <c r="F3262" s="10" t="str">
        <v/>
      </c>
      <c r="G3262" t="e">
        <f t="shared" si="202"/>
        <v>#VALUE!</v>
      </c>
      <c r="H3262" s="13" t="e">
        <f t="shared" si="203"/>
        <v>#VALUE!</v>
      </c>
    </row>
    <row r="3263" spans="2:8">
      <c r="B3263" s="11" t="str">
        <f t="shared" si="201"/>
        <v/>
      </c>
      <c r="C3263" s="11" t="str">
        <f t="shared" si="204"/>
        <v/>
      </c>
      <c r="F3263" s="10" t="str">
        <v/>
      </c>
      <c r="G3263" t="e">
        <f t="shared" si="202"/>
        <v>#VALUE!</v>
      </c>
      <c r="H3263" s="13" t="e">
        <f t="shared" si="203"/>
        <v>#VALUE!</v>
      </c>
    </row>
    <row r="3264" spans="2:8">
      <c r="B3264" s="11" t="str">
        <f t="shared" si="201"/>
        <v/>
      </c>
      <c r="C3264" s="11" t="str">
        <f t="shared" si="204"/>
        <v/>
      </c>
      <c r="F3264" s="10" t="str">
        <v/>
      </c>
      <c r="G3264" t="e">
        <f t="shared" si="202"/>
        <v>#VALUE!</v>
      </c>
      <c r="H3264" s="13" t="e">
        <f t="shared" si="203"/>
        <v>#VALUE!</v>
      </c>
    </row>
    <row r="3265" spans="2:8">
      <c r="B3265" s="11" t="str">
        <f t="shared" ref="B3265:B3328" si="205">IFERROR(IF(FIND(" ",A3265)=6,IF(IFERROR(FIND(" PB",A3265),"")&lt;&gt;"","артикул",IF(IFERROR(FIND(" CRN",A3265),"")&lt;&gt;"","артикул","")),""),"")</f>
        <v/>
      </c>
      <c r="C3265" s="11" t="str">
        <f t="shared" si="204"/>
        <v/>
      </c>
      <c r="F3265" s="10" t="str">
        <v/>
      </c>
      <c r="G3265" t="e">
        <f t="shared" si="202"/>
        <v>#VALUE!</v>
      </c>
      <c r="H3265" s="13" t="e">
        <f t="shared" si="203"/>
        <v>#VALUE!</v>
      </c>
    </row>
    <row r="3266" spans="2:8">
      <c r="B3266" s="11" t="str">
        <f t="shared" si="205"/>
        <v/>
      </c>
      <c r="C3266" s="11" t="str">
        <f t="shared" si="204"/>
        <v/>
      </c>
      <c r="F3266" s="10" t="str">
        <v/>
      </c>
      <c r="G3266" t="e">
        <f t="shared" ref="G3266:G3329" si="206">CONCATENATE(LEFT(F3266,5),
MID(F3266,
SEARCH("\",SUBSTITUTE(F3266," ","\",LEN(F3266)-LEN(SUBSTITUTE(F3266," ",""))-4)),
SEARCH("\",SUBSTITUTE(F3266," ","\",LEN(F3266)-LEN(SUBSTITUTE(F3266," ",""))-3))-
SEARCH("\",SUBSTITUTE(F3266," ","\",LEN(F3266)-LEN(SUBSTITUTE(F3266," ",""))-4)))*1)</f>
        <v>#VALUE!</v>
      </c>
      <c r="H3266" s="13" t="e">
        <f t="shared" ref="H3266:H3329" si="207">SUBSTITUTE(
RIGHT(F3266,LEN(F3266)-
FIND("\",SUBSTITUTE(F3266," ","\",LEN(F3266)-LEN(SUBSTITUTE(F3266," ",""))))),
".","")</f>
        <v>#VALUE!</v>
      </c>
    </row>
    <row r="3267" spans="2:8">
      <c r="B3267" s="11" t="str">
        <f t="shared" si="205"/>
        <v/>
      </c>
      <c r="C3267" s="11" t="str">
        <f t="shared" si="204"/>
        <v/>
      </c>
      <c r="F3267" s="10" t="str">
        <v/>
      </c>
      <c r="G3267" t="e">
        <f t="shared" si="206"/>
        <v>#VALUE!</v>
      </c>
      <c r="H3267" s="13" t="e">
        <f t="shared" si="207"/>
        <v>#VALUE!</v>
      </c>
    </row>
    <row r="3268" spans="2:8">
      <c r="B3268" s="11" t="str">
        <f t="shared" si="205"/>
        <v/>
      </c>
      <c r="C3268" s="11" t="str">
        <f t="shared" si="204"/>
        <v/>
      </c>
      <c r="F3268" s="10" t="str">
        <v/>
      </c>
      <c r="G3268" t="e">
        <f t="shared" si="206"/>
        <v>#VALUE!</v>
      </c>
      <c r="H3268" s="13" t="e">
        <f t="shared" si="207"/>
        <v>#VALUE!</v>
      </c>
    </row>
    <row r="3269" spans="2:8">
      <c r="B3269" s="11" t="str">
        <f t="shared" si="205"/>
        <v/>
      </c>
      <c r="C3269" s="11" t="str">
        <f t="shared" si="204"/>
        <v/>
      </c>
      <c r="F3269" s="10" t="str">
        <v/>
      </c>
      <c r="G3269" t="e">
        <f t="shared" si="206"/>
        <v>#VALUE!</v>
      </c>
      <c r="H3269" s="13" t="e">
        <f t="shared" si="207"/>
        <v>#VALUE!</v>
      </c>
    </row>
    <row r="3270" spans="2:8">
      <c r="B3270" s="11" t="str">
        <f t="shared" si="205"/>
        <v/>
      </c>
      <c r="C3270" s="11" t="str">
        <f t="shared" si="204"/>
        <v/>
      </c>
      <c r="F3270" s="10" t="str">
        <v/>
      </c>
      <c r="G3270" t="e">
        <f t="shared" si="206"/>
        <v>#VALUE!</v>
      </c>
      <c r="H3270" s="13" t="e">
        <f t="shared" si="207"/>
        <v>#VALUE!</v>
      </c>
    </row>
    <row r="3271" spans="2:8">
      <c r="B3271" s="11" t="str">
        <f t="shared" si="205"/>
        <v/>
      </c>
      <c r="C3271" s="11" t="str">
        <f t="shared" si="204"/>
        <v/>
      </c>
      <c r="F3271" s="10" t="str">
        <v/>
      </c>
      <c r="G3271" t="e">
        <f t="shared" si="206"/>
        <v>#VALUE!</v>
      </c>
      <c r="H3271" s="13" t="e">
        <f t="shared" si="207"/>
        <v>#VALUE!</v>
      </c>
    </row>
    <row r="3272" spans="2:8">
      <c r="B3272" s="11" t="str">
        <f t="shared" si="205"/>
        <v/>
      </c>
      <c r="C3272" s="11" t="str">
        <f t="shared" si="204"/>
        <v/>
      </c>
      <c r="F3272" s="10" t="str">
        <v/>
      </c>
      <c r="G3272" t="e">
        <f t="shared" si="206"/>
        <v>#VALUE!</v>
      </c>
      <c r="H3272" s="13" t="e">
        <f t="shared" si="207"/>
        <v>#VALUE!</v>
      </c>
    </row>
    <row r="3273" spans="2:8">
      <c r="B3273" s="11" t="str">
        <f t="shared" si="205"/>
        <v/>
      </c>
      <c r="C3273" s="11" t="str">
        <f t="shared" si="204"/>
        <v/>
      </c>
      <c r="F3273" s="10" t="str">
        <v/>
      </c>
      <c r="G3273" t="e">
        <f t="shared" si="206"/>
        <v>#VALUE!</v>
      </c>
      <c r="H3273" s="13" t="e">
        <f t="shared" si="207"/>
        <v>#VALUE!</v>
      </c>
    </row>
    <row r="3274" spans="2:8">
      <c r="B3274" s="11" t="str">
        <f t="shared" si="205"/>
        <v/>
      </c>
      <c r="C3274" s="11" t="str">
        <f t="shared" si="204"/>
        <v/>
      </c>
      <c r="F3274" s="10" t="str">
        <v/>
      </c>
      <c r="G3274" t="e">
        <f t="shared" si="206"/>
        <v>#VALUE!</v>
      </c>
      <c r="H3274" s="13" t="e">
        <f t="shared" si="207"/>
        <v>#VALUE!</v>
      </c>
    </row>
    <row r="3275" spans="2:8">
      <c r="B3275" s="11" t="str">
        <f t="shared" si="205"/>
        <v/>
      </c>
      <c r="C3275" s="11" t="str">
        <f t="shared" si="204"/>
        <v/>
      </c>
      <c r="F3275" s="10" t="str">
        <v/>
      </c>
      <c r="G3275" t="e">
        <f t="shared" si="206"/>
        <v>#VALUE!</v>
      </c>
      <c r="H3275" s="13" t="e">
        <f t="shared" si="207"/>
        <v>#VALUE!</v>
      </c>
    </row>
    <row r="3276" spans="2:8">
      <c r="B3276" s="11" t="str">
        <f t="shared" si="205"/>
        <v/>
      </c>
      <c r="C3276" s="11" t="str">
        <f t="shared" si="204"/>
        <v/>
      </c>
      <c r="F3276" s="10" t="str">
        <v/>
      </c>
      <c r="G3276" t="e">
        <f t="shared" si="206"/>
        <v>#VALUE!</v>
      </c>
      <c r="H3276" s="13" t="e">
        <f t="shared" si="207"/>
        <v>#VALUE!</v>
      </c>
    </row>
    <row r="3277" spans="2:8">
      <c r="B3277" s="11" t="str">
        <f t="shared" si="205"/>
        <v/>
      </c>
      <c r="C3277" s="11" t="str">
        <f t="shared" si="204"/>
        <v/>
      </c>
      <c r="F3277" s="10" t="str">
        <v/>
      </c>
      <c r="G3277" t="e">
        <f t="shared" si="206"/>
        <v>#VALUE!</v>
      </c>
      <c r="H3277" s="13" t="e">
        <f t="shared" si="207"/>
        <v>#VALUE!</v>
      </c>
    </row>
    <row r="3278" spans="2:8">
      <c r="B3278" s="11" t="str">
        <f t="shared" si="205"/>
        <v/>
      </c>
      <c r="C3278" s="11" t="str">
        <f t="shared" si="204"/>
        <v/>
      </c>
      <c r="F3278" s="10" t="str">
        <v/>
      </c>
      <c r="G3278" t="e">
        <f t="shared" si="206"/>
        <v>#VALUE!</v>
      </c>
      <c r="H3278" s="13" t="e">
        <f t="shared" si="207"/>
        <v>#VALUE!</v>
      </c>
    </row>
    <row r="3279" spans="2:8">
      <c r="B3279" s="11" t="str">
        <f t="shared" si="205"/>
        <v/>
      </c>
      <c r="C3279" s="11" t="str">
        <f t="shared" si="204"/>
        <v/>
      </c>
      <c r="F3279" s="10" t="str">
        <v/>
      </c>
      <c r="G3279" t="e">
        <f t="shared" si="206"/>
        <v>#VALUE!</v>
      </c>
      <c r="H3279" s="13" t="e">
        <f t="shared" si="207"/>
        <v>#VALUE!</v>
      </c>
    </row>
    <row r="3280" spans="2:8">
      <c r="B3280" s="11" t="str">
        <f t="shared" si="205"/>
        <v/>
      </c>
      <c r="C3280" s="11" t="str">
        <f t="shared" si="204"/>
        <v/>
      </c>
      <c r="F3280" s="10" t="str">
        <v/>
      </c>
      <c r="G3280" t="e">
        <f t="shared" si="206"/>
        <v>#VALUE!</v>
      </c>
      <c r="H3280" s="13" t="e">
        <f t="shared" si="207"/>
        <v>#VALUE!</v>
      </c>
    </row>
    <row r="3281" spans="2:8">
      <c r="B3281" s="11" t="str">
        <f t="shared" si="205"/>
        <v/>
      </c>
      <c r="C3281" s="11" t="str">
        <f t="shared" si="204"/>
        <v/>
      </c>
      <c r="F3281" s="10" t="str">
        <v/>
      </c>
      <c r="G3281" t="e">
        <f t="shared" si="206"/>
        <v>#VALUE!</v>
      </c>
      <c r="H3281" s="13" t="e">
        <f t="shared" si="207"/>
        <v>#VALUE!</v>
      </c>
    </row>
    <row r="3282" spans="2:8">
      <c r="B3282" s="11" t="str">
        <f t="shared" si="205"/>
        <v/>
      </c>
      <c r="C3282" s="11" t="str">
        <f t="shared" si="204"/>
        <v/>
      </c>
      <c r="F3282" s="10" t="str">
        <v/>
      </c>
      <c r="G3282" t="e">
        <f t="shared" si="206"/>
        <v>#VALUE!</v>
      </c>
      <c r="H3282" s="13" t="e">
        <f t="shared" si="207"/>
        <v>#VALUE!</v>
      </c>
    </row>
    <row r="3283" spans="2:8">
      <c r="B3283" s="11" t="str">
        <f t="shared" si="205"/>
        <v/>
      </c>
      <c r="C3283" s="11" t="str">
        <f t="shared" si="204"/>
        <v/>
      </c>
      <c r="F3283" s="10" t="str">
        <v/>
      </c>
      <c r="G3283" t="e">
        <f t="shared" si="206"/>
        <v>#VALUE!</v>
      </c>
      <c r="H3283" s="13" t="e">
        <f t="shared" si="207"/>
        <v>#VALUE!</v>
      </c>
    </row>
    <row r="3284" spans="2:8">
      <c r="B3284" s="11" t="str">
        <f t="shared" si="205"/>
        <v/>
      </c>
      <c r="C3284" s="11" t="str">
        <f t="shared" si="204"/>
        <v/>
      </c>
      <c r="F3284" s="10" t="str">
        <v/>
      </c>
      <c r="G3284" t="e">
        <f t="shared" si="206"/>
        <v>#VALUE!</v>
      </c>
      <c r="H3284" s="13" t="e">
        <f t="shared" si="207"/>
        <v>#VALUE!</v>
      </c>
    </row>
    <row r="3285" spans="2:8">
      <c r="B3285" s="11" t="str">
        <f t="shared" si="205"/>
        <v/>
      </c>
      <c r="C3285" s="11" t="str">
        <f t="shared" si="204"/>
        <v/>
      </c>
      <c r="F3285" s="10" t="str">
        <v/>
      </c>
      <c r="G3285" t="e">
        <f t="shared" si="206"/>
        <v>#VALUE!</v>
      </c>
      <c r="H3285" s="13" t="e">
        <f t="shared" si="207"/>
        <v>#VALUE!</v>
      </c>
    </row>
    <row r="3286" spans="2:8">
      <c r="B3286" s="11" t="str">
        <f t="shared" si="205"/>
        <v/>
      </c>
      <c r="C3286" s="11" t="str">
        <f t="shared" si="204"/>
        <v/>
      </c>
      <c r="F3286" s="10" t="str">
        <v/>
      </c>
      <c r="G3286" t="e">
        <f t="shared" si="206"/>
        <v>#VALUE!</v>
      </c>
      <c r="H3286" s="13" t="e">
        <f t="shared" si="207"/>
        <v>#VALUE!</v>
      </c>
    </row>
    <row r="3287" spans="2:8">
      <c r="B3287" s="11" t="str">
        <f t="shared" si="205"/>
        <v/>
      </c>
      <c r="C3287" s="11" t="str">
        <f t="shared" si="204"/>
        <v/>
      </c>
      <c r="F3287" s="10" t="str">
        <v/>
      </c>
      <c r="G3287" t="e">
        <f t="shared" si="206"/>
        <v>#VALUE!</v>
      </c>
      <c r="H3287" s="13" t="e">
        <f t="shared" si="207"/>
        <v>#VALUE!</v>
      </c>
    </row>
    <row r="3288" spans="2:8">
      <c r="B3288" s="11" t="str">
        <f t="shared" si="205"/>
        <v/>
      </c>
      <c r="C3288" s="11" t="str">
        <f t="shared" si="204"/>
        <v/>
      </c>
      <c r="F3288" s="10" t="str">
        <v/>
      </c>
      <c r="G3288" t="e">
        <f t="shared" si="206"/>
        <v>#VALUE!</v>
      </c>
      <c r="H3288" s="13" t="e">
        <f t="shared" si="207"/>
        <v>#VALUE!</v>
      </c>
    </row>
    <row r="3289" spans="2:8">
      <c r="B3289" s="11" t="str">
        <f t="shared" si="205"/>
        <v/>
      </c>
      <c r="C3289" s="11" t="str">
        <f t="shared" si="204"/>
        <v/>
      </c>
      <c r="F3289" s="10" t="str">
        <v/>
      </c>
      <c r="G3289" t="e">
        <f t="shared" si="206"/>
        <v>#VALUE!</v>
      </c>
      <c r="H3289" s="13" t="e">
        <f t="shared" si="207"/>
        <v>#VALUE!</v>
      </c>
    </row>
    <row r="3290" spans="2:8">
      <c r="B3290" s="11" t="str">
        <f t="shared" si="205"/>
        <v/>
      </c>
      <c r="C3290" s="11" t="str">
        <f t="shared" si="204"/>
        <v/>
      </c>
      <c r="F3290" s="10" t="str">
        <v/>
      </c>
      <c r="G3290" t="e">
        <f t="shared" si="206"/>
        <v>#VALUE!</v>
      </c>
      <c r="H3290" s="13" t="e">
        <f t="shared" si="207"/>
        <v>#VALUE!</v>
      </c>
    </row>
    <row r="3291" spans="2:8">
      <c r="B3291" s="11" t="str">
        <f t="shared" si="205"/>
        <v/>
      </c>
      <c r="C3291" s="11" t="str">
        <f t="shared" si="204"/>
        <v/>
      </c>
      <c r="F3291" s="10" t="str">
        <v/>
      </c>
      <c r="G3291" t="e">
        <f t="shared" si="206"/>
        <v>#VALUE!</v>
      </c>
      <c r="H3291" s="13" t="e">
        <f t="shared" si="207"/>
        <v>#VALUE!</v>
      </c>
    </row>
    <row r="3292" spans="2:8">
      <c r="B3292" s="11" t="str">
        <f t="shared" si="205"/>
        <v/>
      </c>
      <c r="C3292" s="11" t="str">
        <f t="shared" si="204"/>
        <v/>
      </c>
      <c r="F3292" s="10" t="str">
        <v/>
      </c>
      <c r="G3292" t="e">
        <f t="shared" si="206"/>
        <v>#VALUE!</v>
      </c>
      <c r="H3292" s="13" t="e">
        <f t="shared" si="207"/>
        <v>#VALUE!</v>
      </c>
    </row>
    <row r="3293" spans="2:8">
      <c r="B3293" s="11" t="str">
        <f t="shared" si="205"/>
        <v/>
      </c>
      <c r="C3293" s="11" t="str">
        <f t="shared" si="204"/>
        <v/>
      </c>
      <c r="F3293" s="10" t="str">
        <v/>
      </c>
      <c r="G3293" t="e">
        <f t="shared" si="206"/>
        <v>#VALUE!</v>
      </c>
      <c r="H3293" s="13" t="e">
        <f t="shared" si="207"/>
        <v>#VALUE!</v>
      </c>
    </row>
    <row r="3294" spans="2:8">
      <c r="B3294" s="11" t="str">
        <f t="shared" si="205"/>
        <v/>
      </c>
      <c r="C3294" s="11" t="str">
        <f t="shared" si="204"/>
        <v/>
      </c>
      <c r="F3294" s="10" t="str">
        <v/>
      </c>
      <c r="G3294" t="e">
        <f t="shared" si="206"/>
        <v>#VALUE!</v>
      </c>
      <c r="H3294" s="13" t="e">
        <f t="shared" si="207"/>
        <v>#VALUE!</v>
      </c>
    </row>
    <row r="3295" spans="2:8">
      <c r="B3295" s="11" t="str">
        <f t="shared" si="205"/>
        <v/>
      </c>
      <c r="C3295" s="11" t="str">
        <f t="shared" si="204"/>
        <v/>
      </c>
      <c r="F3295" s="10" t="str">
        <v/>
      </c>
      <c r="G3295" t="e">
        <f t="shared" si="206"/>
        <v>#VALUE!</v>
      </c>
      <c r="H3295" s="13" t="e">
        <f t="shared" si="207"/>
        <v>#VALUE!</v>
      </c>
    </row>
    <row r="3296" spans="2:8">
      <c r="B3296" s="11" t="str">
        <f t="shared" si="205"/>
        <v/>
      </c>
      <c r="C3296" s="11" t="str">
        <f t="shared" si="204"/>
        <v/>
      </c>
      <c r="F3296" s="10" t="str">
        <v/>
      </c>
      <c r="G3296" t="e">
        <f t="shared" si="206"/>
        <v>#VALUE!</v>
      </c>
      <c r="H3296" s="13" t="e">
        <f t="shared" si="207"/>
        <v>#VALUE!</v>
      </c>
    </row>
    <row r="3297" spans="2:8">
      <c r="B3297" s="11" t="str">
        <f t="shared" si="205"/>
        <v/>
      </c>
      <c r="C3297" s="11" t="str">
        <f t="shared" si="204"/>
        <v/>
      </c>
      <c r="F3297" s="10" t="str">
        <v/>
      </c>
      <c r="G3297" t="e">
        <f t="shared" si="206"/>
        <v>#VALUE!</v>
      </c>
      <c r="H3297" s="13" t="e">
        <f t="shared" si="207"/>
        <v>#VALUE!</v>
      </c>
    </row>
    <row r="3298" spans="2:8">
      <c r="B3298" s="11" t="str">
        <f t="shared" si="205"/>
        <v/>
      </c>
      <c r="C3298" s="11" t="str">
        <f t="shared" si="204"/>
        <v/>
      </c>
      <c r="F3298" s="10" t="str">
        <v/>
      </c>
      <c r="G3298" t="e">
        <f t="shared" si="206"/>
        <v>#VALUE!</v>
      </c>
      <c r="H3298" s="13" t="e">
        <f t="shared" si="207"/>
        <v>#VALUE!</v>
      </c>
    </row>
    <row r="3299" spans="2:8">
      <c r="B3299" s="11" t="str">
        <f t="shared" si="205"/>
        <v/>
      </c>
      <c r="C3299" s="11" t="str">
        <f t="shared" si="204"/>
        <v/>
      </c>
      <c r="F3299" s="10" t="str">
        <v/>
      </c>
      <c r="G3299" t="e">
        <f t="shared" si="206"/>
        <v>#VALUE!</v>
      </c>
      <c r="H3299" s="13" t="e">
        <f t="shared" si="207"/>
        <v>#VALUE!</v>
      </c>
    </row>
    <row r="3300" spans="2:8">
      <c r="B3300" s="11" t="str">
        <f t="shared" si="205"/>
        <v/>
      </c>
      <c r="C3300" s="11" t="str">
        <f t="shared" si="204"/>
        <v/>
      </c>
      <c r="F3300" s="10" t="str">
        <v/>
      </c>
      <c r="G3300" t="e">
        <f t="shared" si="206"/>
        <v>#VALUE!</v>
      </c>
      <c r="H3300" s="13" t="e">
        <f t="shared" si="207"/>
        <v>#VALUE!</v>
      </c>
    </row>
    <row r="3301" spans="2:8">
      <c r="B3301" s="11" t="str">
        <f t="shared" si="205"/>
        <v/>
      </c>
      <c r="C3301" s="11" t="str">
        <f t="shared" si="204"/>
        <v/>
      </c>
      <c r="F3301" s="10" t="str">
        <v/>
      </c>
      <c r="G3301" t="e">
        <f t="shared" si="206"/>
        <v>#VALUE!</v>
      </c>
      <c r="H3301" s="13" t="e">
        <f t="shared" si="207"/>
        <v>#VALUE!</v>
      </c>
    </row>
    <row r="3302" spans="2:8">
      <c r="B3302" s="11" t="str">
        <f t="shared" si="205"/>
        <v/>
      </c>
      <c r="C3302" s="11" t="str">
        <f t="shared" si="204"/>
        <v/>
      </c>
      <c r="F3302" s="10" t="str">
        <v/>
      </c>
      <c r="G3302" t="e">
        <f t="shared" si="206"/>
        <v>#VALUE!</v>
      </c>
      <c r="H3302" s="13" t="e">
        <f t="shared" si="207"/>
        <v>#VALUE!</v>
      </c>
    </row>
    <row r="3303" spans="2:8">
      <c r="B3303" s="11" t="str">
        <f t="shared" si="205"/>
        <v/>
      </c>
      <c r="C3303" s="11" t="str">
        <f t="shared" si="204"/>
        <v/>
      </c>
      <c r="F3303" s="10" t="str">
        <v/>
      </c>
      <c r="G3303" t="e">
        <f t="shared" si="206"/>
        <v>#VALUE!</v>
      </c>
      <c r="H3303" s="13" t="e">
        <f t="shared" si="207"/>
        <v>#VALUE!</v>
      </c>
    </row>
    <row r="3304" spans="2:8">
      <c r="B3304" s="11" t="str">
        <f t="shared" si="205"/>
        <v/>
      </c>
      <c r="C3304" s="11" t="str">
        <f t="shared" si="204"/>
        <v/>
      </c>
      <c r="F3304" s="10" t="str">
        <v/>
      </c>
      <c r="G3304" t="e">
        <f t="shared" si="206"/>
        <v>#VALUE!</v>
      </c>
      <c r="H3304" s="13" t="e">
        <f t="shared" si="207"/>
        <v>#VALUE!</v>
      </c>
    </row>
    <row r="3305" spans="2:8">
      <c r="B3305" s="11" t="str">
        <f t="shared" si="205"/>
        <v/>
      </c>
      <c r="C3305" s="11" t="str">
        <f t="shared" ref="C3305:C3368" si="208">IF(B3305="артикул",A3305,"")</f>
        <v/>
      </c>
      <c r="F3305" s="10" t="str">
        <v/>
      </c>
      <c r="G3305" t="e">
        <f t="shared" si="206"/>
        <v>#VALUE!</v>
      </c>
      <c r="H3305" s="13" t="e">
        <f t="shared" si="207"/>
        <v>#VALUE!</v>
      </c>
    </row>
    <row r="3306" spans="2:8">
      <c r="B3306" s="11" t="str">
        <f t="shared" si="205"/>
        <v/>
      </c>
      <c r="C3306" s="11" t="str">
        <f t="shared" si="208"/>
        <v/>
      </c>
      <c r="F3306" s="10" t="str">
        <v/>
      </c>
      <c r="G3306" t="e">
        <f t="shared" si="206"/>
        <v>#VALUE!</v>
      </c>
      <c r="H3306" s="13" t="e">
        <f t="shared" si="207"/>
        <v>#VALUE!</v>
      </c>
    </row>
    <row r="3307" spans="2:8">
      <c r="B3307" s="11" t="str">
        <f t="shared" si="205"/>
        <v/>
      </c>
      <c r="C3307" s="11" t="str">
        <f t="shared" si="208"/>
        <v/>
      </c>
      <c r="F3307" s="10" t="str">
        <v/>
      </c>
      <c r="G3307" t="e">
        <f t="shared" si="206"/>
        <v>#VALUE!</v>
      </c>
      <c r="H3307" s="13" t="e">
        <f t="shared" si="207"/>
        <v>#VALUE!</v>
      </c>
    </row>
    <row r="3308" spans="2:8">
      <c r="B3308" s="11" t="str">
        <f t="shared" si="205"/>
        <v/>
      </c>
      <c r="C3308" s="11" t="str">
        <f t="shared" si="208"/>
        <v/>
      </c>
      <c r="F3308" s="10" t="str">
        <v/>
      </c>
      <c r="G3308" t="e">
        <f t="shared" si="206"/>
        <v>#VALUE!</v>
      </c>
      <c r="H3308" s="13" t="e">
        <f t="shared" si="207"/>
        <v>#VALUE!</v>
      </c>
    </row>
    <row r="3309" spans="2:8">
      <c r="B3309" s="11" t="str">
        <f t="shared" si="205"/>
        <v/>
      </c>
      <c r="C3309" s="11" t="str">
        <f t="shared" si="208"/>
        <v/>
      </c>
      <c r="F3309" s="10" t="str">
        <v/>
      </c>
      <c r="G3309" t="e">
        <f t="shared" si="206"/>
        <v>#VALUE!</v>
      </c>
      <c r="H3309" s="13" t="e">
        <f t="shared" si="207"/>
        <v>#VALUE!</v>
      </c>
    </row>
    <row r="3310" spans="2:8">
      <c r="B3310" s="11" t="str">
        <f t="shared" si="205"/>
        <v/>
      </c>
      <c r="C3310" s="11" t="str">
        <f t="shared" si="208"/>
        <v/>
      </c>
      <c r="F3310" s="10" t="str">
        <v/>
      </c>
      <c r="G3310" t="e">
        <f t="shared" si="206"/>
        <v>#VALUE!</v>
      </c>
      <c r="H3310" s="13" t="e">
        <f t="shared" si="207"/>
        <v>#VALUE!</v>
      </c>
    </row>
    <row r="3311" spans="2:8">
      <c r="B3311" s="11" t="str">
        <f t="shared" si="205"/>
        <v/>
      </c>
      <c r="C3311" s="11" t="str">
        <f t="shared" si="208"/>
        <v/>
      </c>
      <c r="F3311" s="10" t="str">
        <v/>
      </c>
      <c r="G3311" t="e">
        <f t="shared" si="206"/>
        <v>#VALUE!</v>
      </c>
      <c r="H3311" s="13" t="e">
        <f t="shared" si="207"/>
        <v>#VALUE!</v>
      </c>
    </row>
    <row r="3312" spans="2:8">
      <c r="B3312" s="11" t="str">
        <f t="shared" si="205"/>
        <v/>
      </c>
      <c r="C3312" s="11" t="str">
        <f t="shared" si="208"/>
        <v/>
      </c>
      <c r="F3312" s="10" t="str">
        <v/>
      </c>
      <c r="G3312" t="e">
        <f t="shared" si="206"/>
        <v>#VALUE!</v>
      </c>
      <c r="H3312" s="13" t="e">
        <f t="shared" si="207"/>
        <v>#VALUE!</v>
      </c>
    </row>
    <row r="3313" spans="2:8">
      <c r="B3313" s="11" t="str">
        <f t="shared" si="205"/>
        <v/>
      </c>
      <c r="C3313" s="11" t="str">
        <f t="shared" si="208"/>
        <v/>
      </c>
      <c r="F3313" s="10" t="str">
        <v/>
      </c>
      <c r="G3313" t="e">
        <f t="shared" si="206"/>
        <v>#VALUE!</v>
      </c>
      <c r="H3313" s="13" t="e">
        <f t="shared" si="207"/>
        <v>#VALUE!</v>
      </c>
    </row>
    <row r="3314" spans="2:8">
      <c r="B3314" s="11" t="str">
        <f t="shared" si="205"/>
        <v/>
      </c>
      <c r="C3314" s="11" t="str">
        <f t="shared" si="208"/>
        <v/>
      </c>
      <c r="F3314" s="10" t="str">
        <v/>
      </c>
      <c r="G3314" t="e">
        <f t="shared" si="206"/>
        <v>#VALUE!</v>
      </c>
      <c r="H3314" s="13" t="e">
        <f t="shared" si="207"/>
        <v>#VALUE!</v>
      </c>
    </row>
    <row r="3315" spans="2:8">
      <c r="B3315" s="11" t="str">
        <f t="shared" si="205"/>
        <v/>
      </c>
      <c r="C3315" s="11" t="str">
        <f t="shared" si="208"/>
        <v/>
      </c>
      <c r="F3315" s="10" t="str">
        <v/>
      </c>
      <c r="G3315" t="e">
        <f t="shared" si="206"/>
        <v>#VALUE!</v>
      </c>
      <c r="H3315" s="13" t="e">
        <f t="shared" si="207"/>
        <v>#VALUE!</v>
      </c>
    </row>
    <row r="3316" spans="2:8">
      <c r="B3316" s="11" t="str">
        <f t="shared" si="205"/>
        <v/>
      </c>
      <c r="C3316" s="11" t="str">
        <f t="shared" si="208"/>
        <v/>
      </c>
      <c r="F3316" s="10" t="str">
        <v/>
      </c>
      <c r="G3316" t="e">
        <f t="shared" si="206"/>
        <v>#VALUE!</v>
      </c>
      <c r="H3316" s="13" t="e">
        <f t="shared" si="207"/>
        <v>#VALUE!</v>
      </c>
    </row>
    <row r="3317" spans="2:8">
      <c r="B3317" s="11" t="str">
        <f t="shared" si="205"/>
        <v/>
      </c>
      <c r="C3317" s="11" t="str">
        <f t="shared" si="208"/>
        <v/>
      </c>
      <c r="F3317" s="10" t="str">
        <v/>
      </c>
      <c r="G3317" t="e">
        <f t="shared" si="206"/>
        <v>#VALUE!</v>
      </c>
      <c r="H3317" s="13" t="e">
        <f t="shared" si="207"/>
        <v>#VALUE!</v>
      </c>
    </row>
    <row r="3318" spans="2:8">
      <c r="B3318" s="11" t="str">
        <f t="shared" si="205"/>
        <v/>
      </c>
      <c r="C3318" s="11" t="str">
        <f t="shared" si="208"/>
        <v/>
      </c>
      <c r="F3318" s="10" t="str">
        <v/>
      </c>
      <c r="G3318" t="e">
        <f t="shared" si="206"/>
        <v>#VALUE!</v>
      </c>
      <c r="H3318" s="13" t="e">
        <f t="shared" si="207"/>
        <v>#VALUE!</v>
      </c>
    </row>
    <row r="3319" spans="2:8">
      <c r="B3319" s="11" t="str">
        <f t="shared" si="205"/>
        <v/>
      </c>
      <c r="C3319" s="11" t="str">
        <f t="shared" si="208"/>
        <v/>
      </c>
      <c r="F3319" s="10" t="str">
        <v/>
      </c>
      <c r="G3319" t="e">
        <f t="shared" si="206"/>
        <v>#VALUE!</v>
      </c>
      <c r="H3319" s="13" t="e">
        <f t="shared" si="207"/>
        <v>#VALUE!</v>
      </c>
    </row>
    <row r="3320" spans="2:8">
      <c r="B3320" s="11" t="str">
        <f t="shared" si="205"/>
        <v/>
      </c>
      <c r="C3320" s="11" t="str">
        <f t="shared" si="208"/>
        <v/>
      </c>
      <c r="F3320" s="10" t="str">
        <v/>
      </c>
      <c r="G3320" t="e">
        <f t="shared" si="206"/>
        <v>#VALUE!</v>
      </c>
      <c r="H3320" s="13" t="e">
        <f t="shared" si="207"/>
        <v>#VALUE!</v>
      </c>
    </row>
    <row r="3321" spans="2:8">
      <c r="B3321" s="11" t="str">
        <f t="shared" si="205"/>
        <v/>
      </c>
      <c r="C3321" s="11" t="str">
        <f t="shared" si="208"/>
        <v/>
      </c>
      <c r="F3321" s="10" t="str">
        <v/>
      </c>
      <c r="G3321" t="e">
        <f t="shared" si="206"/>
        <v>#VALUE!</v>
      </c>
      <c r="H3321" s="13" t="e">
        <f t="shared" si="207"/>
        <v>#VALUE!</v>
      </c>
    </row>
    <row r="3322" spans="2:8">
      <c r="B3322" s="11" t="str">
        <f t="shared" si="205"/>
        <v/>
      </c>
      <c r="C3322" s="11" t="str">
        <f t="shared" si="208"/>
        <v/>
      </c>
      <c r="F3322" s="10" t="str">
        <v/>
      </c>
      <c r="G3322" t="e">
        <f t="shared" si="206"/>
        <v>#VALUE!</v>
      </c>
      <c r="H3322" s="13" t="e">
        <f t="shared" si="207"/>
        <v>#VALUE!</v>
      </c>
    </row>
    <row r="3323" spans="2:8">
      <c r="B3323" s="11" t="str">
        <f t="shared" si="205"/>
        <v/>
      </c>
      <c r="C3323" s="11" t="str">
        <f t="shared" si="208"/>
        <v/>
      </c>
      <c r="F3323" s="10" t="str">
        <v/>
      </c>
      <c r="G3323" t="e">
        <f t="shared" si="206"/>
        <v>#VALUE!</v>
      </c>
      <c r="H3323" s="13" t="e">
        <f t="shared" si="207"/>
        <v>#VALUE!</v>
      </c>
    </row>
    <row r="3324" spans="2:8">
      <c r="B3324" s="11" t="str">
        <f t="shared" si="205"/>
        <v/>
      </c>
      <c r="C3324" s="11" t="str">
        <f t="shared" si="208"/>
        <v/>
      </c>
      <c r="F3324" s="10" t="str">
        <v/>
      </c>
      <c r="G3324" t="e">
        <f t="shared" si="206"/>
        <v>#VALUE!</v>
      </c>
      <c r="H3324" s="13" t="e">
        <f t="shared" si="207"/>
        <v>#VALUE!</v>
      </c>
    </row>
    <row r="3325" spans="2:8">
      <c r="B3325" s="11" t="str">
        <f t="shared" si="205"/>
        <v/>
      </c>
      <c r="C3325" s="11" t="str">
        <f t="shared" si="208"/>
        <v/>
      </c>
      <c r="F3325" s="10" t="str">
        <v/>
      </c>
      <c r="G3325" t="e">
        <f t="shared" si="206"/>
        <v>#VALUE!</v>
      </c>
      <c r="H3325" s="13" t="e">
        <f t="shared" si="207"/>
        <v>#VALUE!</v>
      </c>
    </row>
    <row r="3326" spans="2:8">
      <c r="B3326" s="11" t="str">
        <f t="shared" si="205"/>
        <v/>
      </c>
      <c r="C3326" s="11" t="str">
        <f t="shared" si="208"/>
        <v/>
      </c>
      <c r="F3326" s="10" t="str">
        <v/>
      </c>
      <c r="G3326" t="e">
        <f t="shared" si="206"/>
        <v>#VALUE!</v>
      </c>
      <c r="H3326" s="13" t="e">
        <f t="shared" si="207"/>
        <v>#VALUE!</v>
      </c>
    </row>
    <row r="3327" spans="2:8">
      <c r="B3327" s="11" t="str">
        <f t="shared" si="205"/>
        <v/>
      </c>
      <c r="C3327" s="11" t="str">
        <f t="shared" si="208"/>
        <v/>
      </c>
      <c r="F3327" s="10" t="str">
        <v/>
      </c>
      <c r="G3327" t="e">
        <f t="shared" si="206"/>
        <v>#VALUE!</v>
      </c>
      <c r="H3327" s="13" t="e">
        <f t="shared" si="207"/>
        <v>#VALUE!</v>
      </c>
    </row>
    <row r="3328" spans="2:8">
      <c r="B3328" s="11" t="str">
        <f t="shared" si="205"/>
        <v/>
      </c>
      <c r="C3328" s="11" t="str">
        <f t="shared" si="208"/>
        <v/>
      </c>
      <c r="F3328" s="10" t="str">
        <v/>
      </c>
      <c r="G3328" t="e">
        <f t="shared" si="206"/>
        <v>#VALUE!</v>
      </c>
      <c r="H3328" s="13" t="e">
        <f t="shared" si="207"/>
        <v>#VALUE!</v>
      </c>
    </row>
    <row r="3329" spans="2:8">
      <c r="B3329" s="11" t="str">
        <f t="shared" ref="B3329:B3392" si="209">IFERROR(IF(FIND(" ",A3329)=6,IF(IFERROR(FIND(" PB",A3329),"")&lt;&gt;"","артикул",IF(IFERROR(FIND(" CRN",A3329),"")&lt;&gt;"","артикул","")),""),"")</f>
        <v/>
      </c>
      <c r="C3329" s="11" t="str">
        <f t="shared" si="208"/>
        <v/>
      </c>
      <c r="F3329" s="10" t="str">
        <v/>
      </c>
      <c r="G3329" t="e">
        <f t="shared" si="206"/>
        <v>#VALUE!</v>
      </c>
      <c r="H3329" s="13" t="e">
        <f t="shared" si="207"/>
        <v>#VALUE!</v>
      </c>
    </row>
    <row r="3330" spans="2:8">
      <c r="B3330" s="11" t="str">
        <f t="shared" si="209"/>
        <v/>
      </c>
      <c r="C3330" s="11" t="str">
        <f t="shared" si="208"/>
        <v/>
      </c>
      <c r="F3330" s="10" t="str">
        <v/>
      </c>
      <c r="G3330" t="e">
        <f t="shared" ref="G3330:G3393" si="210">CONCATENATE(LEFT(F3330,5),
MID(F3330,
SEARCH("\",SUBSTITUTE(F3330," ","\",LEN(F3330)-LEN(SUBSTITUTE(F3330," ",""))-4)),
SEARCH("\",SUBSTITUTE(F3330," ","\",LEN(F3330)-LEN(SUBSTITUTE(F3330," ",""))-3))-
SEARCH("\",SUBSTITUTE(F3330," ","\",LEN(F3330)-LEN(SUBSTITUTE(F3330," ",""))-4)))*1)</f>
        <v>#VALUE!</v>
      </c>
      <c r="H3330" s="13" t="e">
        <f t="shared" ref="H3330:H3393" si="211">SUBSTITUTE(
RIGHT(F3330,LEN(F3330)-
FIND("\",SUBSTITUTE(F3330," ","\",LEN(F3330)-LEN(SUBSTITUTE(F3330," ",""))))),
".","")</f>
        <v>#VALUE!</v>
      </c>
    </row>
    <row r="3331" spans="2:8">
      <c r="B3331" s="11" t="str">
        <f t="shared" si="209"/>
        <v/>
      </c>
      <c r="C3331" s="11" t="str">
        <f t="shared" si="208"/>
        <v/>
      </c>
      <c r="F3331" s="10" t="str">
        <v/>
      </c>
      <c r="G3331" t="e">
        <f t="shared" si="210"/>
        <v>#VALUE!</v>
      </c>
      <c r="H3331" s="13" t="e">
        <f t="shared" si="211"/>
        <v>#VALUE!</v>
      </c>
    </row>
    <row r="3332" spans="2:8">
      <c r="B3332" s="11" t="str">
        <f t="shared" si="209"/>
        <v/>
      </c>
      <c r="C3332" s="11" t="str">
        <f t="shared" si="208"/>
        <v/>
      </c>
      <c r="F3332" s="10" t="str">
        <v/>
      </c>
      <c r="G3332" t="e">
        <f t="shared" si="210"/>
        <v>#VALUE!</v>
      </c>
      <c r="H3332" s="13" t="e">
        <f t="shared" si="211"/>
        <v>#VALUE!</v>
      </c>
    </row>
    <row r="3333" spans="2:8">
      <c r="B3333" s="11" t="str">
        <f t="shared" si="209"/>
        <v/>
      </c>
      <c r="C3333" s="11" t="str">
        <f t="shared" si="208"/>
        <v/>
      </c>
      <c r="F3333" s="10" t="str">
        <v/>
      </c>
      <c r="G3333" t="e">
        <f t="shared" si="210"/>
        <v>#VALUE!</v>
      </c>
      <c r="H3333" s="13" t="e">
        <f t="shared" si="211"/>
        <v>#VALUE!</v>
      </c>
    </row>
    <row r="3334" spans="2:8">
      <c r="B3334" s="11" t="str">
        <f t="shared" si="209"/>
        <v/>
      </c>
      <c r="C3334" s="11" t="str">
        <f t="shared" si="208"/>
        <v/>
      </c>
      <c r="F3334" s="10" t="str">
        <v/>
      </c>
      <c r="G3334" t="e">
        <f t="shared" si="210"/>
        <v>#VALUE!</v>
      </c>
      <c r="H3334" s="13" t="e">
        <f t="shared" si="211"/>
        <v>#VALUE!</v>
      </c>
    </row>
    <row r="3335" spans="2:8">
      <c r="B3335" s="11" t="str">
        <f t="shared" si="209"/>
        <v/>
      </c>
      <c r="C3335" s="11" t="str">
        <f t="shared" si="208"/>
        <v/>
      </c>
      <c r="F3335" s="10" t="str">
        <v/>
      </c>
      <c r="G3335" t="e">
        <f t="shared" si="210"/>
        <v>#VALUE!</v>
      </c>
      <c r="H3335" s="13" t="e">
        <f t="shared" si="211"/>
        <v>#VALUE!</v>
      </c>
    </row>
    <row r="3336" spans="2:8">
      <c r="B3336" s="11" t="str">
        <f t="shared" si="209"/>
        <v/>
      </c>
      <c r="C3336" s="11" t="str">
        <f t="shared" si="208"/>
        <v/>
      </c>
      <c r="F3336" s="10" t="str">
        <v/>
      </c>
      <c r="G3336" t="e">
        <f t="shared" si="210"/>
        <v>#VALUE!</v>
      </c>
      <c r="H3336" s="13" t="e">
        <f t="shared" si="211"/>
        <v>#VALUE!</v>
      </c>
    </row>
    <row r="3337" spans="2:8">
      <c r="B3337" s="11" t="str">
        <f t="shared" si="209"/>
        <v/>
      </c>
      <c r="C3337" s="11" t="str">
        <f t="shared" si="208"/>
        <v/>
      </c>
      <c r="F3337" s="10" t="str">
        <v/>
      </c>
      <c r="G3337" t="e">
        <f t="shared" si="210"/>
        <v>#VALUE!</v>
      </c>
      <c r="H3337" s="13" t="e">
        <f t="shared" si="211"/>
        <v>#VALUE!</v>
      </c>
    </row>
    <row r="3338" spans="2:8">
      <c r="B3338" s="11" t="str">
        <f t="shared" si="209"/>
        <v/>
      </c>
      <c r="C3338" s="11" t="str">
        <f t="shared" si="208"/>
        <v/>
      </c>
      <c r="F3338" s="10" t="str">
        <v/>
      </c>
      <c r="G3338" t="e">
        <f t="shared" si="210"/>
        <v>#VALUE!</v>
      </c>
      <c r="H3338" s="13" t="e">
        <f t="shared" si="211"/>
        <v>#VALUE!</v>
      </c>
    </row>
    <row r="3339" spans="2:8">
      <c r="B3339" s="11" t="str">
        <f t="shared" si="209"/>
        <v/>
      </c>
      <c r="C3339" s="11" t="str">
        <f t="shared" si="208"/>
        <v/>
      </c>
      <c r="F3339" s="10" t="str">
        <v/>
      </c>
      <c r="G3339" t="e">
        <f t="shared" si="210"/>
        <v>#VALUE!</v>
      </c>
      <c r="H3339" s="13" t="e">
        <f t="shared" si="211"/>
        <v>#VALUE!</v>
      </c>
    </row>
    <row r="3340" spans="2:8">
      <c r="B3340" s="11" t="str">
        <f t="shared" si="209"/>
        <v/>
      </c>
      <c r="C3340" s="11" t="str">
        <f t="shared" si="208"/>
        <v/>
      </c>
      <c r="F3340" s="10" t="str">
        <v/>
      </c>
      <c r="G3340" t="e">
        <f t="shared" si="210"/>
        <v>#VALUE!</v>
      </c>
      <c r="H3340" s="13" t="e">
        <f t="shared" si="211"/>
        <v>#VALUE!</v>
      </c>
    </row>
    <row r="3341" spans="2:8">
      <c r="B3341" s="11" t="str">
        <f t="shared" si="209"/>
        <v/>
      </c>
      <c r="C3341" s="11" t="str">
        <f t="shared" si="208"/>
        <v/>
      </c>
      <c r="F3341" s="10" t="str">
        <v/>
      </c>
      <c r="G3341" t="e">
        <f t="shared" si="210"/>
        <v>#VALUE!</v>
      </c>
      <c r="H3341" s="13" t="e">
        <f t="shared" si="211"/>
        <v>#VALUE!</v>
      </c>
    </row>
    <row r="3342" spans="2:8">
      <c r="B3342" s="11" t="str">
        <f t="shared" si="209"/>
        <v/>
      </c>
      <c r="C3342" s="11" t="str">
        <f t="shared" si="208"/>
        <v/>
      </c>
      <c r="F3342" s="10" t="str">
        <v/>
      </c>
      <c r="G3342" t="e">
        <f t="shared" si="210"/>
        <v>#VALUE!</v>
      </c>
      <c r="H3342" s="13" t="e">
        <f t="shared" si="211"/>
        <v>#VALUE!</v>
      </c>
    </row>
    <row r="3343" spans="2:8">
      <c r="B3343" s="11" t="str">
        <f t="shared" si="209"/>
        <v/>
      </c>
      <c r="C3343" s="11" t="str">
        <f t="shared" si="208"/>
        <v/>
      </c>
      <c r="F3343" s="10" t="str">
        <v/>
      </c>
      <c r="G3343" t="e">
        <f t="shared" si="210"/>
        <v>#VALUE!</v>
      </c>
      <c r="H3343" s="13" t="e">
        <f t="shared" si="211"/>
        <v>#VALUE!</v>
      </c>
    </row>
    <row r="3344" spans="2:8">
      <c r="B3344" s="11" t="str">
        <f t="shared" si="209"/>
        <v/>
      </c>
      <c r="C3344" s="11" t="str">
        <f t="shared" si="208"/>
        <v/>
      </c>
      <c r="F3344" s="10" t="str">
        <v/>
      </c>
      <c r="G3344" t="e">
        <f t="shared" si="210"/>
        <v>#VALUE!</v>
      </c>
      <c r="H3344" s="13" t="e">
        <f t="shared" si="211"/>
        <v>#VALUE!</v>
      </c>
    </row>
    <row r="3345" spans="2:8">
      <c r="B3345" s="11" t="str">
        <f t="shared" si="209"/>
        <v/>
      </c>
      <c r="C3345" s="11" t="str">
        <f t="shared" si="208"/>
        <v/>
      </c>
      <c r="F3345" s="10" t="str">
        <v/>
      </c>
      <c r="G3345" t="e">
        <f t="shared" si="210"/>
        <v>#VALUE!</v>
      </c>
      <c r="H3345" s="13" t="e">
        <f t="shared" si="211"/>
        <v>#VALUE!</v>
      </c>
    </row>
    <row r="3346" spans="2:8">
      <c r="B3346" s="11" t="str">
        <f t="shared" si="209"/>
        <v/>
      </c>
      <c r="C3346" s="11" t="str">
        <f t="shared" si="208"/>
        <v/>
      </c>
      <c r="F3346" s="10" t="str">
        <v/>
      </c>
      <c r="G3346" t="e">
        <f t="shared" si="210"/>
        <v>#VALUE!</v>
      </c>
      <c r="H3346" s="13" t="e">
        <f t="shared" si="211"/>
        <v>#VALUE!</v>
      </c>
    </row>
    <row r="3347" spans="2:8">
      <c r="B3347" s="11" t="str">
        <f t="shared" si="209"/>
        <v/>
      </c>
      <c r="C3347" s="11" t="str">
        <f t="shared" si="208"/>
        <v/>
      </c>
      <c r="F3347" s="10" t="str">
        <v/>
      </c>
      <c r="G3347" t="e">
        <f t="shared" si="210"/>
        <v>#VALUE!</v>
      </c>
      <c r="H3347" s="13" t="e">
        <f t="shared" si="211"/>
        <v>#VALUE!</v>
      </c>
    </row>
    <row r="3348" spans="2:8">
      <c r="B3348" s="11" t="str">
        <f t="shared" si="209"/>
        <v/>
      </c>
      <c r="C3348" s="11" t="str">
        <f t="shared" si="208"/>
        <v/>
      </c>
      <c r="F3348" s="10" t="str">
        <v/>
      </c>
      <c r="G3348" t="e">
        <f t="shared" si="210"/>
        <v>#VALUE!</v>
      </c>
      <c r="H3348" s="13" t="e">
        <f t="shared" si="211"/>
        <v>#VALUE!</v>
      </c>
    </row>
    <row r="3349" spans="2:8">
      <c r="B3349" s="11" t="str">
        <f t="shared" si="209"/>
        <v/>
      </c>
      <c r="C3349" s="11" t="str">
        <f t="shared" si="208"/>
        <v/>
      </c>
      <c r="F3349" s="10" t="str">
        <v/>
      </c>
      <c r="G3349" t="e">
        <f t="shared" si="210"/>
        <v>#VALUE!</v>
      </c>
      <c r="H3349" s="13" t="e">
        <f t="shared" si="211"/>
        <v>#VALUE!</v>
      </c>
    </row>
    <row r="3350" spans="2:8">
      <c r="B3350" s="11" t="str">
        <f t="shared" si="209"/>
        <v/>
      </c>
      <c r="C3350" s="11" t="str">
        <f t="shared" si="208"/>
        <v/>
      </c>
      <c r="F3350" s="10" t="str">
        <v/>
      </c>
      <c r="G3350" t="e">
        <f t="shared" si="210"/>
        <v>#VALUE!</v>
      </c>
      <c r="H3350" s="13" t="e">
        <f t="shared" si="211"/>
        <v>#VALUE!</v>
      </c>
    </row>
    <row r="3351" spans="2:8">
      <c r="B3351" s="11" t="str">
        <f t="shared" si="209"/>
        <v/>
      </c>
      <c r="C3351" s="11" t="str">
        <f t="shared" si="208"/>
        <v/>
      </c>
      <c r="F3351" s="10" t="str">
        <v/>
      </c>
      <c r="G3351" t="e">
        <f t="shared" si="210"/>
        <v>#VALUE!</v>
      </c>
      <c r="H3351" s="13" t="e">
        <f t="shared" si="211"/>
        <v>#VALUE!</v>
      </c>
    </row>
    <row r="3352" spans="2:8">
      <c r="B3352" s="11" t="str">
        <f t="shared" si="209"/>
        <v/>
      </c>
      <c r="C3352" s="11" t="str">
        <f t="shared" si="208"/>
        <v/>
      </c>
      <c r="F3352" s="10" t="str">
        <v/>
      </c>
      <c r="G3352" t="e">
        <f t="shared" si="210"/>
        <v>#VALUE!</v>
      </c>
      <c r="H3352" s="13" t="e">
        <f t="shared" si="211"/>
        <v>#VALUE!</v>
      </c>
    </row>
    <row r="3353" spans="2:8">
      <c r="B3353" s="11" t="str">
        <f t="shared" si="209"/>
        <v/>
      </c>
      <c r="C3353" s="11" t="str">
        <f t="shared" si="208"/>
        <v/>
      </c>
      <c r="F3353" s="10" t="str">
        <v/>
      </c>
      <c r="G3353" t="e">
        <f t="shared" si="210"/>
        <v>#VALUE!</v>
      </c>
      <c r="H3353" s="13" t="e">
        <f t="shared" si="211"/>
        <v>#VALUE!</v>
      </c>
    </row>
    <row r="3354" spans="2:8">
      <c r="B3354" s="11" t="str">
        <f t="shared" si="209"/>
        <v/>
      </c>
      <c r="C3354" s="11" t="str">
        <f t="shared" si="208"/>
        <v/>
      </c>
      <c r="F3354" s="10" t="str">
        <v/>
      </c>
      <c r="G3354" t="e">
        <f t="shared" si="210"/>
        <v>#VALUE!</v>
      </c>
      <c r="H3354" s="13" t="e">
        <f t="shared" si="211"/>
        <v>#VALUE!</v>
      </c>
    </row>
    <row r="3355" spans="2:8">
      <c r="B3355" s="11" t="str">
        <f t="shared" si="209"/>
        <v/>
      </c>
      <c r="C3355" s="11" t="str">
        <f t="shared" si="208"/>
        <v/>
      </c>
      <c r="F3355" s="10" t="str">
        <v/>
      </c>
      <c r="G3355" t="e">
        <f t="shared" si="210"/>
        <v>#VALUE!</v>
      </c>
      <c r="H3355" s="13" t="e">
        <f t="shared" si="211"/>
        <v>#VALUE!</v>
      </c>
    </row>
    <row r="3356" spans="2:8">
      <c r="B3356" s="11" t="str">
        <f t="shared" si="209"/>
        <v/>
      </c>
      <c r="C3356" s="11" t="str">
        <f t="shared" si="208"/>
        <v/>
      </c>
      <c r="F3356" s="10" t="str">
        <v/>
      </c>
      <c r="G3356" t="e">
        <f t="shared" si="210"/>
        <v>#VALUE!</v>
      </c>
      <c r="H3356" s="13" t="e">
        <f t="shared" si="211"/>
        <v>#VALUE!</v>
      </c>
    </row>
    <row r="3357" spans="2:8">
      <c r="B3357" s="11" t="str">
        <f t="shared" si="209"/>
        <v/>
      </c>
      <c r="C3357" s="11" t="str">
        <f t="shared" si="208"/>
        <v/>
      </c>
      <c r="F3357" s="10" t="str">
        <v/>
      </c>
      <c r="G3357" t="e">
        <f t="shared" si="210"/>
        <v>#VALUE!</v>
      </c>
      <c r="H3357" s="13" t="e">
        <f t="shared" si="211"/>
        <v>#VALUE!</v>
      </c>
    </row>
    <row r="3358" spans="2:8">
      <c r="B3358" s="11" t="str">
        <f t="shared" si="209"/>
        <v/>
      </c>
      <c r="C3358" s="11" t="str">
        <f t="shared" si="208"/>
        <v/>
      </c>
      <c r="F3358" s="10" t="str">
        <v/>
      </c>
      <c r="G3358" t="e">
        <f t="shared" si="210"/>
        <v>#VALUE!</v>
      </c>
      <c r="H3358" s="13" t="e">
        <f t="shared" si="211"/>
        <v>#VALUE!</v>
      </c>
    </row>
    <row r="3359" spans="2:8">
      <c r="B3359" s="11" t="str">
        <f t="shared" si="209"/>
        <v/>
      </c>
      <c r="C3359" s="11" t="str">
        <f t="shared" si="208"/>
        <v/>
      </c>
      <c r="F3359" s="10" t="str">
        <v/>
      </c>
      <c r="G3359" t="e">
        <f t="shared" si="210"/>
        <v>#VALUE!</v>
      </c>
      <c r="H3359" s="13" t="e">
        <f t="shared" si="211"/>
        <v>#VALUE!</v>
      </c>
    </row>
    <row r="3360" spans="2:8">
      <c r="B3360" s="11" t="str">
        <f t="shared" si="209"/>
        <v/>
      </c>
      <c r="C3360" s="11" t="str">
        <f t="shared" si="208"/>
        <v/>
      </c>
      <c r="F3360" s="10" t="str">
        <v/>
      </c>
      <c r="G3360" t="e">
        <f t="shared" si="210"/>
        <v>#VALUE!</v>
      </c>
      <c r="H3360" s="13" t="e">
        <f t="shared" si="211"/>
        <v>#VALUE!</v>
      </c>
    </row>
    <row r="3361" spans="2:8">
      <c r="B3361" s="11" t="str">
        <f t="shared" si="209"/>
        <v/>
      </c>
      <c r="C3361" s="11" t="str">
        <f t="shared" si="208"/>
        <v/>
      </c>
      <c r="F3361" s="10" t="str">
        <v/>
      </c>
      <c r="G3361" t="e">
        <f t="shared" si="210"/>
        <v>#VALUE!</v>
      </c>
      <c r="H3361" s="13" t="e">
        <f t="shared" si="211"/>
        <v>#VALUE!</v>
      </c>
    </row>
    <row r="3362" spans="2:8">
      <c r="B3362" s="11" t="str">
        <f t="shared" si="209"/>
        <v/>
      </c>
      <c r="C3362" s="11" t="str">
        <f t="shared" si="208"/>
        <v/>
      </c>
      <c r="F3362" s="10" t="str">
        <v/>
      </c>
      <c r="G3362" t="e">
        <f t="shared" si="210"/>
        <v>#VALUE!</v>
      </c>
      <c r="H3362" s="13" t="e">
        <f t="shared" si="211"/>
        <v>#VALUE!</v>
      </c>
    </row>
    <row r="3363" spans="2:8">
      <c r="B3363" s="11" t="str">
        <f t="shared" si="209"/>
        <v/>
      </c>
      <c r="C3363" s="11" t="str">
        <f t="shared" si="208"/>
        <v/>
      </c>
      <c r="F3363" s="10" t="str">
        <v/>
      </c>
      <c r="G3363" t="e">
        <f t="shared" si="210"/>
        <v>#VALUE!</v>
      </c>
      <c r="H3363" s="13" t="e">
        <f t="shared" si="211"/>
        <v>#VALUE!</v>
      </c>
    </row>
    <row r="3364" spans="2:8">
      <c r="B3364" s="11" t="str">
        <f t="shared" si="209"/>
        <v/>
      </c>
      <c r="C3364" s="11" t="str">
        <f t="shared" si="208"/>
        <v/>
      </c>
      <c r="F3364" s="10" t="str">
        <v/>
      </c>
      <c r="G3364" t="e">
        <f t="shared" si="210"/>
        <v>#VALUE!</v>
      </c>
      <c r="H3364" s="13" t="e">
        <f t="shared" si="211"/>
        <v>#VALUE!</v>
      </c>
    </row>
    <row r="3365" spans="2:8">
      <c r="B3365" s="11" t="str">
        <f t="shared" si="209"/>
        <v/>
      </c>
      <c r="C3365" s="11" t="str">
        <f t="shared" si="208"/>
        <v/>
      </c>
      <c r="F3365" s="10" t="str">
        <v/>
      </c>
      <c r="G3365" t="e">
        <f t="shared" si="210"/>
        <v>#VALUE!</v>
      </c>
      <c r="H3365" s="13" t="e">
        <f t="shared" si="211"/>
        <v>#VALUE!</v>
      </c>
    </row>
    <row r="3366" spans="2:8">
      <c r="B3366" s="11" t="str">
        <f t="shared" si="209"/>
        <v/>
      </c>
      <c r="C3366" s="11" t="str">
        <f t="shared" si="208"/>
        <v/>
      </c>
      <c r="F3366" s="10" t="str">
        <v/>
      </c>
      <c r="G3366" t="e">
        <f t="shared" si="210"/>
        <v>#VALUE!</v>
      </c>
      <c r="H3366" s="13" t="e">
        <f t="shared" si="211"/>
        <v>#VALUE!</v>
      </c>
    </row>
    <row r="3367" spans="2:8">
      <c r="B3367" s="11" t="str">
        <f t="shared" si="209"/>
        <v/>
      </c>
      <c r="C3367" s="11" t="str">
        <f t="shared" si="208"/>
        <v/>
      </c>
      <c r="F3367" s="10" t="str">
        <v/>
      </c>
      <c r="G3367" t="e">
        <f t="shared" si="210"/>
        <v>#VALUE!</v>
      </c>
      <c r="H3367" s="13" t="e">
        <f t="shared" si="211"/>
        <v>#VALUE!</v>
      </c>
    </row>
    <row r="3368" spans="2:8">
      <c r="B3368" s="11" t="str">
        <f t="shared" si="209"/>
        <v/>
      </c>
      <c r="C3368" s="11" t="str">
        <f t="shared" si="208"/>
        <v/>
      </c>
      <c r="F3368" s="10" t="str">
        <v/>
      </c>
      <c r="G3368" t="e">
        <f t="shared" si="210"/>
        <v>#VALUE!</v>
      </c>
      <c r="H3368" s="13" t="e">
        <f t="shared" si="211"/>
        <v>#VALUE!</v>
      </c>
    </row>
    <row r="3369" spans="2:8">
      <c r="B3369" s="11" t="str">
        <f t="shared" si="209"/>
        <v/>
      </c>
      <c r="C3369" s="11" t="str">
        <f t="shared" ref="C3369:C3432" si="212">IF(B3369="артикул",A3369,"")</f>
        <v/>
      </c>
      <c r="F3369" s="10" t="str">
        <v/>
      </c>
      <c r="G3369" t="e">
        <f t="shared" si="210"/>
        <v>#VALUE!</v>
      </c>
      <c r="H3369" s="13" t="e">
        <f t="shared" si="211"/>
        <v>#VALUE!</v>
      </c>
    </row>
    <row r="3370" spans="2:8">
      <c r="B3370" s="11" t="str">
        <f t="shared" si="209"/>
        <v/>
      </c>
      <c r="C3370" s="11" t="str">
        <f t="shared" si="212"/>
        <v/>
      </c>
      <c r="F3370" s="10" t="str">
        <v/>
      </c>
      <c r="G3370" t="e">
        <f t="shared" si="210"/>
        <v>#VALUE!</v>
      </c>
      <c r="H3370" s="13" t="e">
        <f t="shared" si="211"/>
        <v>#VALUE!</v>
      </c>
    </row>
    <row r="3371" spans="2:8">
      <c r="B3371" s="11" t="str">
        <f t="shared" si="209"/>
        <v/>
      </c>
      <c r="C3371" s="11" t="str">
        <f t="shared" si="212"/>
        <v/>
      </c>
      <c r="F3371" s="10" t="str">
        <v/>
      </c>
      <c r="G3371" t="e">
        <f t="shared" si="210"/>
        <v>#VALUE!</v>
      </c>
      <c r="H3371" s="13" t="e">
        <f t="shared" si="211"/>
        <v>#VALUE!</v>
      </c>
    </row>
    <row r="3372" spans="2:8">
      <c r="B3372" s="11" t="str">
        <f t="shared" si="209"/>
        <v/>
      </c>
      <c r="C3372" s="11" t="str">
        <f t="shared" si="212"/>
        <v/>
      </c>
      <c r="F3372" s="10" t="str">
        <v/>
      </c>
      <c r="G3372" t="e">
        <f t="shared" si="210"/>
        <v>#VALUE!</v>
      </c>
      <c r="H3372" s="13" t="e">
        <f t="shared" si="211"/>
        <v>#VALUE!</v>
      </c>
    </row>
    <row r="3373" spans="2:8">
      <c r="B3373" s="11" t="str">
        <f t="shared" si="209"/>
        <v/>
      </c>
      <c r="C3373" s="11" t="str">
        <f t="shared" si="212"/>
        <v/>
      </c>
      <c r="F3373" s="10" t="str">
        <v/>
      </c>
      <c r="G3373" t="e">
        <f t="shared" si="210"/>
        <v>#VALUE!</v>
      </c>
      <c r="H3373" s="13" t="e">
        <f t="shared" si="211"/>
        <v>#VALUE!</v>
      </c>
    </row>
    <row r="3374" spans="2:8">
      <c r="B3374" s="11" t="str">
        <f t="shared" si="209"/>
        <v/>
      </c>
      <c r="C3374" s="11" t="str">
        <f t="shared" si="212"/>
        <v/>
      </c>
      <c r="F3374" s="10" t="str">
        <v/>
      </c>
      <c r="G3374" t="e">
        <f t="shared" si="210"/>
        <v>#VALUE!</v>
      </c>
      <c r="H3374" s="13" t="e">
        <f t="shared" si="211"/>
        <v>#VALUE!</v>
      </c>
    </row>
    <row r="3375" spans="2:8">
      <c r="B3375" s="11" t="str">
        <f t="shared" si="209"/>
        <v/>
      </c>
      <c r="C3375" s="11" t="str">
        <f t="shared" si="212"/>
        <v/>
      </c>
      <c r="F3375" s="10" t="str">
        <v/>
      </c>
      <c r="G3375" t="e">
        <f t="shared" si="210"/>
        <v>#VALUE!</v>
      </c>
      <c r="H3375" s="13" t="e">
        <f t="shared" si="211"/>
        <v>#VALUE!</v>
      </c>
    </row>
    <row r="3376" spans="2:8">
      <c r="B3376" s="11" t="str">
        <f t="shared" si="209"/>
        <v/>
      </c>
      <c r="C3376" s="11" t="str">
        <f t="shared" si="212"/>
        <v/>
      </c>
      <c r="F3376" s="10" t="str">
        <v/>
      </c>
      <c r="G3376" t="e">
        <f t="shared" si="210"/>
        <v>#VALUE!</v>
      </c>
      <c r="H3376" s="13" t="e">
        <f t="shared" si="211"/>
        <v>#VALUE!</v>
      </c>
    </row>
    <row r="3377" spans="2:8">
      <c r="B3377" s="11" t="str">
        <f t="shared" si="209"/>
        <v/>
      </c>
      <c r="C3377" s="11" t="str">
        <f t="shared" si="212"/>
        <v/>
      </c>
      <c r="F3377" s="10" t="str">
        <v/>
      </c>
      <c r="G3377" t="e">
        <f t="shared" si="210"/>
        <v>#VALUE!</v>
      </c>
      <c r="H3377" s="13" t="e">
        <f t="shared" si="211"/>
        <v>#VALUE!</v>
      </c>
    </row>
    <row r="3378" spans="2:8">
      <c r="B3378" s="11" t="str">
        <f t="shared" si="209"/>
        <v/>
      </c>
      <c r="C3378" s="11" t="str">
        <f t="shared" si="212"/>
        <v/>
      </c>
      <c r="F3378" s="10" t="str">
        <v/>
      </c>
      <c r="G3378" t="e">
        <f t="shared" si="210"/>
        <v>#VALUE!</v>
      </c>
      <c r="H3378" s="13" t="e">
        <f t="shared" si="211"/>
        <v>#VALUE!</v>
      </c>
    </row>
    <row r="3379" spans="2:8">
      <c r="B3379" s="11" t="str">
        <f t="shared" si="209"/>
        <v/>
      </c>
      <c r="C3379" s="11" t="str">
        <f t="shared" si="212"/>
        <v/>
      </c>
      <c r="F3379" s="10" t="str">
        <v/>
      </c>
      <c r="G3379" t="e">
        <f t="shared" si="210"/>
        <v>#VALUE!</v>
      </c>
      <c r="H3379" s="13" t="e">
        <f t="shared" si="211"/>
        <v>#VALUE!</v>
      </c>
    </row>
    <row r="3380" spans="2:8">
      <c r="B3380" s="11" t="str">
        <f t="shared" si="209"/>
        <v/>
      </c>
      <c r="C3380" s="11" t="str">
        <f t="shared" si="212"/>
        <v/>
      </c>
      <c r="F3380" s="10" t="str">
        <v/>
      </c>
      <c r="G3380" t="e">
        <f t="shared" si="210"/>
        <v>#VALUE!</v>
      </c>
      <c r="H3380" s="13" t="e">
        <f t="shared" si="211"/>
        <v>#VALUE!</v>
      </c>
    </row>
    <row r="3381" spans="2:8">
      <c r="B3381" s="11" t="str">
        <f t="shared" si="209"/>
        <v/>
      </c>
      <c r="C3381" s="11" t="str">
        <f t="shared" si="212"/>
        <v/>
      </c>
      <c r="F3381" s="10" t="str">
        <v/>
      </c>
      <c r="G3381" t="e">
        <f t="shared" si="210"/>
        <v>#VALUE!</v>
      </c>
      <c r="H3381" s="13" t="e">
        <f t="shared" si="211"/>
        <v>#VALUE!</v>
      </c>
    </row>
    <row r="3382" spans="2:8">
      <c r="B3382" s="11" t="str">
        <f t="shared" si="209"/>
        <v/>
      </c>
      <c r="C3382" s="11" t="str">
        <f t="shared" si="212"/>
        <v/>
      </c>
      <c r="F3382" s="10" t="str">
        <v/>
      </c>
      <c r="G3382" t="e">
        <f t="shared" si="210"/>
        <v>#VALUE!</v>
      </c>
      <c r="H3382" s="13" t="e">
        <f t="shared" si="211"/>
        <v>#VALUE!</v>
      </c>
    </row>
    <row r="3383" spans="2:8">
      <c r="B3383" s="11" t="str">
        <f t="shared" si="209"/>
        <v/>
      </c>
      <c r="C3383" s="11" t="str">
        <f t="shared" si="212"/>
        <v/>
      </c>
      <c r="F3383" s="10" t="str">
        <v/>
      </c>
      <c r="G3383" t="e">
        <f t="shared" si="210"/>
        <v>#VALUE!</v>
      </c>
      <c r="H3383" s="13" t="e">
        <f t="shared" si="211"/>
        <v>#VALUE!</v>
      </c>
    </row>
    <row r="3384" spans="2:8">
      <c r="B3384" s="11" t="str">
        <f t="shared" si="209"/>
        <v/>
      </c>
      <c r="C3384" s="11" t="str">
        <f t="shared" si="212"/>
        <v/>
      </c>
      <c r="F3384" s="10" t="str">
        <v/>
      </c>
      <c r="G3384" t="e">
        <f t="shared" si="210"/>
        <v>#VALUE!</v>
      </c>
      <c r="H3384" s="13" t="e">
        <f t="shared" si="211"/>
        <v>#VALUE!</v>
      </c>
    </row>
    <row r="3385" spans="2:8">
      <c r="B3385" s="11" t="str">
        <f t="shared" si="209"/>
        <v/>
      </c>
      <c r="C3385" s="11" t="str">
        <f t="shared" si="212"/>
        <v/>
      </c>
      <c r="F3385" s="10" t="str">
        <v/>
      </c>
      <c r="G3385" t="e">
        <f t="shared" si="210"/>
        <v>#VALUE!</v>
      </c>
      <c r="H3385" s="13" t="e">
        <f t="shared" si="211"/>
        <v>#VALUE!</v>
      </c>
    </row>
    <row r="3386" spans="2:8">
      <c r="B3386" s="11" t="str">
        <f t="shared" si="209"/>
        <v/>
      </c>
      <c r="C3386" s="11" t="str">
        <f t="shared" si="212"/>
        <v/>
      </c>
      <c r="F3386" s="10" t="str">
        <v/>
      </c>
      <c r="G3386" t="e">
        <f t="shared" si="210"/>
        <v>#VALUE!</v>
      </c>
      <c r="H3386" s="13" t="e">
        <f t="shared" si="211"/>
        <v>#VALUE!</v>
      </c>
    </row>
    <row r="3387" spans="2:8">
      <c r="B3387" s="11" t="str">
        <f t="shared" si="209"/>
        <v/>
      </c>
      <c r="C3387" s="11" t="str">
        <f t="shared" si="212"/>
        <v/>
      </c>
      <c r="F3387" s="10" t="str">
        <v/>
      </c>
      <c r="G3387" t="e">
        <f t="shared" si="210"/>
        <v>#VALUE!</v>
      </c>
      <c r="H3387" s="13" t="e">
        <f t="shared" si="211"/>
        <v>#VALUE!</v>
      </c>
    </row>
    <row r="3388" spans="2:8">
      <c r="B3388" s="11" t="str">
        <f t="shared" si="209"/>
        <v/>
      </c>
      <c r="C3388" s="11" t="str">
        <f t="shared" si="212"/>
        <v/>
      </c>
      <c r="F3388" s="10" t="str">
        <v/>
      </c>
      <c r="G3388" t="e">
        <f t="shared" si="210"/>
        <v>#VALUE!</v>
      </c>
      <c r="H3388" s="13" t="e">
        <f t="shared" si="211"/>
        <v>#VALUE!</v>
      </c>
    </row>
    <row r="3389" spans="2:8">
      <c r="B3389" s="11" t="str">
        <f t="shared" si="209"/>
        <v/>
      </c>
      <c r="C3389" s="11" t="str">
        <f t="shared" si="212"/>
        <v/>
      </c>
      <c r="F3389" s="10" t="str">
        <v/>
      </c>
      <c r="G3389" t="e">
        <f t="shared" si="210"/>
        <v>#VALUE!</v>
      </c>
      <c r="H3389" s="13" t="e">
        <f t="shared" si="211"/>
        <v>#VALUE!</v>
      </c>
    </row>
    <row r="3390" spans="2:8">
      <c r="B3390" s="11" t="str">
        <f t="shared" si="209"/>
        <v/>
      </c>
      <c r="C3390" s="11" t="str">
        <f t="shared" si="212"/>
        <v/>
      </c>
      <c r="F3390" s="10" t="str">
        <v/>
      </c>
      <c r="G3390" t="e">
        <f t="shared" si="210"/>
        <v>#VALUE!</v>
      </c>
      <c r="H3390" s="13" t="e">
        <f t="shared" si="211"/>
        <v>#VALUE!</v>
      </c>
    </row>
    <row r="3391" spans="2:8">
      <c r="B3391" s="11" t="str">
        <f t="shared" si="209"/>
        <v/>
      </c>
      <c r="C3391" s="11" t="str">
        <f t="shared" si="212"/>
        <v/>
      </c>
      <c r="F3391" s="10" t="str">
        <v/>
      </c>
      <c r="G3391" t="e">
        <f t="shared" si="210"/>
        <v>#VALUE!</v>
      </c>
      <c r="H3391" s="13" t="e">
        <f t="shared" si="211"/>
        <v>#VALUE!</v>
      </c>
    </row>
    <row r="3392" spans="2:8">
      <c r="B3392" s="11" t="str">
        <f t="shared" si="209"/>
        <v/>
      </c>
      <c r="C3392" s="11" t="str">
        <f t="shared" si="212"/>
        <v/>
      </c>
      <c r="F3392" s="10" t="str">
        <v/>
      </c>
      <c r="G3392" t="e">
        <f t="shared" si="210"/>
        <v>#VALUE!</v>
      </c>
      <c r="H3392" s="13" t="e">
        <f t="shared" si="211"/>
        <v>#VALUE!</v>
      </c>
    </row>
    <row r="3393" spans="2:8">
      <c r="B3393" s="11" t="str">
        <f t="shared" ref="B3393:B3456" si="213">IFERROR(IF(FIND(" ",A3393)=6,IF(IFERROR(FIND(" PB",A3393),"")&lt;&gt;"","артикул",IF(IFERROR(FIND(" CRN",A3393),"")&lt;&gt;"","артикул","")),""),"")</f>
        <v/>
      </c>
      <c r="C3393" s="11" t="str">
        <f t="shared" si="212"/>
        <v/>
      </c>
      <c r="F3393" s="10" t="str">
        <v/>
      </c>
      <c r="G3393" t="e">
        <f t="shared" si="210"/>
        <v>#VALUE!</v>
      </c>
      <c r="H3393" s="13" t="e">
        <f t="shared" si="211"/>
        <v>#VALUE!</v>
      </c>
    </row>
    <row r="3394" spans="2:8">
      <c r="B3394" s="11" t="str">
        <f t="shared" si="213"/>
        <v/>
      </c>
      <c r="C3394" s="11" t="str">
        <f t="shared" si="212"/>
        <v/>
      </c>
      <c r="F3394" s="10" t="str">
        <v/>
      </c>
      <c r="G3394" t="e">
        <f t="shared" ref="G3394:G3457" si="214">CONCATENATE(LEFT(F3394,5),
MID(F3394,
SEARCH("\",SUBSTITUTE(F3394," ","\",LEN(F3394)-LEN(SUBSTITUTE(F3394," ",""))-4)),
SEARCH("\",SUBSTITUTE(F3394," ","\",LEN(F3394)-LEN(SUBSTITUTE(F3394," ",""))-3))-
SEARCH("\",SUBSTITUTE(F3394," ","\",LEN(F3394)-LEN(SUBSTITUTE(F3394," ",""))-4)))*1)</f>
        <v>#VALUE!</v>
      </c>
      <c r="H3394" s="13" t="e">
        <f t="shared" ref="H3394:H3457" si="215">SUBSTITUTE(
RIGHT(F3394,LEN(F3394)-
FIND("\",SUBSTITUTE(F3394," ","\",LEN(F3394)-LEN(SUBSTITUTE(F3394," ",""))))),
".","")</f>
        <v>#VALUE!</v>
      </c>
    </row>
    <row r="3395" spans="2:8">
      <c r="B3395" s="11" t="str">
        <f t="shared" si="213"/>
        <v/>
      </c>
      <c r="C3395" s="11" t="str">
        <f t="shared" si="212"/>
        <v/>
      </c>
      <c r="F3395" s="10" t="str">
        <v/>
      </c>
      <c r="G3395" t="e">
        <f t="shared" si="214"/>
        <v>#VALUE!</v>
      </c>
      <c r="H3395" s="13" t="e">
        <f t="shared" si="215"/>
        <v>#VALUE!</v>
      </c>
    </row>
    <row r="3396" spans="2:8">
      <c r="B3396" s="11" t="str">
        <f t="shared" si="213"/>
        <v/>
      </c>
      <c r="C3396" s="11" t="str">
        <f t="shared" si="212"/>
        <v/>
      </c>
      <c r="F3396" s="10" t="str">
        <v/>
      </c>
      <c r="G3396" t="e">
        <f t="shared" si="214"/>
        <v>#VALUE!</v>
      </c>
      <c r="H3396" s="13" t="e">
        <f t="shared" si="215"/>
        <v>#VALUE!</v>
      </c>
    </row>
    <row r="3397" spans="2:8">
      <c r="B3397" s="11" t="str">
        <f t="shared" si="213"/>
        <v/>
      </c>
      <c r="C3397" s="11" t="str">
        <f t="shared" si="212"/>
        <v/>
      </c>
      <c r="F3397" s="10" t="str">
        <v/>
      </c>
      <c r="G3397" t="e">
        <f t="shared" si="214"/>
        <v>#VALUE!</v>
      </c>
      <c r="H3397" s="13" t="e">
        <f t="shared" si="215"/>
        <v>#VALUE!</v>
      </c>
    </row>
    <row r="3398" spans="2:8">
      <c r="B3398" s="11" t="str">
        <f t="shared" si="213"/>
        <v/>
      </c>
      <c r="C3398" s="11" t="str">
        <f t="shared" si="212"/>
        <v/>
      </c>
      <c r="F3398" s="10" t="str">
        <v/>
      </c>
      <c r="G3398" t="e">
        <f t="shared" si="214"/>
        <v>#VALUE!</v>
      </c>
      <c r="H3398" s="13" t="e">
        <f t="shared" si="215"/>
        <v>#VALUE!</v>
      </c>
    </row>
    <row r="3399" spans="2:8">
      <c r="B3399" s="11" t="str">
        <f t="shared" si="213"/>
        <v/>
      </c>
      <c r="C3399" s="11" t="str">
        <f t="shared" si="212"/>
        <v/>
      </c>
      <c r="F3399" s="10" t="str">
        <v/>
      </c>
      <c r="G3399" t="e">
        <f t="shared" si="214"/>
        <v>#VALUE!</v>
      </c>
      <c r="H3399" s="13" t="e">
        <f t="shared" si="215"/>
        <v>#VALUE!</v>
      </c>
    </row>
    <row r="3400" spans="2:8">
      <c r="B3400" s="11" t="str">
        <f t="shared" si="213"/>
        <v/>
      </c>
      <c r="C3400" s="11" t="str">
        <f t="shared" si="212"/>
        <v/>
      </c>
      <c r="F3400" s="10" t="str">
        <v/>
      </c>
      <c r="G3400" t="e">
        <f t="shared" si="214"/>
        <v>#VALUE!</v>
      </c>
      <c r="H3400" s="13" t="e">
        <f t="shared" si="215"/>
        <v>#VALUE!</v>
      </c>
    </row>
    <row r="3401" spans="2:8">
      <c r="B3401" s="11" t="str">
        <f t="shared" si="213"/>
        <v/>
      </c>
      <c r="C3401" s="11" t="str">
        <f t="shared" si="212"/>
        <v/>
      </c>
      <c r="F3401" s="10" t="str">
        <v/>
      </c>
      <c r="G3401" t="e">
        <f t="shared" si="214"/>
        <v>#VALUE!</v>
      </c>
      <c r="H3401" s="13" t="e">
        <f t="shared" si="215"/>
        <v>#VALUE!</v>
      </c>
    </row>
    <row r="3402" spans="2:8">
      <c r="B3402" s="11" t="str">
        <f t="shared" si="213"/>
        <v/>
      </c>
      <c r="C3402" s="11" t="str">
        <f t="shared" si="212"/>
        <v/>
      </c>
      <c r="F3402" s="10" t="str">
        <v/>
      </c>
      <c r="G3402" t="e">
        <f t="shared" si="214"/>
        <v>#VALUE!</v>
      </c>
      <c r="H3402" s="13" t="e">
        <f t="shared" si="215"/>
        <v>#VALUE!</v>
      </c>
    </row>
    <row r="3403" spans="2:8">
      <c r="B3403" s="11" t="str">
        <f t="shared" si="213"/>
        <v/>
      </c>
      <c r="C3403" s="11" t="str">
        <f t="shared" si="212"/>
        <v/>
      </c>
      <c r="F3403" s="10" t="str">
        <v/>
      </c>
      <c r="G3403" t="e">
        <f t="shared" si="214"/>
        <v>#VALUE!</v>
      </c>
      <c r="H3403" s="13" t="e">
        <f t="shared" si="215"/>
        <v>#VALUE!</v>
      </c>
    </row>
    <row r="3404" spans="2:8">
      <c r="B3404" s="11" t="str">
        <f t="shared" si="213"/>
        <v/>
      </c>
      <c r="C3404" s="11" t="str">
        <f t="shared" si="212"/>
        <v/>
      </c>
      <c r="F3404" s="10" t="str">
        <v/>
      </c>
      <c r="G3404" t="e">
        <f t="shared" si="214"/>
        <v>#VALUE!</v>
      </c>
      <c r="H3404" s="13" t="e">
        <f t="shared" si="215"/>
        <v>#VALUE!</v>
      </c>
    </row>
    <row r="3405" spans="2:8">
      <c r="B3405" s="11" t="str">
        <f t="shared" si="213"/>
        <v/>
      </c>
      <c r="C3405" s="11" t="str">
        <f t="shared" si="212"/>
        <v/>
      </c>
      <c r="F3405" s="10" t="str">
        <v/>
      </c>
      <c r="G3405" t="e">
        <f t="shared" si="214"/>
        <v>#VALUE!</v>
      </c>
      <c r="H3405" s="13" t="e">
        <f t="shared" si="215"/>
        <v>#VALUE!</v>
      </c>
    </row>
    <row r="3406" spans="2:8">
      <c r="B3406" s="11" t="str">
        <f t="shared" si="213"/>
        <v/>
      </c>
      <c r="C3406" s="11" t="str">
        <f t="shared" si="212"/>
        <v/>
      </c>
      <c r="F3406" s="10" t="str">
        <v/>
      </c>
      <c r="G3406" t="e">
        <f t="shared" si="214"/>
        <v>#VALUE!</v>
      </c>
      <c r="H3406" s="13" t="e">
        <f t="shared" si="215"/>
        <v>#VALUE!</v>
      </c>
    </row>
    <row r="3407" spans="2:8">
      <c r="B3407" s="11" t="str">
        <f t="shared" si="213"/>
        <v/>
      </c>
      <c r="C3407" s="11" t="str">
        <f t="shared" si="212"/>
        <v/>
      </c>
      <c r="F3407" s="10" t="str">
        <v/>
      </c>
      <c r="G3407" t="e">
        <f t="shared" si="214"/>
        <v>#VALUE!</v>
      </c>
      <c r="H3407" s="13" t="e">
        <f t="shared" si="215"/>
        <v>#VALUE!</v>
      </c>
    </row>
    <row r="3408" spans="2:8">
      <c r="B3408" s="11" t="str">
        <f t="shared" si="213"/>
        <v/>
      </c>
      <c r="C3408" s="11" t="str">
        <f t="shared" si="212"/>
        <v/>
      </c>
      <c r="F3408" s="10" t="str">
        <v/>
      </c>
      <c r="G3408" t="e">
        <f t="shared" si="214"/>
        <v>#VALUE!</v>
      </c>
      <c r="H3408" s="13" t="e">
        <f t="shared" si="215"/>
        <v>#VALUE!</v>
      </c>
    </row>
    <row r="3409" spans="2:8">
      <c r="B3409" s="11" t="str">
        <f t="shared" si="213"/>
        <v/>
      </c>
      <c r="C3409" s="11" t="str">
        <f t="shared" si="212"/>
        <v/>
      </c>
      <c r="F3409" s="10" t="str">
        <v/>
      </c>
      <c r="G3409" t="e">
        <f t="shared" si="214"/>
        <v>#VALUE!</v>
      </c>
      <c r="H3409" s="13" t="e">
        <f t="shared" si="215"/>
        <v>#VALUE!</v>
      </c>
    </row>
    <row r="3410" spans="2:8">
      <c r="B3410" s="11" t="str">
        <f t="shared" si="213"/>
        <v/>
      </c>
      <c r="C3410" s="11" t="str">
        <f t="shared" si="212"/>
        <v/>
      </c>
      <c r="F3410" s="10" t="str">
        <v/>
      </c>
      <c r="G3410" t="e">
        <f t="shared" si="214"/>
        <v>#VALUE!</v>
      </c>
      <c r="H3410" s="13" t="e">
        <f t="shared" si="215"/>
        <v>#VALUE!</v>
      </c>
    </row>
    <row r="3411" spans="2:8">
      <c r="B3411" s="11" t="str">
        <f t="shared" si="213"/>
        <v/>
      </c>
      <c r="C3411" s="11" t="str">
        <f t="shared" si="212"/>
        <v/>
      </c>
      <c r="F3411" s="10" t="str">
        <v/>
      </c>
      <c r="G3411" t="e">
        <f t="shared" si="214"/>
        <v>#VALUE!</v>
      </c>
      <c r="H3411" s="13" t="e">
        <f t="shared" si="215"/>
        <v>#VALUE!</v>
      </c>
    </row>
    <row r="3412" spans="2:8">
      <c r="B3412" s="11" t="str">
        <f t="shared" si="213"/>
        <v/>
      </c>
      <c r="C3412" s="11" t="str">
        <f t="shared" si="212"/>
        <v/>
      </c>
      <c r="F3412" s="10" t="str">
        <v/>
      </c>
      <c r="G3412" t="e">
        <f t="shared" si="214"/>
        <v>#VALUE!</v>
      </c>
      <c r="H3412" s="13" t="e">
        <f t="shared" si="215"/>
        <v>#VALUE!</v>
      </c>
    </row>
    <row r="3413" spans="2:8">
      <c r="B3413" s="11" t="str">
        <f t="shared" si="213"/>
        <v/>
      </c>
      <c r="C3413" s="11" t="str">
        <f t="shared" si="212"/>
        <v/>
      </c>
      <c r="F3413" s="10" t="str">
        <v/>
      </c>
      <c r="G3413" t="e">
        <f t="shared" si="214"/>
        <v>#VALUE!</v>
      </c>
      <c r="H3413" s="13" t="e">
        <f t="shared" si="215"/>
        <v>#VALUE!</v>
      </c>
    </row>
    <row r="3414" spans="2:8">
      <c r="B3414" s="11" t="str">
        <f t="shared" si="213"/>
        <v/>
      </c>
      <c r="C3414" s="11" t="str">
        <f t="shared" si="212"/>
        <v/>
      </c>
      <c r="F3414" s="10" t="str">
        <v/>
      </c>
      <c r="G3414" t="e">
        <f t="shared" si="214"/>
        <v>#VALUE!</v>
      </c>
      <c r="H3414" s="13" t="e">
        <f t="shared" si="215"/>
        <v>#VALUE!</v>
      </c>
    </row>
    <row r="3415" spans="2:8">
      <c r="B3415" s="11" t="str">
        <f t="shared" si="213"/>
        <v/>
      </c>
      <c r="C3415" s="11" t="str">
        <f t="shared" si="212"/>
        <v/>
      </c>
      <c r="F3415" s="10" t="str">
        <v/>
      </c>
      <c r="G3415" t="e">
        <f t="shared" si="214"/>
        <v>#VALUE!</v>
      </c>
      <c r="H3415" s="13" t="e">
        <f t="shared" si="215"/>
        <v>#VALUE!</v>
      </c>
    </row>
    <row r="3416" spans="2:8">
      <c r="B3416" s="11" t="str">
        <f t="shared" si="213"/>
        <v/>
      </c>
      <c r="C3416" s="11" t="str">
        <f t="shared" si="212"/>
        <v/>
      </c>
      <c r="F3416" s="10" t="str">
        <v/>
      </c>
      <c r="G3416" t="e">
        <f t="shared" si="214"/>
        <v>#VALUE!</v>
      </c>
      <c r="H3416" s="13" t="e">
        <f t="shared" si="215"/>
        <v>#VALUE!</v>
      </c>
    </row>
    <row r="3417" spans="2:8">
      <c r="B3417" s="11" t="str">
        <f t="shared" si="213"/>
        <v/>
      </c>
      <c r="C3417" s="11" t="str">
        <f t="shared" si="212"/>
        <v/>
      </c>
      <c r="F3417" s="10" t="str">
        <v/>
      </c>
      <c r="G3417" t="e">
        <f t="shared" si="214"/>
        <v>#VALUE!</v>
      </c>
      <c r="H3417" s="13" t="e">
        <f t="shared" si="215"/>
        <v>#VALUE!</v>
      </c>
    </row>
    <row r="3418" spans="2:8">
      <c r="B3418" s="11" t="str">
        <f t="shared" si="213"/>
        <v/>
      </c>
      <c r="C3418" s="11" t="str">
        <f t="shared" si="212"/>
        <v/>
      </c>
      <c r="F3418" s="10" t="str">
        <v/>
      </c>
      <c r="G3418" t="e">
        <f t="shared" si="214"/>
        <v>#VALUE!</v>
      </c>
      <c r="H3418" s="13" t="e">
        <f t="shared" si="215"/>
        <v>#VALUE!</v>
      </c>
    </row>
    <row r="3419" spans="2:8">
      <c r="B3419" s="11" t="str">
        <f t="shared" si="213"/>
        <v/>
      </c>
      <c r="C3419" s="11" t="str">
        <f t="shared" si="212"/>
        <v/>
      </c>
      <c r="F3419" s="10" t="str">
        <v/>
      </c>
      <c r="G3419" t="e">
        <f t="shared" si="214"/>
        <v>#VALUE!</v>
      </c>
      <c r="H3419" s="13" t="e">
        <f t="shared" si="215"/>
        <v>#VALUE!</v>
      </c>
    </row>
    <row r="3420" spans="2:8">
      <c r="B3420" s="11" t="str">
        <f t="shared" si="213"/>
        <v/>
      </c>
      <c r="C3420" s="11" t="str">
        <f t="shared" si="212"/>
        <v/>
      </c>
      <c r="F3420" s="10" t="str">
        <v/>
      </c>
      <c r="G3420" t="e">
        <f t="shared" si="214"/>
        <v>#VALUE!</v>
      </c>
      <c r="H3420" s="13" t="e">
        <f t="shared" si="215"/>
        <v>#VALUE!</v>
      </c>
    </row>
    <row r="3421" spans="2:8">
      <c r="B3421" s="11" t="str">
        <f t="shared" si="213"/>
        <v/>
      </c>
      <c r="C3421" s="11" t="str">
        <f t="shared" si="212"/>
        <v/>
      </c>
      <c r="F3421" s="10" t="str">
        <v/>
      </c>
      <c r="G3421" t="e">
        <f t="shared" si="214"/>
        <v>#VALUE!</v>
      </c>
      <c r="H3421" s="13" t="e">
        <f t="shared" si="215"/>
        <v>#VALUE!</v>
      </c>
    </row>
    <row r="3422" spans="2:8">
      <c r="B3422" s="11" t="str">
        <f t="shared" si="213"/>
        <v/>
      </c>
      <c r="C3422" s="11" t="str">
        <f t="shared" si="212"/>
        <v/>
      </c>
      <c r="F3422" s="10" t="str">
        <v/>
      </c>
      <c r="G3422" t="e">
        <f t="shared" si="214"/>
        <v>#VALUE!</v>
      </c>
      <c r="H3422" s="13" t="e">
        <f t="shared" si="215"/>
        <v>#VALUE!</v>
      </c>
    </row>
    <row r="3423" spans="2:8">
      <c r="B3423" s="11" t="str">
        <f t="shared" si="213"/>
        <v/>
      </c>
      <c r="C3423" s="11" t="str">
        <f t="shared" si="212"/>
        <v/>
      </c>
      <c r="F3423" s="10" t="str">
        <v/>
      </c>
      <c r="G3423" t="e">
        <f t="shared" si="214"/>
        <v>#VALUE!</v>
      </c>
      <c r="H3423" s="13" t="e">
        <f t="shared" si="215"/>
        <v>#VALUE!</v>
      </c>
    </row>
    <row r="3424" spans="2:8">
      <c r="B3424" s="11" t="str">
        <f t="shared" si="213"/>
        <v/>
      </c>
      <c r="C3424" s="11" t="str">
        <f t="shared" si="212"/>
        <v/>
      </c>
      <c r="F3424" s="10" t="str">
        <v/>
      </c>
      <c r="G3424" t="e">
        <f t="shared" si="214"/>
        <v>#VALUE!</v>
      </c>
      <c r="H3424" s="13" t="e">
        <f t="shared" si="215"/>
        <v>#VALUE!</v>
      </c>
    </row>
    <row r="3425" spans="2:8">
      <c r="B3425" s="11" t="str">
        <f t="shared" si="213"/>
        <v/>
      </c>
      <c r="C3425" s="11" t="str">
        <f t="shared" si="212"/>
        <v/>
      </c>
      <c r="F3425" s="10" t="str">
        <v/>
      </c>
      <c r="G3425" t="e">
        <f t="shared" si="214"/>
        <v>#VALUE!</v>
      </c>
      <c r="H3425" s="13" t="e">
        <f t="shared" si="215"/>
        <v>#VALUE!</v>
      </c>
    </row>
    <row r="3426" spans="2:8">
      <c r="B3426" s="11" t="str">
        <f t="shared" si="213"/>
        <v/>
      </c>
      <c r="C3426" s="11" t="str">
        <f t="shared" si="212"/>
        <v/>
      </c>
      <c r="F3426" s="10" t="str">
        <v/>
      </c>
      <c r="G3426" t="e">
        <f t="shared" si="214"/>
        <v>#VALUE!</v>
      </c>
      <c r="H3426" s="13" t="e">
        <f t="shared" si="215"/>
        <v>#VALUE!</v>
      </c>
    </row>
    <row r="3427" spans="2:8">
      <c r="B3427" s="11" t="str">
        <f t="shared" si="213"/>
        <v/>
      </c>
      <c r="C3427" s="11" t="str">
        <f t="shared" si="212"/>
        <v/>
      </c>
      <c r="F3427" s="10" t="str">
        <v/>
      </c>
      <c r="G3427" t="e">
        <f t="shared" si="214"/>
        <v>#VALUE!</v>
      </c>
      <c r="H3427" s="13" t="e">
        <f t="shared" si="215"/>
        <v>#VALUE!</v>
      </c>
    </row>
    <row r="3428" spans="2:8">
      <c r="B3428" s="11" t="str">
        <f t="shared" si="213"/>
        <v/>
      </c>
      <c r="C3428" s="11" t="str">
        <f t="shared" si="212"/>
        <v/>
      </c>
      <c r="F3428" s="10" t="str">
        <v/>
      </c>
      <c r="G3428" t="e">
        <f t="shared" si="214"/>
        <v>#VALUE!</v>
      </c>
      <c r="H3428" s="13" t="e">
        <f t="shared" si="215"/>
        <v>#VALUE!</v>
      </c>
    </row>
    <row r="3429" spans="2:8">
      <c r="B3429" s="11" t="str">
        <f t="shared" si="213"/>
        <v/>
      </c>
      <c r="C3429" s="11" t="str">
        <f t="shared" si="212"/>
        <v/>
      </c>
      <c r="F3429" s="10" t="str">
        <v/>
      </c>
      <c r="G3429" t="e">
        <f t="shared" si="214"/>
        <v>#VALUE!</v>
      </c>
      <c r="H3429" s="13" t="e">
        <f t="shared" si="215"/>
        <v>#VALUE!</v>
      </c>
    </row>
    <row r="3430" spans="2:8">
      <c r="B3430" s="11" t="str">
        <f t="shared" si="213"/>
        <v/>
      </c>
      <c r="C3430" s="11" t="str">
        <f t="shared" si="212"/>
        <v/>
      </c>
      <c r="F3430" s="10" t="str">
        <v/>
      </c>
      <c r="G3430" t="e">
        <f t="shared" si="214"/>
        <v>#VALUE!</v>
      </c>
      <c r="H3430" s="13" t="e">
        <f t="shared" si="215"/>
        <v>#VALUE!</v>
      </c>
    </row>
    <row r="3431" spans="2:8">
      <c r="B3431" s="11" t="str">
        <f t="shared" si="213"/>
        <v/>
      </c>
      <c r="C3431" s="11" t="str">
        <f t="shared" si="212"/>
        <v/>
      </c>
      <c r="F3431" s="10" t="str">
        <v/>
      </c>
      <c r="G3431" t="e">
        <f t="shared" si="214"/>
        <v>#VALUE!</v>
      </c>
      <c r="H3431" s="13" t="e">
        <f t="shared" si="215"/>
        <v>#VALUE!</v>
      </c>
    </row>
    <row r="3432" spans="2:8">
      <c r="B3432" s="11" t="str">
        <f t="shared" si="213"/>
        <v/>
      </c>
      <c r="C3432" s="11" t="str">
        <f t="shared" si="212"/>
        <v/>
      </c>
      <c r="F3432" s="10" t="str">
        <v/>
      </c>
      <c r="G3432" t="e">
        <f t="shared" si="214"/>
        <v>#VALUE!</v>
      </c>
      <c r="H3432" s="13" t="e">
        <f t="shared" si="215"/>
        <v>#VALUE!</v>
      </c>
    </row>
    <row r="3433" spans="2:8">
      <c r="B3433" s="11" t="str">
        <f t="shared" si="213"/>
        <v/>
      </c>
      <c r="C3433" s="11" t="str">
        <f t="shared" ref="C3433:C3496" si="216">IF(B3433="артикул",A3433,"")</f>
        <v/>
      </c>
      <c r="F3433" s="10" t="str">
        <v/>
      </c>
      <c r="G3433" t="e">
        <f t="shared" si="214"/>
        <v>#VALUE!</v>
      </c>
      <c r="H3433" s="13" t="e">
        <f t="shared" si="215"/>
        <v>#VALUE!</v>
      </c>
    </row>
    <row r="3434" spans="2:8">
      <c r="B3434" s="11" t="str">
        <f t="shared" si="213"/>
        <v/>
      </c>
      <c r="C3434" s="11" t="str">
        <f t="shared" si="216"/>
        <v/>
      </c>
      <c r="F3434" s="10" t="str">
        <v/>
      </c>
      <c r="G3434" t="e">
        <f t="shared" si="214"/>
        <v>#VALUE!</v>
      </c>
      <c r="H3434" s="13" t="e">
        <f t="shared" si="215"/>
        <v>#VALUE!</v>
      </c>
    </row>
    <row r="3435" spans="2:8">
      <c r="B3435" s="11" t="str">
        <f t="shared" si="213"/>
        <v/>
      </c>
      <c r="C3435" s="11" t="str">
        <f t="shared" si="216"/>
        <v/>
      </c>
      <c r="F3435" s="10" t="str">
        <v/>
      </c>
      <c r="G3435" t="e">
        <f t="shared" si="214"/>
        <v>#VALUE!</v>
      </c>
      <c r="H3435" s="13" t="e">
        <f t="shared" si="215"/>
        <v>#VALUE!</v>
      </c>
    </row>
    <row r="3436" spans="2:8">
      <c r="B3436" s="11" t="str">
        <f t="shared" si="213"/>
        <v/>
      </c>
      <c r="C3436" s="11" t="str">
        <f t="shared" si="216"/>
        <v/>
      </c>
      <c r="F3436" s="10" t="str">
        <v/>
      </c>
      <c r="G3436" t="e">
        <f t="shared" si="214"/>
        <v>#VALUE!</v>
      </c>
      <c r="H3436" s="13" t="e">
        <f t="shared" si="215"/>
        <v>#VALUE!</v>
      </c>
    </row>
    <row r="3437" spans="2:8">
      <c r="B3437" s="11" t="str">
        <f t="shared" si="213"/>
        <v/>
      </c>
      <c r="C3437" s="11" t="str">
        <f t="shared" si="216"/>
        <v/>
      </c>
      <c r="F3437" s="10" t="str">
        <v/>
      </c>
      <c r="G3437" t="e">
        <f t="shared" si="214"/>
        <v>#VALUE!</v>
      </c>
      <c r="H3437" s="13" t="e">
        <f t="shared" si="215"/>
        <v>#VALUE!</v>
      </c>
    </row>
    <row r="3438" spans="2:8">
      <c r="B3438" s="11" t="str">
        <f t="shared" si="213"/>
        <v/>
      </c>
      <c r="C3438" s="11" t="str">
        <f t="shared" si="216"/>
        <v/>
      </c>
      <c r="F3438" s="10" t="str">
        <v/>
      </c>
      <c r="G3438" t="e">
        <f t="shared" si="214"/>
        <v>#VALUE!</v>
      </c>
      <c r="H3438" s="13" t="e">
        <f t="shared" si="215"/>
        <v>#VALUE!</v>
      </c>
    </row>
    <row r="3439" spans="2:8">
      <c r="B3439" s="11" t="str">
        <f t="shared" si="213"/>
        <v/>
      </c>
      <c r="C3439" s="11" t="str">
        <f t="shared" si="216"/>
        <v/>
      </c>
      <c r="F3439" s="10" t="str">
        <v/>
      </c>
      <c r="G3439" t="e">
        <f t="shared" si="214"/>
        <v>#VALUE!</v>
      </c>
      <c r="H3439" s="13" t="e">
        <f t="shared" si="215"/>
        <v>#VALUE!</v>
      </c>
    </row>
    <row r="3440" spans="2:8">
      <c r="B3440" s="11" t="str">
        <f t="shared" si="213"/>
        <v/>
      </c>
      <c r="C3440" s="11" t="str">
        <f t="shared" si="216"/>
        <v/>
      </c>
      <c r="F3440" s="10" t="str">
        <v/>
      </c>
      <c r="G3440" t="e">
        <f t="shared" si="214"/>
        <v>#VALUE!</v>
      </c>
      <c r="H3440" s="13" t="e">
        <f t="shared" si="215"/>
        <v>#VALUE!</v>
      </c>
    </row>
    <row r="3441" spans="2:8">
      <c r="B3441" s="11" t="str">
        <f t="shared" si="213"/>
        <v/>
      </c>
      <c r="C3441" s="11" t="str">
        <f t="shared" si="216"/>
        <v/>
      </c>
      <c r="F3441" s="10" t="str">
        <v/>
      </c>
      <c r="G3441" t="e">
        <f t="shared" si="214"/>
        <v>#VALUE!</v>
      </c>
      <c r="H3441" s="13" t="e">
        <f t="shared" si="215"/>
        <v>#VALUE!</v>
      </c>
    </row>
    <row r="3442" spans="2:8">
      <c r="B3442" s="11" t="str">
        <f t="shared" si="213"/>
        <v/>
      </c>
      <c r="C3442" s="11" t="str">
        <f t="shared" si="216"/>
        <v/>
      </c>
      <c r="F3442" s="10" t="str">
        <v/>
      </c>
      <c r="G3442" t="e">
        <f t="shared" si="214"/>
        <v>#VALUE!</v>
      </c>
      <c r="H3442" s="13" t="e">
        <f t="shared" si="215"/>
        <v>#VALUE!</v>
      </c>
    </row>
    <row r="3443" spans="2:8">
      <c r="B3443" s="11" t="str">
        <f t="shared" si="213"/>
        <v/>
      </c>
      <c r="C3443" s="11" t="str">
        <f t="shared" si="216"/>
        <v/>
      </c>
      <c r="F3443" s="10" t="str">
        <v/>
      </c>
      <c r="G3443" t="e">
        <f t="shared" si="214"/>
        <v>#VALUE!</v>
      </c>
      <c r="H3443" s="13" t="e">
        <f t="shared" si="215"/>
        <v>#VALUE!</v>
      </c>
    </row>
    <row r="3444" spans="2:8">
      <c r="B3444" s="11" t="str">
        <f t="shared" si="213"/>
        <v/>
      </c>
      <c r="C3444" s="11" t="str">
        <f t="shared" si="216"/>
        <v/>
      </c>
      <c r="F3444" s="10" t="str">
        <v/>
      </c>
      <c r="G3444" t="e">
        <f t="shared" si="214"/>
        <v>#VALUE!</v>
      </c>
      <c r="H3444" s="13" t="e">
        <f t="shared" si="215"/>
        <v>#VALUE!</v>
      </c>
    </row>
    <row r="3445" spans="2:8">
      <c r="B3445" s="11" t="str">
        <f t="shared" si="213"/>
        <v/>
      </c>
      <c r="C3445" s="11" t="str">
        <f t="shared" si="216"/>
        <v/>
      </c>
      <c r="F3445" s="10" t="str">
        <v/>
      </c>
      <c r="G3445" t="e">
        <f t="shared" si="214"/>
        <v>#VALUE!</v>
      </c>
      <c r="H3445" s="13" t="e">
        <f t="shared" si="215"/>
        <v>#VALUE!</v>
      </c>
    </row>
    <row r="3446" spans="2:8">
      <c r="B3446" s="11" t="str">
        <f t="shared" si="213"/>
        <v/>
      </c>
      <c r="C3446" s="11" t="str">
        <f t="shared" si="216"/>
        <v/>
      </c>
      <c r="F3446" s="10" t="str">
        <v/>
      </c>
      <c r="G3446" t="e">
        <f t="shared" si="214"/>
        <v>#VALUE!</v>
      </c>
      <c r="H3446" s="13" t="e">
        <f t="shared" si="215"/>
        <v>#VALUE!</v>
      </c>
    </row>
    <row r="3447" spans="2:8">
      <c r="B3447" s="11" t="str">
        <f t="shared" si="213"/>
        <v/>
      </c>
      <c r="C3447" s="11" t="str">
        <f t="shared" si="216"/>
        <v/>
      </c>
      <c r="F3447" s="10" t="str">
        <v/>
      </c>
      <c r="G3447" t="e">
        <f t="shared" si="214"/>
        <v>#VALUE!</v>
      </c>
      <c r="H3447" s="13" t="e">
        <f t="shared" si="215"/>
        <v>#VALUE!</v>
      </c>
    </row>
    <row r="3448" spans="2:8">
      <c r="B3448" s="11" t="str">
        <f t="shared" si="213"/>
        <v/>
      </c>
      <c r="C3448" s="11" t="str">
        <f t="shared" si="216"/>
        <v/>
      </c>
      <c r="F3448" s="10" t="str">
        <v/>
      </c>
      <c r="G3448" t="e">
        <f t="shared" si="214"/>
        <v>#VALUE!</v>
      </c>
      <c r="H3448" s="13" t="e">
        <f t="shared" si="215"/>
        <v>#VALUE!</v>
      </c>
    </row>
    <row r="3449" spans="2:8">
      <c r="B3449" s="11" t="str">
        <f t="shared" si="213"/>
        <v/>
      </c>
      <c r="C3449" s="11" t="str">
        <f t="shared" si="216"/>
        <v/>
      </c>
      <c r="F3449" s="10" t="str">
        <v/>
      </c>
      <c r="G3449" t="e">
        <f t="shared" si="214"/>
        <v>#VALUE!</v>
      </c>
      <c r="H3449" s="13" t="e">
        <f t="shared" si="215"/>
        <v>#VALUE!</v>
      </c>
    </row>
    <row r="3450" spans="2:8">
      <c r="B3450" s="11" t="str">
        <f t="shared" si="213"/>
        <v/>
      </c>
      <c r="C3450" s="11" t="str">
        <f t="shared" si="216"/>
        <v/>
      </c>
      <c r="F3450" s="10" t="str">
        <v/>
      </c>
      <c r="G3450" t="e">
        <f t="shared" si="214"/>
        <v>#VALUE!</v>
      </c>
      <c r="H3450" s="13" t="e">
        <f t="shared" si="215"/>
        <v>#VALUE!</v>
      </c>
    </row>
    <row r="3451" spans="2:8">
      <c r="B3451" s="11" t="str">
        <f t="shared" si="213"/>
        <v/>
      </c>
      <c r="C3451" s="11" t="str">
        <f t="shared" si="216"/>
        <v/>
      </c>
      <c r="F3451" s="10" t="str">
        <v/>
      </c>
      <c r="G3451" t="e">
        <f t="shared" si="214"/>
        <v>#VALUE!</v>
      </c>
      <c r="H3451" s="13" t="e">
        <f t="shared" si="215"/>
        <v>#VALUE!</v>
      </c>
    </row>
    <row r="3452" spans="2:8">
      <c r="B3452" s="11" t="str">
        <f t="shared" si="213"/>
        <v/>
      </c>
      <c r="C3452" s="11" t="str">
        <f t="shared" si="216"/>
        <v/>
      </c>
      <c r="F3452" s="10" t="str">
        <v/>
      </c>
      <c r="G3452" t="e">
        <f t="shared" si="214"/>
        <v>#VALUE!</v>
      </c>
      <c r="H3452" s="13" t="e">
        <f t="shared" si="215"/>
        <v>#VALUE!</v>
      </c>
    </row>
    <row r="3453" spans="2:8">
      <c r="B3453" s="11" t="str">
        <f t="shared" si="213"/>
        <v/>
      </c>
      <c r="C3453" s="11" t="str">
        <f t="shared" si="216"/>
        <v/>
      </c>
      <c r="F3453" s="10" t="str">
        <v/>
      </c>
      <c r="G3453" t="e">
        <f t="shared" si="214"/>
        <v>#VALUE!</v>
      </c>
      <c r="H3453" s="13" t="e">
        <f t="shared" si="215"/>
        <v>#VALUE!</v>
      </c>
    </row>
    <row r="3454" spans="2:8">
      <c r="B3454" s="11" t="str">
        <f t="shared" si="213"/>
        <v/>
      </c>
      <c r="C3454" s="11" t="str">
        <f t="shared" si="216"/>
        <v/>
      </c>
      <c r="F3454" s="10" t="str">
        <v/>
      </c>
      <c r="G3454" t="e">
        <f t="shared" si="214"/>
        <v>#VALUE!</v>
      </c>
      <c r="H3454" s="13" t="e">
        <f t="shared" si="215"/>
        <v>#VALUE!</v>
      </c>
    </row>
    <row r="3455" spans="2:8">
      <c r="B3455" s="11" t="str">
        <f t="shared" si="213"/>
        <v/>
      </c>
      <c r="C3455" s="11" t="str">
        <f t="shared" si="216"/>
        <v/>
      </c>
      <c r="F3455" s="10" t="str">
        <v/>
      </c>
      <c r="G3455" t="e">
        <f t="shared" si="214"/>
        <v>#VALUE!</v>
      </c>
      <c r="H3455" s="13" t="e">
        <f t="shared" si="215"/>
        <v>#VALUE!</v>
      </c>
    </row>
    <row r="3456" spans="2:8">
      <c r="B3456" s="11" t="str">
        <f t="shared" si="213"/>
        <v/>
      </c>
      <c r="C3456" s="11" t="str">
        <f t="shared" si="216"/>
        <v/>
      </c>
      <c r="F3456" s="10" t="str">
        <v/>
      </c>
      <c r="G3456" t="e">
        <f t="shared" si="214"/>
        <v>#VALUE!</v>
      </c>
      <c r="H3456" s="13" t="e">
        <f t="shared" si="215"/>
        <v>#VALUE!</v>
      </c>
    </row>
    <row r="3457" spans="2:8">
      <c r="B3457" s="11" t="str">
        <f t="shared" ref="B3457:B3520" si="217">IFERROR(IF(FIND(" ",A3457)=6,IF(IFERROR(FIND(" PB",A3457),"")&lt;&gt;"","артикул",IF(IFERROR(FIND(" CRN",A3457),"")&lt;&gt;"","артикул","")),""),"")</f>
        <v/>
      </c>
      <c r="C3457" s="11" t="str">
        <f t="shared" si="216"/>
        <v/>
      </c>
      <c r="F3457" s="10" t="str">
        <v/>
      </c>
      <c r="G3457" t="e">
        <f t="shared" si="214"/>
        <v>#VALUE!</v>
      </c>
      <c r="H3457" s="13" t="e">
        <f t="shared" si="215"/>
        <v>#VALUE!</v>
      </c>
    </row>
    <row r="3458" spans="2:8">
      <c r="B3458" s="11" t="str">
        <f t="shared" si="217"/>
        <v/>
      </c>
      <c r="C3458" s="11" t="str">
        <f t="shared" si="216"/>
        <v/>
      </c>
      <c r="F3458" s="10" t="str">
        <v/>
      </c>
      <c r="G3458" t="e">
        <f t="shared" ref="G3458:G3521" si="218">CONCATENATE(LEFT(F3458,5),
MID(F3458,
SEARCH("\",SUBSTITUTE(F3458," ","\",LEN(F3458)-LEN(SUBSTITUTE(F3458," ",""))-4)),
SEARCH("\",SUBSTITUTE(F3458," ","\",LEN(F3458)-LEN(SUBSTITUTE(F3458," ",""))-3))-
SEARCH("\",SUBSTITUTE(F3458," ","\",LEN(F3458)-LEN(SUBSTITUTE(F3458," ",""))-4)))*1)</f>
        <v>#VALUE!</v>
      </c>
      <c r="H3458" s="13" t="e">
        <f t="shared" ref="H3458:H3521" si="219">SUBSTITUTE(
RIGHT(F3458,LEN(F3458)-
FIND("\",SUBSTITUTE(F3458," ","\",LEN(F3458)-LEN(SUBSTITUTE(F3458," ",""))))),
".","")</f>
        <v>#VALUE!</v>
      </c>
    </row>
    <row r="3459" spans="2:8">
      <c r="B3459" s="11" t="str">
        <f t="shared" si="217"/>
        <v/>
      </c>
      <c r="C3459" s="11" t="str">
        <f t="shared" si="216"/>
        <v/>
      </c>
      <c r="F3459" s="10" t="str">
        <v/>
      </c>
      <c r="G3459" t="e">
        <f t="shared" si="218"/>
        <v>#VALUE!</v>
      </c>
      <c r="H3459" s="13" t="e">
        <f t="shared" si="219"/>
        <v>#VALUE!</v>
      </c>
    </row>
    <row r="3460" spans="2:8">
      <c r="B3460" s="11" t="str">
        <f t="shared" si="217"/>
        <v/>
      </c>
      <c r="C3460" s="11" t="str">
        <f t="shared" si="216"/>
        <v/>
      </c>
      <c r="F3460" s="10" t="str">
        <v/>
      </c>
      <c r="G3460" t="e">
        <f t="shared" si="218"/>
        <v>#VALUE!</v>
      </c>
      <c r="H3460" s="13" t="e">
        <f t="shared" si="219"/>
        <v>#VALUE!</v>
      </c>
    </row>
    <row r="3461" spans="2:8">
      <c r="B3461" s="11" t="str">
        <f t="shared" si="217"/>
        <v/>
      </c>
      <c r="C3461" s="11" t="str">
        <f t="shared" si="216"/>
        <v/>
      </c>
      <c r="F3461" s="10" t="str">
        <v/>
      </c>
      <c r="G3461" t="e">
        <f t="shared" si="218"/>
        <v>#VALUE!</v>
      </c>
      <c r="H3461" s="13" t="e">
        <f t="shared" si="219"/>
        <v>#VALUE!</v>
      </c>
    </row>
    <row r="3462" spans="2:8">
      <c r="B3462" s="11" t="str">
        <f t="shared" si="217"/>
        <v/>
      </c>
      <c r="C3462" s="11" t="str">
        <f t="shared" si="216"/>
        <v/>
      </c>
      <c r="F3462" s="10" t="str">
        <v/>
      </c>
      <c r="G3462" t="e">
        <f t="shared" si="218"/>
        <v>#VALUE!</v>
      </c>
      <c r="H3462" s="13" t="e">
        <f t="shared" si="219"/>
        <v>#VALUE!</v>
      </c>
    </row>
    <row r="3463" spans="2:8">
      <c r="B3463" s="11" t="str">
        <f t="shared" si="217"/>
        <v/>
      </c>
      <c r="C3463" s="11" t="str">
        <f t="shared" si="216"/>
        <v/>
      </c>
      <c r="F3463" s="10" t="str">
        <v/>
      </c>
      <c r="G3463" t="e">
        <f t="shared" si="218"/>
        <v>#VALUE!</v>
      </c>
      <c r="H3463" s="13" t="e">
        <f t="shared" si="219"/>
        <v>#VALUE!</v>
      </c>
    </row>
    <row r="3464" spans="2:8">
      <c r="B3464" s="11" t="str">
        <f t="shared" si="217"/>
        <v/>
      </c>
      <c r="C3464" s="11" t="str">
        <f t="shared" si="216"/>
        <v/>
      </c>
      <c r="F3464" s="10" t="str">
        <v/>
      </c>
      <c r="G3464" t="e">
        <f t="shared" si="218"/>
        <v>#VALUE!</v>
      </c>
      <c r="H3464" s="13" t="e">
        <f t="shared" si="219"/>
        <v>#VALUE!</v>
      </c>
    </row>
    <row r="3465" spans="2:8">
      <c r="B3465" s="11" t="str">
        <f t="shared" si="217"/>
        <v/>
      </c>
      <c r="C3465" s="11" t="str">
        <f t="shared" si="216"/>
        <v/>
      </c>
      <c r="F3465" s="10" t="str">
        <v/>
      </c>
      <c r="G3465" t="e">
        <f t="shared" si="218"/>
        <v>#VALUE!</v>
      </c>
      <c r="H3465" s="13" t="e">
        <f t="shared" si="219"/>
        <v>#VALUE!</v>
      </c>
    </row>
    <row r="3466" spans="2:8">
      <c r="B3466" s="11" t="str">
        <f t="shared" si="217"/>
        <v/>
      </c>
      <c r="C3466" s="11" t="str">
        <f t="shared" si="216"/>
        <v/>
      </c>
      <c r="F3466" s="10" t="str">
        <v/>
      </c>
      <c r="G3466" t="e">
        <f t="shared" si="218"/>
        <v>#VALUE!</v>
      </c>
      <c r="H3466" s="13" t="e">
        <f t="shared" si="219"/>
        <v>#VALUE!</v>
      </c>
    </row>
    <row r="3467" spans="2:8">
      <c r="B3467" s="11" t="str">
        <f t="shared" si="217"/>
        <v/>
      </c>
      <c r="C3467" s="11" t="str">
        <f t="shared" si="216"/>
        <v/>
      </c>
      <c r="F3467" s="10" t="str">
        <v/>
      </c>
      <c r="G3467" t="e">
        <f t="shared" si="218"/>
        <v>#VALUE!</v>
      </c>
      <c r="H3467" s="13" t="e">
        <f t="shared" si="219"/>
        <v>#VALUE!</v>
      </c>
    </row>
    <row r="3468" spans="2:8">
      <c r="B3468" s="11" t="str">
        <f t="shared" si="217"/>
        <v/>
      </c>
      <c r="C3468" s="11" t="str">
        <f t="shared" si="216"/>
        <v/>
      </c>
      <c r="F3468" s="10" t="str">
        <v/>
      </c>
      <c r="G3468" t="e">
        <f t="shared" si="218"/>
        <v>#VALUE!</v>
      </c>
      <c r="H3468" s="13" t="e">
        <f t="shared" si="219"/>
        <v>#VALUE!</v>
      </c>
    </row>
    <row r="3469" spans="2:8">
      <c r="B3469" s="11" t="str">
        <f t="shared" si="217"/>
        <v/>
      </c>
      <c r="C3469" s="11" t="str">
        <f t="shared" si="216"/>
        <v/>
      </c>
      <c r="F3469" s="10" t="str">
        <v/>
      </c>
      <c r="G3469" t="e">
        <f t="shared" si="218"/>
        <v>#VALUE!</v>
      </c>
      <c r="H3469" s="13" t="e">
        <f t="shared" si="219"/>
        <v>#VALUE!</v>
      </c>
    </row>
    <row r="3470" spans="2:8">
      <c r="B3470" s="11" t="str">
        <f t="shared" si="217"/>
        <v/>
      </c>
      <c r="C3470" s="11" t="str">
        <f t="shared" si="216"/>
        <v/>
      </c>
      <c r="F3470" s="10" t="str">
        <v/>
      </c>
      <c r="G3470" t="e">
        <f t="shared" si="218"/>
        <v>#VALUE!</v>
      </c>
      <c r="H3470" s="13" t="e">
        <f t="shared" si="219"/>
        <v>#VALUE!</v>
      </c>
    </row>
    <row r="3471" spans="2:8">
      <c r="B3471" s="11" t="str">
        <f t="shared" si="217"/>
        <v/>
      </c>
      <c r="C3471" s="11" t="str">
        <f t="shared" si="216"/>
        <v/>
      </c>
      <c r="F3471" s="10" t="str">
        <v/>
      </c>
      <c r="G3471" t="e">
        <f t="shared" si="218"/>
        <v>#VALUE!</v>
      </c>
      <c r="H3471" s="13" t="e">
        <f t="shared" si="219"/>
        <v>#VALUE!</v>
      </c>
    </row>
    <row r="3472" spans="2:8">
      <c r="B3472" s="11" t="str">
        <f t="shared" si="217"/>
        <v/>
      </c>
      <c r="C3472" s="11" t="str">
        <f t="shared" si="216"/>
        <v/>
      </c>
      <c r="F3472" s="10" t="str">
        <v/>
      </c>
      <c r="G3472" t="e">
        <f t="shared" si="218"/>
        <v>#VALUE!</v>
      </c>
      <c r="H3472" s="13" t="e">
        <f t="shared" si="219"/>
        <v>#VALUE!</v>
      </c>
    </row>
    <row r="3473" spans="2:8">
      <c r="B3473" s="11" t="str">
        <f t="shared" si="217"/>
        <v/>
      </c>
      <c r="C3473" s="11" t="str">
        <f t="shared" si="216"/>
        <v/>
      </c>
      <c r="F3473" s="10" t="str">
        <v/>
      </c>
      <c r="G3473" t="e">
        <f t="shared" si="218"/>
        <v>#VALUE!</v>
      </c>
      <c r="H3473" s="13" t="e">
        <f t="shared" si="219"/>
        <v>#VALUE!</v>
      </c>
    </row>
    <row r="3474" spans="2:8">
      <c r="B3474" s="11" t="str">
        <f t="shared" si="217"/>
        <v/>
      </c>
      <c r="C3474" s="11" t="str">
        <f t="shared" si="216"/>
        <v/>
      </c>
      <c r="F3474" s="10" t="str">
        <v/>
      </c>
      <c r="G3474" t="e">
        <f t="shared" si="218"/>
        <v>#VALUE!</v>
      </c>
      <c r="H3474" s="13" t="e">
        <f t="shared" si="219"/>
        <v>#VALUE!</v>
      </c>
    </row>
    <row r="3475" spans="2:8">
      <c r="B3475" s="11" t="str">
        <f t="shared" si="217"/>
        <v/>
      </c>
      <c r="C3475" s="11" t="str">
        <f t="shared" si="216"/>
        <v/>
      </c>
      <c r="F3475" s="10" t="str">
        <v/>
      </c>
      <c r="G3475" t="e">
        <f t="shared" si="218"/>
        <v>#VALUE!</v>
      </c>
      <c r="H3475" s="13" t="e">
        <f t="shared" si="219"/>
        <v>#VALUE!</v>
      </c>
    </row>
    <row r="3476" spans="2:8">
      <c r="B3476" s="11" t="str">
        <f t="shared" si="217"/>
        <v/>
      </c>
      <c r="C3476" s="11" t="str">
        <f t="shared" si="216"/>
        <v/>
      </c>
      <c r="F3476" s="10" t="str">
        <v/>
      </c>
      <c r="G3476" t="e">
        <f t="shared" si="218"/>
        <v>#VALUE!</v>
      </c>
      <c r="H3476" s="13" t="e">
        <f t="shared" si="219"/>
        <v>#VALUE!</v>
      </c>
    </row>
    <row r="3477" spans="2:8">
      <c r="B3477" s="11" t="str">
        <f t="shared" si="217"/>
        <v/>
      </c>
      <c r="C3477" s="11" t="str">
        <f t="shared" si="216"/>
        <v/>
      </c>
      <c r="F3477" s="10" t="str">
        <v/>
      </c>
      <c r="G3477" t="e">
        <f t="shared" si="218"/>
        <v>#VALUE!</v>
      </c>
      <c r="H3477" s="13" t="e">
        <f t="shared" si="219"/>
        <v>#VALUE!</v>
      </c>
    </row>
    <row r="3478" spans="2:8">
      <c r="B3478" s="11" t="str">
        <f t="shared" si="217"/>
        <v/>
      </c>
      <c r="C3478" s="11" t="str">
        <f t="shared" si="216"/>
        <v/>
      </c>
      <c r="F3478" s="10" t="str">
        <v/>
      </c>
      <c r="G3478" t="e">
        <f t="shared" si="218"/>
        <v>#VALUE!</v>
      </c>
      <c r="H3478" s="13" t="e">
        <f t="shared" si="219"/>
        <v>#VALUE!</v>
      </c>
    </row>
    <row r="3479" spans="2:8">
      <c r="B3479" s="11" t="str">
        <f t="shared" si="217"/>
        <v/>
      </c>
      <c r="C3479" s="11" t="str">
        <f t="shared" si="216"/>
        <v/>
      </c>
      <c r="F3479" s="10" t="str">
        <v/>
      </c>
      <c r="G3479" t="e">
        <f t="shared" si="218"/>
        <v>#VALUE!</v>
      </c>
      <c r="H3479" s="13" t="e">
        <f t="shared" si="219"/>
        <v>#VALUE!</v>
      </c>
    </row>
    <row r="3480" spans="2:8">
      <c r="B3480" s="11" t="str">
        <f t="shared" si="217"/>
        <v/>
      </c>
      <c r="C3480" s="11" t="str">
        <f t="shared" si="216"/>
        <v/>
      </c>
      <c r="F3480" s="10" t="str">
        <v/>
      </c>
      <c r="G3480" t="e">
        <f t="shared" si="218"/>
        <v>#VALUE!</v>
      </c>
      <c r="H3480" s="13" t="e">
        <f t="shared" si="219"/>
        <v>#VALUE!</v>
      </c>
    </row>
    <row r="3481" spans="2:8">
      <c r="B3481" s="11" t="str">
        <f t="shared" si="217"/>
        <v/>
      </c>
      <c r="C3481" s="11" t="str">
        <f t="shared" si="216"/>
        <v/>
      </c>
      <c r="F3481" s="10" t="str">
        <v/>
      </c>
      <c r="G3481" t="e">
        <f t="shared" si="218"/>
        <v>#VALUE!</v>
      </c>
      <c r="H3481" s="13" t="e">
        <f t="shared" si="219"/>
        <v>#VALUE!</v>
      </c>
    </row>
    <row r="3482" spans="2:8">
      <c r="B3482" s="11" t="str">
        <f t="shared" si="217"/>
        <v/>
      </c>
      <c r="C3482" s="11" t="str">
        <f t="shared" si="216"/>
        <v/>
      </c>
      <c r="F3482" s="10" t="str">
        <v/>
      </c>
      <c r="G3482" t="e">
        <f t="shared" si="218"/>
        <v>#VALUE!</v>
      </c>
      <c r="H3482" s="13" t="e">
        <f t="shared" si="219"/>
        <v>#VALUE!</v>
      </c>
    </row>
    <row r="3483" spans="2:8">
      <c r="B3483" s="11" t="str">
        <f t="shared" si="217"/>
        <v/>
      </c>
      <c r="C3483" s="11" t="str">
        <f t="shared" si="216"/>
        <v/>
      </c>
      <c r="F3483" s="10" t="str">
        <v/>
      </c>
      <c r="G3483" t="e">
        <f t="shared" si="218"/>
        <v>#VALUE!</v>
      </c>
      <c r="H3483" s="13" t="e">
        <f t="shared" si="219"/>
        <v>#VALUE!</v>
      </c>
    </row>
    <row r="3484" spans="2:8">
      <c r="B3484" s="11" t="str">
        <f t="shared" si="217"/>
        <v/>
      </c>
      <c r="C3484" s="11" t="str">
        <f t="shared" si="216"/>
        <v/>
      </c>
      <c r="F3484" s="10" t="str">
        <v/>
      </c>
      <c r="G3484" t="e">
        <f t="shared" si="218"/>
        <v>#VALUE!</v>
      </c>
      <c r="H3484" s="13" t="e">
        <f t="shared" si="219"/>
        <v>#VALUE!</v>
      </c>
    </row>
    <row r="3485" spans="2:8">
      <c r="B3485" s="11" t="str">
        <f t="shared" si="217"/>
        <v/>
      </c>
      <c r="C3485" s="11" t="str">
        <f t="shared" si="216"/>
        <v/>
      </c>
      <c r="F3485" s="10" t="str">
        <v/>
      </c>
      <c r="G3485" t="e">
        <f t="shared" si="218"/>
        <v>#VALUE!</v>
      </c>
      <c r="H3485" s="13" t="e">
        <f t="shared" si="219"/>
        <v>#VALUE!</v>
      </c>
    </row>
    <row r="3486" spans="2:8">
      <c r="B3486" s="11" t="str">
        <f t="shared" si="217"/>
        <v/>
      </c>
      <c r="C3486" s="11" t="str">
        <f t="shared" si="216"/>
        <v/>
      </c>
      <c r="F3486" s="10" t="str">
        <v/>
      </c>
      <c r="G3486" t="e">
        <f t="shared" si="218"/>
        <v>#VALUE!</v>
      </c>
      <c r="H3486" s="13" t="e">
        <f t="shared" si="219"/>
        <v>#VALUE!</v>
      </c>
    </row>
    <row r="3487" spans="2:8">
      <c r="B3487" s="11" t="str">
        <f t="shared" si="217"/>
        <v/>
      </c>
      <c r="C3487" s="11" t="str">
        <f t="shared" si="216"/>
        <v/>
      </c>
      <c r="F3487" s="10" t="str">
        <v/>
      </c>
      <c r="G3487" t="e">
        <f t="shared" si="218"/>
        <v>#VALUE!</v>
      </c>
      <c r="H3487" s="13" t="e">
        <f t="shared" si="219"/>
        <v>#VALUE!</v>
      </c>
    </row>
    <row r="3488" spans="2:8">
      <c r="B3488" s="11" t="str">
        <f t="shared" si="217"/>
        <v/>
      </c>
      <c r="C3488" s="11" t="str">
        <f t="shared" si="216"/>
        <v/>
      </c>
      <c r="F3488" s="10" t="str">
        <v/>
      </c>
      <c r="G3488" t="e">
        <f t="shared" si="218"/>
        <v>#VALUE!</v>
      </c>
      <c r="H3488" s="13" t="e">
        <f t="shared" si="219"/>
        <v>#VALUE!</v>
      </c>
    </row>
    <row r="3489" spans="2:8">
      <c r="B3489" s="11" t="str">
        <f t="shared" si="217"/>
        <v/>
      </c>
      <c r="C3489" s="11" t="str">
        <f t="shared" si="216"/>
        <v/>
      </c>
      <c r="F3489" s="10" t="str">
        <v/>
      </c>
      <c r="G3489" t="e">
        <f t="shared" si="218"/>
        <v>#VALUE!</v>
      </c>
      <c r="H3489" s="13" t="e">
        <f t="shared" si="219"/>
        <v>#VALUE!</v>
      </c>
    </row>
    <row r="3490" spans="2:8">
      <c r="B3490" s="11" t="str">
        <f t="shared" si="217"/>
        <v/>
      </c>
      <c r="C3490" s="11" t="str">
        <f t="shared" si="216"/>
        <v/>
      </c>
      <c r="F3490" s="10" t="str">
        <v/>
      </c>
      <c r="G3490" t="e">
        <f t="shared" si="218"/>
        <v>#VALUE!</v>
      </c>
      <c r="H3490" s="13" t="e">
        <f t="shared" si="219"/>
        <v>#VALUE!</v>
      </c>
    </row>
    <row r="3491" spans="2:8">
      <c r="B3491" s="11" t="str">
        <f t="shared" si="217"/>
        <v/>
      </c>
      <c r="C3491" s="11" t="str">
        <f t="shared" si="216"/>
        <v/>
      </c>
      <c r="F3491" s="10" t="str">
        <v/>
      </c>
      <c r="G3491" t="e">
        <f t="shared" si="218"/>
        <v>#VALUE!</v>
      </c>
      <c r="H3491" s="13" t="e">
        <f t="shared" si="219"/>
        <v>#VALUE!</v>
      </c>
    </row>
    <row r="3492" spans="2:8">
      <c r="B3492" s="11" t="str">
        <f t="shared" si="217"/>
        <v/>
      </c>
      <c r="C3492" s="11" t="str">
        <f t="shared" si="216"/>
        <v/>
      </c>
      <c r="F3492" s="10" t="str">
        <v/>
      </c>
      <c r="G3492" t="e">
        <f t="shared" si="218"/>
        <v>#VALUE!</v>
      </c>
      <c r="H3492" s="13" t="e">
        <f t="shared" si="219"/>
        <v>#VALUE!</v>
      </c>
    </row>
    <row r="3493" spans="2:8">
      <c r="B3493" s="11" t="str">
        <f t="shared" si="217"/>
        <v/>
      </c>
      <c r="C3493" s="11" t="str">
        <f t="shared" si="216"/>
        <v/>
      </c>
      <c r="F3493" s="10" t="str">
        <v/>
      </c>
      <c r="G3493" t="e">
        <f t="shared" si="218"/>
        <v>#VALUE!</v>
      </c>
      <c r="H3493" s="13" t="e">
        <f t="shared" si="219"/>
        <v>#VALUE!</v>
      </c>
    </row>
    <row r="3494" spans="2:8">
      <c r="B3494" s="11" t="str">
        <f t="shared" si="217"/>
        <v/>
      </c>
      <c r="C3494" s="11" t="str">
        <f t="shared" si="216"/>
        <v/>
      </c>
      <c r="F3494" s="10" t="str">
        <v/>
      </c>
      <c r="G3494" t="e">
        <f t="shared" si="218"/>
        <v>#VALUE!</v>
      </c>
      <c r="H3494" s="13" t="e">
        <f t="shared" si="219"/>
        <v>#VALUE!</v>
      </c>
    </row>
    <row r="3495" spans="2:8">
      <c r="B3495" s="11" t="str">
        <f t="shared" si="217"/>
        <v/>
      </c>
      <c r="C3495" s="11" t="str">
        <f t="shared" si="216"/>
        <v/>
      </c>
      <c r="F3495" s="10" t="str">
        <v/>
      </c>
      <c r="G3495" t="e">
        <f t="shared" si="218"/>
        <v>#VALUE!</v>
      </c>
      <c r="H3495" s="13" t="e">
        <f t="shared" si="219"/>
        <v>#VALUE!</v>
      </c>
    </row>
    <row r="3496" spans="2:8">
      <c r="B3496" s="11" t="str">
        <f t="shared" si="217"/>
        <v/>
      </c>
      <c r="C3496" s="11" t="str">
        <f t="shared" si="216"/>
        <v/>
      </c>
      <c r="F3496" s="10" t="str">
        <v/>
      </c>
      <c r="G3496" t="e">
        <f t="shared" si="218"/>
        <v>#VALUE!</v>
      </c>
      <c r="H3496" s="13" t="e">
        <f t="shared" si="219"/>
        <v>#VALUE!</v>
      </c>
    </row>
    <row r="3497" spans="2:8">
      <c r="B3497" s="11" t="str">
        <f t="shared" si="217"/>
        <v/>
      </c>
      <c r="C3497" s="11" t="str">
        <f t="shared" ref="C3497:C3560" si="220">IF(B3497="артикул",A3497,"")</f>
        <v/>
      </c>
      <c r="F3497" s="10" t="str">
        <v/>
      </c>
      <c r="G3497" t="e">
        <f t="shared" si="218"/>
        <v>#VALUE!</v>
      </c>
      <c r="H3497" s="13" t="e">
        <f t="shared" si="219"/>
        <v>#VALUE!</v>
      </c>
    </row>
    <row r="3498" spans="2:8">
      <c r="B3498" s="11" t="str">
        <f t="shared" si="217"/>
        <v/>
      </c>
      <c r="C3498" s="11" t="str">
        <f t="shared" si="220"/>
        <v/>
      </c>
      <c r="F3498" s="10" t="str">
        <v/>
      </c>
      <c r="G3498" t="e">
        <f t="shared" si="218"/>
        <v>#VALUE!</v>
      </c>
      <c r="H3498" s="13" t="e">
        <f t="shared" si="219"/>
        <v>#VALUE!</v>
      </c>
    </row>
    <row r="3499" spans="2:8">
      <c r="B3499" s="11" t="str">
        <f t="shared" si="217"/>
        <v/>
      </c>
      <c r="C3499" s="11" t="str">
        <f t="shared" si="220"/>
        <v/>
      </c>
      <c r="F3499" s="10" t="str">
        <v/>
      </c>
      <c r="G3499" t="e">
        <f t="shared" si="218"/>
        <v>#VALUE!</v>
      </c>
      <c r="H3499" s="13" t="e">
        <f t="shared" si="219"/>
        <v>#VALUE!</v>
      </c>
    </row>
    <row r="3500" spans="2:8">
      <c r="B3500" s="11" t="str">
        <f t="shared" si="217"/>
        <v/>
      </c>
      <c r="C3500" s="11" t="str">
        <f t="shared" si="220"/>
        <v/>
      </c>
      <c r="F3500" s="10" t="str">
        <v/>
      </c>
      <c r="G3500" t="e">
        <f t="shared" si="218"/>
        <v>#VALUE!</v>
      </c>
      <c r="H3500" s="13" t="e">
        <f t="shared" si="219"/>
        <v>#VALUE!</v>
      </c>
    </row>
    <row r="3501" spans="2:8">
      <c r="B3501" s="11" t="str">
        <f t="shared" si="217"/>
        <v/>
      </c>
      <c r="C3501" s="11" t="str">
        <f t="shared" si="220"/>
        <v/>
      </c>
      <c r="F3501" s="10" t="str">
        <v/>
      </c>
      <c r="G3501" t="e">
        <f t="shared" si="218"/>
        <v>#VALUE!</v>
      </c>
      <c r="H3501" s="13" t="e">
        <f t="shared" si="219"/>
        <v>#VALUE!</v>
      </c>
    </row>
    <row r="3502" spans="2:8">
      <c r="B3502" s="11" t="str">
        <f t="shared" si="217"/>
        <v/>
      </c>
      <c r="C3502" s="11" t="str">
        <f t="shared" si="220"/>
        <v/>
      </c>
      <c r="F3502" s="10" t="str">
        <v/>
      </c>
      <c r="G3502" t="e">
        <f t="shared" si="218"/>
        <v>#VALUE!</v>
      </c>
      <c r="H3502" s="13" t="e">
        <f t="shared" si="219"/>
        <v>#VALUE!</v>
      </c>
    </row>
    <row r="3503" spans="2:8">
      <c r="B3503" s="11" t="str">
        <f t="shared" si="217"/>
        <v/>
      </c>
      <c r="C3503" s="11" t="str">
        <f t="shared" si="220"/>
        <v/>
      </c>
      <c r="F3503" s="10" t="str">
        <v/>
      </c>
      <c r="G3503" t="e">
        <f t="shared" si="218"/>
        <v>#VALUE!</v>
      </c>
      <c r="H3503" s="13" t="e">
        <f t="shared" si="219"/>
        <v>#VALUE!</v>
      </c>
    </row>
    <row r="3504" spans="2:8">
      <c r="B3504" s="11" t="str">
        <f t="shared" si="217"/>
        <v/>
      </c>
      <c r="C3504" s="11" t="str">
        <f t="shared" si="220"/>
        <v/>
      </c>
      <c r="F3504" s="10" t="str">
        <v/>
      </c>
      <c r="G3504" t="e">
        <f t="shared" si="218"/>
        <v>#VALUE!</v>
      </c>
      <c r="H3504" s="13" t="e">
        <f t="shared" si="219"/>
        <v>#VALUE!</v>
      </c>
    </row>
    <row r="3505" spans="2:8">
      <c r="B3505" s="11" t="str">
        <f t="shared" si="217"/>
        <v/>
      </c>
      <c r="C3505" s="11" t="str">
        <f t="shared" si="220"/>
        <v/>
      </c>
      <c r="F3505" s="10" t="str">
        <v/>
      </c>
      <c r="G3505" t="e">
        <f t="shared" si="218"/>
        <v>#VALUE!</v>
      </c>
      <c r="H3505" s="13" t="e">
        <f t="shared" si="219"/>
        <v>#VALUE!</v>
      </c>
    </row>
    <row r="3506" spans="2:8">
      <c r="B3506" s="11" t="str">
        <f t="shared" si="217"/>
        <v/>
      </c>
      <c r="C3506" s="11" t="str">
        <f t="shared" si="220"/>
        <v/>
      </c>
      <c r="F3506" s="10" t="str">
        <v/>
      </c>
      <c r="G3506" t="e">
        <f t="shared" si="218"/>
        <v>#VALUE!</v>
      </c>
      <c r="H3506" s="13" t="e">
        <f t="shared" si="219"/>
        <v>#VALUE!</v>
      </c>
    </row>
    <row r="3507" spans="2:8">
      <c r="B3507" s="11" t="str">
        <f t="shared" si="217"/>
        <v/>
      </c>
      <c r="C3507" s="11" t="str">
        <f t="shared" si="220"/>
        <v/>
      </c>
      <c r="F3507" s="10" t="str">
        <v/>
      </c>
      <c r="G3507" t="e">
        <f t="shared" si="218"/>
        <v>#VALUE!</v>
      </c>
      <c r="H3507" s="13" t="e">
        <f t="shared" si="219"/>
        <v>#VALUE!</v>
      </c>
    </row>
    <row r="3508" spans="2:8">
      <c r="B3508" s="11" t="str">
        <f t="shared" si="217"/>
        <v/>
      </c>
      <c r="C3508" s="11" t="str">
        <f t="shared" si="220"/>
        <v/>
      </c>
      <c r="F3508" s="10" t="str">
        <v/>
      </c>
      <c r="G3508" t="e">
        <f t="shared" si="218"/>
        <v>#VALUE!</v>
      </c>
      <c r="H3508" s="13" t="e">
        <f t="shared" si="219"/>
        <v>#VALUE!</v>
      </c>
    </row>
    <row r="3509" spans="2:8">
      <c r="B3509" s="11" t="str">
        <f t="shared" si="217"/>
        <v/>
      </c>
      <c r="C3509" s="11" t="str">
        <f t="shared" si="220"/>
        <v/>
      </c>
      <c r="F3509" s="10" t="str">
        <v/>
      </c>
      <c r="G3509" t="e">
        <f t="shared" si="218"/>
        <v>#VALUE!</v>
      </c>
      <c r="H3509" s="13" t="e">
        <f t="shared" si="219"/>
        <v>#VALUE!</v>
      </c>
    </row>
    <row r="3510" spans="2:8">
      <c r="B3510" s="11" t="str">
        <f t="shared" si="217"/>
        <v/>
      </c>
      <c r="C3510" s="11" t="str">
        <f t="shared" si="220"/>
        <v/>
      </c>
      <c r="F3510" s="10" t="str">
        <v/>
      </c>
      <c r="G3510" t="e">
        <f t="shared" si="218"/>
        <v>#VALUE!</v>
      </c>
      <c r="H3510" s="13" t="e">
        <f t="shared" si="219"/>
        <v>#VALUE!</v>
      </c>
    </row>
    <row r="3511" spans="2:8">
      <c r="B3511" s="11" t="str">
        <f t="shared" si="217"/>
        <v/>
      </c>
      <c r="C3511" s="11" t="str">
        <f t="shared" si="220"/>
        <v/>
      </c>
      <c r="F3511" s="10" t="str">
        <v/>
      </c>
      <c r="G3511" t="e">
        <f t="shared" si="218"/>
        <v>#VALUE!</v>
      </c>
      <c r="H3511" s="13" t="e">
        <f t="shared" si="219"/>
        <v>#VALUE!</v>
      </c>
    </row>
    <row r="3512" spans="2:8">
      <c r="B3512" s="11" t="str">
        <f t="shared" si="217"/>
        <v/>
      </c>
      <c r="C3512" s="11" t="str">
        <f t="shared" si="220"/>
        <v/>
      </c>
      <c r="F3512" s="10" t="str">
        <v/>
      </c>
      <c r="G3512" t="e">
        <f t="shared" si="218"/>
        <v>#VALUE!</v>
      </c>
      <c r="H3512" s="13" t="e">
        <f t="shared" si="219"/>
        <v>#VALUE!</v>
      </c>
    </row>
    <row r="3513" spans="2:8">
      <c r="B3513" s="11" t="str">
        <f t="shared" si="217"/>
        <v/>
      </c>
      <c r="C3513" s="11" t="str">
        <f t="shared" si="220"/>
        <v/>
      </c>
      <c r="F3513" s="10" t="str">
        <v/>
      </c>
      <c r="G3513" t="e">
        <f t="shared" si="218"/>
        <v>#VALUE!</v>
      </c>
      <c r="H3513" s="13" t="e">
        <f t="shared" si="219"/>
        <v>#VALUE!</v>
      </c>
    </row>
    <row r="3514" spans="2:8">
      <c r="B3514" s="11" t="str">
        <f t="shared" si="217"/>
        <v/>
      </c>
      <c r="C3514" s="11" t="str">
        <f t="shared" si="220"/>
        <v/>
      </c>
      <c r="F3514" s="10" t="str">
        <v/>
      </c>
      <c r="G3514" t="e">
        <f t="shared" si="218"/>
        <v>#VALUE!</v>
      </c>
      <c r="H3514" s="13" t="e">
        <f t="shared" si="219"/>
        <v>#VALUE!</v>
      </c>
    </row>
    <row r="3515" spans="2:8">
      <c r="B3515" s="11" t="str">
        <f t="shared" si="217"/>
        <v/>
      </c>
      <c r="C3515" s="11" t="str">
        <f t="shared" si="220"/>
        <v/>
      </c>
      <c r="F3515" s="10" t="str">
        <v/>
      </c>
      <c r="G3515" t="e">
        <f t="shared" si="218"/>
        <v>#VALUE!</v>
      </c>
      <c r="H3515" s="13" t="e">
        <f t="shared" si="219"/>
        <v>#VALUE!</v>
      </c>
    </row>
    <row r="3516" spans="2:8">
      <c r="B3516" s="11" t="str">
        <f t="shared" si="217"/>
        <v/>
      </c>
      <c r="C3516" s="11" t="str">
        <f t="shared" si="220"/>
        <v/>
      </c>
      <c r="F3516" s="10" t="str">
        <v/>
      </c>
      <c r="G3516" t="e">
        <f t="shared" si="218"/>
        <v>#VALUE!</v>
      </c>
      <c r="H3516" s="13" t="e">
        <f t="shared" si="219"/>
        <v>#VALUE!</v>
      </c>
    </row>
    <row r="3517" spans="2:8">
      <c r="B3517" s="11" t="str">
        <f t="shared" si="217"/>
        <v/>
      </c>
      <c r="C3517" s="11" t="str">
        <f t="shared" si="220"/>
        <v/>
      </c>
      <c r="F3517" s="10" t="str">
        <v/>
      </c>
      <c r="G3517" t="e">
        <f t="shared" si="218"/>
        <v>#VALUE!</v>
      </c>
      <c r="H3517" s="13" t="e">
        <f t="shared" si="219"/>
        <v>#VALUE!</v>
      </c>
    </row>
    <row r="3518" spans="2:8">
      <c r="B3518" s="11" t="str">
        <f t="shared" si="217"/>
        <v/>
      </c>
      <c r="C3518" s="11" t="str">
        <f t="shared" si="220"/>
        <v/>
      </c>
      <c r="F3518" s="10" t="str">
        <v/>
      </c>
      <c r="G3518" t="e">
        <f t="shared" si="218"/>
        <v>#VALUE!</v>
      </c>
      <c r="H3518" s="13" t="e">
        <f t="shared" si="219"/>
        <v>#VALUE!</v>
      </c>
    </row>
    <row r="3519" spans="2:8">
      <c r="B3519" s="11" t="str">
        <f t="shared" si="217"/>
        <v/>
      </c>
      <c r="C3519" s="11" t="str">
        <f t="shared" si="220"/>
        <v/>
      </c>
      <c r="F3519" s="10" t="str">
        <v/>
      </c>
      <c r="G3519" t="e">
        <f t="shared" si="218"/>
        <v>#VALUE!</v>
      </c>
      <c r="H3519" s="13" t="e">
        <f t="shared" si="219"/>
        <v>#VALUE!</v>
      </c>
    </row>
    <row r="3520" spans="2:8">
      <c r="B3520" s="11" t="str">
        <f t="shared" si="217"/>
        <v/>
      </c>
      <c r="C3520" s="11" t="str">
        <f t="shared" si="220"/>
        <v/>
      </c>
      <c r="F3520" s="10" t="str">
        <v/>
      </c>
      <c r="G3520" t="e">
        <f t="shared" si="218"/>
        <v>#VALUE!</v>
      </c>
      <c r="H3520" s="13" t="e">
        <f t="shared" si="219"/>
        <v>#VALUE!</v>
      </c>
    </row>
    <row r="3521" spans="2:8">
      <c r="B3521" s="11" t="str">
        <f t="shared" ref="B3521:B3584" si="221">IFERROR(IF(FIND(" ",A3521)=6,IF(IFERROR(FIND(" PB",A3521),"")&lt;&gt;"","артикул",IF(IFERROR(FIND(" CRN",A3521),"")&lt;&gt;"","артикул","")),""),"")</f>
        <v/>
      </c>
      <c r="C3521" s="11" t="str">
        <f t="shared" si="220"/>
        <v/>
      </c>
      <c r="F3521" s="10" t="str">
        <v/>
      </c>
      <c r="G3521" t="e">
        <f t="shared" si="218"/>
        <v>#VALUE!</v>
      </c>
      <c r="H3521" s="13" t="e">
        <f t="shared" si="219"/>
        <v>#VALUE!</v>
      </c>
    </row>
    <row r="3522" spans="2:8">
      <c r="B3522" s="11" t="str">
        <f t="shared" si="221"/>
        <v/>
      </c>
      <c r="C3522" s="11" t="str">
        <f t="shared" si="220"/>
        <v/>
      </c>
      <c r="F3522" s="10" t="str">
        <v/>
      </c>
      <c r="G3522" t="e">
        <f t="shared" ref="G3522:G3585" si="222">CONCATENATE(LEFT(F3522,5),
MID(F3522,
SEARCH("\",SUBSTITUTE(F3522," ","\",LEN(F3522)-LEN(SUBSTITUTE(F3522," ",""))-4)),
SEARCH("\",SUBSTITUTE(F3522," ","\",LEN(F3522)-LEN(SUBSTITUTE(F3522," ",""))-3))-
SEARCH("\",SUBSTITUTE(F3522," ","\",LEN(F3522)-LEN(SUBSTITUTE(F3522," ",""))-4)))*1)</f>
        <v>#VALUE!</v>
      </c>
      <c r="H3522" s="13" t="e">
        <f t="shared" ref="H3522:H3585" si="223">SUBSTITUTE(
RIGHT(F3522,LEN(F3522)-
FIND("\",SUBSTITUTE(F3522," ","\",LEN(F3522)-LEN(SUBSTITUTE(F3522," ",""))))),
".","")</f>
        <v>#VALUE!</v>
      </c>
    </row>
    <row r="3523" spans="2:8">
      <c r="B3523" s="11" t="str">
        <f t="shared" si="221"/>
        <v/>
      </c>
      <c r="C3523" s="11" t="str">
        <f t="shared" si="220"/>
        <v/>
      </c>
      <c r="F3523" s="10" t="str">
        <v/>
      </c>
      <c r="G3523" t="e">
        <f t="shared" si="222"/>
        <v>#VALUE!</v>
      </c>
      <c r="H3523" s="13" t="e">
        <f t="shared" si="223"/>
        <v>#VALUE!</v>
      </c>
    </row>
    <row r="3524" spans="2:8">
      <c r="B3524" s="11" t="str">
        <f t="shared" si="221"/>
        <v/>
      </c>
      <c r="C3524" s="11" t="str">
        <f t="shared" si="220"/>
        <v/>
      </c>
      <c r="F3524" s="10" t="str">
        <v/>
      </c>
      <c r="G3524" t="e">
        <f t="shared" si="222"/>
        <v>#VALUE!</v>
      </c>
      <c r="H3524" s="13" t="e">
        <f t="shared" si="223"/>
        <v>#VALUE!</v>
      </c>
    </row>
    <row r="3525" spans="2:8">
      <c r="B3525" s="11" t="str">
        <f t="shared" si="221"/>
        <v/>
      </c>
      <c r="C3525" s="11" t="str">
        <f t="shared" si="220"/>
        <v/>
      </c>
      <c r="F3525" s="10" t="str">
        <v/>
      </c>
      <c r="G3525" t="e">
        <f t="shared" si="222"/>
        <v>#VALUE!</v>
      </c>
      <c r="H3525" s="13" t="e">
        <f t="shared" si="223"/>
        <v>#VALUE!</v>
      </c>
    </row>
    <row r="3526" spans="2:8">
      <c r="B3526" s="11" t="str">
        <f t="shared" si="221"/>
        <v/>
      </c>
      <c r="C3526" s="11" t="str">
        <f t="shared" si="220"/>
        <v/>
      </c>
      <c r="F3526" s="10" t="str">
        <v/>
      </c>
      <c r="G3526" t="e">
        <f t="shared" si="222"/>
        <v>#VALUE!</v>
      </c>
      <c r="H3526" s="13" t="e">
        <f t="shared" si="223"/>
        <v>#VALUE!</v>
      </c>
    </row>
    <row r="3527" spans="2:8">
      <c r="B3527" s="11" t="str">
        <f t="shared" si="221"/>
        <v/>
      </c>
      <c r="C3527" s="11" t="str">
        <f t="shared" si="220"/>
        <v/>
      </c>
      <c r="F3527" s="10" t="str">
        <v/>
      </c>
      <c r="G3527" t="e">
        <f t="shared" si="222"/>
        <v>#VALUE!</v>
      </c>
      <c r="H3527" s="13" t="e">
        <f t="shared" si="223"/>
        <v>#VALUE!</v>
      </c>
    </row>
    <row r="3528" spans="2:8">
      <c r="B3528" s="11" t="str">
        <f t="shared" si="221"/>
        <v/>
      </c>
      <c r="C3528" s="11" t="str">
        <f t="shared" si="220"/>
        <v/>
      </c>
      <c r="F3528" s="10" t="str">
        <v/>
      </c>
      <c r="G3528" t="e">
        <f t="shared" si="222"/>
        <v>#VALUE!</v>
      </c>
      <c r="H3528" s="13" t="e">
        <f t="shared" si="223"/>
        <v>#VALUE!</v>
      </c>
    </row>
    <row r="3529" spans="2:8">
      <c r="B3529" s="11" t="str">
        <f t="shared" si="221"/>
        <v/>
      </c>
      <c r="C3529" s="11" t="str">
        <f t="shared" si="220"/>
        <v/>
      </c>
      <c r="F3529" s="10" t="str">
        <v/>
      </c>
      <c r="G3529" t="e">
        <f t="shared" si="222"/>
        <v>#VALUE!</v>
      </c>
      <c r="H3529" s="13" t="e">
        <f t="shared" si="223"/>
        <v>#VALUE!</v>
      </c>
    </row>
    <row r="3530" spans="2:8">
      <c r="B3530" s="11" t="str">
        <f t="shared" si="221"/>
        <v/>
      </c>
      <c r="C3530" s="11" t="str">
        <f t="shared" si="220"/>
        <v/>
      </c>
      <c r="F3530" s="10" t="str">
        <v/>
      </c>
      <c r="G3530" t="e">
        <f t="shared" si="222"/>
        <v>#VALUE!</v>
      </c>
      <c r="H3530" s="13" t="e">
        <f t="shared" si="223"/>
        <v>#VALUE!</v>
      </c>
    </row>
    <row r="3531" spans="2:8">
      <c r="B3531" s="11" t="str">
        <f t="shared" si="221"/>
        <v/>
      </c>
      <c r="C3531" s="11" t="str">
        <f t="shared" si="220"/>
        <v/>
      </c>
      <c r="F3531" s="10" t="str">
        <v/>
      </c>
      <c r="G3531" t="e">
        <f t="shared" si="222"/>
        <v>#VALUE!</v>
      </c>
      <c r="H3531" s="13" t="e">
        <f t="shared" si="223"/>
        <v>#VALUE!</v>
      </c>
    </row>
    <row r="3532" spans="2:8">
      <c r="B3532" s="11" t="str">
        <f t="shared" si="221"/>
        <v/>
      </c>
      <c r="C3532" s="11" t="str">
        <f t="shared" si="220"/>
        <v/>
      </c>
      <c r="F3532" s="10" t="str">
        <v/>
      </c>
      <c r="G3532" t="e">
        <f t="shared" si="222"/>
        <v>#VALUE!</v>
      </c>
      <c r="H3532" s="13" t="e">
        <f t="shared" si="223"/>
        <v>#VALUE!</v>
      </c>
    </row>
    <row r="3533" spans="2:8">
      <c r="B3533" s="11" t="str">
        <f t="shared" si="221"/>
        <v/>
      </c>
      <c r="C3533" s="11" t="str">
        <f t="shared" si="220"/>
        <v/>
      </c>
      <c r="F3533" s="10" t="str">
        <v/>
      </c>
      <c r="G3533" t="e">
        <f t="shared" si="222"/>
        <v>#VALUE!</v>
      </c>
      <c r="H3533" s="13" t="e">
        <f t="shared" si="223"/>
        <v>#VALUE!</v>
      </c>
    </row>
    <row r="3534" spans="2:8">
      <c r="B3534" s="11" t="str">
        <f t="shared" si="221"/>
        <v/>
      </c>
      <c r="C3534" s="11" t="str">
        <f t="shared" si="220"/>
        <v/>
      </c>
      <c r="F3534" s="10" t="str">
        <v/>
      </c>
      <c r="G3534" t="e">
        <f t="shared" si="222"/>
        <v>#VALUE!</v>
      </c>
      <c r="H3534" s="13" t="e">
        <f t="shared" si="223"/>
        <v>#VALUE!</v>
      </c>
    </row>
    <row r="3535" spans="2:8">
      <c r="B3535" s="11" t="str">
        <f t="shared" si="221"/>
        <v/>
      </c>
      <c r="C3535" s="11" t="str">
        <f t="shared" si="220"/>
        <v/>
      </c>
      <c r="F3535" s="10" t="str">
        <v/>
      </c>
      <c r="G3535" t="e">
        <f t="shared" si="222"/>
        <v>#VALUE!</v>
      </c>
      <c r="H3535" s="13" t="e">
        <f t="shared" si="223"/>
        <v>#VALUE!</v>
      </c>
    </row>
    <row r="3536" spans="2:8">
      <c r="B3536" s="11" t="str">
        <f t="shared" si="221"/>
        <v/>
      </c>
      <c r="C3536" s="11" t="str">
        <f t="shared" si="220"/>
        <v/>
      </c>
      <c r="F3536" s="10" t="str">
        <v/>
      </c>
      <c r="G3536" t="e">
        <f t="shared" si="222"/>
        <v>#VALUE!</v>
      </c>
      <c r="H3536" s="13" t="e">
        <f t="shared" si="223"/>
        <v>#VALUE!</v>
      </c>
    </row>
    <row r="3537" spans="2:8">
      <c r="B3537" s="11" t="str">
        <f t="shared" si="221"/>
        <v/>
      </c>
      <c r="C3537" s="11" t="str">
        <f t="shared" si="220"/>
        <v/>
      </c>
      <c r="F3537" s="10" t="str">
        <v/>
      </c>
      <c r="G3537" t="e">
        <f t="shared" si="222"/>
        <v>#VALUE!</v>
      </c>
      <c r="H3537" s="13" t="e">
        <f t="shared" si="223"/>
        <v>#VALUE!</v>
      </c>
    </row>
    <row r="3538" spans="2:8">
      <c r="B3538" s="11" t="str">
        <f t="shared" si="221"/>
        <v/>
      </c>
      <c r="C3538" s="11" t="str">
        <f t="shared" si="220"/>
        <v/>
      </c>
      <c r="F3538" s="10" t="str">
        <v/>
      </c>
      <c r="G3538" t="e">
        <f t="shared" si="222"/>
        <v>#VALUE!</v>
      </c>
      <c r="H3538" s="13" t="e">
        <f t="shared" si="223"/>
        <v>#VALUE!</v>
      </c>
    </row>
    <row r="3539" spans="2:8">
      <c r="B3539" s="11" t="str">
        <f t="shared" si="221"/>
        <v/>
      </c>
      <c r="C3539" s="11" t="str">
        <f t="shared" si="220"/>
        <v/>
      </c>
      <c r="F3539" s="10" t="str">
        <v/>
      </c>
      <c r="G3539" t="e">
        <f t="shared" si="222"/>
        <v>#VALUE!</v>
      </c>
      <c r="H3539" s="13" t="e">
        <f t="shared" si="223"/>
        <v>#VALUE!</v>
      </c>
    </row>
    <row r="3540" spans="2:8">
      <c r="B3540" s="11" t="str">
        <f t="shared" si="221"/>
        <v/>
      </c>
      <c r="C3540" s="11" t="str">
        <f t="shared" si="220"/>
        <v/>
      </c>
      <c r="F3540" s="10" t="str">
        <v/>
      </c>
      <c r="G3540" t="e">
        <f t="shared" si="222"/>
        <v>#VALUE!</v>
      </c>
      <c r="H3540" s="13" t="e">
        <f t="shared" si="223"/>
        <v>#VALUE!</v>
      </c>
    </row>
    <row r="3541" spans="2:8">
      <c r="B3541" s="11" t="str">
        <f t="shared" si="221"/>
        <v/>
      </c>
      <c r="C3541" s="11" t="str">
        <f t="shared" si="220"/>
        <v/>
      </c>
      <c r="F3541" s="10" t="str">
        <v/>
      </c>
      <c r="G3541" t="e">
        <f t="shared" si="222"/>
        <v>#VALUE!</v>
      </c>
      <c r="H3541" s="13" t="e">
        <f t="shared" si="223"/>
        <v>#VALUE!</v>
      </c>
    </row>
    <row r="3542" spans="2:8">
      <c r="B3542" s="11" t="str">
        <f t="shared" si="221"/>
        <v/>
      </c>
      <c r="C3542" s="11" t="str">
        <f t="shared" si="220"/>
        <v/>
      </c>
      <c r="F3542" s="10" t="str">
        <v/>
      </c>
      <c r="G3542" t="e">
        <f t="shared" si="222"/>
        <v>#VALUE!</v>
      </c>
      <c r="H3542" s="13" t="e">
        <f t="shared" si="223"/>
        <v>#VALUE!</v>
      </c>
    </row>
    <row r="3543" spans="2:8">
      <c r="B3543" s="11" t="str">
        <f t="shared" si="221"/>
        <v/>
      </c>
      <c r="C3543" s="11" t="str">
        <f t="shared" si="220"/>
        <v/>
      </c>
      <c r="F3543" s="10" t="str">
        <v/>
      </c>
      <c r="G3543" t="e">
        <f t="shared" si="222"/>
        <v>#VALUE!</v>
      </c>
      <c r="H3543" s="13" t="e">
        <f t="shared" si="223"/>
        <v>#VALUE!</v>
      </c>
    </row>
    <row r="3544" spans="2:8">
      <c r="B3544" s="11" t="str">
        <f t="shared" si="221"/>
        <v/>
      </c>
      <c r="C3544" s="11" t="str">
        <f t="shared" si="220"/>
        <v/>
      </c>
      <c r="F3544" s="10" t="str">
        <v/>
      </c>
      <c r="G3544" t="e">
        <f t="shared" si="222"/>
        <v>#VALUE!</v>
      </c>
      <c r="H3544" s="13" t="e">
        <f t="shared" si="223"/>
        <v>#VALUE!</v>
      </c>
    </row>
    <row r="3545" spans="2:8">
      <c r="B3545" s="11" t="str">
        <f t="shared" si="221"/>
        <v/>
      </c>
      <c r="C3545" s="11" t="str">
        <f t="shared" si="220"/>
        <v/>
      </c>
      <c r="F3545" s="10" t="str">
        <v/>
      </c>
      <c r="G3545" t="e">
        <f t="shared" si="222"/>
        <v>#VALUE!</v>
      </c>
      <c r="H3545" s="13" t="e">
        <f t="shared" si="223"/>
        <v>#VALUE!</v>
      </c>
    </row>
    <row r="3546" spans="2:8">
      <c r="B3546" s="11" t="str">
        <f t="shared" si="221"/>
        <v/>
      </c>
      <c r="C3546" s="11" t="str">
        <f t="shared" si="220"/>
        <v/>
      </c>
      <c r="F3546" s="10" t="str">
        <v/>
      </c>
      <c r="G3546" t="e">
        <f t="shared" si="222"/>
        <v>#VALUE!</v>
      </c>
      <c r="H3546" s="13" t="e">
        <f t="shared" si="223"/>
        <v>#VALUE!</v>
      </c>
    </row>
    <row r="3547" spans="2:8">
      <c r="B3547" s="11" t="str">
        <f t="shared" si="221"/>
        <v/>
      </c>
      <c r="C3547" s="11" t="str">
        <f t="shared" si="220"/>
        <v/>
      </c>
      <c r="F3547" s="10" t="str">
        <v/>
      </c>
      <c r="G3547" t="e">
        <f t="shared" si="222"/>
        <v>#VALUE!</v>
      </c>
      <c r="H3547" s="13" t="e">
        <f t="shared" si="223"/>
        <v>#VALUE!</v>
      </c>
    </row>
    <row r="3548" spans="2:8">
      <c r="B3548" s="11" t="str">
        <f t="shared" si="221"/>
        <v/>
      </c>
      <c r="C3548" s="11" t="str">
        <f t="shared" si="220"/>
        <v/>
      </c>
      <c r="F3548" s="10" t="str">
        <v/>
      </c>
      <c r="G3548" t="e">
        <f t="shared" si="222"/>
        <v>#VALUE!</v>
      </c>
      <c r="H3548" s="13" t="e">
        <f t="shared" si="223"/>
        <v>#VALUE!</v>
      </c>
    </row>
    <row r="3549" spans="2:8">
      <c r="B3549" s="11" t="str">
        <f t="shared" si="221"/>
        <v/>
      </c>
      <c r="C3549" s="11" t="str">
        <f t="shared" si="220"/>
        <v/>
      </c>
      <c r="F3549" s="10" t="str">
        <v/>
      </c>
      <c r="G3549" t="e">
        <f t="shared" si="222"/>
        <v>#VALUE!</v>
      </c>
      <c r="H3549" s="13" t="e">
        <f t="shared" si="223"/>
        <v>#VALUE!</v>
      </c>
    </row>
    <row r="3550" spans="2:8">
      <c r="B3550" s="11" t="str">
        <f t="shared" si="221"/>
        <v/>
      </c>
      <c r="C3550" s="11" t="str">
        <f t="shared" si="220"/>
        <v/>
      </c>
      <c r="F3550" s="10" t="str">
        <v/>
      </c>
      <c r="G3550" t="e">
        <f t="shared" si="222"/>
        <v>#VALUE!</v>
      </c>
      <c r="H3550" s="13" t="e">
        <f t="shared" si="223"/>
        <v>#VALUE!</v>
      </c>
    </row>
    <row r="3551" spans="2:8">
      <c r="B3551" s="11" t="str">
        <f t="shared" si="221"/>
        <v/>
      </c>
      <c r="C3551" s="11" t="str">
        <f t="shared" si="220"/>
        <v/>
      </c>
      <c r="F3551" s="10" t="str">
        <v/>
      </c>
      <c r="G3551" t="e">
        <f t="shared" si="222"/>
        <v>#VALUE!</v>
      </c>
      <c r="H3551" s="13" t="e">
        <f t="shared" si="223"/>
        <v>#VALUE!</v>
      </c>
    </row>
    <row r="3552" spans="2:8">
      <c r="B3552" s="11" t="str">
        <f t="shared" si="221"/>
        <v/>
      </c>
      <c r="C3552" s="11" t="str">
        <f t="shared" si="220"/>
        <v/>
      </c>
      <c r="F3552" s="10" t="str">
        <v/>
      </c>
      <c r="G3552" t="e">
        <f t="shared" si="222"/>
        <v>#VALUE!</v>
      </c>
      <c r="H3552" s="13" t="e">
        <f t="shared" si="223"/>
        <v>#VALUE!</v>
      </c>
    </row>
    <row r="3553" spans="2:8">
      <c r="B3553" s="11" t="str">
        <f t="shared" si="221"/>
        <v/>
      </c>
      <c r="C3553" s="11" t="str">
        <f t="shared" si="220"/>
        <v/>
      </c>
      <c r="F3553" s="10" t="str">
        <v/>
      </c>
      <c r="G3553" t="e">
        <f t="shared" si="222"/>
        <v>#VALUE!</v>
      </c>
      <c r="H3553" s="13" t="e">
        <f t="shared" si="223"/>
        <v>#VALUE!</v>
      </c>
    </row>
    <row r="3554" spans="2:8">
      <c r="B3554" s="11" t="str">
        <f t="shared" si="221"/>
        <v/>
      </c>
      <c r="C3554" s="11" t="str">
        <f t="shared" si="220"/>
        <v/>
      </c>
      <c r="F3554" s="10" t="str">
        <v/>
      </c>
      <c r="G3554" t="e">
        <f t="shared" si="222"/>
        <v>#VALUE!</v>
      </c>
      <c r="H3554" s="13" t="e">
        <f t="shared" si="223"/>
        <v>#VALUE!</v>
      </c>
    </row>
    <row r="3555" spans="2:8">
      <c r="B3555" s="11" t="str">
        <f t="shared" si="221"/>
        <v/>
      </c>
      <c r="C3555" s="11" t="str">
        <f t="shared" si="220"/>
        <v/>
      </c>
      <c r="F3555" s="10" t="str">
        <v/>
      </c>
      <c r="G3555" t="e">
        <f t="shared" si="222"/>
        <v>#VALUE!</v>
      </c>
      <c r="H3555" s="13" t="e">
        <f t="shared" si="223"/>
        <v>#VALUE!</v>
      </c>
    </row>
    <row r="3556" spans="2:8">
      <c r="B3556" s="11" t="str">
        <f t="shared" si="221"/>
        <v/>
      </c>
      <c r="C3556" s="11" t="str">
        <f t="shared" si="220"/>
        <v/>
      </c>
      <c r="F3556" s="10" t="str">
        <v/>
      </c>
      <c r="G3556" t="e">
        <f t="shared" si="222"/>
        <v>#VALUE!</v>
      </c>
      <c r="H3556" s="13" t="e">
        <f t="shared" si="223"/>
        <v>#VALUE!</v>
      </c>
    </row>
    <row r="3557" spans="2:8">
      <c r="B3557" s="11" t="str">
        <f t="shared" si="221"/>
        <v/>
      </c>
      <c r="C3557" s="11" t="str">
        <f t="shared" si="220"/>
        <v/>
      </c>
      <c r="F3557" s="10" t="str">
        <v/>
      </c>
      <c r="G3557" t="e">
        <f t="shared" si="222"/>
        <v>#VALUE!</v>
      </c>
      <c r="H3557" s="13" t="e">
        <f t="shared" si="223"/>
        <v>#VALUE!</v>
      </c>
    </row>
    <row r="3558" spans="2:8">
      <c r="B3558" s="11" t="str">
        <f t="shared" si="221"/>
        <v/>
      </c>
      <c r="C3558" s="11" t="str">
        <f t="shared" si="220"/>
        <v/>
      </c>
      <c r="F3558" s="10" t="str">
        <v/>
      </c>
      <c r="G3558" t="e">
        <f t="shared" si="222"/>
        <v>#VALUE!</v>
      </c>
      <c r="H3558" s="13" t="e">
        <f t="shared" si="223"/>
        <v>#VALUE!</v>
      </c>
    </row>
    <row r="3559" spans="2:8">
      <c r="B3559" s="11" t="str">
        <f t="shared" si="221"/>
        <v/>
      </c>
      <c r="C3559" s="11" t="str">
        <f t="shared" si="220"/>
        <v/>
      </c>
      <c r="F3559" s="10" t="str">
        <v/>
      </c>
      <c r="G3559" t="e">
        <f t="shared" si="222"/>
        <v>#VALUE!</v>
      </c>
      <c r="H3559" s="13" t="e">
        <f t="shared" si="223"/>
        <v>#VALUE!</v>
      </c>
    </row>
    <row r="3560" spans="2:8">
      <c r="B3560" s="11" t="str">
        <f t="shared" si="221"/>
        <v/>
      </c>
      <c r="C3560" s="11" t="str">
        <f t="shared" si="220"/>
        <v/>
      </c>
      <c r="F3560" s="10" t="str">
        <v/>
      </c>
      <c r="G3560" t="e">
        <f t="shared" si="222"/>
        <v>#VALUE!</v>
      </c>
      <c r="H3560" s="13" t="e">
        <f t="shared" si="223"/>
        <v>#VALUE!</v>
      </c>
    </row>
    <row r="3561" spans="2:8">
      <c r="B3561" s="11" t="str">
        <f t="shared" si="221"/>
        <v/>
      </c>
      <c r="C3561" s="11" t="str">
        <f t="shared" ref="C3561:C3624" si="224">IF(B3561="артикул",A3561,"")</f>
        <v/>
      </c>
      <c r="F3561" s="10" t="str">
        <v/>
      </c>
      <c r="G3561" t="e">
        <f t="shared" si="222"/>
        <v>#VALUE!</v>
      </c>
      <c r="H3561" s="13" t="e">
        <f t="shared" si="223"/>
        <v>#VALUE!</v>
      </c>
    </row>
    <row r="3562" spans="2:8">
      <c r="B3562" s="11" t="str">
        <f t="shared" si="221"/>
        <v/>
      </c>
      <c r="C3562" s="11" t="str">
        <f t="shared" si="224"/>
        <v/>
      </c>
      <c r="F3562" s="10" t="str">
        <v/>
      </c>
      <c r="G3562" t="e">
        <f t="shared" si="222"/>
        <v>#VALUE!</v>
      </c>
      <c r="H3562" s="13" t="e">
        <f t="shared" si="223"/>
        <v>#VALUE!</v>
      </c>
    </row>
    <row r="3563" spans="2:8">
      <c r="B3563" s="11" t="str">
        <f t="shared" si="221"/>
        <v/>
      </c>
      <c r="C3563" s="11" t="str">
        <f t="shared" si="224"/>
        <v/>
      </c>
      <c r="F3563" s="10" t="str">
        <v/>
      </c>
      <c r="G3563" t="e">
        <f t="shared" si="222"/>
        <v>#VALUE!</v>
      </c>
      <c r="H3563" s="13" t="e">
        <f t="shared" si="223"/>
        <v>#VALUE!</v>
      </c>
    </row>
    <row r="3564" spans="2:8">
      <c r="B3564" s="11" t="str">
        <f t="shared" si="221"/>
        <v/>
      </c>
      <c r="C3564" s="11" t="str">
        <f t="shared" si="224"/>
        <v/>
      </c>
      <c r="F3564" s="10" t="str">
        <v/>
      </c>
      <c r="G3564" t="e">
        <f t="shared" si="222"/>
        <v>#VALUE!</v>
      </c>
      <c r="H3564" s="13" t="e">
        <f t="shared" si="223"/>
        <v>#VALUE!</v>
      </c>
    </row>
    <row r="3565" spans="2:8">
      <c r="B3565" s="11" t="str">
        <f t="shared" si="221"/>
        <v/>
      </c>
      <c r="C3565" s="11" t="str">
        <f t="shared" si="224"/>
        <v/>
      </c>
      <c r="F3565" s="10" t="str">
        <v/>
      </c>
      <c r="G3565" t="e">
        <f t="shared" si="222"/>
        <v>#VALUE!</v>
      </c>
      <c r="H3565" s="13" t="e">
        <f t="shared" si="223"/>
        <v>#VALUE!</v>
      </c>
    </row>
    <row r="3566" spans="2:8">
      <c r="B3566" s="11" t="str">
        <f t="shared" si="221"/>
        <v/>
      </c>
      <c r="C3566" s="11" t="str">
        <f t="shared" si="224"/>
        <v/>
      </c>
      <c r="F3566" s="10" t="str">
        <v/>
      </c>
      <c r="G3566" t="e">
        <f t="shared" si="222"/>
        <v>#VALUE!</v>
      </c>
      <c r="H3566" s="13" t="e">
        <f t="shared" si="223"/>
        <v>#VALUE!</v>
      </c>
    </row>
    <row r="3567" spans="2:8">
      <c r="B3567" s="11" t="str">
        <f t="shared" si="221"/>
        <v/>
      </c>
      <c r="C3567" s="11" t="str">
        <f t="shared" si="224"/>
        <v/>
      </c>
      <c r="F3567" s="10" t="str">
        <v/>
      </c>
      <c r="G3567" t="e">
        <f t="shared" si="222"/>
        <v>#VALUE!</v>
      </c>
      <c r="H3567" s="13" t="e">
        <f t="shared" si="223"/>
        <v>#VALUE!</v>
      </c>
    </row>
    <row r="3568" spans="2:8">
      <c r="B3568" s="11" t="str">
        <f t="shared" si="221"/>
        <v/>
      </c>
      <c r="C3568" s="11" t="str">
        <f t="shared" si="224"/>
        <v/>
      </c>
      <c r="F3568" s="10" t="str">
        <v/>
      </c>
      <c r="G3568" t="e">
        <f t="shared" si="222"/>
        <v>#VALUE!</v>
      </c>
      <c r="H3568" s="13" t="e">
        <f t="shared" si="223"/>
        <v>#VALUE!</v>
      </c>
    </row>
    <row r="3569" spans="2:8">
      <c r="B3569" s="11" t="str">
        <f t="shared" si="221"/>
        <v/>
      </c>
      <c r="C3569" s="11" t="str">
        <f t="shared" si="224"/>
        <v/>
      </c>
      <c r="F3569" s="10" t="str">
        <v/>
      </c>
      <c r="G3569" t="e">
        <f t="shared" si="222"/>
        <v>#VALUE!</v>
      </c>
      <c r="H3569" s="13" t="e">
        <f t="shared" si="223"/>
        <v>#VALUE!</v>
      </c>
    </row>
    <row r="3570" spans="2:8">
      <c r="B3570" s="11" t="str">
        <f t="shared" si="221"/>
        <v/>
      </c>
      <c r="C3570" s="11" t="str">
        <f t="shared" si="224"/>
        <v/>
      </c>
      <c r="F3570" s="10" t="str">
        <v/>
      </c>
      <c r="G3570" t="e">
        <f t="shared" si="222"/>
        <v>#VALUE!</v>
      </c>
      <c r="H3570" s="13" t="e">
        <f t="shared" si="223"/>
        <v>#VALUE!</v>
      </c>
    </row>
    <row r="3571" spans="2:8">
      <c r="B3571" s="11" t="str">
        <f t="shared" si="221"/>
        <v/>
      </c>
      <c r="C3571" s="11" t="str">
        <f t="shared" si="224"/>
        <v/>
      </c>
      <c r="F3571" s="10" t="str">
        <v/>
      </c>
      <c r="G3571" t="e">
        <f t="shared" si="222"/>
        <v>#VALUE!</v>
      </c>
      <c r="H3571" s="13" t="e">
        <f t="shared" si="223"/>
        <v>#VALUE!</v>
      </c>
    </row>
    <row r="3572" spans="2:8">
      <c r="B3572" s="11" t="str">
        <f t="shared" si="221"/>
        <v/>
      </c>
      <c r="C3572" s="11" t="str">
        <f t="shared" si="224"/>
        <v/>
      </c>
      <c r="F3572" s="10" t="str">
        <v/>
      </c>
      <c r="G3572" t="e">
        <f t="shared" si="222"/>
        <v>#VALUE!</v>
      </c>
      <c r="H3572" s="13" t="e">
        <f t="shared" si="223"/>
        <v>#VALUE!</v>
      </c>
    </row>
    <row r="3573" spans="2:8">
      <c r="B3573" s="11" t="str">
        <f t="shared" si="221"/>
        <v/>
      </c>
      <c r="C3573" s="11" t="str">
        <f t="shared" si="224"/>
        <v/>
      </c>
      <c r="F3573" s="10" t="str">
        <v/>
      </c>
      <c r="G3573" t="e">
        <f t="shared" si="222"/>
        <v>#VALUE!</v>
      </c>
      <c r="H3573" s="13" t="e">
        <f t="shared" si="223"/>
        <v>#VALUE!</v>
      </c>
    </row>
    <row r="3574" spans="2:8">
      <c r="B3574" s="11" t="str">
        <f t="shared" si="221"/>
        <v/>
      </c>
      <c r="C3574" s="11" t="str">
        <f t="shared" si="224"/>
        <v/>
      </c>
      <c r="F3574" s="10" t="str">
        <v/>
      </c>
      <c r="G3574" t="e">
        <f t="shared" si="222"/>
        <v>#VALUE!</v>
      </c>
      <c r="H3574" s="13" t="e">
        <f t="shared" si="223"/>
        <v>#VALUE!</v>
      </c>
    </row>
    <row r="3575" spans="2:8">
      <c r="B3575" s="11" t="str">
        <f t="shared" si="221"/>
        <v/>
      </c>
      <c r="C3575" s="11" t="str">
        <f t="shared" si="224"/>
        <v/>
      </c>
      <c r="F3575" s="10" t="str">
        <v/>
      </c>
      <c r="G3575" t="e">
        <f t="shared" si="222"/>
        <v>#VALUE!</v>
      </c>
      <c r="H3575" s="13" t="e">
        <f t="shared" si="223"/>
        <v>#VALUE!</v>
      </c>
    </row>
    <row r="3576" spans="2:8">
      <c r="B3576" s="11" t="str">
        <f t="shared" si="221"/>
        <v/>
      </c>
      <c r="C3576" s="11" t="str">
        <f t="shared" si="224"/>
        <v/>
      </c>
      <c r="F3576" s="10" t="str">
        <v/>
      </c>
      <c r="G3576" t="e">
        <f t="shared" si="222"/>
        <v>#VALUE!</v>
      </c>
      <c r="H3576" s="13" t="e">
        <f t="shared" si="223"/>
        <v>#VALUE!</v>
      </c>
    </row>
    <row r="3577" spans="2:8">
      <c r="B3577" s="11" t="str">
        <f t="shared" si="221"/>
        <v/>
      </c>
      <c r="C3577" s="11" t="str">
        <f t="shared" si="224"/>
        <v/>
      </c>
      <c r="F3577" s="10" t="str">
        <v/>
      </c>
      <c r="G3577" t="e">
        <f t="shared" si="222"/>
        <v>#VALUE!</v>
      </c>
      <c r="H3577" s="13" t="e">
        <f t="shared" si="223"/>
        <v>#VALUE!</v>
      </c>
    </row>
    <row r="3578" spans="2:8">
      <c r="B3578" s="11" t="str">
        <f t="shared" si="221"/>
        <v/>
      </c>
      <c r="C3578" s="11" t="str">
        <f t="shared" si="224"/>
        <v/>
      </c>
      <c r="F3578" s="10" t="str">
        <v/>
      </c>
      <c r="G3578" t="e">
        <f t="shared" si="222"/>
        <v>#VALUE!</v>
      </c>
      <c r="H3578" s="13" t="e">
        <f t="shared" si="223"/>
        <v>#VALUE!</v>
      </c>
    </row>
    <row r="3579" spans="2:8">
      <c r="B3579" s="11" t="str">
        <f t="shared" si="221"/>
        <v/>
      </c>
      <c r="C3579" s="11" t="str">
        <f t="shared" si="224"/>
        <v/>
      </c>
      <c r="F3579" s="10" t="str">
        <v/>
      </c>
      <c r="G3579" t="e">
        <f t="shared" si="222"/>
        <v>#VALUE!</v>
      </c>
      <c r="H3579" s="13" t="e">
        <f t="shared" si="223"/>
        <v>#VALUE!</v>
      </c>
    </row>
    <row r="3580" spans="2:8">
      <c r="B3580" s="11" t="str">
        <f t="shared" si="221"/>
        <v/>
      </c>
      <c r="C3580" s="11" t="str">
        <f t="shared" si="224"/>
        <v/>
      </c>
      <c r="F3580" s="10" t="str">
        <v/>
      </c>
      <c r="G3580" t="e">
        <f t="shared" si="222"/>
        <v>#VALUE!</v>
      </c>
      <c r="H3580" s="13" t="e">
        <f t="shared" si="223"/>
        <v>#VALUE!</v>
      </c>
    </row>
    <row r="3581" spans="2:8">
      <c r="B3581" s="11" t="str">
        <f t="shared" si="221"/>
        <v/>
      </c>
      <c r="C3581" s="11" t="str">
        <f t="shared" si="224"/>
        <v/>
      </c>
      <c r="F3581" s="10" t="str">
        <v/>
      </c>
      <c r="G3581" t="e">
        <f t="shared" si="222"/>
        <v>#VALUE!</v>
      </c>
      <c r="H3581" s="13" t="e">
        <f t="shared" si="223"/>
        <v>#VALUE!</v>
      </c>
    </row>
    <row r="3582" spans="2:8">
      <c r="B3582" s="11" t="str">
        <f t="shared" si="221"/>
        <v/>
      </c>
      <c r="C3582" s="11" t="str">
        <f t="shared" si="224"/>
        <v/>
      </c>
      <c r="F3582" s="10" t="str">
        <v/>
      </c>
      <c r="G3582" t="e">
        <f t="shared" si="222"/>
        <v>#VALUE!</v>
      </c>
      <c r="H3582" s="13" t="e">
        <f t="shared" si="223"/>
        <v>#VALUE!</v>
      </c>
    </row>
    <row r="3583" spans="2:8">
      <c r="B3583" s="11" t="str">
        <f t="shared" si="221"/>
        <v/>
      </c>
      <c r="C3583" s="11" t="str">
        <f t="shared" si="224"/>
        <v/>
      </c>
      <c r="F3583" s="10" t="str">
        <v/>
      </c>
      <c r="G3583" t="e">
        <f t="shared" si="222"/>
        <v>#VALUE!</v>
      </c>
      <c r="H3583" s="13" t="e">
        <f t="shared" si="223"/>
        <v>#VALUE!</v>
      </c>
    </row>
    <row r="3584" spans="2:8">
      <c r="B3584" s="11" t="str">
        <f t="shared" si="221"/>
        <v/>
      </c>
      <c r="C3584" s="11" t="str">
        <f t="shared" si="224"/>
        <v/>
      </c>
      <c r="F3584" s="10" t="str">
        <v/>
      </c>
      <c r="G3584" t="e">
        <f t="shared" si="222"/>
        <v>#VALUE!</v>
      </c>
      <c r="H3584" s="13" t="e">
        <f t="shared" si="223"/>
        <v>#VALUE!</v>
      </c>
    </row>
    <row r="3585" spans="2:8">
      <c r="B3585" s="11" t="str">
        <f t="shared" ref="B3585:B3648" si="225">IFERROR(IF(FIND(" ",A3585)=6,IF(IFERROR(FIND(" PB",A3585),"")&lt;&gt;"","артикул",IF(IFERROR(FIND(" CRN",A3585),"")&lt;&gt;"","артикул","")),""),"")</f>
        <v/>
      </c>
      <c r="C3585" s="11" t="str">
        <f t="shared" si="224"/>
        <v/>
      </c>
      <c r="F3585" s="10" t="str">
        <v/>
      </c>
      <c r="G3585" t="e">
        <f t="shared" si="222"/>
        <v>#VALUE!</v>
      </c>
      <c r="H3585" s="13" t="e">
        <f t="shared" si="223"/>
        <v>#VALUE!</v>
      </c>
    </row>
    <row r="3586" spans="2:8">
      <c r="B3586" s="11" t="str">
        <f t="shared" si="225"/>
        <v/>
      </c>
      <c r="C3586" s="11" t="str">
        <f t="shared" si="224"/>
        <v/>
      </c>
      <c r="F3586" s="10" t="str">
        <v/>
      </c>
      <c r="G3586" t="e">
        <f t="shared" ref="G3586:G3649" si="226">CONCATENATE(LEFT(F3586,5),
MID(F3586,
SEARCH("\",SUBSTITUTE(F3586," ","\",LEN(F3586)-LEN(SUBSTITUTE(F3586," ",""))-4)),
SEARCH("\",SUBSTITUTE(F3586," ","\",LEN(F3586)-LEN(SUBSTITUTE(F3586," ",""))-3))-
SEARCH("\",SUBSTITUTE(F3586," ","\",LEN(F3586)-LEN(SUBSTITUTE(F3586," ",""))-4)))*1)</f>
        <v>#VALUE!</v>
      </c>
      <c r="H3586" s="13" t="e">
        <f t="shared" ref="H3586:H3649" si="227">SUBSTITUTE(
RIGHT(F3586,LEN(F3586)-
FIND("\",SUBSTITUTE(F3586," ","\",LEN(F3586)-LEN(SUBSTITUTE(F3586," ",""))))),
".","")</f>
        <v>#VALUE!</v>
      </c>
    </row>
    <row r="3587" spans="2:8">
      <c r="B3587" s="11" t="str">
        <f t="shared" si="225"/>
        <v/>
      </c>
      <c r="C3587" s="11" t="str">
        <f t="shared" si="224"/>
        <v/>
      </c>
      <c r="F3587" s="10" t="str">
        <v/>
      </c>
      <c r="G3587" t="e">
        <f t="shared" si="226"/>
        <v>#VALUE!</v>
      </c>
      <c r="H3587" s="13" t="e">
        <f t="shared" si="227"/>
        <v>#VALUE!</v>
      </c>
    </row>
    <row r="3588" spans="2:8">
      <c r="B3588" s="11" t="str">
        <f t="shared" si="225"/>
        <v/>
      </c>
      <c r="C3588" s="11" t="str">
        <f t="shared" si="224"/>
        <v/>
      </c>
      <c r="F3588" s="10" t="str">
        <v/>
      </c>
      <c r="G3588" t="e">
        <f t="shared" si="226"/>
        <v>#VALUE!</v>
      </c>
      <c r="H3588" s="13" t="e">
        <f t="shared" si="227"/>
        <v>#VALUE!</v>
      </c>
    </row>
    <row r="3589" spans="2:8">
      <c r="B3589" s="11" t="str">
        <f t="shared" si="225"/>
        <v/>
      </c>
      <c r="C3589" s="11" t="str">
        <f t="shared" si="224"/>
        <v/>
      </c>
      <c r="F3589" s="10" t="str">
        <v/>
      </c>
      <c r="G3589" t="e">
        <f t="shared" si="226"/>
        <v>#VALUE!</v>
      </c>
      <c r="H3589" s="13" t="e">
        <f t="shared" si="227"/>
        <v>#VALUE!</v>
      </c>
    </row>
    <row r="3590" spans="2:8">
      <c r="B3590" s="11" t="str">
        <f t="shared" si="225"/>
        <v/>
      </c>
      <c r="C3590" s="11" t="str">
        <f t="shared" si="224"/>
        <v/>
      </c>
      <c r="F3590" s="10" t="str">
        <v/>
      </c>
      <c r="G3590" t="e">
        <f t="shared" si="226"/>
        <v>#VALUE!</v>
      </c>
      <c r="H3590" s="13" t="e">
        <f t="shared" si="227"/>
        <v>#VALUE!</v>
      </c>
    </row>
    <row r="3591" spans="2:8">
      <c r="B3591" s="11" t="str">
        <f t="shared" si="225"/>
        <v/>
      </c>
      <c r="C3591" s="11" t="str">
        <f t="shared" si="224"/>
        <v/>
      </c>
      <c r="F3591" s="10" t="str">
        <v/>
      </c>
      <c r="G3591" t="e">
        <f t="shared" si="226"/>
        <v>#VALUE!</v>
      </c>
      <c r="H3591" s="13" t="e">
        <f t="shared" si="227"/>
        <v>#VALUE!</v>
      </c>
    </row>
    <row r="3592" spans="2:8">
      <c r="B3592" s="11" t="str">
        <f t="shared" si="225"/>
        <v/>
      </c>
      <c r="C3592" s="11" t="str">
        <f t="shared" si="224"/>
        <v/>
      </c>
      <c r="F3592" s="10" t="str">
        <v/>
      </c>
      <c r="G3592" t="e">
        <f t="shared" si="226"/>
        <v>#VALUE!</v>
      </c>
      <c r="H3592" s="13" t="e">
        <f t="shared" si="227"/>
        <v>#VALUE!</v>
      </c>
    </row>
    <row r="3593" spans="2:8">
      <c r="B3593" s="11" t="str">
        <f t="shared" si="225"/>
        <v/>
      </c>
      <c r="C3593" s="11" t="str">
        <f t="shared" si="224"/>
        <v/>
      </c>
      <c r="F3593" s="10" t="str">
        <v/>
      </c>
      <c r="G3593" t="e">
        <f t="shared" si="226"/>
        <v>#VALUE!</v>
      </c>
      <c r="H3593" s="13" t="e">
        <f t="shared" si="227"/>
        <v>#VALUE!</v>
      </c>
    </row>
    <row r="3594" spans="2:8">
      <c r="B3594" s="11" t="str">
        <f t="shared" si="225"/>
        <v/>
      </c>
      <c r="C3594" s="11" t="str">
        <f t="shared" si="224"/>
        <v/>
      </c>
      <c r="F3594" s="10" t="str">
        <v/>
      </c>
      <c r="G3594" t="e">
        <f t="shared" si="226"/>
        <v>#VALUE!</v>
      </c>
      <c r="H3594" s="13" t="e">
        <f t="shared" si="227"/>
        <v>#VALUE!</v>
      </c>
    </row>
    <row r="3595" spans="2:8">
      <c r="B3595" s="11" t="str">
        <f t="shared" si="225"/>
        <v/>
      </c>
      <c r="C3595" s="11" t="str">
        <f t="shared" si="224"/>
        <v/>
      </c>
      <c r="F3595" s="10" t="str">
        <v/>
      </c>
      <c r="G3595" t="e">
        <f t="shared" si="226"/>
        <v>#VALUE!</v>
      </c>
      <c r="H3595" s="13" t="e">
        <f t="shared" si="227"/>
        <v>#VALUE!</v>
      </c>
    </row>
    <row r="3596" spans="2:8">
      <c r="B3596" s="11" t="str">
        <f t="shared" si="225"/>
        <v/>
      </c>
      <c r="C3596" s="11" t="str">
        <f t="shared" si="224"/>
        <v/>
      </c>
      <c r="F3596" s="10" t="str">
        <v/>
      </c>
      <c r="G3596" t="e">
        <f t="shared" si="226"/>
        <v>#VALUE!</v>
      </c>
      <c r="H3596" s="13" t="e">
        <f t="shared" si="227"/>
        <v>#VALUE!</v>
      </c>
    </row>
    <row r="3597" spans="2:8">
      <c r="B3597" s="11" t="str">
        <f t="shared" si="225"/>
        <v/>
      </c>
      <c r="C3597" s="11" t="str">
        <f t="shared" si="224"/>
        <v/>
      </c>
      <c r="F3597" s="10" t="str">
        <v/>
      </c>
      <c r="G3597" t="e">
        <f t="shared" si="226"/>
        <v>#VALUE!</v>
      </c>
      <c r="H3597" s="13" t="e">
        <f t="shared" si="227"/>
        <v>#VALUE!</v>
      </c>
    </row>
    <row r="3598" spans="2:8">
      <c r="B3598" s="11" t="str">
        <f t="shared" si="225"/>
        <v/>
      </c>
      <c r="C3598" s="11" t="str">
        <f t="shared" si="224"/>
        <v/>
      </c>
      <c r="F3598" s="10" t="str">
        <v/>
      </c>
      <c r="G3598" t="e">
        <f t="shared" si="226"/>
        <v>#VALUE!</v>
      </c>
      <c r="H3598" s="13" t="e">
        <f t="shared" si="227"/>
        <v>#VALUE!</v>
      </c>
    </row>
    <row r="3599" spans="2:8">
      <c r="B3599" s="11" t="str">
        <f t="shared" si="225"/>
        <v/>
      </c>
      <c r="C3599" s="11" t="str">
        <f t="shared" si="224"/>
        <v/>
      </c>
      <c r="F3599" s="10" t="str">
        <v/>
      </c>
      <c r="G3599" t="e">
        <f t="shared" si="226"/>
        <v>#VALUE!</v>
      </c>
      <c r="H3599" s="13" t="e">
        <f t="shared" si="227"/>
        <v>#VALUE!</v>
      </c>
    </row>
    <row r="3600" spans="2:8">
      <c r="B3600" s="11" t="str">
        <f t="shared" si="225"/>
        <v/>
      </c>
      <c r="C3600" s="11" t="str">
        <f t="shared" si="224"/>
        <v/>
      </c>
      <c r="F3600" s="10" t="str">
        <v/>
      </c>
      <c r="G3600" t="e">
        <f t="shared" si="226"/>
        <v>#VALUE!</v>
      </c>
      <c r="H3600" s="13" t="e">
        <f t="shared" si="227"/>
        <v>#VALUE!</v>
      </c>
    </row>
    <row r="3601" spans="2:8">
      <c r="B3601" s="11" t="str">
        <f t="shared" si="225"/>
        <v/>
      </c>
      <c r="C3601" s="11" t="str">
        <f t="shared" si="224"/>
        <v/>
      </c>
      <c r="F3601" s="10" t="str">
        <v/>
      </c>
      <c r="G3601" t="e">
        <f t="shared" si="226"/>
        <v>#VALUE!</v>
      </c>
      <c r="H3601" s="13" t="e">
        <f t="shared" si="227"/>
        <v>#VALUE!</v>
      </c>
    </row>
    <row r="3602" spans="2:8">
      <c r="B3602" s="11" t="str">
        <f t="shared" si="225"/>
        <v/>
      </c>
      <c r="C3602" s="11" t="str">
        <f t="shared" si="224"/>
        <v/>
      </c>
      <c r="F3602" s="10" t="str">
        <v/>
      </c>
      <c r="G3602" t="e">
        <f t="shared" si="226"/>
        <v>#VALUE!</v>
      </c>
      <c r="H3602" s="13" t="e">
        <f t="shared" si="227"/>
        <v>#VALUE!</v>
      </c>
    </row>
    <row r="3603" spans="2:8">
      <c r="B3603" s="11" t="str">
        <f t="shared" si="225"/>
        <v/>
      </c>
      <c r="C3603" s="11" t="str">
        <f t="shared" si="224"/>
        <v/>
      </c>
      <c r="F3603" s="10" t="str">
        <v/>
      </c>
      <c r="G3603" t="e">
        <f t="shared" si="226"/>
        <v>#VALUE!</v>
      </c>
      <c r="H3603" s="13" t="e">
        <f t="shared" si="227"/>
        <v>#VALUE!</v>
      </c>
    </row>
    <row r="3604" spans="2:8">
      <c r="B3604" s="11" t="str">
        <f t="shared" si="225"/>
        <v/>
      </c>
      <c r="C3604" s="11" t="str">
        <f t="shared" si="224"/>
        <v/>
      </c>
      <c r="F3604" s="10" t="str">
        <v/>
      </c>
      <c r="G3604" t="e">
        <f t="shared" si="226"/>
        <v>#VALUE!</v>
      </c>
      <c r="H3604" s="13" t="e">
        <f t="shared" si="227"/>
        <v>#VALUE!</v>
      </c>
    </row>
    <row r="3605" spans="2:8">
      <c r="B3605" s="11" t="str">
        <f t="shared" si="225"/>
        <v/>
      </c>
      <c r="C3605" s="11" t="str">
        <f t="shared" si="224"/>
        <v/>
      </c>
      <c r="F3605" s="10" t="str">
        <v/>
      </c>
      <c r="G3605" t="e">
        <f t="shared" si="226"/>
        <v>#VALUE!</v>
      </c>
      <c r="H3605" s="13" t="e">
        <f t="shared" si="227"/>
        <v>#VALUE!</v>
      </c>
    </row>
    <row r="3606" spans="2:8">
      <c r="B3606" s="11" t="str">
        <f t="shared" si="225"/>
        <v/>
      </c>
      <c r="C3606" s="11" t="str">
        <f t="shared" si="224"/>
        <v/>
      </c>
      <c r="F3606" s="10" t="str">
        <v/>
      </c>
      <c r="G3606" t="e">
        <f t="shared" si="226"/>
        <v>#VALUE!</v>
      </c>
      <c r="H3606" s="13" t="e">
        <f t="shared" si="227"/>
        <v>#VALUE!</v>
      </c>
    </row>
    <row r="3607" spans="2:8">
      <c r="B3607" s="11" t="str">
        <f t="shared" si="225"/>
        <v/>
      </c>
      <c r="C3607" s="11" t="str">
        <f t="shared" si="224"/>
        <v/>
      </c>
      <c r="F3607" s="10" t="str">
        <v/>
      </c>
      <c r="G3607" t="e">
        <f t="shared" si="226"/>
        <v>#VALUE!</v>
      </c>
      <c r="H3607" s="13" t="e">
        <f t="shared" si="227"/>
        <v>#VALUE!</v>
      </c>
    </row>
    <row r="3608" spans="2:8">
      <c r="B3608" s="11" t="str">
        <f t="shared" si="225"/>
        <v/>
      </c>
      <c r="C3608" s="11" t="str">
        <f t="shared" si="224"/>
        <v/>
      </c>
      <c r="F3608" s="10" t="str">
        <v/>
      </c>
      <c r="G3608" t="e">
        <f t="shared" si="226"/>
        <v>#VALUE!</v>
      </c>
      <c r="H3608" s="13" t="e">
        <f t="shared" si="227"/>
        <v>#VALUE!</v>
      </c>
    </row>
    <row r="3609" spans="2:8">
      <c r="B3609" s="11" t="str">
        <f t="shared" si="225"/>
        <v/>
      </c>
      <c r="C3609" s="11" t="str">
        <f t="shared" si="224"/>
        <v/>
      </c>
      <c r="F3609" s="10" t="str">
        <v/>
      </c>
      <c r="G3609" t="e">
        <f t="shared" si="226"/>
        <v>#VALUE!</v>
      </c>
      <c r="H3609" s="13" t="e">
        <f t="shared" si="227"/>
        <v>#VALUE!</v>
      </c>
    </row>
    <row r="3610" spans="2:8">
      <c r="B3610" s="11" t="str">
        <f t="shared" si="225"/>
        <v/>
      </c>
      <c r="C3610" s="11" t="str">
        <f t="shared" si="224"/>
        <v/>
      </c>
      <c r="F3610" s="10" t="str">
        <v/>
      </c>
      <c r="G3610" t="e">
        <f t="shared" si="226"/>
        <v>#VALUE!</v>
      </c>
      <c r="H3610" s="13" t="e">
        <f t="shared" si="227"/>
        <v>#VALUE!</v>
      </c>
    </row>
    <row r="3611" spans="2:8">
      <c r="B3611" s="11" t="str">
        <f t="shared" si="225"/>
        <v/>
      </c>
      <c r="C3611" s="11" t="str">
        <f t="shared" si="224"/>
        <v/>
      </c>
      <c r="F3611" s="10" t="str">
        <v/>
      </c>
      <c r="G3611" t="e">
        <f t="shared" si="226"/>
        <v>#VALUE!</v>
      </c>
      <c r="H3611" s="13" t="e">
        <f t="shared" si="227"/>
        <v>#VALUE!</v>
      </c>
    </row>
    <row r="3612" spans="2:8">
      <c r="B3612" s="11" t="str">
        <f t="shared" si="225"/>
        <v/>
      </c>
      <c r="C3612" s="11" t="str">
        <f t="shared" si="224"/>
        <v/>
      </c>
      <c r="F3612" s="10" t="str">
        <v/>
      </c>
      <c r="G3612" t="e">
        <f t="shared" si="226"/>
        <v>#VALUE!</v>
      </c>
      <c r="H3612" s="13" t="e">
        <f t="shared" si="227"/>
        <v>#VALUE!</v>
      </c>
    </row>
    <row r="3613" spans="2:8">
      <c r="B3613" s="11" t="str">
        <f t="shared" si="225"/>
        <v/>
      </c>
      <c r="C3613" s="11" t="str">
        <f t="shared" si="224"/>
        <v/>
      </c>
      <c r="F3613" s="10" t="str">
        <v/>
      </c>
      <c r="G3613" t="e">
        <f t="shared" si="226"/>
        <v>#VALUE!</v>
      </c>
      <c r="H3613" s="13" t="e">
        <f t="shared" si="227"/>
        <v>#VALUE!</v>
      </c>
    </row>
    <row r="3614" spans="2:8">
      <c r="B3614" s="11" t="str">
        <f t="shared" si="225"/>
        <v/>
      </c>
      <c r="C3614" s="11" t="str">
        <f t="shared" si="224"/>
        <v/>
      </c>
      <c r="F3614" s="10" t="str">
        <v/>
      </c>
      <c r="G3614" t="e">
        <f t="shared" si="226"/>
        <v>#VALUE!</v>
      </c>
      <c r="H3614" s="13" t="e">
        <f t="shared" si="227"/>
        <v>#VALUE!</v>
      </c>
    </row>
    <row r="3615" spans="2:8">
      <c r="B3615" s="11" t="str">
        <f t="shared" si="225"/>
        <v/>
      </c>
      <c r="C3615" s="11" t="str">
        <f t="shared" si="224"/>
        <v/>
      </c>
      <c r="F3615" s="10" t="str">
        <v/>
      </c>
      <c r="G3615" t="e">
        <f t="shared" si="226"/>
        <v>#VALUE!</v>
      </c>
      <c r="H3615" s="13" t="e">
        <f t="shared" si="227"/>
        <v>#VALUE!</v>
      </c>
    </row>
    <row r="3616" spans="2:8">
      <c r="B3616" s="11" t="str">
        <f t="shared" si="225"/>
        <v/>
      </c>
      <c r="C3616" s="11" t="str">
        <f t="shared" si="224"/>
        <v/>
      </c>
      <c r="F3616" s="10" t="str">
        <v/>
      </c>
      <c r="G3616" t="e">
        <f t="shared" si="226"/>
        <v>#VALUE!</v>
      </c>
      <c r="H3616" s="13" t="e">
        <f t="shared" si="227"/>
        <v>#VALUE!</v>
      </c>
    </row>
    <row r="3617" spans="2:8">
      <c r="B3617" s="11" t="str">
        <f t="shared" si="225"/>
        <v/>
      </c>
      <c r="C3617" s="11" t="str">
        <f t="shared" si="224"/>
        <v/>
      </c>
      <c r="F3617" s="10" t="str">
        <v/>
      </c>
      <c r="G3617" t="e">
        <f t="shared" si="226"/>
        <v>#VALUE!</v>
      </c>
      <c r="H3617" s="13" t="e">
        <f t="shared" si="227"/>
        <v>#VALUE!</v>
      </c>
    </row>
    <row r="3618" spans="2:8">
      <c r="B3618" s="11" t="str">
        <f t="shared" si="225"/>
        <v/>
      </c>
      <c r="C3618" s="11" t="str">
        <f t="shared" si="224"/>
        <v/>
      </c>
      <c r="F3618" s="10" t="str">
        <v/>
      </c>
      <c r="G3618" t="e">
        <f t="shared" si="226"/>
        <v>#VALUE!</v>
      </c>
      <c r="H3618" s="13" t="e">
        <f t="shared" si="227"/>
        <v>#VALUE!</v>
      </c>
    </row>
    <row r="3619" spans="2:8">
      <c r="B3619" s="11" t="str">
        <f t="shared" si="225"/>
        <v/>
      </c>
      <c r="C3619" s="11" t="str">
        <f t="shared" si="224"/>
        <v/>
      </c>
      <c r="F3619" s="10" t="str">
        <v/>
      </c>
      <c r="G3619" t="e">
        <f t="shared" si="226"/>
        <v>#VALUE!</v>
      </c>
      <c r="H3619" s="13" t="e">
        <f t="shared" si="227"/>
        <v>#VALUE!</v>
      </c>
    </row>
    <row r="3620" spans="2:8">
      <c r="B3620" s="11" t="str">
        <f t="shared" si="225"/>
        <v/>
      </c>
      <c r="C3620" s="11" t="str">
        <f t="shared" si="224"/>
        <v/>
      </c>
      <c r="F3620" s="10" t="str">
        <v/>
      </c>
      <c r="G3620" t="e">
        <f t="shared" si="226"/>
        <v>#VALUE!</v>
      </c>
      <c r="H3620" s="13" t="e">
        <f t="shared" si="227"/>
        <v>#VALUE!</v>
      </c>
    </row>
    <row r="3621" spans="2:8">
      <c r="B3621" s="11" t="str">
        <f t="shared" si="225"/>
        <v/>
      </c>
      <c r="C3621" s="11" t="str">
        <f t="shared" si="224"/>
        <v/>
      </c>
      <c r="F3621" s="10" t="str">
        <v/>
      </c>
      <c r="G3621" t="e">
        <f t="shared" si="226"/>
        <v>#VALUE!</v>
      </c>
      <c r="H3621" s="13" t="e">
        <f t="shared" si="227"/>
        <v>#VALUE!</v>
      </c>
    </row>
    <row r="3622" spans="2:8">
      <c r="B3622" s="11" t="str">
        <f t="shared" si="225"/>
        <v/>
      </c>
      <c r="C3622" s="11" t="str">
        <f t="shared" si="224"/>
        <v/>
      </c>
      <c r="F3622" s="10" t="str">
        <v/>
      </c>
      <c r="G3622" t="e">
        <f t="shared" si="226"/>
        <v>#VALUE!</v>
      </c>
      <c r="H3622" s="13" t="e">
        <f t="shared" si="227"/>
        <v>#VALUE!</v>
      </c>
    </row>
    <row r="3623" spans="2:8">
      <c r="B3623" s="11" t="str">
        <f t="shared" si="225"/>
        <v/>
      </c>
      <c r="C3623" s="11" t="str">
        <f t="shared" si="224"/>
        <v/>
      </c>
      <c r="F3623" s="10" t="str">
        <v/>
      </c>
      <c r="G3623" t="e">
        <f t="shared" si="226"/>
        <v>#VALUE!</v>
      </c>
      <c r="H3623" s="13" t="e">
        <f t="shared" si="227"/>
        <v>#VALUE!</v>
      </c>
    </row>
    <row r="3624" spans="2:8">
      <c r="B3624" s="11" t="str">
        <f t="shared" si="225"/>
        <v/>
      </c>
      <c r="C3624" s="11" t="str">
        <f t="shared" si="224"/>
        <v/>
      </c>
      <c r="F3624" s="10" t="str">
        <v/>
      </c>
      <c r="G3624" t="e">
        <f t="shared" si="226"/>
        <v>#VALUE!</v>
      </c>
      <c r="H3624" s="13" t="e">
        <f t="shared" si="227"/>
        <v>#VALUE!</v>
      </c>
    </row>
    <row r="3625" spans="2:8">
      <c r="B3625" s="11" t="str">
        <f t="shared" si="225"/>
        <v/>
      </c>
      <c r="C3625" s="11" t="str">
        <f t="shared" ref="C3625:C3688" si="228">IF(B3625="артикул",A3625,"")</f>
        <v/>
      </c>
      <c r="F3625" s="10" t="str">
        <v/>
      </c>
      <c r="G3625" t="e">
        <f t="shared" si="226"/>
        <v>#VALUE!</v>
      </c>
      <c r="H3625" s="13" t="e">
        <f t="shared" si="227"/>
        <v>#VALUE!</v>
      </c>
    </row>
    <row r="3626" spans="2:8">
      <c r="B3626" s="11" t="str">
        <f t="shared" si="225"/>
        <v/>
      </c>
      <c r="C3626" s="11" t="str">
        <f t="shared" si="228"/>
        <v/>
      </c>
      <c r="F3626" s="10" t="str">
        <v/>
      </c>
      <c r="G3626" t="e">
        <f t="shared" si="226"/>
        <v>#VALUE!</v>
      </c>
      <c r="H3626" s="13" t="e">
        <f t="shared" si="227"/>
        <v>#VALUE!</v>
      </c>
    </row>
    <row r="3627" spans="2:8">
      <c r="B3627" s="11" t="str">
        <f t="shared" si="225"/>
        <v/>
      </c>
      <c r="C3627" s="11" t="str">
        <f t="shared" si="228"/>
        <v/>
      </c>
      <c r="F3627" s="10" t="str">
        <v/>
      </c>
      <c r="G3627" t="e">
        <f t="shared" si="226"/>
        <v>#VALUE!</v>
      </c>
      <c r="H3627" s="13" t="e">
        <f t="shared" si="227"/>
        <v>#VALUE!</v>
      </c>
    </row>
    <row r="3628" spans="2:8">
      <c r="B3628" s="11" t="str">
        <f t="shared" si="225"/>
        <v/>
      </c>
      <c r="C3628" s="11" t="str">
        <f t="shared" si="228"/>
        <v/>
      </c>
      <c r="F3628" s="10" t="str">
        <v/>
      </c>
      <c r="G3628" t="e">
        <f t="shared" si="226"/>
        <v>#VALUE!</v>
      </c>
      <c r="H3628" s="13" t="e">
        <f t="shared" si="227"/>
        <v>#VALUE!</v>
      </c>
    </row>
    <row r="3629" spans="2:8">
      <c r="B3629" s="11" t="str">
        <f t="shared" si="225"/>
        <v/>
      </c>
      <c r="C3629" s="11" t="str">
        <f t="shared" si="228"/>
        <v/>
      </c>
      <c r="F3629" s="10" t="str">
        <v/>
      </c>
      <c r="G3629" t="e">
        <f t="shared" si="226"/>
        <v>#VALUE!</v>
      </c>
      <c r="H3629" s="13" t="e">
        <f t="shared" si="227"/>
        <v>#VALUE!</v>
      </c>
    </row>
    <row r="3630" spans="2:8">
      <c r="B3630" s="11" t="str">
        <f t="shared" si="225"/>
        <v/>
      </c>
      <c r="C3630" s="11" t="str">
        <f t="shared" si="228"/>
        <v/>
      </c>
      <c r="F3630" s="10" t="str">
        <v/>
      </c>
      <c r="G3630" t="e">
        <f t="shared" si="226"/>
        <v>#VALUE!</v>
      </c>
      <c r="H3630" s="13" t="e">
        <f t="shared" si="227"/>
        <v>#VALUE!</v>
      </c>
    </row>
    <row r="3631" spans="2:8">
      <c r="B3631" s="11" t="str">
        <f t="shared" si="225"/>
        <v/>
      </c>
      <c r="C3631" s="11" t="str">
        <f t="shared" si="228"/>
        <v/>
      </c>
      <c r="F3631" s="10" t="str">
        <v/>
      </c>
      <c r="G3631" t="e">
        <f t="shared" si="226"/>
        <v>#VALUE!</v>
      </c>
      <c r="H3631" s="13" t="e">
        <f t="shared" si="227"/>
        <v>#VALUE!</v>
      </c>
    </row>
    <row r="3632" spans="2:8">
      <c r="B3632" s="11" t="str">
        <f t="shared" si="225"/>
        <v/>
      </c>
      <c r="C3632" s="11" t="str">
        <f t="shared" si="228"/>
        <v/>
      </c>
      <c r="F3632" s="10" t="str">
        <v/>
      </c>
      <c r="G3632" t="e">
        <f t="shared" si="226"/>
        <v>#VALUE!</v>
      </c>
      <c r="H3632" s="13" t="e">
        <f t="shared" si="227"/>
        <v>#VALUE!</v>
      </c>
    </row>
    <row r="3633" spans="2:8">
      <c r="B3633" s="11" t="str">
        <f t="shared" si="225"/>
        <v/>
      </c>
      <c r="C3633" s="11" t="str">
        <f t="shared" si="228"/>
        <v/>
      </c>
      <c r="F3633" s="10" t="str">
        <v/>
      </c>
      <c r="G3633" t="e">
        <f t="shared" si="226"/>
        <v>#VALUE!</v>
      </c>
      <c r="H3633" s="13" t="e">
        <f t="shared" si="227"/>
        <v>#VALUE!</v>
      </c>
    </row>
    <row r="3634" spans="2:8">
      <c r="B3634" s="11" t="str">
        <f t="shared" si="225"/>
        <v/>
      </c>
      <c r="C3634" s="11" t="str">
        <f t="shared" si="228"/>
        <v/>
      </c>
      <c r="F3634" s="10" t="str">
        <v/>
      </c>
      <c r="G3634" t="e">
        <f t="shared" si="226"/>
        <v>#VALUE!</v>
      </c>
      <c r="H3634" s="13" t="e">
        <f t="shared" si="227"/>
        <v>#VALUE!</v>
      </c>
    </row>
    <row r="3635" spans="2:8">
      <c r="B3635" s="11" t="str">
        <f t="shared" si="225"/>
        <v/>
      </c>
      <c r="C3635" s="11" t="str">
        <f t="shared" si="228"/>
        <v/>
      </c>
      <c r="F3635" s="10" t="str">
        <v/>
      </c>
      <c r="G3635" t="e">
        <f t="shared" si="226"/>
        <v>#VALUE!</v>
      </c>
      <c r="H3635" s="13" t="e">
        <f t="shared" si="227"/>
        <v>#VALUE!</v>
      </c>
    </row>
    <row r="3636" spans="2:8">
      <c r="B3636" s="11" t="str">
        <f t="shared" si="225"/>
        <v/>
      </c>
      <c r="C3636" s="11" t="str">
        <f t="shared" si="228"/>
        <v/>
      </c>
      <c r="F3636" s="10" t="str">
        <v/>
      </c>
      <c r="G3636" t="e">
        <f t="shared" si="226"/>
        <v>#VALUE!</v>
      </c>
      <c r="H3636" s="13" t="e">
        <f t="shared" si="227"/>
        <v>#VALUE!</v>
      </c>
    </row>
    <row r="3637" spans="2:8">
      <c r="B3637" s="11" t="str">
        <f t="shared" si="225"/>
        <v/>
      </c>
      <c r="C3637" s="11" t="str">
        <f t="shared" si="228"/>
        <v/>
      </c>
      <c r="F3637" s="10" t="str">
        <v/>
      </c>
      <c r="G3637" t="e">
        <f t="shared" si="226"/>
        <v>#VALUE!</v>
      </c>
      <c r="H3637" s="13" t="e">
        <f t="shared" si="227"/>
        <v>#VALUE!</v>
      </c>
    </row>
    <row r="3638" spans="2:8">
      <c r="B3638" s="11" t="str">
        <f t="shared" si="225"/>
        <v/>
      </c>
      <c r="C3638" s="11" t="str">
        <f t="shared" si="228"/>
        <v/>
      </c>
      <c r="F3638" s="10" t="str">
        <v/>
      </c>
      <c r="G3638" t="e">
        <f t="shared" si="226"/>
        <v>#VALUE!</v>
      </c>
      <c r="H3638" s="13" t="e">
        <f t="shared" si="227"/>
        <v>#VALUE!</v>
      </c>
    </row>
    <row r="3639" spans="2:8">
      <c r="B3639" s="11" t="str">
        <f t="shared" si="225"/>
        <v/>
      </c>
      <c r="C3639" s="11" t="str">
        <f t="shared" si="228"/>
        <v/>
      </c>
      <c r="F3639" s="10" t="str">
        <v/>
      </c>
      <c r="G3639" t="e">
        <f t="shared" si="226"/>
        <v>#VALUE!</v>
      </c>
      <c r="H3639" s="13" t="e">
        <f t="shared" si="227"/>
        <v>#VALUE!</v>
      </c>
    </row>
    <row r="3640" spans="2:8">
      <c r="B3640" s="11" t="str">
        <f t="shared" si="225"/>
        <v/>
      </c>
      <c r="C3640" s="11" t="str">
        <f t="shared" si="228"/>
        <v/>
      </c>
      <c r="F3640" s="10" t="str">
        <v/>
      </c>
      <c r="G3640" t="e">
        <f t="shared" si="226"/>
        <v>#VALUE!</v>
      </c>
      <c r="H3640" s="13" t="e">
        <f t="shared" si="227"/>
        <v>#VALUE!</v>
      </c>
    </row>
    <row r="3641" spans="2:8">
      <c r="B3641" s="11" t="str">
        <f t="shared" si="225"/>
        <v/>
      </c>
      <c r="C3641" s="11" t="str">
        <f t="shared" si="228"/>
        <v/>
      </c>
      <c r="F3641" s="10" t="str">
        <v/>
      </c>
      <c r="G3641" t="e">
        <f t="shared" si="226"/>
        <v>#VALUE!</v>
      </c>
      <c r="H3641" s="13" t="e">
        <f t="shared" si="227"/>
        <v>#VALUE!</v>
      </c>
    </row>
    <row r="3642" spans="2:8">
      <c r="B3642" s="11" t="str">
        <f t="shared" si="225"/>
        <v/>
      </c>
      <c r="C3642" s="11" t="str">
        <f t="shared" si="228"/>
        <v/>
      </c>
      <c r="F3642" s="10" t="str">
        <v/>
      </c>
      <c r="G3642" t="e">
        <f t="shared" si="226"/>
        <v>#VALUE!</v>
      </c>
      <c r="H3642" s="13" t="e">
        <f t="shared" si="227"/>
        <v>#VALUE!</v>
      </c>
    </row>
    <row r="3643" spans="2:8">
      <c r="B3643" s="11" t="str">
        <f t="shared" si="225"/>
        <v/>
      </c>
      <c r="C3643" s="11" t="str">
        <f t="shared" si="228"/>
        <v/>
      </c>
      <c r="F3643" s="10" t="str">
        <v/>
      </c>
      <c r="G3643" t="e">
        <f t="shared" si="226"/>
        <v>#VALUE!</v>
      </c>
      <c r="H3643" s="13" t="e">
        <f t="shared" si="227"/>
        <v>#VALUE!</v>
      </c>
    </row>
    <row r="3644" spans="2:8">
      <c r="B3644" s="11" t="str">
        <f t="shared" si="225"/>
        <v/>
      </c>
      <c r="C3644" s="11" t="str">
        <f t="shared" si="228"/>
        <v/>
      </c>
      <c r="F3644" s="10" t="str">
        <v/>
      </c>
      <c r="G3644" t="e">
        <f t="shared" si="226"/>
        <v>#VALUE!</v>
      </c>
      <c r="H3644" s="13" t="e">
        <f t="shared" si="227"/>
        <v>#VALUE!</v>
      </c>
    </row>
    <row r="3645" spans="2:8">
      <c r="B3645" s="11" t="str">
        <f t="shared" si="225"/>
        <v/>
      </c>
      <c r="C3645" s="11" t="str">
        <f t="shared" si="228"/>
        <v/>
      </c>
      <c r="F3645" s="10" t="str">
        <v/>
      </c>
      <c r="G3645" t="e">
        <f t="shared" si="226"/>
        <v>#VALUE!</v>
      </c>
      <c r="H3645" s="13" t="e">
        <f t="shared" si="227"/>
        <v>#VALUE!</v>
      </c>
    </row>
    <row r="3646" spans="2:8">
      <c r="B3646" s="11" t="str">
        <f t="shared" si="225"/>
        <v/>
      </c>
      <c r="C3646" s="11" t="str">
        <f t="shared" si="228"/>
        <v/>
      </c>
      <c r="F3646" s="10" t="str">
        <v/>
      </c>
      <c r="G3646" t="e">
        <f t="shared" si="226"/>
        <v>#VALUE!</v>
      </c>
      <c r="H3646" s="13" t="e">
        <f t="shared" si="227"/>
        <v>#VALUE!</v>
      </c>
    </row>
    <row r="3647" spans="2:8">
      <c r="B3647" s="11" t="str">
        <f t="shared" si="225"/>
        <v/>
      </c>
      <c r="C3647" s="11" t="str">
        <f t="shared" si="228"/>
        <v/>
      </c>
      <c r="F3647" s="10" t="str">
        <v/>
      </c>
      <c r="G3647" t="e">
        <f t="shared" si="226"/>
        <v>#VALUE!</v>
      </c>
      <c r="H3647" s="13" t="e">
        <f t="shared" si="227"/>
        <v>#VALUE!</v>
      </c>
    </row>
    <row r="3648" spans="2:8">
      <c r="B3648" s="11" t="str">
        <f t="shared" si="225"/>
        <v/>
      </c>
      <c r="C3648" s="11" t="str">
        <f t="shared" si="228"/>
        <v/>
      </c>
      <c r="F3648" s="10" t="str">
        <v/>
      </c>
      <c r="G3648" t="e">
        <f t="shared" si="226"/>
        <v>#VALUE!</v>
      </c>
      <c r="H3648" s="13" t="e">
        <f t="shared" si="227"/>
        <v>#VALUE!</v>
      </c>
    </row>
    <row r="3649" spans="2:8">
      <c r="B3649" s="11" t="str">
        <f t="shared" ref="B3649:B3712" si="229">IFERROR(IF(FIND(" ",A3649)=6,IF(IFERROR(FIND(" PB",A3649),"")&lt;&gt;"","артикул",IF(IFERROR(FIND(" CRN",A3649),"")&lt;&gt;"","артикул","")),""),"")</f>
        <v/>
      </c>
      <c r="C3649" s="11" t="str">
        <f t="shared" si="228"/>
        <v/>
      </c>
      <c r="F3649" s="10" t="str">
        <v/>
      </c>
      <c r="G3649" t="e">
        <f t="shared" si="226"/>
        <v>#VALUE!</v>
      </c>
      <c r="H3649" s="13" t="e">
        <f t="shared" si="227"/>
        <v>#VALUE!</v>
      </c>
    </row>
    <row r="3650" spans="2:8">
      <c r="B3650" s="11" t="str">
        <f t="shared" si="229"/>
        <v/>
      </c>
      <c r="C3650" s="11" t="str">
        <f t="shared" si="228"/>
        <v/>
      </c>
      <c r="F3650" s="10" t="str">
        <v/>
      </c>
      <c r="G3650" t="e">
        <f t="shared" ref="G3650:G3713" si="230">CONCATENATE(LEFT(F3650,5),
MID(F3650,
SEARCH("\",SUBSTITUTE(F3650," ","\",LEN(F3650)-LEN(SUBSTITUTE(F3650," ",""))-4)),
SEARCH("\",SUBSTITUTE(F3650," ","\",LEN(F3650)-LEN(SUBSTITUTE(F3650," ",""))-3))-
SEARCH("\",SUBSTITUTE(F3650," ","\",LEN(F3650)-LEN(SUBSTITUTE(F3650," ",""))-4)))*1)</f>
        <v>#VALUE!</v>
      </c>
      <c r="H3650" s="13" t="e">
        <f t="shared" ref="H3650:H3713" si="231">SUBSTITUTE(
RIGHT(F3650,LEN(F3650)-
FIND("\",SUBSTITUTE(F3650," ","\",LEN(F3650)-LEN(SUBSTITUTE(F3650," ",""))))),
".","")</f>
        <v>#VALUE!</v>
      </c>
    </row>
    <row r="3651" spans="2:8">
      <c r="B3651" s="11" t="str">
        <f t="shared" si="229"/>
        <v/>
      </c>
      <c r="C3651" s="11" t="str">
        <f t="shared" si="228"/>
        <v/>
      </c>
      <c r="F3651" s="10" t="str">
        <v/>
      </c>
      <c r="G3651" t="e">
        <f t="shared" si="230"/>
        <v>#VALUE!</v>
      </c>
      <c r="H3651" s="13" t="e">
        <f t="shared" si="231"/>
        <v>#VALUE!</v>
      </c>
    </row>
    <row r="3652" spans="2:8">
      <c r="B3652" s="11" t="str">
        <f t="shared" si="229"/>
        <v/>
      </c>
      <c r="C3652" s="11" t="str">
        <f t="shared" si="228"/>
        <v/>
      </c>
      <c r="F3652" s="10" t="str">
        <v/>
      </c>
      <c r="G3652" t="e">
        <f t="shared" si="230"/>
        <v>#VALUE!</v>
      </c>
      <c r="H3652" s="13" t="e">
        <f t="shared" si="231"/>
        <v>#VALUE!</v>
      </c>
    </row>
    <row r="3653" spans="2:8">
      <c r="B3653" s="11" t="str">
        <f t="shared" si="229"/>
        <v/>
      </c>
      <c r="C3653" s="11" t="str">
        <f t="shared" si="228"/>
        <v/>
      </c>
      <c r="F3653" s="10" t="str">
        <v/>
      </c>
      <c r="G3653" t="e">
        <f t="shared" si="230"/>
        <v>#VALUE!</v>
      </c>
      <c r="H3653" s="13" t="e">
        <f t="shared" si="231"/>
        <v>#VALUE!</v>
      </c>
    </row>
    <row r="3654" spans="2:8">
      <c r="B3654" s="11" t="str">
        <f t="shared" si="229"/>
        <v/>
      </c>
      <c r="C3654" s="11" t="str">
        <f t="shared" si="228"/>
        <v/>
      </c>
      <c r="F3654" s="10" t="str">
        <v/>
      </c>
      <c r="G3654" t="e">
        <f t="shared" si="230"/>
        <v>#VALUE!</v>
      </c>
      <c r="H3654" s="13" t="e">
        <f t="shared" si="231"/>
        <v>#VALUE!</v>
      </c>
    </row>
    <row r="3655" spans="2:8">
      <c r="B3655" s="11" t="str">
        <f t="shared" si="229"/>
        <v/>
      </c>
      <c r="C3655" s="11" t="str">
        <f t="shared" si="228"/>
        <v/>
      </c>
      <c r="F3655" s="10" t="str">
        <v/>
      </c>
      <c r="G3655" t="e">
        <f t="shared" si="230"/>
        <v>#VALUE!</v>
      </c>
      <c r="H3655" s="13" t="e">
        <f t="shared" si="231"/>
        <v>#VALUE!</v>
      </c>
    </row>
    <row r="3656" spans="2:8">
      <c r="B3656" s="11" t="str">
        <f t="shared" si="229"/>
        <v/>
      </c>
      <c r="C3656" s="11" t="str">
        <f t="shared" si="228"/>
        <v/>
      </c>
      <c r="F3656" s="10" t="str">
        <v/>
      </c>
      <c r="G3656" t="e">
        <f t="shared" si="230"/>
        <v>#VALUE!</v>
      </c>
      <c r="H3656" s="13" t="e">
        <f t="shared" si="231"/>
        <v>#VALUE!</v>
      </c>
    </row>
    <row r="3657" spans="2:8">
      <c r="B3657" s="11" t="str">
        <f t="shared" si="229"/>
        <v/>
      </c>
      <c r="C3657" s="11" t="str">
        <f t="shared" si="228"/>
        <v/>
      </c>
      <c r="F3657" s="10" t="str">
        <v/>
      </c>
      <c r="G3657" t="e">
        <f t="shared" si="230"/>
        <v>#VALUE!</v>
      </c>
      <c r="H3657" s="13" t="e">
        <f t="shared" si="231"/>
        <v>#VALUE!</v>
      </c>
    </row>
    <row r="3658" spans="2:8">
      <c r="B3658" s="11" t="str">
        <f t="shared" si="229"/>
        <v/>
      </c>
      <c r="C3658" s="11" t="str">
        <f t="shared" si="228"/>
        <v/>
      </c>
      <c r="F3658" s="10" t="str">
        <v/>
      </c>
      <c r="G3658" t="e">
        <f t="shared" si="230"/>
        <v>#VALUE!</v>
      </c>
      <c r="H3658" s="13" t="e">
        <f t="shared" si="231"/>
        <v>#VALUE!</v>
      </c>
    </row>
    <row r="3659" spans="2:8">
      <c r="B3659" s="11" t="str">
        <f t="shared" si="229"/>
        <v/>
      </c>
      <c r="C3659" s="11" t="str">
        <f t="shared" si="228"/>
        <v/>
      </c>
      <c r="F3659" s="10" t="str">
        <v/>
      </c>
      <c r="G3659" t="e">
        <f t="shared" si="230"/>
        <v>#VALUE!</v>
      </c>
      <c r="H3659" s="13" t="e">
        <f t="shared" si="231"/>
        <v>#VALUE!</v>
      </c>
    </row>
    <row r="3660" spans="2:8">
      <c r="B3660" s="11" t="str">
        <f t="shared" si="229"/>
        <v/>
      </c>
      <c r="C3660" s="11" t="str">
        <f t="shared" si="228"/>
        <v/>
      </c>
      <c r="F3660" s="10" t="str">
        <v/>
      </c>
      <c r="G3660" t="e">
        <f t="shared" si="230"/>
        <v>#VALUE!</v>
      </c>
      <c r="H3660" s="13" t="e">
        <f t="shared" si="231"/>
        <v>#VALUE!</v>
      </c>
    </row>
    <row r="3661" spans="2:8">
      <c r="B3661" s="11" t="str">
        <f t="shared" si="229"/>
        <v/>
      </c>
      <c r="C3661" s="11" t="str">
        <f t="shared" si="228"/>
        <v/>
      </c>
      <c r="F3661" s="10" t="str">
        <v/>
      </c>
      <c r="G3661" t="e">
        <f t="shared" si="230"/>
        <v>#VALUE!</v>
      </c>
      <c r="H3661" s="13" t="e">
        <f t="shared" si="231"/>
        <v>#VALUE!</v>
      </c>
    </row>
    <row r="3662" spans="2:8">
      <c r="B3662" s="11" t="str">
        <f t="shared" si="229"/>
        <v/>
      </c>
      <c r="C3662" s="11" t="str">
        <f t="shared" si="228"/>
        <v/>
      </c>
      <c r="F3662" s="10" t="str">
        <v/>
      </c>
      <c r="G3662" t="e">
        <f t="shared" si="230"/>
        <v>#VALUE!</v>
      </c>
      <c r="H3662" s="13" t="e">
        <f t="shared" si="231"/>
        <v>#VALUE!</v>
      </c>
    </row>
    <row r="3663" spans="2:8">
      <c r="B3663" s="11" t="str">
        <f t="shared" si="229"/>
        <v/>
      </c>
      <c r="C3663" s="11" t="str">
        <f t="shared" si="228"/>
        <v/>
      </c>
      <c r="F3663" s="10" t="str">
        <v/>
      </c>
      <c r="G3663" t="e">
        <f t="shared" si="230"/>
        <v>#VALUE!</v>
      </c>
      <c r="H3663" s="13" t="e">
        <f t="shared" si="231"/>
        <v>#VALUE!</v>
      </c>
    </row>
    <row r="3664" spans="2:8">
      <c r="B3664" s="11" t="str">
        <f t="shared" si="229"/>
        <v/>
      </c>
      <c r="C3664" s="11" t="str">
        <f t="shared" si="228"/>
        <v/>
      </c>
      <c r="F3664" s="10" t="str">
        <v/>
      </c>
      <c r="G3664" t="e">
        <f t="shared" si="230"/>
        <v>#VALUE!</v>
      </c>
      <c r="H3664" s="13" t="e">
        <f t="shared" si="231"/>
        <v>#VALUE!</v>
      </c>
    </row>
    <row r="3665" spans="2:8">
      <c r="B3665" s="11" t="str">
        <f t="shared" si="229"/>
        <v/>
      </c>
      <c r="C3665" s="11" t="str">
        <f t="shared" si="228"/>
        <v/>
      </c>
      <c r="F3665" s="10" t="str">
        <v/>
      </c>
      <c r="G3665" t="e">
        <f t="shared" si="230"/>
        <v>#VALUE!</v>
      </c>
      <c r="H3665" s="13" t="e">
        <f t="shared" si="231"/>
        <v>#VALUE!</v>
      </c>
    </row>
    <row r="3666" spans="2:8">
      <c r="B3666" s="11" t="str">
        <f t="shared" si="229"/>
        <v/>
      </c>
      <c r="C3666" s="11" t="str">
        <f t="shared" si="228"/>
        <v/>
      </c>
      <c r="F3666" s="10" t="str">
        <v/>
      </c>
      <c r="G3666" t="e">
        <f t="shared" si="230"/>
        <v>#VALUE!</v>
      </c>
      <c r="H3666" s="13" t="e">
        <f t="shared" si="231"/>
        <v>#VALUE!</v>
      </c>
    </row>
    <row r="3667" spans="2:8">
      <c r="B3667" s="11" t="str">
        <f t="shared" si="229"/>
        <v/>
      </c>
      <c r="C3667" s="11" t="str">
        <f t="shared" si="228"/>
        <v/>
      </c>
      <c r="F3667" s="10" t="str">
        <v/>
      </c>
      <c r="G3667" t="e">
        <f t="shared" si="230"/>
        <v>#VALUE!</v>
      </c>
      <c r="H3667" s="13" t="e">
        <f t="shared" si="231"/>
        <v>#VALUE!</v>
      </c>
    </row>
    <row r="3668" spans="2:8">
      <c r="B3668" s="11" t="str">
        <f t="shared" si="229"/>
        <v/>
      </c>
      <c r="C3668" s="11" t="str">
        <f t="shared" si="228"/>
        <v/>
      </c>
      <c r="F3668" s="10" t="str">
        <v/>
      </c>
      <c r="G3668" t="e">
        <f t="shared" si="230"/>
        <v>#VALUE!</v>
      </c>
      <c r="H3668" s="13" t="e">
        <f t="shared" si="231"/>
        <v>#VALUE!</v>
      </c>
    </row>
    <row r="3669" spans="2:8">
      <c r="B3669" s="11" t="str">
        <f t="shared" si="229"/>
        <v/>
      </c>
      <c r="C3669" s="11" t="str">
        <f t="shared" si="228"/>
        <v/>
      </c>
      <c r="F3669" s="10" t="str">
        <v/>
      </c>
      <c r="G3669" t="e">
        <f t="shared" si="230"/>
        <v>#VALUE!</v>
      </c>
      <c r="H3669" s="13" t="e">
        <f t="shared" si="231"/>
        <v>#VALUE!</v>
      </c>
    </row>
    <row r="3670" spans="2:8">
      <c r="B3670" s="11" t="str">
        <f t="shared" si="229"/>
        <v/>
      </c>
      <c r="C3670" s="11" t="str">
        <f t="shared" si="228"/>
        <v/>
      </c>
      <c r="F3670" s="10" t="str">
        <v/>
      </c>
      <c r="G3670" t="e">
        <f t="shared" si="230"/>
        <v>#VALUE!</v>
      </c>
      <c r="H3670" s="13" t="e">
        <f t="shared" si="231"/>
        <v>#VALUE!</v>
      </c>
    </row>
    <row r="3671" spans="2:8">
      <c r="B3671" s="11" t="str">
        <f t="shared" si="229"/>
        <v/>
      </c>
      <c r="C3671" s="11" t="str">
        <f t="shared" si="228"/>
        <v/>
      </c>
      <c r="F3671" s="10" t="str">
        <v/>
      </c>
      <c r="G3671" t="e">
        <f t="shared" si="230"/>
        <v>#VALUE!</v>
      </c>
      <c r="H3671" s="13" t="e">
        <f t="shared" si="231"/>
        <v>#VALUE!</v>
      </c>
    </row>
    <row r="3672" spans="2:8">
      <c r="B3672" s="11" t="str">
        <f t="shared" si="229"/>
        <v/>
      </c>
      <c r="C3672" s="11" t="str">
        <f t="shared" si="228"/>
        <v/>
      </c>
      <c r="F3672" s="10" t="str">
        <v/>
      </c>
      <c r="G3672" t="e">
        <f t="shared" si="230"/>
        <v>#VALUE!</v>
      </c>
      <c r="H3672" s="13" t="e">
        <f t="shared" si="231"/>
        <v>#VALUE!</v>
      </c>
    </row>
    <row r="3673" spans="2:8">
      <c r="B3673" s="11" t="str">
        <f t="shared" si="229"/>
        <v/>
      </c>
      <c r="C3673" s="11" t="str">
        <f t="shared" si="228"/>
        <v/>
      </c>
      <c r="F3673" s="10" t="str">
        <v/>
      </c>
      <c r="G3673" t="e">
        <f t="shared" si="230"/>
        <v>#VALUE!</v>
      </c>
      <c r="H3673" s="13" t="e">
        <f t="shared" si="231"/>
        <v>#VALUE!</v>
      </c>
    </row>
    <row r="3674" spans="2:8">
      <c r="B3674" s="11" t="str">
        <f t="shared" si="229"/>
        <v/>
      </c>
      <c r="C3674" s="11" t="str">
        <f t="shared" si="228"/>
        <v/>
      </c>
      <c r="F3674" s="10" t="str">
        <v/>
      </c>
      <c r="G3674" t="e">
        <f t="shared" si="230"/>
        <v>#VALUE!</v>
      </c>
      <c r="H3674" s="13" t="e">
        <f t="shared" si="231"/>
        <v>#VALUE!</v>
      </c>
    </row>
    <row r="3675" spans="2:8">
      <c r="B3675" s="11" t="str">
        <f t="shared" si="229"/>
        <v/>
      </c>
      <c r="C3675" s="11" t="str">
        <f t="shared" si="228"/>
        <v/>
      </c>
      <c r="F3675" s="10" t="str">
        <v/>
      </c>
      <c r="G3675" t="e">
        <f t="shared" si="230"/>
        <v>#VALUE!</v>
      </c>
      <c r="H3675" s="13" t="e">
        <f t="shared" si="231"/>
        <v>#VALUE!</v>
      </c>
    </row>
    <row r="3676" spans="2:8">
      <c r="B3676" s="11" t="str">
        <f t="shared" si="229"/>
        <v/>
      </c>
      <c r="C3676" s="11" t="str">
        <f t="shared" si="228"/>
        <v/>
      </c>
      <c r="F3676" s="10" t="str">
        <v/>
      </c>
      <c r="G3676" t="e">
        <f t="shared" si="230"/>
        <v>#VALUE!</v>
      </c>
      <c r="H3676" s="13" t="e">
        <f t="shared" si="231"/>
        <v>#VALUE!</v>
      </c>
    </row>
    <row r="3677" spans="2:8">
      <c r="B3677" s="11" t="str">
        <f t="shared" si="229"/>
        <v/>
      </c>
      <c r="C3677" s="11" t="str">
        <f t="shared" si="228"/>
        <v/>
      </c>
      <c r="F3677" s="10" t="str">
        <v/>
      </c>
      <c r="G3677" t="e">
        <f t="shared" si="230"/>
        <v>#VALUE!</v>
      </c>
      <c r="H3677" s="13" t="e">
        <f t="shared" si="231"/>
        <v>#VALUE!</v>
      </c>
    </row>
    <row r="3678" spans="2:8">
      <c r="B3678" s="11" t="str">
        <f t="shared" si="229"/>
        <v/>
      </c>
      <c r="C3678" s="11" t="str">
        <f t="shared" si="228"/>
        <v/>
      </c>
      <c r="F3678" s="10" t="str">
        <v/>
      </c>
      <c r="G3678" t="e">
        <f t="shared" si="230"/>
        <v>#VALUE!</v>
      </c>
      <c r="H3678" s="13" t="e">
        <f t="shared" si="231"/>
        <v>#VALUE!</v>
      </c>
    </row>
    <row r="3679" spans="2:8">
      <c r="B3679" s="11" t="str">
        <f t="shared" si="229"/>
        <v/>
      </c>
      <c r="C3679" s="11" t="str">
        <f t="shared" si="228"/>
        <v/>
      </c>
      <c r="F3679" s="10" t="str">
        <v/>
      </c>
      <c r="G3679" t="e">
        <f t="shared" si="230"/>
        <v>#VALUE!</v>
      </c>
      <c r="H3679" s="13" t="e">
        <f t="shared" si="231"/>
        <v>#VALUE!</v>
      </c>
    </row>
    <row r="3680" spans="2:8">
      <c r="B3680" s="11" t="str">
        <f t="shared" si="229"/>
        <v/>
      </c>
      <c r="C3680" s="11" t="str">
        <f t="shared" si="228"/>
        <v/>
      </c>
      <c r="F3680" s="10" t="str">
        <v/>
      </c>
      <c r="G3680" t="e">
        <f t="shared" si="230"/>
        <v>#VALUE!</v>
      </c>
      <c r="H3680" s="13" t="e">
        <f t="shared" si="231"/>
        <v>#VALUE!</v>
      </c>
    </row>
    <row r="3681" spans="2:8">
      <c r="B3681" s="11" t="str">
        <f t="shared" si="229"/>
        <v/>
      </c>
      <c r="C3681" s="11" t="str">
        <f t="shared" si="228"/>
        <v/>
      </c>
      <c r="F3681" s="10" t="str">
        <v/>
      </c>
      <c r="G3681" t="e">
        <f t="shared" si="230"/>
        <v>#VALUE!</v>
      </c>
      <c r="H3681" s="13" t="e">
        <f t="shared" si="231"/>
        <v>#VALUE!</v>
      </c>
    </row>
    <row r="3682" spans="2:8">
      <c r="B3682" s="11" t="str">
        <f t="shared" si="229"/>
        <v/>
      </c>
      <c r="C3682" s="11" t="str">
        <f t="shared" si="228"/>
        <v/>
      </c>
      <c r="F3682" s="10" t="str">
        <v/>
      </c>
      <c r="G3682" t="e">
        <f t="shared" si="230"/>
        <v>#VALUE!</v>
      </c>
      <c r="H3682" s="13" t="e">
        <f t="shared" si="231"/>
        <v>#VALUE!</v>
      </c>
    </row>
    <row r="3683" spans="2:8">
      <c r="B3683" s="11" t="str">
        <f t="shared" si="229"/>
        <v/>
      </c>
      <c r="C3683" s="11" t="str">
        <f t="shared" si="228"/>
        <v/>
      </c>
      <c r="F3683" s="10" t="str">
        <v/>
      </c>
      <c r="G3683" t="e">
        <f t="shared" si="230"/>
        <v>#VALUE!</v>
      </c>
      <c r="H3683" s="13" t="e">
        <f t="shared" si="231"/>
        <v>#VALUE!</v>
      </c>
    </row>
    <row r="3684" spans="2:8">
      <c r="B3684" s="11" t="str">
        <f t="shared" si="229"/>
        <v/>
      </c>
      <c r="C3684" s="11" t="str">
        <f t="shared" si="228"/>
        <v/>
      </c>
      <c r="F3684" s="10" t="str">
        <v/>
      </c>
      <c r="G3684" t="e">
        <f t="shared" si="230"/>
        <v>#VALUE!</v>
      </c>
      <c r="H3684" s="13" t="e">
        <f t="shared" si="231"/>
        <v>#VALUE!</v>
      </c>
    </row>
    <row r="3685" spans="2:8">
      <c r="B3685" s="11" t="str">
        <f t="shared" si="229"/>
        <v/>
      </c>
      <c r="C3685" s="11" t="str">
        <f t="shared" si="228"/>
        <v/>
      </c>
      <c r="F3685" s="10" t="str">
        <v/>
      </c>
      <c r="G3685" t="e">
        <f t="shared" si="230"/>
        <v>#VALUE!</v>
      </c>
      <c r="H3685" s="13" t="e">
        <f t="shared" si="231"/>
        <v>#VALUE!</v>
      </c>
    </row>
    <row r="3686" spans="2:8">
      <c r="B3686" s="11" t="str">
        <f t="shared" si="229"/>
        <v/>
      </c>
      <c r="C3686" s="11" t="str">
        <f t="shared" si="228"/>
        <v/>
      </c>
      <c r="F3686" s="10" t="str">
        <v/>
      </c>
      <c r="G3686" t="e">
        <f t="shared" si="230"/>
        <v>#VALUE!</v>
      </c>
      <c r="H3686" s="13" t="e">
        <f t="shared" si="231"/>
        <v>#VALUE!</v>
      </c>
    </row>
    <row r="3687" spans="2:8">
      <c r="B3687" s="11" t="str">
        <f t="shared" si="229"/>
        <v/>
      </c>
      <c r="C3687" s="11" t="str">
        <f t="shared" si="228"/>
        <v/>
      </c>
      <c r="F3687" s="10" t="str">
        <v/>
      </c>
      <c r="G3687" t="e">
        <f t="shared" si="230"/>
        <v>#VALUE!</v>
      </c>
      <c r="H3687" s="13" t="e">
        <f t="shared" si="231"/>
        <v>#VALUE!</v>
      </c>
    </row>
    <row r="3688" spans="2:8">
      <c r="B3688" s="11" t="str">
        <f t="shared" si="229"/>
        <v/>
      </c>
      <c r="C3688" s="11" t="str">
        <f t="shared" si="228"/>
        <v/>
      </c>
      <c r="F3688" s="10" t="str">
        <v/>
      </c>
      <c r="G3688" t="e">
        <f t="shared" si="230"/>
        <v>#VALUE!</v>
      </c>
      <c r="H3688" s="13" t="e">
        <f t="shared" si="231"/>
        <v>#VALUE!</v>
      </c>
    </row>
    <row r="3689" spans="2:8">
      <c r="B3689" s="11" t="str">
        <f t="shared" si="229"/>
        <v/>
      </c>
      <c r="C3689" s="11" t="str">
        <f t="shared" ref="C3689:C3752" si="232">IF(B3689="артикул",A3689,"")</f>
        <v/>
      </c>
      <c r="F3689" s="10" t="str">
        <v/>
      </c>
      <c r="G3689" t="e">
        <f t="shared" si="230"/>
        <v>#VALUE!</v>
      </c>
      <c r="H3689" s="13" t="e">
        <f t="shared" si="231"/>
        <v>#VALUE!</v>
      </c>
    </row>
    <row r="3690" spans="2:8">
      <c r="B3690" s="11" t="str">
        <f t="shared" si="229"/>
        <v/>
      </c>
      <c r="C3690" s="11" t="str">
        <f t="shared" si="232"/>
        <v/>
      </c>
      <c r="F3690" s="10" t="str">
        <v/>
      </c>
      <c r="G3690" t="e">
        <f t="shared" si="230"/>
        <v>#VALUE!</v>
      </c>
      <c r="H3690" s="13" t="e">
        <f t="shared" si="231"/>
        <v>#VALUE!</v>
      </c>
    </row>
    <row r="3691" spans="2:8">
      <c r="B3691" s="11" t="str">
        <f t="shared" si="229"/>
        <v/>
      </c>
      <c r="C3691" s="11" t="str">
        <f t="shared" si="232"/>
        <v/>
      </c>
      <c r="F3691" s="10" t="str">
        <v/>
      </c>
      <c r="G3691" t="e">
        <f t="shared" si="230"/>
        <v>#VALUE!</v>
      </c>
      <c r="H3691" s="13" t="e">
        <f t="shared" si="231"/>
        <v>#VALUE!</v>
      </c>
    </row>
    <row r="3692" spans="2:8">
      <c r="B3692" s="11" t="str">
        <f t="shared" si="229"/>
        <v/>
      </c>
      <c r="C3692" s="11" t="str">
        <f t="shared" si="232"/>
        <v/>
      </c>
      <c r="F3692" s="10" t="str">
        <v/>
      </c>
      <c r="G3692" t="e">
        <f t="shared" si="230"/>
        <v>#VALUE!</v>
      </c>
      <c r="H3692" s="13" t="e">
        <f t="shared" si="231"/>
        <v>#VALUE!</v>
      </c>
    </row>
    <row r="3693" spans="2:8">
      <c r="B3693" s="11" t="str">
        <f t="shared" si="229"/>
        <v/>
      </c>
      <c r="C3693" s="11" t="str">
        <f t="shared" si="232"/>
        <v/>
      </c>
      <c r="F3693" s="10" t="str">
        <v/>
      </c>
      <c r="G3693" t="e">
        <f t="shared" si="230"/>
        <v>#VALUE!</v>
      </c>
      <c r="H3693" s="13" t="e">
        <f t="shared" si="231"/>
        <v>#VALUE!</v>
      </c>
    </row>
    <row r="3694" spans="2:8">
      <c r="B3694" s="11" t="str">
        <f t="shared" si="229"/>
        <v/>
      </c>
      <c r="C3694" s="11" t="str">
        <f t="shared" si="232"/>
        <v/>
      </c>
      <c r="F3694" s="10" t="str">
        <v/>
      </c>
      <c r="G3694" t="e">
        <f t="shared" si="230"/>
        <v>#VALUE!</v>
      </c>
      <c r="H3694" s="13" t="e">
        <f t="shared" si="231"/>
        <v>#VALUE!</v>
      </c>
    </row>
    <row r="3695" spans="2:8">
      <c r="B3695" s="11" t="str">
        <f t="shared" si="229"/>
        <v/>
      </c>
      <c r="C3695" s="11" t="str">
        <f t="shared" si="232"/>
        <v/>
      </c>
      <c r="F3695" s="10" t="str">
        <v/>
      </c>
      <c r="G3695" t="e">
        <f t="shared" si="230"/>
        <v>#VALUE!</v>
      </c>
      <c r="H3695" s="13" t="e">
        <f t="shared" si="231"/>
        <v>#VALUE!</v>
      </c>
    </row>
    <row r="3696" spans="2:8">
      <c r="B3696" s="11" t="str">
        <f t="shared" si="229"/>
        <v/>
      </c>
      <c r="C3696" s="11" t="str">
        <f t="shared" si="232"/>
        <v/>
      </c>
      <c r="F3696" s="10" t="str">
        <v/>
      </c>
      <c r="G3696" t="e">
        <f t="shared" si="230"/>
        <v>#VALUE!</v>
      </c>
      <c r="H3696" s="13" t="e">
        <f t="shared" si="231"/>
        <v>#VALUE!</v>
      </c>
    </row>
    <row r="3697" spans="2:8">
      <c r="B3697" s="11" t="str">
        <f t="shared" si="229"/>
        <v/>
      </c>
      <c r="C3697" s="11" t="str">
        <f t="shared" si="232"/>
        <v/>
      </c>
      <c r="F3697" s="10" t="str">
        <v/>
      </c>
      <c r="G3697" t="e">
        <f t="shared" si="230"/>
        <v>#VALUE!</v>
      </c>
      <c r="H3697" s="13" t="e">
        <f t="shared" si="231"/>
        <v>#VALUE!</v>
      </c>
    </row>
    <row r="3698" spans="2:8">
      <c r="B3698" s="11" t="str">
        <f t="shared" si="229"/>
        <v/>
      </c>
      <c r="C3698" s="11" t="str">
        <f t="shared" si="232"/>
        <v/>
      </c>
      <c r="F3698" s="10" t="str">
        <v/>
      </c>
      <c r="G3698" t="e">
        <f t="shared" si="230"/>
        <v>#VALUE!</v>
      </c>
      <c r="H3698" s="13" t="e">
        <f t="shared" si="231"/>
        <v>#VALUE!</v>
      </c>
    </row>
    <row r="3699" spans="2:8">
      <c r="B3699" s="11" t="str">
        <f t="shared" si="229"/>
        <v/>
      </c>
      <c r="C3699" s="11" t="str">
        <f t="shared" si="232"/>
        <v/>
      </c>
      <c r="F3699" s="10" t="str">
        <v/>
      </c>
      <c r="G3699" t="e">
        <f t="shared" si="230"/>
        <v>#VALUE!</v>
      </c>
      <c r="H3699" s="13" t="e">
        <f t="shared" si="231"/>
        <v>#VALUE!</v>
      </c>
    </row>
    <row r="3700" spans="2:8">
      <c r="B3700" s="11" t="str">
        <f t="shared" si="229"/>
        <v/>
      </c>
      <c r="C3700" s="11" t="str">
        <f t="shared" si="232"/>
        <v/>
      </c>
      <c r="F3700" s="10" t="str">
        <v/>
      </c>
      <c r="G3700" t="e">
        <f t="shared" si="230"/>
        <v>#VALUE!</v>
      </c>
      <c r="H3700" s="13" t="e">
        <f t="shared" si="231"/>
        <v>#VALUE!</v>
      </c>
    </row>
    <row r="3701" spans="2:8">
      <c r="B3701" s="11" t="str">
        <f t="shared" si="229"/>
        <v/>
      </c>
      <c r="C3701" s="11" t="str">
        <f t="shared" si="232"/>
        <v/>
      </c>
      <c r="F3701" s="10" t="str">
        <v/>
      </c>
      <c r="G3701" t="e">
        <f t="shared" si="230"/>
        <v>#VALUE!</v>
      </c>
      <c r="H3701" s="13" t="e">
        <f t="shared" si="231"/>
        <v>#VALUE!</v>
      </c>
    </row>
    <row r="3702" spans="2:8">
      <c r="B3702" s="11" t="str">
        <f t="shared" si="229"/>
        <v/>
      </c>
      <c r="C3702" s="11" t="str">
        <f t="shared" si="232"/>
        <v/>
      </c>
      <c r="F3702" s="10" t="str">
        <v/>
      </c>
      <c r="G3702" t="e">
        <f t="shared" si="230"/>
        <v>#VALUE!</v>
      </c>
      <c r="H3702" s="13" t="e">
        <f t="shared" si="231"/>
        <v>#VALUE!</v>
      </c>
    </row>
    <row r="3703" spans="2:8">
      <c r="B3703" s="11" t="str">
        <f t="shared" si="229"/>
        <v/>
      </c>
      <c r="C3703" s="11" t="str">
        <f t="shared" si="232"/>
        <v/>
      </c>
      <c r="F3703" s="10" t="str">
        <v/>
      </c>
      <c r="G3703" t="e">
        <f t="shared" si="230"/>
        <v>#VALUE!</v>
      </c>
      <c r="H3703" s="13" t="e">
        <f t="shared" si="231"/>
        <v>#VALUE!</v>
      </c>
    </row>
    <row r="3704" spans="2:8">
      <c r="B3704" s="11" t="str">
        <f t="shared" si="229"/>
        <v/>
      </c>
      <c r="C3704" s="11" t="str">
        <f t="shared" si="232"/>
        <v/>
      </c>
      <c r="F3704" s="10" t="str">
        <v/>
      </c>
      <c r="G3704" t="e">
        <f t="shared" si="230"/>
        <v>#VALUE!</v>
      </c>
      <c r="H3704" s="13" t="e">
        <f t="shared" si="231"/>
        <v>#VALUE!</v>
      </c>
    </row>
    <row r="3705" spans="2:8">
      <c r="B3705" s="11" t="str">
        <f t="shared" si="229"/>
        <v/>
      </c>
      <c r="C3705" s="11" t="str">
        <f t="shared" si="232"/>
        <v/>
      </c>
      <c r="F3705" s="10" t="str">
        <v/>
      </c>
      <c r="G3705" t="e">
        <f t="shared" si="230"/>
        <v>#VALUE!</v>
      </c>
      <c r="H3705" s="13" t="e">
        <f t="shared" si="231"/>
        <v>#VALUE!</v>
      </c>
    </row>
    <row r="3706" spans="2:8">
      <c r="B3706" s="11" t="str">
        <f t="shared" si="229"/>
        <v/>
      </c>
      <c r="C3706" s="11" t="str">
        <f t="shared" si="232"/>
        <v/>
      </c>
      <c r="F3706" s="10" t="str">
        <v/>
      </c>
      <c r="G3706" t="e">
        <f t="shared" si="230"/>
        <v>#VALUE!</v>
      </c>
      <c r="H3706" s="13" t="e">
        <f t="shared" si="231"/>
        <v>#VALUE!</v>
      </c>
    </row>
    <row r="3707" spans="2:8">
      <c r="B3707" s="11" t="str">
        <f t="shared" si="229"/>
        <v/>
      </c>
      <c r="C3707" s="11" t="str">
        <f t="shared" si="232"/>
        <v/>
      </c>
      <c r="F3707" s="10" t="str">
        <v/>
      </c>
      <c r="G3707" t="e">
        <f t="shared" si="230"/>
        <v>#VALUE!</v>
      </c>
      <c r="H3707" s="13" t="e">
        <f t="shared" si="231"/>
        <v>#VALUE!</v>
      </c>
    </row>
    <row r="3708" spans="2:8">
      <c r="B3708" s="11" t="str">
        <f t="shared" si="229"/>
        <v/>
      </c>
      <c r="C3708" s="11" t="str">
        <f t="shared" si="232"/>
        <v/>
      </c>
      <c r="F3708" s="10" t="str">
        <v/>
      </c>
      <c r="G3708" t="e">
        <f t="shared" si="230"/>
        <v>#VALUE!</v>
      </c>
      <c r="H3708" s="13" t="e">
        <f t="shared" si="231"/>
        <v>#VALUE!</v>
      </c>
    </row>
    <row r="3709" spans="2:8">
      <c r="B3709" s="11" t="str">
        <f t="shared" si="229"/>
        <v/>
      </c>
      <c r="C3709" s="11" t="str">
        <f t="shared" si="232"/>
        <v/>
      </c>
      <c r="F3709" s="10" t="str">
        <v/>
      </c>
      <c r="G3709" t="e">
        <f t="shared" si="230"/>
        <v>#VALUE!</v>
      </c>
      <c r="H3709" s="13" t="e">
        <f t="shared" si="231"/>
        <v>#VALUE!</v>
      </c>
    </row>
    <row r="3710" spans="2:8">
      <c r="B3710" s="11" t="str">
        <f t="shared" si="229"/>
        <v/>
      </c>
      <c r="C3710" s="11" t="str">
        <f t="shared" si="232"/>
        <v/>
      </c>
      <c r="F3710" s="10" t="str">
        <v/>
      </c>
      <c r="G3710" t="e">
        <f t="shared" si="230"/>
        <v>#VALUE!</v>
      </c>
      <c r="H3710" s="13" t="e">
        <f t="shared" si="231"/>
        <v>#VALUE!</v>
      </c>
    </row>
    <row r="3711" spans="2:8">
      <c r="B3711" s="11" t="str">
        <f t="shared" si="229"/>
        <v/>
      </c>
      <c r="C3711" s="11" t="str">
        <f t="shared" si="232"/>
        <v/>
      </c>
      <c r="F3711" s="10" t="str">
        <v/>
      </c>
      <c r="G3711" t="e">
        <f t="shared" si="230"/>
        <v>#VALUE!</v>
      </c>
      <c r="H3711" s="13" t="e">
        <f t="shared" si="231"/>
        <v>#VALUE!</v>
      </c>
    </row>
    <row r="3712" spans="2:8">
      <c r="B3712" s="11" t="str">
        <f t="shared" si="229"/>
        <v/>
      </c>
      <c r="C3712" s="11" t="str">
        <f t="shared" si="232"/>
        <v/>
      </c>
      <c r="F3712" s="10" t="str">
        <v/>
      </c>
      <c r="G3712" t="e">
        <f t="shared" si="230"/>
        <v>#VALUE!</v>
      </c>
      <c r="H3712" s="13" t="e">
        <f t="shared" si="231"/>
        <v>#VALUE!</v>
      </c>
    </row>
    <row r="3713" spans="2:8">
      <c r="B3713" s="11" t="str">
        <f t="shared" ref="B3713:B3776" si="233">IFERROR(IF(FIND(" ",A3713)=6,IF(IFERROR(FIND(" PB",A3713),"")&lt;&gt;"","артикул",IF(IFERROR(FIND(" CRN",A3713),"")&lt;&gt;"","артикул","")),""),"")</f>
        <v/>
      </c>
      <c r="C3713" s="11" t="str">
        <f t="shared" si="232"/>
        <v/>
      </c>
      <c r="F3713" s="10" t="str">
        <v/>
      </c>
      <c r="G3713" t="e">
        <f t="shared" si="230"/>
        <v>#VALUE!</v>
      </c>
      <c r="H3713" s="13" t="e">
        <f t="shared" si="231"/>
        <v>#VALUE!</v>
      </c>
    </row>
    <row r="3714" spans="2:8">
      <c r="B3714" s="11" t="str">
        <f t="shared" si="233"/>
        <v/>
      </c>
      <c r="C3714" s="11" t="str">
        <f t="shared" si="232"/>
        <v/>
      </c>
      <c r="F3714" s="10" t="str">
        <v/>
      </c>
      <c r="G3714" t="e">
        <f t="shared" ref="G3714:G3777" si="234">CONCATENATE(LEFT(F3714,5),
MID(F3714,
SEARCH("\",SUBSTITUTE(F3714," ","\",LEN(F3714)-LEN(SUBSTITUTE(F3714," ",""))-4)),
SEARCH("\",SUBSTITUTE(F3714," ","\",LEN(F3714)-LEN(SUBSTITUTE(F3714," ",""))-3))-
SEARCH("\",SUBSTITUTE(F3714," ","\",LEN(F3714)-LEN(SUBSTITUTE(F3714," ",""))-4)))*1)</f>
        <v>#VALUE!</v>
      </c>
      <c r="H3714" s="13" t="e">
        <f t="shared" ref="H3714:H3777" si="235">SUBSTITUTE(
RIGHT(F3714,LEN(F3714)-
FIND("\",SUBSTITUTE(F3714," ","\",LEN(F3714)-LEN(SUBSTITUTE(F3714," ",""))))),
".","")</f>
        <v>#VALUE!</v>
      </c>
    </row>
    <row r="3715" spans="2:8">
      <c r="B3715" s="11" t="str">
        <f t="shared" si="233"/>
        <v/>
      </c>
      <c r="C3715" s="11" t="str">
        <f t="shared" si="232"/>
        <v/>
      </c>
      <c r="F3715" s="10" t="str">
        <v/>
      </c>
      <c r="G3715" t="e">
        <f t="shared" si="234"/>
        <v>#VALUE!</v>
      </c>
      <c r="H3715" s="13" t="e">
        <f t="shared" si="235"/>
        <v>#VALUE!</v>
      </c>
    </row>
    <row r="3716" spans="2:8">
      <c r="B3716" s="11" t="str">
        <f t="shared" si="233"/>
        <v/>
      </c>
      <c r="C3716" s="11" t="str">
        <f t="shared" si="232"/>
        <v/>
      </c>
      <c r="F3716" s="10" t="str">
        <v/>
      </c>
      <c r="G3716" t="e">
        <f t="shared" si="234"/>
        <v>#VALUE!</v>
      </c>
      <c r="H3716" s="13" t="e">
        <f t="shared" si="235"/>
        <v>#VALUE!</v>
      </c>
    </row>
    <row r="3717" spans="2:8">
      <c r="B3717" s="11" t="str">
        <f t="shared" si="233"/>
        <v/>
      </c>
      <c r="C3717" s="11" t="str">
        <f t="shared" si="232"/>
        <v/>
      </c>
      <c r="F3717" s="10" t="str">
        <v/>
      </c>
      <c r="G3717" t="e">
        <f t="shared" si="234"/>
        <v>#VALUE!</v>
      </c>
      <c r="H3717" s="13" t="e">
        <f t="shared" si="235"/>
        <v>#VALUE!</v>
      </c>
    </row>
    <row r="3718" spans="2:8">
      <c r="B3718" s="11" t="str">
        <f t="shared" si="233"/>
        <v/>
      </c>
      <c r="C3718" s="11" t="str">
        <f t="shared" si="232"/>
        <v/>
      </c>
      <c r="F3718" s="10" t="str">
        <v/>
      </c>
      <c r="G3718" t="e">
        <f t="shared" si="234"/>
        <v>#VALUE!</v>
      </c>
      <c r="H3718" s="13" t="e">
        <f t="shared" si="235"/>
        <v>#VALUE!</v>
      </c>
    </row>
    <row r="3719" spans="2:8">
      <c r="B3719" s="11" t="str">
        <f t="shared" si="233"/>
        <v/>
      </c>
      <c r="C3719" s="11" t="str">
        <f t="shared" si="232"/>
        <v/>
      </c>
      <c r="F3719" s="10" t="str">
        <v/>
      </c>
      <c r="G3719" t="e">
        <f t="shared" si="234"/>
        <v>#VALUE!</v>
      </c>
      <c r="H3719" s="13" t="e">
        <f t="shared" si="235"/>
        <v>#VALUE!</v>
      </c>
    </row>
    <row r="3720" spans="2:8">
      <c r="B3720" s="11" t="str">
        <f t="shared" si="233"/>
        <v/>
      </c>
      <c r="C3720" s="11" t="str">
        <f t="shared" si="232"/>
        <v/>
      </c>
      <c r="F3720" s="10" t="str">
        <v/>
      </c>
      <c r="G3720" t="e">
        <f t="shared" si="234"/>
        <v>#VALUE!</v>
      </c>
      <c r="H3720" s="13" t="e">
        <f t="shared" si="235"/>
        <v>#VALUE!</v>
      </c>
    </row>
    <row r="3721" spans="2:8">
      <c r="B3721" s="11" t="str">
        <f t="shared" si="233"/>
        <v/>
      </c>
      <c r="C3721" s="11" t="str">
        <f t="shared" si="232"/>
        <v/>
      </c>
      <c r="F3721" s="10" t="str">
        <v/>
      </c>
      <c r="G3721" t="e">
        <f t="shared" si="234"/>
        <v>#VALUE!</v>
      </c>
      <c r="H3721" s="13" t="e">
        <f t="shared" si="235"/>
        <v>#VALUE!</v>
      </c>
    </row>
    <row r="3722" spans="2:8">
      <c r="B3722" s="11" t="str">
        <f t="shared" si="233"/>
        <v/>
      </c>
      <c r="C3722" s="11" t="str">
        <f t="shared" si="232"/>
        <v/>
      </c>
      <c r="F3722" s="10" t="str">
        <v/>
      </c>
      <c r="G3722" t="e">
        <f t="shared" si="234"/>
        <v>#VALUE!</v>
      </c>
      <c r="H3722" s="13" t="e">
        <f t="shared" si="235"/>
        <v>#VALUE!</v>
      </c>
    </row>
    <row r="3723" spans="2:8">
      <c r="B3723" s="11" t="str">
        <f t="shared" si="233"/>
        <v/>
      </c>
      <c r="C3723" s="11" t="str">
        <f t="shared" si="232"/>
        <v/>
      </c>
      <c r="F3723" s="10" t="str">
        <v/>
      </c>
      <c r="G3723" t="e">
        <f t="shared" si="234"/>
        <v>#VALUE!</v>
      </c>
      <c r="H3723" s="13" t="e">
        <f t="shared" si="235"/>
        <v>#VALUE!</v>
      </c>
    </row>
    <row r="3724" spans="2:8">
      <c r="B3724" s="11" t="str">
        <f t="shared" si="233"/>
        <v/>
      </c>
      <c r="C3724" s="11" t="str">
        <f t="shared" si="232"/>
        <v/>
      </c>
      <c r="F3724" s="10" t="str">
        <v/>
      </c>
      <c r="G3724" t="e">
        <f t="shared" si="234"/>
        <v>#VALUE!</v>
      </c>
      <c r="H3724" s="13" t="e">
        <f t="shared" si="235"/>
        <v>#VALUE!</v>
      </c>
    </row>
    <row r="3725" spans="2:8">
      <c r="B3725" s="11" t="str">
        <f t="shared" si="233"/>
        <v/>
      </c>
      <c r="C3725" s="11" t="str">
        <f t="shared" si="232"/>
        <v/>
      </c>
      <c r="F3725" s="10" t="str">
        <v/>
      </c>
      <c r="G3725" t="e">
        <f t="shared" si="234"/>
        <v>#VALUE!</v>
      </c>
      <c r="H3725" s="13" t="e">
        <f t="shared" si="235"/>
        <v>#VALUE!</v>
      </c>
    </row>
    <row r="3726" spans="2:8">
      <c r="B3726" s="11" t="str">
        <f t="shared" si="233"/>
        <v/>
      </c>
      <c r="C3726" s="11" t="str">
        <f t="shared" si="232"/>
        <v/>
      </c>
      <c r="F3726" s="10" t="str">
        <v/>
      </c>
      <c r="G3726" t="e">
        <f t="shared" si="234"/>
        <v>#VALUE!</v>
      </c>
      <c r="H3726" s="13" t="e">
        <f t="shared" si="235"/>
        <v>#VALUE!</v>
      </c>
    </row>
    <row r="3727" spans="2:8">
      <c r="B3727" s="11" t="str">
        <f t="shared" si="233"/>
        <v/>
      </c>
      <c r="C3727" s="11" t="str">
        <f t="shared" si="232"/>
        <v/>
      </c>
      <c r="F3727" s="10" t="str">
        <v/>
      </c>
      <c r="G3727" t="e">
        <f t="shared" si="234"/>
        <v>#VALUE!</v>
      </c>
      <c r="H3727" s="13" t="e">
        <f t="shared" si="235"/>
        <v>#VALUE!</v>
      </c>
    </row>
    <row r="3728" spans="2:8">
      <c r="B3728" s="11" t="str">
        <f t="shared" si="233"/>
        <v/>
      </c>
      <c r="C3728" s="11" t="str">
        <f t="shared" si="232"/>
        <v/>
      </c>
      <c r="F3728" s="10" t="str">
        <v/>
      </c>
      <c r="G3728" t="e">
        <f t="shared" si="234"/>
        <v>#VALUE!</v>
      </c>
      <c r="H3728" s="13" t="e">
        <f t="shared" si="235"/>
        <v>#VALUE!</v>
      </c>
    </row>
    <row r="3729" spans="2:8">
      <c r="B3729" s="11" t="str">
        <f t="shared" si="233"/>
        <v/>
      </c>
      <c r="C3729" s="11" t="str">
        <f t="shared" si="232"/>
        <v/>
      </c>
      <c r="F3729" s="10" t="str">
        <v/>
      </c>
      <c r="G3729" t="e">
        <f t="shared" si="234"/>
        <v>#VALUE!</v>
      </c>
      <c r="H3729" s="13" t="e">
        <f t="shared" si="235"/>
        <v>#VALUE!</v>
      </c>
    </row>
    <row r="3730" spans="2:8">
      <c r="B3730" s="11" t="str">
        <f t="shared" si="233"/>
        <v/>
      </c>
      <c r="C3730" s="11" t="str">
        <f t="shared" si="232"/>
        <v/>
      </c>
      <c r="F3730" s="10" t="str">
        <v/>
      </c>
      <c r="G3730" t="e">
        <f t="shared" si="234"/>
        <v>#VALUE!</v>
      </c>
      <c r="H3730" s="13" t="e">
        <f t="shared" si="235"/>
        <v>#VALUE!</v>
      </c>
    </row>
    <row r="3731" spans="2:8">
      <c r="B3731" s="11" t="str">
        <f t="shared" si="233"/>
        <v/>
      </c>
      <c r="C3731" s="11" t="str">
        <f t="shared" si="232"/>
        <v/>
      </c>
      <c r="F3731" s="10" t="str">
        <v/>
      </c>
      <c r="G3731" t="e">
        <f t="shared" si="234"/>
        <v>#VALUE!</v>
      </c>
      <c r="H3731" s="13" t="e">
        <f t="shared" si="235"/>
        <v>#VALUE!</v>
      </c>
    </row>
    <row r="3732" spans="2:8">
      <c r="B3732" s="11" t="str">
        <f t="shared" si="233"/>
        <v/>
      </c>
      <c r="C3732" s="11" t="str">
        <f t="shared" si="232"/>
        <v/>
      </c>
      <c r="F3732" s="10" t="str">
        <v/>
      </c>
      <c r="G3732" t="e">
        <f t="shared" si="234"/>
        <v>#VALUE!</v>
      </c>
      <c r="H3732" s="13" t="e">
        <f t="shared" si="235"/>
        <v>#VALUE!</v>
      </c>
    </row>
    <row r="3733" spans="2:8">
      <c r="B3733" s="11" t="str">
        <f t="shared" si="233"/>
        <v/>
      </c>
      <c r="C3733" s="11" t="str">
        <f t="shared" si="232"/>
        <v/>
      </c>
      <c r="F3733" s="10" t="str">
        <v/>
      </c>
      <c r="G3733" t="e">
        <f t="shared" si="234"/>
        <v>#VALUE!</v>
      </c>
      <c r="H3733" s="13" t="e">
        <f t="shared" si="235"/>
        <v>#VALUE!</v>
      </c>
    </row>
    <row r="3734" spans="2:8">
      <c r="B3734" s="11" t="str">
        <f t="shared" si="233"/>
        <v/>
      </c>
      <c r="C3734" s="11" t="str">
        <f t="shared" si="232"/>
        <v/>
      </c>
      <c r="F3734" s="10" t="str">
        <v/>
      </c>
      <c r="G3734" t="e">
        <f t="shared" si="234"/>
        <v>#VALUE!</v>
      </c>
      <c r="H3734" s="13" t="e">
        <f t="shared" si="235"/>
        <v>#VALUE!</v>
      </c>
    </row>
    <row r="3735" spans="2:8">
      <c r="B3735" s="11" t="str">
        <f t="shared" si="233"/>
        <v/>
      </c>
      <c r="C3735" s="11" t="str">
        <f t="shared" si="232"/>
        <v/>
      </c>
      <c r="F3735" s="10" t="str">
        <v/>
      </c>
      <c r="G3735" t="e">
        <f t="shared" si="234"/>
        <v>#VALUE!</v>
      </c>
      <c r="H3735" s="13" t="e">
        <f t="shared" si="235"/>
        <v>#VALUE!</v>
      </c>
    </row>
    <row r="3736" spans="2:8">
      <c r="B3736" s="11" t="str">
        <f t="shared" si="233"/>
        <v/>
      </c>
      <c r="C3736" s="11" t="str">
        <f t="shared" si="232"/>
        <v/>
      </c>
      <c r="F3736" s="10" t="str">
        <v/>
      </c>
      <c r="G3736" t="e">
        <f t="shared" si="234"/>
        <v>#VALUE!</v>
      </c>
      <c r="H3736" s="13" t="e">
        <f t="shared" si="235"/>
        <v>#VALUE!</v>
      </c>
    </row>
    <row r="3737" spans="2:8">
      <c r="B3737" s="11" t="str">
        <f t="shared" si="233"/>
        <v/>
      </c>
      <c r="C3737" s="11" t="str">
        <f t="shared" si="232"/>
        <v/>
      </c>
      <c r="F3737" s="10" t="str">
        <v/>
      </c>
      <c r="G3737" t="e">
        <f t="shared" si="234"/>
        <v>#VALUE!</v>
      </c>
      <c r="H3737" s="13" t="e">
        <f t="shared" si="235"/>
        <v>#VALUE!</v>
      </c>
    </row>
    <row r="3738" spans="2:8">
      <c r="B3738" s="11" t="str">
        <f t="shared" si="233"/>
        <v/>
      </c>
      <c r="C3738" s="11" t="str">
        <f t="shared" si="232"/>
        <v/>
      </c>
      <c r="F3738" s="10" t="str">
        <v/>
      </c>
      <c r="G3738" t="e">
        <f t="shared" si="234"/>
        <v>#VALUE!</v>
      </c>
      <c r="H3738" s="13" t="e">
        <f t="shared" si="235"/>
        <v>#VALUE!</v>
      </c>
    </row>
    <row r="3739" spans="2:8">
      <c r="B3739" s="11" t="str">
        <f t="shared" si="233"/>
        <v/>
      </c>
      <c r="C3739" s="11" t="str">
        <f t="shared" si="232"/>
        <v/>
      </c>
      <c r="F3739" s="10" t="str">
        <v/>
      </c>
      <c r="G3739" t="e">
        <f t="shared" si="234"/>
        <v>#VALUE!</v>
      </c>
      <c r="H3739" s="13" t="e">
        <f t="shared" si="235"/>
        <v>#VALUE!</v>
      </c>
    </row>
    <row r="3740" spans="2:8">
      <c r="B3740" s="11" t="str">
        <f t="shared" si="233"/>
        <v/>
      </c>
      <c r="C3740" s="11" t="str">
        <f t="shared" si="232"/>
        <v/>
      </c>
      <c r="F3740" s="10" t="str">
        <v/>
      </c>
      <c r="G3740" t="e">
        <f t="shared" si="234"/>
        <v>#VALUE!</v>
      </c>
      <c r="H3740" s="13" t="e">
        <f t="shared" si="235"/>
        <v>#VALUE!</v>
      </c>
    </row>
    <row r="3741" spans="2:8">
      <c r="B3741" s="11" t="str">
        <f t="shared" si="233"/>
        <v/>
      </c>
      <c r="C3741" s="11" t="str">
        <f t="shared" si="232"/>
        <v/>
      </c>
      <c r="F3741" s="10" t="str">
        <v/>
      </c>
      <c r="G3741" t="e">
        <f t="shared" si="234"/>
        <v>#VALUE!</v>
      </c>
      <c r="H3741" s="13" t="e">
        <f t="shared" si="235"/>
        <v>#VALUE!</v>
      </c>
    </row>
    <row r="3742" spans="2:8">
      <c r="B3742" s="11" t="str">
        <f t="shared" si="233"/>
        <v/>
      </c>
      <c r="C3742" s="11" t="str">
        <f t="shared" si="232"/>
        <v/>
      </c>
      <c r="F3742" s="10" t="str">
        <v/>
      </c>
      <c r="G3742" t="e">
        <f t="shared" si="234"/>
        <v>#VALUE!</v>
      </c>
      <c r="H3742" s="13" t="e">
        <f t="shared" si="235"/>
        <v>#VALUE!</v>
      </c>
    </row>
    <row r="3743" spans="2:8">
      <c r="B3743" s="11" t="str">
        <f t="shared" si="233"/>
        <v/>
      </c>
      <c r="C3743" s="11" t="str">
        <f t="shared" si="232"/>
        <v/>
      </c>
      <c r="F3743" s="10" t="str">
        <v/>
      </c>
      <c r="G3743" t="e">
        <f t="shared" si="234"/>
        <v>#VALUE!</v>
      </c>
      <c r="H3743" s="13" t="e">
        <f t="shared" si="235"/>
        <v>#VALUE!</v>
      </c>
    </row>
    <row r="3744" spans="2:8">
      <c r="B3744" s="11" t="str">
        <f t="shared" si="233"/>
        <v/>
      </c>
      <c r="C3744" s="11" t="str">
        <f t="shared" si="232"/>
        <v/>
      </c>
      <c r="F3744" s="10" t="str">
        <v/>
      </c>
      <c r="G3744" t="e">
        <f t="shared" si="234"/>
        <v>#VALUE!</v>
      </c>
      <c r="H3744" s="13" t="e">
        <f t="shared" si="235"/>
        <v>#VALUE!</v>
      </c>
    </row>
    <row r="3745" spans="2:8">
      <c r="B3745" s="11" t="str">
        <f t="shared" si="233"/>
        <v/>
      </c>
      <c r="C3745" s="11" t="str">
        <f t="shared" si="232"/>
        <v/>
      </c>
      <c r="F3745" s="10" t="str">
        <v/>
      </c>
      <c r="G3745" t="e">
        <f t="shared" si="234"/>
        <v>#VALUE!</v>
      </c>
      <c r="H3745" s="13" t="e">
        <f t="shared" si="235"/>
        <v>#VALUE!</v>
      </c>
    </row>
    <row r="3746" spans="2:8">
      <c r="B3746" s="11" t="str">
        <f t="shared" si="233"/>
        <v/>
      </c>
      <c r="C3746" s="11" t="str">
        <f t="shared" si="232"/>
        <v/>
      </c>
      <c r="F3746" s="10" t="str">
        <v/>
      </c>
      <c r="G3746" t="e">
        <f t="shared" si="234"/>
        <v>#VALUE!</v>
      </c>
      <c r="H3746" s="13" t="e">
        <f t="shared" si="235"/>
        <v>#VALUE!</v>
      </c>
    </row>
    <row r="3747" spans="2:8">
      <c r="B3747" s="11" t="str">
        <f t="shared" si="233"/>
        <v/>
      </c>
      <c r="C3747" s="11" t="str">
        <f t="shared" si="232"/>
        <v/>
      </c>
      <c r="F3747" s="10" t="str">
        <v/>
      </c>
      <c r="G3747" t="e">
        <f t="shared" si="234"/>
        <v>#VALUE!</v>
      </c>
      <c r="H3747" s="13" t="e">
        <f t="shared" si="235"/>
        <v>#VALUE!</v>
      </c>
    </row>
    <row r="3748" spans="2:8">
      <c r="B3748" s="11" t="str">
        <f t="shared" si="233"/>
        <v/>
      </c>
      <c r="C3748" s="11" t="str">
        <f t="shared" si="232"/>
        <v/>
      </c>
      <c r="F3748" s="10" t="str">
        <v/>
      </c>
      <c r="G3748" t="e">
        <f t="shared" si="234"/>
        <v>#VALUE!</v>
      </c>
      <c r="H3748" s="13" t="e">
        <f t="shared" si="235"/>
        <v>#VALUE!</v>
      </c>
    </row>
    <row r="3749" spans="2:8">
      <c r="B3749" s="11" t="str">
        <f t="shared" si="233"/>
        <v/>
      </c>
      <c r="C3749" s="11" t="str">
        <f t="shared" si="232"/>
        <v/>
      </c>
      <c r="F3749" s="10" t="str">
        <v/>
      </c>
      <c r="G3749" t="e">
        <f t="shared" si="234"/>
        <v>#VALUE!</v>
      </c>
      <c r="H3749" s="13" t="e">
        <f t="shared" si="235"/>
        <v>#VALUE!</v>
      </c>
    </row>
    <row r="3750" spans="2:8">
      <c r="B3750" s="11" t="str">
        <f t="shared" si="233"/>
        <v/>
      </c>
      <c r="C3750" s="11" t="str">
        <f t="shared" si="232"/>
        <v/>
      </c>
      <c r="F3750" s="10" t="str">
        <v/>
      </c>
      <c r="G3750" t="e">
        <f t="shared" si="234"/>
        <v>#VALUE!</v>
      </c>
      <c r="H3750" s="13" t="e">
        <f t="shared" si="235"/>
        <v>#VALUE!</v>
      </c>
    </row>
    <row r="3751" spans="2:8">
      <c r="B3751" s="11" t="str">
        <f t="shared" si="233"/>
        <v/>
      </c>
      <c r="C3751" s="11" t="str">
        <f t="shared" si="232"/>
        <v/>
      </c>
      <c r="F3751" s="10" t="str">
        <v/>
      </c>
      <c r="G3751" t="e">
        <f t="shared" si="234"/>
        <v>#VALUE!</v>
      </c>
      <c r="H3751" s="13" t="e">
        <f t="shared" si="235"/>
        <v>#VALUE!</v>
      </c>
    </row>
    <row r="3752" spans="2:8">
      <c r="B3752" s="11" t="str">
        <f t="shared" si="233"/>
        <v/>
      </c>
      <c r="C3752" s="11" t="str">
        <f t="shared" si="232"/>
        <v/>
      </c>
      <c r="F3752" s="10" t="str">
        <v/>
      </c>
      <c r="G3752" t="e">
        <f t="shared" si="234"/>
        <v>#VALUE!</v>
      </c>
      <c r="H3752" s="13" t="e">
        <f t="shared" si="235"/>
        <v>#VALUE!</v>
      </c>
    </row>
    <row r="3753" spans="2:8">
      <c r="B3753" s="11" t="str">
        <f t="shared" si="233"/>
        <v/>
      </c>
      <c r="C3753" s="11" t="str">
        <f t="shared" ref="C3753:C3816" si="236">IF(B3753="артикул",A3753,"")</f>
        <v/>
      </c>
      <c r="F3753" s="10" t="str">
        <v/>
      </c>
      <c r="G3753" t="e">
        <f t="shared" si="234"/>
        <v>#VALUE!</v>
      </c>
      <c r="H3753" s="13" t="e">
        <f t="shared" si="235"/>
        <v>#VALUE!</v>
      </c>
    </row>
    <row r="3754" spans="2:8">
      <c r="B3754" s="11" t="str">
        <f t="shared" si="233"/>
        <v/>
      </c>
      <c r="C3754" s="11" t="str">
        <f t="shared" si="236"/>
        <v/>
      </c>
      <c r="F3754" s="10" t="str">
        <v/>
      </c>
      <c r="G3754" t="e">
        <f t="shared" si="234"/>
        <v>#VALUE!</v>
      </c>
      <c r="H3754" s="13" t="e">
        <f t="shared" si="235"/>
        <v>#VALUE!</v>
      </c>
    </row>
    <row r="3755" spans="2:8">
      <c r="B3755" s="11" t="str">
        <f t="shared" si="233"/>
        <v/>
      </c>
      <c r="C3755" s="11" t="str">
        <f t="shared" si="236"/>
        <v/>
      </c>
      <c r="F3755" s="10" t="str">
        <v/>
      </c>
      <c r="G3755" t="e">
        <f t="shared" si="234"/>
        <v>#VALUE!</v>
      </c>
      <c r="H3755" s="13" t="e">
        <f t="shared" si="235"/>
        <v>#VALUE!</v>
      </c>
    </row>
    <row r="3756" spans="2:8">
      <c r="B3756" s="11" t="str">
        <f t="shared" si="233"/>
        <v/>
      </c>
      <c r="C3756" s="11" t="str">
        <f t="shared" si="236"/>
        <v/>
      </c>
      <c r="F3756" s="10" t="str">
        <v/>
      </c>
      <c r="G3756" t="e">
        <f t="shared" si="234"/>
        <v>#VALUE!</v>
      </c>
      <c r="H3756" s="13" t="e">
        <f t="shared" si="235"/>
        <v>#VALUE!</v>
      </c>
    </row>
    <row r="3757" spans="2:8">
      <c r="B3757" s="11" t="str">
        <f t="shared" si="233"/>
        <v/>
      </c>
      <c r="C3757" s="11" t="str">
        <f t="shared" si="236"/>
        <v/>
      </c>
      <c r="F3757" s="10" t="str">
        <v/>
      </c>
      <c r="G3757" t="e">
        <f t="shared" si="234"/>
        <v>#VALUE!</v>
      </c>
      <c r="H3757" s="13" t="e">
        <f t="shared" si="235"/>
        <v>#VALUE!</v>
      </c>
    </row>
    <row r="3758" spans="2:8">
      <c r="B3758" s="11" t="str">
        <f t="shared" si="233"/>
        <v/>
      </c>
      <c r="C3758" s="11" t="str">
        <f t="shared" si="236"/>
        <v/>
      </c>
      <c r="F3758" s="10" t="str">
        <v/>
      </c>
      <c r="G3758" t="e">
        <f t="shared" si="234"/>
        <v>#VALUE!</v>
      </c>
      <c r="H3758" s="13" t="e">
        <f t="shared" si="235"/>
        <v>#VALUE!</v>
      </c>
    </row>
    <row r="3759" spans="2:8">
      <c r="B3759" s="11" t="str">
        <f t="shared" si="233"/>
        <v/>
      </c>
      <c r="C3759" s="11" t="str">
        <f t="shared" si="236"/>
        <v/>
      </c>
      <c r="F3759" s="10" t="str">
        <v/>
      </c>
      <c r="G3759" t="e">
        <f t="shared" si="234"/>
        <v>#VALUE!</v>
      </c>
      <c r="H3759" s="13" t="e">
        <f t="shared" si="235"/>
        <v>#VALUE!</v>
      </c>
    </row>
    <row r="3760" spans="2:8">
      <c r="B3760" s="11" t="str">
        <f t="shared" si="233"/>
        <v/>
      </c>
      <c r="C3760" s="11" t="str">
        <f t="shared" si="236"/>
        <v/>
      </c>
      <c r="F3760" s="10" t="str">
        <v/>
      </c>
      <c r="G3760" t="e">
        <f t="shared" si="234"/>
        <v>#VALUE!</v>
      </c>
      <c r="H3760" s="13" t="e">
        <f t="shared" si="235"/>
        <v>#VALUE!</v>
      </c>
    </row>
    <row r="3761" spans="2:8">
      <c r="B3761" s="11" t="str">
        <f t="shared" si="233"/>
        <v/>
      </c>
      <c r="C3761" s="11" t="str">
        <f t="shared" si="236"/>
        <v/>
      </c>
      <c r="F3761" s="10" t="str">
        <v/>
      </c>
      <c r="G3761" t="e">
        <f t="shared" si="234"/>
        <v>#VALUE!</v>
      </c>
      <c r="H3761" s="13" t="e">
        <f t="shared" si="235"/>
        <v>#VALUE!</v>
      </c>
    </row>
    <row r="3762" spans="2:8">
      <c r="B3762" s="11" t="str">
        <f t="shared" si="233"/>
        <v/>
      </c>
      <c r="C3762" s="11" t="str">
        <f t="shared" si="236"/>
        <v/>
      </c>
      <c r="F3762" s="10" t="str">
        <v/>
      </c>
      <c r="G3762" t="e">
        <f t="shared" si="234"/>
        <v>#VALUE!</v>
      </c>
      <c r="H3762" s="13" t="e">
        <f t="shared" si="235"/>
        <v>#VALUE!</v>
      </c>
    </row>
    <row r="3763" spans="2:8">
      <c r="B3763" s="11" t="str">
        <f t="shared" si="233"/>
        <v/>
      </c>
      <c r="C3763" s="11" t="str">
        <f t="shared" si="236"/>
        <v/>
      </c>
      <c r="F3763" s="10" t="str">
        <v/>
      </c>
      <c r="G3763" t="e">
        <f t="shared" si="234"/>
        <v>#VALUE!</v>
      </c>
      <c r="H3763" s="13" t="e">
        <f t="shared" si="235"/>
        <v>#VALUE!</v>
      </c>
    </row>
    <row r="3764" spans="2:8">
      <c r="B3764" s="11" t="str">
        <f t="shared" si="233"/>
        <v/>
      </c>
      <c r="C3764" s="11" t="str">
        <f t="shared" si="236"/>
        <v/>
      </c>
      <c r="F3764" s="10" t="str">
        <v/>
      </c>
      <c r="G3764" t="e">
        <f t="shared" si="234"/>
        <v>#VALUE!</v>
      </c>
      <c r="H3764" s="13" t="e">
        <f t="shared" si="235"/>
        <v>#VALUE!</v>
      </c>
    </row>
    <row r="3765" spans="2:8">
      <c r="B3765" s="11" t="str">
        <f t="shared" si="233"/>
        <v/>
      </c>
      <c r="C3765" s="11" t="str">
        <f t="shared" si="236"/>
        <v/>
      </c>
      <c r="F3765" s="10" t="str">
        <v/>
      </c>
      <c r="G3765" t="e">
        <f t="shared" si="234"/>
        <v>#VALUE!</v>
      </c>
      <c r="H3765" s="13" t="e">
        <f t="shared" si="235"/>
        <v>#VALUE!</v>
      </c>
    </row>
    <row r="3766" spans="2:8">
      <c r="B3766" s="11" t="str">
        <f t="shared" si="233"/>
        <v/>
      </c>
      <c r="C3766" s="11" t="str">
        <f t="shared" si="236"/>
        <v/>
      </c>
      <c r="F3766" s="10" t="str">
        <v/>
      </c>
      <c r="G3766" t="e">
        <f t="shared" si="234"/>
        <v>#VALUE!</v>
      </c>
      <c r="H3766" s="13" t="e">
        <f t="shared" si="235"/>
        <v>#VALUE!</v>
      </c>
    </row>
    <row r="3767" spans="2:8">
      <c r="B3767" s="11" t="str">
        <f t="shared" si="233"/>
        <v/>
      </c>
      <c r="C3767" s="11" t="str">
        <f t="shared" si="236"/>
        <v/>
      </c>
      <c r="F3767" s="10" t="str">
        <v/>
      </c>
      <c r="G3767" t="e">
        <f t="shared" si="234"/>
        <v>#VALUE!</v>
      </c>
      <c r="H3767" s="13" t="e">
        <f t="shared" si="235"/>
        <v>#VALUE!</v>
      </c>
    </row>
    <row r="3768" spans="2:8">
      <c r="B3768" s="11" t="str">
        <f t="shared" si="233"/>
        <v/>
      </c>
      <c r="C3768" s="11" t="str">
        <f t="shared" si="236"/>
        <v/>
      </c>
      <c r="F3768" s="10" t="str">
        <v/>
      </c>
      <c r="G3768" t="e">
        <f t="shared" si="234"/>
        <v>#VALUE!</v>
      </c>
      <c r="H3768" s="13" t="e">
        <f t="shared" si="235"/>
        <v>#VALUE!</v>
      </c>
    </row>
    <row r="3769" spans="2:8">
      <c r="B3769" s="11" t="str">
        <f t="shared" si="233"/>
        <v/>
      </c>
      <c r="C3769" s="11" t="str">
        <f t="shared" si="236"/>
        <v/>
      </c>
      <c r="F3769" s="10" t="str">
        <v/>
      </c>
      <c r="G3769" t="e">
        <f t="shared" si="234"/>
        <v>#VALUE!</v>
      </c>
      <c r="H3769" s="13" t="e">
        <f t="shared" si="235"/>
        <v>#VALUE!</v>
      </c>
    </row>
    <row r="3770" spans="2:8">
      <c r="B3770" s="11" t="str">
        <f t="shared" si="233"/>
        <v/>
      </c>
      <c r="C3770" s="11" t="str">
        <f t="shared" si="236"/>
        <v/>
      </c>
      <c r="F3770" s="10" t="str">
        <v/>
      </c>
      <c r="G3770" t="e">
        <f t="shared" si="234"/>
        <v>#VALUE!</v>
      </c>
      <c r="H3770" s="13" t="e">
        <f t="shared" si="235"/>
        <v>#VALUE!</v>
      </c>
    </row>
    <row r="3771" spans="2:8">
      <c r="B3771" s="11" t="str">
        <f t="shared" si="233"/>
        <v/>
      </c>
      <c r="C3771" s="11" t="str">
        <f t="shared" si="236"/>
        <v/>
      </c>
      <c r="F3771" s="10" t="str">
        <v/>
      </c>
      <c r="G3771" t="e">
        <f t="shared" si="234"/>
        <v>#VALUE!</v>
      </c>
      <c r="H3771" s="13" t="e">
        <f t="shared" si="235"/>
        <v>#VALUE!</v>
      </c>
    </row>
    <row r="3772" spans="2:8">
      <c r="B3772" s="11" t="str">
        <f t="shared" si="233"/>
        <v/>
      </c>
      <c r="C3772" s="11" t="str">
        <f t="shared" si="236"/>
        <v/>
      </c>
      <c r="F3772" s="10" t="str">
        <v/>
      </c>
      <c r="G3772" t="e">
        <f t="shared" si="234"/>
        <v>#VALUE!</v>
      </c>
      <c r="H3772" s="13" t="e">
        <f t="shared" si="235"/>
        <v>#VALUE!</v>
      </c>
    </row>
    <row r="3773" spans="2:8">
      <c r="B3773" s="11" t="str">
        <f t="shared" si="233"/>
        <v/>
      </c>
      <c r="C3773" s="11" t="str">
        <f t="shared" si="236"/>
        <v/>
      </c>
      <c r="F3773" s="10" t="str">
        <v/>
      </c>
      <c r="G3773" t="e">
        <f t="shared" si="234"/>
        <v>#VALUE!</v>
      </c>
      <c r="H3773" s="13" t="e">
        <f t="shared" si="235"/>
        <v>#VALUE!</v>
      </c>
    </row>
    <row r="3774" spans="2:8">
      <c r="B3774" s="11" t="str">
        <f t="shared" si="233"/>
        <v/>
      </c>
      <c r="C3774" s="11" t="str">
        <f t="shared" si="236"/>
        <v/>
      </c>
      <c r="F3774" s="10" t="str">
        <v/>
      </c>
      <c r="G3774" t="e">
        <f t="shared" si="234"/>
        <v>#VALUE!</v>
      </c>
      <c r="H3774" s="13" t="e">
        <f t="shared" si="235"/>
        <v>#VALUE!</v>
      </c>
    </row>
    <row r="3775" spans="2:8">
      <c r="B3775" s="11" t="str">
        <f t="shared" si="233"/>
        <v/>
      </c>
      <c r="C3775" s="11" t="str">
        <f t="shared" si="236"/>
        <v/>
      </c>
      <c r="F3775" s="10" t="str">
        <v/>
      </c>
      <c r="G3775" t="e">
        <f t="shared" si="234"/>
        <v>#VALUE!</v>
      </c>
      <c r="H3775" s="13" t="e">
        <f t="shared" si="235"/>
        <v>#VALUE!</v>
      </c>
    </row>
    <row r="3776" spans="2:8">
      <c r="B3776" s="11" t="str">
        <f t="shared" si="233"/>
        <v/>
      </c>
      <c r="C3776" s="11" t="str">
        <f t="shared" si="236"/>
        <v/>
      </c>
      <c r="F3776" s="10" t="str">
        <v/>
      </c>
      <c r="G3776" t="e">
        <f t="shared" si="234"/>
        <v>#VALUE!</v>
      </c>
      <c r="H3776" s="13" t="e">
        <f t="shared" si="235"/>
        <v>#VALUE!</v>
      </c>
    </row>
    <row r="3777" spans="2:8">
      <c r="B3777" s="11" t="str">
        <f t="shared" ref="B3777:B3840" si="237">IFERROR(IF(FIND(" ",A3777)=6,IF(IFERROR(FIND(" PB",A3777),"")&lt;&gt;"","артикул",IF(IFERROR(FIND(" CRN",A3777),"")&lt;&gt;"","артикул","")),""),"")</f>
        <v/>
      </c>
      <c r="C3777" s="11" t="str">
        <f t="shared" si="236"/>
        <v/>
      </c>
      <c r="F3777" s="10" t="str">
        <v/>
      </c>
      <c r="G3777" t="e">
        <f t="shared" si="234"/>
        <v>#VALUE!</v>
      </c>
      <c r="H3777" s="13" t="e">
        <f t="shared" si="235"/>
        <v>#VALUE!</v>
      </c>
    </row>
    <row r="3778" spans="2:8">
      <c r="B3778" s="11" t="str">
        <f t="shared" si="237"/>
        <v/>
      </c>
      <c r="C3778" s="11" t="str">
        <f t="shared" si="236"/>
        <v/>
      </c>
      <c r="F3778" s="10" t="str">
        <v/>
      </c>
      <c r="G3778" t="e">
        <f t="shared" ref="G3778:G3841" si="238">CONCATENATE(LEFT(F3778,5),
MID(F3778,
SEARCH("\",SUBSTITUTE(F3778," ","\",LEN(F3778)-LEN(SUBSTITUTE(F3778," ",""))-4)),
SEARCH("\",SUBSTITUTE(F3778," ","\",LEN(F3778)-LEN(SUBSTITUTE(F3778," ",""))-3))-
SEARCH("\",SUBSTITUTE(F3778," ","\",LEN(F3778)-LEN(SUBSTITUTE(F3778," ",""))-4)))*1)</f>
        <v>#VALUE!</v>
      </c>
      <c r="H3778" s="13" t="e">
        <f t="shared" ref="H3778:H3841" si="239">SUBSTITUTE(
RIGHT(F3778,LEN(F3778)-
FIND("\",SUBSTITUTE(F3778," ","\",LEN(F3778)-LEN(SUBSTITUTE(F3778," ",""))))),
".","")</f>
        <v>#VALUE!</v>
      </c>
    </row>
    <row r="3779" spans="2:8">
      <c r="B3779" s="11" t="str">
        <f t="shared" si="237"/>
        <v/>
      </c>
      <c r="C3779" s="11" t="str">
        <f t="shared" si="236"/>
        <v/>
      </c>
      <c r="F3779" s="10" t="str">
        <v/>
      </c>
      <c r="G3779" t="e">
        <f t="shared" si="238"/>
        <v>#VALUE!</v>
      </c>
      <c r="H3779" s="13" t="e">
        <f t="shared" si="239"/>
        <v>#VALUE!</v>
      </c>
    </row>
    <row r="3780" spans="2:8">
      <c r="B3780" s="11" t="str">
        <f t="shared" si="237"/>
        <v/>
      </c>
      <c r="C3780" s="11" t="str">
        <f t="shared" si="236"/>
        <v/>
      </c>
      <c r="F3780" s="10" t="str">
        <v/>
      </c>
      <c r="G3780" t="e">
        <f t="shared" si="238"/>
        <v>#VALUE!</v>
      </c>
      <c r="H3780" s="13" t="e">
        <f t="shared" si="239"/>
        <v>#VALUE!</v>
      </c>
    </row>
    <row r="3781" spans="2:8">
      <c r="B3781" s="11" t="str">
        <f t="shared" si="237"/>
        <v/>
      </c>
      <c r="C3781" s="11" t="str">
        <f t="shared" si="236"/>
        <v/>
      </c>
      <c r="F3781" s="10" t="str">
        <v/>
      </c>
      <c r="G3781" t="e">
        <f t="shared" si="238"/>
        <v>#VALUE!</v>
      </c>
      <c r="H3781" s="13" t="e">
        <f t="shared" si="239"/>
        <v>#VALUE!</v>
      </c>
    </row>
    <row r="3782" spans="2:8">
      <c r="B3782" s="11" t="str">
        <f t="shared" si="237"/>
        <v/>
      </c>
      <c r="C3782" s="11" t="str">
        <f t="shared" si="236"/>
        <v/>
      </c>
      <c r="F3782" s="10" t="str">
        <v/>
      </c>
      <c r="G3782" t="e">
        <f t="shared" si="238"/>
        <v>#VALUE!</v>
      </c>
      <c r="H3782" s="13" t="e">
        <f t="shared" si="239"/>
        <v>#VALUE!</v>
      </c>
    </row>
    <row r="3783" spans="2:8">
      <c r="B3783" s="11" t="str">
        <f t="shared" si="237"/>
        <v/>
      </c>
      <c r="C3783" s="11" t="str">
        <f t="shared" si="236"/>
        <v/>
      </c>
      <c r="F3783" s="10" t="str">
        <v/>
      </c>
      <c r="G3783" t="e">
        <f t="shared" si="238"/>
        <v>#VALUE!</v>
      </c>
      <c r="H3783" s="13" t="e">
        <f t="shared" si="239"/>
        <v>#VALUE!</v>
      </c>
    </row>
    <row r="3784" spans="2:8">
      <c r="B3784" s="11" t="str">
        <f t="shared" si="237"/>
        <v/>
      </c>
      <c r="C3784" s="11" t="str">
        <f t="shared" si="236"/>
        <v/>
      </c>
      <c r="F3784" s="10" t="str">
        <v/>
      </c>
      <c r="G3784" t="e">
        <f t="shared" si="238"/>
        <v>#VALUE!</v>
      </c>
      <c r="H3784" s="13" t="e">
        <f t="shared" si="239"/>
        <v>#VALUE!</v>
      </c>
    </row>
    <row r="3785" spans="2:8">
      <c r="B3785" s="11" t="str">
        <f t="shared" si="237"/>
        <v/>
      </c>
      <c r="C3785" s="11" t="str">
        <f t="shared" si="236"/>
        <v/>
      </c>
      <c r="F3785" s="10" t="str">
        <v/>
      </c>
      <c r="G3785" t="e">
        <f t="shared" si="238"/>
        <v>#VALUE!</v>
      </c>
      <c r="H3785" s="13" t="e">
        <f t="shared" si="239"/>
        <v>#VALUE!</v>
      </c>
    </row>
    <row r="3786" spans="2:8">
      <c r="B3786" s="11" t="str">
        <f t="shared" si="237"/>
        <v/>
      </c>
      <c r="C3786" s="11" t="str">
        <f t="shared" si="236"/>
        <v/>
      </c>
      <c r="F3786" s="10" t="str">
        <v/>
      </c>
      <c r="G3786" t="e">
        <f t="shared" si="238"/>
        <v>#VALUE!</v>
      </c>
      <c r="H3786" s="13" t="e">
        <f t="shared" si="239"/>
        <v>#VALUE!</v>
      </c>
    </row>
    <row r="3787" spans="2:8">
      <c r="B3787" s="11" t="str">
        <f t="shared" si="237"/>
        <v/>
      </c>
      <c r="C3787" s="11" t="str">
        <f t="shared" si="236"/>
        <v/>
      </c>
      <c r="F3787" s="10" t="str">
        <v/>
      </c>
      <c r="G3787" t="e">
        <f t="shared" si="238"/>
        <v>#VALUE!</v>
      </c>
      <c r="H3787" s="13" t="e">
        <f t="shared" si="239"/>
        <v>#VALUE!</v>
      </c>
    </row>
    <row r="3788" spans="2:8">
      <c r="B3788" s="11" t="str">
        <f t="shared" si="237"/>
        <v/>
      </c>
      <c r="C3788" s="11" t="str">
        <f t="shared" si="236"/>
        <v/>
      </c>
      <c r="F3788" s="10" t="str">
        <v/>
      </c>
      <c r="G3788" t="e">
        <f t="shared" si="238"/>
        <v>#VALUE!</v>
      </c>
      <c r="H3788" s="13" t="e">
        <f t="shared" si="239"/>
        <v>#VALUE!</v>
      </c>
    </row>
    <row r="3789" spans="2:8">
      <c r="B3789" s="11" t="str">
        <f t="shared" si="237"/>
        <v/>
      </c>
      <c r="C3789" s="11" t="str">
        <f t="shared" si="236"/>
        <v/>
      </c>
      <c r="F3789" s="10" t="str">
        <v/>
      </c>
      <c r="G3789" t="e">
        <f t="shared" si="238"/>
        <v>#VALUE!</v>
      </c>
      <c r="H3789" s="13" t="e">
        <f t="shared" si="239"/>
        <v>#VALUE!</v>
      </c>
    </row>
    <row r="3790" spans="2:8">
      <c r="B3790" s="11" t="str">
        <f t="shared" si="237"/>
        <v/>
      </c>
      <c r="C3790" s="11" t="str">
        <f t="shared" si="236"/>
        <v/>
      </c>
      <c r="F3790" s="10" t="str">
        <v/>
      </c>
      <c r="G3790" t="e">
        <f t="shared" si="238"/>
        <v>#VALUE!</v>
      </c>
      <c r="H3790" s="13" t="e">
        <f t="shared" si="239"/>
        <v>#VALUE!</v>
      </c>
    </row>
    <row r="3791" spans="2:8">
      <c r="B3791" s="11" t="str">
        <f t="shared" si="237"/>
        <v/>
      </c>
      <c r="C3791" s="11" t="str">
        <f t="shared" si="236"/>
        <v/>
      </c>
      <c r="F3791" s="10" t="str">
        <v/>
      </c>
      <c r="G3791" t="e">
        <f t="shared" si="238"/>
        <v>#VALUE!</v>
      </c>
      <c r="H3791" s="13" t="e">
        <f t="shared" si="239"/>
        <v>#VALUE!</v>
      </c>
    </row>
    <row r="3792" spans="2:8">
      <c r="B3792" s="11" t="str">
        <f t="shared" si="237"/>
        <v/>
      </c>
      <c r="C3792" s="11" t="str">
        <f t="shared" si="236"/>
        <v/>
      </c>
      <c r="F3792" s="10" t="str">
        <v/>
      </c>
      <c r="G3792" t="e">
        <f t="shared" si="238"/>
        <v>#VALUE!</v>
      </c>
      <c r="H3792" s="13" t="e">
        <f t="shared" si="239"/>
        <v>#VALUE!</v>
      </c>
    </row>
    <row r="3793" spans="2:8">
      <c r="B3793" s="11" t="str">
        <f t="shared" si="237"/>
        <v/>
      </c>
      <c r="C3793" s="11" t="str">
        <f t="shared" si="236"/>
        <v/>
      </c>
      <c r="F3793" s="10" t="str">
        <v/>
      </c>
      <c r="G3793" t="e">
        <f t="shared" si="238"/>
        <v>#VALUE!</v>
      </c>
      <c r="H3793" s="13" t="e">
        <f t="shared" si="239"/>
        <v>#VALUE!</v>
      </c>
    </row>
    <row r="3794" spans="2:8">
      <c r="B3794" s="11" t="str">
        <f t="shared" si="237"/>
        <v/>
      </c>
      <c r="C3794" s="11" t="str">
        <f t="shared" si="236"/>
        <v/>
      </c>
      <c r="F3794" s="10" t="str">
        <v/>
      </c>
      <c r="G3794" t="e">
        <f t="shared" si="238"/>
        <v>#VALUE!</v>
      </c>
      <c r="H3794" s="13" t="e">
        <f t="shared" si="239"/>
        <v>#VALUE!</v>
      </c>
    </row>
    <row r="3795" spans="2:8">
      <c r="B3795" s="11" t="str">
        <f t="shared" si="237"/>
        <v/>
      </c>
      <c r="C3795" s="11" t="str">
        <f t="shared" si="236"/>
        <v/>
      </c>
      <c r="F3795" s="10" t="str">
        <v/>
      </c>
      <c r="G3795" t="e">
        <f t="shared" si="238"/>
        <v>#VALUE!</v>
      </c>
      <c r="H3795" s="13" t="e">
        <f t="shared" si="239"/>
        <v>#VALUE!</v>
      </c>
    </row>
    <row r="3796" spans="2:8">
      <c r="B3796" s="11" t="str">
        <f t="shared" si="237"/>
        <v/>
      </c>
      <c r="C3796" s="11" t="str">
        <f t="shared" si="236"/>
        <v/>
      </c>
      <c r="F3796" s="10" t="str">
        <v/>
      </c>
      <c r="G3796" t="e">
        <f t="shared" si="238"/>
        <v>#VALUE!</v>
      </c>
      <c r="H3796" s="13" t="e">
        <f t="shared" si="239"/>
        <v>#VALUE!</v>
      </c>
    </row>
    <row r="3797" spans="2:8">
      <c r="B3797" s="11" t="str">
        <f t="shared" si="237"/>
        <v/>
      </c>
      <c r="C3797" s="11" t="str">
        <f t="shared" si="236"/>
        <v/>
      </c>
      <c r="F3797" s="10" t="str">
        <v/>
      </c>
      <c r="G3797" t="e">
        <f t="shared" si="238"/>
        <v>#VALUE!</v>
      </c>
      <c r="H3797" s="13" t="e">
        <f t="shared" si="239"/>
        <v>#VALUE!</v>
      </c>
    </row>
    <row r="3798" spans="2:8">
      <c r="B3798" s="11" t="str">
        <f t="shared" si="237"/>
        <v/>
      </c>
      <c r="C3798" s="11" t="str">
        <f t="shared" si="236"/>
        <v/>
      </c>
      <c r="F3798" s="10" t="str">
        <v/>
      </c>
      <c r="G3798" t="e">
        <f t="shared" si="238"/>
        <v>#VALUE!</v>
      </c>
      <c r="H3798" s="13" t="e">
        <f t="shared" si="239"/>
        <v>#VALUE!</v>
      </c>
    </row>
    <row r="3799" spans="2:8">
      <c r="B3799" s="11" t="str">
        <f t="shared" si="237"/>
        <v/>
      </c>
      <c r="C3799" s="11" t="str">
        <f t="shared" si="236"/>
        <v/>
      </c>
      <c r="F3799" s="10" t="str">
        <v/>
      </c>
      <c r="G3799" t="e">
        <f t="shared" si="238"/>
        <v>#VALUE!</v>
      </c>
      <c r="H3799" s="13" t="e">
        <f t="shared" si="239"/>
        <v>#VALUE!</v>
      </c>
    </row>
    <row r="3800" spans="2:8">
      <c r="B3800" s="11" t="str">
        <f t="shared" si="237"/>
        <v/>
      </c>
      <c r="C3800" s="11" t="str">
        <f t="shared" si="236"/>
        <v/>
      </c>
      <c r="F3800" s="10" t="str">
        <v/>
      </c>
      <c r="G3800" t="e">
        <f t="shared" si="238"/>
        <v>#VALUE!</v>
      </c>
      <c r="H3800" s="13" t="e">
        <f t="shared" si="239"/>
        <v>#VALUE!</v>
      </c>
    </row>
    <row r="3801" spans="2:8">
      <c r="B3801" s="11" t="str">
        <f t="shared" si="237"/>
        <v/>
      </c>
      <c r="C3801" s="11" t="str">
        <f t="shared" si="236"/>
        <v/>
      </c>
      <c r="F3801" s="10" t="str">
        <v/>
      </c>
      <c r="G3801" t="e">
        <f t="shared" si="238"/>
        <v>#VALUE!</v>
      </c>
      <c r="H3801" s="13" t="e">
        <f t="shared" si="239"/>
        <v>#VALUE!</v>
      </c>
    </row>
    <row r="3802" spans="2:8">
      <c r="B3802" s="11" t="str">
        <f t="shared" si="237"/>
        <v/>
      </c>
      <c r="C3802" s="11" t="str">
        <f t="shared" si="236"/>
        <v/>
      </c>
      <c r="F3802" s="10" t="str">
        <v/>
      </c>
      <c r="G3802" t="e">
        <f t="shared" si="238"/>
        <v>#VALUE!</v>
      </c>
      <c r="H3802" s="13" t="e">
        <f t="shared" si="239"/>
        <v>#VALUE!</v>
      </c>
    </row>
    <row r="3803" spans="2:8">
      <c r="B3803" s="11" t="str">
        <f t="shared" si="237"/>
        <v/>
      </c>
      <c r="C3803" s="11" t="str">
        <f t="shared" si="236"/>
        <v/>
      </c>
      <c r="F3803" s="10" t="str">
        <v/>
      </c>
      <c r="G3803" t="e">
        <f t="shared" si="238"/>
        <v>#VALUE!</v>
      </c>
      <c r="H3803" s="13" t="e">
        <f t="shared" si="239"/>
        <v>#VALUE!</v>
      </c>
    </row>
    <row r="3804" spans="2:8">
      <c r="B3804" s="11" t="str">
        <f t="shared" si="237"/>
        <v/>
      </c>
      <c r="C3804" s="11" t="str">
        <f t="shared" si="236"/>
        <v/>
      </c>
      <c r="F3804" s="10" t="str">
        <v/>
      </c>
      <c r="G3804" t="e">
        <f t="shared" si="238"/>
        <v>#VALUE!</v>
      </c>
      <c r="H3804" s="13" t="e">
        <f t="shared" si="239"/>
        <v>#VALUE!</v>
      </c>
    </row>
    <row r="3805" spans="2:8">
      <c r="B3805" s="11" t="str">
        <f t="shared" si="237"/>
        <v/>
      </c>
      <c r="C3805" s="11" t="str">
        <f t="shared" si="236"/>
        <v/>
      </c>
      <c r="F3805" s="10" t="str">
        <v/>
      </c>
      <c r="G3805" t="e">
        <f t="shared" si="238"/>
        <v>#VALUE!</v>
      </c>
      <c r="H3805" s="13" t="e">
        <f t="shared" si="239"/>
        <v>#VALUE!</v>
      </c>
    </row>
    <row r="3806" spans="2:8">
      <c r="B3806" s="11" t="str">
        <f t="shared" si="237"/>
        <v/>
      </c>
      <c r="C3806" s="11" t="str">
        <f t="shared" si="236"/>
        <v/>
      </c>
      <c r="F3806" s="10" t="str">
        <v/>
      </c>
      <c r="G3806" t="e">
        <f t="shared" si="238"/>
        <v>#VALUE!</v>
      </c>
      <c r="H3806" s="13" t="e">
        <f t="shared" si="239"/>
        <v>#VALUE!</v>
      </c>
    </row>
    <row r="3807" spans="2:8">
      <c r="B3807" s="11" t="str">
        <f t="shared" si="237"/>
        <v/>
      </c>
      <c r="C3807" s="11" t="str">
        <f t="shared" si="236"/>
        <v/>
      </c>
      <c r="F3807" s="10" t="str">
        <v/>
      </c>
      <c r="G3807" t="e">
        <f t="shared" si="238"/>
        <v>#VALUE!</v>
      </c>
      <c r="H3807" s="13" t="e">
        <f t="shared" si="239"/>
        <v>#VALUE!</v>
      </c>
    </row>
    <row r="3808" spans="2:8">
      <c r="B3808" s="11" t="str">
        <f t="shared" si="237"/>
        <v/>
      </c>
      <c r="C3808" s="11" t="str">
        <f t="shared" si="236"/>
        <v/>
      </c>
      <c r="F3808" s="10" t="str">
        <v/>
      </c>
      <c r="G3808" t="e">
        <f t="shared" si="238"/>
        <v>#VALUE!</v>
      </c>
      <c r="H3808" s="13" t="e">
        <f t="shared" si="239"/>
        <v>#VALUE!</v>
      </c>
    </row>
    <row r="3809" spans="2:8">
      <c r="B3809" s="11" t="str">
        <f t="shared" si="237"/>
        <v/>
      </c>
      <c r="C3809" s="11" t="str">
        <f t="shared" si="236"/>
        <v/>
      </c>
      <c r="F3809" s="10" t="str">
        <v/>
      </c>
      <c r="G3809" t="e">
        <f t="shared" si="238"/>
        <v>#VALUE!</v>
      </c>
      <c r="H3809" s="13" t="e">
        <f t="shared" si="239"/>
        <v>#VALUE!</v>
      </c>
    </row>
    <row r="3810" spans="2:8">
      <c r="B3810" s="11" t="str">
        <f t="shared" si="237"/>
        <v/>
      </c>
      <c r="C3810" s="11" t="str">
        <f t="shared" si="236"/>
        <v/>
      </c>
      <c r="F3810" s="10" t="str">
        <v/>
      </c>
      <c r="G3810" t="e">
        <f t="shared" si="238"/>
        <v>#VALUE!</v>
      </c>
      <c r="H3810" s="13" t="e">
        <f t="shared" si="239"/>
        <v>#VALUE!</v>
      </c>
    </row>
    <row r="3811" spans="2:8">
      <c r="B3811" s="11" t="str">
        <f t="shared" si="237"/>
        <v/>
      </c>
      <c r="C3811" s="11" t="str">
        <f t="shared" si="236"/>
        <v/>
      </c>
      <c r="F3811" s="10" t="str">
        <v/>
      </c>
      <c r="G3811" t="e">
        <f t="shared" si="238"/>
        <v>#VALUE!</v>
      </c>
      <c r="H3811" s="13" t="e">
        <f t="shared" si="239"/>
        <v>#VALUE!</v>
      </c>
    </row>
    <row r="3812" spans="2:8">
      <c r="B3812" s="11" t="str">
        <f t="shared" si="237"/>
        <v/>
      </c>
      <c r="C3812" s="11" t="str">
        <f t="shared" si="236"/>
        <v/>
      </c>
      <c r="F3812" s="10" t="str">
        <v/>
      </c>
      <c r="G3812" t="e">
        <f t="shared" si="238"/>
        <v>#VALUE!</v>
      </c>
      <c r="H3812" s="13" t="e">
        <f t="shared" si="239"/>
        <v>#VALUE!</v>
      </c>
    </row>
    <row r="3813" spans="2:8">
      <c r="B3813" s="11" t="str">
        <f t="shared" si="237"/>
        <v/>
      </c>
      <c r="C3813" s="11" t="str">
        <f t="shared" si="236"/>
        <v/>
      </c>
      <c r="F3813" s="10" t="str">
        <v/>
      </c>
      <c r="G3813" t="e">
        <f t="shared" si="238"/>
        <v>#VALUE!</v>
      </c>
      <c r="H3813" s="13" t="e">
        <f t="shared" si="239"/>
        <v>#VALUE!</v>
      </c>
    </row>
    <row r="3814" spans="2:8">
      <c r="B3814" s="11" t="str">
        <f t="shared" si="237"/>
        <v/>
      </c>
      <c r="C3814" s="11" t="str">
        <f t="shared" si="236"/>
        <v/>
      </c>
      <c r="F3814" s="10" t="str">
        <v/>
      </c>
      <c r="G3814" t="e">
        <f t="shared" si="238"/>
        <v>#VALUE!</v>
      </c>
      <c r="H3814" s="13" t="e">
        <f t="shared" si="239"/>
        <v>#VALUE!</v>
      </c>
    </row>
    <row r="3815" spans="2:8">
      <c r="B3815" s="11" t="str">
        <f t="shared" si="237"/>
        <v/>
      </c>
      <c r="C3815" s="11" t="str">
        <f t="shared" si="236"/>
        <v/>
      </c>
      <c r="F3815" s="10" t="str">
        <v/>
      </c>
      <c r="G3815" t="e">
        <f t="shared" si="238"/>
        <v>#VALUE!</v>
      </c>
      <c r="H3815" s="13" t="e">
        <f t="shared" si="239"/>
        <v>#VALUE!</v>
      </c>
    </row>
    <row r="3816" spans="2:8">
      <c r="B3816" s="11" t="str">
        <f t="shared" si="237"/>
        <v/>
      </c>
      <c r="C3816" s="11" t="str">
        <f t="shared" si="236"/>
        <v/>
      </c>
      <c r="F3816" s="10" t="str">
        <v/>
      </c>
      <c r="G3816" t="e">
        <f t="shared" si="238"/>
        <v>#VALUE!</v>
      </c>
      <c r="H3816" s="13" t="e">
        <f t="shared" si="239"/>
        <v>#VALUE!</v>
      </c>
    </row>
    <row r="3817" spans="2:8">
      <c r="B3817" s="11" t="str">
        <f t="shared" si="237"/>
        <v/>
      </c>
      <c r="C3817" s="11" t="str">
        <f t="shared" ref="C3817:C3880" si="240">IF(B3817="артикул",A3817,"")</f>
        <v/>
      </c>
      <c r="F3817" s="10" t="str">
        <v/>
      </c>
      <c r="G3817" t="e">
        <f t="shared" si="238"/>
        <v>#VALUE!</v>
      </c>
      <c r="H3817" s="13" t="e">
        <f t="shared" si="239"/>
        <v>#VALUE!</v>
      </c>
    </row>
    <row r="3818" spans="2:8">
      <c r="B3818" s="11" t="str">
        <f t="shared" si="237"/>
        <v/>
      </c>
      <c r="C3818" s="11" t="str">
        <f t="shared" si="240"/>
        <v/>
      </c>
      <c r="F3818" s="10" t="str">
        <v/>
      </c>
      <c r="G3818" t="e">
        <f t="shared" si="238"/>
        <v>#VALUE!</v>
      </c>
      <c r="H3818" s="13" t="e">
        <f t="shared" si="239"/>
        <v>#VALUE!</v>
      </c>
    </row>
    <row r="3819" spans="2:8">
      <c r="B3819" s="11" t="str">
        <f t="shared" si="237"/>
        <v/>
      </c>
      <c r="C3819" s="11" t="str">
        <f t="shared" si="240"/>
        <v/>
      </c>
      <c r="F3819" s="10" t="str">
        <v/>
      </c>
      <c r="G3819" t="e">
        <f t="shared" si="238"/>
        <v>#VALUE!</v>
      </c>
      <c r="H3819" s="13" t="e">
        <f t="shared" si="239"/>
        <v>#VALUE!</v>
      </c>
    </row>
    <row r="3820" spans="2:8">
      <c r="B3820" s="11" t="str">
        <f t="shared" si="237"/>
        <v/>
      </c>
      <c r="C3820" s="11" t="str">
        <f t="shared" si="240"/>
        <v/>
      </c>
      <c r="F3820" s="10" t="str">
        <v/>
      </c>
      <c r="G3820" t="e">
        <f t="shared" si="238"/>
        <v>#VALUE!</v>
      </c>
      <c r="H3820" s="13" t="e">
        <f t="shared" si="239"/>
        <v>#VALUE!</v>
      </c>
    </row>
    <row r="3821" spans="2:8">
      <c r="B3821" s="11" t="str">
        <f t="shared" si="237"/>
        <v/>
      </c>
      <c r="C3821" s="11" t="str">
        <f t="shared" si="240"/>
        <v/>
      </c>
      <c r="F3821" s="10" t="str">
        <v/>
      </c>
      <c r="G3821" t="e">
        <f t="shared" si="238"/>
        <v>#VALUE!</v>
      </c>
      <c r="H3821" s="13" t="e">
        <f t="shared" si="239"/>
        <v>#VALUE!</v>
      </c>
    </row>
    <row r="3822" spans="2:8">
      <c r="B3822" s="11" t="str">
        <f t="shared" si="237"/>
        <v/>
      </c>
      <c r="C3822" s="11" t="str">
        <f t="shared" si="240"/>
        <v/>
      </c>
      <c r="F3822" s="10" t="str">
        <v/>
      </c>
      <c r="G3822" t="e">
        <f t="shared" si="238"/>
        <v>#VALUE!</v>
      </c>
      <c r="H3822" s="13" t="e">
        <f t="shared" si="239"/>
        <v>#VALUE!</v>
      </c>
    </row>
    <row r="3823" spans="2:8">
      <c r="B3823" s="11" t="str">
        <f t="shared" si="237"/>
        <v/>
      </c>
      <c r="C3823" s="11" t="str">
        <f t="shared" si="240"/>
        <v/>
      </c>
      <c r="F3823" s="10" t="str">
        <v/>
      </c>
      <c r="G3823" t="e">
        <f t="shared" si="238"/>
        <v>#VALUE!</v>
      </c>
      <c r="H3823" s="13" t="e">
        <f t="shared" si="239"/>
        <v>#VALUE!</v>
      </c>
    </row>
    <row r="3824" spans="2:8">
      <c r="B3824" s="11" t="str">
        <f t="shared" si="237"/>
        <v/>
      </c>
      <c r="C3824" s="11" t="str">
        <f t="shared" si="240"/>
        <v/>
      </c>
      <c r="F3824" s="10" t="str">
        <v/>
      </c>
      <c r="G3824" t="e">
        <f t="shared" si="238"/>
        <v>#VALUE!</v>
      </c>
      <c r="H3824" s="13" t="e">
        <f t="shared" si="239"/>
        <v>#VALUE!</v>
      </c>
    </row>
    <row r="3825" spans="2:8">
      <c r="B3825" s="11" t="str">
        <f t="shared" si="237"/>
        <v/>
      </c>
      <c r="C3825" s="11" t="str">
        <f t="shared" si="240"/>
        <v/>
      </c>
      <c r="F3825" s="10" t="str">
        <v/>
      </c>
      <c r="G3825" t="e">
        <f t="shared" si="238"/>
        <v>#VALUE!</v>
      </c>
      <c r="H3825" s="13" t="e">
        <f t="shared" si="239"/>
        <v>#VALUE!</v>
      </c>
    </row>
    <row r="3826" spans="2:8">
      <c r="B3826" s="11" t="str">
        <f t="shared" si="237"/>
        <v/>
      </c>
      <c r="C3826" s="11" t="str">
        <f t="shared" si="240"/>
        <v/>
      </c>
      <c r="F3826" s="10" t="str">
        <v/>
      </c>
      <c r="G3826" t="e">
        <f t="shared" si="238"/>
        <v>#VALUE!</v>
      </c>
      <c r="H3826" s="13" t="e">
        <f t="shared" si="239"/>
        <v>#VALUE!</v>
      </c>
    </row>
    <row r="3827" spans="2:8">
      <c r="B3827" s="11" t="str">
        <f t="shared" si="237"/>
        <v/>
      </c>
      <c r="C3827" s="11" t="str">
        <f t="shared" si="240"/>
        <v/>
      </c>
      <c r="F3827" s="10" t="str">
        <v/>
      </c>
      <c r="G3827" t="e">
        <f t="shared" si="238"/>
        <v>#VALUE!</v>
      </c>
      <c r="H3827" s="13" t="e">
        <f t="shared" si="239"/>
        <v>#VALUE!</v>
      </c>
    </row>
    <row r="3828" spans="2:8">
      <c r="B3828" s="11" t="str">
        <f t="shared" si="237"/>
        <v/>
      </c>
      <c r="C3828" s="11" t="str">
        <f t="shared" si="240"/>
        <v/>
      </c>
      <c r="F3828" s="10" t="str">
        <v/>
      </c>
      <c r="G3828" t="e">
        <f t="shared" si="238"/>
        <v>#VALUE!</v>
      </c>
      <c r="H3828" s="13" t="e">
        <f t="shared" si="239"/>
        <v>#VALUE!</v>
      </c>
    </row>
    <row r="3829" spans="2:8">
      <c r="B3829" s="11" t="str">
        <f t="shared" si="237"/>
        <v/>
      </c>
      <c r="C3829" s="11" t="str">
        <f t="shared" si="240"/>
        <v/>
      </c>
      <c r="F3829" s="10" t="str">
        <v/>
      </c>
      <c r="G3829" t="e">
        <f t="shared" si="238"/>
        <v>#VALUE!</v>
      </c>
      <c r="H3829" s="13" t="e">
        <f t="shared" si="239"/>
        <v>#VALUE!</v>
      </c>
    </row>
    <row r="3830" spans="2:8">
      <c r="B3830" s="11" t="str">
        <f t="shared" si="237"/>
        <v/>
      </c>
      <c r="C3830" s="11" t="str">
        <f t="shared" si="240"/>
        <v/>
      </c>
      <c r="F3830" s="10" t="str">
        <v/>
      </c>
      <c r="G3830" t="e">
        <f t="shared" si="238"/>
        <v>#VALUE!</v>
      </c>
      <c r="H3830" s="13" t="e">
        <f t="shared" si="239"/>
        <v>#VALUE!</v>
      </c>
    </row>
    <row r="3831" spans="2:8">
      <c r="B3831" s="11" t="str">
        <f t="shared" si="237"/>
        <v/>
      </c>
      <c r="C3831" s="11" t="str">
        <f t="shared" si="240"/>
        <v/>
      </c>
      <c r="F3831" s="10" t="str">
        <v/>
      </c>
      <c r="G3831" t="e">
        <f t="shared" si="238"/>
        <v>#VALUE!</v>
      </c>
      <c r="H3831" s="13" t="e">
        <f t="shared" si="239"/>
        <v>#VALUE!</v>
      </c>
    </row>
    <row r="3832" spans="2:8">
      <c r="B3832" s="11" t="str">
        <f t="shared" si="237"/>
        <v/>
      </c>
      <c r="C3832" s="11" t="str">
        <f t="shared" si="240"/>
        <v/>
      </c>
      <c r="F3832" s="10" t="str">
        <v/>
      </c>
      <c r="G3832" t="e">
        <f t="shared" si="238"/>
        <v>#VALUE!</v>
      </c>
      <c r="H3832" s="13" t="e">
        <f t="shared" si="239"/>
        <v>#VALUE!</v>
      </c>
    </row>
    <row r="3833" spans="2:8">
      <c r="B3833" s="11" t="str">
        <f t="shared" si="237"/>
        <v/>
      </c>
      <c r="C3833" s="11" t="str">
        <f t="shared" si="240"/>
        <v/>
      </c>
      <c r="F3833" s="10" t="str">
        <v/>
      </c>
      <c r="G3833" t="e">
        <f t="shared" si="238"/>
        <v>#VALUE!</v>
      </c>
      <c r="H3833" s="13" t="e">
        <f t="shared" si="239"/>
        <v>#VALUE!</v>
      </c>
    </row>
    <row r="3834" spans="2:8">
      <c r="B3834" s="11" t="str">
        <f t="shared" si="237"/>
        <v/>
      </c>
      <c r="C3834" s="11" t="str">
        <f t="shared" si="240"/>
        <v/>
      </c>
      <c r="F3834" s="10" t="str">
        <v/>
      </c>
      <c r="G3834" t="e">
        <f t="shared" si="238"/>
        <v>#VALUE!</v>
      </c>
      <c r="H3834" s="13" t="e">
        <f t="shared" si="239"/>
        <v>#VALUE!</v>
      </c>
    </row>
    <row r="3835" spans="2:8">
      <c r="B3835" s="11" t="str">
        <f t="shared" si="237"/>
        <v/>
      </c>
      <c r="C3835" s="11" t="str">
        <f t="shared" si="240"/>
        <v/>
      </c>
      <c r="F3835" s="10" t="str">
        <v/>
      </c>
      <c r="G3835" t="e">
        <f t="shared" si="238"/>
        <v>#VALUE!</v>
      </c>
      <c r="H3835" s="13" t="e">
        <f t="shared" si="239"/>
        <v>#VALUE!</v>
      </c>
    </row>
    <row r="3836" spans="2:8">
      <c r="B3836" s="11" t="str">
        <f t="shared" si="237"/>
        <v/>
      </c>
      <c r="C3836" s="11" t="str">
        <f t="shared" si="240"/>
        <v/>
      </c>
      <c r="F3836" s="10" t="str">
        <v/>
      </c>
      <c r="G3836" t="e">
        <f t="shared" si="238"/>
        <v>#VALUE!</v>
      </c>
      <c r="H3836" s="13" t="e">
        <f t="shared" si="239"/>
        <v>#VALUE!</v>
      </c>
    </row>
    <row r="3837" spans="2:8">
      <c r="B3837" s="11" t="str">
        <f t="shared" si="237"/>
        <v/>
      </c>
      <c r="C3837" s="11" t="str">
        <f t="shared" si="240"/>
        <v/>
      </c>
      <c r="F3837" s="10" t="str">
        <v/>
      </c>
      <c r="G3837" t="e">
        <f t="shared" si="238"/>
        <v>#VALUE!</v>
      </c>
      <c r="H3837" s="13" t="e">
        <f t="shared" si="239"/>
        <v>#VALUE!</v>
      </c>
    </row>
    <row r="3838" spans="2:8">
      <c r="B3838" s="11" t="str">
        <f t="shared" si="237"/>
        <v/>
      </c>
      <c r="C3838" s="11" t="str">
        <f t="shared" si="240"/>
        <v/>
      </c>
      <c r="F3838" s="10" t="str">
        <v/>
      </c>
      <c r="G3838" t="e">
        <f t="shared" si="238"/>
        <v>#VALUE!</v>
      </c>
      <c r="H3838" s="13" t="e">
        <f t="shared" si="239"/>
        <v>#VALUE!</v>
      </c>
    </row>
    <row r="3839" spans="2:8">
      <c r="B3839" s="11" t="str">
        <f t="shared" si="237"/>
        <v/>
      </c>
      <c r="C3839" s="11" t="str">
        <f t="shared" si="240"/>
        <v/>
      </c>
      <c r="F3839" s="10" t="str">
        <v/>
      </c>
      <c r="G3839" t="e">
        <f t="shared" si="238"/>
        <v>#VALUE!</v>
      </c>
      <c r="H3839" s="13" t="e">
        <f t="shared" si="239"/>
        <v>#VALUE!</v>
      </c>
    </row>
    <row r="3840" spans="2:8">
      <c r="B3840" s="11" t="str">
        <f t="shared" si="237"/>
        <v/>
      </c>
      <c r="C3840" s="11" t="str">
        <f t="shared" si="240"/>
        <v/>
      </c>
      <c r="F3840" s="10" t="str">
        <v/>
      </c>
      <c r="G3840" t="e">
        <f t="shared" si="238"/>
        <v>#VALUE!</v>
      </c>
      <c r="H3840" s="13" t="e">
        <f t="shared" si="239"/>
        <v>#VALUE!</v>
      </c>
    </row>
    <row r="3841" spans="2:8">
      <c r="B3841" s="11" t="str">
        <f t="shared" ref="B3841:B3904" si="241">IFERROR(IF(FIND(" ",A3841)=6,IF(IFERROR(FIND(" PB",A3841),"")&lt;&gt;"","артикул",IF(IFERROR(FIND(" CRN",A3841),"")&lt;&gt;"","артикул","")),""),"")</f>
        <v/>
      </c>
      <c r="C3841" s="11" t="str">
        <f t="shared" si="240"/>
        <v/>
      </c>
      <c r="F3841" s="10" t="str">
        <v/>
      </c>
      <c r="G3841" t="e">
        <f t="shared" si="238"/>
        <v>#VALUE!</v>
      </c>
      <c r="H3841" s="13" t="e">
        <f t="shared" si="239"/>
        <v>#VALUE!</v>
      </c>
    </row>
    <row r="3842" spans="2:8">
      <c r="B3842" s="11" t="str">
        <f t="shared" si="241"/>
        <v/>
      </c>
      <c r="C3842" s="11" t="str">
        <f t="shared" si="240"/>
        <v/>
      </c>
      <c r="F3842" s="10" t="str">
        <v/>
      </c>
      <c r="G3842" t="e">
        <f t="shared" ref="G3842:G3905" si="242">CONCATENATE(LEFT(F3842,5),
MID(F3842,
SEARCH("\",SUBSTITUTE(F3842," ","\",LEN(F3842)-LEN(SUBSTITUTE(F3842," ",""))-4)),
SEARCH("\",SUBSTITUTE(F3842," ","\",LEN(F3842)-LEN(SUBSTITUTE(F3842," ",""))-3))-
SEARCH("\",SUBSTITUTE(F3842," ","\",LEN(F3842)-LEN(SUBSTITUTE(F3842," ",""))-4)))*1)</f>
        <v>#VALUE!</v>
      </c>
      <c r="H3842" s="13" t="e">
        <f t="shared" ref="H3842:H3905" si="243">SUBSTITUTE(
RIGHT(F3842,LEN(F3842)-
FIND("\",SUBSTITUTE(F3842," ","\",LEN(F3842)-LEN(SUBSTITUTE(F3842," ",""))))),
".","")</f>
        <v>#VALUE!</v>
      </c>
    </row>
    <row r="3843" spans="2:8">
      <c r="B3843" s="11" t="str">
        <f t="shared" si="241"/>
        <v/>
      </c>
      <c r="C3843" s="11" t="str">
        <f t="shared" si="240"/>
        <v/>
      </c>
      <c r="F3843" s="10" t="str">
        <v/>
      </c>
      <c r="G3843" t="e">
        <f t="shared" si="242"/>
        <v>#VALUE!</v>
      </c>
      <c r="H3843" s="13" t="e">
        <f t="shared" si="243"/>
        <v>#VALUE!</v>
      </c>
    </row>
    <row r="3844" spans="2:8">
      <c r="B3844" s="11" t="str">
        <f t="shared" si="241"/>
        <v/>
      </c>
      <c r="C3844" s="11" t="str">
        <f t="shared" si="240"/>
        <v/>
      </c>
      <c r="F3844" s="10" t="str">
        <v/>
      </c>
      <c r="G3844" t="e">
        <f t="shared" si="242"/>
        <v>#VALUE!</v>
      </c>
      <c r="H3844" s="13" t="e">
        <f t="shared" si="243"/>
        <v>#VALUE!</v>
      </c>
    </row>
    <row r="3845" spans="2:8">
      <c r="B3845" s="11" t="str">
        <f t="shared" si="241"/>
        <v/>
      </c>
      <c r="C3845" s="11" t="str">
        <f t="shared" si="240"/>
        <v/>
      </c>
      <c r="F3845" s="10" t="str">
        <v/>
      </c>
      <c r="G3845" t="e">
        <f t="shared" si="242"/>
        <v>#VALUE!</v>
      </c>
      <c r="H3845" s="13" t="e">
        <f t="shared" si="243"/>
        <v>#VALUE!</v>
      </c>
    </row>
    <row r="3846" spans="2:8">
      <c r="B3846" s="11" t="str">
        <f t="shared" si="241"/>
        <v/>
      </c>
      <c r="C3846" s="11" t="str">
        <f t="shared" si="240"/>
        <v/>
      </c>
      <c r="F3846" s="10" t="str">
        <v/>
      </c>
      <c r="G3846" t="e">
        <f t="shared" si="242"/>
        <v>#VALUE!</v>
      </c>
      <c r="H3846" s="13" t="e">
        <f t="shared" si="243"/>
        <v>#VALUE!</v>
      </c>
    </row>
    <row r="3847" spans="2:8">
      <c r="B3847" s="11" t="str">
        <f t="shared" si="241"/>
        <v/>
      </c>
      <c r="C3847" s="11" t="str">
        <f t="shared" si="240"/>
        <v/>
      </c>
      <c r="F3847" s="10" t="str">
        <v/>
      </c>
      <c r="G3847" t="e">
        <f t="shared" si="242"/>
        <v>#VALUE!</v>
      </c>
      <c r="H3847" s="13" t="e">
        <f t="shared" si="243"/>
        <v>#VALUE!</v>
      </c>
    </row>
    <row r="3848" spans="2:8">
      <c r="B3848" s="11" t="str">
        <f t="shared" si="241"/>
        <v/>
      </c>
      <c r="C3848" s="11" t="str">
        <f t="shared" si="240"/>
        <v/>
      </c>
      <c r="F3848" s="10" t="str">
        <v/>
      </c>
      <c r="G3848" t="e">
        <f t="shared" si="242"/>
        <v>#VALUE!</v>
      </c>
      <c r="H3848" s="13" t="e">
        <f t="shared" si="243"/>
        <v>#VALUE!</v>
      </c>
    </row>
    <row r="3849" spans="2:8">
      <c r="B3849" s="11" t="str">
        <f t="shared" si="241"/>
        <v/>
      </c>
      <c r="C3849" s="11" t="str">
        <f t="shared" si="240"/>
        <v/>
      </c>
      <c r="F3849" s="10" t="str">
        <v/>
      </c>
      <c r="G3849" t="e">
        <f t="shared" si="242"/>
        <v>#VALUE!</v>
      </c>
      <c r="H3849" s="13" t="e">
        <f t="shared" si="243"/>
        <v>#VALUE!</v>
      </c>
    </row>
    <row r="3850" spans="2:8">
      <c r="B3850" s="11" t="str">
        <f t="shared" si="241"/>
        <v/>
      </c>
      <c r="C3850" s="11" t="str">
        <f t="shared" si="240"/>
        <v/>
      </c>
      <c r="F3850" s="10" t="str">
        <v/>
      </c>
      <c r="G3850" t="e">
        <f t="shared" si="242"/>
        <v>#VALUE!</v>
      </c>
      <c r="H3850" s="13" t="e">
        <f t="shared" si="243"/>
        <v>#VALUE!</v>
      </c>
    </row>
    <row r="3851" spans="2:8">
      <c r="B3851" s="11" t="str">
        <f t="shared" si="241"/>
        <v/>
      </c>
      <c r="C3851" s="11" t="str">
        <f t="shared" si="240"/>
        <v/>
      </c>
      <c r="F3851" s="10" t="str">
        <v/>
      </c>
      <c r="G3851" t="e">
        <f t="shared" si="242"/>
        <v>#VALUE!</v>
      </c>
      <c r="H3851" s="13" t="e">
        <f t="shared" si="243"/>
        <v>#VALUE!</v>
      </c>
    </row>
    <row r="3852" spans="2:8">
      <c r="B3852" s="11" t="str">
        <f t="shared" si="241"/>
        <v/>
      </c>
      <c r="C3852" s="11" t="str">
        <f t="shared" si="240"/>
        <v/>
      </c>
      <c r="F3852" s="10" t="str">
        <v/>
      </c>
      <c r="G3852" t="e">
        <f t="shared" si="242"/>
        <v>#VALUE!</v>
      </c>
      <c r="H3852" s="13" t="e">
        <f t="shared" si="243"/>
        <v>#VALUE!</v>
      </c>
    </row>
    <row r="3853" spans="2:8">
      <c r="B3853" s="11" t="str">
        <f t="shared" si="241"/>
        <v/>
      </c>
      <c r="C3853" s="11" t="str">
        <f t="shared" si="240"/>
        <v/>
      </c>
      <c r="F3853" s="10" t="str">
        <v/>
      </c>
      <c r="G3853" t="e">
        <f t="shared" si="242"/>
        <v>#VALUE!</v>
      </c>
      <c r="H3853" s="13" t="e">
        <f t="shared" si="243"/>
        <v>#VALUE!</v>
      </c>
    </row>
    <row r="3854" spans="2:8">
      <c r="B3854" s="11" t="str">
        <f t="shared" si="241"/>
        <v/>
      </c>
      <c r="C3854" s="11" t="str">
        <f t="shared" si="240"/>
        <v/>
      </c>
      <c r="F3854" s="10" t="str">
        <v/>
      </c>
      <c r="G3854" t="e">
        <f t="shared" si="242"/>
        <v>#VALUE!</v>
      </c>
      <c r="H3854" s="13" t="e">
        <f t="shared" si="243"/>
        <v>#VALUE!</v>
      </c>
    </row>
    <row r="3855" spans="2:8">
      <c r="B3855" s="11" t="str">
        <f t="shared" si="241"/>
        <v/>
      </c>
      <c r="C3855" s="11" t="str">
        <f t="shared" si="240"/>
        <v/>
      </c>
      <c r="F3855" s="10" t="str">
        <v/>
      </c>
      <c r="G3855" t="e">
        <f t="shared" si="242"/>
        <v>#VALUE!</v>
      </c>
      <c r="H3855" s="13" t="e">
        <f t="shared" si="243"/>
        <v>#VALUE!</v>
      </c>
    </row>
    <row r="3856" spans="2:8">
      <c r="B3856" s="11" t="str">
        <f t="shared" si="241"/>
        <v/>
      </c>
      <c r="C3856" s="11" t="str">
        <f t="shared" si="240"/>
        <v/>
      </c>
      <c r="F3856" s="10" t="str">
        <v/>
      </c>
      <c r="G3856" t="e">
        <f t="shared" si="242"/>
        <v>#VALUE!</v>
      </c>
      <c r="H3856" s="13" t="e">
        <f t="shared" si="243"/>
        <v>#VALUE!</v>
      </c>
    </row>
    <row r="3857" spans="2:8">
      <c r="B3857" s="11" t="str">
        <f t="shared" si="241"/>
        <v/>
      </c>
      <c r="C3857" s="11" t="str">
        <f t="shared" si="240"/>
        <v/>
      </c>
      <c r="F3857" s="10" t="str">
        <v/>
      </c>
      <c r="G3857" t="e">
        <f t="shared" si="242"/>
        <v>#VALUE!</v>
      </c>
      <c r="H3857" s="13" t="e">
        <f t="shared" si="243"/>
        <v>#VALUE!</v>
      </c>
    </row>
    <row r="3858" spans="2:8">
      <c r="B3858" s="11" t="str">
        <f t="shared" si="241"/>
        <v/>
      </c>
      <c r="C3858" s="11" t="str">
        <f t="shared" si="240"/>
        <v/>
      </c>
      <c r="F3858" s="10" t="str">
        <v/>
      </c>
      <c r="G3858" t="e">
        <f t="shared" si="242"/>
        <v>#VALUE!</v>
      </c>
      <c r="H3858" s="13" t="e">
        <f t="shared" si="243"/>
        <v>#VALUE!</v>
      </c>
    </row>
    <row r="3859" spans="2:8">
      <c r="B3859" s="11" t="str">
        <f t="shared" si="241"/>
        <v/>
      </c>
      <c r="C3859" s="11" t="str">
        <f t="shared" si="240"/>
        <v/>
      </c>
      <c r="F3859" s="10" t="str">
        <v/>
      </c>
      <c r="G3859" t="e">
        <f t="shared" si="242"/>
        <v>#VALUE!</v>
      </c>
      <c r="H3859" s="13" t="e">
        <f t="shared" si="243"/>
        <v>#VALUE!</v>
      </c>
    </row>
    <row r="3860" spans="2:8">
      <c r="B3860" s="11" t="str">
        <f t="shared" si="241"/>
        <v/>
      </c>
      <c r="C3860" s="11" t="str">
        <f t="shared" si="240"/>
        <v/>
      </c>
      <c r="F3860" s="10" t="str">
        <v/>
      </c>
      <c r="G3860" t="e">
        <f t="shared" si="242"/>
        <v>#VALUE!</v>
      </c>
      <c r="H3860" s="13" t="e">
        <f t="shared" si="243"/>
        <v>#VALUE!</v>
      </c>
    </row>
    <row r="3861" spans="2:8">
      <c r="B3861" s="11" t="str">
        <f t="shared" si="241"/>
        <v/>
      </c>
      <c r="C3861" s="11" t="str">
        <f t="shared" si="240"/>
        <v/>
      </c>
      <c r="F3861" s="10" t="str">
        <v/>
      </c>
      <c r="G3861" t="e">
        <f t="shared" si="242"/>
        <v>#VALUE!</v>
      </c>
      <c r="H3861" s="13" t="e">
        <f t="shared" si="243"/>
        <v>#VALUE!</v>
      </c>
    </row>
    <row r="3862" spans="2:8">
      <c r="B3862" s="11" t="str">
        <f t="shared" si="241"/>
        <v/>
      </c>
      <c r="C3862" s="11" t="str">
        <f t="shared" si="240"/>
        <v/>
      </c>
      <c r="F3862" s="10" t="str">
        <v/>
      </c>
      <c r="G3862" t="e">
        <f t="shared" si="242"/>
        <v>#VALUE!</v>
      </c>
      <c r="H3862" s="13" t="e">
        <f t="shared" si="243"/>
        <v>#VALUE!</v>
      </c>
    </row>
    <row r="3863" spans="2:8">
      <c r="B3863" s="11" t="str">
        <f t="shared" si="241"/>
        <v/>
      </c>
      <c r="C3863" s="11" t="str">
        <f t="shared" si="240"/>
        <v/>
      </c>
      <c r="F3863" s="10" t="str">
        <v/>
      </c>
      <c r="G3863" t="e">
        <f t="shared" si="242"/>
        <v>#VALUE!</v>
      </c>
      <c r="H3863" s="13" t="e">
        <f t="shared" si="243"/>
        <v>#VALUE!</v>
      </c>
    </row>
    <row r="3864" spans="2:8">
      <c r="B3864" s="11" t="str">
        <f t="shared" si="241"/>
        <v/>
      </c>
      <c r="C3864" s="11" t="str">
        <f t="shared" si="240"/>
        <v/>
      </c>
      <c r="F3864" s="10" t="str">
        <v/>
      </c>
      <c r="G3864" t="e">
        <f t="shared" si="242"/>
        <v>#VALUE!</v>
      </c>
      <c r="H3864" s="13" t="e">
        <f t="shared" si="243"/>
        <v>#VALUE!</v>
      </c>
    </row>
    <row r="3865" spans="2:8">
      <c r="B3865" s="11" t="str">
        <f t="shared" si="241"/>
        <v/>
      </c>
      <c r="C3865" s="11" t="str">
        <f t="shared" si="240"/>
        <v/>
      </c>
      <c r="F3865" s="10" t="str">
        <v/>
      </c>
      <c r="G3865" t="e">
        <f t="shared" si="242"/>
        <v>#VALUE!</v>
      </c>
      <c r="H3865" s="13" t="e">
        <f t="shared" si="243"/>
        <v>#VALUE!</v>
      </c>
    </row>
    <row r="3866" spans="2:8">
      <c r="B3866" s="11" t="str">
        <f t="shared" si="241"/>
        <v/>
      </c>
      <c r="C3866" s="11" t="str">
        <f t="shared" si="240"/>
        <v/>
      </c>
      <c r="F3866" s="10" t="str">
        <v/>
      </c>
      <c r="G3866" t="e">
        <f t="shared" si="242"/>
        <v>#VALUE!</v>
      </c>
      <c r="H3866" s="13" t="e">
        <f t="shared" si="243"/>
        <v>#VALUE!</v>
      </c>
    </row>
    <row r="3867" spans="2:8">
      <c r="B3867" s="11" t="str">
        <f t="shared" si="241"/>
        <v/>
      </c>
      <c r="C3867" s="11" t="str">
        <f t="shared" si="240"/>
        <v/>
      </c>
      <c r="F3867" s="10" t="str">
        <v/>
      </c>
      <c r="G3867" t="e">
        <f t="shared" si="242"/>
        <v>#VALUE!</v>
      </c>
      <c r="H3867" s="13" t="e">
        <f t="shared" si="243"/>
        <v>#VALUE!</v>
      </c>
    </row>
    <row r="3868" spans="2:8">
      <c r="B3868" s="11" t="str">
        <f t="shared" si="241"/>
        <v/>
      </c>
      <c r="C3868" s="11" t="str">
        <f t="shared" si="240"/>
        <v/>
      </c>
      <c r="F3868" s="10" t="str">
        <v/>
      </c>
      <c r="G3868" t="e">
        <f t="shared" si="242"/>
        <v>#VALUE!</v>
      </c>
      <c r="H3868" s="13" t="e">
        <f t="shared" si="243"/>
        <v>#VALUE!</v>
      </c>
    </row>
    <row r="3869" spans="2:8">
      <c r="B3869" s="11" t="str">
        <f t="shared" si="241"/>
        <v/>
      </c>
      <c r="C3869" s="11" t="str">
        <f t="shared" si="240"/>
        <v/>
      </c>
      <c r="F3869" s="10" t="str">
        <v/>
      </c>
      <c r="G3869" t="e">
        <f t="shared" si="242"/>
        <v>#VALUE!</v>
      </c>
      <c r="H3869" s="13" t="e">
        <f t="shared" si="243"/>
        <v>#VALUE!</v>
      </c>
    </row>
    <row r="3870" spans="2:8">
      <c r="B3870" s="11" t="str">
        <f t="shared" si="241"/>
        <v/>
      </c>
      <c r="C3870" s="11" t="str">
        <f t="shared" si="240"/>
        <v/>
      </c>
      <c r="F3870" s="10" t="str">
        <v/>
      </c>
      <c r="G3870" t="e">
        <f t="shared" si="242"/>
        <v>#VALUE!</v>
      </c>
      <c r="H3870" s="13" t="e">
        <f t="shared" si="243"/>
        <v>#VALUE!</v>
      </c>
    </row>
    <row r="3871" spans="2:8">
      <c r="B3871" s="11" t="str">
        <f t="shared" si="241"/>
        <v/>
      </c>
      <c r="C3871" s="11" t="str">
        <f t="shared" si="240"/>
        <v/>
      </c>
      <c r="F3871" s="10" t="str">
        <v/>
      </c>
      <c r="G3871" t="e">
        <f t="shared" si="242"/>
        <v>#VALUE!</v>
      </c>
      <c r="H3871" s="13" t="e">
        <f t="shared" si="243"/>
        <v>#VALUE!</v>
      </c>
    </row>
    <row r="3872" spans="2:8">
      <c r="B3872" s="11" t="str">
        <f t="shared" si="241"/>
        <v/>
      </c>
      <c r="C3872" s="11" t="str">
        <f t="shared" si="240"/>
        <v/>
      </c>
      <c r="F3872" s="10" t="str">
        <v/>
      </c>
      <c r="G3872" t="e">
        <f t="shared" si="242"/>
        <v>#VALUE!</v>
      </c>
      <c r="H3872" s="13" t="e">
        <f t="shared" si="243"/>
        <v>#VALUE!</v>
      </c>
    </row>
    <row r="3873" spans="2:8">
      <c r="B3873" s="11" t="str">
        <f t="shared" si="241"/>
        <v/>
      </c>
      <c r="C3873" s="11" t="str">
        <f t="shared" si="240"/>
        <v/>
      </c>
      <c r="F3873" s="10" t="str">
        <v/>
      </c>
      <c r="G3873" t="e">
        <f t="shared" si="242"/>
        <v>#VALUE!</v>
      </c>
      <c r="H3873" s="13" t="e">
        <f t="shared" si="243"/>
        <v>#VALUE!</v>
      </c>
    </row>
    <row r="3874" spans="2:8">
      <c r="B3874" s="11" t="str">
        <f t="shared" si="241"/>
        <v/>
      </c>
      <c r="C3874" s="11" t="str">
        <f t="shared" si="240"/>
        <v/>
      </c>
      <c r="F3874" s="10" t="str">
        <v/>
      </c>
      <c r="G3874" t="e">
        <f t="shared" si="242"/>
        <v>#VALUE!</v>
      </c>
      <c r="H3874" s="13" t="e">
        <f t="shared" si="243"/>
        <v>#VALUE!</v>
      </c>
    </row>
    <row r="3875" spans="2:8">
      <c r="B3875" s="11" t="str">
        <f t="shared" si="241"/>
        <v/>
      </c>
      <c r="C3875" s="11" t="str">
        <f t="shared" si="240"/>
        <v/>
      </c>
      <c r="F3875" s="10" t="str">
        <v/>
      </c>
      <c r="G3875" t="e">
        <f t="shared" si="242"/>
        <v>#VALUE!</v>
      </c>
      <c r="H3875" s="13" t="e">
        <f t="shared" si="243"/>
        <v>#VALUE!</v>
      </c>
    </row>
    <row r="3876" spans="2:8">
      <c r="B3876" s="11" t="str">
        <f t="shared" si="241"/>
        <v/>
      </c>
      <c r="C3876" s="11" t="str">
        <f t="shared" si="240"/>
        <v/>
      </c>
      <c r="F3876" s="10" t="str">
        <v/>
      </c>
      <c r="G3876" t="e">
        <f t="shared" si="242"/>
        <v>#VALUE!</v>
      </c>
      <c r="H3876" s="13" t="e">
        <f t="shared" si="243"/>
        <v>#VALUE!</v>
      </c>
    </row>
    <row r="3877" spans="2:8">
      <c r="B3877" s="11" t="str">
        <f t="shared" si="241"/>
        <v/>
      </c>
      <c r="C3877" s="11" t="str">
        <f t="shared" si="240"/>
        <v/>
      </c>
      <c r="F3877" s="10" t="str">
        <v/>
      </c>
      <c r="G3877" t="e">
        <f t="shared" si="242"/>
        <v>#VALUE!</v>
      </c>
      <c r="H3877" s="13" t="e">
        <f t="shared" si="243"/>
        <v>#VALUE!</v>
      </c>
    </row>
    <row r="3878" spans="2:8">
      <c r="B3878" s="11" t="str">
        <f t="shared" si="241"/>
        <v/>
      </c>
      <c r="C3878" s="11" t="str">
        <f t="shared" si="240"/>
        <v/>
      </c>
      <c r="F3878" s="10" t="str">
        <v/>
      </c>
      <c r="G3878" t="e">
        <f t="shared" si="242"/>
        <v>#VALUE!</v>
      </c>
      <c r="H3878" s="13" t="e">
        <f t="shared" si="243"/>
        <v>#VALUE!</v>
      </c>
    </row>
    <row r="3879" spans="2:8">
      <c r="B3879" s="11" t="str">
        <f t="shared" si="241"/>
        <v/>
      </c>
      <c r="C3879" s="11" t="str">
        <f t="shared" si="240"/>
        <v/>
      </c>
      <c r="F3879" s="10" t="str">
        <v/>
      </c>
      <c r="G3879" t="e">
        <f t="shared" si="242"/>
        <v>#VALUE!</v>
      </c>
      <c r="H3879" s="13" t="e">
        <f t="shared" si="243"/>
        <v>#VALUE!</v>
      </c>
    </row>
    <row r="3880" spans="2:8">
      <c r="B3880" s="11" t="str">
        <f t="shared" si="241"/>
        <v/>
      </c>
      <c r="C3880" s="11" t="str">
        <f t="shared" si="240"/>
        <v/>
      </c>
      <c r="F3880" s="10" t="str">
        <v/>
      </c>
      <c r="G3880" t="e">
        <f t="shared" si="242"/>
        <v>#VALUE!</v>
      </c>
      <c r="H3880" s="13" t="e">
        <f t="shared" si="243"/>
        <v>#VALUE!</v>
      </c>
    </row>
    <row r="3881" spans="2:8">
      <c r="B3881" s="11" t="str">
        <f t="shared" si="241"/>
        <v/>
      </c>
      <c r="C3881" s="11" t="str">
        <f t="shared" ref="C3881:C3944" si="244">IF(B3881="артикул",A3881,"")</f>
        <v/>
      </c>
      <c r="F3881" s="10" t="str">
        <v/>
      </c>
      <c r="G3881" t="e">
        <f t="shared" si="242"/>
        <v>#VALUE!</v>
      </c>
      <c r="H3881" s="13" t="e">
        <f t="shared" si="243"/>
        <v>#VALUE!</v>
      </c>
    </row>
    <row r="3882" spans="2:8">
      <c r="B3882" s="11" t="str">
        <f t="shared" si="241"/>
        <v/>
      </c>
      <c r="C3882" s="11" t="str">
        <f t="shared" si="244"/>
        <v/>
      </c>
      <c r="F3882" s="10" t="str">
        <v/>
      </c>
      <c r="G3882" t="e">
        <f t="shared" si="242"/>
        <v>#VALUE!</v>
      </c>
      <c r="H3882" s="13" t="e">
        <f t="shared" si="243"/>
        <v>#VALUE!</v>
      </c>
    </row>
    <row r="3883" spans="2:8">
      <c r="B3883" s="11" t="str">
        <f t="shared" si="241"/>
        <v/>
      </c>
      <c r="C3883" s="11" t="str">
        <f t="shared" si="244"/>
        <v/>
      </c>
      <c r="F3883" s="10" t="str">
        <v/>
      </c>
      <c r="G3883" t="e">
        <f t="shared" si="242"/>
        <v>#VALUE!</v>
      </c>
      <c r="H3883" s="13" t="e">
        <f t="shared" si="243"/>
        <v>#VALUE!</v>
      </c>
    </row>
    <row r="3884" spans="2:8">
      <c r="B3884" s="11" t="str">
        <f t="shared" si="241"/>
        <v/>
      </c>
      <c r="C3884" s="11" t="str">
        <f t="shared" si="244"/>
        <v/>
      </c>
      <c r="F3884" s="10" t="str">
        <v/>
      </c>
      <c r="G3884" t="e">
        <f t="shared" si="242"/>
        <v>#VALUE!</v>
      </c>
      <c r="H3884" s="13" t="e">
        <f t="shared" si="243"/>
        <v>#VALUE!</v>
      </c>
    </row>
    <row r="3885" spans="2:8">
      <c r="B3885" s="11" t="str">
        <f t="shared" si="241"/>
        <v/>
      </c>
      <c r="C3885" s="11" t="str">
        <f t="shared" si="244"/>
        <v/>
      </c>
      <c r="F3885" s="10" t="str">
        <v/>
      </c>
      <c r="G3885" t="e">
        <f t="shared" si="242"/>
        <v>#VALUE!</v>
      </c>
      <c r="H3885" s="13" t="e">
        <f t="shared" si="243"/>
        <v>#VALUE!</v>
      </c>
    </row>
    <row r="3886" spans="2:8">
      <c r="B3886" s="11" t="str">
        <f t="shared" si="241"/>
        <v/>
      </c>
      <c r="C3886" s="11" t="str">
        <f t="shared" si="244"/>
        <v/>
      </c>
      <c r="F3886" s="10" t="str">
        <v/>
      </c>
      <c r="G3886" t="e">
        <f t="shared" si="242"/>
        <v>#VALUE!</v>
      </c>
      <c r="H3886" s="13" t="e">
        <f t="shared" si="243"/>
        <v>#VALUE!</v>
      </c>
    </row>
    <row r="3887" spans="2:8">
      <c r="B3887" s="11" t="str">
        <f t="shared" si="241"/>
        <v/>
      </c>
      <c r="C3887" s="11" t="str">
        <f t="shared" si="244"/>
        <v/>
      </c>
      <c r="F3887" s="10" t="str">
        <v/>
      </c>
      <c r="G3887" t="e">
        <f t="shared" si="242"/>
        <v>#VALUE!</v>
      </c>
      <c r="H3887" s="13" t="e">
        <f t="shared" si="243"/>
        <v>#VALUE!</v>
      </c>
    </row>
    <row r="3888" spans="2:8">
      <c r="B3888" s="11" t="str">
        <f t="shared" si="241"/>
        <v/>
      </c>
      <c r="C3888" s="11" t="str">
        <f t="shared" si="244"/>
        <v/>
      </c>
      <c r="F3888" s="10" t="str">
        <v/>
      </c>
      <c r="G3888" t="e">
        <f t="shared" si="242"/>
        <v>#VALUE!</v>
      </c>
      <c r="H3888" s="13" t="e">
        <f t="shared" si="243"/>
        <v>#VALUE!</v>
      </c>
    </row>
    <row r="3889" spans="2:8">
      <c r="B3889" s="11" t="str">
        <f t="shared" si="241"/>
        <v/>
      </c>
      <c r="C3889" s="11" t="str">
        <f t="shared" si="244"/>
        <v/>
      </c>
      <c r="F3889" s="10" t="str">
        <v/>
      </c>
      <c r="G3889" t="e">
        <f t="shared" si="242"/>
        <v>#VALUE!</v>
      </c>
      <c r="H3889" s="13" t="e">
        <f t="shared" si="243"/>
        <v>#VALUE!</v>
      </c>
    </row>
    <row r="3890" spans="2:8">
      <c r="B3890" s="11" t="str">
        <f t="shared" si="241"/>
        <v/>
      </c>
      <c r="C3890" s="11" t="str">
        <f t="shared" si="244"/>
        <v/>
      </c>
      <c r="F3890" s="10" t="str">
        <v/>
      </c>
      <c r="G3890" t="e">
        <f t="shared" si="242"/>
        <v>#VALUE!</v>
      </c>
      <c r="H3890" s="13" t="e">
        <f t="shared" si="243"/>
        <v>#VALUE!</v>
      </c>
    </row>
    <row r="3891" spans="2:8">
      <c r="B3891" s="11" t="str">
        <f t="shared" si="241"/>
        <v/>
      </c>
      <c r="C3891" s="11" t="str">
        <f t="shared" si="244"/>
        <v/>
      </c>
      <c r="F3891" s="10" t="str">
        <v/>
      </c>
      <c r="G3891" t="e">
        <f t="shared" si="242"/>
        <v>#VALUE!</v>
      </c>
      <c r="H3891" s="13" t="e">
        <f t="shared" si="243"/>
        <v>#VALUE!</v>
      </c>
    </row>
    <row r="3892" spans="2:8">
      <c r="B3892" s="11" t="str">
        <f t="shared" si="241"/>
        <v/>
      </c>
      <c r="C3892" s="11" t="str">
        <f t="shared" si="244"/>
        <v/>
      </c>
      <c r="F3892" s="10" t="str">
        <v/>
      </c>
      <c r="G3892" t="e">
        <f t="shared" si="242"/>
        <v>#VALUE!</v>
      </c>
      <c r="H3892" s="13" t="e">
        <f t="shared" si="243"/>
        <v>#VALUE!</v>
      </c>
    </row>
    <row r="3893" spans="2:8">
      <c r="B3893" s="11" t="str">
        <f t="shared" si="241"/>
        <v/>
      </c>
      <c r="C3893" s="11" t="str">
        <f t="shared" si="244"/>
        <v/>
      </c>
      <c r="F3893" s="10" t="str">
        <v/>
      </c>
      <c r="G3893" t="e">
        <f t="shared" si="242"/>
        <v>#VALUE!</v>
      </c>
      <c r="H3893" s="13" t="e">
        <f t="shared" si="243"/>
        <v>#VALUE!</v>
      </c>
    </row>
    <row r="3894" spans="2:8">
      <c r="B3894" s="11" t="str">
        <f t="shared" si="241"/>
        <v/>
      </c>
      <c r="C3894" s="11" t="str">
        <f t="shared" si="244"/>
        <v/>
      </c>
      <c r="F3894" s="10" t="str">
        <v/>
      </c>
      <c r="G3894" t="e">
        <f t="shared" si="242"/>
        <v>#VALUE!</v>
      </c>
      <c r="H3894" s="13" t="e">
        <f t="shared" si="243"/>
        <v>#VALUE!</v>
      </c>
    </row>
    <row r="3895" spans="2:8">
      <c r="B3895" s="11" t="str">
        <f t="shared" si="241"/>
        <v/>
      </c>
      <c r="C3895" s="11" t="str">
        <f t="shared" si="244"/>
        <v/>
      </c>
      <c r="F3895" s="10" t="str">
        <v/>
      </c>
      <c r="G3895" t="e">
        <f t="shared" si="242"/>
        <v>#VALUE!</v>
      </c>
      <c r="H3895" s="13" t="e">
        <f t="shared" si="243"/>
        <v>#VALUE!</v>
      </c>
    </row>
    <row r="3896" spans="2:8">
      <c r="B3896" s="11" t="str">
        <f t="shared" si="241"/>
        <v/>
      </c>
      <c r="C3896" s="11" t="str">
        <f t="shared" si="244"/>
        <v/>
      </c>
      <c r="F3896" s="10" t="str">
        <v/>
      </c>
      <c r="G3896" t="e">
        <f t="shared" si="242"/>
        <v>#VALUE!</v>
      </c>
      <c r="H3896" s="13" t="e">
        <f t="shared" si="243"/>
        <v>#VALUE!</v>
      </c>
    </row>
    <row r="3897" spans="2:8">
      <c r="B3897" s="11" t="str">
        <f t="shared" si="241"/>
        <v/>
      </c>
      <c r="C3897" s="11" t="str">
        <f t="shared" si="244"/>
        <v/>
      </c>
      <c r="F3897" s="10" t="str">
        <v/>
      </c>
      <c r="G3897" t="e">
        <f t="shared" si="242"/>
        <v>#VALUE!</v>
      </c>
      <c r="H3897" s="13" t="e">
        <f t="shared" si="243"/>
        <v>#VALUE!</v>
      </c>
    </row>
    <row r="3898" spans="2:8">
      <c r="B3898" s="11" t="str">
        <f t="shared" si="241"/>
        <v/>
      </c>
      <c r="C3898" s="11" t="str">
        <f t="shared" si="244"/>
        <v/>
      </c>
      <c r="F3898" s="10" t="str">
        <v/>
      </c>
      <c r="G3898" t="e">
        <f t="shared" si="242"/>
        <v>#VALUE!</v>
      </c>
      <c r="H3898" s="13" t="e">
        <f t="shared" si="243"/>
        <v>#VALUE!</v>
      </c>
    </row>
    <row r="3899" spans="2:8">
      <c r="B3899" s="11" t="str">
        <f t="shared" si="241"/>
        <v/>
      </c>
      <c r="C3899" s="11" t="str">
        <f t="shared" si="244"/>
        <v/>
      </c>
      <c r="F3899" s="10" t="str">
        <v/>
      </c>
      <c r="G3899" t="e">
        <f t="shared" si="242"/>
        <v>#VALUE!</v>
      </c>
      <c r="H3899" s="13" t="e">
        <f t="shared" si="243"/>
        <v>#VALUE!</v>
      </c>
    </row>
    <row r="3900" spans="2:8">
      <c r="B3900" s="11" t="str">
        <f t="shared" si="241"/>
        <v/>
      </c>
      <c r="C3900" s="11" t="str">
        <f t="shared" si="244"/>
        <v/>
      </c>
      <c r="F3900" s="10" t="str">
        <v/>
      </c>
      <c r="G3900" t="e">
        <f t="shared" si="242"/>
        <v>#VALUE!</v>
      </c>
      <c r="H3900" s="13" t="e">
        <f t="shared" si="243"/>
        <v>#VALUE!</v>
      </c>
    </row>
    <row r="3901" spans="2:8">
      <c r="B3901" s="11" t="str">
        <f t="shared" si="241"/>
        <v/>
      </c>
      <c r="C3901" s="11" t="str">
        <f t="shared" si="244"/>
        <v/>
      </c>
      <c r="F3901" s="10" t="str">
        <v/>
      </c>
      <c r="G3901" t="e">
        <f t="shared" si="242"/>
        <v>#VALUE!</v>
      </c>
      <c r="H3901" s="13" t="e">
        <f t="shared" si="243"/>
        <v>#VALUE!</v>
      </c>
    </row>
    <row r="3902" spans="2:8">
      <c r="B3902" s="11" t="str">
        <f t="shared" si="241"/>
        <v/>
      </c>
      <c r="C3902" s="11" t="str">
        <f t="shared" si="244"/>
        <v/>
      </c>
      <c r="F3902" s="10" t="str">
        <v/>
      </c>
      <c r="G3902" t="e">
        <f t="shared" si="242"/>
        <v>#VALUE!</v>
      </c>
      <c r="H3902" s="13" t="e">
        <f t="shared" si="243"/>
        <v>#VALUE!</v>
      </c>
    </row>
    <row r="3903" spans="2:8">
      <c r="B3903" s="11" t="str">
        <f t="shared" si="241"/>
        <v/>
      </c>
      <c r="C3903" s="11" t="str">
        <f t="shared" si="244"/>
        <v/>
      </c>
      <c r="F3903" s="10" t="str">
        <v/>
      </c>
      <c r="G3903" t="e">
        <f t="shared" si="242"/>
        <v>#VALUE!</v>
      </c>
      <c r="H3903" s="13" t="e">
        <f t="shared" si="243"/>
        <v>#VALUE!</v>
      </c>
    </row>
    <row r="3904" spans="2:8">
      <c r="B3904" s="11" t="str">
        <f t="shared" si="241"/>
        <v/>
      </c>
      <c r="C3904" s="11" t="str">
        <f t="shared" si="244"/>
        <v/>
      </c>
      <c r="F3904" s="10" t="str">
        <v/>
      </c>
      <c r="G3904" t="e">
        <f t="shared" si="242"/>
        <v>#VALUE!</v>
      </c>
      <c r="H3904" s="13" t="e">
        <f t="shared" si="243"/>
        <v>#VALUE!</v>
      </c>
    </row>
    <row r="3905" spans="2:8">
      <c r="B3905" s="11" t="str">
        <f t="shared" ref="B3905:B3968" si="245">IFERROR(IF(FIND(" ",A3905)=6,IF(IFERROR(FIND(" PB",A3905),"")&lt;&gt;"","артикул",IF(IFERROR(FIND(" CRN",A3905),"")&lt;&gt;"","артикул","")),""),"")</f>
        <v/>
      </c>
      <c r="C3905" s="11" t="str">
        <f t="shared" si="244"/>
        <v/>
      </c>
      <c r="F3905" s="10" t="str">
        <v/>
      </c>
      <c r="G3905" t="e">
        <f t="shared" si="242"/>
        <v>#VALUE!</v>
      </c>
      <c r="H3905" s="13" t="e">
        <f t="shared" si="243"/>
        <v>#VALUE!</v>
      </c>
    </row>
    <row r="3906" spans="2:8">
      <c r="B3906" s="11" t="str">
        <f t="shared" si="245"/>
        <v/>
      </c>
      <c r="C3906" s="11" t="str">
        <f t="shared" si="244"/>
        <v/>
      </c>
      <c r="F3906" s="10" t="str">
        <v/>
      </c>
      <c r="G3906" t="e">
        <f t="shared" ref="G3906:G3969" si="246">CONCATENATE(LEFT(F3906,5),
MID(F3906,
SEARCH("\",SUBSTITUTE(F3906," ","\",LEN(F3906)-LEN(SUBSTITUTE(F3906," ",""))-4)),
SEARCH("\",SUBSTITUTE(F3906," ","\",LEN(F3906)-LEN(SUBSTITUTE(F3906," ",""))-3))-
SEARCH("\",SUBSTITUTE(F3906," ","\",LEN(F3906)-LEN(SUBSTITUTE(F3906," ",""))-4)))*1)</f>
        <v>#VALUE!</v>
      </c>
      <c r="H3906" s="13" t="e">
        <f t="shared" ref="H3906:H3969" si="247">SUBSTITUTE(
RIGHT(F3906,LEN(F3906)-
FIND("\",SUBSTITUTE(F3906," ","\",LEN(F3906)-LEN(SUBSTITUTE(F3906," ",""))))),
".","")</f>
        <v>#VALUE!</v>
      </c>
    </row>
    <row r="3907" spans="2:8">
      <c r="B3907" s="11" t="str">
        <f t="shared" si="245"/>
        <v/>
      </c>
      <c r="C3907" s="11" t="str">
        <f t="shared" si="244"/>
        <v/>
      </c>
      <c r="F3907" s="10" t="str">
        <v/>
      </c>
      <c r="G3907" t="e">
        <f t="shared" si="246"/>
        <v>#VALUE!</v>
      </c>
      <c r="H3907" s="13" t="e">
        <f t="shared" si="247"/>
        <v>#VALUE!</v>
      </c>
    </row>
    <row r="3908" spans="2:8">
      <c r="B3908" s="11" t="str">
        <f t="shared" si="245"/>
        <v/>
      </c>
      <c r="C3908" s="11" t="str">
        <f t="shared" si="244"/>
        <v/>
      </c>
      <c r="F3908" s="10" t="str">
        <v/>
      </c>
      <c r="G3908" t="e">
        <f t="shared" si="246"/>
        <v>#VALUE!</v>
      </c>
      <c r="H3908" s="13" t="e">
        <f t="shared" si="247"/>
        <v>#VALUE!</v>
      </c>
    </row>
    <row r="3909" spans="2:8">
      <c r="B3909" s="11" t="str">
        <f t="shared" si="245"/>
        <v/>
      </c>
      <c r="C3909" s="11" t="str">
        <f t="shared" si="244"/>
        <v/>
      </c>
      <c r="F3909" s="10" t="str">
        <v/>
      </c>
      <c r="G3909" t="e">
        <f t="shared" si="246"/>
        <v>#VALUE!</v>
      </c>
      <c r="H3909" s="13" t="e">
        <f t="shared" si="247"/>
        <v>#VALUE!</v>
      </c>
    </row>
    <row r="3910" spans="2:8">
      <c r="B3910" s="11" t="str">
        <f t="shared" si="245"/>
        <v/>
      </c>
      <c r="C3910" s="11" t="str">
        <f t="shared" si="244"/>
        <v/>
      </c>
      <c r="F3910" s="10" t="str">
        <v/>
      </c>
      <c r="G3910" t="e">
        <f t="shared" si="246"/>
        <v>#VALUE!</v>
      </c>
      <c r="H3910" s="13" t="e">
        <f t="shared" si="247"/>
        <v>#VALUE!</v>
      </c>
    </row>
    <row r="3911" spans="2:8">
      <c r="B3911" s="11" t="str">
        <f t="shared" si="245"/>
        <v/>
      </c>
      <c r="C3911" s="11" t="str">
        <f t="shared" si="244"/>
        <v/>
      </c>
      <c r="F3911" s="10" t="str">
        <v/>
      </c>
      <c r="G3911" t="e">
        <f t="shared" si="246"/>
        <v>#VALUE!</v>
      </c>
      <c r="H3911" s="13" t="e">
        <f t="shared" si="247"/>
        <v>#VALUE!</v>
      </c>
    </row>
    <row r="3912" spans="2:8">
      <c r="B3912" s="11" t="str">
        <f t="shared" si="245"/>
        <v/>
      </c>
      <c r="C3912" s="11" t="str">
        <f t="shared" si="244"/>
        <v/>
      </c>
      <c r="F3912" s="10" t="str">
        <v/>
      </c>
      <c r="G3912" t="e">
        <f t="shared" si="246"/>
        <v>#VALUE!</v>
      </c>
      <c r="H3912" s="13" t="e">
        <f t="shared" si="247"/>
        <v>#VALUE!</v>
      </c>
    </row>
    <row r="3913" spans="2:8">
      <c r="B3913" s="11" t="str">
        <f t="shared" si="245"/>
        <v/>
      </c>
      <c r="C3913" s="11" t="str">
        <f t="shared" si="244"/>
        <v/>
      </c>
      <c r="F3913" s="10" t="str">
        <v/>
      </c>
      <c r="G3913" t="e">
        <f t="shared" si="246"/>
        <v>#VALUE!</v>
      </c>
      <c r="H3913" s="13" t="e">
        <f t="shared" si="247"/>
        <v>#VALUE!</v>
      </c>
    </row>
    <row r="3914" spans="2:8">
      <c r="B3914" s="11" t="str">
        <f t="shared" si="245"/>
        <v/>
      </c>
      <c r="C3914" s="11" t="str">
        <f t="shared" si="244"/>
        <v/>
      </c>
      <c r="F3914" s="10" t="str">
        <v/>
      </c>
      <c r="G3914" t="e">
        <f t="shared" si="246"/>
        <v>#VALUE!</v>
      </c>
      <c r="H3914" s="13" t="e">
        <f t="shared" si="247"/>
        <v>#VALUE!</v>
      </c>
    </row>
    <row r="3915" spans="2:8">
      <c r="B3915" s="11" t="str">
        <f t="shared" si="245"/>
        <v/>
      </c>
      <c r="C3915" s="11" t="str">
        <f t="shared" si="244"/>
        <v/>
      </c>
      <c r="F3915" s="10" t="str">
        <v/>
      </c>
      <c r="G3915" t="e">
        <f t="shared" si="246"/>
        <v>#VALUE!</v>
      </c>
      <c r="H3915" s="13" t="e">
        <f t="shared" si="247"/>
        <v>#VALUE!</v>
      </c>
    </row>
    <row r="3916" spans="2:8">
      <c r="B3916" s="11" t="str">
        <f t="shared" si="245"/>
        <v/>
      </c>
      <c r="C3916" s="11" t="str">
        <f t="shared" si="244"/>
        <v/>
      </c>
      <c r="F3916" s="10" t="str">
        <v/>
      </c>
      <c r="G3916" t="e">
        <f t="shared" si="246"/>
        <v>#VALUE!</v>
      </c>
      <c r="H3916" s="13" t="e">
        <f t="shared" si="247"/>
        <v>#VALUE!</v>
      </c>
    </row>
    <row r="3917" spans="2:8">
      <c r="B3917" s="11" t="str">
        <f t="shared" si="245"/>
        <v/>
      </c>
      <c r="C3917" s="11" t="str">
        <f t="shared" si="244"/>
        <v/>
      </c>
      <c r="F3917" s="10" t="str">
        <v/>
      </c>
      <c r="G3917" t="e">
        <f t="shared" si="246"/>
        <v>#VALUE!</v>
      </c>
      <c r="H3917" s="13" t="e">
        <f t="shared" si="247"/>
        <v>#VALUE!</v>
      </c>
    </row>
    <row r="3918" spans="2:8">
      <c r="B3918" s="11" t="str">
        <f t="shared" si="245"/>
        <v/>
      </c>
      <c r="C3918" s="11" t="str">
        <f t="shared" si="244"/>
        <v/>
      </c>
      <c r="F3918" s="10" t="str">
        <v/>
      </c>
      <c r="G3918" t="e">
        <f t="shared" si="246"/>
        <v>#VALUE!</v>
      </c>
      <c r="H3918" s="13" t="e">
        <f t="shared" si="247"/>
        <v>#VALUE!</v>
      </c>
    </row>
    <row r="3919" spans="2:8">
      <c r="B3919" s="11" t="str">
        <f t="shared" si="245"/>
        <v/>
      </c>
      <c r="C3919" s="11" t="str">
        <f t="shared" si="244"/>
        <v/>
      </c>
      <c r="F3919" s="10" t="str">
        <v/>
      </c>
      <c r="G3919" t="e">
        <f t="shared" si="246"/>
        <v>#VALUE!</v>
      </c>
      <c r="H3919" s="13" t="e">
        <f t="shared" si="247"/>
        <v>#VALUE!</v>
      </c>
    </row>
    <row r="3920" spans="2:8">
      <c r="B3920" s="11" t="str">
        <f t="shared" si="245"/>
        <v/>
      </c>
      <c r="C3920" s="11" t="str">
        <f t="shared" si="244"/>
        <v/>
      </c>
      <c r="F3920" s="10" t="str">
        <v/>
      </c>
      <c r="G3920" t="e">
        <f t="shared" si="246"/>
        <v>#VALUE!</v>
      </c>
      <c r="H3920" s="13" t="e">
        <f t="shared" si="247"/>
        <v>#VALUE!</v>
      </c>
    </row>
    <row r="3921" spans="2:8">
      <c r="B3921" s="11" t="str">
        <f t="shared" si="245"/>
        <v/>
      </c>
      <c r="C3921" s="11" t="str">
        <f t="shared" si="244"/>
        <v/>
      </c>
      <c r="F3921" s="10" t="str">
        <v/>
      </c>
      <c r="G3921" t="e">
        <f t="shared" si="246"/>
        <v>#VALUE!</v>
      </c>
      <c r="H3921" s="13" t="e">
        <f t="shared" si="247"/>
        <v>#VALUE!</v>
      </c>
    </row>
    <row r="3922" spans="2:8">
      <c r="B3922" s="11" t="str">
        <f t="shared" si="245"/>
        <v/>
      </c>
      <c r="C3922" s="11" t="str">
        <f t="shared" si="244"/>
        <v/>
      </c>
      <c r="F3922" s="10" t="str">
        <v/>
      </c>
      <c r="G3922" t="e">
        <f t="shared" si="246"/>
        <v>#VALUE!</v>
      </c>
      <c r="H3922" s="13" t="e">
        <f t="shared" si="247"/>
        <v>#VALUE!</v>
      </c>
    </row>
    <row r="3923" spans="2:8">
      <c r="B3923" s="11" t="str">
        <f t="shared" si="245"/>
        <v/>
      </c>
      <c r="C3923" s="11" t="str">
        <f t="shared" si="244"/>
        <v/>
      </c>
      <c r="F3923" s="10" t="str">
        <v/>
      </c>
      <c r="G3923" t="e">
        <f t="shared" si="246"/>
        <v>#VALUE!</v>
      </c>
      <c r="H3923" s="13" t="e">
        <f t="shared" si="247"/>
        <v>#VALUE!</v>
      </c>
    </row>
    <row r="3924" spans="2:8">
      <c r="B3924" s="11" t="str">
        <f t="shared" si="245"/>
        <v/>
      </c>
      <c r="C3924" s="11" t="str">
        <f t="shared" si="244"/>
        <v/>
      </c>
      <c r="F3924" s="10" t="str">
        <v/>
      </c>
      <c r="G3924" t="e">
        <f t="shared" si="246"/>
        <v>#VALUE!</v>
      </c>
      <c r="H3924" s="13" t="e">
        <f t="shared" si="247"/>
        <v>#VALUE!</v>
      </c>
    </row>
    <row r="3925" spans="2:8">
      <c r="B3925" s="11" t="str">
        <f t="shared" si="245"/>
        <v/>
      </c>
      <c r="C3925" s="11" t="str">
        <f t="shared" si="244"/>
        <v/>
      </c>
      <c r="F3925" s="10" t="str">
        <v/>
      </c>
      <c r="G3925" t="e">
        <f t="shared" si="246"/>
        <v>#VALUE!</v>
      </c>
      <c r="H3925" s="13" t="e">
        <f t="shared" si="247"/>
        <v>#VALUE!</v>
      </c>
    </row>
    <row r="3926" spans="2:8">
      <c r="B3926" s="11" t="str">
        <f t="shared" si="245"/>
        <v/>
      </c>
      <c r="C3926" s="11" t="str">
        <f t="shared" si="244"/>
        <v/>
      </c>
      <c r="F3926" s="10" t="str">
        <v/>
      </c>
      <c r="G3926" t="e">
        <f t="shared" si="246"/>
        <v>#VALUE!</v>
      </c>
      <c r="H3926" s="13" t="e">
        <f t="shared" si="247"/>
        <v>#VALUE!</v>
      </c>
    </row>
    <row r="3927" spans="2:8">
      <c r="B3927" s="11" t="str">
        <f t="shared" si="245"/>
        <v/>
      </c>
      <c r="C3927" s="11" t="str">
        <f t="shared" si="244"/>
        <v/>
      </c>
      <c r="F3927" s="10" t="str">
        <v/>
      </c>
      <c r="G3927" t="e">
        <f t="shared" si="246"/>
        <v>#VALUE!</v>
      </c>
      <c r="H3927" s="13" t="e">
        <f t="shared" si="247"/>
        <v>#VALUE!</v>
      </c>
    </row>
    <row r="3928" spans="2:8">
      <c r="B3928" s="11" t="str">
        <f t="shared" si="245"/>
        <v/>
      </c>
      <c r="C3928" s="11" t="str">
        <f t="shared" si="244"/>
        <v/>
      </c>
      <c r="F3928" s="10" t="str">
        <v/>
      </c>
      <c r="G3928" t="e">
        <f t="shared" si="246"/>
        <v>#VALUE!</v>
      </c>
      <c r="H3928" s="13" t="e">
        <f t="shared" si="247"/>
        <v>#VALUE!</v>
      </c>
    </row>
    <row r="3929" spans="2:8">
      <c r="B3929" s="11" t="str">
        <f t="shared" si="245"/>
        <v/>
      </c>
      <c r="C3929" s="11" t="str">
        <f t="shared" si="244"/>
        <v/>
      </c>
      <c r="F3929" s="10" t="str">
        <v/>
      </c>
      <c r="G3929" t="e">
        <f t="shared" si="246"/>
        <v>#VALUE!</v>
      </c>
      <c r="H3929" s="13" t="e">
        <f t="shared" si="247"/>
        <v>#VALUE!</v>
      </c>
    </row>
    <row r="3930" spans="2:8">
      <c r="B3930" s="11" t="str">
        <f t="shared" si="245"/>
        <v/>
      </c>
      <c r="C3930" s="11" t="str">
        <f t="shared" si="244"/>
        <v/>
      </c>
      <c r="F3930" s="10" t="str">
        <v/>
      </c>
      <c r="G3930" t="e">
        <f t="shared" si="246"/>
        <v>#VALUE!</v>
      </c>
      <c r="H3930" s="13" t="e">
        <f t="shared" si="247"/>
        <v>#VALUE!</v>
      </c>
    </row>
    <row r="3931" spans="2:8">
      <c r="B3931" s="11" t="str">
        <f t="shared" si="245"/>
        <v/>
      </c>
      <c r="C3931" s="11" t="str">
        <f t="shared" si="244"/>
        <v/>
      </c>
      <c r="F3931" s="10" t="str">
        <v/>
      </c>
      <c r="G3931" t="e">
        <f t="shared" si="246"/>
        <v>#VALUE!</v>
      </c>
      <c r="H3931" s="13" t="e">
        <f t="shared" si="247"/>
        <v>#VALUE!</v>
      </c>
    </row>
    <row r="3932" spans="2:8">
      <c r="B3932" s="11" t="str">
        <f t="shared" si="245"/>
        <v/>
      </c>
      <c r="C3932" s="11" t="str">
        <f t="shared" si="244"/>
        <v/>
      </c>
      <c r="F3932" s="10" t="str">
        <v/>
      </c>
      <c r="G3932" t="e">
        <f t="shared" si="246"/>
        <v>#VALUE!</v>
      </c>
      <c r="H3932" s="13" t="e">
        <f t="shared" si="247"/>
        <v>#VALUE!</v>
      </c>
    </row>
    <row r="3933" spans="2:8">
      <c r="B3933" s="11" t="str">
        <f t="shared" si="245"/>
        <v/>
      </c>
      <c r="C3933" s="11" t="str">
        <f t="shared" si="244"/>
        <v/>
      </c>
      <c r="F3933" s="10" t="str">
        <v/>
      </c>
      <c r="G3933" t="e">
        <f t="shared" si="246"/>
        <v>#VALUE!</v>
      </c>
      <c r="H3933" s="13" t="e">
        <f t="shared" si="247"/>
        <v>#VALUE!</v>
      </c>
    </row>
    <row r="3934" spans="2:8">
      <c r="B3934" s="11" t="str">
        <f t="shared" si="245"/>
        <v/>
      </c>
      <c r="C3934" s="11" t="str">
        <f t="shared" si="244"/>
        <v/>
      </c>
      <c r="F3934" s="10" t="str">
        <v/>
      </c>
      <c r="G3934" t="e">
        <f t="shared" si="246"/>
        <v>#VALUE!</v>
      </c>
      <c r="H3934" s="13" t="e">
        <f t="shared" si="247"/>
        <v>#VALUE!</v>
      </c>
    </row>
    <row r="3935" spans="2:8">
      <c r="B3935" s="11" t="str">
        <f t="shared" si="245"/>
        <v/>
      </c>
      <c r="C3935" s="11" t="str">
        <f t="shared" si="244"/>
        <v/>
      </c>
      <c r="F3935" s="10" t="str">
        <v/>
      </c>
      <c r="G3935" t="e">
        <f t="shared" si="246"/>
        <v>#VALUE!</v>
      </c>
      <c r="H3935" s="13" t="e">
        <f t="shared" si="247"/>
        <v>#VALUE!</v>
      </c>
    </row>
    <row r="3936" spans="2:8">
      <c r="B3936" s="11" t="str">
        <f t="shared" si="245"/>
        <v/>
      </c>
      <c r="C3936" s="11" t="str">
        <f t="shared" si="244"/>
        <v/>
      </c>
      <c r="F3936" s="10" t="str">
        <v/>
      </c>
      <c r="G3936" t="e">
        <f t="shared" si="246"/>
        <v>#VALUE!</v>
      </c>
      <c r="H3936" s="13" t="e">
        <f t="shared" si="247"/>
        <v>#VALUE!</v>
      </c>
    </row>
    <row r="3937" spans="2:8">
      <c r="B3937" s="11" t="str">
        <f t="shared" si="245"/>
        <v/>
      </c>
      <c r="C3937" s="11" t="str">
        <f t="shared" si="244"/>
        <v/>
      </c>
      <c r="F3937" s="10" t="str">
        <v/>
      </c>
      <c r="G3937" t="e">
        <f t="shared" si="246"/>
        <v>#VALUE!</v>
      </c>
      <c r="H3937" s="13" t="e">
        <f t="shared" si="247"/>
        <v>#VALUE!</v>
      </c>
    </row>
    <row r="3938" spans="2:8">
      <c r="B3938" s="11" t="str">
        <f t="shared" si="245"/>
        <v/>
      </c>
      <c r="C3938" s="11" t="str">
        <f t="shared" si="244"/>
        <v/>
      </c>
      <c r="F3938" s="10" t="str">
        <v/>
      </c>
      <c r="G3938" t="e">
        <f t="shared" si="246"/>
        <v>#VALUE!</v>
      </c>
      <c r="H3938" s="13" t="e">
        <f t="shared" si="247"/>
        <v>#VALUE!</v>
      </c>
    </row>
    <row r="3939" spans="2:8">
      <c r="B3939" s="11" t="str">
        <f t="shared" si="245"/>
        <v/>
      </c>
      <c r="C3939" s="11" t="str">
        <f t="shared" si="244"/>
        <v/>
      </c>
      <c r="F3939" s="10" t="str">
        <v/>
      </c>
      <c r="G3939" t="e">
        <f t="shared" si="246"/>
        <v>#VALUE!</v>
      </c>
      <c r="H3939" s="13" t="e">
        <f t="shared" si="247"/>
        <v>#VALUE!</v>
      </c>
    </row>
    <row r="3940" spans="2:8">
      <c r="B3940" s="11" t="str">
        <f t="shared" si="245"/>
        <v/>
      </c>
      <c r="C3940" s="11" t="str">
        <f t="shared" si="244"/>
        <v/>
      </c>
      <c r="F3940" s="10" t="str">
        <v/>
      </c>
      <c r="G3940" t="e">
        <f t="shared" si="246"/>
        <v>#VALUE!</v>
      </c>
      <c r="H3940" s="13" t="e">
        <f t="shared" si="247"/>
        <v>#VALUE!</v>
      </c>
    </row>
    <row r="3941" spans="2:8">
      <c r="B3941" s="11" t="str">
        <f t="shared" si="245"/>
        <v/>
      </c>
      <c r="C3941" s="11" t="str">
        <f t="shared" si="244"/>
        <v/>
      </c>
      <c r="F3941" s="10" t="str">
        <v/>
      </c>
      <c r="G3941" t="e">
        <f t="shared" si="246"/>
        <v>#VALUE!</v>
      </c>
      <c r="H3941" s="13" t="e">
        <f t="shared" si="247"/>
        <v>#VALUE!</v>
      </c>
    </row>
    <row r="3942" spans="2:8">
      <c r="B3942" s="11" t="str">
        <f t="shared" si="245"/>
        <v/>
      </c>
      <c r="C3942" s="11" t="str">
        <f t="shared" si="244"/>
        <v/>
      </c>
      <c r="F3942" s="10" t="str">
        <v/>
      </c>
      <c r="G3942" t="e">
        <f t="shared" si="246"/>
        <v>#VALUE!</v>
      </c>
      <c r="H3942" s="13" t="e">
        <f t="shared" si="247"/>
        <v>#VALUE!</v>
      </c>
    </row>
    <row r="3943" spans="2:8">
      <c r="B3943" s="11" t="str">
        <f t="shared" si="245"/>
        <v/>
      </c>
      <c r="C3943" s="11" t="str">
        <f t="shared" si="244"/>
        <v/>
      </c>
      <c r="F3943" s="10" t="str">
        <v/>
      </c>
      <c r="G3943" t="e">
        <f t="shared" si="246"/>
        <v>#VALUE!</v>
      </c>
      <c r="H3943" s="13" t="e">
        <f t="shared" si="247"/>
        <v>#VALUE!</v>
      </c>
    </row>
    <row r="3944" spans="2:8">
      <c r="B3944" s="11" t="str">
        <f t="shared" si="245"/>
        <v/>
      </c>
      <c r="C3944" s="11" t="str">
        <f t="shared" si="244"/>
        <v/>
      </c>
      <c r="F3944" s="10" t="str">
        <v/>
      </c>
      <c r="G3944" t="e">
        <f t="shared" si="246"/>
        <v>#VALUE!</v>
      </c>
      <c r="H3944" s="13" t="e">
        <f t="shared" si="247"/>
        <v>#VALUE!</v>
      </c>
    </row>
    <row r="3945" spans="2:8">
      <c r="B3945" s="11" t="str">
        <f t="shared" si="245"/>
        <v/>
      </c>
      <c r="C3945" s="11" t="str">
        <f t="shared" ref="C3945:C4008" si="248">IF(B3945="артикул",A3945,"")</f>
        <v/>
      </c>
      <c r="F3945" s="10" t="str">
        <v/>
      </c>
      <c r="G3945" t="e">
        <f t="shared" si="246"/>
        <v>#VALUE!</v>
      </c>
      <c r="H3945" s="13" t="e">
        <f t="shared" si="247"/>
        <v>#VALUE!</v>
      </c>
    </row>
    <row r="3946" spans="2:8">
      <c r="B3946" s="11" t="str">
        <f t="shared" si="245"/>
        <v/>
      </c>
      <c r="C3946" s="11" t="str">
        <f t="shared" si="248"/>
        <v/>
      </c>
      <c r="F3946" s="10" t="str">
        <v/>
      </c>
      <c r="G3946" t="e">
        <f t="shared" si="246"/>
        <v>#VALUE!</v>
      </c>
      <c r="H3946" s="13" t="e">
        <f t="shared" si="247"/>
        <v>#VALUE!</v>
      </c>
    </row>
    <row r="3947" spans="2:8">
      <c r="B3947" s="11" t="str">
        <f t="shared" si="245"/>
        <v/>
      </c>
      <c r="C3947" s="11" t="str">
        <f t="shared" si="248"/>
        <v/>
      </c>
      <c r="F3947" s="10" t="str">
        <v/>
      </c>
      <c r="G3947" t="e">
        <f t="shared" si="246"/>
        <v>#VALUE!</v>
      </c>
      <c r="H3947" s="13" t="e">
        <f t="shared" si="247"/>
        <v>#VALUE!</v>
      </c>
    </row>
    <row r="3948" spans="2:8">
      <c r="B3948" s="11" t="str">
        <f t="shared" si="245"/>
        <v/>
      </c>
      <c r="C3948" s="11" t="str">
        <f t="shared" si="248"/>
        <v/>
      </c>
      <c r="F3948" s="10" t="str">
        <v/>
      </c>
      <c r="G3948" t="e">
        <f t="shared" si="246"/>
        <v>#VALUE!</v>
      </c>
      <c r="H3948" s="13" t="e">
        <f t="shared" si="247"/>
        <v>#VALUE!</v>
      </c>
    </row>
    <row r="3949" spans="2:8">
      <c r="B3949" s="11" t="str">
        <f t="shared" si="245"/>
        <v/>
      </c>
      <c r="C3949" s="11" t="str">
        <f t="shared" si="248"/>
        <v/>
      </c>
      <c r="F3949" s="10" t="str">
        <v/>
      </c>
      <c r="G3949" t="e">
        <f t="shared" si="246"/>
        <v>#VALUE!</v>
      </c>
      <c r="H3949" s="13" t="e">
        <f t="shared" si="247"/>
        <v>#VALUE!</v>
      </c>
    </row>
    <row r="3950" spans="2:8">
      <c r="B3950" s="11" t="str">
        <f t="shared" si="245"/>
        <v/>
      </c>
      <c r="C3950" s="11" t="str">
        <f t="shared" si="248"/>
        <v/>
      </c>
      <c r="F3950" s="10" t="str">
        <v/>
      </c>
      <c r="G3950" t="e">
        <f t="shared" si="246"/>
        <v>#VALUE!</v>
      </c>
      <c r="H3950" s="13" t="e">
        <f t="shared" si="247"/>
        <v>#VALUE!</v>
      </c>
    </row>
    <row r="3951" spans="2:8">
      <c r="B3951" s="11" t="str">
        <f t="shared" si="245"/>
        <v/>
      </c>
      <c r="C3951" s="11" t="str">
        <f t="shared" si="248"/>
        <v/>
      </c>
      <c r="F3951" s="10" t="str">
        <v/>
      </c>
      <c r="G3951" t="e">
        <f t="shared" si="246"/>
        <v>#VALUE!</v>
      </c>
      <c r="H3951" s="13" t="e">
        <f t="shared" si="247"/>
        <v>#VALUE!</v>
      </c>
    </row>
    <row r="3952" spans="2:8">
      <c r="B3952" s="11" t="str">
        <f t="shared" si="245"/>
        <v/>
      </c>
      <c r="C3952" s="11" t="str">
        <f t="shared" si="248"/>
        <v/>
      </c>
      <c r="F3952" s="10" t="str">
        <v/>
      </c>
      <c r="G3952" t="e">
        <f t="shared" si="246"/>
        <v>#VALUE!</v>
      </c>
      <c r="H3952" s="13" t="e">
        <f t="shared" si="247"/>
        <v>#VALUE!</v>
      </c>
    </row>
    <row r="3953" spans="2:8">
      <c r="B3953" s="11" t="str">
        <f t="shared" si="245"/>
        <v/>
      </c>
      <c r="C3953" s="11" t="str">
        <f t="shared" si="248"/>
        <v/>
      </c>
      <c r="F3953" s="10" t="str">
        <v/>
      </c>
      <c r="G3953" t="e">
        <f t="shared" si="246"/>
        <v>#VALUE!</v>
      </c>
      <c r="H3953" s="13" t="e">
        <f t="shared" si="247"/>
        <v>#VALUE!</v>
      </c>
    </row>
    <row r="3954" spans="2:8">
      <c r="B3954" s="11" t="str">
        <f t="shared" si="245"/>
        <v/>
      </c>
      <c r="C3954" s="11" t="str">
        <f t="shared" si="248"/>
        <v/>
      </c>
      <c r="F3954" s="10" t="str">
        <v/>
      </c>
      <c r="G3954" t="e">
        <f t="shared" si="246"/>
        <v>#VALUE!</v>
      </c>
      <c r="H3954" s="13" t="e">
        <f t="shared" si="247"/>
        <v>#VALUE!</v>
      </c>
    </row>
    <row r="3955" spans="2:8">
      <c r="B3955" s="11" t="str">
        <f t="shared" si="245"/>
        <v/>
      </c>
      <c r="C3955" s="11" t="str">
        <f t="shared" si="248"/>
        <v/>
      </c>
      <c r="F3955" s="10" t="str">
        <v/>
      </c>
      <c r="G3955" t="e">
        <f t="shared" si="246"/>
        <v>#VALUE!</v>
      </c>
      <c r="H3955" s="13" t="e">
        <f t="shared" si="247"/>
        <v>#VALUE!</v>
      </c>
    </row>
    <row r="3956" spans="2:8">
      <c r="B3956" s="11" t="str">
        <f t="shared" si="245"/>
        <v/>
      </c>
      <c r="C3956" s="11" t="str">
        <f t="shared" si="248"/>
        <v/>
      </c>
      <c r="F3956" s="10" t="str">
        <v/>
      </c>
      <c r="G3956" t="e">
        <f t="shared" si="246"/>
        <v>#VALUE!</v>
      </c>
      <c r="H3956" s="13" t="e">
        <f t="shared" si="247"/>
        <v>#VALUE!</v>
      </c>
    </row>
    <row r="3957" spans="2:8">
      <c r="B3957" s="11" t="str">
        <f t="shared" si="245"/>
        <v/>
      </c>
      <c r="C3957" s="11" t="str">
        <f t="shared" si="248"/>
        <v/>
      </c>
      <c r="F3957" s="10" t="str">
        <v/>
      </c>
      <c r="G3957" t="e">
        <f t="shared" si="246"/>
        <v>#VALUE!</v>
      </c>
      <c r="H3957" s="13" t="e">
        <f t="shared" si="247"/>
        <v>#VALUE!</v>
      </c>
    </row>
    <row r="3958" spans="2:8">
      <c r="B3958" s="11" t="str">
        <f t="shared" si="245"/>
        <v/>
      </c>
      <c r="C3958" s="11" t="str">
        <f t="shared" si="248"/>
        <v/>
      </c>
      <c r="F3958" s="10" t="str">
        <v/>
      </c>
      <c r="G3958" t="e">
        <f t="shared" si="246"/>
        <v>#VALUE!</v>
      </c>
      <c r="H3958" s="13" t="e">
        <f t="shared" si="247"/>
        <v>#VALUE!</v>
      </c>
    </row>
    <row r="3959" spans="2:8">
      <c r="B3959" s="11" t="str">
        <f t="shared" si="245"/>
        <v/>
      </c>
      <c r="C3959" s="11" t="str">
        <f t="shared" si="248"/>
        <v/>
      </c>
      <c r="F3959" s="10" t="str">
        <v/>
      </c>
      <c r="G3959" t="e">
        <f t="shared" si="246"/>
        <v>#VALUE!</v>
      </c>
      <c r="H3959" s="13" t="e">
        <f t="shared" si="247"/>
        <v>#VALUE!</v>
      </c>
    </row>
    <row r="3960" spans="2:8">
      <c r="B3960" s="11" t="str">
        <f t="shared" si="245"/>
        <v/>
      </c>
      <c r="C3960" s="11" t="str">
        <f t="shared" si="248"/>
        <v/>
      </c>
      <c r="F3960" s="10" t="str">
        <v/>
      </c>
      <c r="G3960" t="e">
        <f t="shared" si="246"/>
        <v>#VALUE!</v>
      </c>
      <c r="H3960" s="13" t="e">
        <f t="shared" si="247"/>
        <v>#VALUE!</v>
      </c>
    </row>
    <row r="3961" spans="2:8">
      <c r="B3961" s="11" t="str">
        <f t="shared" si="245"/>
        <v/>
      </c>
      <c r="C3961" s="11" t="str">
        <f t="shared" si="248"/>
        <v/>
      </c>
      <c r="F3961" s="10" t="str">
        <v/>
      </c>
      <c r="G3961" t="e">
        <f t="shared" si="246"/>
        <v>#VALUE!</v>
      </c>
      <c r="H3961" s="13" t="e">
        <f t="shared" si="247"/>
        <v>#VALUE!</v>
      </c>
    </row>
    <row r="3962" spans="2:8">
      <c r="B3962" s="11" t="str">
        <f t="shared" si="245"/>
        <v/>
      </c>
      <c r="C3962" s="11" t="str">
        <f t="shared" si="248"/>
        <v/>
      </c>
      <c r="F3962" s="10" t="str">
        <v/>
      </c>
      <c r="G3962" t="e">
        <f t="shared" si="246"/>
        <v>#VALUE!</v>
      </c>
      <c r="H3962" s="13" t="e">
        <f t="shared" si="247"/>
        <v>#VALUE!</v>
      </c>
    </row>
    <row r="3963" spans="2:8">
      <c r="B3963" s="11" t="str">
        <f t="shared" si="245"/>
        <v/>
      </c>
      <c r="C3963" s="11" t="str">
        <f t="shared" si="248"/>
        <v/>
      </c>
      <c r="F3963" s="10" t="str">
        <v/>
      </c>
      <c r="G3963" t="e">
        <f t="shared" si="246"/>
        <v>#VALUE!</v>
      </c>
      <c r="H3963" s="13" t="e">
        <f t="shared" si="247"/>
        <v>#VALUE!</v>
      </c>
    </row>
    <row r="3964" spans="2:8">
      <c r="B3964" s="11" t="str">
        <f t="shared" si="245"/>
        <v/>
      </c>
      <c r="C3964" s="11" t="str">
        <f t="shared" si="248"/>
        <v/>
      </c>
      <c r="F3964" s="10" t="str">
        <v/>
      </c>
      <c r="G3964" t="e">
        <f t="shared" si="246"/>
        <v>#VALUE!</v>
      </c>
      <c r="H3964" s="13" t="e">
        <f t="shared" si="247"/>
        <v>#VALUE!</v>
      </c>
    </row>
    <row r="3965" spans="2:8">
      <c r="B3965" s="11" t="str">
        <f t="shared" si="245"/>
        <v/>
      </c>
      <c r="C3965" s="11" t="str">
        <f t="shared" si="248"/>
        <v/>
      </c>
      <c r="F3965" s="10" t="str">
        <v/>
      </c>
      <c r="G3965" t="e">
        <f t="shared" si="246"/>
        <v>#VALUE!</v>
      </c>
      <c r="H3965" s="13" t="e">
        <f t="shared" si="247"/>
        <v>#VALUE!</v>
      </c>
    </row>
    <row r="3966" spans="2:8">
      <c r="B3966" s="11" t="str">
        <f t="shared" si="245"/>
        <v/>
      </c>
      <c r="C3966" s="11" t="str">
        <f t="shared" si="248"/>
        <v/>
      </c>
      <c r="F3966" s="10" t="str">
        <v/>
      </c>
      <c r="G3966" t="e">
        <f t="shared" si="246"/>
        <v>#VALUE!</v>
      </c>
      <c r="H3966" s="13" t="e">
        <f t="shared" si="247"/>
        <v>#VALUE!</v>
      </c>
    </row>
    <row r="3967" spans="2:8">
      <c r="B3967" s="11" t="str">
        <f t="shared" si="245"/>
        <v/>
      </c>
      <c r="C3967" s="11" t="str">
        <f t="shared" si="248"/>
        <v/>
      </c>
      <c r="F3967" s="10" t="str">
        <v/>
      </c>
      <c r="G3967" t="e">
        <f t="shared" si="246"/>
        <v>#VALUE!</v>
      </c>
      <c r="H3967" s="13" t="e">
        <f t="shared" si="247"/>
        <v>#VALUE!</v>
      </c>
    </row>
    <row r="3968" spans="2:8">
      <c r="B3968" s="11" t="str">
        <f t="shared" si="245"/>
        <v/>
      </c>
      <c r="C3968" s="11" t="str">
        <f t="shared" si="248"/>
        <v/>
      </c>
      <c r="F3968" s="10" t="str">
        <v/>
      </c>
      <c r="G3968" t="e">
        <f t="shared" si="246"/>
        <v>#VALUE!</v>
      </c>
      <c r="H3968" s="13" t="e">
        <f t="shared" si="247"/>
        <v>#VALUE!</v>
      </c>
    </row>
    <row r="3969" spans="2:8">
      <c r="B3969" s="11" t="str">
        <f t="shared" ref="B3969:B4032" si="249">IFERROR(IF(FIND(" ",A3969)=6,IF(IFERROR(FIND(" PB",A3969),"")&lt;&gt;"","артикул",IF(IFERROR(FIND(" CRN",A3969),"")&lt;&gt;"","артикул","")),""),"")</f>
        <v/>
      </c>
      <c r="C3969" s="11" t="str">
        <f t="shared" si="248"/>
        <v/>
      </c>
      <c r="F3969" s="10" t="str">
        <v/>
      </c>
      <c r="G3969" t="e">
        <f t="shared" si="246"/>
        <v>#VALUE!</v>
      </c>
      <c r="H3969" s="13" t="e">
        <f t="shared" si="247"/>
        <v>#VALUE!</v>
      </c>
    </row>
    <row r="3970" spans="2:8">
      <c r="B3970" s="11" t="str">
        <f t="shared" si="249"/>
        <v/>
      </c>
      <c r="C3970" s="11" t="str">
        <f t="shared" si="248"/>
        <v/>
      </c>
      <c r="F3970" s="10" t="str">
        <v/>
      </c>
      <c r="G3970" t="e">
        <f t="shared" ref="G3970:G4033" si="250">CONCATENATE(LEFT(F3970,5),
MID(F3970,
SEARCH("\",SUBSTITUTE(F3970," ","\",LEN(F3970)-LEN(SUBSTITUTE(F3970," ",""))-4)),
SEARCH("\",SUBSTITUTE(F3970," ","\",LEN(F3970)-LEN(SUBSTITUTE(F3970," ",""))-3))-
SEARCH("\",SUBSTITUTE(F3970," ","\",LEN(F3970)-LEN(SUBSTITUTE(F3970," ",""))-4)))*1)</f>
        <v>#VALUE!</v>
      </c>
      <c r="H3970" s="13" t="e">
        <f t="shared" ref="H3970:H4033" si="251">SUBSTITUTE(
RIGHT(F3970,LEN(F3970)-
FIND("\",SUBSTITUTE(F3970," ","\",LEN(F3970)-LEN(SUBSTITUTE(F3970," ",""))))),
".","")</f>
        <v>#VALUE!</v>
      </c>
    </row>
    <row r="3971" spans="2:8">
      <c r="B3971" s="11" t="str">
        <f t="shared" si="249"/>
        <v/>
      </c>
      <c r="C3971" s="11" t="str">
        <f t="shared" si="248"/>
        <v/>
      </c>
      <c r="F3971" s="10" t="str">
        <v/>
      </c>
      <c r="G3971" t="e">
        <f t="shared" si="250"/>
        <v>#VALUE!</v>
      </c>
      <c r="H3971" s="13" t="e">
        <f t="shared" si="251"/>
        <v>#VALUE!</v>
      </c>
    </row>
    <row r="3972" spans="2:8">
      <c r="B3972" s="11" t="str">
        <f t="shared" si="249"/>
        <v/>
      </c>
      <c r="C3972" s="11" t="str">
        <f t="shared" si="248"/>
        <v/>
      </c>
      <c r="F3972" s="10" t="str">
        <v/>
      </c>
      <c r="G3972" t="e">
        <f t="shared" si="250"/>
        <v>#VALUE!</v>
      </c>
      <c r="H3972" s="13" t="e">
        <f t="shared" si="251"/>
        <v>#VALUE!</v>
      </c>
    </row>
    <row r="3973" spans="2:8">
      <c r="B3973" s="11" t="str">
        <f t="shared" si="249"/>
        <v/>
      </c>
      <c r="C3973" s="11" t="str">
        <f t="shared" si="248"/>
        <v/>
      </c>
      <c r="F3973" s="10" t="str">
        <v/>
      </c>
      <c r="G3973" t="e">
        <f t="shared" si="250"/>
        <v>#VALUE!</v>
      </c>
      <c r="H3973" s="13" t="e">
        <f t="shared" si="251"/>
        <v>#VALUE!</v>
      </c>
    </row>
    <row r="3974" spans="2:8">
      <c r="B3974" s="11" t="str">
        <f t="shared" si="249"/>
        <v/>
      </c>
      <c r="C3974" s="11" t="str">
        <f t="shared" si="248"/>
        <v/>
      </c>
      <c r="F3974" s="10" t="str">
        <v/>
      </c>
      <c r="G3974" t="e">
        <f t="shared" si="250"/>
        <v>#VALUE!</v>
      </c>
      <c r="H3974" s="13" t="e">
        <f t="shared" si="251"/>
        <v>#VALUE!</v>
      </c>
    </row>
    <row r="3975" spans="2:8">
      <c r="B3975" s="11" t="str">
        <f t="shared" si="249"/>
        <v/>
      </c>
      <c r="C3975" s="11" t="str">
        <f t="shared" si="248"/>
        <v/>
      </c>
      <c r="F3975" s="10" t="str">
        <v/>
      </c>
      <c r="G3975" t="e">
        <f t="shared" si="250"/>
        <v>#VALUE!</v>
      </c>
      <c r="H3975" s="13" t="e">
        <f t="shared" si="251"/>
        <v>#VALUE!</v>
      </c>
    </row>
    <row r="3976" spans="2:8">
      <c r="B3976" s="11" t="str">
        <f t="shared" si="249"/>
        <v/>
      </c>
      <c r="C3976" s="11" t="str">
        <f t="shared" si="248"/>
        <v/>
      </c>
      <c r="F3976" s="10" t="str">
        <v/>
      </c>
      <c r="G3976" t="e">
        <f t="shared" si="250"/>
        <v>#VALUE!</v>
      </c>
      <c r="H3976" s="13" t="e">
        <f t="shared" si="251"/>
        <v>#VALUE!</v>
      </c>
    </row>
    <row r="3977" spans="2:8">
      <c r="B3977" s="11" t="str">
        <f t="shared" si="249"/>
        <v/>
      </c>
      <c r="C3977" s="11" t="str">
        <f t="shared" si="248"/>
        <v/>
      </c>
      <c r="F3977" s="10" t="str">
        <v/>
      </c>
      <c r="G3977" t="e">
        <f t="shared" si="250"/>
        <v>#VALUE!</v>
      </c>
      <c r="H3977" s="13" t="e">
        <f t="shared" si="251"/>
        <v>#VALUE!</v>
      </c>
    </row>
    <row r="3978" spans="2:8">
      <c r="B3978" s="11" t="str">
        <f t="shared" si="249"/>
        <v/>
      </c>
      <c r="C3978" s="11" t="str">
        <f t="shared" si="248"/>
        <v/>
      </c>
      <c r="F3978" s="10" t="str">
        <v/>
      </c>
      <c r="G3978" t="e">
        <f t="shared" si="250"/>
        <v>#VALUE!</v>
      </c>
      <c r="H3978" s="13" t="e">
        <f t="shared" si="251"/>
        <v>#VALUE!</v>
      </c>
    </row>
    <row r="3979" spans="2:8">
      <c r="B3979" s="11" t="str">
        <f t="shared" si="249"/>
        <v/>
      </c>
      <c r="C3979" s="11" t="str">
        <f t="shared" si="248"/>
        <v/>
      </c>
      <c r="F3979" s="10" t="str">
        <v/>
      </c>
      <c r="G3979" t="e">
        <f t="shared" si="250"/>
        <v>#VALUE!</v>
      </c>
      <c r="H3979" s="13" t="e">
        <f t="shared" si="251"/>
        <v>#VALUE!</v>
      </c>
    </row>
    <row r="3980" spans="2:8">
      <c r="B3980" s="11" t="str">
        <f t="shared" si="249"/>
        <v/>
      </c>
      <c r="C3980" s="11" t="str">
        <f t="shared" si="248"/>
        <v/>
      </c>
      <c r="F3980" s="10" t="str">
        <v/>
      </c>
      <c r="G3980" t="e">
        <f t="shared" si="250"/>
        <v>#VALUE!</v>
      </c>
      <c r="H3980" s="13" t="e">
        <f t="shared" si="251"/>
        <v>#VALUE!</v>
      </c>
    </row>
    <row r="3981" spans="2:8">
      <c r="B3981" s="11" t="str">
        <f t="shared" si="249"/>
        <v/>
      </c>
      <c r="C3981" s="11" t="str">
        <f t="shared" si="248"/>
        <v/>
      </c>
      <c r="F3981" s="10" t="str">
        <v/>
      </c>
      <c r="G3981" t="e">
        <f t="shared" si="250"/>
        <v>#VALUE!</v>
      </c>
      <c r="H3981" s="13" t="e">
        <f t="shared" si="251"/>
        <v>#VALUE!</v>
      </c>
    </row>
    <row r="3982" spans="2:8">
      <c r="B3982" s="11" t="str">
        <f t="shared" si="249"/>
        <v/>
      </c>
      <c r="C3982" s="11" t="str">
        <f t="shared" si="248"/>
        <v/>
      </c>
      <c r="F3982" s="10" t="str">
        <v/>
      </c>
      <c r="G3982" t="e">
        <f t="shared" si="250"/>
        <v>#VALUE!</v>
      </c>
      <c r="H3982" s="13" t="e">
        <f t="shared" si="251"/>
        <v>#VALUE!</v>
      </c>
    </row>
    <row r="3983" spans="2:8">
      <c r="B3983" s="11" t="str">
        <f t="shared" si="249"/>
        <v/>
      </c>
      <c r="C3983" s="11" t="str">
        <f t="shared" si="248"/>
        <v/>
      </c>
      <c r="F3983" s="10" t="str">
        <v/>
      </c>
      <c r="G3983" t="e">
        <f t="shared" si="250"/>
        <v>#VALUE!</v>
      </c>
      <c r="H3983" s="13" t="e">
        <f t="shared" si="251"/>
        <v>#VALUE!</v>
      </c>
    </row>
    <row r="3984" spans="2:8">
      <c r="B3984" s="11" t="str">
        <f t="shared" si="249"/>
        <v/>
      </c>
      <c r="C3984" s="11" t="str">
        <f t="shared" si="248"/>
        <v/>
      </c>
      <c r="F3984" s="10" t="str">
        <v/>
      </c>
      <c r="G3984" t="e">
        <f t="shared" si="250"/>
        <v>#VALUE!</v>
      </c>
      <c r="H3984" s="13" t="e">
        <f t="shared" si="251"/>
        <v>#VALUE!</v>
      </c>
    </row>
    <row r="3985" spans="2:8">
      <c r="B3985" s="11" t="str">
        <f t="shared" si="249"/>
        <v/>
      </c>
      <c r="C3985" s="11" t="str">
        <f t="shared" si="248"/>
        <v/>
      </c>
      <c r="F3985" s="10" t="str">
        <v/>
      </c>
      <c r="G3985" t="e">
        <f t="shared" si="250"/>
        <v>#VALUE!</v>
      </c>
      <c r="H3985" s="13" t="e">
        <f t="shared" si="251"/>
        <v>#VALUE!</v>
      </c>
    </row>
    <row r="3986" spans="2:8">
      <c r="B3986" s="11" t="str">
        <f t="shared" si="249"/>
        <v/>
      </c>
      <c r="C3986" s="11" t="str">
        <f t="shared" si="248"/>
        <v/>
      </c>
      <c r="F3986" s="10" t="str">
        <v/>
      </c>
      <c r="G3986" t="e">
        <f t="shared" si="250"/>
        <v>#VALUE!</v>
      </c>
      <c r="H3986" s="13" t="e">
        <f t="shared" si="251"/>
        <v>#VALUE!</v>
      </c>
    </row>
    <row r="3987" spans="2:8">
      <c r="B3987" s="11" t="str">
        <f t="shared" si="249"/>
        <v/>
      </c>
      <c r="C3987" s="11" t="str">
        <f t="shared" si="248"/>
        <v/>
      </c>
      <c r="F3987" s="10" t="str">
        <v/>
      </c>
      <c r="G3987" t="e">
        <f t="shared" si="250"/>
        <v>#VALUE!</v>
      </c>
      <c r="H3987" s="13" t="e">
        <f t="shared" si="251"/>
        <v>#VALUE!</v>
      </c>
    </row>
    <row r="3988" spans="2:8">
      <c r="B3988" s="11" t="str">
        <f t="shared" si="249"/>
        <v/>
      </c>
      <c r="C3988" s="11" t="str">
        <f t="shared" si="248"/>
        <v/>
      </c>
      <c r="F3988" s="10" t="str">
        <v/>
      </c>
      <c r="G3988" t="e">
        <f t="shared" si="250"/>
        <v>#VALUE!</v>
      </c>
      <c r="H3988" s="13" t="e">
        <f t="shared" si="251"/>
        <v>#VALUE!</v>
      </c>
    </row>
    <row r="3989" spans="2:8">
      <c r="B3989" s="11" t="str">
        <f t="shared" si="249"/>
        <v/>
      </c>
      <c r="C3989" s="11" t="str">
        <f t="shared" si="248"/>
        <v/>
      </c>
      <c r="F3989" s="10" t="str">
        <v/>
      </c>
      <c r="G3989" t="e">
        <f t="shared" si="250"/>
        <v>#VALUE!</v>
      </c>
      <c r="H3989" s="13" t="e">
        <f t="shared" si="251"/>
        <v>#VALUE!</v>
      </c>
    </row>
    <row r="3990" spans="2:8">
      <c r="B3990" s="11" t="str">
        <f t="shared" si="249"/>
        <v/>
      </c>
      <c r="C3990" s="11" t="str">
        <f t="shared" si="248"/>
        <v/>
      </c>
      <c r="F3990" s="10" t="str">
        <v/>
      </c>
      <c r="G3990" t="e">
        <f t="shared" si="250"/>
        <v>#VALUE!</v>
      </c>
      <c r="H3990" s="13" t="e">
        <f t="shared" si="251"/>
        <v>#VALUE!</v>
      </c>
    </row>
    <row r="3991" spans="2:8">
      <c r="B3991" s="11" t="str">
        <f t="shared" si="249"/>
        <v/>
      </c>
      <c r="C3991" s="11" t="str">
        <f t="shared" si="248"/>
        <v/>
      </c>
      <c r="F3991" s="10" t="str">
        <v/>
      </c>
      <c r="G3991" t="e">
        <f t="shared" si="250"/>
        <v>#VALUE!</v>
      </c>
      <c r="H3991" s="13" t="e">
        <f t="shared" si="251"/>
        <v>#VALUE!</v>
      </c>
    </row>
    <row r="3992" spans="2:8">
      <c r="B3992" s="11" t="str">
        <f t="shared" si="249"/>
        <v/>
      </c>
      <c r="C3992" s="11" t="str">
        <f t="shared" si="248"/>
        <v/>
      </c>
      <c r="F3992" s="10" t="str">
        <v/>
      </c>
      <c r="G3992" t="e">
        <f t="shared" si="250"/>
        <v>#VALUE!</v>
      </c>
      <c r="H3992" s="13" t="e">
        <f t="shared" si="251"/>
        <v>#VALUE!</v>
      </c>
    </row>
    <row r="3993" spans="2:8">
      <c r="B3993" s="11" t="str">
        <f t="shared" si="249"/>
        <v/>
      </c>
      <c r="C3993" s="11" t="str">
        <f t="shared" si="248"/>
        <v/>
      </c>
      <c r="F3993" s="10" t="str">
        <v/>
      </c>
      <c r="G3993" t="e">
        <f t="shared" si="250"/>
        <v>#VALUE!</v>
      </c>
      <c r="H3993" s="13" t="e">
        <f t="shared" si="251"/>
        <v>#VALUE!</v>
      </c>
    </row>
    <row r="3994" spans="2:8">
      <c r="B3994" s="11" t="str">
        <f t="shared" si="249"/>
        <v/>
      </c>
      <c r="C3994" s="11" t="str">
        <f t="shared" si="248"/>
        <v/>
      </c>
      <c r="F3994" s="10" t="str">
        <v/>
      </c>
      <c r="G3994" t="e">
        <f t="shared" si="250"/>
        <v>#VALUE!</v>
      </c>
      <c r="H3994" s="13" t="e">
        <f t="shared" si="251"/>
        <v>#VALUE!</v>
      </c>
    </row>
    <row r="3995" spans="2:8">
      <c r="B3995" s="11" t="str">
        <f t="shared" si="249"/>
        <v/>
      </c>
      <c r="C3995" s="11" t="str">
        <f t="shared" si="248"/>
        <v/>
      </c>
      <c r="F3995" s="10" t="str">
        <v/>
      </c>
      <c r="G3995" t="e">
        <f t="shared" si="250"/>
        <v>#VALUE!</v>
      </c>
      <c r="H3995" s="13" t="e">
        <f t="shared" si="251"/>
        <v>#VALUE!</v>
      </c>
    </row>
    <row r="3996" spans="2:8">
      <c r="B3996" s="11" t="str">
        <f t="shared" si="249"/>
        <v/>
      </c>
      <c r="C3996" s="11" t="str">
        <f t="shared" si="248"/>
        <v/>
      </c>
      <c r="F3996" s="10" t="str">
        <v/>
      </c>
      <c r="G3996" t="e">
        <f t="shared" si="250"/>
        <v>#VALUE!</v>
      </c>
      <c r="H3996" s="13" t="e">
        <f t="shared" si="251"/>
        <v>#VALUE!</v>
      </c>
    </row>
    <row r="3997" spans="2:8">
      <c r="B3997" s="11" t="str">
        <f t="shared" si="249"/>
        <v/>
      </c>
      <c r="C3997" s="11" t="str">
        <f t="shared" si="248"/>
        <v/>
      </c>
      <c r="F3997" s="10" t="str">
        <v/>
      </c>
      <c r="G3997" t="e">
        <f t="shared" si="250"/>
        <v>#VALUE!</v>
      </c>
      <c r="H3997" s="13" t="e">
        <f t="shared" si="251"/>
        <v>#VALUE!</v>
      </c>
    </row>
    <row r="3998" spans="2:8">
      <c r="B3998" s="11" t="str">
        <f t="shared" si="249"/>
        <v/>
      </c>
      <c r="C3998" s="11" t="str">
        <f t="shared" si="248"/>
        <v/>
      </c>
      <c r="F3998" s="10" t="str">
        <v/>
      </c>
      <c r="G3998" t="e">
        <f t="shared" si="250"/>
        <v>#VALUE!</v>
      </c>
      <c r="H3998" s="13" t="e">
        <f t="shared" si="251"/>
        <v>#VALUE!</v>
      </c>
    </row>
    <row r="3999" spans="2:8">
      <c r="B3999" s="11" t="str">
        <f t="shared" si="249"/>
        <v/>
      </c>
      <c r="C3999" s="11" t="str">
        <f t="shared" si="248"/>
        <v/>
      </c>
      <c r="F3999" s="10" t="str">
        <v/>
      </c>
      <c r="G3999" t="e">
        <f t="shared" si="250"/>
        <v>#VALUE!</v>
      </c>
      <c r="H3999" s="13" t="e">
        <f t="shared" si="251"/>
        <v>#VALUE!</v>
      </c>
    </row>
    <row r="4000" spans="2:8">
      <c r="B4000" s="11" t="str">
        <f t="shared" si="249"/>
        <v/>
      </c>
      <c r="C4000" s="11" t="str">
        <f t="shared" si="248"/>
        <v/>
      </c>
      <c r="F4000" s="10" t="str">
        <v/>
      </c>
      <c r="G4000" t="e">
        <f t="shared" si="250"/>
        <v>#VALUE!</v>
      </c>
      <c r="H4000" s="13" t="e">
        <f t="shared" si="251"/>
        <v>#VALUE!</v>
      </c>
    </row>
    <row r="4001" spans="2:8">
      <c r="B4001" s="11" t="str">
        <f t="shared" si="249"/>
        <v/>
      </c>
      <c r="C4001" s="11" t="str">
        <f t="shared" si="248"/>
        <v/>
      </c>
      <c r="F4001" s="10" t="str">
        <v/>
      </c>
      <c r="G4001" t="e">
        <f t="shared" si="250"/>
        <v>#VALUE!</v>
      </c>
      <c r="H4001" s="13" t="e">
        <f t="shared" si="251"/>
        <v>#VALUE!</v>
      </c>
    </row>
    <row r="4002" spans="2:8">
      <c r="B4002" s="11" t="str">
        <f t="shared" si="249"/>
        <v/>
      </c>
      <c r="C4002" s="11" t="str">
        <f t="shared" si="248"/>
        <v/>
      </c>
      <c r="F4002" s="10" t="str">
        <v/>
      </c>
      <c r="G4002" t="e">
        <f t="shared" si="250"/>
        <v>#VALUE!</v>
      </c>
      <c r="H4002" s="13" t="e">
        <f t="shared" si="251"/>
        <v>#VALUE!</v>
      </c>
    </row>
    <row r="4003" spans="2:8">
      <c r="B4003" s="11" t="str">
        <f t="shared" si="249"/>
        <v/>
      </c>
      <c r="C4003" s="11" t="str">
        <f t="shared" si="248"/>
        <v/>
      </c>
      <c r="F4003" s="10" t="str">
        <v/>
      </c>
      <c r="G4003" t="e">
        <f t="shared" si="250"/>
        <v>#VALUE!</v>
      </c>
      <c r="H4003" s="13" t="e">
        <f t="shared" si="251"/>
        <v>#VALUE!</v>
      </c>
    </row>
    <row r="4004" spans="2:8">
      <c r="B4004" s="11" t="str">
        <f t="shared" si="249"/>
        <v/>
      </c>
      <c r="C4004" s="11" t="str">
        <f t="shared" si="248"/>
        <v/>
      </c>
      <c r="F4004" s="10" t="str">
        <v/>
      </c>
      <c r="G4004" t="e">
        <f t="shared" si="250"/>
        <v>#VALUE!</v>
      </c>
      <c r="H4004" s="13" t="e">
        <f t="shared" si="251"/>
        <v>#VALUE!</v>
      </c>
    </row>
    <row r="4005" spans="2:8">
      <c r="B4005" s="11" t="str">
        <f t="shared" si="249"/>
        <v/>
      </c>
      <c r="C4005" s="11" t="str">
        <f t="shared" si="248"/>
        <v/>
      </c>
      <c r="F4005" s="10" t="str">
        <v/>
      </c>
      <c r="G4005" t="e">
        <f t="shared" si="250"/>
        <v>#VALUE!</v>
      </c>
      <c r="H4005" s="13" t="e">
        <f t="shared" si="251"/>
        <v>#VALUE!</v>
      </c>
    </row>
    <row r="4006" spans="2:8">
      <c r="B4006" s="11" t="str">
        <f t="shared" si="249"/>
        <v/>
      </c>
      <c r="C4006" s="11" t="str">
        <f t="shared" si="248"/>
        <v/>
      </c>
      <c r="F4006" s="10" t="str">
        <v/>
      </c>
      <c r="G4006" t="e">
        <f t="shared" si="250"/>
        <v>#VALUE!</v>
      </c>
      <c r="H4006" s="13" t="e">
        <f t="shared" si="251"/>
        <v>#VALUE!</v>
      </c>
    </row>
    <row r="4007" spans="2:8">
      <c r="B4007" s="11" t="str">
        <f t="shared" si="249"/>
        <v/>
      </c>
      <c r="C4007" s="11" t="str">
        <f t="shared" si="248"/>
        <v/>
      </c>
      <c r="F4007" s="10" t="str">
        <v/>
      </c>
      <c r="G4007" t="e">
        <f t="shared" si="250"/>
        <v>#VALUE!</v>
      </c>
      <c r="H4007" s="13" t="e">
        <f t="shared" si="251"/>
        <v>#VALUE!</v>
      </c>
    </row>
    <row r="4008" spans="2:8">
      <c r="B4008" s="11" t="str">
        <f t="shared" si="249"/>
        <v/>
      </c>
      <c r="C4008" s="11" t="str">
        <f t="shared" si="248"/>
        <v/>
      </c>
      <c r="F4008" s="10" t="str">
        <v/>
      </c>
      <c r="G4008" t="e">
        <f t="shared" si="250"/>
        <v>#VALUE!</v>
      </c>
      <c r="H4008" s="13" t="e">
        <f t="shared" si="251"/>
        <v>#VALUE!</v>
      </c>
    </row>
    <row r="4009" spans="2:8">
      <c r="B4009" s="11" t="str">
        <f t="shared" si="249"/>
        <v/>
      </c>
      <c r="C4009" s="11" t="str">
        <f t="shared" ref="C4009:C4072" si="252">IF(B4009="артикул",A4009,"")</f>
        <v/>
      </c>
      <c r="F4009" s="10" t="str">
        <v/>
      </c>
      <c r="G4009" t="e">
        <f t="shared" si="250"/>
        <v>#VALUE!</v>
      </c>
      <c r="H4009" s="13" t="e">
        <f t="shared" si="251"/>
        <v>#VALUE!</v>
      </c>
    </row>
    <row r="4010" spans="2:8">
      <c r="B4010" s="11" t="str">
        <f t="shared" si="249"/>
        <v/>
      </c>
      <c r="C4010" s="11" t="str">
        <f t="shared" si="252"/>
        <v/>
      </c>
      <c r="F4010" s="10" t="str">
        <v/>
      </c>
      <c r="G4010" t="e">
        <f t="shared" si="250"/>
        <v>#VALUE!</v>
      </c>
      <c r="H4010" s="13" t="e">
        <f t="shared" si="251"/>
        <v>#VALUE!</v>
      </c>
    </row>
    <row r="4011" spans="2:8">
      <c r="B4011" s="11" t="str">
        <f t="shared" si="249"/>
        <v/>
      </c>
      <c r="C4011" s="11" t="str">
        <f t="shared" si="252"/>
        <v/>
      </c>
      <c r="F4011" s="10" t="str">
        <v/>
      </c>
      <c r="G4011" t="e">
        <f t="shared" si="250"/>
        <v>#VALUE!</v>
      </c>
      <c r="H4011" s="13" t="e">
        <f t="shared" si="251"/>
        <v>#VALUE!</v>
      </c>
    </row>
    <row r="4012" spans="2:8">
      <c r="B4012" s="11" t="str">
        <f t="shared" si="249"/>
        <v/>
      </c>
      <c r="C4012" s="11" t="str">
        <f t="shared" si="252"/>
        <v/>
      </c>
      <c r="F4012" s="10" t="str">
        <v/>
      </c>
      <c r="G4012" t="e">
        <f t="shared" si="250"/>
        <v>#VALUE!</v>
      </c>
      <c r="H4012" s="13" t="e">
        <f t="shared" si="251"/>
        <v>#VALUE!</v>
      </c>
    </row>
    <row r="4013" spans="2:8">
      <c r="B4013" s="11" t="str">
        <f t="shared" si="249"/>
        <v/>
      </c>
      <c r="C4013" s="11" t="str">
        <f t="shared" si="252"/>
        <v/>
      </c>
      <c r="F4013" s="10" t="str">
        <v/>
      </c>
      <c r="G4013" t="e">
        <f t="shared" si="250"/>
        <v>#VALUE!</v>
      </c>
      <c r="H4013" s="13" t="e">
        <f t="shared" si="251"/>
        <v>#VALUE!</v>
      </c>
    </row>
    <row r="4014" spans="2:8">
      <c r="B4014" s="11" t="str">
        <f t="shared" si="249"/>
        <v/>
      </c>
      <c r="C4014" s="11" t="str">
        <f t="shared" si="252"/>
        <v/>
      </c>
      <c r="F4014" s="10" t="str">
        <v/>
      </c>
      <c r="G4014" t="e">
        <f t="shared" si="250"/>
        <v>#VALUE!</v>
      </c>
      <c r="H4014" s="13" t="e">
        <f t="shared" si="251"/>
        <v>#VALUE!</v>
      </c>
    </row>
    <row r="4015" spans="2:8">
      <c r="B4015" s="11" t="str">
        <f t="shared" si="249"/>
        <v/>
      </c>
      <c r="C4015" s="11" t="str">
        <f t="shared" si="252"/>
        <v/>
      </c>
      <c r="F4015" s="10" t="str">
        <v/>
      </c>
      <c r="G4015" t="e">
        <f t="shared" si="250"/>
        <v>#VALUE!</v>
      </c>
      <c r="H4015" s="13" t="e">
        <f t="shared" si="251"/>
        <v>#VALUE!</v>
      </c>
    </row>
    <row r="4016" spans="2:8">
      <c r="B4016" s="11" t="str">
        <f t="shared" si="249"/>
        <v/>
      </c>
      <c r="C4016" s="11" t="str">
        <f t="shared" si="252"/>
        <v/>
      </c>
      <c r="F4016" s="10" t="str">
        <v/>
      </c>
      <c r="G4016" t="e">
        <f t="shared" si="250"/>
        <v>#VALUE!</v>
      </c>
      <c r="H4016" s="13" t="e">
        <f t="shared" si="251"/>
        <v>#VALUE!</v>
      </c>
    </row>
    <row r="4017" spans="2:8">
      <c r="B4017" s="11" t="str">
        <f t="shared" si="249"/>
        <v/>
      </c>
      <c r="C4017" s="11" t="str">
        <f t="shared" si="252"/>
        <v/>
      </c>
      <c r="F4017" s="10" t="str">
        <v/>
      </c>
      <c r="G4017" t="e">
        <f t="shared" si="250"/>
        <v>#VALUE!</v>
      </c>
      <c r="H4017" s="13" t="e">
        <f t="shared" si="251"/>
        <v>#VALUE!</v>
      </c>
    </row>
    <row r="4018" spans="2:8">
      <c r="B4018" s="11" t="str">
        <f t="shared" si="249"/>
        <v/>
      </c>
      <c r="C4018" s="11" t="str">
        <f t="shared" si="252"/>
        <v/>
      </c>
      <c r="F4018" s="10" t="str">
        <v/>
      </c>
      <c r="G4018" t="e">
        <f t="shared" si="250"/>
        <v>#VALUE!</v>
      </c>
      <c r="H4018" s="13" t="e">
        <f t="shared" si="251"/>
        <v>#VALUE!</v>
      </c>
    </row>
    <row r="4019" spans="2:8">
      <c r="B4019" s="11" t="str">
        <f t="shared" si="249"/>
        <v/>
      </c>
      <c r="C4019" s="11" t="str">
        <f t="shared" si="252"/>
        <v/>
      </c>
      <c r="F4019" s="10" t="str">
        <v/>
      </c>
      <c r="G4019" t="e">
        <f t="shared" si="250"/>
        <v>#VALUE!</v>
      </c>
      <c r="H4019" s="13" t="e">
        <f t="shared" si="251"/>
        <v>#VALUE!</v>
      </c>
    </row>
    <row r="4020" spans="2:8">
      <c r="B4020" s="11" t="str">
        <f t="shared" si="249"/>
        <v/>
      </c>
      <c r="C4020" s="11" t="str">
        <f t="shared" si="252"/>
        <v/>
      </c>
      <c r="F4020" s="10" t="str">
        <v/>
      </c>
      <c r="G4020" t="e">
        <f t="shared" si="250"/>
        <v>#VALUE!</v>
      </c>
      <c r="H4020" s="13" t="e">
        <f t="shared" si="251"/>
        <v>#VALUE!</v>
      </c>
    </row>
    <row r="4021" spans="2:8">
      <c r="B4021" s="11" t="str">
        <f t="shared" si="249"/>
        <v/>
      </c>
      <c r="C4021" s="11" t="str">
        <f t="shared" si="252"/>
        <v/>
      </c>
      <c r="F4021" s="10" t="str">
        <v/>
      </c>
      <c r="G4021" t="e">
        <f t="shared" si="250"/>
        <v>#VALUE!</v>
      </c>
      <c r="H4021" s="13" t="e">
        <f t="shared" si="251"/>
        <v>#VALUE!</v>
      </c>
    </row>
    <row r="4022" spans="2:8">
      <c r="B4022" s="11" t="str">
        <f t="shared" si="249"/>
        <v/>
      </c>
      <c r="C4022" s="11" t="str">
        <f t="shared" si="252"/>
        <v/>
      </c>
      <c r="F4022" s="10" t="str">
        <v/>
      </c>
      <c r="G4022" t="e">
        <f t="shared" si="250"/>
        <v>#VALUE!</v>
      </c>
      <c r="H4022" s="13" t="e">
        <f t="shared" si="251"/>
        <v>#VALUE!</v>
      </c>
    </row>
    <row r="4023" spans="2:8">
      <c r="B4023" s="11" t="str">
        <f t="shared" si="249"/>
        <v/>
      </c>
      <c r="C4023" s="11" t="str">
        <f t="shared" si="252"/>
        <v/>
      </c>
      <c r="F4023" s="10" t="str">
        <v/>
      </c>
      <c r="G4023" t="e">
        <f t="shared" si="250"/>
        <v>#VALUE!</v>
      </c>
      <c r="H4023" s="13" t="e">
        <f t="shared" si="251"/>
        <v>#VALUE!</v>
      </c>
    </row>
    <row r="4024" spans="2:8">
      <c r="B4024" s="11" t="str">
        <f t="shared" si="249"/>
        <v/>
      </c>
      <c r="C4024" s="11" t="str">
        <f t="shared" si="252"/>
        <v/>
      </c>
      <c r="F4024" s="10" t="str">
        <v/>
      </c>
      <c r="G4024" t="e">
        <f t="shared" si="250"/>
        <v>#VALUE!</v>
      </c>
      <c r="H4024" s="13" t="e">
        <f t="shared" si="251"/>
        <v>#VALUE!</v>
      </c>
    </row>
    <row r="4025" spans="2:8">
      <c r="B4025" s="11" t="str">
        <f t="shared" si="249"/>
        <v/>
      </c>
      <c r="C4025" s="11" t="str">
        <f t="shared" si="252"/>
        <v/>
      </c>
      <c r="F4025" s="10" t="str">
        <v/>
      </c>
      <c r="G4025" t="e">
        <f t="shared" si="250"/>
        <v>#VALUE!</v>
      </c>
      <c r="H4025" s="13" t="e">
        <f t="shared" si="251"/>
        <v>#VALUE!</v>
      </c>
    </row>
    <row r="4026" spans="2:8">
      <c r="B4026" s="11" t="str">
        <f t="shared" si="249"/>
        <v/>
      </c>
      <c r="C4026" s="11" t="str">
        <f t="shared" si="252"/>
        <v/>
      </c>
      <c r="F4026" s="10" t="str">
        <v/>
      </c>
      <c r="G4026" t="e">
        <f t="shared" si="250"/>
        <v>#VALUE!</v>
      </c>
      <c r="H4026" s="13" t="e">
        <f t="shared" si="251"/>
        <v>#VALUE!</v>
      </c>
    </row>
    <row r="4027" spans="2:8">
      <c r="B4027" s="11" t="str">
        <f t="shared" si="249"/>
        <v/>
      </c>
      <c r="C4027" s="11" t="str">
        <f t="shared" si="252"/>
        <v/>
      </c>
      <c r="F4027" s="10" t="str">
        <v/>
      </c>
      <c r="G4027" t="e">
        <f t="shared" si="250"/>
        <v>#VALUE!</v>
      </c>
      <c r="H4027" s="13" t="e">
        <f t="shared" si="251"/>
        <v>#VALUE!</v>
      </c>
    </row>
    <row r="4028" spans="2:8">
      <c r="B4028" s="11" t="str">
        <f t="shared" si="249"/>
        <v/>
      </c>
      <c r="C4028" s="11" t="str">
        <f t="shared" si="252"/>
        <v/>
      </c>
      <c r="F4028" s="10" t="str">
        <v/>
      </c>
      <c r="G4028" t="e">
        <f t="shared" si="250"/>
        <v>#VALUE!</v>
      </c>
      <c r="H4028" s="13" t="e">
        <f t="shared" si="251"/>
        <v>#VALUE!</v>
      </c>
    </row>
    <row r="4029" spans="2:8">
      <c r="B4029" s="11" t="str">
        <f t="shared" si="249"/>
        <v/>
      </c>
      <c r="C4029" s="11" t="str">
        <f t="shared" si="252"/>
        <v/>
      </c>
      <c r="F4029" s="10" t="str">
        <v/>
      </c>
      <c r="G4029" t="e">
        <f t="shared" si="250"/>
        <v>#VALUE!</v>
      </c>
      <c r="H4029" s="13" t="e">
        <f t="shared" si="251"/>
        <v>#VALUE!</v>
      </c>
    </row>
    <row r="4030" spans="2:8">
      <c r="B4030" s="11" t="str">
        <f t="shared" si="249"/>
        <v/>
      </c>
      <c r="C4030" s="11" t="str">
        <f t="shared" si="252"/>
        <v/>
      </c>
      <c r="F4030" s="10" t="str">
        <v/>
      </c>
      <c r="G4030" t="e">
        <f t="shared" si="250"/>
        <v>#VALUE!</v>
      </c>
      <c r="H4030" s="13" t="e">
        <f t="shared" si="251"/>
        <v>#VALUE!</v>
      </c>
    </row>
    <row r="4031" spans="2:8">
      <c r="B4031" s="11" t="str">
        <f t="shared" si="249"/>
        <v/>
      </c>
      <c r="C4031" s="11" t="str">
        <f t="shared" si="252"/>
        <v/>
      </c>
      <c r="F4031" s="10" t="str">
        <v/>
      </c>
      <c r="G4031" t="e">
        <f t="shared" si="250"/>
        <v>#VALUE!</v>
      </c>
      <c r="H4031" s="13" t="e">
        <f t="shared" si="251"/>
        <v>#VALUE!</v>
      </c>
    </row>
    <row r="4032" spans="2:8">
      <c r="B4032" s="11" t="str">
        <f t="shared" si="249"/>
        <v/>
      </c>
      <c r="C4032" s="11" t="str">
        <f t="shared" si="252"/>
        <v/>
      </c>
      <c r="F4032" s="10" t="str">
        <v/>
      </c>
      <c r="G4032" t="e">
        <f t="shared" si="250"/>
        <v>#VALUE!</v>
      </c>
      <c r="H4032" s="13" t="e">
        <f t="shared" si="251"/>
        <v>#VALUE!</v>
      </c>
    </row>
    <row r="4033" spans="2:8">
      <c r="B4033" s="11" t="str">
        <f t="shared" ref="B4033:B4096" si="253">IFERROR(IF(FIND(" ",A4033)=6,IF(IFERROR(FIND(" PB",A4033),"")&lt;&gt;"","артикул",IF(IFERROR(FIND(" CRN",A4033),"")&lt;&gt;"","артикул","")),""),"")</f>
        <v/>
      </c>
      <c r="C4033" s="11" t="str">
        <f t="shared" si="252"/>
        <v/>
      </c>
      <c r="F4033" s="10" t="str">
        <v/>
      </c>
      <c r="G4033" t="e">
        <f t="shared" si="250"/>
        <v>#VALUE!</v>
      </c>
      <c r="H4033" s="13" t="e">
        <f t="shared" si="251"/>
        <v>#VALUE!</v>
      </c>
    </row>
    <row r="4034" spans="2:8">
      <c r="B4034" s="11" t="str">
        <f t="shared" si="253"/>
        <v/>
      </c>
      <c r="C4034" s="11" t="str">
        <f t="shared" si="252"/>
        <v/>
      </c>
      <c r="F4034" s="10" t="str">
        <v/>
      </c>
      <c r="G4034" t="e">
        <f t="shared" ref="G4034:G4097" si="254">CONCATENATE(LEFT(F4034,5),
MID(F4034,
SEARCH("\",SUBSTITUTE(F4034," ","\",LEN(F4034)-LEN(SUBSTITUTE(F4034," ",""))-4)),
SEARCH("\",SUBSTITUTE(F4034," ","\",LEN(F4034)-LEN(SUBSTITUTE(F4034," ",""))-3))-
SEARCH("\",SUBSTITUTE(F4034," ","\",LEN(F4034)-LEN(SUBSTITUTE(F4034," ",""))-4)))*1)</f>
        <v>#VALUE!</v>
      </c>
      <c r="H4034" s="13" t="e">
        <f t="shared" ref="H4034:H4097" si="255">SUBSTITUTE(
RIGHT(F4034,LEN(F4034)-
FIND("\",SUBSTITUTE(F4034," ","\",LEN(F4034)-LEN(SUBSTITUTE(F4034," ",""))))),
".","")</f>
        <v>#VALUE!</v>
      </c>
    </row>
    <row r="4035" spans="2:8">
      <c r="B4035" s="11" t="str">
        <f t="shared" si="253"/>
        <v/>
      </c>
      <c r="C4035" s="11" t="str">
        <f t="shared" si="252"/>
        <v/>
      </c>
      <c r="F4035" s="10" t="str">
        <v/>
      </c>
      <c r="G4035" t="e">
        <f t="shared" si="254"/>
        <v>#VALUE!</v>
      </c>
      <c r="H4035" s="13" t="e">
        <f t="shared" si="255"/>
        <v>#VALUE!</v>
      </c>
    </row>
    <row r="4036" spans="2:8">
      <c r="B4036" s="11" t="str">
        <f t="shared" si="253"/>
        <v/>
      </c>
      <c r="C4036" s="11" t="str">
        <f t="shared" si="252"/>
        <v/>
      </c>
      <c r="F4036" s="10" t="str">
        <v/>
      </c>
      <c r="G4036" t="e">
        <f t="shared" si="254"/>
        <v>#VALUE!</v>
      </c>
      <c r="H4036" s="13" t="e">
        <f t="shared" si="255"/>
        <v>#VALUE!</v>
      </c>
    </row>
    <row r="4037" spans="2:8">
      <c r="B4037" s="11" t="str">
        <f t="shared" si="253"/>
        <v/>
      </c>
      <c r="C4037" s="11" t="str">
        <f t="shared" si="252"/>
        <v/>
      </c>
      <c r="F4037" s="10" t="str">
        <v/>
      </c>
      <c r="G4037" t="e">
        <f t="shared" si="254"/>
        <v>#VALUE!</v>
      </c>
      <c r="H4037" s="13" t="e">
        <f t="shared" si="255"/>
        <v>#VALUE!</v>
      </c>
    </row>
    <row r="4038" spans="2:8">
      <c r="B4038" s="11" t="str">
        <f t="shared" si="253"/>
        <v/>
      </c>
      <c r="C4038" s="11" t="str">
        <f t="shared" si="252"/>
        <v/>
      </c>
      <c r="F4038" s="10" t="str">
        <v/>
      </c>
      <c r="G4038" t="e">
        <f t="shared" si="254"/>
        <v>#VALUE!</v>
      </c>
      <c r="H4038" s="13" t="e">
        <f t="shared" si="255"/>
        <v>#VALUE!</v>
      </c>
    </row>
    <row r="4039" spans="2:8">
      <c r="B4039" s="11" t="str">
        <f t="shared" si="253"/>
        <v/>
      </c>
      <c r="C4039" s="11" t="str">
        <f t="shared" si="252"/>
        <v/>
      </c>
      <c r="F4039" s="10" t="str">
        <v/>
      </c>
      <c r="G4039" t="e">
        <f t="shared" si="254"/>
        <v>#VALUE!</v>
      </c>
      <c r="H4039" s="13" t="e">
        <f t="shared" si="255"/>
        <v>#VALUE!</v>
      </c>
    </row>
    <row r="4040" spans="2:8">
      <c r="B4040" s="11" t="str">
        <f t="shared" si="253"/>
        <v/>
      </c>
      <c r="C4040" s="11" t="str">
        <f t="shared" si="252"/>
        <v/>
      </c>
      <c r="F4040" s="10" t="str">
        <v/>
      </c>
      <c r="G4040" t="e">
        <f t="shared" si="254"/>
        <v>#VALUE!</v>
      </c>
      <c r="H4040" s="13" t="e">
        <f t="shared" si="255"/>
        <v>#VALUE!</v>
      </c>
    </row>
    <row r="4041" spans="2:8">
      <c r="B4041" s="11" t="str">
        <f t="shared" si="253"/>
        <v/>
      </c>
      <c r="C4041" s="11" t="str">
        <f t="shared" si="252"/>
        <v/>
      </c>
      <c r="F4041" s="10" t="str">
        <v/>
      </c>
      <c r="G4041" t="e">
        <f t="shared" si="254"/>
        <v>#VALUE!</v>
      </c>
      <c r="H4041" s="13" t="e">
        <f t="shared" si="255"/>
        <v>#VALUE!</v>
      </c>
    </row>
    <row r="4042" spans="2:8">
      <c r="B4042" s="11" t="str">
        <f t="shared" si="253"/>
        <v/>
      </c>
      <c r="C4042" s="11" t="str">
        <f t="shared" si="252"/>
        <v/>
      </c>
      <c r="F4042" s="10" t="str">
        <v/>
      </c>
      <c r="G4042" t="e">
        <f t="shared" si="254"/>
        <v>#VALUE!</v>
      </c>
      <c r="H4042" s="13" t="e">
        <f t="shared" si="255"/>
        <v>#VALUE!</v>
      </c>
    </row>
    <row r="4043" spans="2:8">
      <c r="B4043" s="11" t="str">
        <f t="shared" si="253"/>
        <v/>
      </c>
      <c r="C4043" s="11" t="str">
        <f t="shared" si="252"/>
        <v/>
      </c>
      <c r="F4043" s="10" t="str">
        <v/>
      </c>
      <c r="G4043" t="e">
        <f t="shared" si="254"/>
        <v>#VALUE!</v>
      </c>
      <c r="H4043" s="13" t="e">
        <f t="shared" si="255"/>
        <v>#VALUE!</v>
      </c>
    </row>
    <row r="4044" spans="2:8">
      <c r="B4044" s="11" t="str">
        <f t="shared" si="253"/>
        <v/>
      </c>
      <c r="C4044" s="11" t="str">
        <f t="shared" si="252"/>
        <v/>
      </c>
      <c r="F4044" s="10" t="str">
        <v/>
      </c>
      <c r="G4044" t="e">
        <f t="shared" si="254"/>
        <v>#VALUE!</v>
      </c>
      <c r="H4044" s="13" t="e">
        <f t="shared" si="255"/>
        <v>#VALUE!</v>
      </c>
    </row>
    <row r="4045" spans="2:8">
      <c r="B4045" s="11" t="str">
        <f t="shared" si="253"/>
        <v/>
      </c>
      <c r="C4045" s="11" t="str">
        <f t="shared" si="252"/>
        <v/>
      </c>
      <c r="F4045" s="10" t="str">
        <v/>
      </c>
      <c r="G4045" t="e">
        <f t="shared" si="254"/>
        <v>#VALUE!</v>
      </c>
      <c r="H4045" s="13" t="e">
        <f t="shared" si="255"/>
        <v>#VALUE!</v>
      </c>
    </row>
    <row r="4046" spans="2:8">
      <c r="B4046" s="11" t="str">
        <f t="shared" si="253"/>
        <v/>
      </c>
      <c r="C4046" s="11" t="str">
        <f t="shared" si="252"/>
        <v/>
      </c>
      <c r="F4046" s="10" t="str">
        <v/>
      </c>
      <c r="G4046" t="e">
        <f t="shared" si="254"/>
        <v>#VALUE!</v>
      </c>
      <c r="H4046" s="13" t="e">
        <f t="shared" si="255"/>
        <v>#VALUE!</v>
      </c>
    </row>
    <row r="4047" spans="2:8">
      <c r="B4047" s="11" t="str">
        <f t="shared" si="253"/>
        <v/>
      </c>
      <c r="C4047" s="11" t="str">
        <f t="shared" si="252"/>
        <v/>
      </c>
      <c r="F4047" s="10" t="str">
        <v/>
      </c>
      <c r="G4047" t="e">
        <f t="shared" si="254"/>
        <v>#VALUE!</v>
      </c>
      <c r="H4047" s="13" t="e">
        <f t="shared" si="255"/>
        <v>#VALUE!</v>
      </c>
    </row>
    <row r="4048" spans="2:8">
      <c r="B4048" s="11" t="str">
        <f t="shared" si="253"/>
        <v/>
      </c>
      <c r="C4048" s="11" t="str">
        <f t="shared" si="252"/>
        <v/>
      </c>
      <c r="F4048" s="10" t="str">
        <v/>
      </c>
      <c r="G4048" t="e">
        <f t="shared" si="254"/>
        <v>#VALUE!</v>
      </c>
      <c r="H4048" s="13" t="e">
        <f t="shared" si="255"/>
        <v>#VALUE!</v>
      </c>
    </row>
    <row r="4049" spans="2:8">
      <c r="B4049" s="11" t="str">
        <f t="shared" si="253"/>
        <v/>
      </c>
      <c r="C4049" s="11" t="str">
        <f t="shared" si="252"/>
        <v/>
      </c>
      <c r="F4049" s="10" t="str">
        <v/>
      </c>
      <c r="G4049" t="e">
        <f t="shared" si="254"/>
        <v>#VALUE!</v>
      </c>
      <c r="H4049" s="13" t="e">
        <f t="shared" si="255"/>
        <v>#VALUE!</v>
      </c>
    </row>
    <row r="4050" spans="2:8">
      <c r="B4050" s="11" t="str">
        <f t="shared" si="253"/>
        <v/>
      </c>
      <c r="C4050" s="11" t="str">
        <f t="shared" si="252"/>
        <v/>
      </c>
      <c r="F4050" s="10" t="str">
        <v/>
      </c>
      <c r="G4050" t="e">
        <f t="shared" si="254"/>
        <v>#VALUE!</v>
      </c>
      <c r="H4050" s="13" t="e">
        <f t="shared" si="255"/>
        <v>#VALUE!</v>
      </c>
    </row>
    <row r="4051" spans="2:8">
      <c r="B4051" s="11" t="str">
        <f t="shared" si="253"/>
        <v/>
      </c>
      <c r="C4051" s="11" t="str">
        <f t="shared" si="252"/>
        <v/>
      </c>
      <c r="F4051" s="10" t="str">
        <v/>
      </c>
      <c r="G4051" t="e">
        <f t="shared" si="254"/>
        <v>#VALUE!</v>
      </c>
      <c r="H4051" s="13" t="e">
        <f t="shared" si="255"/>
        <v>#VALUE!</v>
      </c>
    </row>
    <row r="4052" spans="2:8">
      <c r="B4052" s="11" t="str">
        <f t="shared" si="253"/>
        <v/>
      </c>
      <c r="C4052" s="11" t="str">
        <f t="shared" si="252"/>
        <v/>
      </c>
      <c r="F4052" s="10" t="str">
        <v/>
      </c>
      <c r="G4052" t="e">
        <f t="shared" si="254"/>
        <v>#VALUE!</v>
      </c>
      <c r="H4052" s="13" t="e">
        <f t="shared" si="255"/>
        <v>#VALUE!</v>
      </c>
    </row>
    <row r="4053" spans="2:8">
      <c r="B4053" s="11" t="str">
        <f t="shared" si="253"/>
        <v/>
      </c>
      <c r="C4053" s="11" t="str">
        <f t="shared" si="252"/>
        <v/>
      </c>
      <c r="F4053" s="10" t="str">
        <v/>
      </c>
      <c r="G4053" t="e">
        <f t="shared" si="254"/>
        <v>#VALUE!</v>
      </c>
      <c r="H4053" s="13" t="e">
        <f t="shared" si="255"/>
        <v>#VALUE!</v>
      </c>
    </row>
    <row r="4054" spans="2:8">
      <c r="B4054" s="11" t="str">
        <f t="shared" si="253"/>
        <v/>
      </c>
      <c r="C4054" s="11" t="str">
        <f t="shared" si="252"/>
        <v/>
      </c>
      <c r="F4054" s="10" t="str">
        <v/>
      </c>
      <c r="G4054" t="e">
        <f t="shared" si="254"/>
        <v>#VALUE!</v>
      </c>
      <c r="H4054" s="13" t="e">
        <f t="shared" si="255"/>
        <v>#VALUE!</v>
      </c>
    </row>
    <row r="4055" spans="2:8">
      <c r="B4055" s="11" t="str">
        <f t="shared" si="253"/>
        <v/>
      </c>
      <c r="C4055" s="11" t="str">
        <f t="shared" si="252"/>
        <v/>
      </c>
      <c r="F4055" s="10" t="str">
        <v/>
      </c>
      <c r="G4055" t="e">
        <f t="shared" si="254"/>
        <v>#VALUE!</v>
      </c>
      <c r="H4055" s="13" t="e">
        <f t="shared" si="255"/>
        <v>#VALUE!</v>
      </c>
    </row>
    <row r="4056" spans="2:8">
      <c r="B4056" s="11" t="str">
        <f t="shared" si="253"/>
        <v/>
      </c>
      <c r="C4056" s="11" t="str">
        <f t="shared" si="252"/>
        <v/>
      </c>
      <c r="F4056" s="10" t="str">
        <v/>
      </c>
      <c r="G4056" t="e">
        <f t="shared" si="254"/>
        <v>#VALUE!</v>
      </c>
      <c r="H4056" s="13" t="e">
        <f t="shared" si="255"/>
        <v>#VALUE!</v>
      </c>
    </row>
    <row r="4057" spans="2:8">
      <c r="B4057" s="11" t="str">
        <f t="shared" si="253"/>
        <v/>
      </c>
      <c r="C4057" s="11" t="str">
        <f t="shared" si="252"/>
        <v/>
      </c>
      <c r="F4057" s="10" t="str">
        <v/>
      </c>
      <c r="G4057" t="e">
        <f t="shared" si="254"/>
        <v>#VALUE!</v>
      </c>
      <c r="H4057" s="13" t="e">
        <f t="shared" si="255"/>
        <v>#VALUE!</v>
      </c>
    </row>
    <row r="4058" spans="2:8">
      <c r="B4058" s="11" t="str">
        <f t="shared" si="253"/>
        <v/>
      </c>
      <c r="C4058" s="11" t="str">
        <f t="shared" si="252"/>
        <v/>
      </c>
      <c r="F4058" s="10" t="str">
        <v/>
      </c>
      <c r="G4058" t="e">
        <f t="shared" si="254"/>
        <v>#VALUE!</v>
      </c>
      <c r="H4058" s="13" t="e">
        <f t="shared" si="255"/>
        <v>#VALUE!</v>
      </c>
    </row>
    <row r="4059" spans="2:8">
      <c r="B4059" s="11" t="str">
        <f t="shared" si="253"/>
        <v/>
      </c>
      <c r="C4059" s="11" t="str">
        <f t="shared" si="252"/>
        <v/>
      </c>
      <c r="F4059" s="10" t="str">
        <v/>
      </c>
      <c r="G4059" t="e">
        <f t="shared" si="254"/>
        <v>#VALUE!</v>
      </c>
      <c r="H4059" s="13" t="e">
        <f t="shared" si="255"/>
        <v>#VALUE!</v>
      </c>
    </row>
    <row r="4060" spans="2:8">
      <c r="B4060" s="11" t="str">
        <f t="shared" si="253"/>
        <v/>
      </c>
      <c r="C4060" s="11" t="str">
        <f t="shared" si="252"/>
        <v/>
      </c>
      <c r="F4060" s="10" t="str">
        <v/>
      </c>
      <c r="G4060" t="e">
        <f t="shared" si="254"/>
        <v>#VALUE!</v>
      </c>
      <c r="H4060" s="13" t="e">
        <f t="shared" si="255"/>
        <v>#VALUE!</v>
      </c>
    </row>
    <row r="4061" spans="2:8">
      <c r="B4061" s="11" t="str">
        <f t="shared" si="253"/>
        <v/>
      </c>
      <c r="C4061" s="11" t="str">
        <f t="shared" si="252"/>
        <v/>
      </c>
      <c r="F4061" s="10" t="str">
        <v/>
      </c>
      <c r="G4061" t="e">
        <f t="shared" si="254"/>
        <v>#VALUE!</v>
      </c>
      <c r="H4061" s="13" t="e">
        <f t="shared" si="255"/>
        <v>#VALUE!</v>
      </c>
    </row>
    <row r="4062" spans="2:8">
      <c r="B4062" s="11" t="str">
        <f t="shared" si="253"/>
        <v/>
      </c>
      <c r="C4062" s="11" t="str">
        <f t="shared" si="252"/>
        <v/>
      </c>
      <c r="F4062" s="10" t="str">
        <v/>
      </c>
      <c r="G4062" t="e">
        <f t="shared" si="254"/>
        <v>#VALUE!</v>
      </c>
      <c r="H4062" s="13" t="e">
        <f t="shared" si="255"/>
        <v>#VALUE!</v>
      </c>
    </row>
    <row r="4063" spans="2:8">
      <c r="B4063" s="11" t="str">
        <f t="shared" si="253"/>
        <v/>
      </c>
      <c r="C4063" s="11" t="str">
        <f t="shared" si="252"/>
        <v/>
      </c>
      <c r="F4063" s="10" t="str">
        <v/>
      </c>
      <c r="G4063" t="e">
        <f t="shared" si="254"/>
        <v>#VALUE!</v>
      </c>
      <c r="H4063" s="13" t="e">
        <f t="shared" si="255"/>
        <v>#VALUE!</v>
      </c>
    </row>
    <row r="4064" spans="2:8">
      <c r="B4064" s="11" t="str">
        <f t="shared" si="253"/>
        <v/>
      </c>
      <c r="C4064" s="11" t="str">
        <f t="shared" si="252"/>
        <v/>
      </c>
      <c r="F4064" s="10" t="str">
        <v/>
      </c>
      <c r="G4064" t="e">
        <f t="shared" si="254"/>
        <v>#VALUE!</v>
      </c>
      <c r="H4064" s="13" t="e">
        <f t="shared" si="255"/>
        <v>#VALUE!</v>
      </c>
    </row>
    <row r="4065" spans="2:8">
      <c r="B4065" s="11" t="str">
        <f t="shared" si="253"/>
        <v/>
      </c>
      <c r="C4065" s="11" t="str">
        <f t="shared" si="252"/>
        <v/>
      </c>
      <c r="F4065" s="10" t="str">
        <v/>
      </c>
      <c r="G4065" t="e">
        <f t="shared" si="254"/>
        <v>#VALUE!</v>
      </c>
      <c r="H4065" s="13" t="e">
        <f t="shared" si="255"/>
        <v>#VALUE!</v>
      </c>
    </row>
    <row r="4066" spans="2:8">
      <c r="B4066" s="11" t="str">
        <f t="shared" si="253"/>
        <v/>
      </c>
      <c r="C4066" s="11" t="str">
        <f t="shared" si="252"/>
        <v/>
      </c>
      <c r="F4066" s="10" t="str">
        <v/>
      </c>
      <c r="G4066" t="e">
        <f t="shared" si="254"/>
        <v>#VALUE!</v>
      </c>
      <c r="H4066" s="13" t="e">
        <f t="shared" si="255"/>
        <v>#VALUE!</v>
      </c>
    </row>
    <row r="4067" spans="2:8">
      <c r="B4067" s="11" t="str">
        <f t="shared" si="253"/>
        <v/>
      </c>
      <c r="C4067" s="11" t="str">
        <f t="shared" si="252"/>
        <v/>
      </c>
      <c r="F4067" s="10" t="str">
        <v/>
      </c>
      <c r="G4067" t="e">
        <f t="shared" si="254"/>
        <v>#VALUE!</v>
      </c>
      <c r="H4067" s="13" t="e">
        <f t="shared" si="255"/>
        <v>#VALUE!</v>
      </c>
    </row>
    <row r="4068" spans="2:8">
      <c r="B4068" s="11" t="str">
        <f t="shared" si="253"/>
        <v/>
      </c>
      <c r="C4068" s="11" t="str">
        <f t="shared" si="252"/>
        <v/>
      </c>
      <c r="F4068" s="10" t="str">
        <v/>
      </c>
      <c r="G4068" t="e">
        <f t="shared" si="254"/>
        <v>#VALUE!</v>
      </c>
      <c r="H4068" s="13" t="e">
        <f t="shared" si="255"/>
        <v>#VALUE!</v>
      </c>
    </row>
    <row r="4069" spans="2:8">
      <c r="B4069" s="11" t="str">
        <f t="shared" si="253"/>
        <v/>
      </c>
      <c r="C4069" s="11" t="str">
        <f t="shared" si="252"/>
        <v/>
      </c>
      <c r="F4069" s="10" t="str">
        <v/>
      </c>
      <c r="G4069" t="e">
        <f t="shared" si="254"/>
        <v>#VALUE!</v>
      </c>
      <c r="H4069" s="13" t="e">
        <f t="shared" si="255"/>
        <v>#VALUE!</v>
      </c>
    </row>
    <row r="4070" spans="2:8">
      <c r="B4070" s="11" t="str">
        <f t="shared" si="253"/>
        <v/>
      </c>
      <c r="C4070" s="11" t="str">
        <f t="shared" si="252"/>
        <v/>
      </c>
      <c r="F4070" s="10" t="str">
        <v/>
      </c>
      <c r="G4070" t="e">
        <f t="shared" si="254"/>
        <v>#VALUE!</v>
      </c>
      <c r="H4070" s="13" t="e">
        <f t="shared" si="255"/>
        <v>#VALUE!</v>
      </c>
    </row>
    <row r="4071" spans="2:8">
      <c r="B4071" s="11" t="str">
        <f t="shared" si="253"/>
        <v/>
      </c>
      <c r="C4071" s="11" t="str">
        <f t="shared" si="252"/>
        <v/>
      </c>
      <c r="F4071" s="10" t="str">
        <v/>
      </c>
      <c r="G4071" t="e">
        <f t="shared" si="254"/>
        <v>#VALUE!</v>
      </c>
      <c r="H4071" s="13" t="e">
        <f t="shared" si="255"/>
        <v>#VALUE!</v>
      </c>
    </row>
    <row r="4072" spans="2:8">
      <c r="B4072" s="11" t="str">
        <f t="shared" si="253"/>
        <v/>
      </c>
      <c r="C4072" s="11" t="str">
        <f t="shared" si="252"/>
        <v/>
      </c>
      <c r="F4072" s="10" t="str">
        <v/>
      </c>
      <c r="G4072" t="e">
        <f t="shared" si="254"/>
        <v>#VALUE!</v>
      </c>
      <c r="H4072" s="13" t="e">
        <f t="shared" si="255"/>
        <v>#VALUE!</v>
      </c>
    </row>
    <row r="4073" spans="2:8">
      <c r="B4073" s="11" t="str">
        <f t="shared" si="253"/>
        <v/>
      </c>
      <c r="C4073" s="11" t="str">
        <f t="shared" ref="C4073:C4136" si="256">IF(B4073="артикул",A4073,"")</f>
        <v/>
      </c>
      <c r="F4073" s="10" t="str">
        <v/>
      </c>
      <c r="G4073" t="e">
        <f t="shared" si="254"/>
        <v>#VALUE!</v>
      </c>
      <c r="H4073" s="13" t="e">
        <f t="shared" si="255"/>
        <v>#VALUE!</v>
      </c>
    </row>
    <row r="4074" spans="2:8">
      <c r="B4074" s="11" t="str">
        <f t="shared" si="253"/>
        <v/>
      </c>
      <c r="C4074" s="11" t="str">
        <f t="shared" si="256"/>
        <v/>
      </c>
      <c r="F4074" s="10" t="str">
        <v/>
      </c>
      <c r="G4074" t="e">
        <f t="shared" si="254"/>
        <v>#VALUE!</v>
      </c>
      <c r="H4074" s="13" t="e">
        <f t="shared" si="255"/>
        <v>#VALUE!</v>
      </c>
    </row>
    <row r="4075" spans="2:8">
      <c r="B4075" s="11" t="str">
        <f t="shared" si="253"/>
        <v/>
      </c>
      <c r="C4075" s="11" t="str">
        <f t="shared" si="256"/>
        <v/>
      </c>
      <c r="F4075" s="10" t="str">
        <v/>
      </c>
      <c r="G4075" t="e">
        <f t="shared" si="254"/>
        <v>#VALUE!</v>
      </c>
      <c r="H4075" s="13" t="e">
        <f t="shared" si="255"/>
        <v>#VALUE!</v>
      </c>
    </row>
    <row r="4076" spans="2:8">
      <c r="B4076" s="11" t="str">
        <f t="shared" si="253"/>
        <v/>
      </c>
      <c r="C4076" s="11" t="str">
        <f t="shared" si="256"/>
        <v/>
      </c>
      <c r="F4076" s="10" t="str">
        <v/>
      </c>
      <c r="G4076" t="e">
        <f t="shared" si="254"/>
        <v>#VALUE!</v>
      </c>
      <c r="H4076" s="13" t="e">
        <f t="shared" si="255"/>
        <v>#VALUE!</v>
      </c>
    </row>
    <row r="4077" spans="2:8">
      <c r="B4077" s="11" t="str">
        <f t="shared" si="253"/>
        <v/>
      </c>
      <c r="C4077" s="11" t="str">
        <f t="shared" si="256"/>
        <v/>
      </c>
      <c r="F4077" s="10" t="str">
        <v/>
      </c>
      <c r="G4077" t="e">
        <f t="shared" si="254"/>
        <v>#VALUE!</v>
      </c>
      <c r="H4077" s="13" t="e">
        <f t="shared" si="255"/>
        <v>#VALUE!</v>
      </c>
    </row>
    <row r="4078" spans="2:8">
      <c r="B4078" s="11" t="str">
        <f t="shared" si="253"/>
        <v/>
      </c>
      <c r="C4078" s="11" t="str">
        <f t="shared" si="256"/>
        <v/>
      </c>
      <c r="F4078" s="10" t="str">
        <v/>
      </c>
      <c r="G4078" t="e">
        <f t="shared" si="254"/>
        <v>#VALUE!</v>
      </c>
      <c r="H4078" s="13" t="e">
        <f t="shared" si="255"/>
        <v>#VALUE!</v>
      </c>
    </row>
    <row r="4079" spans="2:8">
      <c r="B4079" s="11" t="str">
        <f t="shared" si="253"/>
        <v/>
      </c>
      <c r="C4079" s="11" t="str">
        <f t="shared" si="256"/>
        <v/>
      </c>
      <c r="F4079" s="10" t="str">
        <v/>
      </c>
      <c r="G4079" t="e">
        <f t="shared" si="254"/>
        <v>#VALUE!</v>
      </c>
      <c r="H4079" s="13" t="e">
        <f t="shared" si="255"/>
        <v>#VALUE!</v>
      </c>
    </row>
    <row r="4080" spans="2:8">
      <c r="B4080" s="11" t="str">
        <f t="shared" si="253"/>
        <v/>
      </c>
      <c r="C4080" s="11" t="str">
        <f t="shared" si="256"/>
        <v/>
      </c>
      <c r="F4080" s="10" t="str">
        <v/>
      </c>
      <c r="G4080" t="e">
        <f t="shared" si="254"/>
        <v>#VALUE!</v>
      </c>
      <c r="H4080" s="13" t="e">
        <f t="shared" si="255"/>
        <v>#VALUE!</v>
      </c>
    </row>
    <row r="4081" spans="2:8">
      <c r="B4081" s="11" t="str">
        <f t="shared" si="253"/>
        <v/>
      </c>
      <c r="C4081" s="11" t="str">
        <f t="shared" si="256"/>
        <v/>
      </c>
      <c r="F4081" s="10" t="str">
        <v/>
      </c>
      <c r="G4081" t="e">
        <f t="shared" si="254"/>
        <v>#VALUE!</v>
      </c>
      <c r="H4081" s="13" t="e">
        <f t="shared" si="255"/>
        <v>#VALUE!</v>
      </c>
    </row>
    <row r="4082" spans="2:8">
      <c r="B4082" s="11" t="str">
        <f t="shared" si="253"/>
        <v/>
      </c>
      <c r="C4082" s="11" t="str">
        <f t="shared" si="256"/>
        <v/>
      </c>
      <c r="F4082" s="10" t="str">
        <v/>
      </c>
      <c r="G4082" t="e">
        <f t="shared" si="254"/>
        <v>#VALUE!</v>
      </c>
      <c r="H4082" s="13" t="e">
        <f t="shared" si="255"/>
        <v>#VALUE!</v>
      </c>
    </row>
    <row r="4083" spans="2:8">
      <c r="B4083" s="11" t="str">
        <f t="shared" si="253"/>
        <v/>
      </c>
      <c r="C4083" s="11" t="str">
        <f t="shared" si="256"/>
        <v/>
      </c>
      <c r="F4083" s="10" t="str">
        <v/>
      </c>
      <c r="G4083" t="e">
        <f t="shared" si="254"/>
        <v>#VALUE!</v>
      </c>
      <c r="H4083" s="13" t="e">
        <f t="shared" si="255"/>
        <v>#VALUE!</v>
      </c>
    </row>
    <row r="4084" spans="2:8">
      <c r="B4084" s="11" t="str">
        <f t="shared" si="253"/>
        <v/>
      </c>
      <c r="C4084" s="11" t="str">
        <f t="shared" si="256"/>
        <v/>
      </c>
      <c r="F4084" s="10" t="str">
        <v/>
      </c>
      <c r="G4084" t="e">
        <f t="shared" si="254"/>
        <v>#VALUE!</v>
      </c>
      <c r="H4084" s="13" t="e">
        <f t="shared" si="255"/>
        <v>#VALUE!</v>
      </c>
    </row>
    <row r="4085" spans="2:8">
      <c r="B4085" s="11" t="str">
        <f t="shared" si="253"/>
        <v/>
      </c>
      <c r="C4085" s="11" t="str">
        <f t="shared" si="256"/>
        <v/>
      </c>
      <c r="F4085" s="10" t="str">
        <v/>
      </c>
      <c r="G4085" t="e">
        <f t="shared" si="254"/>
        <v>#VALUE!</v>
      </c>
      <c r="H4085" s="13" t="e">
        <f t="shared" si="255"/>
        <v>#VALUE!</v>
      </c>
    </row>
    <row r="4086" spans="2:8">
      <c r="B4086" s="11" t="str">
        <f t="shared" si="253"/>
        <v/>
      </c>
      <c r="C4086" s="11" t="str">
        <f t="shared" si="256"/>
        <v/>
      </c>
      <c r="F4086" s="10" t="str">
        <v/>
      </c>
      <c r="G4086" t="e">
        <f t="shared" si="254"/>
        <v>#VALUE!</v>
      </c>
      <c r="H4086" s="13" t="e">
        <f t="shared" si="255"/>
        <v>#VALUE!</v>
      </c>
    </row>
    <row r="4087" spans="2:8">
      <c r="B4087" s="11" t="str">
        <f t="shared" si="253"/>
        <v/>
      </c>
      <c r="C4087" s="11" t="str">
        <f t="shared" si="256"/>
        <v/>
      </c>
      <c r="F4087" s="10" t="str">
        <v/>
      </c>
      <c r="G4087" t="e">
        <f t="shared" si="254"/>
        <v>#VALUE!</v>
      </c>
      <c r="H4087" s="13" t="e">
        <f t="shared" si="255"/>
        <v>#VALUE!</v>
      </c>
    </row>
    <row r="4088" spans="2:8">
      <c r="B4088" s="11" t="str">
        <f t="shared" si="253"/>
        <v/>
      </c>
      <c r="C4088" s="11" t="str">
        <f t="shared" si="256"/>
        <v/>
      </c>
      <c r="F4088" s="10" t="str">
        <v/>
      </c>
      <c r="G4088" t="e">
        <f t="shared" si="254"/>
        <v>#VALUE!</v>
      </c>
      <c r="H4088" s="13" t="e">
        <f t="shared" si="255"/>
        <v>#VALUE!</v>
      </c>
    </row>
    <row r="4089" spans="2:8">
      <c r="B4089" s="11" t="str">
        <f t="shared" si="253"/>
        <v/>
      </c>
      <c r="C4089" s="11" t="str">
        <f t="shared" si="256"/>
        <v/>
      </c>
      <c r="F4089" s="10" t="str">
        <v/>
      </c>
      <c r="G4089" t="e">
        <f t="shared" si="254"/>
        <v>#VALUE!</v>
      </c>
      <c r="H4089" s="13" t="e">
        <f t="shared" si="255"/>
        <v>#VALUE!</v>
      </c>
    </row>
    <row r="4090" spans="2:8">
      <c r="B4090" s="11" t="str">
        <f t="shared" si="253"/>
        <v/>
      </c>
      <c r="C4090" s="11" t="str">
        <f t="shared" si="256"/>
        <v/>
      </c>
      <c r="F4090" s="10" t="str">
        <v/>
      </c>
      <c r="G4090" t="e">
        <f t="shared" si="254"/>
        <v>#VALUE!</v>
      </c>
      <c r="H4090" s="13" t="e">
        <f t="shared" si="255"/>
        <v>#VALUE!</v>
      </c>
    </row>
    <row r="4091" spans="2:8">
      <c r="B4091" s="11" t="str">
        <f t="shared" si="253"/>
        <v/>
      </c>
      <c r="C4091" s="11" t="str">
        <f t="shared" si="256"/>
        <v/>
      </c>
      <c r="F4091" s="10" t="str">
        <v/>
      </c>
      <c r="G4091" t="e">
        <f t="shared" si="254"/>
        <v>#VALUE!</v>
      </c>
      <c r="H4091" s="13" t="e">
        <f t="shared" si="255"/>
        <v>#VALUE!</v>
      </c>
    </row>
    <row r="4092" spans="2:8">
      <c r="B4092" s="11" t="str">
        <f t="shared" si="253"/>
        <v/>
      </c>
      <c r="C4092" s="11" t="str">
        <f t="shared" si="256"/>
        <v/>
      </c>
      <c r="F4092" s="10" t="str">
        <v/>
      </c>
      <c r="G4092" t="e">
        <f t="shared" si="254"/>
        <v>#VALUE!</v>
      </c>
      <c r="H4092" s="13" t="e">
        <f t="shared" si="255"/>
        <v>#VALUE!</v>
      </c>
    </row>
    <row r="4093" spans="2:8">
      <c r="B4093" s="11" t="str">
        <f t="shared" si="253"/>
        <v/>
      </c>
      <c r="C4093" s="11" t="str">
        <f t="shared" si="256"/>
        <v/>
      </c>
      <c r="F4093" s="10" t="str">
        <v/>
      </c>
      <c r="G4093" t="e">
        <f t="shared" si="254"/>
        <v>#VALUE!</v>
      </c>
      <c r="H4093" s="13" t="e">
        <f t="shared" si="255"/>
        <v>#VALUE!</v>
      </c>
    </row>
    <row r="4094" spans="2:8">
      <c r="B4094" s="11" t="str">
        <f t="shared" si="253"/>
        <v/>
      </c>
      <c r="C4094" s="11" t="str">
        <f t="shared" si="256"/>
        <v/>
      </c>
      <c r="F4094" s="10" t="str">
        <v/>
      </c>
      <c r="G4094" t="e">
        <f t="shared" si="254"/>
        <v>#VALUE!</v>
      </c>
      <c r="H4094" s="13" t="e">
        <f t="shared" si="255"/>
        <v>#VALUE!</v>
      </c>
    </row>
    <row r="4095" spans="2:8">
      <c r="B4095" s="11" t="str">
        <f t="shared" si="253"/>
        <v/>
      </c>
      <c r="C4095" s="11" t="str">
        <f t="shared" si="256"/>
        <v/>
      </c>
      <c r="F4095" s="10" t="str">
        <v/>
      </c>
      <c r="G4095" t="e">
        <f t="shared" si="254"/>
        <v>#VALUE!</v>
      </c>
      <c r="H4095" s="13" t="e">
        <f t="shared" si="255"/>
        <v>#VALUE!</v>
      </c>
    </row>
    <row r="4096" spans="2:8">
      <c r="B4096" s="11" t="str">
        <f t="shared" si="253"/>
        <v/>
      </c>
      <c r="C4096" s="11" t="str">
        <f t="shared" si="256"/>
        <v/>
      </c>
      <c r="F4096" s="10" t="str">
        <v/>
      </c>
      <c r="G4096" t="e">
        <f t="shared" si="254"/>
        <v>#VALUE!</v>
      </c>
      <c r="H4096" s="13" t="e">
        <f t="shared" si="255"/>
        <v>#VALUE!</v>
      </c>
    </row>
    <row r="4097" spans="2:8">
      <c r="B4097" s="11" t="str">
        <f t="shared" ref="B4097:B4160" si="257">IFERROR(IF(FIND(" ",A4097)=6,IF(IFERROR(FIND(" PB",A4097),"")&lt;&gt;"","артикул",IF(IFERROR(FIND(" CRN",A4097),"")&lt;&gt;"","артикул","")),""),"")</f>
        <v/>
      </c>
      <c r="C4097" s="11" t="str">
        <f t="shared" si="256"/>
        <v/>
      </c>
      <c r="F4097" s="10" t="str">
        <v/>
      </c>
      <c r="G4097" t="e">
        <f t="shared" si="254"/>
        <v>#VALUE!</v>
      </c>
      <c r="H4097" s="13" t="e">
        <f t="shared" si="255"/>
        <v>#VALUE!</v>
      </c>
    </row>
    <row r="4098" spans="2:8">
      <c r="B4098" s="11" t="str">
        <f t="shared" si="257"/>
        <v/>
      </c>
      <c r="C4098" s="11" t="str">
        <f t="shared" si="256"/>
        <v/>
      </c>
      <c r="F4098" s="10" t="str">
        <v/>
      </c>
      <c r="G4098" t="e">
        <f t="shared" ref="G4098:G4161" si="258">CONCATENATE(LEFT(F4098,5),
MID(F4098,
SEARCH("\",SUBSTITUTE(F4098," ","\",LEN(F4098)-LEN(SUBSTITUTE(F4098," ",""))-4)),
SEARCH("\",SUBSTITUTE(F4098," ","\",LEN(F4098)-LEN(SUBSTITUTE(F4098," ",""))-3))-
SEARCH("\",SUBSTITUTE(F4098," ","\",LEN(F4098)-LEN(SUBSTITUTE(F4098," ",""))-4)))*1)</f>
        <v>#VALUE!</v>
      </c>
      <c r="H4098" s="13" t="e">
        <f t="shared" ref="H4098:H4161" si="259">SUBSTITUTE(
RIGHT(F4098,LEN(F4098)-
FIND("\",SUBSTITUTE(F4098," ","\",LEN(F4098)-LEN(SUBSTITUTE(F4098," ",""))))),
".","")</f>
        <v>#VALUE!</v>
      </c>
    </row>
    <row r="4099" spans="2:8">
      <c r="B4099" s="11" t="str">
        <f t="shared" si="257"/>
        <v/>
      </c>
      <c r="C4099" s="11" t="str">
        <f t="shared" si="256"/>
        <v/>
      </c>
      <c r="F4099" s="10" t="str">
        <v/>
      </c>
      <c r="G4099" t="e">
        <f t="shared" si="258"/>
        <v>#VALUE!</v>
      </c>
      <c r="H4099" s="13" t="e">
        <f t="shared" si="259"/>
        <v>#VALUE!</v>
      </c>
    </row>
    <row r="4100" spans="2:8">
      <c r="B4100" s="11" t="str">
        <f t="shared" si="257"/>
        <v/>
      </c>
      <c r="C4100" s="11" t="str">
        <f t="shared" si="256"/>
        <v/>
      </c>
      <c r="F4100" s="10" t="str">
        <v/>
      </c>
      <c r="G4100" t="e">
        <f t="shared" si="258"/>
        <v>#VALUE!</v>
      </c>
      <c r="H4100" s="13" t="e">
        <f t="shared" si="259"/>
        <v>#VALUE!</v>
      </c>
    </row>
    <row r="4101" spans="2:8">
      <c r="B4101" s="11" t="str">
        <f t="shared" si="257"/>
        <v/>
      </c>
      <c r="C4101" s="11" t="str">
        <f t="shared" si="256"/>
        <v/>
      </c>
      <c r="F4101" s="10" t="str">
        <v/>
      </c>
      <c r="G4101" t="e">
        <f t="shared" si="258"/>
        <v>#VALUE!</v>
      </c>
      <c r="H4101" s="13" t="e">
        <f t="shared" si="259"/>
        <v>#VALUE!</v>
      </c>
    </row>
    <row r="4102" spans="2:8">
      <c r="B4102" s="11" t="str">
        <f t="shared" si="257"/>
        <v/>
      </c>
      <c r="C4102" s="11" t="str">
        <f t="shared" si="256"/>
        <v/>
      </c>
      <c r="F4102" s="10" t="str">
        <v/>
      </c>
      <c r="G4102" t="e">
        <f t="shared" si="258"/>
        <v>#VALUE!</v>
      </c>
      <c r="H4102" s="13" t="e">
        <f t="shared" si="259"/>
        <v>#VALUE!</v>
      </c>
    </row>
    <row r="4103" spans="2:8">
      <c r="B4103" s="11" t="str">
        <f t="shared" si="257"/>
        <v/>
      </c>
      <c r="C4103" s="11" t="str">
        <f t="shared" si="256"/>
        <v/>
      </c>
      <c r="F4103" s="10" t="str">
        <v/>
      </c>
      <c r="G4103" t="e">
        <f t="shared" si="258"/>
        <v>#VALUE!</v>
      </c>
      <c r="H4103" s="13" t="e">
        <f t="shared" si="259"/>
        <v>#VALUE!</v>
      </c>
    </row>
    <row r="4104" spans="2:8">
      <c r="B4104" s="11" t="str">
        <f t="shared" si="257"/>
        <v/>
      </c>
      <c r="C4104" s="11" t="str">
        <f t="shared" si="256"/>
        <v/>
      </c>
      <c r="F4104" s="10" t="str">
        <v/>
      </c>
      <c r="G4104" t="e">
        <f t="shared" si="258"/>
        <v>#VALUE!</v>
      </c>
      <c r="H4104" s="13" t="e">
        <f t="shared" si="259"/>
        <v>#VALUE!</v>
      </c>
    </row>
    <row r="4105" spans="2:8">
      <c r="B4105" s="11" t="str">
        <f t="shared" si="257"/>
        <v/>
      </c>
      <c r="C4105" s="11" t="str">
        <f t="shared" si="256"/>
        <v/>
      </c>
      <c r="F4105" s="10" t="str">
        <v/>
      </c>
      <c r="G4105" t="e">
        <f t="shared" si="258"/>
        <v>#VALUE!</v>
      </c>
      <c r="H4105" s="13" t="e">
        <f t="shared" si="259"/>
        <v>#VALUE!</v>
      </c>
    </row>
    <row r="4106" spans="2:8">
      <c r="B4106" s="11" t="str">
        <f t="shared" si="257"/>
        <v/>
      </c>
      <c r="C4106" s="11" t="str">
        <f t="shared" si="256"/>
        <v/>
      </c>
      <c r="F4106" s="10" t="str">
        <v/>
      </c>
      <c r="G4106" t="e">
        <f t="shared" si="258"/>
        <v>#VALUE!</v>
      </c>
      <c r="H4106" s="13" t="e">
        <f t="shared" si="259"/>
        <v>#VALUE!</v>
      </c>
    </row>
    <row r="4107" spans="2:8">
      <c r="B4107" s="11" t="str">
        <f t="shared" si="257"/>
        <v/>
      </c>
      <c r="C4107" s="11" t="str">
        <f t="shared" si="256"/>
        <v/>
      </c>
      <c r="F4107" s="10" t="str">
        <v/>
      </c>
      <c r="G4107" t="e">
        <f t="shared" si="258"/>
        <v>#VALUE!</v>
      </c>
      <c r="H4107" s="13" t="e">
        <f t="shared" si="259"/>
        <v>#VALUE!</v>
      </c>
    </row>
    <row r="4108" spans="2:8">
      <c r="B4108" s="11" t="str">
        <f t="shared" si="257"/>
        <v/>
      </c>
      <c r="C4108" s="11" t="str">
        <f t="shared" si="256"/>
        <v/>
      </c>
      <c r="F4108" s="10" t="str">
        <v/>
      </c>
      <c r="G4108" t="e">
        <f t="shared" si="258"/>
        <v>#VALUE!</v>
      </c>
      <c r="H4108" s="13" t="e">
        <f t="shared" si="259"/>
        <v>#VALUE!</v>
      </c>
    </row>
    <row r="4109" spans="2:8">
      <c r="B4109" s="11" t="str">
        <f t="shared" si="257"/>
        <v/>
      </c>
      <c r="C4109" s="11" t="str">
        <f t="shared" si="256"/>
        <v/>
      </c>
      <c r="F4109" s="10" t="str">
        <v/>
      </c>
      <c r="G4109" t="e">
        <f t="shared" si="258"/>
        <v>#VALUE!</v>
      </c>
      <c r="H4109" s="13" t="e">
        <f t="shared" si="259"/>
        <v>#VALUE!</v>
      </c>
    </row>
    <row r="4110" spans="2:8">
      <c r="B4110" s="11" t="str">
        <f t="shared" si="257"/>
        <v/>
      </c>
      <c r="C4110" s="11" t="str">
        <f t="shared" si="256"/>
        <v/>
      </c>
      <c r="F4110" s="10" t="str">
        <v/>
      </c>
      <c r="G4110" t="e">
        <f t="shared" si="258"/>
        <v>#VALUE!</v>
      </c>
      <c r="H4110" s="13" t="e">
        <f t="shared" si="259"/>
        <v>#VALUE!</v>
      </c>
    </row>
    <row r="4111" spans="2:8">
      <c r="B4111" s="11" t="str">
        <f t="shared" si="257"/>
        <v/>
      </c>
      <c r="C4111" s="11" t="str">
        <f t="shared" si="256"/>
        <v/>
      </c>
      <c r="F4111" s="10" t="str">
        <v/>
      </c>
      <c r="G4111" t="e">
        <f t="shared" si="258"/>
        <v>#VALUE!</v>
      </c>
      <c r="H4111" s="13" t="e">
        <f t="shared" si="259"/>
        <v>#VALUE!</v>
      </c>
    </row>
    <row r="4112" spans="2:8">
      <c r="B4112" s="11" t="str">
        <f t="shared" si="257"/>
        <v/>
      </c>
      <c r="C4112" s="11" t="str">
        <f t="shared" si="256"/>
        <v/>
      </c>
      <c r="F4112" s="10" t="str">
        <v/>
      </c>
      <c r="G4112" t="e">
        <f t="shared" si="258"/>
        <v>#VALUE!</v>
      </c>
      <c r="H4112" s="13" t="e">
        <f t="shared" si="259"/>
        <v>#VALUE!</v>
      </c>
    </row>
    <row r="4113" spans="2:8">
      <c r="B4113" s="11" t="str">
        <f t="shared" si="257"/>
        <v/>
      </c>
      <c r="C4113" s="11" t="str">
        <f t="shared" si="256"/>
        <v/>
      </c>
      <c r="F4113" s="10" t="str">
        <v/>
      </c>
      <c r="G4113" t="e">
        <f t="shared" si="258"/>
        <v>#VALUE!</v>
      </c>
      <c r="H4113" s="13" t="e">
        <f t="shared" si="259"/>
        <v>#VALUE!</v>
      </c>
    </row>
    <row r="4114" spans="2:8">
      <c r="B4114" s="11" t="str">
        <f t="shared" si="257"/>
        <v/>
      </c>
      <c r="C4114" s="11" t="str">
        <f t="shared" si="256"/>
        <v/>
      </c>
      <c r="F4114" s="10" t="str">
        <v/>
      </c>
      <c r="G4114" t="e">
        <f t="shared" si="258"/>
        <v>#VALUE!</v>
      </c>
      <c r="H4114" s="13" t="e">
        <f t="shared" si="259"/>
        <v>#VALUE!</v>
      </c>
    </row>
    <row r="4115" spans="2:8">
      <c r="B4115" s="11" t="str">
        <f t="shared" si="257"/>
        <v/>
      </c>
      <c r="C4115" s="11" t="str">
        <f t="shared" si="256"/>
        <v/>
      </c>
      <c r="F4115" s="10" t="str">
        <v/>
      </c>
      <c r="G4115" t="e">
        <f t="shared" si="258"/>
        <v>#VALUE!</v>
      </c>
      <c r="H4115" s="13" t="e">
        <f t="shared" si="259"/>
        <v>#VALUE!</v>
      </c>
    </row>
    <row r="4116" spans="2:8">
      <c r="B4116" s="11" t="str">
        <f t="shared" si="257"/>
        <v/>
      </c>
      <c r="C4116" s="11" t="str">
        <f t="shared" si="256"/>
        <v/>
      </c>
      <c r="F4116" s="10" t="str">
        <v/>
      </c>
      <c r="G4116" t="e">
        <f t="shared" si="258"/>
        <v>#VALUE!</v>
      </c>
      <c r="H4116" s="13" t="e">
        <f t="shared" si="259"/>
        <v>#VALUE!</v>
      </c>
    </row>
    <row r="4117" spans="2:8">
      <c r="B4117" s="11" t="str">
        <f t="shared" si="257"/>
        <v/>
      </c>
      <c r="C4117" s="11" t="str">
        <f t="shared" si="256"/>
        <v/>
      </c>
      <c r="F4117" s="10" t="str">
        <v/>
      </c>
      <c r="G4117" t="e">
        <f t="shared" si="258"/>
        <v>#VALUE!</v>
      </c>
      <c r="H4117" s="13" t="e">
        <f t="shared" si="259"/>
        <v>#VALUE!</v>
      </c>
    </row>
    <row r="4118" spans="2:8">
      <c r="B4118" s="11" t="str">
        <f t="shared" si="257"/>
        <v/>
      </c>
      <c r="C4118" s="11" t="str">
        <f t="shared" si="256"/>
        <v/>
      </c>
      <c r="F4118" s="10" t="str">
        <v/>
      </c>
      <c r="G4118" t="e">
        <f t="shared" si="258"/>
        <v>#VALUE!</v>
      </c>
      <c r="H4118" s="13" t="e">
        <f t="shared" si="259"/>
        <v>#VALUE!</v>
      </c>
    </row>
    <row r="4119" spans="2:8">
      <c r="B4119" s="11" t="str">
        <f t="shared" si="257"/>
        <v/>
      </c>
      <c r="C4119" s="11" t="str">
        <f t="shared" si="256"/>
        <v/>
      </c>
      <c r="F4119" s="10" t="str">
        <v/>
      </c>
      <c r="G4119" t="e">
        <f t="shared" si="258"/>
        <v>#VALUE!</v>
      </c>
      <c r="H4119" s="13" t="e">
        <f t="shared" si="259"/>
        <v>#VALUE!</v>
      </c>
    </row>
    <row r="4120" spans="2:8">
      <c r="B4120" s="11" t="str">
        <f t="shared" si="257"/>
        <v/>
      </c>
      <c r="C4120" s="11" t="str">
        <f t="shared" si="256"/>
        <v/>
      </c>
      <c r="F4120" s="10" t="str">
        <v/>
      </c>
      <c r="G4120" t="e">
        <f t="shared" si="258"/>
        <v>#VALUE!</v>
      </c>
      <c r="H4120" s="13" t="e">
        <f t="shared" si="259"/>
        <v>#VALUE!</v>
      </c>
    </row>
    <row r="4121" spans="2:8">
      <c r="B4121" s="11" t="str">
        <f t="shared" si="257"/>
        <v/>
      </c>
      <c r="C4121" s="11" t="str">
        <f t="shared" si="256"/>
        <v/>
      </c>
      <c r="F4121" s="10" t="str">
        <v/>
      </c>
      <c r="G4121" t="e">
        <f t="shared" si="258"/>
        <v>#VALUE!</v>
      </c>
      <c r="H4121" s="13" t="e">
        <f t="shared" si="259"/>
        <v>#VALUE!</v>
      </c>
    </row>
    <row r="4122" spans="2:8">
      <c r="B4122" s="11" t="str">
        <f t="shared" si="257"/>
        <v/>
      </c>
      <c r="C4122" s="11" t="str">
        <f t="shared" si="256"/>
        <v/>
      </c>
      <c r="F4122" s="10" t="str">
        <v/>
      </c>
      <c r="G4122" t="e">
        <f t="shared" si="258"/>
        <v>#VALUE!</v>
      </c>
      <c r="H4122" s="13" t="e">
        <f t="shared" si="259"/>
        <v>#VALUE!</v>
      </c>
    </row>
    <row r="4123" spans="2:8">
      <c r="B4123" s="11" t="str">
        <f t="shared" si="257"/>
        <v/>
      </c>
      <c r="C4123" s="11" t="str">
        <f t="shared" si="256"/>
        <v/>
      </c>
      <c r="F4123" s="10" t="str">
        <v/>
      </c>
      <c r="G4123" t="e">
        <f t="shared" si="258"/>
        <v>#VALUE!</v>
      </c>
      <c r="H4123" s="13" t="e">
        <f t="shared" si="259"/>
        <v>#VALUE!</v>
      </c>
    </row>
    <row r="4124" spans="2:8">
      <c r="B4124" s="11" t="str">
        <f t="shared" si="257"/>
        <v/>
      </c>
      <c r="C4124" s="11" t="str">
        <f t="shared" si="256"/>
        <v/>
      </c>
      <c r="F4124" s="10" t="str">
        <v/>
      </c>
      <c r="G4124" t="e">
        <f t="shared" si="258"/>
        <v>#VALUE!</v>
      </c>
      <c r="H4124" s="13" t="e">
        <f t="shared" si="259"/>
        <v>#VALUE!</v>
      </c>
    </row>
    <row r="4125" spans="2:8">
      <c r="B4125" s="11" t="str">
        <f t="shared" si="257"/>
        <v/>
      </c>
      <c r="C4125" s="11" t="str">
        <f t="shared" si="256"/>
        <v/>
      </c>
      <c r="F4125" s="10" t="str">
        <v/>
      </c>
      <c r="G4125" t="e">
        <f t="shared" si="258"/>
        <v>#VALUE!</v>
      </c>
      <c r="H4125" s="13" t="e">
        <f t="shared" si="259"/>
        <v>#VALUE!</v>
      </c>
    </row>
    <row r="4126" spans="2:8">
      <c r="B4126" s="11" t="str">
        <f t="shared" si="257"/>
        <v/>
      </c>
      <c r="C4126" s="11" t="str">
        <f t="shared" si="256"/>
        <v/>
      </c>
      <c r="F4126" s="10" t="str">
        <v/>
      </c>
      <c r="G4126" t="e">
        <f t="shared" si="258"/>
        <v>#VALUE!</v>
      </c>
      <c r="H4126" s="13" t="e">
        <f t="shared" si="259"/>
        <v>#VALUE!</v>
      </c>
    </row>
    <row r="4127" spans="2:8">
      <c r="B4127" s="11" t="str">
        <f t="shared" si="257"/>
        <v/>
      </c>
      <c r="C4127" s="11" t="str">
        <f t="shared" si="256"/>
        <v/>
      </c>
      <c r="F4127" s="10" t="str">
        <v/>
      </c>
      <c r="G4127" t="e">
        <f t="shared" si="258"/>
        <v>#VALUE!</v>
      </c>
      <c r="H4127" s="13" t="e">
        <f t="shared" si="259"/>
        <v>#VALUE!</v>
      </c>
    </row>
    <row r="4128" spans="2:8">
      <c r="B4128" s="11" t="str">
        <f t="shared" si="257"/>
        <v/>
      </c>
      <c r="C4128" s="11" t="str">
        <f t="shared" si="256"/>
        <v/>
      </c>
      <c r="F4128" s="10" t="str">
        <v/>
      </c>
      <c r="G4128" t="e">
        <f t="shared" si="258"/>
        <v>#VALUE!</v>
      </c>
      <c r="H4128" s="13" t="e">
        <f t="shared" si="259"/>
        <v>#VALUE!</v>
      </c>
    </row>
    <row r="4129" spans="2:8">
      <c r="B4129" s="11" t="str">
        <f t="shared" si="257"/>
        <v/>
      </c>
      <c r="C4129" s="11" t="str">
        <f t="shared" si="256"/>
        <v/>
      </c>
      <c r="F4129" s="10" t="str">
        <v/>
      </c>
      <c r="G4129" t="e">
        <f t="shared" si="258"/>
        <v>#VALUE!</v>
      </c>
      <c r="H4129" s="13" t="e">
        <f t="shared" si="259"/>
        <v>#VALUE!</v>
      </c>
    </row>
    <row r="4130" spans="2:8">
      <c r="B4130" s="11" t="str">
        <f t="shared" si="257"/>
        <v/>
      </c>
      <c r="C4130" s="11" t="str">
        <f t="shared" si="256"/>
        <v/>
      </c>
      <c r="F4130" s="10" t="str">
        <v/>
      </c>
      <c r="G4130" t="e">
        <f t="shared" si="258"/>
        <v>#VALUE!</v>
      </c>
      <c r="H4130" s="13" t="e">
        <f t="shared" si="259"/>
        <v>#VALUE!</v>
      </c>
    </row>
    <row r="4131" spans="2:8">
      <c r="B4131" s="11" t="str">
        <f t="shared" si="257"/>
        <v/>
      </c>
      <c r="C4131" s="11" t="str">
        <f t="shared" si="256"/>
        <v/>
      </c>
      <c r="F4131" s="10" t="str">
        <v/>
      </c>
      <c r="G4131" t="e">
        <f t="shared" si="258"/>
        <v>#VALUE!</v>
      </c>
      <c r="H4131" s="13" t="e">
        <f t="shared" si="259"/>
        <v>#VALUE!</v>
      </c>
    </row>
    <row r="4132" spans="2:8">
      <c r="B4132" s="11" t="str">
        <f t="shared" si="257"/>
        <v/>
      </c>
      <c r="C4132" s="11" t="str">
        <f t="shared" si="256"/>
        <v/>
      </c>
      <c r="F4132" s="10" t="str">
        <v/>
      </c>
      <c r="G4132" t="e">
        <f t="shared" si="258"/>
        <v>#VALUE!</v>
      </c>
      <c r="H4132" s="13" t="e">
        <f t="shared" si="259"/>
        <v>#VALUE!</v>
      </c>
    </row>
    <row r="4133" spans="2:8">
      <c r="B4133" s="11" t="str">
        <f t="shared" si="257"/>
        <v/>
      </c>
      <c r="C4133" s="11" t="str">
        <f t="shared" si="256"/>
        <v/>
      </c>
      <c r="F4133" s="10" t="str">
        <v/>
      </c>
      <c r="G4133" t="e">
        <f t="shared" si="258"/>
        <v>#VALUE!</v>
      </c>
      <c r="H4133" s="13" t="e">
        <f t="shared" si="259"/>
        <v>#VALUE!</v>
      </c>
    </row>
    <row r="4134" spans="2:8">
      <c r="B4134" s="11" t="str">
        <f t="shared" si="257"/>
        <v/>
      </c>
      <c r="C4134" s="11" t="str">
        <f t="shared" si="256"/>
        <v/>
      </c>
      <c r="F4134" s="10" t="str">
        <v/>
      </c>
      <c r="G4134" t="e">
        <f t="shared" si="258"/>
        <v>#VALUE!</v>
      </c>
      <c r="H4134" s="13" t="e">
        <f t="shared" si="259"/>
        <v>#VALUE!</v>
      </c>
    </row>
    <row r="4135" spans="2:8">
      <c r="B4135" s="11" t="str">
        <f t="shared" si="257"/>
        <v/>
      </c>
      <c r="C4135" s="11" t="str">
        <f t="shared" si="256"/>
        <v/>
      </c>
      <c r="F4135" s="10" t="str">
        <v/>
      </c>
      <c r="G4135" t="e">
        <f t="shared" si="258"/>
        <v>#VALUE!</v>
      </c>
      <c r="H4135" s="13" t="e">
        <f t="shared" si="259"/>
        <v>#VALUE!</v>
      </c>
    </row>
    <row r="4136" spans="2:8">
      <c r="B4136" s="11" t="str">
        <f t="shared" si="257"/>
        <v/>
      </c>
      <c r="C4136" s="11" t="str">
        <f t="shared" si="256"/>
        <v/>
      </c>
      <c r="F4136" s="10" t="str">
        <v/>
      </c>
      <c r="G4136" t="e">
        <f t="shared" si="258"/>
        <v>#VALUE!</v>
      </c>
      <c r="H4136" s="13" t="e">
        <f t="shared" si="259"/>
        <v>#VALUE!</v>
      </c>
    </row>
    <row r="4137" spans="2:8">
      <c r="B4137" s="11" t="str">
        <f t="shared" si="257"/>
        <v/>
      </c>
      <c r="C4137" s="11" t="str">
        <f t="shared" ref="C4137:C4200" si="260">IF(B4137="артикул",A4137,"")</f>
        <v/>
      </c>
      <c r="F4137" s="10" t="str">
        <v/>
      </c>
      <c r="G4137" t="e">
        <f t="shared" si="258"/>
        <v>#VALUE!</v>
      </c>
      <c r="H4137" s="13" t="e">
        <f t="shared" si="259"/>
        <v>#VALUE!</v>
      </c>
    </row>
    <row r="4138" spans="2:8">
      <c r="B4138" s="11" t="str">
        <f t="shared" si="257"/>
        <v/>
      </c>
      <c r="C4138" s="11" t="str">
        <f t="shared" si="260"/>
        <v/>
      </c>
      <c r="F4138" s="10" t="str">
        <v/>
      </c>
      <c r="G4138" t="e">
        <f t="shared" si="258"/>
        <v>#VALUE!</v>
      </c>
      <c r="H4138" s="13" t="e">
        <f t="shared" si="259"/>
        <v>#VALUE!</v>
      </c>
    </row>
    <row r="4139" spans="2:8">
      <c r="B4139" s="11" t="str">
        <f t="shared" si="257"/>
        <v/>
      </c>
      <c r="C4139" s="11" t="str">
        <f t="shared" si="260"/>
        <v/>
      </c>
      <c r="F4139" s="10" t="str">
        <v/>
      </c>
      <c r="G4139" t="e">
        <f t="shared" si="258"/>
        <v>#VALUE!</v>
      </c>
      <c r="H4139" s="13" t="e">
        <f t="shared" si="259"/>
        <v>#VALUE!</v>
      </c>
    </row>
    <row r="4140" spans="2:8">
      <c r="B4140" s="11" t="str">
        <f t="shared" si="257"/>
        <v/>
      </c>
      <c r="C4140" s="11" t="str">
        <f t="shared" si="260"/>
        <v/>
      </c>
      <c r="F4140" s="10" t="str">
        <v/>
      </c>
      <c r="G4140" t="e">
        <f t="shared" si="258"/>
        <v>#VALUE!</v>
      </c>
      <c r="H4140" s="13" t="e">
        <f t="shared" si="259"/>
        <v>#VALUE!</v>
      </c>
    </row>
    <row r="4141" spans="2:8">
      <c r="B4141" s="11" t="str">
        <f t="shared" si="257"/>
        <v/>
      </c>
      <c r="C4141" s="11" t="str">
        <f t="shared" si="260"/>
        <v/>
      </c>
      <c r="F4141" s="10" t="str">
        <v/>
      </c>
      <c r="G4141" t="e">
        <f t="shared" si="258"/>
        <v>#VALUE!</v>
      </c>
      <c r="H4141" s="13" t="e">
        <f t="shared" si="259"/>
        <v>#VALUE!</v>
      </c>
    </row>
    <row r="4142" spans="2:8">
      <c r="B4142" s="11" t="str">
        <f t="shared" si="257"/>
        <v/>
      </c>
      <c r="C4142" s="11" t="str">
        <f t="shared" si="260"/>
        <v/>
      </c>
      <c r="F4142" s="10" t="str">
        <v/>
      </c>
      <c r="G4142" t="e">
        <f t="shared" si="258"/>
        <v>#VALUE!</v>
      </c>
      <c r="H4142" s="13" t="e">
        <f t="shared" si="259"/>
        <v>#VALUE!</v>
      </c>
    </row>
    <row r="4143" spans="2:8">
      <c r="B4143" s="11" t="str">
        <f t="shared" si="257"/>
        <v/>
      </c>
      <c r="C4143" s="11" t="str">
        <f t="shared" si="260"/>
        <v/>
      </c>
      <c r="F4143" s="10" t="str">
        <v/>
      </c>
      <c r="G4143" t="e">
        <f t="shared" si="258"/>
        <v>#VALUE!</v>
      </c>
      <c r="H4143" s="13" t="e">
        <f t="shared" si="259"/>
        <v>#VALUE!</v>
      </c>
    </row>
    <row r="4144" spans="2:8">
      <c r="B4144" s="11" t="str">
        <f t="shared" si="257"/>
        <v/>
      </c>
      <c r="C4144" s="11" t="str">
        <f t="shared" si="260"/>
        <v/>
      </c>
      <c r="F4144" s="10" t="str">
        <v/>
      </c>
      <c r="G4144" t="e">
        <f t="shared" si="258"/>
        <v>#VALUE!</v>
      </c>
      <c r="H4144" s="13" t="e">
        <f t="shared" si="259"/>
        <v>#VALUE!</v>
      </c>
    </row>
    <row r="4145" spans="2:8">
      <c r="B4145" s="11" t="str">
        <f t="shared" si="257"/>
        <v/>
      </c>
      <c r="C4145" s="11" t="str">
        <f t="shared" si="260"/>
        <v/>
      </c>
      <c r="F4145" s="10" t="str">
        <v/>
      </c>
      <c r="G4145" t="e">
        <f t="shared" si="258"/>
        <v>#VALUE!</v>
      </c>
      <c r="H4145" s="13" t="e">
        <f t="shared" si="259"/>
        <v>#VALUE!</v>
      </c>
    </row>
    <row r="4146" spans="2:8">
      <c r="B4146" s="11" t="str">
        <f t="shared" si="257"/>
        <v/>
      </c>
      <c r="C4146" s="11" t="str">
        <f t="shared" si="260"/>
        <v/>
      </c>
      <c r="F4146" s="10" t="str">
        <v/>
      </c>
      <c r="G4146" t="e">
        <f t="shared" si="258"/>
        <v>#VALUE!</v>
      </c>
      <c r="H4146" s="13" t="e">
        <f t="shared" si="259"/>
        <v>#VALUE!</v>
      </c>
    </row>
    <row r="4147" spans="2:8">
      <c r="B4147" s="11" t="str">
        <f t="shared" si="257"/>
        <v/>
      </c>
      <c r="C4147" s="11" t="str">
        <f t="shared" si="260"/>
        <v/>
      </c>
      <c r="F4147" s="10" t="str">
        <v/>
      </c>
      <c r="G4147" t="e">
        <f t="shared" si="258"/>
        <v>#VALUE!</v>
      </c>
      <c r="H4147" s="13" t="e">
        <f t="shared" si="259"/>
        <v>#VALUE!</v>
      </c>
    </row>
    <row r="4148" spans="2:8">
      <c r="B4148" s="11" t="str">
        <f t="shared" si="257"/>
        <v/>
      </c>
      <c r="C4148" s="11" t="str">
        <f t="shared" si="260"/>
        <v/>
      </c>
      <c r="F4148" s="10" t="str">
        <v/>
      </c>
      <c r="G4148" t="e">
        <f t="shared" si="258"/>
        <v>#VALUE!</v>
      </c>
      <c r="H4148" s="13" t="e">
        <f t="shared" si="259"/>
        <v>#VALUE!</v>
      </c>
    </row>
    <row r="4149" spans="2:8">
      <c r="B4149" s="11" t="str">
        <f t="shared" si="257"/>
        <v/>
      </c>
      <c r="C4149" s="11" t="str">
        <f t="shared" si="260"/>
        <v/>
      </c>
      <c r="F4149" s="10" t="str">
        <v/>
      </c>
      <c r="G4149" t="e">
        <f t="shared" si="258"/>
        <v>#VALUE!</v>
      </c>
      <c r="H4149" s="13" t="e">
        <f t="shared" si="259"/>
        <v>#VALUE!</v>
      </c>
    </row>
    <row r="4150" spans="2:8">
      <c r="B4150" s="11" t="str">
        <f t="shared" si="257"/>
        <v/>
      </c>
      <c r="C4150" s="11" t="str">
        <f t="shared" si="260"/>
        <v/>
      </c>
      <c r="F4150" s="10" t="str">
        <v/>
      </c>
      <c r="G4150" t="e">
        <f t="shared" si="258"/>
        <v>#VALUE!</v>
      </c>
      <c r="H4150" s="13" t="e">
        <f t="shared" si="259"/>
        <v>#VALUE!</v>
      </c>
    </row>
    <row r="4151" spans="2:8">
      <c r="B4151" s="11" t="str">
        <f t="shared" si="257"/>
        <v/>
      </c>
      <c r="C4151" s="11" t="str">
        <f t="shared" si="260"/>
        <v/>
      </c>
      <c r="F4151" s="10" t="str">
        <v/>
      </c>
      <c r="G4151" t="e">
        <f t="shared" si="258"/>
        <v>#VALUE!</v>
      </c>
      <c r="H4151" s="13" t="e">
        <f t="shared" si="259"/>
        <v>#VALUE!</v>
      </c>
    </row>
    <row r="4152" spans="2:8">
      <c r="B4152" s="11" t="str">
        <f t="shared" si="257"/>
        <v/>
      </c>
      <c r="C4152" s="11" t="str">
        <f t="shared" si="260"/>
        <v/>
      </c>
      <c r="F4152" s="10" t="str">
        <v/>
      </c>
      <c r="G4152" t="e">
        <f t="shared" si="258"/>
        <v>#VALUE!</v>
      </c>
      <c r="H4152" s="13" t="e">
        <f t="shared" si="259"/>
        <v>#VALUE!</v>
      </c>
    </row>
    <row r="4153" spans="2:8">
      <c r="B4153" s="11" t="str">
        <f t="shared" si="257"/>
        <v/>
      </c>
      <c r="C4153" s="11" t="str">
        <f t="shared" si="260"/>
        <v/>
      </c>
      <c r="F4153" s="10" t="str">
        <v/>
      </c>
      <c r="G4153" t="e">
        <f t="shared" si="258"/>
        <v>#VALUE!</v>
      </c>
      <c r="H4153" s="13" t="e">
        <f t="shared" si="259"/>
        <v>#VALUE!</v>
      </c>
    </row>
    <row r="4154" spans="2:8">
      <c r="B4154" s="11" t="str">
        <f t="shared" si="257"/>
        <v/>
      </c>
      <c r="C4154" s="11" t="str">
        <f t="shared" si="260"/>
        <v/>
      </c>
      <c r="F4154" s="10" t="str">
        <v/>
      </c>
      <c r="G4154" t="e">
        <f t="shared" si="258"/>
        <v>#VALUE!</v>
      </c>
      <c r="H4154" s="13" t="e">
        <f t="shared" si="259"/>
        <v>#VALUE!</v>
      </c>
    </row>
    <row r="4155" spans="2:8">
      <c r="B4155" s="11" t="str">
        <f t="shared" si="257"/>
        <v/>
      </c>
      <c r="C4155" s="11" t="str">
        <f t="shared" si="260"/>
        <v/>
      </c>
      <c r="F4155" s="10" t="str">
        <v/>
      </c>
      <c r="G4155" t="e">
        <f t="shared" si="258"/>
        <v>#VALUE!</v>
      </c>
      <c r="H4155" s="13" t="e">
        <f t="shared" si="259"/>
        <v>#VALUE!</v>
      </c>
    </row>
    <row r="4156" spans="2:8">
      <c r="B4156" s="11" t="str">
        <f t="shared" si="257"/>
        <v/>
      </c>
      <c r="C4156" s="11" t="str">
        <f t="shared" si="260"/>
        <v/>
      </c>
      <c r="F4156" s="10" t="str">
        <v/>
      </c>
      <c r="G4156" t="e">
        <f t="shared" si="258"/>
        <v>#VALUE!</v>
      </c>
      <c r="H4156" s="13" t="e">
        <f t="shared" si="259"/>
        <v>#VALUE!</v>
      </c>
    </row>
    <row r="4157" spans="2:8">
      <c r="B4157" s="11" t="str">
        <f t="shared" si="257"/>
        <v/>
      </c>
      <c r="C4157" s="11" t="str">
        <f t="shared" si="260"/>
        <v/>
      </c>
      <c r="F4157" s="10" t="str">
        <v/>
      </c>
      <c r="G4157" t="e">
        <f t="shared" si="258"/>
        <v>#VALUE!</v>
      </c>
      <c r="H4157" s="13" t="e">
        <f t="shared" si="259"/>
        <v>#VALUE!</v>
      </c>
    </row>
    <row r="4158" spans="2:8">
      <c r="B4158" s="11" t="str">
        <f t="shared" si="257"/>
        <v/>
      </c>
      <c r="C4158" s="11" t="str">
        <f t="shared" si="260"/>
        <v/>
      </c>
      <c r="F4158" s="10" t="str">
        <v/>
      </c>
      <c r="G4158" t="e">
        <f t="shared" si="258"/>
        <v>#VALUE!</v>
      </c>
      <c r="H4158" s="13" t="e">
        <f t="shared" si="259"/>
        <v>#VALUE!</v>
      </c>
    </row>
    <row r="4159" spans="2:8">
      <c r="B4159" s="11" t="str">
        <f t="shared" si="257"/>
        <v/>
      </c>
      <c r="C4159" s="11" t="str">
        <f t="shared" si="260"/>
        <v/>
      </c>
      <c r="F4159" s="10" t="str">
        <v/>
      </c>
      <c r="G4159" t="e">
        <f t="shared" si="258"/>
        <v>#VALUE!</v>
      </c>
      <c r="H4159" s="13" t="e">
        <f t="shared" si="259"/>
        <v>#VALUE!</v>
      </c>
    </row>
    <row r="4160" spans="2:8">
      <c r="B4160" s="11" t="str">
        <f t="shared" si="257"/>
        <v/>
      </c>
      <c r="C4160" s="11" t="str">
        <f t="shared" si="260"/>
        <v/>
      </c>
      <c r="F4160" s="10" t="str">
        <v/>
      </c>
      <c r="G4160" t="e">
        <f t="shared" si="258"/>
        <v>#VALUE!</v>
      </c>
      <c r="H4160" s="13" t="e">
        <f t="shared" si="259"/>
        <v>#VALUE!</v>
      </c>
    </row>
    <row r="4161" spans="2:8">
      <c r="B4161" s="11" t="str">
        <f t="shared" ref="B4161:B4224" si="261">IFERROR(IF(FIND(" ",A4161)=6,IF(IFERROR(FIND(" PB",A4161),"")&lt;&gt;"","артикул",IF(IFERROR(FIND(" CRN",A4161),"")&lt;&gt;"","артикул","")),""),"")</f>
        <v/>
      </c>
      <c r="C4161" s="11" t="str">
        <f t="shared" si="260"/>
        <v/>
      </c>
      <c r="F4161" s="10" t="str">
        <v/>
      </c>
      <c r="G4161" t="e">
        <f t="shared" si="258"/>
        <v>#VALUE!</v>
      </c>
      <c r="H4161" s="13" t="e">
        <f t="shared" si="259"/>
        <v>#VALUE!</v>
      </c>
    </row>
    <row r="4162" spans="2:8">
      <c r="B4162" s="11" t="str">
        <f t="shared" si="261"/>
        <v/>
      </c>
      <c r="C4162" s="11" t="str">
        <f t="shared" si="260"/>
        <v/>
      </c>
      <c r="F4162" s="10" t="str">
        <v/>
      </c>
      <c r="G4162" t="e">
        <f t="shared" ref="G4162:G4225" si="262">CONCATENATE(LEFT(F4162,5),
MID(F4162,
SEARCH("\",SUBSTITUTE(F4162," ","\",LEN(F4162)-LEN(SUBSTITUTE(F4162," ",""))-4)),
SEARCH("\",SUBSTITUTE(F4162," ","\",LEN(F4162)-LEN(SUBSTITUTE(F4162," ",""))-3))-
SEARCH("\",SUBSTITUTE(F4162," ","\",LEN(F4162)-LEN(SUBSTITUTE(F4162," ",""))-4)))*1)</f>
        <v>#VALUE!</v>
      </c>
      <c r="H4162" s="13" t="e">
        <f t="shared" ref="H4162:H4225" si="263">SUBSTITUTE(
RIGHT(F4162,LEN(F4162)-
FIND("\",SUBSTITUTE(F4162," ","\",LEN(F4162)-LEN(SUBSTITUTE(F4162," ",""))))),
".","")</f>
        <v>#VALUE!</v>
      </c>
    </row>
    <row r="4163" spans="2:8">
      <c r="B4163" s="11" t="str">
        <f t="shared" si="261"/>
        <v/>
      </c>
      <c r="C4163" s="11" t="str">
        <f t="shared" si="260"/>
        <v/>
      </c>
      <c r="F4163" s="10" t="str">
        <v/>
      </c>
      <c r="G4163" t="e">
        <f t="shared" si="262"/>
        <v>#VALUE!</v>
      </c>
      <c r="H4163" s="13" t="e">
        <f t="shared" si="263"/>
        <v>#VALUE!</v>
      </c>
    </row>
    <row r="4164" spans="2:8">
      <c r="B4164" s="11" t="str">
        <f t="shared" si="261"/>
        <v/>
      </c>
      <c r="C4164" s="11" t="str">
        <f t="shared" si="260"/>
        <v/>
      </c>
      <c r="F4164" s="10" t="str">
        <v/>
      </c>
      <c r="G4164" t="e">
        <f t="shared" si="262"/>
        <v>#VALUE!</v>
      </c>
      <c r="H4164" s="13" t="e">
        <f t="shared" si="263"/>
        <v>#VALUE!</v>
      </c>
    </row>
    <row r="4165" spans="2:8">
      <c r="B4165" s="11" t="str">
        <f t="shared" si="261"/>
        <v/>
      </c>
      <c r="C4165" s="11" t="str">
        <f t="shared" si="260"/>
        <v/>
      </c>
      <c r="F4165" s="10" t="str">
        <v/>
      </c>
      <c r="G4165" t="e">
        <f t="shared" si="262"/>
        <v>#VALUE!</v>
      </c>
      <c r="H4165" s="13" t="e">
        <f t="shared" si="263"/>
        <v>#VALUE!</v>
      </c>
    </row>
    <row r="4166" spans="2:8">
      <c r="B4166" s="11" t="str">
        <f t="shared" si="261"/>
        <v/>
      </c>
      <c r="C4166" s="11" t="str">
        <f t="shared" si="260"/>
        <v/>
      </c>
      <c r="F4166" s="10" t="str">
        <v/>
      </c>
      <c r="G4166" t="e">
        <f t="shared" si="262"/>
        <v>#VALUE!</v>
      </c>
      <c r="H4166" s="13" t="e">
        <f t="shared" si="263"/>
        <v>#VALUE!</v>
      </c>
    </row>
    <row r="4167" spans="2:8">
      <c r="B4167" s="11" t="str">
        <f t="shared" si="261"/>
        <v/>
      </c>
      <c r="C4167" s="11" t="str">
        <f t="shared" si="260"/>
        <v/>
      </c>
      <c r="F4167" s="10" t="str">
        <v/>
      </c>
      <c r="G4167" t="e">
        <f t="shared" si="262"/>
        <v>#VALUE!</v>
      </c>
      <c r="H4167" s="13" t="e">
        <f t="shared" si="263"/>
        <v>#VALUE!</v>
      </c>
    </row>
    <row r="4168" spans="2:8">
      <c r="B4168" s="11" t="str">
        <f t="shared" si="261"/>
        <v/>
      </c>
      <c r="C4168" s="11" t="str">
        <f t="shared" si="260"/>
        <v/>
      </c>
      <c r="F4168" s="10" t="str">
        <v/>
      </c>
      <c r="G4168" t="e">
        <f t="shared" si="262"/>
        <v>#VALUE!</v>
      </c>
      <c r="H4168" s="13" t="e">
        <f t="shared" si="263"/>
        <v>#VALUE!</v>
      </c>
    </row>
    <row r="4169" spans="2:8">
      <c r="B4169" s="11" t="str">
        <f t="shared" si="261"/>
        <v/>
      </c>
      <c r="C4169" s="11" t="str">
        <f t="shared" si="260"/>
        <v/>
      </c>
      <c r="F4169" s="10" t="str">
        <v/>
      </c>
      <c r="G4169" t="e">
        <f t="shared" si="262"/>
        <v>#VALUE!</v>
      </c>
      <c r="H4169" s="13" t="e">
        <f t="shared" si="263"/>
        <v>#VALUE!</v>
      </c>
    </row>
    <row r="4170" spans="2:8">
      <c r="B4170" s="11" t="str">
        <f t="shared" si="261"/>
        <v/>
      </c>
      <c r="C4170" s="11" t="str">
        <f t="shared" si="260"/>
        <v/>
      </c>
      <c r="F4170" s="10" t="str">
        <v/>
      </c>
      <c r="G4170" t="e">
        <f t="shared" si="262"/>
        <v>#VALUE!</v>
      </c>
      <c r="H4170" s="13" t="e">
        <f t="shared" si="263"/>
        <v>#VALUE!</v>
      </c>
    </row>
    <row r="4171" spans="2:8">
      <c r="B4171" s="11" t="str">
        <f t="shared" si="261"/>
        <v/>
      </c>
      <c r="C4171" s="11" t="str">
        <f t="shared" si="260"/>
        <v/>
      </c>
      <c r="F4171" s="10" t="str">
        <v/>
      </c>
      <c r="G4171" t="e">
        <f t="shared" si="262"/>
        <v>#VALUE!</v>
      </c>
      <c r="H4171" s="13" t="e">
        <f t="shared" si="263"/>
        <v>#VALUE!</v>
      </c>
    </row>
    <row r="4172" spans="2:8">
      <c r="B4172" s="11" t="str">
        <f t="shared" si="261"/>
        <v/>
      </c>
      <c r="C4172" s="11" t="str">
        <f t="shared" si="260"/>
        <v/>
      </c>
      <c r="F4172" s="10" t="str">
        <v/>
      </c>
      <c r="G4172" t="e">
        <f t="shared" si="262"/>
        <v>#VALUE!</v>
      </c>
      <c r="H4172" s="13" t="e">
        <f t="shared" si="263"/>
        <v>#VALUE!</v>
      </c>
    </row>
    <row r="4173" spans="2:8">
      <c r="B4173" s="11" t="str">
        <f t="shared" si="261"/>
        <v/>
      </c>
      <c r="C4173" s="11" t="str">
        <f t="shared" si="260"/>
        <v/>
      </c>
      <c r="F4173" s="10" t="str">
        <v/>
      </c>
      <c r="G4173" t="e">
        <f t="shared" si="262"/>
        <v>#VALUE!</v>
      </c>
      <c r="H4173" s="13" t="e">
        <f t="shared" si="263"/>
        <v>#VALUE!</v>
      </c>
    </row>
    <row r="4174" spans="2:8">
      <c r="B4174" s="11" t="str">
        <f t="shared" si="261"/>
        <v/>
      </c>
      <c r="C4174" s="11" t="str">
        <f t="shared" si="260"/>
        <v/>
      </c>
      <c r="F4174" s="10" t="str">
        <v/>
      </c>
      <c r="G4174" t="e">
        <f t="shared" si="262"/>
        <v>#VALUE!</v>
      </c>
      <c r="H4174" s="13" t="e">
        <f t="shared" si="263"/>
        <v>#VALUE!</v>
      </c>
    </row>
    <row r="4175" spans="2:8">
      <c r="B4175" s="11" t="str">
        <f t="shared" si="261"/>
        <v/>
      </c>
      <c r="C4175" s="11" t="str">
        <f t="shared" si="260"/>
        <v/>
      </c>
      <c r="F4175" s="10" t="str">
        <v/>
      </c>
      <c r="G4175" t="e">
        <f t="shared" si="262"/>
        <v>#VALUE!</v>
      </c>
      <c r="H4175" s="13" t="e">
        <f t="shared" si="263"/>
        <v>#VALUE!</v>
      </c>
    </row>
    <row r="4176" spans="2:8">
      <c r="B4176" s="11" t="str">
        <f t="shared" si="261"/>
        <v/>
      </c>
      <c r="C4176" s="11" t="str">
        <f t="shared" si="260"/>
        <v/>
      </c>
      <c r="F4176" s="10" t="str">
        <v/>
      </c>
      <c r="G4176" t="e">
        <f t="shared" si="262"/>
        <v>#VALUE!</v>
      </c>
      <c r="H4176" s="13" t="e">
        <f t="shared" si="263"/>
        <v>#VALUE!</v>
      </c>
    </row>
    <row r="4177" spans="2:8">
      <c r="B4177" s="11" t="str">
        <f t="shared" si="261"/>
        <v/>
      </c>
      <c r="C4177" s="11" t="str">
        <f t="shared" si="260"/>
        <v/>
      </c>
      <c r="F4177" s="10" t="str">
        <v/>
      </c>
      <c r="G4177" t="e">
        <f t="shared" si="262"/>
        <v>#VALUE!</v>
      </c>
      <c r="H4177" s="13" t="e">
        <f t="shared" si="263"/>
        <v>#VALUE!</v>
      </c>
    </row>
    <row r="4178" spans="2:8">
      <c r="B4178" s="11" t="str">
        <f t="shared" si="261"/>
        <v/>
      </c>
      <c r="C4178" s="11" t="str">
        <f t="shared" si="260"/>
        <v/>
      </c>
      <c r="F4178" s="10" t="str">
        <v/>
      </c>
      <c r="G4178" t="e">
        <f t="shared" si="262"/>
        <v>#VALUE!</v>
      </c>
      <c r="H4178" s="13" t="e">
        <f t="shared" si="263"/>
        <v>#VALUE!</v>
      </c>
    </row>
    <row r="4179" spans="2:8">
      <c r="B4179" s="11" t="str">
        <f t="shared" si="261"/>
        <v/>
      </c>
      <c r="C4179" s="11" t="str">
        <f t="shared" si="260"/>
        <v/>
      </c>
      <c r="F4179" s="10" t="str">
        <v/>
      </c>
      <c r="G4179" t="e">
        <f t="shared" si="262"/>
        <v>#VALUE!</v>
      </c>
      <c r="H4179" s="13" t="e">
        <f t="shared" si="263"/>
        <v>#VALUE!</v>
      </c>
    </row>
    <row r="4180" spans="2:8">
      <c r="B4180" s="11" t="str">
        <f t="shared" si="261"/>
        <v/>
      </c>
      <c r="C4180" s="11" t="str">
        <f t="shared" si="260"/>
        <v/>
      </c>
      <c r="F4180" s="10" t="str">
        <v/>
      </c>
      <c r="G4180" t="e">
        <f t="shared" si="262"/>
        <v>#VALUE!</v>
      </c>
      <c r="H4180" s="13" t="e">
        <f t="shared" si="263"/>
        <v>#VALUE!</v>
      </c>
    </row>
    <row r="4181" spans="2:8">
      <c r="B4181" s="11" t="str">
        <f t="shared" si="261"/>
        <v/>
      </c>
      <c r="C4181" s="11" t="str">
        <f t="shared" si="260"/>
        <v/>
      </c>
      <c r="F4181" s="10" t="str">
        <v/>
      </c>
      <c r="G4181" t="e">
        <f t="shared" si="262"/>
        <v>#VALUE!</v>
      </c>
      <c r="H4181" s="13" t="e">
        <f t="shared" si="263"/>
        <v>#VALUE!</v>
      </c>
    </row>
    <row r="4182" spans="2:8">
      <c r="B4182" s="11" t="str">
        <f t="shared" si="261"/>
        <v/>
      </c>
      <c r="C4182" s="11" t="str">
        <f t="shared" si="260"/>
        <v/>
      </c>
      <c r="F4182" s="10" t="str">
        <v/>
      </c>
      <c r="G4182" t="e">
        <f t="shared" si="262"/>
        <v>#VALUE!</v>
      </c>
      <c r="H4182" s="13" t="e">
        <f t="shared" si="263"/>
        <v>#VALUE!</v>
      </c>
    </row>
    <row r="4183" spans="2:8">
      <c r="B4183" s="11" t="str">
        <f t="shared" si="261"/>
        <v/>
      </c>
      <c r="C4183" s="11" t="str">
        <f t="shared" si="260"/>
        <v/>
      </c>
      <c r="F4183" s="10" t="str">
        <v/>
      </c>
      <c r="G4183" t="e">
        <f t="shared" si="262"/>
        <v>#VALUE!</v>
      </c>
      <c r="H4183" s="13" t="e">
        <f t="shared" si="263"/>
        <v>#VALUE!</v>
      </c>
    </row>
    <row r="4184" spans="2:8">
      <c r="B4184" s="11" t="str">
        <f t="shared" si="261"/>
        <v/>
      </c>
      <c r="C4184" s="11" t="str">
        <f t="shared" si="260"/>
        <v/>
      </c>
      <c r="F4184" s="10" t="str">
        <v/>
      </c>
      <c r="G4184" t="e">
        <f t="shared" si="262"/>
        <v>#VALUE!</v>
      </c>
      <c r="H4184" s="13" t="e">
        <f t="shared" si="263"/>
        <v>#VALUE!</v>
      </c>
    </row>
    <row r="4185" spans="2:8">
      <c r="B4185" s="11" t="str">
        <f t="shared" si="261"/>
        <v/>
      </c>
      <c r="C4185" s="11" t="str">
        <f t="shared" si="260"/>
        <v/>
      </c>
      <c r="F4185" s="10" t="str">
        <v/>
      </c>
      <c r="G4185" t="e">
        <f t="shared" si="262"/>
        <v>#VALUE!</v>
      </c>
      <c r="H4185" s="13" t="e">
        <f t="shared" si="263"/>
        <v>#VALUE!</v>
      </c>
    </row>
    <row r="4186" spans="2:8">
      <c r="B4186" s="11" t="str">
        <f t="shared" si="261"/>
        <v/>
      </c>
      <c r="C4186" s="11" t="str">
        <f t="shared" si="260"/>
        <v/>
      </c>
      <c r="F4186" s="10" t="str">
        <v/>
      </c>
      <c r="G4186" t="e">
        <f t="shared" si="262"/>
        <v>#VALUE!</v>
      </c>
      <c r="H4186" s="13" t="e">
        <f t="shared" si="263"/>
        <v>#VALUE!</v>
      </c>
    </row>
    <row r="4187" spans="2:8">
      <c r="B4187" s="11" t="str">
        <f t="shared" si="261"/>
        <v/>
      </c>
      <c r="C4187" s="11" t="str">
        <f t="shared" si="260"/>
        <v/>
      </c>
      <c r="F4187" s="10" t="str">
        <v/>
      </c>
      <c r="G4187" t="e">
        <f t="shared" si="262"/>
        <v>#VALUE!</v>
      </c>
      <c r="H4187" s="13" t="e">
        <f t="shared" si="263"/>
        <v>#VALUE!</v>
      </c>
    </row>
    <row r="4188" spans="2:8">
      <c r="B4188" s="11" t="str">
        <f t="shared" si="261"/>
        <v/>
      </c>
      <c r="C4188" s="11" t="str">
        <f t="shared" si="260"/>
        <v/>
      </c>
      <c r="F4188" s="10" t="str">
        <v/>
      </c>
      <c r="G4188" t="e">
        <f t="shared" si="262"/>
        <v>#VALUE!</v>
      </c>
      <c r="H4188" s="13" t="e">
        <f t="shared" si="263"/>
        <v>#VALUE!</v>
      </c>
    </row>
    <row r="4189" spans="2:8">
      <c r="B4189" s="11" t="str">
        <f t="shared" si="261"/>
        <v/>
      </c>
      <c r="C4189" s="11" t="str">
        <f t="shared" si="260"/>
        <v/>
      </c>
      <c r="F4189" s="10" t="str">
        <v/>
      </c>
      <c r="G4189" t="e">
        <f t="shared" si="262"/>
        <v>#VALUE!</v>
      </c>
      <c r="H4189" s="13" t="e">
        <f t="shared" si="263"/>
        <v>#VALUE!</v>
      </c>
    </row>
    <row r="4190" spans="2:8">
      <c r="B4190" s="11" t="str">
        <f t="shared" si="261"/>
        <v/>
      </c>
      <c r="C4190" s="11" t="str">
        <f t="shared" si="260"/>
        <v/>
      </c>
      <c r="F4190" s="10" t="str">
        <v/>
      </c>
      <c r="G4190" t="e">
        <f t="shared" si="262"/>
        <v>#VALUE!</v>
      </c>
      <c r="H4190" s="13" t="e">
        <f t="shared" si="263"/>
        <v>#VALUE!</v>
      </c>
    </row>
    <row r="4191" spans="2:8">
      <c r="B4191" s="11" t="str">
        <f t="shared" si="261"/>
        <v/>
      </c>
      <c r="C4191" s="11" t="str">
        <f t="shared" si="260"/>
        <v/>
      </c>
      <c r="F4191" s="10" t="str">
        <v/>
      </c>
      <c r="G4191" t="e">
        <f t="shared" si="262"/>
        <v>#VALUE!</v>
      </c>
      <c r="H4191" s="13" t="e">
        <f t="shared" si="263"/>
        <v>#VALUE!</v>
      </c>
    </row>
    <row r="4192" spans="2:8">
      <c r="B4192" s="11" t="str">
        <f t="shared" si="261"/>
        <v/>
      </c>
      <c r="C4192" s="11" t="str">
        <f t="shared" si="260"/>
        <v/>
      </c>
      <c r="F4192" s="10" t="str">
        <v/>
      </c>
      <c r="G4192" t="e">
        <f t="shared" si="262"/>
        <v>#VALUE!</v>
      </c>
      <c r="H4192" s="13" t="e">
        <f t="shared" si="263"/>
        <v>#VALUE!</v>
      </c>
    </row>
    <row r="4193" spans="2:8">
      <c r="B4193" s="11" t="str">
        <f t="shared" si="261"/>
        <v/>
      </c>
      <c r="C4193" s="11" t="str">
        <f t="shared" si="260"/>
        <v/>
      </c>
      <c r="F4193" s="10" t="str">
        <v/>
      </c>
      <c r="G4193" t="e">
        <f t="shared" si="262"/>
        <v>#VALUE!</v>
      </c>
      <c r="H4193" s="13" t="e">
        <f t="shared" si="263"/>
        <v>#VALUE!</v>
      </c>
    </row>
    <row r="4194" spans="2:8">
      <c r="B4194" s="11" t="str">
        <f t="shared" si="261"/>
        <v/>
      </c>
      <c r="C4194" s="11" t="str">
        <f t="shared" si="260"/>
        <v/>
      </c>
      <c r="F4194" s="10" t="str">
        <v/>
      </c>
      <c r="G4194" t="e">
        <f t="shared" si="262"/>
        <v>#VALUE!</v>
      </c>
      <c r="H4194" s="13" t="e">
        <f t="shared" si="263"/>
        <v>#VALUE!</v>
      </c>
    </row>
    <row r="4195" spans="2:8">
      <c r="B4195" s="11" t="str">
        <f t="shared" si="261"/>
        <v/>
      </c>
      <c r="C4195" s="11" t="str">
        <f t="shared" si="260"/>
        <v/>
      </c>
      <c r="F4195" s="10" t="str">
        <v/>
      </c>
      <c r="G4195" t="e">
        <f t="shared" si="262"/>
        <v>#VALUE!</v>
      </c>
      <c r="H4195" s="13" t="e">
        <f t="shared" si="263"/>
        <v>#VALUE!</v>
      </c>
    </row>
    <row r="4196" spans="2:8">
      <c r="B4196" s="11" t="str">
        <f t="shared" si="261"/>
        <v/>
      </c>
      <c r="C4196" s="11" t="str">
        <f t="shared" si="260"/>
        <v/>
      </c>
      <c r="F4196" s="10" t="str">
        <v/>
      </c>
      <c r="G4196" t="e">
        <f t="shared" si="262"/>
        <v>#VALUE!</v>
      </c>
      <c r="H4196" s="13" t="e">
        <f t="shared" si="263"/>
        <v>#VALUE!</v>
      </c>
    </row>
    <row r="4197" spans="2:8">
      <c r="B4197" s="11" t="str">
        <f t="shared" si="261"/>
        <v/>
      </c>
      <c r="C4197" s="11" t="str">
        <f t="shared" si="260"/>
        <v/>
      </c>
      <c r="F4197" s="10" t="str">
        <v/>
      </c>
      <c r="G4197" t="e">
        <f t="shared" si="262"/>
        <v>#VALUE!</v>
      </c>
      <c r="H4197" s="13" t="e">
        <f t="shared" si="263"/>
        <v>#VALUE!</v>
      </c>
    </row>
    <row r="4198" spans="2:8">
      <c r="B4198" s="11" t="str">
        <f t="shared" si="261"/>
        <v/>
      </c>
      <c r="C4198" s="11" t="str">
        <f t="shared" si="260"/>
        <v/>
      </c>
      <c r="F4198" s="10" t="str">
        <v/>
      </c>
      <c r="G4198" t="e">
        <f t="shared" si="262"/>
        <v>#VALUE!</v>
      </c>
      <c r="H4198" s="13" t="e">
        <f t="shared" si="263"/>
        <v>#VALUE!</v>
      </c>
    </row>
    <row r="4199" spans="2:8">
      <c r="B4199" s="11" t="str">
        <f t="shared" si="261"/>
        <v/>
      </c>
      <c r="C4199" s="11" t="str">
        <f t="shared" si="260"/>
        <v/>
      </c>
      <c r="F4199" s="10" t="str">
        <v/>
      </c>
      <c r="G4199" t="e">
        <f t="shared" si="262"/>
        <v>#VALUE!</v>
      </c>
      <c r="H4199" s="13" t="e">
        <f t="shared" si="263"/>
        <v>#VALUE!</v>
      </c>
    </row>
    <row r="4200" spans="2:8">
      <c r="B4200" s="11" t="str">
        <f t="shared" si="261"/>
        <v/>
      </c>
      <c r="C4200" s="11" t="str">
        <f t="shared" si="260"/>
        <v/>
      </c>
      <c r="F4200" s="10" t="str">
        <v/>
      </c>
      <c r="G4200" t="e">
        <f t="shared" si="262"/>
        <v>#VALUE!</v>
      </c>
      <c r="H4200" s="13" t="e">
        <f t="shared" si="263"/>
        <v>#VALUE!</v>
      </c>
    </row>
    <row r="4201" spans="2:8">
      <c r="B4201" s="11" t="str">
        <f t="shared" si="261"/>
        <v/>
      </c>
      <c r="C4201" s="11" t="str">
        <f t="shared" ref="C4201:C4264" si="264">IF(B4201="артикул",A4201,"")</f>
        <v/>
      </c>
      <c r="F4201" s="10" t="str">
        <v/>
      </c>
      <c r="G4201" t="e">
        <f t="shared" si="262"/>
        <v>#VALUE!</v>
      </c>
      <c r="H4201" s="13" t="e">
        <f t="shared" si="263"/>
        <v>#VALUE!</v>
      </c>
    </row>
    <row r="4202" spans="2:8">
      <c r="B4202" s="11" t="str">
        <f t="shared" si="261"/>
        <v/>
      </c>
      <c r="C4202" s="11" t="str">
        <f t="shared" si="264"/>
        <v/>
      </c>
      <c r="F4202" s="10" t="str">
        <v/>
      </c>
      <c r="G4202" t="e">
        <f t="shared" si="262"/>
        <v>#VALUE!</v>
      </c>
      <c r="H4202" s="13" t="e">
        <f t="shared" si="263"/>
        <v>#VALUE!</v>
      </c>
    </row>
    <row r="4203" spans="2:8">
      <c r="B4203" s="11" t="str">
        <f t="shared" si="261"/>
        <v/>
      </c>
      <c r="C4203" s="11" t="str">
        <f t="shared" si="264"/>
        <v/>
      </c>
      <c r="F4203" s="10" t="str">
        <v/>
      </c>
      <c r="G4203" t="e">
        <f t="shared" si="262"/>
        <v>#VALUE!</v>
      </c>
      <c r="H4203" s="13" t="e">
        <f t="shared" si="263"/>
        <v>#VALUE!</v>
      </c>
    </row>
    <row r="4204" spans="2:8">
      <c r="B4204" s="11" t="str">
        <f t="shared" si="261"/>
        <v/>
      </c>
      <c r="C4204" s="11" t="str">
        <f t="shared" si="264"/>
        <v/>
      </c>
      <c r="F4204" s="10" t="str">
        <v/>
      </c>
      <c r="G4204" t="e">
        <f t="shared" si="262"/>
        <v>#VALUE!</v>
      </c>
      <c r="H4204" s="13" t="e">
        <f t="shared" si="263"/>
        <v>#VALUE!</v>
      </c>
    </row>
    <row r="4205" spans="2:8">
      <c r="B4205" s="11" t="str">
        <f t="shared" si="261"/>
        <v/>
      </c>
      <c r="C4205" s="11" t="str">
        <f t="shared" si="264"/>
        <v/>
      </c>
      <c r="F4205" s="10" t="str">
        <v/>
      </c>
      <c r="G4205" t="e">
        <f t="shared" si="262"/>
        <v>#VALUE!</v>
      </c>
      <c r="H4205" s="13" t="e">
        <f t="shared" si="263"/>
        <v>#VALUE!</v>
      </c>
    </row>
    <row r="4206" spans="2:8">
      <c r="B4206" s="11" t="str">
        <f t="shared" si="261"/>
        <v/>
      </c>
      <c r="C4206" s="11" t="str">
        <f t="shared" si="264"/>
        <v/>
      </c>
      <c r="F4206" s="10" t="str">
        <v/>
      </c>
      <c r="G4206" t="e">
        <f t="shared" si="262"/>
        <v>#VALUE!</v>
      </c>
      <c r="H4206" s="13" t="e">
        <f t="shared" si="263"/>
        <v>#VALUE!</v>
      </c>
    </row>
    <row r="4207" spans="2:8">
      <c r="B4207" s="11" t="str">
        <f t="shared" si="261"/>
        <v/>
      </c>
      <c r="C4207" s="11" t="str">
        <f t="shared" si="264"/>
        <v/>
      </c>
      <c r="F4207" s="10" t="str">
        <v/>
      </c>
      <c r="G4207" t="e">
        <f t="shared" si="262"/>
        <v>#VALUE!</v>
      </c>
      <c r="H4207" s="13" t="e">
        <f t="shared" si="263"/>
        <v>#VALUE!</v>
      </c>
    </row>
    <row r="4208" spans="2:8">
      <c r="B4208" s="11" t="str">
        <f t="shared" si="261"/>
        <v/>
      </c>
      <c r="C4208" s="11" t="str">
        <f t="shared" si="264"/>
        <v/>
      </c>
      <c r="F4208" s="10" t="str">
        <v/>
      </c>
      <c r="G4208" t="e">
        <f t="shared" si="262"/>
        <v>#VALUE!</v>
      </c>
      <c r="H4208" s="13" t="e">
        <f t="shared" si="263"/>
        <v>#VALUE!</v>
      </c>
    </row>
    <row r="4209" spans="2:8">
      <c r="B4209" s="11" t="str">
        <f t="shared" si="261"/>
        <v/>
      </c>
      <c r="C4209" s="11" t="str">
        <f t="shared" si="264"/>
        <v/>
      </c>
      <c r="F4209" s="10" t="str">
        <v/>
      </c>
      <c r="G4209" t="e">
        <f t="shared" si="262"/>
        <v>#VALUE!</v>
      </c>
      <c r="H4209" s="13" t="e">
        <f t="shared" si="263"/>
        <v>#VALUE!</v>
      </c>
    </row>
    <row r="4210" spans="2:8">
      <c r="B4210" s="11" t="str">
        <f t="shared" si="261"/>
        <v/>
      </c>
      <c r="C4210" s="11" t="str">
        <f t="shared" si="264"/>
        <v/>
      </c>
      <c r="F4210" s="10" t="str">
        <v/>
      </c>
      <c r="G4210" t="e">
        <f t="shared" si="262"/>
        <v>#VALUE!</v>
      </c>
      <c r="H4210" s="13" t="e">
        <f t="shared" si="263"/>
        <v>#VALUE!</v>
      </c>
    </row>
    <row r="4211" spans="2:8">
      <c r="B4211" s="11" t="str">
        <f t="shared" si="261"/>
        <v/>
      </c>
      <c r="C4211" s="11" t="str">
        <f t="shared" si="264"/>
        <v/>
      </c>
      <c r="F4211" s="10" t="str">
        <v/>
      </c>
      <c r="G4211" t="e">
        <f t="shared" si="262"/>
        <v>#VALUE!</v>
      </c>
      <c r="H4211" s="13" t="e">
        <f t="shared" si="263"/>
        <v>#VALUE!</v>
      </c>
    </row>
    <row r="4212" spans="2:8">
      <c r="B4212" s="11" t="str">
        <f t="shared" si="261"/>
        <v/>
      </c>
      <c r="C4212" s="11" t="str">
        <f t="shared" si="264"/>
        <v/>
      </c>
      <c r="F4212" s="10" t="str">
        <v/>
      </c>
      <c r="G4212" t="e">
        <f t="shared" si="262"/>
        <v>#VALUE!</v>
      </c>
      <c r="H4212" s="13" t="e">
        <f t="shared" si="263"/>
        <v>#VALUE!</v>
      </c>
    </row>
    <row r="4213" spans="2:8">
      <c r="B4213" s="11" t="str">
        <f t="shared" si="261"/>
        <v/>
      </c>
      <c r="C4213" s="11" t="str">
        <f t="shared" si="264"/>
        <v/>
      </c>
      <c r="F4213" s="10" t="str">
        <v/>
      </c>
      <c r="G4213" t="e">
        <f t="shared" si="262"/>
        <v>#VALUE!</v>
      </c>
      <c r="H4213" s="13" t="e">
        <f t="shared" si="263"/>
        <v>#VALUE!</v>
      </c>
    </row>
    <row r="4214" spans="2:8">
      <c r="B4214" s="11" t="str">
        <f t="shared" si="261"/>
        <v/>
      </c>
      <c r="C4214" s="11" t="str">
        <f t="shared" si="264"/>
        <v/>
      </c>
      <c r="F4214" s="10" t="str">
        <v/>
      </c>
      <c r="G4214" t="e">
        <f t="shared" si="262"/>
        <v>#VALUE!</v>
      </c>
      <c r="H4214" s="13" t="e">
        <f t="shared" si="263"/>
        <v>#VALUE!</v>
      </c>
    </row>
    <row r="4215" spans="2:8">
      <c r="B4215" s="11" t="str">
        <f t="shared" si="261"/>
        <v/>
      </c>
      <c r="C4215" s="11" t="str">
        <f t="shared" si="264"/>
        <v/>
      </c>
      <c r="F4215" s="10" t="str">
        <v/>
      </c>
      <c r="G4215" t="e">
        <f t="shared" si="262"/>
        <v>#VALUE!</v>
      </c>
      <c r="H4215" s="13" t="e">
        <f t="shared" si="263"/>
        <v>#VALUE!</v>
      </c>
    </row>
    <row r="4216" spans="2:8">
      <c r="B4216" s="11" t="str">
        <f t="shared" si="261"/>
        <v/>
      </c>
      <c r="C4216" s="11" t="str">
        <f t="shared" si="264"/>
        <v/>
      </c>
      <c r="F4216" s="10" t="str">
        <v/>
      </c>
      <c r="G4216" t="e">
        <f t="shared" si="262"/>
        <v>#VALUE!</v>
      </c>
      <c r="H4216" s="13" t="e">
        <f t="shared" si="263"/>
        <v>#VALUE!</v>
      </c>
    </row>
    <row r="4217" spans="2:8">
      <c r="B4217" s="11" t="str">
        <f t="shared" si="261"/>
        <v/>
      </c>
      <c r="C4217" s="11" t="str">
        <f t="shared" si="264"/>
        <v/>
      </c>
      <c r="F4217" s="10" t="str">
        <v/>
      </c>
      <c r="G4217" t="e">
        <f t="shared" si="262"/>
        <v>#VALUE!</v>
      </c>
      <c r="H4217" s="13" t="e">
        <f t="shared" si="263"/>
        <v>#VALUE!</v>
      </c>
    </row>
    <row r="4218" spans="2:8">
      <c r="B4218" s="11" t="str">
        <f t="shared" si="261"/>
        <v/>
      </c>
      <c r="C4218" s="11" t="str">
        <f t="shared" si="264"/>
        <v/>
      </c>
      <c r="F4218" s="10" t="str">
        <v/>
      </c>
      <c r="G4218" t="e">
        <f t="shared" si="262"/>
        <v>#VALUE!</v>
      </c>
      <c r="H4218" s="13" t="e">
        <f t="shared" si="263"/>
        <v>#VALUE!</v>
      </c>
    </row>
    <row r="4219" spans="2:8">
      <c r="B4219" s="11" t="str">
        <f t="shared" si="261"/>
        <v/>
      </c>
      <c r="C4219" s="11" t="str">
        <f t="shared" si="264"/>
        <v/>
      </c>
      <c r="F4219" s="10" t="str">
        <v/>
      </c>
      <c r="G4219" t="e">
        <f t="shared" si="262"/>
        <v>#VALUE!</v>
      </c>
      <c r="H4219" s="13" t="e">
        <f t="shared" si="263"/>
        <v>#VALUE!</v>
      </c>
    </row>
    <row r="4220" spans="2:8">
      <c r="B4220" s="11" t="str">
        <f t="shared" si="261"/>
        <v/>
      </c>
      <c r="C4220" s="11" t="str">
        <f t="shared" si="264"/>
        <v/>
      </c>
      <c r="F4220" s="10" t="str">
        <v/>
      </c>
      <c r="G4220" t="e">
        <f t="shared" si="262"/>
        <v>#VALUE!</v>
      </c>
      <c r="H4220" s="13" t="e">
        <f t="shared" si="263"/>
        <v>#VALUE!</v>
      </c>
    </row>
    <row r="4221" spans="2:8">
      <c r="B4221" s="11" t="str">
        <f t="shared" si="261"/>
        <v/>
      </c>
      <c r="C4221" s="11" t="str">
        <f t="shared" si="264"/>
        <v/>
      </c>
      <c r="F4221" s="10" t="str">
        <v/>
      </c>
      <c r="G4221" t="e">
        <f t="shared" si="262"/>
        <v>#VALUE!</v>
      </c>
      <c r="H4221" s="13" t="e">
        <f t="shared" si="263"/>
        <v>#VALUE!</v>
      </c>
    </row>
    <row r="4222" spans="2:8">
      <c r="B4222" s="11" t="str">
        <f t="shared" si="261"/>
        <v/>
      </c>
      <c r="C4222" s="11" t="str">
        <f t="shared" si="264"/>
        <v/>
      </c>
      <c r="F4222" s="10" t="str">
        <v/>
      </c>
      <c r="G4222" t="e">
        <f t="shared" si="262"/>
        <v>#VALUE!</v>
      </c>
      <c r="H4222" s="13" t="e">
        <f t="shared" si="263"/>
        <v>#VALUE!</v>
      </c>
    </row>
    <row r="4223" spans="2:8">
      <c r="B4223" s="11" t="str">
        <f t="shared" si="261"/>
        <v/>
      </c>
      <c r="C4223" s="11" t="str">
        <f t="shared" si="264"/>
        <v/>
      </c>
      <c r="F4223" s="10" t="str">
        <v/>
      </c>
      <c r="G4223" t="e">
        <f t="shared" si="262"/>
        <v>#VALUE!</v>
      </c>
      <c r="H4223" s="13" t="e">
        <f t="shared" si="263"/>
        <v>#VALUE!</v>
      </c>
    </row>
    <row r="4224" spans="2:8">
      <c r="B4224" s="11" t="str">
        <f t="shared" si="261"/>
        <v/>
      </c>
      <c r="C4224" s="11" t="str">
        <f t="shared" si="264"/>
        <v/>
      </c>
      <c r="F4224" s="10" t="str">
        <v/>
      </c>
      <c r="G4224" t="e">
        <f t="shared" si="262"/>
        <v>#VALUE!</v>
      </c>
      <c r="H4224" s="13" t="e">
        <f t="shared" si="263"/>
        <v>#VALUE!</v>
      </c>
    </row>
    <row r="4225" spans="2:8">
      <c r="B4225" s="11" t="str">
        <f t="shared" ref="B4225:B4288" si="265">IFERROR(IF(FIND(" ",A4225)=6,IF(IFERROR(FIND(" PB",A4225),"")&lt;&gt;"","артикул",IF(IFERROR(FIND(" CRN",A4225),"")&lt;&gt;"","артикул","")),""),"")</f>
        <v/>
      </c>
      <c r="C4225" s="11" t="str">
        <f t="shared" si="264"/>
        <v/>
      </c>
      <c r="F4225" s="10" t="str">
        <v/>
      </c>
      <c r="G4225" t="e">
        <f t="shared" si="262"/>
        <v>#VALUE!</v>
      </c>
      <c r="H4225" s="13" t="e">
        <f t="shared" si="263"/>
        <v>#VALUE!</v>
      </c>
    </row>
    <row r="4226" spans="2:8">
      <c r="B4226" s="11" t="str">
        <f t="shared" si="265"/>
        <v/>
      </c>
      <c r="C4226" s="11" t="str">
        <f t="shared" si="264"/>
        <v/>
      </c>
      <c r="F4226" s="10" t="str">
        <v/>
      </c>
      <c r="G4226" t="e">
        <f t="shared" ref="G4226:G4289" si="266">CONCATENATE(LEFT(F4226,5),
MID(F4226,
SEARCH("\",SUBSTITUTE(F4226," ","\",LEN(F4226)-LEN(SUBSTITUTE(F4226," ",""))-4)),
SEARCH("\",SUBSTITUTE(F4226," ","\",LEN(F4226)-LEN(SUBSTITUTE(F4226," ",""))-3))-
SEARCH("\",SUBSTITUTE(F4226," ","\",LEN(F4226)-LEN(SUBSTITUTE(F4226," ",""))-4)))*1)</f>
        <v>#VALUE!</v>
      </c>
      <c r="H4226" s="13" t="e">
        <f t="shared" ref="H4226:H4289" si="267">SUBSTITUTE(
RIGHT(F4226,LEN(F4226)-
FIND("\",SUBSTITUTE(F4226," ","\",LEN(F4226)-LEN(SUBSTITUTE(F4226," ",""))))),
".","")</f>
        <v>#VALUE!</v>
      </c>
    </row>
    <row r="4227" spans="2:8">
      <c r="B4227" s="11" t="str">
        <f t="shared" si="265"/>
        <v/>
      </c>
      <c r="C4227" s="11" t="str">
        <f t="shared" si="264"/>
        <v/>
      </c>
      <c r="F4227" s="10" t="str">
        <v/>
      </c>
      <c r="G4227" t="e">
        <f t="shared" si="266"/>
        <v>#VALUE!</v>
      </c>
      <c r="H4227" s="13" t="e">
        <f t="shared" si="267"/>
        <v>#VALUE!</v>
      </c>
    </row>
    <row r="4228" spans="2:8">
      <c r="B4228" s="11" t="str">
        <f t="shared" si="265"/>
        <v/>
      </c>
      <c r="C4228" s="11" t="str">
        <f t="shared" si="264"/>
        <v/>
      </c>
      <c r="F4228" s="10" t="str">
        <v/>
      </c>
      <c r="G4228" t="e">
        <f t="shared" si="266"/>
        <v>#VALUE!</v>
      </c>
      <c r="H4228" s="13" t="e">
        <f t="shared" si="267"/>
        <v>#VALUE!</v>
      </c>
    </row>
    <row r="4229" spans="2:8">
      <c r="B4229" s="11" t="str">
        <f t="shared" si="265"/>
        <v/>
      </c>
      <c r="C4229" s="11" t="str">
        <f t="shared" si="264"/>
        <v/>
      </c>
      <c r="F4229" s="10" t="str">
        <v/>
      </c>
      <c r="G4229" t="e">
        <f t="shared" si="266"/>
        <v>#VALUE!</v>
      </c>
      <c r="H4229" s="13" t="e">
        <f t="shared" si="267"/>
        <v>#VALUE!</v>
      </c>
    </row>
    <row r="4230" spans="2:8">
      <c r="B4230" s="11" t="str">
        <f t="shared" si="265"/>
        <v/>
      </c>
      <c r="C4230" s="11" t="str">
        <f t="shared" si="264"/>
        <v/>
      </c>
      <c r="F4230" s="10" t="str">
        <v/>
      </c>
      <c r="G4230" t="e">
        <f t="shared" si="266"/>
        <v>#VALUE!</v>
      </c>
      <c r="H4230" s="13" t="e">
        <f t="shared" si="267"/>
        <v>#VALUE!</v>
      </c>
    </row>
    <row r="4231" spans="2:8">
      <c r="B4231" s="11" t="str">
        <f t="shared" si="265"/>
        <v/>
      </c>
      <c r="C4231" s="11" t="str">
        <f t="shared" si="264"/>
        <v/>
      </c>
      <c r="F4231" s="10" t="str">
        <v/>
      </c>
      <c r="G4231" t="e">
        <f t="shared" si="266"/>
        <v>#VALUE!</v>
      </c>
      <c r="H4231" s="13" t="e">
        <f t="shared" si="267"/>
        <v>#VALUE!</v>
      </c>
    </row>
    <row r="4232" spans="2:8">
      <c r="B4232" s="11" t="str">
        <f t="shared" si="265"/>
        <v/>
      </c>
      <c r="C4232" s="11" t="str">
        <f t="shared" si="264"/>
        <v/>
      </c>
      <c r="F4232" s="10" t="str">
        <v/>
      </c>
      <c r="G4232" t="e">
        <f t="shared" si="266"/>
        <v>#VALUE!</v>
      </c>
      <c r="H4232" s="13" t="e">
        <f t="shared" si="267"/>
        <v>#VALUE!</v>
      </c>
    </row>
    <row r="4233" spans="2:8">
      <c r="B4233" s="11" t="str">
        <f t="shared" si="265"/>
        <v/>
      </c>
      <c r="C4233" s="11" t="str">
        <f t="shared" si="264"/>
        <v/>
      </c>
      <c r="F4233" s="10" t="str">
        <v/>
      </c>
      <c r="G4233" t="e">
        <f t="shared" si="266"/>
        <v>#VALUE!</v>
      </c>
      <c r="H4233" s="13" t="e">
        <f t="shared" si="267"/>
        <v>#VALUE!</v>
      </c>
    </row>
    <row r="4234" spans="2:8">
      <c r="B4234" s="11" t="str">
        <f t="shared" si="265"/>
        <v/>
      </c>
      <c r="C4234" s="11" t="str">
        <f t="shared" si="264"/>
        <v/>
      </c>
      <c r="F4234" s="10" t="str">
        <v/>
      </c>
      <c r="G4234" t="e">
        <f t="shared" si="266"/>
        <v>#VALUE!</v>
      </c>
      <c r="H4234" s="13" t="e">
        <f t="shared" si="267"/>
        <v>#VALUE!</v>
      </c>
    </row>
    <row r="4235" spans="2:8">
      <c r="B4235" s="11" t="str">
        <f t="shared" si="265"/>
        <v/>
      </c>
      <c r="C4235" s="11" t="str">
        <f t="shared" si="264"/>
        <v/>
      </c>
      <c r="F4235" s="10" t="str">
        <v/>
      </c>
      <c r="G4235" t="e">
        <f t="shared" si="266"/>
        <v>#VALUE!</v>
      </c>
      <c r="H4235" s="13" t="e">
        <f t="shared" si="267"/>
        <v>#VALUE!</v>
      </c>
    </row>
    <row r="4236" spans="2:8">
      <c r="B4236" s="11" t="str">
        <f t="shared" si="265"/>
        <v/>
      </c>
      <c r="C4236" s="11" t="str">
        <f t="shared" si="264"/>
        <v/>
      </c>
      <c r="F4236" s="10" t="str">
        <v/>
      </c>
      <c r="G4236" t="e">
        <f t="shared" si="266"/>
        <v>#VALUE!</v>
      </c>
      <c r="H4236" s="13" t="e">
        <f t="shared" si="267"/>
        <v>#VALUE!</v>
      </c>
    </row>
    <row r="4237" spans="2:8">
      <c r="B4237" s="11" t="str">
        <f t="shared" si="265"/>
        <v/>
      </c>
      <c r="C4237" s="11" t="str">
        <f t="shared" si="264"/>
        <v/>
      </c>
      <c r="F4237" s="10" t="str">
        <v/>
      </c>
      <c r="G4237" t="e">
        <f t="shared" si="266"/>
        <v>#VALUE!</v>
      </c>
      <c r="H4237" s="13" t="e">
        <f t="shared" si="267"/>
        <v>#VALUE!</v>
      </c>
    </row>
    <row r="4238" spans="2:8">
      <c r="B4238" s="11" t="str">
        <f t="shared" si="265"/>
        <v/>
      </c>
      <c r="C4238" s="11" t="str">
        <f t="shared" si="264"/>
        <v/>
      </c>
      <c r="F4238" s="10" t="str">
        <v/>
      </c>
      <c r="G4238" t="e">
        <f t="shared" si="266"/>
        <v>#VALUE!</v>
      </c>
      <c r="H4238" s="13" t="e">
        <f t="shared" si="267"/>
        <v>#VALUE!</v>
      </c>
    </row>
    <row r="4239" spans="2:8">
      <c r="B4239" s="11" t="str">
        <f t="shared" si="265"/>
        <v/>
      </c>
      <c r="C4239" s="11" t="str">
        <f t="shared" si="264"/>
        <v/>
      </c>
      <c r="F4239" s="10" t="str">
        <v/>
      </c>
      <c r="G4239" t="e">
        <f t="shared" si="266"/>
        <v>#VALUE!</v>
      </c>
      <c r="H4239" s="13" t="e">
        <f t="shared" si="267"/>
        <v>#VALUE!</v>
      </c>
    </row>
    <row r="4240" spans="2:8">
      <c r="B4240" s="11" t="str">
        <f t="shared" si="265"/>
        <v/>
      </c>
      <c r="C4240" s="11" t="str">
        <f t="shared" si="264"/>
        <v/>
      </c>
      <c r="F4240" s="10" t="str">
        <v/>
      </c>
      <c r="G4240" t="e">
        <f t="shared" si="266"/>
        <v>#VALUE!</v>
      </c>
      <c r="H4240" s="13" t="e">
        <f t="shared" si="267"/>
        <v>#VALUE!</v>
      </c>
    </row>
    <row r="4241" spans="2:8">
      <c r="B4241" s="11" t="str">
        <f t="shared" si="265"/>
        <v/>
      </c>
      <c r="C4241" s="11" t="str">
        <f t="shared" si="264"/>
        <v/>
      </c>
      <c r="F4241" s="10" t="str">
        <v/>
      </c>
      <c r="G4241" t="e">
        <f t="shared" si="266"/>
        <v>#VALUE!</v>
      </c>
      <c r="H4241" s="13" t="e">
        <f t="shared" si="267"/>
        <v>#VALUE!</v>
      </c>
    </row>
    <row r="4242" spans="2:8">
      <c r="B4242" s="11" t="str">
        <f t="shared" si="265"/>
        <v/>
      </c>
      <c r="C4242" s="11" t="str">
        <f t="shared" si="264"/>
        <v/>
      </c>
      <c r="F4242" s="10" t="str">
        <v/>
      </c>
      <c r="G4242" t="e">
        <f t="shared" si="266"/>
        <v>#VALUE!</v>
      </c>
      <c r="H4242" s="13" t="e">
        <f t="shared" si="267"/>
        <v>#VALUE!</v>
      </c>
    </row>
    <row r="4243" spans="2:8">
      <c r="B4243" s="11" t="str">
        <f t="shared" si="265"/>
        <v/>
      </c>
      <c r="C4243" s="11" t="str">
        <f t="shared" si="264"/>
        <v/>
      </c>
      <c r="F4243" s="10" t="str">
        <v/>
      </c>
      <c r="G4243" t="e">
        <f t="shared" si="266"/>
        <v>#VALUE!</v>
      </c>
      <c r="H4243" s="13" t="e">
        <f t="shared" si="267"/>
        <v>#VALUE!</v>
      </c>
    </row>
    <row r="4244" spans="2:8">
      <c r="B4244" s="11" t="str">
        <f t="shared" si="265"/>
        <v/>
      </c>
      <c r="C4244" s="11" t="str">
        <f t="shared" si="264"/>
        <v/>
      </c>
      <c r="F4244" s="10" t="str">
        <v/>
      </c>
      <c r="G4244" t="e">
        <f t="shared" si="266"/>
        <v>#VALUE!</v>
      </c>
      <c r="H4244" s="13" t="e">
        <f t="shared" si="267"/>
        <v>#VALUE!</v>
      </c>
    </row>
    <row r="4245" spans="2:8">
      <c r="B4245" s="11" t="str">
        <f t="shared" si="265"/>
        <v/>
      </c>
      <c r="C4245" s="11" t="str">
        <f t="shared" si="264"/>
        <v/>
      </c>
      <c r="F4245" s="10" t="str">
        <v/>
      </c>
      <c r="G4245" t="e">
        <f t="shared" si="266"/>
        <v>#VALUE!</v>
      </c>
      <c r="H4245" s="13" t="e">
        <f t="shared" si="267"/>
        <v>#VALUE!</v>
      </c>
    </row>
    <row r="4246" spans="2:8">
      <c r="B4246" s="11" t="str">
        <f t="shared" si="265"/>
        <v/>
      </c>
      <c r="C4246" s="11" t="str">
        <f t="shared" si="264"/>
        <v/>
      </c>
      <c r="F4246" s="10" t="str">
        <v/>
      </c>
      <c r="G4246" t="e">
        <f t="shared" si="266"/>
        <v>#VALUE!</v>
      </c>
      <c r="H4246" s="13" t="e">
        <f t="shared" si="267"/>
        <v>#VALUE!</v>
      </c>
    </row>
    <row r="4247" spans="2:8">
      <c r="B4247" s="11" t="str">
        <f t="shared" si="265"/>
        <v/>
      </c>
      <c r="C4247" s="11" t="str">
        <f t="shared" si="264"/>
        <v/>
      </c>
      <c r="F4247" s="10" t="str">
        <v/>
      </c>
      <c r="G4247" t="e">
        <f t="shared" si="266"/>
        <v>#VALUE!</v>
      </c>
      <c r="H4247" s="13" t="e">
        <f t="shared" si="267"/>
        <v>#VALUE!</v>
      </c>
    </row>
    <row r="4248" spans="2:8">
      <c r="B4248" s="11" t="str">
        <f t="shared" si="265"/>
        <v/>
      </c>
      <c r="C4248" s="11" t="str">
        <f t="shared" si="264"/>
        <v/>
      </c>
      <c r="F4248" s="10" t="str">
        <v/>
      </c>
      <c r="G4248" t="e">
        <f t="shared" si="266"/>
        <v>#VALUE!</v>
      </c>
      <c r="H4248" s="13" t="e">
        <f t="shared" si="267"/>
        <v>#VALUE!</v>
      </c>
    </row>
    <row r="4249" spans="2:8">
      <c r="B4249" s="11" t="str">
        <f t="shared" si="265"/>
        <v/>
      </c>
      <c r="C4249" s="11" t="str">
        <f t="shared" si="264"/>
        <v/>
      </c>
      <c r="F4249" s="10" t="str">
        <v/>
      </c>
      <c r="G4249" t="e">
        <f t="shared" si="266"/>
        <v>#VALUE!</v>
      </c>
      <c r="H4249" s="13" t="e">
        <f t="shared" si="267"/>
        <v>#VALUE!</v>
      </c>
    </row>
    <row r="4250" spans="2:8">
      <c r="B4250" s="11" t="str">
        <f t="shared" si="265"/>
        <v/>
      </c>
      <c r="C4250" s="11" t="str">
        <f t="shared" si="264"/>
        <v/>
      </c>
      <c r="F4250" s="10" t="str">
        <v/>
      </c>
      <c r="G4250" t="e">
        <f t="shared" si="266"/>
        <v>#VALUE!</v>
      </c>
      <c r="H4250" s="13" t="e">
        <f t="shared" si="267"/>
        <v>#VALUE!</v>
      </c>
    </row>
    <row r="4251" spans="2:8">
      <c r="B4251" s="11" t="str">
        <f t="shared" si="265"/>
        <v/>
      </c>
      <c r="C4251" s="11" t="str">
        <f t="shared" si="264"/>
        <v/>
      </c>
      <c r="F4251" s="10" t="str">
        <v/>
      </c>
      <c r="G4251" t="e">
        <f t="shared" si="266"/>
        <v>#VALUE!</v>
      </c>
      <c r="H4251" s="13" t="e">
        <f t="shared" si="267"/>
        <v>#VALUE!</v>
      </c>
    </row>
    <row r="4252" spans="2:8">
      <c r="B4252" s="11" t="str">
        <f t="shared" si="265"/>
        <v/>
      </c>
      <c r="C4252" s="11" t="str">
        <f t="shared" si="264"/>
        <v/>
      </c>
      <c r="F4252" s="10" t="str">
        <v/>
      </c>
      <c r="G4252" t="e">
        <f t="shared" si="266"/>
        <v>#VALUE!</v>
      </c>
      <c r="H4252" s="13" t="e">
        <f t="shared" si="267"/>
        <v>#VALUE!</v>
      </c>
    </row>
    <row r="4253" spans="2:8">
      <c r="B4253" s="11" t="str">
        <f t="shared" si="265"/>
        <v/>
      </c>
      <c r="C4253" s="11" t="str">
        <f t="shared" si="264"/>
        <v/>
      </c>
      <c r="F4253" s="10" t="str">
        <v/>
      </c>
      <c r="G4253" t="e">
        <f t="shared" si="266"/>
        <v>#VALUE!</v>
      </c>
      <c r="H4253" s="13" t="e">
        <f t="shared" si="267"/>
        <v>#VALUE!</v>
      </c>
    </row>
    <row r="4254" spans="2:8">
      <c r="B4254" s="11" t="str">
        <f t="shared" si="265"/>
        <v/>
      </c>
      <c r="C4254" s="11" t="str">
        <f t="shared" si="264"/>
        <v/>
      </c>
      <c r="F4254" s="10" t="str">
        <v/>
      </c>
      <c r="G4254" t="e">
        <f t="shared" si="266"/>
        <v>#VALUE!</v>
      </c>
      <c r="H4254" s="13" t="e">
        <f t="shared" si="267"/>
        <v>#VALUE!</v>
      </c>
    </row>
    <row r="4255" spans="2:8">
      <c r="B4255" s="11" t="str">
        <f t="shared" si="265"/>
        <v/>
      </c>
      <c r="C4255" s="11" t="str">
        <f t="shared" si="264"/>
        <v/>
      </c>
      <c r="F4255" s="10" t="str">
        <v/>
      </c>
      <c r="G4255" t="e">
        <f t="shared" si="266"/>
        <v>#VALUE!</v>
      </c>
      <c r="H4255" s="13" t="e">
        <f t="shared" si="267"/>
        <v>#VALUE!</v>
      </c>
    </row>
    <row r="4256" spans="2:8">
      <c r="B4256" s="11" t="str">
        <f t="shared" si="265"/>
        <v/>
      </c>
      <c r="C4256" s="11" t="str">
        <f t="shared" si="264"/>
        <v/>
      </c>
      <c r="F4256" s="10" t="str">
        <v/>
      </c>
      <c r="G4256" t="e">
        <f t="shared" si="266"/>
        <v>#VALUE!</v>
      </c>
      <c r="H4256" s="13" t="e">
        <f t="shared" si="267"/>
        <v>#VALUE!</v>
      </c>
    </row>
    <row r="4257" spans="2:8">
      <c r="B4257" s="11" t="str">
        <f t="shared" si="265"/>
        <v/>
      </c>
      <c r="C4257" s="11" t="str">
        <f t="shared" si="264"/>
        <v/>
      </c>
      <c r="F4257" s="10" t="str">
        <v/>
      </c>
      <c r="G4257" t="e">
        <f t="shared" si="266"/>
        <v>#VALUE!</v>
      </c>
      <c r="H4257" s="13" t="e">
        <f t="shared" si="267"/>
        <v>#VALUE!</v>
      </c>
    </row>
    <row r="4258" spans="2:8">
      <c r="B4258" s="11" t="str">
        <f t="shared" si="265"/>
        <v/>
      </c>
      <c r="C4258" s="11" t="str">
        <f t="shared" si="264"/>
        <v/>
      </c>
      <c r="F4258" s="10" t="str">
        <v/>
      </c>
      <c r="G4258" t="e">
        <f t="shared" si="266"/>
        <v>#VALUE!</v>
      </c>
      <c r="H4258" s="13" t="e">
        <f t="shared" si="267"/>
        <v>#VALUE!</v>
      </c>
    </row>
    <row r="4259" spans="2:8">
      <c r="B4259" s="11" t="str">
        <f t="shared" si="265"/>
        <v/>
      </c>
      <c r="C4259" s="11" t="str">
        <f t="shared" si="264"/>
        <v/>
      </c>
      <c r="F4259" s="10" t="str">
        <v/>
      </c>
      <c r="G4259" t="e">
        <f t="shared" si="266"/>
        <v>#VALUE!</v>
      </c>
      <c r="H4259" s="13" t="e">
        <f t="shared" si="267"/>
        <v>#VALUE!</v>
      </c>
    </row>
    <row r="4260" spans="2:8">
      <c r="B4260" s="11" t="str">
        <f t="shared" si="265"/>
        <v/>
      </c>
      <c r="C4260" s="11" t="str">
        <f t="shared" si="264"/>
        <v/>
      </c>
      <c r="F4260" s="10" t="str">
        <v/>
      </c>
      <c r="G4260" t="e">
        <f t="shared" si="266"/>
        <v>#VALUE!</v>
      </c>
      <c r="H4260" s="13" t="e">
        <f t="shared" si="267"/>
        <v>#VALUE!</v>
      </c>
    </row>
    <row r="4261" spans="2:8">
      <c r="B4261" s="11" t="str">
        <f t="shared" si="265"/>
        <v/>
      </c>
      <c r="C4261" s="11" t="str">
        <f t="shared" si="264"/>
        <v/>
      </c>
      <c r="F4261" s="10" t="str">
        <v/>
      </c>
      <c r="G4261" t="e">
        <f t="shared" si="266"/>
        <v>#VALUE!</v>
      </c>
      <c r="H4261" s="13" t="e">
        <f t="shared" si="267"/>
        <v>#VALUE!</v>
      </c>
    </row>
    <row r="4262" spans="2:8">
      <c r="B4262" s="11" t="str">
        <f t="shared" si="265"/>
        <v/>
      </c>
      <c r="C4262" s="11" t="str">
        <f t="shared" si="264"/>
        <v/>
      </c>
      <c r="F4262" s="10" t="str">
        <v/>
      </c>
      <c r="G4262" t="e">
        <f t="shared" si="266"/>
        <v>#VALUE!</v>
      </c>
      <c r="H4262" s="13" t="e">
        <f t="shared" si="267"/>
        <v>#VALUE!</v>
      </c>
    </row>
    <row r="4263" spans="2:8">
      <c r="B4263" s="11" t="str">
        <f t="shared" si="265"/>
        <v/>
      </c>
      <c r="C4263" s="11" t="str">
        <f t="shared" si="264"/>
        <v/>
      </c>
      <c r="F4263" s="10" t="str">
        <v/>
      </c>
      <c r="G4263" t="e">
        <f t="shared" si="266"/>
        <v>#VALUE!</v>
      </c>
      <c r="H4263" s="13" t="e">
        <f t="shared" si="267"/>
        <v>#VALUE!</v>
      </c>
    </row>
    <row r="4264" spans="2:8">
      <c r="B4264" s="11" t="str">
        <f t="shared" si="265"/>
        <v/>
      </c>
      <c r="C4264" s="11" t="str">
        <f t="shared" si="264"/>
        <v/>
      </c>
      <c r="F4264" s="10" t="str">
        <v/>
      </c>
      <c r="G4264" t="e">
        <f t="shared" si="266"/>
        <v>#VALUE!</v>
      </c>
      <c r="H4264" s="13" t="e">
        <f t="shared" si="267"/>
        <v>#VALUE!</v>
      </c>
    </row>
    <row r="4265" spans="2:8">
      <c r="B4265" s="11" t="str">
        <f t="shared" si="265"/>
        <v/>
      </c>
      <c r="C4265" s="11" t="str">
        <f t="shared" ref="C4265:C4328" si="268">IF(B4265="артикул",A4265,"")</f>
        <v/>
      </c>
      <c r="F4265" s="10" t="str">
        <v/>
      </c>
      <c r="G4265" t="e">
        <f t="shared" si="266"/>
        <v>#VALUE!</v>
      </c>
      <c r="H4265" s="13" t="e">
        <f t="shared" si="267"/>
        <v>#VALUE!</v>
      </c>
    </row>
    <row r="4266" spans="2:8">
      <c r="B4266" s="11" t="str">
        <f t="shared" si="265"/>
        <v/>
      </c>
      <c r="C4266" s="11" t="str">
        <f t="shared" si="268"/>
        <v/>
      </c>
      <c r="F4266" s="10" t="str">
        <v/>
      </c>
      <c r="G4266" t="e">
        <f t="shared" si="266"/>
        <v>#VALUE!</v>
      </c>
      <c r="H4266" s="13" t="e">
        <f t="shared" si="267"/>
        <v>#VALUE!</v>
      </c>
    </row>
    <row r="4267" spans="2:8">
      <c r="B4267" s="11" t="str">
        <f t="shared" si="265"/>
        <v/>
      </c>
      <c r="C4267" s="11" t="str">
        <f t="shared" si="268"/>
        <v/>
      </c>
      <c r="F4267" s="10" t="str">
        <v/>
      </c>
      <c r="G4267" t="e">
        <f t="shared" si="266"/>
        <v>#VALUE!</v>
      </c>
      <c r="H4267" s="13" t="e">
        <f t="shared" si="267"/>
        <v>#VALUE!</v>
      </c>
    </row>
    <row r="4268" spans="2:8">
      <c r="B4268" s="11" t="str">
        <f t="shared" si="265"/>
        <v/>
      </c>
      <c r="C4268" s="11" t="str">
        <f t="shared" si="268"/>
        <v/>
      </c>
      <c r="F4268" s="10" t="str">
        <v/>
      </c>
      <c r="G4268" t="e">
        <f t="shared" si="266"/>
        <v>#VALUE!</v>
      </c>
      <c r="H4268" s="13" t="e">
        <f t="shared" si="267"/>
        <v>#VALUE!</v>
      </c>
    </row>
    <row r="4269" spans="2:8">
      <c r="B4269" s="11" t="str">
        <f t="shared" si="265"/>
        <v/>
      </c>
      <c r="C4269" s="11" t="str">
        <f t="shared" si="268"/>
        <v/>
      </c>
      <c r="F4269" s="10" t="str">
        <v/>
      </c>
      <c r="G4269" t="e">
        <f t="shared" si="266"/>
        <v>#VALUE!</v>
      </c>
      <c r="H4269" s="13" t="e">
        <f t="shared" si="267"/>
        <v>#VALUE!</v>
      </c>
    </row>
    <row r="4270" spans="2:8">
      <c r="B4270" s="11" t="str">
        <f t="shared" si="265"/>
        <v/>
      </c>
      <c r="C4270" s="11" t="str">
        <f t="shared" si="268"/>
        <v/>
      </c>
      <c r="F4270" s="10" t="str">
        <v/>
      </c>
      <c r="G4270" t="e">
        <f t="shared" si="266"/>
        <v>#VALUE!</v>
      </c>
      <c r="H4270" s="13" t="e">
        <f t="shared" si="267"/>
        <v>#VALUE!</v>
      </c>
    </row>
    <row r="4271" spans="2:8">
      <c r="B4271" s="11" t="str">
        <f t="shared" si="265"/>
        <v/>
      </c>
      <c r="C4271" s="11" t="str">
        <f t="shared" si="268"/>
        <v/>
      </c>
      <c r="F4271" s="10" t="str">
        <v/>
      </c>
      <c r="G4271" t="e">
        <f t="shared" si="266"/>
        <v>#VALUE!</v>
      </c>
      <c r="H4271" s="13" t="e">
        <f t="shared" si="267"/>
        <v>#VALUE!</v>
      </c>
    </row>
    <row r="4272" spans="2:8">
      <c r="B4272" s="11" t="str">
        <f t="shared" si="265"/>
        <v/>
      </c>
      <c r="C4272" s="11" t="str">
        <f t="shared" si="268"/>
        <v/>
      </c>
      <c r="F4272" s="10" t="str">
        <v/>
      </c>
      <c r="G4272" t="e">
        <f t="shared" si="266"/>
        <v>#VALUE!</v>
      </c>
      <c r="H4272" s="13" t="e">
        <f t="shared" si="267"/>
        <v>#VALUE!</v>
      </c>
    </row>
    <row r="4273" spans="2:8">
      <c r="B4273" s="11" t="str">
        <f t="shared" si="265"/>
        <v/>
      </c>
      <c r="C4273" s="11" t="str">
        <f t="shared" si="268"/>
        <v/>
      </c>
      <c r="F4273" s="10" t="str">
        <v/>
      </c>
      <c r="G4273" t="e">
        <f t="shared" si="266"/>
        <v>#VALUE!</v>
      </c>
      <c r="H4273" s="13" t="e">
        <f t="shared" si="267"/>
        <v>#VALUE!</v>
      </c>
    </row>
    <row r="4274" spans="2:8">
      <c r="B4274" s="11" t="str">
        <f t="shared" si="265"/>
        <v/>
      </c>
      <c r="C4274" s="11" t="str">
        <f t="shared" si="268"/>
        <v/>
      </c>
      <c r="F4274" s="10" t="str">
        <v/>
      </c>
      <c r="G4274" t="e">
        <f t="shared" si="266"/>
        <v>#VALUE!</v>
      </c>
      <c r="H4274" s="13" t="e">
        <f t="shared" si="267"/>
        <v>#VALUE!</v>
      </c>
    </row>
    <row r="4275" spans="2:8">
      <c r="B4275" s="11" t="str">
        <f t="shared" si="265"/>
        <v/>
      </c>
      <c r="C4275" s="11" t="str">
        <f t="shared" si="268"/>
        <v/>
      </c>
      <c r="F4275" s="10" t="str">
        <v/>
      </c>
      <c r="G4275" t="e">
        <f t="shared" si="266"/>
        <v>#VALUE!</v>
      </c>
      <c r="H4275" s="13" t="e">
        <f t="shared" si="267"/>
        <v>#VALUE!</v>
      </c>
    </row>
    <row r="4276" spans="2:8">
      <c r="B4276" s="11" t="str">
        <f t="shared" si="265"/>
        <v/>
      </c>
      <c r="C4276" s="11" t="str">
        <f t="shared" si="268"/>
        <v/>
      </c>
      <c r="F4276" s="10" t="str">
        <v/>
      </c>
      <c r="G4276" t="e">
        <f t="shared" si="266"/>
        <v>#VALUE!</v>
      </c>
      <c r="H4276" s="13" t="e">
        <f t="shared" si="267"/>
        <v>#VALUE!</v>
      </c>
    </row>
    <row r="4277" spans="2:8">
      <c r="B4277" s="11" t="str">
        <f t="shared" si="265"/>
        <v/>
      </c>
      <c r="C4277" s="11" t="str">
        <f t="shared" si="268"/>
        <v/>
      </c>
      <c r="F4277" s="10" t="str">
        <v/>
      </c>
      <c r="G4277" t="e">
        <f t="shared" si="266"/>
        <v>#VALUE!</v>
      </c>
      <c r="H4277" s="13" t="e">
        <f t="shared" si="267"/>
        <v>#VALUE!</v>
      </c>
    </row>
    <row r="4278" spans="2:8">
      <c r="B4278" s="11" t="str">
        <f t="shared" si="265"/>
        <v/>
      </c>
      <c r="C4278" s="11" t="str">
        <f t="shared" si="268"/>
        <v/>
      </c>
      <c r="F4278" s="10" t="str">
        <v/>
      </c>
      <c r="G4278" t="e">
        <f t="shared" si="266"/>
        <v>#VALUE!</v>
      </c>
      <c r="H4278" s="13" t="e">
        <f t="shared" si="267"/>
        <v>#VALUE!</v>
      </c>
    </row>
    <row r="4279" spans="2:8">
      <c r="B4279" s="11" t="str">
        <f t="shared" si="265"/>
        <v/>
      </c>
      <c r="C4279" s="11" t="str">
        <f t="shared" si="268"/>
        <v/>
      </c>
      <c r="F4279" s="10" t="str">
        <v/>
      </c>
      <c r="G4279" t="e">
        <f t="shared" si="266"/>
        <v>#VALUE!</v>
      </c>
      <c r="H4279" s="13" t="e">
        <f t="shared" si="267"/>
        <v>#VALUE!</v>
      </c>
    </row>
    <row r="4280" spans="2:8">
      <c r="B4280" s="11" t="str">
        <f t="shared" si="265"/>
        <v/>
      </c>
      <c r="C4280" s="11" t="str">
        <f t="shared" si="268"/>
        <v/>
      </c>
      <c r="F4280" s="10" t="str">
        <v/>
      </c>
      <c r="G4280" t="e">
        <f t="shared" si="266"/>
        <v>#VALUE!</v>
      </c>
      <c r="H4280" s="13" t="e">
        <f t="shared" si="267"/>
        <v>#VALUE!</v>
      </c>
    </row>
    <row r="4281" spans="2:8">
      <c r="B4281" s="11" t="str">
        <f t="shared" si="265"/>
        <v/>
      </c>
      <c r="C4281" s="11" t="str">
        <f t="shared" si="268"/>
        <v/>
      </c>
      <c r="F4281" s="10" t="str">
        <v/>
      </c>
      <c r="G4281" t="e">
        <f t="shared" si="266"/>
        <v>#VALUE!</v>
      </c>
      <c r="H4281" s="13" t="e">
        <f t="shared" si="267"/>
        <v>#VALUE!</v>
      </c>
    </row>
    <row r="4282" spans="2:8">
      <c r="B4282" s="11" t="str">
        <f t="shared" si="265"/>
        <v/>
      </c>
      <c r="C4282" s="11" t="str">
        <f t="shared" si="268"/>
        <v/>
      </c>
      <c r="F4282" s="10" t="str">
        <v/>
      </c>
      <c r="G4282" t="e">
        <f t="shared" si="266"/>
        <v>#VALUE!</v>
      </c>
      <c r="H4282" s="13" t="e">
        <f t="shared" si="267"/>
        <v>#VALUE!</v>
      </c>
    </row>
    <row r="4283" spans="2:8">
      <c r="B4283" s="11" t="str">
        <f t="shared" si="265"/>
        <v/>
      </c>
      <c r="C4283" s="11" t="str">
        <f t="shared" si="268"/>
        <v/>
      </c>
      <c r="F4283" s="10" t="str">
        <v/>
      </c>
      <c r="G4283" t="e">
        <f t="shared" si="266"/>
        <v>#VALUE!</v>
      </c>
      <c r="H4283" s="13" t="e">
        <f t="shared" si="267"/>
        <v>#VALUE!</v>
      </c>
    </row>
    <row r="4284" spans="2:8">
      <c r="B4284" s="11" t="str">
        <f t="shared" si="265"/>
        <v/>
      </c>
      <c r="C4284" s="11" t="str">
        <f t="shared" si="268"/>
        <v/>
      </c>
      <c r="F4284" s="10" t="str">
        <v/>
      </c>
      <c r="G4284" t="e">
        <f t="shared" si="266"/>
        <v>#VALUE!</v>
      </c>
      <c r="H4284" s="13" t="e">
        <f t="shared" si="267"/>
        <v>#VALUE!</v>
      </c>
    </row>
    <row r="4285" spans="2:8">
      <c r="B4285" s="11" t="str">
        <f t="shared" si="265"/>
        <v/>
      </c>
      <c r="C4285" s="11" t="str">
        <f t="shared" si="268"/>
        <v/>
      </c>
      <c r="F4285" s="10" t="str">
        <v/>
      </c>
      <c r="G4285" t="e">
        <f t="shared" si="266"/>
        <v>#VALUE!</v>
      </c>
      <c r="H4285" s="13" t="e">
        <f t="shared" si="267"/>
        <v>#VALUE!</v>
      </c>
    </row>
    <row r="4286" spans="2:8">
      <c r="B4286" s="11" t="str">
        <f t="shared" si="265"/>
        <v/>
      </c>
      <c r="C4286" s="11" t="str">
        <f t="shared" si="268"/>
        <v/>
      </c>
      <c r="F4286" s="10" t="str">
        <v/>
      </c>
      <c r="G4286" t="e">
        <f t="shared" si="266"/>
        <v>#VALUE!</v>
      </c>
      <c r="H4286" s="13" t="e">
        <f t="shared" si="267"/>
        <v>#VALUE!</v>
      </c>
    </row>
    <row r="4287" spans="2:8">
      <c r="B4287" s="11" t="str">
        <f t="shared" si="265"/>
        <v/>
      </c>
      <c r="C4287" s="11" t="str">
        <f t="shared" si="268"/>
        <v/>
      </c>
      <c r="F4287" s="10" t="str">
        <v/>
      </c>
      <c r="G4287" t="e">
        <f t="shared" si="266"/>
        <v>#VALUE!</v>
      </c>
      <c r="H4287" s="13" t="e">
        <f t="shared" si="267"/>
        <v>#VALUE!</v>
      </c>
    </row>
    <row r="4288" spans="2:8">
      <c r="B4288" s="11" t="str">
        <f t="shared" si="265"/>
        <v/>
      </c>
      <c r="C4288" s="11" t="str">
        <f t="shared" si="268"/>
        <v/>
      </c>
      <c r="F4288" s="10" t="str">
        <v/>
      </c>
      <c r="G4288" t="e">
        <f t="shared" si="266"/>
        <v>#VALUE!</v>
      </c>
      <c r="H4288" s="13" t="e">
        <f t="shared" si="267"/>
        <v>#VALUE!</v>
      </c>
    </row>
    <row r="4289" spans="2:8">
      <c r="B4289" s="11" t="str">
        <f t="shared" ref="B4289:B4352" si="269">IFERROR(IF(FIND(" ",A4289)=6,IF(IFERROR(FIND(" PB",A4289),"")&lt;&gt;"","артикул",IF(IFERROR(FIND(" CRN",A4289),"")&lt;&gt;"","артикул","")),""),"")</f>
        <v/>
      </c>
      <c r="C4289" s="11" t="str">
        <f t="shared" si="268"/>
        <v/>
      </c>
      <c r="F4289" s="10" t="str">
        <v/>
      </c>
      <c r="G4289" t="e">
        <f t="shared" si="266"/>
        <v>#VALUE!</v>
      </c>
      <c r="H4289" s="13" t="e">
        <f t="shared" si="267"/>
        <v>#VALUE!</v>
      </c>
    </row>
    <row r="4290" spans="2:8">
      <c r="B4290" s="11" t="str">
        <f t="shared" si="269"/>
        <v/>
      </c>
      <c r="C4290" s="11" t="str">
        <f t="shared" si="268"/>
        <v/>
      </c>
      <c r="F4290" s="10" t="str">
        <v/>
      </c>
      <c r="G4290" t="e">
        <f t="shared" ref="G4290:G4353" si="270">CONCATENATE(LEFT(F4290,5),
MID(F4290,
SEARCH("\",SUBSTITUTE(F4290," ","\",LEN(F4290)-LEN(SUBSTITUTE(F4290," ",""))-4)),
SEARCH("\",SUBSTITUTE(F4290," ","\",LEN(F4290)-LEN(SUBSTITUTE(F4290," ",""))-3))-
SEARCH("\",SUBSTITUTE(F4290," ","\",LEN(F4290)-LEN(SUBSTITUTE(F4290," ",""))-4)))*1)</f>
        <v>#VALUE!</v>
      </c>
      <c r="H4290" s="13" t="e">
        <f t="shared" ref="H4290:H4353" si="271">SUBSTITUTE(
RIGHT(F4290,LEN(F4290)-
FIND("\",SUBSTITUTE(F4290," ","\",LEN(F4290)-LEN(SUBSTITUTE(F4290," ",""))))),
".","")</f>
        <v>#VALUE!</v>
      </c>
    </row>
    <row r="4291" spans="2:8">
      <c r="B4291" s="11" t="str">
        <f t="shared" si="269"/>
        <v/>
      </c>
      <c r="C4291" s="11" t="str">
        <f t="shared" si="268"/>
        <v/>
      </c>
      <c r="F4291" s="10" t="str">
        <v/>
      </c>
      <c r="G4291" t="e">
        <f t="shared" si="270"/>
        <v>#VALUE!</v>
      </c>
      <c r="H4291" s="13" t="e">
        <f t="shared" si="271"/>
        <v>#VALUE!</v>
      </c>
    </row>
    <row r="4292" spans="2:8">
      <c r="B4292" s="11" t="str">
        <f t="shared" si="269"/>
        <v/>
      </c>
      <c r="C4292" s="11" t="str">
        <f t="shared" si="268"/>
        <v/>
      </c>
      <c r="F4292" s="10" t="str">
        <v/>
      </c>
      <c r="G4292" t="e">
        <f t="shared" si="270"/>
        <v>#VALUE!</v>
      </c>
      <c r="H4292" s="13" t="e">
        <f t="shared" si="271"/>
        <v>#VALUE!</v>
      </c>
    </row>
    <row r="4293" spans="2:8">
      <c r="B4293" s="11" t="str">
        <f t="shared" si="269"/>
        <v/>
      </c>
      <c r="C4293" s="11" t="str">
        <f t="shared" si="268"/>
        <v/>
      </c>
      <c r="F4293" s="10" t="str">
        <v/>
      </c>
      <c r="G4293" t="e">
        <f t="shared" si="270"/>
        <v>#VALUE!</v>
      </c>
      <c r="H4293" s="13" t="e">
        <f t="shared" si="271"/>
        <v>#VALUE!</v>
      </c>
    </row>
    <row r="4294" spans="2:8">
      <c r="B4294" s="11" t="str">
        <f t="shared" si="269"/>
        <v/>
      </c>
      <c r="C4294" s="11" t="str">
        <f t="shared" si="268"/>
        <v/>
      </c>
      <c r="F4294" s="10" t="str">
        <v/>
      </c>
      <c r="G4294" t="e">
        <f t="shared" si="270"/>
        <v>#VALUE!</v>
      </c>
      <c r="H4294" s="13" t="e">
        <f t="shared" si="271"/>
        <v>#VALUE!</v>
      </c>
    </row>
    <row r="4295" spans="2:8">
      <c r="B4295" s="11" t="str">
        <f t="shared" si="269"/>
        <v/>
      </c>
      <c r="C4295" s="11" t="str">
        <f t="shared" si="268"/>
        <v/>
      </c>
      <c r="F4295" s="10" t="str">
        <v/>
      </c>
      <c r="G4295" t="e">
        <f t="shared" si="270"/>
        <v>#VALUE!</v>
      </c>
      <c r="H4295" s="13" t="e">
        <f t="shared" si="271"/>
        <v>#VALUE!</v>
      </c>
    </row>
    <row r="4296" spans="2:8">
      <c r="B4296" s="11" t="str">
        <f t="shared" si="269"/>
        <v/>
      </c>
      <c r="C4296" s="11" t="str">
        <f t="shared" si="268"/>
        <v/>
      </c>
      <c r="F4296" s="10" t="str">
        <v/>
      </c>
      <c r="G4296" t="e">
        <f t="shared" si="270"/>
        <v>#VALUE!</v>
      </c>
      <c r="H4296" s="13" t="e">
        <f t="shared" si="271"/>
        <v>#VALUE!</v>
      </c>
    </row>
    <row r="4297" spans="2:8">
      <c r="B4297" s="11" t="str">
        <f t="shared" si="269"/>
        <v/>
      </c>
      <c r="C4297" s="11" t="str">
        <f t="shared" si="268"/>
        <v/>
      </c>
      <c r="F4297" s="10" t="str">
        <v/>
      </c>
      <c r="G4297" t="e">
        <f t="shared" si="270"/>
        <v>#VALUE!</v>
      </c>
      <c r="H4297" s="13" t="e">
        <f t="shared" si="271"/>
        <v>#VALUE!</v>
      </c>
    </row>
    <row r="4298" spans="2:8">
      <c r="B4298" s="11" t="str">
        <f t="shared" si="269"/>
        <v/>
      </c>
      <c r="C4298" s="11" t="str">
        <f t="shared" si="268"/>
        <v/>
      </c>
      <c r="F4298" s="10" t="str">
        <v/>
      </c>
      <c r="G4298" t="e">
        <f t="shared" si="270"/>
        <v>#VALUE!</v>
      </c>
      <c r="H4298" s="13" t="e">
        <f t="shared" si="271"/>
        <v>#VALUE!</v>
      </c>
    </row>
    <row r="4299" spans="2:8">
      <c r="B4299" s="11" t="str">
        <f t="shared" si="269"/>
        <v/>
      </c>
      <c r="C4299" s="11" t="str">
        <f t="shared" si="268"/>
        <v/>
      </c>
      <c r="F4299" s="10" t="str">
        <v/>
      </c>
      <c r="G4299" t="e">
        <f t="shared" si="270"/>
        <v>#VALUE!</v>
      </c>
      <c r="H4299" s="13" t="e">
        <f t="shared" si="271"/>
        <v>#VALUE!</v>
      </c>
    </row>
    <row r="4300" spans="2:8">
      <c r="B4300" s="11" t="str">
        <f t="shared" si="269"/>
        <v/>
      </c>
      <c r="C4300" s="11" t="str">
        <f t="shared" si="268"/>
        <v/>
      </c>
      <c r="F4300" s="10" t="str">
        <v/>
      </c>
      <c r="G4300" t="e">
        <f t="shared" si="270"/>
        <v>#VALUE!</v>
      </c>
      <c r="H4300" s="13" t="e">
        <f t="shared" si="271"/>
        <v>#VALUE!</v>
      </c>
    </row>
    <row r="4301" spans="2:8">
      <c r="B4301" s="11" t="str">
        <f t="shared" si="269"/>
        <v/>
      </c>
      <c r="C4301" s="11" t="str">
        <f t="shared" si="268"/>
        <v/>
      </c>
      <c r="F4301" s="10" t="str">
        <v/>
      </c>
      <c r="G4301" t="e">
        <f t="shared" si="270"/>
        <v>#VALUE!</v>
      </c>
      <c r="H4301" s="13" t="e">
        <f t="shared" si="271"/>
        <v>#VALUE!</v>
      </c>
    </row>
    <row r="4302" spans="2:8">
      <c r="B4302" s="11" t="str">
        <f t="shared" si="269"/>
        <v/>
      </c>
      <c r="C4302" s="11" t="str">
        <f t="shared" si="268"/>
        <v/>
      </c>
      <c r="F4302" s="10" t="str">
        <v/>
      </c>
      <c r="G4302" t="e">
        <f t="shared" si="270"/>
        <v>#VALUE!</v>
      </c>
      <c r="H4302" s="13" t="e">
        <f t="shared" si="271"/>
        <v>#VALUE!</v>
      </c>
    </row>
    <row r="4303" spans="2:8">
      <c r="B4303" s="11" t="str">
        <f t="shared" si="269"/>
        <v/>
      </c>
      <c r="C4303" s="11" t="str">
        <f t="shared" si="268"/>
        <v/>
      </c>
      <c r="F4303" s="10" t="str">
        <v/>
      </c>
      <c r="G4303" t="e">
        <f t="shared" si="270"/>
        <v>#VALUE!</v>
      </c>
      <c r="H4303" s="13" t="e">
        <f t="shared" si="271"/>
        <v>#VALUE!</v>
      </c>
    </row>
    <row r="4304" spans="2:8">
      <c r="B4304" s="11" t="str">
        <f t="shared" si="269"/>
        <v/>
      </c>
      <c r="C4304" s="11" t="str">
        <f t="shared" si="268"/>
        <v/>
      </c>
      <c r="F4304" s="10" t="str">
        <v/>
      </c>
      <c r="G4304" t="e">
        <f t="shared" si="270"/>
        <v>#VALUE!</v>
      </c>
      <c r="H4304" s="13" t="e">
        <f t="shared" si="271"/>
        <v>#VALUE!</v>
      </c>
    </row>
    <row r="4305" spans="2:8">
      <c r="B4305" s="11" t="str">
        <f t="shared" si="269"/>
        <v/>
      </c>
      <c r="C4305" s="11" t="str">
        <f t="shared" si="268"/>
        <v/>
      </c>
      <c r="F4305" s="10" t="str">
        <v/>
      </c>
      <c r="G4305" t="e">
        <f t="shared" si="270"/>
        <v>#VALUE!</v>
      </c>
      <c r="H4305" s="13" t="e">
        <f t="shared" si="271"/>
        <v>#VALUE!</v>
      </c>
    </row>
    <row r="4306" spans="2:8">
      <c r="B4306" s="11" t="str">
        <f t="shared" si="269"/>
        <v/>
      </c>
      <c r="C4306" s="11" t="str">
        <f t="shared" si="268"/>
        <v/>
      </c>
      <c r="F4306" s="10" t="str">
        <v/>
      </c>
      <c r="G4306" t="e">
        <f t="shared" si="270"/>
        <v>#VALUE!</v>
      </c>
      <c r="H4306" s="13" t="e">
        <f t="shared" si="271"/>
        <v>#VALUE!</v>
      </c>
    </row>
    <row r="4307" spans="2:8">
      <c r="B4307" s="11" t="str">
        <f t="shared" si="269"/>
        <v/>
      </c>
      <c r="C4307" s="11" t="str">
        <f t="shared" si="268"/>
        <v/>
      </c>
      <c r="F4307" s="10" t="str">
        <v/>
      </c>
      <c r="G4307" t="e">
        <f t="shared" si="270"/>
        <v>#VALUE!</v>
      </c>
      <c r="H4307" s="13" t="e">
        <f t="shared" si="271"/>
        <v>#VALUE!</v>
      </c>
    </row>
    <row r="4308" spans="2:8">
      <c r="B4308" s="11" t="str">
        <f t="shared" si="269"/>
        <v/>
      </c>
      <c r="C4308" s="11" t="str">
        <f t="shared" si="268"/>
        <v/>
      </c>
      <c r="F4308" s="10" t="str">
        <v/>
      </c>
      <c r="G4308" t="e">
        <f t="shared" si="270"/>
        <v>#VALUE!</v>
      </c>
      <c r="H4308" s="13" t="e">
        <f t="shared" si="271"/>
        <v>#VALUE!</v>
      </c>
    </row>
    <row r="4309" spans="2:8">
      <c r="B4309" s="11" t="str">
        <f t="shared" si="269"/>
        <v/>
      </c>
      <c r="C4309" s="11" t="str">
        <f t="shared" si="268"/>
        <v/>
      </c>
      <c r="F4309" s="10" t="str">
        <v/>
      </c>
      <c r="G4309" t="e">
        <f t="shared" si="270"/>
        <v>#VALUE!</v>
      </c>
      <c r="H4309" s="13" t="e">
        <f t="shared" si="271"/>
        <v>#VALUE!</v>
      </c>
    </row>
    <row r="4310" spans="2:8">
      <c r="B4310" s="11" t="str">
        <f t="shared" si="269"/>
        <v/>
      </c>
      <c r="C4310" s="11" t="str">
        <f t="shared" si="268"/>
        <v/>
      </c>
      <c r="F4310" s="10" t="str">
        <v/>
      </c>
      <c r="G4310" t="e">
        <f t="shared" si="270"/>
        <v>#VALUE!</v>
      </c>
      <c r="H4310" s="13" t="e">
        <f t="shared" si="271"/>
        <v>#VALUE!</v>
      </c>
    </row>
    <row r="4311" spans="2:8">
      <c r="B4311" s="11" t="str">
        <f t="shared" si="269"/>
        <v/>
      </c>
      <c r="C4311" s="11" t="str">
        <f t="shared" si="268"/>
        <v/>
      </c>
      <c r="F4311" s="10" t="str">
        <v/>
      </c>
      <c r="G4311" t="e">
        <f t="shared" si="270"/>
        <v>#VALUE!</v>
      </c>
      <c r="H4311" s="13" t="e">
        <f t="shared" si="271"/>
        <v>#VALUE!</v>
      </c>
    </row>
    <row r="4312" spans="2:8">
      <c r="B4312" s="11" t="str">
        <f t="shared" si="269"/>
        <v/>
      </c>
      <c r="C4312" s="11" t="str">
        <f t="shared" si="268"/>
        <v/>
      </c>
      <c r="F4312" s="10" t="str">
        <v/>
      </c>
      <c r="G4312" t="e">
        <f t="shared" si="270"/>
        <v>#VALUE!</v>
      </c>
      <c r="H4312" s="13" t="e">
        <f t="shared" si="271"/>
        <v>#VALUE!</v>
      </c>
    </row>
    <row r="4313" spans="2:8">
      <c r="B4313" s="11" t="str">
        <f t="shared" si="269"/>
        <v/>
      </c>
      <c r="C4313" s="11" t="str">
        <f t="shared" si="268"/>
        <v/>
      </c>
      <c r="F4313" s="10" t="str">
        <v/>
      </c>
      <c r="G4313" t="e">
        <f t="shared" si="270"/>
        <v>#VALUE!</v>
      </c>
      <c r="H4313" s="13" t="e">
        <f t="shared" si="271"/>
        <v>#VALUE!</v>
      </c>
    </row>
    <row r="4314" spans="2:8">
      <c r="B4314" s="11" t="str">
        <f t="shared" si="269"/>
        <v/>
      </c>
      <c r="C4314" s="11" t="str">
        <f t="shared" si="268"/>
        <v/>
      </c>
      <c r="F4314" s="10" t="str">
        <v/>
      </c>
      <c r="G4314" t="e">
        <f t="shared" si="270"/>
        <v>#VALUE!</v>
      </c>
      <c r="H4314" s="13" t="e">
        <f t="shared" si="271"/>
        <v>#VALUE!</v>
      </c>
    </row>
    <row r="4315" spans="2:8">
      <c r="B4315" s="11" t="str">
        <f t="shared" si="269"/>
        <v/>
      </c>
      <c r="C4315" s="11" t="str">
        <f t="shared" si="268"/>
        <v/>
      </c>
      <c r="F4315" s="10" t="str">
        <v/>
      </c>
      <c r="G4315" t="e">
        <f t="shared" si="270"/>
        <v>#VALUE!</v>
      </c>
      <c r="H4315" s="13" t="e">
        <f t="shared" si="271"/>
        <v>#VALUE!</v>
      </c>
    </row>
    <row r="4316" spans="2:8">
      <c r="B4316" s="11" t="str">
        <f t="shared" si="269"/>
        <v/>
      </c>
      <c r="C4316" s="11" t="str">
        <f t="shared" si="268"/>
        <v/>
      </c>
      <c r="F4316" s="10" t="str">
        <v/>
      </c>
      <c r="G4316" t="e">
        <f t="shared" si="270"/>
        <v>#VALUE!</v>
      </c>
      <c r="H4316" s="13" t="e">
        <f t="shared" si="271"/>
        <v>#VALUE!</v>
      </c>
    </row>
    <row r="4317" spans="2:8">
      <c r="B4317" s="11" t="str">
        <f t="shared" si="269"/>
        <v/>
      </c>
      <c r="C4317" s="11" t="str">
        <f t="shared" si="268"/>
        <v/>
      </c>
      <c r="F4317" s="10" t="str">
        <v/>
      </c>
      <c r="G4317" t="e">
        <f t="shared" si="270"/>
        <v>#VALUE!</v>
      </c>
      <c r="H4317" s="13" t="e">
        <f t="shared" si="271"/>
        <v>#VALUE!</v>
      </c>
    </row>
    <row r="4318" spans="2:8">
      <c r="B4318" s="11" t="str">
        <f t="shared" si="269"/>
        <v/>
      </c>
      <c r="C4318" s="11" t="str">
        <f t="shared" si="268"/>
        <v/>
      </c>
      <c r="F4318" s="10" t="str">
        <v/>
      </c>
      <c r="G4318" t="e">
        <f t="shared" si="270"/>
        <v>#VALUE!</v>
      </c>
      <c r="H4318" s="13" t="e">
        <f t="shared" si="271"/>
        <v>#VALUE!</v>
      </c>
    </row>
    <row r="4319" spans="2:8">
      <c r="B4319" s="11" t="str">
        <f t="shared" si="269"/>
        <v/>
      </c>
      <c r="C4319" s="11" t="str">
        <f t="shared" si="268"/>
        <v/>
      </c>
      <c r="F4319" s="10" t="str">
        <v/>
      </c>
      <c r="G4319" t="e">
        <f t="shared" si="270"/>
        <v>#VALUE!</v>
      </c>
      <c r="H4319" s="13" t="e">
        <f t="shared" si="271"/>
        <v>#VALUE!</v>
      </c>
    </row>
    <row r="4320" spans="2:8">
      <c r="B4320" s="11" t="str">
        <f t="shared" si="269"/>
        <v/>
      </c>
      <c r="C4320" s="11" t="str">
        <f t="shared" si="268"/>
        <v/>
      </c>
      <c r="F4320" s="10" t="str">
        <v/>
      </c>
      <c r="G4320" t="e">
        <f t="shared" si="270"/>
        <v>#VALUE!</v>
      </c>
      <c r="H4320" s="13" t="e">
        <f t="shared" si="271"/>
        <v>#VALUE!</v>
      </c>
    </row>
    <row r="4321" spans="2:8">
      <c r="B4321" s="11" t="str">
        <f t="shared" si="269"/>
        <v/>
      </c>
      <c r="C4321" s="11" t="str">
        <f t="shared" si="268"/>
        <v/>
      </c>
      <c r="F4321" s="10" t="str">
        <v/>
      </c>
      <c r="G4321" t="e">
        <f t="shared" si="270"/>
        <v>#VALUE!</v>
      </c>
      <c r="H4321" s="13" t="e">
        <f t="shared" si="271"/>
        <v>#VALUE!</v>
      </c>
    </row>
    <row r="4322" spans="2:8">
      <c r="B4322" s="11" t="str">
        <f t="shared" si="269"/>
        <v/>
      </c>
      <c r="C4322" s="11" t="str">
        <f t="shared" si="268"/>
        <v/>
      </c>
      <c r="F4322" s="10" t="str">
        <v/>
      </c>
      <c r="G4322" t="e">
        <f t="shared" si="270"/>
        <v>#VALUE!</v>
      </c>
      <c r="H4322" s="13" t="e">
        <f t="shared" si="271"/>
        <v>#VALUE!</v>
      </c>
    </row>
    <row r="4323" spans="2:8">
      <c r="B4323" s="11" t="str">
        <f t="shared" si="269"/>
        <v/>
      </c>
      <c r="C4323" s="11" t="str">
        <f t="shared" si="268"/>
        <v/>
      </c>
      <c r="F4323" s="10" t="str">
        <v/>
      </c>
      <c r="G4323" t="e">
        <f t="shared" si="270"/>
        <v>#VALUE!</v>
      </c>
      <c r="H4323" s="13" t="e">
        <f t="shared" si="271"/>
        <v>#VALUE!</v>
      </c>
    </row>
    <row r="4324" spans="2:8">
      <c r="B4324" s="11" t="str">
        <f t="shared" si="269"/>
        <v/>
      </c>
      <c r="C4324" s="11" t="str">
        <f t="shared" si="268"/>
        <v/>
      </c>
      <c r="F4324" s="10" t="str">
        <v/>
      </c>
      <c r="G4324" t="e">
        <f t="shared" si="270"/>
        <v>#VALUE!</v>
      </c>
      <c r="H4324" s="13" t="e">
        <f t="shared" si="271"/>
        <v>#VALUE!</v>
      </c>
    </row>
    <row r="4325" spans="2:8">
      <c r="B4325" s="11" t="str">
        <f t="shared" si="269"/>
        <v/>
      </c>
      <c r="C4325" s="11" t="str">
        <f t="shared" si="268"/>
        <v/>
      </c>
      <c r="F4325" s="10" t="str">
        <v/>
      </c>
      <c r="G4325" t="e">
        <f t="shared" si="270"/>
        <v>#VALUE!</v>
      </c>
      <c r="H4325" s="13" t="e">
        <f t="shared" si="271"/>
        <v>#VALUE!</v>
      </c>
    </row>
    <row r="4326" spans="2:8">
      <c r="B4326" s="11" t="str">
        <f t="shared" si="269"/>
        <v/>
      </c>
      <c r="C4326" s="11" t="str">
        <f t="shared" si="268"/>
        <v/>
      </c>
      <c r="F4326" s="10" t="str">
        <v/>
      </c>
      <c r="G4326" t="e">
        <f t="shared" si="270"/>
        <v>#VALUE!</v>
      </c>
      <c r="H4326" s="13" t="e">
        <f t="shared" si="271"/>
        <v>#VALUE!</v>
      </c>
    </row>
    <row r="4327" spans="2:8">
      <c r="B4327" s="11" t="str">
        <f t="shared" si="269"/>
        <v/>
      </c>
      <c r="C4327" s="11" t="str">
        <f t="shared" si="268"/>
        <v/>
      </c>
      <c r="F4327" s="10" t="str">
        <v/>
      </c>
      <c r="G4327" t="e">
        <f t="shared" si="270"/>
        <v>#VALUE!</v>
      </c>
      <c r="H4327" s="13" t="e">
        <f t="shared" si="271"/>
        <v>#VALUE!</v>
      </c>
    </row>
    <row r="4328" spans="2:8">
      <c r="B4328" s="11" t="str">
        <f t="shared" si="269"/>
        <v/>
      </c>
      <c r="C4328" s="11" t="str">
        <f t="shared" si="268"/>
        <v/>
      </c>
      <c r="F4328" s="10" t="str">
        <v/>
      </c>
      <c r="G4328" t="e">
        <f t="shared" si="270"/>
        <v>#VALUE!</v>
      </c>
      <c r="H4328" s="13" t="e">
        <f t="shared" si="271"/>
        <v>#VALUE!</v>
      </c>
    </row>
    <row r="4329" spans="2:8">
      <c r="B4329" s="11" t="str">
        <f t="shared" si="269"/>
        <v/>
      </c>
      <c r="C4329" s="11" t="str">
        <f t="shared" ref="C4329:C4392" si="272">IF(B4329="артикул",A4329,"")</f>
        <v/>
      </c>
      <c r="F4329" s="10" t="str">
        <v/>
      </c>
      <c r="G4329" t="e">
        <f t="shared" si="270"/>
        <v>#VALUE!</v>
      </c>
      <c r="H4329" s="13" t="e">
        <f t="shared" si="271"/>
        <v>#VALUE!</v>
      </c>
    </row>
    <row r="4330" spans="2:8">
      <c r="B4330" s="11" t="str">
        <f t="shared" si="269"/>
        <v/>
      </c>
      <c r="C4330" s="11" t="str">
        <f t="shared" si="272"/>
        <v/>
      </c>
      <c r="F4330" s="10" t="str">
        <v/>
      </c>
      <c r="G4330" t="e">
        <f t="shared" si="270"/>
        <v>#VALUE!</v>
      </c>
      <c r="H4330" s="13" t="e">
        <f t="shared" si="271"/>
        <v>#VALUE!</v>
      </c>
    </row>
    <row r="4331" spans="2:8">
      <c r="B4331" s="11" t="str">
        <f t="shared" si="269"/>
        <v/>
      </c>
      <c r="C4331" s="11" t="str">
        <f t="shared" si="272"/>
        <v/>
      </c>
      <c r="F4331" s="10" t="str">
        <v/>
      </c>
      <c r="G4331" t="e">
        <f t="shared" si="270"/>
        <v>#VALUE!</v>
      </c>
      <c r="H4331" s="13" t="e">
        <f t="shared" si="271"/>
        <v>#VALUE!</v>
      </c>
    </row>
    <row r="4332" spans="2:8">
      <c r="B4332" s="11" t="str">
        <f t="shared" si="269"/>
        <v/>
      </c>
      <c r="C4332" s="11" t="str">
        <f t="shared" si="272"/>
        <v/>
      </c>
      <c r="F4332" s="10" t="str">
        <v/>
      </c>
      <c r="G4332" t="e">
        <f t="shared" si="270"/>
        <v>#VALUE!</v>
      </c>
      <c r="H4332" s="13" t="e">
        <f t="shared" si="271"/>
        <v>#VALUE!</v>
      </c>
    </row>
    <row r="4333" spans="2:8">
      <c r="B4333" s="11" t="str">
        <f t="shared" si="269"/>
        <v/>
      </c>
      <c r="C4333" s="11" t="str">
        <f t="shared" si="272"/>
        <v/>
      </c>
      <c r="F4333" s="10" t="str">
        <v/>
      </c>
      <c r="G4333" t="e">
        <f t="shared" si="270"/>
        <v>#VALUE!</v>
      </c>
      <c r="H4333" s="13" t="e">
        <f t="shared" si="271"/>
        <v>#VALUE!</v>
      </c>
    </row>
    <row r="4334" spans="2:8">
      <c r="B4334" s="11" t="str">
        <f t="shared" si="269"/>
        <v/>
      </c>
      <c r="C4334" s="11" t="str">
        <f t="shared" si="272"/>
        <v/>
      </c>
      <c r="F4334" s="10" t="str">
        <v/>
      </c>
      <c r="G4334" t="e">
        <f t="shared" si="270"/>
        <v>#VALUE!</v>
      </c>
      <c r="H4334" s="13" t="e">
        <f t="shared" si="271"/>
        <v>#VALUE!</v>
      </c>
    </row>
    <row r="4335" spans="2:8">
      <c r="B4335" s="11" t="str">
        <f t="shared" si="269"/>
        <v/>
      </c>
      <c r="C4335" s="11" t="str">
        <f t="shared" si="272"/>
        <v/>
      </c>
      <c r="F4335" s="10" t="str">
        <v/>
      </c>
      <c r="G4335" t="e">
        <f t="shared" si="270"/>
        <v>#VALUE!</v>
      </c>
      <c r="H4335" s="13" t="e">
        <f t="shared" si="271"/>
        <v>#VALUE!</v>
      </c>
    </row>
    <row r="4336" spans="2:8">
      <c r="B4336" s="11" t="str">
        <f t="shared" si="269"/>
        <v/>
      </c>
      <c r="C4336" s="11" t="str">
        <f t="shared" si="272"/>
        <v/>
      </c>
      <c r="F4336" s="10" t="str">
        <v/>
      </c>
      <c r="G4336" t="e">
        <f t="shared" si="270"/>
        <v>#VALUE!</v>
      </c>
      <c r="H4336" s="13" t="e">
        <f t="shared" si="271"/>
        <v>#VALUE!</v>
      </c>
    </row>
    <row r="4337" spans="2:8">
      <c r="B4337" s="11" t="str">
        <f t="shared" si="269"/>
        <v/>
      </c>
      <c r="C4337" s="11" t="str">
        <f t="shared" si="272"/>
        <v/>
      </c>
      <c r="F4337" s="10" t="str">
        <v/>
      </c>
      <c r="G4337" t="e">
        <f t="shared" si="270"/>
        <v>#VALUE!</v>
      </c>
      <c r="H4337" s="13" t="e">
        <f t="shared" si="271"/>
        <v>#VALUE!</v>
      </c>
    </row>
    <row r="4338" spans="2:8">
      <c r="B4338" s="11" t="str">
        <f t="shared" si="269"/>
        <v/>
      </c>
      <c r="C4338" s="11" t="str">
        <f t="shared" si="272"/>
        <v/>
      </c>
      <c r="F4338" s="10" t="str">
        <v/>
      </c>
      <c r="G4338" t="e">
        <f t="shared" si="270"/>
        <v>#VALUE!</v>
      </c>
      <c r="H4338" s="13" t="e">
        <f t="shared" si="271"/>
        <v>#VALUE!</v>
      </c>
    </row>
    <row r="4339" spans="2:8">
      <c r="B4339" s="11" t="str">
        <f t="shared" si="269"/>
        <v/>
      </c>
      <c r="C4339" s="11" t="str">
        <f t="shared" si="272"/>
        <v/>
      </c>
      <c r="F4339" s="10" t="str">
        <v/>
      </c>
      <c r="G4339" t="e">
        <f t="shared" si="270"/>
        <v>#VALUE!</v>
      </c>
      <c r="H4339" s="13" t="e">
        <f t="shared" si="271"/>
        <v>#VALUE!</v>
      </c>
    </row>
    <row r="4340" spans="2:8">
      <c r="B4340" s="11" t="str">
        <f t="shared" si="269"/>
        <v/>
      </c>
      <c r="C4340" s="11" t="str">
        <f t="shared" si="272"/>
        <v/>
      </c>
      <c r="F4340" s="10" t="str">
        <v/>
      </c>
      <c r="G4340" t="e">
        <f t="shared" si="270"/>
        <v>#VALUE!</v>
      </c>
      <c r="H4340" s="13" t="e">
        <f t="shared" si="271"/>
        <v>#VALUE!</v>
      </c>
    </row>
    <row r="4341" spans="2:8">
      <c r="B4341" s="11" t="str">
        <f t="shared" si="269"/>
        <v/>
      </c>
      <c r="C4341" s="11" t="str">
        <f t="shared" si="272"/>
        <v/>
      </c>
      <c r="F4341" s="10" t="str">
        <v/>
      </c>
      <c r="G4341" t="e">
        <f t="shared" si="270"/>
        <v>#VALUE!</v>
      </c>
      <c r="H4341" s="13" t="e">
        <f t="shared" si="271"/>
        <v>#VALUE!</v>
      </c>
    </row>
    <row r="4342" spans="2:8">
      <c r="B4342" s="11" t="str">
        <f t="shared" si="269"/>
        <v/>
      </c>
      <c r="C4342" s="11" t="str">
        <f t="shared" si="272"/>
        <v/>
      </c>
      <c r="F4342" s="10" t="str">
        <v/>
      </c>
      <c r="G4342" t="e">
        <f t="shared" si="270"/>
        <v>#VALUE!</v>
      </c>
      <c r="H4342" s="13" t="e">
        <f t="shared" si="271"/>
        <v>#VALUE!</v>
      </c>
    </row>
    <row r="4343" spans="2:8">
      <c r="B4343" s="11" t="str">
        <f t="shared" si="269"/>
        <v/>
      </c>
      <c r="C4343" s="11" t="str">
        <f t="shared" si="272"/>
        <v/>
      </c>
      <c r="F4343" s="10" t="str">
        <v/>
      </c>
      <c r="G4343" t="e">
        <f t="shared" si="270"/>
        <v>#VALUE!</v>
      </c>
      <c r="H4343" s="13" t="e">
        <f t="shared" si="271"/>
        <v>#VALUE!</v>
      </c>
    </row>
    <row r="4344" spans="2:8">
      <c r="B4344" s="11" t="str">
        <f t="shared" si="269"/>
        <v/>
      </c>
      <c r="C4344" s="11" t="str">
        <f t="shared" si="272"/>
        <v/>
      </c>
      <c r="F4344" s="10" t="str">
        <v/>
      </c>
      <c r="G4344" t="e">
        <f t="shared" si="270"/>
        <v>#VALUE!</v>
      </c>
      <c r="H4344" s="13" t="e">
        <f t="shared" si="271"/>
        <v>#VALUE!</v>
      </c>
    </row>
    <row r="4345" spans="2:8">
      <c r="B4345" s="11" t="str">
        <f t="shared" si="269"/>
        <v/>
      </c>
      <c r="C4345" s="11" t="str">
        <f t="shared" si="272"/>
        <v/>
      </c>
      <c r="F4345" s="10" t="str">
        <v/>
      </c>
      <c r="G4345" t="e">
        <f t="shared" si="270"/>
        <v>#VALUE!</v>
      </c>
      <c r="H4345" s="13" t="e">
        <f t="shared" si="271"/>
        <v>#VALUE!</v>
      </c>
    </row>
    <row r="4346" spans="2:8">
      <c r="B4346" s="11" t="str">
        <f t="shared" si="269"/>
        <v/>
      </c>
      <c r="C4346" s="11" t="str">
        <f t="shared" si="272"/>
        <v/>
      </c>
      <c r="F4346" s="10" t="str">
        <v/>
      </c>
      <c r="G4346" t="e">
        <f t="shared" si="270"/>
        <v>#VALUE!</v>
      </c>
      <c r="H4346" s="13" t="e">
        <f t="shared" si="271"/>
        <v>#VALUE!</v>
      </c>
    </row>
    <row r="4347" spans="2:8">
      <c r="B4347" s="11" t="str">
        <f t="shared" si="269"/>
        <v/>
      </c>
      <c r="C4347" s="11" t="str">
        <f t="shared" si="272"/>
        <v/>
      </c>
      <c r="F4347" s="10" t="str">
        <v/>
      </c>
      <c r="G4347" t="e">
        <f t="shared" si="270"/>
        <v>#VALUE!</v>
      </c>
      <c r="H4347" s="13" t="e">
        <f t="shared" si="271"/>
        <v>#VALUE!</v>
      </c>
    </row>
    <row r="4348" spans="2:8">
      <c r="B4348" s="11" t="str">
        <f t="shared" si="269"/>
        <v/>
      </c>
      <c r="C4348" s="11" t="str">
        <f t="shared" si="272"/>
        <v/>
      </c>
      <c r="F4348" s="10" t="str">
        <v/>
      </c>
      <c r="G4348" t="e">
        <f t="shared" si="270"/>
        <v>#VALUE!</v>
      </c>
      <c r="H4348" s="13" t="e">
        <f t="shared" si="271"/>
        <v>#VALUE!</v>
      </c>
    </row>
    <row r="4349" spans="2:8">
      <c r="B4349" s="11" t="str">
        <f t="shared" si="269"/>
        <v/>
      </c>
      <c r="C4349" s="11" t="str">
        <f t="shared" si="272"/>
        <v/>
      </c>
      <c r="F4349" s="10" t="str">
        <v/>
      </c>
      <c r="G4349" t="e">
        <f t="shared" si="270"/>
        <v>#VALUE!</v>
      </c>
      <c r="H4349" s="13" t="e">
        <f t="shared" si="271"/>
        <v>#VALUE!</v>
      </c>
    </row>
    <row r="4350" spans="2:8">
      <c r="B4350" s="11" t="str">
        <f t="shared" si="269"/>
        <v/>
      </c>
      <c r="C4350" s="11" t="str">
        <f t="shared" si="272"/>
        <v/>
      </c>
      <c r="F4350" s="10" t="str">
        <v/>
      </c>
      <c r="G4350" t="e">
        <f t="shared" si="270"/>
        <v>#VALUE!</v>
      </c>
      <c r="H4350" s="13" t="e">
        <f t="shared" si="271"/>
        <v>#VALUE!</v>
      </c>
    </row>
    <row r="4351" spans="2:8">
      <c r="B4351" s="11" t="str">
        <f t="shared" si="269"/>
        <v/>
      </c>
      <c r="C4351" s="11" t="str">
        <f t="shared" si="272"/>
        <v/>
      </c>
      <c r="F4351" s="10" t="str">
        <v/>
      </c>
      <c r="G4351" t="e">
        <f t="shared" si="270"/>
        <v>#VALUE!</v>
      </c>
      <c r="H4351" s="13" t="e">
        <f t="shared" si="271"/>
        <v>#VALUE!</v>
      </c>
    </row>
    <row r="4352" spans="2:8">
      <c r="B4352" s="11" t="str">
        <f t="shared" si="269"/>
        <v/>
      </c>
      <c r="C4352" s="11" t="str">
        <f t="shared" si="272"/>
        <v/>
      </c>
      <c r="F4352" s="10" t="str">
        <v/>
      </c>
      <c r="G4352" t="e">
        <f t="shared" si="270"/>
        <v>#VALUE!</v>
      </c>
      <c r="H4352" s="13" t="e">
        <f t="shared" si="271"/>
        <v>#VALUE!</v>
      </c>
    </row>
    <row r="4353" spans="2:8">
      <c r="B4353" s="11" t="str">
        <f t="shared" ref="B4353:B4416" si="273">IFERROR(IF(FIND(" ",A4353)=6,IF(IFERROR(FIND(" PB",A4353),"")&lt;&gt;"","артикул",IF(IFERROR(FIND(" CRN",A4353),"")&lt;&gt;"","артикул","")),""),"")</f>
        <v/>
      </c>
      <c r="C4353" s="11" t="str">
        <f t="shared" si="272"/>
        <v/>
      </c>
      <c r="F4353" s="10" t="str">
        <v/>
      </c>
      <c r="G4353" t="e">
        <f t="shared" si="270"/>
        <v>#VALUE!</v>
      </c>
      <c r="H4353" s="13" t="e">
        <f t="shared" si="271"/>
        <v>#VALUE!</v>
      </c>
    </row>
    <row r="4354" spans="2:8">
      <c r="B4354" s="11" t="str">
        <f t="shared" si="273"/>
        <v/>
      </c>
      <c r="C4354" s="11" t="str">
        <f t="shared" si="272"/>
        <v/>
      </c>
      <c r="F4354" s="10" t="str">
        <v/>
      </c>
      <c r="G4354" t="e">
        <f t="shared" ref="G4354:G4417" si="274">CONCATENATE(LEFT(F4354,5),
MID(F4354,
SEARCH("\",SUBSTITUTE(F4354," ","\",LEN(F4354)-LEN(SUBSTITUTE(F4354," ",""))-4)),
SEARCH("\",SUBSTITUTE(F4354," ","\",LEN(F4354)-LEN(SUBSTITUTE(F4354," ",""))-3))-
SEARCH("\",SUBSTITUTE(F4354," ","\",LEN(F4354)-LEN(SUBSTITUTE(F4354," ",""))-4)))*1)</f>
        <v>#VALUE!</v>
      </c>
      <c r="H4354" s="13" t="e">
        <f t="shared" ref="H4354:H4417" si="275">SUBSTITUTE(
RIGHT(F4354,LEN(F4354)-
FIND("\",SUBSTITUTE(F4354," ","\",LEN(F4354)-LEN(SUBSTITUTE(F4354," ",""))))),
".","")</f>
        <v>#VALUE!</v>
      </c>
    </row>
    <row r="4355" spans="2:8">
      <c r="B4355" s="11" t="str">
        <f t="shared" si="273"/>
        <v/>
      </c>
      <c r="C4355" s="11" t="str">
        <f t="shared" si="272"/>
        <v/>
      </c>
      <c r="F4355" s="10" t="str">
        <v/>
      </c>
      <c r="G4355" t="e">
        <f t="shared" si="274"/>
        <v>#VALUE!</v>
      </c>
      <c r="H4355" s="13" t="e">
        <f t="shared" si="275"/>
        <v>#VALUE!</v>
      </c>
    </row>
    <row r="4356" spans="2:8">
      <c r="B4356" s="11" t="str">
        <f t="shared" si="273"/>
        <v/>
      </c>
      <c r="C4356" s="11" t="str">
        <f t="shared" si="272"/>
        <v/>
      </c>
      <c r="F4356" s="10" t="str">
        <v/>
      </c>
      <c r="G4356" t="e">
        <f t="shared" si="274"/>
        <v>#VALUE!</v>
      </c>
      <c r="H4356" s="13" t="e">
        <f t="shared" si="275"/>
        <v>#VALUE!</v>
      </c>
    </row>
    <row r="4357" spans="2:8">
      <c r="B4357" s="11" t="str">
        <f t="shared" si="273"/>
        <v/>
      </c>
      <c r="C4357" s="11" t="str">
        <f t="shared" si="272"/>
        <v/>
      </c>
      <c r="F4357" s="10" t="str">
        <v/>
      </c>
      <c r="G4357" t="e">
        <f t="shared" si="274"/>
        <v>#VALUE!</v>
      </c>
      <c r="H4357" s="13" t="e">
        <f t="shared" si="275"/>
        <v>#VALUE!</v>
      </c>
    </row>
    <row r="4358" spans="2:8">
      <c r="B4358" s="11" t="str">
        <f t="shared" si="273"/>
        <v/>
      </c>
      <c r="C4358" s="11" t="str">
        <f t="shared" si="272"/>
        <v/>
      </c>
      <c r="F4358" s="10" t="str">
        <v/>
      </c>
      <c r="G4358" t="e">
        <f t="shared" si="274"/>
        <v>#VALUE!</v>
      </c>
      <c r="H4358" s="13" t="e">
        <f t="shared" si="275"/>
        <v>#VALUE!</v>
      </c>
    </row>
    <row r="4359" spans="2:8">
      <c r="B4359" s="11" t="str">
        <f t="shared" si="273"/>
        <v/>
      </c>
      <c r="C4359" s="11" t="str">
        <f t="shared" si="272"/>
        <v/>
      </c>
      <c r="F4359" s="10" t="str">
        <v/>
      </c>
      <c r="G4359" t="e">
        <f t="shared" si="274"/>
        <v>#VALUE!</v>
      </c>
      <c r="H4359" s="13" t="e">
        <f t="shared" si="275"/>
        <v>#VALUE!</v>
      </c>
    </row>
    <row r="4360" spans="2:8">
      <c r="B4360" s="11" t="str">
        <f t="shared" si="273"/>
        <v/>
      </c>
      <c r="C4360" s="11" t="str">
        <f t="shared" si="272"/>
        <v/>
      </c>
      <c r="F4360" s="10" t="str">
        <v/>
      </c>
      <c r="G4360" t="e">
        <f t="shared" si="274"/>
        <v>#VALUE!</v>
      </c>
      <c r="H4360" s="13" t="e">
        <f t="shared" si="275"/>
        <v>#VALUE!</v>
      </c>
    </row>
    <row r="4361" spans="2:8">
      <c r="B4361" s="11" t="str">
        <f t="shared" si="273"/>
        <v/>
      </c>
      <c r="C4361" s="11" t="str">
        <f t="shared" si="272"/>
        <v/>
      </c>
      <c r="F4361" s="10" t="str">
        <v/>
      </c>
      <c r="G4361" t="e">
        <f t="shared" si="274"/>
        <v>#VALUE!</v>
      </c>
      <c r="H4361" s="13" t="e">
        <f t="shared" si="275"/>
        <v>#VALUE!</v>
      </c>
    </row>
    <row r="4362" spans="2:8">
      <c r="B4362" s="11" t="str">
        <f t="shared" si="273"/>
        <v/>
      </c>
      <c r="C4362" s="11" t="str">
        <f t="shared" si="272"/>
        <v/>
      </c>
      <c r="F4362" s="10" t="str">
        <v/>
      </c>
      <c r="G4362" t="e">
        <f t="shared" si="274"/>
        <v>#VALUE!</v>
      </c>
      <c r="H4362" s="13" t="e">
        <f t="shared" si="275"/>
        <v>#VALUE!</v>
      </c>
    </row>
    <row r="4363" spans="2:8">
      <c r="B4363" s="11" t="str">
        <f t="shared" si="273"/>
        <v/>
      </c>
      <c r="C4363" s="11" t="str">
        <f t="shared" si="272"/>
        <v/>
      </c>
      <c r="F4363" s="10" t="str">
        <v/>
      </c>
      <c r="G4363" t="e">
        <f t="shared" si="274"/>
        <v>#VALUE!</v>
      </c>
      <c r="H4363" s="13" t="e">
        <f t="shared" si="275"/>
        <v>#VALUE!</v>
      </c>
    </row>
    <row r="4364" spans="2:8">
      <c r="B4364" s="11" t="str">
        <f t="shared" si="273"/>
        <v/>
      </c>
      <c r="C4364" s="11" t="str">
        <f t="shared" si="272"/>
        <v/>
      </c>
      <c r="F4364" s="10" t="str">
        <v/>
      </c>
      <c r="G4364" t="e">
        <f t="shared" si="274"/>
        <v>#VALUE!</v>
      </c>
      <c r="H4364" s="13" t="e">
        <f t="shared" si="275"/>
        <v>#VALUE!</v>
      </c>
    </row>
    <row r="4365" spans="2:8">
      <c r="B4365" s="11" t="str">
        <f t="shared" si="273"/>
        <v/>
      </c>
      <c r="C4365" s="11" t="str">
        <f t="shared" si="272"/>
        <v/>
      </c>
      <c r="F4365" s="10" t="str">
        <v/>
      </c>
      <c r="G4365" t="e">
        <f t="shared" si="274"/>
        <v>#VALUE!</v>
      </c>
      <c r="H4365" s="13" t="e">
        <f t="shared" si="275"/>
        <v>#VALUE!</v>
      </c>
    </row>
    <row r="4366" spans="2:8">
      <c r="B4366" s="11" t="str">
        <f t="shared" si="273"/>
        <v/>
      </c>
      <c r="C4366" s="11" t="str">
        <f t="shared" si="272"/>
        <v/>
      </c>
      <c r="F4366" s="10" t="str">
        <v/>
      </c>
      <c r="G4366" t="e">
        <f t="shared" si="274"/>
        <v>#VALUE!</v>
      </c>
      <c r="H4366" s="13" t="e">
        <f t="shared" si="275"/>
        <v>#VALUE!</v>
      </c>
    </row>
    <row r="4367" spans="2:8">
      <c r="B4367" s="11" t="str">
        <f t="shared" si="273"/>
        <v/>
      </c>
      <c r="C4367" s="11" t="str">
        <f t="shared" si="272"/>
        <v/>
      </c>
      <c r="F4367" s="10" t="str">
        <v/>
      </c>
      <c r="G4367" t="e">
        <f t="shared" si="274"/>
        <v>#VALUE!</v>
      </c>
      <c r="H4367" s="13" t="e">
        <f t="shared" si="275"/>
        <v>#VALUE!</v>
      </c>
    </row>
    <row r="4368" spans="2:8">
      <c r="B4368" s="11" t="str">
        <f t="shared" si="273"/>
        <v/>
      </c>
      <c r="C4368" s="11" t="str">
        <f t="shared" si="272"/>
        <v/>
      </c>
      <c r="F4368" s="10" t="str">
        <v/>
      </c>
      <c r="G4368" t="e">
        <f t="shared" si="274"/>
        <v>#VALUE!</v>
      </c>
      <c r="H4368" s="13" t="e">
        <f t="shared" si="275"/>
        <v>#VALUE!</v>
      </c>
    </row>
    <row r="4369" spans="2:8">
      <c r="B4369" s="11" t="str">
        <f t="shared" si="273"/>
        <v/>
      </c>
      <c r="C4369" s="11" t="str">
        <f t="shared" si="272"/>
        <v/>
      </c>
      <c r="F4369" s="10" t="str">
        <v/>
      </c>
      <c r="G4369" t="e">
        <f t="shared" si="274"/>
        <v>#VALUE!</v>
      </c>
      <c r="H4369" s="13" t="e">
        <f t="shared" si="275"/>
        <v>#VALUE!</v>
      </c>
    </row>
    <row r="4370" spans="2:8">
      <c r="B4370" s="11" t="str">
        <f t="shared" si="273"/>
        <v/>
      </c>
      <c r="C4370" s="11" t="str">
        <f t="shared" si="272"/>
        <v/>
      </c>
      <c r="F4370" s="10" t="str">
        <v/>
      </c>
      <c r="G4370" t="e">
        <f t="shared" si="274"/>
        <v>#VALUE!</v>
      </c>
      <c r="H4370" s="13" t="e">
        <f t="shared" si="275"/>
        <v>#VALUE!</v>
      </c>
    </row>
    <row r="4371" spans="2:8">
      <c r="B4371" s="11" t="str">
        <f t="shared" si="273"/>
        <v/>
      </c>
      <c r="C4371" s="11" t="str">
        <f t="shared" si="272"/>
        <v/>
      </c>
      <c r="F4371" s="10" t="str">
        <v/>
      </c>
      <c r="G4371" t="e">
        <f t="shared" si="274"/>
        <v>#VALUE!</v>
      </c>
      <c r="H4371" s="13" t="e">
        <f t="shared" si="275"/>
        <v>#VALUE!</v>
      </c>
    </row>
    <row r="4372" spans="2:8">
      <c r="B4372" s="11" t="str">
        <f t="shared" si="273"/>
        <v/>
      </c>
      <c r="C4372" s="11" t="str">
        <f t="shared" si="272"/>
        <v/>
      </c>
      <c r="F4372" s="10" t="str">
        <v/>
      </c>
      <c r="G4372" t="e">
        <f t="shared" si="274"/>
        <v>#VALUE!</v>
      </c>
      <c r="H4372" s="13" t="e">
        <f t="shared" si="275"/>
        <v>#VALUE!</v>
      </c>
    </row>
    <row r="4373" spans="2:8">
      <c r="B4373" s="11" t="str">
        <f t="shared" si="273"/>
        <v/>
      </c>
      <c r="C4373" s="11" t="str">
        <f t="shared" si="272"/>
        <v/>
      </c>
      <c r="F4373" s="10" t="str">
        <v/>
      </c>
      <c r="G4373" t="e">
        <f t="shared" si="274"/>
        <v>#VALUE!</v>
      </c>
      <c r="H4373" s="13" t="e">
        <f t="shared" si="275"/>
        <v>#VALUE!</v>
      </c>
    </row>
    <row r="4374" spans="2:8">
      <c r="B4374" s="11" t="str">
        <f t="shared" si="273"/>
        <v/>
      </c>
      <c r="C4374" s="11" t="str">
        <f t="shared" si="272"/>
        <v/>
      </c>
      <c r="F4374" s="10" t="str">
        <v/>
      </c>
      <c r="G4374" t="e">
        <f t="shared" si="274"/>
        <v>#VALUE!</v>
      </c>
      <c r="H4374" s="13" t="e">
        <f t="shared" si="275"/>
        <v>#VALUE!</v>
      </c>
    </row>
    <row r="4375" spans="2:8">
      <c r="B4375" s="11" t="str">
        <f t="shared" si="273"/>
        <v/>
      </c>
      <c r="C4375" s="11" t="str">
        <f t="shared" si="272"/>
        <v/>
      </c>
      <c r="F4375" s="10" t="str">
        <v/>
      </c>
      <c r="G4375" t="e">
        <f t="shared" si="274"/>
        <v>#VALUE!</v>
      </c>
      <c r="H4375" s="13" t="e">
        <f t="shared" si="275"/>
        <v>#VALUE!</v>
      </c>
    </row>
    <row r="4376" spans="2:8">
      <c r="B4376" s="11" t="str">
        <f t="shared" si="273"/>
        <v/>
      </c>
      <c r="C4376" s="11" t="str">
        <f t="shared" si="272"/>
        <v/>
      </c>
      <c r="F4376" s="10" t="str">
        <v/>
      </c>
      <c r="G4376" t="e">
        <f t="shared" si="274"/>
        <v>#VALUE!</v>
      </c>
      <c r="H4376" s="13" t="e">
        <f t="shared" si="275"/>
        <v>#VALUE!</v>
      </c>
    </row>
    <row r="4377" spans="2:8">
      <c r="B4377" s="11" t="str">
        <f t="shared" si="273"/>
        <v/>
      </c>
      <c r="C4377" s="11" t="str">
        <f t="shared" si="272"/>
        <v/>
      </c>
      <c r="F4377" s="10" t="str">
        <v/>
      </c>
      <c r="G4377" t="e">
        <f t="shared" si="274"/>
        <v>#VALUE!</v>
      </c>
      <c r="H4377" s="13" t="e">
        <f t="shared" si="275"/>
        <v>#VALUE!</v>
      </c>
    </row>
    <row r="4378" spans="2:8">
      <c r="B4378" s="11" t="str">
        <f t="shared" si="273"/>
        <v/>
      </c>
      <c r="C4378" s="11" t="str">
        <f t="shared" si="272"/>
        <v/>
      </c>
      <c r="F4378" s="10" t="str">
        <v/>
      </c>
      <c r="G4378" t="e">
        <f t="shared" si="274"/>
        <v>#VALUE!</v>
      </c>
      <c r="H4378" s="13" t="e">
        <f t="shared" si="275"/>
        <v>#VALUE!</v>
      </c>
    </row>
    <row r="4379" spans="2:8">
      <c r="B4379" s="11" t="str">
        <f t="shared" si="273"/>
        <v/>
      </c>
      <c r="C4379" s="11" t="str">
        <f t="shared" si="272"/>
        <v/>
      </c>
      <c r="F4379" s="10" t="str">
        <v/>
      </c>
      <c r="G4379" t="e">
        <f t="shared" si="274"/>
        <v>#VALUE!</v>
      </c>
      <c r="H4379" s="13" t="e">
        <f t="shared" si="275"/>
        <v>#VALUE!</v>
      </c>
    </row>
    <row r="4380" spans="2:8">
      <c r="B4380" s="11" t="str">
        <f t="shared" si="273"/>
        <v/>
      </c>
      <c r="C4380" s="11" t="str">
        <f t="shared" si="272"/>
        <v/>
      </c>
      <c r="F4380" s="10" t="str">
        <v/>
      </c>
      <c r="G4380" t="e">
        <f t="shared" si="274"/>
        <v>#VALUE!</v>
      </c>
      <c r="H4380" s="13" t="e">
        <f t="shared" si="275"/>
        <v>#VALUE!</v>
      </c>
    </row>
    <row r="4381" spans="2:8">
      <c r="B4381" s="11" t="str">
        <f t="shared" si="273"/>
        <v/>
      </c>
      <c r="C4381" s="11" t="str">
        <f t="shared" si="272"/>
        <v/>
      </c>
      <c r="F4381" s="10" t="str">
        <v/>
      </c>
      <c r="G4381" t="e">
        <f t="shared" si="274"/>
        <v>#VALUE!</v>
      </c>
      <c r="H4381" s="13" t="e">
        <f t="shared" si="275"/>
        <v>#VALUE!</v>
      </c>
    </row>
    <row r="4382" spans="2:8">
      <c r="B4382" s="11" t="str">
        <f t="shared" si="273"/>
        <v/>
      </c>
      <c r="C4382" s="11" t="str">
        <f t="shared" si="272"/>
        <v/>
      </c>
      <c r="F4382" s="10" t="str">
        <v/>
      </c>
      <c r="G4382" t="e">
        <f t="shared" si="274"/>
        <v>#VALUE!</v>
      </c>
      <c r="H4382" s="13" t="e">
        <f t="shared" si="275"/>
        <v>#VALUE!</v>
      </c>
    </row>
    <row r="4383" spans="2:8">
      <c r="B4383" s="11" t="str">
        <f t="shared" si="273"/>
        <v/>
      </c>
      <c r="C4383" s="11" t="str">
        <f t="shared" si="272"/>
        <v/>
      </c>
      <c r="F4383" s="10" t="str">
        <v/>
      </c>
      <c r="G4383" t="e">
        <f t="shared" si="274"/>
        <v>#VALUE!</v>
      </c>
      <c r="H4383" s="13" t="e">
        <f t="shared" si="275"/>
        <v>#VALUE!</v>
      </c>
    </row>
    <row r="4384" spans="2:8">
      <c r="B4384" s="11" t="str">
        <f t="shared" si="273"/>
        <v/>
      </c>
      <c r="C4384" s="11" t="str">
        <f t="shared" si="272"/>
        <v/>
      </c>
      <c r="F4384" s="10" t="str">
        <v/>
      </c>
      <c r="G4384" t="e">
        <f t="shared" si="274"/>
        <v>#VALUE!</v>
      </c>
      <c r="H4384" s="13" t="e">
        <f t="shared" si="275"/>
        <v>#VALUE!</v>
      </c>
    </row>
    <row r="4385" spans="2:8">
      <c r="B4385" s="11" t="str">
        <f t="shared" si="273"/>
        <v/>
      </c>
      <c r="C4385" s="11" t="str">
        <f t="shared" si="272"/>
        <v/>
      </c>
      <c r="F4385" s="10" t="str">
        <v/>
      </c>
      <c r="G4385" t="e">
        <f t="shared" si="274"/>
        <v>#VALUE!</v>
      </c>
      <c r="H4385" s="13" t="e">
        <f t="shared" si="275"/>
        <v>#VALUE!</v>
      </c>
    </row>
    <row r="4386" spans="2:8">
      <c r="B4386" s="11" t="str">
        <f t="shared" si="273"/>
        <v/>
      </c>
      <c r="C4386" s="11" t="str">
        <f t="shared" si="272"/>
        <v/>
      </c>
      <c r="F4386" s="10" t="str">
        <v/>
      </c>
      <c r="G4386" t="e">
        <f t="shared" si="274"/>
        <v>#VALUE!</v>
      </c>
      <c r="H4386" s="13" t="e">
        <f t="shared" si="275"/>
        <v>#VALUE!</v>
      </c>
    </row>
    <row r="4387" spans="2:8">
      <c r="B4387" s="11" t="str">
        <f t="shared" si="273"/>
        <v/>
      </c>
      <c r="C4387" s="11" t="str">
        <f t="shared" si="272"/>
        <v/>
      </c>
      <c r="F4387" s="10" t="str">
        <v/>
      </c>
      <c r="G4387" t="e">
        <f t="shared" si="274"/>
        <v>#VALUE!</v>
      </c>
      <c r="H4387" s="13" t="e">
        <f t="shared" si="275"/>
        <v>#VALUE!</v>
      </c>
    </row>
    <row r="4388" spans="2:8">
      <c r="B4388" s="11" t="str">
        <f t="shared" si="273"/>
        <v/>
      </c>
      <c r="C4388" s="11" t="str">
        <f t="shared" si="272"/>
        <v/>
      </c>
      <c r="F4388" s="10" t="str">
        <v/>
      </c>
      <c r="G4388" t="e">
        <f t="shared" si="274"/>
        <v>#VALUE!</v>
      </c>
      <c r="H4388" s="13" t="e">
        <f t="shared" si="275"/>
        <v>#VALUE!</v>
      </c>
    </row>
    <row r="4389" spans="2:8">
      <c r="B4389" s="11" t="str">
        <f t="shared" si="273"/>
        <v/>
      </c>
      <c r="C4389" s="11" t="str">
        <f t="shared" si="272"/>
        <v/>
      </c>
      <c r="F4389" s="10" t="str">
        <v/>
      </c>
      <c r="G4389" t="e">
        <f t="shared" si="274"/>
        <v>#VALUE!</v>
      </c>
      <c r="H4389" s="13" t="e">
        <f t="shared" si="275"/>
        <v>#VALUE!</v>
      </c>
    </row>
    <row r="4390" spans="2:8">
      <c r="B4390" s="11" t="str">
        <f t="shared" si="273"/>
        <v/>
      </c>
      <c r="C4390" s="11" t="str">
        <f t="shared" si="272"/>
        <v/>
      </c>
      <c r="F4390" s="10" t="str">
        <v/>
      </c>
      <c r="G4390" t="e">
        <f t="shared" si="274"/>
        <v>#VALUE!</v>
      </c>
      <c r="H4390" s="13" t="e">
        <f t="shared" si="275"/>
        <v>#VALUE!</v>
      </c>
    </row>
    <row r="4391" spans="2:8">
      <c r="B4391" s="11" t="str">
        <f t="shared" si="273"/>
        <v/>
      </c>
      <c r="C4391" s="11" t="str">
        <f t="shared" si="272"/>
        <v/>
      </c>
      <c r="F4391" s="10" t="str">
        <v/>
      </c>
      <c r="G4391" t="e">
        <f t="shared" si="274"/>
        <v>#VALUE!</v>
      </c>
      <c r="H4391" s="13" t="e">
        <f t="shared" si="275"/>
        <v>#VALUE!</v>
      </c>
    </row>
    <row r="4392" spans="2:8">
      <c r="B4392" s="11" t="str">
        <f t="shared" si="273"/>
        <v/>
      </c>
      <c r="C4392" s="11" t="str">
        <f t="shared" si="272"/>
        <v/>
      </c>
      <c r="F4392" s="10" t="str">
        <v/>
      </c>
      <c r="G4392" t="e">
        <f t="shared" si="274"/>
        <v>#VALUE!</v>
      </c>
      <c r="H4392" s="13" t="e">
        <f t="shared" si="275"/>
        <v>#VALUE!</v>
      </c>
    </row>
    <row r="4393" spans="2:8">
      <c r="B4393" s="11" t="str">
        <f t="shared" si="273"/>
        <v/>
      </c>
      <c r="C4393" s="11" t="str">
        <f t="shared" ref="C4393:C4456" si="276">IF(B4393="артикул",A4393,"")</f>
        <v/>
      </c>
      <c r="F4393" s="10" t="str">
        <v/>
      </c>
      <c r="G4393" t="e">
        <f t="shared" si="274"/>
        <v>#VALUE!</v>
      </c>
      <c r="H4393" s="13" t="e">
        <f t="shared" si="275"/>
        <v>#VALUE!</v>
      </c>
    </row>
    <row r="4394" spans="2:8">
      <c r="B4394" s="11" t="str">
        <f t="shared" si="273"/>
        <v/>
      </c>
      <c r="C4394" s="11" t="str">
        <f t="shared" si="276"/>
        <v/>
      </c>
      <c r="F4394" s="10" t="str">
        <v/>
      </c>
      <c r="G4394" t="e">
        <f t="shared" si="274"/>
        <v>#VALUE!</v>
      </c>
      <c r="H4394" s="13" t="e">
        <f t="shared" si="275"/>
        <v>#VALUE!</v>
      </c>
    </row>
    <row r="4395" spans="2:8">
      <c r="B4395" s="11" t="str">
        <f t="shared" si="273"/>
        <v/>
      </c>
      <c r="C4395" s="11" t="str">
        <f t="shared" si="276"/>
        <v/>
      </c>
      <c r="F4395" s="10" t="str">
        <v/>
      </c>
      <c r="G4395" t="e">
        <f t="shared" si="274"/>
        <v>#VALUE!</v>
      </c>
      <c r="H4395" s="13" t="e">
        <f t="shared" si="275"/>
        <v>#VALUE!</v>
      </c>
    </row>
    <row r="4396" spans="2:8">
      <c r="B4396" s="11" t="str">
        <f t="shared" si="273"/>
        <v/>
      </c>
      <c r="C4396" s="11" t="str">
        <f t="shared" si="276"/>
        <v/>
      </c>
      <c r="F4396" s="10" t="str">
        <v/>
      </c>
      <c r="G4396" t="e">
        <f t="shared" si="274"/>
        <v>#VALUE!</v>
      </c>
      <c r="H4396" s="13" t="e">
        <f t="shared" si="275"/>
        <v>#VALUE!</v>
      </c>
    </row>
    <row r="4397" spans="2:8">
      <c r="B4397" s="11" t="str">
        <f t="shared" si="273"/>
        <v/>
      </c>
      <c r="C4397" s="11" t="str">
        <f t="shared" si="276"/>
        <v/>
      </c>
      <c r="F4397" s="10" t="str">
        <v/>
      </c>
      <c r="G4397" t="e">
        <f t="shared" si="274"/>
        <v>#VALUE!</v>
      </c>
      <c r="H4397" s="13" t="e">
        <f t="shared" si="275"/>
        <v>#VALUE!</v>
      </c>
    </row>
    <row r="4398" spans="2:8">
      <c r="B4398" s="11" t="str">
        <f t="shared" si="273"/>
        <v/>
      </c>
      <c r="C4398" s="11" t="str">
        <f t="shared" si="276"/>
        <v/>
      </c>
      <c r="F4398" s="10" t="str">
        <v/>
      </c>
      <c r="G4398" t="e">
        <f t="shared" si="274"/>
        <v>#VALUE!</v>
      </c>
      <c r="H4398" s="13" t="e">
        <f t="shared" si="275"/>
        <v>#VALUE!</v>
      </c>
    </row>
    <row r="4399" spans="2:8">
      <c r="B4399" s="11" t="str">
        <f t="shared" si="273"/>
        <v/>
      </c>
      <c r="C4399" s="11" t="str">
        <f t="shared" si="276"/>
        <v/>
      </c>
      <c r="F4399" s="10" t="str">
        <v/>
      </c>
      <c r="G4399" t="e">
        <f t="shared" si="274"/>
        <v>#VALUE!</v>
      </c>
      <c r="H4399" s="13" t="e">
        <f t="shared" si="275"/>
        <v>#VALUE!</v>
      </c>
    </row>
    <row r="4400" spans="2:8">
      <c r="B4400" s="11" t="str">
        <f t="shared" si="273"/>
        <v/>
      </c>
      <c r="C4400" s="11" t="str">
        <f t="shared" si="276"/>
        <v/>
      </c>
      <c r="F4400" s="10" t="str">
        <v/>
      </c>
      <c r="G4400" t="e">
        <f t="shared" si="274"/>
        <v>#VALUE!</v>
      </c>
      <c r="H4400" s="13" t="e">
        <f t="shared" si="275"/>
        <v>#VALUE!</v>
      </c>
    </row>
    <row r="4401" spans="2:8">
      <c r="B4401" s="11" t="str">
        <f t="shared" si="273"/>
        <v/>
      </c>
      <c r="C4401" s="11" t="str">
        <f t="shared" si="276"/>
        <v/>
      </c>
      <c r="F4401" s="10" t="str">
        <v/>
      </c>
      <c r="G4401" t="e">
        <f t="shared" si="274"/>
        <v>#VALUE!</v>
      </c>
      <c r="H4401" s="13" t="e">
        <f t="shared" si="275"/>
        <v>#VALUE!</v>
      </c>
    </row>
    <row r="4402" spans="2:8">
      <c r="B4402" s="11" t="str">
        <f t="shared" si="273"/>
        <v/>
      </c>
      <c r="C4402" s="11" t="str">
        <f t="shared" si="276"/>
        <v/>
      </c>
      <c r="F4402" s="10" t="str">
        <v/>
      </c>
      <c r="G4402" t="e">
        <f t="shared" si="274"/>
        <v>#VALUE!</v>
      </c>
      <c r="H4402" s="13" t="e">
        <f t="shared" si="275"/>
        <v>#VALUE!</v>
      </c>
    </row>
    <row r="4403" spans="2:8">
      <c r="B4403" s="11" t="str">
        <f t="shared" si="273"/>
        <v/>
      </c>
      <c r="C4403" s="11" t="str">
        <f t="shared" si="276"/>
        <v/>
      </c>
      <c r="F4403" s="10" t="str">
        <v/>
      </c>
      <c r="G4403" t="e">
        <f t="shared" si="274"/>
        <v>#VALUE!</v>
      </c>
      <c r="H4403" s="13" t="e">
        <f t="shared" si="275"/>
        <v>#VALUE!</v>
      </c>
    </row>
    <row r="4404" spans="2:8">
      <c r="B4404" s="11" t="str">
        <f t="shared" si="273"/>
        <v/>
      </c>
      <c r="C4404" s="11" t="str">
        <f t="shared" si="276"/>
        <v/>
      </c>
      <c r="F4404" s="10" t="str">
        <v/>
      </c>
      <c r="G4404" t="e">
        <f t="shared" si="274"/>
        <v>#VALUE!</v>
      </c>
      <c r="H4404" s="13" t="e">
        <f t="shared" si="275"/>
        <v>#VALUE!</v>
      </c>
    </row>
    <row r="4405" spans="2:8">
      <c r="B4405" s="11" t="str">
        <f t="shared" si="273"/>
        <v/>
      </c>
      <c r="C4405" s="11" t="str">
        <f t="shared" si="276"/>
        <v/>
      </c>
      <c r="F4405" s="10" t="str">
        <v/>
      </c>
      <c r="G4405" t="e">
        <f t="shared" si="274"/>
        <v>#VALUE!</v>
      </c>
      <c r="H4405" s="13" t="e">
        <f t="shared" si="275"/>
        <v>#VALUE!</v>
      </c>
    </row>
    <row r="4406" spans="2:8">
      <c r="B4406" s="11" t="str">
        <f t="shared" si="273"/>
        <v/>
      </c>
      <c r="C4406" s="11" t="str">
        <f t="shared" si="276"/>
        <v/>
      </c>
      <c r="F4406" s="10" t="str">
        <v/>
      </c>
      <c r="G4406" t="e">
        <f t="shared" si="274"/>
        <v>#VALUE!</v>
      </c>
      <c r="H4406" s="13" t="e">
        <f t="shared" si="275"/>
        <v>#VALUE!</v>
      </c>
    </row>
    <row r="4407" spans="2:8">
      <c r="B4407" s="11" t="str">
        <f t="shared" si="273"/>
        <v/>
      </c>
      <c r="C4407" s="11" t="str">
        <f t="shared" si="276"/>
        <v/>
      </c>
      <c r="F4407" s="10" t="str">
        <v/>
      </c>
      <c r="G4407" t="e">
        <f t="shared" si="274"/>
        <v>#VALUE!</v>
      </c>
      <c r="H4407" s="13" t="e">
        <f t="shared" si="275"/>
        <v>#VALUE!</v>
      </c>
    </row>
    <row r="4408" spans="2:8">
      <c r="B4408" s="11" t="str">
        <f t="shared" si="273"/>
        <v/>
      </c>
      <c r="C4408" s="11" t="str">
        <f t="shared" si="276"/>
        <v/>
      </c>
      <c r="F4408" s="10" t="str">
        <v/>
      </c>
      <c r="G4408" t="e">
        <f t="shared" si="274"/>
        <v>#VALUE!</v>
      </c>
      <c r="H4408" s="13" t="e">
        <f t="shared" si="275"/>
        <v>#VALUE!</v>
      </c>
    </row>
    <row r="4409" spans="2:8">
      <c r="B4409" s="11" t="str">
        <f t="shared" si="273"/>
        <v/>
      </c>
      <c r="C4409" s="11" t="str">
        <f t="shared" si="276"/>
        <v/>
      </c>
      <c r="F4409" s="10" t="str">
        <v/>
      </c>
      <c r="G4409" t="e">
        <f t="shared" si="274"/>
        <v>#VALUE!</v>
      </c>
      <c r="H4409" s="13" t="e">
        <f t="shared" si="275"/>
        <v>#VALUE!</v>
      </c>
    </row>
    <row r="4410" spans="2:8">
      <c r="B4410" s="11" t="str">
        <f t="shared" si="273"/>
        <v/>
      </c>
      <c r="C4410" s="11" t="str">
        <f t="shared" si="276"/>
        <v/>
      </c>
      <c r="F4410" s="10" t="str">
        <v/>
      </c>
      <c r="G4410" t="e">
        <f t="shared" si="274"/>
        <v>#VALUE!</v>
      </c>
      <c r="H4410" s="13" t="e">
        <f t="shared" si="275"/>
        <v>#VALUE!</v>
      </c>
    </row>
    <row r="4411" spans="2:8">
      <c r="B4411" s="11" t="str">
        <f t="shared" si="273"/>
        <v/>
      </c>
      <c r="C4411" s="11" t="str">
        <f t="shared" si="276"/>
        <v/>
      </c>
      <c r="F4411" s="10" t="str">
        <v/>
      </c>
      <c r="G4411" t="e">
        <f t="shared" si="274"/>
        <v>#VALUE!</v>
      </c>
      <c r="H4411" s="13" t="e">
        <f t="shared" si="275"/>
        <v>#VALUE!</v>
      </c>
    </row>
    <row r="4412" spans="2:8">
      <c r="B4412" s="11" t="str">
        <f t="shared" si="273"/>
        <v/>
      </c>
      <c r="C4412" s="11" t="str">
        <f t="shared" si="276"/>
        <v/>
      </c>
      <c r="F4412" s="10" t="str">
        <v/>
      </c>
      <c r="G4412" t="e">
        <f t="shared" si="274"/>
        <v>#VALUE!</v>
      </c>
      <c r="H4412" s="13" t="e">
        <f t="shared" si="275"/>
        <v>#VALUE!</v>
      </c>
    </row>
    <row r="4413" spans="2:8">
      <c r="B4413" s="11" t="str">
        <f t="shared" si="273"/>
        <v/>
      </c>
      <c r="C4413" s="11" t="str">
        <f t="shared" si="276"/>
        <v/>
      </c>
      <c r="F4413" s="10" t="str">
        <v/>
      </c>
      <c r="G4413" t="e">
        <f t="shared" si="274"/>
        <v>#VALUE!</v>
      </c>
      <c r="H4413" s="13" t="e">
        <f t="shared" si="275"/>
        <v>#VALUE!</v>
      </c>
    </row>
    <row r="4414" spans="2:8">
      <c r="B4414" s="11" t="str">
        <f t="shared" si="273"/>
        <v/>
      </c>
      <c r="C4414" s="11" t="str">
        <f t="shared" si="276"/>
        <v/>
      </c>
      <c r="F4414" s="10" t="str">
        <v/>
      </c>
      <c r="G4414" t="e">
        <f t="shared" si="274"/>
        <v>#VALUE!</v>
      </c>
      <c r="H4414" s="13" t="e">
        <f t="shared" si="275"/>
        <v>#VALUE!</v>
      </c>
    </row>
    <row r="4415" spans="2:8">
      <c r="B4415" s="11" t="str">
        <f t="shared" si="273"/>
        <v/>
      </c>
      <c r="C4415" s="11" t="str">
        <f t="shared" si="276"/>
        <v/>
      </c>
      <c r="F4415" s="10" t="str">
        <v/>
      </c>
      <c r="G4415" t="e">
        <f t="shared" si="274"/>
        <v>#VALUE!</v>
      </c>
      <c r="H4415" s="13" t="e">
        <f t="shared" si="275"/>
        <v>#VALUE!</v>
      </c>
    </row>
    <row r="4416" spans="2:8">
      <c r="B4416" s="11" t="str">
        <f t="shared" si="273"/>
        <v/>
      </c>
      <c r="C4416" s="11" t="str">
        <f t="shared" si="276"/>
        <v/>
      </c>
      <c r="F4416" s="10" t="str">
        <v/>
      </c>
      <c r="G4416" t="e">
        <f t="shared" si="274"/>
        <v>#VALUE!</v>
      </c>
      <c r="H4416" s="13" t="e">
        <f t="shared" si="275"/>
        <v>#VALUE!</v>
      </c>
    </row>
    <row r="4417" spans="2:8">
      <c r="B4417" s="11" t="str">
        <f t="shared" ref="B4417:B4480" si="277">IFERROR(IF(FIND(" ",A4417)=6,IF(IFERROR(FIND(" PB",A4417),"")&lt;&gt;"","артикул",IF(IFERROR(FIND(" CRN",A4417),"")&lt;&gt;"","артикул","")),""),"")</f>
        <v/>
      </c>
      <c r="C4417" s="11" t="str">
        <f t="shared" si="276"/>
        <v/>
      </c>
      <c r="F4417" s="10" t="str">
        <v/>
      </c>
      <c r="G4417" t="e">
        <f t="shared" si="274"/>
        <v>#VALUE!</v>
      </c>
      <c r="H4417" s="13" t="e">
        <f t="shared" si="275"/>
        <v>#VALUE!</v>
      </c>
    </row>
    <row r="4418" spans="2:8">
      <c r="B4418" s="11" t="str">
        <f t="shared" si="277"/>
        <v/>
      </c>
      <c r="C4418" s="11" t="str">
        <f t="shared" si="276"/>
        <v/>
      </c>
      <c r="F4418" s="10" t="str">
        <v/>
      </c>
      <c r="G4418" t="e">
        <f t="shared" ref="G4418:G4481" si="278">CONCATENATE(LEFT(F4418,5),
MID(F4418,
SEARCH("\",SUBSTITUTE(F4418," ","\",LEN(F4418)-LEN(SUBSTITUTE(F4418," ",""))-4)),
SEARCH("\",SUBSTITUTE(F4418," ","\",LEN(F4418)-LEN(SUBSTITUTE(F4418," ",""))-3))-
SEARCH("\",SUBSTITUTE(F4418," ","\",LEN(F4418)-LEN(SUBSTITUTE(F4418," ",""))-4)))*1)</f>
        <v>#VALUE!</v>
      </c>
      <c r="H4418" s="13" t="e">
        <f t="shared" ref="H4418:H4481" si="279">SUBSTITUTE(
RIGHT(F4418,LEN(F4418)-
FIND("\",SUBSTITUTE(F4418," ","\",LEN(F4418)-LEN(SUBSTITUTE(F4418," ",""))))),
".","")</f>
        <v>#VALUE!</v>
      </c>
    </row>
    <row r="4419" spans="2:8">
      <c r="B4419" s="11" t="str">
        <f t="shared" si="277"/>
        <v/>
      </c>
      <c r="C4419" s="11" t="str">
        <f t="shared" si="276"/>
        <v/>
      </c>
      <c r="F4419" s="10" t="str">
        <v/>
      </c>
      <c r="G4419" t="e">
        <f t="shared" si="278"/>
        <v>#VALUE!</v>
      </c>
      <c r="H4419" s="13" t="e">
        <f t="shared" si="279"/>
        <v>#VALUE!</v>
      </c>
    </row>
    <row r="4420" spans="2:8">
      <c r="B4420" s="11" t="str">
        <f t="shared" si="277"/>
        <v/>
      </c>
      <c r="C4420" s="11" t="str">
        <f t="shared" si="276"/>
        <v/>
      </c>
      <c r="F4420" s="10" t="str">
        <v/>
      </c>
      <c r="G4420" t="e">
        <f t="shared" si="278"/>
        <v>#VALUE!</v>
      </c>
      <c r="H4420" s="13" t="e">
        <f t="shared" si="279"/>
        <v>#VALUE!</v>
      </c>
    </row>
    <row r="4421" spans="2:8">
      <c r="B4421" s="11" t="str">
        <f t="shared" si="277"/>
        <v/>
      </c>
      <c r="C4421" s="11" t="str">
        <f t="shared" si="276"/>
        <v/>
      </c>
      <c r="F4421" s="10" t="str">
        <v/>
      </c>
      <c r="G4421" t="e">
        <f t="shared" si="278"/>
        <v>#VALUE!</v>
      </c>
      <c r="H4421" s="13" t="e">
        <f t="shared" si="279"/>
        <v>#VALUE!</v>
      </c>
    </row>
    <row r="4422" spans="2:8">
      <c r="B4422" s="11" t="str">
        <f t="shared" si="277"/>
        <v/>
      </c>
      <c r="C4422" s="11" t="str">
        <f t="shared" si="276"/>
        <v/>
      </c>
      <c r="F4422" s="10" t="str">
        <v/>
      </c>
      <c r="G4422" t="e">
        <f t="shared" si="278"/>
        <v>#VALUE!</v>
      </c>
      <c r="H4422" s="13" t="e">
        <f t="shared" si="279"/>
        <v>#VALUE!</v>
      </c>
    </row>
    <row r="4423" spans="2:8">
      <c r="B4423" s="11" t="str">
        <f t="shared" si="277"/>
        <v/>
      </c>
      <c r="C4423" s="11" t="str">
        <f t="shared" si="276"/>
        <v/>
      </c>
      <c r="F4423" s="10" t="str">
        <v/>
      </c>
      <c r="G4423" t="e">
        <f t="shared" si="278"/>
        <v>#VALUE!</v>
      </c>
      <c r="H4423" s="13" t="e">
        <f t="shared" si="279"/>
        <v>#VALUE!</v>
      </c>
    </row>
    <row r="4424" spans="2:8">
      <c r="B4424" s="11" t="str">
        <f t="shared" si="277"/>
        <v/>
      </c>
      <c r="C4424" s="11" t="str">
        <f t="shared" si="276"/>
        <v/>
      </c>
      <c r="F4424" s="10" t="str">
        <v/>
      </c>
      <c r="G4424" t="e">
        <f t="shared" si="278"/>
        <v>#VALUE!</v>
      </c>
      <c r="H4424" s="13" t="e">
        <f t="shared" si="279"/>
        <v>#VALUE!</v>
      </c>
    </row>
    <row r="4425" spans="2:8">
      <c r="B4425" s="11" t="str">
        <f t="shared" si="277"/>
        <v/>
      </c>
      <c r="C4425" s="11" t="str">
        <f t="shared" si="276"/>
        <v/>
      </c>
      <c r="F4425" s="10" t="str">
        <v/>
      </c>
      <c r="G4425" t="e">
        <f t="shared" si="278"/>
        <v>#VALUE!</v>
      </c>
      <c r="H4425" s="13" t="e">
        <f t="shared" si="279"/>
        <v>#VALUE!</v>
      </c>
    </row>
    <row r="4426" spans="2:8">
      <c r="B4426" s="11" t="str">
        <f t="shared" si="277"/>
        <v/>
      </c>
      <c r="C4426" s="11" t="str">
        <f t="shared" si="276"/>
        <v/>
      </c>
      <c r="F4426" s="10" t="str">
        <v/>
      </c>
      <c r="G4426" t="e">
        <f t="shared" si="278"/>
        <v>#VALUE!</v>
      </c>
      <c r="H4426" s="13" t="e">
        <f t="shared" si="279"/>
        <v>#VALUE!</v>
      </c>
    </row>
    <row r="4427" spans="2:8">
      <c r="B4427" s="11" t="str">
        <f t="shared" si="277"/>
        <v/>
      </c>
      <c r="C4427" s="11" t="str">
        <f t="shared" si="276"/>
        <v/>
      </c>
      <c r="F4427" s="10" t="str">
        <v/>
      </c>
      <c r="G4427" t="e">
        <f t="shared" si="278"/>
        <v>#VALUE!</v>
      </c>
      <c r="H4427" s="13" t="e">
        <f t="shared" si="279"/>
        <v>#VALUE!</v>
      </c>
    </row>
    <row r="4428" spans="2:8">
      <c r="B4428" s="11" t="str">
        <f t="shared" si="277"/>
        <v/>
      </c>
      <c r="C4428" s="11" t="str">
        <f t="shared" si="276"/>
        <v/>
      </c>
      <c r="F4428" s="10" t="str">
        <v/>
      </c>
      <c r="G4428" t="e">
        <f t="shared" si="278"/>
        <v>#VALUE!</v>
      </c>
      <c r="H4428" s="13" t="e">
        <f t="shared" si="279"/>
        <v>#VALUE!</v>
      </c>
    </row>
    <row r="4429" spans="2:8">
      <c r="B4429" s="11" t="str">
        <f t="shared" si="277"/>
        <v/>
      </c>
      <c r="C4429" s="11" t="str">
        <f t="shared" si="276"/>
        <v/>
      </c>
      <c r="F4429" s="10" t="str">
        <v/>
      </c>
      <c r="G4429" t="e">
        <f t="shared" si="278"/>
        <v>#VALUE!</v>
      </c>
      <c r="H4429" s="13" t="e">
        <f t="shared" si="279"/>
        <v>#VALUE!</v>
      </c>
    </row>
    <row r="4430" spans="2:8">
      <c r="B4430" s="11" t="str">
        <f t="shared" si="277"/>
        <v/>
      </c>
      <c r="C4430" s="11" t="str">
        <f t="shared" si="276"/>
        <v/>
      </c>
      <c r="F4430" s="10" t="str">
        <v/>
      </c>
      <c r="G4430" t="e">
        <f t="shared" si="278"/>
        <v>#VALUE!</v>
      </c>
      <c r="H4430" s="13" t="e">
        <f t="shared" si="279"/>
        <v>#VALUE!</v>
      </c>
    </row>
    <row r="4431" spans="2:8">
      <c r="B4431" s="11" t="str">
        <f t="shared" si="277"/>
        <v/>
      </c>
      <c r="C4431" s="11" t="str">
        <f t="shared" si="276"/>
        <v/>
      </c>
      <c r="F4431" s="10" t="str">
        <v/>
      </c>
      <c r="G4431" t="e">
        <f t="shared" si="278"/>
        <v>#VALUE!</v>
      </c>
      <c r="H4431" s="13" t="e">
        <f t="shared" si="279"/>
        <v>#VALUE!</v>
      </c>
    </row>
    <row r="4432" spans="2:8">
      <c r="B4432" s="11" t="str">
        <f t="shared" si="277"/>
        <v/>
      </c>
      <c r="C4432" s="11" t="str">
        <f t="shared" si="276"/>
        <v/>
      </c>
      <c r="F4432" s="10" t="str">
        <v/>
      </c>
      <c r="G4432" t="e">
        <f t="shared" si="278"/>
        <v>#VALUE!</v>
      </c>
      <c r="H4432" s="13" t="e">
        <f t="shared" si="279"/>
        <v>#VALUE!</v>
      </c>
    </row>
    <row r="4433" spans="2:8">
      <c r="B4433" s="11" t="str">
        <f t="shared" si="277"/>
        <v/>
      </c>
      <c r="C4433" s="11" t="str">
        <f t="shared" si="276"/>
        <v/>
      </c>
      <c r="F4433" s="10" t="str">
        <v/>
      </c>
      <c r="G4433" t="e">
        <f t="shared" si="278"/>
        <v>#VALUE!</v>
      </c>
      <c r="H4433" s="13" t="e">
        <f t="shared" si="279"/>
        <v>#VALUE!</v>
      </c>
    </row>
    <row r="4434" spans="2:8">
      <c r="B4434" s="11" t="str">
        <f t="shared" si="277"/>
        <v/>
      </c>
      <c r="C4434" s="11" t="str">
        <f t="shared" si="276"/>
        <v/>
      </c>
      <c r="F4434" s="10" t="str">
        <v/>
      </c>
      <c r="G4434" t="e">
        <f t="shared" si="278"/>
        <v>#VALUE!</v>
      </c>
      <c r="H4434" s="13" t="e">
        <f t="shared" si="279"/>
        <v>#VALUE!</v>
      </c>
    </row>
    <row r="4435" spans="2:8">
      <c r="B4435" s="11" t="str">
        <f t="shared" si="277"/>
        <v/>
      </c>
      <c r="C4435" s="11" t="str">
        <f t="shared" si="276"/>
        <v/>
      </c>
      <c r="F4435" s="10" t="str">
        <v/>
      </c>
      <c r="G4435" t="e">
        <f t="shared" si="278"/>
        <v>#VALUE!</v>
      </c>
      <c r="H4435" s="13" t="e">
        <f t="shared" si="279"/>
        <v>#VALUE!</v>
      </c>
    </row>
    <row r="4436" spans="2:8">
      <c r="B4436" s="11" t="str">
        <f t="shared" si="277"/>
        <v/>
      </c>
      <c r="C4436" s="11" t="str">
        <f t="shared" si="276"/>
        <v/>
      </c>
      <c r="F4436" s="10" t="str">
        <v/>
      </c>
      <c r="G4436" t="e">
        <f t="shared" si="278"/>
        <v>#VALUE!</v>
      </c>
      <c r="H4436" s="13" t="e">
        <f t="shared" si="279"/>
        <v>#VALUE!</v>
      </c>
    </row>
    <row r="4437" spans="2:8">
      <c r="B4437" s="11" t="str">
        <f t="shared" si="277"/>
        <v/>
      </c>
      <c r="C4437" s="11" t="str">
        <f t="shared" si="276"/>
        <v/>
      </c>
      <c r="F4437" s="10" t="str">
        <v/>
      </c>
      <c r="G4437" t="e">
        <f t="shared" si="278"/>
        <v>#VALUE!</v>
      </c>
      <c r="H4437" s="13" t="e">
        <f t="shared" si="279"/>
        <v>#VALUE!</v>
      </c>
    </row>
    <row r="4438" spans="2:8">
      <c r="B4438" s="11" t="str">
        <f t="shared" si="277"/>
        <v/>
      </c>
      <c r="C4438" s="11" t="str">
        <f t="shared" si="276"/>
        <v/>
      </c>
      <c r="F4438" s="10" t="str">
        <v/>
      </c>
      <c r="G4438" t="e">
        <f t="shared" si="278"/>
        <v>#VALUE!</v>
      </c>
      <c r="H4438" s="13" t="e">
        <f t="shared" si="279"/>
        <v>#VALUE!</v>
      </c>
    </row>
    <row r="4439" spans="2:8">
      <c r="B4439" s="11" t="str">
        <f t="shared" si="277"/>
        <v/>
      </c>
      <c r="C4439" s="11" t="str">
        <f t="shared" si="276"/>
        <v/>
      </c>
      <c r="F4439" s="10" t="str">
        <v/>
      </c>
      <c r="G4439" t="e">
        <f t="shared" si="278"/>
        <v>#VALUE!</v>
      </c>
      <c r="H4439" s="13" t="e">
        <f t="shared" si="279"/>
        <v>#VALUE!</v>
      </c>
    </row>
    <row r="4440" spans="2:8">
      <c r="B4440" s="11" t="str">
        <f t="shared" si="277"/>
        <v/>
      </c>
      <c r="C4440" s="11" t="str">
        <f t="shared" si="276"/>
        <v/>
      </c>
      <c r="F4440" s="10" t="str">
        <v/>
      </c>
      <c r="G4440" t="e">
        <f t="shared" si="278"/>
        <v>#VALUE!</v>
      </c>
      <c r="H4440" s="13" t="e">
        <f t="shared" si="279"/>
        <v>#VALUE!</v>
      </c>
    </row>
    <row r="4441" spans="2:8">
      <c r="B4441" s="11" t="str">
        <f t="shared" si="277"/>
        <v/>
      </c>
      <c r="C4441" s="11" t="str">
        <f t="shared" si="276"/>
        <v/>
      </c>
      <c r="F4441" s="10" t="str">
        <v/>
      </c>
      <c r="G4441" t="e">
        <f t="shared" si="278"/>
        <v>#VALUE!</v>
      </c>
      <c r="H4441" s="13" t="e">
        <f t="shared" si="279"/>
        <v>#VALUE!</v>
      </c>
    </row>
    <row r="4442" spans="2:8">
      <c r="B4442" s="11" t="str">
        <f t="shared" si="277"/>
        <v/>
      </c>
      <c r="C4442" s="11" t="str">
        <f t="shared" si="276"/>
        <v/>
      </c>
      <c r="F4442" s="10" t="str">
        <v/>
      </c>
      <c r="G4442" t="e">
        <f t="shared" si="278"/>
        <v>#VALUE!</v>
      </c>
      <c r="H4442" s="13" t="e">
        <f t="shared" si="279"/>
        <v>#VALUE!</v>
      </c>
    </row>
    <row r="4443" spans="2:8">
      <c r="B4443" s="11" t="str">
        <f t="shared" si="277"/>
        <v/>
      </c>
      <c r="C4443" s="11" t="str">
        <f t="shared" si="276"/>
        <v/>
      </c>
      <c r="F4443" s="10" t="str">
        <v/>
      </c>
      <c r="G4443" t="e">
        <f t="shared" si="278"/>
        <v>#VALUE!</v>
      </c>
      <c r="H4443" s="13" t="e">
        <f t="shared" si="279"/>
        <v>#VALUE!</v>
      </c>
    </row>
    <row r="4444" spans="2:8">
      <c r="B4444" s="11" t="str">
        <f t="shared" si="277"/>
        <v/>
      </c>
      <c r="C4444" s="11" t="str">
        <f t="shared" si="276"/>
        <v/>
      </c>
      <c r="F4444" s="10" t="str">
        <v/>
      </c>
      <c r="G4444" t="e">
        <f t="shared" si="278"/>
        <v>#VALUE!</v>
      </c>
      <c r="H4444" s="13" t="e">
        <f t="shared" si="279"/>
        <v>#VALUE!</v>
      </c>
    </row>
    <row r="4445" spans="2:8">
      <c r="B4445" s="11" t="str">
        <f t="shared" si="277"/>
        <v/>
      </c>
      <c r="C4445" s="11" t="str">
        <f t="shared" si="276"/>
        <v/>
      </c>
      <c r="F4445" s="10" t="str">
        <v/>
      </c>
      <c r="G4445" t="e">
        <f t="shared" si="278"/>
        <v>#VALUE!</v>
      </c>
      <c r="H4445" s="13" t="e">
        <f t="shared" si="279"/>
        <v>#VALUE!</v>
      </c>
    </row>
    <row r="4446" spans="2:8">
      <c r="B4446" s="11" t="str">
        <f t="shared" si="277"/>
        <v/>
      </c>
      <c r="C4446" s="11" t="str">
        <f t="shared" si="276"/>
        <v/>
      </c>
      <c r="F4446" s="10" t="str">
        <v/>
      </c>
      <c r="G4446" t="e">
        <f t="shared" si="278"/>
        <v>#VALUE!</v>
      </c>
      <c r="H4446" s="13" t="e">
        <f t="shared" si="279"/>
        <v>#VALUE!</v>
      </c>
    </row>
    <row r="4447" spans="2:8">
      <c r="B4447" s="11" t="str">
        <f t="shared" si="277"/>
        <v/>
      </c>
      <c r="C4447" s="11" t="str">
        <f t="shared" si="276"/>
        <v/>
      </c>
      <c r="F4447" s="10" t="str">
        <v/>
      </c>
      <c r="G4447" t="e">
        <f t="shared" si="278"/>
        <v>#VALUE!</v>
      </c>
      <c r="H4447" s="13" t="e">
        <f t="shared" si="279"/>
        <v>#VALUE!</v>
      </c>
    </row>
    <row r="4448" spans="2:8">
      <c r="B4448" s="11" t="str">
        <f t="shared" si="277"/>
        <v/>
      </c>
      <c r="C4448" s="11" t="str">
        <f t="shared" si="276"/>
        <v/>
      </c>
      <c r="F4448" s="10" t="str">
        <v/>
      </c>
      <c r="G4448" t="e">
        <f t="shared" si="278"/>
        <v>#VALUE!</v>
      </c>
      <c r="H4448" s="13" t="e">
        <f t="shared" si="279"/>
        <v>#VALUE!</v>
      </c>
    </row>
    <row r="4449" spans="2:8">
      <c r="B4449" s="11" t="str">
        <f t="shared" si="277"/>
        <v/>
      </c>
      <c r="C4449" s="11" t="str">
        <f t="shared" si="276"/>
        <v/>
      </c>
      <c r="F4449" s="10" t="str">
        <v/>
      </c>
      <c r="G4449" t="e">
        <f t="shared" si="278"/>
        <v>#VALUE!</v>
      </c>
      <c r="H4449" s="13" t="e">
        <f t="shared" si="279"/>
        <v>#VALUE!</v>
      </c>
    </row>
    <row r="4450" spans="2:8">
      <c r="B4450" s="11" t="str">
        <f t="shared" si="277"/>
        <v/>
      </c>
      <c r="C4450" s="11" t="str">
        <f t="shared" si="276"/>
        <v/>
      </c>
      <c r="F4450" s="10" t="str">
        <v/>
      </c>
      <c r="G4450" t="e">
        <f t="shared" si="278"/>
        <v>#VALUE!</v>
      </c>
      <c r="H4450" s="13" t="e">
        <f t="shared" si="279"/>
        <v>#VALUE!</v>
      </c>
    </row>
    <row r="4451" spans="2:8">
      <c r="B4451" s="11" t="str">
        <f t="shared" si="277"/>
        <v/>
      </c>
      <c r="C4451" s="11" t="str">
        <f t="shared" si="276"/>
        <v/>
      </c>
      <c r="F4451" s="10" t="str">
        <v/>
      </c>
      <c r="G4451" t="e">
        <f t="shared" si="278"/>
        <v>#VALUE!</v>
      </c>
      <c r="H4451" s="13" t="e">
        <f t="shared" si="279"/>
        <v>#VALUE!</v>
      </c>
    </row>
    <row r="4452" spans="2:8">
      <c r="B4452" s="11" t="str">
        <f t="shared" si="277"/>
        <v/>
      </c>
      <c r="C4452" s="11" t="str">
        <f t="shared" si="276"/>
        <v/>
      </c>
      <c r="F4452" s="10" t="str">
        <v/>
      </c>
      <c r="G4452" t="e">
        <f t="shared" si="278"/>
        <v>#VALUE!</v>
      </c>
      <c r="H4452" s="13" t="e">
        <f t="shared" si="279"/>
        <v>#VALUE!</v>
      </c>
    </row>
    <row r="4453" spans="2:8">
      <c r="B4453" s="11" t="str">
        <f t="shared" si="277"/>
        <v/>
      </c>
      <c r="C4453" s="11" t="str">
        <f t="shared" si="276"/>
        <v/>
      </c>
      <c r="F4453" s="10" t="str">
        <v/>
      </c>
      <c r="G4453" t="e">
        <f t="shared" si="278"/>
        <v>#VALUE!</v>
      </c>
      <c r="H4453" s="13" t="e">
        <f t="shared" si="279"/>
        <v>#VALUE!</v>
      </c>
    </row>
    <row r="4454" spans="2:8">
      <c r="B4454" s="11" t="str">
        <f t="shared" si="277"/>
        <v/>
      </c>
      <c r="C4454" s="11" t="str">
        <f t="shared" si="276"/>
        <v/>
      </c>
      <c r="F4454" s="10" t="str">
        <v/>
      </c>
      <c r="G4454" t="e">
        <f t="shared" si="278"/>
        <v>#VALUE!</v>
      </c>
      <c r="H4454" s="13" t="e">
        <f t="shared" si="279"/>
        <v>#VALUE!</v>
      </c>
    </row>
    <row r="4455" spans="2:8">
      <c r="B4455" s="11" t="str">
        <f t="shared" si="277"/>
        <v/>
      </c>
      <c r="C4455" s="11" t="str">
        <f t="shared" si="276"/>
        <v/>
      </c>
      <c r="F4455" s="10" t="str">
        <v/>
      </c>
      <c r="G4455" t="e">
        <f t="shared" si="278"/>
        <v>#VALUE!</v>
      </c>
      <c r="H4455" s="13" t="e">
        <f t="shared" si="279"/>
        <v>#VALUE!</v>
      </c>
    </row>
    <row r="4456" spans="2:8">
      <c r="B4456" s="11" t="str">
        <f t="shared" si="277"/>
        <v/>
      </c>
      <c r="C4456" s="11" t="str">
        <f t="shared" si="276"/>
        <v/>
      </c>
      <c r="F4456" s="10" t="str">
        <v/>
      </c>
      <c r="G4456" t="e">
        <f t="shared" si="278"/>
        <v>#VALUE!</v>
      </c>
      <c r="H4456" s="13" t="e">
        <f t="shared" si="279"/>
        <v>#VALUE!</v>
      </c>
    </row>
    <row r="4457" spans="2:8">
      <c r="B4457" s="11" t="str">
        <f t="shared" si="277"/>
        <v/>
      </c>
      <c r="C4457" s="11" t="str">
        <f t="shared" ref="C4457:C4520" si="280">IF(B4457="артикул",A4457,"")</f>
        <v/>
      </c>
      <c r="F4457" s="10" t="str">
        <v/>
      </c>
      <c r="G4457" t="e">
        <f t="shared" si="278"/>
        <v>#VALUE!</v>
      </c>
      <c r="H4457" s="13" t="e">
        <f t="shared" si="279"/>
        <v>#VALUE!</v>
      </c>
    </row>
    <row r="4458" spans="2:8">
      <c r="B4458" s="11" t="str">
        <f t="shared" si="277"/>
        <v/>
      </c>
      <c r="C4458" s="11" t="str">
        <f t="shared" si="280"/>
        <v/>
      </c>
      <c r="F4458" s="10" t="str">
        <v/>
      </c>
      <c r="G4458" t="e">
        <f t="shared" si="278"/>
        <v>#VALUE!</v>
      </c>
      <c r="H4458" s="13" t="e">
        <f t="shared" si="279"/>
        <v>#VALUE!</v>
      </c>
    </row>
    <row r="4459" spans="2:8">
      <c r="B4459" s="11" t="str">
        <f t="shared" si="277"/>
        <v/>
      </c>
      <c r="C4459" s="11" t="str">
        <f t="shared" si="280"/>
        <v/>
      </c>
      <c r="F4459" s="10" t="str">
        <v/>
      </c>
      <c r="G4459" t="e">
        <f t="shared" si="278"/>
        <v>#VALUE!</v>
      </c>
      <c r="H4459" s="13" t="e">
        <f t="shared" si="279"/>
        <v>#VALUE!</v>
      </c>
    </row>
    <row r="4460" spans="2:8">
      <c r="B4460" s="11" t="str">
        <f t="shared" si="277"/>
        <v/>
      </c>
      <c r="C4460" s="11" t="str">
        <f t="shared" si="280"/>
        <v/>
      </c>
      <c r="F4460" s="10" t="str">
        <v/>
      </c>
      <c r="G4460" t="e">
        <f t="shared" si="278"/>
        <v>#VALUE!</v>
      </c>
      <c r="H4460" s="13" t="e">
        <f t="shared" si="279"/>
        <v>#VALUE!</v>
      </c>
    </row>
    <row r="4461" spans="2:8">
      <c r="B4461" s="11" t="str">
        <f t="shared" si="277"/>
        <v/>
      </c>
      <c r="C4461" s="11" t="str">
        <f t="shared" si="280"/>
        <v/>
      </c>
      <c r="F4461" s="10" t="str">
        <v/>
      </c>
      <c r="G4461" t="e">
        <f t="shared" si="278"/>
        <v>#VALUE!</v>
      </c>
      <c r="H4461" s="13" t="e">
        <f t="shared" si="279"/>
        <v>#VALUE!</v>
      </c>
    </row>
    <row r="4462" spans="2:8">
      <c r="B4462" s="11" t="str">
        <f t="shared" si="277"/>
        <v/>
      </c>
      <c r="C4462" s="11" t="str">
        <f t="shared" si="280"/>
        <v/>
      </c>
      <c r="F4462" s="10" t="str">
        <v/>
      </c>
      <c r="G4462" t="e">
        <f t="shared" si="278"/>
        <v>#VALUE!</v>
      </c>
      <c r="H4462" s="13" t="e">
        <f t="shared" si="279"/>
        <v>#VALUE!</v>
      </c>
    </row>
    <row r="4463" spans="2:8">
      <c r="B4463" s="11" t="str">
        <f t="shared" si="277"/>
        <v/>
      </c>
      <c r="C4463" s="11" t="str">
        <f t="shared" si="280"/>
        <v/>
      </c>
      <c r="F4463" s="10" t="str">
        <v/>
      </c>
      <c r="G4463" t="e">
        <f t="shared" si="278"/>
        <v>#VALUE!</v>
      </c>
      <c r="H4463" s="13" t="e">
        <f t="shared" si="279"/>
        <v>#VALUE!</v>
      </c>
    </row>
    <row r="4464" spans="2:8">
      <c r="B4464" s="11" t="str">
        <f t="shared" si="277"/>
        <v/>
      </c>
      <c r="C4464" s="11" t="str">
        <f t="shared" si="280"/>
        <v/>
      </c>
      <c r="F4464" s="10" t="str">
        <v/>
      </c>
      <c r="G4464" t="e">
        <f t="shared" si="278"/>
        <v>#VALUE!</v>
      </c>
      <c r="H4464" s="13" t="e">
        <f t="shared" si="279"/>
        <v>#VALUE!</v>
      </c>
    </row>
    <row r="4465" spans="2:8">
      <c r="B4465" s="11" t="str">
        <f t="shared" si="277"/>
        <v/>
      </c>
      <c r="C4465" s="11" t="str">
        <f t="shared" si="280"/>
        <v/>
      </c>
      <c r="F4465" s="10" t="str">
        <v/>
      </c>
      <c r="G4465" t="e">
        <f t="shared" si="278"/>
        <v>#VALUE!</v>
      </c>
      <c r="H4465" s="13" t="e">
        <f t="shared" si="279"/>
        <v>#VALUE!</v>
      </c>
    </row>
    <row r="4466" spans="2:8">
      <c r="B4466" s="11" t="str">
        <f t="shared" si="277"/>
        <v/>
      </c>
      <c r="C4466" s="11" t="str">
        <f t="shared" si="280"/>
        <v/>
      </c>
      <c r="F4466" s="10" t="str">
        <v/>
      </c>
      <c r="G4466" t="e">
        <f t="shared" si="278"/>
        <v>#VALUE!</v>
      </c>
      <c r="H4466" s="13" t="e">
        <f t="shared" si="279"/>
        <v>#VALUE!</v>
      </c>
    </row>
    <row r="4467" spans="2:8">
      <c r="B4467" s="11" t="str">
        <f t="shared" si="277"/>
        <v/>
      </c>
      <c r="C4467" s="11" t="str">
        <f t="shared" si="280"/>
        <v/>
      </c>
      <c r="F4467" s="10" t="str">
        <v/>
      </c>
      <c r="G4467" t="e">
        <f t="shared" si="278"/>
        <v>#VALUE!</v>
      </c>
      <c r="H4467" s="13" t="e">
        <f t="shared" si="279"/>
        <v>#VALUE!</v>
      </c>
    </row>
    <row r="4468" spans="2:8">
      <c r="B4468" s="11" t="str">
        <f t="shared" si="277"/>
        <v/>
      </c>
      <c r="C4468" s="11" t="str">
        <f t="shared" si="280"/>
        <v/>
      </c>
      <c r="F4468" s="10" t="str">
        <v/>
      </c>
      <c r="G4468" t="e">
        <f t="shared" si="278"/>
        <v>#VALUE!</v>
      </c>
      <c r="H4468" s="13" t="e">
        <f t="shared" si="279"/>
        <v>#VALUE!</v>
      </c>
    </row>
    <row r="4469" spans="2:8">
      <c r="B4469" s="11" t="str">
        <f t="shared" si="277"/>
        <v/>
      </c>
      <c r="C4469" s="11" t="str">
        <f t="shared" si="280"/>
        <v/>
      </c>
      <c r="F4469" s="10" t="str">
        <v/>
      </c>
      <c r="G4469" t="e">
        <f t="shared" si="278"/>
        <v>#VALUE!</v>
      </c>
      <c r="H4469" s="13" t="e">
        <f t="shared" si="279"/>
        <v>#VALUE!</v>
      </c>
    </row>
    <row r="4470" spans="2:8">
      <c r="B4470" s="11" t="str">
        <f t="shared" si="277"/>
        <v/>
      </c>
      <c r="C4470" s="11" t="str">
        <f t="shared" si="280"/>
        <v/>
      </c>
      <c r="F4470" s="10" t="str">
        <v/>
      </c>
      <c r="G4470" t="e">
        <f t="shared" si="278"/>
        <v>#VALUE!</v>
      </c>
      <c r="H4470" s="13" t="e">
        <f t="shared" si="279"/>
        <v>#VALUE!</v>
      </c>
    </row>
    <row r="4471" spans="2:8">
      <c r="B4471" s="11" t="str">
        <f t="shared" si="277"/>
        <v/>
      </c>
      <c r="C4471" s="11" t="str">
        <f t="shared" si="280"/>
        <v/>
      </c>
      <c r="F4471" s="10" t="str">
        <v/>
      </c>
      <c r="G4471" t="e">
        <f t="shared" si="278"/>
        <v>#VALUE!</v>
      </c>
      <c r="H4471" s="13" t="e">
        <f t="shared" si="279"/>
        <v>#VALUE!</v>
      </c>
    </row>
    <row r="4472" spans="2:8">
      <c r="B4472" s="11" t="str">
        <f t="shared" si="277"/>
        <v/>
      </c>
      <c r="C4472" s="11" t="str">
        <f t="shared" si="280"/>
        <v/>
      </c>
      <c r="F4472" s="10" t="str">
        <v/>
      </c>
      <c r="G4472" t="e">
        <f t="shared" si="278"/>
        <v>#VALUE!</v>
      </c>
      <c r="H4472" s="13" t="e">
        <f t="shared" si="279"/>
        <v>#VALUE!</v>
      </c>
    </row>
    <row r="4473" spans="2:8">
      <c r="B4473" s="11" t="str">
        <f t="shared" si="277"/>
        <v/>
      </c>
      <c r="C4473" s="11" t="str">
        <f t="shared" si="280"/>
        <v/>
      </c>
      <c r="F4473" s="10" t="str">
        <v/>
      </c>
      <c r="G4473" t="e">
        <f t="shared" si="278"/>
        <v>#VALUE!</v>
      </c>
      <c r="H4473" s="13" t="e">
        <f t="shared" si="279"/>
        <v>#VALUE!</v>
      </c>
    </row>
    <row r="4474" spans="2:8">
      <c r="B4474" s="11" t="str">
        <f t="shared" si="277"/>
        <v/>
      </c>
      <c r="C4474" s="11" t="str">
        <f t="shared" si="280"/>
        <v/>
      </c>
      <c r="F4474" s="10" t="str">
        <v/>
      </c>
      <c r="G4474" t="e">
        <f t="shared" si="278"/>
        <v>#VALUE!</v>
      </c>
      <c r="H4474" s="13" t="e">
        <f t="shared" si="279"/>
        <v>#VALUE!</v>
      </c>
    </row>
    <row r="4475" spans="2:8">
      <c r="B4475" s="11" t="str">
        <f t="shared" si="277"/>
        <v/>
      </c>
      <c r="C4475" s="11" t="str">
        <f t="shared" si="280"/>
        <v/>
      </c>
      <c r="F4475" s="10" t="str">
        <v/>
      </c>
      <c r="G4475" t="e">
        <f t="shared" si="278"/>
        <v>#VALUE!</v>
      </c>
      <c r="H4475" s="13" t="e">
        <f t="shared" si="279"/>
        <v>#VALUE!</v>
      </c>
    </row>
    <row r="4476" spans="2:8">
      <c r="B4476" s="11" t="str">
        <f t="shared" si="277"/>
        <v/>
      </c>
      <c r="C4476" s="11" t="str">
        <f t="shared" si="280"/>
        <v/>
      </c>
      <c r="F4476" s="10" t="str">
        <v/>
      </c>
      <c r="G4476" t="e">
        <f t="shared" si="278"/>
        <v>#VALUE!</v>
      </c>
      <c r="H4476" s="13" t="e">
        <f t="shared" si="279"/>
        <v>#VALUE!</v>
      </c>
    </row>
    <row r="4477" spans="2:8">
      <c r="B4477" s="11" t="str">
        <f t="shared" si="277"/>
        <v/>
      </c>
      <c r="C4477" s="11" t="str">
        <f t="shared" si="280"/>
        <v/>
      </c>
      <c r="F4477" s="10" t="str">
        <v/>
      </c>
      <c r="G4477" t="e">
        <f t="shared" si="278"/>
        <v>#VALUE!</v>
      </c>
      <c r="H4477" s="13" t="e">
        <f t="shared" si="279"/>
        <v>#VALUE!</v>
      </c>
    </row>
    <row r="4478" spans="2:8">
      <c r="B4478" s="11" t="str">
        <f t="shared" si="277"/>
        <v/>
      </c>
      <c r="C4478" s="11" t="str">
        <f t="shared" si="280"/>
        <v/>
      </c>
      <c r="F4478" s="10" t="str">
        <v/>
      </c>
      <c r="G4478" t="e">
        <f t="shared" si="278"/>
        <v>#VALUE!</v>
      </c>
      <c r="H4478" s="13" t="e">
        <f t="shared" si="279"/>
        <v>#VALUE!</v>
      </c>
    </row>
    <row r="4479" spans="2:8">
      <c r="B4479" s="11" t="str">
        <f t="shared" si="277"/>
        <v/>
      </c>
      <c r="C4479" s="11" t="str">
        <f t="shared" si="280"/>
        <v/>
      </c>
      <c r="F4479" s="10" t="str">
        <v/>
      </c>
      <c r="G4479" t="e">
        <f t="shared" si="278"/>
        <v>#VALUE!</v>
      </c>
      <c r="H4479" s="13" t="e">
        <f t="shared" si="279"/>
        <v>#VALUE!</v>
      </c>
    </row>
    <row r="4480" spans="2:8">
      <c r="B4480" s="11" t="str">
        <f t="shared" si="277"/>
        <v/>
      </c>
      <c r="C4480" s="11" t="str">
        <f t="shared" si="280"/>
        <v/>
      </c>
      <c r="F4480" s="10" t="str">
        <v/>
      </c>
      <c r="G4480" t="e">
        <f t="shared" si="278"/>
        <v>#VALUE!</v>
      </c>
      <c r="H4480" s="13" t="e">
        <f t="shared" si="279"/>
        <v>#VALUE!</v>
      </c>
    </row>
    <row r="4481" spans="2:8">
      <c r="B4481" s="11" t="str">
        <f t="shared" ref="B4481:B4544" si="281">IFERROR(IF(FIND(" ",A4481)=6,IF(IFERROR(FIND(" PB",A4481),"")&lt;&gt;"","артикул",IF(IFERROR(FIND(" CRN",A4481),"")&lt;&gt;"","артикул","")),""),"")</f>
        <v/>
      </c>
      <c r="C4481" s="11" t="str">
        <f t="shared" si="280"/>
        <v/>
      </c>
      <c r="F4481" s="10" t="str">
        <v/>
      </c>
      <c r="G4481" t="e">
        <f t="shared" si="278"/>
        <v>#VALUE!</v>
      </c>
      <c r="H4481" s="13" t="e">
        <f t="shared" si="279"/>
        <v>#VALUE!</v>
      </c>
    </row>
    <row r="4482" spans="2:8">
      <c r="B4482" s="11" t="str">
        <f t="shared" si="281"/>
        <v/>
      </c>
      <c r="C4482" s="11" t="str">
        <f t="shared" si="280"/>
        <v/>
      </c>
      <c r="F4482" s="10" t="str">
        <v/>
      </c>
      <c r="G4482" t="e">
        <f t="shared" ref="G4482:G4545" si="282">CONCATENATE(LEFT(F4482,5),
MID(F4482,
SEARCH("\",SUBSTITUTE(F4482," ","\",LEN(F4482)-LEN(SUBSTITUTE(F4482," ",""))-4)),
SEARCH("\",SUBSTITUTE(F4482," ","\",LEN(F4482)-LEN(SUBSTITUTE(F4482," ",""))-3))-
SEARCH("\",SUBSTITUTE(F4482," ","\",LEN(F4482)-LEN(SUBSTITUTE(F4482," ",""))-4)))*1)</f>
        <v>#VALUE!</v>
      </c>
      <c r="H4482" s="13" t="e">
        <f t="shared" ref="H4482:H4545" si="283">SUBSTITUTE(
RIGHT(F4482,LEN(F4482)-
FIND("\",SUBSTITUTE(F4482," ","\",LEN(F4482)-LEN(SUBSTITUTE(F4482," ",""))))),
".","")</f>
        <v>#VALUE!</v>
      </c>
    </row>
    <row r="4483" spans="2:8">
      <c r="B4483" s="11" t="str">
        <f t="shared" si="281"/>
        <v/>
      </c>
      <c r="C4483" s="11" t="str">
        <f t="shared" si="280"/>
        <v/>
      </c>
      <c r="F4483" s="10" t="str">
        <v/>
      </c>
      <c r="G4483" t="e">
        <f t="shared" si="282"/>
        <v>#VALUE!</v>
      </c>
      <c r="H4483" s="13" t="e">
        <f t="shared" si="283"/>
        <v>#VALUE!</v>
      </c>
    </row>
    <row r="4484" spans="2:8">
      <c r="B4484" s="11" t="str">
        <f t="shared" si="281"/>
        <v/>
      </c>
      <c r="C4484" s="11" t="str">
        <f t="shared" si="280"/>
        <v/>
      </c>
      <c r="F4484" s="10" t="str">
        <v/>
      </c>
      <c r="G4484" t="e">
        <f t="shared" si="282"/>
        <v>#VALUE!</v>
      </c>
      <c r="H4484" s="13" t="e">
        <f t="shared" si="283"/>
        <v>#VALUE!</v>
      </c>
    </row>
    <row r="4485" spans="2:8">
      <c r="B4485" s="11" t="str">
        <f t="shared" si="281"/>
        <v/>
      </c>
      <c r="C4485" s="11" t="str">
        <f t="shared" si="280"/>
        <v/>
      </c>
      <c r="F4485" s="10" t="str">
        <v/>
      </c>
      <c r="G4485" t="e">
        <f t="shared" si="282"/>
        <v>#VALUE!</v>
      </c>
      <c r="H4485" s="13" t="e">
        <f t="shared" si="283"/>
        <v>#VALUE!</v>
      </c>
    </row>
    <row r="4486" spans="2:8">
      <c r="B4486" s="11" t="str">
        <f t="shared" si="281"/>
        <v/>
      </c>
      <c r="C4486" s="11" t="str">
        <f t="shared" si="280"/>
        <v/>
      </c>
      <c r="F4486" s="10" t="str">
        <v/>
      </c>
      <c r="G4486" t="e">
        <f t="shared" si="282"/>
        <v>#VALUE!</v>
      </c>
      <c r="H4486" s="13" t="e">
        <f t="shared" si="283"/>
        <v>#VALUE!</v>
      </c>
    </row>
    <row r="4487" spans="2:8">
      <c r="B4487" s="11" t="str">
        <f t="shared" si="281"/>
        <v/>
      </c>
      <c r="C4487" s="11" t="str">
        <f t="shared" si="280"/>
        <v/>
      </c>
      <c r="F4487" s="10" t="str">
        <v/>
      </c>
      <c r="G4487" t="e">
        <f t="shared" si="282"/>
        <v>#VALUE!</v>
      </c>
      <c r="H4487" s="13" t="e">
        <f t="shared" si="283"/>
        <v>#VALUE!</v>
      </c>
    </row>
    <row r="4488" spans="2:8">
      <c r="B4488" s="11" t="str">
        <f t="shared" si="281"/>
        <v/>
      </c>
      <c r="C4488" s="11" t="str">
        <f t="shared" si="280"/>
        <v/>
      </c>
      <c r="F4488" s="10" t="str">
        <v/>
      </c>
      <c r="G4488" t="e">
        <f t="shared" si="282"/>
        <v>#VALUE!</v>
      </c>
      <c r="H4488" s="13" t="e">
        <f t="shared" si="283"/>
        <v>#VALUE!</v>
      </c>
    </row>
    <row r="4489" spans="2:8">
      <c r="B4489" s="11" t="str">
        <f t="shared" si="281"/>
        <v/>
      </c>
      <c r="C4489" s="11" t="str">
        <f t="shared" si="280"/>
        <v/>
      </c>
      <c r="F4489" s="10" t="str">
        <v/>
      </c>
      <c r="G4489" t="e">
        <f t="shared" si="282"/>
        <v>#VALUE!</v>
      </c>
      <c r="H4489" s="13" t="e">
        <f t="shared" si="283"/>
        <v>#VALUE!</v>
      </c>
    </row>
    <row r="4490" spans="2:8">
      <c r="B4490" s="11" t="str">
        <f t="shared" si="281"/>
        <v/>
      </c>
      <c r="C4490" s="11" t="str">
        <f t="shared" si="280"/>
        <v/>
      </c>
      <c r="F4490" s="10" t="str">
        <v/>
      </c>
      <c r="G4490" t="e">
        <f t="shared" si="282"/>
        <v>#VALUE!</v>
      </c>
      <c r="H4490" s="13" t="e">
        <f t="shared" si="283"/>
        <v>#VALUE!</v>
      </c>
    </row>
    <row r="4491" spans="2:8">
      <c r="B4491" s="11" t="str">
        <f t="shared" si="281"/>
        <v/>
      </c>
      <c r="C4491" s="11" t="str">
        <f t="shared" si="280"/>
        <v/>
      </c>
      <c r="F4491" s="10" t="str">
        <v/>
      </c>
      <c r="G4491" t="e">
        <f t="shared" si="282"/>
        <v>#VALUE!</v>
      </c>
      <c r="H4491" s="13" t="e">
        <f t="shared" si="283"/>
        <v>#VALUE!</v>
      </c>
    </row>
    <row r="4492" spans="2:8">
      <c r="B4492" s="11" t="str">
        <f t="shared" si="281"/>
        <v/>
      </c>
      <c r="C4492" s="11" t="str">
        <f t="shared" si="280"/>
        <v/>
      </c>
      <c r="F4492" s="10" t="str">
        <v/>
      </c>
      <c r="G4492" t="e">
        <f t="shared" si="282"/>
        <v>#VALUE!</v>
      </c>
      <c r="H4492" s="13" t="e">
        <f t="shared" si="283"/>
        <v>#VALUE!</v>
      </c>
    </row>
    <row r="4493" spans="2:8">
      <c r="B4493" s="11" t="str">
        <f t="shared" si="281"/>
        <v/>
      </c>
      <c r="C4493" s="11" t="str">
        <f t="shared" si="280"/>
        <v/>
      </c>
      <c r="F4493" s="10" t="str">
        <v/>
      </c>
      <c r="G4493" t="e">
        <f t="shared" si="282"/>
        <v>#VALUE!</v>
      </c>
      <c r="H4493" s="13" t="e">
        <f t="shared" si="283"/>
        <v>#VALUE!</v>
      </c>
    </row>
    <row r="4494" spans="2:8">
      <c r="B4494" s="11" t="str">
        <f t="shared" si="281"/>
        <v/>
      </c>
      <c r="C4494" s="11" t="str">
        <f t="shared" si="280"/>
        <v/>
      </c>
      <c r="F4494" s="10" t="str">
        <v/>
      </c>
      <c r="G4494" t="e">
        <f t="shared" si="282"/>
        <v>#VALUE!</v>
      </c>
      <c r="H4494" s="13" t="e">
        <f t="shared" si="283"/>
        <v>#VALUE!</v>
      </c>
    </row>
    <row r="4495" spans="2:8">
      <c r="B4495" s="11" t="str">
        <f t="shared" si="281"/>
        <v/>
      </c>
      <c r="C4495" s="11" t="str">
        <f t="shared" si="280"/>
        <v/>
      </c>
      <c r="F4495" s="10" t="str">
        <v/>
      </c>
      <c r="G4495" t="e">
        <f t="shared" si="282"/>
        <v>#VALUE!</v>
      </c>
      <c r="H4495" s="13" t="e">
        <f t="shared" si="283"/>
        <v>#VALUE!</v>
      </c>
    </row>
    <row r="4496" spans="2:8">
      <c r="B4496" s="11" t="str">
        <f t="shared" si="281"/>
        <v/>
      </c>
      <c r="C4496" s="11" t="str">
        <f t="shared" si="280"/>
        <v/>
      </c>
      <c r="F4496" s="10" t="str">
        <v/>
      </c>
      <c r="G4496" t="e">
        <f t="shared" si="282"/>
        <v>#VALUE!</v>
      </c>
      <c r="H4496" s="13" t="e">
        <f t="shared" si="283"/>
        <v>#VALUE!</v>
      </c>
    </row>
    <row r="4497" spans="2:8">
      <c r="B4497" s="11" t="str">
        <f t="shared" si="281"/>
        <v/>
      </c>
      <c r="C4497" s="11" t="str">
        <f t="shared" si="280"/>
        <v/>
      </c>
      <c r="F4497" s="10" t="str">
        <v/>
      </c>
      <c r="G4497" t="e">
        <f t="shared" si="282"/>
        <v>#VALUE!</v>
      </c>
      <c r="H4497" s="13" t="e">
        <f t="shared" si="283"/>
        <v>#VALUE!</v>
      </c>
    </row>
    <row r="4498" spans="2:8">
      <c r="B4498" s="11" t="str">
        <f t="shared" si="281"/>
        <v/>
      </c>
      <c r="C4498" s="11" t="str">
        <f t="shared" si="280"/>
        <v/>
      </c>
      <c r="F4498" s="10" t="str">
        <v/>
      </c>
      <c r="G4498" t="e">
        <f t="shared" si="282"/>
        <v>#VALUE!</v>
      </c>
      <c r="H4498" s="13" t="e">
        <f t="shared" si="283"/>
        <v>#VALUE!</v>
      </c>
    </row>
    <row r="4499" spans="2:8">
      <c r="B4499" s="11" t="str">
        <f t="shared" si="281"/>
        <v/>
      </c>
      <c r="C4499" s="11" t="str">
        <f t="shared" si="280"/>
        <v/>
      </c>
      <c r="F4499" s="10" t="str">
        <v/>
      </c>
      <c r="G4499" t="e">
        <f t="shared" si="282"/>
        <v>#VALUE!</v>
      </c>
      <c r="H4499" s="13" t="e">
        <f t="shared" si="283"/>
        <v>#VALUE!</v>
      </c>
    </row>
    <row r="4500" spans="2:8">
      <c r="B4500" s="11" t="str">
        <f t="shared" si="281"/>
        <v/>
      </c>
      <c r="C4500" s="11" t="str">
        <f t="shared" si="280"/>
        <v/>
      </c>
      <c r="F4500" s="10" t="str">
        <v/>
      </c>
      <c r="G4500" t="e">
        <f t="shared" si="282"/>
        <v>#VALUE!</v>
      </c>
      <c r="H4500" s="13" t="e">
        <f t="shared" si="283"/>
        <v>#VALUE!</v>
      </c>
    </row>
    <row r="4501" spans="2:8">
      <c r="B4501" s="11" t="str">
        <f t="shared" si="281"/>
        <v/>
      </c>
      <c r="C4501" s="11" t="str">
        <f t="shared" si="280"/>
        <v/>
      </c>
      <c r="F4501" s="10" t="str">
        <v/>
      </c>
      <c r="G4501" t="e">
        <f t="shared" si="282"/>
        <v>#VALUE!</v>
      </c>
      <c r="H4501" s="13" t="e">
        <f t="shared" si="283"/>
        <v>#VALUE!</v>
      </c>
    </row>
    <row r="4502" spans="2:8">
      <c r="B4502" s="11" t="str">
        <f t="shared" si="281"/>
        <v/>
      </c>
      <c r="C4502" s="11" t="str">
        <f t="shared" si="280"/>
        <v/>
      </c>
      <c r="F4502" s="10" t="str">
        <v/>
      </c>
      <c r="G4502" t="e">
        <f t="shared" si="282"/>
        <v>#VALUE!</v>
      </c>
      <c r="H4502" s="13" t="e">
        <f t="shared" si="283"/>
        <v>#VALUE!</v>
      </c>
    </row>
    <row r="4503" spans="2:8">
      <c r="B4503" s="11" t="str">
        <f t="shared" si="281"/>
        <v/>
      </c>
      <c r="C4503" s="11" t="str">
        <f t="shared" si="280"/>
        <v/>
      </c>
      <c r="F4503" s="10" t="str">
        <v/>
      </c>
      <c r="G4503" t="e">
        <f t="shared" si="282"/>
        <v>#VALUE!</v>
      </c>
      <c r="H4503" s="13" t="e">
        <f t="shared" si="283"/>
        <v>#VALUE!</v>
      </c>
    </row>
    <row r="4504" spans="2:8">
      <c r="B4504" s="11" t="str">
        <f t="shared" si="281"/>
        <v/>
      </c>
      <c r="C4504" s="11" t="str">
        <f t="shared" si="280"/>
        <v/>
      </c>
      <c r="F4504" s="10" t="str">
        <v/>
      </c>
      <c r="G4504" t="e">
        <f t="shared" si="282"/>
        <v>#VALUE!</v>
      </c>
      <c r="H4504" s="13" t="e">
        <f t="shared" si="283"/>
        <v>#VALUE!</v>
      </c>
    </row>
    <row r="4505" spans="2:8">
      <c r="B4505" s="11" t="str">
        <f t="shared" si="281"/>
        <v/>
      </c>
      <c r="C4505" s="11" t="str">
        <f t="shared" si="280"/>
        <v/>
      </c>
      <c r="F4505" s="10" t="str">
        <v/>
      </c>
      <c r="G4505" t="e">
        <f t="shared" si="282"/>
        <v>#VALUE!</v>
      </c>
      <c r="H4505" s="13" t="e">
        <f t="shared" si="283"/>
        <v>#VALUE!</v>
      </c>
    </row>
    <row r="4506" spans="2:8">
      <c r="B4506" s="11" t="str">
        <f t="shared" si="281"/>
        <v/>
      </c>
      <c r="C4506" s="11" t="str">
        <f t="shared" si="280"/>
        <v/>
      </c>
      <c r="F4506" s="10" t="str">
        <v/>
      </c>
      <c r="G4506" t="e">
        <f t="shared" si="282"/>
        <v>#VALUE!</v>
      </c>
      <c r="H4506" s="13" t="e">
        <f t="shared" si="283"/>
        <v>#VALUE!</v>
      </c>
    </row>
    <row r="4507" spans="2:8">
      <c r="B4507" s="11" t="str">
        <f t="shared" si="281"/>
        <v/>
      </c>
      <c r="C4507" s="11" t="str">
        <f t="shared" si="280"/>
        <v/>
      </c>
      <c r="F4507" s="10" t="str">
        <v/>
      </c>
      <c r="G4507" t="e">
        <f t="shared" si="282"/>
        <v>#VALUE!</v>
      </c>
      <c r="H4507" s="13" t="e">
        <f t="shared" si="283"/>
        <v>#VALUE!</v>
      </c>
    </row>
    <row r="4508" spans="2:8">
      <c r="B4508" s="11" t="str">
        <f t="shared" si="281"/>
        <v/>
      </c>
      <c r="C4508" s="11" t="str">
        <f t="shared" si="280"/>
        <v/>
      </c>
      <c r="F4508" s="10" t="str">
        <v/>
      </c>
      <c r="G4508" t="e">
        <f t="shared" si="282"/>
        <v>#VALUE!</v>
      </c>
      <c r="H4508" s="13" t="e">
        <f t="shared" si="283"/>
        <v>#VALUE!</v>
      </c>
    </row>
    <row r="4509" spans="2:8">
      <c r="B4509" s="11" t="str">
        <f t="shared" si="281"/>
        <v/>
      </c>
      <c r="C4509" s="11" t="str">
        <f t="shared" si="280"/>
        <v/>
      </c>
      <c r="F4509" s="10" t="str">
        <v/>
      </c>
      <c r="G4509" t="e">
        <f t="shared" si="282"/>
        <v>#VALUE!</v>
      </c>
      <c r="H4509" s="13" t="e">
        <f t="shared" si="283"/>
        <v>#VALUE!</v>
      </c>
    </row>
    <row r="4510" spans="2:8">
      <c r="B4510" s="11" t="str">
        <f t="shared" si="281"/>
        <v/>
      </c>
      <c r="C4510" s="11" t="str">
        <f t="shared" si="280"/>
        <v/>
      </c>
      <c r="F4510" s="10" t="str">
        <v/>
      </c>
      <c r="G4510" t="e">
        <f t="shared" si="282"/>
        <v>#VALUE!</v>
      </c>
      <c r="H4510" s="13" t="e">
        <f t="shared" si="283"/>
        <v>#VALUE!</v>
      </c>
    </row>
    <row r="4511" spans="2:8">
      <c r="B4511" s="11" t="str">
        <f t="shared" si="281"/>
        <v/>
      </c>
      <c r="C4511" s="11" t="str">
        <f t="shared" si="280"/>
        <v/>
      </c>
      <c r="F4511" s="10" t="str">
        <v/>
      </c>
      <c r="G4511" t="e">
        <f t="shared" si="282"/>
        <v>#VALUE!</v>
      </c>
      <c r="H4511" s="13" t="e">
        <f t="shared" si="283"/>
        <v>#VALUE!</v>
      </c>
    </row>
    <row r="4512" spans="2:8">
      <c r="B4512" s="11" t="str">
        <f t="shared" si="281"/>
        <v/>
      </c>
      <c r="C4512" s="11" t="str">
        <f t="shared" si="280"/>
        <v/>
      </c>
      <c r="F4512" s="10" t="str">
        <v/>
      </c>
      <c r="G4512" t="e">
        <f t="shared" si="282"/>
        <v>#VALUE!</v>
      </c>
      <c r="H4512" s="13" t="e">
        <f t="shared" si="283"/>
        <v>#VALUE!</v>
      </c>
    </row>
    <row r="4513" spans="2:8">
      <c r="B4513" s="11" t="str">
        <f t="shared" si="281"/>
        <v/>
      </c>
      <c r="C4513" s="11" t="str">
        <f t="shared" si="280"/>
        <v/>
      </c>
      <c r="F4513" s="10" t="str">
        <v/>
      </c>
      <c r="G4513" t="e">
        <f t="shared" si="282"/>
        <v>#VALUE!</v>
      </c>
      <c r="H4513" s="13" t="e">
        <f t="shared" si="283"/>
        <v>#VALUE!</v>
      </c>
    </row>
    <row r="4514" spans="2:8">
      <c r="B4514" s="11" t="str">
        <f t="shared" si="281"/>
        <v/>
      </c>
      <c r="C4514" s="11" t="str">
        <f t="shared" si="280"/>
        <v/>
      </c>
      <c r="F4514" s="10" t="str">
        <v/>
      </c>
      <c r="G4514" t="e">
        <f t="shared" si="282"/>
        <v>#VALUE!</v>
      </c>
      <c r="H4514" s="13" t="e">
        <f t="shared" si="283"/>
        <v>#VALUE!</v>
      </c>
    </row>
    <row r="4515" spans="2:8">
      <c r="B4515" s="11" t="str">
        <f t="shared" si="281"/>
        <v/>
      </c>
      <c r="C4515" s="11" t="str">
        <f t="shared" si="280"/>
        <v/>
      </c>
      <c r="F4515" s="10" t="str">
        <v/>
      </c>
      <c r="G4515" t="e">
        <f t="shared" si="282"/>
        <v>#VALUE!</v>
      </c>
      <c r="H4515" s="13" t="e">
        <f t="shared" si="283"/>
        <v>#VALUE!</v>
      </c>
    </row>
    <row r="4516" spans="2:8">
      <c r="B4516" s="11" t="str">
        <f t="shared" si="281"/>
        <v/>
      </c>
      <c r="C4516" s="11" t="str">
        <f t="shared" si="280"/>
        <v/>
      </c>
      <c r="F4516" s="10" t="str">
        <v/>
      </c>
      <c r="G4516" t="e">
        <f t="shared" si="282"/>
        <v>#VALUE!</v>
      </c>
      <c r="H4516" s="13" t="e">
        <f t="shared" si="283"/>
        <v>#VALUE!</v>
      </c>
    </row>
    <row r="4517" spans="2:8">
      <c r="B4517" s="11" t="str">
        <f t="shared" si="281"/>
        <v/>
      </c>
      <c r="C4517" s="11" t="str">
        <f t="shared" si="280"/>
        <v/>
      </c>
      <c r="F4517" s="10" t="str">
        <v/>
      </c>
      <c r="G4517" t="e">
        <f t="shared" si="282"/>
        <v>#VALUE!</v>
      </c>
      <c r="H4517" s="13" t="e">
        <f t="shared" si="283"/>
        <v>#VALUE!</v>
      </c>
    </row>
    <row r="4518" spans="2:8">
      <c r="B4518" s="11" t="str">
        <f t="shared" si="281"/>
        <v/>
      </c>
      <c r="C4518" s="11" t="str">
        <f t="shared" si="280"/>
        <v/>
      </c>
      <c r="F4518" s="10" t="str">
        <v/>
      </c>
      <c r="G4518" t="e">
        <f t="shared" si="282"/>
        <v>#VALUE!</v>
      </c>
      <c r="H4518" s="13" t="e">
        <f t="shared" si="283"/>
        <v>#VALUE!</v>
      </c>
    </row>
    <row r="4519" spans="2:8">
      <c r="B4519" s="11" t="str">
        <f t="shared" si="281"/>
        <v/>
      </c>
      <c r="C4519" s="11" t="str">
        <f t="shared" si="280"/>
        <v/>
      </c>
      <c r="F4519" s="10" t="str">
        <v/>
      </c>
      <c r="G4519" t="e">
        <f t="shared" si="282"/>
        <v>#VALUE!</v>
      </c>
      <c r="H4519" s="13" t="e">
        <f t="shared" si="283"/>
        <v>#VALUE!</v>
      </c>
    </row>
    <row r="4520" spans="2:8">
      <c r="B4520" s="11" t="str">
        <f t="shared" si="281"/>
        <v/>
      </c>
      <c r="C4520" s="11" t="str">
        <f t="shared" si="280"/>
        <v/>
      </c>
      <c r="F4520" s="10" t="str">
        <v/>
      </c>
      <c r="G4520" t="e">
        <f t="shared" si="282"/>
        <v>#VALUE!</v>
      </c>
      <c r="H4520" s="13" t="e">
        <f t="shared" si="283"/>
        <v>#VALUE!</v>
      </c>
    </row>
    <row r="4521" spans="2:8">
      <c r="B4521" s="11" t="str">
        <f t="shared" si="281"/>
        <v/>
      </c>
      <c r="C4521" s="11" t="str">
        <f t="shared" ref="C4521:C4584" si="284">IF(B4521="артикул",A4521,"")</f>
        <v/>
      </c>
      <c r="F4521" s="10" t="str">
        <v/>
      </c>
      <c r="G4521" t="e">
        <f t="shared" si="282"/>
        <v>#VALUE!</v>
      </c>
      <c r="H4521" s="13" t="e">
        <f t="shared" si="283"/>
        <v>#VALUE!</v>
      </c>
    </row>
    <row r="4522" spans="2:8">
      <c r="B4522" s="11" t="str">
        <f t="shared" si="281"/>
        <v/>
      </c>
      <c r="C4522" s="11" t="str">
        <f t="shared" si="284"/>
        <v/>
      </c>
      <c r="F4522" s="10" t="str">
        <v/>
      </c>
      <c r="G4522" t="e">
        <f t="shared" si="282"/>
        <v>#VALUE!</v>
      </c>
      <c r="H4522" s="13" t="e">
        <f t="shared" si="283"/>
        <v>#VALUE!</v>
      </c>
    </row>
    <row r="4523" spans="2:8">
      <c r="B4523" s="11" t="str">
        <f t="shared" si="281"/>
        <v/>
      </c>
      <c r="C4523" s="11" t="str">
        <f t="shared" si="284"/>
        <v/>
      </c>
      <c r="F4523" s="10" t="str">
        <v/>
      </c>
      <c r="G4523" t="e">
        <f t="shared" si="282"/>
        <v>#VALUE!</v>
      </c>
      <c r="H4523" s="13" t="e">
        <f t="shared" si="283"/>
        <v>#VALUE!</v>
      </c>
    </row>
    <row r="4524" spans="2:8">
      <c r="B4524" s="11" t="str">
        <f t="shared" si="281"/>
        <v/>
      </c>
      <c r="C4524" s="11" t="str">
        <f t="shared" si="284"/>
        <v/>
      </c>
      <c r="F4524" s="10" t="str">
        <v/>
      </c>
      <c r="G4524" t="e">
        <f t="shared" si="282"/>
        <v>#VALUE!</v>
      </c>
      <c r="H4524" s="13" t="e">
        <f t="shared" si="283"/>
        <v>#VALUE!</v>
      </c>
    </row>
    <row r="4525" spans="2:8">
      <c r="B4525" s="11" t="str">
        <f t="shared" si="281"/>
        <v/>
      </c>
      <c r="C4525" s="11" t="str">
        <f t="shared" si="284"/>
        <v/>
      </c>
      <c r="F4525" s="10" t="str">
        <v/>
      </c>
      <c r="G4525" t="e">
        <f t="shared" si="282"/>
        <v>#VALUE!</v>
      </c>
      <c r="H4525" s="13" t="e">
        <f t="shared" si="283"/>
        <v>#VALUE!</v>
      </c>
    </row>
    <row r="4526" spans="2:8">
      <c r="B4526" s="11" t="str">
        <f t="shared" si="281"/>
        <v/>
      </c>
      <c r="C4526" s="11" t="str">
        <f t="shared" si="284"/>
        <v/>
      </c>
      <c r="F4526" s="10" t="str">
        <v/>
      </c>
      <c r="G4526" t="e">
        <f t="shared" si="282"/>
        <v>#VALUE!</v>
      </c>
      <c r="H4526" s="13" t="e">
        <f t="shared" si="283"/>
        <v>#VALUE!</v>
      </c>
    </row>
    <row r="4527" spans="2:8">
      <c r="B4527" s="11" t="str">
        <f t="shared" si="281"/>
        <v/>
      </c>
      <c r="C4527" s="11" t="str">
        <f t="shared" si="284"/>
        <v/>
      </c>
      <c r="F4527" s="10" t="str">
        <v/>
      </c>
      <c r="G4527" t="e">
        <f t="shared" si="282"/>
        <v>#VALUE!</v>
      </c>
      <c r="H4527" s="13" t="e">
        <f t="shared" si="283"/>
        <v>#VALUE!</v>
      </c>
    </row>
    <row r="4528" spans="2:8">
      <c r="B4528" s="11" t="str">
        <f t="shared" si="281"/>
        <v/>
      </c>
      <c r="C4528" s="11" t="str">
        <f t="shared" si="284"/>
        <v/>
      </c>
      <c r="F4528" s="10" t="str">
        <v/>
      </c>
      <c r="G4528" t="e">
        <f t="shared" si="282"/>
        <v>#VALUE!</v>
      </c>
      <c r="H4528" s="13" t="e">
        <f t="shared" si="283"/>
        <v>#VALUE!</v>
      </c>
    </row>
    <row r="4529" spans="2:8">
      <c r="B4529" s="11" t="str">
        <f t="shared" si="281"/>
        <v/>
      </c>
      <c r="C4529" s="11" t="str">
        <f t="shared" si="284"/>
        <v/>
      </c>
      <c r="F4529" s="10" t="str">
        <v/>
      </c>
      <c r="G4529" t="e">
        <f t="shared" si="282"/>
        <v>#VALUE!</v>
      </c>
      <c r="H4529" s="13" t="e">
        <f t="shared" si="283"/>
        <v>#VALUE!</v>
      </c>
    </row>
    <row r="4530" spans="2:8">
      <c r="B4530" s="11" t="str">
        <f t="shared" si="281"/>
        <v/>
      </c>
      <c r="C4530" s="11" t="str">
        <f t="shared" si="284"/>
        <v/>
      </c>
      <c r="F4530" s="10" t="str">
        <v/>
      </c>
      <c r="G4530" t="e">
        <f t="shared" si="282"/>
        <v>#VALUE!</v>
      </c>
      <c r="H4530" s="13" t="e">
        <f t="shared" si="283"/>
        <v>#VALUE!</v>
      </c>
    </row>
    <row r="4531" spans="2:8">
      <c r="B4531" s="11" t="str">
        <f t="shared" si="281"/>
        <v/>
      </c>
      <c r="C4531" s="11" t="str">
        <f t="shared" si="284"/>
        <v/>
      </c>
      <c r="F4531" s="10" t="str">
        <v/>
      </c>
      <c r="G4531" t="e">
        <f t="shared" si="282"/>
        <v>#VALUE!</v>
      </c>
      <c r="H4531" s="13" t="e">
        <f t="shared" si="283"/>
        <v>#VALUE!</v>
      </c>
    </row>
    <row r="4532" spans="2:8">
      <c r="B4532" s="11" t="str">
        <f t="shared" si="281"/>
        <v/>
      </c>
      <c r="C4532" s="11" t="str">
        <f t="shared" si="284"/>
        <v/>
      </c>
      <c r="F4532" s="10" t="str">
        <v/>
      </c>
      <c r="G4532" t="e">
        <f t="shared" si="282"/>
        <v>#VALUE!</v>
      </c>
      <c r="H4532" s="13" t="e">
        <f t="shared" si="283"/>
        <v>#VALUE!</v>
      </c>
    </row>
    <row r="4533" spans="2:8">
      <c r="B4533" s="11" t="str">
        <f t="shared" si="281"/>
        <v/>
      </c>
      <c r="C4533" s="11" t="str">
        <f t="shared" si="284"/>
        <v/>
      </c>
      <c r="F4533" s="10" t="str">
        <v/>
      </c>
      <c r="G4533" t="e">
        <f t="shared" si="282"/>
        <v>#VALUE!</v>
      </c>
      <c r="H4533" s="13" t="e">
        <f t="shared" si="283"/>
        <v>#VALUE!</v>
      </c>
    </row>
    <row r="4534" spans="2:8">
      <c r="B4534" s="11" t="str">
        <f t="shared" si="281"/>
        <v/>
      </c>
      <c r="C4534" s="11" t="str">
        <f t="shared" si="284"/>
        <v/>
      </c>
      <c r="F4534" s="10" t="str">
        <v/>
      </c>
      <c r="G4534" t="e">
        <f t="shared" si="282"/>
        <v>#VALUE!</v>
      </c>
      <c r="H4534" s="13" t="e">
        <f t="shared" si="283"/>
        <v>#VALUE!</v>
      </c>
    </row>
    <row r="4535" spans="2:8">
      <c r="B4535" s="11" t="str">
        <f t="shared" si="281"/>
        <v/>
      </c>
      <c r="C4535" s="11" t="str">
        <f t="shared" si="284"/>
        <v/>
      </c>
      <c r="F4535" s="10" t="str">
        <v/>
      </c>
      <c r="G4535" t="e">
        <f t="shared" si="282"/>
        <v>#VALUE!</v>
      </c>
      <c r="H4535" s="13" t="e">
        <f t="shared" si="283"/>
        <v>#VALUE!</v>
      </c>
    </row>
    <row r="4536" spans="2:8">
      <c r="B4536" s="11" t="str">
        <f t="shared" si="281"/>
        <v/>
      </c>
      <c r="C4536" s="11" t="str">
        <f t="shared" si="284"/>
        <v/>
      </c>
      <c r="F4536" s="10" t="str">
        <v/>
      </c>
      <c r="G4536" t="e">
        <f t="shared" si="282"/>
        <v>#VALUE!</v>
      </c>
      <c r="H4536" s="13" t="e">
        <f t="shared" si="283"/>
        <v>#VALUE!</v>
      </c>
    </row>
    <row r="4537" spans="2:8">
      <c r="B4537" s="11" t="str">
        <f t="shared" si="281"/>
        <v/>
      </c>
      <c r="C4537" s="11" t="str">
        <f t="shared" si="284"/>
        <v/>
      </c>
      <c r="F4537" s="10" t="str">
        <v/>
      </c>
      <c r="G4537" t="e">
        <f t="shared" si="282"/>
        <v>#VALUE!</v>
      </c>
      <c r="H4537" s="13" t="e">
        <f t="shared" si="283"/>
        <v>#VALUE!</v>
      </c>
    </row>
    <row r="4538" spans="2:8">
      <c r="B4538" s="11" t="str">
        <f t="shared" si="281"/>
        <v/>
      </c>
      <c r="C4538" s="11" t="str">
        <f t="shared" si="284"/>
        <v/>
      </c>
      <c r="F4538" s="10" t="str">
        <v/>
      </c>
      <c r="G4538" t="e">
        <f t="shared" si="282"/>
        <v>#VALUE!</v>
      </c>
      <c r="H4538" s="13" t="e">
        <f t="shared" si="283"/>
        <v>#VALUE!</v>
      </c>
    </row>
    <row r="4539" spans="2:8">
      <c r="B4539" s="11" t="str">
        <f t="shared" si="281"/>
        <v/>
      </c>
      <c r="C4539" s="11" t="str">
        <f t="shared" si="284"/>
        <v/>
      </c>
      <c r="F4539" s="10" t="str">
        <v/>
      </c>
      <c r="G4539" t="e">
        <f t="shared" si="282"/>
        <v>#VALUE!</v>
      </c>
      <c r="H4539" s="13" t="e">
        <f t="shared" si="283"/>
        <v>#VALUE!</v>
      </c>
    </row>
    <row r="4540" spans="2:8">
      <c r="B4540" s="11" t="str">
        <f t="shared" si="281"/>
        <v/>
      </c>
      <c r="C4540" s="11" t="str">
        <f t="shared" si="284"/>
        <v/>
      </c>
      <c r="F4540" s="10" t="str">
        <v/>
      </c>
      <c r="G4540" t="e">
        <f t="shared" si="282"/>
        <v>#VALUE!</v>
      </c>
      <c r="H4540" s="13" t="e">
        <f t="shared" si="283"/>
        <v>#VALUE!</v>
      </c>
    </row>
    <row r="4541" spans="2:8">
      <c r="B4541" s="11" t="str">
        <f t="shared" si="281"/>
        <v/>
      </c>
      <c r="C4541" s="11" t="str">
        <f t="shared" si="284"/>
        <v/>
      </c>
      <c r="F4541" s="10" t="str">
        <v/>
      </c>
      <c r="G4541" t="e">
        <f t="shared" si="282"/>
        <v>#VALUE!</v>
      </c>
      <c r="H4541" s="13" t="e">
        <f t="shared" si="283"/>
        <v>#VALUE!</v>
      </c>
    </row>
    <row r="4542" spans="2:8">
      <c r="B4542" s="11" t="str">
        <f t="shared" si="281"/>
        <v/>
      </c>
      <c r="C4542" s="11" t="str">
        <f t="shared" si="284"/>
        <v/>
      </c>
      <c r="F4542" s="10" t="str">
        <v/>
      </c>
      <c r="G4542" t="e">
        <f t="shared" si="282"/>
        <v>#VALUE!</v>
      </c>
      <c r="H4542" s="13" t="e">
        <f t="shared" si="283"/>
        <v>#VALUE!</v>
      </c>
    </row>
    <row r="4543" spans="2:8">
      <c r="B4543" s="11" t="str">
        <f t="shared" si="281"/>
        <v/>
      </c>
      <c r="C4543" s="11" t="str">
        <f t="shared" si="284"/>
        <v/>
      </c>
      <c r="F4543" s="10" t="str">
        <v/>
      </c>
      <c r="G4543" t="e">
        <f t="shared" si="282"/>
        <v>#VALUE!</v>
      </c>
      <c r="H4543" s="13" t="e">
        <f t="shared" si="283"/>
        <v>#VALUE!</v>
      </c>
    </row>
    <row r="4544" spans="2:8">
      <c r="B4544" s="11" t="str">
        <f t="shared" si="281"/>
        <v/>
      </c>
      <c r="C4544" s="11" t="str">
        <f t="shared" si="284"/>
        <v/>
      </c>
      <c r="F4544" s="10" t="str">
        <v/>
      </c>
      <c r="G4544" t="e">
        <f t="shared" si="282"/>
        <v>#VALUE!</v>
      </c>
      <c r="H4544" s="13" t="e">
        <f t="shared" si="283"/>
        <v>#VALUE!</v>
      </c>
    </row>
    <row r="4545" spans="2:8">
      <c r="B4545" s="11" t="str">
        <f t="shared" ref="B4545:B4608" si="285">IFERROR(IF(FIND(" ",A4545)=6,IF(IFERROR(FIND(" PB",A4545),"")&lt;&gt;"","артикул",IF(IFERROR(FIND(" CRN",A4545),"")&lt;&gt;"","артикул","")),""),"")</f>
        <v/>
      </c>
      <c r="C4545" s="11" t="str">
        <f t="shared" si="284"/>
        <v/>
      </c>
      <c r="F4545" s="10" t="str">
        <v/>
      </c>
      <c r="G4545" t="e">
        <f t="shared" si="282"/>
        <v>#VALUE!</v>
      </c>
      <c r="H4545" s="13" t="e">
        <f t="shared" si="283"/>
        <v>#VALUE!</v>
      </c>
    </row>
    <row r="4546" spans="2:8">
      <c r="B4546" s="11" t="str">
        <f t="shared" si="285"/>
        <v/>
      </c>
      <c r="C4546" s="11" t="str">
        <f t="shared" si="284"/>
        <v/>
      </c>
      <c r="F4546" s="10" t="str">
        <v/>
      </c>
      <c r="G4546" t="e">
        <f t="shared" ref="G4546:G4609" si="286">CONCATENATE(LEFT(F4546,5),
MID(F4546,
SEARCH("\",SUBSTITUTE(F4546," ","\",LEN(F4546)-LEN(SUBSTITUTE(F4546," ",""))-4)),
SEARCH("\",SUBSTITUTE(F4546," ","\",LEN(F4546)-LEN(SUBSTITUTE(F4546," ",""))-3))-
SEARCH("\",SUBSTITUTE(F4546," ","\",LEN(F4546)-LEN(SUBSTITUTE(F4546," ",""))-4)))*1)</f>
        <v>#VALUE!</v>
      </c>
      <c r="H4546" s="13" t="e">
        <f t="shared" ref="H4546:H4609" si="287">SUBSTITUTE(
RIGHT(F4546,LEN(F4546)-
FIND("\",SUBSTITUTE(F4546," ","\",LEN(F4546)-LEN(SUBSTITUTE(F4546," ",""))))),
".","")</f>
        <v>#VALUE!</v>
      </c>
    </row>
    <row r="4547" spans="2:8">
      <c r="B4547" s="11" t="str">
        <f t="shared" si="285"/>
        <v/>
      </c>
      <c r="C4547" s="11" t="str">
        <f t="shared" si="284"/>
        <v/>
      </c>
      <c r="F4547" s="10" t="str">
        <v/>
      </c>
      <c r="G4547" t="e">
        <f t="shared" si="286"/>
        <v>#VALUE!</v>
      </c>
      <c r="H4547" s="13" t="e">
        <f t="shared" si="287"/>
        <v>#VALUE!</v>
      </c>
    </row>
    <row r="4548" spans="2:8">
      <c r="B4548" s="11" t="str">
        <f t="shared" si="285"/>
        <v/>
      </c>
      <c r="C4548" s="11" t="str">
        <f t="shared" si="284"/>
        <v/>
      </c>
      <c r="F4548" s="10" t="str">
        <v/>
      </c>
      <c r="G4548" t="e">
        <f t="shared" si="286"/>
        <v>#VALUE!</v>
      </c>
      <c r="H4548" s="13" t="e">
        <f t="shared" si="287"/>
        <v>#VALUE!</v>
      </c>
    </row>
    <row r="4549" spans="2:8">
      <c r="B4549" s="11" t="str">
        <f t="shared" si="285"/>
        <v/>
      </c>
      <c r="C4549" s="11" t="str">
        <f t="shared" si="284"/>
        <v/>
      </c>
      <c r="F4549" s="10" t="str">
        <v/>
      </c>
      <c r="G4549" t="e">
        <f t="shared" si="286"/>
        <v>#VALUE!</v>
      </c>
      <c r="H4549" s="13" t="e">
        <f t="shared" si="287"/>
        <v>#VALUE!</v>
      </c>
    </row>
    <row r="4550" spans="2:8">
      <c r="B4550" s="11" t="str">
        <f t="shared" si="285"/>
        <v/>
      </c>
      <c r="C4550" s="11" t="str">
        <f t="shared" si="284"/>
        <v/>
      </c>
      <c r="F4550" s="10" t="str">
        <v/>
      </c>
      <c r="G4550" t="e">
        <f t="shared" si="286"/>
        <v>#VALUE!</v>
      </c>
      <c r="H4550" s="13" t="e">
        <f t="shared" si="287"/>
        <v>#VALUE!</v>
      </c>
    </row>
    <row r="4551" spans="2:8">
      <c r="B4551" s="11" t="str">
        <f t="shared" si="285"/>
        <v/>
      </c>
      <c r="C4551" s="11" t="str">
        <f t="shared" si="284"/>
        <v/>
      </c>
      <c r="F4551" s="10" t="str">
        <v/>
      </c>
      <c r="G4551" t="e">
        <f t="shared" si="286"/>
        <v>#VALUE!</v>
      </c>
      <c r="H4551" s="13" t="e">
        <f t="shared" si="287"/>
        <v>#VALUE!</v>
      </c>
    </row>
    <row r="4552" spans="2:8">
      <c r="B4552" s="11" t="str">
        <f t="shared" si="285"/>
        <v/>
      </c>
      <c r="C4552" s="11" t="str">
        <f t="shared" si="284"/>
        <v/>
      </c>
      <c r="F4552" s="10" t="str">
        <v/>
      </c>
      <c r="G4552" t="e">
        <f t="shared" si="286"/>
        <v>#VALUE!</v>
      </c>
      <c r="H4552" s="13" t="e">
        <f t="shared" si="287"/>
        <v>#VALUE!</v>
      </c>
    </row>
    <row r="4553" spans="2:8">
      <c r="B4553" s="11" t="str">
        <f t="shared" si="285"/>
        <v/>
      </c>
      <c r="C4553" s="11" t="str">
        <f t="shared" si="284"/>
        <v/>
      </c>
      <c r="F4553" s="10" t="str">
        <v/>
      </c>
      <c r="G4553" t="e">
        <f t="shared" si="286"/>
        <v>#VALUE!</v>
      </c>
      <c r="H4553" s="13" t="e">
        <f t="shared" si="287"/>
        <v>#VALUE!</v>
      </c>
    </row>
    <row r="4554" spans="2:8">
      <c r="B4554" s="11" t="str">
        <f t="shared" si="285"/>
        <v/>
      </c>
      <c r="C4554" s="11" t="str">
        <f t="shared" si="284"/>
        <v/>
      </c>
      <c r="F4554" s="10" t="str">
        <v/>
      </c>
      <c r="G4554" t="e">
        <f t="shared" si="286"/>
        <v>#VALUE!</v>
      </c>
      <c r="H4554" s="13" t="e">
        <f t="shared" si="287"/>
        <v>#VALUE!</v>
      </c>
    </row>
    <row r="4555" spans="2:8">
      <c r="B4555" s="11" t="str">
        <f t="shared" si="285"/>
        <v/>
      </c>
      <c r="C4555" s="11" t="str">
        <f t="shared" si="284"/>
        <v/>
      </c>
      <c r="F4555" s="10" t="str">
        <v/>
      </c>
      <c r="G4555" t="e">
        <f t="shared" si="286"/>
        <v>#VALUE!</v>
      </c>
      <c r="H4555" s="13" t="e">
        <f t="shared" si="287"/>
        <v>#VALUE!</v>
      </c>
    </row>
    <row r="4556" spans="2:8">
      <c r="B4556" s="11" t="str">
        <f t="shared" si="285"/>
        <v/>
      </c>
      <c r="C4556" s="11" t="str">
        <f t="shared" si="284"/>
        <v/>
      </c>
      <c r="F4556" s="10" t="str">
        <v/>
      </c>
      <c r="G4556" t="e">
        <f t="shared" si="286"/>
        <v>#VALUE!</v>
      </c>
      <c r="H4556" s="13" t="e">
        <f t="shared" si="287"/>
        <v>#VALUE!</v>
      </c>
    </row>
    <row r="4557" spans="2:8">
      <c r="B4557" s="11" t="str">
        <f t="shared" si="285"/>
        <v/>
      </c>
      <c r="C4557" s="11" t="str">
        <f t="shared" si="284"/>
        <v/>
      </c>
      <c r="F4557" s="10" t="str">
        <v/>
      </c>
      <c r="G4557" t="e">
        <f t="shared" si="286"/>
        <v>#VALUE!</v>
      </c>
      <c r="H4557" s="13" t="e">
        <f t="shared" si="287"/>
        <v>#VALUE!</v>
      </c>
    </row>
    <row r="4558" spans="2:8">
      <c r="B4558" s="11" t="str">
        <f t="shared" si="285"/>
        <v/>
      </c>
      <c r="C4558" s="11" t="str">
        <f t="shared" si="284"/>
        <v/>
      </c>
      <c r="F4558" s="10" t="str">
        <v/>
      </c>
      <c r="G4558" t="e">
        <f t="shared" si="286"/>
        <v>#VALUE!</v>
      </c>
      <c r="H4558" s="13" t="e">
        <f t="shared" si="287"/>
        <v>#VALUE!</v>
      </c>
    </row>
    <row r="4559" spans="2:8">
      <c r="B4559" s="11" t="str">
        <f t="shared" si="285"/>
        <v/>
      </c>
      <c r="C4559" s="11" t="str">
        <f t="shared" si="284"/>
        <v/>
      </c>
      <c r="F4559" s="10" t="str">
        <v/>
      </c>
      <c r="G4559" t="e">
        <f t="shared" si="286"/>
        <v>#VALUE!</v>
      </c>
      <c r="H4559" s="13" t="e">
        <f t="shared" si="287"/>
        <v>#VALUE!</v>
      </c>
    </row>
    <row r="4560" spans="2:8">
      <c r="B4560" s="11" t="str">
        <f t="shared" si="285"/>
        <v/>
      </c>
      <c r="C4560" s="11" t="str">
        <f t="shared" si="284"/>
        <v/>
      </c>
      <c r="F4560" s="10" t="str">
        <v/>
      </c>
      <c r="G4560" t="e">
        <f t="shared" si="286"/>
        <v>#VALUE!</v>
      </c>
      <c r="H4560" s="13" t="e">
        <f t="shared" si="287"/>
        <v>#VALUE!</v>
      </c>
    </row>
    <row r="4561" spans="2:8">
      <c r="B4561" s="11" t="str">
        <f t="shared" si="285"/>
        <v/>
      </c>
      <c r="C4561" s="11" t="str">
        <f t="shared" si="284"/>
        <v/>
      </c>
      <c r="F4561" s="10" t="str">
        <v/>
      </c>
      <c r="G4561" t="e">
        <f t="shared" si="286"/>
        <v>#VALUE!</v>
      </c>
      <c r="H4561" s="13" t="e">
        <f t="shared" si="287"/>
        <v>#VALUE!</v>
      </c>
    </row>
    <row r="4562" spans="2:8">
      <c r="B4562" s="11" t="str">
        <f t="shared" si="285"/>
        <v/>
      </c>
      <c r="C4562" s="11" t="str">
        <f t="shared" si="284"/>
        <v/>
      </c>
      <c r="F4562" s="10" t="str">
        <v/>
      </c>
      <c r="G4562" t="e">
        <f t="shared" si="286"/>
        <v>#VALUE!</v>
      </c>
      <c r="H4562" s="13" t="e">
        <f t="shared" si="287"/>
        <v>#VALUE!</v>
      </c>
    </row>
    <row r="4563" spans="2:8">
      <c r="B4563" s="11" t="str">
        <f t="shared" si="285"/>
        <v/>
      </c>
      <c r="C4563" s="11" t="str">
        <f t="shared" si="284"/>
        <v/>
      </c>
      <c r="F4563" s="10" t="str">
        <v/>
      </c>
      <c r="G4563" t="e">
        <f t="shared" si="286"/>
        <v>#VALUE!</v>
      </c>
      <c r="H4563" s="13" t="e">
        <f t="shared" si="287"/>
        <v>#VALUE!</v>
      </c>
    </row>
    <row r="4564" spans="2:8">
      <c r="B4564" s="11" t="str">
        <f t="shared" si="285"/>
        <v/>
      </c>
      <c r="C4564" s="11" t="str">
        <f t="shared" si="284"/>
        <v/>
      </c>
      <c r="F4564" s="10" t="str">
        <v/>
      </c>
      <c r="G4564" t="e">
        <f t="shared" si="286"/>
        <v>#VALUE!</v>
      </c>
      <c r="H4564" s="13" t="e">
        <f t="shared" si="287"/>
        <v>#VALUE!</v>
      </c>
    </row>
    <row r="4565" spans="2:8">
      <c r="B4565" s="11" t="str">
        <f t="shared" si="285"/>
        <v/>
      </c>
      <c r="C4565" s="11" t="str">
        <f t="shared" si="284"/>
        <v/>
      </c>
      <c r="F4565" s="10" t="str">
        <v/>
      </c>
      <c r="G4565" t="e">
        <f t="shared" si="286"/>
        <v>#VALUE!</v>
      </c>
      <c r="H4565" s="13" t="e">
        <f t="shared" si="287"/>
        <v>#VALUE!</v>
      </c>
    </row>
    <row r="4566" spans="2:8">
      <c r="B4566" s="11" t="str">
        <f t="shared" si="285"/>
        <v/>
      </c>
      <c r="C4566" s="11" t="str">
        <f t="shared" si="284"/>
        <v/>
      </c>
      <c r="F4566" s="10" t="str">
        <v/>
      </c>
      <c r="G4566" t="e">
        <f t="shared" si="286"/>
        <v>#VALUE!</v>
      </c>
      <c r="H4566" s="13" t="e">
        <f t="shared" si="287"/>
        <v>#VALUE!</v>
      </c>
    </row>
    <row r="4567" spans="2:8">
      <c r="B4567" s="11" t="str">
        <f t="shared" si="285"/>
        <v/>
      </c>
      <c r="C4567" s="11" t="str">
        <f t="shared" si="284"/>
        <v/>
      </c>
      <c r="F4567" s="10" t="str">
        <v/>
      </c>
      <c r="G4567" t="e">
        <f t="shared" si="286"/>
        <v>#VALUE!</v>
      </c>
      <c r="H4567" s="13" t="e">
        <f t="shared" si="287"/>
        <v>#VALUE!</v>
      </c>
    </row>
    <row r="4568" spans="2:8">
      <c r="B4568" s="11" t="str">
        <f t="shared" si="285"/>
        <v/>
      </c>
      <c r="C4568" s="11" t="str">
        <f t="shared" si="284"/>
        <v/>
      </c>
      <c r="F4568" s="10" t="str">
        <v/>
      </c>
      <c r="G4568" t="e">
        <f t="shared" si="286"/>
        <v>#VALUE!</v>
      </c>
      <c r="H4568" s="13" t="e">
        <f t="shared" si="287"/>
        <v>#VALUE!</v>
      </c>
    </row>
    <row r="4569" spans="2:8">
      <c r="B4569" s="11" t="str">
        <f t="shared" si="285"/>
        <v/>
      </c>
      <c r="C4569" s="11" t="str">
        <f t="shared" si="284"/>
        <v/>
      </c>
      <c r="F4569" s="10" t="str">
        <v/>
      </c>
      <c r="G4569" t="e">
        <f t="shared" si="286"/>
        <v>#VALUE!</v>
      </c>
      <c r="H4569" s="13" t="e">
        <f t="shared" si="287"/>
        <v>#VALUE!</v>
      </c>
    </row>
    <row r="4570" spans="2:8">
      <c r="B4570" s="11" t="str">
        <f t="shared" si="285"/>
        <v/>
      </c>
      <c r="C4570" s="11" t="str">
        <f t="shared" si="284"/>
        <v/>
      </c>
      <c r="F4570" s="10" t="str">
        <v/>
      </c>
      <c r="G4570" t="e">
        <f t="shared" si="286"/>
        <v>#VALUE!</v>
      </c>
      <c r="H4570" s="13" t="e">
        <f t="shared" si="287"/>
        <v>#VALUE!</v>
      </c>
    </row>
    <row r="4571" spans="2:8">
      <c r="B4571" s="11" t="str">
        <f t="shared" si="285"/>
        <v/>
      </c>
      <c r="C4571" s="11" t="str">
        <f t="shared" si="284"/>
        <v/>
      </c>
      <c r="F4571" s="10" t="str">
        <v/>
      </c>
      <c r="G4571" t="e">
        <f t="shared" si="286"/>
        <v>#VALUE!</v>
      </c>
      <c r="H4571" s="13" t="e">
        <f t="shared" si="287"/>
        <v>#VALUE!</v>
      </c>
    </row>
    <row r="4572" spans="2:8">
      <c r="B4572" s="11" t="str">
        <f t="shared" si="285"/>
        <v/>
      </c>
      <c r="C4572" s="11" t="str">
        <f t="shared" si="284"/>
        <v/>
      </c>
      <c r="F4572" s="10" t="str">
        <v/>
      </c>
      <c r="G4572" t="e">
        <f t="shared" si="286"/>
        <v>#VALUE!</v>
      </c>
      <c r="H4572" s="13" t="e">
        <f t="shared" si="287"/>
        <v>#VALUE!</v>
      </c>
    </row>
    <row r="4573" spans="2:8">
      <c r="B4573" s="11" t="str">
        <f t="shared" si="285"/>
        <v/>
      </c>
      <c r="C4573" s="11" t="str">
        <f t="shared" si="284"/>
        <v/>
      </c>
      <c r="F4573" s="10" t="str">
        <v/>
      </c>
      <c r="G4573" t="e">
        <f t="shared" si="286"/>
        <v>#VALUE!</v>
      </c>
      <c r="H4573" s="13" t="e">
        <f t="shared" si="287"/>
        <v>#VALUE!</v>
      </c>
    </row>
    <row r="4574" spans="2:8">
      <c r="B4574" s="11" t="str">
        <f t="shared" si="285"/>
        <v/>
      </c>
      <c r="C4574" s="11" t="str">
        <f t="shared" si="284"/>
        <v/>
      </c>
      <c r="F4574" s="10" t="str">
        <v/>
      </c>
      <c r="G4574" t="e">
        <f t="shared" si="286"/>
        <v>#VALUE!</v>
      </c>
      <c r="H4574" s="13" t="e">
        <f t="shared" si="287"/>
        <v>#VALUE!</v>
      </c>
    </row>
    <row r="4575" spans="2:8">
      <c r="B4575" s="11" t="str">
        <f t="shared" si="285"/>
        <v/>
      </c>
      <c r="C4575" s="11" t="str">
        <f t="shared" si="284"/>
        <v/>
      </c>
      <c r="F4575" s="10" t="str">
        <v/>
      </c>
      <c r="G4575" t="e">
        <f t="shared" si="286"/>
        <v>#VALUE!</v>
      </c>
      <c r="H4575" s="13" t="e">
        <f t="shared" si="287"/>
        <v>#VALUE!</v>
      </c>
    </row>
    <row r="4576" spans="2:8">
      <c r="B4576" s="11" t="str">
        <f t="shared" si="285"/>
        <v/>
      </c>
      <c r="C4576" s="11" t="str">
        <f t="shared" si="284"/>
        <v/>
      </c>
      <c r="F4576" s="10" t="str">
        <v/>
      </c>
      <c r="G4576" t="e">
        <f t="shared" si="286"/>
        <v>#VALUE!</v>
      </c>
      <c r="H4576" s="13" t="e">
        <f t="shared" si="287"/>
        <v>#VALUE!</v>
      </c>
    </row>
    <row r="4577" spans="2:8">
      <c r="B4577" s="11" t="str">
        <f t="shared" si="285"/>
        <v/>
      </c>
      <c r="C4577" s="11" t="str">
        <f t="shared" si="284"/>
        <v/>
      </c>
      <c r="F4577" s="10" t="str">
        <v/>
      </c>
      <c r="G4577" t="e">
        <f t="shared" si="286"/>
        <v>#VALUE!</v>
      </c>
      <c r="H4577" s="13" t="e">
        <f t="shared" si="287"/>
        <v>#VALUE!</v>
      </c>
    </row>
    <row r="4578" spans="2:8">
      <c r="B4578" s="11" t="str">
        <f t="shared" si="285"/>
        <v/>
      </c>
      <c r="C4578" s="11" t="str">
        <f t="shared" si="284"/>
        <v/>
      </c>
      <c r="F4578" s="10" t="str">
        <v/>
      </c>
      <c r="G4578" t="e">
        <f t="shared" si="286"/>
        <v>#VALUE!</v>
      </c>
      <c r="H4578" s="13" t="e">
        <f t="shared" si="287"/>
        <v>#VALUE!</v>
      </c>
    </row>
    <row r="4579" spans="2:8">
      <c r="B4579" s="11" t="str">
        <f t="shared" si="285"/>
        <v/>
      </c>
      <c r="C4579" s="11" t="str">
        <f t="shared" si="284"/>
        <v/>
      </c>
      <c r="F4579" s="10" t="str">
        <v/>
      </c>
      <c r="G4579" t="e">
        <f t="shared" si="286"/>
        <v>#VALUE!</v>
      </c>
      <c r="H4579" s="13" t="e">
        <f t="shared" si="287"/>
        <v>#VALUE!</v>
      </c>
    </row>
    <row r="4580" spans="2:8">
      <c r="B4580" s="11" t="str">
        <f t="shared" si="285"/>
        <v/>
      </c>
      <c r="C4580" s="11" t="str">
        <f t="shared" si="284"/>
        <v/>
      </c>
      <c r="F4580" s="10" t="str">
        <v/>
      </c>
      <c r="G4580" t="e">
        <f t="shared" si="286"/>
        <v>#VALUE!</v>
      </c>
      <c r="H4580" s="13" t="e">
        <f t="shared" si="287"/>
        <v>#VALUE!</v>
      </c>
    </row>
    <row r="4581" spans="2:8">
      <c r="B4581" s="11" t="str">
        <f t="shared" si="285"/>
        <v/>
      </c>
      <c r="C4581" s="11" t="str">
        <f t="shared" si="284"/>
        <v/>
      </c>
      <c r="F4581" s="10" t="str">
        <v/>
      </c>
      <c r="G4581" t="e">
        <f t="shared" si="286"/>
        <v>#VALUE!</v>
      </c>
      <c r="H4581" s="13" t="e">
        <f t="shared" si="287"/>
        <v>#VALUE!</v>
      </c>
    </row>
    <row r="4582" spans="2:8">
      <c r="B4582" s="11" t="str">
        <f t="shared" si="285"/>
        <v/>
      </c>
      <c r="C4582" s="11" t="str">
        <f t="shared" si="284"/>
        <v/>
      </c>
      <c r="F4582" s="10" t="str">
        <v/>
      </c>
      <c r="G4582" t="e">
        <f t="shared" si="286"/>
        <v>#VALUE!</v>
      </c>
      <c r="H4582" s="13" t="e">
        <f t="shared" si="287"/>
        <v>#VALUE!</v>
      </c>
    </row>
    <row r="4583" spans="2:8">
      <c r="B4583" s="11" t="str">
        <f t="shared" si="285"/>
        <v/>
      </c>
      <c r="C4583" s="11" t="str">
        <f t="shared" si="284"/>
        <v/>
      </c>
      <c r="F4583" s="10" t="str">
        <v/>
      </c>
      <c r="G4583" t="e">
        <f t="shared" si="286"/>
        <v>#VALUE!</v>
      </c>
      <c r="H4583" s="13" t="e">
        <f t="shared" si="287"/>
        <v>#VALUE!</v>
      </c>
    </row>
    <row r="4584" spans="2:8">
      <c r="B4584" s="11" t="str">
        <f t="shared" si="285"/>
        <v/>
      </c>
      <c r="C4584" s="11" t="str">
        <f t="shared" si="284"/>
        <v/>
      </c>
      <c r="F4584" s="10" t="str">
        <v/>
      </c>
      <c r="G4584" t="e">
        <f t="shared" si="286"/>
        <v>#VALUE!</v>
      </c>
      <c r="H4584" s="13" t="e">
        <f t="shared" si="287"/>
        <v>#VALUE!</v>
      </c>
    </row>
    <row r="4585" spans="2:8">
      <c r="B4585" s="11" t="str">
        <f t="shared" si="285"/>
        <v/>
      </c>
      <c r="C4585" s="11" t="str">
        <f t="shared" ref="C4585:C4648" si="288">IF(B4585="артикул",A4585,"")</f>
        <v/>
      </c>
      <c r="F4585" s="10" t="str">
        <v/>
      </c>
      <c r="G4585" t="e">
        <f t="shared" si="286"/>
        <v>#VALUE!</v>
      </c>
      <c r="H4585" s="13" t="e">
        <f t="shared" si="287"/>
        <v>#VALUE!</v>
      </c>
    </row>
    <row r="4586" spans="2:8">
      <c r="B4586" s="11" t="str">
        <f t="shared" si="285"/>
        <v/>
      </c>
      <c r="C4586" s="11" t="str">
        <f t="shared" si="288"/>
        <v/>
      </c>
      <c r="F4586" s="10" t="str">
        <v/>
      </c>
      <c r="G4586" t="e">
        <f t="shared" si="286"/>
        <v>#VALUE!</v>
      </c>
      <c r="H4586" s="13" t="e">
        <f t="shared" si="287"/>
        <v>#VALUE!</v>
      </c>
    </row>
    <row r="4587" spans="2:8">
      <c r="B4587" s="11" t="str">
        <f t="shared" si="285"/>
        <v/>
      </c>
      <c r="C4587" s="11" t="str">
        <f t="shared" si="288"/>
        <v/>
      </c>
      <c r="F4587" s="10" t="str">
        <v/>
      </c>
      <c r="G4587" t="e">
        <f t="shared" si="286"/>
        <v>#VALUE!</v>
      </c>
      <c r="H4587" s="13" t="e">
        <f t="shared" si="287"/>
        <v>#VALUE!</v>
      </c>
    </row>
    <row r="4588" spans="2:8">
      <c r="B4588" s="11" t="str">
        <f t="shared" si="285"/>
        <v/>
      </c>
      <c r="C4588" s="11" t="str">
        <f t="shared" si="288"/>
        <v/>
      </c>
      <c r="F4588" s="10" t="str">
        <v/>
      </c>
      <c r="G4588" t="e">
        <f t="shared" si="286"/>
        <v>#VALUE!</v>
      </c>
      <c r="H4588" s="13" t="e">
        <f t="shared" si="287"/>
        <v>#VALUE!</v>
      </c>
    </row>
    <row r="4589" spans="2:8">
      <c r="B4589" s="11" t="str">
        <f t="shared" si="285"/>
        <v/>
      </c>
      <c r="C4589" s="11" t="str">
        <f t="shared" si="288"/>
        <v/>
      </c>
      <c r="F4589" s="10" t="str">
        <v/>
      </c>
      <c r="G4589" t="e">
        <f t="shared" si="286"/>
        <v>#VALUE!</v>
      </c>
      <c r="H4589" s="13" t="e">
        <f t="shared" si="287"/>
        <v>#VALUE!</v>
      </c>
    </row>
    <row r="4590" spans="2:8">
      <c r="B4590" s="11" t="str">
        <f t="shared" si="285"/>
        <v/>
      </c>
      <c r="C4590" s="11" t="str">
        <f t="shared" si="288"/>
        <v/>
      </c>
      <c r="F4590" s="10" t="str">
        <v/>
      </c>
      <c r="G4590" t="e">
        <f t="shared" si="286"/>
        <v>#VALUE!</v>
      </c>
      <c r="H4590" s="13" t="e">
        <f t="shared" si="287"/>
        <v>#VALUE!</v>
      </c>
    </row>
    <row r="4591" spans="2:8">
      <c r="B4591" s="11" t="str">
        <f t="shared" si="285"/>
        <v/>
      </c>
      <c r="C4591" s="11" t="str">
        <f t="shared" si="288"/>
        <v/>
      </c>
      <c r="F4591" s="10" t="str">
        <v/>
      </c>
      <c r="G4591" t="e">
        <f t="shared" si="286"/>
        <v>#VALUE!</v>
      </c>
      <c r="H4591" s="13" t="e">
        <f t="shared" si="287"/>
        <v>#VALUE!</v>
      </c>
    </row>
    <row r="4592" spans="2:8">
      <c r="B4592" s="11" t="str">
        <f t="shared" si="285"/>
        <v/>
      </c>
      <c r="C4592" s="11" t="str">
        <f t="shared" si="288"/>
        <v/>
      </c>
      <c r="F4592" s="10" t="str">
        <v/>
      </c>
      <c r="G4592" t="e">
        <f t="shared" si="286"/>
        <v>#VALUE!</v>
      </c>
      <c r="H4592" s="13" t="e">
        <f t="shared" si="287"/>
        <v>#VALUE!</v>
      </c>
    </row>
    <row r="4593" spans="2:8">
      <c r="B4593" s="11" t="str">
        <f t="shared" si="285"/>
        <v/>
      </c>
      <c r="C4593" s="11" t="str">
        <f t="shared" si="288"/>
        <v/>
      </c>
      <c r="F4593" s="10" t="str">
        <v/>
      </c>
      <c r="G4593" t="e">
        <f t="shared" si="286"/>
        <v>#VALUE!</v>
      </c>
      <c r="H4593" s="13" t="e">
        <f t="shared" si="287"/>
        <v>#VALUE!</v>
      </c>
    </row>
    <row r="4594" spans="2:8">
      <c r="B4594" s="11" t="str">
        <f t="shared" si="285"/>
        <v/>
      </c>
      <c r="C4594" s="11" t="str">
        <f t="shared" si="288"/>
        <v/>
      </c>
      <c r="F4594" s="10" t="str">
        <v/>
      </c>
      <c r="G4594" t="e">
        <f t="shared" si="286"/>
        <v>#VALUE!</v>
      </c>
      <c r="H4594" s="13" t="e">
        <f t="shared" si="287"/>
        <v>#VALUE!</v>
      </c>
    </row>
    <row r="4595" spans="2:8">
      <c r="B4595" s="11" t="str">
        <f t="shared" si="285"/>
        <v/>
      </c>
      <c r="C4595" s="11" t="str">
        <f t="shared" si="288"/>
        <v/>
      </c>
      <c r="F4595" s="10" t="str">
        <v/>
      </c>
      <c r="G4595" t="e">
        <f t="shared" si="286"/>
        <v>#VALUE!</v>
      </c>
      <c r="H4595" s="13" t="e">
        <f t="shared" si="287"/>
        <v>#VALUE!</v>
      </c>
    </row>
    <row r="4596" spans="2:8">
      <c r="B4596" s="11" t="str">
        <f t="shared" si="285"/>
        <v/>
      </c>
      <c r="C4596" s="11" t="str">
        <f t="shared" si="288"/>
        <v/>
      </c>
      <c r="F4596" s="10" t="str">
        <v/>
      </c>
      <c r="G4596" t="e">
        <f t="shared" si="286"/>
        <v>#VALUE!</v>
      </c>
      <c r="H4596" s="13" t="e">
        <f t="shared" si="287"/>
        <v>#VALUE!</v>
      </c>
    </row>
    <row r="4597" spans="2:8">
      <c r="B4597" s="11" t="str">
        <f t="shared" si="285"/>
        <v/>
      </c>
      <c r="C4597" s="11" t="str">
        <f t="shared" si="288"/>
        <v/>
      </c>
      <c r="F4597" s="10" t="str">
        <v/>
      </c>
      <c r="G4597" t="e">
        <f t="shared" si="286"/>
        <v>#VALUE!</v>
      </c>
      <c r="H4597" s="13" t="e">
        <f t="shared" si="287"/>
        <v>#VALUE!</v>
      </c>
    </row>
    <row r="4598" spans="2:8">
      <c r="B4598" s="11" t="str">
        <f t="shared" si="285"/>
        <v/>
      </c>
      <c r="C4598" s="11" t="str">
        <f t="shared" si="288"/>
        <v/>
      </c>
      <c r="F4598" s="10" t="str">
        <v/>
      </c>
      <c r="G4598" t="e">
        <f t="shared" si="286"/>
        <v>#VALUE!</v>
      </c>
      <c r="H4598" s="13" t="e">
        <f t="shared" si="287"/>
        <v>#VALUE!</v>
      </c>
    </row>
    <row r="4599" spans="2:8">
      <c r="B4599" s="11" t="str">
        <f t="shared" si="285"/>
        <v/>
      </c>
      <c r="C4599" s="11" t="str">
        <f t="shared" si="288"/>
        <v/>
      </c>
      <c r="F4599" s="10" t="str">
        <v/>
      </c>
      <c r="G4599" t="e">
        <f t="shared" si="286"/>
        <v>#VALUE!</v>
      </c>
      <c r="H4599" s="13" t="e">
        <f t="shared" si="287"/>
        <v>#VALUE!</v>
      </c>
    </row>
    <row r="4600" spans="2:8">
      <c r="B4600" s="11" t="str">
        <f t="shared" si="285"/>
        <v/>
      </c>
      <c r="C4600" s="11" t="str">
        <f t="shared" si="288"/>
        <v/>
      </c>
      <c r="F4600" s="10" t="str">
        <v/>
      </c>
      <c r="G4600" t="e">
        <f t="shared" si="286"/>
        <v>#VALUE!</v>
      </c>
      <c r="H4600" s="13" t="e">
        <f t="shared" si="287"/>
        <v>#VALUE!</v>
      </c>
    </row>
    <row r="4601" spans="2:8">
      <c r="B4601" s="11" t="str">
        <f t="shared" si="285"/>
        <v/>
      </c>
      <c r="C4601" s="11" t="str">
        <f t="shared" si="288"/>
        <v/>
      </c>
      <c r="F4601" s="10" t="str">
        <v/>
      </c>
      <c r="G4601" t="e">
        <f t="shared" si="286"/>
        <v>#VALUE!</v>
      </c>
      <c r="H4601" s="13" t="e">
        <f t="shared" si="287"/>
        <v>#VALUE!</v>
      </c>
    </row>
    <row r="4602" spans="2:8">
      <c r="B4602" s="11" t="str">
        <f t="shared" si="285"/>
        <v/>
      </c>
      <c r="C4602" s="11" t="str">
        <f t="shared" si="288"/>
        <v/>
      </c>
      <c r="F4602" s="10" t="str">
        <v/>
      </c>
      <c r="G4602" t="e">
        <f t="shared" si="286"/>
        <v>#VALUE!</v>
      </c>
      <c r="H4602" s="13" t="e">
        <f t="shared" si="287"/>
        <v>#VALUE!</v>
      </c>
    </row>
    <row r="4603" spans="2:8">
      <c r="B4603" s="11" t="str">
        <f t="shared" si="285"/>
        <v/>
      </c>
      <c r="C4603" s="11" t="str">
        <f t="shared" si="288"/>
        <v/>
      </c>
      <c r="F4603" s="10" t="str">
        <v/>
      </c>
      <c r="G4603" t="e">
        <f t="shared" si="286"/>
        <v>#VALUE!</v>
      </c>
      <c r="H4603" s="13" t="e">
        <f t="shared" si="287"/>
        <v>#VALUE!</v>
      </c>
    </row>
    <row r="4604" spans="2:8">
      <c r="B4604" s="11" t="str">
        <f t="shared" si="285"/>
        <v/>
      </c>
      <c r="C4604" s="11" t="str">
        <f t="shared" si="288"/>
        <v/>
      </c>
      <c r="F4604" s="10" t="str">
        <v/>
      </c>
      <c r="G4604" t="e">
        <f t="shared" si="286"/>
        <v>#VALUE!</v>
      </c>
      <c r="H4604" s="13" t="e">
        <f t="shared" si="287"/>
        <v>#VALUE!</v>
      </c>
    </row>
    <row r="4605" spans="2:8">
      <c r="B4605" s="11" t="str">
        <f t="shared" si="285"/>
        <v/>
      </c>
      <c r="C4605" s="11" t="str">
        <f t="shared" si="288"/>
        <v/>
      </c>
      <c r="F4605" s="10" t="str">
        <v/>
      </c>
      <c r="G4605" t="e">
        <f t="shared" si="286"/>
        <v>#VALUE!</v>
      </c>
      <c r="H4605" s="13" t="e">
        <f t="shared" si="287"/>
        <v>#VALUE!</v>
      </c>
    </row>
    <row r="4606" spans="2:8">
      <c r="B4606" s="11" t="str">
        <f t="shared" si="285"/>
        <v/>
      </c>
      <c r="C4606" s="11" t="str">
        <f t="shared" si="288"/>
        <v/>
      </c>
      <c r="F4606" s="10" t="str">
        <v/>
      </c>
      <c r="G4606" t="e">
        <f t="shared" si="286"/>
        <v>#VALUE!</v>
      </c>
      <c r="H4606" s="13" t="e">
        <f t="shared" si="287"/>
        <v>#VALUE!</v>
      </c>
    </row>
    <row r="4607" spans="2:8">
      <c r="B4607" s="11" t="str">
        <f t="shared" si="285"/>
        <v/>
      </c>
      <c r="C4607" s="11" t="str">
        <f t="shared" si="288"/>
        <v/>
      </c>
      <c r="F4607" s="10" t="str">
        <v/>
      </c>
      <c r="G4607" t="e">
        <f t="shared" si="286"/>
        <v>#VALUE!</v>
      </c>
      <c r="H4607" s="13" t="e">
        <f t="shared" si="287"/>
        <v>#VALUE!</v>
      </c>
    </row>
    <row r="4608" spans="2:8">
      <c r="B4608" s="11" t="str">
        <f t="shared" si="285"/>
        <v/>
      </c>
      <c r="C4608" s="11" t="str">
        <f t="shared" si="288"/>
        <v/>
      </c>
      <c r="F4608" s="10" t="str">
        <v/>
      </c>
      <c r="G4608" t="e">
        <f t="shared" si="286"/>
        <v>#VALUE!</v>
      </c>
      <c r="H4608" s="13" t="e">
        <f t="shared" si="287"/>
        <v>#VALUE!</v>
      </c>
    </row>
    <row r="4609" spans="2:8">
      <c r="B4609" s="11" t="str">
        <f t="shared" ref="B4609:B4672" si="289">IFERROR(IF(FIND(" ",A4609)=6,IF(IFERROR(FIND(" PB",A4609),"")&lt;&gt;"","артикул",IF(IFERROR(FIND(" CRN",A4609),"")&lt;&gt;"","артикул","")),""),"")</f>
        <v/>
      </c>
      <c r="C4609" s="11" t="str">
        <f t="shared" si="288"/>
        <v/>
      </c>
      <c r="F4609" s="10" t="str">
        <v/>
      </c>
      <c r="G4609" t="e">
        <f t="shared" si="286"/>
        <v>#VALUE!</v>
      </c>
      <c r="H4609" s="13" t="e">
        <f t="shared" si="287"/>
        <v>#VALUE!</v>
      </c>
    </row>
    <row r="4610" spans="2:8">
      <c r="B4610" s="11" t="str">
        <f t="shared" si="289"/>
        <v/>
      </c>
      <c r="C4610" s="11" t="str">
        <f t="shared" si="288"/>
        <v/>
      </c>
      <c r="F4610" s="10" t="str">
        <v/>
      </c>
      <c r="G4610" t="e">
        <f t="shared" ref="G4610:G4673" si="290">CONCATENATE(LEFT(F4610,5),
MID(F4610,
SEARCH("\",SUBSTITUTE(F4610," ","\",LEN(F4610)-LEN(SUBSTITUTE(F4610," ",""))-4)),
SEARCH("\",SUBSTITUTE(F4610," ","\",LEN(F4610)-LEN(SUBSTITUTE(F4610," ",""))-3))-
SEARCH("\",SUBSTITUTE(F4610," ","\",LEN(F4610)-LEN(SUBSTITUTE(F4610," ",""))-4)))*1)</f>
        <v>#VALUE!</v>
      </c>
      <c r="H4610" s="13" t="e">
        <f t="shared" ref="H4610:H4673" si="291">SUBSTITUTE(
RIGHT(F4610,LEN(F4610)-
FIND("\",SUBSTITUTE(F4610," ","\",LEN(F4610)-LEN(SUBSTITUTE(F4610," ",""))))),
".","")</f>
        <v>#VALUE!</v>
      </c>
    </row>
    <row r="4611" spans="2:8">
      <c r="B4611" s="11" t="str">
        <f t="shared" si="289"/>
        <v/>
      </c>
      <c r="C4611" s="11" t="str">
        <f t="shared" si="288"/>
        <v/>
      </c>
      <c r="F4611" s="10" t="str">
        <v/>
      </c>
      <c r="G4611" t="e">
        <f t="shared" si="290"/>
        <v>#VALUE!</v>
      </c>
      <c r="H4611" s="13" t="e">
        <f t="shared" si="291"/>
        <v>#VALUE!</v>
      </c>
    </row>
    <row r="4612" spans="2:8">
      <c r="B4612" s="11" t="str">
        <f t="shared" si="289"/>
        <v/>
      </c>
      <c r="C4612" s="11" t="str">
        <f t="shared" si="288"/>
        <v/>
      </c>
      <c r="F4612" s="10" t="str">
        <v/>
      </c>
      <c r="G4612" t="e">
        <f t="shared" si="290"/>
        <v>#VALUE!</v>
      </c>
      <c r="H4612" s="13" t="e">
        <f t="shared" si="291"/>
        <v>#VALUE!</v>
      </c>
    </row>
    <row r="4613" spans="2:8">
      <c r="B4613" s="11" t="str">
        <f t="shared" si="289"/>
        <v/>
      </c>
      <c r="C4613" s="11" t="str">
        <f t="shared" si="288"/>
        <v/>
      </c>
      <c r="F4613" s="10" t="str">
        <v/>
      </c>
      <c r="G4613" t="e">
        <f t="shared" si="290"/>
        <v>#VALUE!</v>
      </c>
      <c r="H4613" s="13" t="e">
        <f t="shared" si="291"/>
        <v>#VALUE!</v>
      </c>
    </row>
    <row r="4614" spans="2:8">
      <c r="B4614" s="11" t="str">
        <f t="shared" si="289"/>
        <v/>
      </c>
      <c r="C4614" s="11" t="str">
        <f t="shared" si="288"/>
        <v/>
      </c>
      <c r="F4614" s="10" t="str">
        <v/>
      </c>
      <c r="G4614" t="e">
        <f t="shared" si="290"/>
        <v>#VALUE!</v>
      </c>
      <c r="H4614" s="13" t="e">
        <f t="shared" si="291"/>
        <v>#VALUE!</v>
      </c>
    </row>
    <row r="4615" spans="2:8">
      <c r="B4615" s="11" t="str">
        <f t="shared" si="289"/>
        <v/>
      </c>
      <c r="C4615" s="11" t="str">
        <f t="shared" si="288"/>
        <v/>
      </c>
      <c r="F4615" s="10" t="str">
        <v/>
      </c>
      <c r="G4615" t="e">
        <f t="shared" si="290"/>
        <v>#VALUE!</v>
      </c>
      <c r="H4615" s="13" t="e">
        <f t="shared" si="291"/>
        <v>#VALUE!</v>
      </c>
    </row>
    <row r="4616" spans="2:8">
      <c r="B4616" s="11" t="str">
        <f t="shared" si="289"/>
        <v/>
      </c>
      <c r="C4616" s="11" t="str">
        <f t="shared" si="288"/>
        <v/>
      </c>
      <c r="F4616" s="10" t="str">
        <v/>
      </c>
      <c r="G4616" t="e">
        <f t="shared" si="290"/>
        <v>#VALUE!</v>
      </c>
      <c r="H4616" s="13" t="e">
        <f t="shared" si="291"/>
        <v>#VALUE!</v>
      </c>
    </row>
    <row r="4617" spans="2:8">
      <c r="B4617" s="11" t="str">
        <f t="shared" si="289"/>
        <v/>
      </c>
      <c r="C4617" s="11" t="str">
        <f t="shared" si="288"/>
        <v/>
      </c>
      <c r="F4617" s="10" t="str">
        <v/>
      </c>
      <c r="G4617" t="e">
        <f t="shared" si="290"/>
        <v>#VALUE!</v>
      </c>
      <c r="H4617" s="13" t="e">
        <f t="shared" si="291"/>
        <v>#VALUE!</v>
      </c>
    </row>
    <row r="4618" spans="2:8">
      <c r="B4618" s="11" t="str">
        <f t="shared" si="289"/>
        <v/>
      </c>
      <c r="C4618" s="11" t="str">
        <f t="shared" si="288"/>
        <v/>
      </c>
      <c r="F4618" s="10" t="str">
        <v/>
      </c>
      <c r="G4618" t="e">
        <f t="shared" si="290"/>
        <v>#VALUE!</v>
      </c>
      <c r="H4618" s="13" t="e">
        <f t="shared" si="291"/>
        <v>#VALUE!</v>
      </c>
    </row>
    <row r="4619" spans="2:8">
      <c r="B4619" s="11" t="str">
        <f t="shared" si="289"/>
        <v/>
      </c>
      <c r="C4619" s="11" t="str">
        <f t="shared" si="288"/>
        <v/>
      </c>
      <c r="F4619" s="10" t="str">
        <v/>
      </c>
      <c r="G4619" t="e">
        <f t="shared" si="290"/>
        <v>#VALUE!</v>
      </c>
      <c r="H4619" s="13" t="e">
        <f t="shared" si="291"/>
        <v>#VALUE!</v>
      </c>
    </row>
    <row r="4620" spans="2:8">
      <c r="B4620" s="11" t="str">
        <f t="shared" si="289"/>
        <v/>
      </c>
      <c r="C4620" s="11" t="str">
        <f t="shared" si="288"/>
        <v/>
      </c>
      <c r="F4620" s="10" t="str">
        <v/>
      </c>
      <c r="G4620" t="e">
        <f t="shared" si="290"/>
        <v>#VALUE!</v>
      </c>
      <c r="H4620" s="13" t="e">
        <f t="shared" si="291"/>
        <v>#VALUE!</v>
      </c>
    </row>
    <row r="4621" spans="2:8">
      <c r="B4621" s="11" t="str">
        <f t="shared" si="289"/>
        <v/>
      </c>
      <c r="C4621" s="11" t="str">
        <f t="shared" si="288"/>
        <v/>
      </c>
      <c r="F4621" s="10" t="str">
        <v/>
      </c>
      <c r="G4621" t="e">
        <f t="shared" si="290"/>
        <v>#VALUE!</v>
      </c>
      <c r="H4621" s="13" t="e">
        <f t="shared" si="291"/>
        <v>#VALUE!</v>
      </c>
    </row>
    <row r="4622" spans="2:8">
      <c r="B4622" s="11" t="str">
        <f t="shared" si="289"/>
        <v/>
      </c>
      <c r="C4622" s="11" t="str">
        <f t="shared" si="288"/>
        <v/>
      </c>
      <c r="F4622" s="10" t="str">
        <v/>
      </c>
      <c r="G4622" t="e">
        <f t="shared" si="290"/>
        <v>#VALUE!</v>
      </c>
      <c r="H4622" s="13" t="e">
        <f t="shared" si="291"/>
        <v>#VALUE!</v>
      </c>
    </row>
    <row r="4623" spans="2:8">
      <c r="B4623" s="11" t="str">
        <f t="shared" si="289"/>
        <v/>
      </c>
      <c r="C4623" s="11" t="str">
        <f t="shared" si="288"/>
        <v/>
      </c>
      <c r="F4623" s="10" t="str">
        <v/>
      </c>
      <c r="G4623" t="e">
        <f t="shared" si="290"/>
        <v>#VALUE!</v>
      </c>
      <c r="H4623" s="13" t="e">
        <f t="shared" si="291"/>
        <v>#VALUE!</v>
      </c>
    </row>
    <row r="4624" spans="2:8">
      <c r="B4624" s="11" t="str">
        <f t="shared" si="289"/>
        <v/>
      </c>
      <c r="C4624" s="11" t="str">
        <f t="shared" si="288"/>
        <v/>
      </c>
      <c r="F4624" s="10" t="str">
        <v/>
      </c>
      <c r="G4624" t="e">
        <f t="shared" si="290"/>
        <v>#VALUE!</v>
      </c>
      <c r="H4624" s="13" t="e">
        <f t="shared" si="291"/>
        <v>#VALUE!</v>
      </c>
    </row>
    <row r="4625" spans="2:8">
      <c r="B4625" s="11" t="str">
        <f t="shared" si="289"/>
        <v/>
      </c>
      <c r="C4625" s="11" t="str">
        <f t="shared" si="288"/>
        <v/>
      </c>
      <c r="F4625" s="10" t="str">
        <v/>
      </c>
      <c r="G4625" t="e">
        <f t="shared" si="290"/>
        <v>#VALUE!</v>
      </c>
      <c r="H4625" s="13" t="e">
        <f t="shared" si="291"/>
        <v>#VALUE!</v>
      </c>
    </row>
    <row r="4626" spans="2:8">
      <c r="B4626" s="11" t="str">
        <f t="shared" si="289"/>
        <v/>
      </c>
      <c r="C4626" s="11" t="str">
        <f t="shared" si="288"/>
        <v/>
      </c>
      <c r="F4626" s="10" t="str">
        <v/>
      </c>
      <c r="G4626" t="e">
        <f t="shared" si="290"/>
        <v>#VALUE!</v>
      </c>
      <c r="H4626" s="13" t="e">
        <f t="shared" si="291"/>
        <v>#VALUE!</v>
      </c>
    </row>
    <row r="4627" spans="2:8">
      <c r="B4627" s="11" t="str">
        <f t="shared" si="289"/>
        <v/>
      </c>
      <c r="C4627" s="11" t="str">
        <f t="shared" si="288"/>
        <v/>
      </c>
      <c r="F4627" s="10" t="str">
        <v/>
      </c>
      <c r="G4627" t="e">
        <f t="shared" si="290"/>
        <v>#VALUE!</v>
      </c>
      <c r="H4627" s="13" t="e">
        <f t="shared" si="291"/>
        <v>#VALUE!</v>
      </c>
    </row>
    <row r="4628" spans="2:8">
      <c r="B4628" s="11" t="str">
        <f t="shared" si="289"/>
        <v/>
      </c>
      <c r="C4628" s="11" t="str">
        <f t="shared" si="288"/>
        <v/>
      </c>
      <c r="F4628" s="10" t="str">
        <v/>
      </c>
      <c r="G4628" t="e">
        <f t="shared" si="290"/>
        <v>#VALUE!</v>
      </c>
      <c r="H4628" s="13" t="e">
        <f t="shared" si="291"/>
        <v>#VALUE!</v>
      </c>
    </row>
    <row r="4629" spans="2:8">
      <c r="B4629" s="11" t="str">
        <f t="shared" si="289"/>
        <v/>
      </c>
      <c r="C4629" s="11" t="str">
        <f t="shared" si="288"/>
        <v/>
      </c>
      <c r="F4629" s="10" t="str">
        <v/>
      </c>
      <c r="G4629" t="e">
        <f t="shared" si="290"/>
        <v>#VALUE!</v>
      </c>
      <c r="H4629" s="13" t="e">
        <f t="shared" si="291"/>
        <v>#VALUE!</v>
      </c>
    </row>
    <row r="4630" spans="2:8">
      <c r="B4630" s="11" t="str">
        <f t="shared" si="289"/>
        <v/>
      </c>
      <c r="C4630" s="11" t="str">
        <f t="shared" si="288"/>
        <v/>
      </c>
      <c r="F4630" s="10" t="str">
        <v/>
      </c>
      <c r="G4630" t="e">
        <f t="shared" si="290"/>
        <v>#VALUE!</v>
      </c>
      <c r="H4630" s="13" t="e">
        <f t="shared" si="291"/>
        <v>#VALUE!</v>
      </c>
    </row>
    <row r="4631" spans="2:8">
      <c r="B4631" s="11" t="str">
        <f t="shared" si="289"/>
        <v/>
      </c>
      <c r="C4631" s="11" t="str">
        <f t="shared" si="288"/>
        <v/>
      </c>
      <c r="F4631" s="10" t="str">
        <v/>
      </c>
      <c r="G4631" t="e">
        <f t="shared" si="290"/>
        <v>#VALUE!</v>
      </c>
      <c r="H4631" s="13" t="e">
        <f t="shared" si="291"/>
        <v>#VALUE!</v>
      </c>
    </row>
    <row r="4632" spans="2:8">
      <c r="B4632" s="11" t="str">
        <f t="shared" si="289"/>
        <v/>
      </c>
      <c r="C4632" s="11" t="str">
        <f t="shared" si="288"/>
        <v/>
      </c>
      <c r="F4632" s="10" t="str">
        <v/>
      </c>
      <c r="G4632" t="e">
        <f t="shared" si="290"/>
        <v>#VALUE!</v>
      </c>
      <c r="H4632" s="13" t="e">
        <f t="shared" si="291"/>
        <v>#VALUE!</v>
      </c>
    </row>
    <row r="4633" spans="2:8">
      <c r="B4633" s="11" t="str">
        <f t="shared" si="289"/>
        <v/>
      </c>
      <c r="C4633" s="11" t="str">
        <f t="shared" si="288"/>
        <v/>
      </c>
      <c r="F4633" s="10" t="str">
        <v/>
      </c>
      <c r="G4633" t="e">
        <f t="shared" si="290"/>
        <v>#VALUE!</v>
      </c>
      <c r="H4633" s="13" t="e">
        <f t="shared" si="291"/>
        <v>#VALUE!</v>
      </c>
    </row>
    <row r="4634" spans="2:8">
      <c r="B4634" s="11" t="str">
        <f t="shared" si="289"/>
        <v/>
      </c>
      <c r="C4634" s="11" t="str">
        <f t="shared" si="288"/>
        <v/>
      </c>
      <c r="F4634" s="10" t="str">
        <v/>
      </c>
      <c r="G4634" t="e">
        <f t="shared" si="290"/>
        <v>#VALUE!</v>
      </c>
      <c r="H4634" s="13" t="e">
        <f t="shared" si="291"/>
        <v>#VALUE!</v>
      </c>
    </row>
    <row r="4635" spans="2:8">
      <c r="B4635" s="11" t="str">
        <f t="shared" si="289"/>
        <v/>
      </c>
      <c r="C4635" s="11" t="str">
        <f t="shared" si="288"/>
        <v/>
      </c>
      <c r="F4635" s="10" t="str">
        <v/>
      </c>
      <c r="G4635" t="e">
        <f t="shared" si="290"/>
        <v>#VALUE!</v>
      </c>
      <c r="H4635" s="13" t="e">
        <f t="shared" si="291"/>
        <v>#VALUE!</v>
      </c>
    </row>
    <row r="4636" spans="2:8">
      <c r="B4636" s="11" t="str">
        <f t="shared" si="289"/>
        <v/>
      </c>
      <c r="C4636" s="11" t="str">
        <f t="shared" si="288"/>
        <v/>
      </c>
      <c r="F4636" s="10" t="str">
        <v/>
      </c>
      <c r="G4636" t="e">
        <f t="shared" si="290"/>
        <v>#VALUE!</v>
      </c>
      <c r="H4636" s="13" t="e">
        <f t="shared" si="291"/>
        <v>#VALUE!</v>
      </c>
    </row>
    <row r="4637" spans="2:8">
      <c r="B4637" s="11" t="str">
        <f t="shared" si="289"/>
        <v/>
      </c>
      <c r="C4637" s="11" t="str">
        <f t="shared" si="288"/>
        <v/>
      </c>
      <c r="F4637" s="10" t="str">
        <v/>
      </c>
      <c r="G4637" t="e">
        <f t="shared" si="290"/>
        <v>#VALUE!</v>
      </c>
      <c r="H4637" s="13" t="e">
        <f t="shared" si="291"/>
        <v>#VALUE!</v>
      </c>
    </row>
    <row r="4638" spans="2:8">
      <c r="B4638" s="11" t="str">
        <f t="shared" si="289"/>
        <v/>
      </c>
      <c r="C4638" s="11" t="str">
        <f t="shared" si="288"/>
        <v/>
      </c>
      <c r="F4638" s="10" t="str">
        <v/>
      </c>
      <c r="G4638" t="e">
        <f t="shared" si="290"/>
        <v>#VALUE!</v>
      </c>
      <c r="H4638" s="13" t="e">
        <f t="shared" si="291"/>
        <v>#VALUE!</v>
      </c>
    </row>
    <row r="4639" spans="2:8">
      <c r="B4639" s="11" t="str">
        <f t="shared" si="289"/>
        <v/>
      </c>
      <c r="C4639" s="11" t="str">
        <f t="shared" si="288"/>
        <v/>
      </c>
      <c r="F4639" s="10" t="str">
        <v/>
      </c>
      <c r="G4639" t="e">
        <f t="shared" si="290"/>
        <v>#VALUE!</v>
      </c>
      <c r="H4639" s="13" t="e">
        <f t="shared" si="291"/>
        <v>#VALUE!</v>
      </c>
    </row>
    <row r="4640" spans="2:8">
      <c r="B4640" s="11" t="str">
        <f t="shared" si="289"/>
        <v/>
      </c>
      <c r="C4640" s="11" t="str">
        <f t="shared" si="288"/>
        <v/>
      </c>
      <c r="F4640" s="10" t="str">
        <v/>
      </c>
      <c r="G4640" t="e">
        <f t="shared" si="290"/>
        <v>#VALUE!</v>
      </c>
      <c r="H4640" s="13" t="e">
        <f t="shared" si="291"/>
        <v>#VALUE!</v>
      </c>
    </row>
    <row r="4641" spans="2:8">
      <c r="B4641" s="11" t="str">
        <f t="shared" si="289"/>
        <v/>
      </c>
      <c r="C4641" s="11" t="str">
        <f t="shared" si="288"/>
        <v/>
      </c>
      <c r="F4641" s="10" t="str">
        <v/>
      </c>
      <c r="G4641" t="e">
        <f t="shared" si="290"/>
        <v>#VALUE!</v>
      </c>
      <c r="H4641" s="13" t="e">
        <f t="shared" si="291"/>
        <v>#VALUE!</v>
      </c>
    </row>
    <row r="4642" spans="2:8">
      <c r="B4642" s="11" t="str">
        <f t="shared" si="289"/>
        <v/>
      </c>
      <c r="C4642" s="11" t="str">
        <f t="shared" si="288"/>
        <v/>
      </c>
      <c r="F4642" s="10" t="str">
        <v/>
      </c>
      <c r="G4642" t="e">
        <f t="shared" si="290"/>
        <v>#VALUE!</v>
      </c>
      <c r="H4642" s="13" t="e">
        <f t="shared" si="291"/>
        <v>#VALUE!</v>
      </c>
    </row>
    <row r="4643" spans="2:8">
      <c r="B4643" s="11" t="str">
        <f t="shared" si="289"/>
        <v/>
      </c>
      <c r="C4643" s="11" t="str">
        <f t="shared" si="288"/>
        <v/>
      </c>
      <c r="F4643" s="10" t="str">
        <v/>
      </c>
      <c r="G4643" t="e">
        <f t="shared" si="290"/>
        <v>#VALUE!</v>
      </c>
      <c r="H4643" s="13" t="e">
        <f t="shared" si="291"/>
        <v>#VALUE!</v>
      </c>
    </row>
    <row r="4644" spans="2:8">
      <c r="B4644" s="11" t="str">
        <f t="shared" si="289"/>
        <v/>
      </c>
      <c r="C4644" s="11" t="str">
        <f t="shared" si="288"/>
        <v/>
      </c>
      <c r="F4644" s="10" t="str">
        <v/>
      </c>
      <c r="G4644" t="e">
        <f t="shared" si="290"/>
        <v>#VALUE!</v>
      </c>
      <c r="H4644" s="13" t="e">
        <f t="shared" si="291"/>
        <v>#VALUE!</v>
      </c>
    </row>
    <row r="4645" spans="2:8">
      <c r="B4645" s="11" t="str">
        <f t="shared" si="289"/>
        <v/>
      </c>
      <c r="C4645" s="11" t="str">
        <f t="shared" si="288"/>
        <v/>
      </c>
      <c r="F4645" s="10" t="str">
        <v/>
      </c>
      <c r="G4645" t="e">
        <f t="shared" si="290"/>
        <v>#VALUE!</v>
      </c>
      <c r="H4645" s="13" t="e">
        <f t="shared" si="291"/>
        <v>#VALUE!</v>
      </c>
    </row>
    <row r="4646" spans="2:8">
      <c r="B4646" s="11" t="str">
        <f t="shared" si="289"/>
        <v/>
      </c>
      <c r="C4646" s="11" t="str">
        <f t="shared" si="288"/>
        <v/>
      </c>
      <c r="F4646" s="10" t="str">
        <v/>
      </c>
      <c r="G4646" t="e">
        <f t="shared" si="290"/>
        <v>#VALUE!</v>
      </c>
      <c r="H4646" s="13" t="e">
        <f t="shared" si="291"/>
        <v>#VALUE!</v>
      </c>
    </row>
    <row r="4647" spans="2:8">
      <c r="B4647" s="11" t="str">
        <f t="shared" si="289"/>
        <v/>
      </c>
      <c r="C4647" s="11" t="str">
        <f t="shared" si="288"/>
        <v/>
      </c>
      <c r="F4647" s="10" t="str">
        <v/>
      </c>
      <c r="G4647" t="e">
        <f t="shared" si="290"/>
        <v>#VALUE!</v>
      </c>
      <c r="H4647" s="13" t="e">
        <f t="shared" si="291"/>
        <v>#VALUE!</v>
      </c>
    </row>
    <row r="4648" spans="2:8">
      <c r="B4648" s="11" t="str">
        <f t="shared" si="289"/>
        <v/>
      </c>
      <c r="C4648" s="11" t="str">
        <f t="shared" si="288"/>
        <v/>
      </c>
      <c r="F4648" s="10" t="str">
        <v/>
      </c>
      <c r="G4648" t="e">
        <f t="shared" si="290"/>
        <v>#VALUE!</v>
      </c>
      <c r="H4648" s="13" t="e">
        <f t="shared" si="291"/>
        <v>#VALUE!</v>
      </c>
    </row>
    <row r="4649" spans="2:8">
      <c r="B4649" s="11" t="str">
        <f t="shared" si="289"/>
        <v/>
      </c>
      <c r="C4649" s="11" t="str">
        <f t="shared" ref="C4649:C4712" si="292">IF(B4649="артикул",A4649,"")</f>
        <v/>
      </c>
      <c r="F4649" s="10" t="str">
        <v/>
      </c>
      <c r="G4649" t="e">
        <f t="shared" si="290"/>
        <v>#VALUE!</v>
      </c>
      <c r="H4649" s="13" t="e">
        <f t="shared" si="291"/>
        <v>#VALUE!</v>
      </c>
    </row>
    <row r="4650" spans="2:8">
      <c r="B4650" s="11" t="str">
        <f t="shared" si="289"/>
        <v/>
      </c>
      <c r="C4650" s="11" t="str">
        <f t="shared" si="292"/>
        <v/>
      </c>
      <c r="F4650" s="10" t="str">
        <v/>
      </c>
      <c r="G4650" t="e">
        <f t="shared" si="290"/>
        <v>#VALUE!</v>
      </c>
      <c r="H4650" s="13" t="e">
        <f t="shared" si="291"/>
        <v>#VALUE!</v>
      </c>
    </row>
    <row r="4651" spans="2:8">
      <c r="B4651" s="11" t="str">
        <f t="shared" si="289"/>
        <v/>
      </c>
      <c r="C4651" s="11" t="str">
        <f t="shared" si="292"/>
        <v/>
      </c>
      <c r="F4651" s="10" t="str">
        <v/>
      </c>
      <c r="G4651" t="e">
        <f t="shared" si="290"/>
        <v>#VALUE!</v>
      </c>
      <c r="H4651" s="13" t="e">
        <f t="shared" si="291"/>
        <v>#VALUE!</v>
      </c>
    </row>
    <row r="4652" spans="2:8">
      <c r="B4652" s="11" t="str">
        <f t="shared" si="289"/>
        <v/>
      </c>
      <c r="C4652" s="11" t="str">
        <f t="shared" si="292"/>
        <v/>
      </c>
      <c r="F4652" s="10" t="str">
        <v/>
      </c>
      <c r="G4652" t="e">
        <f t="shared" si="290"/>
        <v>#VALUE!</v>
      </c>
      <c r="H4652" s="13" t="e">
        <f t="shared" si="291"/>
        <v>#VALUE!</v>
      </c>
    </row>
    <row r="4653" spans="2:8">
      <c r="B4653" s="11" t="str">
        <f t="shared" si="289"/>
        <v/>
      </c>
      <c r="C4653" s="11" t="str">
        <f t="shared" si="292"/>
        <v/>
      </c>
      <c r="F4653" s="10" t="str">
        <v/>
      </c>
      <c r="G4653" t="e">
        <f t="shared" si="290"/>
        <v>#VALUE!</v>
      </c>
      <c r="H4653" s="13" t="e">
        <f t="shared" si="291"/>
        <v>#VALUE!</v>
      </c>
    </row>
    <row r="4654" spans="2:8">
      <c r="B4654" s="11" t="str">
        <f t="shared" si="289"/>
        <v/>
      </c>
      <c r="C4654" s="11" t="str">
        <f t="shared" si="292"/>
        <v/>
      </c>
      <c r="F4654" s="10" t="str">
        <v/>
      </c>
      <c r="G4654" t="e">
        <f t="shared" si="290"/>
        <v>#VALUE!</v>
      </c>
      <c r="H4654" s="13" t="e">
        <f t="shared" si="291"/>
        <v>#VALUE!</v>
      </c>
    </row>
    <row r="4655" spans="2:8">
      <c r="B4655" s="11" t="str">
        <f t="shared" si="289"/>
        <v/>
      </c>
      <c r="C4655" s="11" t="str">
        <f t="shared" si="292"/>
        <v/>
      </c>
      <c r="F4655" s="10" t="str">
        <v/>
      </c>
      <c r="G4655" t="e">
        <f t="shared" si="290"/>
        <v>#VALUE!</v>
      </c>
      <c r="H4655" s="13" t="e">
        <f t="shared" si="291"/>
        <v>#VALUE!</v>
      </c>
    </row>
    <row r="4656" spans="2:8">
      <c r="B4656" s="11" t="str">
        <f t="shared" si="289"/>
        <v/>
      </c>
      <c r="C4656" s="11" t="str">
        <f t="shared" si="292"/>
        <v/>
      </c>
      <c r="F4656" s="10" t="str">
        <v/>
      </c>
      <c r="G4656" t="e">
        <f t="shared" si="290"/>
        <v>#VALUE!</v>
      </c>
      <c r="H4656" s="13" t="e">
        <f t="shared" si="291"/>
        <v>#VALUE!</v>
      </c>
    </row>
    <row r="4657" spans="2:8">
      <c r="B4657" s="11" t="str">
        <f t="shared" si="289"/>
        <v/>
      </c>
      <c r="C4657" s="11" t="str">
        <f t="shared" si="292"/>
        <v/>
      </c>
      <c r="F4657" s="10" t="str">
        <v/>
      </c>
      <c r="G4657" t="e">
        <f t="shared" si="290"/>
        <v>#VALUE!</v>
      </c>
      <c r="H4657" s="13" t="e">
        <f t="shared" si="291"/>
        <v>#VALUE!</v>
      </c>
    </row>
    <row r="4658" spans="2:8">
      <c r="B4658" s="11" t="str">
        <f t="shared" si="289"/>
        <v/>
      </c>
      <c r="C4658" s="11" t="str">
        <f t="shared" si="292"/>
        <v/>
      </c>
      <c r="F4658" s="10" t="str">
        <v/>
      </c>
      <c r="G4658" t="e">
        <f t="shared" si="290"/>
        <v>#VALUE!</v>
      </c>
      <c r="H4658" s="13" t="e">
        <f t="shared" si="291"/>
        <v>#VALUE!</v>
      </c>
    </row>
    <row r="4659" spans="2:8">
      <c r="B4659" s="11" t="str">
        <f t="shared" si="289"/>
        <v/>
      </c>
      <c r="C4659" s="11" t="str">
        <f t="shared" si="292"/>
        <v/>
      </c>
      <c r="F4659" s="10" t="str">
        <v/>
      </c>
      <c r="G4659" t="e">
        <f t="shared" si="290"/>
        <v>#VALUE!</v>
      </c>
      <c r="H4659" s="13" t="e">
        <f t="shared" si="291"/>
        <v>#VALUE!</v>
      </c>
    </row>
    <row r="4660" spans="2:8">
      <c r="B4660" s="11" t="str">
        <f t="shared" si="289"/>
        <v/>
      </c>
      <c r="C4660" s="11" t="str">
        <f t="shared" si="292"/>
        <v/>
      </c>
      <c r="F4660" s="10" t="str">
        <v/>
      </c>
      <c r="G4660" t="e">
        <f t="shared" si="290"/>
        <v>#VALUE!</v>
      </c>
      <c r="H4660" s="13" t="e">
        <f t="shared" si="291"/>
        <v>#VALUE!</v>
      </c>
    </row>
    <row r="4661" spans="2:8">
      <c r="B4661" s="11" t="str">
        <f t="shared" si="289"/>
        <v/>
      </c>
      <c r="C4661" s="11" t="str">
        <f t="shared" si="292"/>
        <v/>
      </c>
      <c r="F4661" s="10" t="str">
        <v/>
      </c>
      <c r="G4661" t="e">
        <f t="shared" si="290"/>
        <v>#VALUE!</v>
      </c>
      <c r="H4661" s="13" t="e">
        <f t="shared" si="291"/>
        <v>#VALUE!</v>
      </c>
    </row>
    <row r="4662" spans="2:8">
      <c r="B4662" s="11" t="str">
        <f t="shared" si="289"/>
        <v/>
      </c>
      <c r="C4662" s="11" t="str">
        <f t="shared" si="292"/>
        <v/>
      </c>
      <c r="F4662" s="10" t="str">
        <v/>
      </c>
      <c r="G4662" t="e">
        <f t="shared" si="290"/>
        <v>#VALUE!</v>
      </c>
      <c r="H4662" s="13" t="e">
        <f t="shared" si="291"/>
        <v>#VALUE!</v>
      </c>
    </row>
    <row r="4663" spans="2:8">
      <c r="B4663" s="11" t="str">
        <f t="shared" si="289"/>
        <v/>
      </c>
      <c r="C4663" s="11" t="str">
        <f t="shared" si="292"/>
        <v/>
      </c>
      <c r="F4663" s="10" t="str">
        <v/>
      </c>
      <c r="G4663" t="e">
        <f t="shared" si="290"/>
        <v>#VALUE!</v>
      </c>
      <c r="H4663" s="13" t="e">
        <f t="shared" si="291"/>
        <v>#VALUE!</v>
      </c>
    </row>
    <row r="4664" spans="2:8">
      <c r="B4664" s="11" t="str">
        <f t="shared" si="289"/>
        <v/>
      </c>
      <c r="C4664" s="11" t="str">
        <f t="shared" si="292"/>
        <v/>
      </c>
      <c r="F4664" s="10" t="str">
        <v/>
      </c>
      <c r="G4664" t="e">
        <f t="shared" si="290"/>
        <v>#VALUE!</v>
      </c>
      <c r="H4664" s="13" t="e">
        <f t="shared" si="291"/>
        <v>#VALUE!</v>
      </c>
    </row>
    <row r="4665" spans="2:8">
      <c r="B4665" s="11" t="str">
        <f t="shared" si="289"/>
        <v/>
      </c>
      <c r="C4665" s="11" t="str">
        <f t="shared" si="292"/>
        <v/>
      </c>
      <c r="F4665" s="10" t="str">
        <v/>
      </c>
      <c r="G4665" t="e">
        <f t="shared" si="290"/>
        <v>#VALUE!</v>
      </c>
      <c r="H4665" s="13" t="e">
        <f t="shared" si="291"/>
        <v>#VALUE!</v>
      </c>
    </row>
    <row r="4666" spans="2:8">
      <c r="B4666" s="11" t="str">
        <f t="shared" si="289"/>
        <v/>
      </c>
      <c r="C4666" s="11" t="str">
        <f t="shared" si="292"/>
        <v/>
      </c>
      <c r="F4666" s="10" t="str">
        <v/>
      </c>
      <c r="G4666" t="e">
        <f t="shared" si="290"/>
        <v>#VALUE!</v>
      </c>
      <c r="H4666" s="13" t="e">
        <f t="shared" si="291"/>
        <v>#VALUE!</v>
      </c>
    </row>
    <row r="4667" spans="2:8">
      <c r="B4667" s="11" t="str">
        <f t="shared" si="289"/>
        <v/>
      </c>
      <c r="C4667" s="11" t="str">
        <f t="shared" si="292"/>
        <v/>
      </c>
      <c r="F4667" s="10" t="str">
        <v/>
      </c>
      <c r="G4667" t="e">
        <f t="shared" si="290"/>
        <v>#VALUE!</v>
      </c>
      <c r="H4667" s="13" t="e">
        <f t="shared" si="291"/>
        <v>#VALUE!</v>
      </c>
    </row>
    <row r="4668" spans="2:8">
      <c r="B4668" s="11" t="str">
        <f t="shared" si="289"/>
        <v/>
      </c>
      <c r="C4668" s="11" t="str">
        <f t="shared" si="292"/>
        <v/>
      </c>
      <c r="F4668" s="10" t="str">
        <v/>
      </c>
      <c r="G4668" t="e">
        <f t="shared" si="290"/>
        <v>#VALUE!</v>
      </c>
      <c r="H4668" s="13" t="e">
        <f t="shared" si="291"/>
        <v>#VALUE!</v>
      </c>
    </row>
    <row r="4669" spans="2:8">
      <c r="B4669" s="11" t="str">
        <f t="shared" si="289"/>
        <v/>
      </c>
      <c r="C4669" s="11" t="str">
        <f t="shared" si="292"/>
        <v/>
      </c>
      <c r="F4669" s="10" t="str">
        <v/>
      </c>
      <c r="G4669" t="e">
        <f t="shared" si="290"/>
        <v>#VALUE!</v>
      </c>
      <c r="H4669" s="13" t="e">
        <f t="shared" si="291"/>
        <v>#VALUE!</v>
      </c>
    </row>
    <row r="4670" spans="2:8">
      <c r="B4670" s="11" t="str">
        <f t="shared" si="289"/>
        <v/>
      </c>
      <c r="C4670" s="11" t="str">
        <f t="shared" si="292"/>
        <v/>
      </c>
      <c r="F4670" s="10" t="str">
        <v/>
      </c>
      <c r="G4670" t="e">
        <f t="shared" si="290"/>
        <v>#VALUE!</v>
      </c>
      <c r="H4670" s="13" t="e">
        <f t="shared" si="291"/>
        <v>#VALUE!</v>
      </c>
    </row>
    <row r="4671" spans="2:8">
      <c r="B4671" s="11" t="str">
        <f t="shared" si="289"/>
        <v/>
      </c>
      <c r="C4671" s="11" t="str">
        <f t="shared" si="292"/>
        <v/>
      </c>
      <c r="F4671" s="10" t="str">
        <v/>
      </c>
      <c r="G4671" t="e">
        <f t="shared" si="290"/>
        <v>#VALUE!</v>
      </c>
      <c r="H4671" s="13" t="e">
        <f t="shared" si="291"/>
        <v>#VALUE!</v>
      </c>
    </row>
    <row r="4672" spans="2:8">
      <c r="B4672" s="11" t="str">
        <f t="shared" si="289"/>
        <v/>
      </c>
      <c r="C4672" s="11" t="str">
        <f t="shared" si="292"/>
        <v/>
      </c>
      <c r="F4672" s="10" t="str">
        <v/>
      </c>
      <c r="G4672" t="e">
        <f t="shared" si="290"/>
        <v>#VALUE!</v>
      </c>
      <c r="H4672" s="13" t="e">
        <f t="shared" si="291"/>
        <v>#VALUE!</v>
      </c>
    </row>
    <row r="4673" spans="2:8">
      <c r="B4673" s="11" t="str">
        <f t="shared" ref="B4673:B4736" si="293">IFERROR(IF(FIND(" ",A4673)=6,IF(IFERROR(FIND(" PB",A4673),"")&lt;&gt;"","артикул",IF(IFERROR(FIND(" CRN",A4673),"")&lt;&gt;"","артикул","")),""),"")</f>
        <v/>
      </c>
      <c r="C4673" s="11" t="str">
        <f t="shared" si="292"/>
        <v/>
      </c>
      <c r="F4673" s="10" t="str">
        <v/>
      </c>
      <c r="G4673" t="e">
        <f t="shared" si="290"/>
        <v>#VALUE!</v>
      </c>
      <c r="H4673" s="13" t="e">
        <f t="shared" si="291"/>
        <v>#VALUE!</v>
      </c>
    </row>
    <row r="4674" spans="2:8">
      <c r="B4674" s="11" t="str">
        <f t="shared" si="293"/>
        <v/>
      </c>
      <c r="C4674" s="11" t="str">
        <f t="shared" si="292"/>
        <v/>
      </c>
      <c r="F4674" s="10" t="str">
        <v/>
      </c>
      <c r="G4674" t="e">
        <f t="shared" ref="G4674:G4737" si="294">CONCATENATE(LEFT(F4674,5),
MID(F4674,
SEARCH("\",SUBSTITUTE(F4674," ","\",LEN(F4674)-LEN(SUBSTITUTE(F4674," ",""))-4)),
SEARCH("\",SUBSTITUTE(F4674," ","\",LEN(F4674)-LEN(SUBSTITUTE(F4674," ",""))-3))-
SEARCH("\",SUBSTITUTE(F4674," ","\",LEN(F4674)-LEN(SUBSTITUTE(F4674," ",""))-4)))*1)</f>
        <v>#VALUE!</v>
      </c>
      <c r="H4674" s="13" t="e">
        <f t="shared" ref="H4674:H4737" si="295">SUBSTITUTE(
RIGHT(F4674,LEN(F4674)-
FIND("\",SUBSTITUTE(F4674," ","\",LEN(F4674)-LEN(SUBSTITUTE(F4674," ",""))))),
".","")</f>
        <v>#VALUE!</v>
      </c>
    </row>
    <row r="4675" spans="2:8">
      <c r="B4675" s="11" t="str">
        <f t="shared" si="293"/>
        <v/>
      </c>
      <c r="C4675" s="11" t="str">
        <f t="shared" si="292"/>
        <v/>
      </c>
      <c r="F4675" s="10" t="str">
        <v/>
      </c>
      <c r="G4675" t="e">
        <f t="shared" si="294"/>
        <v>#VALUE!</v>
      </c>
      <c r="H4675" s="13" t="e">
        <f t="shared" si="295"/>
        <v>#VALUE!</v>
      </c>
    </row>
    <row r="4676" spans="2:8">
      <c r="B4676" s="11" t="str">
        <f t="shared" si="293"/>
        <v/>
      </c>
      <c r="C4676" s="11" t="str">
        <f t="shared" si="292"/>
        <v/>
      </c>
      <c r="F4676" s="10" t="str">
        <v/>
      </c>
      <c r="G4676" t="e">
        <f t="shared" si="294"/>
        <v>#VALUE!</v>
      </c>
      <c r="H4676" s="13" t="e">
        <f t="shared" si="295"/>
        <v>#VALUE!</v>
      </c>
    </row>
    <row r="4677" spans="2:8">
      <c r="B4677" s="11" t="str">
        <f t="shared" si="293"/>
        <v/>
      </c>
      <c r="C4677" s="11" t="str">
        <f t="shared" si="292"/>
        <v/>
      </c>
      <c r="F4677" s="10" t="str">
        <v/>
      </c>
      <c r="G4677" t="e">
        <f t="shared" si="294"/>
        <v>#VALUE!</v>
      </c>
      <c r="H4677" s="13" t="e">
        <f t="shared" si="295"/>
        <v>#VALUE!</v>
      </c>
    </row>
    <row r="4678" spans="2:8">
      <c r="B4678" s="11" t="str">
        <f t="shared" si="293"/>
        <v/>
      </c>
      <c r="C4678" s="11" t="str">
        <f t="shared" si="292"/>
        <v/>
      </c>
      <c r="F4678" s="10" t="str">
        <v/>
      </c>
      <c r="G4678" t="e">
        <f t="shared" si="294"/>
        <v>#VALUE!</v>
      </c>
      <c r="H4678" s="13" t="e">
        <f t="shared" si="295"/>
        <v>#VALUE!</v>
      </c>
    </row>
    <row r="4679" spans="2:8">
      <c r="B4679" s="11" t="str">
        <f t="shared" si="293"/>
        <v/>
      </c>
      <c r="C4679" s="11" t="str">
        <f t="shared" si="292"/>
        <v/>
      </c>
      <c r="F4679" s="10" t="str">
        <v/>
      </c>
      <c r="G4679" t="e">
        <f t="shared" si="294"/>
        <v>#VALUE!</v>
      </c>
      <c r="H4679" s="13" t="e">
        <f t="shared" si="295"/>
        <v>#VALUE!</v>
      </c>
    </row>
    <row r="4680" spans="2:8">
      <c r="B4680" s="11" t="str">
        <f t="shared" si="293"/>
        <v/>
      </c>
      <c r="C4680" s="11" t="str">
        <f t="shared" si="292"/>
        <v/>
      </c>
      <c r="F4680" s="10" t="str">
        <v/>
      </c>
      <c r="G4680" t="e">
        <f t="shared" si="294"/>
        <v>#VALUE!</v>
      </c>
      <c r="H4680" s="13" t="e">
        <f t="shared" si="295"/>
        <v>#VALUE!</v>
      </c>
    </row>
    <row r="4681" spans="2:8">
      <c r="B4681" s="11" t="str">
        <f t="shared" si="293"/>
        <v/>
      </c>
      <c r="C4681" s="11" t="str">
        <f t="shared" si="292"/>
        <v/>
      </c>
      <c r="F4681" s="10" t="str">
        <v/>
      </c>
      <c r="G4681" t="e">
        <f t="shared" si="294"/>
        <v>#VALUE!</v>
      </c>
      <c r="H4681" s="13" t="e">
        <f t="shared" si="295"/>
        <v>#VALUE!</v>
      </c>
    </row>
    <row r="4682" spans="2:8">
      <c r="B4682" s="11" t="str">
        <f t="shared" si="293"/>
        <v/>
      </c>
      <c r="C4682" s="11" t="str">
        <f t="shared" si="292"/>
        <v/>
      </c>
      <c r="F4682" s="10" t="str">
        <v/>
      </c>
      <c r="G4682" t="e">
        <f t="shared" si="294"/>
        <v>#VALUE!</v>
      </c>
      <c r="H4682" s="13" t="e">
        <f t="shared" si="295"/>
        <v>#VALUE!</v>
      </c>
    </row>
    <row r="4683" spans="2:8">
      <c r="B4683" s="11" t="str">
        <f t="shared" si="293"/>
        <v/>
      </c>
      <c r="C4683" s="11" t="str">
        <f t="shared" si="292"/>
        <v/>
      </c>
      <c r="F4683" s="10" t="str">
        <v/>
      </c>
      <c r="G4683" t="e">
        <f t="shared" si="294"/>
        <v>#VALUE!</v>
      </c>
      <c r="H4683" s="13" t="e">
        <f t="shared" si="295"/>
        <v>#VALUE!</v>
      </c>
    </row>
    <row r="4684" spans="2:8">
      <c r="B4684" s="11" t="str">
        <f t="shared" si="293"/>
        <v/>
      </c>
      <c r="C4684" s="11" t="str">
        <f t="shared" si="292"/>
        <v/>
      </c>
      <c r="F4684" s="10" t="str">
        <v/>
      </c>
      <c r="G4684" t="e">
        <f t="shared" si="294"/>
        <v>#VALUE!</v>
      </c>
      <c r="H4684" s="13" t="e">
        <f t="shared" si="295"/>
        <v>#VALUE!</v>
      </c>
    </row>
    <row r="4685" spans="2:8">
      <c r="B4685" s="11" t="str">
        <f t="shared" si="293"/>
        <v/>
      </c>
      <c r="C4685" s="11" t="str">
        <f t="shared" si="292"/>
        <v/>
      </c>
      <c r="F4685" s="10" t="str">
        <v/>
      </c>
      <c r="G4685" t="e">
        <f t="shared" si="294"/>
        <v>#VALUE!</v>
      </c>
      <c r="H4685" s="13" t="e">
        <f t="shared" si="295"/>
        <v>#VALUE!</v>
      </c>
    </row>
    <row r="4686" spans="2:8">
      <c r="B4686" s="11" t="str">
        <f t="shared" si="293"/>
        <v/>
      </c>
      <c r="C4686" s="11" t="str">
        <f t="shared" si="292"/>
        <v/>
      </c>
      <c r="F4686" s="10" t="str">
        <v/>
      </c>
      <c r="G4686" t="e">
        <f t="shared" si="294"/>
        <v>#VALUE!</v>
      </c>
      <c r="H4686" s="13" t="e">
        <f t="shared" si="295"/>
        <v>#VALUE!</v>
      </c>
    </row>
    <row r="4687" spans="2:8">
      <c r="B4687" s="11" t="str">
        <f t="shared" si="293"/>
        <v/>
      </c>
      <c r="C4687" s="11" t="str">
        <f t="shared" si="292"/>
        <v/>
      </c>
      <c r="F4687" s="10" t="str">
        <v/>
      </c>
      <c r="G4687" t="e">
        <f t="shared" si="294"/>
        <v>#VALUE!</v>
      </c>
      <c r="H4687" s="13" t="e">
        <f t="shared" si="295"/>
        <v>#VALUE!</v>
      </c>
    </row>
    <row r="4688" spans="2:8">
      <c r="B4688" s="11" t="str">
        <f t="shared" si="293"/>
        <v/>
      </c>
      <c r="C4688" s="11" t="str">
        <f t="shared" si="292"/>
        <v/>
      </c>
      <c r="F4688" s="10" t="str">
        <v/>
      </c>
      <c r="G4688" t="e">
        <f t="shared" si="294"/>
        <v>#VALUE!</v>
      </c>
      <c r="H4688" s="13" t="e">
        <f t="shared" si="295"/>
        <v>#VALUE!</v>
      </c>
    </row>
    <row r="4689" spans="2:8">
      <c r="B4689" s="11" t="str">
        <f t="shared" si="293"/>
        <v/>
      </c>
      <c r="C4689" s="11" t="str">
        <f t="shared" si="292"/>
        <v/>
      </c>
      <c r="F4689" s="10" t="str">
        <v/>
      </c>
      <c r="G4689" t="e">
        <f t="shared" si="294"/>
        <v>#VALUE!</v>
      </c>
      <c r="H4689" s="13" t="e">
        <f t="shared" si="295"/>
        <v>#VALUE!</v>
      </c>
    </row>
    <row r="4690" spans="2:8">
      <c r="B4690" s="11" t="str">
        <f t="shared" si="293"/>
        <v/>
      </c>
      <c r="C4690" s="11" t="str">
        <f t="shared" si="292"/>
        <v/>
      </c>
      <c r="F4690" s="10" t="str">
        <v/>
      </c>
      <c r="G4690" t="e">
        <f t="shared" si="294"/>
        <v>#VALUE!</v>
      </c>
      <c r="H4690" s="13" t="e">
        <f t="shared" si="295"/>
        <v>#VALUE!</v>
      </c>
    </row>
    <row r="4691" spans="2:8">
      <c r="B4691" s="11" t="str">
        <f t="shared" si="293"/>
        <v/>
      </c>
      <c r="C4691" s="11" t="str">
        <f t="shared" si="292"/>
        <v/>
      </c>
      <c r="F4691" s="10" t="str">
        <v/>
      </c>
      <c r="G4691" t="e">
        <f t="shared" si="294"/>
        <v>#VALUE!</v>
      </c>
      <c r="H4691" s="13" t="e">
        <f t="shared" si="295"/>
        <v>#VALUE!</v>
      </c>
    </row>
    <row r="4692" spans="2:8">
      <c r="B4692" s="11" t="str">
        <f t="shared" si="293"/>
        <v/>
      </c>
      <c r="C4692" s="11" t="str">
        <f t="shared" si="292"/>
        <v/>
      </c>
      <c r="F4692" s="10" t="str">
        <v/>
      </c>
      <c r="G4692" t="e">
        <f t="shared" si="294"/>
        <v>#VALUE!</v>
      </c>
      <c r="H4692" s="13" t="e">
        <f t="shared" si="295"/>
        <v>#VALUE!</v>
      </c>
    </row>
    <row r="4693" spans="2:8">
      <c r="B4693" s="11" t="str">
        <f t="shared" si="293"/>
        <v/>
      </c>
      <c r="C4693" s="11" t="str">
        <f t="shared" si="292"/>
        <v/>
      </c>
      <c r="F4693" s="10" t="str">
        <v/>
      </c>
      <c r="G4693" t="e">
        <f t="shared" si="294"/>
        <v>#VALUE!</v>
      </c>
      <c r="H4693" s="13" t="e">
        <f t="shared" si="295"/>
        <v>#VALUE!</v>
      </c>
    </row>
    <row r="4694" spans="2:8">
      <c r="B4694" s="11" t="str">
        <f t="shared" si="293"/>
        <v/>
      </c>
      <c r="C4694" s="11" t="str">
        <f t="shared" si="292"/>
        <v/>
      </c>
      <c r="F4694" s="10" t="str">
        <v/>
      </c>
      <c r="G4694" t="e">
        <f t="shared" si="294"/>
        <v>#VALUE!</v>
      </c>
      <c r="H4694" s="13" t="e">
        <f t="shared" si="295"/>
        <v>#VALUE!</v>
      </c>
    </row>
    <row r="4695" spans="2:8">
      <c r="B4695" s="11" t="str">
        <f t="shared" si="293"/>
        <v/>
      </c>
      <c r="C4695" s="11" t="str">
        <f t="shared" si="292"/>
        <v/>
      </c>
      <c r="F4695" s="10" t="str">
        <v/>
      </c>
      <c r="G4695" t="e">
        <f t="shared" si="294"/>
        <v>#VALUE!</v>
      </c>
      <c r="H4695" s="13" t="e">
        <f t="shared" si="295"/>
        <v>#VALUE!</v>
      </c>
    </row>
    <row r="4696" spans="2:8">
      <c r="B4696" s="11" t="str">
        <f t="shared" si="293"/>
        <v/>
      </c>
      <c r="C4696" s="11" t="str">
        <f t="shared" si="292"/>
        <v/>
      </c>
      <c r="F4696" s="10" t="str">
        <v/>
      </c>
      <c r="G4696" t="e">
        <f t="shared" si="294"/>
        <v>#VALUE!</v>
      </c>
      <c r="H4696" s="13" t="e">
        <f t="shared" si="295"/>
        <v>#VALUE!</v>
      </c>
    </row>
    <row r="4697" spans="2:8">
      <c r="B4697" s="11" t="str">
        <f t="shared" si="293"/>
        <v/>
      </c>
      <c r="C4697" s="11" t="str">
        <f t="shared" si="292"/>
        <v/>
      </c>
      <c r="F4697" s="10" t="str">
        <v/>
      </c>
      <c r="G4697" t="e">
        <f t="shared" si="294"/>
        <v>#VALUE!</v>
      </c>
      <c r="H4697" s="13" t="e">
        <f t="shared" si="295"/>
        <v>#VALUE!</v>
      </c>
    </row>
    <row r="4698" spans="2:8">
      <c r="B4698" s="11" t="str">
        <f t="shared" si="293"/>
        <v/>
      </c>
      <c r="C4698" s="11" t="str">
        <f t="shared" si="292"/>
        <v/>
      </c>
      <c r="F4698" s="10" t="str">
        <v/>
      </c>
      <c r="G4698" t="e">
        <f t="shared" si="294"/>
        <v>#VALUE!</v>
      </c>
      <c r="H4698" s="13" t="e">
        <f t="shared" si="295"/>
        <v>#VALUE!</v>
      </c>
    </row>
    <row r="4699" spans="2:8">
      <c r="B4699" s="11" t="str">
        <f t="shared" si="293"/>
        <v/>
      </c>
      <c r="C4699" s="11" t="str">
        <f t="shared" si="292"/>
        <v/>
      </c>
      <c r="F4699" s="10" t="str">
        <v/>
      </c>
      <c r="G4699" t="e">
        <f t="shared" si="294"/>
        <v>#VALUE!</v>
      </c>
      <c r="H4699" s="13" t="e">
        <f t="shared" si="295"/>
        <v>#VALUE!</v>
      </c>
    </row>
    <row r="4700" spans="2:8">
      <c r="B4700" s="11" t="str">
        <f t="shared" si="293"/>
        <v/>
      </c>
      <c r="C4700" s="11" t="str">
        <f t="shared" si="292"/>
        <v/>
      </c>
      <c r="F4700" s="10" t="str">
        <v/>
      </c>
      <c r="G4700" t="e">
        <f t="shared" si="294"/>
        <v>#VALUE!</v>
      </c>
      <c r="H4700" s="13" t="e">
        <f t="shared" si="295"/>
        <v>#VALUE!</v>
      </c>
    </row>
    <row r="4701" spans="2:8">
      <c r="B4701" s="11" t="str">
        <f t="shared" si="293"/>
        <v/>
      </c>
      <c r="C4701" s="11" t="str">
        <f t="shared" si="292"/>
        <v/>
      </c>
      <c r="F4701" s="10" t="str">
        <v/>
      </c>
      <c r="G4701" t="e">
        <f t="shared" si="294"/>
        <v>#VALUE!</v>
      </c>
      <c r="H4701" s="13" t="e">
        <f t="shared" si="295"/>
        <v>#VALUE!</v>
      </c>
    </row>
    <row r="4702" spans="2:8">
      <c r="B4702" s="11" t="str">
        <f t="shared" si="293"/>
        <v/>
      </c>
      <c r="C4702" s="11" t="str">
        <f t="shared" si="292"/>
        <v/>
      </c>
      <c r="F4702" s="10" t="str">
        <v/>
      </c>
      <c r="G4702" t="e">
        <f t="shared" si="294"/>
        <v>#VALUE!</v>
      </c>
      <c r="H4702" s="13" t="e">
        <f t="shared" si="295"/>
        <v>#VALUE!</v>
      </c>
    </row>
    <row r="4703" spans="2:8">
      <c r="B4703" s="11" t="str">
        <f t="shared" si="293"/>
        <v/>
      </c>
      <c r="C4703" s="11" t="str">
        <f t="shared" si="292"/>
        <v/>
      </c>
      <c r="F4703" s="10" t="str">
        <v/>
      </c>
      <c r="G4703" t="e">
        <f t="shared" si="294"/>
        <v>#VALUE!</v>
      </c>
      <c r="H4703" s="13" t="e">
        <f t="shared" si="295"/>
        <v>#VALUE!</v>
      </c>
    </row>
    <row r="4704" spans="2:8">
      <c r="B4704" s="11" t="str">
        <f t="shared" si="293"/>
        <v/>
      </c>
      <c r="C4704" s="11" t="str">
        <f t="shared" si="292"/>
        <v/>
      </c>
      <c r="F4704" s="10" t="str">
        <v/>
      </c>
      <c r="G4704" t="e">
        <f t="shared" si="294"/>
        <v>#VALUE!</v>
      </c>
      <c r="H4704" s="13" t="e">
        <f t="shared" si="295"/>
        <v>#VALUE!</v>
      </c>
    </row>
    <row r="4705" spans="2:8">
      <c r="B4705" s="11" t="str">
        <f t="shared" si="293"/>
        <v/>
      </c>
      <c r="C4705" s="11" t="str">
        <f t="shared" si="292"/>
        <v/>
      </c>
      <c r="F4705" s="10" t="str">
        <v/>
      </c>
      <c r="G4705" t="e">
        <f t="shared" si="294"/>
        <v>#VALUE!</v>
      </c>
      <c r="H4705" s="13" t="e">
        <f t="shared" si="295"/>
        <v>#VALUE!</v>
      </c>
    </row>
    <row r="4706" spans="2:8">
      <c r="B4706" s="11" t="str">
        <f t="shared" si="293"/>
        <v/>
      </c>
      <c r="C4706" s="11" t="str">
        <f t="shared" si="292"/>
        <v/>
      </c>
      <c r="F4706" s="10" t="str">
        <v/>
      </c>
      <c r="G4706" t="e">
        <f t="shared" si="294"/>
        <v>#VALUE!</v>
      </c>
      <c r="H4706" s="13" t="e">
        <f t="shared" si="295"/>
        <v>#VALUE!</v>
      </c>
    </row>
    <row r="4707" spans="2:8">
      <c r="B4707" s="11" t="str">
        <f t="shared" si="293"/>
        <v/>
      </c>
      <c r="C4707" s="11" t="str">
        <f t="shared" si="292"/>
        <v/>
      </c>
      <c r="F4707" s="10" t="str">
        <v/>
      </c>
      <c r="G4707" t="e">
        <f t="shared" si="294"/>
        <v>#VALUE!</v>
      </c>
      <c r="H4707" s="13" t="e">
        <f t="shared" si="295"/>
        <v>#VALUE!</v>
      </c>
    </row>
    <row r="4708" spans="2:8">
      <c r="B4708" s="11" t="str">
        <f t="shared" si="293"/>
        <v/>
      </c>
      <c r="C4708" s="11" t="str">
        <f t="shared" si="292"/>
        <v/>
      </c>
      <c r="F4708" s="10" t="str">
        <v/>
      </c>
      <c r="G4708" t="e">
        <f t="shared" si="294"/>
        <v>#VALUE!</v>
      </c>
      <c r="H4708" s="13" t="e">
        <f t="shared" si="295"/>
        <v>#VALUE!</v>
      </c>
    </row>
    <row r="4709" spans="2:8">
      <c r="B4709" s="11" t="str">
        <f t="shared" si="293"/>
        <v/>
      </c>
      <c r="C4709" s="11" t="str">
        <f t="shared" si="292"/>
        <v/>
      </c>
      <c r="F4709" s="10" t="str">
        <v/>
      </c>
      <c r="G4709" t="e">
        <f t="shared" si="294"/>
        <v>#VALUE!</v>
      </c>
      <c r="H4709" s="13" t="e">
        <f t="shared" si="295"/>
        <v>#VALUE!</v>
      </c>
    </row>
    <row r="4710" spans="2:8">
      <c r="B4710" s="11" t="str">
        <f t="shared" si="293"/>
        <v/>
      </c>
      <c r="C4710" s="11" t="str">
        <f t="shared" si="292"/>
        <v/>
      </c>
      <c r="F4710" s="10" t="str">
        <v/>
      </c>
      <c r="G4710" t="e">
        <f t="shared" si="294"/>
        <v>#VALUE!</v>
      </c>
      <c r="H4710" s="13" t="e">
        <f t="shared" si="295"/>
        <v>#VALUE!</v>
      </c>
    </row>
    <row r="4711" spans="2:8">
      <c r="B4711" s="11" t="str">
        <f t="shared" si="293"/>
        <v/>
      </c>
      <c r="C4711" s="11" t="str">
        <f t="shared" si="292"/>
        <v/>
      </c>
      <c r="F4711" s="10" t="str">
        <v/>
      </c>
      <c r="G4711" t="e">
        <f t="shared" si="294"/>
        <v>#VALUE!</v>
      </c>
      <c r="H4711" s="13" t="e">
        <f t="shared" si="295"/>
        <v>#VALUE!</v>
      </c>
    </row>
    <row r="4712" spans="2:8">
      <c r="B4712" s="11" t="str">
        <f t="shared" si="293"/>
        <v/>
      </c>
      <c r="C4712" s="11" t="str">
        <f t="shared" si="292"/>
        <v/>
      </c>
      <c r="F4712" s="10" t="str">
        <v/>
      </c>
      <c r="G4712" t="e">
        <f t="shared" si="294"/>
        <v>#VALUE!</v>
      </c>
      <c r="H4712" s="13" t="e">
        <f t="shared" si="295"/>
        <v>#VALUE!</v>
      </c>
    </row>
    <row r="4713" spans="2:8">
      <c r="B4713" s="11" t="str">
        <f t="shared" si="293"/>
        <v/>
      </c>
      <c r="C4713" s="11" t="str">
        <f t="shared" ref="C4713:C4776" si="296">IF(B4713="артикул",A4713,"")</f>
        <v/>
      </c>
      <c r="F4713" s="10" t="str">
        <v/>
      </c>
      <c r="G4713" t="e">
        <f t="shared" si="294"/>
        <v>#VALUE!</v>
      </c>
      <c r="H4713" s="13" t="e">
        <f t="shared" si="295"/>
        <v>#VALUE!</v>
      </c>
    </row>
    <row r="4714" spans="2:8">
      <c r="B4714" s="11" t="str">
        <f t="shared" si="293"/>
        <v/>
      </c>
      <c r="C4714" s="11" t="str">
        <f t="shared" si="296"/>
        <v/>
      </c>
      <c r="F4714" s="10" t="str">
        <v/>
      </c>
      <c r="G4714" t="e">
        <f t="shared" si="294"/>
        <v>#VALUE!</v>
      </c>
      <c r="H4714" s="13" t="e">
        <f t="shared" si="295"/>
        <v>#VALUE!</v>
      </c>
    </row>
    <row r="4715" spans="2:8">
      <c r="B4715" s="11" t="str">
        <f t="shared" si="293"/>
        <v/>
      </c>
      <c r="C4715" s="11" t="str">
        <f t="shared" si="296"/>
        <v/>
      </c>
      <c r="F4715" s="10" t="str">
        <v/>
      </c>
      <c r="G4715" t="e">
        <f t="shared" si="294"/>
        <v>#VALUE!</v>
      </c>
      <c r="H4715" s="13" t="e">
        <f t="shared" si="295"/>
        <v>#VALUE!</v>
      </c>
    </row>
    <row r="4716" spans="2:8">
      <c r="B4716" s="11" t="str">
        <f t="shared" si="293"/>
        <v/>
      </c>
      <c r="C4716" s="11" t="str">
        <f t="shared" si="296"/>
        <v/>
      </c>
      <c r="F4716" s="10" t="str">
        <v/>
      </c>
      <c r="G4716" t="e">
        <f t="shared" si="294"/>
        <v>#VALUE!</v>
      </c>
      <c r="H4716" s="13" t="e">
        <f t="shared" si="295"/>
        <v>#VALUE!</v>
      </c>
    </row>
    <row r="4717" spans="2:8">
      <c r="B4717" s="11" t="str">
        <f t="shared" si="293"/>
        <v/>
      </c>
      <c r="C4717" s="11" t="str">
        <f t="shared" si="296"/>
        <v/>
      </c>
      <c r="F4717" s="10" t="str">
        <v/>
      </c>
      <c r="G4717" t="e">
        <f t="shared" si="294"/>
        <v>#VALUE!</v>
      </c>
      <c r="H4717" s="13" t="e">
        <f t="shared" si="295"/>
        <v>#VALUE!</v>
      </c>
    </row>
    <row r="4718" spans="2:8">
      <c r="B4718" s="11" t="str">
        <f t="shared" si="293"/>
        <v/>
      </c>
      <c r="C4718" s="11" t="str">
        <f t="shared" si="296"/>
        <v/>
      </c>
      <c r="F4718" s="10" t="str">
        <v/>
      </c>
      <c r="G4718" t="e">
        <f t="shared" si="294"/>
        <v>#VALUE!</v>
      </c>
      <c r="H4718" s="13" t="e">
        <f t="shared" si="295"/>
        <v>#VALUE!</v>
      </c>
    </row>
    <row r="4719" spans="2:8">
      <c r="B4719" s="11" t="str">
        <f t="shared" si="293"/>
        <v/>
      </c>
      <c r="C4719" s="11" t="str">
        <f t="shared" si="296"/>
        <v/>
      </c>
      <c r="F4719" s="10" t="str">
        <v/>
      </c>
      <c r="G4719" t="e">
        <f t="shared" si="294"/>
        <v>#VALUE!</v>
      </c>
      <c r="H4719" s="13" t="e">
        <f t="shared" si="295"/>
        <v>#VALUE!</v>
      </c>
    </row>
    <row r="4720" spans="2:8">
      <c r="B4720" s="11" t="str">
        <f t="shared" si="293"/>
        <v/>
      </c>
      <c r="C4720" s="11" t="str">
        <f t="shared" si="296"/>
        <v/>
      </c>
      <c r="F4720" s="10" t="str">
        <v/>
      </c>
      <c r="G4720" t="e">
        <f t="shared" si="294"/>
        <v>#VALUE!</v>
      </c>
      <c r="H4720" s="13" t="e">
        <f t="shared" si="295"/>
        <v>#VALUE!</v>
      </c>
    </row>
    <row r="4721" spans="2:8">
      <c r="B4721" s="11" t="str">
        <f t="shared" si="293"/>
        <v/>
      </c>
      <c r="C4721" s="11" t="str">
        <f t="shared" si="296"/>
        <v/>
      </c>
      <c r="F4721" s="10" t="str">
        <v/>
      </c>
      <c r="G4721" t="e">
        <f t="shared" si="294"/>
        <v>#VALUE!</v>
      </c>
      <c r="H4721" s="13" t="e">
        <f t="shared" si="295"/>
        <v>#VALUE!</v>
      </c>
    </row>
    <row r="4722" spans="2:8">
      <c r="B4722" s="11" t="str">
        <f t="shared" si="293"/>
        <v/>
      </c>
      <c r="C4722" s="11" t="str">
        <f t="shared" si="296"/>
        <v/>
      </c>
      <c r="F4722" s="10" t="str">
        <v/>
      </c>
      <c r="G4722" t="e">
        <f t="shared" si="294"/>
        <v>#VALUE!</v>
      </c>
      <c r="H4722" s="13" t="e">
        <f t="shared" si="295"/>
        <v>#VALUE!</v>
      </c>
    </row>
    <row r="4723" spans="2:8">
      <c r="B4723" s="11" t="str">
        <f t="shared" si="293"/>
        <v/>
      </c>
      <c r="C4723" s="11" t="str">
        <f t="shared" si="296"/>
        <v/>
      </c>
      <c r="F4723" s="10" t="str">
        <v/>
      </c>
      <c r="G4723" t="e">
        <f t="shared" si="294"/>
        <v>#VALUE!</v>
      </c>
      <c r="H4723" s="13" t="e">
        <f t="shared" si="295"/>
        <v>#VALUE!</v>
      </c>
    </row>
    <row r="4724" spans="2:8">
      <c r="B4724" s="11" t="str">
        <f t="shared" si="293"/>
        <v/>
      </c>
      <c r="C4724" s="11" t="str">
        <f t="shared" si="296"/>
        <v/>
      </c>
      <c r="F4724" s="10" t="str">
        <v/>
      </c>
      <c r="G4724" t="e">
        <f t="shared" si="294"/>
        <v>#VALUE!</v>
      </c>
      <c r="H4724" s="13" t="e">
        <f t="shared" si="295"/>
        <v>#VALUE!</v>
      </c>
    </row>
    <row r="4725" spans="2:8">
      <c r="B4725" s="11" t="str">
        <f t="shared" si="293"/>
        <v/>
      </c>
      <c r="C4725" s="11" t="str">
        <f t="shared" si="296"/>
        <v/>
      </c>
      <c r="F4725" s="10" t="str">
        <v/>
      </c>
      <c r="G4725" t="e">
        <f t="shared" si="294"/>
        <v>#VALUE!</v>
      </c>
      <c r="H4725" s="13" t="e">
        <f t="shared" si="295"/>
        <v>#VALUE!</v>
      </c>
    </row>
    <row r="4726" spans="2:8">
      <c r="B4726" s="11" t="str">
        <f t="shared" si="293"/>
        <v/>
      </c>
      <c r="C4726" s="11" t="str">
        <f t="shared" si="296"/>
        <v/>
      </c>
      <c r="F4726" s="10" t="str">
        <v/>
      </c>
      <c r="G4726" t="e">
        <f t="shared" si="294"/>
        <v>#VALUE!</v>
      </c>
      <c r="H4726" s="13" t="e">
        <f t="shared" si="295"/>
        <v>#VALUE!</v>
      </c>
    </row>
    <row r="4727" spans="2:8">
      <c r="B4727" s="11" t="str">
        <f t="shared" si="293"/>
        <v/>
      </c>
      <c r="C4727" s="11" t="str">
        <f t="shared" si="296"/>
        <v/>
      </c>
      <c r="F4727" s="10" t="str">
        <v/>
      </c>
      <c r="G4727" t="e">
        <f t="shared" si="294"/>
        <v>#VALUE!</v>
      </c>
      <c r="H4727" s="13" t="e">
        <f t="shared" si="295"/>
        <v>#VALUE!</v>
      </c>
    </row>
    <row r="4728" spans="2:8">
      <c r="B4728" s="11" t="str">
        <f t="shared" si="293"/>
        <v/>
      </c>
      <c r="C4728" s="11" t="str">
        <f t="shared" si="296"/>
        <v/>
      </c>
      <c r="F4728" s="10" t="str">
        <v/>
      </c>
      <c r="G4728" t="e">
        <f t="shared" si="294"/>
        <v>#VALUE!</v>
      </c>
      <c r="H4728" s="13" t="e">
        <f t="shared" si="295"/>
        <v>#VALUE!</v>
      </c>
    </row>
    <row r="4729" spans="2:8">
      <c r="B4729" s="11" t="str">
        <f t="shared" si="293"/>
        <v/>
      </c>
      <c r="C4729" s="11" t="str">
        <f t="shared" si="296"/>
        <v/>
      </c>
      <c r="F4729" s="10" t="str">
        <v/>
      </c>
      <c r="G4729" t="e">
        <f t="shared" si="294"/>
        <v>#VALUE!</v>
      </c>
      <c r="H4729" s="13" t="e">
        <f t="shared" si="295"/>
        <v>#VALUE!</v>
      </c>
    </row>
    <row r="4730" spans="2:8">
      <c r="B4730" s="11" t="str">
        <f t="shared" si="293"/>
        <v/>
      </c>
      <c r="C4730" s="11" t="str">
        <f t="shared" si="296"/>
        <v/>
      </c>
      <c r="F4730" s="10" t="str">
        <v/>
      </c>
      <c r="G4730" t="e">
        <f t="shared" si="294"/>
        <v>#VALUE!</v>
      </c>
      <c r="H4730" s="13" t="e">
        <f t="shared" si="295"/>
        <v>#VALUE!</v>
      </c>
    </row>
    <row r="4731" spans="2:8">
      <c r="B4731" s="11" t="str">
        <f t="shared" si="293"/>
        <v/>
      </c>
      <c r="C4731" s="11" t="str">
        <f t="shared" si="296"/>
        <v/>
      </c>
      <c r="F4731" s="10" t="str">
        <v/>
      </c>
      <c r="G4731" t="e">
        <f t="shared" si="294"/>
        <v>#VALUE!</v>
      </c>
      <c r="H4731" s="13" t="e">
        <f t="shared" si="295"/>
        <v>#VALUE!</v>
      </c>
    </row>
    <row r="4732" spans="2:8">
      <c r="B4732" s="11" t="str">
        <f t="shared" si="293"/>
        <v/>
      </c>
      <c r="C4732" s="11" t="str">
        <f t="shared" si="296"/>
        <v/>
      </c>
      <c r="F4732" s="10" t="str">
        <v/>
      </c>
      <c r="G4732" t="e">
        <f t="shared" si="294"/>
        <v>#VALUE!</v>
      </c>
      <c r="H4732" s="13" t="e">
        <f t="shared" si="295"/>
        <v>#VALUE!</v>
      </c>
    </row>
    <row r="4733" spans="2:8">
      <c r="B4733" s="11" t="str">
        <f t="shared" si="293"/>
        <v/>
      </c>
      <c r="C4733" s="11" t="str">
        <f t="shared" si="296"/>
        <v/>
      </c>
      <c r="F4733" s="10" t="str">
        <v/>
      </c>
      <c r="G4733" t="e">
        <f t="shared" si="294"/>
        <v>#VALUE!</v>
      </c>
      <c r="H4733" s="13" t="e">
        <f t="shared" si="295"/>
        <v>#VALUE!</v>
      </c>
    </row>
    <row r="4734" spans="2:8">
      <c r="B4734" s="11" t="str">
        <f t="shared" si="293"/>
        <v/>
      </c>
      <c r="C4734" s="11" t="str">
        <f t="shared" si="296"/>
        <v/>
      </c>
      <c r="F4734" s="10" t="str">
        <v/>
      </c>
      <c r="G4734" t="e">
        <f t="shared" si="294"/>
        <v>#VALUE!</v>
      </c>
      <c r="H4734" s="13" t="e">
        <f t="shared" si="295"/>
        <v>#VALUE!</v>
      </c>
    </row>
    <row r="4735" spans="2:8">
      <c r="B4735" s="11" t="str">
        <f t="shared" si="293"/>
        <v/>
      </c>
      <c r="C4735" s="11" t="str">
        <f t="shared" si="296"/>
        <v/>
      </c>
      <c r="F4735" s="10" t="str">
        <v/>
      </c>
      <c r="G4735" t="e">
        <f t="shared" si="294"/>
        <v>#VALUE!</v>
      </c>
      <c r="H4735" s="13" t="e">
        <f t="shared" si="295"/>
        <v>#VALUE!</v>
      </c>
    </row>
    <row r="4736" spans="2:8">
      <c r="B4736" s="11" t="str">
        <f t="shared" si="293"/>
        <v/>
      </c>
      <c r="C4736" s="11" t="str">
        <f t="shared" si="296"/>
        <v/>
      </c>
      <c r="F4736" s="10" t="str">
        <v/>
      </c>
      <c r="G4736" t="e">
        <f t="shared" si="294"/>
        <v>#VALUE!</v>
      </c>
      <c r="H4736" s="13" t="e">
        <f t="shared" si="295"/>
        <v>#VALUE!</v>
      </c>
    </row>
    <row r="4737" spans="2:8">
      <c r="B4737" s="11" t="str">
        <f t="shared" ref="B4737:B4800" si="297">IFERROR(IF(FIND(" ",A4737)=6,IF(IFERROR(FIND(" PB",A4737),"")&lt;&gt;"","артикул",IF(IFERROR(FIND(" CRN",A4737),"")&lt;&gt;"","артикул","")),""),"")</f>
        <v/>
      </c>
      <c r="C4737" s="11" t="str">
        <f t="shared" si="296"/>
        <v/>
      </c>
      <c r="F4737" s="10" t="str">
        <v/>
      </c>
      <c r="G4737" t="e">
        <f t="shared" si="294"/>
        <v>#VALUE!</v>
      </c>
      <c r="H4737" s="13" t="e">
        <f t="shared" si="295"/>
        <v>#VALUE!</v>
      </c>
    </row>
    <row r="4738" spans="2:8">
      <c r="B4738" s="11" t="str">
        <f t="shared" si="297"/>
        <v/>
      </c>
      <c r="C4738" s="11" t="str">
        <f t="shared" si="296"/>
        <v/>
      </c>
      <c r="F4738" s="10" t="str">
        <v/>
      </c>
      <c r="G4738" t="e">
        <f t="shared" ref="G4738:G4801" si="298">CONCATENATE(LEFT(F4738,5),
MID(F4738,
SEARCH("\",SUBSTITUTE(F4738," ","\",LEN(F4738)-LEN(SUBSTITUTE(F4738," ",""))-4)),
SEARCH("\",SUBSTITUTE(F4738," ","\",LEN(F4738)-LEN(SUBSTITUTE(F4738," ",""))-3))-
SEARCH("\",SUBSTITUTE(F4738," ","\",LEN(F4738)-LEN(SUBSTITUTE(F4738," ",""))-4)))*1)</f>
        <v>#VALUE!</v>
      </c>
      <c r="H4738" s="13" t="e">
        <f t="shared" ref="H4738:H4801" si="299">SUBSTITUTE(
RIGHT(F4738,LEN(F4738)-
FIND("\",SUBSTITUTE(F4738," ","\",LEN(F4738)-LEN(SUBSTITUTE(F4738," ",""))))),
".","")</f>
        <v>#VALUE!</v>
      </c>
    </row>
    <row r="4739" spans="2:8">
      <c r="B4739" s="11" t="str">
        <f t="shared" si="297"/>
        <v/>
      </c>
      <c r="C4739" s="11" t="str">
        <f t="shared" si="296"/>
        <v/>
      </c>
      <c r="F4739" s="10" t="str">
        <v/>
      </c>
      <c r="G4739" t="e">
        <f t="shared" si="298"/>
        <v>#VALUE!</v>
      </c>
      <c r="H4739" s="13" t="e">
        <f t="shared" si="299"/>
        <v>#VALUE!</v>
      </c>
    </row>
    <row r="4740" spans="2:8">
      <c r="B4740" s="11" t="str">
        <f t="shared" si="297"/>
        <v/>
      </c>
      <c r="C4740" s="11" t="str">
        <f t="shared" si="296"/>
        <v/>
      </c>
      <c r="F4740" s="10" t="str">
        <v/>
      </c>
      <c r="G4740" t="e">
        <f t="shared" si="298"/>
        <v>#VALUE!</v>
      </c>
      <c r="H4740" s="13" t="e">
        <f t="shared" si="299"/>
        <v>#VALUE!</v>
      </c>
    </row>
    <row r="4741" spans="2:8">
      <c r="B4741" s="11" t="str">
        <f t="shared" si="297"/>
        <v/>
      </c>
      <c r="C4741" s="11" t="str">
        <f t="shared" si="296"/>
        <v/>
      </c>
      <c r="F4741" s="10" t="str">
        <v/>
      </c>
      <c r="G4741" t="e">
        <f t="shared" si="298"/>
        <v>#VALUE!</v>
      </c>
      <c r="H4741" s="13" t="e">
        <f t="shared" si="299"/>
        <v>#VALUE!</v>
      </c>
    </row>
    <row r="4742" spans="2:8">
      <c r="B4742" s="11" t="str">
        <f t="shared" si="297"/>
        <v/>
      </c>
      <c r="C4742" s="11" t="str">
        <f t="shared" si="296"/>
        <v/>
      </c>
      <c r="F4742" s="10" t="str">
        <v/>
      </c>
      <c r="G4742" t="e">
        <f t="shared" si="298"/>
        <v>#VALUE!</v>
      </c>
      <c r="H4742" s="13" t="e">
        <f t="shared" si="299"/>
        <v>#VALUE!</v>
      </c>
    </row>
    <row r="4743" spans="2:8">
      <c r="B4743" s="11" t="str">
        <f t="shared" si="297"/>
        <v/>
      </c>
      <c r="C4743" s="11" t="str">
        <f t="shared" si="296"/>
        <v/>
      </c>
      <c r="F4743" s="10" t="str">
        <v/>
      </c>
      <c r="G4743" t="e">
        <f t="shared" si="298"/>
        <v>#VALUE!</v>
      </c>
      <c r="H4743" s="13" t="e">
        <f t="shared" si="299"/>
        <v>#VALUE!</v>
      </c>
    </row>
    <row r="4744" spans="2:8">
      <c r="B4744" s="11" t="str">
        <f t="shared" si="297"/>
        <v/>
      </c>
      <c r="C4744" s="11" t="str">
        <f t="shared" si="296"/>
        <v/>
      </c>
      <c r="F4744" s="10" t="str">
        <v/>
      </c>
      <c r="G4744" t="e">
        <f t="shared" si="298"/>
        <v>#VALUE!</v>
      </c>
      <c r="H4744" s="13" t="e">
        <f t="shared" si="299"/>
        <v>#VALUE!</v>
      </c>
    </row>
    <row r="4745" spans="2:8">
      <c r="B4745" s="11" t="str">
        <f t="shared" si="297"/>
        <v/>
      </c>
      <c r="C4745" s="11" t="str">
        <f t="shared" si="296"/>
        <v/>
      </c>
      <c r="F4745" s="10" t="str">
        <v/>
      </c>
      <c r="G4745" t="e">
        <f t="shared" si="298"/>
        <v>#VALUE!</v>
      </c>
      <c r="H4745" s="13" t="e">
        <f t="shared" si="299"/>
        <v>#VALUE!</v>
      </c>
    </row>
    <row r="4746" spans="2:8">
      <c r="B4746" s="11" t="str">
        <f t="shared" si="297"/>
        <v/>
      </c>
      <c r="C4746" s="11" t="str">
        <f t="shared" si="296"/>
        <v/>
      </c>
      <c r="F4746" s="10" t="str">
        <v/>
      </c>
      <c r="G4746" t="e">
        <f t="shared" si="298"/>
        <v>#VALUE!</v>
      </c>
      <c r="H4746" s="13" t="e">
        <f t="shared" si="299"/>
        <v>#VALUE!</v>
      </c>
    </row>
    <row r="4747" spans="2:8">
      <c r="B4747" s="11" t="str">
        <f t="shared" si="297"/>
        <v/>
      </c>
      <c r="C4747" s="11" t="str">
        <f t="shared" si="296"/>
        <v/>
      </c>
      <c r="F4747" s="10" t="str">
        <v/>
      </c>
      <c r="G4747" t="e">
        <f t="shared" si="298"/>
        <v>#VALUE!</v>
      </c>
      <c r="H4747" s="13" t="e">
        <f t="shared" si="299"/>
        <v>#VALUE!</v>
      </c>
    </row>
    <row r="4748" spans="2:8">
      <c r="B4748" s="11" t="str">
        <f t="shared" si="297"/>
        <v/>
      </c>
      <c r="C4748" s="11" t="str">
        <f t="shared" si="296"/>
        <v/>
      </c>
      <c r="F4748" s="10" t="str">
        <v/>
      </c>
      <c r="G4748" t="e">
        <f t="shared" si="298"/>
        <v>#VALUE!</v>
      </c>
      <c r="H4748" s="13" t="e">
        <f t="shared" si="299"/>
        <v>#VALUE!</v>
      </c>
    </row>
    <row r="4749" spans="2:8">
      <c r="B4749" s="11" t="str">
        <f t="shared" si="297"/>
        <v/>
      </c>
      <c r="C4749" s="11" t="str">
        <f t="shared" si="296"/>
        <v/>
      </c>
      <c r="F4749" s="10" t="str">
        <v/>
      </c>
      <c r="G4749" t="e">
        <f t="shared" si="298"/>
        <v>#VALUE!</v>
      </c>
      <c r="H4749" s="13" t="e">
        <f t="shared" si="299"/>
        <v>#VALUE!</v>
      </c>
    </row>
    <row r="4750" spans="2:8">
      <c r="B4750" s="11" t="str">
        <f t="shared" si="297"/>
        <v/>
      </c>
      <c r="C4750" s="11" t="str">
        <f t="shared" si="296"/>
        <v/>
      </c>
      <c r="F4750" s="10" t="str">
        <v/>
      </c>
      <c r="G4750" t="e">
        <f t="shared" si="298"/>
        <v>#VALUE!</v>
      </c>
      <c r="H4750" s="13" t="e">
        <f t="shared" si="299"/>
        <v>#VALUE!</v>
      </c>
    </row>
    <row r="4751" spans="2:8">
      <c r="B4751" s="11" t="str">
        <f t="shared" si="297"/>
        <v/>
      </c>
      <c r="C4751" s="11" t="str">
        <f t="shared" si="296"/>
        <v/>
      </c>
      <c r="F4751" s="10" t="str">
        <v/>
      </c>
      <c r="G4751" t="e">
        <f t="shared" si="298"/>
        <v>#VALUE!</v>
      </c>
      <c r="H4751" s="13" t="e">
        <f t="shared" si="299"/>
        <v>#VALUE!</v>
      </c>
    </row>
    <row r="4752" spans="2:8">
      <c r="B4752" s="11" t="str">
        <f t="shared" si="297"/>
        <v/>
      </c>
      <c r="C4752" s="11" t="str">
        <f t="shared" si="296"/>
        <v/>
      </c>
      <c r="F4752" s="10" t="str">
        <v/>
      </c>
      <c r="G4752" t="e">
        <f t="shared" si="298"/>
        <v>#VALUE!</v>
      </c>
      <c r="H4752" s="13" t="e">
        <f t="shared" si="299"/>
        <v>#VALUE!</v>
      </c>
    </row>
    <row r="4753" spans="2:8">
      <c r="B4753" s="11" t="str">
        <f t="shared" si="297"/>
        <v/>
      </c>
      <c r="C4753" s="11" t="str">
        <f t="shared" si="296"/>
        <v/>
      </c>
      <c r="F4753" s="10" t="str">
        <v/>
      </c>
      <c r="G4753" t="e">
        <f t="shared" si="298"/>
        <v>#VALUE!</v>
      </c>
      <c r="H4753" s="13" t="e">
        <f t="shared" si="299"/>
        <v>#VALUE!</v>
      </c>
    </row>
    <row r="4754" spans="2:8">
      <c r="B4754" s="11" t="str">
        <f t="shared" si="297"/>
        <v/>
      </c>
      <c r="C4754" s="11" t="str">
        <f t="shared" si="296"/>
        <v/>
      </c>
      <c r="F4754" s="10" t="str">
        <v/>
      </c>
      <c r="G4754" t="e">
        <f t="shared" si="298"/>
        <v>#VALUE!</v>
      </c>
      <c r="H4754" s="13" t="e">
        <f t="shared" si="299"/>
        <v>#VALUE!</v>
      </c>
    </row>
    <row r="4755" spans="2:8">
      <c r="B4755" s="11" t="str">
        <f t="shared" si="297"/>
        <v/>
      </c>
      <c r="C4755" s="11" t="str">
        <f t="shared" si="296"/>
        <v/>
      </c>
      <c r="F4755" s="10" t="str">
        <v/>
      </c>
      <c r="G4755" t="e">
        <f t="shared" si="298"/>
        <v>#VALUE!</v>
      </c>
      <c r="H4755" s="13" t="e">
        <f t="shared" si="299"/>
        <v>#VALUE!</v>
      </c>
    </row>
    <row r="4756" spans="2:8">
      <c r="B4756" s="11" t="str">
        <f t="shared" si="297"/>
        <v/>
      </c>
      <c r="C4756" s="11" t="str">
        <f t="shared" si="296"/>
        <v/>
      </c>
      <c r="F4756" s="10" t="str">
        <v/>
      </c>
      <c r="G4756" t="e">
        <f t="shared" si="298"/>
        <v>#VALUE!</v>
      </c>
      <c r="H4756" s="13" t="e">
        <f t="shared" si="299"/>
        <v>#VALUE!</v>
      </c>
    </row>
    <row r="4757" spans="2:8">
      <c r="B4757" s="11" t="str">
        <f t="shared" si="297"/>
        <v/>
      </c>
      <c r="C4757" s="11" t="str">
        <f t="shared" si="296"/>
        <v/>
      </c>
      <c r="F4757" s="10" t="str">
        <v/>
      </c>
      <c r="G4757" t="e">
        <f t="shared" si="298"/>
        <v>#VALUE!</v>
      </c>
      <c r="H4757" s="13" t="e">
        <f t="shared" si="299"/>
        <v>#VALUE!</v>
      </c>
    </row>
    <row r="4758" spans="2:8">
      <c r="B4758" s="11" t="str">
        <f t="shared" si="297"/>
        <v/>
      </c>
      <c r="C4758" s="11" t="str">
        <f t="shared" si="296"/>
        <v/>
      </c>
      <c r="F4758" s="10" t="str">
        <v/>
      </c>
      <c r="G4758" t="e">
        <f t="shared" si="298"/>
        <v>#VALUE!</v>
      </c>
      <c r="H4758" s="13" t="e">
        <f t="shared" si="299"/>
        <v>#VALUE!</v>
      </c>
    </row>
    <row r="4759" spans="2:8">
      <c r="B4759" s="11" t="str">
        <f t="shared" si="297"/>
        <v/>
      </c>
      <c r="C4759" s="11" t="str">
        <f t="shared" si="296"/>
        <v/>
      </c>
      <c r="F4759" s="10" t="str">
        <v/>
      </c>
      <c r="G4759" t="e">
        <f t="shared" si="298"/>
        <v>#VALUE!</v>
      </c>
      <c r="H4759" s="13" t="e">
        <f t="shared" si="299"/>
        <v>#VALUE!</v>
      </c>
    </row>
    <row r="4760" spans="2:8">
      <c r="B4760" s="11" t="str">
        <f t="shared" si="297"/>
        <v/>
      </c>
      <c r="C4760" s="11" t="str">
        <f t="shared" si="296"/>
        <v/>
      </c>
      <c r="F4760" s="10" t="str">
        <v/>
      </c>
      <c r="G4760" t="e">
        <f t="shared" si="298"/>
        <v>#VALUE!</v>
      </c>
      <c r="H4760" s="13" t="e">
        <f t="shared" si="299"/>
        <v>#VALUE!</v>
      </c>
    </row>
    <row r="4761" spans="2:8">
      <c r="B4761" s="11" t="str">
        <f t="shared" si="297"/>
        <v/>
      </c>
      <c r="C4761" s="11" t="str">
        <f t="shared" si="296"/>
        <v/>
      </c>
      <c r="F4761" s="10" t="str">
        <v/>
      </c>
      <c r="G4761" t="e">
        <f t="shared" si="298"/>
        <v>#VALUE!</v>
      </c>
      <c r="H4761" s="13" t="e">
        <f t="shared" si="299"/>
        <v>#VALUE!</v>
      </c>
    </row>
    <row r="4762" spans="2:8">
      <c r="B4762" s="11" t="str">
        <f t="shared" si="297"/>
        <v/>
      </c>
      <c r="C4762" s="11" t="str">
        <f t="shared" si="296"/>
        <v/>
      </c>
      <c r="F4762" s="10" t="str">
        <v/>
      </c>
      <c r="G4762" t="e">
        <f t="shared" si="298"/>
        <v>#VALUE!</v>
      </c>
      <c r="H4762" s="13" t="e">
        <f t="shared" si="299"/>
        <v>#VALUE!</v>
      </c>
    </row>
    <row r="4763" spans="2:8">
      <c r="B4763" s="11" t="str">
        <f t="shared" si="297"/>
        <v/>
      </c>
      <c r="C4763" s="11" t="str">
        <f t="shared" si="296"/>
        <v/>
      </c>
      <c r="F4763" s="10" t="str">
        <v/>
      </c>
      <c r="G4763" t="e">
        <f t="shared" si="298"/>
        <v>#VALUE!</v>
      </c>
      <c r="H4763" s="13" t="e">
        <f t="shared" si="299"/>
        <v>#VALUE!</v>
      </c>
    </row>
    <row r="4764" spans="2:8">
      <c r="B4764" s="11" t="str">
        <f t="shared" si="297"/>
        <v/>
      </c>
      <c r="C4764" s="11" t="str">
        <f t="shared" si="296"/>
        <v/>
      </c>
      <c r="F4764" s="10" t="str">
        <v/>
      </c>
      <c r="G4764" t="e">
        <f t="shared" si="298"/>
        <v>#VALUE!</v>
      </c>
      <c r="H4764" s="13" t="e">
        <f t="shared" si="299"/>
        <v>#VALUE!</v>
      </c>
    </row>
    <row r="4765" spans="2:8">
      <c r="B4765" s="11" t="str">
        <f t="shared" si="297"/>
        <v/>
      </c>
      <c r="C4765" s="11" t="str">
        <f t="shared" si="296"/>
        <v/>
      </c>
      <c r="F4765" s="10" t="str">
        <v/>
      </c>
      <c r="G4765" t="e">
        <f t="shared" si="298"/>
        <v>#VALUE!</v>
      </c>
      <c r="H4765" s="13" t="e">
        <f t="shared" si="299"/>
        <v>#VALUE!</v>
      </c>
    </row>
    <row r="4766" spans="2:8">
      <c r="B4766" s="11" t="str">
        <f t="shared" si="297"/>
        <v/>
      </c>
      <c r="C4766" s="11" t="str">
        <f t="shared" si="296"/>
        <v/>
      </c>
      <c r="F4766" s="10" t="str">
        <v/>
      </c>
      <c r="G4766" t="e">
        <f t="shared" si="298"/>
        <v>#VALUE!</v>
      </c>
      <c r="H4766" s="13" t="e">
        <f t="shared" si="299"/>
        <v>#VALUE!</v>
      </c>
    </row>
    <row r="4767" spans="2:8">
      <c r="B4767" s="11" t="str">
        <f t="shared" si="297"/>
        <v/>
      </c>
      <c r="C4767" s="11" t="str">
        <f t="shared" si="296"/>
        <v/>
      </c>
      <c r="F4767" s="10" t="str">
        <v/>
      </c>
      <c r="G4767" t="e">
        <f t="shared" si="298"/>
        <v>#VALUE!</v>
      </c>
      <c r="H4767" s="13" t="e">
        <f t="shared" si="299"/>
        <v>#VALUE!</v>
      </c>
    </row>
    <row r="4768" spans="2:8">
      <c r="B4768" s="11" t="str">
        <f t="shared" si="297"/>
        <v/>
      </c>
      <c r="C4768" s="11" t="str">
        <f t="shared" si="296"/>
        <v/>
      </c>
      <c r="F4768" s="10" t="str">
        <v/>
      </c>
      <c r="G4768" t="e">
        <f t="shared" si="298"/>
        <v>#VALUE!</v>
      </c>
      <c r="H4768" s="13" t="e">
        <f t="shared" si="299"/>
        <v>#VALUE!</v>
      </c>
    </row>
    <row r="4769" spans="2:8">
      <c r="B4769" s="11" t="str">
        <f t="shared" si="297"/>
        <v/>
      </c>
      <c r="C4769" s="11" t="str">
        <f t="shared" si="296"/>
        <v/>
      </c>
      <c r="F4769" s="10" t="str">
        <v/>
      </c>
      <c r="G4769" t="e">
        <f t="shared" si="298"/>
        <v>#VALUE!</v>
      </c>
      <c r="H4769" s="13" t="e">
        <f t="shared" si="299"/>
        <v>#VALUE!</v>
      </c>
    </row>
    <row r="4770" spans="2:8">
      <c r="B4770" s="11" t="str">
        <f t="shared" si="297"/>
        <v/>
      </c>
      <c r="C4770" s="11" t="str">
        <f t="shared" si="296"/>
        <v/>
      </c>
      <c r="F4770" s="10" t="str">
        <v/>
      </c>
      <c r="G4770" t="e">
        <f t="shared" si="298"/>
        <v>#VALUE!</v>
      </c>
      <c r="H4770" s="13" t="e">
        <f t="shared" si="299"/>
        <v>#VALUE!</v>
      </c>
    </row>
    <row r="4771" spans="2:8">
      <c r="B4771" s="11" t="str">
        <f t="shared" si="297"/>
        <v/>
      </c>
      <c r="C4771" s="11" t="str">
        <f t="shared" si="296"/>
        <v/>
      </c>
      <c r="F4771" s="10" t="str">
        <v/>
      </c>
      <c r="G4771" t="e">
        <f t="shared" si="298"/>
        <v>#VALUE!</v>
      </c>
      <c r="H4771" s="13" t="e">
        <f t="shared" si="299"/>
        <v>#VALUE!</v>
      </c>
    </row>
    <row r="4772" spans="2:8">
      <c r="B4772" s="11" t="str">
        <f t="shared" si="297"/>
        <v/>
      </c>
      <c r="C4772" s="11" t="str">
        <f t="shared" si="296"/>
        <v/>
      </c>
      <c r="F4772" s="10" t="str">
        <v/>
      </c>
      <c r="G4772" t="e">
        <f t="shared" si="298"/>
        <v>#VALUE!</v>
      </c>
      <c r="H4772" s="13" t="e">
        <f t="shared" si="299"/>
        <v>#VALUE!</v>
      </c>
    </row>
    <row r="4773" spans="2:8">
      <c r="B4773" s="11" t="str">
        <f t="shared" si="297"/>
        <v/>
      </c>
      <c r="C4773" s="11" t="str">
        <f t="shared" si="296"/>
        <v/>
      </c>
      <c r="F4773" s="10" t="str">
        <v/>
      </c>
      <c r="G4773" t="e">
        <f t="shared" si="298"/>
        <v>#VALUE!</v>
      </c>
      <c r="H4773" s="13" t="e">
        <f t="shared" si="299"/>
        <v>#VALUE!</v>
      </c>
    </row>
    <row r="4774" spans="2:8">
      <c r="B4774" s="11" t="str">
        <f t="shared" si="297"/>
        <v/>
      </c>
      <c r="C4774" s="11" t="str">
        <f t="shared" si="296"/>
        <v/>
      </c>
      <c r="F4774" s="10" t="str">
        <v/>
      </c>
      <c r="G4774" t="e">
        <f t="shared" si="298"/>
        <v>#VALUE!</v>
      </c>
      <c r="H4774" s="13" t="e">
        <f t="shared" si="299"/>
        <v>#VALUE!</v>
      </c>
    </row>
    <row r="4775" spans="2:8">
      <c r="B4775" s="11" t="str">
        <f t="shared" si="297"/>
        <v/>
      </c>
      <c r="C4775" s="11" t="str">
        <f t="shared" si="296"/>
        <v/>
      </c>
      <c r="F4775" s="10" t="str">
        <v/>
      </c>
      <c r="G4775" t="e">
        <f t="shared" si="298"/>
        <v>#VALUE!</v>
      </c>
      <c r="H4775" s="13" t="e">
        <f t="shared" si="299"/>
        <v>#VALUE!</v>
      </c>
    </row>
    <row r="4776" spans="2:8">
      <c r="B4776" s="11" t="str">
        <f t="shared" si="297"/>
        <v/>
      </c>
      <c r="C4776" s="11" t="str">
        <f t="shared" si="296"/>
        <v/>
      </c>
      <c r="F4776" s="10" t="str">
        <v/>
      </c>
      <c r="G4776" t="e">
        <f t="shared" si="298"/>
        <v>#VALUE!</v>
      </c>
      <c r="H4776" s="13" t="e">
        <f t="shared" si="299"/>
        <v>#VALUE!</v>
      </c>
    </row>
    <row r="4777" spans="2:8">
      <c r="B4777" s="11" t="str">
        <f t="shared" si="297"/>
        <v/>
      </c>
      <c r="C4777" s="11" t="str">
        <f t="shared" ref="C4777:C4840" si="300">IF(B4777="артикул",A4777,"")</f>
        <v/>
      </c>
      <c r="F4777" s="10" t="str">
        <v/>
      </c>
      <c r="G4777" t="e">
        <f t="shared" si="298"/>
        <v>#VALUE!</v>
      </c>
      <c r="H4777" s="13" t="e">
        <f t="shared" si="299"/>
        <v>#VALUE!</v>
      </c>
    </row>
    <row r="4778" spans="2:8">
      <c r="B4778" s="11" t="str">
        <f t="shared" si="297"/>
        <v/>
      </c>
      <c r="C4778" s="11" t="str">
        <f t="shared" si="300"/>
        <v/>
      </c>
      <c r="F4778" s="10" t="str">
        <v/>
      </c>
      <c r="G4778" t="e">
        <f t="shared" si="298"/>
        <v>#VALUE!</v>
      </c>
      <c r="H4778" s="13" t="e">
        <f t="shared" si="299"/>
        <v>#VALUE!</v>
      </c>
    </row>
    <row r="4779" spans="2:8">
      <c r="B4779" s="11" t="str">
        <f t="shared" si="297"/>
        <v/>
      </c>
      <c r="C4779" s="11" t="str">
        <f t="shared" si="300"/>
        <v/>
      </c>
      <c r="F4779" s="10" t="str">
        <v/>
      </c>
      <c r="G4779" t="e">
        <f t="shared" si="298"/>
        <v>#VALUE!</v>
      </c>
      <c r="H4779" s="13" t="e">
        <f t="shared" si="299"/>
        <v>#VALUE!</v>
      </c>
    </row>
    <row r="4780" spans="2:8">
      <c r="B4780" s="11" t="str">
        <f t="shared" si="297"/>
        <v/>
      </c>
      <c r="C4780" s="11" t="str">
        <f t="shared" si="300"/>
        <v/>
      </c>
      <c r="F4780" s="10" t="str">
        <v/>
      </c>
      <c r="G4780" t="e">
        <f t="shared" si="298"/>
        <v>#VALUE!</v>
      </c>
      <c r="H4780" s="13" t="e">
        <f t="shared" si="299"/>
        <v>#VALUE!</v>
      </c>
    </row>
    <row r="4781" spans="2:8">
      <c r="B4781" s="11" t="str">
        <f t="shared" si="297"/>
        <v/>
      </c>
      <c r="C4781" s="11" t="str">
        <f t="shared" si="300"/>
        <v/>
      </c>
      <c r="F4781" s="10" t="str">
        <v/>
      </c>
      <c r="G4781" t="e">
        <f t="shared" si="298"/>
        <v>#VALUE!</v>
      </c>
      <c r="H4781" s="13" t="e">
        <f t="shared" si="299"/>
        <v>#VALUE!</v>
      </c>
    </row>
    <row r="4782" spans="2:8">
      <c r="B4782" s="11" t="str">
        <f t="shared" si="297"/>
        <v/>
      </c>
      <c r="C4782" s="11" t="str">
        <f t="shared" si="300"/>
        <v/>
      </c>
      <c r="F4782" s="10" t="str">
        <v/>
      </c>
      <c r="G4782" t="e">
        <f t="shared" si="298"/>
        <v>#VALUE!</v>
      </c>
      <c r="H4782" s="13" t="e">
        <f t="shared" si="299"/>
        <v>#VALUE!</v>
      </c>
    </row>
    <row r="4783" spans="2:8">
      <c r="B4783" s="11" t="str">
        <f t="shared" si="297"/>
        <v/>
      </c>
      <c r="C4783" s="11" t="str">
        <f t="shared" si="300"/>
        <v/>
      </c>
      <c r="F4783" s="10" t="str">
        <v/>
      </c>
      <c r="G4783" t="e">
        <f t="shared" si="298"/>
        <v>#VALUE!</v>
      </c>
      <c r="H4783" s="13" t="e">
        <f t="shared" si="299"/>
        <v>#VALUE!</v>
      </c>
    </row>
    <row r="4784" spans="2:8">
      <c r="B4784" s="11" t="str">
        <f t="shared" si="297"/>
        <v/>
      </c>
      <c r="C4784" s="11" t="str">
        <f t="shared" si="300"/>
        <v/>
      </c>
      <c r="F4784" s="10" t="str">
        <v/>
      </c>
      <c r="G4784" t="e">
        <f t="shared" si="298"/>
        <v>#VALUE!</v>
      </c>
      <c r="H4784" s="13" t="e">
        <f t="shared" si="299"/>
        <v>#VALUE!</v>
      </c>
    </row>
    <row r="4785" spans="2:8">
      <c r="B4785" s="11" t="str">
        <f t="shared" si="297"/>
        <v/>
      </c>
      <c r="C4785" s="11" t="str">
        <f t="shared" si="300"/>
        <v/>
      </c>
      <c r="F4785" s="10" t="str">
        <v/>
      </c>
      <c r="G4785" t="e">
        <f t="shared" si="298"/>
        <v>#VALUE!</v>
      </c>
      <c r="H4785" s="13" t="e">
        <f t="shared" si="299"/>
        <v>#VALUE!</v>
      </c>
    </row>
    <row r="4786" spans="2:8">
      <c r="B4786" s="11" t="str">
        <f t="shared" si="297"/>
        <v/>
      </c>
      <c r="C4786" s="11" t="str">
        <f t="shared" si="300"/>
        <v/>
      </c>
      <c r="F4786" s="10" t="str">
        <v/>
      </c>
      <c r="G4786" t="e">
        <f t="shared" si="298"/>
        <v>#VALUE!</v>
      </c>
      <c r="H4786" s="13" t="e">
        <f t="shared" si="299"/>
        <v>#VALUE!</v>
      </c>
    </row>
    <row r="4787" spans="2:8">
      <c r="B4787" s="11" t="str">
        <f t="shared" si="297"/>
        <v/>
      </c>
      <c r="C4787" s="11" t="str">
        <f t="shared" si="300"/>
        <v/>
      </c>
      <c r="F4787" s="10" t="str">
        <v/>
      </c>
      <c r="G4787" t="e">
        <f t="shared" si="298"/>
        <v>#VALUE!</v>
      </c>
      <c r="H4787" s="13" t="e">
        <f t="shared" si="299"/>
        <v>#VALUE!</v>
      </c>
    </row>
    <row r="4788" spans="2:8">
      <c r="B4788" s="11" t="str">
        <f t="shared" si="297"/>
        <v/>
      </c>
      <c r="C4788" s="11" t="str">
        <f t="shared" si="300"/>
        <v/>
      </c>
      <c r="F4788" s="10" t="str">
        <v/>
      </c>
      <c r="G4788" t="e">
        <f t="shared" si="298"/>
        <v>#VALUE!</v>
      </c>
      <c r="H4788" s="13" t="e">
        <f t="shared" si="299"/>
        <v>#VALUE!</v>
      </c>
    </row>
    <row r="4789" spans="2:8">
      <c r="B4789" s="11" t="str">
        <f t="shared" si="297"/>
        <v/>
      </c>
      <c r="C4789" s="11" t="str">
        <f t="shared" si="300"/>
        <v/>
      </c>
      <c r="F4789" s="10" t="str">
        <v/>
      </c>
      <c r="G4789" t="e">
        <f t="shared" si="298"/>
        <v>#VALUE!</v>
      </c>
      <c r="H4789" s="13" t="e">
        <f t="shared" si="299"/>
        <v>#VALUE!</v>
      </c>
    </row>
    <row r="4790" spans="2:8">
      <c r="B4790" s="11" t="str">
        <f t="shared" si="297"/>
        <v/>
      </c>
      <c r="C4790" s="11" t="str">
        <f t="shared" si="300"/>
        <v/>
      </c>
      <c r="F4790" s="10" t="str">
        <v/>
      </c>
      <c r="G4790" t="e">
        <f t="shared" si="298"/>
        <v>#VALUE!</v>
      </c>
      <c r="H4790" s="13" t="e">
        <f t="shared" si="299"/>
        <v>#VALUE!</v>
      </c>
    </row>
    <row r="4791" spans="2:8">
      <c r="B4791" s="11" t="str">
        <f t="shared" si="297"/>
        <v/>
      </c>
      <c r="C4791" s="11" t="str">
        <f t="shared" si="300"/>
        <v/>
      </c>
      <c r="F4791" s="10" t="str">
        <v/>
      </c>
      <c r="G4791" t="e">
        <f t="shared" si="298"/>
        <v>#VALUE!</v>
      </c>
      <c r="H4791" s="13" t="e">
        <f t="shared" si="299"/>
        <v>#VALUE!</v>
      </c>
    </row>
    <row r="4792" spans="2:8">
      <c r="B4792" s="11" t="str">
        <f t="shared" si="297"/>
        <v/>
      </c>
      <c r="C4792" s="11" t="str">
        <f t="shared" si="300"/>
        <v/>
      </c>
      <c r="F4792" s="10" t="str">
        <v/>
      </c>
      <c r="G4792" t="e">
        <f t="shared" si="298"/>
        <v>#VALUE!</v>
      </c>
      <c r="H4792" s="13" t="e">
        <f t="shared" si="299"/>
        <v>#VALUE!</v>
      </c>
    </row>
    <row r="4793" spans="2:8">
      <c r="B4793" s="11" t="str">
        <f t="shared" si="297"/>
        <v/>
      </c>
      <c r="C4793" s="11" t="str">
        <f t="shared" si="300"/>
        <v/>
      </c>
      <c r="F4793" s="10" t="str">
        <v/>
      </c>
      <c r="G4793" t="e">
        <f t="shared" si="298"/>
        <v>#VALUE!</v>
      </c>
      <c r="H4793" s="13" t="e">
        <f t="shared" si="299"/>
        <v>#VALUE!</v>
      </c>
    </row>
    <row r="4794" spans="2:8">
      <c r="B4794" s="11" t="str">
        <f t="shared" si="297"/>
        <v/>
      </c>
      <c r="C4794" s="11" t="str">
        <f t="shared" si="300"/>
        <v/>
      </c>
      <c r="F4794" s="10" t="str">
        <v/>
      </c>
      <c r="G4794" t="e">
        <f t="shared" si="298"/>
        <v>#VALUE!</v>
      </c>
      <c r="H4794" s="13" t="e">
        <f t="shared" si="299"/>
        <v>#VALUE!</v>
      </c>
    </row>
    <row r="4795" spans="2:8">
      <c r="B4795" s="11" t="str">
        <f t="shared" si="297"/>
        <v/>
      </c>
      <c r="C4795" s="11" t="str">
        <f t="shared" si="300"/>
        <v/>
      </c>
      <c r="F4795" s="10" t="str">
        <v/>
      </c>
      <c r="G4795" t="e">
        <f t="shared" si="298"/>
        <v>#VALUE!</v>
      </c>
      <c r="H4795" s="13" t="e">
        <f t="shared" si="299"/>
        <v>#VALUE!</v>
      </c>
    </row>
    <row r="4796" spans="2:8">
      <c r="B4796" s="11" t="str">
        <f t="shared" si="297"/>
        <v/>
      </c>
      <c r="C4796" s="11" t="str">
        <f t="shared" si="300"/>
        <v/>
      </c>
      <c r="F4796" s="10" t="str">
        <v/>
      </c>
      <c r="G4796" t="e">
        <f t="shared" si="298"/>
        <v>#VALUE!</v>
      </c>
      <c r="H4796" s="13" t="e">
        <f t="shared" si="299"/>
        <v>#VALUE!</v>
      </c>
    </row>
    <row r="4797" spans="2:8">
      <c r="B4797" s="11" t="str">
        <f t="shared" si="297"/>
        <v/>
      </c>
      <c r="C4797" s="11" t="str">
        <f t="shared" si="300"/>
        <v/>
      </c>
      <c r="F4797" s="10" t="str">
        <v/>
      </c>
      <c r="G4797" t="e">
        <f t="shared" si="298"/>
        <v>#VALUE!</v>
      </c>
      <c r="H4797" s="13" t="e">
        <f t="shared" si="299"/>
        <v>#VALUE!</v>
      </c>
    </row>
    <row r="4798" spans="2:8">
      <c r="B4798" s="11" t="str">
        <f t="shared" si="297"/>
        <v/>
      </c>
      <c r="C4798" s="11" t="str">
        <f t="shared" si="300"/>
        <v/>
      </c>
      <c r="F4798" s="10" t="str">
        <v/>
      </c>
      <c r="G4798" t="e">
        <f t="shared" si="298"/>
        <v>#VALUE!</v>
      </c>
      <c r="H4798" s="13" t="e">
        <f t="shared" si="299"/>
        <v>#VALUE!</v>
      </c>
    </row>
    <row r="4799" spans="2:8">
      <c r="B4799" s="11" t="str">
        <f t="shared" si="297"/>
        <v/>
      </c>
      <c r="C4799" s="11" t="str">
        <f t="shared" si="300"/>
        <v/>
      </c>
      <c r="F4799" s="10" t="str">
        <v/>
      </c>
      <c r="G4799" t="e">
        <f t="shared" si="298"/>
        <v>#VALUE!</v>
      </c>
      <c r="H4799" s="13" t="e">
        <f t="shared" si="299"/>
        <v>#VALUE!</v>
      </c>
    </row>
    <row r="4800" spans="2:8">
      <c r="B4800" s="11" t="str">
        <f t="shared" si="297"/>
        <v/>
      </c>
      <c r="C4800" s="11" t="str">
        <f t="shared" si="300"/>
        <v/>
      </c>
      <c r="F4800" s="10" t="str">
        <v/>
      </c>
      <c r="G4800" t="e">
        <f t="shared" si="298"/>
        <v>#VALUE!</v>
      </c>
      <c r="H4800" s="13" t="e">
        <f t="shared" si="299"/>
        <v>#VALUE!</v>
      </c>
    </row>
    <row r="4801" spans="2:8">
      <c r="B4801" s="11" t="str">
        <f t="shared" ref="B4801:B4864" si="301">IFERROR(IF(FIND(" ",A4801)=6,IF(IFERROR(FIND(" PB",A4801),"")&lt;&gt;"","артикул",IF(IFERROR(FIND(" CRN",A4801),"")&lt;&gt;"","артикул","")),""),"")</f>
        <v/>
      </c>
      <c r="C4801" s="11" t="str">
        <f t="shared" si="300"/>
        <v/>
      </c>
      <c r="F4801" s="10" t="str">
        <v/>
      </c>
      <c r="G4801" t="e">
        <f t="shared" si="298"/>
        <v>#VALUE!</v>
      </c>
      <c r="H4801" s="13" t="e">
        <f t="shared" si="299"/>
        <v>#VALUE!</v>
      </c>
    </row>
    <row r="4802" spans="2:8">
      <c r="B4802" s="11" t="str">
        <f t="shared" si="301"/>
        <v/>
      </c>
      <c r="C4802" s="11" t="str">
        <f t="shared" si="300"/>
        <v/>
      </c>
      <c r="F4802" s="10" t="str">
        <v/>
      </c>
      <c r="G4802" t="e">
        <f t="shared" ref="G4802:G4865" si="302">CONCATENATE(LEFT(F4802,5),
MID(F4802,
SEARCH("\",SUBSTITUTE(F4802," ","\",LEN(F4802)-LEN(SUBSTITUTE(F4802," ",""))-4)),
SEARCH("\",SUBSTITUTE(F4802," ","\",LEN(F4802)-LEN(SUBSTITUTE(F4802," ",""))-3))-
SEARCH("\",SUBSTITUTE(F4802," ","\",LEN(F4802)-LEN(SUBSTITUTE(F4802," ",""))-4)))*1)</f>
        <v>#VALUE!</v>
      </c>
      <c r="H4802" s="13" t="e">
        <f t="shared" ref="H4802:H4865" si="303">SUBSTITUTE(
RIGHT(F4802,LEN(F4802)-
FIND("\",SUBSTITUTE(F4802," ","\",LEN(F4802)-LEN(SUBSTITUTE(F4802," ",""))))),
".","")</f>
        <v>#VALUE!</v>
      </c>
    </row>
    <row r="4803" spans="2:8">
      <c r="B4803" s="11" t="str">
        <f t="shared" si="301"/>
        <v/>
      </c>
      <c r="C4803" s="11" t="str">
        <f t="shared" si="300"/>
        <v/>
      </c>
      <c r="F4803" s="10" t="str">
        <v/>
      </c>
      <c r="G4803" t="e">
        <f t="shared" si="302"/>
        <v>#VALUE!</v>
      </c>
      <c r="H4803" s="13" t="e">
        <f t="shared" si="303"/>
        <v>#VALUE!</v>
      </c>
    </row>
    <row r="4804" spans="2:8">
      <c r="B4804" s="11" t="str">
        <f t="shared" si="301"/>
        <v/>
      </c>
      <c r="C4804" s="11" t="str">
        <f t="shared" si="300"/>
        <v/>
      </c>
      <c r="F4804" s="10" t="str">
        <v/>
      </c>
      <c r="G4804" t="e">
        <f t="shared" si="302"/>
        <v>#VALUE!</v>
      </c>
      <c r="H4804" s="13" t="e">
        <f t="shared" si="303"/>
        <v>#VALUE!</v>
      </c>
    </row>
    <row r="4805" spans="2:8">
      <c r="B4805" s="11" t="str">
        <f t="shared" si="301"/>
        <v/>
      </c>
      <c r="C4805" s="11" t="str">
        <f t="shared" si="300"/>
        <v/>
      </c>
      <c r="F4805" s="10" t="str">
        <v/>
      </c>
      <c r="G4805" t="e">
        <f t="shared" si="302"/>
        <v>#VALUE!</v>
      </c>
      <c r="H4805" s="13" t="e">
        <f t="shared" si="303"/>
        <v>#VALUE!</v>
      </c>
    </row>
    <row r="4806" spans="2:8">
      <c r="B4806" s="11" t="str">
        <f t="shared" si="301"/>
        <v/>
      </c>
      <c r="C4806" s="11" t="str">
        <f t="shared" si="300"/>
        <v/>
      </c>
      <c r="F4806" s="10" t="str">
        <v/>
      </c>
      <c r="G4806" t="e">
        <f t="shared" si="302"/>
        <v>#VALUE!</v>
      </c>
      <c r="H4806" s="13" t="e">
        <f t="shared" si="303"/>
        <v>#VALUE!</v>
      </c>
    </row>
    <row r="4807" spans="2:8">
      <c r="B4807" s="11" t="str">
        <f t="shared" si="301"/>
        <v/>
      </c>
      <c r="C4807" s="11" t="str">
        <f t="shared" si="300"/>
        <v/>
      </c>
      <c r="F4807" s="10" t="str">
        <v/>
      </c>
      <c r="G4807" t="e">
        <f t="shared" si="302"/>
        <v>#VALUE!</v>
      </c>
      <c r="H4807" s="13" t="e">
        <f t="shared" si="303"/>
        <v>#VALUE!</v>
      </c>
    </row>
    <row r="4808" spans="2:8">
      <c r="B4808" s="11" t="str">
        <f t="shared" si="301"/>
        <v/>
      </c>
      <c r="C4808" s="11" t="str">
        <f t="shared" si="300"/>
        <v/>
      </c>
      <c r="F4808" s="10" t="str">
        <v/>
      </c>
      <c r="G4808" t="e">
        <f t="shared" si="302"/>
        <v>#VALUE!</v>
      </c>
      <c r="H4808" s="13" t="e">
        <f t="shared" si="303"/>
        <v>#VALUE!</v>
      </c>
    </row>
    <row r="4809" spans="2:8">
      <c r="B4809" s="11" t="str">
        <f t="shared" si="301"/>
        <v/>
      </c>
      <c r="C4809" s="11" t="str">
        <f t="shared" si="300"/>
        <v/>
      </c>
      <c r="F4809" s="10" t="str">
        <v/>
      </c>
      <c r="G4809" t="e">
        <f t="shared" si="302"/>
        <v>#VALUE!</v>
      </c>
      <c r="H4809" s="13" t="e">
        <f t="shared" si="303"/>
        <v>#VALUE!</v>
      </c>
    </row>
    <row r="4810" spans="2:8">
      <c r="B4810" s="11" t="str">
        <f t="shared" si="301"/>
        <v/>
      </c>
      <c r="C4810" s="11" t="str">
        <f t="shared" si="300"/>
        <v/>
      </c>
      <c r="F4810" s="10" t="str">
        <v/>
      </c>
      <c r="G4810" t="e">
        <f t="shared" si="302"/>
        <v>#VALUE!</v>
      </c>
      <c r="H4810" s="13" t="e">
        <f t="shared" si="303"/>
        <v>#VALUE!</v>
      </c>
    </row>
    <row r="4811" spans="2:8">
      <c r="B4811" s="11" t="str">
        <f t="shared" si="301"/>
        <v/>
      </c>
      <c r="C4811" s="11" t="str">
        <f t="shared" si="300"/>
        <v/>
      </c>
      <c r="F4811" s="10" t="str">
        <v/>
      </c>
      <c r="G4811" t="e">
        <f t="shared" si="302"/>
        <v>#VALUE!</v>
      </c>
      <c r="H4811" s="13" t="e">
        <f t="shared" si="303"/>
        <v>#VALUE!</v>
      </c>
    </row>
    <row r="4812" spans="2:8">
      <c r="B4812" s="11" t="str">
        <f t="shared" si="301"/>
        <v/>
      </c>
      <c r="C4812" s="11" t="str">
        <f t="shared" si="300"/>
        <v/>
      </c>
      <c r="F4812" s="10" t="str">
        <v/>
      </c>
      <c r="G4812" t="e">
        <f t="shared" si="302"/>
        <v>#VALUE!</v>
      </c>
      <c r="H4812" s="13" t="e">
        <f t="shared" si="303"/>
        <v>#VALUE!</v>
      </c>
    </row>
    <row r="4813" spans="2:8">
      <c r="B4813" s="11" t="str">
        <f t="shared" si="301"/>
        <v/>
      </c>
      <c r="C4813" s="11" t="str">
        <f t="shared" si="300"/>
        <v/>
      </c>
      <c r="F4813" s="10" t="str">
        <v/>
      </c>
      <c r="G4813" t="e">
        <f t="shared" si="302"/>
        <v>#VALUE!</v>
      </c>
      <c r="H4813" s="13" t="e">
        <f t="shared" si="303"/>
        <v>#VALUE!</v>
      </c>
    </row>
    <row r="4814" spans="2:8">
      <c r="B4814" s="11" t="str">
        <f t="shared" si="301"/>
        <v/>
      </c>
      <c r="C4814" s="11" t="str">
        <f t="shared" si="300"/>
        <v/>
      </c>
      <c r="F4814" s="10" t="str">
        <v/>
      </c>
      <c r="G4814" t="e">
        <f t="shared" si="302"/>
        <v>#VALUE!</v>
      </c>
      <c r="H4814" s="13" t="e">
        <f t="shared" si="303"/>
        <v>#VALUE!</v>
      </c>
    </row>
    <row r="4815" spans="2:8">
      <c r="B4815" s="11" t="str">
        <f t="shared" si="301"/>
        <v/>
      </c>
      <c r="C4815" s="11" t="str">
        <f t="shared" si="300"/>
        <v/>
      </c>
      <c r="F4815" s="10" t="str">
        <v/>
      </c>
      <c r="G4815" t="e">
        <f t="shared" si="302"/>
        <v>#VALUE!</v>
      </c>
      <c r="H4815" s="13" t="e">
        <f t="shared" si="303"/>
        <v>#VALUE!</v>
      </c>
    </row>
    <row r="4816" spans="2:8">
      <c r="B4816" s="11" t="str">
        <f t="shared" si="301"/>
        <v/>
      </c>
      <c r="C4816" s="11" t="str">
        <f t="shared" si="300"/>
        <v/>
      </c>
      <c r="F4816" s="10" t="str">
        <v/>
      </c>
      <c r="G4816" t="e">
        <f t="shared" si="302"/>
        <v>#VALUE!</v>
      </c>
      <c r="H4816" s="13" t="e">
        <f t="shared" si="303"/>
        <v>#VALUE!</v>
      </c>
    </row>
    <row r="4817" spans="2:8">
      <c r="B4817" s="11" t="str">
        <f t="shared" si="301"/>
        <v/>
      </c>
      <c r="C4817" s="11" t="str">
        <f t="shared" si="300"/>
        <v/>
      </c>
      <c r="F4817" s="10" t="str">
        <v/>
      </c>
      <c r="G4817" t="e">
        <f t="shared" si="302"/>
        <v>#VALUE!</v>
      </c>
      <c r="H4817" s="13" t="e">
        <f t="shared" si="303"/>
        <v>#VALUE!</v>
      </c>
    </row>
    <row r="4818" spans="2:8">
      <c r="B4818" s="11" t="str">
        <f t="shared" si="301"/>
        <v/>
      </c>
      <c r="C4818" s="11" t="str">
        <f t="shared" si="300"/>
        <v/>
      </c>
      <c r="F4818" s="10" t="str">
        <v/>
      </c>
      <c r="G4818" t="e">
        <f t="shared" si="302"/>
        <v>#VALUE!</v>
      </c>
      <c r="H4818" s="13" t="e">
        <f t="shared" si="303"/>
        <v>#VALUE!</v>
      </c>
    </row>
    <row r="4819" spans="2:8">
      <c r="B4819" s="11" t="str">
        <f t="shared" si="301"/>
        <v/>
      </c>
      <c r="C4819" s="11" t="str">
        <f t="shared" si="300"/>
        <v/>
      </c>
      <c r="F4819" s="10" t="str">
        <v/>
      </c>
      <c r="G4819" t="e">
        <f t="shared" si="302"/>
        <v>#VALUE!</v>
      </c>
      <c r="H4819" s="13" t="e">
        <f t="shared" si="303"/>
        <v>#VALUE!</v>
      </c>
    </row>
    <row r="4820" spans="2:8">
      <c r="B4820" s="11" t="str">
        <f t="shared" si="301"/>
        <v/>
      </c>
      <c r="C4820" s="11" t="str">
        <f t="shared" si="300"/>
        <v/>
      </c>
      <c r="F4820" s="10" t="str">
        <v/>
      </c>
      <c r="G4820" t="e">
        <f t="shared" si="302"/>
        <v>#VALUE!</v>
      </c>
      <c r="H4820" s="13" t="e">
        <f t="shared" si="303"/>
        <v>#VALUE!</v>
      </c>
    </row>
    <row r="4821" spans="2:8">
      <c r="B4821" s="11" t="str">
        <f t="shared" si="301"/>
        <v/>
      </c>
      <c r="C4821" s="11" t="str">
        <f t="shared" si="300"/>
        <v/>
      </c>
      <c r="F4821" s="10" t="str">
        <v/>
      </c>
      <c r="G4821" t="e">
        <f t="shared" si="302"/>
        <v>#VALUE!</v>
      </c>
      <c r="H4821" s="13" t="e">
        <f t="shared" si="303"/>
        <v>#VALUE!</v>
      </c>
    </row>
    <row r="4822" spans="2:8">
      <c r="B4822" s="11" t="str">
        <f t="shared" si="301"/>
        <v/>
      </c>
      <c r="C4822" s="11" t="str">
        <f t="shared" si="300"/>
        <v/>
      </c>
      <c r="F4822" s="10" t="str">
        <v/>
      </c>
      <c r="G4822" t="e">
        <f t="shared" si="302"/>
        <v>#VALUE!</v>
      </c>
      <c r="H4822" s="13" t="e">
        <f t="shared" si="303"/>
        <v>#VALUE!</v>
      </c>
    </row>
    <row r="4823" spans="2:8">
      <c r="B4823" s="11" t="str">
        <f t="shared" si="301"/>
        <v/>
      </c>
      <c r="C4823" s="11" t="str">
        <f t="shared" si="300"/>
        <v/>
      </c>
      <c r="F4823" s="10" t="str">
        <v/>
      </c>
      <c r="G4823" t="e">
        <f t="shared" si="302"/>
        <v>#VALUE!</v>
      </c>
      <c r="H4823" s="13" t="e">
        <f t="shared" si="303"/>
        <v>#VALUE!</v>
      </c>
    </row>
    <row r="4824" spans="2:8">
      <c r="B4824" s="11" t="str">
        <f t="shared" si="301"/>
        <v/>
      </c>
      <c r="C4824" s="11" t="str">
        <f t="shared" si="300"/>
        <v/>
      </c>
      <c r="F4824" s="10" t="str">
        <v/>
      </c>
      <c r="G4824" t="e">
        <f t="shared" si="302"/>
        <v>#VALUE!</v>
      </c>
      <c r="H4824" s="13" t="e">
        <f t="shared" si="303"/>
        <v>#VALUE!</v>
      </c>
    </row>
    <row r="4825" spans="2:8">
      <c r="B4825" s="11" t="str">
        <f t="shared" si="301"/>
        <v/>
      </c>
      <c r="C4825" s="11" t="str">
        <f t="shared" si="300"/>
        <v/>
      </c>
      <c r="F4825" s="10" t="str">
        <v/>
      </c>
      <c r="G4825" t="e">
        <f t="shared" si="302"/>
        <v>#VALUE!</v>
      </c>
      <c r="H4825" s="13" t="e">
        <f t="shared" si="303"/>
        <v>#VALUE!</v>
      </c>
    </row>
    <row r="4826" spans="2:8">
      <c r="B4826" s="11" t="str">
        <f t="shared" si="301"/>
        <v/>
      </c>
      <c r="C4826" s="11" t="str">
        <f t="shared" si="300"/>
        <v/>
      </c>
      <c r="F4826" s="10" t="str">
        <v/>
      </c>
      <c r="G4826" t="e">
        <f t="shared" si="302"/>
        <v>#VALUE!</v>
      </c>
      <c r="H4826" s="13" t="e">
        <f t="shared" si="303"/>
        <v>#VALUE!</v>
      </c>
    </row>
    <row r="4827" spans="2:8">
      <c r="B4827" s="11" t="str">
        <f t="shared" si="301"/>
        <v/>
      </c>
      <c r="C4827" s="11" t="str">
        <f t="shared" si="300"/>
        <v/>
      </c>
      <c r="F4827" s="10" t="str">
        <v/>
      </c>
      <c r="G4827" t="e">
        <f t="shared" si="302"/>
        <v>#VALUE!</v>
      </c>
      <c r="H4827" s="13" t="e">
        <f t="shared" si="303"/>
        <v>#VALUE!</v>
      </c>
    </row>
    <row r="4828" spans="2:8">
      <c r="B4828" s="11" t="str">
        <f t="shared" si="301"/>
        <v/>
      </c>
      <c r="C4828" s="11" t="str">
        <f t="shared" si="300"/>
        <v/>
      </c>
      <c r="F4828" s="10" t="str">
        <v/>
      </c>
      <c r="G4828" t="e">
        <f t="shared" si="302"/>
        <v>#VALUE!</v>
      </c>
      <c r="H4828" s="13" t="e">
        <f t="shared" si="303"/>
        <v>#VALUE!</v>
      </c>
    </row>
    <row r="4829" spans="2:8">
      <c r="B4829" s="11" t="str">
        <f t="shared" si="301"/>
        <v/>
      </c>
      <c r="C4829" s="11" t="str">
        <f t="shared" si="300"/>
        <v/>
      </c>
      <c r="F4829" s="10" t="str">
        <v/>
      </c>
      <c r="G4829" t="e">
        <f t="shared" si="302"/>
        <v>#VALUE!</v>
      </c>
      <c r="H4829" s="13" t="e">
        <f t="shared" si="303"/>
        <v>#VALUE!</v>
      </c>
    </row>
    <row r="4830" spans="2:8">
      <c r="B4830" s="11" t="str">
        <f t="shared" si="301"/>
        <v/>
      </c>
      <c r="C4830" s="11" t="str">
        <f t="shared" si="300"/>
        <v/>
      </c>
      <c r="F4830" s="10" t="str">
        <v/>
      </c>
      <c r="G4830" t="e">
        <f t="shared" si="302"/>
        <v>#VALUE!</v>
      </c>
      <c r="H4830" s="13" t="e">
        <f t="shared" si="303"/>
        <v>#VALUE!</v>
      </c>
    </row>
    <row r="4831" spans="2:8">
      <c r="B4831" s="11" t="str">
        <f t="shared" si="301"/>
        <v/>
      </c>
      <c r="C4831" s="11" t="str">
        <f t="shared" si="300"/>
        <v/>
      </c>
      <c r="F4831" s="10" t="str">
        <v/>
      </c>
      <c r="G4831" t="e">
        <f t="shared" si="302"/>
        <v>#VALUE!</v>
      </c>
      <c r="H4831" s="13" t="e">
        <f t="shared" si="303"/>
        <v>#VALUE!</v>
      </c>
    </row>
    <row r="4832" spans="2:8">
      <c r="B4832" s="11" t="str">
        <f t="shared" si="301"/>
        <v/>
      </c>
      <c r="C4832" s="11" t="str">
        <f t="shared" si="300"/>
        <v/>
      </c>
      <c r="F4832" s="10" t="str">
        <v/>
      </c>
      <c r="G4832" t="e">
        <f t="shared" si="302"/>
        <v>#VALUE!</v>
      </c>
      <c r="H4832" s="13" t="e">
        <f t="shared" si="303"/>
        <v>#VALUE!</v>
      </c>
    </row>
    <row r="4833" spans="2:8">
      <c r="B4833" s="11" t="str">
        <f t="shared" si="301"/>
        <v/>
      </c>
      <c r="C4833" s="11" t="str">
        <f t="shared" si="300"/>
        <v/>
      </c>
      <c r="F4833" s="10" t="str">
        <v/>
      </c>
      <c r="G4833" t="e">
        <f t="shared" si="302"/>
        <v>#VALUE!</v>
      </c>
      <c r="H4833" s="13" t="e">
        <f t="shared" si="303"/>
        <v>#VALUE!</v>
      </c>
    </row>
    <row r="4834" spans="2:8">
      <c r="B4834" s="11" t="str">
        <f t="shared" si="301"/>
        <v/>
      </c>
      <c r="C4834" s="11" t="str">
        <f t="shared" si="300"/>
        <v/>
      </c>
      <c r="F4834" s="10" t="str">
        <v/>
      </c>
      <c r="G4834" t="e">
        <f t="shared" si="302"/>
        <v>#VALUE!</v>
      </c>
      <c r="H4834" s="13" t="e">
        <f t="shared" si="303"/>
        <v>#VALUE!</v>
      </c>
    </row>
    <row r="4835" spans="2:8">
      <c r="B4835" s="11" t="str">
        <f t="shared" si="301"/>
        <v/>
      </c>
      <c r="C4835" s="11" t="str">
        <f t="shared" si="300"/>
        <v/>
      </c>
      <c r="F4835" s="10" t="str">
        <v/>
      </c>
      <c r="G4835" t="e">
        <f t="shared" si="302"/>
        <v>#VALUE!</v>
      </c>
      <c r="H4835" s="13" t="e">
        <f t="shared" si="303"/>
        <v>#VALUE!</v>
      </c>
    </row>
    <row r="4836" spans="2:8">
      <c r="B4836" s="11" t="str">
        <f t="shared" si="301"/>
        <v/>
      </c>
      <c r="C4836" s="11" t="str">
        <f t="shared" si="300"/>
        <v/>
      </c>
      <c r="F4836" s="10" t="str">
        <v/>
      </c>
      <c r="G4836" t="e">
        <f t="shared" si="302"/>
        <v>#VALUE!</v>
      </c>
      <c r="H4836" s="13" t="e">
        <f t="shared" si="303"/>
        <v>#VALUE!</v>
      </c>
    </row>
    <row r="4837" spans="2:8">
      <c r="B4837" s="11" t="str">
        <f t="shared" si="301"/>
        <v/>
      </c>
      <c r="C4837" s="11" t="str">
        <f t="shared" si="300"/>
        <v/>
      </c>
      <c r="F4837" s="10" t="str">
        <v/>
      </c>
      <c r="G4837" t="e">
        <f t="shared" si="302"/>
        <v>#VALUE!</v>
      </c>
      <c r="H4837" s="13" t="e">
        <f t="shared" si="303"/>
        <v>#VALUE!</v>
      </c>
    </row>
    <row r="4838" spans="2:8">
      <c r="B4838" s="11" t="str">
        <f t="shared" si="301"/>
        <v/>
      </c>
      <c r="C4838" s="11" t="str">
        <f t="shared" si="300"/>
        <v/>
      </c>
      <c r="F4838" s="10" t="str">
        <v/>
      </c>
      <c r="G4838" t="e">
        <f t="shared" si="302"/>
        <v>#VALUE!</v>
      </c>
      <c r="H4838" s="13" t="e">
        <f t="shared" si="303"/>
        <v>#VALUE!</v>
      </c>
    </row>
    <row r="4839" spans="2:8">
      <c r="B4839" s="11" t="str">
        <f t="shared" si="301"/>
        <v/>
      </c>
      <c r="C4839" s="11" t="str">
        <f t="shared" si="300"/>
        <v/>
      </c>
      <c r="F4839" s="10" t="str">
        <v/>
      </c>
      <c r="G4839" t="e">
        <f t="shared" si="302"/>
        <v>#VALUE!</v>
      </c>
      <c r="H4839" s="13" t="e">
        <f t="shared" si="303"/>
        <v>#VALUE!</v>
      </c>
    </row>
    <row r="4840" spans="2:8">
      <c r="B4840" s="11" t="str">
        <f t="shared" si="301"/>
        <v/>
      </c>
      <c r="C4840" s="11" t="str">
        <f t="shared" si="300"/>
        <v/>
      </c>
      <c r="F4840" s="10" t="str">
        <v/>
      </c>
      <c r="G4840" t="e">
        <f t="shared" si="302"/>
        <v>#VALUE!</v>
      </c>
      <c r="H4840" s="13" t="e">
        <f t="shared" si="303"/>
        <v>#VALUE!</v>
      </c>
    </row>
    <row r="4841" spans="2:8">
      <c r="B4841" s="11" t="str">
        <f t="shared" si="301"/>
        <v/>
      </c>
      <c r="C4841" s="11" t="str">
        <f t="shared" ref="C4841:C4904" si="304">IF(B4841="артикул",A4841,"")</f>
        <v/>
      </c>
      <c r="F4841" s="10" t="str">
        <v/>
      </c>
      <c r="G4841" t="e">
        <f t="shared" si="302"/>
        <v>#VALUE!</v>
      </c>
      <c r="H4841" s="13" t="e">
        <f t="shared" si="303"/>
        <v>#VALUE!</v>
      </c>
    </row>
    <row r="4842" spans="2:8">
      <c r="B4842" s="11" t="str">
        <f t="shared" si="301"/>
        <v/>
      </c>
      <c r="C4842" s="11" t="str">
        <f t="shared" si="304"/>
        <v/>
      </c>
      <c r="F4842" s="10" t="str">
        <v/>
      </c>
      <c r="G4842" t="e">
        <f t="shared" si="302"/>
        <v>#VALUE!</v>
      </c>
      <c r="H4842" s="13" t="e">
        <f t="shared" si="303"/>
        <v>#VALUE!</v>
      </c>
    </row>
    <row r="4843" spans="2:8">
      <c r="B4843" s="11" t="str">
        <f t="shared" si="301"/>
        <v/>
      </c>
      <c r="C4843" s="11" t="str">
        <f t="shared" si="304"/>
        <v/>
      </c>
      <c r="F4843" s="10" t="str">
        <v/>
      </c>
      <c r="G4843" t="e">
        <f t="shared" si="302"/>
        <v>#VALUE!</v>
      </c>
      <c r="H4843" s="13" t="e">
        <f t="shared" si="303"/>
        <v>#VALUE!</v>
      </c>
    </row>
    <row r="4844" spans="2:8">
      <c r="B4844" s="11" t="str">
        <f t="shared" si="301"/>
        <v/>
      </c>
      <c r="C4844" s="11" t="str">
        <f t="shared" si="304"/>
        <v/>
      </c>
      <c r="F4844" s="10" t="str">
        <v/>
      </c>
      <c r="G4844" t="e">
        <f t="shared" si="302"/>
        <v>#VALUE!</v>
      </c>
      <c r="H4844" s="13" t="e">
        <f t="shared" si="303"/>
        <v>#VALUE!</v>
      </c>
    </row>
    <row r="4845" spans="2:8">
      <c r="B4845" s="11" t="str">
        <f t="shared" si="301"/>
        <v/>
      </c>
      <c r="C4845" s="11" t="str">
        <f t="shared" si="304"/>
        <v/>
      </c>
      <c r="F4845" s="10" t="str">
        <v/>
      </c>
      <c r="G4845" t="e">
        <f t="shared" si="302"/>
        <v>#VALUE!</v>
      </c>
      <c r="H4845" s="13" t="e">
        <f t="shared" si="303"/>
        <v>#VALUE!</v>
      </c>
    </row>
    <row r="4846" spans="2:8">
      <c r="B4846" s="11" t="str">
        <f t="shared" si="301"/>
        <v/>
      </c>
      <c r="C4846" s="11" t="str">
        <f t="shared" si="304"/>
        <v/>
      </c>
      <c r="F4846" s="10" t="str">
        <v/>
      </c>
      <c r="G4846" t="e">
        <f t="shared" si="302"/>
        <v>#VALUE!</v>
      </c>
      <c r="H4846" s="13" t="e">
        <f t="shared" si="303"/>
        <v>#VALUE!</v>
      </c>
    </row>
    <row r="4847" spans="2:8">
      <c r="B4847" s="11" t="str">
        <f t="shared" si="301"/>
        <v/>
      </c>
      <c r="C4847" s="11" t="str">
        <f t="shared" si="304"/>
        <v/>
      </c>
      <c r="F4847" s="10" t="str">
        <v/>
      </c>
      <c r="G4847" t="e">
        <f t="shared" si="302"/>
        <v>#VALUE!</v>
      </c>
      <c r="H4847" s="13" t="e">
        <f t="shared" si="303"/>
        <v>#VALUE!</v>
      </c>
    </row>
    <row r="4848" spans="2:8">
      <c r="B4848" s="11" t="str">
        <f t="shared" si="301"/>
        <v/>
      </c>
      <c r="C4848" s="11" t="str">
        <f t="shared" si="304"/>
        <v/>
      </c>
      <c r="F4848" s="10" t="str">
        <v/>
      </c>
      <c r="G4848" t="e">
        <f t="shared" si="302"/>
        <v>#VALUE!</v>
      </c>
      <c r="H4848" s="13" t="e">
        <f t="shared" si="303"/>
        <v>#VALUE!</v>
      </c>
    </row>
    <row r="4849" spans="2:8">
      <c r="B4849" s="11" t="str">
        <f t="shared" si="301"/>
        <v/>
      </c>
      <c r="C4849" s="11" t="str">
        <f t="shared" si="304"/>
        <v/>
      </c>
      <c r="F4849" s="10" t="str">
        <v/>
      </c>
      <c r="G4849" t="e">
        <f t="shared" si="302"/>
        <v>#VALUE!</v>
      </c>
      <c r="H4849" s="13" t="e">
        <f t="shared" si="303"/>
        <v>#VALUE!</v>
      </c>
    </row>
    <row r="4850" spans="2:8">
      <c r="B4850" s="11" t="str">
        <f t="shared" si="301"/>
        <v/>
      </c>
      <c r="C4850" s="11" t="str">
        <f t="shared" si="304"/>
        <v/>
      </c>
      <c r="F4850" s="10" t="str">
        <v/>
      </c>
      <c r="G4850" t="e">
        <f t="shared" si="302"/>
        <v>#VALUE!</v>
      </c>
      <c r="H4850" s="13" t="e">
        <f t="shared" si="303"/>
        <v>#VALUE!</v>
      </c>
    </row>
    <row r="4851" spans="2:8">
      <c r="B4851" s="11" t="str">
        <f t="shared" si="301"/>
        <v/>
      </c>
      <c r="C4851" s="11" t="str">
        <f t="shared" si="304"/>
        <v/>
      </c>
      <c r="F4851" s="10" t="str">
        <v/>
      </c>
      <c r="G4851" t="e">
        <f t="shared" si="302"/>
        <v>#VALUE!</v>
      </c>
      <c r="H4851" s="13" t="e">
        <f t="shared" si="303"/>
        <v>#VALUE!</v>
      </c>
    </row>
    <row r="4852" spans="2:8">
      <c r="B4852" s="11" t="str">
        <f t="shared" si="301"/>
        <v/>
      </c>
      <c r="C4852" s="11" t="str">
        <f t="shared" si="304"/>
        <v/>
      </c>
      <c r="F4852" s="10" t="str">
        <v/>
      </c>
      <c r="G4852" t="e">
        <f t="shared" si="302"/>
        <v>#VALUE!</v>
      </c>
      <c r="H4852" s="13" t="e">
        <f t="shared" si="303"/>
        <v>#VALUE!</v>
      </c>
    </row>
    <row r="4853" spans="2:8">
      <c r="B4853" s="11" t="str">
        <f t="shared" si="301"/>
        <v/>
      </c>
      <c r="C4853" s="11" t="str">
        <f t="shared" si="304"/>
        <v/>
      </c>
      <c r="F4853" s="10" t="str">
        <v/>
      </c>
      <c r="G4853" t="e">
        <f t="shared" si="302"/>
        <v>#VALUE!</v>
      </c>
      <c r="H4853" s="13" t="e">
        <f t="shared" si="303"/>
        <v>#VALUE!</v>
      </c>
    </row>
    <row r="4854" spans="2:8">
      <c r="B4854" s="11" t="str">
        <f t="shared" si="301"/>
        <v/>
      </c>
      <c r="C4854" s="11" t="str">
        <f t="shared" si="304"/>
        <v/>
      </c>
      <c r="F4854" s="10" t="str">
        <v/>
      </c>
      <c r="G4854" t="e">
        <f t="shared" si="302"/>
        <v>#VALUE!</v>
      </c>
      <c r="H4854" s="13" t="e">
        <f t="shared" si="303"/>
        <v>#VALUE!</v>
      </c>
    </row>
    <row r="4855" spans="2:8">
      <c r="B4855" s="11" t="str">
        <f t="shared" si="301"/>
        <v/>
      </c>
      <c r="C4855" s="11" t="str">
        <f t="shared" si="304"/>
        <v/>
      </c>
      <c r="F4855" s="10" t="str">
        <v/>
      </c>
      <c r="G4855" t="e">
        <f t="shared" si="302"/>
        <v>#VALUE!</v>
      </c>
      <c r="H4855" s="13" t="e">
        <f t="shared" si="303"/>
        <v>#VALUE!</v>
      </c>
    </row>
    <row r="4856" spans="2:8">
      <c r="B4856" s="11" t="str">
        <f t="shared" si="301"/>
        <v/>
      </c>
      <c r="C4856" s="11" t="str">
        <f t="shared" si="304"/>
        <v/>
      </c>
      <c r="F4856" s="10" t="str">
        <v/>
      </c>
      <c r="G4856" t="e">
        <f t="shared" si="302"/>
        <v>#VALUE!</v>
      </c>
      <c r="H4856" s="13" t="e">
        <f t="shared" si="303"/>
        <v>#VALUE!</v>
      </c>
    </row>
    <row r="4857" spans="2:8">
      <c r="B4857" s="11" t="str">
        <f t="shared" si="301"/>
        <v/>
      </c>
      <c r="C4857" s="11" t="str">
        <f t="shared" si="304"/>
        <v/>
      </c>
      <c r="F4857" s="10" t="str">
        <v/>
      </c>
      <c r="G4857" t="e">
        <f t="shared" si="302"/>
        <v>#VALUE!</v>
      </c>
      <c r="H4857" s="13" t="e">
        <f t="shared" si="303"/>
        <v>#VALUE!</v>
      </c>
    </row>
    <row r="4858" spans="2:8">
      <c r="B4858" s="11" t="str">
        <f t="shared" si="301"/>
        <v/>
      </c>
      <c r="C4858" s="11" t="str">
        <f t="shared" si="304"/>
        <v/>
      </c>
      <c r="F4858" s="10" t="str">
        <v/>
      </c>
      <c r="G4858" t="e">
        <f t="shared" si="302"/>
        <v>#VALUE!</v>
      </c>
      <c r="H4858" s="13" t="e">
        <f t="shared" si="303"/>
        <v>#VALUE!</v>
      </c>
    </row>
    <row r="4859" spans="2:8">
      <c r="B4859" s="11" t="str">
        <f t="shared" si="301"/>
        <v/>
      </c>
      <c r="C4859" s="11" t="str">
        <f t="shared" si="304"/>
        <v/>
      </c>
      <c r="F4859" s="10" t="str">
        <v/>
      </c>
      <c r="G4859" t="e">
        <f t="shared" si="302"/>
        <v>#VALUE!</v>
      </c>
      <c r="H4859" s="13" t="e">
        <f t="shared" si="303"/>
        <v>#VALUE!</v>
      </c>
    </row>
    <row r="4860" spans="2:8">
      <c r="B4860" s="11" t="str">
        <f t="shared" si="301"/>
        <v/>
      </c>
      <c r="C4860" s="11" t="str">
        <f t="shared" si="304"/>
        <v/>
      </c>
      <c r="F4860" s="10" t="str">
        <v/>
      </c>
      <c r="G4860" t="e">
        <f t="shared" si="302"/>
        <v>#VALUE!</v>
      </c>
      <c r="H4860" s="13" t="e">
        <f t="shared" si="303"/>
        <v>#VALUE!</v>
      </c>
    </row>
    <row r="4861" spans="2:8">
      <c r="B4861" s="11" t="str">
        <f t="shared" si="301"/>
        <v/>
      </c>
      <c r="C4861" s="11" t="str">
        <f t="shared" si="304"/>
        <v/>
      </c>
      <c r="F4861" s="10" t="str">
        <v/>
      </c>
      <c r="G4861" t="e">
        <f t="shared" si="302"/>
        <v>#VALUE!</v>
      </c>
      <c r="H4861" s="13" t="e">
        <f t="shared" si="303"/>
        <v>#VALUE!</v>
      </c>
    </row>
    <row r="4862" spans="2:8">
      <c r="B4862" s="11" t="str">
        <f t="shared" si="301"/>
        <v/>
      </c>
      <c r="C4862" s="11" t="str">
        <f t="shared" si="304"/>
        <v/>
      </c>
      <c r="F4862" s="10" t="str">
        <v/>
      </c>
      <c r="G4862" t="e">
        <f t="shared" si="302"/>
        <v>#VALUE!</v>
      </c>
      <c r="H4862" s="13" t="e">
        <f t="shared" si="303"/>
        <v>#VALUE!</v>
      </c>
    </row>
    <row r="4863" spans="2:8">
      <c r="B4863" s="11" t="str">
        <f t="shared" si="301"/>
        <v/>
      </c>
      <c r="C4863" s="11" t="str">
        <f t="shared" si="304"/>
        <v/>
      </c>
      <c r="F4863" s="10" t="str">
        <v/>
      </c>
      <c r="G4863" t="e">
        <f t="shared" si="302"/>
        <v>#VALUE!</v>
      </c>
      <c r="H4863" s="13" t="e">
        <f t="shared" si="303"/>
        <v>#VALUE!</v>
      </c>
    </row>
    <row r="4864" spans="2:8">
      <c r="B4864" s="11" t="str">
        <f t="shared" si="301"/>
        <v/>
      </c>
      <c r="C4864" s="11" t="str">
        <f t="shared" si="304"/>
        <v/>
      </c>
      <c r="F4864" s="10" t="str">
        <v/>
      </c>
      <c r="G4864" t="e">
        <f t="shared" si="302"/>
        <v>#VALUE!</v>
      </c>
      <c r="H4864" s="13" t="e">
        <f t="shared" si="303"/>
        <v>#VALUE!</v>
      </c>
    </row>
    <row r="4865" spans="2:8">
      <c r="B4865" s="11" t="str">
        <f t="shared" ref="B4865:B4928" si="305">IFERROR(IF(FIND(" ",A4865)=6,IF(IFERROR(FIND(" PB",A4865),"")&lt;&gt;"","артикул",IF(IFERROR(FIND(" CRN",A4865),"")&lt;&gt;"","артикул","")),""),"")</f>
        <v/>
      </c>
      <c r="C4865" s="11" t="str">
        <f t="shared" si="304"/>
        <v/>
      </c>
      <c r="F4865" s="10" t="str">
        <v/>
      </c>
      <c r="G4865" t="e">
        <f t="shared" si="302"/>
        <v>#VALUE!</v>
      </c>
      <c r="H4865" s="13" t="e">
        <f t="shared" si="303"/>
        <v>#VALUE!</v>
      </c>
    </row>
    <row r="4866" spans="2:8">
      <c r="B4866" s="11" t="str">
        <f t="shared" si="305"/>
        <v/>
      </c>
      <c r="C4866" s="11" t="str">
        <f t="shared" si="304"/>
        <v/>
      </c>
      <c r="F4866" s="10" t="str">
        <v/>
      </c>
      <c r="G4866" t="e">
        <f t="shared" ref="G4866:G4929" si="306">CONCATENATE(LEFT(F4866,5),
MID(F4866,
SEARCH("\",SUBSTITUTE(F4866," ","\",LEN(F4866)-LEN(SUBSTITUTE(F4866," ",""))-4)),
SEARCH("\",SUBSTITUTE(F4866," ","\",LEN(F4866)-LEN(SUBSTITUTE(F4866," ",""))-3))-
SEARCH("\",SUBSTITUTE(F4866," ","\",LEN(F4866)-LEN(SUBSTITUTE(F4866," ",""))-4)))*1)</f>
        <v>#VALUE!</v>
      </c>
      <c r="H4866" s="13" t="e">
        <f t="shared" ref="H4866:H4929" si="307">SUBSTITUTE(
RIGHT(F4866,LEN(F4866)-
FIND("\",SUBSTITUTE(F4866," ","\",LEN(F4866)-LEN(SUBSTITUTE(F4866," ",""))))),
".","")</f>
        <v>#VALUE!</v>
      </c>
    </row>
    <row r="4867" spans="2:8">
      <c r="B4867" s="11" t="str">
        <f t="shared" si="305"/>
        <v/>
      </c>
      <c r="C4867" s="11" t="str">
        <f t="shared" si="304"/>
        <v/>
      </c>
      <c r="F4867" s="10" t="str">
        <v/>
      </c>
      <c r="G4867" t="e">
        <f t="shared" si="306"/>
        <v>#VALUE!</v>
      </c>
      <c r="H4867" s="13" t="e">
        <f t="shared" si="307"/>
        <v>#VALUE!</v>
      </c>
    </row>
    <row r="4868" spans="2:8">
      <c r="B4868" s="11" t="str">
        <f t="shared" si="305"/>
        <v/>
      </c>
      <c r="C4868" s="11" t="str">
        <f t="shared" si="304"/>
        <v/>
      </c>
      <c r="F4868" s="10" t="str">
        <v/>
      </c>
      <c r="G4868" t="e">
        <f t="shared" si="306"/>
        <v>#VALUE!</v>
      </c>
      <c r="H4868" s="13" t="e">
        <f t="shared" si="307"/>
        <v>#VALUE!</v>
      </c>
    </row>
    <row r="4869" spans="2:8">
      <c r="B4869" s="11" t="str">
        <f t="shared" si="305"/>
        <v/>
      </c>
      <c r="C4869" s="11" t="str">
        <f t="shared" si="304"/>
        <v/>
      </c>
      <c r="F4869" s="10" t="str">
        <v/>
      </c>
      <c r="G4869" t="e">
        <f t="shared" si="306"/>
        <v>#VALUE!</v>
      </c>
      <c r="H4869" s="13" t="e">
        <f t="shared" si="307"/>
        <v>#VALUE!</v>
      </c>
    </row>
    <row r="4870" spans="2:8">
      <c r="B4870" s="11" t="str">
        <f t="shared" si="305"/>
        <v/>
      </c>
      <c r="C4870" s="11" t="str">
        <f t="shared" si="304"/>
        <v/>
      </c>
      <c r="F4870" s="10" t="str">
        <v/>
      </c>
      <c r="G4870" t="e">
        <f t="shared" si="306"/>
        <v>#VALUE!</v>
      </c>
      <c r="H4870" s="13" t="e">
        <f t="shared" si="307"/>
        <v>#VALUE!</v>
      </c>
    </row>
    <row r="4871" spans="2:8">
      <c r="B4871" s="11" t="str">
        <f t="shared" si="305"/>
        <v/>
      </c>
      <c r="C4871" s="11" t="str">
        <f t="shared" si="304"/>
        <v/>
      </c>
      <c r="F4871" s="10" t="str">
        <v/>
      </c>
      <c r="G4871" t="e">
        <f t="shared" si="306"/>
        <v>#VALUE!</v>
      </c>
      <c r="H4871" s="13" t="e">
        <f t="shared" si="307"/>
        <v>#VALUE!</v>
      </c>
    </row>
    <row r="4872" spans="2:8">
      <c r="B4872" s="11" t="str">
        <f t="shared" si="305"/>
        <v/>
      </c>
      <c r="C4872" s="11" t="str">
        <f t="shared" si="304"/>
        <v/>
      </c>
      <c r="F4872" s="10" t="str">
        <v/>
      </c>
      <c r="G4872" t="e">
        <f t="shared" si="306"/>
        <v>#VALUE!</v>
      </c>
      <c r="H4872" s="13" t="e">
        <f t="shared" si="307"/>
        <v>#VALUE!</v>
      </c>
    </row>
    <row r="4873" spans="2:8">
      <c r="B4873" s="11" t="str">
        <f t="shared" si="305"/>
        <v/>
      </c>
      <c r="C4873" s="11" t="str">
        <f t="shared" si="304"/>
        <v/>
      </c>
      <c r="F4873" s="10" t="str">
        <v/>
      </c>
      <c r="G4873" t="e">
        <f t="shared" si="306"/>
        <v>#VALUE!</v>
      </c>
      <c r="H4873" s="13" t="e">
        <f t="shared" si="307"/>
        <v>#VALUE!</v>
      </c>
    </row>
    <row r="4874" spans="2:8">
      <c r="B4874" s="11" t="str">
        <f t="shared" si="305"/>
        <v/>
      </c>
      <c r="C4874" s="11" t="str">
        <f t="shared" si="304"/>
        <v/>
      </c>
      <c r="F4874" s="10" t="str">
        <v/>
      </c>
      <c r="G4874" t="e">
        <f t="shared" si="306"/>
        <v>#VALUE!</v>
      </c>
      <c r="H4874" s="13" t="e">
        <f t="shared" si="307"/>
        <v>#VALUE!</v>
      </c>
    </row>
    <row r="4875" spans="2:8">
      <c r="B4875" s="11" t="str">
        <f t="shared" si="305"/>
        <v/>
      </c>
      <c r="C4875" s="11" t="str">
        <f t="shared" si="304"/>
        <v/>
      </c>
      <c r="F4875" s="10" t="str">
        <v/>
      </c>
      <c r="G4875" t="e">
        <f t="shared" si="306"/>
        <v>#VALUE!</v>
      </c>
      <c r="H4875" s="13" t="e">
        <f t="shared" si="307"/>
        <v>#VALUE!</v>
      </c>
    </row>
    <row r="4876" spans="2:8">
      <c r="B4876" s="11" t="str">
        <f t="shared" si="305"/>
        <v/>
      </c>
      <c r="C4876" s="11" t="str">
        <f t="shared" si="304"/>
        <v/>
      </c>
      <c r="F4876" s="10" t="str">
        <v/>
      </c>
      <c r="G4876" t="e">
        <f t="shared" si="306"/>
        <v>#VALUE!</v>
      </c>
      <c r="H4876" s="13" t="e">
        <f t="shared" si="307"/>
        <v>#VALUE!</v>
      </c>
    </row>
    <row r="4877" spans="2:8">
      <c r="B4877" s="11" t="str">
        <f t="shared" si="305"/>
        <v/>
      </c>
      <c r="C4877" s="11" t="str">
        <f t="shared" si="304"/>
        <v/>
      </c>
      <c r="F4877" s="10" t="str">
        <v/>
      </c>
      <c r="G4877" t="e">
        <f t="shared" si="306"/>
        <v>#VALUE!</v>
      </c>
      <c r="H4877" s="13" t="e">
        <f t="shared" si="307"/>
        <v>#VALUE!</v>
      </c>
    </row>
    <row r="4878" spans="2:8">
      <c r="B4878" s="11" t="str">
        <f t="shared" si="305"/>
        <v/>
      </c>
      <c r="C4878" s="11" t="str">
        <f t="shared" si="304"/>
        <v/>
      </c>
      <c r="F4878" s="10" t="str">
        <v/>
      </c>
      <c r="G4878" t="e">
        <f t="shared" si="306"/>
        <v>#VALUE!</v>
      </c>
      <c r="H4878" s="13" t="e">
        <f t="shared" si="307"/>
        <v>#VALUE!</v>
      </c>
    </row>
    <row r="4879" spans="2:8">
      <c r="B4879" s="11" t="str">
        <f t="shared" si="305"/>
        <v/>
      </c>
      <c r="C4879" s="11" t="str">
        <f t="shared" si="304"/>
        <v/>
      </c>
      <c r="F4879" s="10" t="str">
        <v/>
      </c>
      <c r="G4879" t="e">
        <f t="shared" si="306"/>
        <v>#VALUE!</v>
      </c>
      <c r="H4879" s="13" t="e">
        <f t="shared" si="307"/>
        <v>#VALUE!</v>
      </c>
    </row>
    <row r="4880" spans="2:8">
      <c r="B4880" s="11" t="str">
        <f t="shared" si="305"/>
        <v/>
      </c>
      <c r="C4880" s="11" t="str">
        <f t="shared" si="304"/>
        <v/>
      </c>
      <c r="F4880" s="10" t="str">
        <v/>
      </c>
      <c r="G4880" t="e">
        <f t="shared" si="306"/>
        <v>#VALUE!</v>
      </c>
      <c r="H4880" s="13" t="e">
        <f t="shared" si="307"/>
        <v>#VALUE!</v>
      </c>
    </row>
    <row r="4881" spans="2:8">
      <c r="B4881" s="11" t="str">
        <f t="shared" si="305"/>
        <v/>
      </c>
      <c r="C4881" s="11" t="str">
        <f t="shared" si="304"/>
        <v/>
      </c>
      <c r="F4881" s="10" t="str">
        <v/>
      </c>
      <c r="G4881" t="e">
        <f t="shared" si="306"/>
        <v>#VALUE!</v>
      </c>
      <c r="H4881" s="13" t="e">
        <f t="shared" si="307"/>
        <v>#VALUE!</v>
      </c>
    </row>
    <row r="4882" spans="2:8">
      <c r="B4882" s="11" t="str">
        <f t="shared" si="305"/>
        <v/>
      </c>
      <c r="C4882" s="11" t="str">
        <f t="shared" si="304"/>
        <v/>
      </c>
      <c r="F4882" s="10" t="str">
        <v/>
      </c>
      <c r="G4882" t="e">
        <f t="shared" si="306"/>
        <v>#VALUE!</v>
      </c>
      <c r="H4882" s="13" t="e">
        <f t="shared" si="307"/>
        <v>#VALUE!</v>
      </c>
    </row>
    <row r="4883" spans="2:8">
      <c r="B4883" s="11" t="str">
        <f t="shared" si="305"/>
        <v/>
      </c>
      <c r="C4883" s="11" t="str">
        <f t="shared" si="304"/>
        <v/>
      </c>
      <c r="F4883" s="10" t="str">
        <v/>
      </c>
      <c r="G4883" t="e">
        <f t="shared" si="306"/>
        <v>#VALUE!</v>
      </c>
      <c r="H4883" s="13" t="e">
        <f t="shared" si="307"/>
        <v>#VALUE!</v>
      </c>
    </row>
    <row r="4884" spans="2:8">
      <c r="B4884" s="11" t="str">
        <f t="shared" si="305"/>
        <v/>
      </c>
      <c r="C4884" s="11" t="str">
        <f t="shared" si="304"/>
        <v/>
      </c>
      <c r="F4884" s="10" t="str">
        <v/>
      </c>
      <c r="G4884" t="e">
        <f t="shared" si="306"/>
        <v>#VALUE!</v>
      </c>
      <c r="H4884" s="13" t="e">
        <f t="shared" si="307"/>
        <v>#VALUE!</v>
      </c>
    </row>
    <row r="4885" spans="2:8">
      <c r="B4885" s="11" t="str">
        <f t="shared" si="305"/>
        <v/>
      </c>
      <c r="C4885" s="11" t="str">
        <f t="shared" si="304"/>
        <v/>
      </c>
      <c r="F4885" s="10" t="str">
        <v/>
      </c>
      <c r="G4885" t="e">
        <f t="shared" si="306"/>
        <v>#VALUE!</v>
      </c>
      <c r="H4885" s="13" t="e">
        <f t="shared" si="307"/>
        <v>#VALUE!</v>
      </c>
    </row>
    <row r="4886" spans="2:8">
      <c r="B4886" s="11" t="str">
        <f t="shared" si="305"/>
        <v/>
      </c>
      <c r="C4886" s="11" t="str">
        <f t="shared" si="304"/>
        <v/>
      </c>
      <c r="F4886" s="10" t="str">
        <v/>
      </c>
      <c r="G4886" t="e">
        <f t="shared" si="306"/>
        <v>#VALUE!</v>
      </c>
      <c r="H4886" s="13" t="e">
        <f t="shared" si="307"/>
        <v>#VALUE!</v>
      </c>
    </row>
    <row r="4887" spans="2:8">
      <c r="B4887" s="11" t="str">
        <f t="shared" si="305"/>
        <v/>
      </c>
      <c r="C4887" s="11" t="str">
        <f t="shared" si="304"/>
        <v/>
      </c>
      <c r="F4887" s="10" t="str">
        <v/>
      </c>
      <c r="G4887" t="e">
        <f t="shared" si="306"/>
        <v>#VALUE!</v>
      </c>
      <c r="H4887" s="13" t="e">
        <f t="shared" si="307"/>
        <v>#VALUE!</v>
      </c>
    </row>
    <row r="4888" spans="2:8">
      <c r="B4888" s="11" t="str">
        <f t="shared" si="305"/>
        <v/>
      </c>
      <c r="C4888" s="11" t="str">
        <f t="shared" si="304"/>
        <v/>
      </c>
      <c r="F4888" s="10" t="str">
        <v/>
      </c>
      <c r="G4888" t="e">
        <f t="shared" si="306"/>
        <v>#VALUE!</v>
      </c>
      <c r="H4888" s="13" t="e">
        <f t="shared" si="307"/>
        <v>#VALUE!</v>
      </c>
    </row>
    <row r="4889" spans="2:8">
      <c r="B4889" s="11" t="str">
        <f t="shared" si="305"/>
        <v/>
      </c>
      <c r="C4889" s="11" t="str">
        <f t="shared" si="304"/>
        <v/>
      </c>
      <c r="F4889" s="10" t="str">
        <v/>
      </c>
      <c r="G4889" t="e">
        <f t="shared" si="306"/>
        <v>#VALUE!</v>
      </c>
      <c r="H4889" s="13" t="e">
        <f t="shared" si="307"/>
        <v>#VALUE!</v>
      </c>
    </row>
    <row r="4890" spans="2:8">
      <c r="B4890" s="11" t="str">
        <f t="shared" si="305"/>
        <v/>
      </c>
      <c r="C4890" s="11" t="str">
        <f t="shared" si="304"/>
        <v/>
      </c>
      <c r="F4890" s="10" t="str">
        <v/>
      </c>
      <c r="G4890" t="e">
        <f t="shared" si="306"/>
        <v>#VALUE!</v>
      </c>
      <c r="H4890" s="13" t="e">
        <f t="shared" si="307"/>
        <v>#VALUE!</v>
      </c>
    </row>
    <row r="4891" spans="2:8">
      <c r="B4891" s="11" t="str">
        <f t="shared" si="305"/>
        <v/>
      </c>
      <c r="C4891" s="11" t="str">
        <f t="shared" si="304"/>
        <v/>
      </c>
      <c r="F4891" s="10" t="str">
        <v/>
      </c>
      <c r="G4891" t="e">
        <f t="shared" si="306"/>
        <v>#VALUE!</v>
      </c>
      <c r="H4891" s="13" t="e">
        <f t="shared" si="307"/>
        <v>#VALUE!</v>
      </c>
    </row>
    <row r="4892" spans="2:8">
      <c r="B4892" s="11" t="str">
        <f t="shared" si="305"/>
        <v/>
      </c>
      <c r="C4892" s="11" t="str">
        <f t="shared" si="304"/>
        <v/>
      </c>
      <c r="F4892" s="10" t="str">
        <v/>
      </c>
      <c r="G4892" t="e">
        <f t="shared" si="306"/>
        <v>#VALUE!</v>
      </c>
      <c r="H4892" s="13" t="e">
        <f t="shared" si="307"/>
        <v>#VALUE!</v>
      </c>
    </row>
    <row r="4893" spans="2:8">
      <c r="B4893" s="11" t="str">
        <f t="shared" si="305"/>
        <v/>
      </c>
      <c r="C4893" s="11" t="str">
        <f t="shared" si="304"/>
        <v/>
      </c>
      <c r="F4893" s="10" t="str">
        <v/>
      </c>
      <c r="G4893" t="e">
        <f t="shared" si="306"/>
        <v>#VALUE!</v>
      </c>
      <c r="H4893" s="13" t="e">
        <f t="shared" si="307"/>
        <v>#VALUE!</v>
      </c>
    </row>
    <row r="4894" spans="2:8">
      <c r="B4894" s="11" t="str">
        <f t="shared" si="305"/>
        <v/>
      </c>
      <c r="C4894" s="11" t="str">
        <f t="shared" si="304"/>
        <v/>
      </c>
      <c r="F4894" s="10" t="str">
        <v/>
      </c>
      <c r="G4894" t="e">
        <f t="shared" si="306"/>
        <v>#VALUE!</v>
      </c>
      <c r="H4894" s="13" t="e">
        <f t="shared" si="307"/>
        <v>#VALUE!</v>
      </c>
    </row>
    <row r="4895" spans="2:8">
      <c r="B4895" s="11" t="str">
        <f t="shared" si="305"/>
        <v/>
      </c>
      <c r="C4895" s="11" t="str">
        <f t="shared" si="304"/>
        <v/>
      </c>
      <c r="F4895" s="10" t="str">
        <v/>
      </c>
      <c r="G4895" t="e">
        <f t="shared" si="306"/>
        <v>#VALUE!</v>
      </c>
      <c r="H4895" s="13" t="e">
        <f t="shared" si="307"/>
        <v>#VALUE!</v>
      </c>
    </row>
    <row r="4896" spans="2:8">
      <c r="B4896" s="11" t="str">
        <f t="shared" si="305"/>
        <v/>
      </c>
      <c r="C4896" s="11" t="str">
        <f t="shared" si="304"/>
        <v/>
      </c>
      <c r="F4896" s="10" t="str">
        <v/>
      </c>
      <c r="G4896" t="e">
        <f t="shared" si="306"/>
        <v>#VALUE!</v>
      </c>
      <c r="H4896" s="13" t="e">
        <f t="shared" si="307"/>
        <v>#VALUE!</v>
      </c>
    </row>
    <row r="4897" spans="2:8">
      <c r="B4897" s="11" t="str">
        <f t="shared" si="305"/>
        <v/>
      </c>
      <c r="C4897" s="11" t="str">
        <f t="shared" si="304"/>
        <v/>
      </c>
      <c r="F4897" s="10" t="str">
        <v/>
      </c>
      <c r="G4897" t="e">
        <f t="shared" si="306"/>
        <v>#VALUE!</v>
      </c>
      <c r="H4897" s="13" t="e">
        <f t="shared" si="307"/>
        <v>#VALUE!</v>
      </c>
    </row>
    <row r="4898" spans="2:8">
      <c r="B4898" s="11" t="str">
        <f t="shared" si="305"/>
        <v/>
      </c>
      <c r="C4898" s="11" t="str">
        <f t="shared" si="304"/>
        <v/>
      </c>
      <c r="F4898" s="10" t="str">
        <v/>
      </c>
      <c r="G4898" t="e">
        <f t="shared" si="306"/>
        <v>#VALUE!</v>
      </c>
      <c r="H4898" s="13" t="e">
        <f t="shared" si="307"/>
        <v>#VALUE!</v>
      </c>
    </row>
    <row r="4899" spans="2:8">
      <c r="B4899" s="11" t="str">
        <f t="shared" si="305"/>
        <v/>
      </c>
      <c r="C4899" s="11" t="str">
        <f t="shared" si="304"/>
        <v/>
      </c>
      <c r="F4899" s="10" t="str">
        <v/>
      </c>
      <c r="G4899" t="e">
        <f t="shared" si="306"/>
        <v>#VALUE!</v>
      </c>
      <c r="H4899" s="13" t="e">
        <f t="shared" si="307"/>
        <v>#VALUE!</v>
      </c>
    </row>
    <row r="4900" spans="2:8">
      <c r="B4900" s="11" t="str">
        <f t="shared" si="305"/>
        <v/>
      </c>
      <c r="C4900" s="11" t="str">
        <f t="shared" si="304"/>
        <v/>
      </c>
      <c r="F4900" s="10" t="str">
        <v/>
      </c>
      <c r="G4900" t="e">
        <f t="shared" si="306"/>
        <v>#VALUE!</v>
      </c>
      <c r="H4900" s="13" t="e">
        <f t="shared" si="307"/>
        <v>#VALUE!</v>
      </c>
    </row>
    <row r="4901" spans="2:8">
      <c r="B4901" s="11" t="str">
        <f t="shared" si="305"/>
        <v/>
      </c>
      <c r="C4901" s="11" t="str">
        <f t="shared" si="304"/>
        <v/>
      </c>
      <c r="F4901" s="10" t="str">
        <v/>
      </c>
      <c r="G4901" t="e">
        <f t="shared" si="306"/>
        <v>#VALUE!</v>
      </c>
      <c r="H4901" s="13" t="e">
        <f t="shared" si="307"/>
        <v>#VALUE!</v>
      </c>
    </row>
    <row r="4902" spans="2:8">
      <c r="B4902" s="11" t="str">
        <f t="shared" si="305"/>
        <v/>
      </c>
      <c r="C4902" s="11" t="str">
        <f t="shared" si="304"/>
        <v/>
      </c>
      <c r="F4902" s="10" t="str">
        <v/>
      </c>
      <c r="G4902" t="e">
        <f t="shared" si="306"/>
        <v>#VALUE!</v>
      </c>
      <c r="H4902" s="13" t="e">
        <f t="shared" si="307"/>
        <v>#VALUE!</v>
      </c>
    </row>
    <row r="4903" spans="2:8">
      <c r="B4903" s="11" t="str">
        <f t="shared" si="305"/>
        <v/>
      </c>
      <c r="C4903" s="11" t="str">
        <f t="shared" si="304"/>
        <v/>
      </c>
      <c r="F4903" s="10" t="str">
        <v/>
      </c>
      <c r="G4903" t="e">
        <f t="shared" si="306"/>
        <v>#VALUE!</v>
      </c>
      <c r="H4903" s="13" t="e">
        <f t="shared" si="307"/>
        <v>#VALUE!</v>
      </c>
    </row>
    <row r="4904" spans="2:8">
      <c r="B4904" s="11" t="str">
        <f t="shared" si="305"/>
        <v/>
      </c>
      <c r="C4904" s="11" t="str">
        <f t="shared" si="304"/>
        <v/>
      </c>
      <c r="F4904" s="10" t="str">
        <v/>
      </c>
      <c r="G4904" t="e">
        <f t="shared" si="306"/>
        <v>#VALUE!</v>
      </c>
      <c r="H4904" s="13" t="e">
        <f t="shared" si="307"/>
        <v>#VALUE!</v>
      </c>
    </row>
    <row r="4905" spans="2:8">
      <c r="B4905" s="11" t="str">
        <f t="shared" si="305"/>
        <v/>
      </c>
      <c r="C4905" s="11" t="str">
        <f t="shared" ref="C4905:C4968" si="308">IF(B4905="артикул",A4905,"")</f>
        <v/>
      </c>
      <c r="F4905" s="10" t="str">
        <v/>
      </c>
      <c r="G4905" t="e">
        <f t="shared" si="306"/>
        <v>#VALUE!</v>
      </c>
      <c r="H4905" s="13" t="e">
        <f t="shared" si="307"/>
        <v>#VALUE!</v>
      </c>
    </row>
    <row r="4906" spans="2:8">
      <c r="B4906" s="11" t="str">
        <f t="shared" si="305"/>
        <v/>
      </c>
      <c r="C4906" s="11" t="str">
        <f t="shared" si="308"/>
        <v/>
      </c>
      <c r="F4906" s="10" t="str">
        <v/>
      </c>
      <c r="G4906" t="e">
        <f t="shared" si="306"/>
        <v>#VALUE!</v>
      </c>
      <c r="H4906" s="13" t="e">
        <f t="shared" si="307"/>
        <v>#VALUE!</v>
      </c>
    </row>
    <row r="4907" spans="2:8">
      <c r="B4907" s="11" t="str">
        <f t="shared" si="305"/>
        <v/>
      </c>
      <c r="C4907" s="11" t="str">
        <f t="shared" si="308"/>
        <v/>
      </c>
      <c r="F4907" s="10" t="str">
        <v/>
      </c>
      <c r="G4907" t="e">
        <f t="shared" si="306"/>
        <v>#VALUE!</v>
      </c>
      <c r="H4907" s="13" t="e">
        <f t="shared" si="307"/>
        <v>#VALUE!</v>
      </c>
    </row>
    <row r="4908" spans="2:8">
      <c r="B4908" s="11" t="str">
        <f t="shared" si="305"/>
        <v/>
      </c>
      <c r="C4908" s="11" t="str">
        <f t="shared" si="308"/>
        <v/>
      </c>
      <c r="F4908" s="10" t="str">
        <v/>
      </c>
      <c r="G4908" t="e">
        <f t="shared" si="306"/>
        <v>#VALUE!</v>
      </c>
      <c r="H4908" s="13" t="e">
        <f t="shared" si="307"/>
        <v>#VALUE!</v>
      </c>
    </row>
    <row r="4909" spans="2:8">
      <c r="B4909" s="11" t="str">
        <f t="shared" si="305"/>
        <v/>
      </c>
      <c r="C4909" s="11" t="str">
        <f t="shared" si="308"/>
        <v/>
      </c>
      <c r="F4909" s="10" t="str">
        <v/>
      </c>
      <c r="G4909" t="e">
        <f t="shared" si="306"/>
        <v>#VALUE!</v>
      </c>
      <c r="H4909" s="13" t="e">
        <f t="shared" si="307"/>
        <v>#VALUE!</v>
      </c>
    </row>
    <row r="4910" spans="2:8">
      <c r="B4910" s="11" t="str">
        <f t="shared" si="305"/>
        <v/>
      </c>
      <c r="C4910" s="11" t="str">
        <f t="shared" si="308"/>
        <v/>
      </c>
      <c r="F4910" s="10" t="str">
        <v/>
      </c>
      <c r="G4910" t="e">
        <f t="shared" si="306"/>
        <v>#VALUE!</v>
      </c>
      <c r="H4910" s="13" t="e">
        <f t="shared" si="307"/>
        <v>#VALUE!</v>
      </c>
    </row>
    <row r="4911" spans="2:8">
      <c r="B4911" s="11" t="str">
        <f t="shared" si="305"/>
        <v/>
      </c>
      <c r="C4911" s="11" t="str">
        <f t="shared" si="308"/>
        <v/>
      </c>
      <c r="F4911" s="10" t="str">
        <v/>
      </c>
      <c r="G4911" t="e">
        <f t="shared" si="306"/>
        <v>#VALUE!</v>
      </c>
      <c r="H4911" s="13" t="e">
        <f t="shared" si="307"/>
        <v>#VALUE!</v>
      </c>
    </row>
    <row r="4912" spans="2:8">
      <c r="B4912" s="11" t="str">
        <f t="shared" si="305"/>
        <v/>
      </c>
      <c r="C4912" s="11" t="str">
        <f t="shared" si="308"/>
        <v/>
      </c>
      <c r="F4912" s="10" t="str">
        <v/>
      </c>
      <c r="G4912" t="e">
        <f t="shared" si="306"/>
        <v>#VALUE!</v>
      </c>
      <c r="H4912" s="13" t="e">
        <f t="shared" si="307"/>
        <v>#VALUE!</v>
      </c>
    </row>
    <row r="4913" spans="2:8">
      <c r="B4913" s="11" t="str">
        <f t="shared" si="305"/>
        <v/>
      </c>
      <c r="C4913" s="11" t="str">
        <f t="shared" si="308"/>
        <v/>
      </c>
      <c r="F4913" s="10" t="str">
        <v/>
      </c>
      <c r="G4913" t="e">
        <f t="shared" si="306"/>
        <v>#VALUE!</v>
      </c>
      <c r="H4913" s="13" t="e">
        <f t="shared" si="307"/>
        <v>#VALUE!</v>
      </c>
    </row>
    <row r="4914" spans="2:8">
      <c r="B4914" s="11" t="str">
        <f t="shared" si="305"/>
        <v/>
      </c>
      <c r="C4914" s="11" t="str">
        <f t="shared" si="308"/>
        <v/>
      </c>
      <c r="F4914" s="10" t="str">
        <v/>
      </c>
      <c r="G4914" t="e">
        <f t="shared" si="306"/>
        <v>#VALUE!</v>
      </c>
      <c r="H4914" s="13" t="e">
        <f t="shared" si="307"/>
        <v>#VALUE!</v>
      </c>
    </row>
    <row r="4915" spans="2:8">
      <c r="B4915" s="11" t="str">
        <f t="shared" si="305"/>
        <v/>
      </c>
      <c r="C4915" s="11" t="str">
        <f t="shared" si="308"/>
        <v/>
      </c>
      <c r="F4915" s="10" t="str">
        <v/>
      </c>
      <c r="G4915" t="e">
        <f t="shared" si="306"/>
        <v>#VALUE!</v>
      </c>
      <c r="H4915" s="13" t="e">
        <f t="shared" si="307"/>
        <v>#VALUE!</v>
      </c>
    </row>
    <row r="4916" spans="2:8">
      <c r="B4916" s="11" t="str">
        <f t="shared" si="305"/>
        <v/>
      </c>
      <c r="C4916" s="11" t="str">
        <f t="shared" si="308"/>
        <v/>
      </c>
      <c r="F4916" s="10" t="str">
        <v/>
      </c>
      <c r="G4916" t="e">
        <f t="shared" si="306"/>
        <v>#VALUE!</v>
      </c>
      <c r="H4916" s="13" t="e">
        <f t="shared" si="307"/>
        <v>#VALUE!</v>
      </c>
    </row>
    <row r="4917" spans="2:8">
      <c r="B4917" s="11" t="str">
        <f t="shared" si="305"/>
        <v/>
      </c>
      <c r="C4917" s="11" t="str">
        <f t="shared" si="308"/>
        <v/>
      </c>
      <c r="F4917" s="10" t="str">
        <v/>
      </c>
      <c r="G4917" t="e">
        <f t="shared" si="306"/>
        <v>#VALUE!</v>
      </c>
      <c r="H4917" s="13" t="e">
        <f t="shared" si="307"/>
        <v>#VALUE!</v>
      </c>
    </row>
    <row r="4918" spans="2:8">
      <c r="B4918" s="11" t="str">
        <f t="shared" si="305"/>
        <v/>
      </c>
      <c r="C4918" s="11" t="str">
        <f t="shared" si="308"/>
        <v/>
      </c>
      <c r="F4918" s="10" t="str">
        <v/>
      </c>
      <c r="G4918" t="e">
        <f t="shared" si="306"/>
        <v>#VALUE!</v>
      </c>
      <c r="H4918" s="13" t="e">
        <f t="shared" si="307"/>
        <v>#VALUE!</v>
      </c>
    </row>
    <row r="4919" spans="2:8">
      <c r="B4919" s="11" t="str">
        <f t="shared" si="305"/>
        <v/>
      </c>
      <c r="C4919" s="11" t="str">
        <f t="shared" si="308"/>
        <v/>
      </c>
      <c r="F4919" s="10" t="str">
        <v/>
      </c>
      <c r="G4919" t="e">
        <f t="shared" si="306"/>
        <v>#VALUE!</v>
      </c>
      <c r="H4919" s="13" t="e">
        <f t="shared" si="307"/>
        <v>#VALUE!</v>
      </c>
    </row>
    <row r="4920" spans="2:8">
      <c r="B4920" s="11" t="str">
        <f t="shared" si="305"/>
        <v/>
      </c>
      <c r="C4920" s="11" t="str">
        <f t="shared" si="308"/>
        <v/>
      </c>
      <c r="F4920" s="10" t="str">
        <v/>
      </c>
      <c r="G4920" t="e">
        <f t="shared" si="306"/>
        <v>#VALUE!</v>
      </c>
      <c r="H4920" s="13" t="e">
        <f t="shared" si="307"/>
        <v>#VALUE!</v>
      </c>
    </row>
    <row r="4921" spans="2:8">
      <c r="B4921" s="11" t="str">
        <f t="shared" si="305"/>
        <v/>
      </c>
      <c r="C4921" s="11" t="str">
        <f t="shared" si="308"/>
        <v/>
      </c>
      <c r="F4921" s="10" t="str">
        <v/>
      </c>
      <c r="G4921" t="e">
        <f t="shared" si="306"/>
        <v>#VALUE!</v>
      </c>
      <c r="H4921" s="13" t="e">
        <f t="shared" si="307"/>
        <v>#VALUE!</v>
      </c>
    </row>
    <row r="4922" spans="2:8">
      <c r="B4922" s="11" t="str">
        <f t="shared" si="305"/>
        <v/>
      </c>
      <c r="C4922" s="11" t="str">
        <f t="shared" si="308"/>
        <v/>
      </c>
      <c r="F4922" s="10" t="str">
        <v/>
      </c>
      <c r="G4922" t="e">
        <f t="shared" si="306"/>
        <v>#VALUE!</v>
      </c>
      <c r="H4922" s="13" t="e">
        <f t="shared" si="307"/>
        <v>#VALUE!</v>
      </c>
    </row>
    <row r="4923" spans="2:8">
      <c r="B4923" s="11" t="str">
        <f t="shared" si="305"/>
        <v/>
      </c>
      <c r="C4923" s="11" t="str">
        <f t="shared" si="308"/>
        <v/>
      </c>
      <c r="F4923" s="10" t="str">
        <v/>
      </c>
      <c r="G4923" t="e">
        <f t="shared" si="306"/>
        <v>#VALUE!</v>
      </c>
      <c r="H4923" s="13" t="e">
        <f t="shared" si="307"/>
        <v>#VALUE!</v>
      </c>
    </row>
    <row r="4924" spans="2:8">
      <c r="B4924" s="11" t="str">
        <f t="shared" si="305"/>
        <v/>
      </c>
      <c r="C4924" s="11" t="str">
        <f t="shared" si="308"/>
        <v/>
      </c>
      <c r="F4924" s="10" t="str">
        <v/>
      </c>
      <c r="G4924" t="e">
        <f t="shared" si="306"/>
        <v>#VALUE!</v>
      </c>
      <c r="H4924" s="13" t="e">
        <f t="shared" si="307"/>
        <v>#VALUE!</v>
      </c>
    </row>
    <row r="4925" spans="2:8">
      <c r="B4925" s="11" t="str">
        <f t="shared" si="305"/>
        <v/>
      </c>
      <c r="C4925" s="11" t="str">
        <f t="shared" si="308"/>
        <v/>
      </c>
      <c r="F4925" s="10" t="str">
        <v/>
      </c>
      <c r="G4925" t="e">
        <f t="shared" si="306"/>
        <v>#VALUE!</v>
      </c>
      <c r="H4925" s="13" t="e">
        <f t="shared" si="307"/>
        <v>#VALUE!</v>
      </c>
    </row>
    <row r="4926" spans="2:8">
      <c r="B4926" s="11" t="str">
        <f t="shared" si="305"/>
        <v/>
      </c>
      <c r="C4926" s="11" t="str">
        <f t="shared" si="308"/>
        <v/>
      </c>
      <c r="F4926" s="10" t="str">
        <v/>
      </c>
      <c r="G4926" t="e">
        <f t="shared" si="306"/>
        <v>#VALUE!</v>
      </c>
      <c r="H4926" s="13" t="e">
        <f t="shared" si="307"/>
        <v>#VALUE!</v>
      </c>
    </row>
    <row r="4927" spans="2:8">
      <c r="B4927" s="11" t="str">
        <f t="shared" si="305"/>
        <v/>
      </c>
      <c r="C4927" s="11" t="str">
        <f t="shared" si="308"/>
        <v/>
      </c>
      <c r="F4927" s="10" t="str">
        <v/>
      </c>
      <c r="G4927" t="e">
        <f t="shared" si="306"/>
        <v>#VALUE!</v>
      </c>
      <c r="H4927" s="13" t="e">
        <f t="shared" si="307"/>
        <v>#VALUE!</v>
      </c>
    </row>
    <row r="4928" spans="2:8">
      <c r="B4928" s="11" t="str">
        <f t="shared" si="305"/>
        <v/>
      </c>
      <c r="C4928" s="11" t="str">
        <f t="shared" si="308"/>
        <v/>
      </c>
      <c r="F4928" s="10" t="str">
        <v/>
      </c>
      <c r="G4928" t="e">
        <f t="shared" si="306"/>
        <v>#VALUE!</v>
      </c>
      <c r="H4928" s="13" t="e">
        <f t="shared" si="307"/>
        <v>#VALUE!</v>
      </c>
    </row>
    <row r="4929" spans="2:8">
      <c r="B4929" s="11" t="str">
        <f t="shared" ref="B4929:B4992" si="309">IFERROR(IF(FIND(" ",A4929)=6,IF(IFERROR(FIND(" PB",A4929),"")&lt;&gt;"","артикул",IF(IFERROR(FIND(" CRN",A4929),"")&lt;&gt;"","артикул","")),""),"")</f>
        <v/>
      </c>
      <c r="C4929" s="11" t="str">
        <f t="shared" si="308"/>
        <v/>
      </c>
      <c r="F4929" s="10" t="str">
        <v/>
      </c>
      <c r="G4929" t="e">
        <f t="shared" si="306"/>
        <v>#VALUE!</v>
      </c>
      <c r="H4929" s="13" t="e">
        <f t="shared" si="307"/>
        <v>#VALUE!</v>
      </c>
    </row>
    <row r="4930" spans="2:8">
      <c r="B4930" s="11" t="str">
        <f t="shared" si="309"/>
        <v/>
      </c>
      <c r="C4930" s="11" t="str">
        <f t="shared" si="308"/>
        <v/>
      </c>
      <c r="F4930" s="10" t="str">
        <v/>
      </c>
      <c r="G4930" t="e">
        <f t="shared" ref="G4930:G4993" si="310">CONCATENATE(LEFT(F4930,5),
MID(F4930,
SEARCH("\",SUBSTITUTE(F4930," ","\",LEN(F4930)-LEN(SUBSTITUTE(F4930," ",""))-4)),
SEARCH("\",SUBSTITUTE(F4930," ","\",LEN(F4930)-LEN(SUBSTITUTE(F4930," ",""))-3))-
SEARCH("\",SUBSTITUTE(F4930," ","\",LEN(F4930)-LEN(SUBSTITUTE(F4930," ",""))-4)))*1)</f>
        <v>#VALUE!</v>
      </c>
      <c r="H4930" s="13" t="e">
        <f t="shared" ref="H4930:H4993" si="311">SUBSTITUTE(
RIGHT(F4930,LEN(F4930)-
FIND("\",SUBSTITUTE(F4930," ","\",LEN(F4930)-LEN(SUBSTITUTE(F4930," ",""))))),
".","")</f>
        <v>#VALUE!</v>
      </c>
    </row>
    <row r="4931" spans="2:8">
      <c r="B4931" s="11" t="str">
        <f t="shared" si="309"/>
        <v/>
      </c>
      <c r="C4931" s="11" t="str">
        <f t="shared" si="308"/>
        <v/>
      </c>
      <c r="F4931" s="10" t="str">
        <v/>
      </c>
      <c r="G4931" t="e">
        <f t="shared" si="310"/>
        <v>#VALUE!</v>
      </c>
      <c r="H4931" s="13" t="e">
        <f t="shared" si="311"/>
        <v>#VALUE!</v>
      </c>
    </row>
    <row r="4932" spans="2:8">
      <c r="B4932" s="11" t="str">
        <f t="shared" si="309"/>
        <v/>
      </c>
      <c r="C4932" s="11" t="str">
        <f t="shared" si="308"/>
        <v/>
      </c>
      <c r="F4932" s="10" t="str">
        <v/>
      </c>
      <c r="G4932" t="e">
        <f t="shared" si="310"/>
        <v>#VALUE!</v>
      </c>
      <c r="H4932" s="13" t="e">
        <f t="shared" si="311"/>
        <v>#VALUE!</v>
      </c>
    </row>
    <row r="4933" spans="2:8">
      <c r="B4933" s="11" t="str">
        <f t="shared" si="309"/>
        <v/>
      </c>
      <c r="C4933" s="11" t="str">
        <f t="shared" si="308"/>
        <v/>
      </c>
      <c r="F4933" s="10" t="str">
        <v/>
      </c>
      <c r="G4933" t="e">
        <f t="shared" si="310"/>
        <v>#VALUE!</v>
      </c>
      <c r="H4933" s="13" t="e">
        <f t="shared" si="311"/>
        <v>#VALUE!</v>
      </c>
    </row>
    <row r="4934" spans="2:8">
      <c r="B4934" s="11" t="str">
        <f t="shared" si="309"/>
        <v/>
      </c>
      <c r="C4934" s="11" t="str">
        <f t="shared" si="308"/>
        <v/>
      </c>
      <c r="F4934" s="10" t="str">
        <v/>
      </c>
      <c r="G4934" t="e">
        <f t="shared" si="310"/>
        <v>#VALUE!</v>
      </c>
      <c r="H4934" s="13" t="e">
        <f t="shared" si="311"/>
        <v>#VALUE!</v>
      </c>
    </row>
    <row r="4935" spans="2:8">
      <c r="B4935" s="11" t="str">
        <f t="shared" si="309"/>
        <v/>
      </c>
      <c r="C4935" s="11" t="str">
        <f t="shared" si="308"/>
        <v/>
      </c>
      <c r="F4935" s="10" t="str">
        <v/>
      </c>
      <c r="G4935" t="e">
        <f t="shared" si="310"/>
        <v>#VALUE!</v>
      </c>
      <c r="H4935" s="13" t="e">
        <f t="shared" si="311"/>
        <v>#VALUE!</v>
      </c>
    </row>
    <row r="4936" spans="2:8">
      <c r="B4936" s="11" t="str">
        <f t="shared" si="309"/>
        <v/>
      </c>
      <c r="C4936" s="11" t="str">
        <f t="shared" si="308"/>
        <v/>
      </c>
      <c r="F4936" s="10" t="str">
        <v/>
      </c>
      <c r="G4936" t="e">
        <f t="shared" si="310"/>
        <v>#VALUE!</v>
      </c>
      <c r="H4936" s="13" t="e">
        <f t="shared" si="311"/>
        <v>#VALUE!</v>
      </c>
    </row>
    <row r="4937" spans="2:8">
      <c r="B4937" s="11" t="str">
        <f t="shared" si="309"/>
        <v/>
      </c>
      <c r="C4937" s="11" t="str">
        <f t="shared" si="308"/>
        <v/>
      </c>
      <c r="F4937" s="10" t="str">
        <v/>
      </c>
      <c r="G4937" t="e">
        <f t="shared" si="310"/>
        <v>#VALUE!</v>
      </c>
      <c r="H4937" s="13" t="e">
        <f t="shared" si="311"/>
        <v>#VALUE!</v>
      </c>
    </row>
    <row r="4938" spans="2:8">
      <c r="B4938" s="11" t="str">
        <f t="shared" si="309"/>
        <v/>
      </c>
      <c r="C4938" s="11" t="str">
        <f t="shared" si="308"/>
        <v/>
      </c>
      <c r="F4938" s="10" t="str">
        <v/>
      </c>
      <c r="G4938" t="e">
        <f t="shared" si="310"/>
        <v>#VALUE!</v>
      </c>
      <c r="H4938" s="13" t="e">
        <f t="shared" si="311"/>
        <v>#VALUE!</v>
      </c>
    </row>
    <row r="4939" spans="2:8">
      <c r="B4939" s="11" t="str">
        <f t="shared" si="309"/>
        <v/>
      </c>
      <c r="C4939" s="11" t="str">
        <f t="shared" si="308"/>
        <v/>
      </c>
      <c r="F4939" s="10" t="str">
        <v/>
      </c>
      <c r="G4939" t="e">
        <f t="shared" si="310"/>
        <v>#VALUE!</v>
      </c>
      <c r="H4939" s="13" t="e">
        <f t="shared" si="311"/>
        <v>#VALUE!</v>
      </c>
    </row>
    <row r="4940" spans="2:8">
      <c r="B4940" s="11" t="str">
        <f t="shared" si="309"/>
        <v/>
      </c>
      <c r="C4940" s="11" t="str">
        <f t="shared" si="308"/>
        <v/>
      </c>
      <c r="F4940" s="10" t="str">
        <v/>
      </c>
      <c r="G4940" t="e">
        <f t="shared" si="310"/>
        <v>#VALUE!</v>
      </c>
      <c r="H4940" s="13" t="e">
        <f t="shared" si="311"/>
        <v>#VALUE!</v>
      </c>
    </row>
    <row r="4941" spans="2:8">
      <c r="B4941" s="11" t="str">
        <f t="shared" si="309"/>
        <v/>
      </c>
      <c r="C4941" s="11" t="str">
        <f t="shared" si="308"/>
        <v/>
      </c>
      <c r="F4941" s="10" t="str">
        <v/>
      </c>
      <c r="G4941" t="e">
        <f t="shared" si="310"/>
        <v>#VALUE!</v>
      </c>
      <c r="H4941" s="13" t="e">
        <f t="shared" si="311"/>
        <v>#VALUE!</v>
      </c>
    </row>
    <row r="4942" spans="2:8">
      <c r="B4942" s="11" t="str">
        <f t="shared" si="309"/>
        <v/>
      </c>
      <c r="C4942" s="11" t="str">
        <f t="shared" si="308"/>
        <v/>
      </c>
      <c r="F4942" s="10" t="str">
        <v/>
      </c>
      <c r="G4942" t="e">
        <f t="shared" si="310"/>
        <v>#VALUE!</v>
      </c>
      <c r="H4942" s="13" t="e">
        <f t="shared" si="311"/>
        <v>#VALUE!</v>
      </c>
    </row>
    <row r="4943" spans="2:8">
      <c r="B4943" s="11" t="str">
        <f t="shared" si="309"/>
        <v/>
      </c>
      <c r="C4943" s="11" t="str">
        <f t="shared" si="308"/>
        <v/>
      </c>
      <c r="F4943" s="10" t="str">
        <v/>
      </c>
      <c r="G4943" t="e">
        <f t="shared" si="310"/>
        <v>#VALUE!</v>
      </c>
      <c r="H4943" s="13" t="e">
        <f t="shared" si="311"/>
        <v>#VALUE!</v>
      </c>
    </row>
    <row r="4944" spans="2:8">
      <c r="B4944" s="11" t="str">
        <f t="shared" si="309"/>
        <v/>
      </c>
      <c r="C4944" s="11" t="str">
        <f t="shared" si="308"/>
        <v/>
      </c>
      <c r="F4944" s="10" t="str">
        <v/>
      </c>
      <c r="G4944" t="e">
        <f t="shared" si="310"/>
        <v>#VALUE!</v>
      </c>
      <c r="H4944" s="13" t="e">
        <f t="shared" si="311"/>
        <v>#VALUE!</v>
      </c>
    </row>
    <row r="4945" spans="2:8">
      <c r="B4945" s="11" t="str">
        <f t="shared" si="309"/>
        <v/>
      </c>
      <c r="C4945" s="11" t="str">
        <f t="shared" si="308"/>
        <v/>
      </c>
      <c r="F4945" s="10" t="str">
        <v/>
      </c>
      <c r="G4945" t="e">
        <f t="shared" si="310"/>
        <v>#VALUE!</v>
      </c>
      <c r="H4945" s="13" t="e">
        <f t="shared" si="311"/>
        <v>#VALUE!</v>
      </c>
    </row>
    <row r="4946" spans="2:8">
      <c r="B4946" s="11" t="str">
        <f t="shared" si="309"/>
        <v/>
      </c>
      <c r="C4946" s="11" t="str">
        <f t="shared" si="308"/>
        <v/>
      </c>
      <c r="F4946" s="10" t="str">
        <v/>
      </c>
      <c r="G4946" t="e">
        <f t="shared" si="310"/>
        <v>#VALUE!</v>
      </c>
      <c r="H4946" s="13" t="e">
        <f t="shared" si="311"/>
        <v>#VALUE!</v>
      </c>
    </row>
    <row r="4947" spans="2:8">
      <c r="B4947" s="11" t="str">
        <f t="shared" si="309"/>
        <v/>
      </c>
      <c r="C4947" s="11" t="str">
        <f t="shared" si="308"/>
        <v/>
      </c>
      <c r="F4947" s="10" t="str">
        <v/>
      </c>
      <c r="G4947" t="e">
        <f t="shared" si="310"/>
        <v>#VALUE!</v>
      </c>
      <c r="H4947" s="13" t="e">
        <f t="shared" si="311"/>
        <v>#VALUE!</v>
      </c>
    </row>
    <row r="4948" spans="2:8">
      <c r="B4948" s="11" t="str">
        <f t="shared" si="309"/>
        <v/>
      </c>
      <c r="C4948" s="11" t="str">
        <f t="shared" si="308"/>
        <v/>
      </c>
      <c r="F4948" s="10" t="str">
        <v/>
      </c>
      <c r="G4948" t="e">
        <f t="shared" si="310"/>
        <v>#VALUE!</v>
      </c>
      <c r="H4948" s="13" t="e">
        <f t="shared" si="311"/>
        <v>#VALUE!</v>
      </c>
    </row>
    <row r="4949" spans="2:8">
      <c r="B4949" s="11" t="str">
        <f t="shared" si="309"/>
        <v/>
      </c>
      <c r="C4949" s="11" t="str">
        <f t="shared" si="308"/>
        <v/>
      </c>
      <c r="F4949" s="10" t="str">
        <v/>
      </c>
      <c r="G4949" t="e">
        <f t="shared" si="310"/>
        <v>#VALUE!</v>
      </c>
      <c r="H4949" s="13" t="e">
        <f t="shared" si="311"/>
        <v>#VALUE!</v>
      </c>
    </row>
    <row r="4950" spans="2:8">
      <c r="B4950" s="11" t="str">
        <f t="shared" si="309"/>
        <v/>
      </c>
      <c r="C4950" s="11" t="str">
        <f t="shared" si="308"/>
        <v/>
      </c>
      <c r="F4950" s="10" t="str">
        <v/>
      </c>
      <c r="G4950" t="e">
        <f t="shared" si="310"/>
        <v>#VALUE!</v>
      </c>
      <c r="H4950" s="13" t="e">
        <f t="shared" si="311"/>
        <v>#VALUE!</v>
      </c>
    </row>
    <row r="4951" spans="2:8">
      <c r="B4951" s="11" t="str">
        <f t="shared" si="309"/>
        <v/>
      </c>
      <c r="C4951" s="11" t="str">
        <f t="shared" si="308"/>
        <v/>
      </c>
      <c r="F4951" s="10" t="str">
        <v/>
      </c>
      <c r="G4951" t="e">
        <f t="shared" si="310"/>
        <v>#VALUE!</v>
      </c>
      <c r="H4951" s="13" t="e">
        <f t="shared" si="311"/>
        <v>#VALUE!</v>
      </c>
    </row>
    <row r="4952" spans="2:8">
      <c r="B4952" s="11" t="str">
        <f t="shared" si="309"/>
        <v/>
      </c>
      <c r="C4952" s="11" t="str">
        <f t="shared" si="308"/>
        <v/>
      </c>
      <c r="F4952" s="10" t="str">
        <v/>
      </c>
      <c r="G4952" t="e">
        <f t="shared" si="310"/>
        <v>#VALUE!</v>
      </c>
      <c r="H4952" s="13" t="e">
        <f t="shared" si="311"/>
        <v>#VALUE!</v>
      </c>
    </row>
    <row r="4953" spans="2:8">
      <c r="B4953" s="11" t="str">
        <f t="shared" si="309"/>
        <v/>
      </c>
      <c r="C4953" s="11" t="str">
        <f t="shared" si="308"/>
        <v/>
      </c>
      <c r="F4953" s="10" t="str">
        <v/>
      </c>
      <c r="G4953" t="e">
        <f t="shared" si="310"/>
        <v>#VALUE!</v>
      </c>
      <c r="H4953" s="13" t="e">
        <f t="shared" si="311"/>
        <v>#VALUE!</v>
      </c>
    </row>
    <row r="4954" spans="2:8">
      <c r="B4954" s="11" t="str">
        <f t="shared" si="309"/>
        <v/>
      </c>
      <c r="C4954" s="11" t="str">
        <f t="shared" si="308"/>
        <v/>
      </c>
      <c r="F4954" s="10" t="str">
        <v/>
      </c>
      <c r="G4954" t="e">
        <f t="shared" si="310"/>
        <v>#VALUE!</v>
      </c>
      <c r="H4954" s="13" t="e">
        <f t="shared" si="311"/>
        <v>#VALUE!</v>
      </c>
    </row>
    <row r="4955" spans="2:8">
      <c r="B4955" s="11" t="str">
        <f t="shared" si="309"/>
        <v/>
      </c>
      <c r="C4955" s="11" t="str">
        <f t="shared" si="308"/>
        <v/>
      </c>
      <c r="F4955" s="10" t="str">
        <v/>
      </c>
      <c r="G4955" t="e">
        <f t="shared" si="310"/>
        <v>#VALUE!</v>
      </c>
      <c r="H4955" s="13" t="e">
        <f t="shared" si="311"/>
        <v>#VALUE!</v>
      </c>
    </row>
    <row r="4956" spans="2:8">
      <c r="B4956" s="11" t="str">
        <f t="shared" si="309"/>
        <v/>
      </c>
      <c r="C4956" s="11" t="str">
        <f t="shared" si="308"/>
        <v/>
      </c>
      <c r="F4956" s="10" t="str">
        <v/>
      </c>
      <c r="G4956" t="e">
        <f t="shared" si="310"/>
        <v>#VALUE!</v>
      </c>
      <c r="H4956" s="13" t="e">
        <f t="shared" si="311"/>
        <v>#VALUE!</v>
      </c>
    </row>
    <row r="4957" spans="2:8">
      <c r="B4957" s="11" t="str">
        <f t="shared" si="309"/>
        <v/>
      </c>
      <c r="C4957" s="11" t="str">
        <f t="shared" si="308"/>
        <v/>
      </c>
      <c r="F4957" s="10" t="str">
        <v/>
      </c>
      <c r="G4957" t="e">
        <f t="shared" si="310"/>
        <v>#VALUE!</v>
      </c>
      <c r="H4957" s="13" t="e">
        <f t="shared" si="311"/>
        <v>#VALUE!</v>
      </c>
    </row>
    <row r="4958" spans="2:8">
      <c r="B4958" s="11" t="str">
        <f t="shared" si="309"/>
        <v/>
      </c>
      <c r="C4958" s="11" t="str">
        <f t="shared" si="308"/>
        <v/>
      </c>
      <c r="F4958" s="10" t="str">
        <v/>
      </c>
      <c r="G4958" t="e">
        <f t="shared" si="310"/>
        <v>#VALUE!</v>
      </c>
      <c r="H4958" s="13" t="e">
        <f t="shared" si="311"/>
        <v>#VALUE!</v>
      </c>
    </row>
    <row r="4959" spans="2:8">
      <c r="B4959" s="11" t="str">
        <f t="shared" si="309"/>
        <v/>
      </c>
      <c r="C4959" s="11" t="str">
        <f t="shared" si="308"/>
        <v/>
      </c>
      <c r="F4959" s="10" t="str">
        <v/>
      </c>
      <c r="G4959" t="e">
        <f t="shared" si="310"/>
        <v>#VALUE!</v>
      </c>
      <c r="H4959" s="13" t="e">
        <f t="shared" si="311"/>
        <v>#VALUE!</v>
      </c>
    </row>
    <row r="4960" spans="2:8">
      <c r="B4960" s="11" t="str">
        <f t="shared" si="309"/>
        <v/>
      </c>
      <c r="C4960" s="11" t="str">
        <f t="shared" si="308"/>
        <v/>
      </c>
      <c r="F4960" s="10" t="str">
        <v/>
      </c>
      <c r="G4960" t="e">
        <f t="shared" si="310"/>
        <v>#VALUE!</v>
      </c>
      <c r="H4960" s="13" t="e">
        <f t="shared" si="311"/>
        <v>#VALUE!</v>
      </c>
    </row>
    <row r="4961" spans="2:8">
      <c r="B4961" s="11" t="str">
        <f t="shared" si="309"/>
        <v/>
      </c>
      <c r="C4961" s="11" t="str">
        <f t="shared" si="308"/>
        <v/>
      </c>
      <c r="F4961" s="10" t="str">
        <v/>
      </c>
      <c r="G4961" t="e">
        <f t="shared" si="310"/>
        <v>#VALUE!</v>
      </c>
      <c r="H4961" s="13" t="e">
        <f t="shared" si="311"/>
        <v>#VALUE!</v>
      </c>
    </row>
    <row r="4962" spans="2:8">
      <c r="B4962" s="11" t="str">
        <f t="shared" si="309"/>
        <v/>
      </c>
      <c r="C4962" s="11" t="str">
        <f t="shared" si="308"/>
        <v/>
      </c>
      <c r="F4962" s="10" t="str">
        <v/>
      </c>
      <c r="G4962" t="e">
        <f t="shared" si="310"/>
        <v>#VALUE!</v>
      </c>
      <c r="H4962" s="13" t="e">
        <f t="shared" si="311"/>
        <v>#VALUE!</v>
      </c>
    </row>
    <row r="4963" spans="2:8">
      <c r="B4963" s="11" t="str">
        <f t="shared" si="309"/>
        <v/>
      </c>
      <c r="C4963" s="11" t="str">
        <f t="shared" si="308"/>
        <v/>
      </c>
      <c r="F4963" s="10" t="str">
        <v/>
      </c>
      <c r="G4963" t="e">
        <f t="shared" si="310"/>
        <v>#VALUE!</v>
      </c>
      <c r="H4963" s="13" t="e">
        <f t="shared" si="311"/>
        <v>#VALUE!</v>
      </c>
    </row>
    <row r="4964" spans="2:8">
      <c r="B4964" s="11" t="str">
        <f t="shared" si="309"/>
        <v/>
      </c>
      <c r="C4964" s="11" t="str">
        <f t="shared" si="308"/>
        <v/>
      </c>
      <c r="F4964" s="10" t="str">
        <v/>
      </c>
      <c r="G4964" t="e">
        <f t="shared" si="310"/>
        <v>#VALUE!</v>
      </c>
      <c r="H4964" s="13" t="e">
        <f t="shared" si="311"/>
        <v>#VALUE!</v>
      </c>
    </row>
    <row r="4965" spans="2:8">
      <c r="B4965" s="11" t="str">
        <f t="shared" si="309"/>
        <v/>
      </c>
      <c r="C4965" s="11" t="str">
        <f t="shared" si="308"/>
        <v/>
      </c>
      <c r="F4965" s="10" t="str">
        <v/>
      </c>
      <c r="G4965" t="e">
        <f t="shared" si="310"/>
        <v>#VALUE!</v>
      </c>
      <c r="H4965" s="13" t="e">
        <f t="shared" si="311"/>
        <v>#VALUE!</v>
      </c>
    </row>
    <row r="4966" spans="2:8">
      <c r="B4966" s="11" t="str">
        <f t="shared" si="309"/>
        <v/>
      </c>
      <c r="C4966" s="11" t="str">
        <f t="shared" si="308"/>
        <v/>
      </c>
      <c r="F4966" s="10" t="str">
        <v/>
      </c>
      <c r="G4966" t="e">
        <f t="shared" si="310"/>
        <v>#VALUE!</v>
      </c>
      <c r="H4966" s="13" t="e">
        <f t="shared" si="311"/>
        <v>#VALUE!</v>
      </c>
    </row>
    <row r="4967" spans="2:8">
      <c r="B4967" s="11" t="str">
        <f t="shared" si="309"/>
        <v/>
      </c>
      <c r="C4967" s="11" t="str">
        <f t="shared" si="308"/>
        <v/>
      </c>
      <c r="F4967" s="10" t="str">
        <v/>
      </c>
      <c r="G4967" t="e">
        <f t="shared" si="310"/>
        <v>#VALUE!</v>
      </c>
      <c r="H4967" s="13" t="e">
        <f t="shared" si="311"/>
        <v>#VALUE!</v>
      </c>
    </row>
    <row r="4968" spans="2:8">
      <c r="B4968" s="11" t="str">
        <f t="shared" si="309"/>
        <v/>
      </c>
      <c r="C4968" s="11" t="str">
        <f t="shared" si="308"/>
        <v/>
      </c>
      <c r="F4968" s="10" t="str">
        <v/>
      </c>
      <c r="G4968" t="e">
        <f t="shared" si="310"/>
        <v>#VALUE!</v>
      </c>
      <c r="H4968" s="13" t="e">
        <f t="shared" si="311"/>
        <v>#VALUE!</v>
      </c>
    </row>
    <row r="4969" spans="2:8">
      <c r="B4969" s="11" t="str">
        <f t="shared" si="309"/>
        <v/>
      </c>
      <c r="C4969" s="11" t="str">
        <f t="shared" ref="C4969:C5000" si="312">IF(B4969="артикул",A4969,"")</f>
        <v/>
      </c>
      <c r="F4969" s="10" t="str">
        <v/>
      </c>
      <c r="G4969" t="e">
        <f t="shared" si="310"/>
        <v>#VALUE!</v>
      </c>
      <c r="H4969" s="13" t="e">
        <f t="shared" si="311"/>
        <v>#VALUE!</v>
      </c>
    </row>
    <row r="4970" spans="2:8">
      <c r="B4970" s="11" t="str">
        <f t="shared" si="309"/>
        <v/>
      </c>
      <c r="C4970" s="11" t="str">
        <f t="shared" si="312"/>
        <v/>
      </c>
      <c r="F4970" s="10" t="str">
        <v/>
      </c>
      <c r="G4970" t="e">
        <f t="shared" si="310"/>
        <v>#VALUE!</v>
      </c>
      <c r="H4970" s="13" t="e">
        <f t="shared" si="311"/>
        <v>#VALUE!</v>
      </c>
    </row>
    <row r="4971" spans="2:8">
      <c r="B4971" s="11" t="str">
        <f t="shared" si="309"/>
        <v/>
      </c>
      <c r="C4971" s="11" t="str">
        <f t="shared" si="312"/>
        <v/>
      </c>
      <c r="F4971" s="10" t="str">
        <v/>
      </c>
      <c r="G4971" t="e">
        <f t="shared" si="310"/>
        <v>#VALUE!</v>
      </c>
      <c r="H4971" s="13" t="e">
        <f t="shared" si="311"/>
        <v>#VALUE!</v>
      </c>
    </row>
    <row r="4972" spans="2:8">
      <c r="B4972" s="11" t="str">
        <f t="shared" si="309"/>
        <v/>
      </c>
      <c r="C4972" s="11" t="str">
        <f t="shared" si="312"/>
        <v/>
      </c>
      <c r="F4972" s="10" t="str">
        <v/>
      </c>
      <c r="G4972" t="e">
        <f t="shared" si="310"/>
        <v>#VALUE!</v>
      </c>
      <c r="H4972" s="13" t="e">
        <f t="shared" si="311"/>
        <v>#VALUE!</v>
      </c>
    </row>
    <row r="4973" spans="2:8">
      <c r="B4973" s="11" t="str">
        <f t="shared" si="309"/>
        <v/>
      </c>
      <c r="C4973" s="11" t="str">
        <f t="shared" si="312"/>
        <v/>
      </c>
      <c r="F4973" s="10" t="str">
        <v/>
      </c>
      <c r="G4973" t="e">
        <f t="shared" si="310"/>
        <v>#VALUE!</v>
      </c>
      <c r="H4973" s="13" t="e">
        <f t="shared" si="311"/>
        <v>#VALUE!</v>
      </c>
    </row>
    <row r="4974" spans="2:8">
      <c r="B4974" s="11" t="str">
        <f t="shared" si="309"/>
        <v/>
      </c>
      <c r="C4974" s="11" t="str">
        <f t="shared" si="312"/>
        <v/>
      </c>
      <c r="F4974" s="10" t="str">
        <v/>
      </c>
      <c r="G4974" t="e">
        <f t="shared" si="310"/>
        <v>#VALUE!</v>
      </c>
      <c r="H4974" s="13" t="e">
        <f t="shared" si="311"/>
        <v>#VALUE!</v>
      </c>
    </row>
    <row r="4975" spans="2:8">
      <c r="B4975" s="11" t="str">
        <f t="shared" si="309"/>
        <v/>
      </c>
      <c r="C4975" s="11" t="str">
        <f t="shared" si="312"/>
        <v/>
      </c>
      <c r="F4975" s="10" t="str">
        <v/>
      </c>
      <c r="G4975" t="e">
        <f t="shared" si="310"/>
        <v>#VALUE!</v>
      </c>
      <c r="H4975" s="13" t="e">
        <f t="shared" si="311"/>
        <v>#VALUE!</v>
      </c>
    </row>
    <row r="4976" spans="2:8">
      <c r="B4976" s="11" t="str">
        <f t="shared" si="309"/>
        <v/>
      </c>
      <c r="C4976" s="11" t="str">
        <f t="shared" si="312"/>
        <v/>
      </c>
      <c r="F4976" s="10" t="str">
        <v/>
      </c>
      <c r="G4976" t="e">
        <f t="shared" si="310"/>
        <v>#VALUE!</v>
      </c>
      <c r="H4976" s="13" t="e">
        <f t="shared" si="311"/>
        <v>#VALUE!</v>
      </c>
    </row>
    <row r="4977" spans="2:8">
      <c r="B4977" s="11" t="str">
        <f t="shared" si="309"/>
        <v/>
      </c>
      <c r="C4977" s="11" t="str">
        <f t="shared" si="312"/>
        <v/>
      </c>
      <c r="F4977" s="10" t="str">
        <v/>
      </c>
      <c r="G4977" t="e">
        <f t="shared" si="310"/>
        <v>#VALUE!</v>
      </c>
      <c r="H4977" s="13" t="e">
        <f t="shared" si="311"/>
        <v>#VALUE!</v>
      </c>
    </row>
    <row r="4978" spans="2:8">
      <c r="B4978" s="11" t="str">
        <f t="shared" si="309"/>
        <v/>
      </c>
      <c r="C4978" s="11" t="str">
        <f t="shared" si="312"/>
        <v/>
      </c>
      <c r="F4978" s="10" t="str">
        <v/>
      </c>
      <c r="G4978" t="e">
        <f t="shared" si="310"/>
        <v>#VALUE!</v>
      </c>
      <c r="H4978" s="13" t="e">
        <f t="shared" si="311"/>
        <v>#VALUE!</v>
      </c>
    </row>
    <row r="4979" spans="2:8">
      <c r="B4979" s="11" t="str">
        <f t="shared" si="309"/>
        <v/>
      </c>
      <c r="C4979" s="11" t="str">
        <f t="shared" si="312"/>
        <v/>
      </c>
      <c r="F4979" s="10" t="str">
        <v/>
      </c>
      <c r="G4979" t="e">
        <f t="shared" si="310"/>
        <v>#VALUE!</v>
      </c>
      <c r="H4979" s="13" t="e">
        <f t="shared" si="311"/>
        <v>#VALUE!</v>
      </c>
    </row>
    <row r="4980" spans="2:8">
      <c r="B4980" s="11" t="str">
        <f t="shared" si="309"/>
        <v/>
      </c>
      <c r="C4980" s="11" t="str">
        <f t="shared" si="312"/>
        <v/>
      </c>
      <c r="F4980" s="10" t="str">
        <v/>
      </c>
      <c r="G4980" t="e">
        <f t="shared" si="310"/>
        <v>#VALUE!</v>
      </c>
      <c r="H4980" s="13" t="e">
        <f t="shared" si="311"/>
        <v>#VALUE!</v>
      </c>
    </row>
    <row r="4981" spans="2:8">
      <c r="B4981" s="11" t="str">
        <f t="shared" si="309"/>
        <v/>
      </c>
      <c r="C4981" s="11" t="str">
        <f t="shared" si="312"/>
        <v/>
      </c>
      <c r="F4981" s="10" t="str">
        <v/>
      </c>
      <c r="G4981" t="e">
        <f t="shared" si="310"/>
        <v>#VALUE!</v>
      </c>
      <c r="H4981" s="13" t="e">
        <f t="shared" si="311"/>
        <v>#VALUE!</v>
      </c>
    </row>
    <row r="4982" spans="2:8">
      <c r="B4982" s="11" t="str">
        <f t="shared" si="309"/>
        <v/>
      </c>
      <c r="C4982" s="11" t="str">
        <f t="shared" si="312"/>
        <v/>
      </c>
      <c r="F4982" s="10" t="str">
        <v/>
      </c>
      <c r="G4982" t="e">
        <f t="shared" si="310"/>
        <v>#VALUE!</v>
      </c>
      <c r="H4982" s="13" t="e">
        <f t="shared" si="311"/>
        <v>#VALUE!</v>
      </c>
    </row>
    <row r="4983" spans="2:8">
      <c r="B4983" s="11" t="str">
        <f t="shared" si="309"/>
        <v/>
      </c>
      <c r="C4983" s="11" t="str">
        <f t="shared" si="312"/>
        <v/>
      </c>
      <c r="F4983" s="10" t="str">
        <v/>
      </c>
      <c r="G4983" t="e">
        <f t="shared" si="310"/>
        <v>#VALUE!</v>
      </c>
      <c r="H4983" s="13" t="e">
        <f t="shared" si="311"/>
        <v>#VALUE!</v>
      </c>
    </row>
    <row r="4984" spans="2:8">
      <c r="B4984" s="11" t="str">
        <f t="shared" si="309"/>
        <v/>
      </c>
      <c r="C4984" s="11" t="str">
        <f t="shared" si="312"/>
        <v/>
      </c>
      <c r="F4984" s="10" t="str">
        <v/>
      </c>
      <c r="G4984" t="e">
        <f t="shared" si="310"/>
        <v>#VALUE!</v>
      </c>
      <c r="H4984" s="13" t="e">
        <f t="shared" si="311"/>
        <v>#VALUE!</v>
      </c>
    </row>
    <row r="4985" spans="2:8">
      <c r="B4985" s="11" t="str">
        <f t="shared" si="309"/>
        <v/>
      </c>
      <c r="C4985" s="11" t="str">
        <f t="shared" si="312"/>
        <v/>
      </c>
      <c r="F4985" s="10" t="str">
        <v/>
      </c>
      <c r="G4985" t="e">
        <f t="shared" si="310"/>
        <v>#VALUE!</v>
      </c>
      <c r="H4985" s="13" t="e">
        <f t="shared" si="311"/>
        <v>#VALUE!</v>
      </c>
    </row>
    <row r="4986" spans="2:8">
      <c r="B4986" s="11" t="str">
        <f t="shared" si="309"/>
        <v/>
      </c>
      <c r="C4986" s="11" t="str">
        <f t="shared" si="312"/>
        <v/>
      </c>
      <c r="F4986" s="10" t="str">
        <v/>
      </c>
      <c r="G4986" t="e">
        <f t="shared" si="310"/>
        <v>#VALUE!</v>
      </c>
      <c r="H4986" s="13" t="e">
        <f t="shared" si="311"/>
        <v>#VALUE!</v>
      </c>
    </row>
    <row r="4987" spans="2:8">
      <c r="B4987" s="11" t="str">
        <f t="shared" si="309"/>
        <v/>
      </c>
      <c r="C4987" s="11" t="str">
        <f t="shared" si="312"/>
        <v/>
      </c>
      <c r="F4987" s="10" t="str">
        <v/>
      </c>
      <c r="G4987" t="e">
        <f t="shared" si="310"/>
        <v>#VALUE!</v>
      </c>
      <c r="H4987" s="13" t="e">
        <f t="shared" si="311"/>
        <v>#VALUE!</v>
      </c>
    </row>
    <row r="4988" spans="2:8">
      <c r="B4988" s="11" t="str">
        <f t="shared" si="309"/>
        <v/>
      </c>
      <c r="C4988" s="11" t="str">
        <f t="shared" si="312"/>
        <v/>
      </c>
      <c r="F4988" s="10" t="str">
        <v/>
      </c>
      <c r="G4988" t="e">
        <f t="shared" si="310"/>
        <v>#VALUE!</v>
      </c>
      <c r="H4988" s="13" t="e">
        <f t="shared" si="311"/>
        <v>#VALUE!</v>
      </c>
    </row>
    <row r="4989" spans="2:8">
      <c r="B4989" s="11" t="str">
        <f t="shared" si="309"/>
        <v/>
      </c>
      <c r="C4989" s="11" t="str">
        <f t="shared" si="312"/>
        <v/>
      </c>
      <c r="F4989" s="10" t="str">
        <v/>
      </c>
      <c r="G4989" t="e">
        <f t="shared" si="310"/>
        <v>#VALUE!</v>
      </c>
      <c r="H4989" s="13" t="e">
        <f t="shared" si="311"/>
        <v>#VALUE!</v>
      </c>
    </row>
    <row r="4990" spans="2:8">
      <c r="B4990" s="11" t="str">
        <f t="shared" si="309"/>
        <v/>
      </c>
      <c r="C4990" s="11" t="str">
        <f t="shared" si="312"/>
        <v/>
      </c>
      <c r="F4990" s="10" t="str">
        <v/>
      </c>
      <c r="G4990" t="e">
        <f t="shared" si="310"/>
        <v>#VALUE!</v>
      </c>
      <c r="H4990" s="13" t="e">
        <f t="shared" si="311"/>
        <v>#VALUE!</v>
      </c>
    </row>
    <row r="4991" spans="2:8">
      <c r="B4991" s="11" t="str">
        <f t="shared" si="309"/>
        <v/>
      </c>
      <c r="C4991" s="11" t="str">
        <f t="shared" si="312"/>
        <v/>
      </c>
      <c r="F4991" s="10" t="str">
        <v/>
      </c>
      <c r="G4991" t="e">
        <f t="shared" si="310"/>
        <v>#VALUE!</v>
      </c>
      <c r="H4991" s="13" t="e">
        <f t="shared" si="311"/>
        <v>#VALUE!</v>
      </c>
    </row>
    <row r="4992" spans="2:8">
      <c r="B4992" s="11" t="str">
        <f t="shared" si="309"/>
        <v/>
      </c>
      <c r="C4992" s="11" t="str">
        <f t="shared" si="312"/>
        <v/>
      </c>
      <c r="F4992" s="10" t="str">
        <v/>
      </c>
      <c r="G4992" t="e">
        <f t="shared" si="310"/>
        <v>#VALUE!</v>
      </c>
      <c r="H4992" s="13" t="e">
        <f t="shared" si="311"/>
        <v>#VALUE!</v>
      </c>
    </row>
    <row r="4993" spans="2:8">
      <c r="B4993" s="11" t="str">
        <f t="shared" ref="B4993:B5000" si="313">IFERROR(IF(FIND(" ",A4993)=6,IF(IFERROR(FIND(" PB",A4993),"")&lt;&gt;"","артикул",IF(IFERROR(FIND(" CRN",A4993),"")&lt;&gt;"","артикул","")),""),"")</f>
        <v/>
      </c>
      <c r="C4993" s="11" t="str">
        <f t="shared" si="312"/>
        <v/>
      </c>
      <c r="F4993" s="10" t="str">
        <v/>
      </c>
      <c r="G4993" t="e">
        <f t="shared" si="310"/>
        <v>#VALUE!</v>
      </c>
      <c r="H4993" s="13" t="e">
        <f t="shared" si="311"/>
        <v>#VALUE!</v>
      </c>
    </row>
    <row r="4994" spans="2:8">
      <c r="B4994" s="11" t="str">
        <f t="shared" si="313"/>
        <v/>
      </c>
      <c r="C4994" s="11" t="str">
        <f t="shared" si="312"/>
        <v/>
      </c>
      <c r="F4994" s="10" t="str">
        <v/>
      </c>
      <c r="G4994" t="e">
        <f t="shared" ref="G4994:G5000" si="314">CONCATENATE(LEFT(F4994,5),
MID(F4994,
SEARCH("\",SUBSTITUTE(F4994," ","\",LEN(F4994)-LEN(SUBSTITUTE(F4994," ",""))-4)),
SEARCH("\",SUBSTITUTE(F4994," ","\",LEN(F4994)-LEN(SUBSTITUTE(F4994," ",""))-3))-
SEARCH("\",SUBSTITUTE(F4994," ","\",LEN(F4994)-LEN(SUBSTITUTE(F4994," ",""))-4)))*1)</f>
        <v>#VALUE!</v>
      </c>
      <c r="H4994" s="13" t="e">
        <f t="shared" ref="H4994:H5000" si="315">SUBSTITUTE(
RIGHT(F4994,LEN(F4994)-
FIND("\",SUBSTITUTE(F4994," ","\",LEN(F4994)-LEN(SUBSTITUTE(F4994," ",""))))),
".","")</f>
        <v>#VALUE!</v>
      </c>
    </row>
    <row r="4995" spans="2:8">
      <c r="B4995" s="11" t="str">
        <f t="shared" si="313"/>
        <v/>
      </c>
      <c r="C4995" s="11" t="str">
        <f t="shared" si="312"/>
        <v/>
      </c>
      <c r="F4995" s="10" t="str">
        <v/>
      </c>
      <c r="G4995" t="e">
        <f t="shared" si="314"/>
        <v>#VALUE!</v>
      </c>
      <c r="H4995" s="13" t="e">
        <f t="shared" si="315"/>
        <v>#VALUE!</v>
      </c>
    </row>
    <row r="4996" spans="2:8">
      <c r="B4996" s="11" t="str">
        <f t="shared" si="313"/>
        <v/>
      </c>
      <c r="C4996" s="11" t="str">
        <f t="shared" si="312"/>
        <v/>
      </c>
      <c r="F4996" s="10" t="str">
        <v/>
      </c>
      <c r="G4996" t="e">
        <f t="shared" si="314"/>
        <v>#VALUE!</v>
      </c>
      <c r="H4996" s="13" t="e">
        <f t="shared" si="315"/>
        <v>#VALUE!</v>
      </c>
    </row>
    <row r="4997" spans="2:8">
      <c r="B4997" s="11" t="str">
        <f t="shared" si="313"/>
        <v/>
      </c>
      <c r="C4997" s="11" t="str">
        <f t="shared" si="312"/>
        <v/>
      </c>
      <c r="F4997" s="10" t="str">
        <v/>
      </c>
      <c r="G4997" t="e">
        <f t="shared" si="314"/>
        <v>#VALUE!</v>
      </c>
      <c r="H4997" s="13" t="e">
        <f t="shared" si="315"/>
        <v>#VALUE!</v>
      </c>
    </row>
    <row r="4998" spans="2:8">
      <c r="B4998" s="11" t="str">
        <f t="shared" si="313"/>
        <v/>
      </c>
      <c r="C4998" s="11" t="str">
        <f t="shared" si="312"/>
        <v/>
      </c>
      <c r="F4998" s="10" t="str">
        <v/>
      </c>
      <c r="G4998" t="e">
        <f t="shared" si="314"/>
        <v>#VALUE!</v>
      </c>
      <c r="H4998" s="13" t="e">
        <f t="shared" si="315"/>
        <v>#VALUE!</v>
      </c>
    </row>
    <row r="4999" spans="2:8">
      <c r="B4999" s="11" t="str">
        <f t="shared" si="313"/>
        <v/>
      </c>
      <c r="C4999" s="11" t="str">
        <f t="shared" si="312"/>
        <v/>
      </c>
      <c r="F4999" s="10" t="str">
        <v/>
      </c>
      <c r="G4999" t="e">
        <f t="shared" si="314"/>
        <v>#VALUE!</v>
      </c>
      <c r="H4999" s="13" t="e">
        <f t="shared" si="315"/>
        <v>#VALUE!</v>
      </c>
    </row>
    <row r="5000" spans="2:8">
      <c r="B5000" s="11" t="str">
        <f t="shared" si="313"/>
        <v/>
      </c>
      <c r="C5000" s="11" t="str">
        <f t="shared" si="312"/>
        <v/>
      </c>
      <c r="F5000" s="10" t="str">
        <v/>
      </c>
      <c r="G5000" t="e">
        <f t="shared" si="314"/>
        <v>#VALUE!</v>
      </c>
      <c r="H5000" s="13" t="e">
        <f t="shared" si="315"/>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T4"/>
  <sheetViews>
    <sheetView workbookViewId="0"/>
  </sheetViews>
  <sheetFormatPr defaultRowHeight="15"/>
  <cols>
    <col min="1" max="1" width="7.7109375" bestFit="1" customWidth="1"/>
    <col min="2" max="2" width="27.7109375" customWidth="1"/>
    <col min="3" max="3" width="25.42578125" customWidth="1"/>
    <col min="4" max="4" width="8.85546875" bestFit="1" customWidth="1"/>
    <col min="5" max="5" width="8.5703125" customWidth="1"/>
    <col min="6" max="6" width="10.7109375" bestFit="1" customWidth="1"/>
    <col min="7" max="7" width="7.85546875" bestFit="1" customWidth="1"/>
    <col min="9" max="9" width="9.7109375" customWidth="1"/>
    <col min="10" max="10" width="10.7109375" customWidth="1"/>
    <col min="12" max="12" width="7.85546875" customWidth="1"/>
    <col min="13" max="13" width="9" customWidth="1"/>
    <col min="14" max="14" width="7.85546875" customWidth="1"/>
    <col min="15" max="15" width="7" bestFit="1" customWidth="1"/>
    <col min="16" max="16" width="7.7109375" customWidth="1"/>
    <col min="18" max="18" width="33.42578125" customWidth="1"/>
    <col min="19" max="19" width="11" bestFit="1" customWidth="1"/>
  </cols>
  <sheetData>
    <row r="1" spans="1:20">
      <c r="A1" s="17">
        <f>SUMPRODUCT(--(Инвойс!G1:G5000&lt;&gt;""))</f>
        <v>3</v>
      </c>
      <c r="B1" s="7"/>
      <c r="C1" s="7"/>
      <c r="D1" s="7"/>
      <c r="E1" s="7"/>
      <c r="F1" s="7"/>
      <c r="G1" s="7"/>
      <c r="H1" s="8"/>
      <c r="I1" s="8"/>
      <c r="J1" s="8"/>
      <c r="K1" s="8"/>
      <c r="L1" s="7"/>
      <c r="M1" s="9"/>
      <c r="N1" s="9"/>
      <c r="O1" s="8"/>
      <c r="P1" s="8"/>
      <c r="Q1" s="8"/>
      <c r="R1" s="5"/>
      <c r="S1" s="12"/>
    </row>
    <row r="2" spans="1:20">
      <c r="A2" s="6" t="str">
        <f>LEFT(Инвойс!G1,5)</f>
        <v>J6790</v>
      </c>
      <c r="B2" s="7" t="e">
        <f>VLOOKUP(A2, [1]!ннн, 2,0)</f>
        <v>#N/A</v>
      </c>
      <c r="C2" s="7" t="str">
        <f>LEFT(
MID(Инвойс!G1,FIND(" ",Инвойс!G1,7)+1,200),
SEARCH("\",SUBSTITUTE(MID(Инвойс!G1,FIND(" ",Инвойс!G1,7)+1,200)," ","\",LEN(MID(Инвойс!G1,FIND(" ",Инвойс!G1,7)+1,200))-LEN(SUBSTITUTE(MID(Инвойс!G1,FIND(" ",Инвойс!G1,7)+1,200)," ",""))-6))-1)</f>
        <v>BOX MANIA BOIS SCRIPT BLACK JAR 1L</v>
      </c>
      <c r="D2" s="7" t="s">
        <v>147</v>
      </c>
      <c r="E2" s="7" t="str">
        <f>IF(
MID(Инвойс!G1,7,2)="FR","Франция",
IF(
MID(Инвойс!G1,7,2)="SI","Словения",
IF(
MID(Инвойс!G1,7,2)="ES","Испания",
IF(
MID(Инвойс!G1,7,2)="CN","Китай",
IF(
MID(Инвойс!G1,7,2)="SL","Словакия","-"
)))))</f>
        <v>Франция</v>
      </c>
      <c r="F2" s="7" t="s">
        <v>148</v>
      </c>
      <c r="G2" s="7">
        <f>MID(Инвойс!H1,FIND("/",Инвойс!H1)+2,6)*1</f>
        <v>701349</v>
      </c>
      <c r="H2" s="8">
        <f>N2/L2</f>
        <v>1</v>
      </c>
      <c r="I2" s="8" t="str">
        <f>IFERROR(K2/L4,"")</f>
        <v/>
      </c>
      <c r="J2" s="8"/>
      <c r="K2" s="8" t="str">
        <f>IFERROR(VLOOKUP(CONCATENATE(A4,M4),Пакинг!G:H,2,0)*1,"")</f>
        <v/>
      </c>
      <c r="L2" s="7">
        <f>SUBSTITUTE(
MID(Инвойс!H1,
SEARCH("\",SUBSTITUTE(Инвойс!H1," ","\",LEN(Инвойс!H1)-LEN(SUBSTITUTE(Инвойс!H1," ",""))-2)),
SEARCH("\",SUBSTITUTE(Инвойс!H1," ","\",LEN(Инвойс!H1)-LEN(SUBSTITUTE(Инвойс!H1," ",""))-1))-SEARCH("\",SUBSTITUTE(Инвойс!H1," ","\",LEN(Инвойс!H1)-LEN(SUBSTITUTE(Инвойс!H1," ",""))-2))),
".","")*M2</f>
        <v>90</v>
      </c>
      <c r="M2" s="9">
        <f xml:space="preserve">
MID(Инвойс!G1,
SEARCH("\",SUBSTITUTE(Инвойс!G1," ","\",LEN(Инвойс!G1)-LEN(SUBSTITUTE(Инвойс!G1," ",""))-4)),
SEARCH("\",SUBSTITUTE(Инвойс!G1," ","\",LEN(Инвойс!G1)-LEN(SUBSTITUTE(Инвойс!G1," ",""))-3))-
SEARCH("\",SUBSTITUTE(Инвойс!G1," ","\",LEN(Инвойс!G1)-LEN(SUBSTITUTE(Инвойс!G1," ",""))-4)))*1</f>
        <v>15</v>
      </c>
      <c r="N2" s="9">
        <f>SUBSTITUTE(
MID(Инвойс!G1,
SEARCH("\",SUBSTITUTE(Инвойс!G1," ","\",LEN(Инвойс!G1)-LEN(SUBSTITUTE(Инвойс!G1," ",""))-6)),
SEARCH("\",SUBSTITUTE(Инвойс!G1," ","\",LEN(Инвойс!G1)-LEN(SUBSTITUTE(Инвойс!G1," ",""))-5))-
SEARCH("\",SUBSTITUTE(Инвойс!G1," ","\",LEN(Инвойс!G1)-LEN(SUBSTITUTE(Инвойс!G1," ",""))-6))),".","")*1</f>
        <v>90</v>
      </c>
      <c r="O2" s="8">
        <f>Инвойс!$J$1</f>
        <v>3</v>
      </c>
      <c r="P2" s="8">
        <f>Q2/N2</f>
        <v>2.3330655555555557</v>
      </c>
      <c r="Q2" s="8">
        <f>IF(Инвойс!I1&lt;&gt;"",
SUBSTITUTE(Инвойс!I1,".",""),
SUBSTITUTE(
MID(Инвойс!H1,
SEARCH("\",SUBSTITUTE(Инвойс!H1," ","\",LEN(Инвойс!H1)-LEN(SUBSTITUTE(Инвойс!H1," ",""))-0)),50),
".",""))*((100-O2)/100)</f>
        <v>209.9759</v>
      </c>
      <c r="R2" s="5" t="str">
        <f xml:space="preserve">
MID(INDEX(Инвойс!A:A,MATCH("*CUST. ORDER REF :*",Инвойс!A:A,0)),
FIND(":",INDEX(Инвойс!A:A,MATCH("*CUST. ORDER REF :*",Инвойс!A:A,0)))+1,
100)</f>
        <v xml:space="preserve"> JAR 1L BOX MANIA</v>
      </c>
      <c r="S2" s="12" t="str">
        <f xml:space="preserve">
SUBSTITUTE(
Инвойс!$A$2,
"N° ","")</f>
        <v>7001244214</v>
      </c>
      <c r="T2" t="s">
        <v>159</v>
      </c>
    </row>
    <row r="3" spans="1:20" ht="48">
      <c r="A3" s="1" t="s">
        <v>157</v>
      </c>
      <c r="B3" s="1" t="s">
        <v>131</v>
      </c>
      <c r="C3" s="1" t="s">
        <v>132</v>
      </c>
      <c r="D3" s="1" t="s">
        <v>133</v>
      </c>
      <c r="E3" s="1" t="s">
        <v>134</v>
      </c>
      <c r="F3" s="1" t="s">
        <v>135</v>
      </c>
      <c r="G3" s="1" t="s">
        <v>136</v>
      </c>
      <c r="H3" s="1" t="s">
        <v>137</v>
      </c>
      <c r="I3" s="2" t="s">
        <v>138</v>
      </c>
      <c r="J3" s="3" t="s">
        <v>139</v>
      </c>
      <c r="K3" s="3" t="s">
        <v>140</v>
      </c>
      <c r="L3" s="3" t="s">
        <v>141</v>
      </c>
      <c r="M3" s="3" t="s">
        <v>142</v>
      </c>
      <c r="N3" s="3" t="s">
        <v>143</v>
      </c>
      <c r="O3" s="2" t="s">
        <v>144</v>
      </c>
      <c r="P3" s="2" t="s">
        <v>145</v>
      </c>
      <c r="Q3" s="2" t="s">
        <v>146</v>
      </c>
      <c r="R3" s="18"/>
      <c r="S3" s="4"/>
    </row>
    <row r="4" spans="1:20">
      <c r="A4" s="6" t="str">
        <f>LEFT(Инвойс!G1,5)</f>
        <v>J6790</v>
      </c>
      <c r="B4" s="7" t="e">
        <f>VLOOKUP(A4, [1]!ннн, 2,0)</f>
        <v>#N/A</v>
      </c>
      <c r="C4" s="7" t="str">
        <f>LEFT(
MID(Инвойс!G1,FIND(" ",Инвойс!G1,7)+1,200),
SEARCH("\",SUBSTITUTE(MID(Инвойс!G1,FIND(" ",Инвойс!G1,7)+1,200)," ","\",LEN(MID(Инвойс!G1,FIND(" ",Инвойс!G1,7)+1,200))-LEN(SUBSTITUTE(MID(Инвойс!G1,FIND(" ",Инвойс!G1,7)+1,200)," ",""))-6))-1)</f>
        <v>BOX MANIA BOIS SCRIPT BLACK JAR 1L</v>
      </c>
      <c r="D4" s="7" t="s">
        <v>147</v>
      </c>
      <c r="E4" s="7" t="str">
        <f>IF(
MID(Инвойс!G1,7,2)="FR","Франция",
IF(
MID(Инвойс!G1,7,2)="SI","Словения",
IF(
MID(Инвойс!G1,7,2)="ES","Испания",
IF(
MID(Инвойс!G1,7,2)="CN","Китай",
IF(
MID(Инвойс!G1,7,2)="SL","Словакия","-"
)))))</f>
        <v>Франция</v>
      </c>
      <c r="F4" s="7" t="s">
        <v>148</v>
      </c>
      <c r="G4" s="7">
        <f>MID(Инвойс!H1,FIND("/",Инвойс!H1)+2,6)*1</f>
        <v>701349</v>
      </c>
      <c r="H4" s="8">
        <f t="shared" ref="H4" si="0">N4/L4</f>
        <v>1</v>
      </c>
      <c r="I4" s="8" t="str">
        <f t="shared" ref="I4" si="1">IFERROR(K4/L4,"")</f>
        <v/>
      </c>
      <c r="J4" s="8"/>
      <c r="K4" s="8" t="str">
        <f>IFERROR(VLOOKUP(CONCATENATE(A4,M4),Пакинг!G:H,2,0)*1,"")</f>
        <v/>
      </c>
      <c r="L4" s="7">
        <f>SUBSTITUTE(
MID(Инвойс!H1,
SEARCH("\",SUBSTITUTE(Инвойс!H1," ","\",LEN(Инвойс!H1)-LEN(SUBSTITUTE(Инвойс!H1," ",""))-2)),
SEARCH("\",SUBSTITUTE(Инвойс!H1," ","\",LEN(Инвойс!H1)-LEN(SUBSTITUTE(Инвойс!H1," ",""))-1))-SEARCH("\",SUBSTITUTE(Инвойс!H1," ","\",LEN(Инвойс!H1)-LEN(SUBSTITUTE(Инвойс!H1," ",""))-2))),
".","")*M4</f>
        <v>90</v>
      </c>
      <c r="M4" s="9">
        <f xml:space="preserve">
MID(Инвойс!G1,
SEARCH("\",SUBSTITUTE(Инвойс!G1," ","\",LEN(Инвойс!G1)-LEN(SUBSTITUTE(Инвойс!G1," ",""))-4)),
SEARCH("\",SUBSTITUTE(Инвойс!G1," ","\",LEN(Инвойс!G1)-LEN(SUBSTITUTE(Инвойс!G1," ",""))-3))-
SEARCH("\",SUBSTITUTE(Инвойс!G1," ","\",LEN(Инвойс!G1)-LEN(SUBSTITUTE(Инвойс!G1," ",""))-4)))*1</f>
        <v>15</v>
      </c>
      <c r="N4" s="9">
        <f>SUBSTITUTE(
MID(Инвойс!G1,
SEARCH("\",SUBSTITUTE(Инвойс!G1," ","\",LEN(Инвойс!G1)-LEN(SUBSTITUTE(Инвойс!G1," ",""))-6)),
SEARCH("\",SUBSTITUTE(Инвойс!G1," ","\",LEN(Инвойс!G1)-LEN(SUBSTITUTE(Инвойс!G1," ",""))-5))-
SEARCH("\",SUBSTITUTE(Инвойс!G1," ","\",LEN(Инвойс!G1)-LEN(SUBSTITUTE(Инвойс!G1," ",""))-6))),".","")*1</f>
        <v>90</v>
      </c>
      <c r="O4" s="8">
        <f>Инвойс!$J$1</f>
        <v>3</v>
      </c>
      <c r="P4" s="8">
        <f t="shared" ref="P4" si="2">Q4/N4</f>
        <v>2.3330655555555557</v>
      </c>
      <c r="Q4" s="8">
        <f>IF(Инвойс!I1&lt;&gt;"",
SUBSTITUTE(Инвойс!I1,".",""),
SUBSTITUTE(
MID(Инвойс!H1,
SEARCH("\",SUBSTITUTE(Инвойс!H1," ","\",LEN(Инвойс!H1)-LEN(SUBSTITUTE(Инвойс!H1," ",""))-0)),50),
".",""))*((100-O4)/100)</f>
        <v>209.9759</v>
      </c>
      <c r="R4" s="5" t="str">
        <f xml:space="preserve">
MID(INDEX(Инвойс!A:A,MATCH("*CUST. ORDER REF :*",Инвойс!A:A,0)),
FIND(":",INDEX(Инвойс!A:A,MATCH("*CUST. ORDER REF :*",Инвойс!A:A,0)))+1,
100)</f>
        <v xml:space="preserve"> JAR 1L BOX MANIA</v>
      </c>
      <c r="S4" s="12" t="str">
        <f xml:space="preserve">
SUBSTITUTE(
Инвойс!$A$2,
"N° ","")</f>
        <v>7001244214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S1"/>
  <sheetViews>
    <sheetView tabSelected="1" workbookViewId="0">
      <pane xSplit="1" ySplit="1" topLeftCell="B2" activePane="bottomRight" state="frozen"/>
      <selection pane="topRight" activeCell="B1" sqref="B1"/>
      <selection pane="bottomLeft" activeCell="A2" sqref="A2"/>
      <selection pane="bottomRight"/>
    </sheetView>
  </sheetViews>
  <sheetFormatPr defaultRowHeight="15"/>
  <cols>
    <col min="1" max="1" width="7.7109375" bestFit="1" customWidth="1"/>
    <col min="2" max="2" width="27.7109375" customWidth="1"/>
    <col min="3" max="3" width="42.28515625" customWidth="1"/>
    <col min="4" max="4" width="8.85546875" bestFit="1" customWidth="1"/>
    <col min="5" max="5" width="8.5703125" customWidth="1"/>
    <col min="6" max="6" width="10.7109375" bestFit="1" customWidth="1"/>
    <col min="7" max="7" width="7.85546875" bestFit="1" customWidth="1"/>
    <col min="9" max="9" width="9.7109375" customWidth="1"/>
    <col min="12" max="12" width="7.85546875" customWidth="1"/>
    <col min="13" max="13" width="9" customWidth="1"/>
    <col min="14" max="14" width="7.85546875" customWidth="1"/>
    <col min="15" max="15" width="7" bestFit="1" customWidth="1"/>
    <col min="16" max="16" width="7.7109375" customWidth="1"/>
    <col min="18" max="18" width="29.42578125" customWidth="1"/>
    <col min="19" max="19" width="11" bestFit="1" customWidth="1"/>
  </cols>
  <sheetData>
    <row r="1" spans="1:19" ht="48">
      <c r="A1" s="14" t="s">
        <v>157</v>
      </c>
      <c r="B1" s="14" t="s">
        <v>131</v>
      </c>
      <c r="C1" s="14" t="s">
        <v>132</v>
      </c>
      <c r="D1" s="14" t="s">
        <v>133</v>
      </c>
      <c r="E1" s="14" t="s">
        <v>134</v>
      </c>
      <c r="F1" s="14" t="s">
        <v>135</v>
      </c>
      <c r="G1" s="14" t="s">
        <v>136</v>
      </c>
      <c r="H1" s="14" t="s">
        <v>137</v>
      </c>
      <c r="I1" s="15" t="s">
        <v>138</v>
      </c>
      <c r="J1" s="16" t="s">
        <v>139</v>
      </c>
      <c r="K1" s="16" t="s">
        <v>140</v>
      </c>
      <c r="L1" s="16" t="s">
        <v>141</v>
      </c>
      <c r="M1" s="16" t="s">
        <v>142</v>
      </c>
      <c r="N1" s="16" t="s">
        <v>143</v>
      </c>
      <c r="O1" s="15" t="s">
        <v>144</v>
      </c>
      <c r="P1" s="15" t="s">
        <v>145</v>
      </c>
      <c r="Q1" s="15" t="s">
        <v>146</v>
      </c>
      <c r="R1" s="18"/>
      <c r="S1" s="4"/>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R1000"/>
  <sheetViews>
    <sheetView workbookViewId="0">
      <selection activeCell="G2" sqref="G2"/>
    </sheetView>
  </sheetViews>
  <sheetFormatPr defaultRowHeight="15"/>
  <cols>
    <col min="1" max="2" width="9.140625" style="22"/>
    <col min="3" max="3" width="9.140625" style="22" customWidth="1"/>
    <col min="4" max="4" width="13" style="22" customWidth="1"/>
    <col min="5" max="9" width="9.140625" style="22"/>
    <col min="10" max="10" width="9.5703125" style="22" bestFit="1" customWidth="1"/>
    <col min="11" max="16384" width="9.140625" style="22"/>
  </cols>
  <sheetData>
    <row r="1" spans="1:18" ht="45.75">
      <c r="A1" s="19" t="s">
        <v>160</v>
      </c>
      <c r="B1" s="19" t="s">
        <v>161</v>
      </c>
      <c r="C1" s="19" t="s">
        <v>162</v>
      </c>
      <c r="D1" s="19" t="s">
        <v>163</v>
      </c>
      <c r="E1" s="19" t="s">
        <v>164</v>
      </c>
      <c r="F1" s="19" t="s">
        <v>165</v>
      </c>
      <c r="G1" s="19" t="s">
        <v>166</v>
      </c>
      <c r="H1" s="19" t="s">
        <v>167</v>
      </c>
      <c r="I1" s="19" t="s">
        <v>168</v>
      </c>
      <c r="J1" s="19" t="s">
        <v>169</v>
      </c>
      <c r="K1" s="20" t="s">
        <v>133</v>
      </c>
      <c r="L1" s="19" t="s">
        <v>170</v>
      </c>
      <c r="M1" s="19" t="s">
        <v>171</v>
      </c>
      <c r="N1" s="21" t="s">
        <v>172</v>
      </c>
      <c r="O1" s="19" t="s">
        <v>173</v>
      </c>
      <c r="P1" s="19" t="s">
        <v>168</v>
      </c>
      <c r="Q1" s="19" t="s">
        <v>174</v>
      </c>
      <c r="R1" s="19" t="s">
        <v>175</v>
      </c>
    </row>
    <row r="2" spans="1:18">
      <c r="A2" s="23" t="str">
        <f t="shared" ref="A2:A29" si="0">IF(K2="","",1000)</f>
        <v/>
      </c>
      <c r="B2" s="23" t="str">
        <f t="shared" ref="B2:B29" si="1">IF(K2="","",1)</f>
        <v/>
      </c>
      <c r="C2" s="29" t="str">
        <f t="shared" ref="C2:C29" ca="1" si="2">IF(K2="","",TODAY())</f>
        <v/>
      </c>
      <c r="D2" s="22" t="str">
        <f>IF(K2="","",ИТОГ!S2)</f>
        <v/>
      </c>
      <c r="E2" s="24" t="str">
        <f t="shared" ref="E2:E29" si="3">IF(K2="","","Х")</f>
        <v/>
      </c>
      <c r="F2" s="30" t="str">
        <f t="shared" ref="F2:F29" si="4">IF(K2="","","UV")</f>
        <v/>
      </c>
      <c r="G2" s="25" t="str">
        <f>IF(K2="","",SUMIF(D:D,D2,M:M))</f>
        <v/>
      </c>
      <c r="H2" s="29" t="str">
        <f t="shared" ref="H2:H29" ca="1" si="5">IF(K2="","",TODAY())</f>
        <v/>
      </c>
      <c r="I2" s="24"/>
      <c r="J2" s="30"/>
      <c r="K2" s="27" t="str">
        <f>IF(ИТОГ!A2=0,"",ИТОГ!A2)</f>
        <v/>
      </c>
      <c r="L2" s="26" t="str">
        <f>IF(K2="","",10)</f>
        <v/>
      </c>
      <c r="M2" s="25" t="str">
        <f>IF(K2="","",ИТОГ!Q2)</f>
        <v/>
      </c>
      <c r="N2" s="28" t="str">
        <f>IF(K2="","",ИТОГ!N2)</f>
        <v/>
      </c>
      <c r="O2" s="30" t="str">
        <f t="shared" ref="O2:O29" si="6">IF(K2="","","ST")</f>
        <v/>
      </c>
      <c r="P2" s="24"/>
      <c r="Q2" s="30" t="str">
        <f t="shared" ref="Q2:Q29" si="7">IF(K2="","","EUR")</f>
        <v/>
      </c>
      <c r="R2" s="29" t="str">
        <f t="shared" ref="R2:R29" ca="1" si="8">IF(K2="","",TODAY())</f>
        <v/>
      </c>
    </row>
    <row r="3" spans="1:18">
      <c r="A3" s="23" t="str">
        <f t="shared" si="0"/>
        <v/>
      </c>
      <c r="B3" s="23" t="str">
        <f t="shared" si="1"/>
        <v/>
      </c>
      <c r="C3" s="29" t="str">
        <f t="shared" ca="1" si="2"/>
        <v/>
      </c>
      <c r="D3" s="22" t="str">
        <f>IF(K3="","",ИТОГ!S3)</f>
        <v/>
      </c>
      <c r="E3" s="24" t="str">
        <f t="shared" si="3"/>
        <v/>
      </c>
      <c r="F3" s="30" t="str">
        <f t="shared" si="4"/>
        <v/>
      </c>
      <c r="G3" s="25" t="str">
        <f t="shared" ref="G3:G29" si="9">IF(K3="","",SUMIF(D:D,D3,M:M))</f>
        <v/>
      </c>
      <c r="H3" s="29" t="str">
        <f t="shared" ca="1" si="5"/>
        <v/>
      </c>
      <c r="I3" s="24"/>
      <c r="J3" s="30"/>
      <c r="K3" s="27" t="str">
        <f>IF(ИТОГ!A3=0,"",ИТОГ!A3)</f>
        <v/>
      </c>
      <c r="L3" s="26" t="str">
        <f>IF(K3="","",
IF(D2-D3=0,L2+10,10))</f>
        <v/>
      </c>
      <c r="M3" s="25" t="str">
        <f>IF(K3="","",ИТОГ!Q3)</f>
        <v/>
      </c>
      <c r="N3" s="28" t="str">
        <f>IF(K3="","",ИТОГ!N3)</f>
        <v/>
      </c>
      <c r="O3" s="30" t="str">
        <f t="shared" si="6"/>
        <v/>
      </c>
      <c r="P3" s="24"/>
      <c r="Q3" s="30" t="str">
        <f t="shared" si="7"/>
        <v/>
      </c>
      <c r="R3" s="29" t="str">
        <f t="shared" ca="1" si="8"/>
        <v/>
      </c>
    </row>
    <row r="4" spans="1:18">
      <c r="A4" s="23" t="str">
        <f t="shared" si="0"/>
        <v/>
      </c>
      <c r="B4" s="23" t="str">
        <f t="shared" si="1"/>
        <v/>
      </c>
      <c r="C4" s="29" t="str">
        <f t="shared" ca="1" si="2"/>
        <v/>
      </c>
      <c r="D4" s="22" t="str">
        <f>IF(K4="","",ИТОГ!S4)</f>
        <v/>
      </c>
      <c r="E4" s="24" t="str">
        <f t="shared" si="3"/>
        <v/>
      </c>
      <c r="F4" s="30" t="str">
        <f t="shared" si="4"/>
        <v/>
      </c>
      <c r="G4" s="25" t="str">
        <f t="shared" si="9"/>
        <v/>
      </c>
      <c r="H4" s="29" t="str">
        <f t="shared" ca="1" si="5"/>
        <v/>
      </c>
      <c r="I4" s="24"/>
      <c r="J4" s="30"/>
      <c r="K4" s="27" t="str">
        <f>IF(ИТОГ!A4=0,"",ИТОГ!A4)</f>
        <v/>
      </c>
      <c r="L4" s="26" t="str">
        <f t="shared" ref="L4:L29" si="10">IF(K4="","",
IF(D3-D4=0,L3+10,10))</f>
        <v/>
      </c>
      <c r="M4" s="25" t="str">
        <f>IF(K4="","",ИТОГ!Q4)</f>
        <v/>
      </c>
      <c r="N4" s="28" t="str">
        <f>IF(K4="","",ИТОГ!N4)</f>
        <v/>
      </c>
      <c r="O4" s="30" t="str">
        <f t="shared" si="6"/>
        <v/>
      </c>
      <c r="P4" s="24"/>
      <c r="Q4" s="30" t="str">
        <f t="shared" si="7"/>
        <v/>
      </c>
      <c r="R4" s="29" t="str">
        <f t="shared" ca="1" si="8"/>
        <v/>
      </c>
    </row>
    <row r="5" spans="1:18">
      <c r="A5" s="23" t="str">
        <f t="shared" si="0"/>
        <v/>
      </c>
      <c r="B5" s="23" t="str">
        <f t="shared" si="1"/>
        <v/>
      </c>
      <c r="C5" s="29" t="str">
        <f t="shared" ca="1" si="2"/>
        <v/>
      </c>
      <c r="D5" s="22" t="str">
        <f>IF(K5="","",ИТОГ!S5)</f>
        <v/>
      </c>
      <c r="E5" s="24" t="str">
        <f t="shared" si="3"/>
        <v/>
      </c>
      <c r="F5" s="30" t="str">
        <f t="shared" si="4"/>
        <v/>
      </c>
      <c r="G5" s="25" t="str">
        <f t="shared" si="9"/>
        <v/>
      </c>
      <c r="H5" s="29" t="str">
        <f t="shared" ca="1" si="5"/>
        <v/>
      </c>
      <c r="I5" s="24"/>
      <c r="J5" s="30"/>
      <c r="K5" s="27" t="str">
        <f>IF(ИТОГ!A5=0,"",ИТОГ!A5)</f>
        <v/>
      </c>
      <c r="L5" s="26" t="str">
        <f t="shared" si="10"/>
        <v/>
      </c>
      <c r="M5" s="25" t="str">
        <f>IF(K5="","",ИТОГ!Q5)</f>
        <v/>
      </c>
      <c r="N5" s="28" t="str">
        <f>IF(K5="","",ИТОГ!N5)</f>
        <v/>
      </c>
      <c r="O5" s="30" t="str">
        <f t="shared" si="6"/>
        <v/>
      </c>
      <c r="P5" s="24"/>
      <c r="Q5" s="30" t="str">
        <f t="shared" si="7"/>
        <v/>
      </c>
      <c r="R5" s="29" t="str">
        <f t="shared" ca="1" si="8"/>
        <v/>
      </c>
    </row>
    <row r="6" spans="1:18">
      <c r="A6" s="23" t="str">
        <f t="shared" si="0"/>
        <v/>
      </c>
      <c r="B6" s="23" t="str">
        <f t="shared" si="1"/>
        <v/>
      </c>
      <c r="C6" s="29" t="str">
        <f t="shared" ca="1" si="2"/>
        <v/>
      </c>
      <c r="D6" s="22" t="str">
        <f>IF(K6="","",ИТОГ!S6)</f>
        <v/>
      </c>
      <c r="E6" s="24" t="str">
        <f t="shared" si="3"/>
        <v/>
      </c>
      <c r="F6" s="30" t="str">
        <f t="shared" si="4"/>
        <v/>
      </c>
      <c r="G6" s="25" t="str">
        <f t="shared" si="9"/>
        <v/>
      </c>
      <c r="H6" s="29" t="str">
        <f t="shared" ca="1" si="5"/>
        <v/>
      </c>
      <c r="I6" s="24"/>
      <c r="J6" s="30"/>
      <c r="K6" s="27" t="str">
        <f>IF(ИТОГ!A6=0,"",ИТОГ!A6)</f>
        <v/>
      </c>
      <c r="L6" s="26" t="str">
        <f t="shared" si="10"/>
        <v/>
      </c>
      <c r="M6" s="25" t="str">
        <f>IF(K6="","",ИТОГ!Q6)</f>
        <v/>
      </c>
      <c r="N6" s="28" t="str">
        <f>IF(K6="","",ИТОГ!N6)</f>
        <v/>
      </c>
      <c r="O6" s="30" t="str">
        <f t="shared" si="6"/>
        <v/>
      </c>
      <c r="P6" s="24"/>
      <c r="Q6" s="30" t="str">
        <f t="shared" si="7"/>
        <v/>
      </c>
      <c r="R6" s="29" t="str">
        <f t="shared" ca="1" si="8"/>
        <v/>
      </c>
    </row>
    <row r="7" spans="1:18">
      <c r="A7" s="23" t="str">
        <f t="shared" si="0"/>
        <v/>
      </c>
      <c r="B7" s="23" t="str">
        <f t="shared" si="1"/>
        <v/>
      </c>
      <c r="C7" s="29" t="str">
        <f t="shared" ca="1" si="2"/>
        <v/>
      </c>
      <c r="D7" s="22" t="str">
        <f>IF(K7="","",ИТОГ!S7)</f>
        <v/>
      </c>
      <c r="E7" s="24" t="str">
        <f t="shared" si="3"/>
        <v/>
      </c>
      <c r="F7" s="30" t="str">
        <f t="shared" si="4"/>
        <v/>
      </c>
      <c r="G7" s="25" t="str">
        <f t="shared" si="9"/>
        <v/>
      </c>
      <c r="H7" s="29" t="str">
        <f t="shared" ca="1" si="5"/>
        <v/>
      </c>
      <c r="I7" s="24"/>
      <c r="J7" s="30"/>
      <c r="K7" s="27" t="str">
        <f>IF(ИТОГ!A7=0,"",ИТОГ!A7)</f>
        <v/>
      </c>
      <c r="L7" s="26" t="str">
        <f t="shared" si="10"/>
        <v/>
      </c>
      <c r="M7" s="25" t="str">
        <f>IF(K7="","",ИТОГ!Q7)</f>
        <v/>
      </c>
      <c r="N7" s="28" t="str">
        <f>IF(K7="","",ИТОГ!N7)</f>
        <v/>
      </c>
      <c r="O7" s="30" t="str">
        <f t="shared" si="6"/>
        <v/>
      </c>
      <c r="P7" s="24"/>
      <c r="Q7" s="30" t="str">
        <f t="shared" si="7"/>
        <v/>
      </c>
      <c r="R7" s="29" t="str">
        <f t="shared" ca="1" si="8"/>
        <v/>
      </c>
    </row>
    <row r="8" spans="1:18">
      <c r="A8" s="23" t="str">
        <f t="shared" si="0"/>
        <v/>
      </c>
      <c r="B8" s="23" t="str">
        <f t="shared" si="1"/>
        <v/>
      </c>
      <c r="C8" s="29" t="str">
        <f t="shared" ca="1" si="2"/>
        <v/>
      </c>
      <c r="D8" s="22" t="str">
        <f>IF(K8="","",ИТОГ!S8)</f>
        <v/>
      </c>
      <c r="E8" s="24" t="str">
        <f t="shared" si="3"/>
        <v/>
      </c>
      <c r="F8" s="30" t="str">
        <f t="shared" si="4"/>
        <v/>
      </c>
      <c r="G8" s="25" t="str">
        <f t="shared" si="9"/>
        <v/>
      </c>
      <c r="H8" s="29" t="str">
        <f t="shared" ca="1" si="5"/>
        <v/>
      </c>
      <c r="I8" s="24"/>
      <c r="J8" s="30"/>
      <c r="K8" s="27" t="str">
        <f>IF(ИТОГ!A8=0,"",ИТОГ!A8)</f>
        <v/>
      </c>
      <c r="L8" s="26" t="str">
        <f t="shared" si="10"/>
        <v/>
      </c>
      <c r="M8" s="25" t="str">
        <f>IF(K8="","",ИТОГ!Q8)</f>
        <v/>
      </c>
      <c r="N8" s="28" t="str">
        <f>IF(K8="","",ИТОГ!N8)</f>
        <v/>
      </c>
      <c r="O8" s="30" t="str">
        <f t="shared" si="6"/>
        <v/>
      </c>
      <c r="P8" s="24"/>
      <c r="Q8" s="30" t="str">
        <f t="shared" si="7"/>
        <v/>
      </c>
      <c r="R8" s="29" t="str">
        <f t="shared" ca="1" si="8"/>
        <v/>
      </c>
    </row>
    <row r="9" spans="1:18">
      <c r="A9" s="23" t="str">
        <f t="shared" si="0"/>
        <v/>
      </c>
      <c r="B9" s="23" t="str">
        <f t="shared" si="1"/>
        <v/>
      </c>
      <c r="C9" s="29" t="str">
        <f t="shared" ca="1" si="2"/>
        <v/>
      </c>
      <c r="D9" s="22" t="str">
        <f>IF(K9="","",ИТОГ!S9)</f>
        <v/>
      </c>
      <c r="E9" s="24" t="str">
        <f t="shared" si="3"/>
        <v/>
      </c>
      <c r="F9" s="30" t="str">
        <f t="shared" si="4"/>
        <v/>
      </c>
      <c r="G9" s="25" t="str">
        <f t="shared" si="9"/>
        <v/>
      </c>
      <c r="H9" s="29" t="str">
        <f t="shared" ca="1" si="5"/>
        <v/>
      </c>
      <c r="I9" s="24"/>
      <c r="J9" s="30"/>
      <c r="K9" s="27" t="str">
        <f>IF(ИТОГ!A9=0,"",ИТОГ!A9)</f>
        <v/>
      </c>
      <c r="L9" s="26" t="str">
        <f t="shared" si="10"/>
        <v/>
      </c>
      <c r="M9" s="25" t="str">
        <f>IF(K9="","",ИТОГ!Q9)</f>
        <v/>
      </c>
      <c r="N9" s="28" t="str">
        <f>IF(K9="","",ИТОГ!N9)</f>
        <v/>
      </c>
      <c r="O9" s="30" t="str">
        <f t="shared" si="6"/>
        <v/>
      </c>
      <c r="P9" s="24"/>
      <c r="Q9" s="30" t="str">
        <f t="shared" si="7"/>
        <v/>
      </c>
      <c r="R9" s="29" t="str">
        <f t="shared" ca="1" si="8"/>
        <v/>
      </c>
    </row>
    <row r="10" spans="1:18">
      <c r="A10" s="23" t="str">
        <f t="shared" si="0"/>
        <v/>
      </c>
      <c r="B10" s="23" t="str">
        <f t="shared" si="1"/>
        <v/>
      </c>
      <c r="C10" s="29" t="str">
        <f t="shared" ca="1" si="2"/>
        <v/>
      </c>
      <c r="D10" s="22" t="str">
        <f>IF(K10="","",ИТОГ!S10)</f>
        <v/>
      </c>
      <c r="E10" s="24" t="str">
        <f t="shared" si="3"/>
        <v/>
      </c>
      <c r="F10" s="30" t="str">
        <f t="shared" si="4"/>
        <v/>
      </c>
      <c r="G10" s="25" t="str">
        <f t="shared" si="9"/>
        <v/>
      </c>
      <c r="H10" s="29" t="str">
        <f t="shared" ca="1" si="5"/>
        <v/>
      </c>
      <c r="I10" s="24"/>
      <c r="J10" s="30"/>
      <c r="K10" s="27" t="str">
        <f>IF(ИТОГ!A10=0,"",ИТОГ!A10)</f>
        <v/>
      </c>
      <c r="L10" s="26" t="str">
        <f t="shared" si="10"/>
        <v/>
      </c>
      <c r="M10" s="25" t="str">
        <f>IF(K10="","",ИТОГ!Q10)</f>
        <v/>
      </c>
      <c r="N10" s="28" t="str">
        <f>IF(K10="","",ИТОГ!N10)</f>
        <v/>
      </c>
      <c r="O10" s="30" t="str">
        <f t="shared" si="6"/>
        <v/>
      </c>
      <c r="P10" s="24"/>
      <c r="Q10" s="30" t="str">
        <f t="shared" si="7"/>
        <v/>
      </c>
      <c r="R10" s="29" t="str">
        <f t="shared" ca="1" si="8"/>
        <v/>
      </c>
    </row>
    <row r="11" spans="1:18">
      <c r="A11" s="23" t="str">
        <f t="shared" si="0"/>
        <v/>
      </c>
      <c r="B11" s="23" t="str">
        <f t="shared" si="1"/>
        <v/>
      </c>
      <c r="C11" s="29" t="str">
        <f t="shared" ca="1" si="2"/>
        <v/>
      </c>
      <c r="D11" s="22" t="str">
        <f>IF(K11="","",ИТОГ!S11)</f>
        <v/>
      </c>
      <c r="E11" s="24" t="str">
        <f t="shared" si="3"/>
        <v/>
      </c>
      <c r="F11" s="30" t="str">
        <f t="shared" si="4"/>
        <v/>
      </c>
      <c r="G11" s="25" t="str">
        <f t="shared" si="9"/>
        <v/>
      </c>
      <c r="H11" s="29" t="str">
        <f t="shared" ca="1" si="5"/>
        <v/>
      </c>
      <c r="I11" s="24"/>
      <c r="J11" s="30"/>
      <c r="K11" s="27" t="str">
        <f>IF(ИТОГ!A11=0,"",ИТОГ!A11)</f>
        <v/>
      </c>
      <c r="L11" s="26" t="str">
        <f t="shared" si="10"/>
        <v/>
      </c>
      <c r="M11" s="25" t="str">
        <f>IF(K11="","",ИТОГ!Q11)</f>
        <v/>
      </c>
      <c r="N11" s="28" t="str">
        <f>IF(K11="","",ИТОГ!N11)</f>
        <v/>
      </c>
      <c r="O11" s="30" t="str">
        <f t="shared" si="6"/>
        <v/>
      </c>
      <c r="P11" s="24"/>
      <c r="Q11" s="30" t="str">
        <f t="shared" si="7"/>
        <v/>
      </c>
      <c r="R11" s="29" t="str">
        <f t="shared" ca="1" si="8"/>
        <v/>
      </c>
    </row>
    <row r="12" spans="1:18">
      <c r="A12" s="23" t="str">
        <f t="shared" si="0"/>
        <v/>
      </c>
      <c r="B12" s="23" t="str">
        <f t="shared" si="1"/>
        <v/>
      </c>
      <c r="C12" s="29" t="str">
        <f t="shared" ca="1" si="2"/>
        <v/>
      </c>
      <c r="D12" s="22" t="str">
        <f>IF(K12="","",ИТОГ!S12)</f>
        <v/>
      </c>
      <c r="E12" s="24" t="str">
        <f t="shared" si="3"/>
        <v/>
      </c>
      <c r="F12" s="30" t="str">
        <f t="shared" si="4"/>
        <v/>
      </c>
      <c r="G12" s="25" t="str">
        <f t="shared" si="9"/>
        <v/>
      </c>
      <c r="H12" s="29" t="str">
        <f t="shared" ca="1" si="5"/>
        <v/>
      </c>
      <c r="I12" s="24"/>
      <c r="J12" s="30"/>
      <c r="K12" s="27" t="str">
        <f>IF(ИТОГ!A12=0,"",ИТОГ!A12)</f>
        <v/>
      </c>
      <c r="L12" s="26" t="str">
        <f t="shared" si="10"/>
        <v/>
      </c>
      <c r="M12" s="25" t="str">
        <f>IF(K12="","",ИТОГ!Q12)</f>
        <v/>
      </c>
      <c r="N12" s="28" t="str">
        <f>IF(K12="","",ИТОГ!N12)</f>
        <v/>
      </c>
      <c r="O12" s="30" t="str">
        <f t="shared" si="6"/>
        <v/>
      </c>
      <c r="P12" s="24"/>
      <c r="Q12" s="30" t="str">
        <f t="shared" si="7"/>
        <v/>
      </c>
      <c r="R12" s="29" t="str">
        <f t="shared" ca="1" si="8"/>
        <v/>
      </c>
    </row>
    <row r="13" spans="1:18">
      <c r="A13" s="23" t="str">
        <f t="shared" si="0"/>
        <v/>
      </c>
      <c r="B13" s="23" t="str">
        <f t="shared" si="1"/>
        <v/>
      </c>
      <c r="C13" s="29" t="str">
        <f t="shared" ca="1" si="2"/>
        <v/>
      </c>
      <c r="D13" s="22" t="str">
        <f>IF(K13="","",ИТОГ!S13)</f>
        <v/>
      </c>
      <c r="E13" s="24" t="str">
        <f t="shared" si="3"/>
        <v/>
      </c>
      <c r="F13" s="30" t="str">
        <f t="shared" si="4"/>
        <v/>
      </c>
      <c r="G13" s="25" t="str">
        <f t="shared" si="9"/>
        <v/>
      </c>
      <c r="H13" s="29" t="str">
        <f t="shared" ca="1" si="5"/>
        <v/>
      </c>
      <c r="I13" s="24"/>
      <c r="J13" s="30"/>
      <c r="K13" s="27" t="str">
        <f>IF(ИТОГ!A13=0,"",ИТОГ!A13)</f>
        <v/>
      </c>
      <c r="L13" s="26" t="str">
        <f t="shared" si="10"/>
        <v/>
      </c>
      <c r="M13" s="25" t="str">
        <f>IF(K13="","",ИТОГ!Q13)</f>
        <v/>
      </c>
      <c r="N13" s="28" t="str">
        <f>IF(K13="","",ИТОГ!N13)</f>
        <v/>
      </c>
      <c r="O13" s="30" t="str">
        <f t="shared" si="6"/>
        <v/>
      </c>
      <c r="P13" s="24"/>
      <c r="Q13" s="30" t="str">
        <f t="shared" si="7"/>
        <v/>
      </c>
      <c r="R13" s="29" t="str">
        <f t="shared" ca="1" si="8"/>
        <v/>
      </c>
    </row>
    <row r="14" spans="1:18">
      <c r="A14" s="23" t="str">
        <f t="shared" si="0"/>
        <v/>
      </c>
      <c r="B14" s="23" t="str">
        <f t="shared" si="1"/>
        <v/>
      </c>
      <c r="C14" s="29" t="str">
        <f t="shared" ca="1" si="2"/>
        <v/>
      </c>
      <c r="D14" s="22" t="str">
        <f>IF(K14="","",ИТОГ!S14)</f>
        <v/>
      </c>
      <c r="E14" s="24" t="str">
        <f t="shared" si="3"/>
        <v/>
      </c>
      <c r="F14" s="30" t="str">
        <f t="shared" si="4"/>
        <v/>
      </c>
      <c r="G14" s="25" t="str">
        <f t="shared" si="9"/>
        <v/>
      </c>
      <c r="H14" s="29" t="str">
        <f t="shared" ca="1" si="5"/>
        <v/>
      </c>
      <c r="I14" s="24"/>
      <c r="J14" s="30"/>
      <c r="K14" s="27" t="str">
        <f>IF(ИТОГ!A14=0,"",ИТОГ!A14)</f>
        <v/>
      </c>
      <c r="L14" s="26" t="str">
        <f t="shared" si="10"/>
        <v/>
      </c>
      <c r="M14" s="25" t="str">
        <f>IF(K14="","",ИТОГ!Q14)</f>
        <v/>
      </c>
      <c r="N14" s="28" t="str">
        <f>IF(K14="","",ИТОГ!N14)</f>
        <v/>
      </c>
      <c r="O14" s="30" t="str">
        <f t="shared" si="6"/>
        <v/>
      </c>
      <c r="P14" s="24"/>
      <c r="Q14" s="30" t="str">
        <f t="shared" si="7"/>
        <v/>
      </c>
      <c r="R14" s="29" t="str">
        <f t="shared" ca="1" si="8"/>
        <v/>
      </c>
    </row>
    <row r="15" spans="1:18">
      <c r="A15" s="23" t="str">
        <f t="shared" si="0"/>
        <v/>
      </c>
      <c r="B15" s="23" t="str">
        <f t="shared" si="1"/>
        <v/>
      </c>
      <c r="C15" s="29" t="str">
        <f t="shared" ca="1" si="2"/>
        <v/>
      </c>
      <c r="D15" s="22" t="str">
        <f>IF(K15="","",ИТОГ!S15)</f>
        <v/>
      </c>
      <c r="E15" s="24" t="str">
        <f t="shared" si="3"/>
        <v/>
      </c>
      <c r="F15" s="30" t="str">
        <f t="shared" si="4"/>
        <v/>
      </c>
      <c r="G15" s="25" t="str">
        <f t="shared" si="9"/>
        <v/>
      </c>
      <c r="H15" s="29" t="str">
        <f t="shared" ca="1" si="5"/>
        <v/>
      </c>
      <c r="I15" s="24"/>
      <c r="J15" s="30"/>
      <c r="K15" s="27" t="str">
        <f>IF(ИТОГ!A15=0,"",ИТОГ!A15)</f>
        <v/>
      </c>
      <c r="L15" s="26" t="str">
        <f t="shared" si="10"/>
        <v/>
      </c>
      <c r="M15" s="25" t="str">
        <f>IF(K15="","",ИТОГ!Q15)</f>
        <v/>
      </c>
      <c r="N15" s="28" t="str">
        <f>IF(K15="","",ИТОГ!N15)</f>
        <v/>
      </c>
      <c r="O15" s="30" t="str">
        <f t="shared" si="6"/>
        <v/>
      </c>
      <c r="P15" s="24"/>
      <c r="Q15" s="30" t="str">
        <f t="shared" si="7"/>
        <v/>
      </c>
      <c r="R15" s="29" t="str">
        <f t="shared" ca="1" si="8"/>
        <v/>
      </c>
    </row>
    <row r="16" spans="1:18">
      <c r="A16" s="23" t="str">
        <f t="shared" si="0"/>
        <v/>
      </c>
      <c r="B16" s="23" t="str">
        <f t="shared" si="1"/>
        <v/>
      </c>
      <c r="C16" s="29" t="str">
        <f t="shared" ca="1" si="2"/>
        <v/>
      </c>
      <c r="D16" s="22" t="str">
        <f>IF(K16="","",ИТОГ!S16)</f>
        <v/>
      </c>
      <c r="E16" s="24" t="str">
        <f t="shared" si="3"/>
        <v/>
      </c>
      <c r="F16" s="30" t="str">
        <f t="shared" si="4"/>
        <v/>
      </c>
      <c r="G16" s="25" t="str">
        <f t="shared" si="9"/>
        <v/>
      </c>
      <c r="H16" s="29" t="str">
        <f t="shared" ca="1" si="5"/>
        <v/>
      </c>
      <c r="I16" s="24"/>
      <c r="J16" s="30"/>
      <c r="K16" s="27" t="str">
        <f>IF(ИТОГ!A16=0,"",ИТОГ!A16)</f>
        <v/>
      </c>
      <c r="L16" s="26" t="str">
        <f t="shared" si="10"/>
        <v/>
      </c>
      <c r="M16" s="25" t="str">
        <f>IF(K16="","",ИТОГ!Q16)</f>
        <v/>
      </c>
      <c r="N16" s="28" t="str">
        <f>IF(K16="","",ИТОГ!N16)</f>
        <v/>
      </c>
      <c r="O16" s="30" t="str">
        <f t="shared" si="6"/>
        <v/>
      </c>
      <c r="P16" s="24"/>
      <c r="Q16" s="30" t="str">
        <f t="shared" si="7"/>
        <v/>
      </c>
      <c r="R16" s="29" t="str">
        <f t="shared" ca="1" si="8"/>
        <v/>
      </c>
    </row>
    <row r="17" spans="1:18">
      <c r="A17" s="23" t="str">
        <f t="shared" si="0"/>
        <v/>
      </c>
      <c r="B17" s="23" t="str">
        <f t="shared" si="1"/>
        <v/>
      </c>
      <c r="C17" s="29" t="str">
        <f t="shared" ca="1" si="2"/>
        <v/>
      </c>
      <c r="D17" s="22" t="str">
        <f>IF(K17="","",ИТОГ!S17)</f>
        <v/>
      </c>
      <c r="E17" s="24" t="str">
        <f t="shared" si="3"/>
        <v/>
      </c>
      <c r="F17" s="30" t="str">
        <f t="shared" si="4"/>
        <v/>
      </c>
      <c r="G17" s="25" t="str">
        <f t="shared" si="9"/>
        <v/>
      </c>
      <c r="H17" s="29" t="str">
        <f t="shared" ca="1" si="5"/>
        <v/>
      </c>
      <c r="I17" s="24"/>
      <c r="J17" s="30"/>
      <c r="K17" s="27" t="str">
        <f>IF(ИТОГ!A17=0,"",ИТОГ!A17)</f>
        <v/>
      </c>
      <c r="L17" s="26" t="str">
        <f t="shared" si="10"/>
        <v/>
      </c>
      <c r="M17" s="25" t="str">
        <f>IF(K17="","",ИТОГ!Q17)</f>
        <v/>
      </c>
      <c r="N17" s="28" t="str">
        <f>IF(K17="","",ИТОГ!N17)</f>
        <v/>
      </c>
      <c r="O17" s="30" t="str">
        <f t="shared" si="6"/>
        <v/>
      </c>
      <c r="P17" s="24"/>
      <c r="Q17" s="30" t="str">
        <f t="shared" si="7"/>
        <v/>
      </c>
      <c r="R17" s="29" t="str">
        <f t="shared" ca="1" si="8"/>
        <v/>
      </c>
    </row>
    <row r="18" spans="1:18">
      <c r="A18" s="23" t="str">
        <f t="shared" si="0"/>
        <v/>
      </c>
      <c r="B18" s="23" t="str">
        <f t="shared" si="1"/>
        <v/>
      </c>
      <c r="C18" s="29" t="str">
        <f t="shared" ca="1" si="2"/>
        <v/>
      </c>
      <c r="D18" s="22" t="str">
        <f>IF(K18="","",ИТОГ!S18)</f>
        <v/>
      </c>
      <c r="E18" s="24" t="str">
        <f t="shared" si="3"/>
        <v/>
      </c>
      <c r="F18" s="30" t="str">
        <f t="shared" si="4"/>
        <v/>
      </c>
      <c r="G18" s="25" t="str">
        <f t="shared" si="9"/>
        <v/>
      </c>
      <c r="H18" s="29" t="str">
        <f t="shared" ca="1" si="5"/>
        <v/>
      </c>
      <c r="I18" s="24"/>
      <c r="J18" s="30"/>
      <c r="K18" s="27" t="str">
        <f>IF(ИТОГ!A18=0,"",ИТОГ!A18)</f>
        <v/>
      </c>
      <c r="L18" s="26" t="str">
        <f t="shared" si="10"/>
        <v/>
      </c>
      <c r="M18" s="25" t="str">
        <f>IF(K18="","",ИТОГ!Q18)</f>
        <v/>
      </c>
      <c r="N18" s="28" t="str">
        <f>IF(K18="","",ИТОГ!N18)</f>
        <v/>
      </c>
      <c r="O18" s="30" t="str">
        <f t="shared" si="6"/>
        <v/>
      </c>
      <c r="P18" s="24"/>
      <c r="Q18" s="30" t="str">
        <f t="shared" si="7"/>
        <v/>
      </c>
      <c r="R18" s="29" t="str">
        <f t="shared" ca="1" si="8"/>
        <v/>
      </c>
    </row>
    <row r="19" spans="1:18">
      <c r="A19" s="23" t="str">
        <f t="shared" si="0"/>
        <v/>
      </c>
      <c r="B19" s="23" t="str">
        <f t="shared" si="1"/>
        <v/>
      </c>
      <c r="C19" s="29" t="str">
        <f t="shared" ca="1" si="2"/>
        <v/>
      </c>
      <c r="D19" s="22" t="str">
        <f>IF(K19="","",ИТОГ!S19)</f>
        <v/>
      </c>
      <c r="E19" s="24" t="str">
        <f t="shared" si="3"/>
        <v/>
      </c>
      <c r="F19" s="30" t="str">
        <f t="shared" si="4"/>
        <v/>
      </c>
      <c r="G19" s="25" t="str">
        <f t="shared" si="9"/>
        <v/>
      </c>
      <c r="H19" s="29" t="str">
        <f t="shared" ca="1" si="5"/>
        <v/>
      </c>
      <c r="I19" s="24"/>
      <c r="J19" s="30"/>
      <c r="K19" s="27" t="str">
        <f>IF(ИТОГ!A19=0,"",ИТОГ!A19)</f>
        <v/>
      </c>
      <c r="L19" s="26" t="str">
        <f t="shared" si="10"/>
        <v/>
      </c>
      <c r="M19" s="25" t="str">
        <f>IF(K19="","",ИТОГ!Q19)</f>
        <v/>
      </c>
      <c r="N19" s="28" t="str">
        <f>IF(K19="","",ИТОГ!N19)</f>
        <v/>
      </c>
      <c r="O19" s="30" t="str">
        <f t="shared" si="6"/>
        <v/>
      </c>
      <c r="P19" s="24"/>
      <c r="Q19" s="30" t="str">
        <f t="shared" si="7"/>
        <v/>
      </c>
      <c r="R19" s="29" t="str">
        <f t="shared" ca="1" si="8"/>
        <v/>
      </c>
    </row>
    <row r="20" spans="1:18">
      <c r="A20" s="23" t="str">
        <f t="shared" si="0"/>
        <v/>
      </c>
      <c r="B20" s="23" t="str">
        <f t="shared" si="1"/>
        <v/>
      </c>
      <c r="C20" s="29" t="str">
        <f t="shared" ca="1" si="2"/>
        <v/>
      </c>
      <c r="D20" s="22" t="str">
        <f>IF(K20="","",ИТОГ!S20)</f>
        <v/>
      </c>
      <c r="E20" s="24" t="str">
        <f t="shared" si="3"/>
        <v/>
      </c>
      <c r="F20" s="30" t="str">
        <f t="shared" si="4"/>
        <v/>
      </c>
      <c r="G20" s="25" t="str">
        <f t="shared" si="9"/>
        <v/>
      </c>
      <c r="H20" s="29" t="str">
        <f t="shared" ca="1" si="5"/>
        <v/>
      </c>
      <c r="I20" s="24"/>
      <c r="J20" s="30"/>
      <c r="K20" s="27" t="str">
        <f>IF(ИТОГ!A20=0,"",ИТОГ!A20)</f>
        <v/>
      </c>
      <c r="L20" s="26" t="str">
        <f t="shared" si="10"/>
        <v/>
      </c>
      <c r="M20" s="25" t="str">
        <f>IF(K20="","",ИТОГ!Q20)</f>
        <v/>
      </c>
      <c r="N20" s="28" t="str">
        <f>IF(K20="","",ИТОГ!N20)</f>
        <v/>
      </c>
      <c r="O20" s="30" t="str">
        <f t="shared" si="6"/>
        <v/>
      </c>
      <c r="P20" s="24"/>
      <c r="Q20" s="30" t="str">
        <f t="shared" si="7"/>
        <v/>
      </c>
      <c r="R20" s="29" t="str">
        <f t="shared" ca="1" si="8"/>
        <v/>
      </c>
    </row>
    <row r="21" spans="1:18">
      <c r="A21" s="23" t="str">
        <f t="shared" si="0"/>
        <v/>
      </c>
      <c r="B21" s="23" t="str">
        <f t="shared" si="1"/>
        <v/>
      </c>
      <c r="C21" s="29" t="str">
        <f t="shared" ca="1" si="2"/>
        <v/>
      </c>
      <c r="D21" s="22" t="str">
        <f>IF(K21="","",ИТОГ!S21)</f>
        <v/>
      </c>
      <c r="E21" s="24" t="str">
        <f t="shared" si="3"/>
        <v/>
      </c>
      <c r="F21" s="30" t="str">
        <f t="shared" si="4"/>
        <v/>
      </c>
      <c r="G21" s="25" t="str">
        <f t="shared" si="9"/>
        <v/>
      </c>
      <c r="H21" s="29" t="str">
        <f t="shared" ca="1" si="5"/>
        <v/>
      </c>
      <c r="I21" s="24"/>
      <c r="J21" s="30"/>
      <c r="K21" s="27" t="str">
        <f>IF(ИТОГ!A21=0,"",ИТОГ!A21)</f>
        <v/>
      </c>
      <c r="L21" s="26" t="str">
        <f t="shared" si="10"/>
        <v/>
      </c>
      <c r="M21" s="25" t="str">
        <f>IF(K21="","",ИТОГ!Q21)</f>
        <v/>
      </c>
      <c r="N21" s="28" t="str">
        <f>IF(K21="","",ИТОГ!N21)</f>
        <v/>
      </c>
      <c r="O21" s="30" t="str">
        <f t="shared" si="6"/>
        <v/>
      </c>
      <c r="P21" s="24"/>
      <c r="Q21" s="30" t="str">
        <f t="shared" si="7"/>
        <v/>
      </c>
      <c r="R21" s="29" t="str">
        <f t="shared" ca="1" si="8"/>
        <v/>
      </c>
    </row>
    <row r="22" spans="1:18">
      <c r="A22" s="23" t="str">
        <f t="shared" si="0"/>
        <v/>
      </c>
      <c r="B22" s="23" t="str">
        <f t="shared" si="1"/>
        <v/>
      </c>
      <c r="C22" s="29" t="str">
        <f t="shared" ca="1" si="2"/>
        <v/>
      </c>
      <c r="D22" s="22" t="str">
        <f>IF(K22="","",ИТОГ!S22)</f>
        <v/>
      </c>
      <c r="E22" s="24" t="str">
        <f t="shared" si="3"/>
        <v/>
      </c>
      <c r="F22" s="30" t="str">
        <f t="shared" si="4"/>
        <v/>
      </c>
      <c r="G22" s="25" t="str">
        <f t="shared" si="9"/>
        <v/>
      </c>
      <c r="H22" s="29" t="str">
        <f t="shared" ca="1" si="5"/>
        <v/>
      </c>
      <c r="I22" s="24"/>
      <c r="J22" s="30"/>
      <c r="K22" s="27" t="str">
        <f>IF(ИТОГ!A22=0,"",ИТОГ!A22)</f>
        <v/>
      </c>
      <c r="L22" s="26" t="str">
        <f t="shared" si="10"/>
        <v/>
      </c>
      <c r="M22" s="25" t="str">
        <f>IF(K22="","",ИТОГ!Q22)</f>
        <v/>
      </c>
      <c r="N22" s="28" t="str">
        <f>IF(K22="","",ИТОГ!N22)</f>
        <v/>
      </c>
      <c r="O22" s="30" t="str">
        <f t="shared" si="6"/>
        <v/>
      </c>
      <c r="P22" s="24"/>
      <c r="Q22" s="30" t="str">
        <f t="shared" si="7"/>
        <v/>
      </c>
      <c r="R22" s="29" t="str">
        <f t="shared" ca="1" si="8"/>
        <v/>
      </c>
    </row>
    <row r="23" spans="1:18">
      <c r="A23" s="23" t="str">
        <f t="shared" si="0"/>
        <v/>
      </c>
      <c r="B23" s="23" t="str">
        <f t="shared" si="1"/>
        <v/>
      </c>
      <c r="C23" s="29" t="str">
        <f t="shared" ca="1" si="2"/>
        <v/>
      </c>
      <c r="D23" s="22" t="str">
        <f>IF(K23="","",ИТОГ!S23)</f>
        <v/>
      </c>
      <c r="E23" s="24" t="str">
        <f t="shared" si="3"/>
        <v/>
      </c>
      <c r="F23" s="30" t="str">
        <f t="shared" si="4"/>
        <v/>
      </c>
      <c r="G23" s="25" t="str">
        <f t="shared" si="9"/>
        <v/>
      </c>
      <c r="H23" s="29" t="str">
        <f t="shared" ca="1" si="5"/>
        <v/>
      </c>
      <c r="I23" s="24"/>
      <c r="J23" s="30"/>
      <c r="K23" s="27" t="str">
        <f>IF(ИТОГ!A23=0,"",ИТОГ!A23)</f>
        <v/>
      </c>
      <c r="L23" s="26" t="str">
        <f t="shared" si="10"/>
        <v/>
      </c>
      <c r="M23" s="25" t="str">
        <f>IF(K23="","",ИТОГ!Q23)</f>
        <v/>
      </c>
      <c r="N23" s="28" t="str">
        <f>IF(K23="","",ИТОГ!N23)</f>
        <v/>
      </c>
      <c r="O23" s="30" t="str">
        <f t="shared" si="6"/>
        <v/>
      </c>
      <c r="P23" s="24"/>
      <c r="Q23" s="30" t="str">
        <f t="shared" si="7"/>
        <v/>
      </c>
      <c r="R23" s="29" t="str">
        <f t="shared" ca="1" si="8"/>
        <v/>
      </c>
    </row>
    <row r="24" spans="1:18">
      <c r="A24" s="23" t="str">
        <f t="shared" si="0"/>
        <v/>
      </c>
      <c r="B24" s="23" t="str">
        <f t="shared" si="1"/>
        <v/>
      </c>
      <c r="C24" s="29" t="str">
        <f t="shared" ca="1" si="2"/>
        <v/>
      </c>
      <c r="D24" s="22" t="str">
        <f>IF(K24="","",ИТОГ!S24)</f>
        <v/>
      </c>
      <c r="E24" s="24" t="str">
        <f t="shared" si="3"/>
        <v/>
      </c>
      <c r="F24" s="30" t="str">
        <f t="shared" si="4"/>
        <v/>
      </c>
      <c r="G24" s="25" t="str">
        <f t="shared" si="9"/>
        <v/>
      </c>
      <c r="H24" s="29" t="str">
        <f t="shared" ca="1" si="5"/>
        <v/>
      </c>
      <c r="I24" s="24"/>
      <c r="J24" s="30"/>
      <c r="K24" s="27" t="str">
        <f>IF(ИТОГ!A24=0,"",ИТОГ!A24)</f>
        <v/>
      </c>
      <c r="L24" s="26" t="str">
        <f t="shared" si="10"/>
        <v/>
      </c>
      <c r="M24" s="25" t="str">
        <f>IF(K24="","",ИТОГ!Q24)</f>
        <v/>
      </c>
      <c r="N24" s="28" t="str">
        <f>IF(K24="","",ИТОГ!N24)</f>
        <v/>
      </c>
      <c r="O24" s="30" t="str">
        <f t="shared" si="6"/>
        <v/>
      </c>
      <c r="P24" s="24"/>
      <c r="Q24" s="30" t="str">
        <f t="shared" si="7"/>
        <v/>
      </c>
      <c r="R24" s="29" t="str">
        <f t="shared" ca="1" si="8"/>
        <v/>
      </c>
    </row>
    <row r="25" spans="1:18">
      <c r="A25" s="23" t="str">
        <f t="shared" si="0"/>
        <v/>
      </c>
      <c r="B25" s="23" t="str">
        <f t="shared" si="1"/>
        <v/>
      </c>
      <c r="C25" s="29" t="str">
        <f t="shared" ca="1" si="2"/>
        <v/>
      </c>
      <c r="D25" s="22" t="str">
        <f>IF(K25="","",ИТОГ!S25)</f>
        <v/>
      </c>
      <c r="E25" s="24" t="str">
        <f t="shared" si="3"/>
        <v/>
      </c>
      <c r="F25" s="30" t="str">
        <f t="shared" si="4"/>
        <v/>
      </c>
      <c r="G25" s="25" t="str">
        <f t="shared" si="9"/>
        <v/>
      </c>
      <c r="H25" s="29" t="str">
        <f t="shared" ca="1" si="5"/>
        <v/>
      </c>
      <c r="I25" s="24"/>
      <c r="J25" s="30"/>
      <c r="K25" s="27" t="str">
        <f>IF(ИТОГ!A25=0,"",ИТОГ!A25)</f>
        <v/>
      </c>
      <c r="L25" s="26" t="str">
        <f t="shared" si="10"/>
        <v/>
      </c>
      <c r="M25" s="25" t="str">
        <f>IF(K25="","",ИТОГ!Q25)</f>
        <v/>
      </c>
      <c r="N25" s="28" t="str">
        <f>IF(K25="","",ИТОГ!N25)</f>
        <v/>
      </c>
      <c r="O25" s="30" t="str">
        <f t="shared" si="6"/>
        <v/>
      </c>
      <c r="P25" s="24"/>
      <c r="Q25" s="30" t="str">
        <f t="shared" si="7"/>
        <v/>
      </c>
      <c r="R25" s="29" t="str">
        <f t="shared" ca="1" si="8"/>
        <v/>
      </c>
    </row>
    <row r="26" spans="1:18">
      <c r="A26" s="23" t="str">
        <f t="shared" si="0"/>
        <v/>
      </c>
      <c r="B26" s="23" t="str">
        <f t="shared" si="1"/>
        <v/>
      </c>
      <c r="C26" s="29" t="str">
        <f t="shared" ca="1" si="2"/>
        <v/>
      </c>
      <c r="D26" s="22" t="str">
        <f>IF(K26="","",ИТОГ!S26)</f>
        <v/>
      </c>
      <c r="E26" s="24" t="str">
        <f t="shared" si="3"/>
        <v/>
      </c>
      <c r="F26" s="30" t="str">
        <f t="shared" si="4"/>
        <v/>
      </c>
      <c r="G26" s="25" t="str">
        <f t="shared" si="9"/>
        <v/>
      </c>
      <c r="H26" s="29" t="str">
        <f t="shared" ca="1" si="5"/>
        <v/>
      </c>
      <c r="I26" s="24"/>
      <c r="J26" s="30"/>
      <c r="K26" s="27" t="str">
        <f>IF(ИТОГ!A26=0,"",ИТОГ!A26)</f>
        <v/>
      </c>
      <c r="L26" s="26" t="str">
        <f t="shared" si="10"/>
        <v/>
      </c>
      <c r="M26" s="25" t="str">
        <f>IF(K26="","",ИТОГ!Q26)</f>
        <v/>
      </c>
      <c r="N26" s="28" t="str">
        <f>IF(K26="","",ИТОГ!N26)</f>
        <v/>
      </c>
      <c r="O26" s="30" t="str">
        <f t="shared" si="6"/>
        <v/>
      </c>
      <c r="P26" s="24"/>
      <c r="Q26" s="30" t="str">
        <f t="shared" si="7"/>
        <v/>
      </c>
      <c r="R26" s="29" t="str">
        <f t="shared" ca="1" si="8"/>
        <v/>
      </c>
    </row>
    <row r="27" spans="1:18">
      <c r="A27" s="23" t="str">
        <f t="shared" si="0"/>
        <v/>
      </c>
      <c r="B27" s="23" t="str">
        <f t="shared" si="1"/>
        <v/>
      </c>
      <c r="C27" s="29" t="str">
        <f t="shared" ca="1" si="2"/>
        <v/>
      </c>
      <c r="D27" s="22" t="str">
        <f>IF(K27="","",ИТОГ!S27)</f>
        <v/>
      </c>
      <c r="E27" s="24" t="str">
        <f t="shared" si="3"/>
        <v/>
      </c>
      <c r="F27" s="30" t="str">
        <f t="shared" si="4"/>
        <v/>
      </c>
      <c r="G27" s="25" t="str">
        <f t="shared" si="9"/>
        <v/>
      </c>
      <c r="H27" s="29" t="str">
        <f t="shared" ca="1" si="5"/>
        <v/>
      </c>
      <c r="I27" s="24"/>
      <c r="J27" s="30"/>
      <c r="K27" s="27" t="str">
        <f>IF(ИТОГ!A27=0,"",ИТОГ!A27)</f>
        <v/>
      </c>
      <c r="L27" s="26" t="str">
        <f t="shared" si="10"/>
        <v/>
      </c>
      <c r="M27" s="25" t="str">
        <f>IF(K27="","",ИТОГ!Q27)</f>
        <v/>
      </c>
      <c r="N27" s="28" t="str">
        <f>IF(K27="","",ИТОГ!N27)</f>
        <v/>
      </c>
      <c r="O27" s="30" t="str">
        <f t="shared" si="6"/>
        <v/>
      </c>
      <c r="P27" s="24"/>
      <c r="Q27" s="30" t="str">
        <f t="shared" si="7"/>
        <v/>
      </c>
      <c r="R27" s="29" t="str">
        <f t="shared" ca="1" si="8"/>
        <v/>
      </c>
    </row>
    <row r="28" spans="1:18">
      <c r="A28" s="23" t="str">
        <f t="shared" si="0"/>
        <v/>
      </c>
      <c r="B28" s="23" t="str">
        <f t="shared" si="1"/>
        <v/>
      </c>
      <c r="C28" s="29" t="str">
        <f t="shared" ca="1" si="2"/>
        <v/>
      </c>
      <c r="D28" s="22" t="str">
        <f>IF(K28="","",ИТОГ!S28)</f>
        <v/>
      </c>
      <c r="E28" s="24" t="str">
        <f t="shared" si="3"/>
        <v/>
      </c>
      <c r="F28" s="30" t="str">
        <f t="shared" si="4"/>
        <v/>
      </c>
      <c r="G28" s="25" t="str">
        <f t="shared" si="9"/>
        <v/>
      </c>
      <c r="H28" s="29" t="str">
        <f t="shared" ca="1" si="5"/>
        <v/>
      </c>
      <c r="I28" s="24"/>
      <c r="J28" s="30"/>
      <c r="K28" s="27" t="str">
        <f>IF(ИТОГ!A28=0,"",ИТОГ!A28)</f>
        <v/>
      </c>
      <c r="L28" s="26" t="str">
        <f t="shared" si="10"/>
        <v/>
      </c>
      <c r="M28" s="25" t="str">
        <f>IF(K28="","",ИТОГ!Q28)</f>
        <v/>
      </c>
      <c r="N28" s="28" t="str">
        <f>IF(K28="","",ИТОГ!N28)</f>
        <v/>
      </c>
      <c r="O28" s="30" t="str">
        <f t="shared" si="6"/>
        <v/>
      </c>
      <c r="P28" s="24"/>
      <c r="Q28" s="30" t="str">
        <f t="shared" si="7"/>
        <v/>
      </c>
      <c r="R28" s="29" t="str">
        <f t="shared" ca="1" si="8"/>
        <v/>
      </c>
    </row>
    <row r="29" spans="1:18">
      <c r="A29" s="23" t="str">
        <f t="shared" si="0"/>
        <v/>
      </c>
      <c r="B29" s="23" t="str">
        <f t="shared" si="1"/>
        <v/>
      </c>
      <c r="C29" s="29" t="str">
        <f t="shared" ca="1" si="2"/>
        <v/>
      </c>
      <c r="D29" s="22" t="str">
        <f>IF(K29="","",ИТОГ!S29)</f>
        <v/>
      </c>
      <c r="E29" s="24" t="str">
        <f t="shared" si="3"/>
        <v/>
      </c>
      <c r="F29" s="30" t="str">
        <f t="shared" si="4"/>
        <v/>
      </c>
      <c r="G29" s="25" t="str">
        <f t="shared" si="9"/>
        <v/>
      </c>
      <c r="H29" s="29" t="str">
        <f t="shared" ca="1" si="5"/>
        <v/>
      </c>
      <c r="I29" s="24"/>
      <c r="J29" s="30"/>
      <c r="K29" s="27" t="str">
        <f>IF(ИТОГ!A29=0,"",ИТОГ!A29)</f>
        <v/>
      </c>
      <c r="L29" s="26" t="str">
        <f t="shared" si="10"/>
        <v/>
      </c>
      <c r="M29" s="25" t="str">
        <f>IF(K29="","",ИТОГ!Q29)</f>
        <v/>
      </c>
      <c r="N29" s="28" t="str">
        <f>IF(K29="","",ИТОГ!N29)</f>
        <v/>
      </c>
      <c r="O29" s="30" t="str">
        <f t="shared" si="6"/>
        <v/>
      </c>
      <c r="P29" s="24"/>
      <c r="Q29" s="30" t="str">
        <f t="shared" si="7"/>
        <v/>
      </c>
      <c r="R29" s="29" t="str">
        <f t="shared" ca="1" si="8"/>
        <v/>
      </c>
    </row>
    <row r="30" spans="1:18">
      <c r="A30" s="23" t="str">
        <f t="shared" ref="A30:A93" si="11">IF(K30="","",1000)</f>
        <v/>
      </c>
      <c r="B30" s="23" t="str">
        <f t="shared" ref="B30:B93" si="12">IF(K30="","",1)</f>
        <v/>
      </c>
      <c r="C30" s="29" t="str">
        <f t="shared" ref="C30:C93" ca="1" si="13">IF(K30="","",TODAY())</f>
        <v/>
      </c>
      <c r="D30" s="22" t="str">
        <f>IF(K30="","",ИТОГ!S30)</f>
        <v/>
      </c>
      <c r="E30" s="24" t="str">
        <f t="shared" ref="E30:E93" si="14">IF(K30="","","Х")</f>
        <v/>
      </c>
      <c r="F30" s="30" t="str">
        <f t="shared" ref="F30:F93" si="15">IF(K30="","","UV")</f>
        <v/>
      </c>
      <c r="G30" s="25" t="str">
        <f t="shared" ref="G30:G93" si="16">IF(K30="","",SUMIF(D:D,D30,M:M))</f>
        <v/>
      </c>
      <c r="H30" s="29" t="str">
        <f t="shared" ref="H30:H93" ca="1" si="17">IF(K30="","",TODAY())</f>
        <v/>
      </c>
      <c r="I30" s="24"/>
      <c r="J30" s="30"/>
      <c r="K30" s="27" t="str">
        <f>IF(ИТОГ!A30=0,"",ИТОГ!A30)</f>
        <v/>
      </c>
      <c r="L30" s="26" t="str">
        <f t="shared" ref="L30:L93" si="18">IF(K30="","",
IF(D29-D30=0,L29+10,10))</f>
        <v/>
      </c>
      <c r="M30" s="25" t="str">
        <f>IF(K30="","",ИТОГ!Q30)</f>
        <v/>
      </c>
      <c r="N30" s="28" t="str">
        <f>IF(K30="","",ИТОГ!N30)</f>
        <v/>
      </c>
      <c r="O30" s="30" t="str">
        <f t="shared" ref="O30:O93" si="19">IF(K30="","","ST")</f>
        <v/>
      </c>
      <c r="P30" s="24"/>
      <c r="Q30" s="30" t="str">
        <f t="shared" ref="Q30:Q93" si="20">IF(K30="","","EUR")</f>
        <v/>
      </c>
      <c r="R30" s="29" t="str">
        <f t="shared" ref="R30:R93" ca="1" si="21">IF(K30="","",TODAY())</f>
        <v/>
      </c>
    </row>
    <row r="31" spans="1:18">
      <c r="A31" s="23" t="str">
        <f t="shared" si="11"/>
        <v/>
      </c>
      <c r="B31" s="23" t="str">
        <f t="shared" si="12"/>
        <v/>
      </c>
      <c r="C31" s="29" t="str">
        <f t="shared" ca="1" si="13"/>
        <v/>
      </c>
      <c r="D31" s="22" t="str">
        <f>IF(K31="","",ИТОГ!S31)</f>
        <v/>
      </c>
      <c r="E31" s="24" t="str">
        <f t="shared" si="14"/>
        <v/>
      </c>
      <c r="F31" s="30" t="str">
        <f t="shared" si="15"/>
        <v/>
      </c>
      <c r="G31" s="25" t="str">
        <f t="shared" si="16"/>
        <v/>
      </c>
      <c r="H31" s="29" t="str">
        <f t="shared" ca="1" si="17"/>
        <v/>
      </c>
      <c r="I31" s="24"/>
      <c r="J31" s="30"/>
      <c r="K31" s="27" t="str">
        <f>IF(ИТОГ!A31=0,"",ИТОГ!A31)</f>
        <v/>
      </c>
      <c r="L31" s="26" t="str">
        <f t="shared" si="18"/>
        <v/>
      </c>
      <c r="M31" s="25" t="str">
        <f>IF(K31="","",ИТОГ!Q31)</f>
        <v/>
      </c>
      <c r="N31" s="28" t="str">
        <f>IF(K31="","",ИТОГ!N31)</f>
        <v/>
      </c>
      <c r="O31" s="30" t="str">
        <f t="shared" si="19"/>
        <v/>
      </c>
      <c r="P31" s="24"/>
      <c r="Q31" s="30" t="str">
        <f t="shared" si="20"/>
        <v/>
      </c>
      <c r="R31" s="29" t="str">
        <f t="shared" ca="1" si="21"/>
        <v/>
      </c>
    </row>
    <row r="32" spans="1:18">
      <c r="A32" s="23" t="str">
        <f t="shared" si="11"/>
        <v/>
      </c>
      <c r="B32" s="23" t="str">
        <f t="shared" si="12"/>
        <v/>
      </c>
      <c r="C32" s="29" t="str">
        <f t="shared" ca="1" si="13"/>
        <v/>
      </c>
      <c r="D32" s="22" t="str">
        <f>IF(K32="","",ИТОГ!S32)</f>
        <v/>
      </c>
      <c r="E32" s="24" t="str">
        <f t="shared" si="14"/>
        <v/>
      </c>
      <c r="F32" s="30" t="str">
        <f t="shared" si="15"/>
        <v/>
      </c>
      <c r="G32" s="25" t="str">
        <f t="shared" si="16"/>
        <v/>
      </c>
      <c r="H32" s="29" t="str">
        <f t="shared" ca="1" si="17"/>
        <v/>
      </c>
      <c r="I32" s="24"/>
      <c r="J32" s="30"/>
      <c r="K32" s="27" t="str">
        <f>IF(ИТОГ!A32=0,"",ИТОГ!A32)</f>
        <v/>
      </c>
      <c r="L32" s="26" t="str">
        <f t="shared" si="18"/>
        <v/>
      </c>
      <c r="M32" s="25" t="str">
        <f>IF(K32="","",ИТОГ!Q32)</f>
        <v/>
      </c>
      <c r="N32" s="28" t="str">
        <f>IF(K32="","",ИТОГ!N32)</f>
        <v/>
      </c>
      <c r="O32" s="30" t="str">
        <f t="shared" si="19"/>
        <v/>
      </c>
      <c r="P32" s="24"/>
      <c r="Q32" s="30" t="str">
        <f t="shared" si="20"/>
        <v/>
      </c>
      <c r="R32" s="29" t="str">
        <f t="shared" ca="1" si="21"/>
        <v/>
      </c>
    </row>
    <row r="33" spans="1:18">
      <c r="A33" s="23" t="str">
        <f t="shared" si="11"/>
        <v/>
      </c>
      <c r="B33" s="23" t="str">
        <f t="shared" si="12"/>
        <v/>
      </c>
      <c r="C33" s="29" t="str">
        <f t="shared" ca="1" si="13"/>
        <v/>
      </c>
      <c r="D33" s="22" t="str">
        <f>IF(K33="","",ИТОГ!S33)</f>
        <v/>
      </c>
      <c r="E33" s="24" t="str">
        <f t="shared" si="14"/>
        <v/>
      </c>
      <c r="F33" s="30" t="str">
        <f t="shared" si="15"/>
        <v/>
      </c>
      <c r="G33" s="25" t="str">
        <f t="shared" si="16"/>
        <v/>
      </c>
      <c r="H33" s="29" t="str">
        <f t="shared" ca="1" si="17"/>
        <v/>
      </c>
      <c r="I33" s="24"/>
      <c r="J33" s="30"/>
      <c r="K33" s="27" t="str">
        <f>IF(ИТОГ!A33=0,"",ИТОГ!A33)</f>
        <v/>
      </c>
      <c r="L33" s="26" t="str">
        <f t="shared" si="18"/>
        <v/>
      </c>
      <c r="M33" s="25" t="str">
        <f>IF(K33="","",ИТОГ!Q33)</f>
        <v/>
      </c>
      <c r="N33" s="28" t="str">
        <f>IF(K33="","",ИТОГ!N33)</f>
        <v/>
      </c>
      <c r="O33" s="30" t="str">
        <f t="shared" si="19"/>
        <v/>
      </c>
      <c r="P33" s="24"/>
      <c r="Q33" s="30" t="str">
        <f t="shared" si="20"/>
        <v/>
      </c>
      <c r="R33" s="29" t="str">
        <f t="shared" ca="1" si="21"/>
        <v/>
      </c>
    </row>
    <row r="34" spans="1:18">
      <c r="A34" s="23" t="str">
        <f t="shared" si="11"/>
        <v/>
      </c>
      <c r="B34" s="23" t="str">
        <f t="shared" si="12"/>
        <v/>
      </c>
      <c r="C34" s="29" t="str">
        <f t="shared" ca="1" si="13"/>
        <v/>
      </c>
      <c r="D34" s="22" t="str">
        <f>IF(K34="","",ИТОГ!S34)</f>
        <v/>
      </c>
      <c r="E34" s="24" t="str">
        <f t="shared" si="14"/>
        <v/>
      </c>
      <c r="F34" s="30" t="str">
        <f t="shared" si="15"/>
        <v/>
      </c>
      <c r="G34" s="25" t="str">
        <f t="shared" si="16"/>
        <v/>
      </c>
      <c r="H34" s="29" t="str">
        <f t="shared" ca="1" si="17"/>
        <v/>
      </c>
      <c r="I34" s="24"/>
      <c r="J34" s="30"/>
      <c r="K34" s="27" t="str">
        <f>IF(ИТОГ!A34=0,"",ИТОГ!A34)</f>
        <v/>
      </c>
      <c r="L34" s="26" t="str">
        <f t="shared" si="18"/>
        <v/>
      </c>
      <c r="M34" s="25" t="str">
        <f>IF(K34="","",ИТОГ!Q34)</f>
        <v/>
      </c>
      <c r="N34" s="28" t="str">
        <f>IF(K34="","",ИТОГ!N34)</f>
        <v/>
      </c>
      <c r="O34" s="30" t="str">
        <f t="shared" si="19"/>
        <v/>
      </c>
      <c r="P34" s="24"/>
      <c r="Q34" s="30" t="str">
        <f t="shared" si="20"/>
        <v/>
      </c>
      <c r="R34" s="29" t="str">
        <f t="shared" ca="1" si="21"/>
        <v/>
      </c>
    </row>
    <row r="35" spans="1:18">
      <c r="A35" s="23" t="str">
        <f t="shared" si="11"/>
        <v/>
      </c>
      <c r="B35" s="23" t="str">
        <f t="shared" si="12"/>
        <v/>
      </c>
      <c r="C35" s="29" t="str">
        <f t="shared" ca="1" si="13"/>
        <v/>
      </c>
      <c r="D35" s="22" t="str">
        <f>IF(K35="","",ИТОГ!S35)</f>
        <v/>
      </c>
      <c r="E35" s="24" t="str">
        <f t="shared" si="14"/>
        <v/>
      </c>
      <c r="F35" s="30" t="str">
        <f t="shared" si="15"/>
        <v/>
      </c>
      <c r="G35" s="25" t="str">
        <f t="shared" si="16"/>
        <v/>
      </c>
      <c r="H35" s="29" t="str">
        <f t="shared" ca="1" si="17"/>
        <v/>
      </c>
      <c r="I35" s="24"/>
      <c r="J35" s="30"/>
      <c r="K35" s="27" t="str">
        <f>IF(ИТОГ!A35=0,"",ИТОГ!A35)</f>
        <v/>
      </c>
      <c r="L35" s="26" t="str">
        <f t="shared" si="18"/>
        <v/>
      </c>
      <c r="M35" s="25" t="str">
        <f>IF(K35="","",ИТОГ!Q35)</f>
        <v/>
      </c>
      <c r="N35" s="28" t="str">
        <f>IF(K35="","",ИТОГ!N35)</f>
        <v/>
      </c>
      <c r="O35" s="30" t="str">
        <f t="shared" si="19"/>
        <v/>
      </c>
      <c r="P35" s="24"/>
      <c r="Q35" s="30" t="str">
        <f t="shared" si="20"/>
        <v/>
      </c>
      <c r="R35" s="29" t="str">
        <f t="shared" ca="1" si="21"/>
        <v/>
      </c>
    </row>
    <row r="36" spans="1:18">
      <c r="A36" s="23" t="str">
        <f t="shared" si="11"/>
        <v/>
      </c>
      <c r="B36" s="23" t="str">
        <f t="shared" si="12"/>
        <v/>
      </c>
      <c r="C36" s="29" t="str">
        <f t="shared" ca="1" si="13"/>
        <v/>
      </c>
      <c r="D36" s="22" t="str">
        <f>IF(K36="","",ИТОГ!S36)</f>
        <v/>
      </c>
      <c r="E36" s="24" t="str">
        <f t="shared" si="14"/>
        <v/>
      </c>
      <c r="F36" s="30" t="str">
        <f t="shared" si="15"/>
        <v/>
      </c>
      <c r="G36" s="25" t="str">
        <f t="shared" si="16"/>
        <v/>
      </c>
      <c r="H36" s="29" t="str">
        <f t="shared" ca="1" si="17"/>
        <v/>
      </c>
      <c r="I36" s="24"/>
      <c r="J36" s="30"/>
      <c r="K36" s="27" t="str">
        <f>IF(ИТОГ!A36=0,"",ИТОГ!A36)</f>
        <v/>
      </c>
      <c r="L36" s="26" t="str">
        <f t="shared" si="18"/>
        <v/>
      </c>
      <c r="M36" s="25" t="str">
        <f>IF(K36="","",ИТОГ!Q36)</f>
        <v/>
      </c>
      <c r="N36" s="28" t="str">
        <f>IF(K36="","",ИТОГ!N36)</f>
        <v/>
      </c>
      <c r="O36" s="30" t="str">
        <f t="shared" si="19"/>
        <v/>
      </c>
      <c r="P36" s="24"/>
      <c r="Q36" s="30" t="str">
        <f t="shared" si="20"/>
        <v/>
      </c>
      <c r="R36" s="29" t="str">
        <f t="shared" ca="1" si="21"/>
        <v/>
      </c>
    </row>
    <row r="37" spans="1:18">
      <c r="A37" s="23" t="str">
        <f t="shared" si="11"/>
        <v/>
      </c>
      <c r="B37" s="23" t="str">
        <f t="shared" si="12"/>
        <v/>
      </c>
      <c r="C37" s="29" t="str">
        <f t="shared" ca="1" si="13"/>
        <v/>
      </c>
      <c r="D37" s="22" t="str">
        <f>IF(K37="","",ИТОГ!S37)</f>
        <v/>
      </c>
      <c r="E37" s="24" t="str">
        <f t="shared" si="14"/>
        <v/>
      </c>
      <c r="F37" s="30" t="str">
        <f t="shared" si="15"/>
        <v/>
      </c>
      <c r="G37" s="25" t="str">
        <f t="shared" si="16"/>
        <v/>
      </c>
      <c r="H37" s="29" t="str">
        <f t="shared" ca="1" si="17"/>
        <v/>
      </c>
      <c r="I37" s="24"/>
      <c r="J37" s="30"/>
      <c r="K37" s="27" t="str">
        <f>IF(ИТОГ!A37=0,"",ИТОГ!A37)</f>
        <v/>
      </c>
      <c r="L37" s="26" t="str">
        <f t="shared" si="18"/>
        <v/>
      </c>
      <c r="M37" s="25" t="str">
        <f>IF(K37="","",ИТОГ!Q37)</f>
        <v/>
      </c>
      <c r="N37" s="28" t="str">
        <f>IF(K37="","",ИТОГ!N37)</f>
        <v/>
      </c>
      <c r="O37" s="30" t="str">
        <f t="shared" si="19"/>
        <v/>
      </c>
      <c r="P37" s="24"/>
      <c r="Q37" s="30" t="str">
        <f t="shared" si="20"/>
        <v/>
      </c>
      <c r="R37" s="29" t="str">
        <f t="shared" ca="1" si="21"/>
        <v/>
      </c>
    </row>
    <row r="38" spans="1:18">
      <c r="A38" s="23" t="str">
        <f t="shared" si="11"/>
        <v/>
      </c>
      <c r="B38" s="23" t="str">
        <f t="shared" si="12"/>
        <v/>
      </c>
      <c r="C38" s="29" t="str">
        <f t="shared" ca="1" si="13"/>
        <v/>
      </c>
      <c r="D38" s="22" t="str">
        <f>IF(K38="","",ИТОГ!S38)</f>
        <v/>
      </c>
      <c r="E38" s="24" t="str">
        <f t="shared" si="14"/>
        <v/>
      </c>
      <c r="F38" s="30" t="str">
        <f t="shared" si="15"/>
        <v/>
      </c>
      <c r="G38" s="25" t="str">
        <f t="shared" si="16"/>
        <v/>
      </c>
      <c r="H38" s="29" t="str">
        <f t="shared" ca="1" si="17"/>
        <v/>
      </c>
      <c r="I38" s="24"/>
      <c r="J38" s="30"/>
      <c r="K38" s="27" t="str">
        <f>IF(ИТОГ!A38=0,"",ИТОГ!A38)</f>
        <v/>
      </c>
      <c r="L38" s="26" t="str">
        <f t="shared" si="18"/>
        <v/>
      </c>
      <c r="M38" s="25" t="str">
        <f>IF(K38="","",ИТОГ!Q38)</f>
        <v/>
      </c>
      <c r="N38" s="28" t="str">
        <f>IF(K38="","",ИТОГ!N38)</f>
        <v/>
      </c>
      <c r="O38" s="30" t="str">
        <f t="shared" si="19"/>
        <v/>
      </c>
      <c r="P38" s="24"/>
      <c r="Q38" s="30" t="str">
        <f t="shared" si="20"/>
        <v/>
      </c>
      <c r="R38" s="29" t="str">
        <f t="shared" ca="1" si="21"/>
        <v/>
      </c>
    </row>
    <row r="39" spans="1:18">
      <c r="A39" s="23" t="str">
        <f t="shared" si="11"/>
        <v/>
      </c>
      <c r="B39" s="23" t="str">
        <f t="shared" si="12"/>
        <v/>
      </c>
      <c r="C39" s="29" t="str">
        <f t="shared" ca="1" si="13"/>
        <v/>
      </c>
      <c r="D39" s="22" t="str">
        <f>IF(K39="","",ИТОГ!S39)</f>
        <v/>
      </c>
      <c r="E39" s="24" t="str">
        <f t="shared" si="14"/>
        <v/>
      </c>
      <c r="F39" s="30" t="str">
        <f t="shared" si="15"/>
        <v/>
      </c>
      <c r="G39" s="25" t="str">
        <f t="shared" si="16"/>
        <v/>
      </c>
      <c r="H39" s="29" t="str">
        <f t="shared" ca="1" si="17"/>
        <v/>
      </c>
      <c r="I39" s="24"/>
      <c r="J39" s="30"/>
      <c r="K39" s="27" t="str">
        <f>IF(ИТОГ!A39=0,"",ИТОГ!A39)</f>
        <v/>
      </c>
      <c r="L39" s="26" t="str">
        <f t="shared" si="18"/>
        <v/>
      </c>
      <c r="M39" s="25" t="str">
        <f>IF(K39="","",ИТОГ!Q39)</f>
        <v/>
      </c>
      <c r="N39" s="28" t="str">
        <f>IF(K39="","",ИТОГ!N39)</f>
        <v/>
      </c>
      <c r="O39" s="30" t="str">
        <f t="shared" si="19"/>
        <v/>
      </c>
      <c r="P39" s="24"/>
      <c r="Q39" s="30" t="str">
        <f t="shared" si="20"/>
        <v/>
      </c>
      <c r="R39" s="29" t="str">
        <f t="shared" ca="1" si="21"/>
        <v/>
      </c>
    </row>
    <row r="40" spans="1:18">
      <c r="A40" s="23" t="str">
        <f t="shared" si="11"/>
        <v/>
      </c>
      <c r="B40" s="23" t="str">
        <f t="shared" si="12"/>
        <v/>
      </c>
      <c r="C40" s="29" t="str">
        <f t="shared" ca="1" si="13"/>
        <v/>
      </c>
      <c r="D40" s="22" t="str">
        <f>IF(K40="","",ИТОГ!S40)</f>
        <v/>
      </c>
      <c r="E40" s="24" t="str">
        <f t="shared" si="14"/>
        <v/>
      </c>
      <c r="F40" s="30" t="str">
        <f t="shared" si="15"/>
        <v/>
      </c>
      <c r="G40" s="25" t="str">
        <f t="shared" si="16"/>
        <v/>
      </c>
      <c r="H40" s="29" t="str">
        <f t="shared" ca="1" si="17"/>
        <v/>
      </c>
      <c r="I40" s="24"/>
      <c r="J40" s="30"/>
      <c r="K40" s="27" t="str">
        <f>IF(ИТОГ!A40=0,"",ИТОГ!A40)</f>
        <v/>
      </c>
      <c r="L40" s="26" t="str">
        <f t="shared" si="18"/>
        <v/>
      </c>
      <c r="M40" s="25" t="str">
        <f>IF(K40="","",ИТОГ!Q40)</f>
        <v/>
      </c>
      <c r="N40" s="28" t="str">
        <f>IF(K40="","",ИТОГ!N40)</f>
        <v/>
      </c>
      <c r="O40" s="30" t="str">
        <f t="shared" si="19"/>
        <v/>
      </c>
      <c r="P40" s="24"/>
      <c r="Q40" s="30" t="str">
        <f t="shared" si="20"/>
        <v/>
      </c>
      <c r="R40" s="29" t="str">
        <f t="shared" ca="1" si="21"/>
        <v/>
      </c>
    </row>
    <row r="41" spans="1:18">
      <c r="A41" s="23" t="str">
        <f t="shared" si="11"/>
        <v/>
      </c>
      <c r="B41" s="23" t="str">
        <f t="shared" si="12"/>
        <v/>
      </c>
      <c r="C41" s="29" t="str">
        <f t="shared" ca="1" si="13"/>
        <v/>
      </c>
      <c r="D41" s="22" t="str">
        <f>IF(K41="","",ИТОГ!S41)</f>
        <v/>
      </c>
      <c r="E41" s="24" t="str">
        <f t="shared" si="14"/>
        <v/>
      </c>
      <c r="F41" s="30" t="str">
        <f t="shared" si="15"/>
        <v/>
      </c>
      <c r="G41" s="25" t="str">
        <f t="shared" si="16"/>
        <v/>
      </c>
      <c r="H41" s="29" t="str">
        <f t="shared" ca="1" si="17"/>
        <v/>
      </c>
      <c r="I41" s="24"/>
      <c r="J41" s="30"/>
      <c r="K41" s="27" t="str">
        <f>IF(ИТОГ!A41=0,"",ИТОГ!A41)</f>
        <v/>
      </c>
      <c r="L41" s="26" t="str">
        <f t="shared" si="18"/>
        <v/>
      </c>
      <c r="M41" s="25" t="str">
        <f>IF(K41="","",ИТОГ!Q41)</f>
        <v/>
      </c>
      <c r="N41" s="28" t="str">
        <f>IF(K41="","",ИТОГ!N41)</f>
        <v/>
      </c>
      <c r="O41" s="30" t="str">
        <f t="shared" si="19"/>
        <v/>
      </c>
      <c r="P41" s="24"/>
      <c r="Q41" s="30" t="str">
        <f t="shared" si="20"/>
        <v/>
      </c>
      <c r="R41" s="29" t="str">
        <f t="shared" ca="1" si="21"/>
        <v/>
      </c>
    </row>
    <row r="42" spans="1:18">
      <c r="A42" s="23" t="str">
        <f t="shared" si="11"/>
        <v/>
      </c>
      <c r="B42" s="23" t="str">
        <f t="shared" si="12"/>
        <v/>
      </c>
      <c r="C42" s="29" t="str">
        <f t="shared" ca="1" si="13"/>
        <v/>
      </c>
      <c r="D42" s="22" t="str">
        <f>IF(K42="","",ИТОГ!S42)</f>
        <v/>
      </c>
      <c r="E42" s="24" t="str">
        <f t="shared" si="14"/>
        <v/>
      </c>
      <c r="F42" s="30" t="str">
        <f t="shared" si="15"/>
        <v/>
      </c>
      <c r="G42" s="25" t="str">
        <f t="shared" si="16"/>
        <v/>
      </c>
      <c r="H42" s="29" t="str">
        <f t="shared" ca="1" si="17"/>
        <v/>
      </c>
      <c r="I42" s="24"/>
      <c r="J42" s="30"/>
      <c r="K42" s="27" t="str">
        <f>IF(ИТОГ!A42=0,"",ИТОГ!A42)</f>
        <v/>
      </c>
      <c r="L42" s="26" t="str">
        <f t="shared" si="18"/>
        <v/>
      </c>
      <c r="M42" s="25" t="str">
        <f>IF(K42="","",ИТОГ!Q42)</f>
        <v/>
      </c>
      <c r="N42" s="28" t="str">
        <f>IF(K42="","",ИТОГ!N42)</f>
        <v/>
      </c>
      <c r="O42" s="30" t="str">
        <f t="shared" si="19"/>
        <v/>
      </c>
      <c r="P42" s="24"/>
      <c r="Q42" s="30" t="str">
        <f t="shared" si="20"/>
        <v/>
      </c>
      <c r="R42" s="29" t="str">
        <f t="shared" ca="1" si="21"/>
        <v/>
      </c>
    </row>
    <row r="43" spans="1:18">
      <c r="A43" s="23" t="str">
        <f t="shared" si="11"/>
        <v/>
      </c>
      <c r="B43" s="23" t="str">
        <f t="shared" si="12"/>
        <v/>
      </c>
      <c r="C43" s="29" t="str">
        <f t="shared" ca="1" si="13"/>
        <v/>
      </c>
      <c r="D43" s="22" t="str">
        <f>IF(K43="","",ИТОГ!S43)</f>
        <v/>
      </c>
      <c r="E43" s="24" t="str">
        <f t="shared" si="14"/>
        <v/>
      </c>
      <c r="F43" s="30" t="str">
        <f t="shared" si="15"/>
        <v/>
      </c>
      <c r="G43" s="25" t="str">
        <f t="shared" si="16"/>
        <v/>
      </c>
      <c r="H43" s="29" t="str">
        <f t="shared" ca="1" si="17"/>
        <v/>
      </c>
      <c r="I43" s="24"/>
      <c r="J43" s="30"/>
      <c r="K43" s="27" t="str">
        <f>IF(ИТОГ!A43=0,"",ИТОГ!A43)</f>
        <v/>
      </c>
      <c r="L43" s="26" t="str">
        <f t="shared" si="18"/>
        <v/>
      </c>
      <c r="M43" s="25" t="str">
        <f>IF(K43="","",ИТОГ!Q43)</f>
        <v/>
      </c>
      <c r="N43" s="28" t="str">
        <f>IF(K43="","",ИТОГ!N43)</f>
        <v/>
      </c>
      <c r="O43" s="30" t="str">
        <f t="shared" si="19"/>
        <v/>
      </c>
      <c r="P43" s="24"/>
      <c r="Q43" s="30" t="str">
        <f t="shared" si="20"/>
        <v/>
      </c>
      <c r="R43" s="29" t="str">
        <f t="shared" ca="1" si="21"/>
        <v/>
      </c>
    </row>
    <row r="44" spans="1:18">
      <c r="A44" s="23" t="str">
        <f t="shared" si="11"/>
        <v/>
      </c>
      <c r="B44" s="23" t="str">
        <f t="shared" si="12"/>
        <v/>
      </c>
      <c r="C44" s="29" t="str">
        <f t="shared" ca="1" si="13"/>
        <v/>
      </c>
      <c r="D44" s="22" t="str">
        <f>IF(K44="","",ИТОГ!S44)</f>
        <v/>
      </c>
      <c r="E44" s="24" t="str">
        <f t="shared" si="14"/>
        <v/>
      </c>
      <c r="F44" s="30" t="str">
        <f t="shared" si="15"/>
        <v/>
      </c>
      <c r="G44" s="25" t="str">
        <f t="shared" si="16"/>
        <v/>
      </c>
      <c r="H44" s="29" t="str">
        <f t="shared" ca="1" si="17"/>
        <v/>
      </c>
      <c r="I44" s="24"/>
      <c r="J44" s="30"/>
      <c r="K44" s="27" t="str">
        <f>IF(ИТОГ!A44=0,"",ИТОГ!A44)</f>
        <v/>
      </c>
      <c r="L44" s="26" t="str">
        <f t="shared" si="18"/>
        <v/>
      </c>
      <c r="M44" s="25" t="str">
        <f>IF(K44="","",ИТОГ!Q44)</f>
        <v/>
      </c>
      <c r="N44" s="28" t="str">
        <f>IF(K44="","",ИТОГ!N44)</f>
        <v/>
      </c>
      <c r="O44" s="30" t="str">
        <f t="shared" si="19"/>
        <v/>
      </c>
      <c r="P44" s="24"/>
      <c r="Q44" s="30" t="str">
        <f t="shared" si="20"/>
        <v/>
      </c>
      <c r="R44" s="29" t="str">
        <f t="shared" ca="1" si="21"/>
        <v/>
      </c>
    </row>
    <row r="45" spans="1:18">
      <c r="A45" s="23" t="str">
        <f t="shared" si="11"/>
        <v/>
      </c>
      <c r="B45" s="23" t="str">
        <f t="shared" si="12"/>
        <v/>
      </c>
      <c r="C45" s="29" t="str">
        <f t="shared" ca="1" si="13"/>
        <v/>
      </c>
      <c r="D45" s="22" t="str">
        <f>IF(K45="","",ИТОГ!S45)</f>
        <v/>
      </c>
      <c r="E45" s="24" t="str">
        <f t="shared" si="14"/>
        <v/>
      </c>
      <c r="F45" s="30" t="str">
        <f t="shared" si="15"/>
        <v/>
      </c>
      <c r="G45" s="25" t="str">
        <f t="shared" si="16"/>
        <v/>
      </c>
      <c r="H45" s="29" t="str">
        <f t="shared" ca="1" si="17"/>
        <v/>
      </c>
      <c r="I45" s="24"/>
      <c r="J45" s="30"/>
      <c r="K45" s="27" t="str">
        <f>IF(ИТОГ!A45=0,"",ИТОГ!A45)</f>
        <v/>
      </c>
      <c r="L45" s="26" t="str">
        <f t="shared" si="18"/>
        <v/>
      </c>
      <c r="M45" s="25" t="str">
        <f>IF(K45="","",ИТОГ!Q45)</f>
        <v/>
      </c>
      <c r="N45" s="28" t="str">
        <f>IF(K45="","",ИТОГ!N45)</f>
        <v/>
      </c>
      <c r="O45" s="30" t="str">
        <f t="shared" si="19"/>
        <v/>
      </c>
      <c r="P45" s="24"/>
      <c r="Q45" s="30" t="str">
        <f t="shared" si="20"/>
        <v/>
      </c>
      <c r="R45" s="29" t="str">
        <f t="shared" ca="1" si="21"/>
        <v/>
      </c>
    </row>
    <row r="46" spans="1:18">
      <c r="A46" s="23" t="str">
        <f t="shared" si="11"/>
        <v/>
      </c>
      <c r="B46" s="23" t="str">
        <f t="shared" si="12"/>
        <v/>
      </c>
      <c r="C46" s="29" t="str">
        <f t="shared" ca="1" si="13"/>
        <v/>
      </c>
      <c r="D46" s="22" t="str">
        <f>IF(K46="","",ИТОГ!S46)</f>
        <v/>
      </c>
      <c r="E46" s="24" t="str">
        <f t="shared" si="14"/>
        <v/>
      </c>
      <c r="F46" s="30" t="str">
        <f t="shared" si="15"/>
        <v/>
      </c>
      <c r="G46" s="25" t="str">
        <f t="shared" si="16"/>
        <v/>
      </c>
      <c r="H46" s="29" t="str">
        <f t="shared" ca="1" si="17"/>
        <v/>
      </c>
      <c r="I46" s="24"/>
      <c r="J46" s="30"/>
      <c r="K46" s="27" t="str">
        <f>IF(ИТОГ!A46=0,"",ИТОГ!A46)</f>
        <v/>
      </c>
      <c r="L46" s="26" t="str">
        <f t="shared" si="18"/>
        <v/>
      </c>
      <c r="M46" s="25" t="str">
        <f>IF(K46="","",ИТОГ!Q46)</f>
        <v/>
      </c>
      <c r="N46" s="28" t="str">
        <f>IF(K46="","",ИТОГ!N46)</f>
        <v/>
      </c>
      <c r="O46" s="30" t="str">
        <f t="shared" si="19"/>
        <v/>
      </c>
      <c r="P46" s="24"/>
      <c r="Q46" s="30" t="str">
        <f t="shared" si="20"/>
        <v/>
      </c>
      <c r="R46" s="29" t="str">
        <f t="shared" ca="1" si="21"/>
        <v/>
      </c>
    </row>
    <row r="47" spans="1:18">
      <c r="A47" s="23" t="str">
        <f t="shared" si="11"/>
        <v/>
      </c>
      <c r="B47" s="23" t="str">
        <f t="shared" si="12"/>
        <v/>
      </c>
      <c r="C47" s="29" t="str">
        <f t="shared" ca="1" si="13"/>
        <v/>
      </c>
      <c r="D47" s="22" t="str">
        <f>IF(K47="","",ИТОГ!S47)</f>
        <v/>
      </c>
      <c r="E47" s="24" t="str">
        <f t="shared" si="14"/>
        <v/>
      </c>
      <c r="F47" s="30" t="str">
        <f t="shared" si="15"/>
        <v/>
      </c>
      <c r="G47" s="25" t="str">
        <f t="shared" si="16"/>
        <v/>
      </c>
      <c r="H47" s="29" t="str">
        <f t="shared" ca="1" si="17"/>
        <v/>
      </c>
      <c r="I47" s="24"/>
      <c r="J47" s="30"/>
      <c r="K47" s="27" t="str">
        <f>IF(ИТОГ!A47=0,"",ИТОГ!A47)</f>
        <v/>
      </c>
      <c r="L47" s="26" t="str">
        <f t="shared" si="18"/>
        <v/>
      </c>
      <c r="M47" s="25" t="str">
        <f>IF(K47="","",ИТОГ!Q47)</f>
        <v/>
      </c>
      <c r="N47" s="28" t="str">
        <f>IF(K47="","",ИТОГ!N47)</f>
        <v/>
      </c>
      <c r="O47" s="30" t="str">
        <f t="shared" si="19"/>
        <v/>
      </c>
      <c r="P47" s="24"/>
      <c r="Q47" s="30" t="str">
        <f t="shared" si="20"/>
        <v/>
      </c>
      <c r="R47" s="29" t="str">
        <f t="shared" ca="1" si="21"/>
        <v/>
      </c>
    </row>
    <row r="48" spans="1:18">
      <c r="A48" s="23" t="str">
        <f t="shared" si="11"/>
        <v/>
      </c>
      <c r="B48" s="23" t="str">
        <f t="shared" si="12"/>
        <v/>
      </c>
      <c r="C48" s="29" t="str">
        <f t="shared" ca="1" si="13"/>
        <v/>
      </c>
      <c r="D48" s="22" t="str">
        <f>IF(K48="","",ИТОГ!S48)</f>
        <v/>
      </c>
      <c r="E48" s="24" t="str">
        <f t="shared" si="14"/>
        <v/>
      </c>
      <c r="F48" s="30" t="str">
        <f t="shared" si="15"/>
        <v/>
      </c>
      <c r="G48" s="25" t="str">
        <f t="shared" si="16"/>
        <v/>
      </c>
      <c r="H48" s="29" t="str">
        <f t="shared" ca="1" si="17"/>
        <v/>
      </c>
      <c r="I48" s="24"/>
      <c r="J48" s="30"/>
      <c r="K48" s="27" t="str">
        <f>IF(ИТОГ!A48=0,"",ИТОГ!A48)</f>
        <v/>
      </c>
      <c r="L48" s="26" t="str">
        <f t="shared" si="18"/>
        <v/>
      </c>
      <c r="M48" s="25" t="str">
        <f>IF(K48="","",ИТОГ!Q48)</f>
        <v/>
      </c>
      <c r="N48" s="28" t="str">
        <f>IF(K48="","",ИТОГ!N48)</f>
        <v/>
      </c>
      <c r="O48" s="30" t="str">
        <f t="shared" si="19"/>
        <v/>
      </c>
      <c r="P48" s="24"/>
      <c r="Q48" s="30" t="str">
        <f t="shared" si="20"/>
        <v/>
      </c>
      <c r="R48" s="29" t="str">
        <f t="shared" ca="1" si="21"/>
        <v/>
      </c>
    </row>
    <row r="49" spans="1:18">
      <c r="A49" s="23" t="str">
        <f t="shared" si="11"/>
        <v/>
      </c>
      <c r="B49" s="23" t="str">
        <f t="shared" si="12"/>
        <v/>
      </c>
      <c r="C49" s="29" t="str">
        <f t="shared" ca="1" si="13"/>
        <v/>
      </c>
      <c r="D49" s="22" t="str">
        <f>IF(K49="","",ИТОГ!S49)</f>
        <v/>
      </c>
      <c r="E49" s="24" t="str">
        <f t="shared" si="14"/>
        <v/>
      </c>
      <c r="F49" s="30" t="str">
        <f t="shared" si="15"/>
        <v/>
      </c>
      <c r="G49" s="25" t="str">
        <f t="shared" si="16"/>
        <v/>
      </c>
      <c r="H49" s="29" t="str">
        <f t="shared" ca="1" si="17"/>
        <v/>
      </c>
      <c r="I49" s="24"/>
      <c r="J49" s="30"/>
      <c r="K49" s="27" t="str">
        <f>IF(ИТОГ!A49=0,"",ИТОГ!A49)</f>
        <v/>
      </c>
      <c r="L49" s="26" t="str">
        <f t="shared" si="18"/>
        <v/>
      </c>
      <c r="M49" s="25" t="str">
        <f>IF(K49="","",ИТОГ!Q49)</f>
        <v/>
      </c>
      <c r="N49" s="28" t="str">
        <f>IF(K49="","",ИТОГ!N49)</f>
        <v/>
      </c>
      <c r="O49" s="30" t="str">
        <f t="shared" si="19"/>
        <v/>
      </c>
      <c r="P49" s="24"/>
      <c r="Q49" s="30" t="str">
        <f t="shared" si="20"/>
        <v/>
      </c>
      <c r="R49" s="29" t="str">
        <f t="shared" ca="1" si="21"/>
        <v/>
      </c>
    </row>
    <row r="50" spans="1:18">
      <c r="A50" s="23" t="str">
        <f t="shared" si="11"/>
        <v/>
      </c>
      <c r="B50" s="23" t="str">
        <f t="shared" si="12"/>
        <v/>
      </c>
      <c r="C50" s="29" t="str">
        <f t="shared" ca="1" si="13"/>
        <v/>
      </c>
      <c r="D50" s="22" t="str">
        <f>IF(K50="","",ИТОГ!S50)</f>
        <v/>
      </c>
      <c r="E50" s="24" t="str">
        <f t="shared" si="14"/>
        <v/>
      </c>
      <c r="F50" s="30" t="str">
        <f t="shared" si="15"/>
        <v/>
      </c>
      <c r="G50" s="25" t="str">
        <f t="shared" si="16"/>
        <v/>
      </c>
      <c r="H50" s="29" t="str">
        <f t="shared" ca="1" si="17"/>
        <v/>
      </c>
      <c r="I50" s="24"/>
      <c r="J50" s="30"/>
      <c r="K50" s="27" t="str">
        <f>IF(ИТОГ!A50=0,"",ИТОГ!A50)</f>
        <v/>
      </c>
      <c r="L50" s="26" t="str">
        <f t="shared" si="18"/>
        <v/>
      </c>
      <c r="M50" s="25" t="str">
        <f>IF(K50="","",ИТОГ!Q50)</f>
        <v/>
      </c>
      <c r="N50" s="28" t="str">
        <f>IF(K50="","",ИТОГ!N50)</f>
        <v/>
      </c>
      <c r="O50" s="30" t="str">
        <f t="shared" si="19"/>
        <v/>
      </c>
      <c r="P50" s="24"/>
      <c r="Q50" s="30" t="str">
        <f t="shared" si="20"/>
        <v/>
      </c>
      <c r="R50" s="29" t="str">
        <f t="shared" ca="1" si="21"/>
        <v/>
      </c>
    </row>
    <row r="51" spans="1:18">
      <c r="A51" s="23" t="str">
        <f t="shared" si="11"/>
        <v/>
      </c>
      <c r="B51" s="23" t="str">
        <f t="shared" si="12"/>
        <v/>
      </c>
      <c r="C51" s="29" t="str">
        <f t="shared" ca="1" si="13"/>
        <v/>
      </c>
      <c r="D51" s="22" t="str">
        <f>IF(K51="","",ИТОГ!S51)</f>
        <v/>
      </c>
      <c r="E51" s="24" t="str">
        <f t="shared" si="14"/>
        <v/>
      </c>
      <c r="F51" s="30" t="str">
        <f t="shared" si="15"/>
        <v/>
      </c>
      <c r="G51" s="25" t="str">
        <f t="shared" si="16"/>
        <v/>
      </c>
      <c r="H51" s="29" t="str">
        <f t="shared" ca="1" si="17"/>
        <v/>
      </c>
      <c r="I51" s="24"/>
      <c r="J51" s="30"/>
      <c r="K51" s="27" t="str">
        <f>IF(ИТОГ!A51=0,"",ИТОГ!A51)</f>
        <v/>
      </c>
      <c r="L51" s="26" t="str">
        <f t="shared" si="18"/>
        <v/>
      </c>
      <c r="M51" s="25" t="str">
        <f>IF(K51="","",ИТОГ!Q51)</f>
        <v/>
      </c>
      <c r="N51" s="28" t="str">
        <f>IF(K51="","",ИТОГ!N51)</f>
        <v/>
      </c>
      <c r="O51" s="30" t="str">
        <f t="shared" si="19"/>
        <v/>
      </c>
      <c r="P51" s="24"/>
      <c r="Q51" s="30" t="str">
        <f t="shared" si="20"/>
        <v/>
      </c>
      <c r="R51" s="29" t="str">
        <f t="shared" ca="1" si="21"/>
        <v/>
      </c>
    </row>
    <row r="52" spans="1:18">
      <c r="A52" s="23" t="str">
        <f t="shared" si="11"/>
        <v/>
      </c>
      <c r="B52" s="23" t="str">
        <f t="shared" si="12"/>
        <v/>
      </c>
      <c r="C52" s="29" t="str">
        <f t="shared" ca="1" si="13"/>
        <v/>
      </c>
      <c r="D52" s="22" t="str">
        <f>IF(K52="","",ИТОГ!S52)</f>
        <v/>
      </c>
      <c r="E52" s="24" t="str">
        <f t="shared" si="14"/>
        <v/>
      </c>
      <c r="F52" s="30" t="str">
        <f t="shared" si="15"/>
        <v/>
      </c>
      <c r="G52" s="25" t="str">
        <f t="shared" si="16"/>
        <v/>
      </c>
      <c r="H52" s="29" t="str">
        <f t="shared" ca="1" si="17"/>
        <v/>
      </c>
      <c r="I52" s="24"/>
      <c r="J52" s="30"/>
      <c r="K52" s="27" t="str">
        <f>IF(ИТОГ!A52=0,"",ИТОГ!A52)</f>
        <v/>
      </c>
      <c r="L52" s="26" t="str">
        <f t="shared" si="18"/>
        <v/>
      </c>
      <c r="M52" s="25" t="str">
        <f>IF(K52="","",ИТОГ!Q52)</f>
        <v/>
      </c>
      <c r="N52" s="28" t="str">
        <f>IF(K52="","",ИТОГ!N52)</f>
        <v/>
      </c>
      <c r="O52" s="30" t="str">
        <f t="shared" si="19"/>
        <v/>
      </c>
      <c r="P52" s="24"/>
      <c r="Q52" s="30" t="str">
        <f t="shared" si="20"/>
        <v/>
      </c>
      <c r="R52" s="29" t="str">
        <f t="shared" ca="1" si="21"/>
        <v/>
      </c>
    </row>
    <row r="53" spans="1:18">
      <c r="A53" s="23" t="str">
        <f t="shared" si="11"/>
        <v/>
      </c>
      <c r="B53" s="23" t="str">
        <f t="shared" si="12"/>
        <v/>
      </c>
      <c r="C53" s="29" t="str">
        <f t="shared" ca="1" si="13"/>
        <v/>
      </c>
      <c r="D53" s="22" t="str">
        <f>IF(K53="","",ИТОГ!S53)</f>
        <v/>
      </c>
      <c r="E53" s="24" t="str">
        <f t="shared" si="14"/>
        <v/>
      </c>
      <c r="F53" s="30" t="str">
        <f t="shared" si="15"/>
        <v/>
      </c>
      <c r="G53" s="25" t="str">
        <f t="shared" si="16"/>
        <v/>
      </c>
      <c r="H53" s="29" t="str">
        <f t="shared" ca="1" si="17"/>
        <v/>
      </c>
      <c r="I53" s="24"/>
      <c r="J53" s="30"/>
      <c r="K53" s="27" t="str">
        <f>IF(ИТОГ!A53=0,"",ИТОГ!A53)</f>
        <v/>
      </c>
      <c r="L53" s="26" t="str">
        <f t="shared" si="18"/>
        <v/>
      </c>
      <c r="M53" s="25" t="str">
        <f>IF(K53="","",ИТОГ!Q53)</f>
        <v/>
      </c>
      <c r="N53" s="28" t="str">
        <f>IF(K53="","",ИТОГ!N53)</f>
        <v/>
      </c>
      <c r="O53" s="30" t="str">
        <f t="shared" si="19"/>
        <v/>
      </c>
      <c r="P53" s="24"/>
      <c r="Q53" s="30" t="str">
        <f t="shared" si="20"/>
        <v/>
      </c>
      <c r="R53" s="29" t="str">
        <f t="shared" ca="1" si="21"/>
        <v/>
      </c>
    </row>
    <row r="54" spans="1:18">
      <c r="A54" s="23" t="str">
        <f t="shared" si="11"/>
        <v/>
      </c>
      <c r="B54" s="23" t="str">
        <f t="shared" si="12"/>
        <v/>
      </c>
      <c r="C54" s="29" t="str">
        <f t="shared" ca="1" si="13"/>
        <v/>
      </c>
      <c r="D54" s="22" t="str">
        <f>IF(K54="","",ИТОГ!S54)</f>
        <v/>
      </c>
      <c r="E54" s="24" t="str">
        <f t="shared" si="14"/>
        <v/>
      </c>
      <c r="F54" s="30" t="str">
        <f t="shared" si="15"/>
        <v/>
      </c>
      <c r="G54" s="25" t="str">
        <f t="shared" si="16"/>
        <v/>
      </c>
      <c r="H54" s="29" t="str">
        <f t="shared" ca="1" si="17"/>
        <v/>
      </c>
      <c r="I54" s="24"/>
      <c r="J54" s="30"/>
      <c r="K54" s="27" t="str">
        <f>IF(ИТОГ!A54=0,"",ИТОГ!A54)</f>
        <v/>
      </c>
      <c r="L54" s="26" t="str">
        <f t="shared" si="18"/>
        <v/>
      </c>
      <c r="M54" s="25" t="str">
        <f>IF(K54="","",ИТОГ!Q54)</f>
        <v/>
      </c>
      <c r="N54" s="28" t="str">
        <f>IF(K54="","",ИТОГ!N54)</f>
        <v/>
      </c>
      <c r="O54" s="30" t="str">
        <f t="shared" si="19"/>
        <v/>
      </c>
      <c r="P54" s="24"/>
      <c r="Q54" s="30" t="str">
        <f t="shared" si="20"/>
        <v/>
      </c>
      <c r="R54" s="29" t="str">
        <f t="shared" ca="1" si="21"/>
        <v/>
      </c>
    </row>
    <row r="55" spans="1:18">
      <c r="A55" s="23" t="str">
        <f t="shared" si="11"/>
        <v/>
      </c>
      <c r="B55" s="23" t="str">
        <f t="shared" si="12"/>
        <v/>
      </c>
      <c r="C55" s="29" t="str">
        <f t="shared" ca="1" si="13"/>
        <v/>
      </c>
      <c r="D55" s="22" t="str">
        <f>IF(K55="","",ИТОГ!S55)</f>
        <v/>
      </c>
      <c r="E55" s="24" t="str">
        <f t="shared" si="14"/>
        <v/>
      </c>
      <c r="F55" s="30" t="str">
        <f t="shared" si="15"/>
        <v/>
      </c>
      <c r="G55" s="25" t="str">
        <f t="shared" si="16"/>
        <v/>
      </c>
      <c r="H55" s="29" t="str">
        <f t="shared" ca="1" si="17"/>
        <v/>
      </c>
      <c r="I55" s="24"/>
      <c r="J55" s="30"/>
      <c r="K55" s="27" t="str">
        <f>IF(ИТОГ!A55=0,"",ИТОГ!A55)</f>
        <v/>
      </c>
      <c r="L55" s="26" t="str">
        <f t="shared" si="18"/>
        <v/>
      </c>
      <c r="M55" s="25" t="str">
        <f>IF(K55="","",ИТОГ!Q55)</f>
        <v/>
      </c>
      <c r="N55" s="28" t="str">
        <f>IF(K55="","",ИТОГ!N55)</f>
        <v/>
      </c>
      <c r="O55" s="30" t="str">
        <f t="shared" si="19"/>
        <v/>
      </c>
      <c r="P55" s="24"/>
      <c r="Q55" s="30" t="str">
        <f t="shared" si="20"/>
        <v/>
      </c>
      <c r="R55" s="29" t="str">
        <f t="shared" ca="1" si="21"/>
        <v/>
      </c>
    </row>
    <row r="56" spans="1:18">
      <c r="A56" s="23" t="str">
        <f t="shared" si="11"/>
        <v/>
      </c>
      <c r="B56" s="23" t="str">
        <f t="shared" si="12"/>
        <v/>
      </c>
      <c r="C56" s="29" t="str">
        <f t="shared" ca="1" si="13"/>
        <v/>
      </c>
      <c r="D56" s="22" t="str">
        <f>IF(K56="","",ИТОГ!S56)</f>
        <v/>
      </c>
      <c r="E56" s="24" t="str">
        <f t="shared" si="14"/>
        <v/>
      </c>
      <c r="F56" s="30" t="str">
        <f t="shared" si="15"/>
        <v/>
      </c>
      <c r="G56" s="25" t="str">
        <f t="shared" si="16"/>
        <v/>
      </c>
      <c r="H56" s="29" t="str">
        <f t="shared" ca="1" si="17"/>
        <v/>
      </c>
      <c r="I56" s="24"/>
      <c r="J56" s="30"/>
      <c r="K56" s="27" t="str">
        <f>IF(ИТОГ!A56=0,"",ИТОГ!A56)</f>
        <v/>
      </c>
      <c r="L56" s="26" t="str">
        <f t="shared" si="18"/>
        <v/>
      </c>
      <c r="M56" s="25" t="str">
        <f>IF(K56="","",ИТОГ!Q56)</f>
        <v/>
      </c>
      <c r="N56" s="28" t="str">
        <f>IF(K56="","",ИТОГ!N56)</f>
        <v/>
      </c>
      <c r="O56" s="30" t="str">
        <f t="shared" si="19"/>
        <v/>
      </c>
      <c r="P56" s="24"/>
      <c r="Q56" s="30" t="str">
        <f t="shared" si="20"/>
        <v/>
      </c>
      <c r="R56" s="29" t="str">
        <f t="shared" ca="1" si="21"/>
        <v/>
      </c>
    </row>
    <row r="57" spans="1:18">
      <c r="A57" s="23" t="str">
        <f t="shared" si="11"/>
        <v/>
      </c>
      <c r="B57" s="23" t="str">
        <f t="shared" si="12"/>
        <v/>
      </c>
      <c r="C57" s="29" t="str">
        <f t="shared" ca="1" si="13"/>
        <v/>
      </c>
      <c r="D57" s="22" t="str">
        <f>IF(K57="","",ИТОГ!S57)</f>
        <v/>
      </c>
      <c r="E57" s="24" t="str">
        <f t="shared" si="14"/>
        <v/>
      </c>
      <c r="F57" s="30" t="str">
        <f t="shared" si="15"/>
        <v/>
      </c>
      <c r="G57" s="25" t="str">
        <f t="shared" si="16"/>
        <v/>
      </c>
      <c r="H57" s="29" t="str">
        <f t="shared" ca="1" si="17"/>
        <v/>
      </c>
      <c r="I57" s="24"/>
      <c r="J57" s="30"/>
      <c r="K57" s="27" t="str">
        <f>IF(ИТОГ!A57=0,"",ИТОГ!A57)</f>
        <v/>
      </c>
      <c r="L57" s="26" t="str">
        <f t="shared" si="18"/>
        <v/>
      </c>
      <c r="M57" s="25" t="str">
        <f>IF(K57="","",ИТОГ!Q57)</f>
        <v/>
      </c>
      <c r="N57" s="28" t="str">
        <f>IF(K57="","",ИТОГ!N57)</f>
        <v/>
      </c>
      <c r="O57" s="30" t="str">
        <f t="shared" si="19"/>
        <v/>
      </c>
      <c r="P57" s="24"/>
      <c r="Q57" s="30" t="str">
        <f t="shared" si="20"/>
        <v/>
      </c>
      <c r="R57" s="29" t="str">
        <f t="shared" ca="1" si="21"/>
        <v/>
      </c>
    </row>
    <row r="58" spans="1:18">
      <c r="A58" s="23" t="str">
        <f t="shared" si="11"/>
        <v/>
      </c>
      <c r="B58" s="23" t="str">
        <f t="shared" si="12"/>
        <v/>
      </c>
      <c r="C58" s="29" t="str">
        <f t="shared" ca="1" si="13"/>
        <v/>
      </c>
      <c r="D58" s="22" t="str">
        <f>IF(K58="","",ИТОГ!S58)</f>
        <v/>
      </c>
      <c r="E58" s="24" t="str">
        <f t="shared" si="14"/>
        <v/>
      </c>
      <c r="F58" s="30" t="str">
        <f t="shared" si="15"/>
        <v/>
      </c>
      <c r="G58" s="25" t="str">
        <f t="shared" si="16"/>
        <v/>
      </c>
      <c r="H58" s="29" t="str">
        <f t="shared" ca="1" si="17"/>
        <v/>
      </c>
      <c r="I58" s="24"/>
      <c r="J58" s="30"/>
      <c r="K58" s="27" t="str">
        <f>IF(ИТОГ!A58=0,"",ИТОГ!A58)</f>
        <v/>
      </c>
      <c r="L58" s="26" t="str">
        <f t="shared" si="18"/>
        <v/>
      </c>
      <c r="M58" s="25" t="str">
        <f>IF(K58="","",ИТОГ!Q58)</f>
        <v/>
      </c>
      <c r="N58" s="28" t="str">
        <f>IF(K58="","",ИТОГ!N58)</f>
        <v/>
      </c>
      <c r="O58" s="30" t="str">
        <f t="shared" si="19"/>
        <v/>
      </c>
      <c r="P58" s="24"/>
      <c r="Q58" s="30" t="str">
        <f t="shared" si="20"/>
        <v/>
      </c>
      <c r="R58" s="29" t="str">
        <f t="shared" ca="1" si="21"/>
        <v/>
      </c>
    </row>
    <row r="59" spans="1:18">
      <c r="A59" s="23" t="str">
        <f t="shared" si="11"/>
        <v/>
      </c>
      <c r="B59" s="23" t="str">
        <f t="shared" si="12"/>
        <v/>
      </c>
      <c r="C59" s="29" t="str">
        <f t="shared" ca="1" si="13"/>
        <v/>
      </c>
      <c r="D59" s="22" t="str">
        <f>IF(K59="","",ИТОГ!S59)</f>
        <v/>
      </c>
      <c r="E59" s="24" t="str">
        <f t="shared" si="14"/>
        <v/>
      </c>
      <c r="F59" s="30" t="str">
        <f t="shared" si="15"/>
        <v/>
      </c>
      <c r="G59" s="25" t="str">
        <f t="shared" si="16"/>
        <v/>
      </c>
      <c r="H59" s="29" t="str">
        <f t="shared" ca="1" si="17"/>
        <v/>
      </c>
      <c r="I59" s="24"/>
      <c r="J59" s="30"/>
      <c r="K59" s="27" t="str">
        <f>IF(ИТОГ!A59=0,"",ИТОГ!A59)</f>
        <v/>
      </c>
      <c r="L59" s="26" t="str">
        <f t="shared" si="18"/>
        <v/>
      </c>
      <c r="M59" s="25" t="str">
        <f>IF(K59="","",ИТОГ!Q59)</f>
        <v/>
      </c>
      <c r="N59" s="28" t="str">
        <f>IF(K59="","",ИТОГ!N59)</f>
        <v/>
      </c>
      <c r="O59" s="30" t="str">
        <f t="shared" si="19"/>
        <v/>
      </c>
      <c r="P59" s="24"/>
      <c r="Q59" s="30" t="str">
        <f t="shared" si="20"/>
        <v/>
      </c>
      <c r="R59" s="29" t="str">
        <f t="shared" ca="1" si="21"/>
        <v/>
      </c>
    </row>
    <row r="60" spans="1:18">
      <c r="A60" s="23" t="str">
        <f t="shared" si="11"/>
        <v/>
      </c>
      <c r="B60" s="23" t="str">
        <f t="shared" si="12"/>
        <v/>
      </c>
      <c r="C60" s="29" t="str">
        <f t="shared" ca="1" si="13"/>
        <v/>
      </c>
      <c r="D60" s="22" t="str">
        <f>IF(K60="","",ИТОГ!S60)</f>
        <v/>
      </c>
      <c r="E60" s="24" t="str">
        <f t="shared" si="14"/>
        <v/>
      </c>
      <c r="F60" s="30" t="str">
        <f t="shared" si="15"/>
        <v/>
      </c>
      <c r="G60" s="25" t="str">
        <f t="shared" si="16"/>
        <v/>
      </c>
      <c r="H60" s="29" t="str">
        <f t="shared" ca="1" si="17"/>
        <v/>
      </c>
      <c r="I60" s="24"/>
      <c r="J60" s="30"/>
      <c r="K60" s="27" t="str">
        <f>IF(ИТОГ!A60=0,"",ИТОГ!A60)</f>
        <v/>
      </c>
      <c r="L60" s="26" t="str">
        <f t="shared" si="18"/>
        <v/>
      </c>
      <c r="M60" s="25" t="str">
        <f>IF(K60="","",ИТОГ!Q60)</f>
        <v/>
      </c>
      <c r="N60" s="28" t="str">
        <f>IF(K60="","",ИТОГ!N60)</f>
        <v/>
      </c>
      <c r="O60" s="30" t="str">
        <f t="shared" si="19"/>
        <v/>
      </c>
      <c r="P60" s="24"/>
      <c r="Q60" s="30" t="str">
        <f t="shared" si="20"/>
        <v/>
      </c>
      <c r="R60" s="29" t="str">
        <f t="shared" ca="1" si="21"/>
        <v/>
      </c>
    </row>
    <row r="61" spans="1:18">
      <c r="A61" s="23" t="str">
        <f t="shared" si="11"/>
        <v/>
      </c>
      <c r="B61" s="23" t="str">
        <f t="shared" si="12"/>
        <v/>
      </c>
      <c r="C61" s="29" t="str">
        <f t="shared" ca="1" si="13"/>
        <v/>
      </c>
      <c r="D61" s="22" t="str">
        <f>IF(K61="","",ИТОГ!S61)</f>
        <v/>
      </c>
      <c r="E61" s="24" t="str">
        <f t="shared" si="14"/>
        <v/>
      </c>
      <c r="F61" s="30" t="str">
        <f t="shared" si="15"/>
        <v/>
      </c>
      <c r="G61" s="25" t="str">
        <f t="shared" si="16"/>
        <v/>
      </c>
      <c r="H61" s="29" t="str">
        <f t="shared" ca="1" si="17"/>
        <v/>
      </c>
      <c r="I61" s="24"/>
      <c r="J61" s="30"/>
      <c r="K61" s="27" t="str">
        <f>IF(ИТОГ!A61=0,"",ИТОГ!A61)</f>
        <v/>
      </c>
      <c r="L61" s="26" t="str">
        <f t="shared" si="18"/>
        <v/>
      </c>
      <c r="M61" s="25" t="str">
        <f>IF(K61="","",ИТОГ!Q61)</f>
        <v/>
      </c>
      <c r="N61" s="28" t="str">
        <f>IF(K61="","",ИТОГ!N61)</f>
        <v/>
      </c>
      <c r="O61" s="30" t="str">
        <f t="shared" si="19"/>
        <v/>
      </c>
      <c r="P61" s="24"/>
      <c r="Q61" s="30" t="str">
        <f t="shared" si="20"/>
        <v/>
      </c>
      <c r="R61" s="29" t="str">
        <f t="shared" ca="1" si="21"/>
        <v/>
      </c>
    </row>
    <row r="62" spans="1:18">
      <c r="A62" s="23" t="str">
        <f t="shared" si="11"/>
        <v/>
      </c>
      <c r="B62" s="23" t="str">
        <f t="shared" si="12"/>
        <v/>
      </c>
      <c r="C62" s="29" t="str">
        <f t="shared" ca="1" si="13"/>
        <v/>
      </c>
      <c r="D62" s="22" t="str">
        <f>IF(K62="","",ИТОГ!S62)</f>
        <v/>
      </c>
      <c r="E62" s="24" t="str">
        <f t="shared" si="14"/>
        <v/>
      </c>
      <c r="F62" s="30" t="str">
        <f t="shared" si="15"/>
        <v/>
      </c>
      <c r="G62" s="25" t="str">
        <f t="shared" si="16"/>
        <v/>
      </c>
      <c r="H62" s="29" t="str">
        <f t="shared" ca="1" si="17"/>
        <v/>
      </c>
      <c r="I62" s="24"/>
      <c r="J62" s="30"/>
      <c r="K62" s="27" t="str">
        <f>IF(ИТОГ!A62=0,"",ИТОГ!A62)</f>
        <v/>
      </c>
      <c r="L62" s="26" t="str">
        <f t="shared" si="18"/>
        <v/>
      </c>
      <c r="M62" s="25" t="str">
        <f>IF(K62="","",ИТОГ!Q62)</f>
        <v/>
      </c>
      <c r="N62" s="28" t="str">
        <f>IF(K62="","",ИТОГ!N62)</f>
        <v/>
      </c>
      <c r="O62" s="30" t="str">
        <f t="shared" si="19"/>
        <v/>
      </c>
      <c r="P62" s="24"/>
      <c r="Q62" s="30" t="str">
        <f t="shared" si="20"/>
        <v/>
      </c>
      <c r="R62" s="29" t="str">
        <f t="shared" ca="1" si="21"/>
        <v/>
      </c>
    </row>
    <row r="63" spans="1:18">
      <c r="A63" s="23" t="str">
        <f t="shared" si="11"/>
        <v/>
      </c>
      <c r="B63" s="23" t="str">
        <f t="shared" si="12"/>
        <v/>
      </c>
      <c r="C63" s="29" t="str">
        <f t="shared" ca="1" si="13"/>
        <v/>
      </c>
      <c r="D63" s="22" t="str">
        <f>IF(K63="","",ИТОГ!S63)</f>
        <v/>
      </c>
      <c r="E63" s="24" t="str">
        <f t="shared" si="14"/>
        <v/>
      </c>
      <c r="F63" s="30" t="str">
        <f t="shared" si="15"/>
        <v/>
      </c>
      <c r="G63" s="25" t="str">
        <f t="shared" si="16"/>
        <v/>
      </c>
      <c r="H63" s="29" t="str">
        <f t="shared" ca="1" si="17"/>
        <v/>
      </c>
      <c r="I63" s="24"/>
      <c r="J63" s="30"/>
      <c r="K63" s="27" t="str">
        <f>IF(ИТОГ!A63=0,"",ИТОГ!A63)</f>
        <v/>
      </c>
      <c r="L63" s="26" t="str">
        <f t="shared" si="18"/>
        <v/>
      </c>
      <c r="M63" s="25" t="str">
        <f>IF(K63="","",ИТОГ!Q63)</f>
        <v/>
      </c>
      <c r="N63" s="28" t="str">
        <f>IF(K63="","",ИТОГ!N63)</f>
        <v/>
      </c>
      <c r="O63" s="30" t="str">
        <f t="shared" si="19"/>
        <v/>
      </c>
      <c r="P63" s="24"/>
      <c r="Q63" s="30" t="str">
        <f t="shared" si="20"/>
        <v/>
      </c>
      <c r="R63" s="29" t="str">
        <f t="shared" ca="1" si="21"/>
        <v/>
      </c>
    </row>
    <row r="64" spans="1:18">
      <c r="A64" s="23" t="str">
        <f t="shared" si="11"/>
        <v/>
      </c>
      <c r="B64" s="23" t="str">
        <f t="shared" si="12"/>
        <v/>
      </c>
      <c r="C64" s="29" t="str">
        <f t="shared" ca="1" si="13"/>
        <v/>
      </c>
      <c r="D64" s="22" t="str">
        <f>IF(K64="","",ИТОГ!S64)</f>
        <v/>
      </c>
      <c r="E64" s="24" t="str">
        <f t="shared" si="14"/>
        <v/>
      </c>
      <c r="F64" s="30" t="str">
        <f t="shared" si="15"/>
        <v/>
      </c>
      <c r="G64" s="25" t="str">
        <f t="shared" si="16"/>
        <v/>
      </c>
      <c r="H64" s="29" t="str">
        <f t="shared" ca="1" si="17"/>
        <v/>
      </c>
      <c r="I64" s="24"/>
      <c r="J64" s="30"/>
      <c r="K64" s="27" t="str">
        <f>IF(ИТОГ!A64=0,"",ИТОГ!A64)</f>
        <v/>
      </c>
      <c r="L64" s="26" t="str">
        <f t="shared" si="18"/>
        <v/>
      </c>
      <c r="M64" s="25" t="str">
        <f>IF(K64="","",ИТОГ!Q64)</f>
        <v/>
      </c>
      <c r="N64" s="28" t="str">
        <f>IF(K64="","",ИТОГ!N64)</f>
        <v/>
      </c>
      <c r="O64" s="30" t="str">
        <f t="shared" si="19"/>
        <v/>
      </c>
      <c r="P64" s="24"/>
      <c r="Q64" s="30" t="str">
        <f t="shared" si="20"/>
        <v/>
      </c>
      <c r="R64" s="29" t="str">
        <f t="shared" ca="1" si="21"/>
        <v/>
      </c>
    </row>
    <row r="65" spans="1:18">
      <c r="A65" s="23" t="str">
        <f t="shared" si="11"/>
        <v/>
      </c>
      <c r="B65" s="23" t="str">
        <f t="shared" si="12"/>
        <v/>
      </c>
      <c r="C65" s="29" t="str">
        <f t="shared" ca="1" si="13"/>
        <v/>
      </c>
      <c r="D65" s="22" t="str">
        <f>IF(K65="","",ИТОГ!S65)</f>
        <v/>
      </c>
      <c r="E65" s="24" t="str">
        <f t="shared" si="14"/>
        <v/>
      </c>
      <c r="F65" s="30" t="str">
        <f t="shared" si="15"/>
        <v/>
      </c>
      <c r="G65" s="25" t="str">
        <f t="shared" si="16"/>
        <v/>
      </c>
      <c r="H65" s="29" t="str">
        <f t="shared" ca="1" si="17"/>
        <v/>
      </c>
      <c r="I65" s="24"/>
      <c r="J65" s="30"/>
      <c r="K65" s="27" t="str">
        <f>IF(ИТОГ!A65=0,"",ИТОГ!A65)</f>
        <v/>
      </c>
      <c r="L65" s="26" t="str">
        <f t="shared" si="18"/>
        <v/>
      </c>
      <c r="M65" s="25" t="str">
        <f>IF(K65="","",ИТОГ!Q65)</f>
        <v/>
      </c>
      <c r="N65" s="28" t="str">
        <f>IF(K65="","",ИТОГ!N65)</f>
        <v/>
      </c>
      <c r="O65" s="30" t="str">
        <f t="shared" si="19"/>
        <v/>
      </c>
      <c r="P65" s="24"/>
      <c r="Q65" s="30" t="str">
        <f t="shared" si="20"/>
        <v/>
      </c>
      <c r="R65" s="29" t="str">
        <f t="shared" ca="1" si="21"/>
        <v/>
      </c>
    </row>
    <row r="66" spans="1:18">
      <c r="A66" s="23" t="str">
        <f t="shared" si="11"/>
        <v/>
      </c>
      <c r="B66" s="23" t="str">
        <f t="shared" si="12"/>
        <v/>
      </c>
      <c r="C66" s="29" t="str">
        <f t="shared" ca="1" si="13"/>
        <v/>
      </c>
      <c r="D66" s="22" t="str">
        <f>IF(K66="","",ИТОГ!S66)</f>
        <v/>
      </c>
      <c r="E66" s="24" t="str">
        <f t="shared" si="14"/>
        <v/>
      </c>
      <c r="F66" s="30" t="str">
        <f t="shared" si="15"/>
        <v/>
      </c>
      <c r="G66" s="25" t="str">
        <f t="shared" si="16"/>
        <v/>
      </c>
      <c r="H66" s="29" t="str">
        <f t="shared" ca="1" si="17"/>
        <v/>
      </c>
      <c r="I66" s="24"/>
      <c r="J66" s="30"/>
      <c r="K66" s="27" t="str">
        <f>IF(ИТОГ!A66=0,"",ИТОГ!A66)</f>
        <v/>
      </c>
      <c r="L66" s="26" t="str">
        <f t="shared" si="18"/>
        <v/>
      </c>
      <c r="M66" s="25" t="str">
        <f>IF(K66="","",ИТОГ!Q66)</f>
        <v/>
      </c>
      <c r="N66" s="28" t="str">
        <f>IF(K66="","",ИТОГ!N66)</f>
        <v/>
      </c>
      <c r="O66" s="30" t="str">
        <f t="shared" si="19"/>
        <v/>
      </c>
      <c r="P66" s="24"/>
      <c r="Q66" s="30" t="str">
        <f t="shared" si="20"/>
        <v/>
      </c>
      <c r="R66" s="29" t="str">
        <f t="shared" ca="1" si="21"/>
        <v/>
      </c>
    </row>
    <row r="67" spans="1:18">
      <c r="A67" s="23" t="str">
        <f t="shared" si="11"/>
        <v/>
      </c>
      <c r="B67" s="23" t="str">
        <f t="shared" si="12"/>
        <v/>
      </c>
      <c r="C67" s="29" t="str">
        <f t="shared" ca="1" si="13"/>
        <v/>
      </c>
      <c r="D67" s="22" t="str">
        <f>IF(K67="","",ИТОГ!S67)</f>
        <v/>
      </c>
      <c r="E67" s="24" t="str">
        <f t="shared" si="14"/>
        <v/>
      </c>
      <c r="F67" s="30" t="str">
        <f t="shared" si="15"/>
        <v/>
      </c>
      <c r="G67" s="25" t="str">
        <f t="shared" si="16"/>
        <v/>
      </c>
      <c r="H67" s="29" t="str">
        <f t="shared" ca="1" si="17"/>
        <v/>
      </c>
      <c r="I67" s="24"/>
      <c r="J67" s="30"/>
      <c r="K67" s="27" t="str">
        <f>IF(ИТОГ!A67=0,"",ИТОГ!A67)</f>
        <v/>
      </c>
      <c r="L67" s="26" t="str">
        <f t="shared" si="18"/>
        <v/>
      </c>
      <c r="M67" s="25" t="str">
        <f>IF(K67="","",ИТОГ!Q67)</f>
        <v/>
      </c>
      <c r="N67" s="28" t="str">
        <f>IF(K67="","",ИТОГ!N67)</f>
        <v/>
      </c>
      <c r="O67" s="30" t="str">
        <f t="shared" si="19"/>
        <v/>
      </c>
      <c r="P67" s="24"/>
      <c r="Q67" s="30" t="str">
        <f t="shared" si="20"/>
        <v/>
      </c>
      <c r="R67" s="29" t="str">
        <f t="shared" ca="1" si="21"/>
        <v/>
      </c>
    </row>
    <row r="68" spans="1:18">
      <c r="A68" s="23" t="str">
        <f t="shared" si="11"/>
        <v/>
      </c>
      <c r="B68" s="23" t="str">
        <f t="shared" si="12"/>
        <v/>
      </c>
      <c r="C68" s="29" t="str">
        <f t="shared" ca="1" si="13"/>
        <v/>
      </c>
      <c r="D68" s="22" t="str">
        <f>IF(K68="","",ИТОГ!S68)</f>
        <v/>
      </c>
      <c r="E68" s="24" t="str">
        <f t="shared" si="14"/>
        <v/>
      </c>
      <c r="F68" s="30" t="str">
        <f t="shared" si="15"/>
        <v/>
      </c>
      <c r="G68" s="25" t="str">
        <f t="shared" si="16"/>
        <v/>
      </c>
      <c r="H68" s="29" t="str">
        <f t="shared" ca="1" si="17"/>
        <v/>
      </c>
      <c r="I68" s="24"/>
      <c r="J68" s="30"/>
      <c r="K68" s="27" t="str">
        <f>IF(ИТОГ!A68=0,"",ИТОГ!A68)</f>
        <v/>
      </c>
      <c r="L68" s="26" t="str">
        <f t="shared" si="18"/>
        <v/>
      </c>
      <c r="M68" s="25" t="str">
        <f>IF(K68="","",ИТОГ!Q68)</f>
        <v/>
      </c>
      <c r="N68" s="28" t="str">
        <f>IF(K68="","",ИТОГ!N68)</f>
        <v/>
      </c>
      <c r="O68" s="30" t="str">
        <f t="shared" si="19"/>
        <v/>
      </c>
      <c r="P68" s="24"/>
      <c r="Q68" s="30" t="str">
        <f t="shared" si="20"/>
        <v/>
      </c>
      <c r="R68" s="29" t="str">
        <f t="shared" ca="1" si="21"/>
        <v/>
      </c>
    </row>
    <row r="69" spans="1:18">
      <c r="A69" s="23" t="str">
        <f t="shared" si="11"/>
        <v/>
      </c>
      <c r="B69" s="23" t="str">
        <f t="shared" si="12"/>
        <v/>
      </c>
      <c r="C69" s="29" t="str">
        <f t="shared" ca="1" si="13"/>
        <v/>
      </c>
      <c r="D69" s="22" t="str">
        <f>IF(K69="","",ИТОГ!S69)</f>
        <v/>
      </c>
      <c r="E69" s="24" t="str">
        <f t="shared" si="14"/>
        <v/>
      </c>
      <c r="F69" s="30" t="str">
        <f t="shared" si="15"/>
        <v/>
      </c>
      <c r="G69" s="25" t="str">
        <f t="shared" si="16"/>
        <v/>
      </c>
      <c r="H69" s="29" t="str">
        <f t="shared" ca="1" si="17"/>
        <v/>
      </c>
      <c r="I69" s="24"/>
      <c r="J69" s="30"/>
      <c r="K69" s="27" t="str">
        <f>IF(ИТОГ!A69=0,"",ИТОГ!A69)</f>
        <v/>
      </c>
      <c r="L69" s="26" t="str">
        <f t="shared" si="18"/>
        <v/>
      </c>
      <c r="M69" s="25" t="str">
        <f>IF(K69="","",ИТОГ!Q69)</f>
        <v/>
      </c>
      <c r="N69" s="28" t="str">
        <f>IF(K69="","",ИТОГ!N69)</f>
        <v/>
      </c>
      <c r="O69" s="30" t="str">
        <f t="shared" si="19"/>
        <v/>
      </c>
      <c r="P69" s="24"/>
      <c r="Q69" s="30" t="str">
        <f t="shared" si="20"/>
        <v/>
      </c>
      <c r="R69" s="29" t="str">
        <f t="shared" ca="1" si="21"/>
        <v/>
      </c>
    </row>
    <row r="70" spans="1:18">
      <c r="A70" s="23" t="str">
        <f t="shared" si="11"/>
        <v/>
      </c>
      <c r="B70" s="23" t="str">
        <f t="shared" si="12"/>
        <v/>
      </c>
      <c r="C70" s="29" t="str">
        <f t="shared" ca="1" si="13"/>
        <v/>
      </c>
      <c r="D70" s="22" t="str">
        <f>IF(K70="","",ИТОГ!S70)</f>
        <v/>
      </c>
      <c r="E70" s="24" t="str">
        <f t="shared" si="14"/>
        <v/>
      </c>
      <c r="F70" s="30" t="str">
        <f t="shared" si="15"/>
        <v/>
      </c>
      <c r="G70" s="25" t="str">
        <f t="shared" si="16"/>
        <v/>
      </c>
      <c r="H70" s="29" t="str">
        <f t="shared" ca="1" si="17"/>
        <v/>
      </c>
      <c r="I70" s="24"/>
      <c r="J70" s="30"/>
      <c r="K70" s="27" t="str">
        <f>IF(ИТОГ!A70=0,"",ИТОГ!A70)</f>
        <v/>
      </c>
      <c r="L70" s="26" t="str">
        <f t="shared" si="18"/>
        <v/>
      </c>
      <c r="M70" s="25" t="str">
        <f>IF(K70="","",ИТОГ!Q70)</f>
        <v/>
      </c>
      <c r="N70" s="28" t="str">
        <f>IF(K70="","",ИТОГ!N70)</f>
        <v/>
      </c>
      <c r="O70" s="30" t="str">
        <f t="shared" si="19"/>
        <v/>
      </c>
      <c r="P70" s="24"/>
      <c r="Q70" s="30" t="str">
        <f t="shared" si="20"/>
        <v/>
      </c>
      <c r="R70" s="29" t="str">
        <f t="shared" ca="1" si="21"/>
        <v/>
      </c>
    </row>
    <row r="71" spans="1:18">
      <c r="A71" s="23" t="str">
        <f t="shared" si="11"/>
        <v/>
      </c>
      <c r="B71" s="23" t="str">
        <f t="shared" si="12"/>
        <v/>
      </c>
      <c r="C71" s="29" t="str">
        <f t="shared" ca="1" si="13"/>
        <v/>
      </c>
      <c r="D71" s="22" t="str">
        <f>IF(K71="","",ИТОГ!S71)</f>
        <v/>
      </c>
      <c r="E71" s="24" t="str">
        <f t="shared" si="14"/>
        <v/>
      </c>
      <c r="F71" s="30" t="str">
        <f t="shared" si="15"/>
        <v/>
      </c>
      <c r="G71" s="25" t="str">
        <f t="shared" si="16"/>
        <v/>
      </c>
      <c r="H71" s="29" t="str">
        <f t="shared" ca="1" si="17"/>
        <v/>
      </c>
      <c r="I71" s="24"/>
      <c r="J71" s="30"/>
      <c r="K71" s="27" t="str">
        <f>IF(ИТОГ!A71=0,"",ИТОГ!A71)</f>
        <v/>
      </c>
      <c r="L71" s="26" t="str">
        <f t="shared" si="18"/>
        <v/>
      </c>
      <c r="M71" s="25" t="str">
        <f>IF(K71="","",ИТОГ!Q71)</f>
        <v/>
      </c>
      <c r="N71" s="28" t="str">
        <f>IF(K71="","",ИТОГ!N71)</f>
        <v/>
      </c>
      <c r="O71" s="30" t="str">
        <f t="shared" si="19"/>
        <v/>
      </c>
      <c r="P71" s="24"/>
      <c r="Q71" s="30" t="str">
        <f t="shared" si="20"/>
        <v/>
      </c>
      <c r="R71" s="29" t="str">
        <f t="shared" ca="1" si="21"/>
        <v/>
      </c>
    </row>
    <row r="72" spans="1:18">
      <c r="A72" s="23" t="str">
        <f t="shared" si="11"/>
        <v/>
      </c>
      <c r="B72" s="23" t="str">
        <f t="shared" si="12"/>
        <v/>
      </c>
      <c r="C72" s="29" t="str">
        <f t="shared" ca="1" si="13"/>
        <v/>
      </c>
      <c r="D72" s="22" t="str">
        <f>IF(K72="","",ИТОГ!S72)</f>
        <v/>
      </c>
      <c r="E72" s="24" t="str">
        <f t="shared" si="14"/>
        <v/>
      </c>
      <c r="F72" s="30" t="str">
        <f t="shared" si="15"/>
        <v/>
      </c>
      <c r="G72" s="25" t="str">
        <f t="shared" si="16"/>
        <v/>
      </c>
      <c r="H72" s="29" t="str">
        <f t="shared" ca="1" si="17"/>
        <v/>
      </c>
      <c r="I72" s="24"/>
      <c r="J72" s="30"/>
      <c r="K72" s="27" t="str">
        <f>IF(ИТОГ!A72=0,"",ИТОГ!A72)</f>
        <v/>
      </c>
      <c r="L72" s="26" t="str">
        <f t="shared" si="18"/>
        <v/>
      </c>
      <c r="M72" s="25" t="str">
        <f>IF(K72="","",ИТОГ!Q72)</f>
        <v/>
      </c>
      <c r="N72" s="28" t="str">
        <f>IF(K72="","",ИТОГ!N72)</f>
        <v/>
      </c>
      <c r="O72" s="30" t="str">
        <f t="shared" si="19"/>
        <v/>
      </c>
      <c r="P72" s="24"/>
      <c r="Q72" s="30" t="str">
        <f t="shared" si="20"/>
        <v/>
      </c>
      <c r="R72" s="29" t="str">
        <f t="shared" ca="1" si="21"/>
        <v/>
      </c>
    </row>
    <row r="73" spans="1:18">
      <c r="A73" s="23" t="str">
        <f t="shared" si="11"/>
        <v/>
      </c>
      <c r="B73" s="23" t="str">
        <f t="shared" si="12"/>
        <v/>
      </c>
      <c r="C73" s="29" t="str">
        <f t="shared" ca="1" si="13"/>
        <v/>
      </c>
      <c r="D73" s="22" t="str">
        <f>IF(K73="","",ИТОГ!S73)</f>
        <v/>
      </c>
      <c r="E73" s="24" t="str">
        <f t="shared" si="14"/>
        <v/>
      </c>
      <c r="F73" s="30" t="str">
        <f t="shared" si="15"/>
        <v/>
      </c>
      <c r="G73" s="25" t="str">
        <f t="shared" si="16"/>
        <v/>
      </c>
      <c r="H73" s="29" t="str">
        <f t="shared" ca="1" si="17"/>
        <v/>
      </c>
      <c r="I73" s="24"/>
      <c r="J73" s="30"/>
      <c r="K73" s="27" t="str">
        <f>IF(ИТОГ!A73=0,"",ИТОГ!A73)</f>
        <v/>
      </c>
      <c r="L73" s="26" t="str">
        <f t="shared" si="18"/>
        <v/>
      </c>
      <c r="M73" s="25" t="str">
        <f>IF(K73="","",ИТОГ!Q73)</f>
        <v/>
      </c>
      <c r="N73" s="28" t="str">
        <f>IF(K73="","",ИТОГ!N73)</f>
        <v/>
      </c>
      <c r="O73" s="30" t="str">
        <f t="shared" si="19"/>
        <v/>
      </c>
      <c r="P73" s="24"/>
      <c r="Q73" s="30" t="str">
        <f t="shared" si="20"/>
        <v/>
      </c>
      <c r="R73" s="29" t="str">
        <f t="shared" ca="1" si="21"/>
        <v/>
      </c>
    </row>
    <row r="74" spans="1:18">
      <c r="A74" s="23" t="str">
        <f t="shared" si="11"/>
        <v/>
      </c>
      <c r="B74" s="23" t="str">
        <f t="shared" si="12"/>
        <v/>
      </c>
      <c r="C74" s="29" t="str">
        <f t="shared" ca="1" si="13"/>
        <v/>
      </c>
      <c r="D74" s="22" t="str">
        <f>IF(K74="","",ИТОГ!S74)</f>
        <v/>
      </c>
      <c r="E74" s="24" t="str">
        <f t="shared" si="14"/>
        <v/>
      </c>
      <c r="F74" s="30" t="str">
        <f t="shared" si="15"/>
        <v/>
      </c>
      <c r="G74" s="25" t="str">
        <f t="shared" si="16"/>
        <v/>
      </c>
      <c r="H74" s="29" t="str">
        <f t="shared" ca="1" si="17"/>
        <v/>
      </c>
      <c r="I74" s="24"/>
      <c r="J74" s="30"/>
      <c r="K74" s="27" t="str">
        <f>IF(ИТОГ!A74=0,"",ИТОГ!A74)</f>
        <v/>
      </c>
      <c r="L74" s="26" t="str">
        <f t="shared" si="18"/>
        <v/>
      </c>
      <c r="M74" s="25" t="str">
        <f>IF(K74="","",ИТОГ!Q74)</f>
        <v/>
      </c>
      <c r="N74" s="28" t="str">
        <f>IF(K74="","",ИТОГ!N74)</f>
        <v/>
      </c>
      <c r="O74" s="30" t="str">
        <f t="shared" si="19"/>
        <v/>
      </c>
      <c r="P74" s="24"/>
      <c r="Q74" s="30" t="str">
        <f t="shared" si="20"/>
        <v/>
      </c>
      <c r="R74" s="29" t="str">
        <f t="shared" ca="1" si="21"/>
        <v/>
      </c>
    </row>
    <row r="75" spans="1:18">
      <c r="A75" s="23" t="str">
        <f t="shared" si="11"/>
        <v/>
      </c>
      <c r="B75" s="23" t="str">
        <f t="shared" si="12"/>
        <v/>
      </c>
      <c r="C75" s="29" t="str">
        <f t="shared" ca="1" si="13"/>
        <v/>
      </c>
      <c r="D75" s="22" t="str">
        <f>IF(K75="","",ИТОГ!S75)</f>
        <v/>
      </c>
      <c r="E75" s="24" t="str">
        <f t="shared" si="14"/>
        <v/>
      </c>
      <c r="F75" s="30" t="str">
        <f t="shared" si="15"/>
        <v/>
      </c>
      <c r="G75" s="25" t="str">
        <f t="shared" si="16"/>
        <v/>
      </c>
      <c r="H75" s="29" t="str">
        <f t="shared" ca="1" si="17"/>
        <v/>
      </c>
      <c r="I75" s="24"/>
      <c r="J75" s="30"/>
      <c r="K75" s="27" t="str">
        <f>IF(ИТОГ!A75=0,"",ИТОГ!A75)</f>
        <v/>
      </c>
      <c r="L75" s="26" t="str">
        <f t="shared" si="18"/>
        <v/>
      </c>
      <c r="M75" s="25" t="str">
        <f>IF(K75="","",ИТОГ!Q75)</f>
        <v/>
      </c>
      <c r="N75" s="28" t="str">
        <f>IF(K75="","",ИТОГ!N75)</f>
        <v/>
      </c>
      <c r="O75" s="30" t="str">
        <f t="shared" si="19"/>
        <v/>
      </c>
      <c r="P75" s="24"/>
      <c r="Q75" s="30" t="str">
        <f t="shared" si="20"/>
        <v/>
      </c>
      <c r="R75" s="29" t="str">
        <f t="shared" ca="1" si="21"/>
        <v/>
      </c>
    </row>
    <row r="76" spans="1:18">
      <c r="A76" s="23" t="str">
        <f t="shared" si="11"/>
        <v/>
      </c>
      <c r="B76" s="23" t="str">
        <f t="shared" si="12"/>
        <v/>
      </c>
      <c r="C76" s="29" t="str">
        <f t="shared" ca="1" si="13"/>
        <v/>
      </c>
      <c r="D76" s="22" t="str">
        <f>IF(K76="","",ИТОГ!S76)</f>
        <v/>
      </c>
      <c r="E76" s="24" t="str">
        <f t="shared" si="14"/>
        <v/>
      </c>
      <c r="F76" s="30" t="str">
        <f t="shared" si="15"/>
        <v/>
      </c>
      <c r="G76" s="25" t="str">
        <f t="shared" si="16"/>
        <v/>
      </c>
      <c r="H76" s="29" t="str">
        <f t="shared" ca="1" si="17"/>
        <v/>
      </c>
      <c r="I76" s="24"/>
      <c r="J76" s="30"/>
      <c r="K76" s="27" t="str">
        <f>IF(ИТОГ!A76=0,"",ИТОГ!A76)</f>
        <v/>
      </c>
      <c r="L76" s="26" t="str">
        <f t="shared" si="18"/>
        <v/>
      </c>
      <c r="M76" s="25" t="str">
        <f>IF(K76="","",ИТОГ!Q76)</f>
        <v/>
      </c>
      <c r="N76" s="28" t="str">
        <f>IF(K76="","",ИТОГ!N76)</f>
        <v/>
      </c>
      <c r="O76" s="30" t="str">
        <f t="shared" si="19"/>
        <v/>
      </c>
      <c r="P76" s="24"/>
      <c r="Q76" s="30" t="str">
        <f t="shared" si="20"/>
        <v/>
      </c>
      <c r="R76" s="29" t="str">
        <f t="shared" ca="1" si="21"/>
        <v/>
      </c>
    </row>
    <row r="77" spans="1:18">
      <c r="A77" s="23" t="str">
        <f t="shared" si="11"/>
        <v/>
      </c>
      <c r="B77" s="23" t="str">
        <f t="shared" si="12"/>
        <v/>
      </c>
      <c r="C77" s="29" t="str">
        <f t="shared" ca="1" si="13"/>
        <v/>
      </c>
      <c r="D77" s="22" t="str">
        <f>IF(K77="","",ИТОГ!S77)</f>
        <v/>
      </c>
      <c r="E77" s="24" t="str">
        <f t="shared" si="14"/>
        <v/>
      </c>
      <c r="F77" s="30" t="str">
        <f t="shared" si="15"/>
        <v/>
      </c>
      <c r="G77" s="25" t="str">
        <f t="shared" si="16"/>
        <v/>
      </c>
      <c r="H77" s="29" t="str">
        <f t="shared" ca="1" si="17"/>
        <v/>
      </c>
      <c r="I77" s="24"/>
      <c r="J77" s="30"/>
      <c r="K77" s="27" t="str">
        <f>IF(ИТОГ!A77=0,"",ИТОГ!A77)</f>
        <v/>
      </c>
      <c r="L77" s="26" t="str">
        <f t="shared" si="18"/>
        <v/>
      </c>
      <c r="M77" s="25" t="str">
        <f>IF(K77="","",ИТОГ!Q77)</f>
        <v/>
      </c>
      <c r="N77" s="28" t="str">
        <f>IF(K77="","",ИТОГ!N77)</f>
        <v/>
      </c>
      <c r="O77" s="30" t="str">
        <f t="shared" si="19"/>
        <v/>
      </c>
      <c r="P77" s="24"/>
      <c r="Q77" s="30" t="str">
        <f t="shared" si="20"/>
        <v/>
      </c>
      <c r="R77" s="29" t="str">
        <f t="shared" ca="1" si="21"/>
        <v/>
      </c>
    </row>
    <row r="78" spans="1:18">
      <c r="A78" s="23" t="str">
        <f t="shared" si="11"/>
        <v/>
      </c>
      <c r="B78" s="23" t="str">
        <f t="shared" si="12"/>
        <v/>
      </c>
      <c r="C78" s="29" t="str">
        <f t="shared" ca="1" si="13"/>
        <v/>
      </c>
      <c r="D78" s="22" t="str">
        <f>IF(K78="","",ИТОГ!S78)</f>
        <v/>
      </c>
      <c r="E78" s="24" t="str">
        <f t="shared" si="14"/>
        <v/>
      </c>
      <c r="F78" s="30" t="str">
        <f t="shared" si="15"/>
        <v/>
      </c>
      <c r="G78" s="25" t="str">
        <f t="shared" si="16"/>
        <v/>
      </c>
      <c r="H78" s="29" t="str">
        <f t="shared" ca="1" si="17"/>
        <v/>
      </c>
      <c r="I78" s="24"/>
      <c r="J78" s="30"/>
      <c r="K78" s="27" t="str">
        <f>IF(ИТОГ!A78=0,"",ИТОГ!A78)</f>
        <v/>
      </c>
      <c r="L78" s="26" t="str">
        <f t="shared" si="18"/>
        <v/>
      </c>
      <c r="M78" s="25" t="str">
        <f>IF(K78="","",ИТОГ!Q78)</f>
        <v/>
      </c>
      <c r="N78" s="28" t="str">
        <f>IF(K78="","",ИТОГ!N78)</f>
        <v/>
      </c>
      <c r="O78" s="30" t="str">
        <f t="shared" si="19"/>
        <v/>
      </c>
      <c r="P78" s="24"/>
      <c r="Q78" s="30" t="str">
        <f t="shared" si="20"/>
        <v/>
      </c>
      <c r="R78" s="29" t="str">
        <f t="shared" ca="1" si="21"/>
        <v/>
      </c>
    </row>
    <row r="79" spans="1:18">
      <c r="A79" s="23" t="str">
        <f t="shared" si="11"/>
        <v/>
      </c>
      <c r="B79" s="23" t="str">
        <f t="shared" si="12"/>
        <v/>
      </c>
      <c r="C79" s="29" t="str">
        <f t="shared" ca="1" si="13"/>
        <v/>
      </c>
      <c r="D79" s="22" t="str">
        <f>IF(K79="","",ИТОГ!S79)</f>
        <v/>
      </c>
      <c r="E79" s="24" t="str">
        <f t="shared" si="14"/>
        <v/>
      </c>
      <c r="F79" s="30" t="str">
        <f t="shared" si="15"/>
        <v/>
      </c>
      <c r="G79" s="25" t="str">
        <f t="shared" si="16"/>
        <v/>
      </c>
      <c r="H79" s="29" t="str">
        <f t="shared" ca="1" si="17"/>
        <v/>
      </c>
      <c r="I79" s="24"/>
      <c r="J79" s="30"/>
      <c r="K79" s="27" t="str">
        <f>IF(ИТОГ!A79=0,"",ИТОГ!A79)</f>
        <v/>
      </c>
      <c r="L79" s="26" t="str">
        <f t="shared" si="18"/>
        <v/>
      </c>
      <c r="M79" s="25" t="str">
        <f>IF(K79="","",ИТОГ!Q79)</f>
        <v/>
      </c>
      <c r="N79" s="28" t="str">
        <f>IF(K79="","",ИТОГ!N79)</f>
        <v/>
      </c>
      <c r="O79" s="30" t="str">
        <f t="shared" si="19"/>
        <v/>
      </c>
      <c r="P79" s="24"/>
      <c r="Q79" s="30" t="str">
        <f t="shared" si="20"/>
        <v/>
      </c>
      <c r="R79" s="29" t="str">
        <f t="shared" ca="1" si="21"/>
        <v/>
      </c>
    </row>
    <row r="80" spans="1:18">
      <c r="A80" s="23" t="str">
        <f t="shared" si="11"/>
        <v/>
      </c>
      <c r="B80" s="23" t="str">
        <f t="shared" si="12"/>
        <v/>
      </c>
      <c r="C80" s="29" t="str">
        <f t="shared" ca="1" si="13"/>
        <v/>
      </c>
      <c r="D80" s="22" t="str">
        <f>IF(K80="","",ИТОГ!S80)</f>
        <v/>
      </c>
      <c r="E80" s="24" t="str">
        <f t="shared" si="14"/>
        <v/>
      </c>
      <c r="F80" s="30" t="str">
        <f t="shared" si="15"/>
        <v/>
      </c>
      <c r="G80" s="25" t="str">
        <f t="shared" si="16"/>
        <v/>
      </c>
      <c r="H80" s="29" t="str">
        <f t="shared" ca="1" si="17"/>
        <v/>
      </c>
      <c r="I80" s="24"/>
      <c r="J80" s="30"/>
      <c r="K80" s="27" t="str">
        <f>IF(ИТОГ!A80=0,"",ИТОГ!A80)</f>
        <v/>
      </c>
      <c r="L80" s="26" t="str">
        <f t="shared" si="18"/>
        <v/>
      </c>
      <c r="M80" s="25" t="str">
        <f>IF(K80="","",ИТОГ!Q80)</f>
        <v/>
      </c>
      <c r="N80" s="28" t="str">
        <f>IF(K80="","",ИТОГ!N80)</f>
        <v/>
      </c>
      <c r="O80" s="30" t="str">
        <f t="shared" si="19"/>
        <v/>
      </c>
      <c r="P80" s="24"/>
      <c r="Q80" s="30" t="str">
        <f t="shared" si="20"/>
        <v/>
      </c>
      <c r="R80" s="29" t="str">
        <f t="shared" ca="1" si="21"/>
        <v/>
      </c>
    </row>
    <row r="81" spans="1:18">
      <c r="A81" s="23" t="str">
        <f t="shared" si="11"/>
        <v/>
      </c>
      <c r="B81" s="23" t="str">
        <f t="shared" si="12"/>
        <v/>
      </c>
      <c r="C81" s="29" t="str">
        <f t="shared" ca="1" si="13"/>
        <v/>
      </c>
      <c r="D81" s="22" t="str">
        <f>IF(K81="","",ИТОГ!S81)</f>
        <v/>
      </c>
      <c r="E81" s="24" t="str">
        <f t="shared" si="14"/>
        <v/>
      </c>
      <c r="F81" s="30" t="str">
        <f t="shared" si="15"/>
        <v/>
      </c>
      <c r="G81" s="25" t="str">
        <f t="shared" si="16"/>
        <v/>
      </c>
      <c r="H81" s="29" t="str">
        <f t="shared" ca="1" si="17"/>
        <v/>
      </c>
      <c r="I81" s="24"/>
      <c r="J81" s="30"/>
      <c r="K81" s="27" t="str">
        <f>IF(ИТОГ!A81=0,"",ИТОГ!A81)</f>
        <v/>
      </c>
      <c r="L81" s="26" t="str">
        <f t="shared" si="18"/>
        <v/>
      </c>
      <c r="M81" s="25" t="str">
        <f>IF(K81="","",ИТОГ!Q81)</f>
        <v/>
      </c>
      <c r="N81" s="28" t="str">
        <f>IF(K81="","",ИТОГ!N81)</f>
        <v/>
      </c>
      <c r="O81" s="30" t="str">
        <f t="shared" si="19"/>
        <v/>
      </c>
      <c r="P81" s="24"/>
      <c r="Q81" s="30" t="str">
        <f t="shared" si="20"/>
        <v/>
      </c>
      <c r="R81" s="29" t="str">
        <f t="shared" ca="1" si="21"/>
        <v/>
      </c>
    </row>
    <row r="82" spans="1:18">
      <c r="A82" s="23" t="str">
        <f t="shared" si="11"/>
        <v/>
      </c>
      <c r="B82" s="23" t="str">
        <f t="shared" si="12"/>
        <v/>
      </c>
      <c r="C82" s="29" t="str">
        <f t="shared" ca="1" si="13"/>
        <v/>
      </c>
      <c r="D82" s="22" t="str">
        <f>IF(K82="","",ИТОГ!S82)</f>
        <v/>
      </c>
      <c r="E82" s="24" t="str">
        <f t="shared" si="14"/>
        <v/>
      </c>
      <c r="F82" s="30" t="str">
        <f t="shared" si="15"/>
        <v/>
      </c>
      <c r="G82" s="25" t="str">
        <f t="shared" si="16"/>
        <v/>
      </c>
      <c r="H82" s="29" t="str">
        <f t="shared" ca="1" si="17"/>
        <v/>
      </c>
      <c r="I82" s="24"/>
      <c r="J82" s="30"/>
      <c r="K82" s="27" t="str">
        <f>IF(ИТОГ!A82=0,"",ИТОГ!A82)</f>
        <v/>
      </c>
      <c r="L82" s="26" t="str">
        <f t="shared" si="18"/>
        <v/>
      </c>
      <c r="M82" s="25" t="str">
        <f>IF(K82="","",ИТОГ!Q82)</f>
        <v/>
      </c>
      <c r="N82" s="28" t="str">
        <f>IF(K82="","",ИТОГ!N82)</f>
        <v/>
      </c>
      <c r="O82" s="30" t="str">
        <f t="shared" si="19"/>
        <v/>
      </c>
      <c r="P82" s="24"/>
      <c r="Q82" s="30" t="str">
        <f t="shared" si="20"/>
        <v/>
      </c>
      <c r="R82" s="29" t="str">
        <f t="shared" ca="1" si="21"/>
        <v/>
      </c>
    </row>
    <row r="83" spans="1:18">
      <c r="A83" s="23" t="str">
        <f t="shared" si="11"/>
        <v/>
      </c>
      <c r="B83" s="23" t="str">
        <f t="shared" si="12"/>
        <v/>
      </c>
      <c r="C83" s="29" t="str">
        <f t="shared" ca="1" si="13"/>
        <v/>
      </c>
      <c r="D83" s="22" t="str">
        <f>IF(K83="","",ИТОГ!S83)</f>
        <v/>
      </c>
      <c r="E83" s="24" t="str">
        <f t="shared" si="14"/>
        <v/>
      </c>
      <c r="F83" s="30" t="str">
        <f t="shared" si="15"/>
        <v/>
      </c>
      <c r="G83" s="25" t="str">
        <f t="shared" si="16"/>
        <v/>
      </c>
      <c r="H83" s="29" t="str">
        <f t="shared" ca="1" si="17"/>
        <v/>
      </c>
      <c r="I83" s="24"/>
      <c r="J83" s="30"/>
      <c r="K83" s="27" t="str">
        <f>IF(ИТОГ!A83=0,"",ИТОГ!A83)</f>
        <v/>
      </c>
      <c r="L83" s="26" t="str">
        <f t="shared" si="18"/>
        <v/>
      </c>
      <c r="M83" s="25" t="str">
        <f>IF(K83="","",ИТОГ!Q83)</f>
        <v/>
      </c>
      <c r="N83" s="28" t="str">
        <f>IF(K83="","",ИТОГ!N83)</f>
        <v/>
      </c>
      <c r="O83" s="30" t="str">
        <f t="shared" si="19"/>
        <v/>
      </c>
      <c r="P83" s="24"/>
      <c r="Q83" s="30" t="str">
        <f t="shared" si="20"/>
        <v/>
      </c>
      <c r="R83" s="29" t="str">
        <f t="shared" ca="1" si="21"/>
        <v/>
      </c>
    </row>
    <row r="84" spans="1:18">
      <c r="A84" s="23" t="str">
        <f t="shared" si="11"/>
        <v/>
      </c>
      <c r="B84" s="23" t="str">
        <f t="shared" si="12"/>
        <v/>
      </c>
      <c r="C84" s="29" t="str">
        <f t="shared" ca="1" si="13"/>
        <v/>
      </c>
      <c r="D84" s="22" t="str">
        <f>IF(K84="","",ИТОГ!S84)</f>
        <v/>
      </c>
      <c r="E84" s="24" t="str">
        <f t="shared" si="14"/>
        <v/>
      </c>
      <c r="F84" s="30" t="str">
        <f t="shared" si="15"/>
        <v/>
      </c>
      <c r="G84" s="25" t="str">
        <f t="shared" si="16"/>
        <v/>
      </c>
      <c r="H84" s="29" t="str">
        <f t="shared" ca="1" si="17"/>
        <v/>
      </c>
      <c r="I84" s="24"/>
      <c r="J84" s="30"/>
      <c r="K84" s="27" t="str">
        <f>IF(ИТОГ!A84=0,"",ИТОГ!A84)</f>
        <v/>
      </c>
      <c r="L84" s="26" t="str">
        <f t="shared" si="18"/>
        <v/>
      </c>
      <c r="M84" s="25" t="str">
        <f>IF(K84="","",ИТОГ!Q84)</f>
        <v/>
      </c>
      <c r="N84" s="28" t="str">
        <f>IF(K84="","",ИТОГ!N84)</f>
        <v/>
      </c>
      <c r="O84" s="30" t="str">
        <f t="shared" si="19"/>
        <v/>
      </c>
      <c r="P84" s="24"/>
      <c r="Q84" s="30" t="str">
        <f t="shared" si="20"/>
        <v/>
      </c>
      <c r="R84" s="29" t="str">
        <f t="shared" ca="1" si="21"/>
        <v/>
      </c>
    </row>
    <row r="85" spans="1:18">
      <c r="A85" s="23" t="str">
        <f t="shared" si="11"/>
        <v/>
      </c>
      <c r="B85" s="23" t="str">
        <f t="shared" si="12"/>
        <v/>
      </c>
      <c r="C85" s="29" t="str">
        <f t="shared" ca="1" si="13"/>
        <v/>
      </c>
      <c r="D85" s="22" t="str">
        <f>IF(K85="","",ИТОГ!S85)</f>
        <v/>
      </c>
      <c r="E85" s="24" t="str">
        <f t="shared" si="14"/>
        <v/>
      </c>
      <c r="F85" s="30" t="str">
        <f t="shared" si="15"/>
        <v/>
      </c>
      <c r="G85" s="25" t="str">
        <f t="shared" si="16"/>
        <v/>
      </c>
      <c r="H85" s="29" t="str">
        <f t="shared" ca="1" si="17"/>
        <v/>
      </c>
      <c r="I85" s="24"/>
      <c r="J85" s="30"/>
      <c r="K85" s="27" t="str">
        <f>IF(ИТОГ!A85=0,"",ИТОГ!A85)</f>
        <v/>
      </c>
      <c r="L85" s="26" t="str">
        <f t="shared" si="18"/>
        <v/>
      </c>
      <c r="M85" s="25" t="str">
        <f>IF(K85="","",ИТОГ!Q85)</f>
        <v/>
      </c>
      <c r="N85" s="28" t="str">
        <f>IF(K85="","",ИТОГ!N85)</f>
        <v/>
      </c>
      <c r="O85" s="30" t="str">
        <f t="shared" si="19"/>
        <v/>
      </c>
      <c r="P85" s="24"/>
      <c r="Q85" s="30" t="str">
        <f t="shared" si="20"/>
        <v/>
      </c>
      <c r="R85" s="29" t="str">
        <f t="shared" ca="1" si="21"/>
        <v/>
      </c>
    </row>
    <row r="86" spans="1:18">
      <c r="A86" s="23" t="str">
        <f t="shared" si="11"/>
        <v/>
      </c>
      <c r="B86" s="23" t="str">
        <f t="shared" si="12"/>
        <v/>
      </c>
      <c r="C86" s="29" t="str">
        <f t="shared" ca="1" si="13"/>
        <v/>
      </c>
      <c r="D86" s="22" t="str">
        <f>IF(K86="","",ИТОГ!S86)</f>
        <v/>
      </c>
      <c r="E86" s="24" t="str">
        <f t="shared" si="14"/>
        <v/>
      </c>
      <c r="F86" s="30" t="str">
        <f t="shared" si="15"/>
        <v/>
      </c>
      <c r="G86" s="25" t="str">
        <f t="shared" si="16"/>
        <v/>
      </c>
      <c r="H86" s="29" t="str">
        <f t="shared" ca="1" si="17"/>
        <v/>
      </c>
      <c r="I86" s="24"/>
      <c r="J86" s="30"/>
      <c r="K86" s="27" t="str">
        <f>IF(ИТОГ!A86=0,"",ИТОГ!A86)</f>
        <v/>
      </c>
      <c r="L86" s="26" t="str">
        <f t="shared" si="18"/>
        <v/>
      </c>
      <c r="M86" s="25" t="str">
        <f>IF(K86="","",ИТОГ!Q86)</f>
        <v/>
      </c>
      <c r="N86" s="28" t="str">
        <f>IF(K86="","",ИТОГ!N86)</f>
        <v/>
      </c>
      <c r="O86" s="30" t="str">
        <f t="shared" si="19"/>
        <v/>
      </c>
      <c r="P86" s="24"/>
      <c r="Q86" s="30" t="str">
        <f t="shared" si="20"/>
        <v/>
      </c>
      <c r="R86" s="29" t="str">
        <f t="shared" ca="1" si="21"/>
        <v/>
      </c>
    </row>
    <row r="87" spans="1:18">
      <c r="A87" s="23" t="str">
        <f t="shared" si="11"/>
        <v/>
      </c>
      <c r="B87" s="23" t="str">
        <f t="shared" si="12"/>
        <v/>
      </c>
      <c r="C87" s="29" t="str">
        <f t="shared" ca="1" si="13"/>
        <v/>
      </c>
      <c r="D87" s="22" t="str">
        <f>IF(K87="","",ИТОГ!S87)</f>
        <v/>
      </c>
      <c r="E87" s="24" t="str">
        <f t="shared" si="14"/>
        <v/>
      </c>
      <c r="F87" s="30" t="str">
        <f t="shared" si="15"/>
        <v/>
      </c>
      <c r="G87" s="25" t="str">
        <f t="shared" si="16"/>
        <v/>
      </c>
      <c r="H87" s="29" t="str">
        <f t="shared" ca="1" si="17"/>
        <v/>
      </c>
      <c r="I87" s="24"/>
      <c r="J87" s="30"/>
      <c r="K87" s="27" t="str">
        <f>IF(ИТОГ!A87=0,"",ИТОГ!A87)</f>
        <v/>
      </c>
      <c r="L87" s="26" t="str">
        <f t="shared" si="18"/>
        <v/>
      </c>
      <c r="M87" s="25" t="str">
        <f>IF(K87="","",ИТОГ!Q87)</f>
        <v/>
      </c>
      <c r="N87" s="28" t="str">
        <f>IF(K87="","",ИТОГ!N87)</f>
        <v/>
      </c>
      <c r="O87" s="30" t="str">
        <f t="shared" si="19"/>
        <v/>
      </c>
      <c r="P87" s="24"/>
      <c r="Q87" s="30" t="str">
        <f t="shared" si="20"/>
        <v/>
      </c>
      <c r="R87" s="29" t="str">
        <f t="shared" ca="1" si="21"/>
        <v/>
      </c>
    </row>
    <row r="88" spans="1:18">
      <c r="A88" s="23" t="str">
        <f t="shared" si="11"/>
        <v/>
      </c>
      <c r="B88" s="23" t="str">
        <f t="shared" si="12"/>
        <v/>
      </c>
      <c r="C88" s="29" t="str">
        <f t="shared" ca="1" si="13"/>
        <v/>
      </c>
      <c r="D88" s="22" t="str">
        <f>IF(K88="","",ИТОГ!S88)</f>
        <v/>
      </c>
      <c r="E88" s="24" t="str">
        <f t="shared" si="14"/>
        <v/>
      </c>
      <c r="F88" s="30" t="str">
        <f t="shared" si="15"/>
        <v/>
      </c>
      <c r="G88" s="25" t="str">
        <f t="shared" si="16"/>
        <v/>
      </c>
      <c r="H88" s="29" t="str">
        <f t="shared" ca="1" si="17"/>
        <v/>
      </c>
      <c r="I88" s="24"/>
      <c r="J88" s="30"/>
      <c r="K88" s="27" t="str">
        <f>IF(ИТОГ!A88=0,"",ИТОГ!A88)</f>
        <v/>
      </c>
      <c r="L88" s="26" t="str">
        <f t="shared" si="18"/>
        <v/>
      </c>
      <c r="M88" s="25" t="str">
        <f>IF(K88="","",ИТОГ!Q88)</f>
        <v/>
      </c>
      <c r="N88" s="28" t="str">
        <f>IF(K88="","",ИТОГ!N88)</f>
        <v/>
      </c>
      <c r="O88" s="30" t="str">
        <f t="shared" si="19"/>
        <v/>
      </c>
      <c r="P88" s="24"/>
      <c r="Q88" s="30" t="str">
        <f t="shared" si="20"/>
        <v/>
      </c>
      <c r="R88" s="29" t="str">
        <f t="shared" ca="1" si="21"/>
        <v/>
      </c>
    </row>
    <row r="89" spans="1:18">
      <c r="A89" s="23" t="str">
        <f t="shared" si="11"/>
        <v/>
      </c>
      <c r="B89" s="23" t="str">
        <f t="shared" si="12"/>
        <v/>
      </c>
      <c r="C89" s="29" t="str">
        <f t="shared" ca="1" si="13"/>
        <v/>
      </c>
      <c r="D89" s="22" t="str">
        <f>IF(K89="","",ИТОГ!S89)</f>
        <v/>
      </c>
      <c r="E89" s="24" t="str">
        <f t="shared" si="14"/>
        <v/>
      </c>
      <c r="F89" s="30" t="str">
        <f t="shared" si="15"/>
        <v/>
      </c>
      <c r="G89" s="25" t="str">
        <f t="shared" si="16"/>
        <v/>
      </c>
      <c r="H89" s="29" t="str">
        <f t="shared" ca="1" si="17"/>
        <v/>
      </c>
      <c r="I89" s="24"/>
      <c r="J89" s="30"/>
      <c r="K89" s="27" t="str">
        <f>IF(ИТОГ!A89=0,"",ИТОГ!A89)</f>
        <v/>
      </c>
      <c r="L89" s="26" t="str">
        <f t="shared" si="18"/>
        <v/>
      </c>
      <c r="M89" s="25" t="str">
        <f>IF(K89="","",ИТОГ!Q89)</f>
        <v/>
      </c>
      <c r="N89" s="28" t="str">
        <f>IF(K89="","",ИТОГ!N89)</f>
        <v/>
      </c>
      <c r="O89" s="30" t="str">
        <f t="shared" si="19"/>
        <v/>
      </c>
      <c r="P89" s="24"/>
      <c r="Q89" s="30" t="str">
        <f t="shared" si="20"/>
        <v/>
      </c>
      <c r="R89" s="29" t="str">
        <f t="shared" ca="1" si="21"/>
        <v/>
      </c>
    </row>
    <row r="90" spans="1:18">
      <c r="A90" s="23" t="str">
        <f t="shared" si="11"/>
        <v/>
      </c>
      <c r="B90" s="23" t="str">
        <f t="shared" si="12"/>
        <v/>
      </c>
      <c r="C90" s="29" t="str">
        <f t="shared" ca="1" si="13"/>
        <v/>
      </c>
      <c r="D90" s="22" t="str">
        <f>IF(K90="","",ИТОГ!S90)</f>
        <v/>
      </c>
      <c r="E90" s="24" t="str">
        <f t="shared" si="14"/>
        <v/>
      </c>
      <c r="F90" s="30" t="str">
        <f t="shared" si="15"/>
        <v/>
      </c>
      <c r="G90" s="25" t="str">
        <f t="shared" si="16"/>
        <v/>
      </c>
      <c r="H90" s="29" t="str">
        <f t="shared" ca="1" si="17"/>
        <v/>
      </c>
      <c r="I90" s="24"/>
      <c r="J90" s="30"/>
      <c r="K90" s="27" t="str">
        <f>IF(ИТОГ!A90=0,"",ИТОГ!A90)</f>
        <v/>
      </c>
      <c r="L90" s="26" t="str">
        <f t="shared" si="18"/>
        <v/>
      </c>
      <c r="M90" s="25" t="str">
        <f>IF(K90="","",ИТОГ!Q90)</f>
        <v/>
      </c>
      <c r="N90" s="28" t="str">
        <f>IF(K90="","",ИТОГ!N90)</f>
        <v/>
      </c>
      <c r="O90" s="30" t="str">
        <f t="shared" si="19"/>
        <v/>
      </c>
      <c r="P90" s="24"/>
      <c r="Q90" s="30" t="str">
        <f t="shared" si="20"/>
        <v/>
      </c>
      <c r="R90" s="29" t="str">
        <f t="shared" ca="1" si="21"/>
        <v/>
      </c>
    </row>
    <row r="91" spans="1:18">
      <c r="A91" s="23" t="str">
        <f t="shared" si="11"/>
        <v/>
      </c>
      <c r="B91" s="23" t="str">
        <f t="shared" si="12"/>
        <v/>
      </c>
      <c r="C91" s="29" t="str">
        <f t="shared" ca="1" si="13"/>
        <v/>
      </c>
      <c r="D91" s="22" t="str">
        <f>IF(K91="","",ИТОГ!S91)</f>
        <v/>
      </c>
      <c r="E91" s="24" t="str">
        <f t="shared" si="14"/>
        <v/>
      </c>
      <c r="F91" s="30" t="str">
        <f t="shared" si="15"/>
        <v/>
      </c>
      <c r="G91" s="25" t="str">
        <f t="shared" si="16"/>
        <v/>
      </c>
      <c r="H91" s="29" t="str">
        <f t="shared" ca="1" si="17"/>
        <v/>
      </c>
      <c r="I91" s="24"/>
      <c r="J91" s="30"/>
      <c r="K91" s="27" t="str">
        <f>IF(ИТОГ!A91=0,"",ИТОГ!A91)</f>
        <v/>
      </c>
      <c r="L91" s="26" t="str">
        <f t="shared" si="18"/>
        <v/>
      </c>
      <c r="M91" s="25" t="str">
        <f>IF(K91="","",ИТОГ!Q91)</f>
        <v/>
      </c>
      <c r="N91" s="28" t="str">
        <f>IF(K91="","",ИТОГ!N91)</f>
        <v/>
      </c>
      <c r="O91" s="30" t="str">
        <f t="shared" si="19"/>
        <v/>
      </c>
      <c r="P91" s="24"/>
      <c r="Q91" s="30" t="str">
        <f t="shared" si="20"/>
        <v/>
      </c>
      <c r="R91" s="29" t="str">
        <f t="shared" ca="1" si="21"/>
        <v/>
      </c>
    </row>
    <row r="92" spans="1:18">
      <c r="A92" s="23" t="str">
        <f t="shared" si="11"/>
        <v/>
      </c>
      <c r="B92" s="23" t="str">
        <f t="shared" si="12"/>
        <v/>
      </c>
      <c r="C92" s="29" t="str">
        <f t="shared" ca="1" si="13"/>
        <v/>
      </c>
      <c r="D92" s="22" t="str">
        <f>IF(K92="","",ИТОГ!S92)</f>
        <v/>
      </c>
      <c r="E92" s="24" t="str">
        <f t="shared" si="14"/>
        <v/>
      </c>
      <c r="F92" s="30" t="str">
        <f t="shared" si="15"/>
        <v/>
      </c>
      <c r="G92" s="25" t="str">
        <f t="shared" si="16"/>
        <v/>
      </c>
      <c r="H92" s="29" t="str">
        <f t="shared" ca="1" si="17"/>
        <v/>
      </c>
      <c r="I92" s="24"/>
      <c r="J92" s="30"/>
      <c r="K92" s="27" t="str">
        <f>IF(ИТОГ!A92=0,"",ИТОГ!A92)</f>
        <v/>
      </c>
      <c r="L92" s="26" t="str">
        <f t="shared" si="18"/>
        <v/>
      </c>
      <c r="M92" s="25" t="str">
        <f>IF(K92="","",ИТОГ!Q92)</f>
        <v/>
      </c>
      <c r="N92" s="28" t="str">
        <f>IF(K92="","",ИТОГ!N92)</f>
        <v/>
      </c>
      <c r="O92" s="30" t="str">
        <f t="shared" si="19"/>
        <v/>
      </c>
      <c r="P92" s="24"/>
      <c r="Q92" s="30" t="str">
        <f t="shared" si="20"/>
        <v/>
      </c>
      <c r="R92" s="29" t="str">
        <f t="shared" ca="1" si="21"/>
        <v/>
      </c>
    </row>
    <row r="93" spans="1:18">
      <c r="A93" s="23" t="str">
        <f t="shared" si="11"/>
        <v/>
      </c>
      <c r="B93" s="23" t="str">
        <f t="shared" si="12"/>
        <v/>
      </c>
      <c r="C93" s="29" t="str">
        <f t="shared" ca="1" si="13"/>
        <v/>
      </c>
      <c r="D93" s="22" t="str">
        <f>IF(K93="","",ИТОГ!S93)</f>
        <v/>
      </c>
      <c r="E93" s="24" t="str">
        <f t="shared" si="14"/>
        <v/>
      </c>
      <c r="F93" s="30" t="str">
        <f t="shared" si="15"/>
        <v/>
      </c>
      <c r="G93" s="25" t="str">
        <f t="shared" si="16"/>
        <v/>
      </c>
      <c r="H93" s="29" t="str">
        <f t="shared" ca="1" si="17"/>
        <v/>
      </c>
      <c r="I93" s="24"/>
      <c r="J93" s="30"/>
      <c r="K93" s="27" t="str">
        <f>IF(ИТОГ!A93=0,"",ИТОГ!A93)</f>
        <v/>
      </c>
      <c r="L93" s="26" t="str">
        <f t="shared" si="18"/>
        <v/>
      </c>
      <c r="M93" s="25" t="str">
        <f>IF(K93="","",ИТОГ!Q93)</f>
        <v/>
      </c>
      <c r="N93" s="28" t="str">
        <f>IF(K93="","",ИТОГ!N93)</f>
        <v/>
      </c>
      <c r="O93" s="30" t="str">
        <f t="shared" si="19"/>
        <v/>
      </c>
      <c r="P93" s="24"/>
      <c r="Q93" s="30" t="str">
        <f t="shared" si="20"/>
        <v/>
      </c>
      <c r="R93" s="29" t="str">
        <f t="shared" ca="1" si="21"/>
        <v/>
      </c>
    </row>
    <row r="94" spans="1:18">
      <c r="A94" s="23" t="str">
        <f t="shared" ref="A94:A157" si="22">IF(K94="","",1000)</f>
        <v/>
      </c>
      <c r="B94" s="23" t="str">
        <f t="shared" ref="B94:B157" si="23">IF(K94="","",1)</f>
        <v/>
      </c>
      <c r="C94" s="29" t="str">
        <f t="shared" ref="C94:C157" ca="1" si="24">IF(K94="","",TODAY())</f>
        <v/>
      </c>
      <c r="D94" s="22" t="str">
        <f>IF(K94="","",ИТОГ!S94)</f>
        <v/>
      </c>
      <c r="E94" s="24" t="str">
        <f t="shared" ref="E94:E157" si="25">IF(K94="","","Х")</f>
        <v/>
      </c>
      <c r="F94" s="30" t="str">
        <f t="shared" ref="F94:F157" si="26">IF(K94="","","UV")</f>
        <v/>
      </c>
      <c r="G94" s="25" t="str">
        <f t="shared" ref="G94:G157" si="27">IF(K94="","",SUMIF(D:D,D94,M:M))</f>
        <v/>
      </c>
      <c r="H94" s="29" t="str">
        <f t="shared" ref="H94:H157" ca="1" si="28">IF(K94="","",TODAY())</f>
        <v/>
      </c>
      <c r="I94" s="24"/>
      <c r="J94" s="30"/>
      <c r="K94" s="27" t="str">
        <f>IF(ИТОГ!A94=0,"",ИТОГ!A94)</f>
        <v/>
      </c>
      <c r="L94" s="26" t="str">
        <f t="shared" ref="L94:L157" si="29">IF(K94="","",
IF(D93-D94=0,L93+10,10))</f>
        <v/>
      </c>
      <c r="M94" s="25" t="str">
        <f>IF(K94="","",ИТОГ!Q94)</f>
        <v/>
      </c>
      <c r="N94" s="28" t="str">
        <f>IF(K94="","",ИТОГ!N94)</f>
        <v/>
      </c>
      <c r="O94" s="30" t="str">
        <f t="shared" ref="O94:O157" si="30">IF(K94="","","ST")</f>
        <v/>
      </c>
      <c r="P94" s="24"/>
      <c r="Q94" s="30" t="str">
        <f t="shared" ref="Q94:Q157" si="31">IF(K94="","","EUR")</f>
        <v/>
      </c>
      <c r="R94" s="29" t="str">
        <f t="shared" ref="R94:R157" ca="1" si="32">IF(K94="","",TODAY())</f>
        <v/>
      </c>
    </row>
    <row r="95" spans="1:18">
      <c r="A95" s="23" t="str">
        <f t="shared" si="22"/>
        <v/>
      </c>
      <c r="B95" s="23" t="str">
        <f t="shared" si="23"/>
        <v/>
      </c>
      <c r="C95" s="29" t="str">
        <f t="shared" ca="1" si="24"/>
        <v/>
      </c>
      <c r="D95" s="22" t="str">
        <f>IF(K95="","",ИТОГ!S95)</f>
        <v/>
      </c>
      <c r="E95" s="24" t="str">
        <f t="shared" si="25"/>
        <v/>
      </c>
      <c r="F95" s="30" t="str">
        <f t="shared" si="26"/>
        <v/>
      </c>
      <c r="G95" s="25" t="str">
        <f t="shared" si="27"/>
        <v/>
      </c>
      <c r="H95" s="29" t="str">
        <f t="shared" ca="1" si="28"/>
        <v/>
      </c>
      <c r="I95" s="24"/>
      <c r="J95" s="30"/>
      <c r="K95" s="27" t="str">
        <f>IF(ИТОГ!A95=0,"",ИТОГ!A95)</f>
        <v/>
      </c>
      <c r="L95" s="26" t="str">
        <f t="shared" si="29"/>
        <v/>
      </c>
      <c r="M95" s="25" t="str">
        <f>IF(K95="","",ИТОГ!Q95)</f>
        <v/>
      </c>
      <c r="N95" s="28" t="str">
        <f>IF(K95="","",ИТОГ!N95)</f>
        <v/>
      </c>
      <c r="O95" s="30" t="str">
        <f t="shared" si="30"/>
        <v/>
      </c>
      <c r="P95" s="24"/>
      <c r="Q95" s="30" t="str">
        <f t="shared" si="31"/>
        <v/>
      </c>
      <c r="R95" s="29" t="str">
        <f t="shared" ca="1" si="32"/>
        <v/>
      </c>
    </row>
    <row r="96" spans="1:18">
      <c r="A96" s="23" t="str">
        <f t="shared" si="22"/>
        <v/>
      </c>
      <c r="B96" s="23" t="str">
        <f t="shared" si="23"/>
        <v/>
      </c>
      <c r="C96" s="29" t="str">
        <f t="shared" ca="1" si="24"/>
        <v/>
      </c>
      <c r="D96" s="22" t="str">
        <f>IF(K96="","",ИТОГ!S96)</f>
        <v/>
      </c>
      <c r="E96" s="24" t="str">
        <f t="shared" si="25"/>
        <v/>
      </c>
      <c r="F96" s="30" t="str">
        <f t="shared" si="26"/>
        <v/>
      </c>
      <c r="G96" s="25" t="str">
        <f t="shared" si="27"/>
        <v/>
      </c>
      <c r="H96" s="29" t="str">
        <f t="shared" ca="1" si="28"/>
        <v/>
      </c>
      <c r="I96" s="24"/>
      <c r="J96" s="30"/>
      <c r="K96" s="27" t="str">
        <f>IF(ИТОГ!A96=0,"",ИТОГ!A96)</f>
        <v/>
      </c>
      <c r="L96" s="26" t="str">
        <f t="shared" si="29"/>
        <v/>
      </c>
      <c r="M96" s="25" t="str">
        <f>IF(K96="","",ИТОГ!Q96)</f>
        <v/>
      </c>
      <c r="N96" s="28" t="str">
        <f>IF(K96="","",ИТОГ!N96)</f>
        <v/>
      </c>
      <c r="O96" s="30" t="str">
        <f t="shared" si="30"/>
        <v/>
      </c>
      <c r="P96" s="24"/>
      <c r="Q96" s="30" t="str">
        <f t="shared" si="31"/>
        <v/>
      </c>
      <c r="R96" s="29" t="str">
        <f t="shared" ca="1" si="32"/>
        <v/>
      </c>
    </row>
    <row r="97" spans="1:18">
      <c r="A97" s="23" t="str">
        <f t="shared" si="22"/>
        <v/>
      </c>
      <c r="B97" s="23" t="str">
        <f t="shared" si="23"/>
        <v/>
      </c>
      <c r="C97" s="29" t="str">
        <f t="shared" ca="1" si="24"/>
        <v/>
      </c>
      <c r="D97" s="22" t="str">
        <f>IF(K97="","",ИТОГ!S97)</f>
        <v/>
      </c>
      <c r="E97" s="24" t="str">
        <f t="shared" si="25"/>
        <v/>
      </c>
      <c r="F97" s="30" t="str">
        <f t="shared" si="26"/>
        <v/>
      </c>
      <c r="G97" s="25" t="str">
        <f t="shared" si="27"/>
        <v/>
      </c>
      <c r="H97" s="29" t="str">
        <f t="shared" ca="1" si="28"/>
        <v/>
      </c>
      <c r="I97" s="24"/>
      <c r="J97" s="30"/>
      <c r="K97" s="27" t="str">
        <f>IF(ИТОГ!A97=0,"",ИТОГ!A97)</f>
        <v/>
      </c>
      <c r="L97" s="26" t="str">
        <f t="shared" si="29"/>
        <v/>
      </c>
      <c r="M97" s="25" t="str">
        <f>IF(K97="","",ИТОГ!Q97)</f>
        <v/>
      </c>
      <c r="N97" s="28" t="str">
        <f>IF(K97="","",ИТОГ!N97)</f>
        <v/>
      </c>
      <c r="O97" s="30" t="str">
        <f t="shared" si="30"/>
        <v/>
      </c>
      <c r="P97" s="24"/>
      <c r="Q97" s="30" t="str">
        <f t="shared" si="31"/>
        <v/>
      </c>
      <c r="R97" s="29" t="str">
        <f t="shared" ca="1" si="32"/>
        <v/>
      </c>
    </row>
    <row r="98" spans="1:18">
      <c r="A98" s="23" t="str">
        <f t="shared" si="22"/>
        <v/>
      </c>
      <c r="B98" s="23" t="str">
        <f t="shared" si="23"/>
        <v/>
      </c>
      <c r="C98" s="29" t="str">
        <f t="shared" ca="1" si="24"/>
        <v/>
      </c>
      <c r="D98" s="22" t="str">
        <f>IF(K98="","",ИТОГ!S98)</f>
        <v/>
      </c>
      <c r="E98" s="24" t="str">
        <f t="shared" si="25"/>
        <v/>
      </c>
      <c r="F98" s="30" t="str">
        <f t="shared" si="26"/>
        <v/>
      </c>
      <c r="G98" s="25" t="str">
        <f t="shared" si="27"/>
        <v/>
      </c>
      <c r="H98" s="29" t="str">
        <f t="shared" ca="1" si="28"/>
        <v/>
      </c>
      <c r="I98" s="24"/>
      <c r="J98" s="30"/>
      <c r="K98" s="27" t="str">
        <f>IF(ИТОГ!A98=0,"",ИТОГ!A98)</f>
        <v/>
      </c>
      <c r="L98" s="26" t="str">
        <f t="shared" si="29"/>
        <v/>
      </c>
      <c r="M98" s="25" t="str">
        <f>IF(K98="","",ИТОГ!Q98)</f>
        <v/>
      </c>
      <c r="N98" s="28" t="str">
        <f>IF(K98="","",ИТОГ!N98)</f>
        <v/>
      </c>
      <c r="O98" s="30" t="str">
        <f t="shared" si="30"/>
        <v/>
      </c>
      <c r="P98" s="24"/>
      <c r="Q98" s="30" t="str">
        <f t="shared" si="31"/>
        <v/>
      </c>
      <c r="R98" s="29" t="str">
        <f t="shared" ca="1" si="32"/>
        <v/>
      </c>
    </row>
    <row r="99" spans="1:18">
      <c r="A99" s="23" t="str">
        <f t="shared" si="22"/>
        <v/>
      </c>
      <c r="B99" s="23" t="str">
        <f t="shared" si="23"/>
        <v/>
      </c>
      <c r="C99" s="29" t="str">
        <f t="shared" ca="1" si="24"/>
        <v/>
      </c>
      <c r="D99" s="22" t="str">
        <f>IF(K99="","",ИТОГ!S99)</f>
        <v/>
      </c>
      <c r="E99" s="24" t="str">
        <f t="shared" si="25"/>
        <v/>
      </c>
      <c r="F99" s="30" t="str">
        <f t="shared" si="26"/>
        <v/>
      </c>
      <c r="G99" s="25" t="str">
        <f t="shared" si="27"/>
        <v/>
      </c>
      <c r="H99" s="29" t="str">
        <f t="shared" ca="1" si="28"/>
        <v/>
      </c>
      <c r="I99" s="24"/>
      <c r="J99" s="30"/>
      <c r="K99" s="27" t="str">
        <f>IF(ИТОГ!A99=0,"",ИТОГ!A99)</f>
        <v/>
      </c>
      <c r="L99" s="26" t="str">
        <f t="shared" si="29"/>
        <v/>
      </c>
      <c r="M99" s="25" t="str">
        <f>IF(K99="","",ИТОГ!Q99)</f>
        <v/>
      </c>
      <c r="N99" s="28" t="str">
        <f>IF(K99="","",ИТОГ!N99)</f>
        <v/>
      </c>
      <c r="O99" s="30" t="str">
        <f t="shared" si="30"/>
        <v/>
      </c>
      <c r="P99" s="24"/>
      <c r="Q99" s="30" t="str">
        <f t="shared" si="31"/>
        <v/>
      </c>
      <c r="R99" s="29" t="str">
        <f t="shared" ca="1" si="32"/>
        <v/>
      </c>
    </row>
    <row r="100" spans="1:18">
      <c r="A100" s="23" t="str">
        <f t="shared" si="22"/>
        <v/>
      </c>
      <c r="B100" s="23" t="str">
        <f t="shared" si="23"/>
        <v/>
      </c>
      <c r="C100" s="29" t="str">
        <f t="shared" ca="1" si="24"/>
        <v/>
      </c>
      <c r="D100" s="22" t="str">
        <f>IF(K100="","",ИТОГ!S100)</f>
        <v/>
      </c>
      <c r="E100" s="24" t="str">
        <f t="shared" si="25"/>
        <v/>
      </c>
      <c r="F100" s="30" t="str">
        <f t="shared" si="26"/>
        <v/>
      </c>
      <c r="G100" s="25" t="str">
        <f t="shared" si="27"/>
        <v/>
      </c>
      <c r="H100" s="29" t="str">
        <f t="shared" ca="1" si="28"/>
        <v/>
      </c>
      <c r="I100" s="24"/>
      <c r="J100" s="30"/>
      <c r="K100" s="27" t="str">
        <f>IF(ИТОГ!A100=0,"",ИТОГ!A100)</f>
        <v/>
      </c>
      <c r="L100" s="26" t="str">
        <f t="shared" si="29"/>
        <v/>
      </c>
      <c r="M100" s="25" t="str">
        <f>IF(K100="","",ИТОГ!Q100)</f>
        <v/>
      </c>
      <c r="N100" s="28" t="str">
        <f>IF(K100="","",ИТОГ!N100)</f>
        <v/>
      </c>
      <c r="O100" s="30" t="str">
        <f t="shared" si="30"/>
        <v/>
      </c>
      <c r="P100" s="24"/>
      <c r="Q100" s="30" t="str">
        <f t="shared" si="31"/>
        <v/>
      </c>
      <c r="R100" s="29" t="str">
        <f t="shared" ca="1" si="32"/>
        <v/>
      </c>
    </row>
    <row r="101" spans="1:18">
      <c r="A101" s="23" t="str">
        <f t="shared" si="22"/>
        <v/>
      </c>
      <c r="B101" s="23" t="str">
        <f t="shared" si="23"/>
        <v/>
      </c>
      <c r="C101" s="29" t="str">
        <f t="shared" ca="1" si="24"/>
        <v/>
      </c>
      <c r="D101" s="22" t="str">
        <f>IF(K101="","",ИТОГ!S101)</f>
        <v/>
      </c>
      <c r="E101" s="24" t="str">
        <f t="shared" si="25"/>
        <v/>
      </c>
      <c r="F101" s="30" t="str">
        <f t="shared" si="26"/>
        <v/>
      </c>
      <c r="G101" s="25" t="str">
        <f t="shared" si="27"/>
        <v/>
      </c>
      <c r="H101" s="29" t="str">
        <f t="shared" ca="1" si="28"/>
        <v/>
      </c>
      <c r="I101" s="24"/>
      <c r="J101" s="30"/>
      <c r="K101" s="27" t="str">
        <f>IF(ИТОГ!A101=0,"",ИТОГ!A101)</f>
        <v/>
      </c>
      <c r="L101" s="26" t="str">
        <f t="shared" si="29"/>
        <v/>
      </c>
      <c r="M101" s="25" t="str">
        <f>IF(K101="","",ИТОГ!Q101)</f>
        <v/>
      </c>
      <c r="N101" s="28" t="str">
        <f>IF(K101="","",ИТОГ!N101)</f>
        <v/>
      </c>
      <c r="O101" s="30" t="str">
        <f t="shared" si="30"/>
        <v/>
      </c>
      <c r="P101" s="24"/>
      <c r="Q101" s="30" t="str">
        <f t="shared" si="31"/>
        <v/>
      </c>
      <c r="R101" s="29" t="str">
        <f t="shared" ca="1" si="32"/>
        <v/>
      </c>
    </row>
    <row r="102" spans="1:18">
      <c r="A102" s="23" t="str">
        <f t="shared" si="22"/>
        <v/>
      </c>
      <c r="B102" s="23" t="str">
        <f t="shared" si="23"/>
        <v/>
      </c>
      <c r="C102" s="29" t="str">
        <f t="shared" ca="1" si="24"/>
        <v/>
      </c>
      <c r="D102" s="22" t="str">
        <f>IF(K102="","",ИТОГ!S102)</f>
        <v/>
      </c>
      <c r="E102" s="24" t="str">
        <f t="shared" si="25"/>
        <v/>
      </c>
      <c r="F102" s="30" t="str">
        <f t="shared" si="26"/>
        <v/>
      </c>
      <c r="G102" s="25" t="str">
        <f t="shared" si="27"/>
        <v/>
      </c>
      <c r="H102" s="29" t="str">
        <f t="shared" ca="1" si="28"/>
        <v/>
      </c>
      <c r="I102" s="24"/>
      <c r="J102" s="30"/>
      <c r="K102" s="27" t="str">
        <f>IF(ИТОГ!A102=0,"",ИТОГ!A102)</f>
        <v/>
      </c>
      <c r="L102" s="26" t="str">
        <f t="shared" si="29"/>
        <v/>
      </c>
      <c r="M102" s="25" t="str">
        <f>IF(K102="","",ИТОГ!Q102)</f>
        <v/>
      </c>
      <c r="N102" s="28" t="str">
        <f>IF(K102="","",ИТОГ!N102)</f>
        <v/>
      </c>
      <c r="O102" s="30" t="str">
        <f t="shared" si="30"/>
        <v/>
      </c>
      <c r="P102" s="24"/>
      <c r="Q102" s="30" t="str">
        <f t="shared" si="31"/>
        <v/>
      </c>
      <c r="R102" s="29" t="str">
        <f t="shared" ca="1" si="32"/>
        <v/>
      </c>
    </row>
    <row r="103" spans="1:18">
      <c r="A103" s="23" t="str">
        <f t="shared" si="22"/>
        <v/>
      </c>
      <c r="B103" s="23" t="str">
        <f t="shared" si="23"/>
        <v/>
      </c>
      <c r="C103" s="29" t="str">
        <f t="shared" ca="1" si="24"/>
        <v/>
      </c>
      <c r="D103" s="22" t="str">
        <f>IF(K103="","",ИТОГ!S103)</f>
        <v/>
      </c>
      <c r="E103" s="24" t="str">
        <f t="shared" si="25"/>
        <v/>
      </c>
      <c r="F103" s="30" t="str">
        <f t="shared" si="26"/>
        <v/>
      </c>
      <c r="G103" s="25" t="str">
        <f t="shared" si="27"/>
        <v/>
      </c>
      <c r="H103" s="29" t="str">
        <f t="shared" ca="1" si="28"/>
        <v/>
      </c>
      <c r="I103" s="24"/>
      <c r="J103" s="30"/>
      <c r="K103" s="27" t="str">
        <f>IF(ИТОГ!A103=0,"",ИТОГ!A103)</f>
        <v/>
      </c>
      <c r="L103" s="26" t="str">
        <f t="shared" si="29"/>
        <v/>
      </c>
      <c r="M103" s="25" t="str">
        <f>IF(K103="","",ИТОГ!Q103)</f>
        <v/>
      </c>
      <c r="N103" s="28" t="str">
        <f>IF(K103="","",ИТОГ!N103)</f>
        <v/>
      </c>
      <c r="O103" s="30" t="str">
        <f t="shared" si="30"/>
        <v/>
      </c>
      <c r="P103" s="24"/>
      <c r="Q103" s="30" t="str">
        <f t="shared" si="31"/>
        <v/>
      </c>
      <c r="R103" s="29" t="str">
        <f t="shared" ca="1" si="32"/>
        <v/>
      </c>
    </row>
    <row r="104" spans="1:18">
      <c r="A104" s="23" t="str">
        <f t="shared" si="22"/>
        <v/>
      </c>
      <c r="B104" s="23" t="str">
        <f t="shared" si="23"/>
        <v/>
      </c>
      <c r="C104" s="29" t="str">
        <f t="shared" ca="1" si="24"/>
        <v/>
      </c>
      <c r="D104" s="22" t="str">
        <f>IF(K104="","",ИТОГ!S104)</f>
        <v/>
      </c>
      <c r="E104" s="24" t="str">
        <f t="shared" si="25"/>
        <v/>
      </c>
      <c r="F104" s="30" t="str">
        <f t="shared" si="26"/>
        <v/>
      </c>
      <c r="G104" s="25" t="str">
        <f t="shared" si="27"/>
        <v/>
      </c>
      <c r="H104" s="29" t="str">
        <f t="shared" ca="1" si="28"/>
        <v/>
      </c>
      <c r="I104" s="24"/>
      <c r="J104" s="30"/>
      <c r="K104" s="27" t="str">
        <f>IF(ИТОГ!A104=0,"",ИТОГ!A104)</f>
        <v/>
      </c>
      <c r="L104" s="26" t="str">
        <f t="shared" si="29"/>
        <v/>
      </c>
      <c r="M104" s="25" t="str">
        <f>IF(K104="","",ИТОГ!Q104)</f>
        <v/>
      </c>
      <c r="N104" s="28" t="str">
        <f>IF(K104="","",ИТОГ!N104)</f>
        <v/>
      </c>
      <c r="O104" s="30" t="str">
        <f t="shared" si="30"/>
        <v/>
      </c>
      <c r="P104" s="24"/>
      <c r="Q104" s="30" t="str">
        <f t="shared" si="31"/>
        <v/>
      </c>
      <c r="R104" s="29" t="str">
        <f t="shared" ca="1" si="32"/>
        <v/>
      </c>
    </row>
    <row r="105" spans="1:18">
      <c r="A105" s="23" t="str">
        <f t="shared" si="22"/>
        <v/>
      </c>
      <c r="B105" s="23" t="str">
        <f t="shared" si="23"/>
        <v/>
      </c>
      <c r="C105" s="29" t="str">
        <f t="shared" ca="1" si="24"/>
        <v/>
      </c>
      <c r="D105" s="22" t="str">
        <f>IF(K105="","",ИТОГ!S105)</f>
        <v/>
      </c>
      <c r="E105" s="24" t="str">
        <f t="shared" si="25"/>
        <v/>
      </c>
      <c r="F105" s="30" t="str">
        <f t="shared" si="26"/>
        <v/>
      </c>
      <c r="G105" s="25" t="str">
        <f t="shared" si="27"/>
        <v/>
      </c>
      <c r="H105" s="29" t="str">
        <f t="shared" ca="1" si="28"/>
        <v/>
      </c>
      <c r="I105" s="24"/>
      <c r="J105" s="30"/>
      <c r="K105" s="27" t="str">
        <f>IF(ИТОГ!A105=0,"",ИТОГ!A105)</f>
        <v/>
      </c>
      <c r="L105" s="26" t="str">
        <f t="shared" si="29"/>
        <v/>
      </c>
      <c r="M105" s="25" t="str">
        <f>IF(K105="","",ИТОГ!Q105)</f>
        <v/>
      </c>
      <c r="N105" s="28" t="str">
        <f>IF(K105="","",ИТОГ!N105)</f>
        <v/>
      </c>
      <c r="O105" s="30" t="str">
        <f t="shared" si="30"/>
        <v/>
      </c>
      <c r="P105" s="24"/>
      <c r="Q105" s="30" t="str">
        <f t="shared" si="31"/>
        <v/>
      </c>
      <c r="R105" s="29" t="str">
        <f t="shared" ca="1" si="32"/>
        <v/>
      </c>
    </row>
    <row r="106" spans="1:18">
      <c r="A106" s="23" t="str">
        <f t="shared" si="22"/>
        <v/>
      </c>
      <c r="B106" s="23" t="str">
        <f t="shared" si="23"/>
        <v/>
      </c>
      <c r="C106" s="29" t="str">
        <f t="shared" ca="1" si="24"/>
        <v/>
      </c>
      <c r="D106" s="22" t="str">
        <f>IF(K106="","",ИТОГ!S106)</f>
        <v/>
      </c>
      <c r="E106" s="24" t="str">
        <f t="shared" si="25"/>
        <v/>
      </c>
      <c r="F106" s="30" t="str">
        <f t="shared" si="26"/>
        <v/>
      </c>
      <c r="G106" s="25" t="str">
        <f t="shared" si="27"/>
        <v/>
      </c>
      <c r="H106" s="29" t="str">
        <f t="shared" ca="1" si="28"/>
        <v/>
      </c>
      <c r="I106" s="24"/>
      <c r="J106" s="30"/>
      <c r="K106" s="27" t="str">
        <f>IF(ИТОГ!A106=0,"",ИТОГ!A106)</f>
        <v/>
      </c>
      <c r="L106" s="26" t="str">
        <f t="shared" si="29"/>
        <v/>
      </c>
      <c r="M106" s="25" t="str">
        <f>IF(K106="","",ИТОГ!Q106)</f>
        <v/>
      </c>
      <c r="N106" s="28" t="str">
        <f>IF(K106="","",ИТОГ!N106)</f>
        <v/>
      </c>
      <c r="O106" s="30" t="str">
        <f t="shared" si="30"/>
        <v/>
      </c>
      <c r="P106" s="24"/>
      <c r="Q106" s="30" t="str">
        <f t="shared" si="31"/>
        <v/>
      </c>
      <c r="R106" s="29" t="str">
        <f t="shared" ca="1" si="32"/>
        <v/>
      </c>
    </row>
    <row r="107" spans="1:18">
      <c r="A107" s="23" t="str">
        <f t="shared" si="22"/>
        <v/>
      </c>
      <c r="B107" s="23" t="str">
        <f t="shared" si="23"/>
        <v/>
      </c>
      <c r="C107" s="29" t="str">
        <f t="shared" ca="1" si="24"/>
        <v/>
      </c>
      <c r="D107" s="22" t="str">
        <f>IF(K107="","",ИТОГ!S107)</f>
        <v/>
      </c>
      <c r="E107" s="24" t="str">
        <f t="shared" si="25"/>
        <v/>
      </c>
      <c r="F107" s="30" t="str">
        <f t="shared" si="26"/>
        <v/>
      </c>
      <c r="G107" s="25" t="str">
        <f t="shared" si="27"/>
        <v/>
      </c>
      <c r="H107" s="29" t="str">
        <f t="shared" ca="1" si="28"/>
        <v/>
      </c>
      <c r="I107" s="24"/>
      <c r="J107" s="30"/>
      <c r="K107" s="27" t="str">
        <f>IF(ИТОГ!A107=0,"",ИТОГ!A107)</f>
        <v/>
      </c>
      <c r="L107" s="26" t="str">
        <f t="shared" si="29"/>
        <v/>
      </c>
      <c r="M107" s="25" t="str">
        <f>IF(K107="","",ИТОГ!Q107)</f>
        <v/>
      </c>
      <c r="N107" s="28" t="str">
        <f>IF(K107="","",ИТОГ!N107)</f>
        <v/>
      </c>
      <c r="O107" s="30" t="str">
        <f t="shared" si="30"/>
        <v/>
      </c>
      <c r="P107" s="24"/>
      <c r="Q107" s="30" t="str">
        <f t="shared" si="31"/>
        <v/>
      </c>
      <c r="R107" s="29" t="str">
        <f t="shared" ca="1" si="32"/>
        <v/>
      </c>
    </row>
    <row r="108" spans="1:18">
      <c r="A108" s="23" t="str">
        <f t="shared" si="22"/>
        <v/>
      </c>
      <c r="B108" s="23" t="str">
        <f t="shared" si="23"/>
        <v/>
      </c>
      <c r="C108" s="29" t="str">
        <f t="shared" ca="1" si="24"/>
        <v/>
      </c>
      <c r="D108" s="22" t="str">
        <f>IF(K108="","",ИТОГ!S108)</f>
        <v/>
      </c>
      <c r="E108" s="24" t="str">
        <f t="shared" si="25"/>
        <v/>
      </c>
      <c r="F108" s="30" t="str">
        <f t="shared" si="26"/>
        <v/>
      </c>
      <c r="G108" s="25" t="str">
        <f t="shared" si="27"/>
        <v/>
      </c>
      <c r="H108" s="29" t="str">
        <f t="shared" ca="1" si="28"/>
        <v/>
      </c>
      <c r="I108" s="24"/>
      <c r="J108" s="30"/>
      <c r="K108" s="27" t="str">
        <f>IF(ИТОГ!A108=0,"",ИТОГ!A108)</f>
        <v/>
      </c>
      <c r="L108" s="26" t="str">
        <f t="shared" si="29"/>
        <v/>
      </c>
      <c r="M108" s="25" t="str">
        <f>IF(K108="","",ИТОГ!Q108)</f>
        <v/>
      </c>
      <c r="N108" s="28" t="str">
        <f>IF(K108="","",ИТОГ!N108)</f>
        <v/>
      </c>
      <c r="O108" s="30" t="str">
        <f t="shared" si="30"/>
        <v/>
      </c>
      <c r="P108" s="24"/>
      <c r="Q108" s="30" t="str">
        <f t="shared" si="31"/>
        <v/>
      </c>
      <c r="R108" s="29" t="str">
        <f t="shared" ca="1" si="32"/>
        <v/>
      </c>
    </row>
    <row r="109" spans="1:18">
      <c r="A109" s="23" t="str">
        <f t="shared" si="22"/>
        <v/>
      </c>
      <c r="B109" s="23" t="str">
        <f t="shared" si="23"/>
        <v/>
      </c>
      <c r="C109" s="29" t="str">
        <f t="shared" ca="1" si="24"/>
        <v/>
      </c>
      <c r="D109" s="22" t="str">
        <f>IF(K109="","",ИТОГ!S109)</f>
        <v/>
      </c>
      <c r="E109" s="24" t="str">
        <f t="shared" si="25"/>
        <v/>
      </c>
      <c r="F109" s="30" t="str">
        <f t="shared" si="26"/>
        <v/>
      </c>
      <c r="G109" s="25" t="str">
        <f t="shared" si="27"/>
        <v/>
      </c>
      <c r="H109" s="29" t="str">
        <f t="shared" ca="1" si="28"/>
        <v/>
      </c>
      <c r="I109" s="24"/>
      <c r="J109" s="30"/>
      <c r="K109" s="27" t="str">
        <f>IF(ИТОГ!A109=0,"",ИТОГ!A109)</f>
        <v/>
      </c>
      <c r="L109" s="26" t="str">
        <f t="shared" si="29"/>
        <v/>
      </c>
      <c r="M109" s="25" t="str">
        <f>IF(K109="","",ИТОГ!Q109)</f>
        <v/>
      </c>
      <c r="N109" s="28" t="str">
        <f>IF(K109="","",ИТОГ!N109)</f>
        <v/>
      </c>
      <c r="O109" s="30" t="str">
        <f t="shared" si="30"/>
        <v/>
      </c>
      <c r="P109" s="24"/>
      <c r="Q109" s="30" t="str">
        <f t="shared" si="31"/>
        <v/>
      </c>
      <c r="R109" s="29" t="str">
        <f t="shared" ca="1" si="32"/>
        <v/>
      </c>
    </row>
    <row r="110" spans="1:18">
      <c r="A110" s="23" t="str">
        <f t="shared" si="22"/>
        <v/>
      </c>
      <c r="B110" s="23" t="str">
        <f t="shared" si="23"/>
        <v/>
      </c>
      <c r="C110" s="29" t="str">
        <f t="shared" ca="1" si="24"/>
        <v/>
      </c>
      <c r="D110" s="22" t="str">
        <f>IF(K110="","",ИТОГ!S110)</f>
        <v/>
      </c>
      <c r="E110" s="24" t="str">
        <f t="shared" si="25"/>
        <v/>
      </c>
      <c r="F110" s="30" t="str">
        <f t="shared" si="26"/>
        <v/>
      </c>
      <c r="G110" s="25" t="str">
        <f t="shared" si="27"/>
        <v/>
      </c>
      <c r="H110" s="29" t="str">
        <f t="shared" ca="1" si="28"/>
        <v/>
      </c>
      <c r="I110" s="24"/>
      <c r="J110" s="30"/>
      <c r="K110" s="27" t="str">
        <f>IF(ИТОГ!A110=0,"",ИТОГ!A110)</f>
        <v/>
      </c>
      <c r="L110" s="26" t="str">
        <f t="shared" si="29"/>
        <v/>
      </c>
      <c r="M110" s="25" t="str">
        <f>IF(K110="","",ИТОГ!Q110)</f>
        <v/>
      </c>
      <c r="N110" s="28" t="str">
        <f>IF(K110="","",ИТОГ!N110)</f>
        <v/>
      </c>
      <c r="O110" s="30" t="str">
        <f t="shared" si="30"/>
        <v/>
      </c>
      <c r="P110" s="24"/>
      <c r="Q110" s="30" t="str">
        <f t="shared" si="31"/>
        <v/>
      </c>
      <c r="R110" s="29" t="str">
        <f t="shared" ca="1" si="32"/>
        <v/>
      </c>
    </row>
    <row r="111" spans="1:18">
      <c r="A111" s="23" t="str">
        <f t="shared" si="22"/>
        <v/>
      </c>
      <c r="B111" s="23" t="str">
        <f t="shared" si="23"/>
        <v/>
      </c>
      <c r="C111" s="29" t="str">
        <f t="shared" ca="1" si="24"/>
        <v/>
      </c>
      <c r="D111" s="22" t="str">
        <f>IF(K111="","",ИТОГ!S111)</f>
        <v/>
      </c>
      <c r="E111" s="24" t="str">
        <f t="shared" si="25"/>
        <v/>
      </c>
      <c r="F111" s="30" t="str">
        <f t="shared" si="26"/>
        <v/>
      </c>
      <c r="G111" s="25" t="str">
        <f t="shared" si="27"/>
        <v/>
      </c>
      <c r="H111" s="29" t="str">
        <f t="shared" ca="1" si="28"/>
        <v/>
      </c>
      <c r="I111" s="24"/>
      <c r="J111" s="30"/>
      <c r="K111" s="27" t="str">
        <f>IF(ИТОГ!A111=0,"",ИТОГ!A111)</f>
        <v/>
      </c>
      <c r="L111" s="26" t="str">
        <f t="shared" si="29"/>
        <v/>
      </c>
      <c r="M111" s="25" t="str">
        <f>IF(K111="","",ИТОГ!Q111)</f>
        <v/>
      </c>
      <c r="N111" s="28" t="str">
        <f>IF(K111="","",ИТОГ!N111)</f>
        <v/>
      </c>
      <c r="O111" s="30" t="str">
        <f t="shared" si="30"/>
        <v/>
      </c>
      <c r="P111" s="24"/>
      <c r="Q111" s="30" t="str">
        <f t="shared" si="31"/>
        <v/>
      </c>
      <c r="R111" s="29" t="str">
        <f t="shared" ca="1" si="32"/>
        <v/>
      </c>
    </row>
    <row r="112" spans="1:18">
      <c r="A112" s="23" t="str">
        <f t="shared" si="22"/>
        <v/>
      </c>
      <c r="B112" s="23" t="str">
        <f t="shared" si="23"/>
        <v/>
      </c>
      <c r="C112" s="29" t="str">
        <f t="shared" ca="1" si="24"/>
        <v/>
      </c>
      <c r="D112" s="22" t="str">
        <f>IF(K112="","",ИТОГ!S112)</f>
        <v/>
      </c>
      <c r="E112" s="24" t="str">
        <f t="shared" si="25"/>
        <v/>
      </c>
      <c r="F112" s="30" t="str">
        <f t="shared" si="26"/>
        <v/>
      </c>
      <c r="G112" s="25" t="str">
        <f t="shared" si="27"/>
        <v/>
      </c>
      <c r="H112" s="29" t="str">
        <f t="shared" ca="1" si="28"/>
        <v/>
      </c>
      <c r="I112" s="24"/>
      <c r="J112" s="30"/>
      <c r="K112" s="27" t="str">
        <f>IF(ИТОГ!A112=0,"",ИТОГ!A112)</f>
        <v/>
      </c>
      <c r="L112" s="26" t="str">
        <f t="shared" si="29"/>
        <v/>
      </c>
      <c r="M112" s="25" t="str">
        <f>IF(K112="","",ИТОГ!Q112)</f>
        <v/>
      </c>
      <c r="N112" s="28" t="str">
        <f>IF(K112="","",ИТОГ!N112)</f>
        <v/>
      </c>
      <c r="O112" s="30" t="str">
        <f t="shared" si="30"/>
        <v/>
      </c>
      <c r="P112" s="24"/>
      <c r="Q112" s="30" t="str">
        <f t="shared" si="31"/>
        <v/>
      </c>
      <c r="R112" s="29" t="str">
        <f t="shared" ca="1" si="32"/>
        <v/>
      </c>
    </row>
    <row r="113" spans="1:18">
      <c r="A113" s="23" t="str">
        <f t="shared" si="22"/>
        <v/>
      </c>
      <c r="B113" s="23" t="str">
        <f t="shared" si="23"/>
        <v/>
      </c>
      <c r="C113" s="29" t="str">
        <f t="shared" ca="1" si="24"/>
        <v/>
      </c>
      <c r="D113" s="22" t="str">
        <f>IF(K113="","",ИТОГ!S113)</f>
        <v/>
      </c>
      <c r="E113" s="24" t="str">
        <f t="shared" si="25"/>
        <v/>
      </c>
      <c r="F113" s="30" t="str">
        <f t="shared" si="26"/>
        <v/>
      </c>
      <c r="G113" s="25" t="str">
        <f t="shared" si="27"/>
        <v/>
      </c>
      <c r="H113" s="29" t="str">
        <f t="shared" ca="1" si="28"/>
        <v/>
      </c>
      <c r="I113" s="24"/>
      <c r="J113" s="30"/>
      <c r="K113" s="27" t="str">
        <f>IF(ИТОГ!A113=0,"",ИТОГ!A113)</f>
        <v/>
      </c>
      <c r="L113" s="26" t="str">
        <f t="shared" si="29"/>
        <v/>
      </c>
      <c r="M113" s="25" t="str">
        <f>IF(K113="","",ИТОГ!Q113)</f>
        <v/>
      </c>
      <c r="N113" s="28" t="str">
        <f>IF(K113="","",ИТОГ!N113)</f>
        <v/>
      </c>
      <c r="O113" s="30" t="str">
        <f t="shared" si="30"/>
        <v/>
      </c>
      <c r="P113" s="24"/>
      <c r="Q113" s="30" t="str">
        <f t="shared" si="31"/>
        <v/>
      </c>
      <c r="R113" s="29" t="str">
        <f t="shared" ca="1" si="32"/>
        <v/>
      </c>
    </row>
    <row r="114" spans="1:18">
      <c r="A114" s="23" t="str">
        <f t="shared" si="22"/>
        <v/>
      </c>
      <c r="B114" s="23" t="str">
        <f t="shared" si="23"/>
        <v/>
      </c>
      <c r="C114" s="29" t="str">
        <f t="shared" ca="1" si="24"/>
        <v/>
      </c>
      <c r="D114" s="22" t="str">
        <f>IF(K114="","",ИТОГ!S114)</f>
        <v/>
      </c>
      <c r="E114" s="24" t="str">
        <f t="shared" si="25"/>
        <v/>
      </c>
      <c r="F114" s="30" t="str">
        <f t="shared" si="26"/>
        <v/>
      </c>
      <c r="G114" s="25" t="str">
        <f t="shared" si="27"/>
        <v/>
      </c>
      <c r="H114" s="29" t="str">
        <f t="shared" ca="1" si="28"/>
        <v/>
      </c>
      <c r="I114" s="24"/>
      <c r="J114" s="30"/>
      <c r="K114" s="27" t="str">
        <f>IF(ИТОГ!A114=0,"",ИТОГ!A114)</f>
        <v/>
      </c>
      <c r="L114" s="26" t="str">
        <f t="shared" si="29"/>
        <v/>
      </c>
      <c r="M114" s="25" t="str">
        <f>IF(K114="","",ИТОГ!Q114)</f>
        <v/>
      </c>
      <c r="N114" s="28" t="str">
        <f>IF(K114="","",ИТОГ!N114)</f>
        <v/>
      </c>
      <c r="O114" s="30" t="str">
        <f t="shared" si="30"/>
        <v/>
      </c>
      <c r="P114" s="24"/>
      <c r="Q114" s="30" t="str">
        <f t="shared" si="31"/>
        <v/>
      </c>
      <c r="R114" s="29" t="str">
        <f t="shared" ca="1" si="32"/>
        <v/>
      </c>
    </row>
    <row r="115" spans="1:18">
      <c r="A115" s="23" t="str">
        <f t="shared" si="22"/>
        <v/>
      </c>
      <c r="B115" s="23" t="str">
        <f t="shared" si="23"/>
        <v/>
      </c>
      <c r="C115" s="29" t="str">
        <f t="shared" ca="1" si="24"/>
        <v/>
      </c>
      <c r="D115" s="22" t="str">
        <f>IF(K115="","",ИТОГ!S115)</f>
        <v/>
      </c>
      <c r="E115" s="24" t="str">
        <f t="shared" si="25"/>
        <v/>
      </c>
      <c r="F115" s="30" t="str">
        <f t="shared" si="26"/>
        <v/>
      </c>
      <c r="G115" s="25" t="str">
        <f t="shared" si="27"/>
        <v/>
      </c>
      <c r="H115" s="29" t="str">
        <f t="shared" ca="1" si="28"/>
        <v/>
      </c>
      <c r="I115" s="24"/>
      <c r="J115" s="30"/>
      <c r="K115" s="27" t="str">
        <f>IF(ИТОГ!A115=0,"",ИТОГ!A115)</f>
        <v/>
      </c>
      <c r="L115" s="26" t="str">
        <f t="shared" si="29"/>
        <v/>
      </c>
      <c r="M115" s="25" t="str">
        <f>IF(K115="","",ИТОГ!Q115)</f>
        <v/>
      </c>
      <c r="N115" s="28" t="str">
        <f>IF(K115="","",ИТОГ!N115)</f>
        <v/>
      </c>
      <c r="O115" s="30" t="str">
        <f t="shared" si="30"/>
        <v/>
      </c>
      <c r="P115" s="24"/>
      <c r="Q115" s="30" t="str">
        <f t="shared" si="31"/>
        <v/>
      </c>
      <c r="R115" s="29" t="str">
        <f t="shared" ca="1" si="32"/>
        <v/>
      </c>
    </row>
    <row r="116" spans="1:18">
      <c r="A116" s="23" t="str">
        <f t="shared" si="22"/>
        <v/>
      </c>
      <c r="B116" s="23" t="str">
        <f t="shared" si="23"/>
        <v/>
      </c>
      <c r="C116" s="29" t="str">
        <f t="shared" ca="1" si="24"/>
        <v/>
      </c>
      <c r="D116" s="22" t="str">
        <f>IF(K116="","",ИТОГ!S116)</f>
        <v/>
      </c>
      <c r="E116" s="24" t="str">
        <f t="shared" si="25"/>
        <v/>
      </c>
      <c r="F116" s="30" t="str">
        <f t="shared" si="26"/>
        <v/>
      </c>
      <c r="G116" s="25" t="str">
        <f t="shared" si="27"/>
        <v/>
      </c>
      <c r="H116" s="29" t="str">
        <f t="shared" ca="1" si="28"/>
        <v/>
      </c>
      <c r="I116" s="24"/>
      <c r="J116" s="30"/>
      <c r="K116" s="27" t="str">
        <f>IF(ИТОГ!A116=0,"",ИТОГ!A116)</f>
        <v/>
      </c>
      <c r="L116" s="26" t="str">
        <f t="shared" si="29"/>
        <v/>
      </c>
      <c r="M116" s="25" t="str">
        <f>IF(K116="","",ИТОГ!Q116)</f>
        <v/>
      </c>
      <c r="N116" s="28" t="str">
        <f>IF(K116="","",ИТОГ!N116)</f>
        <v/>
      </c>
      <c r="O116" s="30" t="str">
        <f t="shared" si="30"/>
        <v/>
      </c>
      <c r="P116" s="24"/>
      <c r="Q116" s="30" t="str">
        <f t="shared" si="31"/>
        <v/>
      </c>
      <c r="R116" s="29" t="str">
        <f t="shared" ca="1" si="32"/>
        <v/>
      </c>
    </row>
    <row r="117" spans="1:18">
      <c r="A117" s="23" t="str">
        <f t="shared" si="22"/>
        <v/>
      </c>
      <c r="B117" s="23" t="str">
        <f t="shared" si="23"/>
        <v/>
      </c>
      <c r="C117" s="29" t="str">
        <f t="shared" ca="1" si="24"/>
        <v/>
      </c>
      <c r="D117" s="22" t="str">
        <f>IF(K117="","",ИТОГ!S117)</f>
        <v/>
      </c>
      <c r="E117" s="24" t="str">
        <f t="shared" si="25"/>
        <v/>
      </c>
      <c r="F117" s="30" t="str">
        <f t="shared" si="26"/>
        <v/>
      </c>
      <c r="G117" s="25" t="str">
        <f t="shared" si="27"/>
        <v/>
      </c>
      <c r="H117" s="29" t="str">
        <f t="shared" ca="1" si="28"/>
        <v/>
      </c>
      <c r="I117" s="24"/>
      <c r="J117" s="30"/>
      <c r="K117" s="27" t="str">
        <f>IF(ИТОГ!A117=0,"",ИТОГ!A117)</f>
        <v/>
      </c>
      <c r="L117" s="26" t="str">
        <f t="shared" si="29"/>
        <v/>
      </c>
      <c r="M117" s="25" t="str">
        <f>IF(K117="","",ИТОГ!Q117)</f>
        <v/>
      </c>
      <c r="N117" s="28" t="str">
        <f>IF(K117="","",ИТОГ!N117)</f>
        <v/>
      </c>
      <c r="O117" s="30" t="str">
        <f t="shared" si="30"/>
        <v/>
      </c>
      <c r="P117" s="24"/>
      <c r="Q117" s="30" t="str">
        <f t="shared" si="31"/>
        <v/>
      </c>
      <c r="R117" s="29" t="str">
        <f t="shared" ca="1" si="32"/>
        <v/>
      </c>
    </row>
    <row r="118" spans="1:18">
      <c r="A118" s="23" t="str">
        <f t="shared" si="22"/>
        <v/>
      </c>
      <c r="B118" s="23" t="str">
        <f t="shared" si="23"/>
        <v/>
      </c>
      <c r="C118" s="29" t="str">
        <f t="shared" ca="1" si="24"/>
        <v/>
      </c>
      <c r="D118" s="22" t="str">
        <f>IF(K118="","",ИТОГ!S118)</f>
        <v/>
      </c>
      <c r="E118" s="24" t="str">
        <f t="shared" si="25"/>
        <v/>
      </c>
      <c r="F118" s="30" t="str">
        <f t="shared" si="26"/>
        <v/>
      </c>
      <c r="G118" s="25" t="str">
        <f t="shared" si="27"/>
        <v/>
      </c>
      <c r="H118" s="29" t="str">
        <f t="shared" ca="1" si="28"/>
        <v/>
      </c>
      <c r="I118" s="24"/>
      <c r="J118" s="30"/>
      <c r="K118" s="27" t="str">
        <f>IF(ИТОГ!A118=0,"",ИТОГ!A118)</f>
        <v/>
      </c>
      <c r="L118" s="26" t="str">
        <f t="shared" si="29"/>
        <v/>
      </c>
      <c r="M118" s="25" t="str">
        <f>IF(K118="","",ИТОГ!Q118)</f>
        <v/>
      </c>
      <c r="N118" s="28" t="str">
        <f>IF(K118="","",ИТОГ!N118)</f>
        <v/>
      </c>
      <c r="O118" s="30" t="str">
        <f t="shared" si="30"/>
        <v/>
      </c>
      <c r="P118" s="24"/>
      <c r="Q118" s="30" t="str">
        <f t="shared" si="31"/>
        <v/>
      </c>
      <c r="R118" s="29" t="str">
        <f t="shared" ca="1" si="32"/>
        <v/>
      </c>
    </row>
    <row r="119" spans="1:18">
      <c r="A119" s="23" t="str">
        <f t="shared" si="22"/>
        <v/>
      </c>
      <c r="B119" s="23" t="str">
        <f t="shared" si="23"/>
        <v/>
      </c>
      <c r="C119" s="29" t="str">
        <f t="shared" ca="1" si="24"/>
        <v/>
      </c>
      <c r="D119" s="22" t="str">
        <f>IF(K119="","",ИТОГ!S119)</f>
        <v/>
      </c>
      <c r="E119" s="24" t="str">
        <f t="shared" si="25"/>
        <v/>
      </c>
      <c r="F119" s="30" t="str">
        <f t="shared" si="26"/>
        <v/>
      </c>
      <c r="G119" s="25" t="str">
        <f t="shared" si="27"/>
        <v/>
      </c>
      <c r="H119" s="29" t="str">
        <f t="shared" ca="1" si="28"/>
        <v/>
      </c>
      <c r="I119" s="24"/>
      <c r="J119" s="30"/>
      <c r="K119" s="27" t="str">
        <f>IF(ИТОГ!A119=0,"",ИТОГ!A119)</f>
        <v/>
      </c>
      <c r="L119" s="26" t="str">
        <f t="shared" si="29"/>
        <v/>
      </c>
      <c r="M119" s="25" t="str">
        <f>IF(K119="","",ИТОГ!Q119)</f>
        <v/>
      </c>
      <c r="N119" s="28" t="str">
        <f>IF(K119="","",ИТОГ!N119)</f>
        <v/>
      </c>
      <c r="O119" s="30" t="str">
        <f t="shared" si="30"/>
        <v/>
      </c>
      <c r="P119" s="24"/>
      <c r="Q119" s="30" t="str">
        <f t="shared" si="31"/>
        <v/>
      </c>
      <c r="R119" s="29" t="str">
        <f t="shared" ca="1" si="32"/>
        <v/>
      </c>
    </row>
    <row r="120" spans="1:18">
      <c r="A120" s="23" t="str">
        <f t="shared" si="22"/>
        <v/>
      </c>
      <c r="B120" s="23" t="str">
        <f t="shared" si="23"/>
        <v/>
      </c>
      <c r="C120" s="29" t="str">
        <f t="shared" ca="1" si="24"/>
        <v/>
      </c>
      <c r="D120" s="22" t="str">
        <f>IF(K120="","",ИТОГ!S120)</f>
        <v/>
      </c>
      <c r="E120" s="24" t="str">
        <f t="shared" si="25"/>
        <v/>
      </c>
      <c r="F120" s="30" t="str">
        <f t="shared" si="26"/>
        <v/>
      </c>
      <c r="G120" s="25" t="str">
        <f t="shared" si="27"/>
        <v/>
      </c>
      <c r="H120" s="29" t="str">
        <f t="shared" ca="1" si="28"/>
        <v/>
      </c>
      <c r="I120" s="24"/>
      <c r="J120" s="30"/>
      <c r="K120" s="27" t="str">
        <f>IF(ИТОГ!A120=0,"",ИТОГ!A120)</f>
        <v/>
      </c>
      <c r="L120" s="26" t="str">
        <f t="shared" si="29"/>
        <v/>
      </c>
      <c r="M120" s="25" t="str">
        <f>IF(K120="","",ИТОГ!Q120)</f>
        <v/>
      </c>
      <c r="N120" s="28" t="str">
        <f>IF(K120="","",ИТОГ!N120)</f>
        <v/>
      </c>
      <c r="O120" s="30" t="str">
        <f t="shared" si="30"/>
        <v/>
      </c>
      <c r="P120" s="24"/>
      <c r="Q120" s="30" t="str">
        <f t="shared" si="31"/>
        <v/>
      </c>
      <c r="R120" s="29" t="str">
        <f t="shared" ca="1" si="32"/>
        <v/>
      </c>
    </row>
    <row r="121" spans="1:18">
      <c r="A121" s="23" t="str">
        <f t="shared" si="22"/>
        <v/>
      </c>
      <c r="B121" s="23" t="str">
        <f t="shared" si="23"/>
        <v/>
      </c>
      <c r="C121" s="29" t="str">
        <f t="shared" ca="1" si="24"/>
        <v/>
      </c>
      <c r="D121" s="22" t="str">
        <f>IF(K121="","",ИТОГ!S121)</f>
        <v/>
      </c>
      <c r="E121" s="24" t="str">
        <f t="shared" si="25"/>
        <v/>
      </c>
      <c r="F121" s="30" t="str">
        <f t="shared" si="26"/>
        <v/>
      </c>
      <c r="G121" s="25" t="str">
        <f t="shared" si="27"/>
        <v/>
      </c>
      <c r="H121" s="29" t="str">
        <f t="shared" ca="1" si="28"/>
        <v/>
      </c>
      <c r="I121" s="24"/>
      <c r="J121" s="30"/>
      <c r="K121" s="27" t="str">
        <f>IF(ИТОГ!A121=0,"",ИТОГ!A121)</f>
        <v/>
      </c>
      <c r="L121" s="26" t="str">
        <f t="shared" si="29"/>
        <v/>
      </c>
      <c r="M121" s="25" t="str">
        <f>IF(K121="","",ИТОГ!Q121)</f>
        <v/>
      </c>
      <c r="N121" s="28" t="str">
        <f>IF(K121="","",ИТОГ!N121)</f>
        <v/>
      </c>
      <c r="O121" s="30" t="str">
        <f t="shared" si="30"/>
        <v/>
      </c>
      <c r="P121" s="24"/>
      <c r="Q121" s="30" t="str">
        <f t="shared" si="31"/>
        <v/>
      </c>
      <c r="R121" s="29" t="str">
        <f t="shared" ca="1" si="32"/>
        <v/>
      </c>
    </row>
    <row r="122" spans="1:18">
      <c r="A122" s="23" t="str">
        <f t="shared" si="22"/>
        <v/>
      </c>
      <c r="B122" s="23" t="str">
        <f t="shared" si="23"/>
        <v/>
      </c>
      <c r="C122" s="29" t="str">
        <f t="shared" ca="1" si="24"/>
        <v/>
      </c>
      <c r="D122" s="22" t="str">
        <f>IF(K122="","",ИТОГ!S122)</f>
        <v/>
      </c>
      <c r="E122" s="24" t="str">
        <f t="shared" si="25"/>
        <v/>
      </c>
      <c r="F122" s="30" t="str">
        <f t="shared" si="26"/>
        <v/>
      </c>
      <c r="G122" s="25" t="str">
        <f t="shared" si="27"/>
        <v/>
      </c>
      <c r="H122" s="29" t="str">
        <f t="shared" ca="1" si="28"/>
        <v/>
      </c>
      <c r="I122" s="24"/>
      <c r="J122" s="30"/>
      <c r="K122" s="27" t="str">
        <f>IF(ИТОГ!A122=0,"",ИТОГ!A122)</f>
        <v/>
      </c>
      <c r="L122" s="26" t="str">
        <f t="shared" si="29"/>
        <v/>
      </c>
      <c r="M122" s="25" t="str">
        <f>IF(K122="","",ИТОГ!Q122)</f>
        <v/>
      </c>
      <c r="N122" s="28" t="str">
        <f>IF(K122="","",ИТОГ!N122)</f>
        <v/>
      </c>
      <c r="O122" s="30" t="str">
        <f t="shared" si="30"/>
        <v/>
      </c>
      <c r="P122" s="24"/>
      <c r="Q122" s="30" t="str">
        <f t="shared" si="31"/>
        <v/>
      </c>
      <c r="R122" s="29" t="str">
        <f t="shared" ca="1" si="32"/>
        <v/>
      </c>
    </row>
    <row r="123" spans="1:18">
      <c r="A123" s="23" t="str">
        <f t="shared" si="22"/>
        <v/>
      </c>
      <c r="B123" s="23" t="str">
        <f t="shared" si="23"/>
        <v/>
      </c>
      <c r="C123" s="29" t="str">
        <f t="shared" ca="1" si="24"/>
        <v/>
      </c>
      <c r="D123" s="22" t="str">
        <f>IF(K123="","",ИТОГ!S123)</f>
        <v/>
      </c>
      <c r="E123" s="24" t="str">
        <f t="shared" si="25"/>
        <v/>
      </c>
      <c r="F123" s="30" t="str">
        <f t="shared" si="26"/>
        <v/>
      </c>
      <c r="G123" s="25" t="str">
        <f t="shared" si="27"/>
        <v/>
      </c>
      <c r="H123" s="29" t="str">
        <f t="shared" ca="1" si="28"/>
        <v/>
      </c>
      <c r="I123" s="24"/>
      <c r="J123" s="30"/>
      <c r="K123" s="27" t="str">
        <f>IF(ИТОГ!A123=0,"",ИТОГ!A123)</f>
        <v/>
      </c>
      <c r="L123" s="26" t="str">
        <f t="shared" si="29"/>
        <v/>
      </c>
      <c r="M123" s="25" t="str">
        <f>IF(K123="","",ИТОГ!Q123)</f>
        <v/>
      </c>
      <c r="N123" s="28" t="str">
        <f>IF(K123="","",ИТОГ!N123)</f>
        <v/>
      </c>
      <c r="O123" s="30" t="str">
        <f t="shared" si="30"/>
        <v/>
      </c>
      <c r="P123" s="24"/>
      <c r="Q123" s="30" t="str">
        <f t="shared" si="31"/>
        <v/>
      </c>
      <c r="R123" s="29" t="str">
        <f t="shared" ca="1" si="32"/>
        <v/>
      </c>
    </row>
    <row r="124" spans="1:18">
      <c r="A124" s="23" t="str">
        <f t="shared" si="22"/>
        <v/>
      </c>
      <c r="B124" s="23" t="str">
        <f t="shared" si="23"/>
        <v/>
      </c>
      <c r="C124" s="29" t="str">
        <f t="shared" ca="1" si="24"/>
        <v/>
      </c>
      <c r="D124" s="22" t="str">
        <f>IF(K124="","",ИТОГ!S124)</f>
        <v/>
      </c>
      <c r="E124" s="24" t="str">
        <f t="shared" si="25"/>
        <v/>
      </c>
      <c r="F124" s="30" t="str">
        <f t="shared" si="26"/>
        <v/>
      </c>
      <c r="G124" s="25" t="str">
        <f t="shared" si="27"/>
        <v/>
      </c>
      <c r="H124" s="29" t="str">
        <f t="shared" ca="1" si="28"/>
        <v/>
      </c>
      <c r="I124" s="24"/>
      <c r="J124" s="30"/>
      <c r="K124" s="27" t="str">
        <f>IF(ИТОГ!A124=0,"",ИТОГ!A124)</f>
        <v/>
      </c>
      <c r="L124" s="26" t="str">
        <f t="shared" si="29"/>
        <v/>
      </c>
      <c r="M124" s="25" t="str">
        <f>IF(K124="","",ИТОГ!Q124)</f>
        <v/>
      </c>
      <c r="N124" s="28" t="str">
        <f>IF(K124="","",ИТОГ!N124)</f>
        <v/>
      </c>
      <c r="O124" s="30" t="str">
        <f t="shared" si="30"/>
        <v/>
      </c>
      <c r="P124" s="24"/>
      <c r="Q124" s="30" t="str">
        <f t="shared" si="31"/>
        <v/>
      </c>
      <c r="R124" s="29" t="str">
        <f t="shared" ca="1" si="32"/>
        <v/>
      </c>
    </row>
    <row r="125" spans="1:18">
      <c r="A125" s="23" t="str">
        <f t="shared" si="22"/>
        <v/>
      </c>
      <c r="B125" s="23" t="str">
        <f t="shared" si="23"/>
        <v/>
      </c>
      <c r="C125" s="29" t="str">
        <f t="shared" ca="1" si="24"/>
        <v/>
      </c>
      <c r="D125" s="22" t="str">
        <f>IF(K125="","",ИТОГ!S125)</f>
        <v/>
      </c>
      <c r="E125" s="24" t="str">
        <f t="shared" si="25"/>
        <v/>
      </c>
      <c r="F125" s="30" t="str">
        <f t="shared" si="26"/>
        <v/>
      </c>
      <c r="G125" s="25" t="str">
        <f t="shared" si="27"/>
        <v/>
      </c>
      <c r="H125" s="29" t="str">
        <f t="shared" ca="1" si="28"/>
        <v/>
      </c>
      <c r="I125" s="24"/>
      <c r="J125" s="30"/>
      <c r="K125" s="27" t="str">
        <f>IF(ИТОГ!A125=0,"",ИТОГ!A125)</f>
        <v/>
      </c>
      <c r="L125" s="26" t="str">
        <f t="shared" si="29"/>
        <v/>
      </c>
      <c r="M125" s="25" t="str">
        <f>IF(K125="","",ИТОГ!Q125)</f>
        <v/>
      </c>
      <c r="N125" s="28" t="str">
        <f>IF(K125="","",ИТОГ!N125)</f>
        <v/>
      </c>
      <c r="O125" s="30" t="str">
        <f t="shared" si="30"/>
        <v/>
      </c>
      <c r="P125" s="24"/>
      <c r="Q125" s="30" t="str">
        <f t="shared" si="31"/>
        <v/>
      </c>
      <c r="R125" s="29" t="str">
        <f t="shared" ca="1" si="32"/>
        <v/>
      </c>
    </row>
    <row r="126" spans="1:18">
      <c r="A126" s="23" t="str">
        <f t="shared" si="22"/>
        <v/>
      </c>
      <c r="B126" s="23" t="str">
        <f t="shared" si="23"/>
        <v/>
      </c>
      <c r="C126" s="29" t="str">
        <f t="shared" ca="1" si="24"/>
        <v/>
      </c>
      <c r="D126" s="22" t="str">
        <f>IF(K126="","",ИТОГ!S126)</f>
        <v/>
      </c>
      <c r="E126" s="24" t="str">
        <f t="shared" si="25"/>
        <v/>
      </c>
      <c r="F126" s="30" t="str">
        <f t="shared" si="26"/>
        <v/>
      </c>
      <c r="G126" s="25" t="str">
        <f t="shared" si="27"/>
        <v/>
      </c>
      <c r="H126" s="29" t="str">
        <f t="shared" ca="1" si="28"/>
        <v/>
      </c>
      <c r="I126" s="24"/>
      <c r="J126" s="30"/>
      <c r="K126" s="27" t="str">
        <f>IF(ИТОГ!A126=0,"",ИТОГ!A126)</f>
        <v/>
      </c>
      <c r="L126" s="26" t="str">
        <f t="shared" si="29"/>
        <v/>
      </c>
      <c r="M126" s="25" t="str">
        <f>IF(K126="","",ИТОГ!Q126)</f>
        <v/>
      </c>
      <c r="N126" s="28" t="str">
        <f>IF(K126="","",ИТОГ!N126)</f>
        <v/>
      </c>
      <c r="O126" s="30" t="str">
        <f t="shared" si="30"/>
        <v/>
      </c>
      <c r="P126" s="24"/>
      <c r="Q126" s="30" t="str">
        <f t="shared" si="31"/>
        <v/>
      </c>
      <c r="R126" s="29" t="str">
        <f t="shared" ca="1" si="32"/>
        <v/>
      </c>
    </row>
    <row r="127" spans="1:18">
      <c r="A127" s="23" t="str">
        <f t="shared" si="22"/>
        <v/>
      </c>
      <c r="B127" s="23" t="str">
        <f t="shared" si="23"/>
        <v/>
      </c>
      <c r="C127" s="29" t="str">
        <f t="shared" ca="1" si="24"/>
        <v/>
      </c>
      <c r="D127" s="22" t="str">
        <f>IF(K127="","",ИТОГ!S127)</f>
        <v/>
      </c>
      <c r="E127" s="24" t="str">
        <f t="shared" si="25"/>
        <v/>
      </c>
      <c r="F127" s="30" t="str">
        <f t="shared" si="26"/>
        <v/>
      </c>
      <c r="G127" s="25" t="str">
        <f t="shared" si="27"/>
        <v/>
      </c>
      <c r="H127" s="29" t="str">
        <f t="shared" ca="1" si="28"/>
        <v/>
      </c>
      <c r="I127" s="24"/>
      <c r="J127" s="30"/>
      <c r="K127" s="27" t="str">
        <f>IF(ИТОГ!A127=0,"",ИТОГ!A127)</f>
        <v/>
      </c>
      <c r="L127" s="26" t="str">
        <f t="shared" si="29"/>
        <v/>
      </c>
      <c r="M127" s="25" t="str">
        <f>IF(K127="","",ИТОГ!Q127)</f>
        <v/>
      </c>
      <c r="N127" s="28" t="str">
        <f>IF(K127="","",ИТОГ!N127)</f>
        <v/>
      </c>
      <c r="O127" s="30" t="str">
        <f t="shared" si="30"/>
        <v/>
      </c>
      <c r="P127" s="24"/>
      <c r="Q127" s="30" t="str">
        <f t="shared" si="31"/>
        <v/>
      </c>
      <c r="R127" s="29" t="str">
        <f t="shared" ca="1" si="32"/>
        <v/>
      </c>
    </row>
    <row r="128" spans="1:18">
      <c r="A128" s="23" t="str">
        <f t="shared" si="22"/>
        <v/>
      </c>
      <c r="B128" s="23" t="str">
        <f t="shared" si="23"/>
        <v/>
      </c>
      <c r="C128" s="29" t="str">
        <f t="shared" ca="1" si="24"/>
        <v/>
      </c>
      <c r="D128" s="22" t="str">
        <f>IF(K128="","",ИТОГ!S128)</f>
        <v/>
      </c>
      <c r="E128" s="24" t="str">
        <f t="shared" si="25"/>
        <v/>
      </c>
      <c r="F128" s="30" t="str">
        <f t="shared" si="26"/>
        <v/>
      </c>
      <c r="G128" s="25" t="str">
        <f t="shared" si="27"/>
        <v/>
      </c>
      <c r="H128" s="29" t="str">
        <f t="shared" ca="1" si="28"/>
        <v/>
      </c>
      <c r="I128" s="24"/>
      <c r="J128" s="30"/>
      <c r="K128" s="27" t="str">
        <f>IF(ИТОГ!A128=0,"",ИТОГ!A128)</f>
        <v/>
      </c>
      <c r="L128" s="26" t="str">
        <f t="shared" si="29"/>
        <v/>
      </c>
      <c r="M128" s="25" t="str">
        <f>IF(K128="","",ИТОГ!Q128)</f>
        <v/>
      </c>
      <c r="N128" s="28" t="str">
        <f>IF(K128="","",ИТОГ!N128)</f>
        <v/>
      </c>
      <c r="O128" s="30" t="str">
        <f t="shared" si="30"/>
        <v/>
      </c>
      <c r="P128" s="24"/>
      <c r="Q128" s="30" t="str">
        <f t="shared" si="31"/>
        <v/>
      </c>
      <c r="R128" s="29" t="str">
        <f t="shared" ca="1" si="32"/>
        <v/>
      </c>
    </row>
    <row r="129" spans="1:18">
      <c r="A129" s="23" t="str">
        <f t="shared" si="22"/>
        <v/>
      </c>
      <c r="B129" s="23" t="str">
        <f t="shared" si="23"/>
        <v/>
      </c>
      <c r="C129" s="29" t="str">
        <f t="shared" ca="1" si="24"/>
        <v/>
      </c>
      <c r="D129" s="22" t="str">
        <f>IF(K129="","",ИТОГ!S129)</f>
        <v/>
      </c>
      <c r="E129" s="24" t="str">
        <f t="shared" si="25"/>
        <v/>
      </c>
      <c r="F129" s="30" t="str">
        <f t="shared" si="26"/>
        <v/>
      </c>
      <c r="G129" s="25" t="str">
        <f t="shared" si="27"/>
        <v/>
      </c>
      <c r="H129" s="29" t="str">
        <f t="shared" ca="1" si="28"/>
        <v/>
      </c>
      <c r="I129" s="24"/>
      <c r="J129" s="30"/>
      <c r="K129" s="27" t="str">
        <f>IF(ИТОГ!A129=0,"",ИТОГ!A129)</f>
        <v/>
      </c>
      <c r="L129" s="26" t="str">
        <f t="shared" si="29"/>
        <v/>
      </c>
      <c r="M129" s="25" t="str">
        <f>IF(K129="","",ИТОГ!Q129)</f>
        <v/>
      </c>
      <c r="N129" s="28" t="str">
        <f>IF(K129="","",ИТОГ!N129)</f>
        <v/>
      </c>
      <c r="O129" s="30" t="str">
        <f t="shared" si="30"/>
        <v/>
      </c>
      <c r="P129" s="24"/>
      <c r="Q129" s="30" t="str">
        <f t="shared" si="31"/>
        <v/>
      </c>
      <c r="R129" s="29" t="str">
        <f t="shared" ca="1" si="32"/>
        <v/>
      </c>
    </row>
    <row r="130" spans="1:18">
      <c r="A130" s="23" t="str">
        <f t="shared" si="22"/>
        <v/>
      </c>
      <c r="B130" s="23" t="str">
        <f t="shared" si="23"/>
        <v/>
      </c>
      <c r="C130" s="29" t="str">
        <f t="shared" ca="1" si="24"/>
        <v/>
      </c>
      <c r="D130" s="22" t="str">
        <f>IF(K130="","",ИТОГ!S130)</f>
        <v/>
      </c>
      <c r="E130" s="24" t="str">
        <f t="shared" si="25"/>
        <v/>
      </c>
      <c r="F130" s="30" t="str">
        <f t="shared" si="26"/>
        <v/>
      </c>
      <c r="G130" s="25" t="str">
        <f t="shared" si="27"/>
        <v/>
      </c>
      <c r="H130" s="29" t="str">
        <f t="shared" ca="1" si="28"/>
        <v/>
      </c>
      <c r="I130" s="24"/>
      <c r="J130" s="30"/>
      <c r="K130" s="27" t="str">
        <f>IF(ИТОГ!A130=0,"",ИТОГ!A130)</f>
        <v/>
      </c>
      <c r="L130" s="26" t="str">
        <f t="shared" si="29"/>
        <v/>
      </c>
      <c r="M130" s="25" t="str">
        <f>IF(K130="","",ИТОГ!Q130)</f>
        <v/>
      </c>
      <c r="N130" s="28" t="str">
        <f>IF(K130="","",ИТОГ!N130)</f>
        <v/>
      </c>
      <c r="O130" s="30" t="str">
        <f t="shared" si="30"/>
        <v/>
      </c>
      <c r="P130" s="24"/>
      <c r="Q130" s="30" t="str">
        <f t="shared" si="31"/>
        <v/>
      </c>
      <c r="R130" s="29" t="str">
        <f t="shared" ca="1" si="32"/>
        <v/>
      </c>
    </row>
    <row r="131" spans="1:18">
      <c r="A131" s="23" t="str">
        <f t="shared" si="22"/>
        <v/>
      </c>
      <c r="B131" s="23" t="str">
        <f t="shared" si="23"/>
        <v/>
      </c>
      <c r="C131" s="29" t="str">
        <f t="shared" ca="1" si="24"/>
        <v/>
      </c>
      <c r="D131" s="22" t="str">
        <f>IF(K131="","",ИТОГ!S131)</f>
        <v/>
      </c>
      <c r="E131" s="24" t="str">
        <f t="shared" si="25"/>
        <v/>
      </c>
      <c r="F131" s="30" t="str">
        <f t="shared" si="26"/>
        <v/>
      </c>
      <c r="G131" s="25" t="str">
        <f t="shared" si="27"/>
        <v/>
      </c>
      <c r="H131" s="29" t="str">
        <f t="shared" ca="1" si="28"/>
        <v/>
      </c>
      <c r="I131" s="24"/>
      <c r="J131" s="30"/>
      <c r="K131" s="27" t="str">
        <f>IF(ИТОГ!A131=0,"",ИТОГ!A131)</f>
        <v/>
      </c>
      <c r="L131" s="26" t="str">
        <f t="shared" si="29"/>
        <v/>
      </c>
      <c r="M131" s="25" t="str">
        <f>IF(K131="","",ИТОГ!Q131)</f>
        <v/>
      </c>
      <c r="N131" s="28" t="str">
        <f>IF(K131="","",ИТОГ!N131)</f>
        <v/>
      </c>
      <c r="O131" s="30" t="str">
        <f t="shared" si="30"/>
        <v/>
      </c>
      <c r="P131" s="24"/>
      <c r="Q131" s="30" t="str">
        <f t="shared" si="31"/>
        <v/>
      </c>
      <c r="R131" s="29" t="str">
        <f t="shared" ca="1" si="32"/>
        <v/>
      </c>
    </row>
    <row r="132" spans="1:18">
      <c r="A132" s="23" t="str">
        <f t="shared" si="22"/>
        <v/>
      </c>
      <c r="B132" s="23" t="str">
        <f t="shared" si="23"/>
        <v/>
      </c>
      <c r="C132" s="29" t="str">
        <f t="shared" ca="1" si="24"/>
        <v/>
      </c>
      <c r="D132" s="22" t="str">
        <f>IF(K132="","",ИТОГ!S132)</f>
        <v/>
      </c>
      <c r="E132" s="24" t="str">
        <f t="shared" si="25"/>
        <v/>
      </c>
      <c r="F132" s="30" t="str">
        <f t="shared" si="26"/>
        <v/>
      </c>
      <c r="G132" s="25" t="str">
        <f t="shared" si="27"/>
        <v/>
      </c>
      <c r="H132" s="29" t="str">
        <f t="shared" ca="1" si="28"/>
        <v/>
      </c>
      <c r="I132" s="24"/>
      <c r="J132" s="30"/>
      <c r="K132" s="27" t="str">
        <f>IF(ИТОГ!A132=0,"",ИТОГ!A132)</f>
        <v/>
      </c>
      <c r="L132" s="26" t="str">
        <f t="shared" si="29"/>
        <v/>
      </c>
      <c r="M132" s="25" t="str">
        <f>IF(K132="","",ИТОГ!Q132)</f>
        <v/>
      </c>
      <c r="N132" s="28" t="str">
        <f>IF(K132="","",ИТОГ!N132)</f>
        <v/>
      </c>
      <c r="O132" s="30" t="str">
        <f t="shared" si="30"/>
        <v/>
      </c>
      <c r="P132" s="24"/>
      <c r="Q132" s="30" t="str">
        <f t="shared" si="31"/>
        <v/>
      </c>
      <c r="R132" s="29" t="str">
        <f t="shared" ca="1" si="32"/>
        <v/>
      </c>
    </row>
    <row r="133" spans="1:18">
      <c r="A133" s="23" t="str">
        <f t="shared" si="22"/>
        <v/>
      </c>
      <c r="B133" s="23" t="str">
        <f t="shared" si="23"/>
        <v/>
      </c>
      <c r="C133" s="29" t="str">
        <f t="shared" ca="1" si="24"/>
        <v/>
      </c>
      <c r="D133" s="22" t="str">
        <f>IF(K133="","",ИТОГ!S133)</f>
        <v/>
      </c>
      <c r="E133" s="24" t="str">
        <f t="shared" si="25"/>
        <v/>
      </c>
      <c r="F133" s="30" t="str">
        <f t="shared" si="26"/>
        <v/>
      </c>
      <c r="G133" s="25" t="str">
        <f t="shared" si="27"/>
        <v/>
      </c>
      <c r="H133" s="29" t="str">
        <f t="shared" ca="1" si="28"/>
        <v/>
      </c>
      <c r="I133" s="24"/>
      <c r="J133" s="30"/>
      <c r="K133" s="27" t="str">
        <f>IF(ИТОГ!A133=0,"",ИТОГ!A133)</f>
        <v/>
      </c>
      <c r="L133" s="26" t="str">
        <f t="shared" si="29"/>
        <v/>
      </c>
      <c r="M133" s="25" t="str">
        <f>IF(K133="","",ИТОГ!Q133)</f>
        <v/>
      </c>
      <c r="N133" s="28" t="str">
        <f>IF(K133="","",ИТОГ!N133)</f>
        <v/>
      </c>
      <c r="O133" s="30" t="str">
        <f t="shared" si="30"/>
        <v/>
      </c>
      <c r="P133" s="24"/>
      <c r="Q133" s="30" t="str">
        <f t="shared" si="31"/>
        <v/>
      </c>
      <c r="R133" s="29" t="str">
        <f t="shared" ca="1" si="32"/>
        <v/>
      </c>
    </row>
    <row r="134" spans="1:18">
      <c r="A134" s="23" t="str">
        <f t="shared" si="22"/>
        <v/>
      </c>
      <c r="B134" s="23" t="str">
        <f t="shared" si="23"/>
        <v/>
      </c>
      <c r="C134" s="29" t="str">
        <f t="shared" ca="1" si="24"/>
        <v/>
      </c>
      <c r="D134" s="22" t="str">
        <f>IF(K134="","",ИТОГ!S134)</f>
        <v/>
      </c>
      <c r="E134" s="24" t="str">
        <f t="shared" si="25"/>
        <v/>
      </c>
      <c r="F134" s="30" t="str">
        <f t="shared" si="26"/>
        <v/>
      </c>
      <c r="G134" s="25" t="str">
        <f t="shared" si="27"/>
        <v/>
      </c>
      <c r="H134" s="29" t="str">
        <f t="shared" ca="1" si="28"/>
        <v/>
      </c>
      <c r="I134" s="24"/>
      <c r="J134" s="30"/>
      <c r="K134" s="27" t="str">
        <f>IF(ИТОГ!A134=0,"",ИТОГ!A134)</f>
        <v/>
      </c>
      <c r="L134" s="26" t="str">
        <f t="shared" si="29"/>
        <v/>
      </c>
      <c r="M134" s="25" t="str">
        <f>IF(K134="","",ИТОГ!Q134)</f>
        <v/>
      </c>
      <c r="N134" s="28" t="str">
        <f>IF(K134="","",ИТОГ!N134)</f>
        <v/>
      </c>
      <c r="O134" s="30" t="str">
        <f t="shared" si="30"/>
        <v/>
      </c>
      <c r="P134" s="24"/>
      <c r="Q134" s="30" t="str">
        <f t="shared" si="31"/>
        <v/>
      </c>
      <c r="R134" s="29" t="str">
        <f t="shared" ca="1" si="32"/>
        <v/>
      </c>
    </row>
    <row r="135" spans="1:18">
      <c r="A135" s="23" t="str">
        <f t="shared" si="22"/>
        <v/>
      </c>
      <c r="B135" s="23" t="str">
        <f t="shared" si="23"/>
        <v/>
      </c>
      <c r="C135" s="29" t="str">
        <f t="shared" ca="1" si="24"/>
        <v/>
      </c>
      <c r="D135" s="22" t="str">
        <f>IF(K135="","",ИТОГ!S135)</f>
        <v/>
      </c>
      <c r="E135" s="24" t="str">
        <f t="shared" si="25"/>
        <v/>
      </c>
      <c r="F135" s="30" t="str">
        <f t="shared" si="26"/>
        <v/>
      </c>
      <c r="G135" s="25" t="str">
        <f t="shared" si="27"/>
        <v/>
      </c>
      <c r="H135" s="29" t="str">
        <f t="shared" ca="1" si="28"/>
        <v/>
      </c>
      <c r="I135" s="24"/>
      <c r="J135" s="30"/>
      <c r="K135" s="27" t="str">
        <f>IF(ИТОГ!A135=0,"",ИТОГ!A135)</f>
        <v/>
      </c>
      <c r="L135" s="26" t="str">
        <f t="shared" si="29"/>
        <v/>
      </c>
      <c r="M135" s="25" t="str">
        <f>IF(K135="","",ИТОГ!Q135)</f>
        <v/>
      </c>
      <c r="N135" s="28" t="str">
        <f>IF(K135="","",ИТОГ!N135)</f>
        <v/>
      </c>
      <c r="O135" s="30" t="str">
        <f t="shared" si="30"/>
        <v/>
      </c>
      <c r="P135" s="24"/>
      <c r="Q135" s="30" t="str">
        <f t="shared" si="31"/>
        <v/>
      </c>
      <c r="R135" s="29" t="str">
        <f t="shared" ca="1" si="32"/>
        <v/>
      </c>
    </row>
    <row r="136" spans="1:18">
      <c r="A136" s="23" t="str">
        <f t="shared" si="22"/>
        <v/>
      </c>
      <c r="B136" s="23" t="str">
        <f t="shared" si="23"/>
        <v/>
      </c>
      <c r="C136" s="29" t="str">
        <f t="shared" ca="1" si="24"/>
        <v/>
      </c>
      <c r="D136" s="22" t="str">
        <f>IF(K136="","",ИТОГ!S136)</f>
        <v/>
      </c>
      <c r="E136" s="24" t="str">
        <f t="shared" si="25"/>
        <v/>
      </c>
      <c r="F136" s="30" t="str">
        <f t="shared" si="26"/>
        <v/>
      </c>
      <c r="G136" s="25" t="str">
        <f t="shared" si="27"/>
        <v/>
      </c>
      <c r="H136" s="29" t="str">
        <f t="shared" ca="1" si="28"/>
        <v/>
      </c>
      <c r="I136" s="24"/>
      <c r="J136" s="30"/>
      <c r="K136" s="27" t="str">
        <f>IF(ИТОГ!A136=0,"",ИТОГ!A136)</f>
        <v/>
      </c>
      <c r="L136" s="26" t="str">
        <f t="shared" si="29"/>
        <v/>
      </c>
      <c r="M136" s="25" t="str">
        <f>IF(K136="","",ИТОГ!Q136)</f>
        <v/>
      </c>
      <c r="N136" s="28" t="str">
        <f>IF(K136="","",ИТОГ!N136)</f>
        <v/>
      </c>
      <c r="O136" s="30" t="str">
        <f t="shared" si="30"/>
        <v/>
      </c>
      <c r="P136" s="24"/>
      <c r="Q136" s="30" t="str">
        <f t="shared" si="31"/>
        <v/>
      </c>
      <c r="R136" s="29" t="str">
        <f t="shared" ca="1" si="32"/>
        <v/>
      </c>
    </row>
    <row r="137" spans="1:18">
      <c r="A137" s="23" t="str">
        <f t="shared" si="22"/>
        <v/>
      </c>
      <c r="B137" s="23" t="str">
        <f t="shared" si="23"/>
        <v/>
      </c>
      <c r="C137" s="29" t="str">
        <f t="shared" ca="1" si="24"/>
        <v/>
      </c>
      <c r="D137" s="22" t="str">
        <f>IF(K137="","",ИТОГ!S137)</f>
        <v/>
      </c>
      <c r="E137" s="24" t="str">
        <f t="shared" si="25"/>
        <v/>
      </c>
      <c r="F137" s="30" t="str">
        <f t="shared" si="26"/>
        <v/>
      </c>
      <c r="G137" s="25" t="str">
        <f t="shared" si="27"/>
        <v/>
      </c>
      <c r="H137" s="29" t="str">
        <f t="shared" ca="1" si="28"/>
        <v/>
      </c>
      <c r="I137" s="24"/>
      <c r="J137" s="30"/>
      <c r="K137" s="27" t="str">
        <f>IF(ИТОГ!A137=0,"",ИТОГ!A137)</f>
        <v/>
      </c>
      <c r="L137" s="26" t="str">
        <f t="shared" si="29"/>
        <v/>
      </c>
      <c r="M137" s="25" t="str">
        <f>IF(K137="","",ИТОГ!Q137)</f>
        <v/>
      </c>
      <c r="N137" s="28" t="str">
        <f>IF(K137="","",ИТОГ!N137)</f>
        <v/>
      </c>
      <c r="O137" s="30" t="str">
        <f t="shared" si="30"/>
        <v/>
      </c>
      <c r="P137" s="24"/>
      <c r="Q137" s="30" t="str">
        <f t="shared" si="31"/>
        <v/>
      </c>
      <c r="R137" s="29" t="str">
        <f t="shared" ca="1" si="32"/>
        <v/>
      </c>
    </row>
    <row r="138" spans="1:18">
      <c r="A138" s="23" t="str">
        <f t="shared" si="22"/>
        <v/>
      </c>
      <c r="B138" s="23" t="str">
        <f t="shared" si="23"/>
        <v/>
      </c>
      <c r="C138" s="29" t="str">
        <f t="shared" ca="1" si="24"/>
        <v/>
      </c>
      <c r="D138" s="22" t="str">
        <f>IF(K138="","",ИТОГ!S138)</f>
        <v/>
      </c>
      <c r="E138" s="24" t="str">
        <f t="shared" si="25"/>
        <v/>
      </c>
      <c r="F138" s="30" t="str">
        <f t="shared" si="26"/>
        <v/>
      </c>
      <c r="G138" s="25" t="str">
        <f t="shared" si="27"/>
        <v/>
      </c>
      <c r="H138" s="29" t="str">
        <f t="shared" ca="1" si="28"/>
        <v/>
      </c>
      <c r="I138" s="24"/>
      <c r="J138" s="30"/>
      <c r="K138" s="27" t="str">
        <f>IF(ИТОГ!A138=0,"",ИТОГ!A138)</f>
        <v/>
      </c>
      <c r="L138" s="26" t="str">
        <f t="shared" si="29"/>
        <v/>
      </c>
      <c r="M138" s="25" t="str">
        <f>IF(K138="","",ИТОГ!Q138)</f>
        <v/>
      </c>
      <c r="N138" s="28" t="str">
        <f>IF(K138="","",ИТОГ!N138)</f>
        <v/>
      </c>
      <c r="O138" s="30" t="str">
        <f t="shared" si="30"/>
        <v/>
      </c>
      <c r="P138" s="24"/>
      <c r="Q138" s="30" t="str">
        <f t="shared" si="31"/>
        <v/>
      </c>
      <c r="R138" s="29" t="str">
        <f t="shared" ca="1" si="32"/>
        <v/>
      </c>
    </row>
    <row r="139" spans="1:18">
      <c r="A139" s="23" t="str">
        <f t="shared" si="22"/>
        <v/>
      </c>
      <c r="B139" s="23" t="str">
        <f t="shared" si="23"/>
        <v/>
      </c>
      <c r="C139" s="29" t="str">
        <f t="shared" ca="1" si="24"/>
        <v/>
      </c>
      <c r="D139" s="22" t="str">
        <f>IF(K139="","",ИТОГ!S139)</f>
        <v/>
      </c>
      <c r="E139" s="24" t="str">
        <f t="shared" si="25"/>
        <v/>
      </c>
      <c r="F139" s="30" t="str">
        <f t="shared" si="26"/>
        <v/>
      </c>
      <c r="G139" s="25" t="str">
        <f t="shared" si="27"/>
        <v/>
      </c>
      <c r="H139" s="29" t="str">
        <f t="shared" ca="1" si="28"/>
        <v/>
      </c>
      <c r="I139" s="24"/>
      <c r="J139" s="30"/>
      <c r="K139" s="27" t="str">
        <f>IF(ИТОГ!A139=0,"",ИТОГ!A139)</f>
        <v/>
      </c>
      <c r="L139" s="26" t="str">
        <f t="shared" si="29"/>
        <v/>
      </c>
      <c r="M139" s="25" t="str">
        <f>IF(K139="","",ИТОГ!Q139)</f>
        <v/>
      </c>
      <c r="N139" s="28" t="str">
        <f>IF(K139="","",ИТОГ!N139)</f>
        <v/>
      </c>
      <c r="O139" s="30" t="str">
        <f t="shared" si="30"/>
        <v/>
      </c>
      <c r="P139" s="24"/>
      <c r="Q139" s="30" t="str">
        <f t="shared" si="31"/>
        <v/>
      </c>
      <c r="R139" s="29" t="str">
        <f t="shared" ca="1" si="32"/>
        <v/>
      </c>
    </row>
    <row r="140" spans="1:18">
      <c r="A140" s="23" t="str">
        <f t="shared" si="22"/>
        <v/>
      </c>
      <c r="B140" s="23" t="str">
        <f t="shared" si="23"/>
        <v/>
      </c>
      <c r="C140" s="29" t="str">
        <f t="shared" ca="1" si="24"/>
        <v/>
      </c>
      <c r="D140" s="22" t="str">
        <f>IF(K140="","",ИТОГ!S140)</f>
        <v/>
      </c>
      <c r="E140" s="24" t="str">
        <f t="shared" si="25"/>
        <v/>
      </c>
      <c r="F140" s="30" t="str">
        <f t="shared" si="26"/>
        <v/>
      </c>
      <c r="G140" s="25" t="str">
        <f t="shared" si="27"/>
        <v/>
      </c>
      <c r="H140" s="29" t="str">
        <f t="shared" ca="1" si="28"/>
        <v/>
      </c>
      <c r="I140" s="24"/>
      <c r="J140" s="30"/>
      <c r="K140" s="27" t="str">
        <f>IF(ИТОГ!A140=0,"",ИТОГ!A140)</f>
        <v/>
      </c>
      <c r="L140" s="26" t="str">
        <f t="shared" si="29"/>
        <v/>
      </c>
      <c r="M140" s="25" t="str">
        <f>IF(K140="","",ИТОГ!Q140)</f>
        <v/>
      </c>
      <c r="N140" s="28" t="str">
        <f>IF(K140="","",ИТОГ!N140)</f>
        <v/>
      </c>
      <c r="O140" s="30" t="str">
        <f t="shared" si="30"/>
        <v/>
      </c>
      <c r="P140" s="24"/>
      <c r="Q140" s="30" t="str">
        <f t="shared" si="31"/>
        <v/>
      </c>
      <c r="R140" s="29" t="str">
        <f t="shared" ca="1" si="32"/>
        <v/>
      </c>
    </row>
    <row r="141" spans="1:18">
      <c r="A141" s="23" t="str">
        <f t="shared" si="22"/>
        <v/>
      </c>
      <c r="B141" s="23" t="str">
        <f t="shared" si="23"/>
        <v/>
      </c>
      <c r="C141" s="29" t="str">
        <f t="shared" ca="1" si="24"/>
        <v/>
      </c>
      <c r="D141" s="22" t="str">
        <f>IF(K141="","",ИТОГ!S141)</f>
        <v/>
      </c>
      <c r="E141" s="24" t="str">
        <f t="shared" si="25"/>
        <v/>
      </c>
      <c r="F141" s="30" t="str">
        <f t="shared" si="26"/>
        <v/>
      </c>
      <c r="G141" s="25" t="str">
        <f t="shared" si="27"/>
        <v/>
      </c>
      <c r="H141" s="29" t="str">
        <f t="shared" ca="1" si="28"/>
        <v/>
      </c>
      <c r="I141" s="24"/>
      <c r="J141" s="30"/>
      <c r="K141" s="27" t="str">
        <f>IF(ИТОГ!A141=0,"",ИТОГ!A141)</f>
        <v/>
      </c>
      <c r="L141" s="26" t="str">
        <f t="shared" si="29"/>
        <v/>
      </c>
      <c r="M141" s="25" t="str">
        <f>IF(K141="","",ИТОГ!Q141)</f>
        <v/>
      </c>
      <c r="N141" s="28" t="str">
        <f>IF(K141="","",ИТОГ!N141)</f>
        <v/>
      </c>
      <c r="O141" s="30" t="str">
        <f t="shared" si="30"/>
        <v/>
      </c>
      <c r="P141" s="24"/>
      <c r="Q141" s="30" t="str">
        <f t="shared" si="31"/>
        <v/>
      </c>
      <c r="R141" s="29" t="str">
        <f t="shared" ca="1" si="32"/>
        <v/>
      </c>
    </row>
    <row r="142" spans="1:18">
      <c r="A142" s="23" t="str">
        <f t="shared" si="22"/>
        <v/>
      </c>
      <c r="B142" s="23" t="str">
        <f t="shared" si="23"/>
        <v/>
      </c>
      <c r="C142" s="29" t="str">
        <f t="shared" ca="1" si="24"/>
        <v/>
      </c>
      <c r="D142" s="22" t="str">
        <f>IF(K142="","",ИТОГ!S142)</f>
        <v/>
      </c>
      <c r="E142" s="24" t="str">
        <f t="shared" si="25"/>
        <v/>
      </c>
      <c r="F142" s="30" t="str">
        <f t="shared" si="26"/>
        <v/>
      </c>
      <c r="G142" s="25" t="str">
        <f t="shared" si="27"/>
        <v/>
      </c>
      <c r="H142" s="29" t="str">
        <f t="shared" ca="1" si="28"/>
        <v/>
      </c>
      <c r="I142" s="24"/>
      <c r="J142" s="30"/>
      <c r="K142" s="27" t="str">
        <f>IF(ИТОГ!A142=0,"",ИТОГ!A142)</f>
        <v/>
      </c>
      <c r="L142" s="26" t="str">
        <f t="shared" si="29"/>
        <v/>
      </c>
      <c r="M142" s="25" t="str">
        <f>IF(K142="","",ИТОГ!Q142)</f>
        <v/>
      </c>
      <c r="N142" s="28" t="str">
        <f>IF(K142="","",ИТОГ!N142)</f>
        <v/>
      </c>
      <c r="O142" s="30" t="str">
        <f t="shared" si="30"/>
        <v/>
      </c>
      <c r="P142" s="24"/>
      <c r="Q142" s="30" t="str">
        <f t="shared" si="31"/>
        <v/>
      </c>
      <c r="R142" s="29" t="str">
        <f t="shared" ca="1" si="32"/>
        <v/>
      </c>
    </row>
    <row r="143" spans="1:18">
      <c r="A143" s="23" t="str">
        <f t="shared" si="22"/>
        <v/>
      </c>
      <c r="B143" s="23" t="str">
        <f t="shared" si="23"/>
        <v/>
      </c>
      <c r="C143" s="29" t="str">
        <f t="shared" ca="1" si="24"/>
        <v/>
      </c>
      <c r="D143" s="22" t="str">
        <f>IF(K143="","",ИТОГ!S143)</f>
        <v/>
      </c>
      <c r="E143" s="24" t="str">
        <f t="shared" si="25"/>
        <v/>
      </c>
      <c r="F143" s="30" t="str">
        <f t="shared" si="26"/>
        <v/>
      </c>
      <c r="G143" s="25" t="str">
        <f t="shared" si="27"/>
        <v/>
      </c>
      <c r="H143" s="29" t="str">
        <f t="shared" ca="1" si="28"/>
        <v/>
      </c>
      <c r="I143" s="24"/>
      <c r="J143" s="30"/>
      <c r="K143" s="27" t="str">
        <f>IF(ИТОГ!A143=0,"",ИТОГ!A143)</f>
        <v/>
      </c>
      <c r="L143" s="26" t="str">
        <f t="shared" si="29"/>
        <v/>
      </c>
      <c r="M143" s="25" t="str">
        <f>IF(K143="","",ИТОГ!Q143)</f>
        <v/>
      </c>
      <c r="N143" s="28" t="str">
        <f>IF(K143="","",ИТОГ!N143)</f>
        <v/>
      </c>
      <c r="O143" s="30" t="str">
        <f t="shared" si="30"/>
        <v/>
      </c>
      <c r="P143" s="24"/>
      <c r="Q143" s="30" t="str">
        <f t="shared" si="31"/>
        <v/>
      </c>
      <c r="R143" s="29" t="str">
        <f t="shared" ca="1" si="32"/>
        <v/>
      </c>
    </row>
    <row r="144" spans="1:18">
      <c r="A144" s="23" t="str">
        <f t="shared" si="22"/>
        <v/>
      </c>
      <c r="B144" s="23" t="str">
        <f t="shared" si="23"/>
        <v/>
      </c>
      <c r="C144" s="29" t="str">
        <f t="shared" ca="1" si="24"/>
        <v/>
      </c>
      <c r="D144" s="22" t="str">
        <f>IF(K144="","",ИТОГ!S144)</f>
        <v/>
      </c>
      <c r="E144" s="24" t="str">
        <f t="shared" si="25"/>
        <v/>
      </c>
      <c r="F144" s="30" t="str">
        <f t="shared" si="26"/>
        <v/>
      </c>
      <c r="G144" s="25" t="str">
        <f t="shared" si="27"/>
        <v/>
      </c>
      <c r="H144" s="29" t="str">
        <f t="shared" ca="1" si="28"/>
        <v/>
      </c>
      <c r="I144" s="24"/>
      <c r="J144" s="30"/>
      <c r="K144" s="27" t="str">
        <f>IF(ИТОГ!A144=0,"",ИТОГ!A144)</f>
        <v/>
      </c>
      <c r="L144" s="26" t="str">
        <f t="shared" si="29"/>
        <v/>
      </c>
      <c r="M144" s="25" t="str">
        <f>IF(K144="","",ИТОГ!Q144)</f>
        <v/>
      </c>
      <c r="N144" s="28" t="str">
        <f>IF(K144="","",ИТОГ!N144)</f>
        <v/>
      </c>
      <c r="O144" s="30" t="str">
        <f t="shared" si="30"/>
        <v/>
      </c>
      <c r="P144" s="24"/>
      <c r="Q144" s="30" t="str">
        <f t="shared" si="31"/>
        <v/>
      </c>
      <c r="R144" s="29" t="str">
        <f t="shared" ca="1" si="32"/>
        <v/>
      </c>
    </row>
    <row r="145" spans="1:18">
      <c r="A145" s="23" t="str">
        <f t="shared" si="22"/>
        <v/>
      </c>
      <c r="B145" s="23" t="str">
        <f t="shared" si="23"/>
        <v/>
      </c>
      <c r="C145" s="29" t="str">
        <f t="shared" ca="1" si="24"/>
        <v/>
      </c>
      <c r="D145" s="22" t="str">
        <f>IF(K145="","",ИТОГ!S145)</f>
        <v/>
      </c>
      <c r="E145" s="24" t="str">
        <f t="shared" si="25"/>
        <v/>
      </c>
      <c r="F145" s="30" t="str">
        <f t="shared" si="26"/>
        <v/>
      </c>
      <c r="G145" s="25" t="str">
        <f t="shared" si="27"/>
        <v/>
      </c>
      <c r="H145" s="29" t="str">
        <f t="shared" ca="1" si="28"/>
        <v/>
      </c>
      <c r="I145" s="24"/>
      <c r="J145" s="30"/>
      <c r="K145" s="27" t="str">
        <f>IF(ИТОГ!A145=0,"",ИТОГ!A145)</f>
        <v/>
      </c>
      <c r="L145" s="26" t="str">
        <f t="shared" si="29"/>
        <v/>
      </c>
      <c r="M145" s="25" t="str">
        <f>IF(K145="","",ИТОГ!Q145)</f>
        <v/>
      </c>
      <c r="N145" s="28" t="str">
        <f>IF(K145="","",ИТОГ!N145)</f>
        <v/>
      </c>
      <c r="O145" s="30" t="str">
        <f t="shared" si="30"/>
        <v/>
      </c>
      <c r="P145" s="24"/>
      <c r="Q145" s="30" t="str">
        <f t="shared" si="31"/>
        <v/>
      </c>
      <c r="R145" s="29" t="str">
        <f t="shared" ca="1" si="32"/>
        <v/>
      </c>
    </row>
    <row r="146" spans="1:18">
      <c r="A146" s="23" t="str">
        <f t="shared" si="22"/>
        <v/>
      </c>
      <c r="B146" s="23" t="str">
        <f t="shared" si="23"/>
        <v/>
      </c>
      <c r="C146" s="29" t="str">
        <f t="shared" ca="1" si="24"/>
        <v/>
      </c>
      <c r="D146" s="22" t="str">
        <f>IF(K146="","",ИТОГ!S146)</f>
        <v/>
      </c>
      <c r="E146" s="24" t="str">
        <f t="shared" si="25"/>
        <v/>
      </c>
      <c r="F146" s="30" t="str">
        <f t="shared" si="26"/>
        <v/>
      </c>
      <c r="G146" s="25" t="str">
        <f t="shared" si="27"/>
        <v/>
      </c>
      <c r="H146" s="29" t="str">
        <f t="shared" ca="1" si="28"/>
        <v/>
      </c>
      <c r="I146" s="24"/>
      <c r="J146" s="30"/>
      <c r="K146" s="27" t="str">
        <f>IF(ИТОГ!A146=0,"",ИТОГ!A146)</f>
        <v/>
      </c>
      <c r="L146" s="26" t="str">
        <f t="shared" si="29"/>
        <v/>
      </c>
      <c r="M146" s="25" t="str">
        <f>IF(K146="","",ИТОГ!Q146)</f>
        <v/>
      </c>
      <c r="N146" s="28" t="str">
        <f>IF(K146="","",ИТОГ!N146)</f>
        <v/>
      </c>
      <c r="O146" s="30" t="str">
        <f t="shared" si="30"/>
        <v/>
      </c>
      <c r="P146" s="24"/>
      <c r="Q146" s="30" t="str">
        <f t="shared" si="31"/>
        <v/>
      </c>
      <c r="R146" s="29" t="str">
        <f t="shared" ca="1" si="32"/>
        <v/>
      </c>
    </row>
    <row r="147" spans="1:18">
      <c r="A147" s="23" t="str">
        <f t="shared" si="22"/>
        <v/>
      </c>
      <c r="B147" s="23" t="str">
        <f t="shared" si="23"/>
        <v/>
      </c>
      <c r="C147" s="29" t="str">
        <f t="shared" ca="1" si="24"/>
        <v/>
      </c>
      <c r="D147" s="22" t="str">
        <f>IF(K147="","",ИТОГ!S147)</f>
        <v/>
      </c>
      <c r="E147" s="24" t="str">
        <f t="shared" si="25"/>
        <v/>
      </c>
      <c r="F147" s="30" t="str">
        <f t="shared" si="26"/>
        <v/>
      </c>
      <c r="G147" s="25" t="str">
        <f t="shared" si="27"/>
        <v/>
      </c>
      <c r="H147" s="29" t="str">
        <f t="shared" ca="1" si="28"/>
        <v/>
      </c>
      <c r="I147" s="24"/>
      <c r="J147" s="30"/>
      <c r="K147" s="27" t="str">
        <f>IF(ИТОГ!A147=0,"",ИТОГ!A147)</f>
        <v/>
      </c>
      <c r="L147" s="26" t="str">
        <f t="shared" si="29"/>
        <v/>
      </c>
      <c r="M147" s="25" t="str">
        <f>IF(K147="","",ИТОГ!Q147)</f>
        <v/>
      </c>
      <c r="N147" s="28" t="str">
        <f>IF(K147="","",ИТОГ!N147)</f>
        <v/>
      </c>
      <c r="O147" s="30" t="str">
        <f t="shared" si="30"/>
        <v/>
      </c>
      <c r="P147" s="24"/>
      <c r="Q147" s="30" t="str">
        <f t="shared" si="31"/>
        <v/>
      </c>
      <c r="R147" s="29" t="str">
        <f t="shared" ca="1" si="32"/>
        <v/>
      </c>
    </row>
    <row r="148" spans="1:18">
      <c r="A148" s="23" t="str">
        <f t="shared" si="22"/>
        <v/>
      </c>
      <c r="B148" s="23" t="str">
        <f t="shared" si="23"/>
        <v/>
      </c>
      <c r="C148" s="29" t="str">
        <f t="shared" ca="1" si="24"/>
        <v/>
      </c>
      <c r="D148" s="22" t="str">
        <f>IF(K148="","",ИТОГ!S148)</f>
        <v/>
      </c>
      <c r="E148" s="24" t="str">
        <f t="shared" si="25"/>
        <v/>
      </c>
      <c r="F148" s="30" t="str">
        <f t="shared" si="26"/>
        <v/>
      </c>
      <c r="G148" s="25" t="str">
        <f t="shared" si="27"/>
        <v/>
      </c>
      <c r="H148" s="29" t="str">
        <f t="shared" ca="1" si="28"/>
        <v/>
      </c>
      <c r="I148" s="24"/>
      <c r="J148" s="30"/>
      <c r="K148" s="27" t="str">
        <f>IF(ИТОГ!A148=0,"",ИТОГ!A148)</f>
        <v/>
      </c>
      <c r="L148" s="26" t="str">
        <f t="shared" si="29"/>
        <v/>
      </c>
      <c r="M148" s="25" t="str">
        <f>IF(K148="","",ИТОГ!Q148)</f>
        <v/>
      </c>
      <c r="N148" s="28" t="str">
        <f>IF(K148="","",ИТОГ!N148)</f>
        <v/>
      </c>
      <c r="O148" s="30" t="str">
        <f t="shared" si="30"/>
        <v/>
      </c>
      <c r="P148" s="24"/>
      <c r="Q148" s="30" t="str">
        <f t="shared" si="31"/>
        <v/>
      </c>
      <c r="R148" s="29" t="str">
        <f t="shared" ca="1" si="32"/>
        <v/>
      </c>
    </row>
    <row r="149" spans="1:18">
      <c r="A149" s="23" t="str">
        <f t="shared" si="22"/>
        <v/>
      </c>
      <c r="B149" s="23" t="str">
        <f t="shared" si="23"/>
        <v/>
      </c>
      <c r="C149" s="29" t="str">
        <f t="shared" ca="1" si="24"/>
        <v/>
      </c>
      <c r="D149" s="22" t="str">
        <f>IF(K149="","",ИТОГ!S149)</f>
        <v/>
      </c>
      <c r="E149" s="24" t="str">
        <f t="shared" si="25"/>
        <v/>
      </c>
      <c r="F149" s="30" t="str">
        <f t="shared" si="26"/>
        <v/>
      </c>
      <c r="G149" s="25" t="str">
        <f t="shared" si="27"/>
        <v/>
      </c>
      <c r="H149" s="29" t="str">
        <f t="shared" ca="1" si="28"/>
        <v/>
      </c>
      <c r="I149" s="24"/>
      <c r="J149" s="30"/>
      <c r="K149" s="27" t="str">
        <f>IF(ИТОГ!A149=0,"",ИТОГ!A149)</f>
        <v/>
      </c>
      <c r="L149" s="26" t="str">
        <f t="shared" si="29"/>
        <v/>
      </c>
      <c r="M149" s="25" t="str">
        <f>IF(K149="","",ИТОГ!Q149)</f>
        <v/>
      </c>
      <c r="N149" s="28" t="str">
        <f>IF(K149="","",ИТОГ!N149)</f>
        <v/>
      </c>
      <c r="O149" s="30" t="str">
        <f t="shared" si="30"/>
        <v/>
      </c>
      <c r="P149" s="24"/>
      <c r="Q149" s="30" t="str">
        <f t="shared" si="31"/>
        <v/>
      </c>
      <c r="R149" s="29" t="str">
        <f t="shared" ca="1" si="32"/>
        <v/>
      </c>
    </row>
    <row r="150" spans="1:18">
      <c r="A150" s="23" t="str">
        <f t="shared" si="22"/>
        <v/>
      </c>
      <c r="B150" s="23" t="str">
        <f t="shared" si="23"/>
        <v/>
      </c>
      <c r="C150" s="29" t="str">
        <f t="shared" ca="1" si="24"/>
        <v/>
      </c>
      <c r="D150" s="22" t="str">
        <f>IF(K150="","",ИТОГ!S150)</f>
        <v/>
      </c>
      <c r="E150" s="24" t="str">
        <f t="shared" si="25"/>
        <v/>
      </c>
      <c r="F150" s="30" t="str">
        <f t="shared" si="26"/>
        <v/>
      </c>
      <c r="G150" s="25" t="str">
        <f t="shared" si="27"/>
        <v/>
      </c>
      <c r="H150" s="29" t="str">
        <f t="shared" ca="1" si="28"/>
        <v/>
      </c>
      <c r="I150" s="24"/>
      <c r="J150" s="30"/>
      <c r="K150" s="27" t="str">
        <f>IF(ИТОГ!A150=0,"",ИТОГ!A150)</f>
        <v/>
      </c>
      <c r="L150" s="26" t="str">
        <f t="shared" si="29"/>
        <v/>
      </c>
      <c r="M150" s="25" t="str">
        <f>IF(K150="","",ИТОГ!Q150)</f>
        <v/>
      </c>
      <c r="N150" s="28" t="str">
        <f>IF(K150="","",ИТОГ!N150)</f>
        <v/>
      </c>
      <c r="O150" s="30" t="str">
        <f t="shared" si="30"/>
        <v/>
      </c>
      <c r="P150" s="24"/>
      <c r="Q150" s="30" t="str">
        <f t="shared" si="31"/>
        <v/>
      </c>
      <c r="R150" s="29" t="str">
        <f t="shared" ca="1" si="32"/>
        <v/>
      </c>
    </row>
    <row r="151" spans="1:18">
      <c r="A151" s="23" t="str">
        <f t="shared" si="22"/>
        <v/>
      </c>
      <c r="B151" s="23" t="str">
        <f t="shared" si="23"/>
        <v/>
      </c>
      <c r="C151" s="29" t="str">
        <f t="shared" ca="1" si="24"/>
        <v/>
      </c>
      <c r="D151" s="22" t="str">
        <f>IF(K151="","",ИТОГ!S151)</f>
        <v/>
      </c>
      <c r="E151" s="24" t="str">
        <f t="shared" si="25"/>
        <v/>
      </c>
      <c r="F151" s="30" t="str">
        <f t="shared" si="26"/>
        <v/>
      </c>
      <c r="G151" s="25" t="str">
        <f t="shared" si="27"/>
        <v/>
      </c>
      <c r="H151" s="29" t="str">
        <f t="shared" ca="1" si="28"/>
        <v/>
      </c>
      <c r="I151" s="24"/>
      <c r="J151" s="30"/>
      <c r="K151" s="27" t="str">
        <f>IF(ИТОГ!A151=0,"",ИТОГ!A151)</f>
        <v/>
      </c>
      <c r="L151" s="26" t="str">
        <f t="shared" si="29"/>
        <v/>
      </c>
      <c r="M151" s="25" t="str">
        <f>IF(K151="","",ИТОГ!Q151)</f>
        <v/>
      </c>
      <c r="N151" s="28" t="str">
        <f>IF(K151="","",ИТОГ!N151)</f>
        <v/>
      </c>
      <c r="O151" s="30" t="str">
        <f t="shared" si="30"/>
        <v/>
      </c>
      <c r="P151" s="24"/>
      <c r="Q151" s="30" t="str">
        <f t="shared" si="31"/>
        <v/>
      </c>
      <c r="R151" s="29" t="str">
        <f t="shared" ca="1" si="32"/>
        <v/>
      </c>
    </row>
    <row r="152" spans="1:18">
      <c r="A152" s="23" t="str">
        <f t="shared" si="22"/>
        <v/>
      </c>
      <c r="B152" s="23" t="str">
        <f t="shared" si="23"/>
        <v/>
      </c>
      <c r="C152" s="29" t="str">
        <f t="shared" ca="1" si="24"/>
        <v/>
      </c>
      <c r="D152" s="22" t="str">
        <f>IF(K152="","",ИТОГ!S152)</f>
        <v/>
      </c>
      <c r="E152" s="24" t="str">
        <f t="shared" si="25"/>
        <v/>
      </c>
      <c r="F152" s="30" t="str">
        <f t="shared" si="26"/>
        <v/>
      </c>
      <c r="G152" s="25" t="str">
        <f t="shared" si="27"/>
        <v/>
      </c>
      <c r="H152" s="29" t="str">
        <f t="shared" ca="1" si="28"/>
        <v/>
      </c>
      <c r="I152" s="24"/>
      <c r="J152" s="30"/>
      <c r="K152" s="27" t="str">
        <f>IF(ИТОГ!A152=0,"",ИТОГ!A152)</f>
        <v/>
      </c>
      <c r="L152" s="26" t="str">
        <f t="shared" si="29"/>
        <v/>
      </c>
      <c r="M152" s="25" t="str">
        <f>IF(K152="","",ИТОГ!Q152)</f>
        <v/>
      </c>
      <c r="N152" s="28" t="str">
        <f>IF(K152="","",ИТОГ!N152)</f>
        <v/>
      </c>
      <c r="O152" s="30" t="str">
        <f t="shared" si="30"/>
        <v/>
      </c>
      <c r="P152" s="24"/>
      <c r="Q152" s="30" t="str">
        <f t="shared" si="31"/>
        <v/>
      </c>
      <c r="R152" s="29" t="str">
        <f t="shared" ca="1" si="32"/>
        <v/>
      </c>
    </row>
    <row r="153" spans="1:18">
      <c r="A153" s="23" t="str">
        <f t="shared" si="22"/>
        <v/>
      </c>
      <c r="B153" s="23" t="str">
        <f t="shared" si="23"/>
        <v/>
      </c>
      <c r="C153" s="29" t="str">
        <f t="shared" ca="1" si="24"/>
        <v/>
      </c>
      <c r="D153" s="22" t="str">
        <f>IF(K153="","",ИТОГ!S153)</f>
        <v/>
      </c>
      <c r="E153" s="24" t="str">
        <f t="shared" si="25"/>
        <v/>
      </c>
      <c r="F153" s="30" t="str">
        <f t="shared" si="26"/>
        <v/>
      </c>
      <c r="G153" s="25" t="str">
        <f t="shared" si="27"/>
        <v/>
      </c>
      <c r="H153" s="29" t="str">
        <f t="shared" ca="1" si="28"/>
        <v/>
      </c>
      <c r="I153" s="24"/>
      <c r="J153" s="30"/>
      <c r="K153" s="27" t="str">
        <f>IF(ИТОГ!A153=0,"",ИТОГ!A153)</f>
        <v/>
      </c>
      <c r="L153" s="26" t="str">
        <f t="shared" si="29"/>
        <v/>
      </c>
      <c r="M153" s="25" t="str">
        <f>IF(K153="","",ИТОГ!Q153)</f>
        <v/>
      </c>
      <c r="N153" s="28" t="str">
        <f>IF(K153="","",ИТОГ!N153)</f>
        <v/>
      </c>
      <c r="O153" s="30" t="str">
        <f t="shared" si="30"/>
        <v/>
      </c>
      <c r="P153" s="24"/>
      <c r="Q153" s="30" t="str">
        <f t="shared" si="31"/>
        <v/>
      </c>
      <c r="R153" s="29" t="str">
        <f t="shared" ca="1" si="32"/>
        <v/>
      </c>
    </row>
    <row r="154" spans="1:18">
      <c r="A154" s="23" t="str">
        <f t="shared" si="22"/>
        <v/>
      </c>
      <c r="B154" s="23" t="str">
        <f t="shared" si="23"/>
        <v/>
      </c>
      <c r="C154" s="29" t="str">
        <f t="shared" ca="1" si="24"/>
        <v/>
      </c>
      <c r="D154" s="22" t="str">
        <f>IF(K154="","",ИТОГ!S154)</f>
        <v/>
      </c>
      <c r="E154" s="24" t="str">
        <f t="shared" si="25"/>
        <v/>
      </c>
      <c r="F154" s="30" t="str">
        <f t="shared" si="26"/>
        <v/>
      </c>
      <c r="G154" s="25" t="str">
        <f t="shared" si="27"/>
        <v/>
      </c>
      <c r="H154" s="29" t="str">
        <f t="shared" ca="1" si="28"/>
        <v/>
      </c>
      <c r="I154" s="24"/>
      <c r="J154" s="30"/>
      <c r="K154" s="27" t="str">
        <f>IF(ИТОГ!A154=0,"",ИТОГ!A154)</f>
        <v/>
      </c>
      <c r="L154" s="26" t="str">
        <f t="shared" si="29"/>
        <v/>
      </c>
      <c r="M154" s="25" t="str">
        <f>IF(K154="","",ИТОГ!Q154)</f>
        <v/>
      </c>
      <c r="N154" s="28" t="str">
        <f>IF(K154="","",ИТОГ!N154)</f>
        <v/>
      </c>
      <c r="O154" s="30" t="str">
        <f t="shared" si="30"/>
        <v/>
      </c>
      <c r="P154" s="24"/>
      <c r="Q154" s="30" t="str">
        <f t="shared" si="31"/>
        <v/>
      </c>
      <c r="R154" s="29" t="str">
        <f t="shared" ca="1" si="32"/>
        <v/>
      </c>
    </row>
    <row r="155" spans="1:18">
      <c r="A155" s="23" t="str">
        <f t="shared" si="22"/>
        <v/>
      </c>
      <c r="B155" s="23" t="str">
        <f t="shared" si="23"/>
        <v/>
      </c>
      <c r="C155" s="29" t="str">
        <f t="shared" ca="1" si="24"/>
        <v/>
      </c>
      <c r="D155" s="22" t="str">
        <f>IF(K155="","",ИТОГ!S155)</f>
        <v/>
      </c>
      <c r="E155" s="24" t="str">
        <f t="shared" si="25"/>
        <v/>
      </c>
      <c r="F155" s="30" t="str">
        <f t="shared" si="26"/>
        <v/>
      </c>
      <c r="G155" s="25" t="str">
        <f t="shared" si="27"/>
        <v/>
      </c>
      <c r="H155" s="29" t="str">
        <f t="shared" ca="1" si="28"/>
        <v/>
      </c>
      <c r="I155" s="24"/>
      <c r="J155" s="30"/>
      <c r="K155" s="27" t="str">
        <f>IF(ИТОГ!A155=0,"",ИТОГ!A155)</f>
        <v/>
      </c>
      <c r="L155" s="26" t="str">
        <f t="shared" si="29"/>
        <v/>
      </c>
      <c r="M155" s="25" t="str">
        <f>IF(K155="","",ИТОГ!Q155)</f>
        <v/>
      </c>
      <c r="N155" s="28" t="str">
        <f>IF(K155="","",ИТОГ!N155)</f>
        <v/>
      </c>
      <c r="O155" s="30" t="str">
        <f t="shared" si="30"/>
        <v/>
      </c>
      <c r="P155" s="24"/>
      <c r="Q155" s="30" t="str">
        <f t="shared" si="31"/>
        <v/>
      </c>
      <c r="R155" s="29" t="str">
        <f t="shared" ca="1" si="32"/>
        <v/>
      </c>
    </row>
    <row r="156" spans="1:18">
      <c r="A156" s="23" t="str">
        <f t="shared" si="22"/>
        <v/>
      </c>
      <c r="B156" s="23" t="str">
        <f t="shared" si="23"/>
        <v/>
      </c>
      <c r="C156" s="29" t="str">
        <f t="shared" ca="1" si="24"/>
        <v/>
      </c>
      <c r="D156" s="22" t="str">
        <f>IF(K156="","",ИТОГ!S156)</f>
        <v/>
      </c>
      <c r="E156" s="24" t="str">
        <f t="shared" si="25"/>
        <v/>
      </c>
      <c r="F156" s="30" t="str">
        <f t="shared" si="26"/>
        <v/>
      </c>
      <c r="G156" s="25" t="str">
        <f t="shared" si="27"/>
        <v/>
      </c>
      <c r="H156" s="29" t="str">
        <f t="shared" ca="1" si="28"/>
        <v/>
      </c>
      <c r="I156" s="24"/>
      <c r="J156" s="30"/>
      <c r="K156" s="27" t="str">
        <f>IF(ИТОГ!A156=0,"",ИТОГ!A156)</f>
        <v/>
      </c>
      <c r="L156" s="26" t="str">
        <f t="shared" si="29"/>
        <v/>
      </c>
      <c r="M156" s="25" t="str">
        <f>IF(K156="","",ИТОГ!Q156)</f>
        <v/>
      </c>
      <c r="N156" s="28" t="str">
        <f>IF(K156="","",ИТОГ!N156)</f>
        <v/>
      </c>
      <c r="O156" s="30" t="str">
        <f t="shared" si="30"/>
        <v/>
      </c>
      <c r="P156" s="24"/>
      <c r="Q156" s="30" t="str">
        <f t="shared" si="31"/>
        <v/>
      </c>
      <c r="R156" s="29" t="str">
        <f t="shared" ca="1" si="32"/>
        <v/>
      </c>
    </row>
    <row r="157" spans="1:18">
      <c r="A157" s="23" t="str">
        <f t="shared" si="22"/>
        <v/>
      </c>
      <c r="B157" s="23" t="str">
        <f t="shared" si="23"/>
        <v/>
      </c>
      <c r="C157" s="29" t="str">
        <f t="shared" ca="1" si="24"/>
        <v/>
      </c>
      <c r="D157" s="22" t="str">
        <f>IF(K157="","",ИТОГ!S157)</f>
        <v/>
      </c>
      <c r="E157" s="24" t="str">
        <f t="shared" si="25"/>
        <v/>
      </c>
      <c r="F157" s="30" t="str">
        <f t="shared" si="26"/>
        <v/>
      </c>
      <c r="G157" s="25" t="str">
        <f t="shared" si="27"/>
        <v/>
      </c>
      <c r="H157" s="29" t="str">
        <f t="shared" ca="1" si="28"/>
        <v/>
      </c>
      <c r="I157" s="24"/>
      <c r="J157" s="30"/>
      <c r="K157" s="27" t="str">
        <f>IF(ИТОГ!A157=0,"",ИТОГ!A157)</f>
        <v/>
      </c>
      <c r="L157" s="26" t="str">
        <f t="shared" si="29"/>
        <v/>
      </c>
      <c r="M157" s="25" t="str">
        <f>IF(K157="","",ИТОГ!Q157)</f>
        <v/>
      </c>
      <c r="N157" s="28" t="str">
        <f>IF(K157="","",ИТОГ!N157)</f>
        <v/>
      </c>
      <c r="O157" s="30" t="str">
        <f t="shared" si="30"/>
        <v/>
      </c>
      <c r="P157" s="24"/>
      <c r="Q157" s="30" t="str">
        <f t="shared" si="31"/>
        <v/>
      </c>
      <c r="R157" s="29" t="str">
        <f t="shared" ca="1" si="32"/>
        <v/>
      </c>
    </row>
    <row r="158" spans="1:18">
      <c r="A158" s="23" t="str">
        <f t="shared" ref="A158:A221" si="33">IF(K158="","",1000)</f>
        <v/>
      </c>
      <c r="B158" s="23" t="str">
        <f t="shared" ref="B158:B221" si="34">IF(K158="","",1)</f>
        <v/>
      </c>
      <c r="C158" s="29" t="str">
        <f t="shared" ref="C158:C221" ca="1" si="35">IF(K158="","",TODAY())</f>
        <v/>
      </c>
      <c r="D158" s="22" t="str">
        <f>IF(K158="","",ИТОГ!S158)</f>
        <v/>
      </c>
      <c r="E158" s="24" t="str">
        <f t="shared" ref="E158:E221" si="36">IF(K158="","","Х")</f>
        <v/>
      </c>
      <c r="F158" s="30" t="str">
        <f t="shared" ref="F158:F221" si="37">IF(K158="","","UV")</f>
        <v/>
      </c>
      <c r="G158" s="25" t="str">
        <f t="shared" ref="G158:G221" si="38">IF(K158="","",SUMIF(D:D,D158,M:M))</f>
        <v/>
      </c>
      <c r="H158" s="29" t="str">
        <f t="shared" ref="H158:H221" ca="1" si="39">IF(K158="","",TODAY())</f>
        <v/>
      </c>
      <c r="I158" s="24"/>
      <c r="J158" s="30"/>
      <c r="K158" s="27" t="str">
        <f>IF(ИТОГ!A158=0,"",ИТОГ!A158)</f>
        <v/>
      </c>
      <c r="L158" s="26" t="str">
        <f t="shared" ref="L158:L221" si="40">IF(K158="","",
IF(D157-D158=0,L157+10,10))</f>
        <v/>
      </c>
      <c r="M158" s="25" t="str">
        <f>IF(K158="","",ИТОГ!Q158)</f>
        <v/>
      </c>
      <c r="N158" s="28" t="str">
        <f>IF(K158="","",ИТОГ!N158)</f>
        <v/>
      </c>
      <c r="O158" s="30" t="str">
        <f t="shared" ref="O158:O221" si="41">IF(K158="","","ST")</f>
        <v/>
      </c>
      <c r="P158" s="24"/>
      <c r="Q158" s="30" t="str">
        <f t="shared" ref="Q158:Q221" si="42">IF(K158="","","EUR")</f>
        <v/>
      </c>
      <c r="R158" s="29" t="str">
        <f t="shared" ref="R158:R221" ca="1" si="43">IF(K158="","",TODAY())</f>
        <v/>
      </c>
    </row>
    <row r="159" spans="1:18">
      <c r="A159" s="23" t="str">
        <f t="shared" si="33"/>
        <v/>
      </c>
      <c r="B159" s="23" t="str">
        <f t="shared" si="34"/>
        <v/>
      </c>
      <c r="C159" s="29" t="str">
        <f t="shared" ca="1" si="35"/>
        <v/>
      </c>
      <c r="D159" s="22" t="str">
        <f>IF(K159="","",ИТОГ!S159)</f>
        <v/>
      </c>
      <c r="E159" s="24" t="str">
        <f t="shared" si="36"/>
        <v/>
      </c>
      <c r="F159" s="30" t="str">
        <f t="shared" si="37"/>
        <v/>
      </c>
      <c r="G159" s="25" t="str">
        <f t="shared" si="38"/>
        <v/>
      </c>
      <c r="H159" s="29" t="str">
        <f t="shared" ca="1" si="39"/>
        <v/>
      </c>
      <c r="I159" s="24"/>
      <c r="J159" s="30"/>
      <c r="K159" s="27" t="str">
        <f>IF(ИТОГ!A159=0,"",ИТОГ!A159)</f>
        <v/>
      </c>
      <c r="L159" s="26" t="str">
        <f t="shared" si="40"/>
        <v/>
      </c>
      <c r="M159" s="25" t="str">
        <f>IF(K159="","",ИТОГ!Q159)</f>
        <v/>
      </c>
      <c r="N159" s="28" t="str">
        <f>IF(K159="","",ИТОГ!N159)</f>
        <v/>
      </c>
      <c r="O159" s="30" t="str">
        <f t="shared" si="41"/>
        <v/>
      </c>
      <c r="P159" s="24"/>
      <c r="Q159" s="30" t="str">
        <f t="shared" si="42"/>
        <v/>
      </c>
      <c r="R159" s="29" t="str">
        <f t="shared" ca="1" si="43"/>
        <v/>
      </c>
    </row>
    <row r="160" spans="1:18">
      <c r="A160" s="23" t="str">
        <f t="shared" si="33"/>
        <v/>
      </c>
      <c r="B160" s="23" t="str">
        <f t="shared" si="34"/>
        <v/>
      </c>
      <c r="C160" s="29" t="str">
        <f t="shared" ca="1" si="35"/>
        <v/>
      </c>
      <c r="D160" s="22" t="str">
        <f>IF(K160="","",ИТОГ!S160)</f>
        <v/>
      </c>
      <c r="E160" s="24" t="str">
        <f t="shared" si="36"/>
        <v/>
      </c>
      <c r="F160" s="30" t="str">
        <f t="shared" si="37"/>
        <v/>
      </c>
      <c r="G160" s="25" t="str">
        <f t="shared" si="38"/>
        <v/>
      </c>
      <c r="H160" s="29" t="str">
        <f t="shared" ca="1" si="39"/>
        <v/>
      </c>
      <c r="I160" s="24"/>
      <c r="J160" s="30"/>
      <c r="K160" s="27" t="str">
        <f>IF(ИТОГ!A160=0,"",ИТОГ!A160)</f>
        <v/>
      </c>
      <c r="L160" s="26" t="str">
        <f t="shared" si="40"/>
        <v/>
      </c>
      <c r="M160" s="25" t="str">
        <f>IF(K160="","",ИТОГ!Q160)</f>
        <v/>
      </c>
      <c r="N160" s="28" t="str">
        <f>IF(K160="","",ИТОГ!N160)</f>
        <v/>
      </c>
      <c r="O160" s="30" t="str">
        <f t="shared" si="41"/>
        <v/>
      </c>
      <c r="P160" s="24"/>
      <c r="Q160" s="30" t="str">
        <f t="shared" si="42"/>
        <v/>
      </c>
      <c r="R160" s="29" t="str">
        <f t="shared" ca="1" si="43"/>
        <v/>
      </c>
    </row>
    <row r="161" spans="1:18">
      <c r="A161" s="23" t="str">
        <f t="shared" si="33"/>
        <v/>
      </c>
      <c r="B161" s="23" t="str">
        <f t="shared" si="34"/>
        <v/>
      </c>
      <c r="C161" s="29" t="str">
        <f t="shared" ca="1" si="35"/>
        <v/>
      </c>
      <c r="D161" s="22" t="str">
        <f>IF(K161="","",ИТОГ!S161)</f>
        <v/>
      </c>
      <c r="E161" s="24" t="str">
        <f t="shared" si="36"/>
        <v/>
      </c>
      <c r="F161" s="30" t="str">
        <f t="shared" si="37"/>
        <v/>
      </c>
      <c r="G161" s="25" t="str">
        <f t="shared" si="38"/>
        <v/>
      </c>
      <c r="H161" s="29" t="str">
        <f t="shared" ca="1" si="39"/>
        <v/>
      </c>
      <c r="I161" s="24"/>
      <c r="J161" s="30"/>
      <c r="K161" s="27" t="str">
        <f>IF(ИТОГ!A161=0,"",ИТОГ!A161)</f>
        <v/>
      </c>
      <c r="L161" s="26" t="str">
        <f t="shared" si="40"/>
        <v/>
      </c>
      <c r="M161" s="25" t="str">
        <f>IF(K161="","",ИТОГ!Q161)</f>
        <v/>
      </c>
      <c r="N161" s="28" t="str">
        <f>IF(K161="","",ИТОГ!N161)</f>
        <v/>
      </c>
      <c r="O161" s="30" t="str">
        <f t="shared" si="41"/>
        <v/>
      </c>
      <c r="P161" s="24"/>
      <c r="Q161" s="30" t="str">
        <f t="shared" si="42"/>
        <v/>
      </c>
      <c r="R161" s="29" t="str">
        <f t="shared" ca="1" si="43"/>
        <v/>
      </c>
    </row>
    <row r="162" spans="1:18">
      <c r="A162" s="23" t="str">
        <f t="shared" si="33"/>
        <v/>
      </c>
      <c r="B162" s="23" t="str">
        <f t="shared" si="34"/>
        <v/>
      </c>
      <c r="C162" s="29" t="str">
        <f t="shared" ca="1" si="35"/>
        <v/>
      </c>
      <c r="D162" s="22" t="str">
        <f>IF(K162="","",ИТОГ!S162)</f>
        <v/>
      </c>
      <c r="E162" s="24" t="str">
        <f t="shared" si="36"/>
        <v/>
      </c>
      <c r="F162" s="30" t="str">
        <f t="shared" si="37"/>
        <v/>
      </c>
      <c r="G162" s="25" t="str">
        <f t="shared" si="38"/>
        <v/>
      </c>
      <c r="H162" s="29" t="str">
        <f t="shared" ca="1" si="39"/>
        <v/>
      </c>
      <c r="I162" s="24"/>
      <c r="J162" s="30"/>
      <c r="K162" s="27" t="str">
        <f>IF(ИТОГ!A162=0,"",ИТОГ!A162)</f>
        <v/>
      </c>
      <c r="L162" s="26" t="str">
        <f t="shared" si="40"/>
        <v/>
      </c>
      <c r="M162" s="25" t="str">
        <f>IF(K162="","",ИТОГ!Q162)</f>
        <v/>
      </c>
      <c r="N162" s="28" t="str">
        <f>IF(K162="","",ИТОГ!N162)</f>
        <v/>
      </c>
      <c r="O162" s="30" t="str">
        <f t="shared" si="41"/>
        <v/>
      </c>
      <c r="P162" s="24"/>
      <c r="Q162" s="30" t="str">
        <f t="shared" si="42"/>
        <v/>
      </c>
      <c r="R162" s="29" t="str">
        <f t="shared" ca="1" si="43"/>
        <v/>
      </c>
    </row>
    <row r="163" spans="1:18">
      <c r="A163" s="23" t="str">
        <f t="shared" si="33"/>
        <v/>
      </c>
      <c r="B163" s="23" t="str">
        <f t="shared" si="34"/>
        <v/>
      </c>
      <c r="C163" s="29" t="str">
        <f t="shared" ca="1" si="35"/>
        <v/>
      </c>
      <c r="D163" s="22" t="str">
        <f>IF(K163="","",ИТОГ!S163)</f>
        <v/>
      </c>
      <c r="E163" s="24" t="str">
        <f t="shared" si="36"/>
        <v/>
      </c>
      <c r="F163" s="30" t="str">
        <f t="shared" si="37"/>
        <v/>
      </c>
      <c r="G163" s="25" t="str">
        <f t="shared" si="38"/>
        <v/>
      </c>
      <c r="H163" s="29" t="str">
        <f t="shared" ca="1" si="39"/>
        <v/>
      </c>
      <c r="I163" s="24"/>
      <c r="J163" s="30"/>
      <c r="K163" s="27" t="str">
        <f>IF(ИТОГ!A163=0,"",ИТОГ!A163)</f>
        <v/>
      </c>
      <c r="L163" s="26" t="str">
        <f t="shared" si="40"/>
        <v/>
      </c>
      <c r="M163" s="25" t="str">
        <f>IF(K163="","",ИТОГ!Q163)</f>
        <v/>
      </c>
      <c r="N163" s="28" t="str">
        <f>IF(K163="","",ИТОГ!N163)</f>
        <v/>
      </c>
      <c r="O163" s="30" t="str">
        <f t="shared" si="41"/>
        <v/>
      </c>
      <c r="P163" s="24"/>
      <c r="Q163" s="30" t="str">
        <f t="shared" si="42"/>
        <v/>
      </c>
      <c r="R163" s="29" t="str">
        <f t="shared" ca="1" si="43"/>
        <v/>
      </c>
    </row>
    <row r="164" spans="1:18">
      <c r="A164" s="23" t="str">
        <f t="shared" si="33"/>
        <v/>
      </c>
      <c r="B164" s="23" t="str">
        <f t="shared" si="34"/>
        <v/>
      </c>
      <c r="C164" s="29" t="str">
        <f t="shared" ca="1" si="35"/>
        <v/>
      </c>
      <c r="D164" s="22" t="str">
        <f>IF(K164="","",ИТОГ!S164)</f>
        <v/>
      </c>
      <c r="E164" s="24" t="str">
        <f t="shared" si="36"/>
        <v/>
      </c>
      <c r="F164" s="30" t="str">
        <f t="shared" si="37"/>
        <v/>
      </c>
      <c r="G164" s="25" t="str">
        <f t="shared" si="38"/>
        <v/>
      </c>
      <c r="H164" s="29" t="str">
        <f t="shared" ca="1" si="39"/>
        <v/>
      </c>
      <c r="I164" s="24"/>
      <c r="J164" s="30"/>
      <c r="K164" s="27" t="str">
        <f>IF(ИТОГ!A164=0,"",ИТОГ!A164)</f>
        <v/>
      </c>
      <c r="L164" s="26" t="str">
        <f t="shared" si="40"/>
        <v/>
      </c>
      <c r="M164" s="25" t="str">
        <f>IF(K164="","",ИТОГ!Q164)</f>
        <v/>
      </c>
      <c r="N164" s="28" t="str">
        <f>IF(K164="","",ИТОГ!N164)</f>
        <v/>
      </c>
      <c r="O164" s="30" t="str">
        <f t="shared" si="41"/>
        <v/>
      </c>
      <c r="P164" s="24"/>
      <c r="Q164" s="30" t="str">
        <f t="shared" si="42"/>
        <v/>
      </c>
      <c r="R164" s="29" t="str">
        <f t="shared" ca="1" si="43"/>
        <v/>
      </c>
    </row>
    <row r="165" spans="1:18">
      <c r="A165" s="23" t="str">
        <f t="shared" si="33"/>
        <v/>
      </c>
      <c r="B165" s="23" t="str">
        <f t="shared" si="34"/>
        <v/>
      </c>
      <c r="C165" s="29" t="str">
        <f t="shared" ca="1" si="35"/>
        <v/>
      </c>
      <c r="D165" s="22" t="str">
        <f>IF(K165="","",ИТОГ!S165)</f>
        <v/>
      </c>
      <c r="E165" s="24" t="str">
        <f t="shared" si="36"/>
        <v/>
      </c>
      <c r="F165" s="30" t="str">
        <f t="shared" si="37"/>
        <v/>
      </c>
      <c r="G165" s="25" t="str">
        <f t="shared" si="38"/>
        <v/>
      </c>
      <c r="H165" s="29" t="str">
        <f t="shared" ca="1" si="39"/>
        <v/>
      </c>
      <c r="I165" s="24"/>
      <c r="J165" s="30"/>
      <c r="K165" s="27" t="str">
        <f>IF(ИТОГ!A165=0,"",ИТОГ!A165)</f>
        <v/>
      </c>
      <c r="L165" s="26" t="str">
        <f t="shared" si="40"/>
        <v/>
      </c>
      <c r="M165" s="25" t="str">
        <f>IF(K165="","",ИТОГ!Q165)</f>
        <v/>
      </c>
      <c r="N165" s="28" t="str">
        <f>IF(K165="","",ИТОГ!N165)</f>
        <v/>
      </c>
      <c r="O165" s="30" t="str">
        <f t="shared" si="41"/>
        <v/>
      </c>
      <c r="P165" s="24"/>
      <c r="Q165" s="30" t="str">
        <f t="shared" si="42"/>
        <v/>
      </c>
      <c r="R165" s="29" t="str">
        <f t="shared" ca="1" si="43"/>
        <v/>
      </c>
    </row>
    <row r="166" spans="1:18">
      <c r="A166" s="23" t="str">
        <f t="shared" si="33"/>
        <v/>
      </c>
      <c r="B166" s="23" t="str">
        <f t="shared" si="34"/>
        <v/>
      </c>
      <c r="C166" s="29" t="str">
        <f t="shared" ca="1" si="35"/>
        <v/>
      </c>
      <c r="D166" s="22" t="str">
        <f>IF(K166="","",ИТОГ!S166)</f>
        <v/>
      </c>
      <c r="E166" s="24" t="str">
        <f t="shared" si="36"/>
        <v/>
      </c>
      <c r="F166" s="30" t="str">
        <f t="shared" si="37"/>
        <v/>
      </c>
      <c r="G166" s="25" t="str">
        <f t="shared" si="38"/>
        <v/>
      </c>
      <c r="H166" s="29" t="str">
        <f t="shared" ca="1" si="39"/>
        <v/>
      </c>
      <c r="I166" s="24"/>
      <c r="J166" s="30"/>
      <c r="K166" s="27" t="str">
        <f>IF(ИТОГ!A166=0,"",ИТОГ!A166)</f>
        <v/>
      </c>
      <c r="L166" s="26" t="str">
        <f t="shared" si="40"/>
        <v/>
      </c>
      <c r="M166" s="25" t="str">
        <f>IF(K166="","",ИТОГ!Q166)</f>
        <v/>
      </c>
      <c r="N166" s="28" t="str">
        <f>IF(K166="","",ИТОГ!N166)</f>
        <v/>
      </c>
      <c r="O166" s="30" t="str">
        <f t="shared" si="41"/>
        <v/>
      </c>
      <c r="P166" s="24"/>
      <c r="Q166" s="30" t="str">
        <f t="shared" si="42"/>
        <v/>
      </c>
      <c r="R166" s="29" t="str">
        <f t="shared" ca="1" si="43"/>
        <v/>
      </c>
    </row>
    <row r="167" spans="1:18">
      <c r="A167" s="23" t="str">
        <f t="shared" si="33"/>
        <v/>
      </c>
      <c r="B167" s="23" t="str">
        <f t="shared" si="34"/>
        <v/>
      </c>
      <c r="C167" s="29" t="str">
        <f t="shared" ca="1" si="35"/>
        <v/>
      </c>
      <c r="D167" s="22" t="str">
        <f>IF(K167="","",ИТОГ!S167)</f>
        <v/>
      </c>
      <c r="E167" s="24" t="str">
        <f t="shared" si="36"/>
        <v/>
      </c>
      <c r="F167" s="30" t="str">
        <f t="shared" si="37"/>
        <v/>
      </c>
      <c r="G167" s="25" t="str">
        <f t="shared" si="38"/>
        <v/>
      </c>
      <c r="H167" s="29" t="str">
        <f t="shared" ca="1" si="39"/>
        <v/>
      </c>
      <c r="I167" s="24"/>
      <c r="J167" s="30"/>
      <c r="K167" s="27" t="str">
        <f>IF(ИТОГ!A167=0,"",ИТОГ!A167)</f>
        <v/>
      </c>
      <c r="L167" s="26" t="str">
        <f t="shared" si="40"/>
        <v/>
      </c>
      <c r="M167" s="25" t="str">
        <f>IF(K167="","",ИТОГ!Q167)</f>
        <v/>
      </c>
      <c r="N167" s="28" t="str">
        <f>IF(K167="","",ИТОГ!N167)</f>
        <v/>
      </c>
      <c r="O167" s="30" t="str">
        <f t="shared" si="41"/>
        <v/>
      </c>
      <c r="P167" s="24"/>
      <c r="Q167" s="30" t="str">
        <f t="shared" si="42"/>
        <v/>
      </c>
      <c r="R167" s="29" t="str">
        <f t="shared" ca="1" si="43"/>
        <v/>
      </c>
    </row>
    <row r="168" spans="1:18">
      <c r="A168" s="23" t="str">
        <f t="shared" si="33"/>
        <v/>
      </c>
      <c r="B168" s="23" t="str">
        <f t="shared" si="34"/>
        <v/>
      </c>
      <c r="C168" s="29" t="str">
        <f t="shared" ca="1" si="35"/>
        <v/>
      </c>
      <c r="D168" s="22" t="str">
        <f>IF(K168="","",ИТОГ!S168)</f>
        <v/>
      </c>
      <c r="E168" s="24" t="str">
        <f t="shared" si="36"/>
        <v/>
      </c>
      <c r="F168" s="30" t="str">
        <f t="shared" si="37"/>
        <v/>
      </c>
      <c r="G168" s="25" t="str">
        <f t="shared" si="38"/>
        <v/>
      </c>
      <c r="H168" s="29" t="str">
        <f t="shared" ca="1" si="39"/>
        <v/>
      </c>
      <c r="I168" s="24"/>
      <c r="J168" s="30"/>
      <c r="K168" s="27" t="str">
        <f>IF(ИТОГ!A168=0,"",ИТОГ!A168)</f>
        <v/>
      </c>
      <c r="L168" s="26" t="str">
        <f t="shared" si="40"/>
        <v/>
      </c>
      <c r="M168" s="25" t="str">
        <f>IF(K168="","",ИТОГ!Q168)</f>
        <v/>
      </c>
      <c r="N168" s="28" t="str">
        <f>IF(K168="","",ИТОГ!N168)</f>
        <v/>
      </c>
      <c r="O168" s="30" t="str">
        <f t="shared" si="41"/>
        <v/>
      </c>
      <c r="P168" s="24"/>
      <c r="Q168" s="30" t="str">
        <f t="shared" si="42"/>
        <v/>
      </c>
      <c r="R168" s="29" t="str">
        <f t="shared" ca="1" si="43"/>
        <v/>
      </c>
    </row>
    <row r="169" spans="1:18">
      <c r="A169" s="23" t="str">
        <f t="shared" si="33"/>
        <v/>
      </c>
      <c r="B169" s="23" t="str">
        <f t="shared" si="34"/>
        <v/>
      </c>
      <c r="C169" s="29" t="str">
        <f t="shared" ca="1" si="35"/>
        <v/>
      </c>
      <c r="D169" s="22" t="str">
        <f>IF(K169="","",ИТОГ!S169)</f>
        <v/>
      </c>
      <c r="E169" s="24" t="str">
        <f t="shared" si="36"/>
        <v/>
      </c>
      <c r="F169" s="30" t="str">
        <f t="shared" si="37"/>
        <v/>
      </c>
      <c r="G169" s="25" t="str">
        <f t="shared" si="38"/>
        <v/>
      </c>
      <c r="H169" s="29" t="str">
        <f t="shared" ca="1" si="39"/>
        <v/>
      </c>
      <c r="I169" s="24"/>
      <c r="J169" s="30"/>
      <c r="K169" s="27" t="str">
        <f>IF(ИТОГ!A169=0,"",ИТОГ!A169)</f>
        <v/>
      </c>
      <c r="L169" s="26" t="str">
        <f t="shared" si="40"/>
        <v/>
      </c>
      <c r="M169" s="25" t="str">
        <f>IF(K169="","",ИТОГ!Q169)</f>
        <v/>
      </c>
      <c r="N169" s="28" t="str">
        <f>IF(K169="","",ИТОГ!N169)</f>
        <v/>
      </c>
      <c r="O169" s="30" t="str">
        <f t="shared" si="41"/>
        <v/>
      </c>
      <c r="P169" s="24"/>
      <c r="Q169" s="30" t="str">
        <f t="shared" si="42"/>
        <v/>
      </c>
      <c r="R169" s="29" t="str">
        <f t="shared" ca="1" si="43"/>
        <v/>
      </c>
    </row>
    <row r="170" spans="1:18">
      <c r="A170" s="23" t="str">
        <f t="shared" si="33"/>
        <v/>
      </c>
      <c r="B170" s="23" t="str">
        <f t="shared" si="34"/>
        <v/>
      </c>
      <c r="C170" s="29" t="str">
        <f t="shared" ca="1" si="35"/>
        <v/>
      </c>
      <c r="D170" s="22" t="str">
        <f>IF(K170="","",ИТОГ!S170)</f>
        <v/>
      </c>
      <c r="E170" s="24" t="str">
        <f t="shared" si="36"/>
        <v/>
      </c>
      <c r="F170" s="30" t="str">
        <f t="shared" si="37"/>
        <v/>
      </c>
      <c r="G170" s="25" t="str">
        <f t="shared" si="38"/>
        <v/>
      </c>
      <c r="H170" s="29" t="str">
        <f t="shared" ca="1" si="39"/>
        <v/>
      </c>
      <c r="I170" s="24"/>
      <c r="J170" s="30"/>
      <c r="K170" s="27" t="str">
        <f>IF(ИТОГ!A170=0,"",ИТОГ!A170)</f>
        <v/>
      </c>
      <c r="L170" s="26" t="str">
        <f t="shared" si="40"/>
        <v/>
      </c>
      <c r="M170" s="25" t="str">
        <f>IF(K170="","",ИТОГ!Q170)</f>
        <v/>
      </c>
      <c r="N170" s="28" t="str">
        <f>IF(K170="","",ИТОГ!N170)</f>
        <v/>
      </c>
      <c r="O170" s="30" t="str">
        <f t="shared" si="41"/>
        <v/>
      </c>
      <c r="P170" s="24"/>
      <c r="Q170" s="30" t="str">
        <f t="shared" si="42"/>
        <v/>
      </c>
      <c r="R170" s="29" t="str">
        <f t="shared" ca="1" si="43"/>
        <v/>
      </c>
    </row>
    <row r="171" spans="1:18">
      <c r="A171" s="23" t="str">
        <f t="shared" si="33"/>
        <v/>
      </c>
      <c r="B171" s="23" t="str">
        <f t="shared" si="34"/>
        <v/>
      </c>
      <c r="C171" s="29" t="str">
        <f t="shared" ca="1" si="35"/>
        <v/>
      </c>
      <c r="D171" s="22" t="str">
        <f>IF(K171="","",ИТОГ!S171)</f>
        <v/>
      </c>
      <c r="E171" s="24" t="str">
        <f t="shared" si="36"/>
        <v/>
      </c>
      <c r="F171" s="30" t="str">
        <f t="shared" si="37"/>
        <v/>
      </c>
      <c r="G171" s="25" t="str">
        <f t="shared" si="38"/>
        <v/>
      </c>
      <c r="H171" s="29" t="str">
        <f t="shared" ca="1" si="39"/>
        <v/>
      </c>
      <c r="I171" s="24"/>
      <c r="J171" s="30"/>
      <c r="K171" s="27" t="str">
        <f>IF(ИТОГ!A171=0,"",ИТОГ!A171)</f>
        <v/>
      </c>
      <c r="L171" s="26" t="str">
        <f t="shared" si="40"/>
        <v/>
      </c>
      <c r="M171" s="25" t="str">
        <f>IF(K171="","",ИТОГ!Q171)</f>
        <v/>
      </c>
      <c r="N171" s="28" t="str">
        <f>IF(K171="","",ИТОГ!N171)</f>
        <v/>
      </c>
      <c r="O171" s="30" t="str">
        <f t="shared" si="41"/>
        <v/>
      </c>
      <c r="P171" s="24"/>
      <c r="Q171" s="30" t="str">
        <f t="shared" si="42"/>
        <v/>
      </c>
      <c r="R171" s="29" t="str">
        <f t="shared" ca="1" si="43"/>
        <v/>
      </c>
    </row>
    <row r="172" spans="1:18">
      <c r="A172" s="23" t="str">
        <f t="shared" si="33"/>
        <v/>
      </c>
      <c r="B172" s="23" t="str">
        <f t="shared" si="34"/>
        <v/>
      </c>
      <c r="C172" s="29" t="str">
        <f t="shared" ca="1" si="35"/>
        <v/>
      </c>
      <c r="D172" s="22" t="str">
        <f>IF(K172="","",ИТОГ!S172)</f>
        <v/>
      </c>
      <c r="E172" s="24" t="str">
        <f t="shared" si="36"/>
        <v/>
      </c>
      <c r="F172" s="30" t="str">
        <f t="shared" si="37"/>
        <v/>
      </c>
      <c r="G172" s="25" t="str">
        <f t="shared" si="38"/>
        <v/>
      </c>
      <c r="H172" s="29" t="str">
        <f t="shared" ca="1" si="39"/>
        <v/>
      </c>
      <c r="I172" s="24"/>
      <c r="J172" s="30"/>
      <c r="K172" s="27" t="str">
        <f>IF(ИТОГ!A172=0,"",ИТОГ!A172)</f>
        <v/>
      </c>
      <c r="L172" s="26" t="str">
        <f t="shared" si="40"/>
        <v/>
      </c>
      <c r="M172" s="25" t="str">
        <f>IF(K172="","",ИТОГ!Q172)</f>
        <v/>
      </c>
      <c r="N172" s="28" t="str">
        <f>IF(K172="","",ИТОГ!N172)</f>
        <v/>
      </c>
      <c r="O172" s="30" t="str">
        <f t="shared" si="41"/>
        <v/>
      </c>
      <c r="P172" s="24"/>
      <c r="Q172" s="30" t="str">
        <f t="shared" si="42"/>
        <v/>
      </c>
      <c r="R172" s="29" t="str">
        <f t="shared" ca="1" si="43"/>
        <v/>
      </c>
    </row>
    <row r="173" spans="1:18">
      <c r="A173" s="23" t="str">
        <f t="shared" si="33"/>
        <v/>
      </c>
      <c r="B173" s="23" t="str">
        <f t="shared" si="34"/>
        <v/>
      </c>
      <c r="C173" s="29" t="str">
        <f t="shared" ca="1" si="35"/>
        <v/>
      </c>
      <c r="D173" s="22" t="str">
        <f>IF(K173="","",ИТОГ!S173)</f>
        <v/>
      </c>
      <c r="E173" s="24" t="str">
        <f t="shared" si="36"/>
        <v/>
      </c>
      <c r="F173" s="30" t="str">
        <f t="shared" si="37"/>
        <v/>
      </c>
      <c r="G173" s="25" t="str">
        <f t="shared" si="38"/>
        <v/>
      </c>
      <c r="H173" s="29" t="str">
        <f t="shared" ca="1" si="39"/>
        <v/>
      </c>
      <c r="I173" s="24"/>
      <c r="J173" s="30"/>
      <c r="K173" s="27" t="str">
        <f>IF(ИТОГ!A173=0,"",ИТОГ!A173)</f>
        <v/>
      </c>
      <c r="L173" s="26" t="str">
        <f t="shared" si="40"/>
        <v/>
      </c>
      <c r="M173" s="25" t="str">
        <f>IF(K173="","",ИТОГ!Q173)</f>
        <v/>
      </c>
      <c r="N173" s="28" t="str">
        <f>IF(K173="","",ИТОГ!N173)</f>
        <v/>
      </c>
      <c r="O173" s="30" t="str">
        <f t="shared" si="41"/>
        <v/>
      </c>
      <c r="P173" s="24"/>
      <c r="Q173" s="30" t="str">
        <f t="shared" si="42"/>
        <v/>
      </c>
      <c r="R173" s="29" t="str">
        <f t="shared" ca="1" si="43"/>
        <v/>
      </c>
    </row>
    <row r="174" spans="1:18">
      <c r="A174" s="23" t="str">
        <f t="shared" si="33"/>
        <v/>
      </c>
      <c r="B174" s="23" t="str">
        <f t="shared" si="34"/>
        <v/>
      </c>
      <c r="C174" s="29" t="str">
        <f t="shared" ca="1" si="35"/>
        <v/>
      </c>
      <c r="D174" s="22" t="str">
        <f>IF(K174="","",ИТОГ!S174)</f>
        <v/>
      </c>
      <c r="E174" s="24" t="str">
        <f t="shared" si="36"/>
        <v/>
      </c>
      <c r="F174" s="30" t="str">
        <f t="shared" si="37"/>
        <v/>
      </c>
      <c r="G174" s="25" t="str">
        <f t="shared" si="38"/>
        <v/>
      </c>
      <c r="H174" s="29" t="str">
        <f t="shared" ca="1" si="39"/>
        <v/>
      </c>
      <c r="I174" s="24"/>
      <c r="J174" s="30"/>
      <c r="K174" s="27" t="str">
        <f>IF(ИТОГ!A174=0,"",ИТОГ!A174)</f>
        <v/>
      </c>
      <c r="L174" s="26" t="str">
        <f t="shared" si="40"/>
        <v/>
      </c>
      <c r="M174" s="25" t="str">
        <f>IF(K174="","",ИТОГ!Q174)</f>
        <v/>
      </c>
      <c r="N174" s="28" t="str">
        <f>IF(K174="","",ИТОГ!N174)</f>
        <v/>
      </c>
      <c r="O174" s="30" t="str">
        <f t="shared" si="41"/>
        <v/>
      </c>
      <c r="P174" s="24"/>
      <c r="Q174" s="30" t="str">
        <f t="shared" si="42"/>
        <v/>
      </c>
      <c r="R174" s="29" t="str">
        <f t="shared" ca="1" si="43"/>
        <v/>
      </c>
    </row>
    <row r="175" spans="1:18">
      <c r="A175" s="23" t="str">
        <f t="shared" si="33"/>
        <v/>
      </c>
      <c r="B175" s="23" t="str">
        <f t="shared" si="34"/>
        <v/>
      </c>
      <c r="C175" s="29" t="str">
        <f t="shared" ca="1" si="35"/>
        <v/>
      </c>
      <c r="D175" s="22" t="str">
        <f>IF(K175="","",ИТОГ!S175)</f>
        <v/>
      </c>
      <c r="E175" s="24" t="str">
        <f t="shared" si="36"/>
        <v/>
      </c>
      <c r="F175" s="30" t="str">
        <f t="shared" si="37"/>
        <v/>
      </c>
      <c r="G175" s="25" t="str">
        <f t="shared" si="38"/>
        <v/>
      </c>
      <c r="H175" s="29" t="str">
        <f t="shared" ca="1" si="39"/>
        <v/>
      </c>
      <c r="I175" s="24"/>
      <c r="J175" s="30"/>
      <c r="K175" s="27" t="str">
        <f>IF(ИТОГ!A175=0,"",ИТОГ!A175)</f>
        <v/>
      </c>
      <c r="L175" s="26" t="str">
        <f t="shared" si="40"/>
        <v/>
      </c>
      <c r="M175" s="25" t="str">
        <f>IF(K175="","",ИТОГ!Q175)</f>
        <v/>
      </c>
      <c r="N175" s="28" t="str">
        <f>IF(K175="","",ИТОГ!N175)</f>
        <v/>
      </c>
      <c r="O175" s="30" t="str">
        <f t="shared" si="41"/>
        <v/>
      </c>
      <c r="P175" s="24"/>
      <c r="Q175" s="30" t="str">
        <f t="shared" si="42"/>
        <v/>
      </c>
      <c r="R175" s="29" t="str">
        <f t="shared" ca="1" si="43"/>
        <v/>
      </c>
    </row>
    <row r="176" spans="1:18">
      <c r="A176" s="23" t="str">
        <f t="shared" si="33"/>
        <v/>
      </c>
      <c r="B176" s="23" t="str">
        <f t="shared" si="34"/>
        <v/>
      </c>
      <c r="C176" s="29" t="str">
        <f t="shared" ca="1" si="35"/>
        <v/>
      </c>
      <c r="D176" s="22" t="str">
        <f>IF(K176="","",ИТОГ!S176)</f>
        <v/>
      </c>
      <c r="E176" s="24" t="str">
        <f t="shared" si="36"/>
        <v/>
      </c>
      <c r="F176" s="30" t="str">
        <f t="shared" si="37"/>
        <v/>
      </c>
      <c r="G176" s="25" t="str">
        <f t="shared" si="38"/>
        <v/>
      </c>
      <c r="H176" s="29" t="str">
        <f t="shared" ca="1" si="39"/>
        <v/>
      </c>
      <c r="I176" s="24"/>
      <c r="J176" s="30"/>
      <c r="K176" s="27" t="str">
        <f>IF(ИТОГ!A176=0,"",ИТОГ!A176)</f>
        <v/>
      </c>
      <c r="L176" s="26" t="str">
        <f t="shared" si="40"/>
        <v/>
      </c>
      <c r="M176" s="25" t="str">
        <f>IF(K176="","",ИТОГ!Q176)</f>
        <v/>
      </c>
      <c r="N176" s="28" t="str">
        <f>IF(K176="","",ИТОГ!N176)</f>
        <v/>
      </c>
      <c r="O176" s="30" t="str">
        <f t="shared" si="41"/>
        <v/>
      </c>
      <c r="P176" s="24"/>
      <c r="Q176" s="30" t="str">
        <f t="shared" si="42"/>
        <v/>
      </c>
      <c r="R176" s="29" t="str">
        <f t="shared" ca="1" si="43"/>
        <v/>
      </c>
    </row>
    <row r="177" spans="1:18">
      <c r="A177" s="23" t="str">
        <f t="shared" si="33"/>
        <v/>
      </c>
      <c r="B177" s="23" t="str">
        <f t="shared" si="34"/>
        <v/>
      </c>
      <c r="C177" s="29" t="str">
        <f t="shared" ca="1" si="35"/>
        <v/>
      </c>
      <c r="D177" s="22" t="str">
        <f>IF(K177="","",ИТОГ!S177)</f>
        <v/>
      </c>
      <c r="E177" s="24" t="str">
        <f t="shared" si="36"/>
        <v/>
      </c>
      <c r="F177" s="30" t="str">
        <f t="shared" si="37"/>
        <v/>
      </c>
      <c r="G177" s="25" t="str">
        <f t="shared" si="38"/>
        <v/>
      </c>
      <c r="H177" s="29" t="str">
        <f t="shared" ca="1" si="39"/>
        <v/>
      </c>
      <c r="I177" s="24"/>
      <c r="J177" s="30"/>
      <c r="K177" s="27" t="str">
        <f>IF(ИТОГ!A177=0,"",ИТОГ!A177)</f>
        <v/>
      </c>
      <c r="L177" s="26" t="str">
        <f t="shared" si="40"/>
        <v/>
      </c>
      <c r="M177" s="25" t="str">
        <f>IF(K177="","",ИТОГ!Q177)</f>
        <v/>
      </c>
      <c r="N177" s="28" t="str">
        <f>IF(K177="","",ИТОГ!N177)</f>
        <v/>
      </c>
      <c r="O177" s="30" t="str">
        <f t="shared" si="41"/>
        <v/>
      </c>
      <c r="P177" s="24"/>
      <c r="Q177" s="30" t="str">
        <f t="shared" si="42"/>
        <v/>
      </c>
      <c r="R177" s="29" t="str">
        <f t="shared" ca="1" si="43"/>
        <v/>
      </c>
    </row>
    <row r="178" spans="1:18">
      <c r="A178" s="23" t="str">
        <f t="shared" si="33"/>
        <v/>
      </c>
      <c r="B178" s="23" t="str">
        <f t="shared" si="34"/>
        <v/>
      </c>
      <c r="C178" s="29" t="str">
        <f t="shared" ca="1" si="35"/>
        <v/>
      </c>
      <c r="D178" s="22" t="str">
        <f>IF(K178="","",ИТОГ!S178)</f>
        <v/>
      </c>
      <c r="E178" s="24" t="str">
        <f t="shared" si="36"/>
        <v/>
      </c>
      <c r="F178" s="30" t="str">
        <f t="shared" si="37"/>
        <v/>
      </c>
      <c r="G178" s="25" t="str">
        <f t="shared" si="38"/>
        <v/>
      </c>
      <c r="H178" s="29" t="str">
        <f t="shared" ca="1" si="39"/>
        <v/>
      </c>
      <c r="I178" s="24"/>
      <c r="J178" s="30"/>
      <c r="K178" s="27" t="str">
        <f>IF(ИТОГ!A178=0,"",ИТОГ!A178)</f>
        <v/>
      </c>
      <c r="L178" s="26" t="str">
        <f t="shared" si="40"/>
        <v/>
      </c>
      <c r="M178" s="25" t="str">
        <f>IF(K178="","",ИТОГ!Q178)</f>
        <v/>
      </c>
      <c r="N178" s="28" t="str">
        <f>IF(K178="","",ИТОГ!N178)</f>
        <v/>
      </c>
      <c r="O178" s="30" t="str">
        <f t="shared" si="41"/>
        <v/>
      </c>
      <c r="P178" s="24"/>
      <c r="Q178" s="30" t="str">
        <f t="shared" si="42"/>
        <v/>
      </c>
      <c r="R178" s="29" t="str">
        <f t="shared" ca="1" si="43"/>
        <v/>
      </c>
    </row>
    <row r="179" spans="1:18">
      <c r="A179" s="23" t="str">
        <f t="shared" si="33"/>
        <v/>
      </c>
      <c r="B179" s="23" t="str">
        <f t="shared" si="34"/>
        <v/>
      </c>
      <c r="C179" s="29" t="str">
        <f t="shared" ca="1" si="35"/>
        <v/>
      </c>
      <c r="D179" s="22" t="str">
        <f>IF(K179="","",ИТОГ!S179)</f>
        <v/>
      </c>
      <c r="E179" s="24" t="str">
        <f t="shared" si="36"/>
        <v/>
      </c>
      <c r="F179" s="30" t="str">
        <f t="shared" si="37"/>
        <v/>
      </c>
      <c r="G179" s="25" t="str">
        <f t="shared" si="38"/>
        <v/>
      </c>
      <c r="H179" s="29" t="str">
        <f t="shared" ca="1" si="39"/>
        <v/>
      </c>
      <c r="I179" s="24"/>
      <c r="J179" s="30"/>
      <c r="K179" s="27" t="str">
        <f>IF(ИТОГ!A179=0,"",ИТОГ!A179)</f>
        <v/>
      </c>
      <c r="L179" s="26" t="str">
        <f t="shared" si="40"/>
        <v/>
      </c>
      <c r="M179" s="25" t="str">
        <f>IF(K179="","",ИТОГ!Q179)</f>
        <v/>
      </c>
      <c r="N179" s="28" t="str">
        <f>IF(K179="","",ИТОГ!N179)</f>
        <v/>
      </c>
      <c r="O179" s="30" t="str">
        <f t="shared" si="41"/>
        <v/>
      </c>
      <c r="P179" s="24"/>
      <c r="Q179" s="30" t="str">
        <f t="shared" si="42"/>
        <v/>
      </c>
      <c r="R179" s="29" t="str">
        <f t="shared" ca="1" si="43"/>
        <v/>
      </c>
    </row>
    <row r="180" spans="1:18">
      <c r="A180" s="23" t="str">
        <f t="shared" si="33"/>
        <v/>
      </c>
      <c r="B180" s="23" t="str">
        <f t="shared" si="34"/>
        <v/>
      </c>
      <c r="C180" s="29" t="str">
        <f t="shared" ca="1" si="35"/>
        <v/>
      </c>
      <c r="D180" s="22" t="str">
        <f>IF(K180="","",ИТОГ!S180)</f>
        <v/>
      </c>
      <c r="E180" s="24" t="str">
        <f t="shared" si="36"/>
        <v/>
      </c>
      <c r="F180" s="30" t="str">
        <f t="shared" si="37"/>
        <v/>
      </c>
      <c r="G180" s="25" t="str">
        <f t="shared" si="38"/>
        <v/>
      </c>
      <c r="H180" s="29" t="str">
        <f t="shared" ca="1" si="39"/>
        <v/>
      </c>
      <c r="I180" s="24"/>
      <c r="J180" s="30"/>
      <c r="K180" s="27" t="str">
        <f>IF(ИТОГ!A180=0,"",ИТОГ!A180)</f>
        <v/>
      </c>
      <c r="L180" s="26" t="str">
        <f t="shared" si="40"/>
        <v/>
      </c>
      <c r="M180" s="25" t="str">
        <f>IF(K180="","",ИТОГ!Q180)</f>
        <v/>
      </c>
      <c r="N180" s="28" t="str">
        <f>IF(K180="","",ИТОГ!N180)</f>
        <v/>
      </c>
      <c r="O180" s="30" t="str">
        <f t="shared" si="41"/>
        <v/>
      </c>
      <c r="P180" s="24"/>
      <c r="Q180" s="30" t="str">
        <f t="shared" si="42"/>
        <v/>
      </c>
      <c r="R180" s="29" t="str">
        <f t="shared" ca="1" si="43"/>
        <v/>
      </c>
    </row>
    <row r="181" spans="1:18">
      <c r="A181" s="23" t="str">
        <f t="shared" si="33"/>
        <v/>
      </c>
      <c r="B181" s="23" t="str">
        <f t="shared" si="34"/>
        <v/>
      </c>
      <c r="C181" s="29" t="str">
        <f t="shared" ca="1" si="35"/>
        <v/>
      </c>
      <c r="D181" s="22" t="str">
        <f>IF(K181="","",ИТОГ!S181)</f>
        <v/>
      </c>
      <c r="E181" s="24" t="str">
        <f t="shared" si="36"/>
        <v/>
      </c>
      <c r="F181" s="30" t="str">
        <f t="shared" si="37"/>
        <v/>
      </c>
      <c r="G181" s="25" t="str">
        <f t="shared" si="38"/>
        <v/>
      </c>
      <c r="H181" s="29" t="str">
        <f t="shared" ca="1" si="39"/>
        <v/>
      </c>
      <c r="I181" s="24"/>
      <c r="J181" s="30"/>
      <c r="K181" s="27" t="str">
        <f>IF(ИТОГ!A181=0,"",ИТОГ!A181)</f>
        <v/>
      </c>
      <c r="L181" s="26" t="str">
        <f t="shared" si="40"/>
        <v/>
      </c>
      <c r="M181" s="25" t="str">
        <f>IF(K181="","",ИТОГ!Q181)</f>
        <v/>
      </c>
      <c r="N181" s="28" t="str">
        <f>IF(K181="","",ИТОГ!N181)</f>
        <v/>
      </c>
      <c r="O181" s="30" t="str">
        <f t="shared" si="41"/>
        <v/>
      </c>
      <c r="P181" s="24"/>
      <c r="Q181" s="30" t="str">
        <f t="shared" si="42"/>
        <v/>
      </c>
      <c r="R181" s="29" t="str">
        <f t="shared" ca="1" si="43"/>
        <v/>
      </c>
    </row>
    <row r="182" spans="1:18">
      <c r="A182" s="23" t="str">
        <f t="shared" si="33"/>
        <v/>
      </c>
      <c r="B182" s="23" t="str">
        <f t="shared" si="34"/>
        <v/>
      </c>
      <c r="C182" s="29" t="str">
        <f t="shared" ca="1" si="35"/>
        <v/>
      </c>
      <c r="D182" s="22" t="str">
        <f>IF(K182="","",ИТОГ!S182)</f>
        <v/>
      </c>
      <c r="E182" s="24" t="str">
        <f t="shared" si="36"/>
        <v/>
      </c>
      <c r="F182" s="30" t="str">
        <f t="shared" si="37"/>
        <v/>
      </c>
      <c r="G182" s="25" t="str">
        <f t="shared" si="38"/>
        <v/>
      </c>
      <c r="H182" s="29" t="str">
        <f t="shared" ca="1" si="39"/>
        <v/>
      </c>
      <c r="I182" s="24"/>
      <c r="J182" s="30"/>
      <c r="K182" s="27" t="str">
        <f>IF(ИТОГ!A182=0,"",ИТОГ!A182)</f>
        <v/>
      </c>
      <c r="L182" s="26" t="str">
        <f t="shared" si="40"/>
        <v/>
      </c>
      <c r="M182" s="25" t="str">
        <f>IF(K182="","",ИТОГ!Q182)</f>
        <v/>
      </c>
      <c r="N182" s="28" t="str">
        <f>IF(K182="","",ИТОГ!N182)</f>
        <v/>
      </c>
      <c r="O182" s="30" t="str">
        <f t="shared" si="41"/>
        <v/>
      </c>
      <c r="P182" s="24"/>
      <c r="Q182" s="30" t="str">
        <f t="shared" si="42"/>
        <v/>
      </c>
      <c r="R182" s="29" t="str">
        <f t="shared" ca="1" si="43"/>
        <v/>
      </c>
    </row>
    <row r="183" spans="1:18">
      <c r="A183" s="23" t="str">
        <f t="shared" si="33"/>
        <v/>
      </c>
      <c r="B183" s="23" t="str">
        <f t="shared" si="34"/>
        <v/>
      </c>
      <c r="C183" s="29" t="str">
        <f t="shared" ca="1" si="35"/>
        <v/>
      </c>
      <c r="D183" s="22" t="str">
        <f>IF(K183="","",ИТОГ!S183)</f>
        <v/>
      </c>
      <c r="E183" s="24" t="str">
        <f t="shared" si="36"/>
        <v/>
      </c>
      <c r="F183" s="30" t="str">
        <f t="shared" si="37"/>
        <v/>
      </c>
      <c r="G183" s="25" t="str">
        <f t="shared" si="38"/>
        <v/>
      </c>
      <c r="H183" s="29" t="str">
        <f t="shared" ca="1" si="39"/>
        <v/>
      </c>
      <c r="I183" s="24"/>
      <c r="J183" s="30"/>
      <c r="K183" s="27" t="str">
        <f>IF(ИТОГ!A183=0,"",ИТОГ!A183)</f>
        <v/>
      </c>
      <c r="L183" s="26" t="str">
        <f t="shared" si="40"/>
        <v/>
      </c>
      <c r="M183" s="25" t="str">
        <f>IF(K183="","",ИТОГ!Q183)</f>
        <v/>
      </c>
      <c r="N183" s="28" t="str">
        <f>IF(K183="","",ИТОГ!N183)</f>
        <v/>
      </c>
      <c r="O183" s="30" t="str">
        <f t="shared" si="41"/>
        <v/>
      </c>
      <c r="P183" s="24"/>
      <c r="Q183" s="30" t="str">
        <f t="shared" si="42"/>
        <v/>
      </c>
      <c r="R183" s="29" t="str">
        <f t="shared" ca="1" si="43"/>
        <v/>
      </c>
    </row>
    <row r="184" spans="1:18">
      <c r="A184" s="23" t="str">
        <f t="shared" si="33"/>
        <v/>
      </c>
      <c r="B184" s="23" t="str">
        <f t="shared" si="34"/>
        <v/>
      </c>
      <c r="C184" s="29" t="str">
        <f t="shared" ca="1" si="35"/>
        <v/>
      </c>
      <c r="D184" s="22" t="str">
        <f>IF(K184="","",ИТОГ!S184)</f>
        <v/>
      </c>
      <c r="E184" s="24" t="str">
        <f t="shared" si="36"/>
        <v/>
      </c>
      <c r="F184" s="30" t="str">
        <f t="shared" si="37"/>
        <v/>
      </c>
      <c r="G184" s="25" t="str">
        <f t="shared" si="38"/>
        <v/>
      </c>
      <c r="H184" s="29" t="str">
        <f t="shared" ca="1" si="39"/>
        <v/>
      </c>
      <c r="I184" s="24"/>
      <c r="J184" s="30"/>
      <c r="K184" s="27" t="str">
        <f>IF(ИТОГ!A184=0,"",ИТОГ!A184)</f>
        <v/>
      </c>
      <c r="L184" s="26" t="str">
        <f t="shared" si="40"/>
        <v/>
      </c>
      <c r="M184" s="25" t="str">
        <f>IF(K184="","",ИТОГ!Q184)</f>
        <v/>
      </c>
      <c r="N184" s="28" t="str">
        <f>IF(K184="","",ИТОГ!N184)</f>
        <v/>
      </c>
      <c r="O184" s="30" t="str">
        <f t="shared" si="41"/>
        <v/>
      </c>
      <c r="P184" s="24"/>
      <c r="Q184" s="30" t="str">
        <f t="shared" si="42"/>
        <v/>
      </c>
      <c r="R184" s="29" t="str">
        <f t="shared" ca="1" si="43"/>
        <v/>
      </c>
    </row>
    <row r="185" spans="1:18">
      <c r="A185" s="23" t="str">
        <f t="shared" si="33"/>
        <v/>
      </c>
      <c r="B185" s="23" t="str">
        <f t="shared" si="34"/>
        <v/>
      </c>
      <c r="C185" s="29" t="str">
        <f t="shared" ca="1" si="35"/>
        <v/>
      </c>
      <c r="D185" s="22" t="str">
        <f>IF(K185="","",ИТОГ!S185)</f>
        <v/>
      </c>
      <c r="E185" s="24" t="str">
        <f t="shared" si="36"/>
        <v/>
      </c>
      <c r="F185" s="30" t="str">
        <f t="shared" si="37"/>
        <v/>
      </c>
      <c r="G185" s="25" t="str">
        <f t="shared" si="38"/>
        <v/>
      </c>
      <c r="H185" s="29" t="str">
        <f t="shared" ca="1" si="39"/>
        <v/>
      </c>
      <c r="I185" s="24"/>
      <c r="J185" s="30"/>
      <c r="K185" s="27" t="str">
        <f>IF(ИТОГ!A185=0,"",ИТОГ!A185)</f>
        <v/>
      </c>
      <c r="L185" s="26" t="str">
        <f t="shared" si="40"/>
        <v/>
      </c>
      <c r="M185" s="25" t="str">
        <f>IF(K185="","",ИТОГ!Q185)</f>
        <v/>
      </c>
      <c r="N185" s="28" t="str">
        <f>IF(K185="","",ИТОГ!N185)</f>
        <v/>
      </c>
      <c r="O185" s="30" t="str">
        <f t="shared" si="41"/>
        <v/>
      </c>
      <c r="P185" s="24"/>
      <c r="Q185" s="30" t="str">
        <f t="shared" si="42"/>
        <v/>
      </c>
      <c r="R185" s="29" t="str">
        <f t="shared" ca="1" si="43"/>
        <v/>
      </c>
    </row>
    <row r="186" spans="1:18">
      <c r="A186" s="23" t="str">
        <f t="shared" si="33"/>
        <v/>
      </c>
      <c r="B186" s="23" t="str">
        <f t="shared" si="34"/>
        <v/>
      </c>
      <c r="C186" s="29" t="str">
        <f t="shared" ca="1" si="35"/>
        <v/>
      </c>
      <c r="D186" s="22" t="str">
        <f>IF(K186="","",ИТОГ!S186)</f>
        <v/>
      </c>
      <c r="E186" s="24" t="str">
        <f t="shared" si="36"/>
        <v/>
      </c>
      <c r="F186" s="30" t="str">
        <f t="shared" si="37"/>
        <v/>
      </c>
      <c r="G186" s="25" t="str">
        <f t="shared" si="38"/>
        <v/>
      </c>
      <c r="H186" s="29" t="str">
        <f t="shared" ca="1" si="39"/>
        <v/>
      </c>
      <c r="I186" s="24"/>
      <c r="J186" s="30"/>
      <c r="K186" s="27" t="str">
        <f>IF(ИТОГ!A186=0,"",ИТОГ!A186)</f>
        <v/>
      </c>
      <c r="L186" s="26" t="str">
        <f t="shared" si="40"/>
        <v/>
      </c>
      <c r="M186" s="25" t="str">
        <f>IF(K186="","",ИТОГ!Q186)</f>
        <v/>
      </c>
      <c r="N186" s="28" t="str">
        <f>IF(K186="","",ИТОГ!N186)</f>
        <v/>
      </c>
      <c r="O186" s="30" t="str">
        <f t="shared" si="41"/>
        <v/>
      </c>
      <c r="P186" s="24"/>
      <c r="Q186" s="30" t="str">
        <f t="shared" si="42"/>
        <v/>
      </c>
      <c r="R186" s="29" t="str">
        <f t="shared" ca="1" si="43"/>
        <v/>
      </c>
    </row>
    <row r="187" spans="1:18">
      <c r="A187" s="23" t="str">
        <f t="shared" si="33"/>
        <v/>
      </c>
      <c r="B187" s="23" t="str">
        <f t="shared" si="34"/>
        <v/>
      </c>
      <c r="C187" s="29" t="str">
        <f t="shared" ca="1" si="35"/>
        <v/>
      </c>
      <c r="D187" s="22" t="str">
        <f>IF(K187="","",ИТОГ!S187)</f>
        <v/>
      </c>
      <c r="E187" s="24" t="str">
        <f t="shared" si="36"/>
        <v/>
      </c>
      <c r="F187" s="30" t="str">
        <f t="shared" si="37"/>
        <v/>
      </c>
      <c r="G187" s="25" t="str">
        <f t="shared" si="38"/>
        <v/>
      </c>
      <c r="H187" s="29" t="str">
        <f t="shared" ca="1" si="39"/>
        <v/>
      </c>
      <c r="I187" s="24"/>
      <c r="J187" s="30"/>
      <c r="K187" s="27" t="str">
        <f>IF(ИТОГ!A187=0,"",ИТОГ!A187)</f>
        <v/>
      </c>
      <c r="L187" s="26" t="str">
        <f t="shared" si="40"/>
        <v/>
      </c>
      <c r="M187" s="25" t="str">
        <f>IF(K187="","",ИТОГ!Q187)</f>
        <v/>
      </c>
      <c r="N187" s="28" t="str">
        <f>IF(K187="","",ИТОГ!N187)</f>
        <v/>
      </c>
      <c r="O187" s="30" t="str">
        <f t="shared" si="41"/>
        <v/>
      </c>
      <c r="P187" s="24"/>
      <c r="Q187" s="30" t="str">
        <f t="shared" si="42"/>
        <v/>
      </c>
      <c r="R187" s="29" t="str">
        <f t="shared" ca="1" si="43"/>
        <v/>
      </c>
    </row>
    <row r="188" spans="1:18">
      <c r="A188" s="23" t="str">
        <f t="shared" si="33"/>
        <v/>
      </c>
      <c r="B188" s="23" t="str">
        <f t="shared" si="34"/>
        <v/>
      </c>
      <c r="C188" s="29" t="str">
        <f t="shared" ca="1" si="35"/>
        <v/>
      </c>
      <c r="D188" s="22" t="str">
        <f>IF(K188="","",ИТОГ!S188)</f>
        <v/>
      </c>
      <c r="E188" s="24" t="str">
        <f t="shared" si="36"/>
        <v/>
      </c>
      <c r="F188" s="30" t="str">
        <f t="shared" si="37"/>
        <v/>
      </c>
      <c r="G188" s="25" t="str">
        <f t="shared" si="38"/>
        <v/>
      </c>
      <c r="H188" s="29" t="str">
        <f t="shared" ca="1" si="39"/>
        <v/>
      </c>
      <c r="I188" s="24"/>
      <c r="J188" s="30"/>
      <c r="K188" s="27" t="str">
        <f>IF(ИТОГ!A188=0,"",ИТОГ!A188)</f>
        <v/>
      </c>
      <c r="L188" s="26" t="str">
        <f t="shared" si="40"/>
        <v/>
      </c>
      <c r="M188" s="25" t="str">
        <f>IF(K188="","",ИТОГ!Q188)</f>
        <v/>
      </c>
      <c r="N188" s="28" t="str">
        <f>IF(K188="","",ИТОГ!N188)</f>
        <v/>
      </c>
      <c r="O188" s="30" t="str">
        <f t="shared" si="41"/>
        <v/>
      </c>
      <c r="P188" s="24"/>
      <c r="Q188" s="30" t="str">
        <f t="shared" si="42"/>
        <v/>
      </c>
      <c r="R188" s="29" t="str">
        <f t="shared" ca="1" si="43"/>
        <v/>
      </c>
    </row>
    <row r="189" spans="1:18">
      <c r="A189" s="23" t="str">
        <f t="shared" si="33"/>
        <v/>
      </c>
      <c r="B189" s="23" t="str">
        <f t="shared" si="34"/>
        <v/>
      </c>
      <c r="C189" s="29" t="str">
        <f t="shared" ca="1" si="35"/>
        <v/>
      </c>
      <c r="D189" s="22" t="str">
        <f>IF(K189="","",ИТОГ!S189)</f>
        <v/>
      </c>
      <c r="E189" s="24" t="str">
        <f t="shared" si="36"/>
        <v/>
      </c>
      <c r="F189" s="30" t="str">
        <f t="shared" si="37"/>
        <v/>
      </c>
      <c r="G189" s="25" t="str">
        <f t="shared" si="38"/>
        <v/>
      </c>
      <c r="H189" s="29" t="str">
        <f t="shared" ca="1" si="39"/>
        <v/>
      </c>
      <c r="I189" s="24"/>
      <c r="J189" s="30"/>
      <c r="K189" s="27" t="str">
        <f>IF(ИТОГ!A189=0,"",ИТОГ!A189)</f>
        <v/>
      </c>
      <c r="L189" s="26" t="str">
        <f t="shared" si="40"/>
        <v/>
      </c>
      <c r="M189" s="25" t="str">
        <f>IF(K189="","",ИТОГ!Q189)</f>
        <v/>
      </c>
      <c r="N189" s="28" t="str">
        <f>IF(K189="","",ИТОГ!N189)</f>
        <v/>
      </c>
      <c r="O189" s="30" t="str">
        <f t="shared" si="41"/>
        <v/>
      </c>
      <c r="P189" s="24"/>
      <c r="Q189" s="30" t="str">
        <f t="shared" si="42"/>
        <v/>
      </c>
      <c r="R189" s="29" t="str">
        <f t="shared" ca="1" si="43"/>
        <v/>
      </c>
    </row>
    <row r="190" spans="1:18">
      <c r="A190" s="23" t="str">
        <f t="shared" si="33"/>
        <v/>
      </c>
      <c r="B190" s="23" t="str">
        <f t="shared" si="34"/>
        <v/>
      </c>
      <c r="C190" s="29" t="str">
        <f t="shared" ca="1" si="35"/>
        <v/>
      </c>
      <c r="D190" s="22" t="str">
        <f>IF(K190="","",ИТОГ!S190)</f>
        <v/>
      </c>
      <c r="E190" s="24" t="str">
        <f t="shared" si="36"/>
        <v/>
      </c>
      <c r="F190" s="30" t="str">
        <f t="shared" si="37"/>
        <v/>
      </c>
      <c r="G190" s="25" t="str">
        <f t="shared" si="38"/>
        <v/>
      </c>
      <c r="H190" s="29" t="str">
        <f t="shared" ca="1" si="39"/>
        <v/>
      </c>
      <c r="I190" s="24"/>
      <c r="J190" s="30"/>
      <c r="K190" s="27" t="str">
        <f>IF(ИТОГ!A190=0,"",ИТОГ!A190)</f>
        <v/>
      </c>
      <c r="L190" s="26" t="str">
        <f t="shared" si="40"/>
        <v/>
      </c>
      <c r="M190" s="25" t="str">
        <f>IF(K190="","",ИТОГ!Q190)</f>
        <v/>
      </c>
      <c r="N190" s="28" t="str">
        <f>IF(K190="","",ИТОГ!N190)</f>
        <v/>
      </c>
      <c r="O190" s="30" t="str">
        <f t="shared" si="41"/>
        <v/>
      </c>
      <c r="P190" s="24"/>
      <c r="Q190" s="30" t="str">
        <f t="shared" si="42"/>
        <v/>
      </c>
      <c r="R190" s="29" t="str">
        <f t="shared" ca="1" si="43"/>
        <v/>
      </c>
    </row>
    <row r="191" spans="1:18">
      <c r="A191" s="23" t="str">
        <f t="shared" si="33"/>
        <v/>
      </c>
      <c r="B191" s="23" t="str">
        <f t="shared" si="34"/>
        <v/>
      </c>
      <c r="C191" s="29" t="str">
        <f t="shared" ca="1" si="35"/>
        <v/>
      </c>
      <c r="D191" s="22" t="str">
        <f>IF(K191="","",ИТОГ!S191)</f>
        <v/>
      </c>
      <c r="E191" s="24" t="str">
        <f t="shared" si="36"/>
        <v/>
      </c>
      <c r="F191" s="30" t="str">
        <f t="shared" si="37"/>
        <v/>
      </c>
      <c r="G191" s="25" t="str">
        <f t="shared" si="38"/>
        <v/>
      </c>
      <c r="H191" s="29" t="str">
        <f t="shared" ca="1" si="39"/>
        <v/>
      </c>
      <c r="I191" s="24"/>
      <c r="J191" s="30"/>
      <c r="K191" s="27" t="str">
        <f>IF(ИТОГ!A191=0,"",ИТОГ!A191)</f>
        <v/>
      </c>
      <c r="L191" s="26" t="str">
        <f t="shared" si="40"/>
        <v/>
      </c>
      <c r="M191" s="25" t="str">
        <f>IF(K191="","",ИТОГ!Q191)</f>
        <v/>
      </c>
      <c r="N191" s="28" t="str">
        <f>IF(K191="","",ИТОГ!N191)</f>
        <v/>
      </c>
      <c r="O191" s="30" t="str">
        <f t="shared" si="41"/>
        <v/>
      </c>
      <c r="P191" s="24"/>
      <c r="Q191" s="30" t="str">
        <f t="shared" si="42"/>
        <v/>
      </c>
      <c r="R191" s="29" t="str">
        <f t="shared" ca="1" si="43"/>
        <v/>
      </c>
    </row>
    <row r="192" spans="1:18">
      <c r="A192" s="23" t="str">
        <f t="shared" si="33"/>
        <v/>
      </c>
      <c r="B192" s="23" t="str">
        <f t="shared" si="34"/>
        <v/>
      </c>
      <c r="C192" s="29" t="str">
        <f t="shared" ca="1" si="35"/>
        <v/>
      </c>
      <c r="D192" s="22" t="str">
        <f>IF(K192="","",ИТОГ!S192)</f>
        <v/>
      </c>
      <c r="E192" s="24" t="str">
        <f t="shared" si="36"/>
        <v/>
      </c>
      <c r="F192" s="30" t="str">
        <f t="shared" si="37"/>
        <v/>
      </c>
      <c r="G192" s="25" t="str">
        <f t="shared" si="38"/>
        <v/>
      </c>
      <c r="H192" s="29" t="str">
        <f t="shared" ca="1" si="39"/>
        <v/>
      </c>
      <c r="I192" s="24"/>
      <c r="J192" s="30"/>
      <c r="K192" s="27" t="str">
        <f>IF(ИТОГ!A192=0,"",ИТОГ!A192)</f>
        <v/>
      </c>
      <c r="L192" s="26" t="str">
        <f t="shared" si="40"/>
        <v/>
      </c>
      <c r="M192" s="25" t="str">
        <f>IF(K192="","",ИТОГ!Q192)</f>
        <v/>
      </c>
      <c r="N192" s="28" t="str">
        <f>IF(K192="","",ИТОГ!N192)</f>
        <v/>
      </c>
      <c r="O192" s="30" t="str">
        <f t="shared" si="41"/>
        <v/>
      </c>
      <c r="P192" s="24"/>
      <c r="Q192" s="30" t="str">
        <f t="shared" si="42"/>
        <v/>
      </c>
      <c r="R192" s="29" t="str">
        <f t="shared" ca="1" si="43"/>
        <v/>
      </c>
    </row>
    <row r="193" spans="1:18">
      <c r="A193" s="23" t="str">
        <f t="shared" si="33"/>
        <v/>
      </c>
      <c r="B193" s="23" t="str">
        <f t="shared" si="34"/>
        <v/>
      </c>
      <c r="C193" s="29" t="str">
        <f t="shared" ca="1" si="35"/>
        <v/>
      </c>
      <c r="D193" s="22" t="str">
        <f>IF(K193="","",ИТОГ!S193)</f>
        <v/>
      </c>
      <c r="E193" s="24" t="str">
        <f t="shared" si="36"/>
        <v/>
      </c>
      <c r="F193" s="30" t="str">
        <f t="shared" si="37"/>
        <v/>
      </c>
      <c r="G193" s="25" t="str">
        <f t="shared" si="38"/>
        <v/>
      </c>
      <c r="H193" s="29" t="str">
        <f t="shared" ca="1" si="39"/>
        <v/>
      </c>
      <c r="I193" s="24"/>
      <c r="J193" s="30"/>
      <c r="K193" s="27" t="str">
        <f>IF(ИТОГ!A193=0,"",ИТОГ!A193)</f>
        <v/>
      </c>
      <c r="L193" s="26" t="str">
        <f t="shared" si="40"/>
        <v/>
      </c>
      <c r="M193" s="25" t="str">
        <f>IF(K193="","",ИТОГ!Q193)</f>
        <v/>
      </c>
      <c r="N193" s="28" t="str">
        <f>IF(K193="","",ИТОГ!N193)</f>
        <v/>
      </c>
      <c r="O193" s="30" t="str">
        <f t="shared" si="41"/>
        <v/>
      </c>
      <c r="P193" s="24"/>
      <c r="Q193" s="30" t="str">
        <f t="shared" si="42"/>
        <v/>
      </c>
      <c r="R193" s="29" t="str">
        <f t="shared" ca="1" si="43"/>
        <v/>
      </c>
    </row>
    <row r="194" spans="1:18">
      <c r="A194" s="23" t="str">
        <f t="shared" si="33"/>
        <v/>
      </c>
      <c r="B194" s="23" t="str">
        <f t="shared" si="34"/>
        <v/>
      </c>
      <c r="C194" s="29" t="str">
        <f t="shared" ca="1" si="35"/>
        <v/>
      </c>
      <c r="D194" s="22" t="str">
        <f>IF(K194="","",ИТОГ!S194)</f>
        <v/>
      </c>
      <c r="E194" s="24" t="str">
        <f t="shared" si="36"/>
        <v/>
      </c>
      <c r="F194" s="30" t="str">
        <f t="shared" si="37"/>
        <v/>
      </c>
      <c r="G194" s="25" t="str">
        <f t="shared" si="38"/>
        <v/>
      </c>
      <c r="H194" s="29" t="str">
        <f t="shared" ca="1" si="39"/>
        <v/>
      </c>
      <c r="I194" s="24"/>
      <c r="J194" s="30"/>
      <c r="K194" s="27" t="str">
        <f>IF(ИТОГ!A194=0,"",ИТОГ!A194)</f>
        <v/>
      </c>
      <c r="L194" s="26" t="str">
        <f t="shared" si="40"/>
        <v/>
      </c>
      <c r="M194" s="25" t="str">
        <f>IF(K194="","",ИТОГ!Q194)</f>
        <v/>
      </c>
      <c r="N194" s="28" t="str">
        <f>IF(K194="","",ИТОГ!N194)</f>
        <v/>
      </c>
      <c r="O194" s="30" t="str">
        <f t="shared" si="41"/>
        <v/>
      </c>
      <c r="P194" s="24"/>
      <c r="Q194" s="30" t="str">
        <f t="shared" si="42"/>
        <v/>
      </c>
      <c r="R194" s="29" t="str">
        <f t="shared" ca="1" si="43"/>
        <v/>
      </c>
    </row>
    <row r="195" spans="1:18">
      <c r="A195" s="23" t="str">
        <f t="shared" si="33"/>
        <v/>
      </c>
      <c r="B195" s="23" t="str">
        <f t="shared" si="34"/>
        <v/>
      </c>
      <c r="C195" s="29" t="str">
        <f t="shared" ca="1" si="35"/>
        <v/>
      </c>
      <c r="D195" s="22" t="str">
        <f>IF(K195="","",ИТОГ!S195)</f>
        <v/>
      </c>
      <c r="E195" s="24" t="str">
        <f t="shared" si="36"/>
        <v/>
      </c>
      <c r="F195" s="30" t="str">
        <f t="shared" si="37"/>
        <v/>
      </c>
      <c r="G195" s="25" t="str">
        <f t="shared" si="38"/>
        <v/>
      </c>
      <c r="H195" s="29" t="str">
        <f t="shared" ca="1" si="39"/>
        <v/>
      </c>
      <c r="I195" s="24"/>
      <c r="J195" s="30"/>
      <c r="K195" s="27" t="str">
        <f>IF(ИТОГ!A195=0,"",ИТОГ!A195)</f>
        <v/>
      </c>
      <c r="L195" s="26" t="str">
        <f t="shared" si="40"/>
        <v/>
      </c>
      <c r="M195" s="25" t="str">
        <f>IF(K195="","",ИТОГ!Q195)</f>
        <v/>
      </c>
      <c r="N195" s="28" t="str">
        <f>IF(K195="","",ИТОГ!N195)</f>
        <v/>
      </c>
      <c r="O195" s="30" t="str">
        <f t="shared" si="41"/>
        <v/>
      </c>
      <c r="P195" s="24"/>
      <c r="Q195" s="30" t="str">
        <f t="shared" si="42"/>
        <v/>
      </c>
      <c r="R195" s="29" t="str">
        <f t="shared" ca="1" si="43"/>
        <v/>
      </c>
    </row>
    <row r="196" spans="1:18">
      <c r="A196" s="23" t="str">
        <f t="shared" si="33"/>
        <v/>
      </c>
      <c r="B196" s="23" t="str">
        <f t="shared" si="34"/>
        <v/>
      </c>
      <c r="C196" s="29" t="str">
        <f t="shared" ca="1" si="35"/>
        <v/>
      </c>
      <c r="D196" s="22" t="str">
        <f>IF(K196="","",ИТОГ!S196)</f>
        <v/>
      </c>
      <c r="E196" s="24" t="str">
        <f t="shared" si="36"/>
        <v/>
      </c>
      <c r="F196" s="30" t="str">
        <f t="shared" si="37"/>
        <v/>
      </c>
      <c r="G196" s="25" t="str">
        <f t="shared" si="38"/>
        <v/>
      </c>
      <c r="H196" s="29" t="str">
        <f t="shared" ca="1" si="39"/>
        <v/>
      </c>
      <c r="I196" s="24"/>
      <c r="J196" s="30"/>
      <c r="K196" s="27" t="str">
        <f>IF(ИТОГ!A196=0,"",ИТОГ!A196)</f>
        <v/>
      </c>
      <c r="L196" s="26" t="str">
        <f t="shared" si="40"/>
        <v/>
      </c>
      <c r="M196" s="25" t="str">
        <f>IF(K196="","",ИТОГ!Q196)</f>
        <v/>
      </c>
      <c r="N196" s="28" t="str">
        <f>IF(K196="","",ИТОГ!N196)</f>
        <v/>
      </c>
      <c r="O196" s="30" t="str">
        <f t="shared" si="41"/>
        <v/>
      </c>
      <c r="P196" s="24"/>
      <c r="Q196" s="30" t="str">
        <f t="shared" si="42"/>
        <v/>
      </c>
      <c r="R196" s="29" t="str">
        <f t="shared" ca="1" si="43"/>
        <v/>
      </c>
    </row>
    <row r="197" spans="1:18">
      <c r="A197" s="23" t="str">
        <f t="shared" si="33"/>
        <v/>
      </c>
      <c r="B197" s="23" t="str">
        <f t="shared" si="34"/>
        <v/>
      </c>
      <c r="C197" s="29" t="str">
        <f t="shared" ca="1" si="35"/>
        <v/>
      </c>
      <c r="D197" s="22" t="str">
        <f>IF(K197="","",ИТОГ!S197)</f>
        <v/>
      </c>
      <c r="E197" s="24" t="str">
        <f t="shared" si="36"/>
        <v/>
      </c>
      <c r="F197" s="30" t="str">
        <f t="shared" si="37"/>
        <v/>
      </c>
      <c r="G197" s="25" t="str">
        <f t="shared" si="38"/>
        <v/>
      </c>
      <c r="H197" s="29" t="str">
        <f t="shared" ca="1" si="39"/>
        <v/>
      </c>
      <c r="I197" s="24"/>
      <c r="J197" s="30"/>
      <c r="K197" s="27" t="str">
        <f>IF(ИТОГ!A197=0,"",ИТОГ!A197)</f>
        <v/>
      </c>
      <c r="L197" s="26" t="str">
        <f t="shared" si="40"/>
        <v/>
      </c>
      <c r="M197" s="25" t="str">
        <f>IF(K197="","",ИТОГ!Q197)</f>
        <v/>
      </c>
      <c r="N197" s="28" t="str">
        <f>IF(K197="","",ИТОГ!N197)</f>
        <v/>
      </c>
      <c r="O197" s="30" t="str">
        <f t="shared" si="41"/>
        <v/>
      </c>
      <c r="P197" s="24"/>
      <c r="Q197" s="30" t="str">
        <f t="shared" si="42"/>
        <v/>
      </c>
      <c r="R197" s="29" t="str">
        <f t="shared" ca="1" si="43"/>
        <v/>
      </c>
    </row>
    <row r="198" spans="1:18">
      <c r="A198" s="23" t="str">
        <f t="shared" si="33"/>
        <v/>
      </c>
      <c r="B198" s="23" t="str">
        <f t="shared" si="34"/>
        <v/>
      </c>
      <c r="C198" s="29" t="str">
        <f t="shared" ca="1" si="35"/>
        <v/>
      </c>
      <c r="D198" s="22" t="str">
        <f>IF(K198="","",ИТОГ!S198)</f>
        <v/>
      </c>
      <c r="E198" s="24" t="str">
        <f t="shared" si="36"/>
        <v/>
      </c>
      <c r="F198" s="30" t="str">
        <f t="shared" si="37"/>
        <v/>
      </c>
      <c r="G198" s="25" t="str">
        <f t="shared" si="38"/>
        <v/>
      </c>
      <c r="H198" s="29" t="str">
        <f t="shared" ca="1" si="39"/>
        <v/>
      </c>
      <c r="I198" s="24"/>
      <c r="J198" s="30"/>
      <c r="K198" s="27" t="str">
        <f>IF(ИТОГ!A198=0,"",ИТОГ!A198)</f>
        <v/>
      </c>
      <c r="L198" s="26" t="str">
        <f t="shared" si="40"/>
        <v/>
      </c>
      <c r="M198" s="25" t="str">
        <f>IF(K198="","",ИТОГ!Q198)</f>
        <v/>
      </c>
      <c r="N198" s="28" t="str">
        <f>IF(K198="","",ИТОГ!N198)</f>
        <v/>
      </c>
      <c r="O198" s="30" t="str">
        <f t="shared" si="41"/>
        <v/>
      </c>
      <c r="P198" s="24"/>
      <c r="Q198" s="30" t="str">
        <f t="shared" si="42"/>
        <v/>
      </c>
      <c r="R198" s="29" t="str">
        <f t="shared" ca="1" si="43"/>
        <v/>
      </c>
    </row>
    <row r="199" spans="1:18">
      <c r="A199" s="23" t="str">
        <f t="shared" si="33"/>
        <v/>
      </c>
      <c r="B199" s="23" t="str">
        <f t="shared" si="34"/>
        <v/>
      </c>
      <c r="C199" s="29" t="str">
        <f t="shared" ca="1" si="35"/>
        <v/>
      </c>
      <c r="D199" s="22" t="str">
        <f>IF(K199="","",ИТОГ!S199)</f>
        <v/>
      </c>
      <c r="E199" s="24" t="str">
        <f t="shared" si="36"/>
        <v/>
      </c>
      <c r="F199" s="30" t="str">
        <f t="shared" si="37"/>
        <v/>
      </c>
      <c r="G199" s="25" t="str">
        <f t="shared" si="38"/>
        <v/>
      </c>
      <c r="H199" s="29" t="str">
        <f t="shared" ca="1" si="39"/>
        <v/>
      </c>
      <c r="I199" s="24"/>
      <c r="J199" s="30"/>
      <c r="K199" s="27" t="str">
        <f>IF(ИТОГ!A199=0,"",ИТОГ!A199)</f>
        <v/>
      </c>
      <c r="L199" s="26" t="str">
        <f t="shared" si="40"/>
        <v/>
      </c>
      <c r="M199" s="25" t="str">
        <f>IF(K199="","",ИТОГ!Q199)</f>
        <v/>
      </c>
      <c r="N199" s="28" t="str">
        <f>IF(K199="","",ИТОГ!N199)</f>
        <v/>
      </c>
      <c r="O199" s="30" t="str">
        <f t="shared" si="41"/>
        <v/>
      </c>
      <c r="P199" s="24"/>
      <c r="Q199" s="30" t="str">
        <f t="shared" si="42"/>
        <v/>
      </c>
      <c r="R199" s="29" t="str">
        <f t="shared" ca="1" si="43"/>
        <v/>
      </c>
    </row>
    <row r="200" spans="1:18">
      <c r="A200" s="23" t="str">
        <f t="shared" si="33"/>
        <v/>
      </c>
      <c r="B200" s="23" t="str">
        <f t="shared" si="34"/>
        <v/>
      </c>
      <c r="C200" s="29" t="str">
        <f t="shared" ca="1" si="35"/>
        <v/>
      </c>
      <c r="D200" s="22" t="str">
        <f>IF(K200="","",ИТОГ!S200)</f>
        <v/>
      </c>
      <c r="E200" s="24" t="str">
        <f t="shared" si="36"/>
        <v/>
      </c>
      <c r="F200" s="30" t="str">
        <f t="shared" si="37"/>
        <v/>
      </c>
      <c r="G200" s="25" t="str">
        <f t="shared" si="38"/>
        <v/>
      </c>
      <c r="H200" s="29" t="str">
        <f t="shared" ca="1" si="39"/>
        <v/>
      </c>
      <c r="I200" s="24"/>
      <c r="J200" s="30"/>
      <c r="K200" s="27" t="str">
        <f>IF(ИТОГ!A200=0,"",ИТОГ!A200)</f>
        <v/>
      </c>
      <c r="L200" s="26" t="str">
        <f t="shared" si="40"/>
        <v/>
      </c>
      <c r="M200" s="25" t="str">
        <f>IF(K200="","",ИТОГ!Q200)</f>
        <v/>
      </c>
      <c r="N200" s="28" t="str">
        <f>IF(K200="","",ИТОГ!N200)</f>
        <v/>
      </c>
      <c r="O200" s="30" t="str">
        <f t="shared" si="41"/>
        <v/>
      </c>
      <c r="P200" s="24"/>
      <c r="Q200" s="30" t="str">
        <f t="shared" si="42"/>
        <v/>
      </c>
      <c r="R200" s="29" t="str">
        <f t="shared" ca="1" si="43"/>
        <v/>
      </c>
    </row>
    <row r="201" spans="1:18">
      <c r="A201" s="23" t="str">
        <f t="shared" si="33"/>
        <v/>
      </c>
      <c r="B201" s="23" t="str">
        <f t="shared" si="34"/>
        <v/>
      </c>
      <c r="C201" s="29" t="str">
        <f t="shared" ca="1" si="35"/>
        <v/>
      </c>
      <c r="D201" s="22" t="str">
        <f>IF(K201="","",ИТОГ!S201)</f>
        <v/>
      </c>
      <c r="E201" s="24" t="str">
        <f t="shared" si="36"/>
        <v/>
      </c>
      <c r="F201" s="30" t="str">
        <f t="shared" si="37"/>
        <v/>
      </c>
      <c r="G201" s="25" t="str">
        <f t="shared" si="38"/>
        <v/>
      </c>
      <c r="H201" s="29" t="str">
        <f t="shared" ca="1" si="39"/>
        <v/>
      </c>
      <c r="I201" s="24"/>
      <c r="J201" s="30"/>
      <c r="K201" s="27" t="str">
        <f>IF(ИТОГ!A201=0,"",ИТОГ!A201)</f>
        <v/>
      </c>
      <c r="L201" s="26" t="str">
        <f t="shared" si="40"/>
        <v/>
      </c>
      <c r="M201" s="25" t="str">
        <f>IF(K201="","",ИТОГ!Q201)</f>
        <v/>
      </c>
      <c r="N201" s="28" t="str">
        <f>IF(K201="","",ИТОГ!N201)</f>
        <v/>
      </c>
      <c r="O201" s="30" t="str">
        <f t="shared" si="41"/>
        <v/>
      </c>
      <c r="P201" s="24"/>
      <c r="Q201" s="30" t="str">
        <f t="shared" si="42"/>
        <v/>
      </c>
      <c r="R201" s="29" t="str">
        <f t="shared" ca="1" si="43"/>
        <v/>
      </c>
    </row>
    <row r="202" spans="1:18">
      <c r="A202" s="23" t="str">
        <f t="shared" si="33"/>
        <v/>
      </c>
      <c r="B202" s="23" t="str">
        <f t="shared" si="34"/>
        <v/>
      </c>
      <c r="C202" s="29" t="str">
        <f t="shared" ca="1" si="35"/>
        <v/>
      </c>
      <c r="D202" s="22" t="str">
        <f>IF(K202="","",ИТОГ!S202)</f>
        <v/>
      </c>
      <c r="E202" s="24" t="str">
        <f t="shared" si="36"/>
        <v/>
      </c>
      <c r="F202" s="30" t="str">
        <f t="shared" si="37"/>
        <v/>
      </c>
      <c r="G202" s="25" t="str">
        <f t="shared" si="38"/>
        <v/>
      </c>
      <c r="H202" s="29" t="str">
        <f t="shared" ca="1" si="39"/>
        <v/>
      </c>
      <c r="I202" s="24"/>
      <c r="J202" s="30"/>
      <c r="K202" s="27" t="str">
        <f>IF(ИТОГ!A202=0,"",ИТОГ!A202)</f>
        <v/>
      </c>
      <c r="L202" s="26" t="str">
        <f t="shared" si="40"/>
        <v/>
      </c>
      <c r="M202" s="25" t="str">
        <f>IF(K202="","",ИТОГ!Q202)</f>
        <v/>
      </c>
      <c r="N202" s="28" t="str">
        <f>IF(K202="","",ИТОГ!N202)</f>
        <v/>
      </c>
      <c r="O202" s="30" t="str">
        <f t="shared" si="41"/>
        <v/>
      </c>
      <c r="P202" s="24"/>
      <c r="Q202" s="30" t="str">
        <f t="shared" si="42"/>
        <v/>
      </c>
      <c r="R202" s="29" t="str">
        <f t="shared" ca="1" si="43"/>
        <v/>
      </c>
    </row>
    <row r="203" spans="1:18">
      <c r="A203" s="23" t="str">
        <f t="shared" si="33"/>
        <v/>
      </c>
      <c r="B203" s="23" t="str">
        <f t="shared" si="34"/>
        <v/>
      </c>
      <c r="C203" s="29" t="str">
        <f t="shared" ca="1" si="35"/>
        <v/>
      </c>
      <c r="D203" s="22" t="str">
        <f>IF(K203="","",ИТОГ!S203)</f>
        <v/>
      </c>
      <c r="E203" s="24" t="str">
        <f t="shared" si="36"/>
        <v/>
      </c>
      <c r="F203" s="30" t="str">
        <f t="shared" si="37"/>
        <v/>
      </c>
      <c r="G203" s="25" t="str">
        <f t="shared" si="38"/>
        <v/>
      </c>
      <c r="H203" s="29" t="str">
        <f t="shared" ca="1" si="39"/>
        <v/>
      </c>
      <c r="I203" s="24"/>
      <c r="J203" s="30"/>
      <c r="K203" s="27" t="str">
        <f>IF(ИТОГ!A203=0,"",ИТОГ!A203)</f>
        <v/>
      </c>
      <c r="L203" s="26" t="str">
        <f t="shared" si="40"/>
        <v/>
      </c>
      <c r="M203" s="25" t="str">
        <f>IF(K203="","",ИТОГ!Q203)</f>
        <v/>
      </c>
      <c r="N203" s="28" t="str">
        <f>IF(K203="","",ИТОГ!N203)</f>
        <v/>
      </c>
      <c r="O203" s="30" t="str">
        <f t="shared" si="41"/>
        <v/>
      </c>
      <c r="P203" s="24"/>
      <c r="Q203" s="30" t="str">
        <f t="shared" si="42"/>
        <v/>
      </c>
      <c r="R203" s="29" t="str">
        <f t="shared" ca="1" si="43"/>
        <v/>
      </c>
    </row>
    <row r="204" spans="1:18">
      <c r="A204" s="23" t="str">
        <f t="shared" si="33"/>
        <v/>
      </c>
      <c r="B204" s="23" t="str">
        <f t="shared" si="34"/>
        <v/>
      </c>
      <c r="C204" s="29" t="str">
        <f t="shared" ca="1" si="35"/>
        <v/>
      </c>
      <c r="D204" s="22" t="str">
        <f>IF(K204="","",ИТОГ!S204)</f>
        <v/>
      </c>
      <c r="E204" s="24" t="str">
        <f t="shared" si="36"/>
        <v/>
      </c>
      <c r="F204" s="30" t="str">
        <f t="shared" si="37"/>
        <v/>
      </c>
      <c r="G204" s="25" t="str">
        <f t="shared" si="38"/>
        <v/>
      </c>
      <c r="H204" s="29" t="str">
        <f t="shared" ca="1" si="39"/>
        <v/>
      </c>
      <c r="I204" s="24"/>
      <c r="J204" s="30"/>
      <c r="K204" s="27" t="str">
        <f>IF(ИТОГ!A204=0,"",ИТОГ!A204)</f>
        <v/>
      </c>
      <c r="L204" s="26" t="str">
        <f t="shared" si="40"/>
        <v/>
      </c>
      <c r="M204" s="25" t="str">
        <f>IF(K204="","",ИТОГ!Q204)</f>
        <v/>
      </c>
      <c r="N204" s="28" t="str">
        <f>IF(K204="","",ИТОГ!N204)</f>
        <v/>
      </c>
      <c r="O204" s="30" t="str">
        <f t="shared" si="41"/>
        <v/>
      </c>
      <c r="P204" s="24"/>
      <c r="Q204" s="30" t="str">
        <f t="shared" si="42"/>
        <v/>
      </c>
      <c r="R204" s="29" t="str">
        <f t="shared" ca="1" si="43"/>
        <v/>
      </c>
    </row>
    <row r="205" spans="1:18">
      <c r="A205" s="23" t="str">
        <f t="shared" si="33"/>
        <v/>
      </c>
      <c r="B205" s="23" t="str">
        <f t="shared" si="34"/>
        <v/>
      </c>
      <c r="C205" s="29" t="str">
        <f t="shared" ca="1" si="35"/>
        <v/>
      </c>
      <c r="D205" s="22" t="str">
        <f>IF(K205="","",ИТОГ!S205)</f>
        <v/>
      </c>
      <c r="E205" s="24" t="str">
        <f t="shared" si="36"/>
        <v/>
      </c>
      <c r="F205" s="30" t="str">
        <f t="shared" si="37"/>
        <v/>
      </c>
      <c r="G205" s="25" t="str">
        <f t="shared" si="38"/>
        <v/>
      </c>
      <c r="H205" s="29" t="str">
        <f t="shared" ca="1" si="39"/>
        <v/>
      </c>
      <c r="I205" s="24"/>
      <c r="J205" s="30"/>
      <c r="K205" s="27" t="str">
        <f>IF(ИТОГ!A205=0,"",ИТОГ!A205)</f>
        <v/>
      </c>
      <c r="L205" s="26" t="str">
        <f t="shared" si="40"/>
        <v/>
      </c>
      <c r="M205" s="25" t="str">
        <f>IF(K205="","",ИТОГ!Q205)</f>
        <v/>
      </c>
      <c r="N205" s="28" t="str">
        <f>IF(K205="","",ИТОГ!N205)</f>
        <v/>
      </c>
      <c r="O205" s="30" t="str">
        <f t="shared" si="41"/>
        <v/>
      </c>
      <c r="P205" s="24"/>
      <c r="Q205" s="30" t="str">
        <f t="shared" si="42"/>
        <v/>
      </c>
      <c r="R205" s="29" t="str">
        <f t="shared" ca="1" si="43"/>
        <v/>
      </c>
    </row>
    <row r="206" spans="1:18">
      <c r="A206" s="23" t="str">
        <f t="shared" si="33"/>
        <v/>
      </c>
      <c r="B206" s="23" t="str">
        <f t="shared" si="34"/>
        <v/>
      </c>
      <c r="C206" s="29" t="str">
        <f t="shared" ca="1" si="35"/>
        <v/>
      </c>
      <c r="D206" s="22" t="str">
        <f>IF(K206="","",ИТОГ!S206)</f>
        <v/>
      </c>
      <c r="E206" s="24" t="str">
        <f t="shared" si="36"/>
        <v/>
      </c>
      <c r="F206" s="30" t="str">
        <f t="shared" si="37"/>
        <v/>
      </c>
      <c r="G206" s="25" t="str">
        <f t="shared" si="38"/>
        <v/>
      </c>
      <c r="H206" s="29" t="str">
        <f t="shared" ca="1" si="39"/>
        <v/>
      </c>
      <c r="I206" s="24"/>
      <c r="J206" s="30"/>
      <c r="K206" s="27" t="str">
        <f>IF(ИТОГ!A206=0,"",ИТОГ!A206)</f>
        <v/>
      </c>
      <c r="L206" s="26" t="str">
        <f t="shared" si="40"/>
        <v/>
      </c>
      <c r="M206" s="25" t="str">
        <f>IF(K206="","",ИТОГ!Q206)</f>
        <v/>
      </c>
      <c r="N206" s="28" t="str">
        <f>IF(K206="","",ИТОГ!N206)</f>
        <v/>
      </c>
      <c r="O206" s="30" t="str">
        <f t="shared" si="41"/>
        <v/>
      </c>
      <c r="P206" s="24"/>
      <c r="Q206" s="30" t="str">
        <f t="shared" si="42"/>
        <v/>
      </c>
      <c r="R206" s="29" t="str">
        <f t="shared" ca="1" si="43"/>
        <v/>
      </c>
    </row>
    <row r="207" spans="1:18">
      <c r="A207" s="23" t="str">
        <f t="shared" si="33"/>
        <v/>
      </c>
      <c r="B207" s="23" t="str">
        <f t="shared" si="34"/>
        <v/>
      </c>
      <c r="C207" s="29" t="str">
        <f t="shared" ca="1" si="35"/>
        <v/>
      </c>
      <c r="D207" s="22" t="str">
        <f>IF(K207="","",ИТОГ!S207)</f>
        <v/>
      </c>
      <c r="E207" s="24" t="str">
        <f t="shared" si="36"/>
        <v/>
      </c>
      <c r="F207" s="30" t="str">
        <f t="shared" si="37"/>
        <v/>
      </c>
      <c r="G207" s="25" t="str">
        <f t="shared" si="38"/>
        <v/>
      </c>
      <c r="H207" s="29" t="str">
        <f t="shared" ca="1" si="39"/>
        <v/>
      </c>
      <c r="I207" s="24"/>
      <c r="J207" s="30"/>
      <c r="K207" s="27" t="str">
        <f>IF(ИТОГ!A207=0,"",ИТОГ!A207)</f>
        <v/>
      </c>
      <c r="L207" s="26" t="str">
        <f t="shared" si="40"/>
        <v/>
      </c>
      <c r="M207" s="25" t="str">
        <f>IF(K207="","",ИТОГ!Q207)</f>
        <v/>
      </c>
      <c r="N207" s="28" t="str">
        <f>IF(K207="","",ИТОГ!N207)</f>
        <v/>
      </c>
      <c r="O207" s="30" t="str">
        <f t="shared" si="41"/>
        <v/>
      </c>
      <c r="P207" s="24"/>
      <c r="Q207" s="30" t="str">
        <f t="shared" si="42"/>
        <v/>
      </c>
      <c r="R207" s="29" t="str">
        <f t="shared" ca="1" si="43"/>
        <v/>
      </c>
    </row>
    <row r="208" spans="1:18">
      <c r="A208" s="23" t="str">
        <f t="shared" si="33"/>
        <v/>
      </c>
      <c r="B208" s="23" t="str">
        <f t="shared" si="34"/>
        <v/>
      </c>
      <c r="C208" s="29" t="str">
        <f t="shared" ca="1" si="35"/>
        <v/>
      </c>
      <c r="D208" s="22" t="str">
        <f>IF(K208="","",ИТОГ!S208)</f>
        <v/>
      </c>
      <c r="E208" s="24" t="str">
        <f t="shared" si="36"/>
        <v/>
      </c>
      <c r="F208" s="30" t="str">
        <f t="shared" si="37"/>
        <v/>
      </c>
      <c r="G208" s="25" t="str">
        <f t="shared" si="38"/>
        <v/>
      </c>
      <c r="H208" s="29" t="str">
        <f t="shared" ca="1" si="39"/>
        <v/>
      </c>
      <c r="I208" s="24"/>
      <c r="J208" s="30"/>
      <c r="K208" s="27" t="str">
        <f>IF(ИТОГ!A208=0,"",ИТОГ!A208)</f>
        <v/>
      </c>
      <c r="L208" s="26" t="str">
        <f t="shared" si="40"/>
        <v/>
      </c>
      <c r="M208" s="25" t="str">
        <f>IF(K208="","",ИТОГ!Q208)</f>
        <v/>
      </c>
      <c r="N208" s="28" t="str">
        <f>IF(K208="","",ИТОГ!N208)</f>
        <v/>
      </c>
      <c r="O208" s="30" t="str">
        <f t="shared" si="41"/>
        <v/>
      </c>
      <c r="P208" s="24"/>
      <c r="Q208" s="30" t="str">
        <f t="shared" si="42"/>
        <v/>
      </c>
      <c r="R208" s="29" t="str">
        <f t="shared" ca="1" si="43"/>
        <v/>
      </c>
    </row>
    <row r="209" spans="1:18">
      <c r="A209" s="23" t="str">
        <f t="shared" si="33"/>
        <v/>
      </c>
      <c r="B209" s="23" t="str">
        <f t="shared" si="34"/>
        <v/>
      </c>
      <c r="C209" s="29" t="str">
        <f t="shared" ca="1" si="35"/>
        <v/>
      </c>
      <c r="D209" s="22" t="str">
        <f>IF(K209="","",ИТОГ!S209)</f>
        <v/>
      </c>
      <c r="E209" s="24" t="str">
        <f t="shared" si="36"/>
        <v/>
      </c>
      <c r="F209" s="30" t="str">
        <f t="shared" si="37"/>
        <v/>
      </c>
      <c r="G209" s="25" t="str">
        <f t="shared" si="38"/>
        <v/>
      </c>
      <c r="H209" s="29" t="str">
        <f t="shared" ca="1" si="39"/>
        <v/>
      </c>
      <c r="I209" s="24"/>
      <c r="J209" s="30"/>
      <c r="K209" s="27" t="str">
        <f>IF(ИТОГ!A209=0,"",ИТОГ!A209)</f>
        <v/>
      </c>
      <c r="L209" s="26" t="str">
        <f t="shared" si="40"/>
        <v/>
      </c>
      <c r="M209" s="25" t="str">
        <f>IF(K209="","",ИТОГ!Q209)</f>
        <v/>
      </c>
      <c r="N209" s="28" t="str">
        <f>IF(K209="","",ИТОГ!N209)</f>
        <v/>
      </c>
      <c r="O209" s="30" t="str">
        <f t="shared" si="41"/>
        <v/>
      </c>
      <c r="P209" s="24"/>
      <c r="Q209" s="30" t="str">
        <f t="shared" si="42"/>
        <v/>
      </c>
      <c r="R209" s="29" t="str">
        <f t="shared" ca="1" si="43"/>
        <v/>
      </c>
    </row>
    <row r="210" spans="1:18">
      <c r="A210" s="23" t="str">
        <f t="shared" si="33"/>
        <v/>
      </c>
      <c r="B210" s="23" t="str">
        <f t="shared" si="34"/>
        <v/>
      </c>
      <c r="C210" s="29" t="str">
        <f t="shared" ca="1" si="35"/>
        <v/>
      </c>
      <c r="D210" s="22" t="str">
        <f>IF(K210="","",ИТОГ!S210)</f>
        <v/>
      </c>
      <c r="E210" s="24" t="str">
        <f t="shared" si="36"/>
        <v/>
      </c>
      <c r="F210" s="30" t="str">
        <f t="shared" si="37"/>
        <v/>
      </c>
      <c r="G210" s="25" t="str">
        <f t="shared" si="38"/>
        <v/>
      </c>
      <c r="H210" s="29" t="str">
        <f t="shared" ca="1" si="39"/>
        <v/>
      </c>
      <c r="I210" s="24"/>
      <c r="J210" s="30"/>
      <c r="K210" s="27" t="str">
        <f>IF(ИТОГ!A210=0,"",ИТОГ!A210)</f>
        <v/>
      </c>
      <c r="L210" s="26" t="str">
        <f t="shared" si="40"/>
        <v/>
      </c>
      <c r="M210" s="25" t="str">
        <f>IF(K210="","",ИТОГ!Q210)</f>
        <v/>
      </c>
      <c r="N210" s="28" t="str">
        <f>IF(K210="","",ИТОГ!N210)</f>
        <v/>
      </c>
      <c r="O210" s="30" t="str">
        <f t="shared" si="41"/>
        <v/>
      </c>
      <c r="P210" s="24"/>
      <c r="Q210" s="30" t="str">
        <f t="shared" si="42"/>
        <v/>
      </c>
      <c r="R210" s="29" t="str">
        <f t="shared" ca="1" si="43"/>
        <v/>
      </c>
    </row>
    <row r="211" spans="1:18">
      <c r="A211" s="23" t="str">
        <f t="shared" si="33"/>
        <v/>
      </c>
      <c r="B211" s="23" t="str">
        <f t="shared" si="34"/>
        <v/>
      </c>
      <c r="C211" s="29" t="str">
        <f t="shared" ca="1" si="35"/>
        <v/>
      </c>
      <c r="D211" s="22" t="str">
        <f>IF(K211="","",ИТОГ!S211)</f>
        <v/>
      </c>
      <c r="E211" s="24" t="str">
        <f t="shared" si="36"/>
        <v/>
      </c>
      <c r="F211" s="30" t="str">
        <f t="shared" si="37"/>
        <v/>
      </c>
      <c r="G211" s="25" t="str">
        <f t="shared" si="38"/>
        <v/>
      </c>
      <c r="H211" s="29" t="str">
        <f t="shared" ca="1" si="39"/>
        <v/>
      </c>
      <c r="I211" s="24"/>
      <c r="J211" s="30"/>
      <c r="K211" s="27" t="str">
        <f>IF(ИТОГ!A211=0,"",ИТОГ!A211)</f>
        <v/>
      </c>
      <c r="L211" s="26" t="str">
        <f t="shared" si="40"/>
        <v/>
      </c>
      <c r="M211" s="25" t="str">
        <f>IF(K211="","",ИТОГ!Q211)</f>
        <v/>
      </c>
      <c r="N211" s="28" t="str">
        <f>IF(K211="","",ИТОГ!N211)</f>
        <v/>
      </c>
      <c r="O211" s="30" t="str">
        <f t="shared" si="41"/>
        <v/>
      </c>
      <c r="P211" s="24"/>
      <c r="Q211" s="30" t="str">
        <f t="shared" si="42"/>
        <v/>
      </c>
      <c r="R211" s="29" t="str">
        <f t="shared" ca="1" si="43"/>
        <v/>
      </c>
    </row>
    <row r="212" spans="1:18">
      <c r="A212" s="23" t="str">
        <f t="shared" si="33"/>
        <v/>
      </c>
      <c r="B212" s="23" t="str">
        <f t="shared" si="34"/>
        <v/>
      </c>
      <c r="C212" s="29" t="str">
        <f t="shared" ca="1" si="35"/>
        <v/>
      </c>
      <c r="D212" s="22" t="str">
        <f>IF(K212="","",ИТОГ!S212)</f>
        <v/>
      </c>
      <c r="E212" s="24" t="str">
        <f t="shared" si="36"/>
        <v/>
      </c>
      <c r="F212" s="30" t="str">
        <f t="shared" si="37"/>
        <v/>
      </c>
      <c r="G212" s="25" t="str">
        <f t="shared" si="38"/>
        <v/>
      </c>
      <c r="H212" s="29" t="str">
        <f t="shared" ca="1" si="39"/>
        <v/>
      </c>
      <c r="I212" s="24"/>
      <c r="J212" s="30"/>
      <c r="K212" s="27" t="str">
        <f>IF(ИТОГ!A212=0,"",ИТОГ!A212)</f>
        <v/>
      </c>
      <c r="L212" s="26" t="str">
        <f t="shared" si="40"/>
        <v/>
      </c>
      <c r="M212" s="25" t="str">
        <f>IF(K212="","",ИТОГ!Q212)</f>
        <v/>
      </c>
      <c r="N212" s="28" t="str">
        <f>IF(K212="","",ИТОГ!N212)</f>
        <v/>
      </c>
      <c r="O212" s="30" t="str">
        <f t="shared" si="41"/>
        <v/>
      </c>
      <c r="P212" s="24"/>
      <c r="Q212" s="30" t="str">
        <f t="shared" si="42"/>
        <v/>
      </c>
      <c r="R212" s="29" t="str">
        <f t="shared" ca="1" si="43"/>
        <v/>
      </c>
    </row>
    <row r="213" spans="1:18">
      <c r="A213" s="23" t="str">
        <f t="shared" si="33"/>
        <v/>
      </c>
      <c r="B213" s="23" t="str">
        <f t="shared" si="34"/>
        <v/>
      </c>
      <c r="C213" s="29" t="str">
        <f t="shared" ca="1" si="35"/>
        <v/>
      </c>
      <c r="D213" s="22" t="str">
        <f>IF(K213="","",ИТОГ!S213)</f>
        <v/>
      </c>
      <c r="E213" s="24" t="str">
        <f t="shared" si="36"/>
        <v/>
      </c>
      <c r="F213" s="30" t="str">
        <f t="shared" si="37"/>
        <v/>
      </c>
      <c r="G213" s="25" t="str">
        <f t="shared" si="38"/>
        <v/>
      </c>
      <c r="H213" s="29" t="str">
        <f t="shared" ca="1" si="39"/>
        <v/>
      </c>
      <c r="I213" s="24"/>
      <c r="J213" s="30"/>
      <c r="K213" s="27" t="str">
        <f>IF(ИТОГ!A213=0,"",ИТОГ!A213)</f>
        <v/>
      </c>
      <c r="L213" s="26" t="str">
        <f t="shared" si="40"/>
        <v/>
      </c>
      <c r="M213" s="25" t="str">
        <f>IF(K213="","",ИТОГ!Q213)</f>
        <v/>
      </c>
      <c r="N213" s="28" t="str">
        <f>IF(K213="","",ИТОГ!N213)</f>
        <v/>
      </c>
      <c r="O213" s="30" t="str">
        <f t="shared" si="41"/>
        <v/>
      </c>
      <c r="P213" s="24"/>
      <c r="Q213" s="30" t="str">
        <f t="shared" si="42"/>
        <v/>
      </c>
      <c r="R213" s="29" t="str">
        <f t="shared" ca="1" si="43"/>
        <v/>
      </c>
    </row>
    <row r="214" spans="1:18">
      <c r="A214" s="23" t="str">
        <f t="shared" si="33"/>
        <v/>
      </c>
      <c r="B214" s="23" t="str">
        <f t="shared" si="34"/>
        <v/>
      </c>
      <c r="C214" s="29" t="str">
        <f t="shared" ca="1" si="35"/>
        <v/>
      </c>
      <c r="D214" s="22" t="str">
        <f>IF(K214="","",ИТОГ!S214)</f>
        <v/>
      </c>
      <c r="E214" s="24" t="str">
        <f t="shared" si="36"/>
        <v/>
      </c>
      <c r="F214" s="30" t="str">
        <f t="shared" si="37"/>
        <v/>
      </c>
      <c r="G214" s="25" t="str">
        <f t="shared" si="38"/>
        <v/>
      </c>
      <c r="H214" s="29" t="str">
        <f t="shared" ca="1" si="39"/>
        <v/>
      </c>
      <c r="I214" s="24"/>
      <c r="J214" s="30"/>
      <c r="K214" s="27" t="str">
        <f>IF(ИТОГ!A214=0,"",ИТОГ!A214)</f>
        <v/>
      </c>
      <c r="L214" s="26" t="str">
        <f t="shared" si="40"/>
        <v/>
      </c>
      <c r="M214" s="25" t="str">
        <f>IF(K214="","",ИТОГ!Q214)</f>
        <v/>
      </c>
      <c r="N214" s="28" t="str">
        <f>IF(K214="","",ИТОГ!N214)</f>
        <v/>
      </c>
      <c r="O214" s="30" t="str">
        <f t="shared" si="41"/>
        <v/>
      </c>
      <c r="P214" s="24"/>
      <c r="Q214" s="30" t="str">
        <f t="shared" si="42"/>
        <v/>
      </c>
      <c r="R214" s="29" t="str">
        <f t="shared" ca="1" si="43"/>
        <v/>
      </c>
    </row>
    <row r="215" spans="1:18">
      <c r="A215" s="23" t="str">
        <f t="shared" si="33"/>
        <v/>
      </c>
      <c r="B215" s="23" t="str">
        <f t="shared" si="34"/>
        <v/>
      </c>
      <c r="C215" s="29" t="str">
        <f t="shared" ca="1" si="35"/>
        <v/>
      </c>
      <c r="D215" s="22" t="str">
        <f>IF(K215="","",ИТОГ!S215)</f>
        <v/>
      </c>
      <c r="E215" s="24" t="str">
        <f t="shared" si="36"/>
        <v/>
      </c>
      <c r="F215" s="30" t="str">
        <f t="shared" si="37"/>
        <v/>
      </c>
      <c r="G215" s="25" t="str">
        <f t="shared" si="38"/>
        <v/>
      </c>
      <c r="H215" s="29" t="str">
        <f t="shared" ca="1" si="39"/>
        <v/>
      </c>
      <c r="I215" s="24"/>
      <c r="J215" s="30"/>
      <c r="K215" s="27" t="str">
        <f>IF(ИТОГ!A215=0,"",ИТОГ!A215)</f>
        <v/>
      </c>
      <c r="L215" s="26" t="str">
        <f t="shared" si="40"/>
        <v/>
      </c>
      <c r="M215" s="25" t="str">
        <f>IF(K215="","",ИТОГ!Q215)</f>
        <v/>
      </c>
      <c r="N215" s="28" t="str">
        <f>IF(K215="","",ИТОГ!N215)</f>
        <v/>
      </c>
      <c r="O215" s="30" t="str">
        <f t="shared" si="41"/>
        <v/>
      </c>
      <c r="P215" s="24"/>
      <c r="Q215" s="30" t="str">
        <f t="shared" si="42"/>
        <v/>
      </c>
      <c r="R215" s="29" t="str">
        <f t="shared" ca="1" si="43"/>
        <v/>
      </c>
    </row>
    <row r="216" spans="1:18">
      <c r="A216" s="23" t="str">
        <f t="shared" si="33"/>
        <v/>
      </c>
      <c r="B216" s="23" t="str">
        <f t="shared" si="34"/>
        <v/>
      </c>
      <c r="C216" s="29" t="str">
        <f t="shared" ca="1" si="35"/>
        <v/>
      </c>
      <c r="D216" s="22" t="str">
        <f>IF(K216="","",ИТОГ!S216)</f>
        <v/>
      </c>
      <c r="E216" s="24" t="str">
        <f t="shared" si="36"/>
        <v/>
      </c>
      <c r="F216" s="30" t="str">
        <f t="shared" si="37"/>
        <v/>
      </c>
      <c r="G216" s="25" t="str">
        <f t="shared" si="38"/>
        <v/>
      </c>
      <c r="H216" s="29" t="str">
        <f t="shared" ca="1" si="39"/>
        <v/>
      </c>
      <c r="I216" s="24"/>
      <c r="J216" s="30"/>
      <c r="K216" s="27" t="str">
        <f>IF(ИТОГ!A216=0,"",ИТОГ!A216)</f>
        <v/>
      </c>
      <c r="L216" s="26" t="str">
        <f t="shared" si="40"/>
        <v/>
      </c>
      <c r="M216" s="25" t="str">
        <f>IF(K216="","",ИТОГ!Q216)</f>
        <v/>
      </c>
      <c r="N216" s="28" t="str">
        <f>IF(K216="","",ИТОГ!N216)</f>
        <v/>
      </c>
      <c r="O216" s="30" t="str">
        <f t="shared" si="41"/>
        <v/>
      </c>
      <c r="P216" s="24"/>
      <c r="Q216" s="30" t="str">
        <f t="shared" si="42"/>
        <v/>
      </c>
      <c r="R216" s="29" t="str">
        <f t="shared" ca="1" si="43"/>
        <v/>
      </c>
    </row>
    <row r="217" spans="1:18">
      <c r="A217" s="23" t="str">
        <f t="shared" si="33"/>
        <v/>
      </c>
      <c r="B217" s="23" t="str">
        <f t="shared" si="34"/>
        <v/>
      </c>
      <c r="C217" s="29" t="str">
        <f t="shared" ca="1" si="35"/>
        <v/>
      </c>
      <c r="D217" s="22" t="str">
        <f>IF(K217="","",ИТОГ!S217)</f>
        <v/>
      </c>
      <c r="E217" s="24" t="str">
        <f t="shared" si="36"/>
        <v/>
      </c>
      <c r="F217" s="30" t="str">
        <f t="shared" si="37"/>
        <v/>
      </c>
      <c r="G217" s="25" t="str">
        <f t="shared" si="38"/>
        <v/>
      </c>
      <c r="H217" s="29" t="str">
        <f t="shared" ca="1" si="39"/>
        <v/>
      </c>
      <c r="I217" s="24"/>
      <c r="J217" s="30"/>
      <c r="K217" s="27" t="str">
        <f>IF(ИТОГ!A217=0,"",ИТОГ!A217)</f>
        <v/>
      </c>
      <c r="L217" s="26" t="str">
        <f t="shared" si="40"/>
        <v/>
      </c>
      <c r="M217" s="25" t="str">
        <f>IF(K217="","",ИТОГ!Q217)</f>
        <v/>
      </c>
      <c r="N217" s="28" t="str">
        <f>IF(K217="","",ИТОГ!N217)</f>
        <v/>
      </c>
      <c r="O217" s="30" t="str">
        <f t="shared" si="41"/>
        <v/>
      </c>
      <c r="P217" s="24"/>
      <c r="Q217" s="30" t="str">
        <f t="shared" si="42"/>
        <v/>
      </c>
      <c r="R217" s="29" t="str">
        <f t="shared" ca="1" si="43"/>
        <v/>
      </c>
    </row>
    <row r="218" spans="1:18">
      <c r="A218" s="23" t="str">
        <f t="shared" si="33"/>
        <v/>
      </c>
      <c r="B218" s="23" t="str">
        <f t="shared" si="34"/>
        <v/>
      </c>
      <c r="C218" s="29" t="str">
        <f t="shared" ca="1" si="35"/>
        <v/>
      </c>
      <c r="D218" s="22" t="str">
        <f>IF(K218="","",ИТОГ!S218)</f>
        <v/>
      </c>
      <c r="E218" s="24" t="str">
        <f t="shared" si="36"/>
        <v/>
      </c>
      <c r="F218" s="30" t="str">
        <f t="shared" si="37"/>
        <v/>
      </c>
      <c r="G218" s="25" t="str">
        <f t="shared" si="38"/>
        <v/>
      </c>
      <c r="H218" s="29" t="str">
        <f t="shared" ca="1" si="39"/>
        <v/>
      </c>
      <c r="I218" s="24"/>
      <c r="J218" s="30"/>
      <c r="K218" s="27" t="str">
        <f>IF(ИТОГ!A218=0,"",ИТОГ!A218)</f>
        <v/>
      </c>
      <c r="L218" s="26" t="str">
        <f t="shared" si="40"/>
        <v/>
      </c>
      <c r="M218" s="25" t="str">
        <f>IF(K218="","",ИТОГ!Q218)</f>
        <v/>
      </c>
      <c r="N218" s="28" t="str">
        <f>IF(K218="","",ИТОГ!N218)</f>
        <v/>
      </c>
      <c r="O218" s="30" t="str">
        <f t="shared" si="41"/>
        <v/>
      </c>
      <c r="P218" s="24"/>
      <c r="Q218" s="30" t="str">
        <f t="shared" si="42"/>
        <v/>
      </c>
      <c r="R218" s="29" t="str">
        <f t="shared" ca="1" si="43"/>
        <v/>
      </c>
    </row>
    <row r="219" spans="1:18">
      <c r="A219" s="23" t="str">
        <f t="shared" si="33"/>
        <v/>
      </c>
      <c r="B219" s="23" t="str">
        <f t="shared" si="34"/>
        <v/>
      </c>
      <c r="C219" s="29" t="str">
        <f t="shared" ca="1" si="35"/>
        <v/>
      </c>
      <c r="D219" s="22" t="str">
        <f>IF(K219="","",ИТОГ!S219)</f>
        <v/>
      </c>
      <c r="E219" s="24" t="str">
        <f t="shared" si="36"/>
        <v/>
      </c>
      <c r="F219" s="30" t="str">
        <f t="shared" si="37"/>
        <v/>
      </c>
      <c r="G219" s="25" t="str">
        <f t="shared" si="38"/>
        <v/>
      </c>
      <c r="H219" s="29" t="str">
        <f t="shared" ca="1" si="39"/>
        <v/>
      </c>
      <c r="I219" s="24"/>
      <c r="J219" s="30"/>
      <c r="K219" s="27" t="str">
        <f>IF(ИТОГ!A219=0,"",ИТОГ!A219)</f>
        <v/>
      </c>
      <c r="L219" s="26" t="str">
        <f t="shared" si="40"/>
        <v/>
      </c>
      <c r="M219" s="25" t="str">
        <f>IF(K219="","",ИТОГ!Q219)</f>
        <v/>
      </c>
      <c r="N219" s="28" t="str">
        <f>IF(K219="","",ИТОГ!N219)</f>
        <v/>
      </c>
      <c r="O219" s="30" t="str">
        <f t="shared" si="41"/>
        <v/>
      </c>
      <c r="P219" s="24"/>
      <c r="Q219" s="30" t="str">
        <f t="shared" si="42"/>
        <v/>
      </c>
      <c r="R219" s="29" t="str">
        <f t="shared" ca="1" si="43"/>
        <v/>
      </c>
    </row>
    <row r="220" spans="1:18">
      <c r="A220" s="23" t="str">
        <f t="shared" si="33"/>
        <v/>
      </c>
      <c r="B220" s="23" t="str">
        <f t="shared" si="34"/>
        <v/>
      </c>
      <c r="C220" s="29" t="str">
        <f t="shared" ca="1" si="35"/>
        <v/>
      </c>
      <c r="D220" s="22" t="str">
        <f>IF(K220="","",ИТОГ!S220)</f>
        <v/>
      </c>
      <c r="E220" s="24" t="str">
        <f t="shared" si="36"/>
        <v/>
      </c>
      <c r="F220" s="30" t="str">
        <f t="shared" si="37"/>
        <v/>
      </c>
      <c r="G220" s="25" t="str">
        <f t="shared" si="38"/>
        <v/>
      </c>
      <c r="H220" s="29" t="str">
        <f t="shared" ca="1" si="39"/>
        <v/>
      </c>
      <c r="I220" s="24"/>
      <c r="J220" s="30"/>
      <c r="K220" s="27" t="str">
        <f>IF(ИТОГ!A220=0,"",ИТОГ!A220)</f>
        <v/>
      </c>
      <c r="L220" s="26" t="str">
        <f t="shared" si="40"/>
        <v/>
      </c>
      <c r="M220" s="25" t="str">
        <f>IF(K220="","",ИТОГ!Q220)</f>
        <v/>
      </c>
      <c r="N220" s="28" t="str">
        <f>IF(K220="","",ИТОГ!N220)</f>
        <v/>
      </c>
      <c r="O220" s="30" t="str">
        <f t="shared" si="41"/>
        <v/>
      </c>
      <c r="P220" s="24"/>
      <c r="Q220" s="30" t="str">
        <f t="shared" si="42"/>
        <v/>
      </c>
      <c r="R220" s="29" t="str">
        <f t="shared" ca="1" si="43"/>
        <v/>
      </c>
    </row>
    <row r="221" spans="1:18">
      <c r="A221" s="23" t="str">
        <f t="shared" si="33"/>
        <v/>
      </c>
      <c r="B221" s="23" t="str">
        <f t="shared" si="34"/>
        <v/>
      </c>
      <c r="C221" s="29" t="str">
        <f t="shared" ca="1" si="35"/>
        <v/>
      </c>
      <c r="D221" s="22" t="str">
        <f>IF(K221="","",ИТОГ!S221)</f>
        <v/>
      </c>
      <c r="E221" s="24" t="str">
        <f t="shared" si="36"/>
        <v/>
      </c>
      <c r="F221" s="30" t="str">
        <f t="shared" si="37"/>
        <v/>
      </c>
      <c r="G221" s="25" t="str">
        <f t="shared" si="38"/>
        <v/>
      </c>
      <c r="H221" s="29" t="str">
        <f t="shared" ca="1" si="39"/>
        <v/>
      </c>
      <c r="I221" s="24"/>
      <c r="J221" s="30"/>
      <c r="K221" s="27" t="str">
        <f>IF(ИТОГ!A221=0,"",ИТОГ!A221)</f>
        <v/>
      </c>
      <c r="L221" s="26" t="str">
        <f t="shared" si="40"/>
        <v/>
      </c>
      <c r="M221" s="25" t="str">
        <f>IF(K221="","",ИТОГ!Q221)</f>
        <v/>
      </c>
      <c r="N221" s="28" t="str">
        <f>IF(K221="","",ИТОГ!N221)</f>
        <v/>
      </c>
      <c r="O221" s="30" t="str">
        <f t="shared" si="41"/>
        <v/>
      </c>
      <c r="P221" s="24"/>
      <c r="Q221" s="30" t="str">
        <f t="shared" si="42"/>
        <v/>
      </c>
      <c r="R221" s="29" t="str">
        <f t="shared" ca="1" si="43"/>
        <v/>
      </c>
    </row>
    <row r="222" spans="1:18">
      <c r="A222" s="23" t="str">
        <f t="shared" ref="A222:A285" si="44">IF(K222="","",1000)</f>
        <v/>
      </c>
      <c r="B222" s="23" t="str">
        <f t="shared" ref="B222:B285" si="45">IF(K222="","",1)</f>
        <v/>
      </c>
      <c r="C222" s="29" t="str">
        <f t="shared" ref="C222:C285" ca="1" si="46">IF(K222="","",TODAY())</f>
        <v/>
      </c>
      <c r="D222" s="22" t="str">
        <f>IF(K222="","",ИТОГ!S222)</f>
        <v/>
      </c>
      <c r="E222" s="24" t="str">
        <f t="shared" ref="E222:E285" si="47">IF(K222="","","Х")</f>
        <v/>
      </c>
      <c r="F222" s="30" t="str">
        <f t="shared" ref="F222:F285" si="48">IF(K222="","","UV")</f>
        <v/>
      </c>
      <c r="G222" s="25" t="str">
        <f t="shared" ref="G222:G285" si="49">IF(K222="","",SUMIF(D:D,D222,M:M))</f>
        <v/>
      </c>
      <c r="H222" s="29" t="str">
        <f t="shared" ref="H222:H285" ca="1" si="50">IF(K222="","",TODAY())</f>
        <v/>
      </c>
      <c r="I222" s="24"/>
      <c r="J222" s="30"/>
      <c r="K222" s="27" t="str">
        <f>IF(ИТОГ!A222=0,"",ИТОГ!A222)</f>
        <v/>
      </c>
      <c r="L222" s="26" t="str">
        <f t="shared" ref="L222:L285" si="51">IF(K222="","",
IF(D221-D222=0,L221+10,10))</f>
        <v/>
      </c>
      <c r="M222" s="25" t="str">
        <f>IF(K222="","",ИТОГ!Q222)</f>
        <v/>
      </c>
      <c r="N222" s="28" t="str">
        <f>IF(K222="","",ИТОГ!N222)</f>
        <v/>
      </c>
      <c r="O222" s="30" t="str">
        <f t="shared" ref="O222:O285" si="52">IF(K222="","","ST")</f>
        <v/>
      </c>
      <c r="P222" s="24"/>
      <c r="Q222" s="30" t="str">
        <f t="shared" ref="Q222:Q285" si="53">IF(K222="","","EUR")</f>
        <v/>
      </c>
      <c r="R222" s="29" t="str">
        <f t="shared" ref="R222:R285" ca="1" si="54">IF(K222="","",TODAY())</f>
        <v/>
      </c>
    </row>
    <row r="223" spans="1:18">
      <c r="A223" s="23" t="str">
        <f t="shared" si="44"/>
        <v/>
      </c>
      <c r="B223" s="23" t="str">
        <f t="shared" si="45"/>
        <v/>
      </c>
      <c r="C223" s="29" t="str">
        <f t="shared" ca="1" si="46"/>
        <v/>
      </c>
      <c r="D223" s="22" t="str">
        <f>IF(K223="","",ИТОГ!S223)</f>
        <v/>
      </c>
      <c r="E223" s="24" t="str">
        <f t="shared" si="47"/>
        <v/>
      </c>
      <c r="F223" s="30" t="str">
        <f t="shared" si="48"/>
        <v/>
      </c>
      <c r="G223" s="25" t="str">
        <f t="shared" si="49"/>
        <v/>
      </c>
      <c r="H223" s="29" t="str">
        <f t="shared" ca="1" si="50"/>
        <v/>
      </c>
      <c r="I223" s="24"/>
      <c r="J223" s="30"/>
      <c r="K223" s="27" t="str">
        <f>IF(ИТОГ!A223=0,"",ИТОГ!A223)</f>
        <v/>
      </c>
      <c r="L223" s="26" t="str">
        <f t="shared" si="51"/>
        <v/>
      </c>
      <c r="M223" s="25" t="str">
        <f>IF(K223="","",ИТОГ!Q223)</f>
        <v/>
      </c>
      <c r="N223" s="28" t="str">
        <f>IF(K223="","",ИТОГ!N223)</f>
        <v/>
      </c>
      <c r="O223" s="30" t="str">
        <f t="shared" si="52"/>
        <v/>
      </c>
      <c r="P223" s="24"/>
      <c r="Q223" s="30" t="str">
        <f t="shared" si="53"/>
        <v/>
      </c>
      <c r="R223" s="29" t="str">
        <f t="shared" ca="1" si="54"/>
        <v/>
      </c>
    </row>
    <row r="224" spans="1:18">
      <c r="A224" s="23" t="str">
        <f t="shared" si="44"/>
        <v/>
      </c>
      <c r="B224" s="23" t="str">
        <f t="shared" si="45"/>
        <v/>
      </c>
      <c r="C224" s="29" t="str">
        <f t="shared" ca="1" si="46"/>
        <v/>
      </c>
      <c r="D224" s="22" t="str">
        <f>IF(K224="","",ИТОГ!S224)</f>
        <v/>
      </c>
      <c r="E224" s="24" t="str">
        <f t="shared" si="47"/>
        <v/>
      </c>
      <c r="F224" s="30" t="str">
        <f t="shared" si="48"/>
        <v/>
      </c>
      <c r="G224" s="25" t="str">
        <f t="shared" si="49"/>
        <v/>
      </c>
      <c r="H224" s="29" t="str">
        <f t="shared" ca="1" si="50"/>
        <v/>
      </c>
      <c r="I224" s="24"/>
      <c r="J224" s="30"/>
      <c r="K224" s="27" t="str">
        <f>IF(ИТОГ!A224=0,"",ИТОГ!A224)</f>
        <v/>
      </c>
      <c r="L224" s="26" t="str">
        <f t="shared" si="51"/>
        <v/>
      </c>
      <c r="M224" s="25" t="str">
        <f>IF(K224="","",ИТОГ!Q224)</f>
        <v/>
      </c>
      <c r="N224" s="28" t="str">
        <f>IF(K224="","",ИТОГ!N224)</f>
        <v/>
      </c>
      <c r="O224" s="30" t="str">
        <f t="shared" si="52"/>
        <v/>
      </c>
      <c r="P224" s="24"/>
      <c r="Q224" s="30" t="str">
        <f t="shared" si="53"/>
        <v/>
      </c>
      <c r="R224" s="29" t="str">
        <f t="shared" ca="1" si="54"/>
        <v/>
      </c>
    </row>
    <row r="225" spans="1:18">
      <c r="A225" s="23" t="str">
        <f t="shared" si="44"/>
        <v/>
      </c>
      <c r="B225" s="23" t="str">
        <f t="shared" si="45"/>
        <v/>
      </c>
      <c r="C225" s="29" t="str">
        <f t="shared" ca="1" si="46"/>
        <v/>
      </c>
      <c r="D225" s="22" t="str">
        <f>IF(K225="","",ИТОГ!S225)</f>
        <v/>
      </c>
      <c r="E225" s="24" t="str">
        <f t="shared" si="47"/>
        <v/>
      </c>
      <c r="F225" s="30" t="str">
        <f t="shared" si="48"/>
        <v/>
      </c>
      <c r="G225" s="25" t="str">
        <f t="shared" si="49"/>
        <v/>
      </c>
      <c r="H225" s="29" t="str">
        <f t="shared" ca="1" si="50"/>
        <v/>
      </c>
      <c r="I225" s="24"/>
      <c r="J225" s="30"/>
      <c r="K225" s="27" t="str">
        <f>IF(ИТОГ!A225=0,"",ИТОГ!A225)</f>
        <v/>
      </c>
      <c r="L225" s="26" t="str">
        <f t="shared" si="51"/>
        <v/>
      </c>
      <c r="M225" s="25" t="str">
        <f>IF(K225="","",ИТОГ!Q225)</f>
        <v/>
      </c>
      <c r="N225" s="28" t="str">
        <f>IF(K225="","",ИТОГ!N225)</f>
        <v/>
      </c>
      <c r="O225" s="30" t="str">
        <f t="shared" si="52"/>
        <v/>
      </c>
      <c r="P225" s="24"/>
      <c r="Q225" s="30" t="str">
        <f t="shared" si="53"/>
        <v/>
      </c>
      <c r="R225" s="29" t="str">
        <f t="shared" ca="1" si="54"/>
        <v/>
      </c>
    </row>
    <row r="226" spans="1:18">
      <c r="A226" s="23" t="str">
        <f t="shared" si="44"/>
        <v/>
      </c>
      <c r="B226" s="23" t="str">
        <f t="shared" si="45"/>
        <v/>
      </c>
      <c r="C226" s="29" t="str">
        <f t="shared" ca="1" si="46"/>
        <v/>
      </c>
      <c r="D226" s="22" t="str">
        <f>IF(K226="","",ИТОГ!S226)</f>
        <v/>
      </c>
      <c r="E226" s="24" t="str">
        <f t="shared" si="47"/>
        <v/>
      </c>
      <c r="F226" s="30" t="str">
        <f t="shared" si="48"/>
        <v/>
      </c>
      <c r="G226" s="25" t="str">
        <f t="shared" si="49"/>
        <v/>
      </c>
      <c r="H226" s="29" t="str">
        <f t="shared" ca="1" si="50"/>
        <v/>
      </c>
      <c r="I226" s="24"/>
      <c r="J226" s="30"/>
      <c r="K226" s="27" t="str">
        <f>IF(ИТОГ!A226=0,"",ИТОГ!A226)</f>
        <v/>
      </c>
      <c r="L226" s="26" t="str">
        <f t="shared" si="51"/>
        <v/>
      </c>
      <c r="M226" s="25" t="str">
        <f>IF(K226="","",ИТОГ!Q226)</f>
        <v/>
      </c>
      <c r="N226" s="28" t="str">
        <f>IF(K226="","",ИТОГ!N226)</f>
        <v/>
      </c>
      <c r="O226" s="30" t="str">
        <f t="shared" si="52"/>
        <v/>
      </c>
      <c r="P226" s="24"/>
      <c r="Q226" s="30" t="str">
        <f t="shared" si="53"/>
        <v/>
      </c>
      <c r="R226" s="29" t="str">
        <f t="shared" ca="1" si="54"/>
        <v/>
      </c>
    </row>
    <row r="227" spans="1:18">
      <c r="A227" s="23" t="str">
        <f t="shared" si="44"/>
        <v/>
      </c>
      <c r="B227" s="23" t="str">
        <f t="shared" si="45"/>
        <v/>
      </c>
      <c r="C227" s="29" t="str">
        <f t="shared" ca="1" si="46"/>
        <v/>
      </c>
      <c r="D227" s="22" t="str">
        <f>IF(K227="","",ИТОГ!S227)</f>
        <v/>
      </c>
      <c r="E227" s="24" t="str">
        <f t="shared" si="47"/>
        <v/>
      </c>
      <c r="F227" s="30" t="str">
        <f t="shared" si="48"/>
        <v/>
      </c>
      <c r="G227" s="25" t="str">
        <f t="shared" si="49"/>
        <v/>
      </c>
      <c r="H227" s="29" t="str">
        <f t="shared" ca="1" si="50"/>
        <v/>
      </c>
      <c r="I227" s="24"/>
      <c r="J227" s="30"/>
      <c r="K227" s="27" t="str">
        <f>IF(ИТОГ!A227=0,"",ИТОГ!A227)</f>
        <v/>
      </c>
      <c r="L227" s="26" t="str">
        <f t="shared" si="51"/>
        <v/>
      </c>
      <c r="M227" s="25" t="str">
        <f>IF(K227="","",ИТОГ!Q227)</f>
        <v/>
      </c>
      <c r="N227" s="28" t="str">
        <f>IF(K227="","",ИТОГ!N227)</f>
        <v/>
      </c>
      <c r="O227" s="30" t="str">
        <f t="shared" si="52"/>
        <v/>
      </c>
      <c r="P227" s="24"/>
      <c r="Q227" s="30" t="str">
        <f t="shared" si="53"/>
        <v/>
      </c>
      <c r="R227" s="29" t="str">
        <f t="shared" ca="1" si="54"/>
        <v/>
      </c>
    </row>
    <row r="228" spans="1:18">
      <c r="A228" s="23" t="str">
        <f t="shared" si="44"/>
        <v/>
      </c>
      <c r="B228" s="23" t="str">
        <f t="shared" si="45"/>
        <v/>
      </c>
      <c r="C228" s="29" t="str">
        <f t="shared" ca="1" si="46"/>
        <v/>
      </c>
      <c r="D228" s="22" t="str">
        <f>IF(K228="","",ИТОГ!S228)</f>
        <v/>
      </c>
      <c r="E228" s="24" t="str">
        <f t="shared" si="47"/>
        <v/>
      </c>
      <c r="F228" s="30" t="str">
        <f t="shared" si="48"/>
        <v/>
      </c>
      <c r="G228" s="25" t="str">
        <f t="shared" si="49"/>
        <v/>
      </c>
      <c r="H228" s="29" t="str">
        <f t="shared" ca="1" si="50"/>
        <v/>
      </c>
      <c r="I228" s="24"/>
      <c r="J228" s="30"/>
      <c r="K228" s="27" t="str">
        <f>IF(ИТОГ!A228=0,"",ИТОГ!A228)</f>
        <v/>
      </c>
      <c r="L228" s="26" t="str">
        <f t="shared" si="51"/>
        <v/>
      </c>
      <c r="M228" s="25" t="str">
        <f>IF(K228="","",ИТОГ!Q228)</f>
        <v/>
      </c>
      <c r="N228" s="28" t="str">
        <f>IF(K228="","",ИТОГ!N228)</f>
        <v/>
      </c>
      <c r="O228" s="30" t="str">
        <f t="shared" si="52"/>
        <v/>
      </c>
      <c r="P228" s="24"/>
      <c r="Q228" s="30" t="str">
        <f t="shared" si="53"/>
        <v/>
      </c>
      <c r="R228" s="29" t="str">
        <f t="shared" ca="1" si="54"/>
        <v/>
      </c>
    </row>
    <row r="229" spans="1:18">
      <c r="A229" s="23" t="str">
        <f t="shared" si="44"/>
        <v/>
      </c>
      <c r="B229" s="23" t="str">
        <f t="shared" si="45"/>
        <v/>
      </c>
      <c r="C229" s="29" t="str">
        <f t="shared" ca="1" si="46"/>
        <v/>
      </c>
      <c r="D229" s="22" t="str">
        <f>IF(K229="","",ИТОГ!S229)</f>
        <v/>
      </c>
      <c r="E229" s="24" t="str">
        <f t="shared" si="47"/>
        <v/>
      </c>
      <c r="F229" s="30" t="str">
        <f t="shared" si="48"/>
        <v/>
      </c>
      <c r="G229" s="25" t="str">
        <f t="shared" si="49"/>
        <v/>
      </c>
      <c r="H229" s="29" t="str">
        <f t="shared" ca="1" si="50"/>
        <v/>
      </c>
      <c r="I229" s="24"/>
      <c r="J229" s="30"/>
      <c r="K229" s="27" t="str">
        <f>IF(ИТОГ!A229=0,"",ИТОГ!A229)</f>
        <v/>
      </c>
      <c r="L229" s="26" t="str">
        <f t="shared" si="51"/>
        <v/>
      </c>
      <c r="M229" s="25" t="str">
        <f>IF(K229="","",ИТОГ!Q229)</f>
        <v/>
      </c>
      <c r="N229" s="28" t="str">
        <f>IF(K229="","",ИТОГ!N229)</f>
        <v/>
      </c>
      <c r="O229" s="30" t="str">
        <f t="shared" si="52"/>
        <v/>
      </c>
      <c r="P229" s="24"/>
      <c r="Q229" s="30" t="str">
        <f t="shared" si="53"/>
        <v/>
      </c>
      <c r="R229" s="29" t="str">
        <f t="shared" ca="1" si="54"/>
        <v/>
      </c>
    </row>
    <row r="230" spans="1:18">
      <c r="A230" s="23" t="str">
        <f t="shared" si="44"/>
        <v/>
      </c>
      <c r="B230" s="23" t="str">
        <f t="shared" si="45"/>
        <v/>
      </c>
      <c r="C230" s="29" t="str">
        <f t="shared" ca="1" si="46"/>
        <v/>
      </c>
      <c r="D230" s="22" t="str">
        <f>IF(K230="","",ИТОГ!S230)</f>
        <v/>
      </c>
      <c r="E230" s="24" t="str">
        <f t="shared" si="47"/>
        <v/>
      </c>
      <c r="F230" s="30" t="str">
        <f t="shared" si="48"/>
        <v/>
      </c>
      <c r="G230" s="25" t="str">
        <f t="shared" si="49"/>
        <v/>
      </c>
      <c r="H230" s="29" t="str">
        <f t="shared" ca="1" si="50"/>
        <v/>
      </c>
      <c r="I230" s="24"/>
      <c r="J230" s="30"/>
      <c r="K230" s="27" t="str">
        <f>IF(ИТОГ!A230=0,"",ИТОГ!A230)</f>
        <v/>
      </c>
      <c r="L230" s="26" t="str">
        <f t="shared" si="51"/>
        <v/>
      </c>
      <c r="M230" s="25" t="str">
        <f>IF(K230="","",ИТОГ!Q230)</f>
        <v/>
      </c>
      <c r="N230" s="28" t="str">
        <f>IF(K230="","",ИТОГ!N230)</f>
        <v/>
      </c>
      <c r="O230" s="30" t="str">
        <f t="shared" si="52"/>
        <v/>
      </c>
      <c r="P230" s="24"/>
      <c r="Q230" s="30" t="str">
        <f t="shared" si="53"/>
        <v/>
      </c>
      <c r="R230" s="29" t="str">
        <f t="shared" ca="1" si="54"/>
        <v/>
      </c>
    </row>
    <row r="231" spans="1:18">
      <c r="A231" s="23" t="str">
        <f t="shared" si="44"/>
        <v/>
      </c>
      <c r="B231" s="23" t="str">
        <f t="shared" si="45"/>
        <v/>
      </c>
      <c r="C231" s="29" t="str">
        <f t="shared" ca="1" si="46"/>
        <v/>
      </c>
      <c r="D231" s="22" t="str">
        <f>IF(K231="","",ИТОГ!S231)</f>
        <v/>
      </c>
      <c r="E231" s="24" t="str">
        <f t="shared" si="47"/>
        <v/>
      </c>
      <c r="F231" s="30" t="str">
        <f t="shared" si="48"/>
        <v/>
      </c>
      <c r="G231" s="25" t="str">
        <f t="shared" si="49"/>
        <v/>
      </c>
      <c r="H231" s="29" t="str">
        <f t="shared" ca="1" si="50"/>
        <v/>
      </c>
      <c r="I231" s="24"/>
      <c r="J231" s="30"/>
      <c r="K231" s="27" t="str">
        <f>IF(ИТОГ!A231=0,"",ИТОГ!A231)</f>
        <v/>
      </c>
      <c r="L231" s="26" t="str">
        <f t="shared" si="51"/>
        <v/>
      </c>
      <c r="M231" s="25" t="str">
        <f>IF(K231="","",ИТОГ!Q231)</f>
        <v/>
      </c>
      <c r="N231" s="28" t="str">
        <f>IF(K231="","",ИТОГ!N231)</f>
        <v/>
      </c>
      <c r="O231" s="30" t="str">
        <f t="shared" si="52"/>
        <v/>
      </c>
      <c r="P231" s="24"/>
      <c r="Q231" s="30" t="str">
        <f t="shared" si="53"/>
        <v/>
      </c>
      <c r="R231" s="29" t="str">
        <f t="shared" ca="1" si="54"/>
        <v/>
      </c>
    </row>
    <row r="232" spans="1:18">
      <c r="A232" s="23" t="str">
        <f t="shared" si="44"/>
        <v/>
      </c>
      <c r="B232" s="23" t="str">
        <f t="shared" si="45"/>
        <v/>
      </c>
      <c r="C232" s="29" t="str">
        <f t="shared" ca="1" si="46"/>
        <v/>
      </c>
      <c r="D232" s="22" t="str">
        <f>IF(K232="","",ИТОГ!S232)</f>
        <v/>
      </c>
      <c r="E232" s="24" t="str">
        <f t="shared" si="47"/>
        <v/>
      </c>
      <c r="F232" s="30" t="str">
        <f t="shared" si="48"/>
        <v/>
      </c>
      <c r="G232" s="25" t="str">
        <f t="shared" si="49"/>
        <v/>
      </c>
      <c r="H232" s="29" t="str">
        <f t="shared" ca="1" si="50"/>
        <v/>
      </c>
      <c r="I232" s="24"/>
      <c r="J232" s="30"/>
      <c r="K232" s="27" t="str">
        <f>IF(ИТОГ!A232=0,"",ИТОГ!A232)</f>
        <v/>
      </c>
      <c r="L232" s="26" t="str">
        <f t="shared" si="51"/>
        <v/>
      </c>
      <c r="M232" s="25" t="str">
        <f>IF(K232="","",ИТОГ!Q232)</f>
        <v/>
      </c>
      <c r="N232" s="28" t="str">
        <f>IF(K232="","",ИТОГ!N232)</f>
        <v/>
      </c>
      <c r="O232" s="30" t="str">
        <f t="shared" si="52"/>
        <v/>
      </c>
      <c r="P232" s="24"/>
      <c r="Q232" s="30" t="str">
        <f t="shared" si="53"/>
        <v/>
      </c>
      <c r="R232" s="29" t="str">
        <f t="shared" ca="1" si="54"/>
        <v/>
      </c>
    </row>
    <row r="233" spans="1:18">
      <c r="A233" s="23" t="str">
        <f t="shared" si="44"/>
        <v/>
      </c>
      <c r="B233" s="23" t="str">
        <f t="shared" si="45"/>
        <v/>
      </c>
      <c r="C233" s="29" t="str">
        <f t="shared" ca="1" si="46"/>
        <v/>
      </c>
      <c r="D233" s="22" t="str">
        <f>IF(K233="","",ИТОГ!S233)</f>
        <v/>
      </c>
      <c r="E233" s="24" t="str">
        <f t="shared" si="47"/>
        <v/>
      </c>
      <c r="F233" s="30" t="str">
        <f t="shared" si="48"/>
        <v/>
      </c>
      <c r="G233" s="25" t="str">
        <f t="shared" si="49"/>
        <v/>
      </c>
      <c r="H233" s="29" t="str">
        <f t="shared" ca="1" si="50"/>
        <v/>
      </c>
      <c r="I233" s="24"/>
      <c r="J233" s="30"/>
      <c r="K233" s="27" t="str">
        <f>IF(ИТОГ!A233=0,"",ИТОГ!A233)</f>
        <v/>
      </c>
      <c r="L233" s="26" t="str">
        <f t="shared" si="51"/>
        <v/>
      </c>
      <c r="M233" s="25" t="str">
        <f>IF(K233="","",ИТОГ!Q233)</f>
        <v/>
      </c>
      <c r="N233" s="28" t="str">
        <f>IF(K233="","",ИТОГ!N233)</f>
        <v/>
      </c>
      <c r="O233" s="30" t="str">
        <f t="shared" si="52"/>
        <v/>
      </c>
      <c r="P233" s="24"/>
      <c r="Q233" s="30" t="str">
        <f t="shared" si="53"/>
        <v/>
      </c>
      <c r="R233" s="29" t="str">
        <f t="shared" ca="1" si="54"/>
        <v/>
      </c>
    </row>
    <row r="234" spans="1:18">
      <c r="A234" s="23" t="str">
        <f t="shared" si="44"/>
        <v/>
      </c>
      <c r="B234" s="23" t="str">
        <f t="shared" si="45"/>
        <v/>
      </c>
      <c r="C234" s="29" t="str">
        <f t="shared" ca="1" si="46"/>
        <v/>
      </c>
      <c r="D234" s="22" t="str">
        <f>IF(K234="","",ИТОГ!S234)</f>
        <v/>
      </c>
      <c r="E234" s="24" t="str">
        <f t="shared" si="47"/>
        <v/>
      </c>
      <c r="F234" s="30" t="str">
        <f t="shared" si="48"/>
        <v/>
      </c>
      <c r="G234" s="25" t="str">
        <f t="shared" si="49"/>
        <v/>
      </c>
      <c r="H234" s="29" t="str">
        <f t="shared" ca="1" si="50"/>
        <v/>
      </c>
      <c r="I234" s="24"/>
      <c r="J234" s="30"/>
      <c r="K234" s="27" t="str">
        <f>IF(ИТОГ!A234=0,"",ИТОГ!A234)</f>
        <v/>
      </c>
      <c r="L234" s="26" t="str">
        <f t="shared" si="51"/>
        <v/>
      </c>
      <c r="M234" s="25" t="str">
        <f>IF(K234="","",ИТОГ!Q234)</f>
        <v/>
      </c>
      <c r="N234" s="28" t="str">
        <f>IF(K234="","",ИТОГ!N234)</f>
        <v/>
      </c>
      <c r="O234" s="30" t="str">
        <f t="shared" si="52"/>
        <v/>
      </c>
      <c r="P234" s="24"/>
      <c r="Q234" s="30" t="str">
        <f t="shared" si="53"/>
        <v/>
      </c>
      <c r="R234" s="29" t="str">
        <f t="shared" ca="1" si="54"/>
        <v/>
      </c>
    </row>
    <row r="235" spans="1:18">
      <c r="A235" s="23" t="str">
        <f t="shared" si="44"/>
        <v/>
      </c>
      <c r="B235" s="23" t="str">
        <f t="shared" si="45"/>
        <v/>
      </c>
      <c r="C235" s="29" t="str">
        <f t="shared" ca="1" si="46"/>
        <v/>
      </c>
      <c r="D235" s="22" t="str">
        <f>IF(K235="","",ИТОГ!S235)</f>
        <v/>
      </c>
      <c r="E235" s="24" t="str">
        <f t="shared" si="47"/>
        <v/>
      </c>
      <c r="F235" s="30" t="str">
        <f t="shared" si="48"/>
        <v/>
      </c>
      <c r="G235" s="25" t="str">
        <f t="shared" si="49"/>
        <v/>
      </c>
      <c r="H235" s="29" t="str">
        <f t="shared" ca="1" si="50"/>
        <v/>
      </c>
      <c r="I235" s="24"/>
      <c r="J235" s="30"/>
      <c r="K235" s="27" t="str">
        <f>IF(ИТОГ!A235=0,"",ИТОГ!A235)</f>
        <v/>
      </c>
      <c r="L235" s="26" t="str">
        <f t="shared" si="51"/>
        <v/>
      </c>
      <c r="M235" s="25" t="str">
        <f>IF(K235="","",ИТОГ!Q235)</f>
        <v/>
      </c>
      <c r="N235" s="28" t="str">
        <f>IF(K235="","",ИТОГ!N235)</f>
        <v/>
      </c>
      <c r="O235" s="30" t="str">
        <f t="shared" si="52"/>
        <v/>
      </c>
      <c r="P235" s="24"/>
      <c r="Q235" s="30" t="str">
        <f t="shared" si="53"/>
        <v/>
      </c>
      <c r="R235" s="29" t="str">
        <f t="shared" ca="1" si="54"/>
        <v/>
      </c>
    </row>
    <row r="236" spans="1:18">
      <c r="A236" s="23" t="str">
        <f t="shared" si="44"/>
        <v/>
      </c>
      <c r="B236" s="23" t="str">
        <f t="shared" si="45"/>
        <v/>
      </c>
      <c r="C236" s="29" t="str">
        <f t="shared" ca="1" si="46"/>
        <v/>
      </c>
      <c r="D236" s="22" t="str">
        <f>IF(K236="","",ИТОГ!S236)</f>
        <v/>
      </c>
      <c r="E236" s="24" t="str">
        <f t="shared" si="47"/>
        <v/>
      </c>
      <c r="F236" s="30" t="str">
        <f t="shared" si="48"/>
        <v/>
      </c>
      <c r="G236" s="25" t="str">
        <f t="shared" si="49"/>
        <v/>
      </c>
      <c r="H236" s="29" t="str">
        <f t="shared" ca="1" si="50"/>
        <v/>
      </c>
      <c r="I236" s="24"/>
      <c r="J236" s="30"/>
      <c r="K236" s="27" t="str">
        <f>IF(ИТОГ!A236=0,"",ИТОГ!A236)</f>
        <v/>
      </c>
      <c r="L236" s="26" t="str">
        <f t="shared" si="51"/>
        <v/>
      </c>
      <c r="M236" s="25" t="str">
        <f>IF(K236="","",ИТОГ!Q236)</f>
        <v/>
      </c>
      <c r="N236" s="28" t="str">
        <f>IF(K236="","",ИТОГ!N236)</f>
        <v/>
      </c>
      <c r="O236" s="30" t="str">
        <f t="shared" si="52"/>
        <v/>
      </c>
      <c r="P236" s="24"/>
      <c r="Q236" s="30" t="str">
        <f t="shared" si="53"/>
        <v/>
      </c>
      <c r="R236" s="29" t="str">
        <f t="shared" ca="1" si="54"/>
        <v/>
      </c>
    </row>
    <row r="237" spans="1:18">
      <c r="A237" s="23" t="str">
        <f t="shared" si="44"/>
        <v/>
      </c>
      <c r="B237" s="23" t="str">
        <f t="shared" si="45"/>
        <v/>
      </c>
      <c r="C237" s="29" t="str">
        <f t="shared" ca="1" si="46"/>
        <v/>
      </c>
      <c r="D237" s="22" t="str">
        <f>IF(K237="","",ИТОГ!S237)</f>
        <v/>
      </c>
      <c r="E237" s="24" t="str">
        <f t="shared" si="47"/>
        <v/>
      </c>
      <c r="F237" s="30" t="str">
        <f t="shared" si="48"/>
        <v/>
      </c>
      <c r="G237" s="25" t="str">
        <f t="shared" si="49"/>
        <v/>
      </c>
      <c r="H237" s="29" t="str">
        <f t="shared" ca="1" si="50"/>
        <v/>
      </c>
      <c r="I237" s="24"/>
      <c r="J237" s="30"/>
      <c r="K237" s="27" t="str">
        <f>IF(ИТОГ!A237=0,"",ИТОГ!A237)</f>
        <v/>
      </c>
      <c r="L237" s="26" t="str">
        <f t="shared" si="51"/>
        <v/>
      </c>
      <c r="M237" s="25" t="str">
        <f>IF(K237="","",ИТОГ!Q237)</f>
        <v/>
      </c>
      <c r="N237" s="28" t="str">
        <f>IF(K237="","",ИТОГ!N237)</f>
        <v/>
      </c>
      <c r="O237" s="30" t="str">
        <f t="shared" si="52"/>
        <v/>
      </c>
      <c r="P237" s="24"/>
      <c r="Q237" s="30" t="str">
        <f t="shared" si="53"/>
        <v/>
      </c>
      <c r="R237" s="29" t="str">
        <f t="shared" ca="1" si="54"/>
        <v/>
      </c>
    </row>
    <row r="238" spans="1:18">
      <c r="A238" s="23" t="str">
        <f t="shared" si="44"/>
        <v/>
      </c>
      <c r="B238" s="23" t="str">
        <f t="shared" si="45"/>
        <v/>
      </c>
      <c r="C238" s="29" t="str">
        <f t="shared" ca="1" si="46"/>
        <v/>
      </c>
      <c r="D238" s="22" t="str">
        <f>IF(K238="","",ИТОГ!S238)</f>
        <v/>
      </c>
      <c r="E238" s="24" t="str">
        <f t="shared" si="47"/>
        <v/>
      </c>
      <c r="F238" s="30" t="str">
        <f t="shared" si="48"/>
        <v/>
      </c>
      <c r="G238" s="25" t="str">
        <f t="shared" si="49"/>
        <v/>
      </c>
      <c r="H238" s="29" t="str">
        <f t="shared" ca="1" si="50"/>
        <v/>
      </c>
      <c r="I238" s="24"/>
      <c r="J238" s="30"/>
      <c r="K238" s="27" t="str">
        <f>IF(ИТОГ!A238=0,"",ИТОГ!A238)</f>
        <v/>
      </c>
      <c r="L238" s="26" t="str">
        <f t="shared" si="51"/>
        <v/>
      </c>
      <c r="M238" s="25" t="str">
        <f>IF(K238="","",ИТОГ!Q238)</f>
        <v/>
      </c>
      <c r="N238" s="28" t="str">
        <f>IF(K238="","",ИТОГ!N238)</f>
        <v/>
      </c>
      <c r="O238" s="30" t="str">
        <f t="shared" si="52"/>
        <v/>
      </c>
      <c r="P238" s="24"/>
      <c r="Q238" s="30" t="str">
        <f t="shared" si="53"/>
        <v/>
      </c>
      <c r="R238" s="29" t="str">
        <f t="shared" ca="1" si="54"/>
        <v/>
      </c>
    </row>
    <row r="239" spans="1:18">
      <c r="A239" s="23" t="str">
        <f t="shared" si="44"/>
        <v/>
      </c>
      <c r="B239" s="23" t="str">
        <f t="shared" si="45"/>
        <v/>
      </c>
      <c r="C239" s="29" t="str">
        <f t="shared" ca="1" si="46"/>
        <v/>
      </c>
      <c r="D239" s="22" t="str">
        <f>IF(K239="","",ИТОГ!S239)</f>
        <v/>
      </c>
      <c r="E239" s="24" t="str">
        <f t="shared" si="47"/>
        <v/>
      </c>
      <c r="F239" s="30" t="str">
        <f t="shared" si="48"/>
        <v/>
      </c>
      <c r="G239" s="25" t="str">
        <f t="shared" si="49"/>
        <v/>
      </c>
      <c r="H239" s="29" t="str">
        <f t="shared" ca="1" si="50"/>
        <v/>
      </c>
      <c r="I239" s="24"/>
      <c r="J239" s="30"/>
      <c r="K239" s="27" t="str">
        <f>IF(ИТОГ!A239=0,"",ИТОГ!A239)</f>
        <v/>
      </c>
      <c r="L239" s="26" t="str">
        <f t="shared" si="51"/>
        <v/>
      </c>
      <c r="M239" s="25" t="str">
        <f>IF(K239="","",ИТОГ!Q239)</f>
        <v/>
      </c>
      <c r="N239" s="28" t="str">
        <f>IF(K239="","",ИТОГ!N239)</f>
        <v/>
      </c>
      <c r="O239" s="30" t="str">
        <f t="shared" si="52"/>
        <v/>
      </c>
      <c r="P239" s="24"/>
      <c r="Q239" s="30" t="str">
        <f t="shared" si="53"/>
        <v/>
      </c>
      <c r="R239" s="29" t="str">
        <f t="shared" ca="1" si="54"/>
        <v/>
      </c>
    </row>
    <row r="240" spans="1:18">
      <c r="A240" s="23" t="str">
        <f t="shared" si="44"/>
        <v/>
      </c>
      <c r="B240" s="23" t="str">
        <f t="shared" si="45"/>
        <v/>
      </c>
      <c r="C240" s="29" t="str">
        <f t="shared" ca="1" si="46"/>
        <v/>
      </c>
      <c r="D240" s="22" t="str">
        <f>IF(K240="","",ИТОГ!S240)</f>
        <v/>
      </c>
      <c r="E240" s="24" t="str">
        <f t="shared" si="47"/>
        <v/>
      </c>
      <c r="F240" s="30" t="str">
        <f t="shared" si="48"/>
        <v/>
      </c>
      <c r="G240" s="25" t="str">
        <f t="shared" si="49"/>
        <v/>
      </c>
      <c r="H240" s="29" t="str">
        <f t="shared" ca="1" si="50"/>
        <v/>
      </c>
      <c r="I240" s="24"/>
      <c r="J240" s="30"/>
      <c r="K240" s="27" t="str">
        <f>IF(ИТОГ!A240=0,"",ИТОГ!A240)</f>
        <v/>
      </c>
      <c r="L240" s="26" t="str">
        <f t="shared" si="51"/>
        <v/>
      </c>
      <c r="M240" s="25" t="str">
        <f>IF(K240="","",ИТОГ!Q240)</f>
        <v/>
      </c>
      <c r="N240" s="28" t="str">
        <f>IF(K240="","",ИТОГ!N240)</f>
        <v/>
      </c>
      <c r="O240" s="30" t="str">
        <f t="shared" si="52"/>
        <v/>
      </c>
      <c r="P240" s="24"/>
      <c r="Q240" s="30" t="str">
        <f t="shared" si="53"/>
        <v/>
      </c>
      <c r="R240" s="29" t="str">
        <f t="shared" ca="1" si="54"/>
        <v/>
      </c>
    </row>
    <row r="241" spans="1:18">
      <c r="A241" s="23" t="str">
        <f t="shared" si="44"/>
        <v/>
      </c>
      <c r="B241" s="23" t="str">
        <f t="shared" si="45"/>
        <v/>
      </c>
      <c r="C241" s="29" t="str">
        <f t="shared" ca="1" si="46"/>
        <v/>
      </c>
      <c r="D241" s="22" t="str">
        <f>IF(K241="","",ИТОГ!S241)</f>
        <v/>
      </c>
      <c r="E241" s="24" t="str">
        <f t="shared" si="47"/>
        <v/>
      </c>
      <c r="F241" s="30" t="str">
        <f t="shared" si="48"/>
        <v/>
      </c>
      <c r="G241" s="25" t="str">
        <f t="shared" si="49"/>
        <v/>
      </c>
      <c r="H241" s="29" t="str">
        <f t="shared" ca="1" si="50"/>
        <v/>
      </c>
      <c r="I241" s="24"/>
      <c r="J241" s="30"/>
      <c r="K241" s="27" t="str">
        <f>IF(ИТОГ!A241=0,"",ИТОГ!A241)</f>
        <v/>
      </c>
      <c r="L241" s="26" t="str">
        <f t="shared" si="51"/>
        <v/>
      </c>
      <c r="M241" s="25" t="str">
        <f>IF(K241="","",ИТОГ!Q241)</f>
        <v/>
      </c>
      <c r="N241" s="28" t="str">
        <f>IF(K241="","",ИТОГ!N241)</f>
        <v/>
      </c>
      <c r="O241" s="30" t="str">
        <f t="shared" si="52"/>
        <v/>
      </c>
      <c r="P241" s="24"/>
      <c r="Q241" s="30" t="str">
        <f t="shared" si="53"/>
        <v/>
      </c>
      <c r="R241" s="29" t="str">
        <f t="shared" ca="1" si="54"/>
        <v/>
      </c>
    </row>
    <row r="242" spans="1:18">
      <c r="A242" s="23" t="str">
        <f t="shared" si="44"/>
        <v/>
      </c>
      <c r="B242" s="23" t="str">
        <f t="shared" si="45"/>
        <v/>
      </c>
      <c r="C242" s="29" t="str">
        <f t="shared" ca="1" si="46"/>
        <v/>
      </c>
      <c r="D242" s="22" t="str">
        <f>IF(K242="","",ИТОГ!S242)</f>
        <v/>
      </c>
      <c r="E242" s="24" t="str">
        <f t="shared" si="47"/>
        <v/>
      </c>
      <c r="F242" s="30" t="str">
        <f t="shared" si="48"/>
        <v/>
      </c>
      <c r="G242" s="25" t="str">
        <f t="shared" si="49"/>
        <v/>
      </c>
      <c r="H242" s="29" t="str">
        <f t="shared" ca="1" si="50"/>
        <v/>
      </c>
      <c r="I242" s="24"/>
      <c r="J242" s="30"/>
      <c r="K242" s="27" t="str">
        <f>IF(ИТОГ!A242=0,"",ИТОГ!A242)</f>
        <v/>
      </c>
      <c r="L242" s="26" t="str">
        <f t="shared" si="51"/>
        <v/>
      </c>
      <c r="M242" s="25" t="str">
        <f>IF(K242="","",ИТОГ!Q242)</f>
        <v/>
      </c>
      <c r="N242" s="28" t="str">
        <f>IF(K242="","",ИТОГ!N242)</f>
        <v/>
      </c>
      <c r="O242" s="30" t="str">
        <f t="shared" si="52"/>
        <v/>
      </c>
      <c r="P242" s="24"/>
      <c r="Q242" s="30" t="str">
        <f t="shared" si="53"/>
        <v/>
      </c>
      <c r="R242" s="29" t="str">
        <f t="shared" ca="1" si="54"/>
        <v/>
      </c>
    </row>
    <row r="243" spans="1:18">
      <c r="A243" s="23" t="str">
        <f t="shared" si="44"/>
        <v/>
      </c>
      <c r="B243" s="23" t="str">
        <f t="shared" si="45"/>
        <v/>
      </c>
      <c r="C243" s="29" t="str">
        <f t="shared" ca="1" si="46"/>
        <v/>
      </c>
      <c r="D243" s="22" t="str">
        <f>IF(K243="","",ИТОГ!S243)</f>
        <v/>
      </c>
      <c r="E243" s="24" t="str">
        <f t="shared" si="47"/>
        <v/>
      </c>
      <c r="F243" s="30" t="str">
        <f t="shared" si="48"/>
        <v/>
      </c>
      <c r="G243" s="25" t="str">
        <f t="shared" si="49"/>
        <v/>
      </c>
      <c r="H243" s="29" t="str">
        <f t="shared" ca="1" si="50"/>
        <v/>
      </c>
      <c r="I243" s="24"/>
      <c r="J243" s="30"/>
      <c r="K243" s="27" t="str">
        <f>IF(ИТОГ!A243=0,"",ИТОГ!A243)</f>
        <v/>
      </c>
      <c r="L243" s="26" t="str">
        <f t="shared" si="51"/>
        <v/>
      </c>
      <c r="M243" s="25" t="str">
        <f>IF(K243="","",ИТОГ!Q243)</f>
        <v/>
      </c>
      <c r="N243" s="28" t="str">
        <f>IF(K243="","",ИТОГ!N243)</f>
        <v/>
      </c>
      <c r="O243" s="30" t="str">
        <f t="shared" si="52"/>
        <v/>
      </c>
      <c r="P243" s="24"/>
      <c r="Q243" s="30" t="str">
        <f t="shared" si="53"/>
        <v/>
      </c>
      <c r="R243" s="29" t="str">
        <f t="shared" ca="1" si="54"/>
        <v/>
      </c>
    </row>
    <row r="244" spans="1:18">
      <c r="A244" s="23" t="str">
        <f t="shared" si="44"/>
        <v/>
      </c>
      <c r="B244" s="23" t="str">
        <f t="shared" si="45"/>
        <v/>
      </c>
      <c r="C244" s="29" t="str">
        <f t="shared" ca="1" si="46"/>
        <v/>
      </c>
      <c r="D244" s="22" t="str">
        <f>IF(K244="","",ИТОГ!S244)</f>
        <v/>
      </c>
      <c r="E244" s="24" t="str">
        <f t="shared" si="47"/>
        <v/>
      </c>
      <c r="F244" s="30" t="str">
        <f t="shared" si="48"/>
        <v/>
      </c>
      <c r="G244" s="25" t="str">
        <f t="shared" si="49"/>
        <v/>
      </c>
      <c r="H244" s="29" t="str">
        <f t="shared" ca="1" si="50"/>
        <v/>
      </c>
      <c r="I244" s="24"/>
      <c r="J244" s="30"/>
      <c r="K244" s="27" t="str">
        <f>IF(ИТОГ!A244=0,"",ИТОГ!A244)</f>
        <v/>
      </c>
      <c r="L244" s="26" t="str">
        <f t="shared" si="51"/>
        <v/>
      </c>
      <c r="M244" s="25" t="str">
        <f>IF(K244="","",ИТОГ!Q244)</f>
        <v/>
      </c>
      <c r="N244" s="28" t="str">
        <f>IF(K244="","",ИТОГ!N244)</f>
        <v/>
      </c>
      <c r="O244" s="30" t="str">
        <f t="shared" si="52"/>
        <v/>
      </c>
      <c r="P244" s="24"/>
      <c r="Q244" s="30" t="str">
        <f t="shared" si="53"/>
        <v/>
      </c>
      <c r="R244" s="29" t="str">
        <f t="shared" ca="1" si="54"/>
        <v/>
      </c>
    </row>
    <row r="245" spans="1:18">
      <c r="A245" s="23" t="str">
        <f t="shared" si="44"/>
        <v/>
      </c>
      <c r="B245" s="23" t="str">
        <f t="shared" si="45"/>
        <v/>
      </c>
      <c r="C245" s="29" t="str">
        <f t="shared" ca="1" si="46"/>
        <v/>
      </c>
      <c r="D245" s="22" t="str">
        <f>IF(K245="","",ИТОГ!S245)</f>
        <v/>
      </c>
      <c r="E245" s="24" t="str">
        <f t="shared" si="47"/>
        <v/>
      </c>
      <c r="F245" s="30" t="str">
        <f t="shared" si="48"/>
        <v/>
      </c>
      <c r="G245" s="25" t="str">
        <f t="shared" si="49"/>
        <v/>
      </c>
      <c r="H245" s="29" t="str">
        <f t="shared" ca="1" si="50"/>
        <v/>
      </c>
      <c r="I245" s="24"/>
      <c r="J245" s="30"/>
      <c r="K245" s="27" t="str">
        <f>IF(ИТОГ!A245=0,"",ИТОГ!A245)</f>
        <v/>
      </c>
      <c r="L245" s="26" t="str">
        <f t="shared" si="51"/>
        <v/>
      </c>
      <c r="M245" s="25" t="str">
        <f>IF(K245="","",ИТОГ!Q245)</f>
        <v/>
      </c>
      <c r="N245" s="28" t="str">
        <f>IF(K245="","",ИТОГ!N245)</f>
        <v/>
      </c>
      <c r="O245" s="30" t="str">
        <f t="shared" si="52"/>
        <v/>
      </c>
      <c r="P245" s="24"/>
      <c r="Q245" s="30" t="str">
        <f t="shared" si="53"/>
        <v/>
      </c>
      <c r="R245" s="29" t="str">
        <f t="shared" ca="1" si="54"/>
        <v/>
      </c>
    </row>
    <row r="246" spans="1:18">
      <c r="A246" s="23" t="str">
        <f t="shared" si="44"/>
        <v/>
      </c>
      <c r="B246" s="23" t="str">
        <f t="shared" si="45"/>
        <v/>
      </c>
      <c r="C246" s="29" t="str">
        <f t="shared" ca="1" si="46"/>
        <v/>
      </c>
      <c r="D246" s="22" t="str">
        <f>IF(K246="","",ИТОГ!S246)</f>
        <v/>
      </c>
      <c r="E246" s="24" t="str">
        <f t="shared" si="47"/>
        <v/>
      </c>
      <c r="F246" s="30" t="str">
        <f t="shared" si="48"/>
        <v/>
      </c>
      <c r="G246" s="25" t="str">
        <f t="shared" si="49"/>
        <v/>
      </c>
      <c r="H246" s="29" t="str">
        <f t="shared" ca="1" si="50"/>
        <v/>
      </c>
      <c r="I246" s="24"/>
      <c r="J246" s="30"/>
      <c r="K246" s="27" t="str">
        <f>IF(ИТОГ!A246=0,"",ИТОГ!A246)</f>
        <v/>
      </c>
      <c r="L246" s="26" t="str">
        <f t="shared" si="51"/>
        <v/>
      </c>
      <c r="M246" s="25" t="str">
        <f>IF(K246="","",ИТОГ!Q246)</f>
        <v/>
      </c>
      <c r="N246" s="28" t="str">
        <f>IF(K246="","",ИТОГ!N246)</f>
        <v/>
      </c>
      <c r="O246" s="30" t="str">
        <f t="shared" si="52"/>
        <v/>
      </c>
      <c r="P246" s="24"/>
      <c r="Q246" s="30" t="str">
        <f t="shared" si="53"/>
        <v/>
      </c>
      <c r="R246" s="29" t="str">
        <f t="shared" ca="1" si="54"/>
        <v/>
      </c>
    </row>
    <row r="247" spans="1:18">
      <c r="A247" s="23" t="str">
        <f t="shared" si="44"/>
        <v/>
      </c>
      <c r="B247" s="23" t="str">
        <f t="shared" si="45"/>
        <v/>
      </c>
      <c r="C247" s="29" t="str">
        <f t="shared" ca="1" si="46"/>
        <v/>
      </c>
      <c r="D247" s="22" t="str">
        <f>IF(K247="","",ИТОГ!S247)</f>
        <v/>
      </c>
      <c r="E247" s="24" t="str">
        <f t="shared" si="47"/>
        <v/>
      </c>
      <c r="F247" s="30" t="str">
        <f t="shared" si="48"/>
        <v/>
      </c>
      <c r="G247" s="25" t="str">
        <f t="shared" si="49"/>
        <v/>
      </c>
      <c r="H247" s="29" t="str">
        <f t="shared" ca="1" si="50"/>
        <v/>
      </c>
      <c r="I247" s="24"/>
      <c r="J247" s="30"/>
      <c r="K247" s="27" t="str">
        <f>IF(ИТОГ!A247=0,"",ИТОГ!A247)</f>
        <v/>
      </c>
      <c r="L247" s="26" t="str">
        <f t="shared" si="51"/>
        <v/>
      </c>
      <c r="M247" s="25" t="str">
        <f>IF(K247="","",ИТОГ!Q247)</f>
        <v/>
      </c>
      <c r="N247" s="28" t="str">
        <f>IF(K247="","",ИТОГ!N247)</f>
        <v/>
      </c>
      <c r="O247" s="30" t="str">
        <f t="shared" si="52"/>
        <v/>
      </c>
      <c r="P247" s="24"/>
      <c r="Q247" s="30" t="str">
        <f t="shared" si="53"/>
        <v/>
      </c>
      <c r="R247" s="29" t="str">
        <f t="shared" ca="1" si="54"/>
        <v/>
      </c>
    </row>
    <row r="248" spans="1:18">
      <c r="A248" s="23" t="str">
        <f t="shared" si="44"/>
        <v/>
      </c>
      <c r="B248" s="23" t="str">
        <f t="shared" si="45"/>
        <v/>
      </c>
      <c r="C248" s="29" t="str">
        <f t="shared" ca="1" si="46"/>
        <v/>
      </c>
      <c r="D248" s="22" t="str">
        <f>IF(K248="","",ИТОГ!S248)</f>
        <v/>
      </c>
      <c r="E248" s="24" t="str">
        <f t="shared" si="47"/>
        <v/>
      </c>
      <c r="F248" s="30" t="str">
        <f t="shared" si="48"/>
        <v/>
      </c>
      <c r="G248" s="25" t="str">
        <f t="shared" si="49"/>
        <v/>
      </c>
      <c r="H248" s="29" t="str">
        <f t="shared" ca="1" si="50"/>
        <v/>
      </c>
      <c r="I248" s="24"/>
      <c r="J248" s="30"/>
      <c r="K248" s="27" t="str">
        <f>IF(ИТОГ!A248=0,"",ИТОГ!A248)</f>
        <v/>
      </c>
      <c r="L248" s="26" t="str">
        <f t="shared" si="51"/>
        <v/>
      </c>
      <c r="M248" s="25" t="str">
        <f>IF(K248="","",ИТОГ!Q248)</f>
        <v/>
      </c>
      <c r="N248" s="28" t="str">
        <f>IF(K248="","",ИТОГ!N248)</f>
        <v/>
      </c>
      <c r="O248" s="30" t="str">
        <f t="shared" si="52"/>
        <v/>
      </c>
      <c r="P248" s="24"/>
      <c r="Q248" s="30" t="str">
        <f t="shared" si="53"/>
        <v/>
      </c>
      <c r="R248" s="29" t="str">
        <f t="shared" ca="1" si="54"/>
        <v/>
      </c>
    </row>
    <row r="249" spans="1:18">
      <c r="A249" s="23" t="str">
        <f t="shared" si="44"/>
        <v/>
      </c>
      <c r="B249" s="23" t="str">
        <f t="shared" si="45"/>
        <v/>
      </c>
      <c r="C249" s="29" t="str">
        <f t="shared" ca="1" si="46"/>
        <v/>
      </c>
      <c r="D249" s="22" t="str">
        <f>IF(K249="","",ИТОГ!S249)</f>
        <v/>
      </c>
      <c r="E249" s="24" t="str">
        <f t="shared" si="47"/>
        <v/>
      </c>
      <c r="F249" s="30" t="str">
        <f t="shared" si="48"/>
        <v/>
      </c>
      <c r="G249" s="25" t="str">
        <f t="shared" si="49"/>
        <v/>
      </c>
      <c r="H249" s="29" t="str">
        <f t="shared" ca="1" si="50"/>
        <v/>
      </c>
      <c r="I249" s="24"/>
      <c r="J249" s="30"/>
      <c r="K249" s="27" t="str">
        <f>IF(ИТОГ!A249=0,"",ИТОГ!A249)</f>
        <v/>
      </c>
      <c r="L249" s="26" t="str">
        <f t="shared" si="51"/>
        <v/>
      </c>
      <c r="M249" s="25" t="str">
        <f>IF(K249="","",ИТОГ!Q249)</f>
        <v/>
      </c>
      <c r="N249" s="28" t="str">
        <f>IF(K249="","",ИТОГ!N249)</f>
        <v/>
      </c>
      <c r="O249" s="30" t="str">
        <f t="shared" si="52"/>
        <v/>
      </c>
      <c r="P249" s="24"/>
      <c r="Q249" s="30" t="str">
        <f t="shared" si="53"/>
        <v/>
      </c>
      <c r="R249" s="29" t="str">
        <f t="shared" ca="1" si="54"/>
        <v/>
      </c>
    </row>
    <row r="250" spans="1:18">
      <c r="A250" s="23" t="str">
        <f t="shared" si="44"/>
        <v/>
      </c>
      <c r="B250" s="23" t="str">
        <f t="shared" si="45"/>
        <v/>
      </c>
      <c r="C250" s="29" t="str">
        <f t="shared" ca="1" si="46"/>
        <v/>
      </c>
      <c r="D250" s="22" t="str">
        <f>IF(K250="","",ИТОГ!S250)</f>
        <v/>
      </c>
      <c r="E250" s="24" t="str">
        <f t="shared" si="47"/>
        <v/>
      </c>
      <c r="F250" s="30" t="str">
        <f t="shared" si="48"/>
        <v/>
      </c>
      <c r="G250" s="25" t="str">
        <f t="shared" si="49"/>
        <v/>
      </c>
      <c r="H250" s="29" t="str">
        <f t="shared" ca="1" si="50"/>
        <v/>
      </c>
      <c r="I250" s="24"/>
      <c r="J250" s="30"/>
      <c r="K250" s="27" t="str">
        <f>IF(ИТОГ!A250=0,"",ИТОГ!A250)</f>
        <v/>
      </c>
      <c r="L250" s="26" t="str">
        <f t="shared" si="51"/>
        <v/>
      </c>
      <c r="M250" s="25" t="str">
        <f>IF(K250="","",ИТОГ!Q250)</f>
        <v/>
      </c>
      <c r="N250" s="28" t="str">
        <f>IF(K250="","",ИТОГ!N250)</f>
        <v/>
      </c>
      <c r="O250" s="30" t="str">
        <f t="shared" si="52"/>
        <v/>
      </c>
      <c r="P250" s="24"/>
      <c r="Q250" s="30" t="str">
        <f t="shared" si="53"/>
        <v/>
      </c>
      <c r="R250" s="29" t="str">
        <f t="shared" ca="1" si="54"/>
        <v/>
      </c>
    </row>
    <row r="251" spans="1:18">
      <c r="A251" s="23" t="str">
        <f t="shared" si="44"/>
        <v/>
      </c>
      <c r="B251" s="23" t="str">
        <f t="shared" si="45"/>
        <v/>
      </c>
      <c r="C251" s="29" t="str">
        <f t="shared" ca="1" si="46"/>
        <v/>
      </c>
      <c r="D251" s="22" t="str">
        <f>IF(K251="","",ИТОГ!S251)</f>
        <v/>
      </c>
      <c r="E251" s="24" t="str">
        <f t="shared" si="47"/>
        <v/>
      </c>
      <c r="F251" s="30" t="str">
        <f t="shared" si="48"/>
        <v/>
      </c>
      <c r="G251" s="25" t="str">
        <f t="shared" si="49"/>
        <v/>
      </c>
      <c r="H251" s="29" t="str">
        <f t="shared" ca="1" si="50"/>
        <v/>
      </c>
      <c r="I251" s="24"/>
      <c r="J251" s="30"/>
      <c r="K251" s="27" t="str">
        <f>IF(ИТОГ!A251=0,"",ИТОГ!A251)</f>
        <v/>
      </c>
      <c r="L251" s="26" t="str">
        <f t="shared" si="51"/>
        <v/>
      </c>
      <c r="M251" s="25" t="str">
        <f>IF(K251="","",ИТОГ!Q251)</f>
        <v/>
      </c>
      <c r="N251" s="28" t="str">
        <f>IF(K251="","",ИТОГ!N251)</f>
        <v/>
      </c>
      <c r="O251" s="30" t="str">
        <f t="shared" si="52"/>
        <v/>
      </c>
      <c r="P251" s="24"/>
      <c r="Q251" s="30" t="str">
        <f t="shared" si="53"/>
        <v/>
      </c>
      <c r="R251" s="29" t="str">
        <f t="shared" ca="1" si="54"/>
        <v/>
      </c>
    </row>
    <row r="252" spans="1:18">
      <c r="A252" s="23" t="str">
        <f t="shared" si="44"/>
        <v/>
      </c>
      <c r="B252" s="23" t="str">
        <f t="shared" si="45"/>
        <v/>
      </c>
      <c r="C252" s="29" t="str">
        <f t="shared" ca="1" si="46"/>
        <v/>
      </c>
      <c r="D252" s="22" t="str">
        <f>IF(K252="","",ИТОГ!S252)</f>
        <v/>
      </c>
      <c r="E252" s="24" t="str">
        <f t="shared" si="47"/>
        <v/>
      </c>
      <c r="F252" s="30" t="str">
        <f t="shared" si="48"/>
        <v/>
      </c>
      <c r="G252" s="25" t="str">
        <f t="shared" si="49"/>
        <v/>
      </c>
      <c r="H252" s="29" t="str">
        <f t="shared" ca="1" si="50"/>
        <v/>
      </c>
      <c r="I252" s="24"/>
      <c r="J252" s="30"/>
      <c r="K252" s="27" t="str">
        <f>IF(ИТОГ!A252=0,"",ИТОГ!A252)</f>
        <v/>
      </c>
      <c r="L252" s="26" t="str">
        <f t="shared" si="51"/>
        <v/>
      </c>
      <c r="M252" s="25" t="str">
        <f>IF(K252="","",ИТОГ!Q252)</f>
        <v/>
      </c>
      <c r="N252" s="28" t="str">
        <f>IF(K252="","",ИТОГ!N252)</f>
        <v/>
      </c>
      <c r="O252" s="30" t="str">
        <f t="shared" si="52"/>
        <v/>
      </c>
      <c r="P252" s="24"/>
      <c r="Q252" s="30" t="str">
        <f t="shared" si="53"/>
        <v/>
      </c>
      <c r="R252" s="29" t="str">
        <f t="shared" ca="1" si="54"/>
        <v/>
      </c>
    </row>
    <row r="253" spans="1:18">
      <c r="A253" s="23" t="str">
        <f t="shared" si="44"/>
        <v/>
      </c>
      <c r="B253" s="23" t="str">
        <f t="shared" si="45"/>
        <v/>
      </c>
      <c r="C253" s="29" t="str">
        <f t="shared" ca="1" si="46"/>
        <v/>
      </c>
      <c r="D253" s="22" t="str">
        <f>IF(K253="","",ИТОГ!S253)</f>
        <v/>
      </c>
      <c r="E253" s="24" t="str">
        <f t="shared" si="47"/>
        <v/>
      </c>
      <c r="F253" s="30" t="str">
        <f t="shared" si="48"/>
        <v/>
      </c>
      <c r="G253" s="25" t="str">
        <f t="shared" si="49"/>
        <v/>
      </c>
      <c r="H253" s="29" t="str">
        <f t="shared" ca="1" si="50"/>
        <v/>
      </c>
      <c r="I253" s="24"/>
      <c r="J253" s="30"/>
      <c r="K253" s="27" t="str">
        <f>IF(ИТОГ!A253=0,"",ИТОГ!A253)</f>
        <v/>
      </c>
      <c r="L253" s="26" t="str">
        <f t="shared" si="51"/>
        <v/>
      </c>
      <c r="M253" s="25" t="str">
        <f>IF(K253="","",ИТОГ!Q253)</f>
        <v/>
      </c>
      <c r="N253" s="28" t="str">
        <f>IF(K253="","",ИТОГ!N253)</f>
        <v/>
      </c>
      <c r="O253" s="30" t="str">
        <f t="shared" si="52"/>
        <v/>
      </c>
      <c r="P253" s="24"/>
      <c r="Q253" s="30" t="str">
        <f t="shared" si="53"/>
        <v/>
      </c>
      <c r="R253" s="29" t="str">
        <f t="shared" ca="1" si="54"/>
        <v/>
      </c>
    </row>
    <row r="254" spans="1:18">
      <c r="A254" s="23" t="str">
        <f t="shared" si="44"/>
        <v/>
      </c>
      <c r="B254" s="23" t="str">
        <f t="shared" si="45"/>
        <v/>
      </c>
      <c r="C254" s="29" t="str">
        <f t="shared" ca="1" si="46"/>
        <v/>
      </c>
      <c r="D254" s="22" t="str">
        <f>IF(K254="","",ИТОГ!S254)</f>
        <v/>
      </c>
      <c r="E254" s="24" t="str">
        <f t="shared" si="47"/>
        <v/>
      </c>
      <c r="F254" s="30" t="str">
        <f t="shared" si="48"/>
        <v/>
      </c>
      <c r="G254" s="25" t="str">
        <f t="shared" si="49"/>
        <v/>
      </c>
      <c r="H254" s="29" t="str">
        <f t="shared" ca="1" si="50"/>
        <v/>
      </c>
      <c r="I254" s="24"/>
      <c r="J254" s="30"/>
      <c r="K254" s="27" t="str">
        <f>IF(ИТОГ!A254=0,"",ИТОГ!A254)</f>
        <v/>
      </c>
      <c r="L254" s="26" t="str">
        <f t="shared" si="51"/>
        <v/>
      </c>
      <c r="M254" s="25" t="str">
        <f>IF(K254="","",ИТОГ!Q254)</f>
        <v/>
      </c>
      <c r="N254" s="28" t="str">
        <f>IF(K254="","",ИТОГ!N254)</f>
        <v/>
      </c>
      <c r="O254" s="30" t="str">
        <f t="shared" si="52"/>
        <v/>
      </c>
      <c r="P254" s="24"/>
      <c r="Q254" s="30" t="str">
        <f t="shared" si="53"/>
        <v/>
      </c>
      <c r="R254" s="29" t="str">
        <f t="shared" ca="1" si="54"/>
        <v/>
      </c>
    </row>
    <row r="255" spans="1:18">
      <c r="A255" s="23" t="str">
        <f t="shared" si="44"/>
        <v/>
      </c>
      <c r="B255" s="23" t="str">
        <f t="shared" si="45"/>
        <v/>
      </c>
      <c r="C255" s="29" t="str">
        <f t="shared" ca="1" si="46"/>
        <v/>
      </c>
      <c r="D255" s="22" t="str">
        <f>IF(K255="","",ИТОГ!S255)</f>
        <v/>
      </c>
      <c r="E255" s="24" t="str">
        <f t="shared" si="47"/>
        <v/>
      </c>
      <c r="F255" s="30" t="str">
        <f t="shared" si="48"/>
        <v/>
      </c>
      <c r="G255" s="25" t="str">
        <f t="shared" si="49"/>
        <v/>
      </c>
      <c r="H255" s="29" t="str">
        <f t="shared" ca="1" si="50"/>
        <v/>
      </c>
      <c r="I255" s="24"/>
      <c r="J255" s="30"/>
      <c r="K255" s="27" t="str">
        <f>IF(ИТОГ!A255=0,"",ИТОГ!A255)</f>
        <v/>
      </c>
      <c r="L255" s="26" t="str">
        <f t="shared" si="51"/>
        <v/>
      </c>
      <c r="M255" s="25" t="str">
        <f>IF(K255="","",ИТОГ!Q255)</f>
        <v/>
      </c>
      <c r="N255" s="28" t="str">
        <f>IF(K255="","",ИТОГ!N255)</f>
        <v/>
      </c>
      <c r="O255" s="30" t="str">
        <f t="shared" si="52"/>
        <v/>
      </c>
      <c r="P255" s="24"/>
      <c r="Q255" s="30" t="str">
        <f t="shared" si="53"/>
        <v/>
      </c>
      <c r="R255" s="29" t="str">
        <f t="shared" ca="1" si="54"/>
        <v/>
      </c>
    </row>
    <row r="256" spans="1:18">
      <c r="A256" s="23" t="str">
        <f t="shared" si="44"/>
        <v/>
      </c>
      <c r="B256" s="23" t="str">
        <f t="shared" si="45"/>
        <v/>
      </c>
      <c r="C256" s="29" t="str">
        <f t="shared" ca="1" si="46"/>
        <v/>
      </c>
      <c r="D256" s="22" t="str">
        <f>IF(K256="","",ИТОГ!S256)</f>
        <v/>
      </c>
      <c r="E256" s="24" t="str">
        <f t="shared" si="47"/>
        <v/>
      </c>
      <c r="F256" s="30" t="str">
        <f t="shared" si="48"/>
        <v/>
      </c>
      <c r="G256" s="25" t="str">
        <f t="shared" si="49"/>
        <v/>
      </c>
      <c r="H256" s="29" t="str">
        <f t="shared" ca="1" si="50"/>
        <v/>
      </c>
      <c r="I256" s="24"/>
      <c r="J256" s="30"/>
      <c r="K256" s="27" t="str">
        <f>IF(ИТОГ!A256=0,"",ИТОГ!A256)</f>
        <v/>
      </c>
      <c r="L256" s="26" t="str">
        <f t="shared" si="51"/>
        <v/>
      </c>
      <c r="M256" s="25" t="str">
        <f>IF(K256="","",ИТОГ!Q256)</f>
        <v/>
      </c>
      <c r="N256" s="28" t="str">
        <f>IF(K256="","",ИТОГ!N256)</f>
        <v/>
      </c>
      <c r="O256" s="30" t="str">
        <f t="shared" si="52"/>
        <v/>
      </c>
      <c r="P256" s="24"/>
      <c r="Q256" s="30" t="str">
        <f t="shared" si="53"/>
        <v/>
      </c>
      <c r="R256" s="29" t="str">
        <f t="shared" ca="1" si="54"/>
        <v/>
      </c>
    </row>
    <row r="257" spans="1:18">
      <c r="A257" s="23" t="str">
        <f t="shared" si="44"/>
        <v/>
      </c>
      <c r="B257" s="23" t="str">
        <f t="shared" si="45"/>
        <v/>
      </c>
      <c r="C257" s="29" t="str">
        <f t="shared" ca="1" si="46"/>
        <v/>
      </c>
      <c r="D257" s="22" t="str">
        <f>IF(K257="","",ИТОГ!S257)</f>
        <v/>
      </c>
      <c r="E257" s="24" t="str">
        <f t="shared" si="47"/>
        <v/>
      </c>
      <c r="F257" s="30" t="str">
        <f t="shared" si="48"/>
        <v/>
      </c>
      <c r="G257" s="25" t="str">
        <f t="shared" si="49"/>
        <v/>
      </c>
      <c r="H257" s="29" t="str">
        <f t="shared" ca="1" si="50"/>
        <v/>
      </c>
      <c r="I257" s="24"/>
      <c r="J257" s="30"/>
      <c r="K257" s="27" t="str">
        <f>IF(ИТОГ!A257=0,"",ИТОГ!A257)</f>
        <v/>
      </c>
      <c r="L257" s="26" t="str">
        <f t="shared" si="51"/>
        <v/>
      </c>
      <c r="M257" s="25" t="str">
        <f>IF(K257="","",ИТОГ!Q257)</f>
        <v/>
      </c>
      <c r="N257" s="28" t="str">
        <f>IF(K257="","",ИТОГ!N257)</f>
        <v/>
      </c>
      <c r="O257" s="30" t="str">
        <f t="shared" si="52"/>
        <v/>
      </c>
      <c r="P257" s="24"/>
      <c r="Q257" s="30" t="str">
        <f t="shared" si="53"/>
        <v/>
      </c>
      <c r="R257" s="29" t="str">
        <f t="shared" ca="1" si="54"/>
        <v/>
      </c>
    </row>
    <row r="258" spans="1:18">
      <c r="A258" s="23" t="str">
        <f t="shared" si="44"/>
        <v/>
      </c>
      <c r="B258" s="23" t="str">
        <f t="shared" si="45"/>
        <v/>
      </c>
      <c r="C258" s="29" t="str">
        <f t="shared" ca="1" si="46"/>
        <v/>
      </c>
      <c r="D258" s="22" t="str">
        <f>IF(K258="","",ИТОГ!S258)</f>
        <v/>
      </c>
      <c r="E258" s="24" t="str">
        <f t="shared" si="47"/>
        <v/>
      </c>
      <c r="F258" s="30" t="str">
        <f t="shared" si="48"/>
        <v/>
      </c>
      <c r="G258" s="25" t="str">
        <f t="shared" si="49"/>
        <v/>
      </c>
      <c r="H258" s="29" t="str">
        <f t="shared" ca="1" si="50"/>
        <v/>
      </c>
      <c r="I258" s="24"/>
      <c r="J258" s="30"/>
      <c r="K258" s="27" t="str">
        <f>IF(ИТОГ!A258=0,"",ИТОГ!A258)</f>
        <v/>
      </c>
      <c r="L258" s="26" t="str">
        <f t="shared" si="51"/>
        <v/>
      </c>
      <c r="M258" s="25" t="str">
        <f>IF(K258="","",ИТОГ!Q258)</f>
        <v/>
      </c>
      <c r="N258" s="28" t="str">
        <f>IF(K258="","",ИТОГ!N258)</f>
        <v/>
      </c>
      <c r="O258" s="30" t="str">
        <f t="shared" si="52"/>
        <v/>
      </c>
      <c r="P258" s="24"/>
      <c r="Q258" s="30" t="str">
        <f t="shared" si="53"/>
        <v/>
      </c>
      <c r="R258" s="29" t="str">
        <f t="shared" ca="1" si="54"/>
        <v/>
      </c>
    </row>
    <row r="259" spans="1:18">
      <c r="A259" s="23" t="str">
        <f t="shared" si="44"/>
        <v/>
      </c>
      <c r="B259" s="23" t="str">
        <f t="shared" si="45"/>
        <v/>
      </c>
      <c r="C259" s="29" t="str">
        <f t="shared" ca="1" si="46"/>
        <v/>
      </c>
      <c r="D259" s="22" t="str">
        <f>IF(K259="","",ИТОГ!S259)</f>
        <v/>
      </c>
      <c r="E259" s="24" t="str">
        <f t="shared" si="47"/>
        <v/>
      </c>
      <c r="F259" s="30" t="str">
        <f t="shared" si="48"/>
        <v/>
      </c>
      <c r="G259" s="25" t="str">
        <f t="shared" si="49"/>
        <v/>
      </c>
      <c r="H259" s="29" t="str">
        <f t="shared" ca="1" si="50"/>
        <v/>
      </c>
      <c r="I259" s="24"/>
      <c r="J259" s="30"/>
      <c r="K259" s="27" t="str">
        <f>IF(ИТОГ!A259=0,"",ИТОГ!A259)</f>
        <v/>
      </c>
      <c r="L259" s="26" t="str">
        <f t="shared" si="51"/>
        <v/>
      </c>
      <c r="M259" s="25" t="str">
        <f>IF(K259="","",ИТОГ!Q259)</f>
        <v/>
      </c>
      <c r="N259" s="28" t="str">
        <f>IF(K259="","",ИТОГ!N259)</f>
        <v/>
      </c>
      <c r="O259" s="30" t="str">
        <f t="shared" si="52"/>
        <v/>
      </c>
      <c r="P259" s="24"/>
      <c r="Q259" s="30" t="str">
        <f t="shared" si="53"/>
        <v/>
      </c>
      <c r="R259" s="29" t="str">
        <f t="shared" ca="1" si="54"/>
        <v/>
      </c>
    </row>
    <row r="260" spans="1:18">
      <c r="A260" s="23" t="str">
        <f t="shared" si="44"/>
        <v/>
      </c>
      <c r="B260" s="23" t="str">
        <f t="shared" si="45"/>
        <v/>
      </c>
      <c r="C260" s="29" t="str">
        <f t="shared" ca="1" si="46"/>
        <v/>
      </c>
      <c r="D260" s="22" t="str">
        <f>IF(K260="","",ИТОГ!S260)</f>
        <v/>
      </c>
      <c r="E260" s="24" t="str">
        <f t="shared" si="47"/>
        <v/>
      </c>
      <c r="F260" s="30" t="str">
        <f t="shared" si="48"/>
        <v/>
      </c>
      <c r="G260" s="25" t="str">
        <f t="shared" si="49"/>
        <v/>
      </c>
      <c r="H260" s="29" t="str">
        <f t="shared" ca="1" si="50"/>
        <v/>
      </c>
      <c r="I260" s="24"/>
      <c r="J260" s="30"/>
      <c r="K260" s="27" t="str">
        <f>IF(ИТОГ!A260=0,"",ИТОГ!A260)</f>
        <v/>
      </c>
      <c r="L260" s="26" t="str">
        <f t="shared" si="51"/>
        <v/>
      </c>
      <c r="M260" s="25" t="str">
        <f>IF(K260="","",ИТОГ!Q260)</f>
        <v/>
      </c>
      <c r="N260" s="28" t="str">
        <f>IF(K260="","",ИТОГ!N260)</f>
        <v/>
      </c>
      <c r="O260" s="30" t="str">
        <f t="shared" si="52"/>
        <v/>
      </c>
      <c r="P260" s="24"/>
      <c r="Q260" s="30" t="str">
        <f t="shared" si="53"/>
        <v/>
      </c>
      <c r="R260" s="29" t="str">
        <f t="shared" ca="1" si="54"/>
        <v/>
      </c>
    </row>
    <row r="261" spans="1:18">
      <c r="A261" s="23" t="str">
        <f t="shared" si="44"/>
        <v/>
      </c>
      <c r="B261" s="23" t="str">
        <f t="shared" si="45"/>
        <v/>
      </c>
      <c r="C261" s="29" t="str">
        <f t="shared" ca="1" si="46"/>
        <v/>
      </c>
      <c r="D261" s="22" t="str">
        <f>IF(K261="","",ИТОГ!S261)</f>
        <v/>
      </c>
      <c r="E261" s="24" t="str">
        <f t="shared" si="47"/>
        <v/>
      </c>
      <c r="F261" s="30" t="str">
        <f t="shared" si="48"/>
        <v/>
      </c>
      <c r="G261" s="25" t="str">
        <f t="shared" si="49"/>
        <v/>
      </c>
      <c r="H261" s="29" t="str">
        <f t="shared" ca="1" si="50"/>
        <v/>
      </c>
      <c r="I261" s="24"/>
      <c r="J261" s="30"/>
      <c r="K261" s="27" t="str">
        <f>IF(ИТОГ!A261=0,"",ИТОГ!A261)</f>
        <v/>
      </c>
      <c r="L261" s="26" t="str">
        <f t="shared" si="51"/>
        <v/>
      </c>
      <c r="M261" s="25" t="str">
        <f>IF(K261="","",ИТОГ!Q261)</f>
        <v/>
      </c>
      <c r="N261" s="28" t="str">
        <f>IF(K261="","",ИТОГ!N261)</f>
        <v/>
      </c>
      <c r="O261" s="30" t="str">
        <f t="shared" si="52"/>
        <v/>
      </c>
      <c r="P261" s="24"/>
      <c r="Q261" s="30" t="str">
        <f t="shared" si="53"/>
        <v/>
      </c>
      <c r="R261" s="29" t="str">
        <f t="shared" ca="1" si="54"/>
        <v/>
      </c>
    </row>
    <row r="262" spans="1:18">
      <c r="A262" s="23" t="str">
        <f t="shared" si="44"/>
        <v/>
      </c>
      <c r="B262" s="23" t="str">
        <f t="shared" si="45"/>
        <v/>
      </c>
      <c r="C262" s="29" t="str">
        <f t="shared" ca="1" si="46"/>
        <v/>
      </c>
      <c r="D262" s="22" t="str">
        <f>IF(K262="","",ИТОГ!S262)</f>
        <v/>
      </c>
      <c r="E262" s="24" t="str">
        <f t="shared" si="47"/>
        <v/>
      </c>
      <c r="F262" s="30" t="str">
        <f t="shared" si="48"/>
        <v/>
      </c>
      <c r="G262" s="25" t="str">
        <f t="shared" si="49"/>
        <v/>
      </c>
      <c r="H262" s="29" t="str">
        <f t="shared" ca="1" si="50"/>
        <v/>
      </c>
      <c r="I262" s="24"/>
      <c r="J262" s="30"/>
      <c r="K262" s="27" t="str">
        <f>IF(ИТОГ!A262=0,"",ИТОГ!A262)</f>
        <v/>
      </c>
      <c r="L262" s="26" t="str">
        <f t="shared" si="51"/>
        <v/>
      </c>
      <c r="M262" s="25" t="str">
        <f>IF(K262="","",ИТОГ!Q262)</f>
        <v/>
      </c>
      <c r="N262" s="28" t="str">
        <f>IF(K262="","",ИТОГ!N262)</f>
        <v/>
      </c>
      <c r="O262" s="30" t="str">
        <f t="shared" si="52"/>
        <v/>
      </c>
      <c r="P262" s="24"/>
      <c r="Q262" s="30" t="str">
        <f t="shared" si="53"/>
        <v/>
      </c>
      <c r="R262" s="29" t="str">
        <f t="shared" ca="1" si="54"/>
        <v/>
      </c>
    </row>
    <row r="263" spans="1:18">
      <c r="A263" s="23" t="str">
        <f t="shared" si="44"/>
        <v/>
      </c>
      <c r="B263" s="23" t="str">
        <f t="shared" si="45"/>
        <v/>
      </c>
      <c r="C263" s="29" t="str">
        <f t="shared" ca="1" si="46"/>
        <v/>
      </c>
      <c r="D263" s="22" t="str">
        <f>IF(K263="","",ИТОГ!S263)</f>
        <v/>
      </c>
      <c r="E263" s="24" t="str">
        <f t="shared" si="47"/>
        <v/>
      </c>
      <c r="F263" s="30" t="str">
        <f t="shared" si="48"/>
        <v/>
      </c>
      <c r="G263" s="25" t="str">
        <f t="shared" si="49"/>
        <v/>
      </c>
      <c r="H263" s="29" t="str">
        <f t="shared" ca="1" si="50"/>
        <v/>
      </c>
      <c r="I263" s="24"/>
      <c r="J263" s="30"/>
      <c r="K263" s="27" t="str">
        <f>IF(ИТОГ!A263=0,"",ИТОГ!A263)</f>
        <v/>
      </c>
      <c r="L263" s="26" t="str">
        <f t="shared" si="51"/>
        <v/>
      </c>
      <c r="M263" s="25" t="str">
        <f>IF(K263="","",ИТОГ!Q263)</f>
        <v/>
      </c>
      <c r="N263" s="28" t="str">
        <f>IF(K263="","",ИТОГ!N263)</f>
        <v/>
      </c>
      <c r="O263" s="30" t="str">
        <f t="shared" si="52"/>
        <v/>
      </c>
      <c r="P263" s="24"/>
      <c r="Q263" s="30" t="str">
        <f t="shared" si="53"/>
        <v/>
      </c>
      <c r="R263" s="29" t="str">
        <f t="shared" ca="1" si="54"/>
        <v/>
      </c>
    </row>
    <row r="264" spans="1:18">
      <c r="A264" s="23" t="str">
        <f t="shared" si="44"/>
        <v/>
      </c>
      <c r="B264" s="23" t="str">
        <f t="shared" si="45"/>
        <v/>
      </c>
      <c r="C264" s="29" t="str">
        <f t="shared" ca="1" si="46"/>
        <v/>
      </c>
      <c r="D264" s="22" t="str">
        <f>IF(K264="","",ИТОГ!S264)</f>
        <v/>
      </c>
      <c r="E264" s="24" t="str">
        <f t="shared" si="47"/>
        <v/>
      </c>
      <c r="F264" s="30" t="str">
        <f t="shared" si="48"/>
        <v/>
      </c>
      <c r="G264" s="25" t="str">
        <f t="shared" si="49"/>
        <v/>
      </c>
      <c r="H264" s="29" t="str">
        <f t="shared" ca="1" si="50"/>
        <v/>
      </c>
      <c r="I264" s="24"/>
      <c r="J264" s="30"/>
      <c r="K264" s="27" t="str">
        <f>IF(ИТОГ!A264=0,"",ИТОГ!A264)</f>
        <v/>
      </c>
      <c r="L264" s="26" t="str">
        <f t="shared" si="51"/>
        <v/>
      </c>
      <c r="M264" s="25" t="str">
        <f>IF(K264="","",ИТОГ!Q264)</f>
        <v/>
      </c>
      <c r="N264" s="28" t="str">
        <f>IF(K264="","",ИТОГ!N264)</f>
        <v/>
      </c>
      <c r="O264" s="30" t="str">
        <f t="shared" si="52"/>
        <v/>
      </c>
      <c r="P264" s="24"/>
      <c r="Q264" s="30" t="str">
        <f t="shared" si="53"/>
        <v/>
      </c>
      <c r="R264" s="29" t="str">
        <f t="shared" ca="1" si="54"/>
        <v/>
      </c>
    </row>
    <row r="265" spans="1:18">
      <c r="A265" s="23" t="str">
        <f t="shared" si="44"/>
        <v/>
      </c>
      <c r="B265" s="23" t="str">
        <f t="shared" si="45"/>
        <v/>
      </c>
      <c r="C265" s="29" t="str">
        <f t="shared" ca="1" si="46"/>
        <v/>
      </c>
      <c r="D265" s="22" t="str">
        <f>IF(K265="","",ИТОГ!S265)</f>
        <v/>
      </c>
      <c r="E265" s="24" t="str">
        <f t="shared" si="47"/>
        <v/>
      </c>
      <c r="F265" s="30" t="str">
        <f t="shared" si="48"/>
        <v/>
      </c>
      <c r="G265" s="25" t="str">
        <f t="shared" si="49"/>
        <v/>
      </c>
      <c r="H265" s="29" t="str">
        <f t="shared" ca="1" si="50"/>
        <v/>
      </c>
      <c r="I265" s="24"/>
      <c r="J265" s="30"/>
      <c r="K265" s="27" t="str">
        <f>IF(ИТОГ!A265=0,"",ИТОГ!A265)</f>
        <v/>
      </c>
      <c r="L265" s="26" t="str">
        <f t="shared" si="51"/>
        <v/>
      </c>
      <c r="M265" s="25" t="str">
        <f>IF(K265="","",ИТОГ!Q265)</f>
        <v/>
      </c>
      <c r="N265" s="28" t="str">
        <f>IF(K265="","",ИТОГ!N265)</f>
        <v/>
      </c>
      <c r="O265" s="30" t="str">
        <f t="shared" si="52"/>
        <v/>
      </c>
      <c r="P265" s="24"/>
      <c r="Q265" s="30" t="str">
        <f t="shared" si="53"/>
        <v/>
      </c>
      <c r="R265" s="29" t="str">
        <f t="shared" ca="1" si="54"/>
        <v/>
      </c>
    </row>
    <row r="266" spans="1:18">
      <c r="A266" s="23" t="str">
        <f t="shared" si="44"/>
        <v/>
      </c>
      <c r="B266" s="23" t="str">
        <f t="shared" si="45"/>
        <v/>
      </c>
      <c r="C266" s="29" t="str">
        <f t="shared" ca="1" si="46"/>
        <v/>
      </c>
      <c r="D266" s="22" t="str">
        <f>IF(K266="","",ИТОГ!S266)</f>
        <v/>
      </c>
      <c r="E266" s="24" t="str">
        <f t="shared" si="47"/>
        <v/>
      </c>
      <c r="F266" s="30" t="str">
        <f t="shared" si="48"/>
        <v/>
      </c>
      <c r="G266" s="25" t="str">
        <f t="shared" si="49"/>
        <v/>
      </c>
      <c r="H266" s="29" t="str">
        <f t="shared" ca="1" si="50"/>
        <v/>
      </c>
      <c r="I266" s="24"/>
      <c r="J266" s="30"/>
      <c r="K266" s="27" t="str">
        <f>IF(ИТОГ!A266=0,"",ИТОГ!A266)</f>
        <v/>
      </c>
      <c r="L266" s="26" t="str">
        <f t="shared" si="51"/>
        <v/>
      </c>
      <c r="M266" s="25" t="str">
        <f>IF(K266="","",ИТОГ!Q266)</f>
        <v/>
      </c>
      <c r="N266" s="28" t="str">
        <f>IF(K266="","",ИТОГ!N266)</f>
        <v/>
      </c>
      <c r="O266" s="30" t="str">
        <f t="shared" si="52"/>
        <v/>
      </c>
      <c r="P266" s="24"/>
      <c r="Q266" s="30" t="str">
        <f t="shared" si="53"/>
        <v/>
      </c>
      <c r="R266" s="29" t="str">
        <f t="shared" ca="1" si="54"/>
        <v/>
      </c>
    </row>
    <row r="267" spans="1:18">
      <c r="A267" s="23" t="str">
        <f t="shared" si="44"/>
        <v/>
      </c>
      <c r="B267" s="23" t="str">
        <f t="shared" si="45"/>
        <v/>
      </c>
      <c r="C267" s="29" t="str">
        <f t="shared" ca="1" si="46"/>
        <v/>
      </c>
      <c r="D267" s="22" t="str">
        <f>IF(K267="","",ИТОГ!S267)</f>
        <v/>
      </c>
      <c r="E267" s="24" t="str">
        <f t="shared" si="47"/>
        <v/>
      </c>
      <c r="F267" s="30" t="str">
        <f t="shared" si="48"/>
        <v/>
      </c>
      <c r="G267" s="25" t="str">
        <f t="shared" si="49"/>
        <v/>
      </c>
      <c r="H267" s="29" t="str">
        <f t="shared" ca="1" si="50"/>
        <v/>
      </c>
      <c r="I267" s="24"/>
      <c r="J267" s="30"/>
      <c r="K267" s="27" t="str">
        <f>IF(ИТОГ!A267=0,"",ИТОГ!A267)</f>
        <v/>
      </c>
      <c r="L267" s="26" t="str">
        <f t="shared" si="51"/>
        <v/>
      </c>
      <c r="M267" s="25" t="str">
        <f>IF(K267="","",ИТОГ!Q267)</f>
        <v/>
      </c>
      <c r="N267" s="28" t="str">
        <f>IF(K267="","",ИТОГ!N267)</f>
        <v/>
      </c>
      <c r="O267" s="30" t="str">
        <f t="shared" si="52"/>
        <v/>
      </c>
      <c r="P267" s="24"/>
      <c r="Q267" s="30" t="str">
        <f t="shared" si="53"/>
        <v/>
      </c>
      <c r="R267" s="29" t="str">
        <f t="shared" ca="1" si="54"/>
        <v/>
      </c>
    </row>
    <row r="268" spans="1:18">
      <c r="A268" s="23" t="str">
        <f t="shared" si="44"/>
        <v/>
      </c>
      <c r="B268" s="23" t="str">
        <f t="shared" si="45"/>
        <v/>
      </c>
      <c r="C268" s="29" t="str">
        <f t="shared" ca="1" si="46"/>
        <v/>
      </c>
      <c r="D268" s="22" t="str">
        <f>IF(K268="","",ИТОГ!S268)</f>
        <v/>
      </c>
      <c r="E268" s="24" t="str">
        <f t="shared" si="47"/>
        <v/>
      </c>
      <c r="F268" s="30" t="str">
        <f t="shared" si="48"/>
        <v/>
      </c>
      <c r="G268" s="25" t="str">
        <f t="shared" si="49"/>
        <v/>
      </c>
      <c r="H268" s="29" t="str">
        <f t="shared" ca="1" si="50"/>
        <v/>
      </c>
      <c r="I268" s="24"/>
      <c r="J268" s="30"/>
      <c r="K268" s="27" t="str">
        <f>IF(ИТОГ!A268=0,"",ИТОГ!A268)</f>
        <v/>
      </c>
      <c r="L268" s="26" t="str">
        <f t="shared" si="51"/>
        <v/>
      </c>
      <c r="M268" s="25" t="str">
        <f>IF(K268="","",ИТОГ!Q268)</f>
        <v/>
      </c>
      <c r="N268" s="28" t="str">
        <f>IF(K268="","",ИТОГ!N268)</f>
        <v/>
      </c>
      <c r="O268" s="30" t="str">
        <f t="shared" si="52"/>
        <v/>
      </c>
      <c r="P268" s="24"/>
      <c r="Q268" s="30" t="str">
        <f t="shared" si="53"/>
        <v/>
      </c>
      <c r="R268" s="29" t="str">
        <f t="shared" ca="1" si="54"/>
        <v/>
      </c>
    </row>
    <row r="269" spans="1:18">
      <c r="A269" s="23" t="str">
        <f t="shared" si="44"/>
        <v/>
      </c>
      <c r="B269" s="23" t="str">
        <f t="shared" si="45"/>
        <v/>
      </c>
      <c r="C269" s="29" t="str">
        <f t="shared" ca="1" si="46"/>
        <v/>
      </c>
      <c r="D269" s="22" t="str">
        <f>IF(K269="","",ИТОГ!S269)</f>
        <v/>
      </c>
      <c r="E269" s="24" t="str">
        <f t="shared" si="47"/>
        <v/>
      </c>
      <c r="F269" s="30" t="str">
        <f t="shared" si="48"/>
        <v/>
      </c>
      <c r="G269" s="25" t="str">
        <f t="shared" si="49"/>
        <v/>
      </c>
      <c r="H269" s="29" t="str">
        <f t="shared" ca="1" si="50"/>
        <v/>
      </c>
      <c r="I269" s="24"/>
      <c r="J269" s="30"/>
      <c r="K269" s="27" t="str">
        <f>IF(ИТОГ!A269=0,"",ИТОГ!A269)</f>
        <v/>
      </c>
      <c r="L269" s="26" t="str">
        <f t="shared" si="51"/>
        <v/>
      </c>
      <c r="M269" s="25" t="str">
        <f>IF(K269="","",ИТОГ!Q269)</f>
        <v/>
      </c>
      <c r="N269" s="28" t="str">
        <f>IF(K269="","",ИТОГ!N269)</f>
        <v/>
      </c>
      <c r="O269" s="30" t="str">
        <f t="shared" si="52"/>
        <v/>
      </c>
      <c r="P269" s="24"/>
      <c r="Q269" s="30" t="str">
        <f t="shared" si="53"/>
        <v/>
      </c>
      <c r="R269" s="29" t="str">
        <f t="shared" ca="1" si="54"/>
        <v/>
      </c>
    </row>
    <row r="270" spans="1:18">
      <c r="A270" s="23" t="str">
        <f t="shared" si="44"/>
        <v/>
      </c>
      <c r="B270" s="23" t="str">
        <f t="shared" si="45"/>
        <v/>
      </c>
      <c r="C270" s="29" t="str">
        <f t="shared" ca="1" si="46"/>
        <v/>
      </c>
      <c r="D270" s="22" t="str">
        <f>IF(K270="","",ИТОГ!S270)</f>
        <v/>
      </c>
      <c r="E270" s="24" t="str">
        <f t="shared" si="47"/>
        <v/>
      </c>
      <c r="F270" s="30" t="str">
        <f t="shared" si="48"/>
        <v/>
      </c>
      <c r="G270" s="25" t="str">
        <f t="shared" si="49"/>
        <v/>
      </c>
      <c r="H270" s="29" t="str">
        <f t="shared" ca="1" si="50"/>
        <v/>
      </c>
      <c r="I270" s="24"/>
      <c r="J270" s="30"/>
      <c r="K270" s="27" t="str">
        <f>IF(ИТОГ!A270=0,"",ИТОГ!A270)</f>
        <v/>
      </c>
      <c r="L270" s="26" t="str">
        <f t="shared" si="51"/>
        <v/>
      </c>
      <c r="M270" s="25" t="str">
        <f>IF(K270="","",ИТОГ!Q270)</f>
        <v/>
      </c>
      <c r="N270" s="28" t="str">
        <f>IF(K270="","",ИТОГ!N270)</f>
        <v/>
      </c>
      <c r="O270" s="30" t="str">
        <f t="shared" si="52"/>
        <v/>
      </c>
      <c r="P270" s="24"/>
      <c r="Q270" s="30" t="str">
        <f t="shared" si="53"/>
        <v/>
      </c>
      <c r="R270" s="29" t="str">
        <f t="shared" ca="1" si="54"/>
        <v/>
      </c>
    </row>
    <row r="271" spans="1:18">
      <c r="A271" s="23" t="str">
        <f t="shared" si="44"/>
        <v/>
      </c>
      <c r="B271" s="23" t="str">
        <f t="shared" si="45"/>
        <v/>
      </c>
      <c r="C271" s="29" t="str">
        <f t="shared" ca="1" si="46"/>
        <v/>
      </c>
      <c r="D271" s="22" t="str">
        <f>IF(K271="","",ИТОГ!S271)</f>
        <v/>
      </c>
      <c r="E271" s="24" t="str">
        <f t="shared" si="47"/>
        <v/>
      </c>
      <c r="F271" s="30" t="str">
        <f t="shared" si="48"/>
        <v/>
      </c>
      <c r="G271" s="25" t="str">
        <f t="shared" si="49"/>
        <v/>
      </c>
      <c r="H271" s="29" t="str">
        <f t="shared" ca="1" si="50"/>
        <v/>
      </c>
      <c r="I271" s="24"/>
      <c r="J271" s="30"/>
      <c r="K271" s="27" t="str">
        <f>IF(ИТОГ!A271=0,"",ИТОГ!A271)</f>
        <v/>
      </c>
      <c r="L271" s="26" t="str">
        <f t="shared" si="51"/>
        <v/>
      </c>
      <c r="M271" s="25" t="str">
        <f>IF(K271="","",ИТОГ!Q271)</f>
        <v/>
      </c>
      <c r="N271" s="28" t="str">
        <f>IF(K271="","",ИТОГ!N271)</f>
        <v/>
      </c>
      <c r="O271" s="30" t="str">
        <f t="shared" si="52"/>
        <v/>
      </c>
      <c r="P271" s="24"/>
      <c r="Q271" s="30" t="str">
        <f t="shared" si="53"/>
        <v/>
      </c>
      <c r="R271" s="29" t="str">
        <f t="shared" ca="1" si="54"/>
        <v/>
      </c>
    </row>
    <row r="272" spans="1:18">
      <c r="A272" s="23" t="str">
        <f t="shared" si="44"/>
        <v/>
      </c>
      <c r="B272" s="23" t="str">
        <f t="shared" si="45"/>
        <v/>
      </c>
      <c r="C272" s="29" t="str">
        <f t="shared" ca="1" si="46"/>
        <v/>
      </c>
      <c r="D272" s="22" t="str">
        <f>IF(K272="","",ИТОГ!S272)</f>
        <v/>
      </c>
      <c r="E272" s="24" t="str">
        <f t="shared" si="47"/>
        <v/>
      </c>
      <c r="F272" s="30" t="str">
        <f t="shared" si="48"/>
        <v/>
      </c>
      <c r="G272" s="25" t="str">
        <f t="shared" si="49"/>
        <v/>
      </c>
      <c r="H272" s="29" t="str">
        <f t="shared" ca="1" si="50"/>
        <v/>
      </c>
      <c r="I272" s="24"/>
      <c r="J272" s="30"/>
      <c r="K272" s="27" t="str">
        <f>IF(ИТОГ!A272=0,"",ИТОГ!A272)</f>
        <v/>
      </c>
      <c r="L272" s="26" t="str">
        <f t="shared" si="51"/>
        <v/>
      </c>
      <c r="M272" s="25" t="str">
        <f>IF(K272="","",ИТОГ!Q272)</f>
        <v/>
      </c>
      <c r="N272" s="28" t="str">
        <f>IF(K272="","",ИТОГ!N272)</f>
        <v/>
      </c>
      <c r="O272" s="30" t="str">
        <f t="shared" si="52"/>
        <v/>
      </c>
      <c r="P272" s="24"/>
      <c r="Q272" s="30" t="str">
        <f t="shared" si="53"/>
        <v/>
      </c>
      <c r="R272" s="29" t="str">
        <f t="shared" ca="1" si="54"/>
        <v/>
      </c>
    </row>
    <row r="273" spans="1:18">
      <c r="A273" s="23" t="str">
        <f t="shared" si="44"/>
        <v/>
      </c>
      <c r="B273" s="23" t="str">
        <f t="shared" si="45"/>
        <v/>
      </c>
      <c r="C273" s="29" t="str">
        <f t="shared" ca="1" si="46"/>
        <v/>
      </c>
      <c r="D273" s="22" t="str">
        <f>IF(K273="","",ИТОГ!S273)</f>
        <v/>
      </c>
      <c r="E273" s="24" t="str">
        <f t="shared" si="47"/>
        <v/>
      </c>
      <c r="F273" s="30" t="str">
        <f t="shared" si="48"/>
        <v/>
      </c>
      <c r="G273" s="25" t="str">
        <f t="shared" si="49"/>
        <v/>
      </c>
      <c r="H273" s="29" t="str">
        <f t="shared" ca="1" si="50"/>
        <v/>
      </c>
      <c r="I273" s="24"/>
      <c r="J273" s="30"/>
      <c r="K273" s="27" t="str">
        <f>IF(ИТОГ!A273=0,"",ИТОГ!A273)</f>
        <v/>
      </c>
      <c r="L273" s="26" t="str">
        <f t="shared" si="51"/>
        <v/>
      </c>
      <c r="M273" s="25" t="str">
        <f>IF(K273="","",ИТОГ!Q273)</f>
        <v/>
      </c>
      <c r="N273" s="28" t="str">
        <f>IF(K273="","",ИТОГ!N273)</f>
        <v/>
      </c>
      <c r="O273" s="30" t="str">
        <f t="shared" si="52"/>
        <v/>
      </c>
      <c r="P273" s="24"/>
      <c r="Q273" s="30" t="str">
        <f t="shared" si="53"/>
        <v/>
      </c>
      <c r="R273" s="29" t="str">
        <f t="shared" ca="1" si="54"/>
        <v/>
      </c>
    </row>
    <row r="274" spans="1:18">
      <c r="A274" s="23" t="str">
        <f t="shared" si="44"/>
        <v/>
      </c>
      <c r="B274" s="23" t="str">
        <f t="shared" si="45"/>
        <v/>
      </c>
      <c r="C274" s="29" t="str">
        <f t="shared" ca="1" si="46"/>
        <v/>
      </c>
      <c r="D274" s="22" t="str">
        <f>IF(K274="","",ИТОГ!S274)</f>
        <v/>
      </c>
      <c r="E274" s="24" t="str">
        <f t="shared" si="47"/>
        <v/>
      </c>
      <c r="F274" s="30" t="str">
        <f t="shared" si="48"/>
        <v/>
      </c>
      <c r="G274" s="25" t="str">
        <f t="shared" si="49"/>
        <v/>
      </c>
      <c r="H274" s="29" t="str">
        <f t="shared" ca="1" si="50"/>
        <v/>
      </c>
      <c r="I274" s="24"/>
      <c r="J274" s="30"/>
      <c r="K274" s="27" t="str">
        <f>IF(ИТОГ!A274=0,"",ИТОГ!A274)</f>
        <v/>
      </c>
      <c r="L274" s="26" t="str">
        <f t="shared" si="51"/>
        <v/>
      </c>
      <c r="M274" s="25" t="str">
        <f>IF(K274="","",ИТОГ!Q274)</f>
        <v/>
      </c>
      <c r="N274" s="28" t="str">
        <f>IF(K274="","",ИТОГ!N274)</f>
        <v/>
      </c>
      <c r="O274" s="30" t="str">
        <f t="shared" si="52"/>
        <v/>
      </c>
      <c r="P274" s="24"/>
      <c r="Q274" s="30" t="str">
        <f t="shared" si="53"/>
        <v/>
      </c>
      <c r="R274" s="29" t="str">
        <f t="shared" ca="1" si="54"/>
        <v/>
      </c>
    </row>
    <row r="275" spans="1:18">
      <c r="A275" s="23" t="str">
        <f t="shared" si="44"/>
        <v/>
      </c>
      <c r="B275" s="23" t="str">
        <f t="shared" si="45"/>
        <v/>
      </c>
      <c r="C275" s="29" t="str">
        <f t="shared" ca="1" si="46"/>
        <v/>
      </c>
      <c r="D275" s="22" t="str">
        <f>IF(K275="","",ИТОГ!S275)</f>
        <v/>
      </c>
      <c r="E275" s="24" t="str">
        <f t="shared" si="47"/>
        <v/>
      </c>
      <c r="F275" s="30" t="str">
        <f t="shared" si="48"/>
        <v/>
      </c>
      <c r="G275" s="25" t="str">
        <f t="shared" si="49"/>
        <v/>
      </c>
      <c r="H275" s="29" t="str">
        <f t="shared" ca="1" si="50"/>
        <v/>
      </c>
      <c r="I275" s="24"/>
      <c r="J275" s="30"/>
      <c r="K275" s="27" t="str">
        <f>IF(ИТОГ!A275=0,"",ИТОГ!A275)</f>
        <v/>
      </c>
      <c r="L275" s="26" t="str">
        <f t="shared" si="51"/>
        <v/>
      </c>
      <c r="M275" s="25" t="str">
        <f>IF(K275="","",ИТОГ!Q275)</f>
        <v/>
      </c>
      <c r="N275" s="28" t="str">
        <f>IF(K275="","",ИТОГ!N275)</f>
        <v/>
      </c>
      <c r="O275" s="30" t="str">
        <f t="shared" si="52"/>
        <v/>
      </c>
      <c r="P275" s="24"/>
      <c r="Q275" s="30" t="str">
        <f t="shared" si="53"/>
        <v/>
      </c>
      <c r="R275" s="29" t="str">
        <f t="shared" ca="1" si="54"/>
        <v/>
      </c>
    </row>
    <row r="276" spans="1:18">
      <c r="A276" s="23" t="str">
        <f t="shared" si="44"/>
        <v/>
      </c>
      <c r="B276" s="23" t="str">
        <f t="shared" si="45"/>
        <v/>
      </c>
      <c r="C276" s="29" t="str">
        <f t="shared" ca="1" si="46"/>
        <v/>
      </c>
      <c r="D276" s="22" t="str">
        <f>IF(K276="","",ИТОГ!S276)</f>
        <v/>
      </c>
      <c r="E276" s="24" t="str">
        <f t="shared" si="47"/>
        <v/>
      </c>
      <c r="F276" s="30" t="str">
        <f t="shared" si="48"/>
        <v/>
      </c>
      <c r="G276" s="25" t="str">
        <f t="shared" si="49"/>
        <v/>
      </c>
      <c r="H276" s="29" t="str">
        <f t="shared" ca="1" si="50"/>
        <v/>
      </c>
      <c r="I276" s="24"/>
      <c r="J276" s="30"/>
      <c r="K276" s="27" t="str">
        <f>IF(ИТОГ!A276=0,"",ИТОГ!A276)</f>
        <v/>
      </c>
      <c r="L276" s="26" t="str">
        <f t="shared" si="51"/>
        <v/>
      </c>
      <c r="M276" s="25" t="str">
        <f>IF(K276="","",ИТОГ!Q276)</f>
        <v/>
      </c>
      <c r="N276" s="28" t="str">
        <f>IF(K276="","",ИТОГ!N276)</f>
        <v/>
      </c>
      <c r="O276" s="30" t="str">
        <f t="shared" si="52"/>
        <v/>
      </c>
      <c r="P276" s="24"/>
      <c r="Q276" s="30" t="str">
        <f t="shared" si="53"/>
        <v/>
      </c>
      <c r="R276" s="29" t="str">
        <f t="shared" ca="1" si="54"/>
        <v/>
      </c>
    </row>
    <row r="277" spans="1:18">
      <c r="A277" s="23" t="str">
        <f t="shared" si="44"/>
        <v/>
      </c>
      <c r="B277" s="23" t="str">
        <f t="shared" si="45"/>
        <v/>
      </c>
      <c r="C277" s="29" t="str">
        <f t="shared" ca="1" si="46"/>
        <v/>
      </c>
      <c r="D277" s="22" t="str">
        <f>IF(K277="","",ИТОГ!S277)</f>
        <v/>
      </c>
      <c r="E277" s="24" t="str">
        <f t="shared" si="47"/>
        <v/>
      </c>
      <c r="F277" s="30" t="str">
        <f t="shared" si="48"/>
        <v/>
      </c>
      <c r="G277" s="25" t="str">
        <f t="shared" si="49"/>
        <v/>
      </c>
      <c r="H277" s="29" t="str">
        <f t="shared" ca="1" si="50"/>
        <v/>
      </c>
      <c r="I277" s="24"/>
      <c r="J277" s="30"/>
      <c r="K277" s="27" t="str">
        <f>IF(ИТОГ!A277=0,"",ИТОГ!A277)</f>
        <v/>
      </c>
      <c r="L277" s="26" t="str">
        <f t="shared" si="51"/>
        <v/>
      </c>
      <c r="M277" s="25" t="str">
        <f>IF(K277="","",ИТОГ!Q277)</f>
        <v/>
      </c>
      <c r="N277" s="28" t="str">
        <f>IF(K277="","",ИТОГ!N277)</f>
        <v/>
      </c>
      <c r="O277" s="30" t="str">
        <f t="shared" si="52"/>
        <v/>
      </c>
      <c r="P277" s="24"/>
      <c r="Q277" s="30" t="str">
        <f t="shared" si="53"/>
        <v/>
      </c>
      <c r="R277" s="29" t="str">
        <f t="shared" ca="1" si="54"/>
        <v/>
      </c>
    </row>
    <row r="278" spans="1:18">
      <c r="A278" s="23" t="str">
        <f t="shared" si="44"/>
        <v/>
      </c>
      <c r="B278" s="23" t="str">
        <f t="shared" si="45"/>
        <v/>
      </c>
      <c r="C278" s="29" t="str">
        <f t="shared" ca="1" si="46"/>
        <v/>
      </c>
      <c r="D278" s="22" t="str">
        <f>IF(K278="","",ИТОГ!S278)</f>
        <v/>
      </c>
      <c r="E278" s="24" t="str">
        <f t="shared" si="47"/>
        <v/>
      </c>
      <c r="F278" s="30" t="str">
        <f t="shared" si="48"/>
        <v/>
      </c>
      <c r="G278" s="25" t="str">
        <f t="shared" si="49"/>
        <v/>
      </c>
      <c r="H278" s="29" t="str">
        <f t="shared" ca="1" si="50"/>
        <v/>
      </c>
      <c r="I278" s="24"/>
      <c r="J278" s="30"/>
      <c r="K278" s="27" t="str">
        <f>IF(ИТОГ!A278=0,"",ИТОГ!A278)</f>
        <v/>
      </c>
      <c r="L278" s="26" t="str">
        <f t="shared" si="51"/>
        <v/>
      </c>
      <c r="M278" s="25" t="str">
        <f>IF(K278="","",ИТОГ!Q278)</f>
        <v/>
      </c>
      <c r="N278" s="28" t="str">
        <f>IF(K278="","",ИТОГ!N278)</f>
        <v/>
      </c>
      <c r="O278" s="30" t="str">
        <f t="shared" si="52"/>
        <v/>
      </c>
      <c r="P278" s="24"/>
      <c r="Q278" s="30" t="str">
        <f t="shared" si="53"/>
        <v/>
      </c>
      <c r="R278" s="29" t="str">
        <f t="shared" ca="1" si="54"/>
        <v/>
      </c>
    </row>
    <row r="279" spans="1:18">
      <c r="A279" s="23" t="str">
        <f t="shared" si="44"/>
        <v/>
      </c>
      <c r="B279" s="23" t="str">
        <f t="shared" si="45"/>
        <v/>
      </c>
      <c r="C279" s="29" t="str">
        <f t="shared" ca="1" si="46"/>
        <v/>
      </c>
      <c r="D279" s="22" t="str">
        <f>IF(K279="","",ИТОГ!S279)</f>
        <v/>
      </c>
      <c r="E279" s="24" t="str">
        <f t="shared" si="47"/>
        <v/>
      </c>
      <c r="F279" s="30" t="str">
        <f t="shared" si="48"/>
        <v/>
      </c>
      <c r="G279" s="25" t="str">
        <f t="shared" si="49"/>
        <v/>
      </c>
      <c r="H279" s="29" t="str">
        <f t="shared" ca="1" si="50"/>
        <v/>
      </c>
      <c r="I279" s="24"/>
      <c r="J279" s="30"/>
      <c r="K279" s="27" t="str">
        <f>IF(ИТОГ!A279=0,"",ИТОГ!A279)</f>
        <v/>
      </c>
      <c r="L279" s="26" t="str">
        <f t="shared" si="51"/>
        <v/>
      </c>
      <c r="M279" s="25" t="str">
        <f>IF(K279="","",ИТОГ!Q279)</f>
        <v/>
      </c>
      <c r="N279" s="28" t="str">
        <f>IF(K279="","",ИТОГ!N279)</f>
        <v/>
      </c>
      <c r="O279" s="30" t="str">
        <f t="shared" si="52"/>
        <v/>
      </c>
      <c r="P279" s="24"/>
      <c r="Q279" s="30" t="str">
        <f t="shared" si="53"/>
        <v/>
      </c>
      <c r="R279" s="29" t="str">
        <f t="shared" ca="1" si="54"/>
        <v/>
      </c>
    </row>
    <row r="280" spans="1:18">
      <c r="A280" s="23" t="str">
        <f t="shared" si="44"/>
        <v/>
      </c>
      <c r="B280" s="23" t="str">
        <f t="shared" si="45"/>
        <v/>
      </c>
      <c r="C280" s="29" t="str">
        <f t="shared" ca="1" si="46"/>
        <v/>
      </c>
      <c r="D280" s="22" t="str">
        <f>IF(K280="","",ИТОГ!S280)</f>
        <v/>
      </c>
      <c r="E280" s="24" t="str">
        <f t="shared" si="47"/>
        <v/>
      </c>
      <c r="F280" s="30" t="str">
        <f t="shared" si="48"/>
        <v/>
      </c>
      <c r="G280" s="25" t="str">
        <f t="shared" si="49"/>
        <v/>
      </c>
      <c r="H280" s="29" t="str">
        <f t="shared" ca="1" si="50"/>
        <v/>
      </c>
      <c r="I280" s="24"/>
      <c r="J280" s="30"/>
      <c r="K280" s="27" t="str">
        <f>IF(ИТОГ!A280=0,"",ИТОГ!A280)</f>
        <v/>
      </c>
      <c r="L280" s="26" t="str">
        <f t="shared" si="51"/>
        <v/>
      </c>
      <c r="M280" s="25" t="str">
        <f>IF(K280="","",ИТОГ!Q280)</f>
        <v/>
      </c>
      <c r="N280" s="28" t="str">
        <f>IF(K280="","",ИТОГ!N280)</f>
        <v/>
      </c>
      <c r="O280" s="30" t="str">
        <f t="shared" si="52"/>
        <v/>
      </c>
      <c r="P280" s="24"/>
      <c r="Q280" s="30" t="str">
        <f t="shared" si="53"/>
        <v/>
      </c>
      <c r="R280" s="29" t="str">
        <f t="shared" ca="1" si="54"/>
        <v/>
      </c>
    </row>
    <row r="281" spans="1:18">
      <c r="A281" s="23" t="str">
        <f t="shared" si="44"/>
        <v/>
      </c>
      <c r="B281" s="23" t="str">
        <f t="shared" si="45"/>
        <v/>
      </c>
      <c r="C281" s="29" t="str">
        <f t="shared" ca="1" si="46"/>
        <v/>
      </c>
      <c r="D281" s="22" t="str">
        <f>IF(K281="","",ИТОГ!S281)</f>
        <v/>
      </c>
      <c r="E281" s="24" t="str">
        <f t="shared" si="47"/>
        <v/>
      </c>
      <c r="F281" s="30" t="str">
        <f t="shared" si="48"/>
        <v/>
      </c>
      <c r="G281" s="25" t="str">
        <f t="shared" si="49"/>
        <v/>
      </c>
      <c r="H281" s="29" t="str">
        <f t="shared" ca="1" si="50"/>
        <v/>
      </c>
      <c r="I281" s="24"/>
      <c r="J281" s="30"/>
      <c r="K281" s="27" t="str">
        <f>IF(ИТОГ!A281=0,"",ИТОГ!A281)</f>
        <v/>
      </c>
      <c r="L281" s="26" t="str">
        <f t="shared" si="51"/>
        <v/>
      </c>
      <c r="M281" s="25" t="str">
        <f>IF(K281="","",ИТОГ!Q281)</f>
        <v/>
      </c>
      <c r="N281" s="28" t="str">
        <f>IF(K281="","",ИТОГ!N281)</f>
        <v/>
      </c>
      <c r="O281" s="30" t="str">
        <f t="shared" si="52"/>
        <v/>
      </c>
      <c r="P281" s="24"/>
      <c r="Q281" s="30" t="str">
        <f t="shared" si="53"/>
        <v/>
      </c>
      <c r="R281" s="29" t="str">
        <f t="shared" ca="1" si="54"/>
        <v/>
      </c>
    </row>
    <row r="282" spans="1:18">
      <c r="A282" s="23" t="str">
        <f t="shared" si="44"/>
        <v/>
      </c>
      <c r="B282" s="23" t="str">
        <f t="shared" si="45"/>
        <v/>
      </c>
      <c r="C282" s="29" t="str">
        <f t="shared" ca="1" si="46"/>
        <v/>
      </c>
      <c r="D282" s="22" t="str">
        <f>IF(K282="","",ИТОГ!S282)</f>
        <v/>
      </c>
      <c r="E282" s="24" t="str">
        <f t="shared" si="47"/>
        <v/>
      </c>
      <c r="F282" s="30" t="str">
        <f t="shared" si="48"/>
        <v/>
      </c>
      <c r="G282" s="25" t="str">
        <f t="shared" si="49"/>
        <v/>
      </c>
      <c r="H282" s="29" t="str">
        <f t="shared" ca="1" si="50"/>
        <v/>
      </c>
      <c r="I282" s="24"/>
      <c r="J282" s="30"/>
      <c r="K282" s="27" t="str">
        <f>IF(ИТОГ!A282=0,"",ИТОГ!A282)</f>
        <v/>
      </c>
      <c r="L282" s="26" t="str">
        <f t="shared" si="51"/>
        <v/>
      </c>
      <c r="M282" s="25" t="str">
        <f>IF(K282="","",ИТОГ!Q282)</f>
        <v/>
      </c>
      <c r="N282" s="28" t="str">
        <f>IF(K282="","",ИТОГ!N282)</f>
        <v/>
      </c>
      <c r="O282" s="30" t="str">
        <f t="shared" si="52"/>
        <v/>
      </c>
      <c r="P282" s="24"/>
      <c r="Q282" s="30" t="str">
        <f t="shared" si="53"/>
        <v/>
      </c>
      <c r="R282" s="29" t="str">
        <f t="shared" ca="1" si="54"/>
        <v/>
      </c>
    </row>
    <row r="283" spans="1:18">
      <c r="A283" s="23" t="str">
        <f t="shared" si="44"/>
        <v/>
      </c>
      <c r="B283" s="23" t="str">
        <f t="shared" si="45"/>
        <v/>
      </c>
      <c r="C283" s="29" t="str">
        <f t="shared" ca="1" si="46"/>
        <v/>
      </c>
      <c r="D283" s="22" t="str">
        <f>IF(K283="","",ИТОГ!S283)</f>
        <v/>
      </c>
      <c r="E283" s="24" t="str">
        <f t="shared" si="47"/>
        <v/>
      </c>
      <c r="F283" s="30" t="str">
        <f t="shared" si="48"/>
        <v/>
      </c>
      <c r="G283" s="25" t="str">
        <f t="shared" si="49"/>
        <v/>
      </c>
      <c r="H283" s="29" t="str">
        <f t="shared" ca="1" si="50"/>
        <v/>
      </c>
      <c r="I283" s="24"/>
      <c r="J283" s="30"/>
      <c r="K283" s="27" t="str">
        <f>IF(ИТОГ!A283=0,"",ИТОГ!A283)</f>
        <v/>
      </c>
      <c r="L283" s="26" t="str">
        <f t="shared" si="51"/>
        <v/>
      </c>
      <c r="M283" s="25" t="str">
        <f>IF(K283="","",ИТОГ!Q283)</f>
        <v/>
      </c>
      <c r="N283" s="28" t="str">
        <f>IF(K283="","",ИТОГ!N283)</f>
        <v/>
      </c>
      <c r="O283" s="30" t="str">
        <f t="shared" si="52"/>
        <v/>
      </c>
      <c r="P283" s="24"/>
      <c r="Q283" s="30" t="str">
        <f t="shared" si="53"/>
        <v/>
      </c>
      <c r="R283" s="29" t="str">
        <f t="shared" ca="1" si="54"/>
        <v/>
      </c>
    </row>
    <row r="284" spans="1:18">
      <c r="A284" s="23" t="str">
        <f t="shared" si="44"/>
        <v/>
      </c>
      <c r="B284" s="23" t="str">
        <f t="shared" si="45"/>
        <v/>
      </c>
      <c r="C284" s="29" t="str">
        <f t="shared" ca="1" si="46"/>
        <v/>
      </c>
      <c r="D284" s="22" t="str">
        <f>IF(K284="","",ИТОГ!S284)</f>
        <v/>
      </c>
      <c r="E284" s="24" t="str">
        <f t="shared" si="47"/>
        <v/>
      </c>
      <c r="F284" s="30" t="str">
        <f t="shared" si="48"/>
        <v/>
      </c>
      <c r="G284" s="25" t="str">
        <f t="shared" si="49"/>
        <v/>
      </c>
      <c r="H284" s="29" t="str">
        <f t="shared" ca="1" si="50"/>
        <v/>
      </c>
      <c r="I284" s="24"/>
      <c r="J284" s="30"/>
      <c r="K284" s="27" t="str">
        <f>IF(ИТОГ!A284=0,"",ИТОГ!A284)</f>
        <v/>
      </c>
      <c r="L284" s="26" t="str">
        <f t="shared" si="51"/>
        <v/>
      </c>
      <c r="M284" s="25" t="str">
        <f>IF(K284="","",ИТОГ!Q284)</f>
        <v/>
      </c>
      <c r="N284" s="28" t="str">
        <f>IF(K284="","",ИТОГ!N284)</f>
        <v/>
      </c>
      <c r="O284" s="30" t="str">
        <f t="shared" si="52"/>
        <v/>
      </c>
      <c r="P284" s="24"/>
      <c r="Q284" s="30" t="str">
        <f t="shared" si="53"/>
        <v/>
      </c>
      <c r="R284" s="29" t="str">
        <f t="shared" ca="1" si="54"/>
        <v/>
      </c>
    </row>
    <row r="285" spans="1:18">
      <c r="A285" s="23" t="str">
        <f t="shared" si="44"/>
        <v/>
      </c>
      <c r="B285" s="23" t="str">
        <f t="shared" si="45"/>
        <v/>
      </c>
      <c r="C285" s="29" t="str">
        <f t="shared" ca="1" si="46"/>
        <v/>
      </c>
      <c r="D285" s="22" t="str">
        <f>IF(K285="","",ИТОГ!S285)</f>
        <v/>
      </c>
      <c r="E285" s="24" t="str">
        <f t="shared" si="47"/>
        <v/>
      </c>
      <c r="F285" s="30" t="str">
        <f t="shared" si="48"/>
        <v/>
      </c>
      <c r="G285" s="25" t="str">
        <f t="shared" si="49"/>
        <v/>
      </c>
      <c r="H285" s="29" t="str">
        <f t="shared" ca="1" si="50"/>
        <v/>
      </c>
      <c r="I285" s="24"/>
      <c r="J285" s="30"/>
      <c r="K285" s="27" t="str">
        <f>IF(ИТОГ!A285=0,"",ИТОГ!A285)</f>
        <v/>
      </c>
      <c r="L285" s="26" t="str">
        <f t="shared" si="51"/>
        <v/>
      </c>
      <c r="M285" s="25" t="str">
        <f>IF(K285="","",ИТОГ!Q285)</f>
        <v/>
      </c>
      <c r="N285" s="28" t="str">
        <f>IF(K285="","",ИТОГ!N285)</f>
        <v/>
      </c>
      <c r="O285" s="30" t="str">
        <f t="shared" si="52"/>
        <v/>
      </c>
      <c r="P285" s="24"/>
      <c r="Q285" s="30" t="str">
        <f t="shared" si="53"/>
        <v/>
      </c>
      <c r="R285" s="29" t="str">
        <f t="shared" ca="1" si="54"/>
        <v/>
      </c>
    </row>
    <row r="286" spans="1:18">
      <c r="A286" s="23" t="str">
        <f t="shared" ref="A286:A349" si="55">IF(K286="","",1000)</f>
        <v/>
      </c>
      <c r="B286" s="23" t="str">
        <f t="shared" ref="B286:B349" si="56">IF(K286="","",1)</f>
        <v/>
      </c>
      <c r="C286" s="29" t="str">
        <f t="shared" ref="C286:C349" ca="1" si="57">IF(K286="","",TODAY())</f>
        <v/>
      </c>
      <c r="D286" s="22" t="str">
        <f>IF(K286="","",ИТОГ!S286)</f>
        <v/>
      </c>
      <c r="E286" s="24" t="str">
        <f t="shared" ref="E286:E349" si="58">IF(K286="","","Х")</f>
        <v/>
      </c>
      <c r="F286" s="30" t="str">
        <f t="shared" ref="F286:F349" si="59">IF(K286="","","UV")</f>
        <v/>
      </c>
      <c r="G286" s="25" t="str">
        <f t="shared" ref="G286:G349" si="60">IF(K286="","",SUMIF(D:D,D286,M:M))</f>
        <v/>
      </c>
      <c r="H286" s="29" t="str">
        <f t="shared" ref="H286:H349" ca="1" si="61">IF(K286="","",TODAY())</f>
        <v/>
      </c>
      <c r="I286" s="24"/>
      <c r="J286" s="30"/>
      <c r="K286" s="27" t="str">
        <f>IF(ИТОГ!A286=0,"",ИТОГ!A286)</f>
        <v/>
      </c>
      <c r="L286" s="26" t="str">
        <f t="shared" ref="L286:L349" si="62">IF(K286="","",
IF(D285-D286=0,L285+10,10))</f>
        <v/>
      </c>
      <c r="M286" s="25" t="str">
        <f>IF(K286="","",ИТОГ!Q286)</f>
        <v/>
      </c>
      <c r="N286" s="28" t="str">
        <f>IF(K286="","",ИТОГ!N286)</f>
        <v/>
      </c>
      <c r="O286" s="30" t="str">
        <f t="shared" ref="O286:O349" si="63">IF(K286="","","ST")</f>
        <v/>
      </c>
      <c r="P286" s="24"/>
      <c r="Q286" s="30" t="str">
        <f t="shared" ref="Q286:Q349" si="64">IF(K286="","","EUR")</f>
        <v/>
      </c>
      <c r="R286" s="29" t="str">
        <f t="shared" ref="R286:R349" ca="1" si="65">IF(K286="","",TODAY())</f>
        <v/>
      </c>
    </row>
    <row r="287" spans="1:18">
      <c r="A287" s="23" t="str">
        <f t="shared" si="55"/>
        <v/>
      </c>
      <c r="B287" s="23" t="str">
        <f t="shared" si="56"/>
        <v/>
      </c>
      <c r="C287" s="29" t="str">
        <f t="shared" ca="1" si="57"/>
        <v/>
      </c>
      <c r="D287" s="22" t="str">
        <f>IF(K287="","",ИТОГ!S287)</f>
        <v/>
      </c>
      <c r="E287" s="24" t="str">
        <f t="shared" si="58"/>
        <v/>
      </c>
      <c r="F287" s="30" t="str">
        <f t="shared" si="59"/>
        <v/>
      </c>
      <c r="G287" s="25" t="str">
        <f t="shared" si="60"/>
        <v/>
      </c>
      <c r="H287" s="29" t="str">
        <f t="shared" ca="1" si="61"/>
        <v/>
      </c>
      <c r="I287" s="24"/>
      <c r="J287" s="30"/>
      <c r="K287" s="27" t="str">
        <f>IF(ИТОГ!A287=0,"",ИТОГ!A287)</f>
        <v/>
      </c>
      <c r="L287" s="26" t="str">
        <f t="shared" si="62"/>
        <v/>
      </c>
      <c r="M287" s="25" t="str">
        <f>IF(K287="","",ИТОГ!Q287)</f>
        <v/>
      </c>
      <c r="N287" s="28" t="str">
        <f>IF(K287="","",ИТОГ!N287)</f>
        <v/>
      </c>
      <c r="O287" s="30" t="str">
        <f t="shared" si="63"/>
        <v/>
      </c>
      <c r="P287" s="24"/>
      <c r="Q287" s="30" t="str">
        <f t="shared" si="64"/>
        <v/>
      </c>
      <c r="R287" s="29" t="str">
        <f t="shared" ca="1" si="65"/>
        <v/>
      </c>
    </row>
    <row r="288" spans="1:18">
      <c r="A288" s="23" t="str">
        <f t="shared" si="55"/>
        <v/>
      </c>
      <c r="B288" s="23" t="str">
        <f t="shared" si="56"/>
        <v/>
      </c>
      <c r="C288" s="29" t="str">
        <f t="shared" ca="1" si="57"/>
        <v/>
      </c>
      <c r="D288" s="22" t="str">
        <f>IF(K288="","",ИТОГ!S288)</f>
        <v/>
      </c>
      <c r="E288" s="24" t="str">
        <f t="shared" si="58"/>
        <v/>
      </c>
      <c r="F288" s="30" t="str">
        <f t="shared" si="59"/>
        <v/>
      </c>
      <c r="G288" s="25" t="str">
        <f t="shared" si="60"/>
        <v/>
      </c>
      <c r="H288" s="29" t="str">
        <f t="shared" ca="1" si="61"/>
        <v/>
      </c>
      <c r="I288" s="24"/>
      <c r="J288" s="30"/>
      <c r="K288" s="27" t="str">
        <f>IF(ИТОГ!A288=0,"",ИТОГ!A288)</f>
        <v/>
      </c>
      <c r="L288" s="26" t="str">
        <f t="shared" si="62"/>
        <v/>
      </c>
      <c r="M288" s="25" t="str">
        <f>IF(K288="","",ИТОГ!Q288)</f>
        <v/>
      </c>
      <c r="N288" s="28" t="str">
        <f>IF(K288="","",ИТОГ!N288)</f>
        <v/>
      </c>
      <c r="O288" s="30" t="str">
        <f t="shared" si="63"/>
        <v/>
      </c>
      <c r="P288" s="24"/>
      <c r="Q288" s="30" t="str">
        <f t="shared" si="64"/>
        <v/>
      </c>
      <c r="R288" s="29" t="str">
        <f t="shared" ca="1" si="65"/>
        <v/>
      </c>
    </row>
    <row r="289" spans="1:18">
      <c r="A289" s="23" t="str">
        <f t="shared" si="55"/>
        <v/>
      </c>
      <c r="B289" s="23" t="str">
        <f t="shared" si="56"/>
        <v/>
      </c>
      <c r="C289" s="29" t="str">
        <f t="shared" ca="1" si="57"/>
        <v/>
      </c>
      <c r="D289" s="22" t="str">
        <f>IF(K289="","",ИТОГ!S289)</f>
        <v/>
      </c>
      <c r="E289" s="24" t="str">
        <f t="shared" si="58"/>
        <v/>
      </c>
      <c r="F289" s="30" t="str">
        <f t="shared" si="59"/>
        <v/>
      </c>
      <c r="G289" s="25" t="str">
        <f t="shared" si="60"/>
        <v/>
      </c>
      <c r="H289" s="29" t="str">
        <f t="shared" ca="1" si="61"/>
        <v/>
      </c>
      <c r="I289" s="24"/>
      <c r="J289" s="30"/>
      <c r="K289" s="27" t="str">
        <f>IF(ИТОГ!A289=0,"",ИТОГ!A289)</f>
        <v/>
      </c>
      <c r="L289" s="26" t="str">
        <f t="shared" si="62"/>
        <v/>
      </c>
      <c r="M289" s="25" t="str">
        <f>IF(K289="","",ИТОГ!Q289)</f>
        <v/>
      </c>
      <c r="N289" s="28" t="str">
        <f>IF(K289="","",ИТОГ!N289)</f>
        <v/>
      </c>
      <c r="O289" s="30" t="str">
        <f t="shared" si="63"/>
        <v/>
      </c>
      <c r="P289" s="24"/>
      <c r="Q289" s="30" t="str">
        <f t="shared" si="64"/>
        <v/>
      </c>
      <c r="R289" s="29" t="str">
        <f t="shared" ca="1" si="65"/>
        <v/>
      </c>
    </row>
    <row r="290" spans="1:18">
      <c r="A290" s="23" t="str">
        <f t="shared" si="55"/>
        <v/>
      </c>
      <c r="B290" s="23" t="str">
        <f t="shared" si="56"/>
        <v/>
      </c>
      <c r="C290" s="29" t="str">
        <f t="shared" ca="1" si="57"/>
        <v/>
      </c>
      <c r="D290" s="22" t="str">
        <f>IF(K290="","",ИТОГ!S290)</f>
        <v/>
      </c>
      <c r="E290" s="24" t="str">
        <f t="shared" si="58"/>
        <v/>
      </c>
      <c r="F290" s="30" t="str">
        <f t="shared" si="59"/>
        <v/>
      </c>
      <c r="G290" s="25" t="str">
        <f t="shared" si="60"/>
        <v/>
      </c>
      <c r="H290" s="29" t="str">
        <f t="shared" ca="1" si="61"/>
        <v/>
      </c>
      <c r="I290" s="24"/>
      <c r="J290" s="30"/>
      <c r="K290" s="27" t="str">
        <f>IF(ИТОГ!A290=0,"",ИТОГ!A290)</f>
        <v/>
      </c>
      <c r="L290" s="26" t="str">
        <f t="shared" si="62"/>
        <v/>
      </c>
      <c r="M290" s="25" t="str">
        <f>IF(K290="","",ИТОГ!Q290)</f>
        <v/>
      </c>
      <c r="N290" s="28" t="str">
        <f>IF(K290="","",ИТОГ!N290)</f>
        <v/>
      </c>
      <c r="O290" s="30" t="str">
        <f t="shared" si="63"/>
        <v/>
      </c>
      <c r="P290" s="24"/>
      <c r="Q290" s="30" t="str">
        <f t="shared" si="64"/>
        <v/>
      </c>
      <c r="R290" s="29" t="str">
        <f t="shared" ca="1" si="65"/>
        <v/>
      </c>
    </row>
    <row r="291" spans="1:18">
      <c r="A291" s="23" t="str">
        <f t="shared" si="55"/>
        <v/>
      </c>
      <c r="B291" s="23" t="str">
        <f t="shared" si="56"/>
        <v/>
      </c>
      <c r="C291" s="29" t="str">
        <f t="shared" ca="1" si="57"/>
        <v/>
      </c>
      <c r="D291" s="22" t="str">
        <f>IF(K291="","",ИТОГ!S291)</f>
        <v/>
      </c>
      <c r="E291" s="24" t="str">
        <f t="shared" si="58"/>
        <v/>
      </c>
      <c r="F291" s="30" t="str">
        <f t="shared" si="59"/>
        <v/>
      </c>
      <c r="G291" s="25" t="str">
        <f t="shared" si="60"/>
        <v/>
      </c>
      <c r="H291" s="29" t="str">
        <f t="shared" ca="1" si="61"/>
        <v/>
      </c>
      <c r="I291" s="24"/>
      <c r="J291" s="30"/>
      <c r="K291" s="27" t="str">
        <f>IF(ИТОГ!A291=0,"",ИТОГ!A291)</f>
        <v/>
      </c>
      <c r="L291" s="26" t="str">
        <f t="shared" si="62"/>
        <v/>
      </c>
      <c r="M291" s="25" t="str">
        <f>IF(K291="","",ИТОГ!Q291)</f>
        <v/>
      </c>
      <c r="N291" s="28" t="str">
        <f>IF(K291="","",ИТОГ!N291)</f>
        <v/>
      </c>
      <c r="O291" s="30" t="str">
        <f t="shared" si="63"/>
        <v/>
      </c>
      <c r="P291" s="24"/>
      <c r="Q291" s="30" t="str">
        <f t="shared" si="64"/>
        <v/>
      </c>
      <c r="R291" s="29" t="str">
        <f t="shared" ca="1" si="65"/>
        <v/>
      </c>
    </row>
    <row r="292" spans="1:18">
      <c r="A292" s="23" t="str">
        <f t="shared" si="55"/>
        <v/>
      </c>
      <c r="B292" s="23" t="str">
        <f t="shared" si="56"/>
        <v/>
      </c>
      <c r="C292" s="29" t="str">
        <f t="shared" ca="1" si="57"/>
        <v/>
      </c>
      <c r="D292" s="22" t="str">
        <f>IF(K292="","",ИТОГ!S292)</f>
        <v/>
      </c>
      <c r="E292" s="24" t="str">
        <f t="shared" si="58"/>
        <v/>
      </c>
      <c r="F292" s="30" t="str">
        <f t="shared" si="59"/>
        <v/>
      </c>
      <c r="G292" s="25" t="str">
        <f t="shared" si="60"/>
        <v/>
      </c>
      <c r="H292" s="29" t="str">
        <f t="shared" ca="1" si="61"/>
        <v/>
      </c>
      <c r="I292" s="24"/>
      <c r="J292" s="30"/>
      <c r="K292" s="27" t="str">
        <f>IF(ИТОГ!A292=0,"",ИТОГ!A292)</f>
        <v/>
      </c>
      <c r="L292" s="26" t="str">
        <f t="shared" si="62"/>
        <v/>
      </c>
      <c r="M292" s="25" t="str">
        <f>IF(K292="","",ИТОГ!Q292)</f>
        <v/>
      </c>
      <c r="N292" s="28" t="str">
        <f>IF(K292="","",ИТОГ!N292)</f>
        <v/>
      </c>
      <c r="O292" s="30" t="str">
        <f t="shared" si="63"/>
        <v/>
      </c>
      <c r="P292" s="24"/>
      <c r="Q292" s="30" t="str">
        <f t="shared" si="64"/>
        <v/>
      </c>
      <c r="R292" s="29" t="str">
        <f t="shared" ca="1" si="65"/>
        <v/>
      </c>
    </row>
    <row r="293" spans="1:18">
      <c r="A293" s="23" t="str">
        <f t="shared" si="55"/>
        <v/>
      </c>
      <c r="B293" s="23" t="str">
        <f t="shared" si="56"/>
        <v/>
      </c>
      <c r="C293" s="29" t="str">
        <f t="shared" ca="1" si="57"/>
        <v/>
      </c>
      <c r="D293" s="22" t="str">
        <f>IF(K293="","",ИТОГ!S293)</f>
        <v/>
      </c>
      <c r="E293" s="24" t="str">
        <f t="shared" si="58"/>
        <v/>
      </c>
      <c r="F293" s="30" t="str">
        <f t="shared" si="59"/>
        <v/>
      </c>
      <c r="G293" s="25" t="str">
        <f t="shared" si="60"/>
        <v/>
      </c>
      <c r="H293" s="29" t="str">
        <f t="shared" ca="1" si="61"/>
        <v/>
      </c>
      <c r="I293" s="24"/>
      <c r="J293" s="30"/>
      <c r="K293" s="27" t="str">
        <f>IF(ИТОГ!A293=0,"",ИТОГ!A293)</f>
        <v/>
      </c>
      <c r="L293" s="26" t="str">
        <f t="shared" si="62"/>
        <v/>
      </c>
      <c r="M293" s="25" t="str">
        <f>IF(K293="","",ИТОГ!Q293)</f>
        <v/>
      </c>
      <c r="N293" s="28" t="str">
        <f>IF(K293="","",ИТОГ!N293)</f>
        <v/>
      </c>
      <c r="O293" s="30" t="str">
        <f t="shared" si="63"/>
        <v/>
      </c>
      <c r="P293" s="24"/>
      <c r="Q293" s="30" t="str">
        <f t="shared" si="64"/>
        <v/>
      </c>
      <c r="R293" s="29" t="str">
        <f t="shared" ca="1" si="65"/>
        <v/>
      </c>
    </row>
    <row r="294" spans="1:18">
      <c r="A294" s="23" t="str">
        <f t="shared" si="55"/>
        <v/>
      </c>
      <c r="B294" s="23" t="str">
        <f t="shared" si="56"/>
        <v/>
      </c>
      <c r="C294" s="29" t="str">
        <f t="shared" ca="1" si="57"/>
        <v/>
      </c>
      <c r="D294" s="22" t="str">
        <f>IF(K294="","",ИТОГ!S294)</f>
        <v/>
      </c>
      <c r="E294" s="24" t="str">
        <f t="shared" si="58"/>
        <v/>
      </c>
      <c r="F294" s="30" t="str">
        <f t="shared" si="59"/>
        <v/>
      </c>
      <c r="G294" s="25" t="str">
        <f t="shared" si="60"/>
        <v/>
      </c>
      <c r="H294" s="29" t="str">
        <f t="shared" ca="1" si="61"/>
        <v/>
      </c>
      <c r="I294" s="24"/>
      <c r="J294" s="30"/>
      <c r="K294" s="27" t="str">
        <f>IF(ИТОГ!A294=0,"",ИТОГ!A294)</f>
        <v/>
      </c>
      <c r="L294" s="26" t="str">
        <f t="shared" si="62"/>
        <v/>
      </c>
      <c r="M294" s="25" t="str">
        <f>IF(K294="","",ИТОГ!Q294)</f>
        <v/>
      </c>
      <c r="N294" s="28" t="str">
        <f>IF(K294="","",ИТОГ!N294)</f>
        <v/>
      </c>
      <c r="O294" s="30" t="str">
        <f t="shared" si="63"/>
        <v/>
      </c>
      <c r="P294" s="24"/>
      <c r="Q294" s="30" t="str">
        <f t="shared" si="64"/>
        <v/>
      </c>
      <c r="R294" s="29" t="str">
        <f t="shared" ca="1" si="65"/>
        <v/>
      </c>
    </row>
    <row r="295" spans="1:18">
      <c r="A295" s="23" t="str">
        <f t="shared" si="55"/>
        <v/>
      </c>
      <c r="B295" s="23" t="str">
        <f t="shared" si="56"/>
        <v/>
      </c>
      <c r="C295" s="29" t="str">
        <f t="shared" ca="1" si="57"/>
        <v/>
      </c>
      <c r="D295" s="22" t="str">
        <f>IF(K295="","",ИТОГ!S295)</f>
        <v/>
      </c>
      <c r="E295" s="24" t="str">
        <f t="shared" si="58"/>
        <v/>
      </c>
      <c r="F295" s="30" t="str">
        <f t="shared" si="59"/>
        <v/>
      </c>
      <c r="G295" s="25" t="str">
        <f t="shared" si="60"/>
        <v/>
      </c>
      <c r="H295" s="29" t="str">
        <f t="shared" ca="1" si="61"/>
        <v/>
      </c>
      <c r="I295" s="24"/>
      <c r="J295" s="30"/>
      <c r="K295" s="27" t="str">
        <f>IF(ИТОГ!A295=0,"",ИТОГ!A295)</f>
        <v/>
      </c>
      <c r="L295" s="26" t="str">
        <f t="shared" si="62"/>
        <v/>
      </c>
      <c r="M295" s="25" t="str">
        <f>IF(K295="","",ИТОГ!Q295)</f>
        <v/>
      </c>
      <c r="N295" s="28" t="str">
        <f>IF(K295="","",ИТОГ!N295)</f>
        <v/>
      </c>
      <c r="O295" s="30" t="str">
        <f t="shared" si="63"/>
        <v/>
      </c>
      <c r="P295" s="24"/>
      <c r="Q295" s="30" t="str">
        <f t="shared" si="64"/>
        <v/>
      </c>
      <c r="R295" s="29" t="str">
        <f t="shared" ca="1" si="65"/>
        <v/>
      </c>
    </row>
    <row r="296" spans="1:18">
      <c r="A296" s="23" t="str">
        <f t="shared" si="55"/>
        <v/>
      </c>
      <c r="B296" s="23" t="str">
        <f t="shared" si="56"/>
        <v/>
      </c>
      <c r="C296" s="29" t="str">
        <f t="shared" ca="1" si="57"/>
        <v/>
      </c>
      <c r="D296" s="22" t="str">
        <f>IF(K296="","",ИТОГ!S296)</f>
        <v/>
      </c>
      <c r="E296" s="24" t="str">
        <f t="shared" si="58"/>
        <v/>
      </c>
      <c r="F296" s="30" t="str">
        <f t="shared" si="59"/>
        <v/>
      </c>
      <c r="G296" s="25" t="str">
        <f t="shared" si="60"/>
        <v/>
      </c>
      <c r="H296" s="29" t="str">
        <f t="shared" ca="1" si="61"/>
        <v/>
      </c>
      <c r="I296" s="24"/>
      <c r="J296" s="30"/>
      <c r="K296" s="27" t="str">
        <f>IF(ИТОГ!A296=0,"",ИТОГ!A296)</f>
        <v/>
      </c>
      <c r="L296" s="26" t="str">
        <f t="shared" si="62"/>
        <v/>
      </c>
      <c r="M296" s="25" t="str">
        <f>IF(K296="","",ИТОГ!Q296)</f>
        <v/>
      </c>
      <c r="N296" s="28" t="str">
        <f>IF(K296="","",ИТОГ!N296)</f>
        <v/>
      </c>
      <c r="O296" s="30" t="str">
        <f t="shared" si="63"/>
        <v/>
      </c>
      <c r="P296" s="24"/>
      <c r="Q296" s="30" t="str">
        <f t="shared" si="64"/>
        <v/>
      </c>
      <c r="R296" s="29" t="str">
        <f t="shared" ca="1" si="65"/>
        <v/>
      </c>
    </row>
    <row r="297" spans="1:18">
      <c r="A297" s="23" t="str">
        <f t="shared" si="55"/>
        <v/>
      </c>
      <c r="B297" s="23" t="str">
        <f t="shared" si="56"/>
        <v/>
      </c>
      <c r="C297" s="29" t="str">
        <f t="shared" ca="1" si="57"/>
        <v/>
      </c>
      <c r="D297" s="22" t="str">
        <f>IF(K297="","",ИТОГ!S297)</f>
        <v/>
      </c>
      <c r="E297" s="24" t="str">
        <f t="shared" si="58"/>
        <v/>
      </c>
      <c r="F297" s="30" t="str">
        <f t="shared" si="59"/>
        <v/>
      </c>
      <c r="G297" s="25" t="str">
        <f t="shared" si="60"/>
        <v/>
      </c>
      <c r="H297" s="29" t="str">
        <f t="shared" ca="1" si="61"/>
        <v/>
      </c>
      <c r="I297" s="24"/>
      <c r="J297" s="30"/>
      <c r="K297" s="27" t="str">
        <f>IF(ИТОГ!A297=0,"",ИТОГ!A297)</f>
        <v/>
      </c>
      <c r="L297" s="26" t="str">
        <f t="shared" si="62"/>
        <v/>
      </c>
      <c r="M297" s="25" t="str">
        <f>IF(K297="","",ИТОГ!Q297)</f>
        <v/>
      </c>
      <c r="N297" s="28" t="str">
        <f>IF(K297="","",ИТОГ!N297)</f>
        <v/>
      </c>
      <c r="O297" s="30" t="str">
        <f t="shared" si="63"/>
        <v/>
      </c>
      <c r="P297" s="24"/>
      <c r="Q297" s="30" t="str">
        <f t="shared" si="64"/>
        <v/>
      </c>
      <c r="R297" s="29" t="str">
        <f t="shared" ca="1" si="65"/>
        <v/>
      </c>
    </row>
    <row r="298" spans="1:18">
      <c r="A298" s="23" t="str">
        <f t="shared" si="55"/>
        <v/>
      </c>
      <c r="B298" s="23" t="str">
        <f t="shared" si="56"/>
        <v/>
      </c>
      <c r="C298" s="29" t="str">
        <f t="shared" ca="1" si="57"/>
        <v/>
      </c>
      <c r="D298" s="22" t="str">
        <f>IF(K298="","",ИТОГ!S298)</f>
        <v/>
      </c>
      <c r="E298" s="24" t="str">
        <f t="shared" si="58"/>
        <v/>
      </c>
      <c r="F298" s="30" t="str">
        <f t="shared" si="59"/>
        <v/>
      </c>
      <c r="G298" s="25" t="str">
        <f t="shared" si="60"/>
        <v/>
      </c>
      <c r="H298" s="29" t="str">
        <f t="shared" ca="1" si="61"/>
        <v/>
      </c>
      <c r="I298" s="24"/>
      <c r="J298" s="30"/>
      <c r="K298" s="27" t="str">
        <f>IF(ИТОГ!A298=0,"",ИТОГ!A298)</f>
        <v/>
      </c>
      <c r="L298" s="26" t="str">
        <f t="shared" si="62"/>
        <v/>
      </c>
      <c r="M298" s="25" t="str">
        <f>IF(K298="","",ИТОГ!Q298)</f>
        <v/>
      </c>
      <c r="N298" s="28" t="str">
        <f>IF(K298="","",ИТОГ!N298)</f>
        <v/>
      </c>
      <c r="O298" s="30" t="str">
        <f t="shared" si="63"/>
        <v/>
      </c>
      <c r="P298" s="24"/>
      <c r="Q298" s="30" t="str">
        <f t="shared" si="64"/>
        <v/>
      </c>
      <c r="R298" s="29" t="str">
        <f t="shared" ca="1" si="65"/>
        <v/>
      </c>
    </row>
    <row r="299" spans="1:18">
      <c r="A299" s="23" t="str">
        <f t="shared" si="55"/>
        <v/>
      </c>
      <c r="B299" s="23" t="str">
        <f t="shared" si="56"/>
        <v/>
      </c>
      <c r="C299" s="29" t="str">
        <f t="shared" ca="1" si="57"/>
        <v/>
      </c>
      <c r="D299" s="22" t="str">
        <f>IF(K299="","",ИТОГ!S299)</f>
        <v/>
      </c>
      <c r="E299" s="24" t="str">
        <f t="shared" si="58"/>
        <v/>
      </c>
      <c r="F299" s="30" t="str">
        <f t="shared" si="59"/>
        <v/>
      </c>
      <c r="G299" s="25" t="str">
        <f t="shared" si="60"/>
        <v/>
      </c>
      <c r="H299" s="29" t="str">
        <f t="shared" ca="1" si="61"/>
        <v/>
      </c>
      <c r="I299" s="24"/>
      <c r="J299" s="30"/>
      <c r="K299" s="27" t="str">
        <f>IF(ИТОГ!A299=0,"",ИТОГ!A299)</f>
        <v/>
      </c>
      <c r="L299" s="26" t="str">
        <f t="shared" si="62"/>
        <v/>
      </c>
      <c r="M299" s="25" t="str">
        <f>IF(K299="","",ИТОГ!Q299)</f>
        <v/>
      </c>
      <c r="N299" s="28" t="str">
        <f>IF(K299="","",ИТОГ!N299)</f>
        <v/>
      </c>
      <c r="O299" s="30" t="str">
        <f t="shared" si="63"/>
        <v/>
      </c>
      <c r="P299" s="24"/>
      <c r="Q299" s="30" t="str">
        <f t="shared" si="64"/>
        <v/>
      </c>
      <c r="R299" s="29" t="str">
        <f t="shared" ca="1" si="65"/>
        <v/>
      </c>
    </row>
    <row r="300" spans="1:18">
      <c r="A300" s="23" t="str">
        <f t="shared" si="55"/>
        <v/>
      </c>
      <c r="B300" s="23" t="str">
        <f t="shared" si="56"/>
        <v/>
      </c>
      <c r="C300" s="29" t="str">
        <f t="shared" ca="1" si="57"/>
        <v/>
      </c>
      <c r="D300" s="22" t="str">
        <f>IF(K300="","",ИТОГ!S300)</f>
        <v/>
      </c>
      <c r="E300" s="24" t="str">
        <f t="shared" si="58"/>
        <v/>
      </c>
      <c r="F300" s="30" t="str">
        <f t="shared" si="59"/>
        <v/>
      </c>
      <c r="G300" s="25" t="str">
        <f t="shared" si="60"/>
        <v/>
      </c>
      <c r="H300" s="29" t="str">
        <f t="shared" ca="1" si="61"/>
        <v/>
      </c>
      <c r="I300" s="24"/>
      <c r="J300" s="30"/>
      <c r="K300" s="27" t="str">
        <f>IF(ИТОГ!A300=0,"",ИТОГ!A300)</f>
        <v/>
      </c>
      <c r="L300" s="26" t="str">
        <f t="shared" si="62"/>
        <v/>
      </c>
      <c r="M300" s="25" t="str">
        <f>IF(K300="","",ИТОГ!Q300)</f>
        <v/>
      </c>
      <c r="N300" s="28" t="str">
        <f>IF(K300="","",ИТОГ!N300)</f>
        <v/>
      </c>
      <c r="O300" s="30" t="str">
        <f t="shared" si="63"/>
        <v/>
      </c>
      <c r="P300" s="24"/>
      <c r="Q300" s="30" t="str">
        <f t="shared" si="64"/>
        <v/>
      </c>
      <c r="R300" s="29" t="str">
        <f t="shared" ca="1" si="65"/>
        <v/>
      </c>
    </row>
    <row r="301" spans="1:18">
      <c r="A301" s="23" t="str">
        <f t="shared" si="55"/>
        <v/>
      </c>
      <c r="B301" s="23" t="str">
        <f t="shared" si="56"/>
        <v/>
      </c>
      <c r="C301" s="29" t="str">
        <f t="shared" ca="1" si="57"/>
        <v/>
      </c>
      <c r="D301" s="22" t="str">
        <f>IF(K301="","",ИТОГ!S301)</f>
        <v/>
      </c>
      <c r="E301" s="24" t="str">
        <f t="shared" si="58"/>
        <v/>
      </c>
      <c r="F301" s="30" t="str">
        <f t="shared" si="59"/>
        <v/>
      </c>
      <c r="G301" s="25" t="str">
        <f t="shared" si="60"/>
        <v/>
      </c>
      <c r="H301" s="29" t="str">
        <f t="shared" ca="1" si="61"/>
        <v/>
      </c>
      <c r="I301" s="24"/>
      <c r="J301" s="30"/>
      <c r="K301" s="27" t="str">
        <f>IF(ИТОГ!A301=0,"",ИТОГ!A301)</f>
        <v/>
      </c>
      <c r="L301" s="26" t="str">
        <f t="shared" si="62"/>
        <v/>
      </c>
      <c r="M301" s="25" t="str">
        <f>IF(K301="","",ИТОГ!Q301)</f>
        <v/>
      </c>
      <c r="N301" s="28" t="str">
        <f>IF(K301="","",ИТОГ!N301)</f>
        <v/>
      </c>
      <c r="O301" s="30" t="str">
        <f t="shared" si="63"/>
        <v/>
      </c>
      <c r="P301" s="24"/>
      <c r="Q301" s="30" t="str">
        <f t="shared" si="64"/>
        <v/>
      </c>
      <c r="R301" s="29" t="str">
        <f t="shared" ca="1" si="65"/>
        <v/>
      </c>
    </row>
    <row r="302" spans="1:18">
      <c r="A302" s="23" t="str">
        <f t="shared" si="55"/>
        <v/>
      </c>
      <c r="B302" s="23" t="str">
        <f t="shared" si="56"/>
        <v/>
      </c>
      <c r="C302" s="29" t="str">
        <f t="shared" ca="1" si="57"/>
        <v/>
      </c>
      <c r="D302" s="22" t="str">
        <f>IF(K302="","",ИТОГ!S302)</f>
        <v/>
      </c>
      <c r="E302" s="24" t="str">
        <f t="shared" si="58"/>
        <v/>
      </c>
      <c r="F302" s="30" t="str">
        <f t="shared" si="59"/>
        <v/>
      </c>
      <c r="G302" s="25" t="str">
        <f t="shared" si="60"/>
        <v/>
      </c>
      <c r="H302" s="29" t="str">
        <f t="shared" ca="1" si="61"/>
        <v/>
      </c>
      <c r="I302" s="24"/>
      <c r="J302" s="30"/>
      <c r="K302" s="27" t="str">
        <f>IF(ИТОГ!A302=0,"",ИТОГ!A302)</f>
        <v/>
      </c>
      <c r="L302" s="26" t="str">
        <f t="shared" si="62"/>
        <v/>
      </c>
      <c r="M302" s="25" t="str">
        <f>IF(K302="","",ИТОГ!Q302)</f>
        <v/>
      </c>
      <c r="N302" s="28" t="str">
        <f>IF(K302="","",ИТОГ!N302)</f>
        <v/>
      </c>
      <c r="O302" s="30" t="str">
        <f t="shared" si="63"/>
        <v/>
      </c>
      <c r="P302" s="24"/>
      <c r="Q302" s="30" t="str">
        <f t="shared" si="64"/>
        <v/>
      </c>
      <c r="R302" s="29" t="str">
        <f t="shared" ca="1" si="65"/>
        <v/>
      </c>
    </row>
    <row r="303" spans="1:18">
      <c r="A303" s="23" t="str">
        <f t="shared" si="55"/>
        <v/>
      </c>
      <c r="B303" s="23" t="str">
        <f t="shared" si="56"/>
        <v/>
      </c>
      <c r="C303" s="29" t="str">
        <f t="shared" ca="1" si="57"/>
        <v/>
      </c>
      <c r="D303" s="22" t="str">
        <f>IF(K303="","",ИТОГ!S303)</f>
        <v/>
      </c>
      <c r="E303" s="24" t="str">
        <f t="shared" si="58"/>
        <v/>
      </c>
      <c r="F303" s="30" t="str">
        <f t="shared" si="59"/>
        <v/>
      </c>
      <c r="G303" s="25" t="str">
        <f t="shared" si="60"/>
        <v/>
      </c>
      <c r="H303" s="29" t="str">
        <f t="shared" ca="1" si="61"/>
        <v/>
      </c>
      <c r="I303" s="24"/>
      <c r="J303" s="30"/>
      <c r="K303" s="27" t="str">
        <f>IF(ИТОГ!A303=0,"",ИТОГ!A303)</f>
        <v/>
      </c>
      <c r="L303" s="26" t="str">
        <f t="shared" si="62"/>
        <v/>
      </c>
      <c r="M303" s="25" t="str">
        <f>IF(K303="","",ИТОГ!Q303)</f>
        <v/>
      </c>
      <c r="N303" s="28" t="str">
        <f>IF(K303="","",ИТОГ!N303)</f>
        <v/>
      </c>
      <c r="O303" s="30" t="str">
        <f t="shared" si="63"/>
        <v/>
      </c>
      <c r="P303" s="24"/>
      <c r="Q303" s="30" t="str">
        <f t="shared" si="64"/>
        <v/>
      </c>
      <c r="R303" s="29" t="str">
        <f t="shared" ca="1" si="65"/>
        <v/>
      </c>
    </row>
    <row r="304" spans="1:18">
      <c r="A304" s="23" t="str">
        <f t="shared" si="55"/>
        <v/>
      </c>
      <c r="B304" s="23" t="str">
        <f t="shared" si="56"/>
        <v/>
      </c>
      <c r="C304" s="29" t="str">
        <f t="shared" ca="1" si="57"/>
        <v/>
      </c>
      <c r="D304" s="22" t="str">
        <f>IF(K304="","",ИТОГ!S304)</f>
        <v/>
      </c>
      <c r="E304" s="24" t="str">
        <f t="shared" si="58"/>
        <v/>
      </c>
      <c r="F304" s="30" t="str">
        <f t="shared" si="59"/>
        <v/>
      </c>
      <c r="G304" s="25" t="str">
        <f t="shared" si="60"/>
        <v/>
      </c>
      <c r="H304" s="29" t="str">
        <f t="shared" ca="1" si="61"/>
        <v/>
      </c>
      <c r="I304" s="24"/>
      <c r="J304" s="30"/>
      <c r="K304" s="27" t="str">
        <f>IF(ИТОГ!A304=0,"",ИТОГ!A304)</f>
        <v/>
      </c>
      <c r="L304" s="26" t="str">
        <f t="shared" si="62"/>
        <v/>
      </c>
      <c r="M304" s="25" t="str">
        <f>IF(K304="","",ИТОГ!Q304)</f>
        <v/>
      </c>
      <c r="N304" s="28" t="str">
        <f>IF(K304="","",ИТОГ!N304)</f>
        <v/>
      </c>
      <c r="O304" s="30" t="str">
        <f t="shared" si="63"/>
        <v/>
      </c>
      <c r="P304" s="24"/>
      <c r="Q304" s="30" t="str">
        <f t="shared" si="64"/>
        <v/>
      </c>
      <c r="R304" s="29" t="str">
        <f t="shared" ca="1" si="65"/>
        <v/>
      </c>
    </row>
    <row r="305" spans="1:18">
      <c r="A305" s="23" t="str">
        <f t="shared" si="55"/>
        <v/>
      </c>
      <c r="B305" s="23" t="str">
        <f t="shared" si="56"/>
        <v/>
      </c>
      <c r="C305" s="29" t="str">
        <f t="shared" ca="1" si="57"/>
        <v/>
      </c>
      <c r="D305" s="22" t="str">
        <f>IF(K305="","",ИТОГ!S305)</f>
        <v/>
      </c>
      <c r="E305" s="24" t="str">
        <f t="shared" si="58"/>
        <v/>
      </c>
      <c r="F305" s="30" t="str">
        <f t="shared" si="59"/>
        <v/>
      </c>
      <c r="G305" s="25" t="str">
        <f t="shared" si="60"/>
        <v/>
      </c>
      <c r="H305" s="29" t="str">
        <f t="shared" ca="1" si="61"/>
        <v/>
      </c>
      <c r="I305" s="24"/>
      <c r="J305" s="30"/>
      <c r="K305" s="27" t="str">
        <f>IF(ИТОГ!A305=0,"",ИТОГ!A305)</f>
        <v/>
      </c>
      <c r="L305" s="26" t="str">
        <f t="shared" si="62"/>
        <v/>
      </c>
      <c r="M305" s="25" t="str">
        <f>IF(K305="","",ИТОГ!Q305)</f>
        <v/>
      </c>
      <c r="N305" s="28" t="str">
        <f>IF(K305="","",ИТОГ!N305)</f>
        <v/>
      </c>
      <c r="O305" s="30" t="str">
        <f t="shared" si="63"/>
        <v/>
      </c>
      <c r="P305" s="24"/>
      <c r="Q305" s="30" t="str">
        <f t="shared" si="64"/>
        <v/>
      </c>
      <c r="R305" s="29" t="str">
        <f t="shared" ca="1" si="65"/>
        <v/>
      </c>
    </row>
    <row r="306" spans="1:18">
      <c r="A306" s="23" t="str">
        <f t="shared" si="55"/>
        <v/>
      </c>
      <c r="B306" s="23" t="str">
        <f t="shared" si="56"/>
        <v/>
      </c>
      <c r="C306" s="29" t="str">
        <f t="shared" ca="1" si="57"/>
        <v/>
      </c>
      <c r="D306" s="22" t="str">
        <f>IF(K306="","",ИТОГ!S306)</f>
        <v/>
      </c>
      <c r="E306" s="24" t="str">
        <f t="shared" si="58"/>
        <v/>
      </c>
      <c r="F306" s="30" t="str">
        <f t="shared" si="59"/>
        <v/>
      </c>
      <c r="G306" s="25" t="str">
        <f t="shared" si="60"/>
        <v/>
      </c>
      <c r="H306" s="29" t="str">
        <f t="shared" ca="1" si="61"/>
        <v/>
      </c>
      <c r="I306" s="24"/>
      <c r="J306" s="30"/>
      <c r="K306" s="27" t="str">
        <f>IF(ИТОГ!A306=0,"",ИТОГ!A306)</f>
        <v/>
      </c>
      <c r="L306" s="26" t="str">
        <f t="shared" si="62"/>
        <v/>
      </c>
      <c r="M306" s="25" t="str">
        <f>IF(K306="","",ИТОГ!Q306)</f>
        <v/>
      </c>
      <c r="N306" s="28" t="str">
        <f>IF(K306="","",ИТОГ!N306)</f>
        <v/>
      </c>
      <c r="O306" s="30" t="str">
        <f t="shared" si="63"/>
        <v/>
      </c>
      <c r="P306" s="24"/>
      <c r="Q306" s="30" t="str">
        <f t="shared" si="64"/>
        <v/>
      </c>
      <c r="R306" s="29" t="str">
        <f t="shared" ca="1" si="65"/>
        <v/>
      </c>
    </row>
    <row r="307" spans="1:18">
      <c r="A307" s="23" t="str">
        <f t="shared" si="55"/>
        <v/>
      </c>
      <c r="B307" s="23" t="str">
        <f t="shared" si="56"/>
        <v/>
      </c>
      <c r="C307" s="29" t="str">
        <f t="shared" ca="1" si="57"/>
        <v/>
      </c>
      <c r="D307" s="22" t="str">
        <f>IF(K307="","",ИТОГ!S307)</f>
        <v/>
      </c>
      <c r="E307" s="24" t="str">
        <f t="shared" si="58"/>
        <v/>
      </c>
      <c r="F307" s="30" t="str">
        <f t="shared" si="59"/>
        <v/>
      </c>
      <c r="G307" s="25" t="str">
        <f t="shared" si="60"/>
        <v/>
      </c>
      <c r="H307" s="29" t="str">
        <f t="shared" ca="1" si="61"/>
        <v/>
      </c>
      <c r="I307" s="24"/>
      <c r="J307" s="30"/>
      <c r="K307" s="27" t="str">
        <f>IF(ИТОГ!A307=0,"",ИТОГ!A307)</f>
        <v/>
      </c>
      <c r="L307" s="26" t="str">
        <f t="shared" si="62"/>
        <v/>
      </c>
      <c r="M307" s="25" t="str">
        <f>IF(K307="","",ИТОГ!Q307)</f>
        <v/>
      </c>
      <c r="N307" s="28" t="str">
        <f>IF(K307="","",ИТОГ!N307)</f>
        <v/>
      </c>
      <c r="O307" s="30" t="str">
        <f t="shared" si="63"/>
        <v/>
      </c>
      <c r="P307" s="24"/>
      <c r="Q307" s="30" t="str">
        <f t="shared" si="64"/>
        <v/>
      </c>
      <c r="R307" s="29" t="str">
        <f t="shared" ca="1" si="65"/>
        <v/>
      </c>
    </row>
    <row r="308" spans="1:18">
      <c r="A308" s="23" t="str">
        <f t="shared" si="55"/>
        <v/>
      </c>
      <c r="B308" s="23" t="str">
        <f t="shared" si="56"/>
        <v/>
      </c>
      <c r="C308" s="29" t="str">
        <f t="shared" ca="1" si="57"/>
        <v/>
      </c>
      <c r="D308" s="22" t="str">
        <f>IF(K308="","",ИТОГ!S308)</f>
        <v/>
      </c>
      <c r="E308" s="24" t="str">
        <f t="shared" si="58"/>
        <v/>
      </c>
      <c r="F308" s="30" t="str">
        <f t="shared" si="59"/>
        <v/>
      </c>
      <c r="G308" s="25" t="str">
        <f t="shared" si="60"/>
        <v/>
      </c>
      <c r="H308" s="29" t="str">
        <f t="shared" ca="1" si="61"/>
        <v/>
      </c>
      <c r="I308" s="24"/>
      <c r="J308" s="30"/>
      <c r="K308" s="27" t="str">
        <f>IF(ИТОГ!A308=0,"",ИТОГ!A308)</f>
        <v/>
      </c>
      <c r="L308" s="26" t="str">
        <f t="shared" si="62"/>
        <v/>
      </c>
      <c r="M308" s="25" t="str">
        <f>IF(K308="","",ИТОГ!Q308)</f>
        <v/>
      </c>
      <c r="N308" s="28" t="str">
        <f>IF(K308="","",ИТОГ!N308)</f>
        <v/>
      </c>
      <c r="O308" s="30" t="str">
        <f t="shared" si="63"/>
        <v/>
      </c>
      <c r="P308" s="24"/>
      <c r="Q308" s="30" t="str">
        <f t="shared" si="64"/>
        <v/>
      </c>
      <c r="R308" s="29" t="str">
        <f t="shared" ca="1" si="65"/>
        <v/>
      </c>
    </row>
    <row r="309" spans="1:18">
      <c r="A309" s="23" t="str">
        <f t="shared" si="55"/>
        <v/>
      </c>
      <c r="B309" s="23" t="str">
        <f t="shared" si="56"/>
        <v/>
      </c>
      <c r="C309" s="29" t="str">
        <f t="shared" ca="1" si="57"/>
        <v/>
      </c>
      <c r="D309" s="22" t="str">
        <f>IF(K309="","",ИТОГ!S309)</f>
        <v/>
      </c>
      <c r="E309" s="24" t="str">
        <f t="shared" si="58"/>
        <v/>
      </c>
      <c r="F309" s="30" t="str">
        <f t="shared" si="59"/>
        <v/>
      </c>
      <c r="G309" s="25" t="str">
        <f t="shared" si="60"/>
        <v/>
      </c>
      <c r="H309" s="29" t="str">
        <f t="shared" ca="1" si="61"/>
        <v/>
      </c>
      <c r="I309" s="24"/>
      <c r="J309" s="30"/>
      <c r="K309" s="27" t="str">
        <f>IF(ИТОГ!A309=0,"",ИТОГ!A309)</f>
        <v/>
      </c>
      <c r="L309" s="26" t="str">
        <f t="shared" si="62"/>
        <v/>
      </c>
      <c r="M309" s="25" t="str">
        <f>IF(K309="","",ИТОГ!Q309)</f>
        <v/>
      </c>
      <c r="N309" s="28" t="str">
        <f>IF(K309="","",ИТОГ!N309)</f>
        <v/>
      </c>
      <c r="O309" s="30" t="str">
        <f t="shared" si="63"/>
        <v/>
      </c>
      <c r="P309" s="24"/>
      <c r="Q309" s="30" t="str">
        <f t="shared" si="64"/>
        <v/>
      </c>
      <c r="R309" s="29" t="str">
        <f t="shared" ca="1" si="65"/>
        <v/>
      </c>
    </row>
    <row r="310" spans="1:18">
      <c r="A310" s="23" t="str">
        <f t="shared" si="55"/>
        <v/>
      </c>
      <c r="B310" s="23" t="str">
        <f t="shared" si="56"/>
        <v/>
      </c>
      <c r="C310" s="29" t="str">
        <f t="shared" ca="1" si="57"/>
        <v/>
      </c>
      <c r="D310" s="22" t="str">
        <f>IF(K310="","",ИТОГ!S310)</f>
        <v/>
      </c>
      <c r="E310" s="24" t="str">
        <f t="shared" si="58"/>
        <v/>
      </c>
      <c r="F310" s="30" t="str">
        <f t="shared" si="59"/>
        <v/>
      </c>
      <c r="G310" s="25" t="str">
        <f t="shared" si="60"/>
        <v/>
      </c>
      <c r="H310" s="29" t="str">
        <f t="shared" ca="1" si="61"/>
        <v/>
      </c>
      <c r="I310" s="24"/>
      <c r="J310" s="30"/>
      <c r="K310" s="27" t="str">
        <f>IF(ИТОГ!A310=0,"",ИТОГ!A310)</f>
        <v/>
      </c>
      <c r="L310" s="26" t="str">
        <f t="shared" si="62"/>
        <v/>
      </c>
      <c r="M310" s="25" t="str">
        <f>IF(K310="","",ИТОГ!Q310)</f>
        <v/>
      </c>
      <c r="N310" s="28" t="str">
        <f>IF(K310="","",ИТОГ!N310)</f>
        <v/>
      </c>
      <c r="O310" s="30" t="str">
        <f t="shared" si="63"/>
        <v/>
      </c>
      <c r="P310" s="24"/>
      <c r="Q310" s="30" t="str">
        <f t="shared" si="64"/>
        <v/>
      </c>
      <c r="R310" s="29" t="str">
        <f t="shared" ca="1" si="65"/>
        <v/>
      </c>
    </row>
    <row r="311" spans="1:18">
      <c r="A311" s="23" t="str">
        <f t="shared" si="55"/>
        <v/>
      </c>
      <c r="B311" s="23" t="str">
        <f t="shared" si="56"/>
        <v/>
      </c>
      <c r="C311" s="29" t="str">
        <f t="shared" ca="1" si="57"/>
        <v/>
      </c>
      <c r="D311" s="22" t="str">
        <f>IF(K311="","",ИТОГ!S311)</f>
        <v/>
      </c>
      <c r="E311" s="24" t="str">
        <f t="shared" si="58"/>
        <v/>
      </c>
      <c r="F311" s="30" t="str">
        <f t="shared" si="59"/>
        <v/>
      </c>
      <c r="G311" s="25" t="str">
        <f t="shared" si="60"/>
        <v/>
      </c>
      <c r="H311" s="29" t="str">
        <f t="shared" ca="1" si="61"/>
        <v/>
      </c>
      <c r="I311" s="24"/>
      <c r="J311" s="30"/>
      <c r="K311" s="27" t="str">
        <f>IF(ИТОГ!A311=0,"",ИТОГ!A311)</f>
        <v/>
      </c>
      <c r="L311" s="26" t="str">
        <f t="shared" si="62"/>
        <v/>
      </c>
      <c r="M311" s="25" t="str">
        <f>IF(K311="","",ИТОГ!Q311)</f>
        <v/>
      </c>
      <c r="N311" s="28" t="str">
        <f>IF(K311="","",ИТОГ!N311)</f>
        <v/>
      </c>
      <c r="O311" s="30" t="str">
        <f t="shared" si="63"/>
        <v/>
      </c>
      <c r="P311" s="24"/>
      <c r="Q311" s="30" t="str">
        <f t="shared" si="64"/>
        <v/>
      </c>
      <c r="R311" s="29" t="str">
        <f t="shared" ca="1" si="65"/>
        <v/>
      </c>
    </row>
    <row r="312" spans="1:18">
      <c r="A312" s="23" t="str">
        <f t="shared" si="55"/>
        <v/>
      </c>
      <c r="B312" s="23" t="str">
        <f t="shared" si="56"/>
        <v/>
      </c>
      <c r="C312" s="29" t="str">
        <f t="shared" ca="1" si="57"/>
        <v/>
      </c>
      <c r="D312" s="22" t="str">
        <f>IF(K312="","",ИТОГ!S312)</f>
        <v/>
      </c>
      <c r="E312" s="24" t="str">
        <f t="shared" si="58"/>
        <v/>
      </c>
      <c r="F312" s="30" t="str">
        <f t="shared" si="59"/>
        <v/>
      </c>
      <c r="G312" s="25" t="str">
        <f t="shared" si="60"/>
        <v/>
      </c>
      <c r="H312" s="29" t="str">
        <f t="shared" ca="1" si="61"/>
        <v/>
      </c>
      <c r="I312" s="24"/>
      <c r="J312" s="30"/>
      <c r="K312" s="27" t="str">
        <f>IF(ИТОГ!A312=0,"",ИТОГ!A312)</f>
        <v/>
      </c>
      <c r="L312" s="26" t="str">
        <f t="shared" si="62"/>
        <v/>
      </c>
      <c r="M312" s="25" t="str">
        <f>IF(K312="","",ИТОГ!Q312)</f>
        <v/>
      </c>
      <c r="N312" s="28" t="str">
        <f>IF(K312="","",ИТОГ!N312)</f>
        <v/>
      </c>
      <c r="O312" s="30" t="str">
        <f t="shared" si="63"/>
        <v/>
      </c>
      <c r="P312" s="24"/>
      <c r="Q312" s="30" t="str">
        <f t="shared" si="64"/>
        <v/>
      </c>
      <c r="R312" s="29" t="str">
        <f t="shared" ca="1" si="65"/>
        <v/>
      </c>
    </row>
    <row r="313" spans="1:18">
      <c r="A313" s="23" t="str">
        <f t="shared" si="55"/>
        <v/>
      </c>
      <c r="B313" s="23" t="str">
        <f t="shared" si="56"/>
        <v/>
      </c>
      <c r="C313" s="29" t="str">
        <f t="shared" ca="1" si="57"/>
        <v/>
      </c>
      <c r="D313" s="22" t="str">
        <f>IF(K313="","",ИТОГ!S313)</f>
        <v/>
      </c>
      <c r="E313" s="24" t="str">
        <f t="shared" si="58"/>
        <v/>
      </c>
      <c r="F313" s="30" t="str">
        <f t="shared" si="59"/>
        <v/>
      </c>
      <c r="G313" s="25" t="str">
        <f t="shared" si="60"/>
        <v/>
      </c>
      <c r="H313" s="29" t="str">
        <f t="shared" ca="1" si="61"/>
        <v/>
      </c>
      <c r="I313" s="24"/>
      <c r="J313" s="30"/>
      <c r="K313" s="27" t="str">
        <f>IF(ИТОГ!A313=0,"",ИТОГ!A313)</f>
        <v/>
      </c>
      <c r="L313" s="26" t="str">
        <f t="shared" si="62"/>
        <v/>
      </c>
      <c r="M313" s="25" t="str">
        <f>IF(K313="","",ИТОГ!Q313)</f>
        <v/>
      </c>
      <c r="N313" s="28" t="str">
        <f>IF(K313="","",ИТОГ!N313)</f>
        <v/>
      </c>
      <c r="O313" s="30" t="str">
        <f t="shared" si="63"/>
        <v/>
      </c>
      <c r="P313" s="24"/>
      <c r="Q313" s="30" t="str">
        <f t="shared" si="64"/>
        <v/>
      </c>
      <c r="R313" s="29" t="str">
        <f t="shared" ca="1" si="65"/>
        <v/>
      </c>
    </row>
    <row r="314" spans="1:18">
      <c r="A314" s="23" t="str">
        <f t="shared" si="55"/>
        <v/>
      </c>
      <c r="B314" s="23" t="str">
        <f t="shared" si="56"/>
        <v/>
      </c>
      <c r="C314" s="29" t="str">
        <f t="shared" ca="1" si="57"/>
        <v/>
      </c>
      <c r="D314" s="22" t="str">
        <f>IF(K314="","",ИТОГ!S314)</f>
        <v/>
      </c>
      <c r="E314" s="24" t="str">
        <f t="shared" si="58"/>
        <v/>
      </c>
      <c r="F314" s="30" t="str">
        <f t="shared" si="59"/>
        <v/>
      </c>
      <c r="G314" s="25" t="str">
        <f t="shared" si="60"/>
        <v/>
      </c>
      <c r="H314" s="29" t="str">
        <f t="shared" ca="1" si="61"/>
        <v/>
      </c>
      <c r="I314" s="24"/>
      <c r="J314" s="30"/>
      <c r="K314" s="27" t="str">
        <f>IF(ИТОГ!A314=0,"",ИТОГ!A314)</f>
        <v/>
      </c>
      <c r="L314" s="26" t="str">
        <f t="shared" si="62"/>
        <v/>
      </c>
      <c r="M314" s="25" t="str">
        <f>IF(K314="","",ИТОГ!Q314)</f>
        <v/>
      </c>
      <c r="N314" s="28" t="str">
        <f>IF(K314="","",ИТОГ!N314)</f>
        <v/>
      </c>
      <c r="O314" s="30" t="str">
        <f t="shared" si="63"/>
        <v/>
      </c>
      <c r="P314" s="24"/>
      <c r="Q314" s="30" t="str">
        <f t="shared" si="64"/>
        <v/>
      </c>
      <c r="R314" s="29" t="str">
        <f t="shared" ca="1" si="65"/>
        <v/>
      </c>
    </row>
    <row r="315" spans="1:18">
      <c r="A315" s="23" t="str">
        <f t="shared" si="55"/>
        <v/>
      </c>
      <c r="B315" s="23" t="str">
        <f t="shared" si="56"/>
        <v/>
      </c>
      <c r="C315" s="29" t="str">
        <f t="shared" ca="1" si="57"/>
        <v/>
      </c>
      <c r="D315" s="22" t="str">
        <f>IF(K315="","",ИТОГ!S315)</f>
        <v/>
      </c>
      <c r="E315" s="24" t="str">
        <f t="shared" si="58"/>
        <v/>
      </c>
      <c r="F315" s="30" t="str">
        <f t="shared" si="59"/>
        <v/>
      </c>
      <c r="G315" s="25" t="str">
        <f t="shared" si="60"/>
        <v/>
      </c>
      <c r="H315" s="29" t="str">
        <f t="shared" ca="1" si="61"/>
        <v/>
      </c>
      <c r="I315" s="24"/>
      <c r="J315" s="30"/>
      <c r="K315" s="27" t="str">
        <f>IF(ИТОГ!A315=0,"",ИТОГ!A315)</f>
        <v/>
      </c>
      <c r="L315" s="26" t="str">
        <f t="shared" si="62"/>
        <v/>
      </c>
      <c r="M315" s="25" t="str">
        <f>IF(K315="","",ИТОГ!Q315)</f>
        <v/>
      </c>
      <c r="N315" s="28" t="str">
        <f>IF(K315="","",ИТОГ!N315)</f>
        <v/>
      </c>
      <c r="O315" s="30" t="str">
        <f t="shared" si="63"/>
        <v/>
      </c>
      <c r="P315" s="24"/>
      <c r="Q315" s="30" t="str">
        <f t="shared" si="64"/>
        <v/>
      </c>
      <c r="R315" s="29" t="str">
        <f t="shared" ca="1" si="65"/>
        <v/>
      </c>
    </row>
    <row r="316" spans="1:18">
      <c r="A316" s="23" t="str">
        <f t="shared" si="55"/>
        <v/>
      </c>
      <c r="B316" s="23" t="str">
        <f t="shared" si="56"/>
        <v/>
      </c>
      <c r="C316" s="29" t="str">
        <f t="shared" ca="1" si="57"/>
        <v/>
      </c>
      <c r="D316" s="22" t="str">
        <f>IF(K316="","",ИТОГ!S316)</f>
        <v/>
      </c>
      <c r="E316" s="24" t="str">
        <f t="shared" si="58"/>
        <v/>
      </c>
      <c r="F316" s="30" t="str">
        <f t="shared" si="59"/>
        <v/>
      </c>
      <c r="G316" s="25" t="str">
        <f t="shared" si="60"/>
        <v/>
      </c>
      <c r="H316" s="29" t="str">
        <f t="shared" ca="1" si="61"/>
        <v/>
      </c>
      <c r="I316" s="24"/>
      <c r="J316" s="30"/>
      <c r="K316" s="27" t="str">
        <f>IF(ИТОГ!A316=0,"",ИТОГ!A316)</f>
        <v/>
      </c>
      <c r="L316" s="26" t="str">
        <f t="shared" si="62"/>
        <v/>
      </c>
      <c r="M316" s="25" t="str">
        <f>IF(K316="","",ИТОГ!Q316)</f>
        <v/>
      </c>
      <c r="N316" s="28" t="str">
        <f>IF(K316="","",ИТОГ!N316)</f>
        <v/>
      </c>
      <c r="O316" s="30" t="str">
        <f t="shared" si="63"/>
        <v/>
      </c>
      <c r="P316" s="24"/>
      <c r="Q316" s="30" t="str">
        <f t="shared" si="64"/>
        <v/>
      </c>
      <c r="R316" s="29" t="str">
        <f t="shared" ca="1" si="65"/>
        <v/>
      </c>
    </row>
    <row r="317" spans="1:18">
      <c r="A317" s="23" t="str">
        <f t="shared" si="55"/>
        <v/>
      </c>
      <c r="B317" s="23" t="str">
        <f t="shared" si="56"/>
        <v/>
      </c>
      <c r="C317" s="29" t="str">
        <f t="shared" ca="1" si="57"/>
        <v/>
      </c>
      <c r="D317" s="22" t="str">
        <f>IF(K317="","",ИТОГ!S317)</f>
        <v/>
      </c>
      <c r="E317" s="24" t="str">
        <f t="shared" si="58"/>
        <v/>
      </c>
      <c r="F317" s="30" t="str">
        <f t="shared" si="59"/>
        <v/>
      </c>
      <c r="G317" s="25" t="str">
        <f t="shared" si="60"/>
        <v/>
      </c>
      <c r="H317" s="29" t="str">
        <f t="shared" ca="1" si="61"/>
        <v/>
      </c>
      <c r="I317" s="24"/>
      <c r="J317" s="30"/>
      <c r="K317" s="27" t="str">
        <f>IF(ИТОГ!A317=0,"",ИТОГ!A317)</f>
        <v/>
      </c>
      <c r="L317" s="26" t="str">
        <f t="shared" si="62"/>
        <v/>
      </c>
      <c r="M317" s="25" t="str">
        <f>IF(K317="","",ИТОГ!Q317)</f>
        <v/>
      </c>
      <c r="N317" s="28" t="str">
        <f>IF(K317="","",ИТОГ!N317)</f>
        <v/>
      </c>
      <c r="O317" s="30" t="str">
        <f t="shared" si="63"/>
        <v/>
      </c>
      <c r="P317" s="24"/>
      <c r="Q317" s="30" t="str">
        <f t="shared" si="64"/>
        <v/>
      </c>
      <c r="R317" s="29" t="str">
        <f t="shared" ca="1" si="65"/>
        <v/>
      </c>
    </row>
    <row r="318" spans="1:18">
      <c r="A318" s="23" t="str">
        <f t="shared" si="55"/>
        <v/>
      </c>
      <c r="B318" s="23" t="str">
        <f t="shared" si="56"/>
        <v/>
      </c>
      <c r="C318" s="29" t="str">
        <f t="shared" ca="1" si="57"/>
        <v/>
      </c>
      <c r="D318" s="22" t="str">
        <f>IF(K318="","",ИТОГ!S318)</f>
        <v/>
      </c>
      <c r="E318" s="24" t="str">
        <f t="shared" si="58"/>
        <v/>
      </c>
      <c r="F318" s="30" t="str">
        <f t="shared" si="59"/>
        <v/>
      </c>
      <c r="G318" s="25" t="str">
        <f t="shared" si="60"/>
        <v/>
      </c>
      <c r="H318" s="29" t="str">
        <f t="shared" ca="1" si="61"/>
        <v/>
      </c>
      <c r="I318" s="24"/>
      <c r="J318" s="30"/>
      <c r="K318" s="27" t="str">
        <f>IF(ИТОГ!A318=0,"",ИТОГ!A318)</f>
        <v/>
      </c>
      <c r="L318" s="26" t="str">
        <f t="shared" si="62"/>
        <v/>
      </c>
      <c r="M318" s="25" t="str">
        <f>IF(K318="","",ИТОГ!Q318)</f>
        <v/>
      </c>
      <c r="N318" s="28" t="str">
        <f>IF(K318="","",ИТОГ!N318)</f>
        <v/>
      </c>
      <c r="O318" s="30" t="str">
        <f t="shared" si="63"/>
        <v/>
      </c>
      <c r="P318" s="24"/>
      <c r="Q318" s="30" t="str">
        <f t="shared" si="64"/>
        <v/>
      </c>
      <c r="R318" s="29" t="str">
        <f t="shared" ca="1" si="65"/>
        <v/>
      </c>
    </row>
    <row r="319" spans="1:18">
      <c r="A319" s="23" t="str">
        <f t="shared" si="55"/>
        <v/>
      </c>
      <c r="B319" s="23" t="str">
        <f t="shared" si="56"/>
        <v/>
      </c>
      <c r="C319" s="29" t="str">
        <f t="shared" ca="1" si="57"/>
        <v/>
      </c>
      <c r="D319" s="22" t="str">
        <f>IF(K319="","",ИТОГ!S319)</f>
        <v/>
      </c>
      <c r="E319" s="24" t="str">
        <f t="shared" si="58"/>
        <v/>
      </c>
      <c r="F319" s="30" t="str">
        <f t="shared" si="59"/>
        <v/>
      </c>
      <c r="G319" s="25" t="str">
        <f t="shared" si="60"/>
        <v/>
      </c>
      <c r="H319" s="29" t="str">
        <f t="shared" ca="1" si="61"/>
        <v/>
      </c>
      <c r="I319" s="24"/>
      <c r="J319" s="30"/>
      <c r="K319" s="27" t="str">
        <f>IF(ИТОГ!A319=0,"",ИТОГ!A319)</f>
        <v/>
      </c>
      <c r="L319" s="26" t="str">
        <f t="shared" si="62"/>
        <v/>
      </c>
      <c r="M319" s="25" t="str">
        <f>IF(K319="","",ИТОГ!Q319)</f>
        <v/>
      </c>
      <c r="N319" s="28" t="str">
        <f>IF(K319="","",ИТОГ!N319)</f>
        <v/>
      </c>
      <c r="O319" s="30" t="str">
        <f t="shared" si="63"/>
        <v/>
      </c>
      <c r="P319" s="24"/>
      <c r="Q319" s="30" t="str">
        <f t="shared" si="64"/>
        <v/>
      </c>
      <c r="R319" s="29" t="str">
        <f t="shared" ca="1" si="65"/>
        <v/>
      </c>
    </row>
    <row r="320" spans="1:18">
      <c r="A320" s="23" t="str">
        <f t="shared" si="55"/>
        <v/>
      </c>
      <c r="B320" s="23" t="str">
        <f t="shared" si="56"/>
        <v/>
      </c>
      <c r="C320" s="29" t="str">
        <f t="shared" ca="1" si="57"/>
        <v/>
      </c>
      <c r="D320" s="22" t="str">
        <f>IF(K320="","",ИТОГ!S320)</f>
        <v/>
      </c>
      <c r="E320" s="24" t="str">
        <f t="shared" si="58"/>
        <v/>
      </c>
      <c r="F320" s="30" t="str">
        <f t="shared" si="59"/>
        <v/>
      </c>
      <c r="G320" s="25" t="str">
        <f t="shared" si="60"/>
        <v/>
      </c>
      <c r="H320" s="29" t="str">
        <f t="shared" ca="1" si="61"/>
        <v/>
      </c>
      <c r="I320" s="24"/>
      <c r="J320" s="30"/>
      <c r="K320" s="27" t="str">
        <f>IF(ИТОГ!A320=0,"",ИТОГ!A320)</f>
        <v/>
      </c>
      <c r="L320" s="26" t="str">
        <f t="shared" si="62"/>
        <v/>
      </c>
      <c r="M320" s="25" t="str">
        <f>IF(K320="","",ИТОГ!Q320)</f>
        <v/>
      </c>
      <c r="N320" s="28" t="str">
        <f>IF(K320="","",ИТОГ!N320)</f>
        <v/>
      </c>
      <c r="O320" s="30" t="str">
        <f t="shared" si="63"/>
        <v/>
      </c>
      <c r="P320" s="24"/>
      <c r="Q320" s="30" t="str">
        <f t="shared" si="64"/>
        <v/>
      </c>
      <c r="R320" s="29" t="str">
        <f t="shared" ca="1" si="65"/>
        <v/>
      </c>
    </row>
    <row r="321" spans="1:18">
      <c r="A321" s="23" t="str">
        <f t="shared" si="55"/>
        <v/>
      </c>
      <c r="B321" s="23" t="str">
        <f t="shared" si="56"/>
        <v/>
      </c>
      <c r="C321" s="29" t="str">
        <f t="shared" ca="1" si="57"/>
        <v/>
      </c>
      <c r="D321" s="22" t="str">
        <f>IF(K321="","",ИТОГ!S321)</f>
        <v/>
      </c>
      <c r="E321" s="24" t="str">
        <f t="shared" si="58"/>
        <v/>
      </c>
      <c r="F321" s="30" t="str">
        <f t="shared" si="59"/>
        <v/>
      </c>
      <c r="G321" s="25" t="str">
        <f t="shared" si="60"/>
        <v/>
      </c>
      <c r="H321" s="29" t="str">
        <f t="shared" ca="1" si="61"/>
        <v/>
      </c>
      <c r="I321" s="24"/>
      <c r="J321" s="30"/>
      <c r="K321" s="27" t="str">
        <f>IF(ИТОГ!A321=0,"",ИТОГ!A321)</f>
        <v/>
      </c>
      <c r="L321" s="26" t="str">
        <f t="shared" si="62"/>
        <v/>
      </c>
      <c r="M321" s="25" t="str">
        <f>IF(K321="","",ИТОГ!Q321)</f>
        <v/>
      </c>
      <c r="N321" s="28" t="str">
        <f>IF(K321="","",ИТОГ!N321)</f>
        <v/>
      </c>
      <c r="O321" s="30" t="str">
        <f t="shared" si="63"/>
        <v/>
      </c>
      <c r="P321" s="24"/>
      <c r="Q321" s="30" t="str">
        <f t="shared" si="64"/>
        <v/>
      </c>
      <c r="R321" s="29" t="str">
        <f t="shared" ca="1" si="65"/>
        <v/>
      </c>
    </row>
    <row r="322" spans="1:18">
      <c r="A322" s="23" t="str">
        <f t="shared" si="55"/>
        <v/>
      </c>
      <c r="B322" s="23" t="str">
        <f t="shared" si="56"/>
        <v/>
      </c>
      <c r="C322" s="29" t="str">
        <f t="shared" ca="1" si="57"/>
        <v/>
      </c>
      <c r="D322" s="22" t="str">
        <f>IF(K322="","",ИТОГ!S322)</f>
        <v/>
      </c>
      <c r="E322" s="24" t="str">
        <f t="shared" si="58"/>
        <v/>
      </c>
      <c r="F322" s="30" t="str">
        <f t="shared" si="59"/>
        <v/>
      </c>
      <c r="G322" s="25" t="str">
        <f t="shared" si="60"/>
        <v/>
      </c>
      <c r="H322" s="29" t="str">
        <f t="shared" ca="1" si="61"/>
        <v/>
      </c>
      <c r="I322" s="24"/>
      <c r="J322" s="30"/>
      <c r="K322" s="27" t="str">
        <f>IF(ИТОГ!A322=0,"",ИТОГ!A322)</f>
        <v/>
      </c>
      <c r="L322" s="26" t="str">
        <f t="shared" si="62"/>
        <v/>
      </c>
      <c r="M322" s="25" t="str">
        <f>IF(K322="","",ИТОГ!Q322)</f>
        <v/>
      </c>
      <c r="N322" s="28" t="str">
        <f>IF(K322="","",ИТОГ!N322)</f>
        <v/>
      </c>
      <c r="O322" s="30" t="str">
        <f t="shared" si="63"/>
        <v/>
      </c>
      <c r="P322" s="24"/>
      <c r="Q322" s="30" t="str">
        <f t="shared" si="64"/>
        <v/>
      </c>
      <c r="R322" s="29" t="str">
        <f t="shared" ca="1" si="65"/>
        <v/>
      </c>
    </row>
    <row r="323" spans="1:18">
      <c r="A323" s="23" t="str">
        <f t="shared" si="55"/>
        <v/>
      </c>
      <c r="B323" s="23" t="str">
        <f t="shared" si="56"/>
        <v/>
      </c>
      <c r="C323" s="29" t="str">
        <f t="shared" ca="1" si="57"/>
        <v/>
      </c>
      <c r="D323" s="22" t="str">
        <f>IF(K323="","",ИТОГ!S323)</f>
        <v/>
      </c>
      <c r="E323" s="24" t="str">
        <f t="shared" si="58"/>
        <v/>
      </c>
      <c r="F323" s="30" t="str">
        <f t="shared" si="59"/>
        <v/>
      </c>
      <c r="G323" s="25" t="str">
        <f t="shared" si="60"/>
        <v/>
      </c>
      <c r="H323" s="29" t="str">
        <f t="shared" ca="1" si="61"/>
        <v/>
      </c>
      <c r="I323" s="24"/>
      <c r="J323" s="30"/>
      <c r="K323" s="27" t="str">
        <f>IF(ИТОГ!A323=0,"",ИТОГ!A323)</f>
        <v/>
      </c>
      <c r="L323" s="26" t="str">
        <f t="shared" si="62"/>
        <v/>
      </c>
      <c r="M323" s="25" t="str">
        <f>IF(K323="","",ИТОГ!Q323)</f>
        <v/>
      </c>
      <c r="N323" s="28" t="str">
        <f>IF(K323="","",ИТОГ!N323)</f>
        <v/>
      </c>
      <c r="O323" s="30" t="str">
        <f t="shared" si="63"/>
        <v/>
      </c>
      <c r="P323" s="24"/>
      <c r="Q323" s="30" t="str">
        <f t="shared" si="64"/>
        <v/>
      </c>
      <c r="R323" s="29" t="str">
        <f t="shared" ca="1" si="65"/>
        <v/>
      </c>
    </row>
    <row r="324" spans="1:18">
      <c r="A324" s="23" t="str">
        <f t="shared" si="55"/>
        <v/>
      </c>
      <c r="B324" s="23" t="str">
        <f t="shared" si="56"/>
        <v/>
      </c>
      <c r="C324" s="29" t="str">
        <f t="shared" ca="1" si="57"/>
        <v/>
      </c>
      <c r="D324" s="22" t="str">
        <f>IF(K324="","",ИТОГ!S324)</f>
        <v/>
      </c>
      <c r="E324" s="24" t="str">
        <f t="shared" si="58"/>
        <v/>
      </c>
      <c r="F324" s="30" t="str">
        <f t="shared" si="59"/>
        <v/>
      </c>
      <c r="G324" s="25" t="str">
        <f t="shared" si="60"/>
        <v/>
      </c>
      <c r="H324" s="29" t="str">
        <f t="shared" ca="1" si="61"/>
        <v/>
      </c>
      <c r="I324" s="24"/>
      <c r="J324" s="30"/>
      <c r="K324" s="27" t="str">
        <f>IF(ИТОГ!A324=0,"",ИТОГ!A324)</f>
        <v/>
      </c>
      <c r="L324" s="26" t="str">
        <f t="shared" si="62"/>
        <v/>
      </c>
      <c r="M324" s="25" t="str">
        <f>IF(K324="","",ИТОГ!Q324)</f>
        <v/>
      </c>
      <c r="N324" s="28" t="str">
        <f>IF(K324="","",ИТОГ!N324)</f>
        <v/>
      </c>
      <c r="O324" s="30" t="str">
        <f t="shared" si="63"/>
        <v/>
      </c>
      <c r="P324" s="24"/>
      <c r="Q324" s="30" t="str">
        <f t="shared" si="64"/>
        <v/>
      </c>
      <c r="R324" s="29" t="str">
        <f t="shared" ca="1" si="65"/>
        <v/>
      </c>
    </row>
    <row r="325" spans="1:18">
      <c r="A325" s="23" t="str">
        <f t="shared" si="55"/>
        <v/>
      </c>
      <c r="B325" s="23" t="str">
        <f t="shared" si="56"/>
        <v/>
      </c>
      <c r="C325" s="29" t="str">
        <f t="shared" ca="1" si="57"/>
        <v/>
      </c>
      <c r="D325" s="22" t="str">
        <f>IF(K325="","",ИТОГ!S325)</f>
        <v/>
      </c>
      <c r="E325" s="24" t="str">
        <f t="shared" si="58"/>
        <v/>
      </c>
      <c r="F325" s="30" t="str">
        <f t="shared" si="59"/>
        <v/>
      </c>
      <c r="G325" s="25" t="str">
        <f t="shared" si="60"/>
        <v/>
      </c>
      <c r="H325" s="29" t="str">
        <f t="shared" ca="1" si="61"/>
        <v/>
      </c>
      <c r="I325" s="24"/>
      <c r="J325" s="30"/>
      <c r="K325" s="27" t="str">
        <f>IF(ИТОГ!A325=0,"",ИТОГ!A325)</f>
        <v/>
      </c>
      <c r="L325" s="26" t="str">
        <f t="shared" si="62"/>
        <v/>
      </c>
      <c r="M325" s="25" t="str">
        <f>IF(K325="","",ИТОГ!Q325)</f>
        <v/>
      </c>
      <c r="N325" s="28" t="str">
        <f>IF(K325="","",ИТОГ!N325)</f>
        <v/>
      </c>
      <c r="O325" s="30" t="str">
        <f t="shared" si="63"/>
        <v/>
      </c>
      <c r="P325" s="24"/>
      <c r="Q325" s="30" t="str">
        <f t="shared" si="64"/>
        <v/>
      </c>
      <c r="R325" s="29" t="str">
        <f t="shared" ca="1" si="65"/>
        <v/>
      </c>
    </row>
    <row r="326" spans="1:18">
      <c r="A326" s="23" t="str">
        <f t="shared" si="55"/>
        <v/>
      </c>
      <c r="B326" s="23" t="str">
        <f t="shared" si="56"/>
        <v/>
      </c>
      <c r="C326" s="29" t="str">
        <f t="shared" ca="1" si="57"/>
        <v/>
      </c>
      <c r="D326" s="22" t="str">
        <f>IF(K326="","",ИТОГ!S326)</f>
        <v/>
      </c>
      <c r="E326" s="24" t="str">
        <f t="shared" si="58"/>
        <v/>
      </c>
      <c r="F326" s="30" t="str">
        <f t="shared" si="59"/>
        <v/>
      </c>
      <c r="G326" s="25" t="str">
        <f t="shared" si="60"/>
        <v/>
      </c>
      <c r="H326" s="29" t="str">
        <f t="shared" ca="1" si="61"/>
        <v/>
      </c>
      <c r="I326" s="24"/>
      <c r="J326" s="30"/>
      <c r="K326" s="27" t="str">
        <f>IF(ИТОГ!A326=0,"",ИТОГ!A326)</f>
        <v/>
      </c>
      <c r="L326" s="26" t="str">
        <f t="shared" si="62"/>
        <v/>
      </c>
      <c r="M326" s="25" t="str">
        <f>IF(K326="","",ИТОГ!Q326)</f>
        <v/>
      </c>
      <c r="N326" s="28" t="str">
        <f>IF(K326="","",ИТОГ!N326)</f>
        <v/>
      </c>
      <c r="O326" s="30" t="str">
        <f t="shared" si="63"/>
        <v/>
      </c>
      <c r="P326" s="24"/>
      <c r="Q326" s="30" t="str">
        <f t="shared" si="64"/>
        <v/>
      </c>
      <c r="R326" s="29" t="str">
        <f t="shared" ca="1" si="65"/>
        <v/>
      </c>
    </row>
    <row r="327" spans="1:18">
      <c r="A327" s="23" t="str">
        <f t="shared" si="55"/>
        <v/>
      </c>
      <c r="B327" s="23" t="str">
        <f t="shared" si="56"/>
        <v/>
      </c>
      <c r="C327" s="29" t="str">
        <f t="shared" ca="1" si="57"/>
        <v/>
      </c>
      <c r="D327" s="22" t="str">
        <f>IF(K327="","",ИТОГ!S327)</f>
        <v/>
      </c>
      <c r="E327" s="24" t="str">
        <f t="shared" si="58"/>
        <v/>
      </c>
      <c r="F327" s="30" t="str">
        <f t="shared" si="59"/>
        <v/>
      </c>
      <c r="G327" s="25" t="str">
        <f t="shared" si="60"/>
        <v/>
      </c>
      <c r="H327" s="29" t="str">
        <f t="shared" ca="1" si="61"/>
        <v/>
      </c>
      <c r="I327" s="24"/>
      <c r="J327" s="30"/>
      <c r="K327" s="27" t="str">
        <f>IF(ИТОГ!A327=0,"",ИТОГ!A327)</f>
        <v/>
      </c>
      <c r="L327" s="26" t="str">
        <f t="shared" si="62"/>
        <v/>
      </c>
      <c r="M327" s="25" t="str">
        <f>IF(K327="","",ИТОГ!Q327)</f>
        <v/>
      </c>
      <c r="N327" s="28" t="str">
        <f>IF(K327="","",ИТОГ!N327)</f>
        <v/>
      </c>
      <c r="O327" s="30" t="str">
        <f t="shared" si="63"/>
        <v/>
      </c>
      <c r="P327" s="24"/>
      <c r="Q327" s="30" t="str">
        <f t="shared" si="64"/>
        <v/>
      </c>
      <c r="R327" s="29" t="str">
        <f t="shared" ca="1" si="65"/>
        <v/>
      </c>
    </row>
    <row r="328" spans="1:18">
      <c r="A328" s="23" t="str">
        <f t="shared" si="55"/>
        <v/>
      </c>
      <c r="B328" s="23" t="str">
        <f t="shared" si="56"/>
        <v/>
      </c>
      <c r="C328" s="29" t="str">
        <f t="shared" ca="1" si="57"/>
        <v/>
      </c>
      <c r="D328" s="22" t="str">
        <f>IF(K328="","",ИТОГ!S328)</f>
        <v/>
      </c>
      <c r="E328" s="24" t="str">
        <f t="shared" si="58"/>
        <v/>
      </c>
      <c r="F328" s="30" t="str">
        <f t="shared" si="59"/>
        <v/>
      </c>
      <c r="G328" s="25" t="str">
        <f t="shared" si="60"/>
        <v/>
      </c>
      <c r="H328" s="29" t="str">
        <f t="shared" ca="1" si="61"/>
        <v/>
      </c>
      <c r="I328" s="24"/>
      <c r="J328" s="30"/>
      <c r="K328" s="27" t="str">
        <f>IF(ИТОГ!A328=0,"",ИТОГ!A328)</f>
        <v/>
      </c>
      <c r="L328" s="26" t="str">
        <f t="shared" si="62"/>
        <v/>
      </c>
      <c r="M328" s="25" t="str">
        <f>IF(K328="","",ИТОГ!Q328)</f>
        <v/>
      </c>
      <c r="N328" s="28" t="str">
        <f>IF(K328="","",ИТОГ!N328)</f>
        <v/>
      </c>
      <c r="O328" s="30" t="str">
        <f t="shared" si="63"/>
        <v/>
      </c>
      <c r="P328" s="24"/>
      <c r="Q328" s="30" t="str">
        <f t="shared" si="64"/>
        <v/>
      </c>
      <c r="R328" s="29" t="str">
        <f t="shared" ca="1" si="65"/>
        <v/>
      </c>
    </row>
    <row r="329" spans="1:18">
      <c r="A329" s="23" t="str">
        <f t="shared" si="55"/>
        <v/>
      </c>
      <c r="B329" s="23" t="str">
        <f t="shared" si="56"/>
        <v/>
      </c>
      <c r="C329" s="29" t="str">
        <f t="shared" ca="1" si="57"/>
        <v/>
      </c>
      <c r="D329" s="22" t="str">
        <f>IF(K329="","",ИТОГ!S329)</f>
        <v/>
      </c>
      <c r="E329" s="24" t="str">
        <f t="shared" si="58"/>
        <v/>
      </c>
      <c r="F329" s="30" t="str">
        <f t="shared" si="59"/>
        <v/>
      </c>
      <c r="G329" s="25" t="str">
        <f t="shared" si="60"/>
        <v/>
      </c>
      <c r="H329" s="29" t="str">
        <f t="shared" ca="1" si="61"/>
        <v/>
      </c>
      <c r="I329" s="24"/>
      <c r="J329" s="30"/>
      <c r="K329" s="27" t="str">
        <f>IF(ИТОГ!A329=0,"",ИТОГ!A329)</f>
        <v/>
      </c>
      <c r="L329" s="26" t="str">
        <f t="shared" si="62"/>
        <v/>
      </c>
      <c r="M329" s="25" t="str">
        <f>IF(K329="","",ИТОГ!Q329)</f>
        <v/>
      </c>
      <c r="N329" s="28" t="str">
        <f>IF(K329="","",ИТОГ!N329)</f>
        <v/>
      </c>
      <c r="O329" s="30" t="str">
        <f t="shared" si="63"/>
        <v/>
      </c>
      <c r="P329" s="24"/>
      <c r="Q329" s="30" t="str">
        <f t="shared" si="64"/>
        <v/>
      </c>
      <c r="R329" s="29" t="str">
        <f t="shared" ca="1" si="65"/>
        <v/>
      </c>
    </row>
    <row r="330" spans="1:18">
      <c r="A330" s="23" t="str">
        <f t="shared" si="55"/>
        <v/>
      </c>
      <c r="B330" s="23" t="str">
        <f t="shared" si="56"/>
        <v/>
      </c>
      <c r="C330" s="29" t="str">
        <f t="shared" ca="1" si="57"/>
        <v/>
      </c>
      <c r="D330" s="22" t="str">
        <f>IF(K330="","",ИТОГ!S330)</f>
        <v/>
      </c>
      <c r="E330" s="24" t="str">
        <f t="shared" si="58"/>
        <v/>
      </c>
      <c r="F330" s="30" t="str">
        <f t="shared" si="59"/>
        <v/>
      </c>
      <c r="G330" s="25" t="str">
        <f t="shared" si="60"/>
        <v/>
      </c>
      <c r="H330" s="29" t="str">
        <f t="shared" ca="1" si="61"/>
        <v/>
      </c>
      <c r="I330" s="24"/>
      <c r="J330" s="30"/>
      <c r="K330" s="27" t="str">
        <f>IF(ИТОГ!A330=0,"",ИТОГ!A330)</f>
        <v/>
      </c>
      <c r="L330" s="26" t="str">
        <f t="shared" si="62"/>
        <v/>
      </c>
      <c r="M330" s="25" t="str">
        <f>IF(K330="","",ИТОГ!Q330)</f>
        <v/>
      </c>
      <c r="N330" s="28" t="str">
        <f>IF(K330="","",ИТОГ!N330)</f>
        <v/>
      </c>
      <c r="O330" s="30" t="str">
        <f t="shared" si="63"/>
        <v/>
      </c>
      <c r="P330" s="24"/>
      <c r="Q330" s="30" t="str">
        <f t="shared" si="64"/>
        <v/>
      </c>
      <c r="R330" s="29" t="str">
        <f t="shared" ca="1" si="65"/>
        <v/>
      </c>
    </row>
    <row r="331" spans="1:18">
      <c r="A331" s="23" t="str">
        <f t="shared" si="55"/>
        <v/>
      </c>
      <c r="B331" s="23" t="str">
        <f t="shared" si="56"/>
        <v/>
      </c>
      <c r="C331" s="29" t="str">
        <f t="shared" ca="1" si="57"/>
        <v/>
      </c>
      <c r="D331" s="22" t="str">
        <f>IF(K331="","",ИТОГ!S331)</f>
        <v/>
      </c>
      <c r="E331" s="24" t="str">
        <f t="shared" si="58"/>
        <v/>
      </c>
      <c r="F331" s="30" t="str">
        <f t="shared" si="59"/>
        <v/>
      </c>
      <c r="G331" s="25" t="str">
        <f t="shared" si="60"/>
        <v/>
      </c>
      <c r="H331" s="29" t="str">
        <f t="shared" ca="1" si="61"/>
        <v/>
      </c>
      <c r="I331" s="24"/>
      <c r="J331" s="30"/>
      <c r="K331" s="27" t="str">
        <f>IF(ИТОГ!A331=0,"",ИТОГ!A331)</f>
        <v/>
      </c>
      <c r="L331" s="26" t="str">
        <f t="shared" si="62"/>
        <v/>
      </c>
      <c r="M331" s="25" t="str">
        <f>IF(K331="","",ИТОГ!Q331)</f>
        <v/>
      </c>
      <c r="N331" s="28" t="str">
        <f>IF(K331="","",ИТОГ!N331)</f>
        <v/>
      </c>
      <c r="O331" s="30" t="str">
        <f t="shared" si="63"/>
        <v/>
      </c>
      <c r="P331" s="24"/>
      <c r="Q331" s="30" t="str">
        <f t="shared" si="64"/>
        <v/>
      </c>
      <c r="R331" s="29" t="str">
        <f t="shared" ca="1" si="65"/>
        <v/>
      </c>
    </row>
    <row r="332" spans="1:18">
      <c r="A332" s="23" t="str">
        <f t="shared" si="55"/>
        <v/>
      </c>
      <c r="B332" s="23" t="str">
        <f t="shared" si="56"/>
        <v/>
      </c>
      <c r="C332" s="29" t="str">
        <f t="shared" ca="1" si="57"/>
        <v/>
      </c>
      <c r="D332" s="22" t="str">
        <f>IF(K332="","",ИТОГ!S332)</f>
        <v/>
      </c>
      <c r="E332" s="24" t="str">
        <f t="shared" si="58"/>
        <v/>
      </c>
      <c r="F332" s="30" t="str">
        <f t="shared" si="59"/>
        <v/>
      </c>
      <c r="G332" s="25" t="str">
        <f t="shared" si="60"/>
        <v/>
      </c>
      <c r="H332" s="29" t="str">
        <f t="shared" ca="1" si="61"/>
        <v/>
      </c>
      <c r="I332" s="24"/>
      <c r="J332" s="30"/>
      <c r="K332" s="27" t="str">
        <f>IF(ИТОГ!A332=0,"",ИТОГ!A332)</f>
        <v/>
      </c>
      <c r="L332" s="26" t="str">
        <f t="shared" si="62"/>
        <v/>
      </c>
      <c r="M332" s="25" t="str">
        <f>IF(K332="","",ИТОГ!Q332)</f>
        <v/>
      </c>
      <c r="N332" s="28" t="str">
        <f>IF(K332="","",ИТОГ!N332)</f>
        <v/>
      </c>
      <c r="O332" s="30" t="str">
        <f t="shared" si="63"/>
        <v/>
      </c>
      <c r="P332" s="24"/>
      <c r="Q332" s="30" t="str">
        <f t="shared" si="64"/>
        <v/>
      </c>
      <c r="R332" s="29" t="str">
        <f t="shared" ca="1" si="65"/>
        <v/>
      </c>
    </row>
    <row r="333" spans="1:18">
      <c r="A333" s="23" t="str">
        <f t="shared" si="55"/>
        <v/>
      </c>
      <c r="B333" s="23" t="str">
        <f t="shared" si="56"/>
        <v/>
      </c>
      <c r="C333" s="29" t="str">
        <f t="shared" ca="1" si="57"/>
        <v/>
      </c>
      <c r="D333" s="22" t="str">
        <f>IF(K333="","",ИТОГ!S333)</f>
        <v/>
      </c>
      <c r="E333" s="24" t="str">
        <f t="shared" si="58"/>
        <v/>
      </c>
      <c r="F333" s="30" t="str">
        <f t="shared" si="59"/>
        <v/>
      </c>
      <c r="G333" s="25" t="str">
        <f t="shared" si="60"/>
        <v/>
      </c>
      <c r="H333" s="29" t="str">
        <f t="shared" ca="1" si="61"/>
        <v/>
      </c>
      <c r="I333" s="24"/>
      <c r="J333" s="30"/>
      <c r="K333" s="27" t="str">
        <f>IF(ИТОГ!A333=0,"",ИТОГ!A333)</f>
        <v/>
      </c>
      <c r="L333" s="26" t="str">
        <f t="shared" si="62"/>
        <v/>
      </c>
      <c r="M333" s="25" t="str">
        <f>IF(K333="","",ИТОГ!Q333)</f>
        <v/>
      </c>
      <c r="N333" s="28" t="str">
        <f>IF(K333="","",ИТОГ!N333)</f>
        <v/>
      </c>
      <c r="O333" s="30" t="str">
        <f t="shared" si="63"/>
        <v/>
      </c>
      <c r="P333" s="24"/>
      <c r="Q333" s="30" t="str">
        <f t="shared" si="64"/>
        <v/>
      </c>
      <c r="R333" s="29" t="str">
        <f t="shared" ca="1" si="65"/>
        <v/>
      </c>
    </row>
    <row r="334" spans="1:18">
      <c r="A334" s="23" t="str">
        <f t="shared" si="55"/>
        <v/>
      </c>
      <c r="B334" s="23" t="str">
        <f t="shared" si="56"/>
        <v/>
      </c>
      <c r="C334" s="29" t="str">
        <f t="shared" ca="1" si="57"/>
        <v/>
      </c>
      <c r="D334" s="22" t="str">
        <f>IF(K334="","",ИТОГ!S334)</f>
        <v/>
      </c>
      <c r="E334" s="24" t="str">
        <f t="shared" si="58"/>
        <v/>
      </c>
      <c r="F334" s="30" t="str">
        <f t="shared" si="59"/>
        <v/>
      </c>
      <c r="G334" s="25" t="str">
        <f t="shared" si="60"/>
        <v/>
      </c>
      <c r="H334" s="29" t="str">
        <f t="shared" ca="1" si="61"/>
        <v/>
      </c>
      <c r="I334" s="24"/>
      <c r="J334" s="30"/>
      <c r="K334" s="27" t="str">
        <f>IF(ИТОГ!A334=0,"",ИТОГ!A334)</f>
        <v/>
      </c>
      <c r="L334" s="26" t="str">
        <f t="shared" si="62"/>
        <v/>
      </c>
      <c r="M334" s="25" t="str">
        <f>IF(K334="","",ИТОГ!Q334)</f>
        <v/>
      </c>
      <c r="N334" s="28" t="str">
        <f>IF(K334="","",ИТОГ!N334)</f>
        <v/>
      </c>
      <c r="O334" s="30" t="str">
        <f t="shared" si="63"/>
        <v/>
      </c>
      <c r="P334" s="24"/>
      <c r="Q334" s="30" t="str">
        <f t="shared" si="64"/>
        <v/>
      </c>
      <c r="R334" s="29" t="str">
        <f t="shared" ca="1" si="65"/>
        <v/>
      </c>
    </row>
    <row r="335" spans="1:18">
      <c r="A335" s="23" t="str">
        <f t="shared" si="55"/>
        <v/>
      </c>
      <c r="B335" s="23" t="str">
        <f t="shared" si="56"/>
        <v/>
      </c>
      <c r="C335" s="29" t="str">
        <f t="shared" ca="1" si="57"/>
        <v/>
      </c>
      <c r="D335" s="22" t="str">
        <f>IF(K335="","",ИТОГ!S335)</f>
        <v/>
      </c>
      <c r="E335" s="24" t="str">
        <f t="shared" si="58"/>
        <v/>
      </c>
      <c r="F335" s="30" t="str">
        <f t="shared" si="59"/>
        <v/>
      </c>
      <c r="G335" s="25" t="str">
        <f t="shared" si="60"/>
        <v/>
      </c>
      <c r="H335" s="29" t="str">
        <f t="shared" ca="1" si="61"/>
        <v/>
      </c>
      <c r="I335" s="24"/>
      <c r="J335" s="30"/>
      <c r="K335" s="27" t="str">
        <f>IF(ИТОГ!A335=0,"",ИТОГ!A335)</f>
        <v/>
      </c>
      <c r="L335" s="26" t="str">
        <f t="shared" si="62"/>
        <v/>
      </c>
      <c r="M335" s="25" t="str">
        <f>IF(K335="","",ИТОГ!Q335)</f>
        <v/>
      </c>
      <c r="N335" s="28" t="str">
        <f>IF(K335="","",ИТОГ!N335)</f>
        <v/>
      </c>
      <c r="O335" s="30" t="str">
        <f t="shared" si="63"/>
        <v/>
      </c>
      <c r="P335" s="24"/>
      <c r="Q335" s="30" t="str">
        <f t="shared" si="64"/>
        <v/>
      </c>
      <c r="R335" s="29" t="str">
        <f t="shared" ca="1" si="65"/>
        <v/>
      </c>
    </row>
    <row r="336" spans="1:18">
      <c r="A336" s="23" t="str">
        <f t="shared" si="55"/>
        <v/>
      </c>
      <c r="B336" s="23" t="str">
        <f t="shared" si="56"/>
        <v/>
      </c>
      <c r="C336" s="29" t="str">
        <f t="shared" ca="1" si="57"/>
        <v/>
      </c>
      <c r="D336" s="22" t="str">
        <f>IF(K336="","",ИТОГ!S336)</f>
        <v/>
      </c>
      <c r="E336" s="24" t="str">
        <f t="shared" si="58"/>
        <v/>
      </c>
      <c r="F336" s="30" t="str">
        <f t="shared" si="59"/>
        <v/>
      </c>
      <c r="G336" s="25" t="str">
        <f t="shared" si="60"/>
        <v/>
      </c>
      <c r="H336" s="29" t="str">
        <f t="shared" ca="1" si="61"/>
        <v/>
      </c>
      <c r="I336" s="24"/>
      <c r="J336" s="30"/>
      <c r="K336" s="27" t="str">
        <f>IF(ИТОГ!A336=0,"",ИТОГ!A336)</f>
        <v/>
      </c>
      <c r="L336" s="26" t="str">
        <f t="shared" si="62"/>
        <v/>
      </c>
      <c r="M336" s="25" t="str">
        <f>IF(K336="","",ИТОГ!Q336)</f>
        <v/>
      </c>
      <c r="N336" s="28" t="str">
        <f>IF(K336="","",ИТОГ!N336)</f>
        <v/>
      </c>
      <c r="O336" s="30" t="str">
        <f t="shared" si="63"/>
        <v/>
      </c>
      <c r="P336" s="24"/>
      <c r="Q336" s="30" t="str">
        <f t="shared" si="64"/>
        <v/>
      </c>
      <c r="R336" s="29" t="str">
        <f t="shared" ca="1" si="65"/>
        <v/>
      </c>
    </row>
    <row r="337" spans="1:18">
      <c r="A337" s="23" t="str">
        <f t="shared" si="55"/>
        <v/>
      </c>
      <c r="B337" s="23" t="str">
        <f t="shared" si="56"/>
        <v/>
      </c>
      <c r="C337" s="29" t="str">
        <f t="shared" ca="1" si="57"/>
        <v/>
      </c>
      <c r="D337" s="22" t="str">
        <f>IF(K337="","",ИТОГ!S337)</f>
        <v/>
      </c>
      <c r="E337" s="24" t="str">
        <f t="shared" si="58"/>
        <v/>
      </c>
      <c r="F337" s="30" t="str">
        <f t="shared" si="59"/>
        <v/>
      </c>
      <c r="G337" s="25" t="str">
        <f t="shared" si="60"/>
        <v/>
      </c>
      <c r="H337" s="29" t="str">
        <f t="shared" ca="1" si="61"/>
        <v/>
      </c>
      <c r="I337" s="24"/>
      <c r="J337" s="30"/>
      <c r="K337" s="27" t="str">
        <f>IF(ИТОГ!A337=0,"",ИТОГ!A337)</f>
        <v/>
      </c>
      <c r="L337" s="26" t="str">
        <f t="shared" si="62"/>
        <v/>
      </c>
      <c r="M337" s="25" t="str">
        <f>IF(K337="","",ИТОГ!Q337)</f>
        <v/>
      </c>
      <c r="N337" s="28" t="str">
        <f>IF(K337="","",ИТОГ!N337)</f>
        <v/>
      </c>
      <c r="O337" s="30" t="str">
        <f t="shared" si="63"/>
        <v/>
      </c>
      <c r="P337" s="24"/>
      <c r="Q337" s="30" t="str">
        <f t="shared" si="64"/>
        <v/>
      </c>
      <c r="R337" s="29" t="str">
        <f t="shared" ca="1" si="65"/>
        <v/>
      </c>
    </row>
    <row r="338" spans="1:18">
      <c r="A338" s="23" t="str">
        <f t="shared" si="55"/>
        <v/>
      </c>
      <c r="B338" s="23" t="str">
        <f t="shared" si="56"/>
        <v/>
      </c>
      <c r="C338" s="29" t="str">
        <f t="shared" ca="1" si="57"/>
        <v/>
      </c>
      <c r="D338" s="22" t="str">
        <f>IF(K338="","",ИТОГ!S338)</f>
        <v/>
      </c>
      <c r="E338" s="24" t="str">
        <f t="shared" si="58"/>
        <v/>
      </c>
      <c r="F338" s="30" t="str">
        <f t="shared" si="59"/>
        <v/>
      </c>
      <c r="G338" s="25" t="str">
        <f t="shared" si="60"/>
        <v/>
      </c>
      <c r="H338" s="29" t="str">
        <f t="shared" ca="1" si="61"/>
        <v/>
      </c>
      <c r="I338" s="24"/>
      <c r="J338" s="30"/>
      <c r="K338" s="27" t="str">
        <f>IF(ИТОГ!A338=0,"",ИТОГ!A338)</f>
        <v/>
      </c>
      <c r="L338" s="26" t="str">
        <f t="shared" si="62"/>
        <v/>
      </c>
      <c r="M338" s="25" t="str">
        <f>IF(K338="","",ИТОГ!Q338)</f>
        <v/>
      </c>
      <c r="N338" s="28" t="str">
        <f>IF(K338="","",ИТОГ!N338)</f>
        <v/>
      </c>
      <c r="O338" s="30" t="str">
        <f t="shared" si="63"/>
        <v/>
      </c>
      <c r="P338" s="24"/>
      <c r="Q338" s="30" t="str">
        <f t="shared" si="64"/>
        <v/>
      </c>
      <c r="R338" s="29" t="str">
        <f t="shared" ca="1" si="65"/>
        <v/>
      </c>
    </row>
    <row r="339" spans="1:18">
      <c r="A339" s="23" t="str">
        <f t="shared" si="55"/>
        <v/>
      </c>
      <c r="B339" s="23" t="str">
        <f t="shared" si="56"/>
        <v/>
      </c>
      <c r="C339" s="29" t="str">
        <f t="shared" ca="1" si="57"/>
        <v/>
      </c>
      <c r="D339" s="22" t="str">
        <f>IF(K339="","",ИТОГ!S339)</f>
        <v/>
      </c>
      <c r="E339" s="24" t="str">
        <f t="shared" si="58"/>
        <v/>
      </c>
      <c r="F339" s="30" t="str">
        <f t="shared" si="59"/>
        <v/>
      </c>
      <c r="G339" s="25" t="str">
        <f t="shared" si="60"/>
        <v/>
      </c>
      <c r="H339" s="29" t="str">
        <f t="shared" ca="1" si="61"/>
        <v/>
      </c>
      <c r="I339" s="24"/>
      <c r="J339" s="30"/>
      <c r="K339" s="27" t="str">
        <f>IF(ИТОГ!A339=0,"",ИТОГ!A339)</f>
        <v/>
      </c>
      <c r="L339" s="26" t="str">
        <f t="shared" si="62"/>
        <v/>
      </c>
      <c r="M339" s="25" t="str">
        <f>IF(K339="","",ИТОГ!Q339)</f>
        <v/>
      </c>
      <c r="N339" s="28" t="str">
        <f>IF(K339="","",ИТОГ!N339)</f>
        <v/>
      </c>
      <c r="O339" s="30" t="str">
        <f t="shared" si="63"/>
        <v/>
      </c>
      <c r="P339" s="24"/>
      <c r="Q339" s="30" t="str">
        <f t="shared" si="64"/>
        <v/>
      </c>
      <c r="R339" s="29" t="str">
        <f t="shared" ca="1" si="65"/>
        <v/>
      </c>
    </row>
    <row r="340" spans="1:18">
      <c r="A340" s="23" t="str">
        <f t="shared" si="55"/>
        <v/>
      </c>
      <c r="B340" s="23" t="str">
        <f t="shared" si="56"/>
        <v/>
      </c>
      <c r="C340" s="29" t="str">
        <f t="shared" ca="1" si="57"/>
        <v/>
      </c>
      <c r="D340" s="22" t="str">
        <f>IF(K340="","",ИТОГ!S340)</f>
        <v/>
      </c>
      <c r="E340" s="24" t="str">
        <f t="shared" si="58"/>
        <v/>
      </c>
      <c r="F340" s="30" t="str">
        <f t="shared" si="59"/>
        <v/>
      </c>
      <c r="G340" s="25" t="str">
        <f t="shared" si="60"/>
        <v/>
      </c>
      <c r="H340" s="29" t="str">
        <f t="shared" ca="1" si="61"/>
        <v/>
      </c>
      <c r="I340" s="24"/>
      <c r="J340" s="30"/>
      <c r="K340" s="27" t="str">
        <f>IF(ИТОГ!A340=0,"",ИТОГ!A340)</f>
        <v/>
      </c>
      <c r="L340" s="26" t="str">
        <f t="shared" si="62"/>
        <v/>
      </c>
      <c r="M340" s="25" t="str">
        <f>IF(K340="","",ИТОГ!Q340)</f>
        <v/>
      </c>
      <c r="N340" s="28" t="str">
        <f>IF(K340="","",ИТОГ!N340)</f>
        <v/>
      </c>
      <c r="O340" s="30" t="str">
        <f t="shared" si="63"/>
        <v/>
      </c>
      <c r="P340" s="24"/>
      <c r="Q340" s="30" t="str">
        <f t="shared" si="64"/>
        <v/>
      </c>
      <c r="R340" s="29" t="str">
        <f t="shared" ca="1" si="65"/>
        <v/>
      </c>
    </row>
    <row r="341" spans="1:18">
      <c r="A341" s="23" t="str">
        <f t="shared" si="55"/>
        <v/>
      </c>
      <c r="B341" s="23" t="str">
        <f t="shared" si="56"/>
        <v/>
      </c>
      <c r="C341" s="29" t="str">
        <f t="shared" ca="1" si="57"/>
        <v/>
      </c>
      <c r="D341" s="22" t="str">
        <f>IF(K341="","",ИТОГ!S341)</f>
        <v/>
      </c>
      <c r="E341" s="24" t="str">
        <f t="shared" si="58"/>
        <v/>
      </c>
      <c r="F341" s="30" t="str">
        <f t="shared" si="59"/>
        <v/>
      </c>
      <c r="G341" s="25" t="str">
        <f t="shared" si="60"/>
        <v/>
      </c>
      <c r="H341" s="29" t="str">
        <f t="shared" ca="1" si="61"/>
        <v/>
      </c>
      <c r="I341" s="24"/>
      <c r="J341" s="30"/>
      <c r="K341" s="27" t="str">
        <f>IF(ИТОГ!A341=0,"",ИТОГ!A341)</f>
        <v/>
      </c>
      <c r="L341" s="26" t="str">
        <f t="shared" si="62"/>
        <v/>
      </c>
      <c r="M341" s="25" t="str">
        <f>IF(K341="","",ИТОГ!Q341)</f>
        <v/>
      </c>
      <c r="N341" s="28" t="str">
        <f>IF(K341="","",ИТОГ!N341)</f>
        <v/>
      </c>
      <c r="O341" s="30" t="str">
        <f t="shared" si="63"/>
        <v/>
      </c>
      <c r="P341" s="24"/>
      <c r="Q341" s="30" t="str">
        <f t="shared" si="64"/>
        <v/>
      </c>
      <c r="R341" s="29" t="str">
        <f t="shared" ca="1" si="65"/>
        <v/>
      </c>
    </row>
    <row r="342" spans="1:18">
      <c r="A342" s="23" t="str">
        <f t="shared" si="55"/>
        <v/>
      </c>
      <c r="B342" s="23" t="str">
        <f t="shared" si="56"/>
        <v/>
      </c>
      <c r="C342" s="29" t="str">
        <f t="shared" ca="1" si="57"/>
        <v/>
      </c>
      <c r="D342" s="22" t="str">
        <f>IF(K342="","",ИТОГ!S342)</f>
        <v/>
      </c>
      <c r="E342" s="24" t="str">
        <f t="shared" si="58"/>
        <v/>
      </c>
      <c r="F342" s="30" t="str">
        <f t="shared" si="59"/>
        <v/>
      </c>
      <c r="G342" s="25" t="str">
        <f t="shared" si="60"/>
        <v/>
      </c>
      <c r="H342" s="29" t="str">
        <f t="shared" ca="1" si="61"/>
        <v/>
      </c>
      <c r="I342" s="24"/>
      <c r="J342" s="30"/>
      <c r="K342" s="27" t="str">
        <f>IF(ИТОГ!A342=0,"",ИТОГ!A342)</f>
        <v/>
      </c>
      <c r="L342" s="26" t="str">
        <f t="shared" si="62"/>
        <v/>
      </c>
      <c r="M342" s="25" t="str">
        <f>IF(K342="","",ИТОГ!Q342)</f>
        <v/>
      </c>
      <c r="N342" s="28" t="str">
        <f>IF(K342="","",ИТОГ!N342)</f>
        <v/>
      </c>
      <c r="O342" s="30" t="str">
        <f t="shared" si="63"/>
        <v/>
      </c>
      <c r="P342" s="24"/>
      <c r="Q342" s="30" t="str">
        <f t="shared" si="64"/>
        <v/>
      </c>
      <c r="R342" s="29" t="str">
        <f t="shared" ca="1" si="65"/>
        <v/>
      </c>
    </row>
    <row r="343" spans="1:18">
      <c r="A343" s="23" t="str">
        <f t="shared" si="55"/>
        <v/>
      </c>
      <c r="B343" s="23" t="str">
        <f t="shared" si="56"/>
        <v/>
      </c>
      <c r="C343" s="29" t="str">
        <f t="shared" ca="1" si="57"/>
        <v/>
      </c>
      <c r="D343" s="22" t="str">
        <f>IF(K343="","",ИТОГ!S343)</f>
        <v/>
      </c>
      <c r="E343" s="24" t="str">
        <f t="shared" si="58"/>
        <v/>
      </c>
      <c r="F343" s="30" t="str">
        <f t="shared" si="59"/>
        <v/>
      </c>
      <c r="G343" s="25" t="str">
        <f t="shared" si="60"/>
        <v/>
      </c>
      <c r="H343" s="29" t="str">
        <f t="shared" ca="1" si="61"/>
        <v/>
      </c>
      <c r="I343" s="24"/>
      <c r="J343" s="30"/>
      <c r="K343" s="27" t="str">
        <f>IF(ИТОГ!A343=0,"",ИТОГ!A343)</f>
        <v/>
      </c>
      <c r="L343" s="26" t="str">
        <f t="shared" si="62"/>
        <v/>
      </c>
      <c r="M343" s="25" t="str">
        <f>IF(K343="","",ИТОГ!Q343)</f>
        <v/>
      </c>
      <c r="N343" s="28" t="str">
        <f>IF(K343="","",ИТОГ!N343)</f>
        <v/>
      </c>
      <c r="O343" s="30" t="str">
        <f t="shared" si="63"/>
        <v/>
      </c>
      <c r="P343" s="24"/>
      <c r="Q343" s="30" t="str">
        <f t="shared" si="64"/>
        <v/>
      </c>
      <c r="R343" s="29" t="str">
        <f t="shared" ca="1" si="65"/>
        <v/>
      </c>
    </row>
    <row r="344" spans="1:18">
      <c r="A344" s="23" t="str">
        <f t="shared" si="55"/>
        <v/>
      </c>
      <c r="B344" s="23" t="str">
        <f t="shared" si="56"/>
        <v/>
      </c>
      <c r="C344" s="29" t="str">
        <f t="shared" ca="1" si="57"/>
        <v/>
      </c>
      <c r="D344" s="22" t="str">
        <f>IF(K344="","",ИТОГ!S344)</f>
        <v/>
      </c>
      <c r="E344" s="24" t="str">
        <f t="shared" si="58"/>
        <v/>
      </c>
      <c r="F344" s="30" t="str">
        <f t="shared" si="59"/>
        <v/>
      </c>
      <c r="G344" s="25" t="str">
        <f t="shared" si="60"/>
        <v/>
      </c>
      <c r="H344" s="29" t="str">
        <f t="shared" ca="1" si="61"/>
        <v/>
      </c>
      <c r="I344" s="24"/>
      <c r="J344" s="30"/>
      <c r="K344" s="27" t="str">
        <f>IF(ИТОГ!A344=0,"",ИТОГ!A344)</f>
        <v/>
      </c>
      <c r="L344" s="26" t="str">
        <f t="shared" si="62"/>
        <v/>
      </c>
      <c r="M344" s="25" t="str">
        <f>IF(K344="","",ИТОГ!Q344)</f>
        <v/>
      </c>
      <c r="N344" s="28" t="str">
        <f>IF(K344="","",ИТОГ!N344)</f>
        <v/>
      </c>
      <c r="O344" s="30" t="str">
        <f t="shared" si="63"/>
        <v/>
      </c>
      <c r="P344" s="24"/>
      <c r="Q344" s="30" t="str">
        <f t="shared" si="64"/>
        <v/>
      </c>
      <c r="R344" s="29" t="str">
        <f t="shared" ca="1" si="65"/>
        <v/>
      </c>
    </row>
    <row r="345" spans="1:18">
      <c r="A345" s="23" t="str">
        <f t="shared" si="55"/>
        <v/>
      </c>
      <c r="B345" s="23" t="str">
        <f t="shared" si="56"/>
        <v/>
      </c>
      <c r="C345" s="29" t="str">
        <f t="shared" ca="1" si="57"/>
        <v/>
      </c>
      <c r="D345" s="22" t="str">
        <f>IF(K345="","",ИТОГ!S345)</f>
        <v/>
      </c>
      <c r="E345" s="24" t="str">
        <f t="shared" si="58"/>
        <v/>
      </c>
      <c r="F345" s="30" t="str">
        <f t="shared" si="59"/>
        <v/>
      </c>
      <c r="G345" s="25" t="str">
        <f t="shared" si="60"/>
        <v/>
      </c>
      <c r="H345" s="29" t="str">
        <f t="shared" ca="1" si="61"/>
        <v/>
      </c>
      <c r="I345" s="24"/>
      <c r="J345" s="30"/>
      <c r="K345" s="27" t="str">
        <f>IF(ИТОГ!A345=0,"",ИТОГ!A345)</f>
        <v/>
      </c>
      <c r="L345" s="26" t="str">
        <f t="shared" si="62"/>
        <v/>
      </c>
      <c r="M345" s="25" t="str">
        <f>IF(K345="","",ИТОГ!Q345)</f>
        <v/>
      </c>
      <c r="N345" s="28" t="str">
        <f>IF(K345="","",ИТОГ!N345)</f>
        <v/>
      </c>
      <c r="O345" s="30" t="str">
        <f t="shared" si="63"/>
        <v/>
      </c>
      <c r="P345" s="24"/>
      <c r="Q345" s="30" t="str">
        <f t="shared" si="64"/>
        <v/>
      </c>
      <c r="R345" s="29" t="str">
        <f t="shared" ca="1" si="65"/>
        <v/>
      </c>
    </row>
    <row r="346" spans="1:18">
      <c r="A346" s="23" t="str">
        <f t="shared" si="55"/>
        <v/>
      </c>
      <c r="B346" s="23" t="str">
        <f t="shared" si="56"/>
        <v/>
      </c>
      <c r="C346" s="29" t="str">
        <f t="shared" ca="1" si="57"/>
        <v/>
      </c>
      <c r="D346" s="22" t="str">
        <f>IF(K346="","",ИТОГ!S346)</f>
        <v/>
      </c>
      <c r="E346" s="24" t="str">
        <f t="shared" si="58"/>
        <v/>
      </c>
      <c r="F346" s="30" t="str">
        <f t="shared" si="59"/>
        <v/>
      </c>
      <c r="G346" s="25" t="str">
        <f t="shared" si="60"/>
        <v/>
      </c>
      <c r="H346" s="29" t="str">
        <f t="shared" ca="1" si="61"/>
        <v/>
      </c>
      <c r="I346" s="24"/>
      <c r="J346" s="30"/>
      <c r="K346" s="27" t="str">
        <f>IF(ИТОГ!A346=0,"",ИТОГ!A346)</f>
        <v/>
      </c>
      <c r="L346" s="26" t="str">
        <f t="shared" si="62"/>
        <v/>
      </c>
      <c r="M346" s="25" t="str">
        <f>IF(K346="","",ИТОГ!Q346)</f>
        <v/>
      </c>
      <c r="N346" s="28" t="str">
        <f>IF(K346="","",ИТОГ!N346)</f>
        <v/>
      </c>
      <c r="O346" s="30" t="str">
        <f t="shared" si="63"/>
        <v/>
      </c>
      <c r="P346" s="24"/>
      <c r="Q346" s="30" t="str">
        <f t="shared" si="64"/>
        <v/>
      </c>
      <c r="R346" s="29" t="str">
        <f t="shared" ca="1" si="65"/>
        <v/>
      </c>
    </row>
    <row r="347" spans="1:18">
      <c r="A347" s="23" t="str">
        <f t="shared" si="55"/>
        <v/>
      </c>
      <c r="B347" s="23" t="str">
        <f t="shared" si="56"/>
        <v/>
      </c>
      <c r="C347" s="29" t="str">
        <f t="shared" ca="1" si="57"/>
        <v/>
      </c>
      <c r="D347" s="22" t="str">
        <f>IF(K347="","",ИТОГ!S347)</f>
        <v/>
      </c>
      <c r="E347" s="24" t="str">
        <f t="shared" si="58"/>
        <v/>
      </c>
      <c r="F347" s="30" t="str">
        <f t="shared" si="59"/>
        <v/>
      </c>
      <c r="G347" s="25" t="str">
        <f t="shared" si="60"/>
        <v/>
      </c>
      <c r="H347" s="29" t="str">
        <f t="shared" ca="1" si="61"/>
        <v/>
      </c>
      <c r="I347" s="24"/>
      <c r="J347" s="30"/>
      <c r="K347" s="27" t="str">
        <f>IF(ИТОГ!A347=0,"",ИТОГ!A347)</f>
        <v/>
      </c>
      <c r="L347" s="26" t="str">
        <f t="shared" si="62"/>
        <v/>
      </c>
      <c r="M347" s="25" t="str">
        <f>IF(K347="","",ИТОГ!Q347)</f>
        <v/>
      </c>
      <c r="N347" s="28" t="str">
        <f>IF(K347="","",ИТОГ!N347)</f>
        <v/>
      </c>
      <c r="O347" s="30" t="str">
        <f t="shared" si="63"/>
        <v/>
      </c>
      <c r="P347" s="24"/>
      <c r="Q347" s="30" t="str">
        <f t="shared" si="64"/>
        <v/>
      </c>
      <c r="R347" s="29" t="str">
        <f t="shared" ca="1" si="65"/>
        <v/>
      </c>
    </row>
    <row r="348" spans="1:18">
      <c r="A348" s="23" t="str">
        <f t="shared" si="55"/>
        <v/>
      </c>
      <c r="B348" s="23" t="str">
        <f t="shared" si="56"/>
        <v/>
      </c>
      <c r="C348" s="29" t="str">
        <f t="shared" ca="1" si="57"/>
        <v/>
      </c>
      <c r="D348" s="22" t="str">
        <f>IF(K348="","",ИТОГ!S348)</f>
        <v/>
      </c>
      <c r="E348" s="24" t="str">
        <f t="shared" si="58"/>
        <v/>
      </c>
      <c r="F348" s="30" t="str">
        <f t="shared" si="59"/>
        <v/>
      </c>
      <c r="G348" s="25" t="str">
        <f t="shared" si="60"/>
        <v/>
      </c>
      <c r="H348" s="29" t="str">
        <f t="shared" ca="1" si="61"/>
        <v/>
      </c>
      <c r="I348" s="24"/>
      <c r="J348" s="30"/>
      <c r="K348" s="27" t="str">
        <f>IF(ИТОГ!A348=0,"",ИТОГ!A348)</f>
        <v/>
      </c>
      <c r="L348" s="26" t="str">
        <f t="shared" si="62"/>
        <v/>
      </c>
      <c r="M348" s="25" t="str">
        <f>IF(K348="","",ИТОГ!Q348)</f>
        <v/>
      </c>
      <c r="N348" s="28" t="str">
        <f>IF(K348="","",ИТОГ!N348)</f>
        <v/>
      </c>
      <c r="O348" s="30" t="str">
        <f t="shared" si="63"/>
        <v/>
      </c>
      <c r="P348" s="24"/>
      <c r="Q348" s="30" t="str">
        <f t="shared" si="64"/>
        <v/>
      </c>
      <c r="R348" s="29" t="str">
        <f t="shared" ca="1" si="65"/>
        <v/>
      </c>
    </row>
    <row r="349" spans="1:18">
      <c r="A349" s="23" t="str">
        <f t="shared" si="55"/>
        <v/>
      </c>
      <c r="B349" s="23" t="str">
        <f t="shared" si="56"/>
        <v/>
      </c>
      <c r="C349" s="29" t="str">
        <f t="shared" ca="1" si="57"/>
        <v/>
      </c>
      <c r="D349" s="22" t="str">
        <f>IF(K349="","",ИТОГ!S349)</f>
        <v/>
      </c>
      <c r="E349" s="24" t="str">
        <f t="shared" si="58"/>
        <v/>
      </c>
      <c r="F349" s="30" t="str">
        <f t="shared" si="59"/>
        <v/>
      </c>
      <c r="G349" s="25" t="str">
        <f t="shared" si="60"/>
        <v/>
      </c>
      <c r="H349" s="29" t="str">
        <f t="shared" ca="1" si="61"/>
        <v/>
      </c>
      <c r="I349" s="24"/>
      <c r="J349" s="30"/>
      <c r="K349" s="27" t="str">
        <f>IF(ИТОГ!A349=0,"",ИТОГ!A349)</f>
        <v/>
      </c>
      <c r="L349" s="26" t="str">
        <f t="shared" si="62"/>
        <v/>
      </c>
      <c r="M349" s="25" t="str">
        <f>IF(K349="","",ИТОГ!Q349)</f>
        <v/>
      </c>
      <c r="N349" s="28" t="str">
        <f>IF(K349="","",ИТОГ!N349)</f>
        <v/>
      </c>
      <c r="O349" s="30" t="str">
        <f t="shared" si="63"/>
        <v/>
      </c>
      <c r="P349" s="24"/>
      <c r="Q349" s="30" t="str">
        <f t="shared" si="64"/>
        <v/>
      </c>
      <c r="R349" s="29" t="str">
        <f t="shared" ca="1" si="65"/>
        <v/>
      </c>
    </row>
    <row r="350" spans="1:18">
      <c r="A350" s="23" t="str">
        <f t="shared" ref="A350:A413" si="66">IF(K350="","",1000)</f>
        <v/>
      </c>
      <c r="B350" s="23" t="str">
        <f t="shared" ref="B350:B413" si="67">IF(K350="","",1)</f>
        <v/>
      </c>
      <c r="C350" s="29" t="str">
        <f t="shared" ref="C350:C413" ca="1" si="68">IF(K350="","",TODAY())</f>
        <v/>
      </c>
      <c r="D350" s="22" t="str">
        <f>IF(K350="","",ИТОГ!S350)</f>
        <v/>
      </c>
      <c r="E350" s="24" t="str">
        <f t="shared" ref="E350:E413" si="69">IF(K350="","","Х")</f>
        <v/>
      </c>
      <c r="F350" s="30" t="str">
        <f t="shared" ref="F350:F413" si="70">IF(K350="","","UV")</f>
        <v/>
      </c>
      <c r="G350" s="25" t="str">
        <f t="shared" ref="G350:G413" si="71">IF(K350="","",SUMIF(D:D,D350,M:M))</f>
        <v/>
      </c>
      <c r="H350" s="29" t="str">
        <f t="shared" ref="H350:H413" ca="1" si="72">IF(K350="","",TODAY())</f>
        <v/>
      </c>
      <c r="I350" s="24"/>
      <c r="J350" s="30"/>
      <c r="K350" s="27" t="str">
        <f>IF(ИТОГ!A350=0,"",ИТОГ!A350)</f>
        <v/>
      </c>
      <c r="L350" s="26" t="str">
        <f t="shared" ref="L350:L413" si="73">IF(K350="","",
IF(D349-D350=0,L349+10,10))</f>
        <v/>
      </c>
      <c r="M350" s="25" t="str">
        <f>IF(K350="","",ИТОГ!Q350)</f>
        <v/>
      </c>
      <c r="N350" s="28" t="str">
        <f>IF(K350="","",ИТОГ!N350)</f>
        <v/>
      </c>
      <c r="O350" s="30" t="str">
        <f t="shared" ref="O350:O413" si="74">IF(K350="","","ST")</f>
        <v/>
      </c>
      <c r="P350" s="24"/>
      <c r="Q350" s="30" t="str">
        <f t="shared" ref="Q350:Q413" si="75">IF(K350="","","EUR")</f>
        <v/>
      </c>
      <c r="R350" s="29" t="str">
        <f t="shared" ref="R350:R413" ca="1" si="76">IF(K350="","",TODAY())</f>
        <v/>
      </c>
    </row>
    <row r="351" spans="1:18">
      <c r="A351" s="23" t="str">
        <f t="shared" si="66"/>
        <v/>
      </c>
      <c r="B351" s="23" t="str">
        <f t="shared" si="67"/>
        <v/>
      </c>
      <c r="C351" s="29" t="str">
        <f t="shared" ca="1" si="68"/>
        <v/>
      </c>
      <c r="D351" s="22" t="str">
        <f>IF(K351="","",ИТОГ!S351)</f>
        <v/>
      </c>
      <c r="E351" s="24" t="str">
        <f t="shared" si="69"/>
        <v/>
      </c>
      <c r="F351" s="30" t="str">
        <f t="shared" si="70"/>
        <v/>
      </c>
      <c r="G351" s="25" t="str">
        <f t="shared" si="71"/>
        <v/>
      </c>
      <c r="H351" s="29" t="str">
        <f t="shared" ca="1" si="72"/>
        <v/>
      </c>
      <c r="I351" s="24"/>
      <c r="J351" s="30"/>
      <c r="K351" s="27" t="str">
        <f>IF(ИТОГ!A351=0,"",ИТОГ!A351)</f>
        <v/>
      </c>
      <c r="L351" s="26" t="str">
        <f t="shared" si="73"/>
        <v/>
      </c>
      <c r="M351" s="25" t="str">
        <f>IF(K351="","",ИТОГ!Q351)</f>
        <v/>
      </c>
      <c r="N351" s="28" t="str">
        <f>IF(K351="","",ИТОГ!N351)</f>
        <v/>
      </c>
      <c r="O351" s="30" t="str">
        <f t="shared" si="74"/>
        <v/>
      </c>
      <c r="P351" s="24"/>
      <c r="Q351" s="30" t="str">
        <f t="shared" si="75"/>
        <v/>
      </c>
      <c r="R351" s="29" t="str">
        <f t="shared" ca="1" si="76"/>
        <v/>
      </c>
    </row>
    <row r="352" spans="1:18">
      <c r="A352" s="23" t="str">
        <f t="shared" si="66"/>
        <v/>
      </c>
      <c r="B352" s="23" t="str">
        <f t="shared" si="67"/>
        <v/>
      </c>
      <c r="C352" s="29" t="str">
        <f t="shared" ca="1" si="68"/>
        <v/>
      </c>
      <c r="D352" s="22" t="str">
        <f>IF(K352="","",ИТОГ!S352)</f>
        <v/>
      </c>
      <c r="E352" s="24" t="str">
        <f t="shared" si="69"/>
        <v/>
      </c>
      <c r="F352" s="30" t="str">
        <f t="shared" si="70"/>
        <v/>
      </c>
      <c r="G352" s="25" t="str">
        <f t="shared" si="71"/>
        <v/>
      </c>
      <c r="H352" s="29" t="str">
        <f t="shared" ca="1" si="72"/>
        <v/>
      </c>
      <c r="I352" s="24"/>
      <c r="J352" s="30"/>
      <c r="K352" s="27" t="str">
        <f>IF(ИТОГ!A352=0,"",ИТОГ!A352)</f>
        <v/>
      </c>
      <c r="L352" s="26" t="str">
        <f t="shared" si="73"/>
        <v/>
      </c>
      <c r="M352" s="25" t="str">
        <f>IF(K352="","",ИТОГ!Q352)</f>
        <v/>
      </c>
      <c r="N352" s="28" t="str">
        <f>IF(K352="","",ИТОГ!N352)</f>
        <v/>
      </c>
      <c r="O352" s="30" t="str">
        <f t="shared" si="74"/>
        <v/>
      </c>
      <c r="P352" s="24"/>
      <c r="Q352" s="30" t="str">
        <f t="shared" si="75"/>
        <v/>
      </c>
      <c r="R352" s="29" t="str">
        <f t="shared" ca="1" si="76"/>
        <v/>
      </c>
    </row>
    <row r="353" spans="1:18">
      <c r="A353" s="23" t="str">
        <f t="shared" si="66"/>
        <v/>
      </c>
      <c r="B353" s="23" t="str">
        <f t="shared" si="67"/>
        <v/>
      </c>
      <c r="C353" s="29" t="str">
        <f t="shared" ca="1" si="68"/>
        <v/>
      </c>
      <c r="D353" s="22" t="str">
        <f>IF(K353="","",ИТОГ!S353)</f>
        <v/>
      </c>
      <c r="E353" s="24" t="str">
        <f t="shared" si="69"/>
        <v/>
      </c>
      <c r="F353" s="30" t="str">
        <f t="shared" si="70"/>
        <v/>
      </c>
      <c r="G353" s="25" t="str">
        <f t="shared" si="71"/>
        <v/>
      </c>
      <c r="H353" s="29" t="str">
        <f t="shared" ca="1" si="72"/>
        <v/>
      </c>
      <c r="I353" s="24"/>
      <c r="J353" s="30"/>
      <c r="K353" s="27" t="str">
        <f>IF(ИТОГ!A353=0,"",ИТОГ!A353)</f>
        <v/>
      </c>
      <c r="L353" s="26" t="str">
        <f t="shared" si="73"/>
        <v/>
      </c>
      <c r="M353" s="25" t="str">
        <f>IF(K353="","",ИТОГ!Q353)</f>
        <v/>
      </c>
      <c r="N353" s="28" t="str">
        <f>IF(K353="","",ИТОГ!N353)</f>
        <v/>
      </c>
      <c r="O353" s="30" t="str">
        <f t="shared" si="74"/>
        <v/>
      </c>
      <c r="P353" s="24"/>
      <c r="Q353" s="30" t="str">
        <f t="shared" si="75"/>
        <v/>
      </c>
      <c r="R353" s="29" t="str">
        <f t="shared" ca="1" si="76"/>
        <v/>
      </c>
    </row>
    <row r="354" spans="1:18">
      <c r="A354" s="23" t="str">
        <f t="shared" si="66"/>
        <v/>
      </c>
      <c r="B354" s="23" t="str">
        <f t="shared" si="67"/>
        <v/>
      </c>
      <c r="C354" s="29" t="str">
        <f t="shared" ca="1" si="68"/>
        <v/>
      </c>
      <c r="D354" s="22" t="str">
        <f>IF(K354="","",ИТОГ!S354)</f>
        <v/>
      </c>
      <c r="E354" s="24" t="str">
        <f t="shared" si="69"/>
        <v/>
      </c>
      <c r="F354" s="30" t="str">
        <f t="shared" si="70"/>
        <v/>
      </c>
      <c r="G354" s="25" t="str">
        <f t="shared" si="71"/>
        <v/>
      </c>
      <c r="H354" s="29" t="str">
        <f t="shared" ca="1" si="72"/>
        <v/>
      </c>
      <c r="I354" s="24"/>
      <c r="J354" s="30"/>
      <c r="K354" s="27" t="str">
        <f>IF(ИТОГ!A354=0,"",ИТОГ!A354)</f>
        <v/>
      </c>
      <c r="L354" s="26" t="str">
        <f t="shared" si="73"/>
        <v/>
      </c>
      <c r="M354" s="25" t="str">
        <f>IF(K354="","",ИТОГ!Q354)</f>
        <v/>
      </c>
      <c r="N354" s="28" t="str">
        <f>IF(K354="","",ИТОГ!N354)</f>
        <v/>
      </c>
      <c r="O354" s="30" t="str">
        <f t="shared" si="74"/>
        <v/>
      </c>
      <c r="P354" s="24"/>
      <c r="Q354" s="30" t="str">
        <f t="shared" si="75"/>
        <v/>
      </c>
      <c r="R354" s="29" t="str">
        <f t="shared" ca="1" si="76"/>
        <v/>
      </c>
    </row>
    <row r="355" spans="1:18">
      <c r="A355" s="23" t="str">
        <f t="shared" si="66"/>
        <v/>
      </c>
      <c r="B355" s="23" t="str">
        <f t="shared" si="67"/>
        <v/>
      </c>
      <c r="C355" s="29" t="str">
        <f t="shared" ca="1" si="68"/>
        <v/>
      </c>
      <c r="D355" s="22" t="str">
        <f>IF(K355="","",ИТОГ!S355)</f>
        <v/>
      </c>
      <c r="E355" s="24" t="str">
        <f t="shared" si="69"/>
        <v/>
      </c>
      <c r="F355" s="30" t="str">
        <f t="shared" si="70"/>
        <v/>
      </c>
      <c r="G355" s="25" t="str">
        <f t="shared" si="71"/>
        <v/>
      </c>
      <c r="H355" s="29" t="str">
        <f t="shared" ca="1" si="72"/>
        <v/>
      </c>
      <c r="I355" s="24"/>
      <c r="J355" s="30"/>
      <c r="K355" s="27" t="str">
        <f>IF(ИТОГ!A355=0,"",ИТОГ!A355)</f>
        <v/>
      </c>
      <c r="L355" s="26" t="str">
        <f t="shared" si="73"/>
        <v/>
      </c>
      <c r="M355" s="25" t="str">
        <f>IF(K355="","",ИТОГ!Q355)</f>
        <v/>
      </c>
      <c r="N355" s="28" t="str">
        <f>IF(K355="","",ИТОГ!N355)</f>
        <v/>
      </c>
      <c r="O355" s="30" t="str">
        <f t="shared" si="74"/>
        <v/>
      </c>
      <c r="P355" s="24"/>
      <c r="Q355" s="30" t="str">
        <f t="shared" si="75"/>
        <v/>
      </c>
      <c r="R355" s="29" t="str">
        <f t="shared" ca="1" si="76"/>
        <v/>
      </c>
    </row>
    <row r="356" spans="1:18">
      <c r="A356" s="23" t="str">
        <f t="shared" si="66"/>
        <v/>
      </c>
      <c r="B356" s="23" t="str">
        <f t="shared" si="67"/>
        <v/>
      </c>
      <c r="C356" s="29" t="str">
        <f t="shared" ca="1" si="68"/>
        <v/>
      </c>
      <c r="D356" s="22" t="str">
        <f>IF(K356="","",ИТОГ!S356)</f>
        <v/>
      </c>
      <c r="E356" s="24" t="str">
        <f t="shared" si="69"/>
        <v/>
      </c>
      <c r="F356" s="30" t="str">
        <f t="shared" si="70"/>
        <v/>
      </c>
      <c r="G356" s="25" t="str">
        <f t="shared" si="71"/>
        <v/>
      </c>
      <c r="H356" s="29" t="str">
        <f t="shared" ca="1" si="72"/>
        <v/>
      </c>
      <c r="I356" s="24"/>
      <c r="J356" s="30"/>
      <c r="K356" s="27" t="str">
        <f>IF(ИТОГ!A356=0,"",ИТОГ!A356)</f>
        <v/>
      </c>
      <c r="L356" s="26" t="str">
        <f t="shared" si="73"/>
        <v/>
      </c>
      <c r="M356" s="25" t="str">
        <f>IF(K356="","",ИТОГ!Q356)</f>
        <v/>
      </c>
      <c r="N356" s="28" t="str">
        <f>IF(K356="","",ИТОГ!N356)</f>
        <v/>
      </c>
      <c r="O356" s="30" t="str">
        <f t="shared" si="74"/>
        <v/>
      </c>
      <c r="P356" s="24"/>
      <c r="Q356" s="30" t="str">
        <f t="shared" si="75"/>
        <v/>
      </c>
      <c r="R356" s="29" t="str">
        <f t="shared" ca="1" si="76"/>
        <v/>
      </c>
    </row>
    <row r="357" spans="1:18">
      <c r="A357" s="23" t="str">
        <f t="shared" si="66"/>
        <v/>
      </c>
      <c r="B357" s="23" t="str">
        <f t="shared" si="67"/>
        <v/>
      </c>
      <c r="C357" s="29" t="str">
        <f t="shared" ca="1" si="68"/>
        <v/>
      </c>
      <c r="D357" s="22" t="str">
        <f>IF(K357="","",ИТОГ!S357)</f>
        <v/>
      </c>
      <c r="E357" s="24" t="str">
        <f t="shared" si="69"/>
        <v/>
      </c>
      <c r="F357" s="30" t="str">
        <f t="shared" si="70"/>
        <v/>
      </c>
      <c r="G357" s="25" t="str">
        <f t="shared" si="71"/>
        <v/>
      </c>
      <c r="H357" s="29" t="str">
        <f t="shared" ca="1" si="72"/>
        <v/>
      </c>
      <c r="I357" s="24"/>
      <c r="J357" s="30"/>
      <c r="K357" s="27" t="str">
        <f>IF(ИТОГ!A357=0,"",ИТОГ!A357)</f>
        <v/>
      </c>
      <c r="L357" s="26" t="str">
        <f t="shared" si="73"/>
        <v/>
      </c>
      <c r="M357" s="25" t="str">
        <f>IF(K357="","",ИТОГ!Q357)</f>
        <v/>
      </c>
      <c r="N357" s="28" t="str">
        <f>IF(K357="","",ИТОГ!N357)</f>
        <v/>
      </c>
      <c r="O357" s="30" t="str">
        <f t="shared" si="74"/>
        <v/>
      </c>
      <c r="P357" s="24"/>
      <c r="Q357" s="30" t="str">
        <f t="shared" si="75"/>
        <v/>
      </c>
      <c r="R357" s="29" t="str">
        <f t="shared" ca="1" si="76"/>
        <v/>
      </c>
    </row>
    <row r="358" spans="1:18">
      <c r="A358" s="23" t="str">
        <f t="shared" si="66"/>
        <v/>
      </c>
      <c r="B358" s="23" t="str">
        <f t="shared" si="67"/>
        <v/>
      </c>
      <c r="C358" s="29" t="str">
        <f t="shared" ca="1" si="68"/>
        <v/>
      </c>
      <c r="D358" s="22" t="str">
        <f>IF(K358="","",ИТОГ!S358)</f>
        <v/>
      </c>
      <c r="E358" s="24" t="str">
        <f t="shared" si="69"/>
        <v/>
      </c>
      <c r="F358" s="30" t="str">
        <f t="shared" si="70"/>
        <v/>
      </c>
      <c r="G358" s="25" t="str">
        <f t="shared" si="71"/>
        <v/>
      </c>
      <c r="H358" s="29" t="str">
        <f t="shared" ca="1" si="72"/>
        <v/>
      </c>
      <c r="I358" s="24"/>
      <c r="J358" s="30"/>
      <c r="K358" s="27" t="str">
        <f>IF(ИТОГ!A358=0,"",ИТОГ!A358)</f>
        <v/>
      </c>
      <c r="L358" s="26" t="str">
        <f t="shared" si="73"/>
        <v/>
      </c>
      <c r="M358" s="25" t="str">
        <f>IF(K358="","",ИТОГ!Q358)</f>
        <v/>
      </c>
      <c r="N358" s="28" t="str">
        <f>IF(K358="","",ИТОГ!N358)</f>
        <v/>
      </c>
      <c r="O358" s="30" t="str">
        <f t="shared" si="74"/>
        <v/>
      </c>
      <c r="P358" s="24"/>
      <c r="Q358" s="30" t="str">
        <f t="shared" si="75"/>
        <v/>
      </c>
      <c r="R358" s="29" t="str">
        <f t="shared" ca="1" si="76"/>
        <v/>
      </c>
    </row>
    <row r="359" spans="1:18">
      <c r="A359" s="23" t="str">
        <f t="shared" si="66"/>
        <v/>
      </c>
      <c r="B359" s="23" t="str">
        <f t="shared" si="67"/>
        <v/>
      </c>
      <c r="C359" s="29" t="str">
        <f t="shared" ca="1" si="68"/>
        <v/>
      </c>
      <c r="D359" s="22" t="str">
        <f>IF(K359="","",ИТОГ!S359)</f>
        <v/>
      </c>
      <c r="E359" s="24" t="str">
        <f t="shared" si="69"/>
        <v/>
      </c>
      <c r="F359" s="30" t="str">
        <f t="shared" si="70"/>
        <v/>
      </c>
      <c r="G359" s="25" t="str">
        <f t="shared" si="71"/>
        <v/>
      </c>
      <c r="H359" s="29" t="str">
        <f t="shared" ca="1" si="72"/>
        <v/>
      </c>
      <c r="I359" s="24"/>
      <c r="J359" s="30"/>
      <c r="K359" s="27" t="str">
        <f>IF(ИТОГ!A359=0,"",ИТОГ!A359)</f>
        <v/>
      </c>
      <c r="L359" s="26" t="str">
        <f t="shared" si="73"/>
        <v/>
      </c>
      <c r="M359" s="25" t="str">
        <f>IF(K359="","",ИТОГ!Q359)</f>
        <v/>
      </c>
      <c r="N359" s="28" t="str">
        <f>IF(K359="","",ИТОГ!N359)</f>
        <v/>
      </c>
      <c r="O359" s="30" t="str">
        <f t="shared" si="74"/>
        <v/>
      </c>
      <c r="P359" s="24"/>
      <c r="Q359" s="30" t="str">
        <f t="shared" si="75"/>
        <v/>
      </c>
      <c r="R359" s="29" t="str">
        <f t="shared" ca="1" si="76"/>
        <v/>
      </c>
    </row>
    <row r="360" spans="1:18">
      <c r="A360" s="23" t="str">
        <f t="shared" si="66"/>
        <v/>
      </c>
      <c r="B360" s="23" t="str">
        <f t="shared" si="67"/>
        <v/>
      </c>
      <c r="C360" s="29" t="str">
        <f t="shared" ca="1" si="68"/>
        <v/>
      </c>
      <c r="D360" s="22" t="str">
        <f>IF(K360="","",ИТОГ!S360)</f>
        <v/>
      </c>
      <c r="E360" s="24" t="str">
        <f t="shared" si="69"/>
        <v/>
      </c>
      <c r="F360" s="30" t="str">
        <f t="shared" si="70"/>
        <v/>
      </c>
      <c r="G360" s="25" t="str">
        <f t="shared" si="71"/>
        <v/>
      </c>
      <c r="H360" s="29" t="str">
        <f t="shared" ca="1" si="72"/>
        <v/>
      </c>
      <c r="I360" s="24"/>
      <c r="J360" s="30"/>
      <c r="K360" s="27" t="str">
        <f>IF(ИТОГ!A360=0,"",ИТОГ!A360)</f>
        <v/>
      </c>
      <c r="L360" s="26" t="str">
        <f t="shared" si="73"/>
        <v/>
      </c>
      <c r="M360" s="25" t="str">
        <f>IF(K360="","",ИТОГ!Q360)</f>
        <v/>
      </c>
      <c r="N360" s="28" t="str">
        <f>IF(K360="","",ИТОГ!N360)</f>
        <v/>
      </c>
      <c r="O360" s="30" t="str">
        <f t="shared" si="74"/>
        <v/>
      </c>
      <c r="P360" s="24"/>
      <c r="Q360" s="30" t="str">
        <f t="shared" si="75"/>
        <v/>
      </c>
      <c r="R360" s="29" t="str">
        <f t="shared" ca="1" si="76"/>
        <v/>
      </c>
    </row>
    <row r="361" spans="1:18">
      <c r="A361" s="23" t="str">
        <f t="shared" si="66"/>
        <v/>
      </c>
      <c r="B361" s="23" t="str">
        <f t="shared" si="67"/>
        <v/>
      </c>
      <c r="C361" s="29" t="str">
        <f t="shared" ca="1" si="68"/>
        <v/>
      </c>
      <c r="D361" s="22" t="str">
        <f>IF(K361="","",ИТОГ!S361)</f>
        <v/>
      </c>
      <c r="E361" s="24" t="str">
        <f t="shared" si="69"/>
        <v/>
      </c>
      <c r="F361" s="30" t="str">
        <f t="shared" si="70"/>
        <v/>
      </c>
      <c r="G361" s="25" t="str">
        <f t="shared" si="71"/>
        <v/>
      </c>
      <c r="H361" s="29" t="str">
        <f t="shared" ca="1" si="72"/>
        <v/>
      </c>
      <c r="I361" s="24"/>
      <c r="J361" s="30"/>
      <c r="K361" s="27" t="str">
        <f>IF(ИТОГ!A361=0,"",ИТОГ!A361)</f>
        <v/>
      </c>
      <c r="L361" s="26" t="str">
        <f t="shared" si="73"/>
        <v/>
      </c>
      <c r="M361" s="25" t="str">
        <f>IF(K361="","",ИТОГ!Q361)</f>
        <v/>
      </c>
      <c r="N361" s="28" t="str">
        <f>IF(K361="","",ИТОГ!N361)</f>
        <v/>
      </c>
      <c r="O361" s="30" t="str">
        <f t="shared" si="74"/>
        <v/>
      </c>
      <c r="P361" s="24"/>
      <c r="Q361" s="30" t="str">
        <f t="shared" si="75"/>
        <v/>
      </c>
      <c r="R361" s="29" t="str">
        <f t="shared" ca="1" si="76"/>
        <v/>
      </c>
    </row>
    <row r="362" spans="1:18">
      <c r="A362" s="23" t="str">
        <f t="shared" si="66"/>
        <v/>
      </c>
      <c r="B362" s="23" t="str">
        <f t="shared" si="67"/>
        <v/>
      </c>
      <c r="C362" s="29" t="str">
        <f t="shared" ca="1" si="68"/>
        <v/>
      </c>
      <c r="D362" s="22" t="str">
        <f>IF(K362="","",ИТОГ!S362)</f>
        <v/>
      </c>
      <c r="E362" s="24" t="str">
        <f t="shared" si="69"/>
        <v/>
      </c>
      <c r="F362" s="30" t="str">
        <f t="shared" si="70"/>
        <v/>
      </c>
      <c r="G362" s="25" t="str">
        <f t="shared" si="71"/>
        <v/>
      </c>
      <c r="H362" s="29" t="str">
        <f t="shared" ca="1" si="72"/>
        <v/>
      </c>
      <c r="I362" s="24"/>
      <c r="J362" s="30"/>
      <c r="K362" s="27" t="str">
        <f>IF(ИТОГ!A362=0,"",ИТОГ!A362)</f>
        <v/>
      </c>
      <c r="L362" s="26" t="str">
        <f t="shared" si="73"/>
        <v/>
      </c>
      <c r="M362" s="25" t="str">
        <f>IF(K362="","",ИТОГ!Q362)</f>
        <v/>
      </c>
      <c r="N362" s="28" t="str">
        <f>IF(K362="","",ИТОГ!N362)</f>
        <v/>
      </c>
      <c r="O362" s="30" t="str">
        <f t="shared" si="74"/>
        <v/>
      </c>
      <c r="P362" s="24"/>
      <c r="Q362" s="30" t="str">
        <f t="shared" si="75"/>
        <v/>
      </c>
      <c r="R362" s="29" t="str">
        <f t="shared" ca="1" si="76"/>
        <v/>
      </c>
    </row>
    <row r="363" spans="1:18">
      <c r="A363" s="23" t="str">
        <f t="shared" si="66"/>
        <v/>
      </c>
      <c r="B363" s="23" t="str">
        <f t="shared" si="67"/>
        <v/>
      </c>
      <c r="C363" s="29" t="str">
        <f t="shared" ca="1" si="68"/>
        <v/>
      </c>
      <c r="D363" s="22" t="str">
        <f>IF(K363="","",ИТОГ!S363)</f>
        <v/>
      </c>
      <c r="E363" s="24" t="str">
        <f t="shared" si="69"/>
        <v/>
      </c>
      <c r="F363" s="30" t="str">
        <f t="shared" si="70"/>
        <v/>
      </c>
      <c r="G363" s="25" t="str">
        <f t="shared" si="71"/>
        <v/>
      </c>
      <c r="H363" s="29" t="str">
        <f t="shared" ca="1" si="72"/>
        <v/>
      </c>
      <c r="I363" s="24"/>
      <c r="J363" s="30"/>
      <c r="K363" s="27" t="str">
        <f>IF(ИТОГ!A363=0,"",ИТОГ!A363)</f>
        <v/>
      </c>
      <c r="L363" s="26" t="str">
        <f t="shared" si="73"/>
        <v/>
      </c>
      <c r="M363" s="25" t="str">
        <f>IF(K363="","",ИТОГ!Q363)</f>
        <v/>
      </c>
      <c r="N363" s="28" t="str">
        <f>IF(K363="","",ИТОГ!N363)</f>
        <v/>
      </c>
      <c r="O363" s="30" t="str">
        <f t="shared" si="74"/>
        <v/>
      </c>
      <c r="P363" s="24"/>
      <c r="Q363" s="30" t="str">
        <f t="shared" si="75"/>
        <v/>
      </c>
      <c r="R363" s="29" t="str">
        <f t="shared" ca="1" si="76"/>
        <v/>
      </c>
    </row>
    <row r="364" spans="1:18">
      <c r="A364" s="23" t="str">
        <f t="shared" si="66"/>
        <v/>
      </c>
      <c r="B364" s="23" t="str">
        <f t="shared" si="67"/>
        <v/>
      </c>
      <c r="C364" s="29" t="str">
        <f t="shared" ca="1" si="68"/>
        <v/>
      </c>
      <c r="D364" s="22" t="str">
        <f>IF(K364="","",ИТОГ!S364)</f>
        <v/>
      </c>
      <c r="E364" s="24" t="str">
        <f t="shared" si="69"/>
        <v/>
      </c>
      <c r="F364" s="30" t="str">
        <f t="shared" si="70"/>
        <v/>
      </c>
      <c r="G364" s="25" t="str">
        <f t="shared" si="71"/>
        <v/>
      </c>
      <c r="H364" s="29" t="str">
        <f t="shared" ca="1" si="72"/>
        <v/>
      </c>
      <c r="I364" s="24"/>
      <c r="J364" s="30"/>
      <c r="K364" s="27" t="str">
        <f>IF(ИТОГ!A364=0,"",ИТОГ!A364)</f>
        <v/>
      </c>
      <c r="L364" s="26" t="str">
        <f t="shared" si="73"/>
        <v/>
      </c>
      <c r="M364" s="25" t="str">
        <f>IF(K364="","",ИТОГ!Q364)</f>
        <v/>
      </c>
      <c r="N364" s="28" t="str">
        <f>IF(K364="","",ИТОГ!N364)</f>
        <v/>
      </c>
      <c r="O364" s="30" t="str">
        <f t="shared" si="74"/>
        <v/>
      </c>
      <c r="P364" s="24"/>
      <c r="Q364" s="30" t="str">
        <f t="shared" si="75"/>
        <v/>
      </c>
      <c r="R364" s="29" t="str">
        <f t="shared" ca="1" si="76"/>
        <v/>
      </c>
    </row>
    <row r="365" spans="1:18">
      <c r="A365" s="23" t="str">
        <f t="shared" si="66"/>
        <v/>
      </c>
      <c r="B365" s="23" t="str">
        <f t="shared" si="67"/>
        <v/>
      </c>
      <c r="C365" s="29" t="str">
        <f t="shared" ca="1" si="68"/>
        <v/>
      </c>
      <c r="D365" s="22" t="str">
        <f>IF(K365="","",ИТОГ!S365)</f>
        <v/>
      </c>
      <c r="E365" s="24" t="str">
        <f t="shared" si="69"/>
        <v/>
      </c>
      <c r="F365" s="30" t="str">
        <f t="shared" si="70"/>
        <v/>
      </c>
      <c r="G365" s="25" t="str">
        <f t="shared" si="71"/>
        <v/>
      </c>
      <c r="H365" s="29" t="str">
        <f t="shared" ca="1" si="72"/>
        <v/>
      </c>
      <c r="I365" s="24"/>
      <c r="J365" s="30"/>
      <c r="K365" s="27" t="str">
        <f>IF(ИТОГ!A365=0,"",ИТОГ!A365)</f>
        <v/>
      </c>
      <c r="L365" s="26" t="str">
        <f t="shared" si="73"/>
        <v/>
      </c>
      <c r="M365" s="25" t="str">
        <f>IF(K365="","",ИТОГ!Q365)</f>
        <v/>
      </c>
      <c r="N365" s="28" t="str">
        <f>IF(K365="","",ИТОГ!N365)</f>
        <v/>
      </c>
      <c r="O365" s="30" t="str">
        <f t="shared" si="74"/>
        <v/>
      </c>
      <c r="P365" s="24"/>
      <c r="Q365" s="30" t="str">
        <f t="shared" si="75"/>
        <v/>
      </c>
      <c r="R365" s="29" t="str">
        <f t="shared" ca="1" si="76"/>
        <v/>
      </c>
    </row>
    <row r="366" spans="1:18">
      <c r="A366" s="23" t="str">
        <f t="shared" si="66"/>
        <v/>
      </c>
      <c r="B366" s="23" t="str">
        <f t="shared" si="67"/>
        <v/>
      </c>
      <c r="C366" s="29" t="str">
        <f t="shared" ca="1" si="68"/>
        <v/>
      </c>
      <c r="D366" s="22" t="str">
        <f>IF(K366="","",ИТОГ!S366)</f>
        <v/>
      </c>
      <c r="E366" s="24" t="str">
        <f t="shared" si="69"/>
        <v/>
      </c>
      <c r="F366" s="30" t="str">
        <f t="shared" si="70"/>
        <v/>
      </c>
      <c r="G366" s="25" t="str">
        <f t="shared" si="71"/>
        <v/>
      </c>
      <c r="H366" s="29" t="str">
        <f t="shared" ca="1" si="72"/>
        <v/>
      </c>
      <c r="I366" s="24"/>
      <c r="J366" s="30"/>
      <c r="K366" s="27" t="str">
        <f>IF(ИТОГ!A366=0,"",ИТОГ!A366)</f>
        <v/>
      </c>
      <c r="L366" s="26" t="str">
        <f t="shared" si="73"/>
        <v/>
      </c>
      <c r="M366" s="25" t="str">
        <f>IF(K366="","",ИТОГ!Q366)</f>
        <v/>
      </c>
      <c r="N366" s="28" t="str">
        <f>IF(K366="","",ИТОГ!N366)</f>
        <v/>
      </c>
      <c r="O366" s="30" t="str">
        <f t="shared" si="74"/>
        <v/>
      </c>
      <c r="P366" s="24"/>
      <c r="Q366" s="30" t="str">
        <f t="shared" si="75"/>
        <v/>
      </c>
      <c r="R366" s="29" t="str">
        <f t="shared" ca="1" si="76"/>
        <v/>
      </c>
    </row>
    <row r="367" spans="1:18">
      <c r="A367" s="23" t="str">
        <f t="shared" si="66"/>
        <v/>
      </c>
      <c r="B367" s="23" t="str">
        <f t="shared" si="67"/>
        <v/>
      </c>
      <c r="C367" s="29" t="str">
        <f t="shared" ca="1" si="68"/>
        <v/>
      </c>
      <c r="D367" s="22" t="str">
        <f>IF(K367="","",ИТОГ!S367)</f>
        <v/>
      </c>
      <c r="E367" s="24" t="str">
        <f t="shared" si="69"/>
        <v/>
      </c>
      <c r="F367" s="30" t="str">
        <f t="shared" si="70"/>
        <v/>
      </c>
      <c r="G367" s="25" t="str">
        <f t="shared" si="71"/>
        <v/>
      </c>
      <c r="H367" s="29" t="str">
        <f t="shared" ca="1" si="72"/>
        <v/>
      </c>
      <c r="I367" s="24"/>
      <c r="J367" s="30"/>
      <c r="K367" s="27" t="str">
        <f>IF(ИТОГ!A367=0,"",ИТОГ!A367)</f>
        <v/>
      </c>
      <c r="L367" s="26" t="str">
        <f t="shared" si="73"/>
        <v/>
      </c>
      <c r="M367" s="25" t="str">
        <f>IF(K367="","",ИТОГ!Q367)</f>
        <v/>
      </c>
      <c r="N367" s="28" t="str">
        <f>IF(K367="","",ИТОГ!N367)</f>
        <v/>
      </c>
      <c r="O367" s="30" t="str">
        <f t="shared" si="74"/>
        <v/>
      </c>
      <c r="P367" s="24"/>
      <c r="Q367" s="30" t="str">
        <f t="shared" si="75"/>
        <v/>
      </c>
      <c r="R367" s="29" t="str">
        <f t="shared" ca="1" si="76"/>
        <v/>
      </c>
    </row>
    <row r="368" spans="1:18">
      <c r="A368" s="23" t="str">
        <f t="shared" si="66"/>
        <v/>
      </c>
      <c r="B368" s="23" t="str">
        <f t="shared" si="67"/>
        <v/>
      </c>
      <c r="C368" s="29" t="str">
        <f t="shared" ca="1" si="68"/>
        <v/>
      </c>
      <c r="D368" s="22" t="str">
        <f>IF(K368="","",ИТОГ!S368)</f>
        <v/>
      </c>
      <c r="E368" s="24" t="str">
        <f t="shared" si="69"/>
        <v/>
      </c>
      <c r="F368" s="30" t="str">
        <f t="shared" si="70"/>
        <v/>
      </c>
      <c r="G368" s="25" t="str">
        <f t="shared" si="71"/>
        <v/>
      </c>
      <c r="H368" s="29" t="str">
        <f t="shared" ca="1" si="72"/>
        <v/>
      </c>
      <c r="I368" s="24"/>
      <c r="J368" s="30"/>
      <c r="K368" s="27" t="str">
        <f>IF(ИТОГ!A368=0,"",ИТОГ!A368)</f>
        <v/>
      </c>
      <c r="L368" s="26" t="str">
        <f t="shared" si="73"/>
        <v/>
      </c>
      <c r="M368" s="25" t="str">
        <f>IF(K368="","",ИТОГ!Q368)</f>
        <v/>
      </c>
      <c r="N368" s="28" t="str">
        <f>IF(K368="","",ИТОГ!N368)</f>
        <v/>
      </c>
      <c r="O368" s="30" t="str">
        <f t="shared" si="74"/>
        <v/>
      </c>
      <c r="P368" s="24"/>
      <c r="Q368" s="30" t="str">
        <f t="shared" si="75"/>
        <v/>
      </c>
      <c r="R368" s="29" t="str">
        <f t="shared" ca="1" si="76"/>
        <v/>
      </c>
    </row>
    <row r="369" spans="1:18">
      <c r="A369" s="23" t="str">
        <f t="shared" si="66"/>
        <v/>
      </c>
      <c r="B369" s="23" t="str">
        <f t="shared" si="67"/>
        <v/>
      </c>
      <c r="C369" s="29" t="str">
        <f t="shared" ca="1" si="68"/>
        <v/>
      </c>
      <c r="D369" s="22" t="str">
        <f>IF(K369="","",ИТОГ!S369)</f>
        <v/>
      </c>
      <c r="E369" s="24" t="str">
        <f t="shared" si="69"/>
        <v/>
      </c>
      <c r="F369" s="30" t="str">
        <f t="shared" si="70"/>
        <v/>
      </c>
      <c r="G369" s="25" t="str">
        <f t="shared" si="71"/>
        <v/>
      </c>
      <c r="H369" s="29" t="str">
        <f t="shared" ca="1" si="72"/>
        <v/>
      </c>
      <c r="I369" s="24"/>
      <c r="J369" s="30"/>
      <c r="K369" s="27" t="str">
        <f>IF(ИТОГ!A369=0,"",ИТОГ!A369)</f>
        <v/>
      </c>
      <c r="L369" s="26" t="str">
        <f t="shared" si="73"/>
        <v/>
      </c>
      <c r="M369" s="25" t="str">
        <f>IF(K369="","",ИТОГ!Q369)</f>
        <v/>
      </c>
      <c r="N369" s="28" t="str">
        <f>IF(K369="","",ИТОГ!N369)</f>
        <v/>
      </c>
      <c r="O369" s="30" t="str">
        <f t="shared" si="74"/>
        <v/>
      </c>
      <c r="P369" s="24"/>
      <c r="Q369" s="30" t="str">
        <f t="shared" si="75"/>
        <v/>
      </c>
      <c r="R369" s="29" t="str">
        <f t="shared" ca="1" si="76"/>
        <v/>
      </c>
    </row>
    <row r="370" spans="1:18">
      <c r="A370" s="23" t="str">
        <f t="shared" si="66"/>
        <v/>
      </c>
      <c r="B370" s="23" t="str">
        <f t="shared" si="67"/>
        <v/>
      </c>
      <c r="C370" s="29" t="str">
        <f t="shared" ca="1" si="68"/>
        <v/>
      </c>
      <c r="D370" s="22" t="str">
        <f>IF(K370="","",ИТОГ!S370)</f>
        <v/>
      </c>
      <c r="E370" s="24" t="str">
        <f t="shared" si="69"/>
        <v/>
      </c>
      <c r="F370" s="30" t="str">
        <f t="shared" si="70"/>
        <v/>
      </c>
      <c r="G370" s="25" t="str">
        <f t="shared" si="71"/>
        <v/>
      </c>
      <c r="H370" s="29" t="str">
        <f t="shared" ca="1" si="72"/>
        <v/>
      </c>
      <c r="I370" s="24"/>
      <c r="J370" s="30"/>
      <c r="K370" s="27" t="str">
        <f>IF(ИТОГ!A370=0,"",ИТОГ!A370)</f>
        <v/>
      </c>
      <c r="L370" s="26" t="str">
        <f t="shared" si="73"/>
        <v/>
      </c>
      <c r="M370" s="25" t="str">
        <f>IF(K370="","",ИТОГ!Q370)</f>
        <v/>
      </c>
      <c r="N370" s="28" t="str">
        <f>IF(K370="","",ИТОГ!N370)</f>
        <v/>
      </c>
      <c r="O370" s="30" t="str">
        <f t="shared" si="74"/>
        <v/>
      </c>
      <c r="P370" s="24"/>
      <c r="Q370" s="30" t="str">
        <f t="shared" si="75"/>
        <v/>
      </c>
      <c r="R370" s="29" t="str">
        <f t="shared" ca="1" si="76"/>
        <v/>
      </c>
    </row>
    <row r="371" spans="1:18">
      <c r="A371" s="23" t="str">
        <f t="shared" si="66"/>
        <v/>
      </c>
      <c r="B371" s="23" t="str">
        <f t="shared" si="67"/>
        <v/>
      </c>
      <c r="C371" s="29" t="str">
        <f t="shared" ca="1" si="68"/>
        <v/>
      </c>
      <c r="D371" s="22" t="str">
        <f>IF(K371="","",ИТОГ!S371)</f>
        <v/>
      </c>
      <c r="E371" s="24" t="str">
        <f t="shared" si="69"/>
        <v/>
      </c>
      <c r="F371" s="30" t="str">
        <f t="shared" si="70"/>
        <v/>
      </c>
      <c r="G371" s="25" t="str">
        <f t="shared" si="71"/>
        <v/>
      </c>
      <c r="H371" s="29" t="str">
        <f t="shared" ca="1" si="72"/>
        <v/>
      </c>
      <c r="I371" s="24"/>
      <c r="J371" s="30"/>
      <c r="K371" s="27" t="str">
        <f>IF(ИТОГ!A371=0,"",ИТОГ!A371)</f>
        <v/>
      </c>
      <c r="L371" s="26" t="str">
        <f t="shared" si="73"/>
        <v/>
      </c>
      <c r="M371" s="25" t="str">
        <f>IF(K371="","",ИТОГ!Q371)</f>
        <v/>
      </c>
      <c r="N371" s="28" t="str">
        <f>IF(K371="","",ИТОГ!N371)</f>
        <v/>
      </c>
      <c r="O371" s="30" t="str">
        <f t="shared" si="74"/>
        <v/>
      </c>
      <c r="P371" s="24"/>
      <c r="Q371" s="30" t="str">
        <f t="shared" si="75"/>
        <v/>
      </c>
      <c r="R371" s="29" t="str">
        <f t="shared" ca="1" si="76"/>
        <v/>
      </c>
    </row>
    <row r="372" spans="1:18">
      <c r="A372" s="23" t="str">
        <f t="shared" si="66"/>
        <v/>
      </c>
      <c r="B372" s="23" t="str">
        <f t="shared" si="67"/>
        <v/>
      </c>
      <c r="C372" s="29" t="str">
        <f t="shared" ca="1" si="68"/>
        <v/>
      </c>
      <c r="D372" s="22" t="str">
        <f>IF(K372="","",ИТОГ!S372)</f>
        <v/>
      </c>
      <c r="E372" s="24" t="str">
        <f t="shared" si="69"/>
        <v/>
      </c>
      <c r="F372" s="30" t="str">
        <f t="shared" si="70"/>
        <v/>
      </c>
      <c r="G372" s="25" t="str">
        <f t="shared" si="71"/>
        <v/>
      </c>
      <c r="H372" s="29" t="str">
        <f t="shared" ca="1" si="72"/>
        <v/>
      </c>
      <c r="I372" s="24"/>
      <c r="J372" s="30"/>
      <c r="K372" s="27" t="str">
        <f>IF(ИТОГ!A372=0,"",ИТОГ!A372)</f>
        <v/>
      </c>
      <c r="L372" s="26" t="str">
        <f t="shared" si="73"/>
        <v/>
      </c>
      <c r="M372" s="25" t="str">
        <f>IF(K372="","",ИТОГ!Q372)</f>
        <v/>
      </c>
      <c r="N372" s="28" t="str">
        <f>IF(K372="","",ИТОГ!N372)</f>
        <v/>
      </c>
      <c r="O372" s="30" t="str">
        <f t="shared" si="74"/>
        <v/>
      </c>
      <c r="P372" s="24"/>
      <c r="Q372" s="30" t="str">
        <f t="shared" si="75"/>
        <v/>
      </c>
      <c r="R372" s="29" t="str">
        <f t="shared" ca="1" si="76"/>
        <v/>
      </c>
    </row>
    <row r="373" spans="1:18">
      <c r="A373" s="23" t="str">
        <f t="shared" si="66"/>
        <v/>
      </c>
      <c r="B373" s="23" t="str">
        <f t="shared" si="67"/>
        <v/>
      </c>
      <c r="C373" s="29" t="str">
        <f t="shared" ca="1" si="68"/>
        <v/>
      </c>
      <c r="D373" s="22" t="str">
        <f>IF(K373="","",ИТОГ!S373)</f>
        <v/>
      </c>
      <c r="E373" s="24" t="str">
        <f t="shared" si="69"/>
        <v/>
      </c>
      <c r="F373" s="30" t="str">
        <f t="shared" si="70"/>
        <v/>
      </c>
      <c r="G373" s="25" t="str">
        <f t="shared" si="71"/>
        <v/>
      </c>
      <c r="H373" s="29" t="str">
        <f t="shared" ca="1" si="72"/>
        <v/>
      </c>
      <c r="I373" s="24"/>
      <c r="J373" s="30"/>
      <c r="K373" s="27" t="str">
        <f>IF(ИТОГ!A373=0,"",ИТОГ!A373)</f>
        <v/>
      </c>
      <c r="L373" s="26" t="str">
        <f t="shared" si="73"/>
        <v/>
      </c>
      <c r="M373" s="25" t="str">
        <f>IF(K373="","",ИТОГ!Q373)</f>
        <v/>
      </c>
      <c r="N373" s="28" t="str">
        <f>IF(K373="","",ИТОГ!N373)</f>
        <v/>
      </c>
      <c r="O373" s="30" t="str">
        <f t="shared" si="74"/>
        <v/>
      </c>
      <c r="P373" s="24"/>
      <c r="Q373" s="30" t="str">
        <f t="shared" si="75"/>
        <v/>
      </c>
      <c r="R373" s="29" t="str">
        <f t="shared" ca="1" si="76"/>
        <v/>
      </c>
    </row>
    <row r="374" spans="1:18">
      <c r="A374" s="23" t="str">
        <f t="shared" si="66"/>
        <v/>
      </c>
      <c r="B374" s="23" t="str">
        <f t="shared" si="67"/>
        <v/>
      </c>
      <c r="C374" s="29" t="str">
        <f t="shared" ca="1" si="68"/>
        <v/>
      </c>
      <c r="D374" s="22" t="str">
        <f>IF(K374="","",ИТОГ!S374)</f>
        <v/>
      </c>
      <c r="E374" s="24" t="str">
        <f t="shared" si="69"/>
        <v/>
      </c>
      <c r="F374" s="30" t="str">
        <f t="shared" si="70"/>
        <v/>
      </c>
      <c r="G374" s="25" t="str">
        <f t="shared" si="71"/>
        <v/>
      </c>
      <c r="H374" s="29" t="str">
        <f t="shared" ca="1" si="72"/>
        <v/>
      </c>
      <c r="I374" s="24"/>
      <c r="J374" s="30"/>
      <c r="K374" s="27" t="str">
        <f>IF(ИТОГ!A374=0,"",ИТОГ!A374)</f>
        <v/>
      </c>
      <c r="L374" s="26" t="str">
        <f t="shared" si="73"/>
        <v/>
      </c>
      <c r="M374" s="25" t="str">
        <f>IF(K374="","",ИТОГ!Q374)</f>
        <v/>
      </c>
      <c r="N374" s="28" t="str">
        <f>IF(K374="","",ИТОГ!N374)</f>
        <v/>
      </c>
      <c r="O374" s="30" t="str">
        <f t="shared" si="74"/>
        <v/>
      </c>
      <c r="P374" s="24"/>
      <c r="Q374" s="30" t="str">
        <f t="shared" si="75"/>
        <v/>
      </c>
      <c r="R374" s="29" t="str">
        <f t="shared" ca="1" si="76"/>
        <v/>
      </c>
    </row>
    <row r="375" spans="1:18">
      <c r="A375" s="23" t="str">
        <f t="shared" si="66"/>
        <v/>
      </c>
      <c r="B375" s="23" t="str">
        <f t="shared" si="67"/>
        <v/>
      </c>
      <c r="C375" s="29" t="str">
        <f t="shared" ca="1" si="68"/>
        <v/>
      </c>
      <c r="D375" s="22" t="str">
        <f>IF(K375="","",ИТОГ!S375)</f>
        <v/>
      </c>
      <c r="E375" s="24" t="str">
        <f t="shared" si="69"/>
        <v/>
      </c>
      <c r="F375" s="30" t="str">
        <f t="shared" si="70"/>
        <v/>
      </c>
      <c r="G375" s="25" t="str">
        <f t="shared" si="71"/>
        <v/>
      </c>
      <c r="H375" s="29" t="str">
        <f t="shared" ca="1" si="72"/>
        <v/>
      </c>
      <c r="I375" s="24"/>
      <c r="J375" s="30"/>
      <c r="K375" s="27" t="str">
        <f>IF(ИТОГ!A375=0,"",ИТОГ!A375)</f>
        <v/>
      </c>
      <c r="L375" s="26" t="str">
        <f t="shared" si="73"/>
        <v/>
      </c>
      <c r="M375" s="25" t="str">
        <f>IF(K375="","",ИТОГ!Q375)</f>
        <v/>
      </c>
      <c r="N375" s="28" t="str">
        <f>IF(K375="","",ИТОГ!N375)</f>
        <v/>
      </c>
      <c r="O375" s="30" t="str">
        <f t="shared" si="74"/>
        <v/>
      </c>
      <c r="P375" s="24"/>
      <c r="Q375" s="30" t="str">
        <f t="shared" si="75"/>
        <v/>
      </c>
      <c r="R375" s="29" t="str">
        <f t="shared" ca="1" si="76"/>
        <v/>
      </c>
    </row>
    <row r="376" spans="1:18">
      <c r="A376" s="23" t="str">
        <f t="shared" si="66"/>
        <v/>
      </c>
      <c r="B376" s="23" t="str">
        <f t="shared" si="67"/>
        <v/>
      </c>
      <c r="C376" s="29" t="str">
        <f t="shared" ca="1" si="68"/>
        <v/>
      </c>
      <c r="D376" s="22" t="str">
        <f>IF(K376="","",ИТОГ!S376)</f>
        <v/>
      </c>
      <c r="E376" s="24" t="str">
        <f t="shared" si="69"/>
        <v/>
      </c>
      <c r="F376" s="30" t="str">
        <f t="shared" si="70"/>
        <v/>
      </c>
      <c r="G376" s="25" t="str">
        <f t="shared" si="71"/>
        <v/>
      </c>
      <c r="H376" s="29" t="str">
        <f t="shared" ca="1" si="72"/>
        <v/>
      </c>
      <c r="I376" s="24"/>
      <c r="J376" s="30"/>
      <c r="K376" s="27" t="str">
        <f>IF(ИТОГ!A376=0,"",ИТОГ!A376)</f>
        <v/>
      </c>
      <c r="L376" s="26" t="str">
        <f t="shared" si="73"/>
        <v/>
      </c>
      <c r="M376" s="25" t="str">
        <f>IF(K376="","",ИТОГ!Q376)</f>
        <v/>
      </c>
      <c r="N376" s="28" t="str">
        <f>IF(K376="","",ИТОГ!N376)</f>
        <v/>
      </c>
      <c r="O376" s="30" t="str">
        <f t="shared" si="74"/>
        <v/>
      </c>
      <c r="P376" s="24"/>
      <c r="Q376" s="30" t="str">
        <f t="shared" si="75"/>
        <v/>
      </c>
      <c r="R376" s="29" t="str">
        <f t="shared" ca="1" si="76"/>
        <v/>
      </c>
    </row>
    <row r="377" spans="1:18">
      <c r="A377" s="23" t="str">
        <f t="shared" si="66"/>
        <v/>
      </c>
      <c r="B377" s="23" t="str">
        <f t="shared" si="67"/>
        <v/>
      </c>
      <c r="C377" s="29" t="str">
        <f t="shared" ca="1" si="68"/>
        <v/>
      </c>
      <c r="D377" s="22" t="str">
        <f>IF(K377="","",ИТОГ!S377)</f>
        <v/>
      </c>
      <c r="E377" s="24" t="str">
        <f t="shared" si="69"/>
        <v/>
      </c>
      <c r="F377" s="30" t="str">
        <f t="shared" si="70"/>
        <v/>
      </c>
      <c r="G377" s="25" t="str">
        <f t="shared" si="71"/>
        <v/>
      </c>
      <c r="H377" s="29" t="str">
        <f t="shared" ca="1" si="72"/>
        <v/>
      </c>
      <c r="I377" s="24"/>
      <c r="J377" s="30"/>
      <c r="K377" s="27" t="str">
        <f>IF(ИТОГ!A377=0,"",ИТОГ!A377)</f>
        <v/>
      </c>
      <c r="L377" s="26" t="str">
        <f t="shared" si="73"/>
        <v/>
      </c>
      <c r="M377" s="25" t="str">
        <f>IF(K377="","",ИТОГ!Q377)</f>
        <v/>
      </c>
      <c r="N377" s="28" t="str">
        <f>IF(K377="","",ИТОГ!N377)</f>
        <v/>
      </c>
      <c r="O377" s="30" t="str">
        <f t="shared" si="74"/>
        <v/>
      </c>
      <c r="P377" s="24"/>
      <c r="Q377" s="30" t="str">
        <f t="shared" si="75"/>
        <v/>
      </c>
      <c r="R377" s="29" t="str">
        <f t="shared" ca="1" si="76"/>
        <v/>
      </c>
    </row>
    <row r="378" spans="1:18">
      <c r="A378" s="23" t="str">
        <f t="shared" si="66"/>
        <v/>
      </c>
      <c r="B378" s="23" t="str">
        <f t="shared" si="67"/>
        <v/>
      </c>
      <c r="C378" s="29" t="str">
        <f t="shared" ca="1" si="68"/>
        <v/>
      </c>
      <c r="D378" s="22" t="str">
        <f>IF(K378="","",ИТОГ!S378)</f>
        <v/>
      </c>
      <c r="E378" s="24" t="str">
        <f t="shared" si="69"/>
        <v/>
      </c>
      <c r="F378" s="30" t="str">
        <f t="shared" si="70"/>
        <v/>
      </c>
      <c r="G378" s="25" t="str">
        <f t="shared" si="71"/>
        <v/>
      </c>
      <c r="H378" s="29" t="str">
        <f t="shared" ca="1" si="72"/>
        <v/>
      </c>
      <c r="I378" s="24"/>
      <c r="J378" s="30"/>
      <c r="K378" s="27" t="str">
        <f>IF(ИТОГ!A378=0,"",ИТОГ!A378)</f>
        <v/>
      </c>
      <c r="L378" s="26" t="str">
        <f t="shared" si="73"/>
        <v/>
      </c>
      <c r="M378" s="25" t="str">
        <f>IF(K378="","",ИТОГ!Q378)</f>
        <v/>
      </c>
      <c r="N378" s="28" t="str">
        <f>IF(K378="","",ИТОГ!N378)</f>
        <v/>
      </c>
      <c r="O378" s="30" t="str">
        <f t="shared" si="74"/>
        <v/>
      </c>
      <c r="P378" s="24"/>
      <c r="Q378" s="30" t="str">
        <f t="shared" si="75"/>
        <v/>
      </c>
      <c r="R378" s="29" t="str">
        <f t="shared" ca="1" si="76"/>
        <v/>
      </c>
    </row>
    <row r="379" spans="1:18">
      <c r="A379" s="23" t="str">
        <f t="shared" si="66"/>
        <v/>
      </c>
      <c r="B379" s="23" t="str">
        <f t="shared" si="67"/>
        <v/>
      </c>
      <c r="C379" s="29" t="str">
        <f t="shared" ca="1" si="68"/>
        <v/>
      </c>
      <c r="D379" s="22" t="str">
        <f>IF(K379="","",ИТОГ!S379)</f>
        <v/>
      </c>
      <c r="E379" s="24" t="str">
        <f t="shared" si="69"/>
        <v/>
      </c>
      <c r="F379" s="30" t="str">
        <f t="shared" si="70"/>
        <v/>
      </c>
      <c r="G379" s="25" t="str">
        <f t="shared" si="71"/>
        <v/>
      </c>
      <c r="H379" s="29" t="str">
        <f t="shared" ca="1" si="72"/>
        <v/>
      </c>
      <c r="I379" s="24"/>
      <c r="J379" s="30"/>
      <c r="K379" s="27" t="str">
        <f>IF(ИТОГ!A379=0,"",ИТОГ!A379)</f>
        <v/>
      </c>
      <c r="L379" s="26" t="str">
        <f t="shared" si="73"/>
        <v/>
      </c>
      <c r="M379" s="25" t="str">
        <f>IF(K379="","",ИТОГ!Q379)</f>
        <v/>
      </c>
      <c r="N379" s="28" t="str">
        <f>IF(K379="","",ИТОГ!N379)</f>
        <v/>
      </c>
      <c r="O379" s="30" t="str">
        <f t="shared" si="74"/>
        <v/>
      </c>
      <c r="P379" s="24"/>
      <c r="Q379" s="30" t="str">
        <f t="shared" si="75"/>
        <v/>
      </c>
      <c r="R379" s="29" t="str">
        <f t="shared" ca="1" si="76"/>
        <v/>
      </c>
    </row>
    <row r="380" spans="1:18">
      <c r="A380" s="23" t="str">
        <f t="shared" si="66"/>
        <v/>
      </c>
      <c r="B380" s="23" t="str">
        <f t="shared" si="67"/>
        <v/>
      </c>
      <c r="C380" s="29" t="str">
        <f t="shared" ca="1" si="68"/>
        <v/>
      </c>
      <c r="D380" s="22" t="str">
        <f>IF(K380="","",ИТОГ!S380)</f>
        <v/>
      </c>
      <c r="E380" s="24" t="str">
        <f t="shared" si="69"/>
        <v/>
      </c>
      <c r="F380" s="30" t="str">
        <f t="shared" si="70"/>
        <v/>
      </c>
      <c r="G380" s="25" t="str">
        <f t="shared" si="71"/>
        <v/>
      </c>
      <c r="H380" s="29" t="str">
        <f t="shared" ca="1" si="72"/>
        <v/>
      </c>
      <c r="I380" s="24"/>
      <c r="J380" s="30"/>
      <c r="K380" s="27" t="str">
        <f>IF(ИТОГ!A380=0,"",ИТОГ!A380)</f>
        <v/>
      </c>
      <c r="L380" s="26" t="str">
        <f t="shared" si="73"/>
        <v/>
      </c>
      <c r="M380" s="25" t="str">
        <f>IF(K380="","",ИТОГ!Q380)</f>
        <v/>
      </c>
      <c r="N380" s="28" t="str">
        <f>IF(K380="","",ИТОГ!N380)</f>
        <v/>
      </c>
      <c r="O380" s="30" t="str">
        <f t="shared" si="74"/>
        <v/>
      </c>
      <c r="P380" s="24"/>
      <c r="Q380" s="30" t="str">
        <f t="shared" si="75"/>
        <v/>
      </c>
      <c r="R380" s="29" t="str">
        <f t="shared" ca="1" si="76"/>
        <v/>
      </c>
    </row>
    <row r="381" spans="1:18">
      <c r="A381" s="23" t="str">
        <f t="shared" si="66"/>
        <v/>
      </c>
      <c r="B381" s="23" t="str">
        <f t="shared" si="67"/>
        <v/>
      </c>
      <c r="C381" s="29" t="str">
        <f t="shared" ca="1" si="68"/>
        <v/>
      </c>
      <c r="D381" s="22" t="str">
        <f>IF(K381="","",ИТОГ!S381)</f>
        <v/>
      </c>
      <c r="E381" s="24" t="str">
        <f t="shared" si="69"/>
        <v/>
      </c>
      <c r="F381" s="30" t="str">
        <f t="shared" si="70"/>
        <v/>
      </c>
      <c r="G381" s="25" t="str">
        <f t="shared" si="71"/>
        <v/>
      </c>
      <c r="H381" s="29" t="str">
        <f t="shared" ca="1" si="72"/>
        <v/>
      </c>
      <c r="I381" s="24"/>
      <c r="J381" s="30"/>
      <c r="K381" s="27" t="str">
        <f>IF(ИТОГ!A381=0,"",ИТОГ!A381)</f>
        <v/>
      </c>
      <c r="L381" s="26" t="str">
        <f t="shared" si="73"/>
        <v/>
      </c>
      <c r="M381" s="25" t="str">
        <f>IF(K381="","",ИТОГ!Q381)</f>
        <v/>
      </c>
      <c r="N381" s="28" t="str">
        <f>IF(K381="","",ИТОГ!N381)</f>
        <v/>
      </c>
      <c r="O381" s="30" t="str">
        <f t="shared" si="74"/>
        <v/>
      </c>
      <c r="P381" s="24"/>
      <c r="Q381" s="30" t="str">
        <f t="shared" si="75"/>
        <v/>
      </c>
      <c r="R381" s="29" t="str">
        <f t="shared" ca="1" si="76"/>
        <v/>
      </c>
    </row>
    <row r="382" spans="1:18">
      <c r="A382" s="23" t="str">
        <f t="shared" si="66"/>
        <v/>
      </c>
      <c r="B382" s="23" t="str">
        <f t="shared" si="67"/>
        <v/>
      </c>
      <c r="C382" s="29" t="str">
        <f t="shared" ca="1" si="68"/>
        <v/>
      </c>
      <c r="D382" s="22" t="str">
        <f>IF(K382="","",ИТОГ!S382)</f>
        <v/>
      </c>
      <c r="E382" s="24" t="str">
        <f t="shared" si="69"/>
        <v/>
      </c>
      <c r="F382" s="30" t="str">
        <f t="shared" si="70"/>
        <v/>
      </c>
      <c r="G382" s="25" t="str">
        <f t="shared" si="71"/>
        <v/>
      </c>
      <c r="H382" s="29" t="str">
        <f t="shared" ca="1" si="72"/>
        <v/>
      </c>
      <c r="I382" s="24"/>
      <c r="J382" s="30"/>
      <c r="K382" s="27" t="str">
        <f>IF(ИТОГ!A382=0,"",ИТОГ!A382)</f>
        <v/>
      </c>
      <c r="L382" s="26" t="str">
        <f t="shared" si="73"/>
        <v/>
      </c>
      <c r="M382" s="25" t="str">
        <f>IF(K382="","",ИТОГ!Q382)</f>
        <v/>
      </c>
      <c r="N382" s="28" t="str">
        <f>IF(K382="","",ИТОГ!N382)</f>
        <v/>
      </c>
      <c r="O382" s="30" t="str">
        <f t="shared" si="74"/>
        <v/>
      </c>
      <c r="P382" s="24"/>
      <c r="Q382" s="30" t="str">
        <f t="shared" si="75"/>
        <v/>
      </c>
      <c r="R382" s="29" t="str">
        <f t="shared" ca="1" si="76"/>
        <v/>
      </c>
    </row>
    <row r="383" spans="1:18">
      <c r="A383" s="23" t="str">
        <f t="shared" si="66"/>
        <v/>
      </c>
      <c r="B383" s="23" t="str">
        <f t="shared" si="67"/>
        <v/>
      </c>
      <c r="C383" s="29" t="str">
        <f t="shared" ca="1" si="68"/>
        <v/>
      </c>
      <c r="D383" s="22" t="str">
        <f>IF(K383="","",ИТОГ!S383)</f>
        <v/>
      </c>
      <c r="E383" s="24" t="str">
        <f t="shared" si="69"/>
        <v/>
      </c>
      <c r="F383" s="30" t="str">
        <f t="shared" si="70"/>
        <v/>
      </c>
      <c r="G383" s="25" t="str">
        <f t="shared" si="71"/>
        <v/>
      </c>
      <c r="H383" s="29" t="str">
        <f t="shared" ca="1" si="72"/>
        <v/>
      </c>
      <c r="I383" s="24"/>
      <c r="J383" s="30"/>
      <c r="K383" s="27" t="str">
        <f>IF(ИТОГ!A383=0,"",ИТОГ!A383)</f>
        <v/>
      </c>
      <c r="L383" s="26" t="str">
        <f t="shared" si="73"/>
        <v/>
      </c>
      <c r="M383" s="25" t="str">
        <f>IF(K383="","",ИТОГ!Q383)</f>
        <v/>
      </c>
      <c r="N383" s="28" t="str">
        <f>IF(K383="","",ИТОГ!N383)</f>
        <v/>
      </c>
      <c r="O383" s="30" t="str">
        <f t="shared" si="74"/>
        <v/>
      </c>
      <c r="P383" s="24"/>
      <c r="Q383" s="30" t="str">
        <f t="shared" si="75"/>
        <v/>
      </c>
      <c r="R383" s="29" t="str">
        <f t="shared" ca="1" si="76"/>
        <v/>
      </c>
    </row>
    <row r="384" spans="1:18">
      <c r="A384" s="23" t="str">
        <f t="shared" si="66"/>
        <v/>
      </c>
      <c r="B384" s="23" t="str">
        <f t="shared" si="67"/>
        <v/>
      </c>
      <c r="C384" s="29" t="str">
        <f t="shared" ca="1" si="68"/>
        <v/>
      </c>
      <c r="D384" s="22" t="str">
        <f>IF(K384="","",ИТОГ!S384)</f>
        <v/>
      </c>
      <c r="E384" s="24" t="str">
        <f t="shared" si="69"/>
        <v/>
      </c>
      <c r="F384" s="30" t="str">
        <f t="shared" si="70"/>
        <v/>
      </c>
      <c r="G384" s="25" t="str">
        <f t="shared" si="71"/>
        <v/>
      </c>
      <c r="H384" s="29" t="str">
        <f t="shared" ca="1" si="72"/>
        <v/>
      </c>
      <c r="I384" s="24"/>
      <c r="J384" s="30"/>
      <c r="K384" s="27" t="str">
        <f>IF(ИТОГ!A384=0,"",ИТОГ!A384)</f>
        <v/>
      </c>
      <c r="L384" s="26" t="str">
        <f t="shared" si="73"/>
        <v/>
      </c>
      <c r="M384" s="25" t="str">
        <f>IF(K384="","",ИТОГ!Q384)</f>
        <v/>
      </c>
      <c r="N384" s="28" t="str">
        <f>IF(K384="","",ИТОГ!N384)</f>
        <v/>
      </c>
      <c r="O384" s="30" t="str">
        <f t="shared" si="74"/>
        <v/>
      </c>
      <c r="P384" s="24"/>
      <c r="Q384" s="30" t="str">
        <f t="shared" si="75"/>
        <v/>
      </c>
      <c r="R384" s="29" t="str">
        <f t="shared" ca="1" si="76"/>
        <v/>
      </c>
    </row>
    <row r="385" spans="1:18">
      <c r="A385" s="23" t="str">
        <f t="shared" si="66"/>
        <v/>
      </c>
      <c r="B385" s="23" t="str">
        <f t="shared" si="67"/>
        <v/>
      </c>
      <c r="C385" s="29" t="str">
        <f t="shared" ca="1" si="68"/>
        <v/>
      </c>
      <c r="D385" s="22" t="str">
        <f>IF(K385="","",ИТОГ!S385)</f>
        <v/>
      </c>
      <c r="E385" s="24" t="str">
        <f t="shared" si="69"/>
        <v/>
      </c>
      <c r="F385" s="30" t="str">
        <f t="shared" si="70"/>
        <v/>
      </c>
      <c r="G385" s="25" t="str">
        <f t="shared" si="71"/>
        <v/>
      </c>
      <c r="H385" s="29" t="str">
        <f t="shared" ca="1" si="72"/>
        <v/>
      </c>
      <c r="I385" s="24"/>
      <c r="J385" s="30"/>
      <c r="K385" s="27" t="str">
        <f>IF(ИТОГ!A385=0,"",ИТОГ!A385)</f>
        <v/>
      </c>
      <c r="L385" s="26" t="str">
        <f t="shared" si="73"/>
        <v/>
      </c>
      <c r="M385" s="25" t="str">
        <f>IF(K385="","",ИТОГ!Q385)</f>
        <v/>
      </c>
      <c r="N385" s="28" t="str">
        <f>IF(K385="","",ИТОГ!N385)</f>
        <v/>
      </c>
      <c r="O385" s="30" t="str">
        <f t="shared" si="74"/>
        <v/>
      </c>
      <c r="P385" s="24"/>
      <c r="Q385" s="30" t="str">
        <f t="shared" si="75"/>
        <v/>
      </c>
      <c r="R385" s="29" t="str">
        <f t="shared" ca="1" si="76"/>
        <v/>
      </c>
    </row>
    <row r="386" spans="1:18">
      <c r="A386" s="23" t="str">
        <f t="shared" si="66"/>
        <v/>
      </c>
      <c r="B386" s="23" t="str">
        <f t="shared" si="67"/>
        <v/>
      </c>
      <c r="C386" s="29" t="str">
        <f t="shared" ca="1" si="68"/>
        <v/>
      </c>
      <c r="D386" s="22" t="str">
        <f>IF(K386="","",ИТОГ!S386)</f>
        <v/>
      </c>
      <c r="E386" s="24" t="str">
        <f t="shared" si="69"/>
        <v/>
      </c>
      <c r="F386" s="30" t="str">
        <f t="shared" si="70"/>
        <v/>
      </c>
      <c r="G386" s="25" t="str">
        <f t="shared" si="71"/>
        <v/>
      </c>
      <c r="H386" s="29" t="str">
        <f t="shared" ca="1" si="72"/>
        <v/>
      </c>
      <c r="I386" s="24"/>
      <c r="J386" s="30"/>
      <c r="K386" s="27" t="str">
        <f>IF(ИТОГ!A386=0,"",ИТОГ!A386)</f>
        <v/>
      </c>
      <c r="L386" s="26" t="str">
        <f t="shared" si="73"/>
        <v/>
      </c>
      <c r="M386" s="25" t="str">
        <f>IF(K386="","",ИТОГ!Q386)</f>
        <v/>
      </c>
      <c r="N386" s="28" t="str">
        <f>IF(K386="","",ИТОГ!N386)</f>
        <v/>
      </c>
      <c r="O386" s="30" t="str">
        <f t="shared" si="74"/>
        <v/>
      </c>
      <c r="P386" s="24"/>
      <c r="Q386" s="30" t="str">
        <f t="shared" si="75"/>
        <v/>
      </c>
      <c r="R386" s="29" t="str">
        <f t="shared" ca="1" si="76"/>
        <v/>
      </c>
    </row>
    <row r="387" spans="1:18">
      <c r="A387" s="23" t="str">
        <f t="shared" si="66"/>
        <v/>
      </c>
      <c r="B387" s="23" t="str">
        <f t="shared" si="67"/>
        <v/>
      </c>
      <c r="C387" s="29" t="str">
        <f t="shared" ca="1" si="68"/>
        <v/>
      </c>
      <c r="D387" s="22" t="str">
        <f>IF(K387="","",ИТОГ!S387)</f>
        <v/>
      </c>
      <c r="E387" s="24" t="str">
        <f t="shared" si="69"/>
        <v/>
      </c>
      <c r="F387" s="30" t="str">
        <f t="shared" si="70"/>
        <v/>
      </c>
      <c r="G387" s="25" t="str">
        <f t="shared" si="71"/>
        <v/>
      </c>
      <c r="H387" s="29" t="str">
        <f t="shared" ca="1" si="72"/>
        <v/>
      </c>
      <c r="I387" s="24"/>
      <c r="J387" s="30"/>
      <c r="K387" s="27" t="str">
        <f>IF(ИТОГ!A387=0,"",ИТОГ!A387)</f>
        <v/>
      </c>
      <c r="L387" s="26" t="str">
        <f t="shared" si="73"/>
        <v/>
      </c>
      <c r="M387" s="25" t="str">
        <f>IF(K387="","",ИТОГ!Q387)</f>
        <v/>
      </c>
      <c r="N387" s="28" t="str">
        <f>IF(K387="","",ИТОГ!N387)</f>
        <v/>
      </c>
      <c r="O387" s="30" t="str">
        <f t="shared" si="74"/>
        <v/>
      </c>
      <c r="P387" s="24"/>
      <c r="Q387" s="30" t="str">
        <f t="shared" si="75"/>
        <v/>
      </c>
      <c r="R387" s="29" t="str">
        <f t="shared" ca="1" si="76"/>
        <v/>
      </c>
    </row>
    <row r="388" spans="1:18">
      <c r="A388" s="23" t="str">
        <f t="shared" si="66"/>
        <v/>
      </c>
      <c r="B388" s="23" t="str">
        <f t="shared" si="67"/>
        <v/>
      </c>
      <c r="C388" s="29" t="str">
        <f t="shared" ca="1" si="68"/>
        <v/>
      </c>
      <c r="D388" s="22" t="str">
        <f>IF(K388="","",ИТОГ!S388)</f>
        <v/>
      </c>
      <c r="E388" s="24" t="str">
        <f t="shared" si="69"/>
        <v/>
      </c>
      <c r="F388" s="30" t="str">
        <f t="shared" si="70"/>
        <v/>
      </c>
      <c r="G388" s="25" t="str">
        <f t="shared" si="71"/>
        <v/>
      </c>
      <c r="H388" s="29" t="str">
        <f t="shared" ca="1" si="72"/>
        <v/>
      </c>
      <c r="I388" s="24"/>
      <c r="J388" s="30"/>
      <c r="K388" s="27" t="str">
        <f>IF(ИТОГ!A388=0,"",ИТОГ!A388)</f>
        <v/>
      </c>
      <c r="L388" s="26" t="str">
        <f t="shared" si="73"/>
        <v/>
      </c>
      <c r="M388" s="25" t="str">
        <f>IF(K388="","",ИТОГ!Q388)</f>
        <v/>
      </c>
      <c r="N388" s="28" t="str">
        <f>IF(K388="","",ИТОГ!N388)</f>
        <v/>
      </c>
      <c r="O388" s="30" t="str">
        <f t="shared" si="74"/>
        <v/>
      </c>
      <c r="P388" s="24"/>
      <c r="Q388" s="30" t="str">
        <f t="shared" si="75"/>
        <v/>
      </c>
      <c r="R388" s="29" t="str">
        <f t="shared" ca="1" si="76"/>
        <v/>
      </c>
    </row>
    <row r="389" spans="1:18">
      <c r="A389" s="23" t="str">
        <f t="shared" si="66"/>
        <v/>
      </c>
      <c r="B389" s="23" t="str">
        <f t="shared" si="67"/>
        <v/>
      </c>
      <c r="C389" s="29" t="str">
        <f t="shared" ca="1" si="68"/>
        <v/>
      </c>
      <c r="D389" s="22" t="str">
        <f>IF(K389="","",ИТОГ!S389)</f>
        <v/>
      </c>
      <c r="E389" s="24" t="str">
        <f t="shared" si="69"/>
        <v/>
      </c>
      <c r="F389" s="30" t="str">
        <f t="shared" si="70"/>
        <v/>
      </c>
      <c r="G389" s="25" t="str">
        <f t="shared" si="71"/>
        <v/>
      </c>
      <c r="H389" s="29" t="str">
        <f t="shared" ca="1" si="72"/>
        <v/>
      </c>
      <c r="I389" s="24"/>
      <c r="J389" s="30"/>
      <c r="K389" s="27" t="str">
        <f>IF(ИТОГ!A389=0,"",ИТОГ!A389)</f>
        <v/>
      </c>
      <c r="L389" s="26" t="str">
        <f t="shared" si="73"/>
        <v/>
      </c>
      <c r="M389" s="25" t="str">
        <f>IF(K389="","",ИТОГ!Q389)</f>
        <v/>
      </c>
      <c r="N389" s="28" t="str">
        <f>IF(K389="","",ИТОГ!N389)</f>
        <v/>
      </c>
      <c r="O389" s="30" t="str">
        <f t="shared" si="74"/>
        <v/>
      </c>
      <c r="P389" s="24"/>
      <c r="Q389" s="30" t="str">
        <f t="shared" si="75"/>
        <v/>
      </c>
      <c r="R389" s="29" t="str">
        <f t="shared" ca="1" si="76"/>
        <v/>
      </c>
    </row>
    <row r="390" spans="1:18">
      <c r="A390" s="23" t="str">
        <f t="shared" si="66"/>
        <v/>
      </c>
      <c r="B390" s="23" t="str">
        <f t="shared" si="67"/>
        <v/>
      </c>
      <c r="C390" s="29" t="str">
        <f t="shared" ca="1" si="68"/>
        <v/>
      </c>
      <c r="D390" s="22" t="str">
        <f>IF(K390="","",ИТОГ!S390)</f>
        <v/>
      </c>
      <c r="E390" s="24" t="str">
        <f t="shared" si="69"/>
        <v/>
      </c>
      <c r="F390" s="30" t="str">
        <f t="shared" si="70"/>
        <v/>
      </c>
      <c r="G390" s="25" t="str">
        <f t="shared" si="71"/>
        <v/>
      </c>
      <c r="H390" s="29" t="str">
        <f t="shared" ca="1" si="72"/>
        <v/>
      </c>
      <c r="I390" s="24"/>
      <c r="J390" s="30"/>
      <c r="K390" s="27" t="str">
        <f>IF(ИТОГ!A390=0,"",ИТОГ!A390)</f>
        <v/>
      </c>
      <c r="L390" s="26" t="str">
        <f t="shared" si="73"/>
        <v/>
      </c>
      <c r="M390" s="25" t="str">
        <f>IF(K390="","",ИТОГ!Q390)</f>
        <v/>
      </c>
      <c r="N390" s="28" t="str">
        <f>IF(K390="","",ИТОГ!N390)</f>
        <v/>
      </c>
      <c r="O390" s="30" t="str">
        <f t="shared" si="74"/>
        <v/>
      </c>
      <c r="P390" s="24"/>
      <c r="Q390" s="30" t="str">
        <f t="shared" si="75"/>
        <v/>
      </c>
      <c r="R390" s="29" t="str">
        <f t="shared" ca="1" si="76"/>
        <v/>
      </c>
    </row>
    <row r="391" spans="1:18">
      <c r="A391" s="23" t="str">
        <f t="shared" si="66"/>
        <v/>
      </c>
      <c r="B391" s="23" t="str">
        <f t="shared" si="67"/>
        <v/>
      </c>
      <c r="C391" s="29" t="str">
        <f t="shared" ca="1" si="68"/>
        <v/>
      </c>
      <c r="D391" s="22" t="str">
        <f>IF(K391="","",ИТОГ!S391)</f>
        <v/>
      </c>
      <c r="E391" s="24" t="str">
        <f t="shared" si="69"/>
        <v/>
      </c>
      <c r="F391" s="30" t="str">
        <f t="shared" si="70"/>
        <v/>
      </c>
      <c r="G391" s="25" t="str">
        <f t="shared" si="71"/>
        <v/>
      </c>
      <c r="H391" s="29" t="str">
        <f t="shared" ca="1" si="72"/>
        <v/>
      </c>
      <c r="I391" s="24"/>
      <c r="J391" s="30"/>
      <c r="K391" s="27" t="str">
        <f>IF(ИТОГ!A391=0,"",ИТОГ!A391)</f>
        <v/>
      </c>
      <c r="L391" s="26" t="str">
        <f t="shared" si="73"/>
        <v/>
      </c>
      <c r="M391" s="25" t="str">
        <f>IF(K391="","",ИТОГ!Q391)</f>
        <v/>
      </c>
      <c r="N391" s="28" t="str">
        <f>IF(K391="","",ИТОГ!N391)</f>
        <v/>
      </c>
      <c r="O391" s="30" t="str">
        <f t="shared" si="74"/>
        <v/>
      </c>
      <c r="P391" s="24"/>
      <c r="Q391" s="30" t="str">
        <f t="shared" si="75"/>
        <v/>
      </c>
      <c r="R391" s="29" t="str">
        <f t="shared" ca="1" si="76"/>
        <v/>
      </c>
    </row>
    <row r="392" spans="1:18">
      <c r="A392" s="23" t="str">
        <f t="shared" si="66"/>
        <v/>
      </c>
      <c r="B392" s="23" t="str">
        <f t="shared" si="67"/>
        <v/>
      </c>
      <c r="C392" s="29" t="str">
        <f t="shared" ca="1" si="68"/>
        <v/>
      </c>
      <c r="D392" s="22" t="str">
        <f>IF(K392="","",ИТОГ!S392)</f>
        <v/>
      </c>
      <c r="E392" s="24" t="str">
        <f t="shared" si="69"/>
        <v/>
      </c>
      <c r="F392" s="30" t="str">
        <f t="shared" si="70"/>
        <v/>
      </c>
      <c r="G392" s="25" t="str">
        <f t="shared" si="71"/>
        <v/>
      </c>
      <c r="H392" s="29" t="str">
        <f t="shared" ca="1" si="72"/>
        <v/>
      </c>
      <c r="I392" s="24"/>
      <c r="J392" s="30"/>
      <c r="K392" s="27" t="str">
        <f>IF(ИТОГ!A392=0,"",ИТОГ!A392)</f>
        <v/>
      </c>
      <c r="L392" s="26" t="str">
        <f t="shared" si="73"/>
        <v/>
      </c>
      <c r="M392" s="25" t="str">
        <f>IF(K392="","",ИТОГ!Q392)</f>
        <v/>
      </c>
      <c r="N392" s="28" t="str">
        <f>IF(K392="","",ИТОГ!N392)</f>
        <v/>
      </c>
      <c r="O392" s="30" t="str">
        <f t="shared" si="74"/>
        <v/>
      </c>
      <c r="P392" s="24"/>
      <c r="Q392" s="30" t="str">
        <f t="shared" si="75"/>
        <v/>
      </c>
      <c r="R392" s="29" t="str">
        <f t="shared" ca="1" si="76"/>
        <v/>
      </c>
    </row>
    <row r="393" spans="1:18">
      <c r="A393" s="23" t="str">
        <f t="shared" si="66"/>
        <v/>
      </c>
      <c r="B393" s="23" t="str">
        <f t="shared" si="67"/>
        <v/>
      </c>
      <c r="C393" s="29" t="str">
        <f t="shared" ca="1" si="68"/>
        <v/>
      </c>
      <c r="D393" s="22" t="str">
        <f>IF(K393="","",ИТОГ!S393)</f>
        <v/>
      </c>
      <c r="E393" s="24" t="str">
        <f t="shared" si="69"/>
        <v/>
      </c>
      <c r="F393" s="30" t="str">
        <f t="shared" si="70"/>
        <v/>
      </c>
      <c r="G393" s="25" t="str">
        <f t="shared" si="71"/>
        <v/>
      </c>
      <c r="H393" s="29" t="str">
        <f t="shared" ca="1" si="72"/>
        <v/>
      </c>
      <c r="I393" s="24"/>
      <c r="J393" s="30"/>
      <c r="K393" s="27" t="str">
        <f>IF(ИТОГ!A393=0,"",ИТОГ!A393)</f>
        <v/>
      </c>
      <c r="L393" s="26" t="str">
        <f t="shared" si="73"/>
        <v/>
      </c>
      <c r="M393" s="25" t="str">
        <f>IF(K393="","",ИТОГ!Q393)</f>
        <v/>
      </c>
      <c r="N393" s="28" t="str">
        <f>IF(K393="","",ИТОГ!N393)</f>
        <v/>
      </c>
      <c r="O393" s="30" t="str">
        <f t="shared" si="74"/>
        <v/>
      </c>
      <c r="P393" s="24"/>
      <c r="Q393" s="30" t="str">
        <f t="shared" si="75"/>
        <v/>
      </c>
      <c r="R393" s="29" t="str">
        <f t="shared" ca="1" si="76"/>
        <v/>
      </c>
    </row>
    <row r="394" spans="1:18">
      <c r="A394" s="23" t="str">
        <f t="shared" si="66"/>
        <v/>
      </c>
      <c r="B394" s="23" t="str">
        <f t="shared" si="67"/>
        <v/>
      </c>
      <c r="C394" s="29" t="str">
        <f t="shared" ca="1" si="68"/>
        <v/>
      </c>
      <c r="D394" s="22" t="str">
        <f>IF(K394="","",ИТОГ!S394)</f>
        <v/>
      </c>
      <c r="E394" s="24" t="str">
        <f t="shared" si="69"/>
        <v/>
      </c>
      <c r="F394" s="30" t="str">
        <f t="shared" si="70"/>
        <v/>
      </c>
      <c r="G394" s="25" t="str">
        <f t="shared" si="71"/>
        <v/>
      </c>
      <c r="H394" s="29" t="str">
        <f t="shared" ca="1" si="72"/>
        <v/>
      </c>
      <c r="I394" s="24"/>
      <c r="J394" s="30"/>
      <c r="K394" s="27" t="str">
        <f>IF(ИТОГ!A394=0,"",ИТОГ!A394)</f>
        <v/>
      </c>
      <c r="L394" s="26" t="str">
        <f t="shared" si="73"/>
        <v/>
      </c>
      <c r="M394" s="25" t="str">
        <f>IF(K394="","",ИТОГ!Q394)</f>
        <v/>
      </c>
      <c r="N394" s="28" t="str">
        <f>IF(K394="","",ИТОГ!N394)</f>
        <v/>
      </c>
      <c r="O394" s="30" t="str">
        <f t="shared" si="74"/>
        <v/>
      </c>
      <c r="P394" s="24"/>
      <c r="Q394" s="30" t="str">
        <f t="shared" si="75"/>
        <v/>
      </c>
      <c r="R394" s="29" t="str">
        <f t="shared" ca="1" si="76"/>
        <v/>
      </c>
    </row>
    <row r="395" spans="1:18">
      <c r="A395" s="23" t="str">
        <f t="shared" si="66"/>
        <v/>
      </c>
      <c r="B395" s="23" t="str">
        <f t="shared" si="67"/>
        <v/>
      </c>
      <c r="C395" s="29" t="str">
        <f t="shared" ca="1" si="68"/>
        <v/>
      </c>
      <c r="D395" s="22" t="str">
        <f>IF(K395="","",ИТОГ!S395)</f>
        <v/>
      </c>
      <c r="E395" s="24" t="str">
        <f t="shared" si="69"/>
        <v/>
      </c>
      <c r="F395" s="30" t="str">
        <f t="shared" si="70"/>
        <v/>
      </c>
      <c r="G395" s="25" t="str">
        <f t="shared" si="71"/>
        <v/>
      </c>
      <c r="H395" s="29" t="str">
        <f t="shared" ca="1" si="72"/>
        <v/>
      </c>
      <c r="I395" s="24"/>
      <c r="J395" s="30"/>
      <c r="K395" s="27" t="str">
        <f>IF(ИТОГ!A395=0,"",ИТОГ!A395)</f>
        <v/>
      </c>
      <c r="L395" s="26" t="str">
        <f t="shared" si="73"/>
        <v/>
      </c>
      <c r="M395" s="25" t="str">
        <f>IF(K395="","",ИТОГ!Q395)</f>
        <v/>
      </c>
      <c r="N395" s="28" t="str">
        <f>IF(K395="","",ИТОГ!N395)</f>
        <v/>
      </c>
      <c r="O395" s="30" t="str">
        <f t="shared" si="74"/>
        <v/>
      </c>
      <c r="P395" s="24"/>
      <c r="Q395" s="30" t="str">
        <f t="shared" si="75"/>
        <v/>
      </c>
      <c r="R395" s="29" t="str">
        <f t="shared" ca="1" si="76"/>
        <v/>
      </c>
    </row>
    <row r="396" spans="1:18">
      <c r="A396" s="23" t="str">
        <f t="shared" si="66"/>
        <v/>
      </c>
      <c r="B396" s="23" t="str">
        <f t="shared" si="67"/>
        <v/>
      </c>
      <c r="C396" s="29" t="str">
        <f t="shared" ca="1" si="68"/>
        <v/>
      </c>
      <c r="D396" s="22" t="str">
        <f>IF(K396="","",ИТОГ!S396)</f>
        <v/>
      </c>
      <c r="E396" s="24" t="str">
        <f t="shared" si="69"/>
        <v/>
      </c>
      <c r="F396" s="30" t="str">
        <f t="shared" si="70"/>
        <v/>
      </c>
      <c r="G396" s="25" t="str">
        <f t="shared" si="71"/>
        <v/>
      </c>
      <c r="H396" s="29" t="str">
        <f t="shared" ca="1" si="72"/>
        <v/>
      </c>
      <c r="I396" s="24"/>
      <c r="J396" s="30"/>
      <c r="K396" s="27" t="str">
        <f>IF(ИТОГ!A396=0,"",ИТОГ!A396)</f>
        <v/>
      </c>
      <c r="L396" s="26" t="str">
        <f t="shared" si="73"/>
        <v/>
      </c>
      <c r="M396" s="25" t="str">
        <f>IF(K396="","",ИТОГ!Q396)</f>
        <v/>
      </c>
      <c r="N396" s="28" t="str">
        <f>IF(K396="","",ИТОГ!N396)</f>
        <v/>
      </c>
      <c r="O396" s="30" t="str">
        <f t="shared" si="74"/>
        <v/>
      </c>
      <c r="P396" s="24"/>
      <c r="Q396" s="30" t="str">
        <f t="shared" si="75"/>
        <v/>
      </c>
      <c r="R396" s="29" t="str">
        <f t="shared" ca="1" si="76"/>
        <v/>
      </c>
    </row>
    <row r="397" spans="1:18">
      <c r="A397" s="23" t="str">
        <f t="shared" si="66"/>
        <v/>
      </c>
      <c r="B397" s="23" t="str">
        <f t="shared" si="67"/>
        <v/>
      </c>
      <c r="C397" s="29" t="str">
        <f t="shared" ca="1" si="68"/>
        <v/>
      </c>
      <c r="D397" s="22" t="str">
        <f>IF(K397="","",ИТОГ!S397)</f>
        <v/>
      </c>
      <c r="E397" s="24" t="str">
        <f t="shared" si="69"/>
        <v/>
      </c>
      <c r="F397" s="30" t="str">
        <f t="shared" si="70"/>
        <v/>
      </c>
      <c r="G397" s="25" t="str">
        <f t="shared" si="71"/>
        <v/>
      </c>
      <c r="H397" s="29" t="str">
        <f t="shared" ca="1" si="72"/>
        <v/>
      </c>
      <c r="I397" s="24"/>
      <c r="J397" s="30"/>
      <c r="K397" s="27" t="str">
        <f>IF(ИТОГ!A397=0,"",ИТОГ!A397)</f>
        <v/>
      </c>
      <c r="L397" s="26" t="str">
        <f t="shared" si="73"/>
        <v/>
      </c>
      <c r="M397" s="25" t="str">
        <f>IF(K397="","",ИТОГ!Q397)</f>
        <v/>
      </c>
      <c r="N397" s="28" t="str">
        <f>IF(K397="","",ИТОГ!N397)</f>
        <v/>
      </c>
      <c r="O397" s="30" t="str">
        <f t="shared" si="74"/>
        <v/>
      </c>
      <c r="P397" s="24"/>
      <c r="Q397" s="30" t="str">
        <f t="shared" si="75"/>
        <v/>
      </c>
      <c r="R397" s="29" t="str">
        <f t="shared" ca="1" si="76"/>
        <v/>
      </c>
    </row>
    <row r="398" spans="1:18">
      <c r="A398" s="23" t="str">
        <f t="shared" si="66"/>
        <v/>
      </c>
      <c r="B398" s="23" t="str">
        <f t="shared" si="67"/>
        <v/>
      </c>
      <c r="C398" s="29" t="str">
        <f t="shared" ca="1" si="68"/>
        <v/>
      </c>
      <c r="D398" s="22" t="str">
        <f>IF(K398="","",ИТОГ!S398)</f>
        <v/>
      </c>
      <c r="E398" s="24" t="str">
        <f t="shared" si="69"/>
        <v/>
      </c>
      <c r="F398" s="30" t="str">
        <f t="shared" si="70"/>
        <v/>
      </c>
      <c r="G398" s="25" t="str">
        <f t="shared" si="71"/>
        <v/>
      </c>
      <c r="H398" s="29" t="str">
        <f t="shared" ca="1" si="72"/>
        <v/>
      </c>
      <c r="I398" s="24"/>
      <c r="J398" s="30"/>
      <c r="K398" s="27" t="str">
        <f>IF(ИТОГ!A398=0,"",ИТОГ!A398)</f>
        <v/>
      </c>
      <c r="L398" s="26" t="str">
        <f t="shared" si="73"/>
        <v/>
      </c>
      <c r="M398" s="25" t="str">
        <f>IF(K398="","",ИТОГ!Q398)</f>
        <v/>
      </c>
      <c r="N398" s="28" t="str">
        <f>IF(K398="","",ИТОГ!N398)</f>
        <v/>
      </c>
      <c r="O398" s="30" t="str">
        <f t="shared" si="74"/>
        <v/>
      </c>
      <c r="P398" s="24"/>
      <c r="Q398" s="30" t="str">
        <f t="shared" si="75"/>
        <v/>
      </c>
      <c r="R398" s="29" t="str">
        <f t="shared" ca="1" si="76"/>
        <v/>
      </c>
    </row>
    <row r="399" spans="1:18">
      <c r="A399" s="23" t="str">
        <f t="shared" si="66"/>
        <v/>
      </c>
      <c r="B399" s="23" t="str">
        <f t="shared" si="67"/>
        <v/>
      </c>
      <c r="C399" s="29" t="str">
        <f t="shared" ca="1" si="68"/>
        <v/>
      </c>
      <c r="D399" s="22" t="str">
        <f>IF(K399="","",ИТОГ!S399)</f>
        <v/>
      </c>
      <c r="E399" s="24" t="str">
        <f t="shared" si="69"/>
        <v/>
      </c>
      <c r="F399" s="30" t="str">
        <f t="shared" si="70"/>
        <v/>
      </c>
      <c r="G399" s="25" t="str">
        <f t="shared" si="71"/>
        <v/>
      </c>
      <c r="H399" s="29" t="str">
        <f t="shared" ca="1" si="72"/>
        <v/>
      </c>
      <c r="I399" s="24"/>
      <c r="J399" s="30"/>
      <c r="K399" s="27" t="str">
        <f>IF(ИТОГ!A399=0,"",ИТОГ!A399)</f>
        <v/>
      </c>
      <c r="L399" s="26" t="str">
        <f t="shared" si="73"/>
        <v/>
      </c>
      <c r="M399" s="25" t="str">
        <f>IF(K399="","",ИТОГ!Q399)</f>
        <v/>
      </c>
      <c r="N399" s="28" t="str">
        <f>IF(K399="","",ИТОГ!N399)</f>
        <v/>
      </c>
      <c r="O399" s="30" t="str">
        <f t="shared" si="74"/>
        <v/>
      </c>
      <c r="P399" s="24"/>
      <c r="Q399" s="30" t="str">
        <f t="shared" si="75"/>
        <v/>
      </c>
      <c r="R399" s="29" t="str">
        <f t="shared" ca="1" si="76"/>
        <v/>
      </c>
    </row>
    <row r="400" spans="1:18">
      <c r="A400" s="23" t="str">
        <f t="shared" si="66"/>
        <v/>
      </c>
      <c r="B400" s="23" t="str">
        <f t="shared" si="67"/>
        <v/>
      </c>
      <c r="C400" s="29" t="str">
        <f t="shared" ca="1" si="68"/>
        <v/>
      </c>
      <c r="D400" s="22" t="str">
        <f>IF(K400="","",ИТОГ!S400)</f>
        <v/>
      </c>
      <c r="E400" s="24" t="str">
        <f t="shared" si="69"/>
        <v/>
      </c>
      <c r="F400" s="30" t="str">
        <f t="shared" si="70"/>
        <v/>
      </c>
      <c r="G400" s="25" t="str">
        <f t="shared" si="71"/>
        <v/>
      </c>
      <c r="H400" s="29" t="str">
        <f t="shared" ca="1" si="72"/>
        <v/>
      </c>
      <c r="I400" s="24"/>
      <c r="J400" s="30"/>
      <c r="K400" s="27" t="str">
        <f>IF(ИТОГ!A400=0,"",ИТОГ!A400)</f>
        <v/>
      </c>
      <c r="L400" s="26" t="str">
        <f t="shared" si="73"/>
        <v/>
      </c>
      <c r="M400" s="25" t="str">
        <f>IF(K400="","",ИТОГ!Q400)</f>
        <v/>
      </c>
      <c r="N400" s="28" t="str">
        <f>IF(K400="","",ИТОГ!N400)</f>
        <v/>
      </c>
      <c r="O400" s="30" t="str">
        <f t="shared" si="74"/>
        <v/>
      </c>
      <c r="P400" s="24"/>
      <c r="Q400" s="30" t="str">
        <f t="shared" si="75"/>
        <v/>
      </c>
      <c r="R400" s="29" t="str">
        <f t="shared" ca="1" si="76"/>
        <v/>
      </c>
    </row>
    <row r="401" spans="1:18">
      <c r="A401" s="23" t="str">
        <f t="shared" si="66"/>
        <v/>
      </c>
      <c r="B401" s="23" t="str">
        <f t="shared" si="67"/>
        <v/>
      </c>
      <c r="C401" s="29" t="str">
        <f t="shared" ca="1" si="68"/>
        <v/>
      </c>
      <c r="D401" s="22" t="str">
        <f>IF(K401="","",ИТОГ!S401)</f>
        <v/>
      </c>
      <c r="E401" s="24" t="str">
        <f t="shared" si="69"/>
        <v/>
      </c>
      <c r="F401" s="30" t="str">
        <f t="shared" si="70"/>
        <v/>
      </c>
      <c r="G401" s="25" t="str">
        <f t="shared" si="71"/>
        <v/>
      </c>
      <c r="H401" s="29" t="str">
        <f t="shared" ca="1" si="72"/>
        <v/>
      </c>
      <c r="I401" s="24"/>
      <c r="J401" s="30"/>
      <c r="K401" s="27" t="str">
        <f>IF(ИТОГ!A401=0,"",ИТОГ!A401)</f>
        <v/>
      </c>
      <c r="L401" s="26" t="str">
        <f t="shared" si="73"/>
        <v/>
      </c>
      <c r="M401" s="25" t="str">
        <f>IF(K401="","",ИТОГ!Q401)</f>
        <v/>
      </c>
      <c r="N401" s="28" t="str">
        <f>IF(K401="","",ИТОГ!N401)</f>
        <v/>
      </c>
      <c r="O401" s="30" t="str">
        <f t="shared" si="74"/>
        <v/>
      </c>
      <c r="P401" s="24"/>
      <c r="Q401" s="30" t="str">
        <f t="shared" si="75"/>
        <v/>
      </c>
      <c r="R401" s="29" t="str">
        <f t="shared" ca="1" si="76"/>
        <v/>
      </c>
    </row>
    <row r="402" spans="1:18">
      <c r="A402" s="23" t="str">
        <f t="shared" si="66"/>
        <v/>
      </c>
      <c r="B402" s="23" t="str">
        <f t="shared" si="67"/>
        <v/>
      </c>
      <c r="C402" s="29" t="str">
        <f t="shared" ca="1" si="68"/>
        <v/>
      </c>
      <c r="D402" s="22" t="str">
        <f>IF(K402="","",ИТОГ!S402)</f>
        <v/>
      </c>
      <c r="E402" s="24" t="str">
        <f t="shared" si="69"/>
        <v/>
      </c>
      <c r="F402" s="30" t="str">
        <f t="shared" si="70"/>
        <v/>
      </c>
      <c r="G402" s="25" t="str">
        <f t="shared" si="71"/>
        <v/>
      </c>
      <c r="H402" s="29" t="str">
        <f t="shared" ca="1" si="72"/>
        <v/>
      </c>
      <c r="I402" s="24"/>
      <c r="J402" s="30"/>
      <c r="K402" s="27" t="str">
        <f>IF(ИТОГ!A402=0,"",ИТОГ!A402)</f>
        <v/>
      </c>
      <c r="L402" s="26" t="str">
        <f t="shared" si="73"/>
        <v/>
      </c>
      <c r="M402" s="25" t="str">
        <f>IF(K402="","",ИТОГ!Q402)</f>
        <v/>
      </c>
      <c r="N402" s="28" t="str">
        <f>IF(K402="","",ИТОГ!N402)</f>
        <v/>
      </c>
      <c r="O402" s="30" t="str">
        <f t="shared" si="74"/>
        <v/>
      </c>
      <c r="P402" s="24"/>
      <c r="Q402" s="30" t="str">
        <f t="shared" si="75"/>
        <v/>
      </c>
      <c r="R402" s="29" t="str">
        <f t="shared" ca="1" si="76"/>
        <v/>
      </c>
    </row>
    <row r="403" spans="1:18">
      <c r="A403" s="23" t="str">
        <f t="shared" si="66"/>
        <v/>
      </c>
      <c r="B403" s="23" t="str">
        <f t="shared" si="67"/>
        <v/>
      </c>
      <c r="C403" s="29" t="str">
        <f t="shared" ca="1" si="68"/>
        <v/>
      </c>
      <c r="D403" s="22" t="str">
        <f>IF(K403="","",ИТОГ!S403)</f>
        <v/>
      </c>
      <c r="E403" s="24" t="str">
        <f t="shared" si="69"/>
        <v/>
      </c>
      <c r="F403" s="30" t="str">
        <f t="shared" si="70"/>
        <v/>
      </c>
      <c r="G403" s="25" t="str">
        <f t="shared" si="71"/>
        <v/>
      </c>
      <c r="H403" s="29" t="str">
        <f t="shared" ca="1" si="72"/>
        <v/>
      </c>
      <c r="I403" s="24"/>
      <c r="J403" s="30"/>
      <c r="K403" s="27" t="str">
        <f>IF(ИТОГ!A403=0,"",ИТОГ!A403)</f>
        <v/>
      </c>
      <c r="L403" s="26" t="str">
        <f t="shared" si="73"/>
        <v/>
      </c>
      <c r="M403" s="25" t="str">
        <f>IF(K403="","",ИТОГ!Q403)</f>
        <v/>
      </c>
      <c r="N403" s="28" t="str">
        <f>IF(K403="","",ИТОГ!N403)</f>
        <v/>
      </c>
      <c r="O403" s="30" t="str">
        <f t="shared" si="74"/>
        <v/>
      </c>
      <c r="P403" s="24"/>
      <c r="Q403" s="30" t="str">
        <f t="shared" si="75"/>
        <v/>
      </c>
      <c r="R403" s="29" t="str">
        <f t="shared" ca="1" si="76"/>
        <v/>
      </c>
    </row>
    <row r="404" spans="1:18">
      <c r="A404" s="23" t="str">
        <f t="shared" si="66"/>
        <v/>
      </c>
      <c r="B404" s="23" t="str">
        <f t="shared" si="67"/>
        <v/>
      </c>
      <c r="C404" s="29" t="str">
        <f t="shared" ca="1" si="68"/>
        <v/>
      </c>
      <c r="D404" s="22" t="str">
        <f>IF(K404="","",ИТОГ!S404)</f>
        <v/>
      </c>
      <c r="E404" s="24" t="str">
        <f t="shared" si="69"/>
        <v/>
      </c>
      <c r="F404" s="30" t="str">
        <f t="shared" si="70"/>
        <v/>
      </c>
      <c r="G404" s="25" t="str">
        <f t="shared" si="71"/>
        <v/>
      </c>
      <c r="H404" s="29" t="str">
        <f t="shared" ca="1" si="72"/>
        <v/>
      </c>
      <c r="I404" s="24"/>
      <c r="J404" s="30"/>
      <c r="K404" s="27" t="str">
        <f>IF(ИТОГ!A404=0,"",ИТОГ!A404)</f>
        <v/>
      </c>
      <c r="L404" s="26" t="str">
        <f t="shared" si="73"/>
        <v/>
      </c>
      <c r="M404" s="25" t="str">
        <f>IF(K404="","",ИТОГ!Q404)</f>
        <v/>
      </c>
      <c r="N404" s="28" t="str">
        <f>IF(K404="","",ИТОГ!N404)</f>
        <v/>
      </c>
      <c r="O404" s="30" t="str">
        <f t="shared" si="74"/>
        <v/>
      </c>
      <c r="P404" s="24"/>
      <c r="Q404" s="30" t="str">
        <f t="shared" si="75"/>
        <v/>
      </c>
      <c r="R404" s="29" t="str">
        <f t="shared" ca="1" si="76"/>
        <v/>
      </c>
    </row>
    <row r="405" spans="1:18">
      <c r="A405" s="23" t="str">
        <f t="shared" si="66"/>
        <v/>
      </c>
      <c r="B405" s="23" t="str">
        <f t="shared" si="67"/>
        <v/>
      </c>
      <c r="C405" s="29" t="str">
        <f t="shared" ca="1" si="68"/>
        <v/>
      </c>
      <c r="D405" s="22" t="str">
        <f>IF(K405="","",ИТОГ!S405)</f>
        <v/>
      </c>
      <c r="E405" s="24" t="str">
        <f t="shared" si="69"/>
        <v/>
      </c>
      <c r="F405" s="30" t="str">
        <f t="shared" si="70"/>
        <v/>
      </c>
      <c r="G405" s="25" t="str">
        <f t="shared" si="71"/>
        <v/>
      </c>
      <c r="H405" s="29" t="str">
        <f t="shared" ca="1" si="72"/>
        <v/>
      </c>
      <c r="I405" s="24"/>
      <c r="J405" s="30"/>
      <c r="K405" s="27" t="str">
        <f>IF(ИТОГ!A405=0,"",ИТОГ!A405)</f>
        <v/>
      </c>
      <c r="L405" s="26" t="str">
        <f t="shared" si="73"/>
        <v/>
      </c>
      <c r="M405" s="25" t="str">
        <f>IF(K405="","",ИТОГ!Q405)</f>
        <v/>
      </c>
      <c r="N405" s="28" t="str">
        <f>IF(K405="","",ИТОГ!N405)</f>
        <v/>
      </c>
      <c r="O405" s="30" t="str">
        <f t="shared" si="74"/>
        <v/>
      </c>
      <c r="P405" s="24"/>
      <c r="Q405" s="30" t="str">
        <f t="shared" si="75"/>
        <v/>
      </c>
      <c r="R405" s="29" t="str">
        <f t="shared" ca="1" si="76"/>
        <v/>
      </c>
    </row>
    <row r="406" spans="1:18">
      <c r="A406" s="23" t="str">
        <f t="shared" si="66"/>
        <v/>
      </c>
      <c r="B406" s="23" t="str">
        <f t="shared" si="67"/>
        <v/>
      </c>
      <c r="C406" s="29" t="str">
        <f t="shared" ca="1" si="68"/>
        <v/>
      </c>
      <c r="D406" s="22" t="str">
        <f>IF(K406="","",ИТОГ!S406)</f>
        <v/>
      </c>
      <c r="E406" s="24" t="str">
        <f t="shared" si="69"/>
        <v/>
      </c>
      <c r="F406" s="30" t="str">
        <f t="shared" si="70"/>
        <v/>
      </c>
      <c r="G406" s="25" t="str">
        <f t="shared" si="71"/>
        <v/>
      </c>
      <c r="H406" s="29" t="str">
        <f t="shared" ca="1" si="72"/>
        <v/>
      </c>
      <c r="I406" s="24"/>
      <c r="J406" s="30"/>
      <c r="K406" s="27" t="str">
        <f>IF(ИТОГ!A406=0,"",ИТОГ!A406)</f>
        <v/>
      </c>
      <c r="L406" s="26" t="str">
        <f t="shared" si="73"/>
        <v/>
      </c>
      <c r="M406" s="25" t="str">
        <f>IF(K406="","",ИТОГ!Q406)</f>
        <v/>
      </c>
      <c r="N406" s="28" t="str">
        <f>IF(K406="","",ИТОГ!N406)</f>
        <v/>
      </c>
      <c r="O406" s="30" t="str">
        <f t="shared" si="74"/>
        <v/>
      </c>
      <c r="P406" s="24"/>
      <c r="Q406" s="30" t="str">
        <f t="shared" si="75"/>
        <v/>
      </c>
      <c r="R406" s="29" t="str">
        <f t="shared" ca="1" si="76"/>
        <v/>
      </c>
    </row>
    <row r="407" spans="1:18">
      <c r="A407" s="23" t="str">
        <f t="shared" si="66"/>
        <v/>
      </c>
      <c r="B407" s="23" t="str">
        <f t="shared" si="67"/>
        <v/>
      </c>
      <c r="C407" s="29" t="str">
        <f t="shared" ca="1" si="68"/>
        <v/>
      </c>
      <c r="D407" s="22" t="str">
        <f>IF(K407="","",ИТОГ!S407)</f>
        <v/>
      </c>
      <c r="E407" s="24" t="str">
        <f t="shared" si="69"/>
        <v/>
      </c>
      <c r="F407" s="30" t="str">
        <f t="shared" si="70"/>
        <v/>
      </c>
      <c r="G407" s="25" t="str">
        <f t="shared" si="71"/>
        <v/>
      </c>
      <c r="H407" s="29" t="str">
        <f t="shared" ca="1" si="72"/>
        <v/>
      </c>
      <c r="I407" s="24"/>
      <c r="J407" s="30"/>
      <c r="K407" s="27" t="str">
        <f>IF(ИТОГ!A407=0,"",ИТОГ!A407)</f>
        <v/>
      </c>
      <c r="L407" s="26" t="str">
        <f t="shared" si="73"/>
        <v/>
      </c>
      <c r="M407" s="25" t="str">
        <f>IF(K407="","",ИТОГ!Q407)</f>
        <v/>
      </c>
      <c r="N407" s="28" t="str">
        <f>IF(K407="","",ИТОГ!N407)</f>
        <v/>
      </c>
      <c r="O407" s="30" t="str">
        <f t="shared" si="74"/>
        <v/>
      </c>
      <c r="P407" s="24"/>
      <c r="Q407" s="30" t="str">
        <f t="shared" si="75"/>
        <v/>
      </c>
      <c r="R407" s="29" t="str">
        <f t="shared" ca="1" si="76"/>
        <v/>
      </c>
    </row>
    <row r="408" spans="1:18">
      <c r="A408" s="23" t="str">
        <f t="shared" si="66"/>
        <v/>
      </c>
      <c r="B408" s="23" t="str">
        <f t="shared" si="67"/>
        <v/>
      </c>
      <c r="C408" s="29" t="str">
        <f t="shared" ca="1" si="68"/>
        <v/>
      </c>
      <c r="D408" s="22" t="str">
        <f>IF(K408="","",ИТОГ!S408)</f>
        <v/>
      </c>
      <c r="E408" s="24" t="str">
        <f t="shared" si="69"/>
        <v/>
      </c>
      <c r="F408" s="30" t="str">
        <f t="shared" si="70"/>
        <v/>
      </c>
      <c r="G408" s="25" t="str">
        <f t="shared" si="71"/>
        <v/>
      </c>
      <c r="H408" s="29" t="str">
        <f t="shared" ca="1" si="72"/>
        <v/>
      </c>
      <c r="I408" s="24"/>
      <c r="J408" s="30"/>
      <c r="K408" s="27" t="str">
        <f>IF(ИТОГ!A408=0,"",ИТОГ!A408)</f>
        <v/>
      </c>
      <c r="L408" s="26" t="str">
        <f t="shared" si="73"/>
        <v/>
      </c>
      <c r="M408" s="25" t="str">
        <f>IF(K408="","",ИТОГ!Q408)</f>
        <v/>
      </c>
      <c r="N408" s="28" t="str">
        <f>IF(K408="","",ИТОГ!N408)</f>
        <v/>
      </c>
      <c r="O408" s="30" t="str">
        <f t="shared" si="74"/>
        <v/>
      </c>
      <c r="P408" s="24"/>
      <c r="Q408" s="30" t="str">
        <f t="shared" si="75"/>
        <v/>
      </c>
      <c r="R408" s="29" t="str">
        <f t="shared" ca="1" si="76"/>
        <v/>
      </c>
    </row>
    <row r="409" spans="1:18">
      <c r="A409" s="23" t="str">
        <f t="shared" si="66"/>
        <v/>
      </c>
      <c r="B409" s="23" t="str">
        <f t="shared" si="67"/>
        <v/>
      </c>
      <c r="C409" s="29" t="str">
        <f t="shared" ca="1" si="68"/>
        <v/>
      </c>
      <c r="D409" s="22" t="str">
        <f>IF(K409="","",ИТОГ!S409)</f>
        <v/>
      </c>
      <c r="E409" s="24" t="str">
        <f t="shared" si="69"/>
        <v/>
      </c>
      <c r="F409" s="30" t="str">
        <f t="shared" si="70"/>
        <v/>
      </c>
      <c r="G409" s="25" t="str">
        <f t="shared" si="71"/>
        <v/>
      </c>
      <c r="H409" s="29" t="str">
        <f t="shared" ca="1" si="72"/>
        <v/>
      </c>
      <c r="I409" s="24"/>
      <c r="J409" s="30"/>
      <c r="K409" s="27" t="str">
        <f>IF(ИТОГ!A409=0,"",ИТОГ!A409)</f>
        <v/>
      </c>
      <c r="L409" s="26" t="str">
        <f t="shared" si="73"/>
        <v/>
      </c>
      <c r="M409" s="25" t="str">
        <f>IF(K409="","",ИТОГ!Q409)</f>
        <v/>
      </c>
      <c r="N409" s="28" t="str">
        <f>IF(K409="","",ИТОГ!N409)</f>
        <v/>
      </c>
      <c r="O409" s="30" t="str">
        <f t="shared" si="74"/>
        <v/>
      </c>
      <c r="P409" s="24"/>
      <c r="Q409" s="30" t="str">
        <f t="shared" si="75"/>
        <v/>
      </c>
      <c r="R409" s="29" t="str">
        <f t="shared" ca="1" si="76"/>
        <v/>
      </c>
    </row>
    <row r="410" spans="1:18">
      <c r="A410" s="23" t="str">
        <f t="shared" si="66"/>
        <v/>
      </c>
      <c r="B410" s="23" t="str">
        <f t="shared" si="67"/>
        <v/>
      </c>
      <c r="C410" s="29" t="str">
        <f t="shared" ca="1" si="68"/>
        <v/>
      </c>
      <c r="D410" s="22" t="str">
        <f>IF(K410="","",ИТОГ!S410)</f>
        <v/>
      </c>
      <c r="E410" s="24" t="str">
        <f t="shared" si="69"/>
        <v/>
      </c>
      <c r="F410" s="30" t="str">
        <f t="shared" si="70"/>
        <v/>
      </c>
      <c r="G410" s="25" t="str">
        <f t="shared" si="71"/>
        <v/>
      </c>
      <c r="H410" s="29" t="str">
        <f t="shared" ca="1" si="72"/>
        <v/>
      </c>
      <c r="I410" s="24"/>
      <c r="J410" s="30"/>
      <c r="K410" s="27" t="str">
        <f>IF(ИТОГ!A410=0,"",ИТОГ!A410)</f>
        <v/>
      </c>
      <c r="L410" s="26" t="str">
        <f t="shared" si="73"/>
        <v/>
      </c>
      <c r="M410" s="25" t="str">
        <f>IF(K410="","",ИТОГ!Q410)</f>
        <v/>
      </c>
      <c r="N410" s="28" t="str">
        <f>IF(K410="","",ИТОГ!N410)</f>
        <v/>
      </c>
      <c r="O410" s="30" t="str">
        <f t="shared" si="74"/>
        <v/>
      </c>
      <c r="P410" s="24"/>
      <c r="Q410" s="30" t="str">
        <f t="shared" si="75"/>
        <v/>
      </c>
      <c r="R410" s="29" t="str">
        <f t="shared" ca="1" si="76"/>
        <v/>
      </c>
    </row>
    <row r="411" spans="1:18">
      <c r="A411" s="23" t="str">
        <f t="shared" si="66"/>
        <v/>
      </c>
      <c r="B411" s="23" t="str">
        <f t="shared" si="67"/>
        <v/>
      </c>
      <c r="C411" s="29" t="str">
        <f t="shared" ca="1" si="68"/>
        <v/>
      </c>
      <c r="D411" s="22" t="str">
        <f>IF(K411="","",ИТОГ!S411)</f>
        <v/>
      </c>
      <c r="E411" s="24" t="str">
        <f t="shared" si="69"/>
        <v/>
      </c>
      <c r="F411" s="30" t="str">
        <f t="shared" si="70"/>
        <v/>
      </c>
      <c r="G411" s="25" t="str">
        <f t="shared" si="71"/>
        <v/>
      </c>
      <c r="H411" s="29" t="str">
        <f t="shared" ca="1" si="72"/>
        <v/>
      </c>
      <c r="I411" s="24"/>
      <c r="J411" s="30"/>
      <c r="K411" s="27" t="str">
        <f>IF(ИТОГ!A411=0,"",ИТОГ!A411)</f>
        <v/>
      </c>
      <c r="L411" s="26" t="str">
        <f t="shared" si="73"/>
        <v/>
      </c>
      <c r="M411" s="25" t="str">
        <f>IF(K411="","",ИТОГ!Q411)</f>
        <v/>
      </c>
      <c r="N411" s="28" t="str">
        <f>IF(K411="","",ИТОГ!N411)</f>
        <v/>
      </c>
      <c r="O411" s="30" t="str">
        <f t="shared" si="74"/>
        <v/>
      </c>
      <c r="P411" s="24"/>
      <c r="Q411" s="30" t="str">
        <f t="shared" si="75"/>
        <v/>
      </c>
      <c r="R411" s="29" t="str">
        <f t="shared" ca="1" si="76"/>
        <v/>
      </c>
    </row>
    <row r="412" spans="1:18">
      <c r="A412" s="23" t="str">
        <f t="shared" si="66"/>
        <v/>
      </c>
      <c r="B412" s="23" t="str">
        <f t="shared" si="67"/>
        <v/>
      </c>
      <c r="C412" s="29" t="str">
        <f t="shared" ca="1" si="68"/>
        <v/>
      </c>
      <c r="D412" s="22" t="str">
        <f>IF(K412="","",ИТОГ!S412)</f>
        <v/>
      </c>
      <c r="E412" s="24" t="str">
        <f t="shared" si="69"/>
        <v/>
      </c>
      <c r="F412" s="30" t="str">
        <f t="shared" si="70"/>
        <v/>
      </c>
      <c r="G412" s="25" t="str">
        <f t="shared" si="71"/>
        <v/>
      </c>
      <c r="H412" s="29" t="str">
        <f t="shared" ca="1" si="72"/>
        <v/>
      </c>
      <c r="I412" s="24"/>
      <c r="J412" s="30"/>
      <c r="K412" s="27" t="str">
        <f>IF(ИТОГ!A412=0,"",ИТОГ!A412)</f>
        <v/>
      </c>
      <c r="L412" s="26" t="str">
        <f t="shared" si="73"/>
        <v/>
      </c>
      <c r="M412" s="25" t="str">
        <f>IF(K412="","",ИТОГ!Q412)</f>
        <v/>
      </c>
      <c r="N412" s="28" t="str">
        <f>IF(K412="","",ИТОГ!N412)</f>
        <v/>
      </c>
      <c r="O412" s="30" t="str">
        <f t="shared" si="74"/>
        <v/>
      </c>
      <c r="P412" s="24"/>
      <c r="Q412" s="30" t="str">
        <f t="shared" si="75"/>
        <v/>
      </c>
      <c r="R412" s="29" t="str">
        <f t="shared" ca="1" si="76"/>
        <v/>
      </c>
    </row>
    <row r="413" spans="1:18">
      <c r="A413" s="23" t="str">
        <f t="shared" si="66"/>
        <v/>
      </c>
      <c r="B413" s="23" t="str">
        <f t="shared" si="67"/>
        <v/>
      </c>
      <c r="C413" s="29" t="str">
        <f t="shared" ca="1" si="68"/>
        <v/>
      </c>
      <c r="D413" s="22" t="str">
        <f>IF(K413="","",ИТОГ!S413)</f>
        <v/>
      </c>
      <c r="E413" s="24" t="str">
        <f t="shared" si="69"/>
        <v/>
      </c>
      <c r="F413" s="30" t="str">
        <f t="shared" si="70"/>
        <v/>
      </c>
      <c r="G413" s="25" t="str">
        <f t="shared" si="71"/>
        <v/>
      </c>
      <c r="H413" s="29" t="str">
        <f t="shared" ca="1" si="72"/>
        <v/>
      </c>
      <c r="I413" s="24"/>
      <c r="J413" s="30"/>
      <c r="K413" s="27" t="str">
        <f>IF(ИТОГ!A413=0,"",ИТОГ!A413)</f>
        <v/>
      </c>
      <c r="L413" s="26" t="str">
        <f t="shared" si="73"/>
        <v/>
      </c>
      <c r="M413" s="25" t="str">
        <f>IF(K413="","",ИТОГ!Q413)</f>
        <v/>
      </c>
      <c r="N413" s="28" t="str">
        <f>IF(K413="","",ИТОГ!N413)</f>
        <v/>
      </c>
      <c r="O413" s="30" t="str">
        <f t="shared" si="74"/>
        <v/>
      </c>
      <c r="P413" s="24"/>
      <c r="Q413" s="30" t="str">
        <f t="shared" si="75"/>
        <v/>
      </c>
      <c r="R413" s="29" t="str">
        <f t="shared" ca="1" si="76"/>
        <v/>
      </c>
    </row>
    <row r="414" spans="1:18">
      <c r="A414" s="23" t="str">
        <f t="shared" ref="A414:A477" si="77">IF(K414="","",1000)</f>
        <v/>
      </c>
      <c r="B414" s="23" t="str">
        <f t="shared" ref="B414:B477" si="78">IF(K414="","",1)</f>
        <v/>
      </c>
      <c r="C414" s="29" t="str">
        <f t="shared" ref="C414:C477" ca="1" si="79">IF(K414="","",TODAY())</f>
        <v/>
      </c>
      <c r="D414" s="22" t="str">
        <f>IF(K414="","",ИТОГ!S414)</f>
        <v/>
      </c>
      <c r="E414" s="24" t="str">
        <f t="shared" ref="E414:E477" si="80">IF(K414="","","Х")</f>
        <v/>
      </c>
      <c r="F414" s="30" t="str">
        <f t="shared" ref="F414:F477" si="81">IF(K414="","","UV")</f>
        <v/>
      </c>
      <c r="G414" s="25" t="str">
        <f t="shared" ref="G414:G477" si="82">IF(K414="","",SUMIF(D:D,D414,M:M))</f>
        <v/>
      </c>
      <c r="H414" s="29" t="str">
        <f t="shared" ref="H414:H477" ca="1" si="83">IF(K414="","",TODAY())</f>
        <v/>
      </c>
      <c r="I414" s="24"/>
      <c r="J414" s="30"/>
      <c r="K414" s="27" t="str">
        <f>IF(ИТОГ!A414=0,"",ИТОГ!A414)</f>
        <v/>
      </c>
      <c r="L414" s="26" t="str">
        <f t="shared" ref="L414:L477" si="84">IF(K414="","",
IF(D413-D414=0,L413+10,10))</f>
        <v/>
      </c>
      <c r="M414" s="25" t="str">
        <f>IF(K414="","",ИТОГ!Q414)</f>
        <v/>
      </c>
      <c r="N414" s="28" t="str">
        <f>IF(K414="","",ИТОГ!N414)</f>
        <v/>
      </c>
      <c r="O414" s="30" t="str">
        <f t="shared" ref="O414:O477" si="85">IF(K414="","","ST")</f>
        <v/>
      </c>
      <c r="P414" s="24"/>
      <c r="Q414" s="30" t="str">
        <f t="shared" ref="Q414:Q477" si="86">IF(K414="","","EUR")</f>
        <v/>
      </c>
      <c r="R414" s="29" t="str">
        <f t="shared" ref="R414:R477" ca="1" si="87">IF(K414="","",TODAY())</f>
        <v/>
      </c>
    </row>
    <row r="415" spans="1:18">
      <c r="A415" s="23" t="str">
        <f t="shared" si="77"/>
        <v/>
      </c>
      <c r="B415" s="23" t="str">
        <f t="shared" si="78"/>
        <v/>
      </c>
      <c r="C415" s="29" t="str">
        <f t="shared" ca="1" si="79"/>
        <v/>
      </c>
      <c r="D415" s="22" t="str">
        <f>IF(K415="","",ИТОГ!S415)</f>
        <v/>
      </c>
      <c r="E415" s="24" t="str">
        <f t="shared" si="80"/>
        <v/>
      </c>
      <c r="F415" s="30" t="str">
        <f t="shared" si="81"/>
        <v/>
      </c>
      <c r="G415" s="25" t="str">
        <f t="shared" si="82"/>
        <v/>
      </c>
      <c r="H415" s="29" t="str">
        <f t="shared" ca="1" si="83"/>
        <v/>
      </c>
      <c r="I415" s="24"/>
      <c r="J415" s="30"/>
      <c r="K415" s="27" t="str">
        <f>IF(ИТОГ!A415=0,"",ИТОГ!A415)</f>
        <v/>
      </c>
      <c r="L415" s="26" t="str">
        <f t="shared" si="84"/>
        <v/>
      </c>
      <c r="M415" s="25" t="str">
        <f>IF(K415="","",ИТОГ!Q415)</f>
        <v/>
      </c>
      <c r="N415" s="28" t="str">
        <f>IF(K415="","",ИТОГ!N415)</f>
        <v/>
      </c>
      <c r="O415" s="30" t="str">
        <f t="shared" si="85"/>
        <v/>
      </c>
      <c r="P415" s="24"/>
      <c r="Q415" s="30" t="str">
        <f t="shared" si="86"/>
        <v/>
      </c>
      <c r="R415" s="29" t="str">
        <f t="shared" ca="1" si="87"/>
        <v/>
      </c>
    </row>
    <row r="416" spans="1:18">
      <c r="A416" s="23" t="str">
        <f t="shared" si="77"/>
        <v/>
      </c>
      <c r="B416" s="23" t="str">
        <f t="shared" si="78"/>
        <v/>
      </c>
      <c r="C416" s="29" t="str">
        <f t="shared" ca="1" si="79"/>
        <v/>
      </c>
      <c r="D416" s="22" t="str">
        <f>IF(K416="","",ИТОГ!S416)</f>
        <v/>
      </c>
      <c r="E416" s="24" t="str">
        <f t="shared" si="80"/>
        <v/>
      </c>
      <c r="F416" s="30" t="str">
        <f t="shared" si="81"/>
        <v/>
      </c>
      <c r="G416" s="25" t="str">
        <f t="shared" si="82"/>
        <v/>
      </c>
      <c r="H416" s="29" t="str">
        <f t="shared" ca="1" si="83"/>
        <v/>
      </c>
      <c r="I416" s="24"/>
      <c r="J416" s="30"/>
      <c r="K416" s="27" t="str">
        <f>IF(ИТОГ!A416=0,"",ИТОГ!A416)</f>
        <v/>
      </c>
      <c r="L416" s="26" t="str">
        <f t="shared" si="84"/>
        <v/>
      </c>
      <c r="M416" s="25" t="str">
        <f>IF(K416="","",ИТОГ!Q416)</f>
        <v/>
      </c>
      <c r="N416" s="28" t="str">
        <f>IF(K416="","",ИТОГ!N416)</f>
        <v/>
      </c>
      <c r="O416" s="30" t="str">
        <f t="shared" si="85"/>
        <v/>
      </c>
      <c r="P416" s="24"/>
      <c r="Q416" s="30" t="str">
        <f t="shared" si="86"/>
        <v/>
      </c>
      <c r="R416" s="29" t="str">
        <f t="shared" ca="1" si="87"/>
        <v/>
      </c>
    </row>
    <row r="417" spans="1:18">
      <c r="A417" s="23" t="str">
        <f t="shared" si="77"/>
        <v/>
      </c>
      <c r="B417" s="23" t="str">
        <f t="shared" si="78"/>
        <v/>
      </c>
      <c r="C417" s="29" t="str">
        <f t="shared" ca="1" si="79"/>
        <v/>
      </c>
      <c r="D417" s="22" t="str">
        <f>IF(K417="","",ИТОГ!S417)</f>
        <v/>
      </c>
      <c r="E417" s="24" t="str">
        <f t="shared" si="80"/>
        <v/>
      </c>
      <c r="F417" s="30" t="str">
        <f t="shared" si="81"/>
        <v/>
      </c>
      <c r="G417" s="25" t="str">
        <f t="shared" si="82"/>
        <v/>
      </c>
      <c r="H417" s="29" t="str">
        <f t="shared" ca="1" si="83"/>
        <v/>
      </c>
      <c r="I417" s="24"/>
      <c r="J417" s="30"/>
      <c r="K417" s="27" t="str">
        <f>IF(ИТОГ!A417=0,"",ИТОГ!A417)</f>
        <v/>
      </c>
      <c r="L417" s="26" t="str">
        <f t="shared" si="84"/>
        <v/>
      </c>
      <c r="M417" s="25" t="str">
        <f>IF(K417="","",ИТОГ!Q417)</f>
        <v/>
      </c>
      <c r="N417" s="28" t="str">
        <f>IF(K417="","",ИТОГ!N417)</f>
        <v/>
      </c>
      <c r="O417" s="30" t="str">
        <f t="shared" si="85"/>
        <v/>
      </c>
      <c r="P417" s="24"/>
      <c r="Q417" s="30" t="str">
        <f t="shared" si="86"/>
        <v/>
      </c>
      <c r="R417" s="29" t="str">
        <f t="shared" ca="1" si="87"/>
        <v/>
      </c>
    </row>
    <row r="418" spans="1:18">
      <c r="A418" s="23" t="str">
        <f t="shared" si="77"/>
        <v/>
      </c>
      <c r="B418" s="23" t="str">
        <f t="shared" si="78"/>
        <v/>
      </c>
      <c r="C418" s="29" t="str">
        <f t="shared" ca="1" si="79"/>
        <v/>
      </c>
      <c r="D418" s="22" t="str">
        <f>IF(K418="","",ИТОГ!S418)</f>
        <v/>
      </c>
      <c r="E418" s="24" t="str">
        <f t="shared" si="80"/>
        <v/>
      </c>
      <c r="F418" s="30" t="str">
        <f t="shared" si="81"/>
        <v/>
      </c>
      <c r="G418" s="25" t="str">
        <f t="shared" si="82"/>
        <v/>
      </c>
      <c r="H418" s="29" t="str">
        <f t="shared" ca="1" si="83"/>
        <v/>
      </c>
      <c r="I418" s="24"/>
      <c r="J418" s="30"/>
      <c r="K418" s="27" t="str">
        <f>IF(ИТОГ!A418=0,"",ИТОГ!A418)</f>
        <v/>
      </c>
      <c r="L418" s="26" t="str">
        <f t="shared" si="84"/>
        <v/>
      </c>
      <c r="M418" s="25" t="str">
        <f>IF(K418="","",ИТОГ!Q418)</f>
        <v/>
      </c>
      <c r="N418" s="28" t="str">
        <f>IF(K418="","",ИТОГ!N418)</f>
        <v/>
      </c>
      <c r="O418" s="30" t="str">
        <f t="shared" si="85"/>
        <v/>
      </c>
      <c r="P418" s="24"/>
      <c r="Q418" s="30" t="str">
        <f t="shared" si="86"/>
        <v/>
      </c>
      <c r="R418" s="29" t="str">
        <f t="shared" ca="1" si="87"/>
        <v/>
      </c>
    </row>
    <row r="419" spans="1:18">
      <c r="A419" s="23" t="str">
        <f t="shared" si="77"/>
        <v/>
      </c>
      <c r="B419" s="23" t="str">
        <f t="shared" si="78"/>
        <v/>
      </c>
      <c r="C419" s="29" t="str">
        <f t="shared" ca="1" si="79"/>
        <v/>
      </c>
      <c r="D419" s="22" t="str">
        <f>IF(K419="","",ИТОГ!S419)</f>
        <v/>
      </c>
      <c r="E419" s="24" t="str">
        <f t="shared" si="80"/>
        <v/>
      </c>
      <c r="F419" s="30" t="str">
        <f t="shared" si="81"/>
        <v/>
      </c>
      <c r="G419" s="25" t="str">
        <f t="shared" si="82"/>
        <v/>
      </c>
      <c r="H419" s="29" t="str">
        <f t="shared" ca="1" si="83"/>
        <v/>
      </c>
      <c r="I419" s="24"/>
      <c r="J419" s="30"/>
      <c r="K419" s="27" t="str">
        <f>IF(ИТОГ!A419=0,"",ИТОГ!A419)</f>
        <v/>
      </c>
      <c r="L419" s="26" t="str">
        <f t="shared" si="84"/>
        <v/>
      </c>
      <c r="M419" s="25" t="str">
        <f>IF(K419="","",ИТОГ!Q419)</f>
        <v/>
      </c>
      <c r="N419" s="28" t="str">
        <f>IF(K419="","",ИТОГ!N419)</f>
        <v/>
      </c>
      <c r="O419" s="30" t="str">
        <f t="shared" si="85"/>
        <v/>
      </c>
      <c r="P419" s="24"/>
      <c r="Q419" s="30" t="str">
        <f t="shared" si="86"/>
        <v/>
      </c>
      <c r="R419" s="29" t="str">
        <f t="shared" ca="1" si="87"/>
        <v/>
      </c>
    </row>
    <row r="420" spans="1:18">
      <c r="A420" s="23" t="str">
        <f t="shared" si="77"/>
        <v/>
      </c>
      <c r="B420" s="23" t="str">
        <f t="shared" si="78"/>
        <v/>
      </c>
      <c r="C420" s="29" t="str">
        <f t="shared" ca="1" si="79"/>
        <v/>
      </c>
      <c r="D420" s="22" t="str">
        <f>IF(K420="","",ИТОГ!S420)</f>
        <v/>
      </c>
      <c r="E420" s="24" t="str">
        <f t="shared" si="80"/>
        <v/>
      </c>
      <c r="F420" s="30" t="str">
        <f t="shared" si="81"/>
        <v/>
      </c>
      <c r="G420" s="25" t="str">
        <f t="shared" si="82"/>
        <v/>
      </c>
      <c r="H420" s="29" t="str">
        <f t="shared" ca="1" si="83"/>
        <v/>
      </c>
      <c r="I420" s="24"/>
      <c r="J420" s="30"/>
      <c r="K420" s="27" t="str">
        <f>IF(ИТОГ!A420=0,"",ИТОГ!A420)</f>
        <v/>
      </c>
      <c r="L420" s="26" t="str">
        <f t="shared" si="84"/>
        <v/>
      </c>
      <c r="M420" s="25" t="str">
        <f>IF(K420="","",ИТОГ!Q420)</f>
        <v/>
      </c>
      <c r="N420" s="28" t="str">
        <f>IF(K420="","",ИТОГ!N420)</f>
        <v/>
      </c>
      <c r="O420" s="30" t="str">
        <f t="shared" si="85"/>
        <v/>
      </c>
      <c r="P420" s="24"/>
      <c r="Q420" s="30" t="str">
        <f t="shared" si="86"/>
        <v/>
      </c>
      <c r="R420" s="29" t="str">
        <f t="shared" ca="1" si="87"/>
        <v/>
      </c>
    </row>
    <row r="421" spans="1:18">
      <c r="A421" s="23" t="str">
        <f t="shared" si="77"/>
        <v/>
      </c>
      <c r="B421" s="23" t="str">
        <f t="shared" si="78"/>
        <v/>
      </c>
      <c r="C421" s="29" t="str">
        <f t="shared" ca="1" si="79"/>
        <v/>
      </c>
      <c r="D421" s="22" t="str">
        <f>IF(K421="","",ИТОГ!S421)</f>
        <v/>
      </c>
      <c r="E421" s="24" t="str">
        <f t="shared" si="80"/>
        <v/>
      </c>
      <c r="F421" s="30" t="str">
        <f t="shared" si="81"/>
        <v/>
      </c>
      <c r="G421" s="25" t="str">
        <f t="shared" si="82"/>
        <v/>
      </c>
      <c r="H421" s="29" t="str">
        <f t="shared" ca="1" si="83"/>
        <v/>
      </c>
      <c r="I421" s="24"/>
      <c r="J421" s="30"/>
      <c r="K421" s="27" t="str">
        <f>IF(ИТОГ!A421=0,"",ИТОГ!A421)</f>
        <v/>
      </c>
      <c r="L421" s="26" t="str">
        <f t="shared" si="84"/>
        <v/>
      </c>
      <c r="M421" s="25" t="str">
        <f>IF(K421="","",ИТОГ!Q421)</f>
        <v/>
      </c>
      <c r="N421" s="28" t="str">
        <f>IF(K421="","",ИТОГ!N421)</f>
        <v/>
      </c>
      <c r="O421" s="30" t="str">
        <f t="shared" si="85"/>
        <v/>
      </c>
      <c r="P421" s="24"/>
      <c r="Q421" s="30" t="str">
        <f t="shared" si="86"/>
        <v/>
      </c>
      <c r="R421" s="29" t="str">
        <f t="shared" ca="1" si="87"/>
        <v/>
      </c>
    </row>
    <row r="422" spans="1:18">
      <c r="A422" s="23" t="str">
        <f t="shared" si="77"/>
        <v/>
      </c>
      <c r="B422" s="23" t="str">
        <f t="shared" si="78"/>
        <v/>
      </c>
      <c r="C422" s="29" t="str">
        <f t="shared" ca="1" si="79"/>
        <v/>
      </c>
      <c r="D422" s="22" t="str">
        <f>IF(K422="","",ИТОГ!S422)</f>
        <v/>
      </c>
      <c r="E422" s="24" t="str">
        <f t="shared" si="80"/>
        <v/>
      </c>
      <c r="F422" s="30" t="str">
        <f t="shared" si="81"/>
        <v/>
      </c>
      <c r="G422" s="25" t="str">
        <f t="shared" si="82"/>
        <v/>
      </c>
      <c r="H422" s="29" t="str">
        <f t="shared" ca="1" si="83"/>
        <v/>
      </c>
      <c r="I422" s="24"/>
      <c r="J422" s="30"/>
      <c r="K422" s="27" t="str">
        <f>IF(ИТОГ!A422=0,"",ИТОГ!A422)</f>
        <v/>
      </c>
      <c r="L422" s="26" t="str">
        <f t="shared" si="84"/>
        <v/>
      </c>
      <c r="M422" s="25" t="str">
        <f>IF(K422="","",ИТОГ!Q422)</f>
        <v/>
      </c>
      <c r="N422" s="28" t="str">
        <f>IF(K422="","",ИТОГ!N422)</f>
        <v/>
      </c>
      <c r="O422" s="30" t="str">
        <f t="shared" si="85"/>
        <v/>
      </c>
      <c r="P422" s="24"/>
      <c r="Q422" s="30" t="str">
        <f t="shared" si="86"/>
        <v/>
      </c>
      <c r="R422" s="29" t="str">
        <f t="shared" ca="1" si="87"/>
        <v/>
      </c>
    </row>
    <row r="423" spans="1:18">
      <c r="A423" s="23" t="str">
        <f t="shared" si="77"/>
        <v/>
      </c>
      <c r="B423" s="23" t="str">
        <f t="shared" si="78"/>
        <v/>
      </c>
      <c r="C423" s="29" t="str">
        <f t="shared" ca="1" si="79"/>
        <v/>
      </c>
      <c r="D423" s="22" t="str">
        <f>IF(K423="","",ИТОГ!S423)</f>
        <v/>
      </c>
      <c r="E423" s="24" t="str">
        <f t="shared" si="80"/>
        <v/>
      </c>
      <c r="F423" s="30" t="str">
        <f t="shared" si="81"/>
        <v/>
      </c>
      <c r="G423" s="25" t="str">
        <f t="shared" si="82"/>
        <v/>
      </c>
      <c r="H423" s="29" t="str">
        <f t="shared" ca="1" si="83"/>
        <v/>
      </c>
      <c r="I423" s="24"/>
      <c r="J423" s="30"/>
      <c r="K423" s="27" t="str">
        <f>IF(ИТОГ!A423=0,"",ИТОГ!A423)</f>
        <v/>
      </c>
      <c r="L423" s="26" t="str">
        <f t="shared" si="84"/>
        <v/>
      </c>
      <c r="M423" s="25" t="str">
        <f>IF(K423="","",ИТОГ!Q423)</f>
        <v/>
      </c>
      <c r="N423" s="28" t="str">
        <f>IF(K423="","",ИТОГ!N423)</f>
        <v/>
      </c>
      <c r="O423" s="30" t="str">
        <f t="shared" si="85"/>
        <v/>
      </c>
      <c r="P423" s="24"/>
      <c r="Q423" s="30" t="str">
        <f t="shared" si="86"/>
        <v/>
      </c>
      <c r="R423" s="29" t="str">
        <f t="shared" ca="1" si="87"/>
        <v/>
      </c>
    </row>
    <row r="424" spans="1:18">
      <c r="A424" s="23" t="str">
        <f t="shared" si="77"/>
        <v/>
      </c>
      <c r="B424" s="23" t="str">
        <f t="shared" si="78"/>
        <v/>
      </c>
      <c r="C424" s="29" t="str">
        <f t="shared" ca="1" si="79"/>
        <v/>
      </c>
      <c r="D424" s="22" t="str">
        <f>IF(K424="","",ИТОГ!S424)</f>
        <v/>
      </c>
      <c r="E424" s="24" t="str">
        <f t="shared" si="80"/>
        <v/>
      </c>
      <c r="F424" s="30" t="str">
        <f t="shared" si="81"/>
        <v/>
      </c>
      <c r="G424" s="25" t="str">
        <f t="shared" si="82"/>
        <v/>
      </c>
      <c r="H424" s="29" t="str">
        <f t="shared" ca="1" si="83"/>
        <v/>
      </c>
      <c r="I424" s="24"/>
      <c r="J424" s="30"/>
      <c r="K424" s="27" t="str">
        <f>IF(ИТОГ!A424=0,"",ИТОГ!A424)</f>
        <v/>
      </c>
      <c r="L424" s="26" t="str">
        <f t="shared" si="84"/>
        <v/>
      </c>
      <c r="M424" s="25" t="str">
        <f>IF(K424="","",ИТОГ!Q424)</f>
        <v/>
      </c>
      <c r="N424" s="28" t="str">
        <f>IF(K424="","",ИТОГ!N424)</f>
        <v/>
      </c>
      <c r="O424" s="30" t="str">
        <f t="shared" si="85"/>
        <v/>
      </c>
      <c r="P424" s="24"/>
      <c r="Q424" s="30" t="str">
        <f t="shared" si="86"/>
        <v/>
      </c>
      <c r="R424" s="29" t="str">
        <f t="shared" ca="1" si="87"/>
        <v/>
      </c>
    </row>
    <row r="425" spans="1:18">
      <c r="A425" s="23" t="str">
        <f t="shared" si="77"/>
        <v/>
      </c>
      <c r="B425" s="23" t="str">
        <f t="shared" si="78"/>
        <v/>
      </c>
      <c r="C425" s="29" t="str">
        <f t="shared" ca="1" si="79"/>
        <v/>
      </c>
      <c r="D425" s="22" t="str">
        <f>IF(K425="","",ИТОГ!S425)</f>
        <v/>
      </c>
      <c r="E425" s="24" t="str">
        <f t="shared" si="80"/>
        <v/>
      </c>
      <c r="F425" s="30" t="str">
        <f t="shared" si="81"/>
        <v/>
      </c>
      <c r="G425" s="25" t="str">
        <f t="shared" si="82"/>
        <v/>
      </c>
      <c r="H425" s="29" t="str">
        <f t="shared" ca="1" si="83"/>
        <v/>
      </c>
      <c r="I425" s="24"/>
      <c r="J425" s="30"/>
      <c r="K425" s="27" t="str">
        <f>IF(ИТОГ!A425=0,"",ИТОГ!A425)</f>
        <v/>
      </c>
      <c r="L425" s="26" t="str">
        <f t="shared" si="84"/>
        <v/>
      </c>
      <c r="M425" s="25" t="str">
        <f>IF(K425="","",ИТОГ!Q425)</f>
        <v/>
      </c>
      <c r="N425" s="28" t="str">
        <f>IF(K425="","",ИТОГ!N425)</f>
        <v/>
      </c>
      <c r="O425" s="30" t="str">
        <f t="shared" si="85"/>
        <v/>
      </c>
      <c r="P425" s="24"/>
      <c r="Q425" s="30" t="str">
        <f t="shared" si="86"/>
        <v/>
      </c>
      <c r="R425" s="29" t="str">
        <f t="shared" ca="1" si="87"/>
        <v/>
      </c>
    </row>
    <row r="426" spans="1:18">
      <c r="A426" s="23" t="str">
        <f t="shared" si="77"/>
        <v/>
      </c>
      <c r="B426" s="23" t="str">
        <f t="shared" si="78"/>
        <v/>
      </c>
      <c r="C426" s="29" t="str">
        <f t="shared" ca="1" si="79"/>
        <v/>
      </c>
      <c r="D426" s="22" t="str">
        <f>IF(K426="","",ИТОГ!S426)</f>
        <v/>
      </c>
      <c r="E426" s="24" t="str">
        <f t="shared" si="80"/>
        <v/>
      </c>
      <c r="F426" s="30" t="str">
        <f t="shared" si="81"/>
        <v/>
      </c>
      <c r="G426" s="25" t="str">
        <f t="shared" si="82"/>
        <v/>
      </c>
      <c r="H426" s="29" t="str">
        <f t="shared" ca="1" si="83"/>
        <v/>
      </c>
      <c r="I426" s="24"/>
      <c r="J426" s="30"/>
      <c r="K426" s="27" t="str">
        <f>IF(ИТОГ!A426=0,"",ИТОГ!A426)</f>
        <v/>
      </c>
      <c r="L426" s="26" t="str">
        <f t="shared" si="84"/>
        <v/>
      </c>
      <c r="M426" s="25" t="str">
        <f>IF(K426="","",ИТОГ!Q426)</f>
        <v/>
      </c>
      <c r="N426" s="28" t="str">
        <f>IF(K426="","",ИТОГ!N426)</f>
        <v/>
      </c>
      <c r="O426" s="30" t="str">
        <f t="shared" si="85"/>
        <v/>
      </c>
      <c r="P426" s="24"/>
      <c r="Q426" s="30" t="str">
        <f t="shared" si="86"/>
        <v/>
      </c>
      <c r="R426" s="29" t="str">
        <f t="shared" ca="1" si="87"/>
        <v/>
      </c>
    </row>
    <row r="427" spans="1:18">
      <c r="A427" s="23" t="str">
        <f t="shared" si="77"/>
        <v/>
      </c>
      <c r="B427" s="23" t="str">
        <f t="shared" si="78"/>
        <v/>
      </c>
      <c r="C427" s="29" t="str">
        <f t="shared" ca="1" si="79"/>
        <v/>
      </c>
      <c r="D427" s="22" t="str">
        <f>IF(K427="","",ИТОГ!S427)</f>
        <v/>
      </c>
      <c r="E427" s="24" t="str">
        <f t="shared" si="80"/>
        <v/>
      </c>
      <c r="F427" s="30" t="str">
        <f t="shared" si="81"/>
        <v/>
      </c>
      <c r="G427" s="25" t="str">
        <f t="shared" si="82"/>
        <v/>
      </c>
      <c r="H427" s="29" t="str">
        <f t="shared" ca="1" si="83"/>
        <v/>
      </c>
      <c r="I427" s="24"/>
      <c r="J427" s="30"/>
      <c r="K427" s="27" t="str">
        <f>IF(ИТОГ!A427=0,"",ИТОГ!A427)</f>
        <v/>
      </c>
      <c r="L427" s="26" t="str">
        <f t="shared" si="84"/>
        <v/>
      </c>
      <c r="M427" s="25" t="str">
        <f>IF(K427="","",ИТОГ!Q427)</f>
        <v/>
      </c>
      <c r="N427" s="28" t="str">
        <f>IF(K427="","",ИТОГ!N427)</f>
        <v/>
      </c>
      <c r="O427" s="30" t="str">
        <f t="shared" si="85"/>
        <v/>
      </c>
      <c r="P427" s="24"/>
      <c r="Q427" s="30" t="str">
        <f t="shared" si="86"/>
        <v/>
      </c>
      <c r="R427" s="29" t="str">
        <f t="shared" ca="1" si="87"/>
        <v/>
      </c>
    </row>
    <row r="428" spans="1:18">
      <c r="A428" s="23" t="str">
        <f t="shared" si="77"/>
        <v/>
      </c>
      <c r="B428" s="23" t="str">
        <f t="shared" si="78"/>
        <v/>
      </c>
      <c r="C428" s="29" t="str">
        <f t="shared" ca="1" si="79"/>
        <v/>
      </c>
      <c r="D428" s="22" t="str">
        <f>IF(K428="","",ИТОГ!S428)</f>
        <v/>
      </c>
      <c r="E428" s="24" t="str">
        <f t="shared" si="80"/>
        <v/>
      </c>
      <c r="F428" s="30" t="str">
        <f t="shared" si="81"/>
        <v/>
      </c>
      <c r="G428" s="25" t="str">
        <f t="shared" si="82"/>
        <v/>
      </c>
      <c r="H428" s="29" t="str">
        <f t="shared" ca="1" si="83"/>
        <v/>
      </c>
      <c r="I428" s="24"/>
      <c r="J428" s="30"/>
      <c r="K428" s="27" t="str">
        <f>IF(ИТОГ!A428=0,"",ИТОГ!A428)</f>
        <v/>
      </c>
      <c r="L428" s="26" t="str">
        <f t="shared" si="84"/>
        <v/>
      </c>
      <c r="M428" s="25" t="str">
        <f>IF(K428="","",ИТОГ!Q428)</f>
        <v/>
      </c>
      <c r="N428" s="28" t="str">
        <f>IF(K428="","",ИТОГ!N428)</f>
        <v/>
      </c>
      <c r="O428" s="30" t="str">
        <f t="shared" si="85"/>
        <v/>
      </c>
      <c r="P428" s="24"/>
      <c r="Q428" s="30" t="str">
        <f t="shared" si="86"/>
        <v/>
      </c>
      <c r="R428" s="29" t="str">
        <f t="shared" ca="1" si="87"/>
        <v/>
      </c>
    </row>
    <row r="429" spans="1:18">
      <c r="A429" s="23" t="str">
        <f t="shared" si="77"/>
        <v/>
      </c>
      <c r="B429" s="23" t="str">
        <f t="shared" si="78"/>
        <v/>
      </c>
      <c r="C429" s="29" t="str">
        <f t="shared" ca="1" si="79"/>
        <v/>
      </c>
      <c r="D429" s="22" t="str">
        <f>IF(K429="","",ИТОГ!S429)</f>
        <v/>
      </c>
      <c r="E429" s="24" t="str">
        <f t="shared" si="80"/>
        <v/>
      </c>
      <c r="F429" s="30" t="str">
        <f t="shared" si="81"/>
        <v/>
      </c>
      <c r="G429" s="25" t="str">
        <f t="shared" si="82"/>
        <v/>
      </c>
      <c r="H429" s="29" t="str">
        <f t="shared" ca="1" si="83"/>
        <v/>
      </c>
      <c r="I429" s="24"/>
      <c r="J429" s="30"/>
      <c r="K429" s="27" t="str">
        <f>IF(ИТОГ!A429=0,"",ИТОГ!A429)</f>
        <v/>
      </c>
      <c r="L429" s="26" t="str">
        <f t="shared" si="84"/>
        <v/>
      </c>
      <c r="M429" s="25" t="str">
        <f>IF(K429="","",ИТОГ!Q429)</f>
        <v/>
      </c>
      <c r="N429" s="28" t="str">
        <f>IF(K429="","",ИТОГ!N429)</f>
        <v/>
      </c>
      <c r="O429" s="30" t="str">
        <f t="shared" si="85"/>
        <v/>
      </c>
      <c r="P429" s="24"/>
      <c r="Q429" s="30" t="str">
        <f t="shared" si="86"/>
        <v/>
      </c>
      <c r="R429" s="29" t="str">
        <f t="shared" ca="1" si="87"/>
        <v/>
      </c>
    </row>
    <row r="430" spans="1:18">
      <c r="A430" s="23" t="str">
        <f t="shared" si="77"/>
        <v/>
      </c>
      <c r="B430" s="23" t="str">
        <f t="shared" si="78"/>
        <v/>
      </c>
      <c r="C430" s="29" t="str">
        <f t="shared" ca="1" si="79"/>
        <v/>
      </c>
      <c r="D430" s="22" t="str">
        <f>IF(K430="","",ИТОГ!S430)</f>
        <v/>
      </c>
      <c r="E430" s="24" t="str">
        <f t="shared" si="80"/>
        <v/>
      </c>
      <c r="F430" s="30" t="str">
        <f t="shared" si="81"/>
        <v/>
      </c>
      <c r="G430" s="25" t="str">
        <f t="shared" si="82"/>
        <v/>
      </c>
      <c r="H430" s="29" t="str">
        <f t="shared" ca="1" si="83"/>
        <v/>
      </c>
      <c r="I430" s="24"/>
      <c r="J430" s="30"/>
      <c r="K430" s="27" t="str">
        <f>IF(ИТОГ!A430=0,"",ИТОГ!A430)</f>
        <v/>
      </c>
      <c r="L430" s="26" t="str">
        <f t="shared" si="84"/>
        <v/>
      </c>
      <c r="M430" s="25" t="str">
        <f>IF(K430="","",ИТОГ!Q430)</f>
        <v/>
      </c>
      <c r="N430" s="28" t="str">
        <f>IF(K430="","",ИТОГ!N430)</f>
        <v/>
      </c>
      <c r="O430" s="30" t="str">
        <f t="shared" si="85"/>
        <v/>
      </c>
      <c r="P430" s="24"/>
      <c r="Q430" s="30" t="str">
        <f t="shared" si="86"/>
        <v/>
      </c>
      <c r="R430" s="29" t="str">
        <f t="shared" ca="1" si="87"/>
        <v/>
      </c>
    </row>
    <row r="431" spans="1:18">
      <c r="A431" s="23" t="str">
        <f t="shared" si="77"/>
        <v/>
      </c>
      <c r="B431" s="23" t="str">
        <f t="shared" si="78"/>
        <v/>
      </c>
      <c r="C431" s="29" t="str">
        <f t="shared" ca="1" si="79"/>
        <v/>
      </c>
      <c r="D431" s="22" t="str">
        <f>IF(K431="","",ИТОГ!S431)</f>
        <v/>
      </c>
      <c r="E431" s="24" t="str">
        <f t="shared" si="80"/>
        <v/>
      </c>
      <c r="F431" s="30" t="str">
        <f t="shared" si="81"/>
        <v/>
      </c>
      <c r="G431" s="25" t="str">
        <f t="shared" si="82"/>
        <v/>
      </c>
      <c r="H431" s="29" t="str">
        <f t="shared" ca="1" si="83"/>
        <v/>
      </c>
      <c r="I431" s="24"/>
      <c r="J431" s="30"/>
      <c r="K431" s="27" t="str">
        <f>IF(ИТОГ!A431=0,"",ИТОГ!A431)</f>
        <v/>
      </c>
      <c r="L431" s="26" t="str">
        <f t="shared" si="84"/>
        <v/>
      </c>
      <c r="M431" s="25" t="str">
        <f>IF(K431="","",ИТОГ!Q431)</f>
        <v/>
      </c>
      <c r="N431" s="28" t="str">
        <f>IF(K431="","",ИТОГ!N431)</f>
        <v/>
      </c>
      <c r="O431" s="30" t="str">
        <f t="shared" si="85"/>
        <v/>
      </c>
      <c r="P431" s="24"/>
      <c r="Q431" s="30" t="str">
        <f t="shared" si="86"/>
        <v/>
      </c>
      <c r="R431" s="29" t="str">
        <f t="shared" ca="1" si="87"/>
        <v/>
      </c>
    </row>
    <row r="432" spans="1:18">
      <c r="A432" s="23" t="str">
        <f t="shared" si="77"/>
        <v/>
      </c>
      <c r="B432" s="23" t="str">
        <f t="shared" si="78"/>
        <v/>
      </c>
      <c r="C432" s="29" t="str">
        <f t="shared" ca="1" si="79"/>
        <v/>
      </c>
      <c r="D432" s="22" t="str">
        <f>IF(K432="","",ИТОГ!S432)</f>
        <v/>
      </c>
      <c r="E432" s="24" t="str">
        <f t="shared" si="80"/>
        <v/>
      </c>
      <c r="F432" s="30" t="str">
        <f t="shared" si="81"/>
        <v/>
      </c>
      <c r="G432" s="25" t="str">
        <f t="shared" si="82"/>
        <v/>
      </c>
      <c r="H432" s="29" t="str">
        <f t="shared" ca="1" si="83"/>
        <v/>
      </c>
      <c r="I432" s="24"/>
      <c r="J432" s="30"/>
      <c r="K432" s="27" t="str">
        <f>IF(ИТОГ!A432=0,"",ИТОГ!A432)</f>
        <v/>
      </c>
      <c r="L432" s="26" t="str">
        <f t="shared" si="84"/>
        <v/>
      </c>
      <c r="M432" s="25" t="str">
        <f>IF(K432="","",ИТОГ!Q432)</f>
        <v/>
      </c>
      <c r="N432" s="28" t="str">
        <f>IF(K432="","",ИТОГ!N432)</f>
        <v/>
      </c>
      <c r="O432" s="30" t="str">
        <f t="shared" si="85"/>
        <v/>
      </c>
      <c r="P432" s="24"/>
      <c r="Q432" s="30" t="str">
        <f t="shared" si="86"/>
        <v/>
      </c>
      <c r="R432" s="29" t="str">
        <f t="shared" ca="1" si="87"/>
        <v/>
      </c>
    </row>
    <row r="433" spans="1:18">
      <c r="A433" s="23" t="str">
        <f t="shared" si="77"/>
        <v/>
      </c>
      <c r="B433" s="23" t="str">
        <f t="shared" si="78"/>
        <v/>
      </c>
      <c r="C433" s="29" t="str">
        <f t="shared" ca="1" si="79"/>
        <v/>
      </c>
      <c r="D433" s="22" t="str">
        <f>IF(K433="","",ИТОГ!S433)</f>
        <v/>
      </c>
      <c r="E433" s="24" t="str">
        <f t="shared" si="80"/>
        <v/>
      </c>
      <c r="F433" s="30" t="str">
        <f t="shared" si="81"/>
        <v/>
      </c>
      <c r="G433" s="25" t="str">
        <f t="shared" si="82"/>
        <v/>
      </c>
      <c r="H433" s="29" t="str">
        <f t="shared" ca="1" si="83"/>
        <v/>
      </c>
      <c r="I433" s="24"/>
      <c r="J433" s="30"/>
      <c r="K433" s="27" t="str">
        <f>IF(ИТОГ!A433=0,"",ИТОГ!A433)</f>
        <v/>
      </c>
      <c r="L433" s="26" t="str">
        <f t="shared" si="84"/>
        <v/>
      </c>
      <c r="M433" s="25" t="str">
        <f>IF(K433="","",ИТОГ!Q433)</f>
        <v/>
      </c>
      <c r="N433" s="28" t="str">
        <f>IF(K433="","",ИТОГ!N433)</f>
        <v/>
      </c>
      <c r="O433" s="30" t="str">
        <f t="shared" si="85"/>
        <v/>
      </c>
      <c r="P433" s="24"/>
      <c r="Q433" s="30" t="str">
        <f t="shared" si="86"/>
        <v/>
      </c>
      <c r="R433" s="29" t="str">
        <f t="shared" ca="1" si="87"/>
        <v/>
      </c>
    </row>
    <row r="434" spans="1:18">
      <c r="A434" s="23" t="str">
        <f t="shared" si="77"/>
        <v/>
      </c>
      <c r="B434" s="23" t="str">
        <f t="shared" si="78"/>
        <v/>
      </c>
      <c r="C434" s="29" t="str">
        <f t="shared" ca="1" si="79"/>
        <v/>
      </c>
      <c r="D434" s="22" t="str">
        <f>IF(K434="","",ИТОГ!S434)</f>
        <v/>
      </c>
      <c r="E434" s="24" t="str">
        <f t="shared" si="80"/>
        <v/>
      </c>
      <c r="F434" s="30" t="str">
        <f t="shared" si="81"/>
        <v/>
      </c>
      <c r="G434" s="25" t="str">
        <f t="shared" si="82"/>
        <v/>
      </c>
      <c r="H434" s="29" t="str">
        <f t="shared" ca="1" si="83"/>
        <v/>
      </c>
      <c r="I434" s="24"/>
      <c r="J434" s="30"/>
      <c r="K434" s="27" t="str">
        <f>IF(ИТОГ!A434=0,"",ИТОГ!A434)</f>
        <v/>
      </c>
      <c r="L434" s="26" t="str">
        <f t="shared" si="84"/>
        <v/>
      </c>
      <c r="M434" s="25" t="str">
        <f>IF(K434="","",ИТОГ!Q434)</f>
        <v/>
      </c>
      <c r="N434" s="28" t="str">
        <f>IF(K434="","",ИТОГ!N434)</f>
        <v/>
      </c>
      <c r="O434" s="30" t="str">
        <f t="shared" si="85"/>
        <v/>
      </c>
      <c r="P434" s="24"/>
      <c r="Q434" s="30" t="str">
        <f t="shared" si="86"/>
        <v/>
      </c>
      <c r="R434" s="29" t="str">
        <f t="shared" ca="1" si="87"/>
        <v/>
      </c>
    </row>
    <row r="435" spans="1:18">
      <c r="A435" s="23" t="str">
        <f t="shared" si="77"/>
        <v/>
      </c>
      <c r="B435" s="23" t="str">
        <f t="shared" si="78"/>
        <v/>
      </c>
      <c r="C435" s="29" t="str">
        <f t="shared" ca="1" si="79"/>
        <v/>
      </c>
      <c r="D435" s="22" t="str">
        <f>IF(K435="","",ИТОГ!S435)</f>
        <v/>
      </c>
      <c r="E435" s="24" t="str">
        <f t="shared" si="80"/>
        <v/>
      </c>
      <c r="F435" s="30" t="str">
        <f t="shared" si="81"/>
        <v/>
      </c>
      <c r="G435" s="25" t="str">
        <f t="shared" si="82"/>
        <v/>
      </c>
      <c r="H435" s="29" t="str">
        <f t="shared" ca="1" si="83"/>
        <v/>
      </c>
      <c r="I435" s="24"/>
      <c r="J435" s="30"/>
      <c r="K435" s="27" t="str">
        <f>IF(ИТОГ!A435=0,"",ИТОГ!A435)</f>
        <v/>
      </c>
      <c r="L435" s="26" t="str">
        <f t="shared" si="84"/>
        <v/>
      </c>
      <c r="M435" s="25" t="str">
        <f>IF(K435="","",ИТОГ!Q435)</f>
        <v/>
      </c>
      <c r="N435" s="28" t="str">
        <f>IF(K435="","",ИТОГ!N435)</f>
        <v/>
      </c>
      <c r="O435" s="30" t="str">
        <f t="shared" si="85"/>
        <v/>
      </c>
      <c r="P435" s="24"/>
      <c r="Q435" s="30" t="str">
        <f t="shared" si="86"/>
        <v/>
      </c>
      <c r="R435" s="29" t="str">
        <f t="shared" ca="1" si="87"/>
        <v/>
      </c>
    </row>
    <row r="436" spans="1:18">
      <c r="A436" s="23" t="str">
        <f t="shared" si="77"/>
        <v/>
      </c>
      <c r="B436" s="23" t="str">
        <f t="shared" si="78"/>
        <v/>
      </c>
      <c r="C436" s="29" t="str">
        <f t="shared" ca="1" si="79"/>
        <v/>
      </c>
      <c r="D436" s="22" t="str">
        <f>IF(K436="","",ИТОГ!S436)</f>
        <v/>
      </c>
      <c r="E436" s="24" t="str">
        <f t="shared" si="80"/>
        <v/>
      </c>
      <c r="F436" s="30" t="str">
        <f t="shared" si="81"/>
        <v/>
      </c>
      <c r="G436" s="25" t="str">
        <f t="shared" si="82"/>
        <v/>
      </c>
      <c r="H436" s="29" t="str">
        <f t="shared" ca="1" si="83"/>
        <v/>
      </c>
      <c r="I436" s="24"/>
      <c r="J436" s="30"/>
      <c r="K436" s="27" t="str">
        <f>IF(ИТОГ!A436=0,"",ИТОГ!A436)</f>
        <v/>
      </c>
      <c r="L436" s="26" t="str">
        <f t="shared" si="84"/>
        <v/>
      </c>
      <c r="M436" s="25" t="str">
        <f>IF(K436="","",ИТОГ!Q436)</f>
        <v/>
      </c>
      <c r="N436" s="28" t="str">
        <f>IF(K436="","",ИТОГ!N436)</f>
        <v/>
      </c>
      <c r="O436" s="30" t="str">
        <f t="shared" si="85"/>
        <v/>
      </c>
      <c r="P436" s="24"/>
      <c r="Q436" s="30" t="str">
        <f t="shared" si="86"/>
        <v/>
      </c>
      <c r="R436" s="29" t="str">
        <f t="shared" ca="1" si="87"/>
        <v/>
      </c>
    </row>
    <row r="437" spans="1:18">
      <c r="A437" s="23" t="str">
        <f t="shared" si="77"/>
        <v/>
      </c>
      <c r="B437" s="23" t="str">
        <f t="shared" si="78"/>
        <v/>
      </c>
      <c r="C437" s="29" t="str">
        <f t="shared" ca="1" si="79"/>
        <v/>
      </c>
      <c r="D437" s="22" t="str">
        <f>IF(K437="","",ИТОГ!S437)</f>
        <v/>
      </c>
      <c r="E437" s="24" t="str">
        <f t="shared" si="80"/>
        <v/>
      </c>
      <c r="F437" s="30" t="str">
        <f t="shared" si="81"/>
        <v/>
      </c>
      <c r="G437" s="25" t="str">
        <f t="shared" si="82"/>
        <v/>
      </c>
      <c r="H437" s="29" t="str">
        <f t="shared" ca="1" si="83"/>
        <v/>
      </c>
      <c r="I437" s="24"/>
      <c r="J437" s="30"/>
      <c r="K437" s="27" t="str">
        <f>IF(ИТОГ!A437=0,"",ИТОГ!A437)</f>
        <v/>
      </c>
      <c r="L437" s="26" t="str">
        <f t="shared" si="84"/>
        <v/>
      </c>
      <c r="M437" s="25" t="str">
        <f>IF(K437="","",ИТОГ!Q437)</f>
        <v/>
      </c>
      <c r="N437" s="28" t="str">
        <f>IF(K437="","",ИТОГ!N437)</f>
        <v/>
      </c>
      <c r="O437" s="30" t="str">
        <f t="shared" si="85"/>
        <v/>
      </c>
      <c r="P437" s="24"/>
      <c r="Q437" s="30" t="str">
        <f t="shared" si="86"/>
        <v/>
      </c>
      <c r="R437" s="29" t="str">
        <f t="shared" ca="1" si="87"/>
        <v/>
      </c>
    </row>
    <row r="438" spans="1:18">
      <c r="A438" s="23" t="str">
        <f t="shared" si="77"/>
        <v/>
      </c>
      <c r="B438" s="23" t="str">
        <f t="shared" si="78"/>
        <v/>
      </c>
      <c r="C438" s="29" t="str">
        <f t="shared" ca="1" si="79"/>
        <v/>
      </c>
      <c r="D438" s="22" t="str">
        <f>IF(K438="","",ИТОГ!S438)</f>
        <v/>
      </c>
      <c r="E438" s="24" t="str">
        <f t="shared" si="80"/>
        <v/>
      </c>
      <c r="F438" s="30" t="str">
        <f t="shared" si="81"/>
        <v/>
      </c>
      <c r="G438" s="25" t="str">
        <f t="shared" si="82"/>
        <v/>
      </c>
      <c r="H438" s="29" t="str">
        <f t="shared" ca="1" si="83"/>
        <v/>
      </c>
      <c r="I438" s="24"/>
      <c r="J438" s="30"/>
      <c r="K438" s="27" t="str">
        <f>IF(ИТОГ!A438=0,"",ИТОГ!A438)</f>
        <v/>
      </c>
      <c r="L438" s="26" t="str">
        <f t="shared" si="84"/>
        <v/>
      </c>
      <c r="M438" s="25" t="str">
        <f>IF(K438="","",ИТОГ!Q438)</f>
        <v/>
      </c>
      <c r="N438" s="28" t="str">
        <f>IF(K438="","",ИТОГ!N438)</f>
        <v/>
      </c>
      <c r="O438" s="30" t="str">
        <f t="shared" si="85"/>
        <v/>
      </c>
      <c r="P438" s="24"/>
      <c r="Q438" s="30" t="str">
        <f t="shared" si="86"/>
        <v/>
      </c>
      <c r="R438" s="29" t="str">
        <f t="shared" ca="1" si="87"/>
        <v/>
      </c>
    </row>
    <row r="439" spans="1:18">
      <c r="A439" s="23" t="str">
        <f t="shared" si="77"/>
        <v/>
      </c>
      <c r="B439" s="23" t="str">
        <f t="shared" si="78"/>
        <v/>
      </c>
      <c r="C439" s="29" t="str">
        <f t="shared" ca="1" si="79"/>
        <v/>
      </c>
      <c r="D439" s="22" t="str">
        <f>IF(K439="","",ИТОГ!S439)</f>
        <v/>
      </c>
      <c r="E439" s="24" t="str">
        <f t="shared" si="80"/>
        <v/>
      </c>
      <c r="F439" s="30" t="str">
        <f t="shared" si="81"/>
        <v/>
      </c>
      <c r="G439" s="25" t="str">
        <f t="shared" si="82"/>
        <v/>
      </c>
      <c r="H439" s="29" t="str">
        <f t="shared" ca="1" si="83"/>
        <v/>
      </c>
      <c r="I439" s="24"/>
      <c r="J439" s="30"/>
      <c r="K439" s="27" t="str">
        <f>IF(ИТОГ!A439=0,"",ИТОГ!A439)</f>
        <v/>
      </c>
      <c r="L439" s="26" t="str">
        <f t="shared" si="84"/>
        <v/>
      </c>
      <c r="M439" s="25" t="str">
        <f>IF(K439="","",ИТОГ!Q439)</f>
        <v/>
      </c>
      <c r="N439" s="28" t="str">
        <f>IF(K439="","",ИТОГ!N439)</f>
        <v/>
      </c>
      <c r="O439" s="30" t="str">
        <f t="shared" si="85"/>
        <v/>
      </c>
      <c r="P439" s="24"/>
      <c r="Q439" s="30" t="str">
        <f t="shared" si="86"/>
        <v/>
      </c>
      <c r="R439" s="29" t="str">
        <f t="shared" ca="1" si="87"/>
        <v/>
      </c>
    </row>
    <row r="440" spans="1:18">
      <c r="A440" s="23" t="str">
        <f t="shared" si="77"/>
        <v/>
      </c>
      <c r="B440" s="23" t="str">
        <f t="shared" si="78"/>
        <v/>
      </c>
      <c r="C440" s="29" t="str">
        <f t="shared" ca="1" si="79"/>
        <v/>
      </c>
      <c r="D440" s="22" t="str">
        <f>IF(K440="","",ИТОГ!S440)</f>
        <v/>
      </c>
      <c r="E440" s="24" t="str">
        <f t="shared" si="80"/>
        <v/>
      </c>
      <c r="F440" s="30" t="str">
        <f t="shared" si="81"/>
        <v/>
      </c>
      <c r="G440" s="25" t="str">
        <f t="shared" si="82"/>
        <v/>
      </c>
      <c r="H440" s="29" t="str">
        <f t="shared" ca="1" si="83"/>
        <v/>
      </c>
      <c r="I440" s="24"/>
      <c r="J440" s="30"/>
      <c r="K440" s="27" t="str">
        <f>IF(ИТОГ!A440=0,"",ИТОГ!A440)</f>
        <v/>
      </c>
      <c r="L440" s="26" t="str">
        <f t="shared" si="84"/>
        <v/>
      </c>
      <c r="M440" s="25" t="str">
        <f>IF(K440="","",ИТОГ!Q440)</f>
        <v/>
      </c>
      <c r="N440" s="28" t="str">
        <f>IF(K440="","",ИТОГ!N440)</f>
        <v/>
      </c>
      <c r="O440" s="30" t="str">
        <f t="shared" si="85"/>
        <v/>
      </c>
      <c r="P440" s="24"/>
      <c r="Q440" s="30" t="str">
        <f t="shared" si="86"/>
        <v/>
      </c>
      <c r="R440" s="29" t="str">
        <f t="shared" ca="1" si="87"/>
        <v/>
      </c>
    </row>
    <row r="441" spans="1:18">
      <c r="A441" s="23" t="str">
        <f t="shared" si="77"/>
        <v/>
      </c>
      <c r="B441" s="23" t="str">
        <f t="shared" si="78"/>
        <v/>
      </c>
      <c r="C441" s="29" t="str">
        <f t="shared" ca="1" si="79"/>
        <v/>
      </c>
      <c r="D441" s="22" t="str">
        <f>IF(K441="","",ИТОГ!S441)</f>
        <v/>
      </c>
      <c r="E441" s="24" t="str">
        <f t="shared" si="80"/>
        <v/>
      </c>
      <c r="F441" s="30" t="str">
        <f t="shared" si="81"/>
        <v/>
      </c>
      <c r="G441" s="25" t="str">
        <f t="shared" si="82"/>
        <v/>
      </c>
      <c r="H441" s="29" t="str">
        <f t="shared" ca="1" si="83"/>
        <v/>
      </c>
      <c r="I441" s="24"/>
      <c r="J441" s="30"/>
      <c r="K441" s="27" t="str">
        <f>IF(ИТОГ!A441=0,"",ИТОГ!A441)</f>
        <v/>
      </c>
      <c r="L441" s="26" t="str">
        <f t="shared" si="84"/>
        <v/>
      </c>
      <c r="M441" s="25" t="str">
        <f>IF(K441="","",ИТОГ!Q441)</f>
        <v/>
      </c>
      <c r="N441" s="28" t="str">
        <f>IF(K441="","",ИТОГ!N441)</f>
        <v/>
      </c>
      <c r="O441" s="30" t="str">
        <f t="shared" si="85"/>
        <v/>
      </c>
      <c r="P441" s="24"/>
      <c r="Q441" s="30" t="str">
        <f t="shared" si="86"/>
        <v/>
      </c>
      <c r="R441" s="29" t="str">
        <f t="shared" ca="1" si="87"/>
        <v/>
      </c>
    </row>
    <row r="442" spans="1:18">
      <c r="A442" s="23" t="str">
        <f t="shared" si="77"/>
        <v/>
      </c>
      <c r="B442" s="23" t="str">
        <f t="shared" si="78"/>
        <v/>
      </c>
      <c r="C442" s="29" t="str">
        <f t="shared" ca="1" si="79"/>
        <v/>
      </c>
      <c r="D442" s="22" t="str">
        <f>IF(K442="","",ИТОГ!S442)</f>
        <v/>
      </c>
      <c r="E442" s="24" t="str">
        <f t="shared" si="80"/>
        <v/>
      </c>
      <c r="F442" s="30" t="str">
        <f t="shared" si="81"/>
        <v/>
      </c>
      <c r="G442" s="25" t="str">
        <f t="shared" si="82"/>
        <v/>
      </c>
      <c r="H442" s="29" t="str">
        <f t="shared" ca="1" si="83"/>
        <v/>
      </c>
      <c r="I442" s="24"/>
      <c r="J442" s="30"/>
      <c r="K442" s="27" t="str">
        <f>IF(ИТОГ!A442=0,"",ИТОГ!A442)</f>
        <v/>
      </c>
      <c r="L442" s="26" t="str">
        <f t="shared" si="84"/>
        <v/>
      </c>
      <c r="M442" s="25" t="str">
        <f>IF(K442="","",ИТОГ!Q442)</f>
        <v/>
      </c>
      <c r="N442" s="28" t="str">
        <f>IF(K442="","",ИТОГ!N442)</f>
        <v/>
      </c>
      <c r="O442" s="30" t="str">
        <f t="shared" si="85"/>
        <v/>
      </c>
      <c r="P442" s="24"/>
      <c r="Q442" s="30" t="str">
        <f t="shared" si="86"/>
        <v/>
      </c>
      <c r="R442" s="29" t="str">
        <f t="shared" ca="1" si="87"/>
        <v/>
      </c>
    </row>
    <row r="443" spans="1:18">
      <c r="A443" s="23" t="str">
        <f t="shared" si="77"/>
        <v/>
      </c>
      <c r="B443" s="23" t="str">
        <f t="shared" si="78"/>
        <v/>
      </c>
      <c r="C443" s="29" t="str">
        <f t="shared" ca="1" si="79"/>
        <v/>
      </c>
      <c r="D443" s="22" t="str">
        <f>IF(K443="","",ИТОГ!S443)</f>
        <v/>
      </c>
      <c r="E443" s="24" t="str">
        <f t="shared" si="80"/>
        <v/>
      </c>
      <c r="F443" s="30" t="str">
        <f t="shared" si="81"/>
        <v/>
      </c>
      <c r="G443" s="25" t="str">
        <f t="shared" si="82"/>
        <v/>
      </c>
      <c r="H443" s="29" t="str">
        <f t="shared" ca="1" si="83"/>
        <v/>
      </c>
      <c r="I443" s="24"/>
      <c r="J443" s="30"/>
      <c r="K443" s="27" t="str">
        <f>IF(ИТОГ!A443=0,"",ИТОГ!A443)</f>
        <v/>
      </c>
      <c r="L443" s="26" t="str">
        <f t="shared" si="84"/>
        <v/>
      </c>
      <c r="M443" s="25" t="str">
        <f>IF(K443="","",ИТОГ!Q443)</f>
        <v/>
      </c>
      <c r="N443" s="28" t="str">
        <f>IF(K443="","",ИТОГ!N443)</f>
        <v/>
      </c>
      <c r="O443" s="30" t="str">
        <f t="shared" si="85"/>
        <v/>
      </c>
      <c r="P443" s="24"/>
      <c r="Q443" s="30" t="str">
        <f t="shared" si="86"/>
        <v/>
      </c>
      <c r="R443" s="29" t="str">
        <f t="shared" ca="1" si="87"/>
        <v/>
      </c>
    </row>
    <row r="444" spans="1:18">
      <c r="A444" s="23" t="str">
        <f t="shared" si="77"/>
        <v/>
      </c>
      <c r="B444" s="23" t="str">
        <f t="shared" si="78"/>
        <v/>
      </c>
      <c r="C444" s="29" t="str">
        <f t="shared" ca="1" si="79"/>
        <v/>
      </c>
      <c r="D444" s="22" t="str">
        <f>IF(K444="","",ИТОГ!S444)</f>
        <v/>
      </c>
      <c r="E444" s="24" t="str">
        <f t="shared" si="80"/>
        <v/>
      </c>
      <c r="F444" s="30" t="str">
        <f t="shared" si="81"/>
        <v/>
      </c>
      <c r="G444" s="25" t="str">
        <f t="shared" si="82"/>
        <v/>
      </c>
      <c r="H444" s="29" t="str">
        <f t="shared" ca="1" si="83"/>
        <v/>
      </c>
      <c r="I444" s="24"/>
      <c r="J444" s="30"/>
      <c r="K444" s="27" t="str">
        <f>IF(ИТОГ!A444=0,"",ИТОГ!A444)</f>
        <v/>
      </c>
      <c r="L444" s="26" t="str">
        <f t="shared" si="84"/>
        <v/>
      </c>
      <c r="M444" s="25" t="str">
        <f>IF(K444="","",ИТОГ!Q444)</f>
        <v/>
      </c>
      <c r="N444" s="28" t="str">
        <f>IF(K444="","",ИТОГ!N444)</f>
        <v/>
      </c>
      <c r="O444" s="30" t="str">
        <f t="shared" si="85"/>
        <v/>
      </c>
      <c r="P444" s="24"/>
      <c r="Q444" s="30" t="str">
        <f t="shared" si="86"/>
        <v/>
      </c>
      <c r="R444" s="29" t="str">
        <f t="shared" ca="1" si="87"/>
        <v/>
      </c>
    </row>
    <row r="445" spans="1:18">
      <c r="A445" s="23" t="str">
        <f t="shared" si="77"/>
        <v/>
      </c>
      <c r="B445" s="23" t="str">
        <f t="shared" si="78"/>
        <v/>
      </c>
      <c r="C445" s="29" t="str">
        <f t="shared" ca="1" si="79"/>
        <v/>
      </c>
      <c r="D445" s="22" t="str">
        <f>IF(K445="","",ИТОГ!S445)</f>
        <v/>
      </c>
      <c r="E445" s="24" t="str">
        <f t="shared" si="80"/>
        <v/>
      </c>
      <c r="F445" s="30" t="str">
        <f t="shared" si="81"/>
        <v/>
      </c>
      <c r="G445" s="25" t="str">
        <f t="shared" si="82"/>
        <v/>
      </c>
      <c r="H445" s="29" t="str">
        <f t="shared" ca="1" si="83"/>
        <v/>
      </c>
      <c r="I445" s="24"/>
      <c r="J445" s="30"/>
      <c r="K445" s="27" t="str">
        <f>IF(ИТОГ!A445=0,"",ИТОГ!A445)</f>
        <v/>
      </c>
      <c r="L445" s="26" t="str">
        <f t="shared" si="84"/>
        <v/>
      </c>
      <c r="M445" s="25" t="str">
        <f>IF(K445="","",ИТОГ!Q445)</f>
        <v/>
      </c>
      <c r="N445" s="28" t="str">
        <f>IF(K445="","",ИТОГ!N445)</f>
        <v/>
      </c>
      <c r="O445" s="30" t="str">
        <f t="shared" si="85"/>
        <v/>
      </c>
      <c r="P445" s="24"/>
      <c r="Q445" s="30" t="str">
        <f t="shared" si="86"/>
        <v/>
      </c>
      <c r="R445" s="29" t="str">
        <f t="shared" ca="1" si="87"/>
        <v/>
      </c>
    </row>
    <row r="446" spans="1:18">
      <c r="A446" s="23" t="str">
        <f t="shared" si="77"/>
        <v/>
      </c>
      <c r="B446" s="23" t="str">
        <f t="shared" si="78"/>
        <v/>
      </c>
      <c r="C446" s="29" t="str">
        <f t="shared" ca="1" si="79"/>
        <v/>
      </c>
      <c r="D446" s="22" t="str">
        <f>IF(K446="","",ИТОГ!S446)</f>
        <v/>
      </c>
      <c r="E446" s="24" t="str">
        <f t="shared" si="80"/>
        <v/>
      </c>
      <c r="F446" s="30" t="str">
        <f t="shared" si="81"/>
        <v/>
      </c>
      <c r="G446" s="25" t="str">
        <f t="shared" si="82"/>
        <v/>
      </c>
      <c r="H446" s="29" t="str">
        <f t="shared" ca="1" si="83"/>
        <v/>
      </c>
      <c r="I446" s="24"/>
      <c r="J446" s="30"/>
      <c r="K446" s="27" t="str">
        <f>IF(ИТОГ!A446=0,"",ИТОГ!A446)</f>
        <v/>
      </c>
      <c r="L446" s="26" t="str">
        <f t="shared" si="84"/>
        <v/>
      </c>
      <c r="M446" s="25" t="str">
        <f>IF(K446="","",ИТОГ!Q446)</f>
        <v/>
      </c>
      <c r="N446" s="28" t="str">
        <f>IF(K446="","",ИТОГ!N446)</f>
        <v/>
      </c>
      <c r="O446" s="30" t="str">
        <f t="shared" si="85"/>
        <v/>
      </c>
      <c r="P446" s="24"/>
      <c r="Q446" s="30" t="str">
        <f t="shared" si="86"/>
        <v/>
      </c>
      <c r="R446" s="29" t="str">
        <f t="shared" ca="1" si="87"/>
        <v/>
      </c>
    </row>
    <row r="447" spans="1:18">
      <c r="A447" s="23" t="str">
        <f t="shared" si="77"/>
        <v/>
      </c>
      <c r="B447" s="23" t="str">
        <f t="shared" si="78"/>
        <v/>
      </c>
      <c r="C447" s="29" t="str">
        <f t="shared" ca="1" si="79"/>
        <v/>
      </c>
      <c r="D447" s="22" t="str">
        <f>IF(K447="","",ИТОГ!S447)</f>
        <v/>
      </c>
      <c r="E447" s="24" t="str">
        <f t="shared" si="80"/>
        <v/>
      </c>
      <c r="F447" s="30" t="str">
        <f t="shared" si="81"/>
        <v/>
      </c>
      <c r="G447" s="25" t="str">
        <f t="shared" si="82"/>
        <v/>
      </c>
      <c r="H447" s="29" t="str">
        <f t="shared" ca="1" si="83"/>
        <v/>
      </c>
      <c r="I447" s="24"/>
      <c r="J447" s="30"/>
      <c r="K447" s="27" t="str">
        <f>IF(ИТОГ!A447=0,"",ИТОГ!A447)</f>
        <v/>
      </c>
      <c r="L447" s="26" t="str">
        <f t="shared" si="84"/>
        <v/>
      </c>
      <c r="M447" s="25" t="str">
        <f>IF(K447="","",ИТОГ!Q447)</f>
        <v/>
      </c>
      <c r="N447" s="28" t="str">
        <f>IF(K447="","",ИТОГ!N447)</f>
        <v/>
      </c>
      <c r="O447" s="30" t="str">
        <f t="shared" si="85"/>
        <v/>
      </c>
      <c r="P447" s="24"/>
      <c r="Q447" s="30" t="str">
        <f t="shared" si="86"/>
        <v/>
      </c>
      <c r="R447" s="29" t="str">
        <f t="shared" ca="1" si="87"/>
        <v/>
      </c>
    </row>
    <row r="448" spans="1:18">
      <c r="A448" s="23" t="str">
        <f t="shared" si="77"/>
        <v/>
      </c>
      <c r="B448" s="23" t="str">
        <f t="shared" si="78"/>
        <v/>
      </c>
      <c r="C448" s="29" t="str">
        <f t="shared" ca="1" si="79"/>
        <v/>
      </c>
      <c r="D448" s="22" t="str">
        <f>IF(K448="","",ИТОГ!S448)</f>
        <v/>
      </c>
      <c r="E448" s="24" t="str">
        <f t="shared" si="80"/>
        <v/>
      </c>
      <c r="F448" s="30" t="str">
        <f t="shared" si="81"/>
        <v/>
      </c>
      <c r="G448" s="25" t="str">
        <f t="shared" si="82"/>
        <v/>
      </c>
      <c r="H448" s="29" t="str">
        <f t="shared" ca="1" si="83"/>
        <v/>
      </c>
      <c r="I448" s="24"/>
      <c r="J448" s="30"/>
      <c r="K448" s="27" t="str">
        <f>IF(ИТОГ!A448=0,"",ИТОГ!A448)</f>
        <v/>
      </c>
      <c r="L448" s="26" t="str">
        <f t="shared" si="84"/>
        <v/>
      </c>
      <c r="M448" s="25" t="str">
        <f>IF(K448="","",ИТОГ!Q448)</f>
        <v/>
      </c>
      <c r="N448" s="28" t="str">
        <f>IF(K448="","",ИТОГ!N448)</f>
        <v/>
      </c>
      <c r="O448" s="30" t="str">
        <f t="shared" si="85"/>
        <v/>
      </c>
      <c r="P448" s="24"/>
      <c r="Q448" s="30" t="str">
        <f t="shared" si="86"/>
        <v/>
      </c>
      <c r="R448" s="29" t="str">
        <f t="shared" ca="1" si="87"/>
        <v/>
      </c>
    </row>
    <row r="449" spans="1:18">
      <c r="A449" s="23" t="str">
        <f t="shared" si="77"/>
        <v/>
      </c>
      <c r="B449" s="23" t="str">
        <f t="shared" si="78"/>
        <v/>
      </c>
      <c r="C449" s="29" t="str">
        <f t="shared" ca="1" si="79"/>
        <v/>
      </c>
      <c r="D449" s="22" t="str">
        <f>IF(K449="","",ИТОГ!S449)</f>
        <v/>
      </c>
      <c r="E449" s="24" t="str">
        <f t="shared" si="80"/>
        <v/>
      </c>
      <c r="F449" s="30" t="str">
        <f t="shared" si="81"/>
        <v/>
      </c>
      <c r="G449" s="25" t="str">
        <f t="shared" si="82"/>
        <v/>
      </c>
      <c r="H449" s="29" t="str">
        <f t="shared" ca="1" si="83"/>
        <v/>
      </c>
      <c r="I449" s="24"/>
      <c r="J449" s="30"/>
      <c r="K449" s="27" t="str">
        <f>IF(ИТОГ!A449=0,"",ИТОГ!A449)</f>
        <v/>
      </c>
      <c r="L449" s="26" t="str">
        <f t="shared" si="84"/>
        <v/>
      </c>
      <c r="M449" s="25" t="str">
        <f>IF(K449="","",ИТОГ!Q449)</f>
        <v/>
      </c>
      <c r="N449" s="28" t="str">
        <f>IF(K449="","",ИТОГ!N449)</f>
        <v/>
      </c>
      <c r="O449" s="30" t="str">
        <f t="shared" si="85"/>
        <v/>
      </c>
      <c r="P449" s="24"/>
      <c r="Q449" s="30" t="str">
        <f t="shared" si="86"/>
        <v/>
      </c>
      <c r="R449" s="29" t="str">
        <f t="shared" ca="1" si="87"/>
        <v/>
      </c>
    </row>
    <row r="450" spans="1:18">
      <c r="A450" s="23" t="str">
        <f t="shared" si="77"/>
        <v/>
      </c>
      <c r="B450" s="23" t="str">
        <f t="shared" si="78"/>
        <v/>
      </c>
      <c r="C450" s="29" t="str">
        <f t="shared" ca="1" si="79"/>
        <v/>
      </c>
      <c r="D450" s="22" t="str">
        <f>IF(K450="","",ИТОГ!S450)</f>
        <v/>
      </c>
      <c r="E450" s="24" t="str">
        <f t="shared" si="80"/>
        <v/>
      </c>
      <c r="F450" s="30" t="str">
        <f t="shared" si="81"/>
        <v/>
      </c>
      <c r="G450" s="25" t="str">
        <f t="shared" si="82"/>
        <v/>
      </c>
      <c r="H450" s="29" t="str">
        <f t="shared" ca="1" si="83"/>
        <v/>
      </c>
      <c r="I450" s="24"/>
      <c r="J450" s="30"/>
      <c r="K450" s="27" t="str">
        <f>IF(ИТОГ!A450=0,"",ИТОГ!A450)</f>
        <v/>
      </c>
      <c r="L450" s="26" t="str">
        <f t="shared" si="84"/>
        <v/>
      </c>
      <c r="M450" s="25" t="str">
        <f>IF(K450="","",ИТОГ!Q450)</f>
        <v/>
      </c>
      <c r="N450" s="28" t="str">
        <f>IF(K450="","",ИТОГ!N450)</f>
        <v/>
      </c>
      <c r="O450" s="30" t="str">
        <f t="shared" si="85"/>
        <v/>
      </c>
      <c r="P450" s="24"/>
      <c r="Q450" s="30" t="str">
        <f t="shared" si="86"/>
        <v/>
      </c>
      <c r="R450" s="29" t="str">
        <f t="shared" ca="1" si="87"/>
        <v/>
      </c>
    </row>
    <row r="451" spans="1:18">
      <c r="A451" s="23" t="str">
        <f t="shared" si="77"/>
        <v/>
      </c>
      <c r="B451" s="23" t="str">
        <f t="shared" si="78"/>
        <v/>
      </c>
      <c r="C451" s="29" t="str">
        <f t="shared" ca="1" si="79"/>
        <v/>
      </c>
      <c r="D451" s="22" t="str">
        <f>IF(K451="","",ИТОГ!S451)</f>
        <v/>
      </c>
      <c r="E451" s="24" t="str">
        <f t="shared" si="80"/>
        <v/>
      </c>
      <c r="F451" s="30" t="str">
        <f t="shared" si="81"/>
        <v/>
      </c>
      <c r="G451" s="25" t="str">
        <f t="shared" si="82"/>
        <v/>
      </c>
      <c r="H451" s="29" t="str">
        <f t="shared" ca="1" si="83"/>
        <v/>
      </c>
      <c r="I451" s="24"/>
      <c r="J451" s="30"/>
      <c r="K451" s="27" t="str">
        <f>IF(ИТОГ!A451=0,"",ИТОГ!A451)</f>
        <v/>
      </c>
      <c r="L451" s="26" t="str">
        <f t="shared" si="84"/>
        <v/>
      </c>
      <c r="M451" s="25" t="str">
        <f>IF(K451="","",ИТОГ!Q451)</f>
        <v/>
      </c>
      <c r="N451" s="28" t="str">
        <f>IF(K451="","",ИТОГ!N451)</f>
        <v/>
      </c>
      <c r="O451" s="30" t="str">
        <f t="shared" si="85"/>
        <v/>
      </c>
      <c r="P451" s="24"/>
      <c r="Q451" s="30" t="str">
        <f t="shared" si="86"/>
        <v/>
      </c>
      <c r="R451" s="29" t="str">
        <f t="shared" ca="1" si="87"/>
        <v/>
      </c>
    </row>
    <row r="452" spans="1:18">
      <c r="A452" s="23" t="str">
        <f t="shared" si="77"/>
        <v/>
      </c>
      <c r="B452" s="23" t="str">
        <f t="shared" si="78"/>
        <v/>
      </c>
      <c r="C452" s="29" t="str">
        <f t="shared" ca="1" si="79"/>
        <v/>
      </c>
      <c r="D452" s="22" t="str">
        <f>IF(K452="","",ИТОГ!S452)</f>
        <v/>
      </c>
      <c r="E452" s="24" t="str">
        <f t="shared" si="80"/>
        <v/>
      </c>
      <c r="F452" s="30" t="str">
        <f t="shared" si="81"/>
        <v/>
      </c>
      <c r="G452" s="25" t="str">
        <f t="shared" si="82"/>
        <v/>
      </c>
      <c r="H452" s="29" t="str">
        <f t="shared" ca="1" si="83"/>
        <v/>
      </c>
      <c r="I452" s="24"/>
      <c r="J452" s="30"/>
      <c r="K452" s="27" t="str">
        <f>IF(ИТОГ!A452=0,"",ИТОГ!A452)</f>
        <v/>
      </c>
      <c r="L452" s="26" t="str">
        <f t="shared" si="84"/>
        <v/>
      </c>
      <c r="M452" s="25" t="str">
        <f>IF(K452="","",ИТОГ!Q452)</f>
        <v/>
      </c>
      <c r="N452" s="28" t="str">
        <f>IF(K452="","",ИТОГ!N452)</f>
        <v/>
      </c>
      <c r="O452" s="30" t="str">
        <f t="shared" si="85"/>
        <v/>
      </c>
      <c r="P452" s="24"/>
      <c r="Q452" s="30" t="str">
        <f t="shared" si="86"/>
        <v/>
      </c>
      <c r="R452" s="29" t="str">
        <f t="shared" ca="1" si="87"/>
        <v/>
      </c>
    </row>
    <row r="453" spans="1:18">
      <c r="A453" s="23" t="str">
        <f t="shared" si="77"/>
        <v/>
      </c>
      <c r="B453" s="23" t="str">
        <f t="shared" si="78"/>
        <v/>
      </c>
      <c r="C453" s="29" t="str">
        <f t="shared" ca="1" si="79"/>
        <v/>
      </c>
      <c r="D453" s="22" t="str">
        <f>IF(K453="","",ИТОГ!S453)</f>
        <v/>
      </c>
      <c r="E453" s="24" t="str">
        <f t="shared" si="80"/>
        <v/>
      </c>
      <c r="F453" s="30" t="str">
        <f t="shared" si="81"/>
        <v/>
      </c>
      <c r="G453" s="25" t="str">
        <f t="shared" si="82"/>
        <v/>
      </c>
      <c r="H453" s="29" t="str">
        <f t="shared" ca="1" si="83"/>
        <v/>
      </c>
      <c r="I453" s="24"/>
      <c r="J453" s="30"/>
      <c r="K453" s="27" t="str">
        <f>IF(ИТОГ!A453=0,"",ИТОГ!A453)</f>
        <v/>
      </c>
      <c r="L453" s="26" t="str">
        <f t="shared" si="84"/>
        <v/>
      </c>
      <c r="M453" s="25" t="str">
        <f>IF(K453="","",ИТОГ!Q453)</f>
        <v/>
      </c>
      <c r="N453" s="28" t="str">
        <f>IF(K453="","",ИТОГ!N453)</f>
        <v/>
      </c>
      <c r="O453" s="30" t="str">
        <f t="shared" si="85"/>
        <v/>
      </c>
      <c r="P453" s="24"/>
      <c r="Q453" s="30" t="str">
        <f t="shared" si="86"/>
        <v/>
      </c>
      <c r="R453" s="29" t="str">
        <f t="shared" ca="1" si="87"/>
        <v/>
      </c>
    </row>
    <row r="454" spans="1:18">
      <c r="A454" s="23" t="str">
        <f t="shared" si="77"/>
        <v/>
      </c>
      <c r="B454" s="23" t="str">
        <f t="shared" si="78"/>
        <v/>
      </c>
      <c r="C454" s="29" t="str">
        <f t="shared" ca="1" si="79"/>
        <v/>
      </c>
      <c r="D454" s="22" t="str">
        <f>IF(K454="","",ИТОГ!S454)</f>
        <v/>
      </c>
      <c r="E454" s="24" t="str">
        <f t="shared" si="80"/>
        <v/>
      </c>
      <c r="F454" s="30" t="str">
        <f t="shared" si="81"/>
        <v/>
      </c>
      <c r="G454" s="25" t="str">
        <f t="shared" si="82"/>
        <v/>
      </c>
      <c r="H454" s="29" t="str">
        <f t="shared" ca="1" si="83"/>
        <v/>
      </c>
      <c r="I454" s="24"/>
      <c r="J454" s="30"/>
      <c r="K454" s="27" t="str">
        <f>IF(ИТОГ!A454=0,"",ИТОГ!A454)</f>
        <v/>
      </c>
      <c r="L454" s="26" t="str">
        <f t="shared" si="84"/>
        <v/>
      </c>
      <c r="M454" s="25" t="str">
        <f>IF(K454="","",ИТОГ!Q454)</f>
        <v/>
      </c>
      <c r="N454" s="28" t="str">
        <f>IF(K454="","",ИТОГ!N454)</f>
        <v/>
      </c>
      <c r="O454" s="30" t="str">
        <f t="shared" si="85"/>
        <v/>
      </c>
      <c r="P454" s="24"/>
      <c r="Q454" s="30" t="str">
        <f t="shared" si="86"/>
        <v/>
      </c>
      <c r="R454" s="29" t="str">
        <f t="shared" ca="1" si="87"/>
        <v/>
      </c>
    </row>
    <row r="455" spans="1:18">
      <c r="A455" s="23" t="str">
        <f t="shared" si="77"/>
        <v/>
      </c>
      <c r="B455" s="23" t="str">
        <f t="shared" si="78"/>
        <v/>
      </c>
      <c r="C455" s="29" t="str">
        <f t="shared" ca="1" si="79"/>
        <v/>
      </c>
      <c r="D455" s="22" t="str">
        <f>IF(K455="","",ИТОГ!S455)</f>
        <v/>
      </c>
      <c r="E455" s="24" t="str">
        <f t="shared" si="80"/>
        <v/>
      </c>
      <c r="F455" s="30" t="str">
        <f t="shared" si="81"/>
        <v/>
      </c>
      <c r="G455" s="25" t="str">
        <f t="shared" si="82"/>
        <v/>
      </c>
      <c r="H455" s="29" t="str">
        <f t="shared" ca="1" si="83"/>
        <v/>
      </c>
      <c r="I455" s="24"/>
      <c r="J455" s="30"/>
      <c r="K455" s="27" t="str">
        <f>IF(ИТОГ!A455=0,"",ИТОГ!A455)</f>
        <v/>
      </c>
      <c r="L455" s="26" t="str">
        <f t="shared" si="84"/>
        <v/>
      </c>
      <c r="M455" s="25" t="str">
        <f>IF(K455="","",ИТОГ!Q455)</f>
        <v/>
      </c>
      <c r="N455" s="28" t="str">
        <f>IF(K455="","",ИТОГ!N455)</f>
        <v/>
      </c>
      <c r="O455" s="30" t="str">
        <f t="shared" si="85"/>
        <v/>
      </c>
      <c r="P455" s="24"/>
      <c r="Q455" s="30" t="str">
        <f t="shared" si="86"/>
        <v/>
      </c>
      <c r="R455" s="29" t="str">
        <f t="shared" ca="1" si="87"/>
        <v/>
      </c>
    </row>
    <row r="456" spans="1:18">
      <c r="A456" s="23" t="str">
        <f t="shared" si="77"/>
        <v/>
      </c>
      <c r="B456" s="23" t="str">
        <f t="shared" si="78"/>
        <v/>
      </c>
      <c r="C456" s="29" t="str">
        <f t="shared" ca="1" si="79"/>
        <v/>
      </c>
      <c r="D456" s="22" t="str">
        <f>IF(K456="","",ИТОГ!S456)</f>
        <v/>
      </c>
      <c r="E456" s="24" t="str">
        <f t="shared" si="80"/>
        <v/>
      </c>
      <c r="F456" s="30" t="str">
        <f t="shared" si="81"/>
        <v/>
      </c>
      <c r="G456" s="25" t="str">
        <f t="shared" si="82"/>
        <v/>
      </c>
      <c r="H456" s="29" t="str">
        <f t="shared" ca="1" si="83"/>
        <v/>
      </c>
      <c r="I456" s="24"/>
      <c r="J456" s="30"/>
      <c r="K456" s="27" t="str">
        <f>IF(ИТОГ!A456=0,"",ИТОГ!A456)</f>
        <v/>
      </c>
      <c r="L456" s="26" t="str">
        <f t="shared" si="84"/>
        <v/>
      </c>
      <c r="M456" s="25" t="str">
        <f>IF(K456="","",ИТОГ!Q456)</f>
        <v/>
      </c>
      <c r="N456" s="28" t="str">
        <f>IF(K456="","",ИТОГ!N456)</f>
        <v/>
      </c>
      <c r="O456" s="30" t="str">
        <f t="shared" si="85"/>
        <v/>
      </c>
      <c r="P456" s="24"/>
      <c r="Q456" s="30" t="str">
        <f t="shared" si="86"/>
        <v/>
      </c>
      <c r="R456" s="29" t="str">
        <f t="shared" ca="1" si="87"/>
        <v/>
      </c>
    </row>
    <row r="457" spans="1:18">
      <c r="A457" s="23" t="str">
        <f t="shared" si="77"/>
        <v/>
      </c>
      <c r="B457" s="23" t="str">
        <f t="shared" si="78"/>
        <v/>
      </c>
      <c r="C457" s="29" t="str">
        <f t="shared" ca="1" si="79"/>
        <v/>
      </c>
      <c r="D457" s="22" t="str">
        <f>IF(K457="","",ИТОГ!S457)</f>
        <v/>
      </c>
      <c r="E457" s="24" t="str">
        <f t="shared" si="80"/>
        <v/>
      </c>
      <c r="F457" s="30" t="str">
        <f t="shared" si="81"/>
        <v/>
      </c>
      <c r="G457" s="25" t="str">
        <f t="shared" si="82"/>
        <v/>
      </c>
      <c r="H457" s="29" t="str">
        <f t="shared" ca="1" si="83"/>
        <v/>
      </c>
      <c r="I457" s="24"/>
      <c r="J457" s="30"/>
      <c r="K457" s="27" t="str">
        <f>IF(ИТОГ!A457=0,"",ИТОГ!A457)</f>
        <v/>
      </c>
      <c r="L457" s="26" t="str">
        <f t="shared" si="84"/>
        <v/>
      </c>
      <c r="M457" s="25" t="str">
        <f>IF(K457="","",ИТОГ!Q457)</f>
        <v/>
      </c>
      <c r="N457" s="28" t="str">
        <f>IF(K457="","",ИТОГ!N457)</f>
        <v/>
      </c>
      <c r="O457" s="30" t="str">
        <f t="shared" si="85"/>
        <v/>
      </c>
      <c r="P457" s="24"/>
      <c r="Q457" s="30" t="str">
        <f t="shared" si="86"/>
        <v/>
      </c>
      <c r="R457" s="29" t="str">
        <f t="shared" ca="1" si="87"/>
        <v/>
      </c>
    </row>
    <row r="458" spans="1:18">
      <c r="A458" s="23" t="str">
        <f t="shared" si="77"/>
        <v/>
      </c>
      <c r="B458" s="23" t="str">
        <f t="shared" si="78"/>
        <v/>
      </c>
      <c r="C458" s="29" t="str">
        <f t="shared" ca="1" si="79"/>
        <v/>
      </c>
      <c r="D458" s="22" t="str">
        <f>IF(K458="","",ИТОГ!S458)</f>
        <v/>
      </c>
      <c r="E458" s="24" t="str">
        <f t="shared" si="80"/>
        <v/>
      </c>
      <c r="F458" s="30" t="str">
        <f t="shared" si="81"/>
        <v/>
      </c>
      <c r="G458" s="25" t="str">
        <f t="shared" si="82"/>
        <v/>
      </c>
      <c r="H458" s="29" t="str">
        <f t="shared" ca="1" si="83"/>
        <v/>
      </c>
      <c r="I458" s="24"/>
      <c r="J458" s="30"/>
      <c r="K458" s="27" t="str">
        <f>IF(ИТОГ!A458=0,"",ИТОГ!A458)</f>
        <v/>
      </c>
      <c r="L458" s="26" t="str">
        <f t="shared" si="84"/>
        <v/>
      </c>
      <c r="M458" s="25" t="str">
        <f>IF(K458="","",ИТОГ!Q458)</f>
        <v/>
      </c>
      <c r="N458" s="28" t="str">
        <f>IF(K458="","",ИТОГ!N458)</f>
        <v/>
      </c>
      <c r="O458" s="30" t="str">
        <f t="shared" si="85"/>
        <v/>
      </c>
      <c r="P458" s="24"/>
      <c r="Q458" s="30" t="str">
        <f t="shared" si="86"/>
        <v/>
      </c>
      <c r="R458" s="29" t="str">
        <f t="shared" ca="1" si="87"/>
        <v/>
      </c>
    </row>
    <row r="459" spans="1:18">
      <c r="A459" s="23" t="str">
        <f t="shared" si="77"/>
        <v/>
      </c>
      <c r="B459" s="23" t="str">
        <f t="shared" si="78"/>
        <v/>
      </c>
      <c r="C459" s="29" t="str">
        <f t="shared" ca="1" si="79"/>
        <v/>
      </c>
      <c r="D459" s="22" t="str">
        <f>IF(K459="","",ИТОГ!S459)</f>
        <v/>
      </c>
      <c r="E459" s="24" t="str">
        <f t="shared" si="80"/>
        <v/>
      </c>
      <c r="F459" s="30" t="str">
        <f t="shared" si="81"/>
        <v/>
      </c>
      <c r="G459" s="25" t="str">
        <f t="shared" si="82"/>
        <v/>
      </c>
      <c r="H459" s="29" t="str">
        <f t="shared" ca="1" si="83"/>
        <v/>
      </c>
      <c r="I459" s="24"/>
      <c r="J459" s="30"/>
      <c r="K459" s="27" t="str">
        <f>IF(ИТОГ!A459=0,"",ИТОГ!A459)</f>
        <v/>
      </c>
      <c r="L459" s="26" t="str">
        <f t="shared" si="84"/>
        <v/>
      </c>
      <c r="M459" s="25" t="str">
        <f>IF(K459="","",ИТОГ!Q459)</f>
        <v/>
      </c>
      <c r="N459" s="28" t="str">
        <f>IF(K459="","",ИТОГ!N459)</f>
        <v/>
      </c>
      <c r="O459" s="30" t="str">
        <f t="shared" si="85"/>
        <v/>
      </c>
      <c r="P459" s="24"/>
      <c r="Q459" s="30" t="str">
        <f t="shared" si="86"/>
        <v/>
      </c>
      <c r="R459" s="29" t="str">
        <f t="shared" ca="1" si="87"/>
        <v/>
      </c>
    </row>
    <row r="460" spans="1:18">
      <c r="A460" s="23" t="str">
        <f t="shared" si="77"/>
        <v/>
      </c>
      <c r="B460" s="23" t="str">
        <f t="shared" si="78"/>
        <v/>
      </c>
      <c r="C460" s="29" t="str">
        <f t="shared" ca="1" si="79"/>
        <v/>
      </c>
      <c r="D460" s="22" t="str">
        <f>IF(K460="","",ИТОГ!S460)</f>
        <v/>
      </c>
      <c r="E460" s="24" t="str">
        <f t="shared" si="80"/>
        <v/>
      </c>
      <c r="F460" s="30" t="str">
        <f t="shared" si="81"/>
        <v/>
      </c>
      <c r="G460" s="25" t="str">
        <f t="shared" si="82"/>
        <v/>
      </c>
      <c r="H460" s="29" t="str">
        <f t="shared" ca="1" si="83"/>
        <v/>
      </c>
      <c r="I460" s="24"/>
      <c r="J460" s="30"/>
      <c r="K460" s="27" t="str">
        <f>IF(ИТОГ!A460=0,"",ИТОГ!A460)</f>
        <v/>
      </c>
      <c r="L460" s="26" t="str">
        <f t="shared" si="84"/>
        <v/>
      </c>
      <c r="M460" s="25" t="str">
        <f>IF(K460="","",ИТОГ!Q460)</f>
        <v/>
      </c>
      <c r="N460" s="28" t="str">
        <f>IF(K460="","",ИТОГ!N460)</f>
        <v/>
      </c>
      <c r="O460" s="30" t="str">
        <f t="shared" si="85"/>
        <v/>
      </c>
      <c r="P460" s="24"/>
      <c r="Q460" s="30" t="str">
        <f t="shared" si="86"/>
        <v/>
      </c>
      <c r="R460" s="29" t="str">
        <f t="shared" ca="1" si="87"/>
        <v/>
      </c>
    </row>
    <row r="461" spans="1:18">
      <c r="A461" s="23" t="str">
        <f t="shared" si="77"/>
        <v/>
      </c>
      <c r="B461" s="23" t="str">
        <f t="shared" si="78"/>
        <v/>
      </c>
      <c r="C461" s="29" t="str">
        <f t="shared" ca="1" si="79"/>
        <v/>
      </c>
      <c r="D461" s="22" t="str">
        <f>IF(K461="","",ИТОГ!S461)</f>
        <v/>
      </c>
      <c r="E461" s="24" t="str">
        <f t="shared" si="80"/>
        <v/>
      </c>
      <c r="F461" s="30" t="str">
        <f t="shared" si="81"/>
        <v/>
      </c>
      <c r="G461" s="25" t="str">
        <f t="shared" si="82"/>
        <v/>
      </c>
      <c r="H461" s="29" t="str">
        <f t="shared" ca="1" si="83"/>
        <v/>
      </c>
      <c r="I461" s="24"/>
      <c r="J461" s="30"/>
      <c r="K461" s="27" t="str">
        <f>IF(ИТОГ!A461=0,"",ИТОГ!A461)</f>
        <v/>
      </c>
      <c r="L461" s="26" t="str">
        <f t="shared" si="84"/>
        <v/>
      </c>
      <c r="M461" s="25" t="str">
        <f>IF(K461="","",ИТОГ!Q461)</f>
        <v/>
      </c>
      <c r="N461" s="28" t="str">
        <f>IF(K461="","",ИТОГ!N461)</f>
        <v/>
      </c>
      <c r="O461" s="30" t="str">
        <f t="shared" si="85"/>
        <v/>
      </c>
      <c r="P461" s="24"/>
      <c r="Q461" s="30" t="str">
        <f t="shared" si="86"/>
        <v/>
      </c>
      <c r="R461" s="29" t="str">
        <f t="shared" ca="1" si="87"/>
        <v/>
      </c>
    </row>
    <row r="462" spans="1:18">
      <c r="A462" s="23" t="str">
        <f t="shared" si="77"/>
        <v/>
      </c>
      <c r="B462" s="23" t="str">
        <f t="shared" si="78"/>
        <v/>
      </c>
      <c r="C462" s="29" t="str">
        <f t="shared" ca="1" si="79"/>
        <v/>
      </c>
      <c r="D462" s="22" t="str">
        <f>IF(K462="","",ИТОГ!S462)</f>
        <v/>
      </c>
      <c r="E462" s="24" t="str">
        <f t="shared" si="80"/>
        <v/>
      </c>
      <c r="F462" s="30" t="str">
        <f t="shared" si="81"/>
        <v/>
      </c>
      <c r="G462" s="25" t="str">
        <f t="shared" si="82"/>
        <v/>
      </c>
      <c r="H462" s="29" t="str">
        <f t="shared" ca="1" si="83"/>
        <v/>
      </c>
      <c r="I462" s="24"/>
      <c r="J462" s="30"/>
      <c r="K462" s="27" t="str">
        <f>IF(ИТОГ!A462=0,"",ИТОГ!A462)</f>
        <v/>
      </c>
      <c r="L462" s="26" t="str">
        <f t="shared" si="84"/>
        <v/>
      </c>
      <c r="M462" s="25" t="str">
        <f>IF(K462="","",ИТОГ!Q462)</f>
        <v/>
      </c>
      <c r="N462" s="28" t="str">
        <f>IF(K462="","",ИТОГ!N462)</f>
        <v/>
      </c>
      <c r="O462" s="30" t="str">
        <f t="shared" si="85"/>
        <v/>
      </c>
      <c r="P462" s="24"/>
      <c r="Q462" s="30" t="str">
        <f t="shared" si="86"/>
        <v/>
      </c>
      <c r="R462" s="29" t="str">
        <f t="shared" ca="1" si="87"/>
        <v/>
      </c>
    </row>
    <row r="463" spans="1:18">
      <c r="A463" s="23" t="str">
        <f t="shared" si="77"/>
        <v/>
      </c>
      <c r="B463" s="23" t="str">
        <f t="shared" si="78"/>
        <v/>
      </c>
      <c r="C463" s="29" t="str">
        <f t="shared" ca="1" si="79"/>
        <v/>
      </c>
      <c r="D463" s="22" t="str">
        <f>IF(K463="","",ИТОГ!S463)</f>
        <v/>
      </c>
      <c r="E463" s="24" t="str">
        <f t="shared" si="80"/>
        <v/>
      </c>
      <c r="F463" s="30" t="str">
        <f t="shared" si="81"/>
        <v/>
      </c>
      <c r="G463" s="25" t="str">
        <f t="shared" si="82"/>
        <v/>
      </c>
      <c r="H463" s="29" t="str">
        <f t="shared" ca="1" si="83"/>
        <v/>
      </c>
      <c r="I463" s="24"/>
      <c r="J463" s="30"/>
      <c r="K463" s="27" t="str">
        <f>IF(ИТОГ!A463=0,"",ИТОГ!A463)</f>
        <v/>
      </c>
      <c r="L463" s="26" t="str">
        <f t="shared" si="84"/>
        <v/>
      </c>
      <c r="M463" s="25" t="str">
        <f>IF(K463="","",ИТОГ!Q463)</f>
        <v/>
      </c>
      <c r="N463" s="28" t="str">
        <f>IF(K463="","",ИТОГ!N463)</f>
        <v/>
      </c>
      <c r="O463" s="30" t="str">
        <f t="shared" si="85"/>
        <v/>
      </c>
      <c r="P463" s="24"/>
      <c r="Q463" s="30" t="str">
        <f t="shared" si="86"/>
        <v/>
      </c>
      <c r="R463" s="29" t="str">
        <f t="shared" ca="1" si="87"/>
        <v/>
      </c>
    </row>
    <row r="464" spans="1:18">
      <c r="A464" s="23" t="str">
        <f t="shared" si="77"/>
        <v/>
      </c>
      <c r="B464" s="23" t="str">
        <f t="shared" si="78"/>
        <v/>
      </c>
      <c r="C464" s="29" t="str">
        <f t="shared" ca="1" si="79"/>
        <v/>
      </c>
      <c r="D464" s="22" t="str">
        <f>IF(K464="","",ИТОГ!S464)</f>
        <v/>
      </c>
      <c r="E464" s="24" t="str">
        <f t="shared" si="80"/>
        <v/>
      </c>
      <c r="F464" s="30" t="str">
        <f t="shared" si="81"/>
        <v/>
      </c>
      <c r="G464" s="25" t="str">
        <f t="shared" si="82"/>
        <v/>
      </c>
      <c r="H464" s="29" t="str">
        <f t="shared" ca="1" si="83"/>
        <v/>
      </c>
      <c r="I464" s="24"/>
      <c r="J464" s="30"/>
      <c r="K464" s="27" t="str">
        <f>IF(ИТОГ!A464=0,"",ИТОГ!A464)</f>
        <v/>
      </c>
      <c r="L464" s="26" t="str">
        <f t="shared" si="84"/>
        <v/>
      </c>
      <c r="M464" s="25" t="str">
        <f>IF(K464="","",ИТОГ!Q464)</f>
        <v/>
      </c>
      <c r="N464" s="28" t="str">
        <f>IF(K464="","",ИТОГ!N464)</f>
        <v/>
      </c>
      <c r="O464" s="30" t="str">
        <f t="shared" si="85"/>
        <v/>
      </c>
      <c r="P464" s="24"/>
      <c r="Q464" s="30" t="str">
        <f t="shared" si="86"/>
        <v/>
      </c>
      <c r="R464" s="29" t="str">
        <f t="shared" ca="1" si="87"/>
        <v/>
      </c>
    </row>
    <row r="465" spans="1:18">
      <c r="A465" s="23" t="str">
        <f t="shared" si="77"/>
        <v/>
      </c>
      <c r="B465" s="23" t="str">
        <f t="shared" si="78"/>
        <v/>
      </c>
      <c r="C465" s="29" t="str">
        <f t="shared" ca="1" si="79"/>
        <v/>
      </c>
      <c r="D465" s="22" t="str">
        <f>IF(K465="","",ИТОГ!S465)</f>
        <v/>
      </c>
      <c r="E465" s="24" t="str">
        <f t="shared" si="80"/>
        <v/>
      </c>
      <c r="F465" s="30" t="str">
        <f t="shared" si="81"/>
        <v/>
      </c>
      <c r="G465" s="25" t="str">
        <f t="shared" si="82"/>
        <v/>
      </c>
      <c r="H465" s="29" t="str">
        <f t="shared" ca="1" si="83"/>
        <v/>
      </c>
      <c r="I465" s="24"/>
      <c r="J465" s="30"/>
      <c r="K465" s="27" t="str">
        <f>IF(ИТОГ!A465=0,"",ИТОГ!A465)</f>
        <v/>
      </c>
      <c r="L465" s="26" t="str">
        <f t="shared" si="84"/>
        <v/>
      </c>
      <c r="M465" s="25" t="str">
        <f>IF(K465="","",ИТОГ!Q465)</f>
        <v/>
      </c>
      <c r="N465" s="28" t="str">
        <f>IF(K465="","",ИТОГ!N465)</f>
        <v/>
      </c>
      <c r="O465" s="30" t="str">
        <f t="shared" si="85"/>
        <v/>
      </c>
      <c r="P465" s="24"/>
      <c r="Q465" s="30" t="str">
        <f t="shared" si="86"/>
        <v/>
      </c>
      <c r="R465" s="29" t="str">
        <f t="shared" ca="1" si="87"/>
        <v/>
      </c>
    </row>
    <row r="466" spans="1:18">
      <c r="A466" s="23" t="str">
        <f t="shared" si="77"/>
        <v/>
      </c>
      <c r="B466" s="23" t="str">
        <f t="shared" si="78"/>
        <v/>
      </c>
      <c r="C466" s="29" t="str">
        <f t="shared" ca="1" si="79"/>
        <v/>
      </c>
      <c r="D466" s="22" t="str">
        <f>IF(K466="","",ИТОГ!S466)</f>
        <v/>
      </c>
      <c r="E466" s="24" t="str">
        <f t="shared" si="80"/>
        <v/>
      </c>
      <c r="F466" s="30" t="str">
        <f t="shared" si="81"/>
        <v/>
      </c>
      <c r="G466" s="25" t="str">
        <f t="shared" si="82"/>
        <v/>
      </c>
      <c r="H466" s="29" t="str">
        <f t="shared" ca="1" si="83"/>
        <v/>
      </c>
      <c r="I466" s="24"/>
      <c r="J466" s="30"/>
      <c r="K466" s="27" t="str">
        <f>IF(ИТОГ!A466=0,"",ИТОГ!A466)</f>
        <v/>
      </c>
      <c r="L466" s="26" t="str">
        <f t="shared" si="84"/>
        <v/>
      </c>
      <c r="M466" s="25" t="str">
        <f>IF(K466="","",ИТОГ!Q466)</f>
        <v/>
      </c>
      <c r="N466" s="28" t="str">
        <f>IF(K466="","",ИТОГ!N466)</f>
        <v/>
      </c>
      <c r="O466" s="30" t="str">
        <f t="shared" si="85"/>
        <v/>
      </c>
      <c r="P466" s="24"/>
      <c r="Q466" s="30" t="str">
        <f t="shared" si="86"/>
        <v/>
      </c>
      <c r="R466" s="29" t="str">
        <f t="shared" ca="1" si="87"/>
        <v/>
      </c>
    </row>
    <row r="467" spans="1:18">
      <c r="A467" s="23" t="str">
        <f t="shared" si="77"/>
        <v/>
      </c>
      <c r="B467" s="23" t="str">
        <f t="shared" si="78"/>
        <v/>
      </c>
      <c r="C467" s="29" t="str">
        <f t="shared" ca="1" si="79"/>
        <v/>
      </c>
      <c r="D467" s="22" t="str">
        <f>IF(K467="","",ИТОГ!S467)</f>
        <v/>
      </c>
      <c r="E467" s="24" t="str">
        <f t="shared" si="80"/>
        <v/>
      </c>
      <c r="F467" s="30" t="str">
        <f t="shared" si="81"/>
        <v/>
      </c>
      <c r="G467" s="25" t="str">
        <f t="shared" si="82"/>
        <v/>
      </c>
      <c r="H467" s="29" t="str">
        <f t="shared" ca="1" si="83"/>
        <v/>
      </c>
      <c r="I467" s="24"/>
      <c r="J467" s="30"/>
      <c r="K467" s="27" t="str">
        <f>IF(ИТОГ!A467=0,"",ИТОГ!A467)</f>
        <v/>
      </c>
      <c r="L467" s="26" t="str">
        <f t="shared" si="84"/>
        <v/>
      </c>
      <c r="M467" s="25" t="str">
        <f>IF(K467="","",ИТОГ!Q467)</f>
        <v/>
      </c>
      <c r="N467" s="28" t="str">
        <f>IF(K467="","",ИТОГ!N467)</f>
        <v/>
      </c>
      <c r="O467" s="30" t="str">
        <f t="shared" si="85"/>
        <v/>
      </c>
      <c r="P467" s="24"/>
      <c r="Q467" s="30" t="str">
        <f t="shared" si="86"/>
        <v/>
      </c>
      <c r="R467" s="29" t="str">
        <f t="shared" ca="1" si="87"/>
        <v/>
      </c>
    </row>
    <row r="468" spans="1:18">
      <c r="A468" s="23" t="str">
        <f t="shared" si="77"/>
        <v/>
      </c>
      <c r="B468" s="23" t="str">
        <f t="shared" si="78"/>
        <v/>
      </c>
      <c r="C468" s="29" t="str">
        <f t="shared" ca="1" si="79"/>
        <v/>
      </c>
      <c r="D468" s="22" t="str">
        <f>IF(K468="","",ИТОГ!S468)</f>
        <v/>
      </c>
      <c r="E468" s="24" t="str">
        <f t="shared" si="80"/>
        <v/>
      </c>
      <c r="F468" s="30" t="str">
        <f t="shared" si="81"/>
        <v/>
      </c>
      <c r="G468" s="25" t="str">
        <f t="shared" si="82"/>
        <v/>
      </c>
      <c r="H468" s="29" t="str">
        <f t="shared" ca="1" si="83"/>
        <v/>
      </c>
      <c r="I468" s="24"/>
      <c r="J468" s="30"/>
      <c r="K468" s="27" t="str">
        <f>IF(ИТОГ!A468=0,"",ИТОГ!A468)</f>
        <v/>
      </c>
      <c r="L468" s="26" t="str">
        <f t="shared" si="84"/>
        <v/>
      </c>
      <c r="M468" s="25" t="str">
        <f>IF(K468="","",ИТОГ!Q468)</f>
        <v/>
      </c>
      <c r="N468" s="28" t="str">
        <f>IF(K468="","",ИТОГ!N468)</f>
        <v/>
      </c>
      <c r="O468" s="30" t="str">
        <f t="shared" si="85"/>
        <v/>
      </c>
      <c r="P468" s="24"/>
      <c r="Q468" s="30" t="str">
        <f t="shared" si="86"/>
        <v/>
      </c>
      <c r="R468" s="29" t="str">
        <f t="shared" ca="1" si="87"/>
        <v/>
      </c>
    </row>
    <row r="469" spans="1:18">
      <c r="A469" s="23" t="str">
        <f t="shared" si="77"/>
        <v/>
      </c>
      <c r="B469" s="23" t="str">
        <f t="shared" si="78"/>
        <v/>
      </c>
      <c r="C469" s="29" t="str">
        <f t="shared" ca="1" si="79"/>
        <v/>
      </c>
      <c r="D469" s="22" t="str">
        <f>IF(K469="","",ИТОГ!S469)</f>
        <v/>
      </c>
      <c r="E469" s="24" t="str">
        <f t="shared" si="80"/>
        <v/>
      </c>
      <c r="F469" s="30" t="str">
        <f t="shared" si="81"/>
        <v/>
      </c>
      <c r="G469" s="25" t="str">
        <f t="shared" si="82"/>
        <v/>
      </c>
      <c r="H469" s="29" t="str">
        <f t="shared" ca="1" si="83"/>
        <v/>
      </c>
      <c r="I469" s="24"/>
      <c r="J469" s="30"/>
      <c r="K469" s="27" t="str">
        <f>IF(ИТОГ!A469=0,"",ИТОГ!A469)</f>
        <v/>
      </c>
      <c r="L469" s="26" t="str">
        <f t="shared" si="84"/>
        <v/>
      </c>
      <c r="M469" s="25" t="str">
        <f>IF(K469="","",ИТОГ!Q469)</f>
        <v/>
      </c>
      <c r="N469" s="28" t="str">
        <f>IF(K469="","",ИТОГ!N469)</f>
        <v/>
      </c>
      <c r="O469" s="30" t="str">
        <f t="shared" si="85"/>
        <v/>
      </c>
      <c r="P469" s="24"/>
      <c r="Q469" s="30" t="str">
        <f t="shared" si="86"/>
        <v/>
      </c>
      <c r="R469" s="29" t="str">
        <f t="shared" ca="1" si="87"/>
        <v/>
      </c>
    </row>
    <row r="470" spans="1:18">
      <c r="A470" s="23" t="str">
        <f t="shared" si="77"/>
        <v/>
      </c>
      <c r="B470" s="23" t="str">
        <f t="shared" si="78"/>
        <v/>
      </c>
      <c r="C470" s="29" t="str">
        <f t="shared" ca="1" si="79"/>
        <v/>
      </c>
      <c r="D470" s="22" t="str">
        <f>IF(K470="","",ИТОГ!S470)</f>
        <v/>
      </c>
      <c r="E470" s="24" t="str">
        <f t="shared" si="80"/>
        <v/>
      </c>
      <c r="F470" s="30" t="str">
        <f t="shared" si="81"/>
        <v/>
      </c>
      <c r="G470" s="25" t="str">
        <f t="shared" si="82"/>
        <v/>
      </c>
      <c r="H470" s="29" t="str">
        <f t="shared" ca="1" si="83"/>
        <v/>
      </c>
      <c r="I470" s="24"/>
      <c r="J470" s="30"/>
      <c r="K470" s="27" t="str">
        <f>IF(ИТОГ!A470=0,"",ИТОГ!A470)</f>
        <v/>
      </c>
      <c r="L470" s="26" t="str">
        <f t="shared" si="84"/>
        <v/>
      </c>
      <c r="M470" s="25" t="str">
        <f>IF(K470="","",ИТОГ!Q470)</f>
        <v/>
      </c>
      <c r="N470" s="28" t="str">
        <f>IF(K470="","",ИТОГ!N470)</f>
        <v/>
      </c>
      <c r="O470" s="30" t="str">
        <f t="shared" si="85"/>
        <v/>
      </c>
      <c r="P470" s="24"/>
      <c r="Q470" s="30" t="str">
        <f t="shared" si="86"/>
        <v/>
      </c>
      <c r="R470" s="29" t="str">
        <f t="shared" ca="1" si="87"/>
        <v/>
      </c>
    </row>
    <row r="471" spans="1:18">
      <c r="A471" s="23" t="str">
        <f t="shared" si="77"/>
        <v/>
      </c>
      <c r="B471" s="23" t="str">
        <f t="shared" si="78"/>
        <v/>
      </c>
      <c r="C471" s="29" t="str">
        <f t="shared" ca="1" si="79"/>
        <v/>
      </c>
      <c r="D471" s="22" t="str">
        <f>IF(K471="","",ИТОГ!S471)</f>
        <v/>
      </c>
      <c r="E471" s="24" t="str">
        <f t="shared" si="80"/>
        <v/>
      </c>
      <c r="F471" s="30" t="str">
        <f t="shared" si="81"/>
        <v/>
      </c>
      <c r="G471" s="25" t="str">
        <f t="shared" si="82"/>
        <v/>
      </c>
      <c r="H471" s="29" t="str">
        <f t="shared" ca="1" si="83"/>
        <v/>
      </c>
      <c r="I471" s="24"/>
      <c r="J471" s="30"/>
      <c r="K471" s="27" t="str">
        <f>IF(ИТОГ!A471=0,"",ИТОГ!A471)</f>
        <v/>
      </c>
      <c r="L471" s="26" t="str">
        <f t="shared" si="84"/>
        <v/>
      </c>
      <c r="M471" s="25" t="str">
        <f>IF(K471="","",ИТОГ!Q471)</f>
        <v/>
      </c>
      <c r="N471" s="28" t="str">
        <f>IF(K471="","",ИТОГ!N471)</f>
        <v/>
      </c>
      <c r="O471" s="30" t="str">
        <f t="shared" si="85"/>
        <v/>
      </c>
      <c r="P471" s="24"/>
      <c r="Q471" s="30" t="str">
        <f t="shared" si="86"/>
        <v/>
      </c>
      <c r="R471" s="29" t="str">
        <f t="shared" ca="1" si="87"/>
        <v/>
      </c>
    </row>
    <row r="472" spans="1:18">
      <c r="A472" s="23" t="str">
        <f t="shared" si="77"/>
        <v/>
      </c>
      <c r="B472" s="23" t="str">
        <f t="shared" si="78"/>
        <v/>
      </c>
      <c r="C472" s="29" t="str">
        <f t="shared" ca="1" si="79"/>
        <v/>
      </c>
      <c r="D472" s="22" t="str">
        <f>IF(K472="","",ИТОГ!S472)</f>
        <v/>
      </c>
      <c r="E472" s="24" t="str">
        <f t="shared" si="80"/>
        <v/>
      </c>
      <c r="F472" s="30" t="str">
        <f t="shared" si="81"/>
        <v/>
      </c>
      <c r="G472" s="25" t="str">
        <f t="shared" si="82"/>
        <v/>
      </c>
      <c r="H472" s="29" t="str">
        <f t="shared" ca="1" si="83"/>
        <v/>
      </c>
      <c r="I472" s="24"/>
      <c r="J472" s="30"/>
      <c r="K472" s="27" t="str">
        <f>IF(ИТОГ!A472=0,"",ИТОГ!A472)</f>
        <v/>
      </c>
      <c r="L472" s="26" t="str">
        <f t="shared" si="84"/>
        <v/>
      </c>
      <c r="M472" s="25" t="str">
        <f>IF(K472="","",ИТОГ!Q472)</f>
        <v/>
      </c>
      <c r="N472" s="28" t="str">
        <f>IF(K472="","",ИТОГ!N472)</f>
        <v/>
      </c>
      <c r="O472" s="30" t="str">
        <f t="shared" si="85"/>
        <v/>
      </c>
      <c r="P472" s="24"/>
      <c r="Q472" s="30" t="str">
        <f t="shared" si="86"/>
        <v/>
      </c>
      <c r="R472" s="29" t="str">
        <f t="shared" ca="1" si="87"/>
        <v/>
      </c>
    </row>
    <row r="473" spans="1:18">
      <c r="A473" s="23" t="str">
        <f t="shared" si="77"/>
        <v/>
      </c>
      <c r="B473" s="23" t="str">
        <f t="shared" si="78"/>
        <v/>
      </c>
      <c r="C473" s="29" t="str">
        <f t="shared" ca="1" si="79"/>
        <v/>
      </c>
      <c r="D473" s="22" t="str">
        <f>IF(K473="","",ИТОГ!S473)</f>
        <v/>
      </c>
      <c r="E473" s="24" t="str">
        <f t="shared" si="80"/>
        <v/>
      </c>
      <c r="F473" s="30" t="str">
        <f t="shared" si="81"/>
        <v/>
      </c>
      <c r="G473" s="25" t="str">
        <f t="shared" si="82"/>
        <v/>
      </c>
      <c r="H473" s="29" t="str">
        <f t="shared" ca="1" si="83"/>
        <v/>
      </c>
      <c r="I473" s="24"/>
      <c r="J473" s="30"/>
      <c r="K473" s="27" t="str">
        <f>IF(ИТОГ!A473=0,"",ИТОГ!A473)</f>
        <v/>
      </c>
      <c r="L473" s="26" t="str">
        <f t="shared" si="84"/>
        <v/>
      </c>
      <c r="M473" s="25" t="str">
        <f>IF(K473="","",ИТОГ!Q473)</f>
        <v/>
      </c>
      <c r="N473" s="28" t="str">
        <f>IF(K473="","",ИТОГ!N473)</f>
        <v/>
      </c>
      <c r="O473" s="30" t="str">
        <f t="shared" si="85"/>
        <v/>
      </c>
      <c r="P473" s="24"/>
      <c r="Q473" s="30" t="str">
        <f t="shared" si="86"/>
        <v/>
      </c>
      <c r="R473" s="29" t="str">
        <f t="shared" ca="1" si="87"/>
        <v/>
      </c>
    </row>
    <row r="474" spans="1:18">
      <c r="A474" s="23" t="str">
        <f t="shared" si="77"/>
        <v/>
      </c>
      <c r="B474" s="23" t="str">
        <f t="shared" si="78"/>
        <v/>
      </c>
      <c r="C474" s="29" t="str">
        <f t="shared" ca="1" si="79"/>
        <v/>
      </c>
      <c r="D474" s="22" t="str">
        <f>IF(K474="","",ИТОГ!S474)</f>
        <v/>
      </c>
      <c r="E474" s="24" t="str">
        <f t="shared" si="80"/>
        <v/>
      </c>
      <c r="F474" s="30" t="str">
        <f t="shared" si="81"/>
        <v/>
      </c>
      <c r="G474" s="25" t="str">
        <f t="shared" si="82"/>
        <v/>
      </c>
      <c r="H474" s="29" t="str">
        <f t="shared" ca="1" si="83"/>
        <v/>
      </c>
      <c r="I474" s="24"/>
      <c r="J474" s="30"/>
      <c r="K474" s="27" t="str">
        <f>IF(ИТОГ!A474=0,"",ИТОГ!A474)</f>
        <v/>
      </c>
      <c r="L474" s="26" t="str">
        <f t="shared" si="84"/>
        <v/>
      </c>
      <c r="M474" s="25" t="str">
        <f>IF(K474="","",ИТОГ!Q474)</f>
        <v/>
      </c>
      <c r="N474" s="28" t="str">
        <f>IF(K474="","",ИТОГ!N474)</f>
        <v/>
      </c>
      <c r="O474" s="30" t="str">
        <f t="shared" si="85"/>
        <v/>
      </c>
      <c r="P474" s="24"/>
      <c r="Q474" s="30" t="str">
        <f t="shared" si="86"/>
        <v/>
      </c>
      <c r="R474" s="29" t="str">
        <f t="shared" ca="1" si="87"/>
        <v/>
      </c>
    </row>
    <row r="475" spans="1:18">
      <c r="A475" s="23" t="str">
        <f t="shared" si="77"/>
        <v/>
      </c>
      <c r="B475" s="23" t="str">
        <f t="shared" si="78"/>
        <v/>
      </c>
      <c r="C475" s="29" t="str">
        <f t="shared" ca="1" si="79"/>
        <v/>
      </c>
      <c r="D475" s="22" t="str">
        <f>IF(K475="","",ИТОГ!S475)</f>
        <v/>
      </c>
      <c r="E475" s="24" t="str">
        <f t="shared" si="80"/>
        <v/>
      </c>
      <c r="F475" s="30" t="str">
        <f t="shared" si="81"/>
        <v/>
      </c>
      <c r="G475" s="25" t="str">
        <f t="shared" si="82"/>
        <v/>
      </c>
      <c r="H475" s="29" t="str">
        <f t="shared" ca="1" si="83"/>
        <v/>
      </c>
      <c r="I475" s="24"/>
      <c r="J475" s="30"/>
      <c r="K475" s="27" t="str">
        <f>IF(ИТОГ!A475=0,"",ИТОГ!A475)</f>
        <v/>
      </c>
      <c r="L475" s="26" t="str">
        <f t="shared" si="84"/>
        <v/>
      </c>
      <c r="M475" s="25" t="str">
        <f>IF(K475="","",ИТОГ!Q475)</f>
        <v/>
      </c>
      <c r="N475" s="28" t="str">
        <f>IF(K475="","",ИТОГ!N475)</f>
        <v/>
      </c>
      <c r="O475" s="30" t="str">
        <f t="shared" si="85"/>
        <v/>
      </c>
      <c r="P475" s="24"/>
      <c r="Q475" s="30" t="str">
        <f t="shared" si="86"/>
        <v/>
      </c>
      <c r="R475" s="29" t="str">
        <f t="shared" ca="1" si="87"/>
        <v/>
      </c>
    </row>
    <row r="476" spans="1:18">
      <c r="A476" s="23" t="str">
        <f t="shared" si="77"/>
        <v/>
      </c>
      <c r="B476" s="23" t="str">
        <f t="shared" si="78"/>
        <v/>
      </c>
      <c r="C476" s="29" t="str">
        <f t="shared" ca="1" si="79"/>
        <v/>
      </c>
      <c r="D476" s="22" t="str">
        <f>IF(K476="","",ИТОГ!S476)</f>
        <v/>
      </c>
      <c r="E476" s="24" t="str">
        <f t="shared" si="80"/>
        <v/>
      </c>
      <c r="F476" s="30" t="str">
        <f t="shared" si="81"/>
        <v/>
      </c>
      <c r="G476" s="25" t="str">
        <f t="shared" si="82"/>
        <v/>
      </c>
      <c r="H476" s="29" t="str">
        <f t="shared" ca="1" si="83"/>
        <v/>
      </c>
      <c r="I476" s="24"/>
      <c r="J476" s="30"/>
      <c r="K476" s="27" t="str">
        <f>IF(ИТОГ!A476=0,"",ИТОГ!A476)</f>
        <v/>
      </c>
      <c r="L476" s="26" t="str">
        <f t="shared" si="84"/>
        <v/>
      </c>
      <c r="M476" s="25" t="str">
        <f>IF(K476="","",ИТОГ!Q476)</f>
        <v/>
      </c>
      <c r="N476" s="28" t="str">
        <f>IF(K476="","",ИТОГ!N476)</f>
        <v/>
      </c>
      <c r="O476" s="30" t="str">
        <f t="shared" si="85"/>
        <v/>
      </c>
      <c r="P476" s="24"/>
      <c r="Q476" s="30" t="str">
        <f t="shared" si="86"/>
        <v/>
      </c>
      <c r="R476" s="29" t="str">
        <f t="shared" ca="1" si="87"/>
        <v/>
      </c>
    </row>
    <row r="477" spans="1:18">
      <c r="A477" s="23" t="str">
        <f t="shared" si="77"/>
        <v/>
      </c>
      <c r="B477" s="23" t="str">
        <f t="shared" si="78"/>
        <v/>
      </c>
      <c r="C477" s="29" t="str">
        <f t="shared" ca="1" si="79"/>
        <v/>
      </c>
      <c r="D477" s="22" t="str">
        <f>IF(K477="","",ИТОГ!S477)</f>
        <v/>
      </c>
      <c r="E477" s="24" t="str">
        <f t="shared" si="80"/>
        <v/>
      </c>
      <c r="F477" s="30" t="str">
        <f t="shared" si="81"/>
        <v/>
      </c>
      <c r="G477" s="25" t="str">
        <f t="shared" si="82"/>
        <v/>
      </c>
      <c r="H477" s="29" t="str">
        <f t="shared" ca="1" si="83"/>
        <v/>
      </c>
      <c r="I477" s="24"/>
      <c r="J477" s="30"/>
      <c r="K477" s="27" t="str">
        <f>IF(ИТОГ!A477=0,"",ИТОГ!A477)</f>
        <v/>
      </c>
      <c r="L477" s="26" t="str">
        <f t="shared" si="84"/>
        <v/>
      </c>
      <c r="M477" s="25" t="str">
        <f>IF(K477="","",ИТОГ!Q477)</f>
        <v/>
      </c>
      <c r="N477" s="28" t="str">
        <f>IF(K477="","",ИТОГ!N477)</f>
        <v/>
      </c>
      <c r="O477" s="30" t="str">
        <f t="shared" si="85"/>
        <v/>
      </c>
      <c r="P477" s="24"/>
      <c r="Q477" s="30" t="str">
        <f t="shared" si="86"/>
        <v/>
      </c>
      <c r="R477" s="29" t="str">
        <f t="shared" ca="1" si="87"/>
        <v/>
      </c>
    </row>
    <row r="478" spans="1:18">
      <c r="A478" s="23" t="str">
        <f t="shared" ref="A478:A541" si="88">IF(K478="","",1000)</f>
        <v/>
      </c>
      <c r="B478" s="23" t="str">
        <f t="shared" ref="B478:B541" si="89">IF(K478="","",1)</f>
        <v/>
      </c>
      <c r="C478" s="29" t="str">
        <f t="shared" ref="C478:C541" ca="1" si="90">IF(K478="","",TODAY())</f>
        <v/>
      </c>
      <c r="D478" s="22" t="str">
        <f>IF(K478="","",ИТОГ!S478)</f>
        <v/>
      </c>
      <c r="E478" s="24" t="str">
        <f t="shared" ref="E478:E541" si="91">IF(K478="","","Х")</f>
        <v/>
      </c>
      <c r="F478" s="30" t="str">
        <f t="shared" ref="F478:F541" si="92">IF(K478="","","UV")</f>
        <v/>
      </c>
      <c r="G478" s="25" t="str">
        <f t="shared" ref="G478:G541" si="93">IF(K478="","",SUMIF(D:D,D478,M:M))</f>
        <v/>
      </c>
      <c r="H478" s="29" t="str">
        <f t="shared" ref="H478:H541" ca="1" si="94">IF(K478="","",TODAY())</f>
        <v/>
      </c>
      <c r="I478" s="24"/>
      <c r="J478" s="30"/>
      <c r="K478" s="27" t="str">
        <f>IF(ИТОГ!A478=0,"",ИТОГ!A478)</f>
        <v/>
      </c>
      <c r="L478" s="26" t="str">
        <f t="shared" ref="L478:L541" si="95">IF(K478="","",
IF(D477-D478=0,L477+10,10))</f>
        <v/>
      </c>
      <c r="M478" s="25" t="str">
        <f>IF(K478="","",ИТОГ!Q478)</f>
        <v/>
      </c>
      <c r="N478" s="28" t="str">
        <f>IF(K478="","",ИТОГ!N478)</f>
        <v/>
      </c>
      <c r="O478" s="30" t="str">
        <f t="shared" ref="O478:O541" si="96">IF(K478="","","ST")</f>
        <v/>
      </c>
      <c r="P478" s="24"/>
      <c r="Q478" s="30" t="str">
        <f t="shared" ref="Q478:Q541" si="97">IF(K478="","","EUR")</f>
        <v/>
      </c>
      <c r="R478" s="29" t="str">
        <f t="shared" ref="R478:R541" ca="1" si="98">IF(K478="","",TODAY())</f>
        <v/>
      </c>
    </row>
    <row r="479" spans="1:18">
      <c r="A479" s="23" t="str">
        <f t="shared" si="88"/>
        <v/>
      </c>
      <c r="B479" s="23" t="str">
        <f t="shared" si="89"/>
        <v/>
      </c>
      <c r="C479" s="29" t="str">
        <f t="shared" ca="1" si="90"/>
        <v/>
      </c>
      <c r="D479" s="22" t="str">
        <f>IF(K479="","",ИТОГ!S479)</f>
        <v/>
      </c>
      <c r="E479" s="24" t="str">
        <f t="shared" si="91"/>
        <v/>
      </c>
      <c r="F479" s="30" t="str">
        <f t="shared" si="92"/>
        <v/>
      </c>
      <c r="G479" s="25" t="str">
        <f t="shared" si="93"/>
        <v/>
      </c>
      <c r="H479" s="29" t="str">
        <f t="shared" ca="1" si="94"/>
        <v/>
      </c>
      <c r="I479" s="24"/>
      <c r="J479" s="30"/>
      <c r="K479" s="27" t="str">
        <f>IF(ИТОГ!A479=0,"",ИТОГ!A479)</f>
        <v/>
      </c>
      <c r="L479" s="26" t="str">
        <f t="shared" si="95"/>
        <v/>
      </c>
      <c r="M479" s="25" t="str">
        <f>IF(K479="","",ИТОГ!Q479)</f>
        <v/>
      </c>
      <c r="N479" s="28" t="str">
        <f>IF(K479="","",ИТОГ!N479)</f>
        <v/>
      </c>
      <c r="O479" s="30" t="str">
        <f t="shared" si="96"/>
        <v/>
      </c>
      <c r="P479" s="24"/>
      <c r="Q479" s="30" t="str">
        <f t="shared" si="97"/>
        <v/>
      </c>
      <c r="R479" s="29" t="str">
        <f t="shared" ca="1" si="98"/>
        <v/>
      </c>
    </row>
    <row r="480" spans="1:18">
      <c r="A480" s="23" t="str">
        <f t="shared" si="88"/>
        <v/>
      </c>
      <c r="B480" s="23" t="str">
        <f t="shared" si="89"/>
        <v/>
      </c>
      <c r="C480" s="29" t="str">
        <f t="shared" ca="1" si="90"/>
        <v/>
      </c>
      <c r="D480" s="22" t="str">
        <f>IF(K480="","",ИТОГ!S480)</f>
        <v/>
      </c>
      <c r="E480" s="24" t="str">
        <f t="shared" si="91"/>
        <v/>
      </c>
      <c r="F480" s="30" t="str">
        <f t="shared" si="92"/>
        <v/>
      </c>
      <c r="G480" s="25" t="str">
        <f t="shared" si="93"/>
        <v/>
      </c>
      <c r="H480" s="29" t="str">
        <f t="shared" ca="1" si="94"/>
        <v/>
      </c>
      <c r="I480" s="24"/>
      <c r="J480" s="30"/>
      <c r="K480" s="27" t="str">
        <f>IF(ИТОГ!A480=0,"",ИТОГ!A480)</f>
        <v/>
      </c>
      <c r="L480" s="26" t="str">
        <f t="shared" si="95"/>
        <v/>
      </c>
      <c r="M480" s="25" t="str">
        <f>IF(K480="","",ИТОГ!Q480)</f>
        <v/>
      </c>
      <c r="N480" s="28" t="str">
        <f>IF(K480="","",ИТОГ!N480)</f>
        <v/>
      </c>
      <c r="O480" s="30" t="str">
        <f t="shared" si="96"/>
        <v/>
      </c>
      <c r="P480" s="24"/>
      <c r="Q480" s="30" t="str">
        <f t="shared" si="97"/>
        <v/>
      </c>
      <c r="R480" s="29" t="str">
        <f t="shared" ca="1" si="98"/>
        <v/>
      </c>
    </row>
    <row r="481" spans="1:18">
      <c r="A481" s="23" t="str">
        <f t="shared" si="88"/>
        <v/>
      </c>
      <c r="B481" s="23" t="str">
        <f t="shared" si="89"/>
        <v/>
      </c>
      <c r="C481" s="29" t="str">
        <f t="shared" ca="1" si="90"/>
        <v/>
      </c>
      <c r="D481" s="22" t="str">
        <f>IF(K481="","",ИТОГ!S481)</f>
        <v/>
      </c>
      <c r="E481" s="24" t="str">
        <f t="shared" si="91"/>
        <v/>
      </c>
      <c r="F481" s="30" t="str">
        <f t="shared" si="92"/>
        <v/>
      </c>
      <c r="G481" s="25" t="str">
        <f t="shared" si="93"/>
        <v/>
      </c>
      <c r="H481" s="29" t="str">
        <f t="shared" ca="1" si="94"/>
        <v/>
      </c>
      <c r="I481" s="24"/>
      <c r="J481" s="30"/>
      <c r="K481" s="27" t="str">
        <f>IF(ИТОГ!A481=0,"",ИТОГ!A481)</f>
        <v/>
      </c>
      <c r="L481" s="26" t="str">
        <f t="shared" si="95"/>
        <v/>
      </c>
      <c r="M481" s="25" t="str">
        <f>IF(K481="","",ИТОГ!Q481)</f>
        <v/>
      </c>
      <c r="N481" s="28" t="str">
        <f>IF(K481="","",ИТОГ!N481)</f>
        <v/>
      </c>
      <c r="O481" s="30" t="str">
        <f t="shared" si="96"/>
        <v/>
      </c>
      <c r="P481" s="24"/>
      <c r="Q481" s="30" t="str">
        <f t="shared" si="97"/>
        <v/>
      </c>
      <c r="R481" s="29" t="str">
        <f t="shared" ca="1" si="98"/>
        <v/>
      </c>
    </row>
    <row r="482" spans="1:18">
      <c r="A482" s="23" t="str">
        <f t="shared" si="88"/>
        <v/>
      </c>
      <c r="B482" s="23" t="str">
        <f t="shared" si="89"/>
        <v/>
      </c>
      <c r="C482" s="29" t="str">
        <f t="shared" ca="1" si="90"/>
        <v/>
      </c>
      <c r="D482" s="22" t="str">
        <f>IF(K482="","",ИТОГ!S482)</f>
        <v/>
      </c>
      <c r="E482" s="24" t="str">
        <f t="shared" si="91"/>
        <v/>
      </c>
      <c r="F482" s="30" t="str">
        <f t="shared" si="92"/>
        <v/>
      </c>
      <c r="G482" s="25" t="str">
        <f t="shared" si="93"/>
        <v/>
      </c>
      <c r="H482" s="29" t="str">
        <f t="shared" ca="1" si="94"/>
        <v/>
      </c>
      <c r="I482" s="24"/>
      <c r="J482" s="30"/>
      <c r="K482" s="27" t="str">
        <f>IF(ИТОГ!A482=0,"",ИТОГ!A482)</f>
        <v/>
      </c>
      <c r="L482" s="26" t="str">
        <f t="shared" si="95"/>
        <v/>
      </c>
      <c r="M482" s="25" t="str">
        <f>IF(K482="","",ИТОГ!Q482)</f>
        <v/>
      </c>
      <c r="N482" s="28" t="str">
        <f>IF(K482="","",ИТОГ!N482)</f>
        <v/>
      </c>
      <c r="O482" s="30" t="str">
        <f t="shared" si="96"/>
        <v/>
      </c>
      <c r="P482" s="24"/>
      <c r="Q482" s="30" t="str">
        <f t="shared" si="97"/>
        <v/>
      </c>
      <c r="R482" s="29" t="str">
        <f t="shared" ca="1" si="98"/>
        <v/>
      </c>
    </row>
    <row r="483" spans="1:18">
      <c r="A483" s="23" t="str">
        <f t="shared" si="88"/>
        <v/>
      </c>
      <c r="B483" s="23" t="str">
        <f t="shared" si="89"/>
        <v/>
      </c>
      <c r="C483" s="29" t="str">
        <f t="shared" ca="1" si="90"/>
        <v/>
      </c>
      <c r="D483" s="22" t="str">
        <f>IF(K483="","",ИТОГ!S483)</f>
        <v/>
      </c>
      <c r="E483" s="24" t="str">
        <f t="shared" si="91"/>
        <v/>
      </c>
      <c r="F483" s="30" t="str">
        <f t="shared" si="92"/>
        <v/>
      </c>
      <c r="G483" s="25" t="str">
        <f t="shared" si="93"/>
        <v/>
      </c>
      <c r="H483" s="29" t="str">
        <f t="shared" ca="1" si="94"/>
        <v/>
      </c>
      <c r="I483" s="24"/>
      <c r="J483" s="30"/>
      <c r="K483" s="27" t="str">
        <f>IF(ИТОГ!A483=0,"",ИТОГ!A483)</f>
        <v/>
      </c>
      <c r="L483" s="26" t="str">
        <f t="shared" si="95"/>
        <v/>
      </c>
      <c r="M483" s="25" t="str">
        <f>IF(K483="","",ИТОГ!Q483)</f>
        <v/>
      </c>
      <c r="N483" s="28" t="str">
        <f>IF(K483="","",ИТОГ!N483)</f>
        <v/>
      </c>
      <c r="O483" s="30" t="str">
        <f t="shared" si="96"/>
        <v/>
      </c>
      <c r="P483" s="24"/>
      <c r="Q483" s="30" t="str">
        <f t="shared" si="97"/>
        <v/>
      </c>
      <c r="R483" s="29" t="str">
        <f t="shared" ca="1" si="98"/>
        <v/>
      </c>
    </row>
    <row r="484" spans="1:18">
      <c r="A484" s="23" t="str">
        <f t="shared" si="88"/>
        <v/>
      </c>
      <c r="B484" s="23" t="str">
        <f t="shared" si="89"/>
        <v/>
      </c>
      <c r="C484" s="29" t="str">
        <f t="shared" ca="1" si="90"/>
        <v/>
      </c>
      <c r="D484" s="22" t="str">
        <f>IF(K484="","",ИТОГ!S484)</f>
        <v/>
      </c>
      <c r="E484" s="24" t="str">
        <f t="shared" si="91"/>
        <v/>
      </c>
      <c r="F484" s="30" t="str">
        <f t="shared" si="92"/>
        <v/>
      </c>
      <c r="G484" s="25" t="str">
        <f t="shared" si="93"/>
        <v/>
      </c>
      <c r="H484" s="29" t="str">
        <f t="shared" ca="1" si="94"/>
        <v/>
      </c>
      <c r="I484" s="24"/>
      <c r="J484" s="30"/>
      <c r="K484" s="27" t="str">
        <f>IF(ИТОГ!A484=0,"",ИТОГ!A484)</f>
        <v/>
      </c>
      <c r="L484" s="26" t="str">
        <f t="shared" si="95"/>
        <v/>
      </c>
      <c r="M484" s="25" t="str">
        <f>IF(K484="","",ИТОГ!Q484)</f>
        <v/>
      </c>
      <c r="N484" s="28" t="str">
        <f>IF(K484="","",ИТОГ!N484)</f>
        <v/>
      </c>
      <c r="O484" s="30" t="str">
        <f t="shared" si="96"/>
        <v/>
      </c>
      <c r="P484" s="24"/>
      <c r="Q484" s="30" t="str">
        <f t="shared" si="97"/>
        <v/>
      </c>
      <c r="R484" s="29" t="str">
        <f t="shared" ca="1" si="98"/>
        <v/>
      </c>
    </row>
    <row r="485" spans="1:18">
      <c r="A485" s="23" t="str">
        <f t="shared" si="88"/>
        <v/>
      </c>
      <c r="B485" s="23" t="str">
        <f t="shared" si="89"/>
        <v/>
      </c>
      <c r="C485" s="29" t="str">
        <f t="shared" ca="1" si="90"/>
        <v/>
      </c>
      <c r="D485" s="22" t="str">
        <f>IF(K485="","",ИТОГ!S485)</f>
        <v/>
      </c>
      <c r="E485" s="24" t="str">
        <f t="shared" si="91"/>
        <v/>
      </c>
      <c r="F485" s="30" t="str">
        <f t="shared" si="92"/>
        <v/>
      </c>
      <c r="G485" s="25" t="str">
        <f t="shared" si="93"/>
        <v/>
      </c>
      <c r="H485" s="29" t="str">
        <f t="shared" ca="1" si="94"/>
        <v/>
      </c>
      <c r="I485" s="24"/>
      <c r="J485" s="30"/>
      <c r="K485" s="27" t="str">
        <f>IF(ИТОГ!A485=0,"",ИТОГ!A485)</f>
        <v/>
      </c>
      <c r="L485" s="26" t="str">
        <f t="shared" si="95"/>
        <v/>
      </c>
      <c r="M485" s="25" t="str">
        <f>IF(K485="","",ИТОГ!Q485)</f>
        <v/>
      </c>
      <c r="N485" s="28" t="str">
        <f>IF(K485="","",ИТОГ!N485)</f>
        <v/>
      </c>
      <c r="O485" s="30" t="str">
        <f t="shared" si="96"/>
        <v/>
      </c>
      <c r="P485" s="24"/>
      <c r="Q485" s="30" t="str">
        <f t="shared" si="97"/>
        <v/>
      </c>
      <c r="R485" s="29" t="str">
        <f t="shared" ca="1" si="98"/>
        <v/>
      </c>
    </row>
    <row r="486" spans="1:18">
      <c r="A486" s="23" t="str">
        <f t="shared" si="88"/>
        <v/>
      </c>
      <c r="B486" s="23" t="str">
        <f t="shared" si="89"/>
        <v/>
      </c>
      <c r="C486" s="29" t="str">
        <f t="shared" ca="1" si="90"/>
        <v/>
      </c>
      <c r="D486" s="22" t="str">
        <f>IF(K486="","",ИТОГ!S486)</f>
        <v/>
      </c>
      <c r="E486" s="24" t="str">
        <f t="shared" si="91"/>
        <v/>
      </c>
      <c r="F486" s="30" t="str">
        <f t="shared" si="92"/>
        <v/>
      </c>
      <c r="G486" s="25" t="str">
        <f t="shared" si="93"/>
        <v/>
      </c>
      <c r="H486" s="29" t="str">
        <f t="shared" ca="1" si="94"/>
        <v/>
      </c>
      <c r="I486" s="24"/>
      <c r="J486" s="30"/>
      <c r="K486" s="27" t="str">
        <f>IF(ИТОГ!A486=0,"",ИТОГ!A486)</f>
        <v/>
      </c>
      <c r="L486" s="26" t="str">
        <f t="shared" si="95"/>
        <v/>
      </c>
      <c r="M486" s="25" t="str">
        <f>IF(K486="","",ИТОГ!Q486)</f>
        <v/>
      </c>
      <c r="N486" s="28" t="str">
        <f>IF(K486="","",ИТОГ!N486)</f>
        <v/>
      </c>
      <c r="O486" s="30" t="str">
        <f t="shared" si="96"/>
        <v/>
      </c>
      <c r="P486" s="24"/>
      <c r="Q486" s="30" t="str">
        <f t="shared" si="97"/>
        <v/>
      </c>
      <c r="R486" s="29" t="str">
        <f t="shared" ca="1" si="98"/>
        <v/>
      </c>
    </row>
    <row r="487" spans="1:18">
      <c r="A487" s="23" t="str">
        <f t="shared" si="88"/>
        <v/>
      </c>
      <c r="B487" s="23" t="str">
        <f t="shared" si="89"/>
        <v/>
      </c>
      <c r="C487" s="29" t="str">
        <f t="shared" ca="1" si="90"/>
        <v/>
      </c>
      <c r="D487" s="22" t="str">
        <f>IF(K487="","",ИТОГ!S487)</f>
        <v/>
      </c>
      <c r="E487" s="24" t="str">
        <f t="shared" si="91"/>
        <v/>
      </c>
      <c r="F487" s="30" t="str">
        <f t="shared" si="92"/>
        <v/>
      </c>
      <c r="G487" s="25" t="str">
        <f t="shared" si="93"/>
        <v/>
      </c>
      <c r="H487" s="29" t="str">
        <f t="shared" ca="1" si="94"/>
        <v/>
      </c>
      <c r="I487" s="24"/>
      <c r="J487" s="30"/>
      <c r="K487" s="27" t="str">
        <f>IF(ИТОГ!A487=0,"",ИТОГ!A487)</f>
        <v/>
      </c>
      <c r="L487" s="26" t="str">
        <f t="shared" si="95"/>
        <v/>
      </c>
      <c r="M487" s="25" t="str">
        <f>IF(K487="","",ИТОГ!Q487)</f>
        <v/>
      </c>
      <c r="N487" s="28" t="str">
        <f>IF(K487="","",ИТОГ!N487)</f>
        <v/>
      </c>
      <c r="O487" s="30" t="str">
        <f t="shared" si="96"/>
        <v/>
      </c>
      <c r="P487" s="24"/>
      <c r="Q487" s="30" t="str">
        <f t="shared" si="97"/>
        <v/>
      </c>
      <c r="R487" s="29" t="str">
        <f t="shared" ca="1" si="98"/>
        <v/>
      </c>
    </row>
    <row r="488" spans="1:18">
      <c r="A488" s="23" t="str">
        <f t="shared" si="88"/>
        <v/>
      </c>
      <c r="B488" s="23" t="str">
        <f t="shared" si="89"/>
        <v/>
      </c>
      <c r="C488" s="29" t="str">
        <f t="shared" ca="1" si="90"/>
        <v/>
      </c>
      <c r="D488" s="22" t="str">
        <f>IF(K488="","",ИТОГ!S488)</f>
        <v/>
      </c>
      <c r="E488" s="24" t="str">
        <f t="shared" si="91"/>
        <v/>
      </c>
      <c r="F488" s="30" t="str">
        <f t="shared" si="92"/>
        <v/>
      </c>
      <c r="G488" s="25" t="str">
        <f t="shared" si="93"/>
        <v/>
      </c>
      <c r="H488" s="29" t="str">
        <f t="shared" ca="1" si="94"/>
        <v/>
      </c>
      <c r="I488" s="24"/>
      <c r="J488" s="30"/>
      <c r="K488" s="27" t="str">
        <f>IF(ИТОГ!A488=0,"",ИТОГ!A488)</f>
        <v/>
      </c>
      <c r="L488" s="26" t="str">
        <f t="shared" si="95"/>
        <v/>
      </c>
      <c r="M488" s="25" t="str">
        <f>IF(K488="","",ИТОГ!Q488)</f>
        <v/>
      </c>
      <c r="N488" s="28" t="str">
        <f>IF(K488="","",ИТОГ!N488)</f>
        <v/>
      </c>
      <c r="O488" s="30" t="str">
        <f t="shared" si="96"/>
        <v/>
      </c>
      <c r="P488" s="24"/>
      <c r="Q488" s="30" t="str">
        <f t="shared" si="97"/>
        <v/>
      </c>
      <c r="R488" s="29" t="str">
        <f t="shared" ca="1" si="98"/>
        <v/>
      </c>
    </row>
    <row r="489" spans="1:18">
      <c r="A489" s="23" t="str">
        <f t="shared" si="88"/>
        <v/>
      </c>
      <c r="B489" s="23" t="str">
        <f t="shared" si="89"/>
        <v/>
      </c>
      <c r="C489" s="29" t="str">
        <f t="shared" ca="1" si="90"/>
        <v/>
      </c>
      <c r="D489" s="22" t="str">
        <f>IF(K489="","",ИТОГ!S489)</f>
        <v/>
      </c>
      <c r="E489" s="24" t="str">
        <f t="shared" si="91"/>
        <v/>
      </c>
      <c r="F489" s="30" t="str">
        <f t="shared" si="92"/>
        <v/>
      </c>
      <c r="G489" s="25" t="str">
        <f t="shared" si="93"/>
        <v/>
      </c>
      <c r="H489" s="29" t="str">
        <f t="shared" ca="1" si="94"/>
        <v/>
      </c>
      <c r="I489" s="24"/>
      <c r="J489" s="30"/>
      <c r="K489" s="27" t="str">
        <f>IF(ИТОГ!A489=0,"",ИТОГ!A489)</f>
        <v/>
      </c>
      <c r="L489" s="26" t="str">
        <f t="shared" si="95"/>
        <v/>
      </c>
      <c r="M489" s="25" t="str">
        <f>IF(K489="","",ИТОГ!Q489)</f>
        <v/>
      </c>
      <c r="N489" s="28" t="str">
        <f>IF(K489="","",ИТОГ!N489)</f>
        <v/>
      </c>
      <c r="O489" s="30" t="str">
        <f t="shared" si="96"/>
        <v/>
      </c>
      <c r="P489" s="24"/>
      <c r="Q489" s="30" t="str">
        <f t="shared" si="97"/>
        <v/>
      </c>
      <c r="R489" s="29" t="str">
        <f t="shared" ca="1" si="98"/>
        <v/>
      </c>
    </row>
    <row r="490" spans="1:18">
      <c r="A490" s="23" t="str">
        <f t="shared" si="88"/>
        <v/>
      </c>
      <c r="B490" s="23" t="str">
        <f t="shared" si="89"/>
        <v/>
      </c>
      <c r="C490" s="29" t="str">
        <f t="shared" ca="1" si="90"/>
        <v/>
      </c>
      <c r="D490" s="22" t="str">
        <f>IF(K490="","",ИТОГ!S490)</f>
        <v/>
      </c>
      <c r="E490" s="24" t="str">
        <f t="shared" si="91"/>
        <v/>
      </c>
      <c r="F490" s="30" t="str">
        <f t="shared" si="92"/>
        <v/>
      </c>
      <c r="G490" s="25" t="str">
        <f t="shared" si="93"/>
        <v/>
      </c>
      <c r="H490" s="29" t="str">
        <f t="shared" ca="1" si="94"/>
        <v/>
      </c>
      <c r="I490" s="24"/>
      <c r="J490" s="30"/>
      <c r="K490" s="27" t="str">
        <f>IF(ИТОГ!A490=0,"",ИТОГ!A490)</f>
        <v/>
      </c>
      <c r="L490" s="26" t="str">
        <f t="shared" si="95"/>
        <v/>
      </c>
      <c r="M490" s="25" t="str">
        <f>IF(K490="","",ИТОГ!Q490)</f>
        <v/>
      </c>
      <c r="N490" s="28" t="str">
        <f>IF(K490="","",ИТОГ!N490)</f>
        <v/>
      </c>
      <c r="O490" s="30" t="str">
        <f t="shared" si="96"/>
        <v/>
      </c>
      <c r="P490" s="24"/>
      <c r="Q490" s="30" t="str">
        <f t="shared" si="97"/>
        <v/>
      </c>
      <c r="R490" s="29" t="str">
        <f t="shared" ca="1" si="98"/>
        <v/>
      </c>
    </row>
    <row r="491" spans="1:18">
      <c r="A491" s="23" t="str">
        <f t="shared" si="88"/>
        <v/>
      </c>
      <c r="B491" s="23" t="str">
        <f t="shared" si="89"/>
        <v/>
      </c>
      <c r="C491" s="29" t="str">
        <f t="shared" ca="1" si="90"/>
        <v/>
      </c>
      <c r="D491" s="22" t="str">
        <f>IF(K491="","",ИТОГ!S491)</f>
        <v/>
      </c>
      <c r="E491" s="24" t="str">
        <f t="shared" si="91"/>
        <v/>
      </c>
      <c r="F491" s="30" t="str">
        <f t="shared" si="92"/>
        <v/>
      </c>
      <c r="G491" s="25" t="str">
        <f t="shared" si="93"/>
        <v/>
      </c>
      <c r="H491" s="29" t="str">
        <f t="shared" ca="1" si="94"/>
        <v/>
      </c>
      <c r="I491" s="24"/>
      <c r="J491" s="30"/>
      <c r="K491" s="27" t="str">
        <f>IF(ИТОГ!A491=0,"",ИТОГ!A491)</f>
        <v/>
      </c>
      <c r="L491" s="26" t="str">
        <f t="shared" si="95"/>
        <v/>
      </c>
      <c r="M491" s="25" t="str">
        <f>IF(K491="","",ИТОГ!Q491)</f>
        <v/>
      </c>
      <c r="N491" s="28" t="str">
        <f>IF(K491="","",ИТОГ!N491)</f>
        <v/>
      </c>
      <c r="O491" s="30" t="str">
        <f t="shared" si="96"/>
        <v/>
      </c>
      <c r="P491" s="24"/>
      <c r="Q491" s="30" t="str">
        <f t="shared" si="97"/>
        <v/>
      </c>
      <c r="R491" s="29" t="str">
        <f t="shared" ca="1" si="98"/>
        <v/>
      </c>
    </row>
    <row r="492" spans="1:18">
      <c r="A492" s="23" t="str">
        <f t="shared" si="88"/>
        <v/>
      </c>
      <c r="B492" s="23" t="str">
        <f t="shared" si="89"/>
        <v/>
      </c>
      <c r="C492" s="29" t="str">
        <f t="shared" ca="1" si="90"/>
        <v/>
      </c>
      <c r="D492" s="22" t="str">
        <f>IF(K492="","",ИТОГ!S492)</f>
        <v/>
      </c>
      <c r="E492" s="24" t="str">
        <f t="shared" si="91"/>
        <v/>
      </c>
      <c r="F492" s="30" t="str">
        <f t="shared" si="92"/>
        <v/>
      </c>
      <c r="G492" s="25" t="str">
        <f t="shared" si="93"/>
        <v/>
      </c>
      <c r="H492" s="29" t="str">
        <f t="shared" ca="1" si="94"/>
        <v/>
      </c>
      <c r="I492" s="24"/>
      <c r="J492" s="30"/>
      <c r="K492" s="27" t="str">
        <f>IF(ИТОГ!A492=0,"",ИТОГ!A492)</f>
        <v/>
      </c>
      <c r="L492" s="26" t="str">
        <f t="shared" si="95"/>
        <v/>
      </c>
      <c r="M492" s="25" t="str">
        <f>IF(K492="","",ИТОГ!Q492)</f>
        <v/>
      </c>
      <c r="N492" s="28" t="str">
        <f>IF(K492="","",ИТОГ!N492)</f>
        <v/>
      </c>
      <c r="O492" s="30" t="str">
        <f t="shared" si="96"/>
        <v/>
      </c>
      <c r="P492" s="24"/>
      <c r="Q492" s="30" t="str">
        <f t="shared" si="97"/>
        <v/>
      </c>
      <c r="R492" s="29" t="str">
        <f t="shared" ca="1" si="98"/>
        <v/>
      </c>
    </row>
    <row r="493" spans="1:18">
      <c r="A493" s="23" t="str">
        <f t="shared" si="88"/>
        <v/>
      </c>
      <c r="B493" s="23" t="str">
        <f t="shared" si="89"/>
        <v/>
      </c>
      <c r="C493" s="29" t="str">
        <f t="shared" ca="1" si="90"/>
        <v/>
      </c>
      <c r="D493" s="22" t="str">
        <f>IF(K493="","",ИТОГ!S493)</f>
        <v/>
      </c>
      <c r="E493" s="24" t="str">
        <f t="shared" si="91"/>
        <v/>
      </c>
      <c r="F493" s="30" t="str">
        <f t="shared" si="92"/>
        <v/>
      </c>
      <c r="G493" s="25" t="str">
        <f t="shared" si="93"/>
        <v/>
      </c>
      <c r="H493" s="29" t="str">
        <f t="shared" ca="1" si="94"/>
        <v/>
      </c>
      <c r="I493" s="24"/>
      <c r="J493" s="30"/>
      <c r="K493" s="27" t="str">
        <f>IF(ИТОГ!A493=0,"",ИТОГ!A493)</f>
        <v/>
      </c>
      <c r="L493" s="26" t="str">
        <f t="shared" si="95"/>
        <v/>
      </c>
      <c r="M493" s="25" t="str">
        <f>IF(K493="","",ИТОГ!Q493)</f>
        <v/>
      </c>
      <c r="N493" s="28" t="str">
        <f>IF(K493="","",ИТОГ!N493)</f>
        <v/>
      </c>
      <c r="O493" s="30" t="str">
        <f t="shared" si="96"/>
        <v/>
      </c>
      <c r="P493" s="24"/>
      <c r="Q493" s="30" t="str">
        <f t="shared" si="97"/>
        <v/>
      </c>
      <c r="R493" s="29" t="str">
        <f t="shared" ca="1" si="98"/>
        <v/>
      </c>
    </row>
    <row r="494" spans="1:18">
      <c r="A494" s="23" t="str">
        <f t="shared" si="88"/>
        <v/>
      </c>
      <c r="B494" s="23" t="str">
        <f t="shared" si="89"/>
        <v/>
      </c>
      <c r="C494" s="29" t="str">
        <f t="shared" ca="1" si="90"/>
        <v/>
      </c>
      <c r="D494" s="22" t="str">
        <f>IF(K494="","",ИТОГ!S494)</f>
        <v/>
      </c>
      <c r="E494" s="24" t="str">
        <f t="shared" si="91"/>
        <v/>
      </c>
      <c r="F494" s="30" t="str">
        <f t="shared" si="92"/>
        <v/>
      </c>
      <c r="G494" s="25" t="str">
        <f t="shared" si="93"/>
        <v/>
      </c>
      <c r="H494" s="29" t="str">
        <f t="shared" ca="1" si="94"/>
        <v/>
      </c>
      <c r="I494" s="24"/>
      <c r="J494" s="30"/>
      <c r="K494" s="27" t="str">
        <f>IF(ИТОГ!A494=0,"",ИТОГ!A494)</f>
        <v/>
      </c>
      <c r="L494" s="26" t="str">
        <f t="shared" si="95"/>
        <v/>
      </c>
      <c r="M494" s="25" t="str">
        <f>IF(K494="","",ИТОГ!Q494)</f>
        <v/>
      </c>
      <c r="N494" s="28" t="str">
        <f>IF(K494="","",ИТОГ!N494)</f>
        <v/>
      </c>
      <c r="O494" s="30" t="str">
        <f t="shared" si="96"/>
        <v/>
      </c>
      <c r="P494" s="24"/>
      <c r="Q494" s="30" t="str">
        <f t="shared" si="97"/>
        <v/>
      </c>
      <c r="R494" s="29" t="str">
        <f t="shared" ca="1" si="98"/>
        <v/>
      </c>
    </row>
    <row r="495" spans="1:18">
      <c r="A495" s="23" t="str">
        <f t="shared" si="88"/>
        <v/>
      </c>
      <c r="B495" s="23" t="str">
        <f t="shared" si="89"/>
        <v/>
      </c>
      <c r="C495" s="29" t="str">
        <f t="shared" ca="1" si="90"/>
        <v/>
      </c>
      <c r="D495" s="22" t="str">
        <f>IF(K495="","",ИТОГ!S495)</f>
        <v/>
      </c>
      <c r="E495" s="24" t="str">
        <f t="shared" si="91"/>
        <v/>
      </c>
      <c r="F495" s="30" t="str">
        <f t="shared" si="92"/>
        <v/>
      </c>
      <c r="G495" s="25" t="str">
        <f t="shared" si="93"/>
        <v/>
      </c>
      <c r="H495" s="29" t="str">
        <f t="shared" ca="1" si="94"/>
        <v/>
      </c>
      <c r="I495" s="24"/>
      <c r="J495" s="30"/>
      <c r="K495" s="27" t="str">
        <f>IF(ИТОГ!A495=0,"",ИТОГ!A495)</f>
        <v/>
      </c>
      <c r="L495" s="26" t="str">
        <f t="shared" si="95"/>
        <v/>
      </c>
      <c r="M495" s="25" t="str">
        <f>IF(K495="","",ИТОГ!Q495)</f>
        <v/>
      </c>
      <c r="N495" s="28" t="str">
        <f>IF(K495="","",ИТОГ!N495)</f>
        <v/>
      </c>
      <c r="O495" s="30" t="str">
        <f t="shared" si="96"/>
        <v/>
      </c>
      <c r="P495" s="24"/>
      <c r="Q495" s="30" t="str">
        <f t="shared" si="97"/>
        <v/>
      </c>
      <c r="R495" s="29" t="str">
        <f t="shared" ca="1" si="98"/>
        <v/>
      </c>
    </row>
    <row r="496" spans="1:18">
      <c r="A496" s="23" t="str">
        <f t="shared" si="88"/>
        <v/>
      </c>
      <c r="B496" s="23" t="str">
        <f t="shared" si="89"/>
        <v/>
      </c>
      <c r="C496" s="29" t="str">
        <f t="shared" ca="1" si="90"/>
        <v/>
      </c>
      <c r="D496" s="22" t="str">
        <f>IF(K496="","",ИТОГ!S496)</f>
        <v/>
      </c>
      <c r="E496" s="24" t="str">
        <f t="shared" si="91"/>
        <v/>
      </c>
      <c r="F496" s="30" t="str">
        <f t="shared" si="92"/>
        <v/>
      </c>
      <c r="G496" s="25" t="str">
        <f t="shared" si="93"/>
        <v/>
      </c>
      <c r="H496" s="29" t="str">
        <f t="shared" ca="1" si="94"/>
        <v/>
      </c>
      <c r="I496" s="24"/>
      <c r="J496" s="30"/>
      <c r="K496" s="27" t="str">
        <f>IF(ИТОГ!A496=0,"",ИТОГ!A496)</f>
        <v/>
      </c>
      <c r="L496" s="26" t="str">
        <f t="shared" si="95"/>
        <v/>
      </c>
      <c r="M496" s="25" t="str">
        <f>IF(K496="","",ИТОГ!Q496)</f>
        <v/>
      </c>
      <c r="N496" s="28" t="str">
        <f>IF(K496="","",ИТОГ!N496)</f>
        <v/>
      </c>
      <c r="O496" s="30" t="str">
        <f t="shared" si="96"/>
        <v/>
      </c>
      <c r="P496" s="24"/>
      <c r="Q496" s="30" t="str">
        <f t="shared" si="97"/>
        <v/>
      </c>
      <c r="R496" s="29" t="str">
        <f t="shared" ca="1" si="98"/>
        <v/>
      </c>
    </row>
    <row r="497" spans="1:18">
      <c r="A497" s="23" t="str">
        <f t="shared" si="88"/>
        <v/>
      </c>
      <c r="B497" s="23" t="str">
        <f t="shared" si="89"/>
        <v/>
      </c>
      <c r="C497" s="29" t="str">
        <f t="shared" ca="1" si="90"/>
        <v/>
      </c>
      <c r="D497" s="22" t="str">
        <f>IF(K497="","",ИТОГ!S497)</f>
        <v/>
      </c>
      <c r="E497" s="24" t="str">
        <f t="shared" si="91"/>
        <v/>
      </c>
      <c r="F497" s="30" t="str">
        <f t="shared" si="92"/>
        <v/>
      </c>
      <c r="G497" s="25" t="str">
        <f t="shared" si="93"/>
        <v/>
      </c>
      <c r="H497" s="29" t="str">
        <f t="shared" ca="1" si="94"/>
        <v/>
      </c>
      <c r="I497" s="24"/>
      <c r="J497" s="30"/>
      <c r="K497" s="27" t="str">
        <f>IF(ИТОГ!A497=0,"",ИТОГ!A497)</f>
        <v/>
      </c>
      <c r="L497" s="26" t="str">
        <f t="shared" si="95"/>
        <v/>
      </c>
      <c r="M497" s="25" t="str">
        <f>IF(K497="","",ИТОГ!Q497)</f>
        <v/>
      </c>
      <c r="N497" s="28" t="str">
        <f>IF(K497="","",ИТОГ!N497)</f>
        <v/>
      </c>
      <c r="O497" s="30" t="str">
        <f t="shared" si="96"/>
        <v/>
      </c>
      <c r="P497" s="24"/>
      <c r="Q497" s="30" t="str">
        <f t="shared" si="97"/>
        <v/>
      </c>
      <c r="R497" s="29" t="str">
        <f t="shared" ca="1" si="98"/>
        <v/>
      </c>
    </row>
    <row r="498" spans="1:18">
      <c r="A498" s="23" t="str">
        <f t="shared" si="88"/>
        <v/>
      </c>
      <c r="B498" s="23" t="str">
        <f t="shared" si="89"/>
        <v/>
      </c>
      <c r="C498" s="29" t="str">
        <f t="shared" ca="1" si="90"/>
        <v/>
      </c>
      <c r="D498" s="22" t="str">
        <f>IF(K498="","",ИТОГ!S498)</f>
        <v/>
      </c>
      <c r="E498" s="24" t="str">
        <f t="shared" si="91"/>
        <v/>
      </c>
      <c r="F498" s="30" t="str">
        <f t="shared" si="92"/>
        <v/>
      </c>
      <c r="G498" s="25" t="str">
        <f t="shared" si="93"/>
        <v/>
      </c>
      <c r="H498" s="29" t="str">
        <f t="shared" ca="1" si="94"/>
        <v/>
      </c>
      <c r="I498" s="24"/>
      <c r="J498" s="30"/>
      <c r="K498" s="27" t="str">
        <f>IF(ИТОГ!A498=0,"",ИТОГ!A498)</f>
        <v/>
      </c>
      <c r="L498" s="26" t="str">
        <f t="shared" si="95"/>
        <v/>
      </c>
      <c r="M498" s="25" t="str">
        <f>IF(K498="","",ИТОГ!Q498)</f>
        <v/>
      </c>
      <c r="N498" s="28" t="str">
        <f>IF(K498="","",ИТОГ!N498)</f>
        <v/>
      </c>
      <c r="O498" s="30" t="str">
        <f t="shared" si="96"/>
        <v/>
      </c>
      <c r="P498" s="24"/>
      <c r="Q498" s="30" t="str">
        <f t="shared" si="97"/>
        <v/>
      </c>
      <c r="R498" s="29" t="str">
        <f t="shared" ca="1" si="98"/>
        <v/>
      </c>
    </row>
    <row r="499" spans="1:18">
      <c r="A499" s="23" t="str">
        <f t="shared" si="88"/>
        <v/>
      </c>
      <c r="B499" s="23" t="str">
        <f t="shared" si="89"/>
        <v/>
      </c>
      <c r="C499" s="29" t="str">
        <f t="shared" ca="1" si="90"/>
        <v/>
      </c>
      <c r="D499" s="22" t="str">
        <f>IF(K499="","",ИТОГ!S499)</f>
        <v/>
      </c>
      <c r="E499" s="24" t="str">
        <f t="shared" si="91"/>
        <v/>
      </c>
      <c r="F499" s="30" t="str">
        <f t="shared" si="92"/>
        <v/>
      </c>
      <c r="G499" s="25" t="str">
        <f t="shared" si="93"/>
        <v/>
      </c>
      <c r="H499" s="29" t="str">
        <f t="shared" ca="1" si="94"/>
        <v/>
      </c>
      <c r="I499" s="24"/>
      <c r="J499" s="30"/>
      <c r="K499" s="27" t="str">
        <f>IF(ИТОГ!A499=0,"",ИТОГ!A499)</f>
        <v/>
      </c>
      <c r="L499" s="26" t="str">
        <f t="shared" si="95"/>
        <v/>
      </c>
      <c r="M499" s="25" t="str">
        <f>IF(K499="","",ИТОГ!Q499)</f>
        <v/>
      </c>
      <c r="N499" s="28" t="str">
        <f>IF(K499="","",ИТОГ!N499)</f>
        <v/>
      </c>
      <c r="O499" s="30" t="str">
        <f t="shared" si="96"/>
        <v/>
      </c>
      <c r="P499" s="24"/>
      <c r="Q499" s="30" t="str">
        <f t="shared" si="97"/>
        <v/>
      </c>
      <c r="R499" s="29" t="str">
        <f t="shared" ca="1" si="98"/>
        <v/>
      </c>
    </row>
    <row r="500" spans="1:18">
      <c r="A500" s="23" t="str">
        <f t="shared" si="88"/>
        <v/>
      </c>
      <c r="B500" s="23" t="str">
        <f t="shared" si="89"/>
        <v/>
      </c>
      <c r="C500" s="29" t="str">
        <f t="shared" ca="1" si="90"/>
        <v/>
      </c>
      <c r="D500" s="22" t="str">
        <f>IF(K500="","",ИТОГ!S500)</f>
        <v/>
      </c>
      <c r="E500" s="24" t="str">
        <f t="shared" si="91"/>
        <v/>
      </c>
      <c r="F500" s="30" t="str">
        <f t="shared" si="92"/>
        <v/>
      </c>
      <c r="G500" s="25" t="str">
        <f t="shared" si="93"/>
        <v/>
      </c>
      <c r="H500" s="29" t="str">
        <f t="shared" ca="1" si="94"/>
        <v/>
      </c>
      <c r="I500" s="24"/>
      <c r="J500" s="30"/>
      <c r="K500" s="27" t="str">
        <f>IF(ИТОГ!A500=0,"",ИТОГ!A500)</f>
        <v/>
      </c>
      <c r="L500" s="26" t="str">
        <f t="shared" si="95"/>
        <v/>
      </c>
      <c r="M500" s="25" t="str">
        <f>IF(K500="","",ИТОГ!Q500)</f>
        <v/>
      </c>
      <c r="N500" s="28" t="str">
        <f>IF(K500="","",ИТОГ!N500)</f>
        <v/>
      </c>
      <c r="O500" s="30" t="str">
        <f t="shared" si="96"/>
        <v/>
      </c>
      <c r="P500" s="24"/>
      <c r="Q500" s="30" t="str">
        <f t="shared" si="97"/>
        <v/>
      </c>
      <c r="R500" s="29" t="str">
        <f t="shared" ca="1" si="98"/>
        <v/>
      </c>
    </row>
    <row r="501" spans="1:18">
      <c r="A501" s="23" t="str">
        <f t="shared" si="88"/>
        <v/>
      </c>
      <c r="B501" s="23" t="str">
        <f t="shared" si="89"/>
        <v/>
      </c>
      <c r="C501" s="29" t="str">
        <f t="shared" ca="1" si="90"/>
        <v/>
      </c>
      <c r="D501" s="22" t="str">
        <f>IF(K501="","",ИТОГ!S501)</f>
        <v/>
      </c>
      <c r="E501" s="24" t="str">
        <f t="shared" si="91"/>
        <v/>
      </c>
      <c r="F501" s="30" t="str">
        <f t="shared" si="92"/>
        <v/>
      </c>
      <c r="G501" s="25" t="str">
        <f t="shared" si="93"/>
        <v/>
      </c>
      <c r="H501" s="29" t="str">
        <f t="shared" ca="1" si="94"/>
        <v/>
      </c>
      <c r="I501" s="24"/>
      <c r="J501" s="30"/>
      <c r="K501" s="27" t="str">
        <f>IF(ИТОГ!A501=0,"",ИТОГ!A501)</f>
        <v/>
      </c>
      <c r="L501" s="26" t="str">
        <f t="shared" si="95"/>
        <v/>
      </c>
      <c r="M501" s="25" t="str">
        <f>IF(K501="","",ИТОГ!Q501)</f>
        <v/>
      </c>
      <c r="N501" s="28" t="str">
        <f>IF(K501="","",ИТОГ!N501)</f>
        <v/>
      </c>
      <c r="O501" s="30" t="str">
        <f t="shared" si="96"/>
        <v/>
      </c>
      <c r="P501" s="24"/>
      <c r="Q501" s="30" t="str">
        <f t="shared" si="97"/>
        <v/>
      </c>
      <c r="R501" s="29" t="str">
        <f t="shared" ca="1" si="98"/>
        <v/>
      </c>
    </row>
    <row r="502" spans="1:18">
      <c r="A502" s="23" t="str">
        <f t="shared" si="88"/>
        <v/>
      </c>
      <c r="B502" s="23" t="str">
        <f t="shared" si="89"/>
        <v/>
      </c>
      <c r="C502" s="29" t="str">
        <f t="shared" ca="1" si="90"/>
        <v/>
      </c>
      <c r="D502" s="22" t="str">
        <f>IF(K502="","",ИТОГ!S502)</f>
        <v/>
      </c>
      <c r="E502" s="24" t="str">
        <f t="shared" si="91"/>
        <v/>
      </c>
      <c r="F502" s="30" t="str">
        <f t="shared" si="92"/>
        <v/>
      </c>
      <c r="G502" s="25" t="str">
        <f t="shared" si="93"/>
        <v/>
      </c>
      <c r="H502" s="29" t="str">
        <f t="shared" ca="1" si="94"/>
        <v/>
      </c>
      <c r="I502" s="24"/>
      <c r="J502" s="30"/>
      <c r="K502" s="27" t="str">
        <f>IF(ИТОГ!A502=0,"",ИТОГ!A502)</f>
        <v/>
      </c>
      <c r="L502" s="26" t="str">
        <f t="shared" si="95"/>
        <v/>
      </c>
      <c r="M502" s="25" t="str">
        <f>IF(K502="","",ИТОГ!Q502)</f>
        <v/>
      </c>
      <c r="N502" s="28" t="str">
        <f>IF(K502="","",ИТОГ!N502)</f>
        <v/>
      </c>
      <c r="O502" s="30" t="str">
        <f t="shared" si="96"/>
        <v/>
      </c>
      <c r="P502" s="24"/>
      <c r="Q502" s="30" t="str">
        <f t="shared" si="97"/>
        <v/>
      </c>
      <c r="R502" s="29" t="str">
        <f t="shared" ca="1" si="98"/>
        <v/>
      </c>
    </row>
    <row r="503" spans="1:18">
      <c r="A503" s="23" t="str">
        <f t="shared" si="88"/>
        <v/>
      </c>
      <c r="B503" s="23" t="str">
        <f t="shared" si="89"/>
        <v/>
      </c>
      <c r="C503" s="29" t="str">
        <f t="shared" ca="1" si="90"/>
        <v/>
      </c>
      <c r="D503" s="22" t="str">
        <f>IF(K503="","",ИТОГ!S503)</f>
        <v/>
      </c>
      <c r="E503" s="24" t="str">
        <f t="shared" si="91"/>
        <v/>
      </c>
      <c r="F503" s="30" t="str">
        <f t="shared" si="92"/>
        <v/>
      </c>
      <c r="G503" s="25" t="str">
        <f t="shared" si="93"/>
        <v/>
      </c>
      <c r="H503" s="29" t="str">
        <f t="shared" ca="1" si="94"/>
        <v/>
      </c>
      <c r="I503" s="24"/>
      <c r="J503" s="30"/>
      <c r="K503" s="27" t="str">
        <f>IF(ИТОГ!A503=0,"",ИТОГ!A503)</f>
        <v/>
      </c>
      <c r="L503" s="26" t="str">
        <f t="shared" si="95"/>
        <v/>
      </c>
      <c r="M503" s="25" t="str">
        <f>IF(K503="","",ИТОГ!Q503)</f>
        <v/>
      </c>
      <c r="N503" s="28" t="str">
        <f>IF(K503="","",ИТОГ!N503)</f>
        <v/>
      </c>
      <c r="O503" s="30" t="str">
        <f t="shared" si="96"/>
        <v/>
      </c>
      <c r="P503" s="24"/>
      <c r="Q503" s="30" t="str">
        <f t="shared" si="97"/>
        <v/>
      </c>
      <c r="R503" s="29" t="str">
        <f t="shared" ca="1" si="98"/>
        <v/>
      </c>
    </row>
    <row r="504" spans="1:18">
      <c r="A504" s="23" t="str">
        <f t="shared" si="88"/>
        <v/>
      </c>
      <c r="B504" s="23" t="str">
        <f t="shared" si="89"/>
        <v/>
      </c>
      <c r="C504" s="29" t="str">
        <f t="shared" ca="1" si="90"/>
        <v/>
      </c>
      <c r="D504" s="22" t="str">
        <f>IF(K504="","",ИТОГ!S504)</f>
        <v/>
      </c>
      <c r="E504" s="24" t="str">
        <f t="shared" si="91"/>
        <v/>
      </c>
      <c r="F504" s="30" t="str">
        <f t="shared" si="92"/>
        <v/>
      </c>
      <c r="G504" s="25" t="str">
        <f t="shared" si="93"/>
        <v/>
      </c>
      <c r="H504" s="29" t="str">
        <f t="shared" ca="1" si="94"/>
        <v/>
      </c>
      <c r="I504" s="24"/>
      <c r="J504" s="30"/>
      <c r="K504" s="27" t="str">
        <f>IF(ИТОГ!A504=0,"",ИТОГ!A504)</f>
        <v/>
      </c>
      <c r="L504" s="26" t="str">
        <f t="shared" si="95"/>
        <v/>
      </c>
      <c r="M504" s="25" t="str">
        <f>IF(K504="","",ИТОГ!Q504)</f>
        <v/>
      </c>
      <c r="N504" s="28" t="str">
        <f>IF(K504="","",ИТОГ!N504)</f>
        <v/>
      </c>
      <c r="O504" s="30" t="str">
        <f t="shared" si="96"/>
        <v/>
      </c>
      <c r="P504" s="24"/>
      <c r="Q504" s="30" t="str">
        <f t="shared" si="97"/>
        <v/>
      </c>
      <c r="R504" s="29" t="str">
        <f t="shared" ca="1" si="98"/>
        <v/>
      </c>
    </row>
    <row r="505" spans="1:18">
      <c r="A505" s="23" t="str">
        <f t="shared" si="88"/>
        <v/>
      </c>
      <c r="B505" s="23" t="str">
        <f t="shared" si="89"/>
        <v/>
      </c>
      <c r="C505" s="29" t="str">
        <f t="shared" ca="1" si="90"/>
        <v/>
      </c>
      <c r="D505" s="22" t="str">
        <f>IF(K505="","",ИТОГ!S505)</f>
        <v/>
      </c>
      <c r="E505" s="24" t="str">
        <f t="shared" si="91"/>
        <v/>
      </c>
      <c r="F505" s="30" t="str">
        <f t="shared" si="92"/>
        <v/>
      </c>
      <c r="G505" s="25" t="str">
        <f t="shared" si="93"/>
        <v/>
      </c>
      <c r="H505" s="29" t="str">
        <f t="shared" ca="1" si="94"/>
        <v/>
      </c>
      <c r="I505" s="24"/>
      <c r="J505" s="30"/>
      <c r="K505" s="27" t="str">
        <f>IF(ИТОГ!A505=0,"",ИТОГ!A505)</f>
        <v/>
      </c>
      <c r="L505" s="26" t="str">
        <f t="shared" si="95"/>
        <v/>
      </c>
      <c r="M505" s="25" t="str">
        <f>IF(K505="","",ИТОГ!Q505)</f>
        <v/>
      </c>
      <c r="N505" s="28" t="str">
        <f>IF(K505="","",ИТОГ!N505)</f>
        <v/>
      </c>
      <c r="O505" s="30" t="str">
        <f t="shared" si="96"/>
        <v/>
      </c>
      <c r="P505" s="24"/>
      <c r="Q505" s="30" t="str">
        <f t="shared" si="97"/>
        <v/>
      </c>
      <c r="R505" s="29" t="str">
        <f t="shared" ca="1" si="98"/>
        <v/>
      </c>
    </row>
    <row r="506" spans="1:18">
      <c r="A506" s="23" t="str">
        <f t="shared" si="88"/>
        <v/>
      </c>
      <c r="B506" s="23" t="str">
        <f t="shared" si="89"/>
        <v/>
      </c>
      <c r="C506" s="29" t="str">
        <f t="shared" ca="1" si="90"/>
        <v/>
      </c>
      <c r="D506" s="22" t="str">
        <f>IF(K506="","",ИТОГ!S506)</f>
        <v/>
      </c>
      <c r="E506" s="24" t="str">
        <f t="shared" si="91"/>
        <v/>
      </c>
      <c r="F506" s="30" t="str">
        <f t="shared" si="92"/>
        <v/>
      </c>
      <c r="G506" s="25" t="str">
        <f t="shared" si="93"/>
        <v/>
      </c>
      <c r="H506" s="29" t="str">
        <f t="shared" ca="1" si="94"/>
        <v/>
      </c>
      <c r="I506" s="24"/>
      <c r="J506" s="30"/>
      <c r="K506" s="27" t="str">
        <f>IF(ИТОГ!A506=0,"",ИТОГ!A506)</f>
        <v/>
      </c>
      <c r="L506" s="26" t="str">
        <f t="shared" si="95"/>
        <v/>
      </c>
      <c r="M506" s="25" t="str">
        <f>IF(K506="","",ИТОГ!Q506)</f>
        <v/>
      </c>
      <c r="N506" s="28" t="str">
        <f>IF(K506="","",ИТОГ!N506)</f>
        <v/>
      </c>
      <c r="O506" s="30" t="str">
        <f t="shared" si="96"/>
        <v/>
      </c>
      <c r="P506" s="24"/>
      <c r="Q506" s="30" t="str">
        <f t="shared" si="97"/>
        <v/>
      </c>
      <c r="R506" s="29" t="str">
        <f t="shared" ca="1" si="98"/>
        <v/>
      </c>
    </row>
    <row r="507" spans="1:18">
      <c r="A507" s="23" t="str">
        <f t="shared" si="88"/>
        <v/>
      </c>
      <c r="B507" s="23" t="str">
        <f t="shared" si="89"/>
        <v/>
      </c>
      <c r="C507" s="29" t="str">
        <f t="shared" ca="1" si="90"/>
        <v/>
      </c>
      <c r="D507" s="22" t="str">
        <f>IF(K507="","",ИТОГ!S507)</f>
        <v/>
      </c>
      <c r="E507" s="24" t="str">
        <f t="shared" si="91"/>
        <v/>
      </c>
      <c r="F507" s="30" t="str">
        <f t="shared" si="92"/>
        <v/>
      </c>
      <c r="G507" s="25" t="str">
        <f t="shared" si="93"/>
        <v/>
      </c>
      <c r="H507" s="29" t="str">
        <f t="shared" ca="1" si="94"/>
        <v/>
      </c>
      <c r="I507" s="24"/>
      <c r="J507" s="30"/>
      <c r="K507" s="27" t="str">
        <f>IF(ИТОГ!A507=0,"",ИТОГ!A507)</f>
        <v/>
      </c>
      <c r="L507" s="26" t="str">
        <f t="shared" si="95"/>
        <v/>
      </c>
      <c r="M507" s="25" t="str">
        <f>IF(K507="","",ИТОГ!Q507)</f>
        <v/>
      </c>
      <c r="N507" s="28" t="str">
        <f>IF(K507="","",ИТОГ!N507)</f>
        <v/>
      </c>
      <c r="O507" s="30" t="str">
        <f t="shared" si="96"/>
        <v/>
      </c>
      <c r="P507" s="24"/>
      <c r="Q507" s="30" t="str">
        <f t="shared" si="97"/>
        <v/>
      </c>
      <c r="R507" s="29" t="str">
        <f t="shared" ca="1" si="98"/>
        <v/>
      </c>
    </row>
    <row r="508" spans="1:18">
      <c r="A508" s="23" t="str">
        <f t="shared" si="88"/>
        <v/>
      </c>
      <c r="B508" s="23" t="str">
        <f t="shared" si="89"/>
        <v/>
      </c>
      <c r="C508" s="29" t="str">
        <f t="shared" ca="1" si="90"/>
        <v/>
      </c>
      <c r="D508" s="22" t="str">
        <f>IF(K508="","",ИТОГ!S508)</f>
        <v/>
      </c>
      <c r="E508" s="24" t="str">
        <f t="shared" si="91"/>
        <v/>
      </c>
      <c r="F508" s="30" t="str">
        <f t="shared" si="92"/>
        <v/>
      </c>
      <c r="G508" s="25" t="str">
        <f t="shared" si="93"/>
        <v/>
      </c>
      <c r="H508" s="29" t="str">
        <f t="shared" ca="1" si="94"/>
        <v/>
      </c>
      <c r="I508" s="24"/>
      <c r="J508" s="30"/>
      <c r="K508" s="27" t="str">
        <f>IF(ИТОГ!A508=0,"",ИТОГ!A508)</f>
        <v/>
      </c>
      <c r="L508" s="26" t="str">
        <f t="shared" si="95"/>
        <v/>
      </c>
      <c r="M508" s="25" t="str">
        <f>IF(K508="","",ИТОГ!Q508)</f>
        <v/>
      </c>
      <c r="N508" s="28" t="str">
        <f>IF(K508="","",ИТОГ!N508)</f>
        <v/>
      </c>
      <c r="O508" s="30" t="str">
        <f t="shared" si="96"/>
        <v/>
      </c>
      <c r="P508" s="24"/>
      <c r="Q508" s="30" t="str">
        <f t="shared" si="97"/>
        <v/>
      </c>
      <c r="R508" s="29" t="str">
        <f t="shared" ca="1" si="98"/>
        <v/>
      </c>
    </row>
    <row r="509" spans="1:18">
      <c r="A509" s="23" t="str">
        <f t="shared" si="88"/>
        <v/>
      </c>
      <c r="B509" s="23" t="str">
        <f t="shared" si="89"/>
        <v/>
      </c>
      <c r="C509" s="29" t="str">
        <f t="shared" ca="1" si="90"/>
        <v/>
      </c>
      <c r="D509" s="22" t="str">
        <f>IF(K509="","",ИТОГ!S509)</f>
        <v/>
      </c>
      <c r="E509" s="24" t="str">
        <f t="shared" si="91"/>
        <v/>
      </c>
      <c r="F509" s="30" t="str">
        <f t="shared" si="92"/>
        <v/>
      </c>
      <c r="G509" s="25" t="str">
        <f t="shared" si="93"/>
        <v/>
      </c>
      <c r="H509" s="29" t="str">
        <f t="shared" ca="1" si="94"/>
        <v/>
      </c>
      <c r="I509" s="24"/>
      <c r="J509" s="30"/>
      <c r="K509" s="27" t="str">
        <f>IF(ИТОГ!A509=0,"",ИТОГ!A509)</f>
        <v/>
      </c>
      <c r="L509" s="26" t="str">
        <f t="shared" si="95"/>
        <v/>
      </c>
      <c r="M509" s="25" t="str">
        <f>IF(K509="","",ИТОГ!Q509)</f>
        <v/>
      </c>
      <c r="N509" s="28" t="str">
        <f>IF(K509="","",ИТОГ!N509)</f>
        <v/>
      </c>
      <c r="O509" s="30" t="str">
        <f t="shared" si="96"/>
        <v/>
      </c>
      <c r="P509" s="24"/>
      <c r="Q509" s="30" t="str">
        <f t="shared" si="97"/>
        <v/>
      </c>
      <c r="R509" s="29" t="str">
        <f t="shared" ca="1" si="98"/>
        <v/>
      </c>
    </row>
    <row r="510" spans="1:18">
      <c r="A510" s="23" t="str">
        <f t="shared" si="88"/>
        <v/>
      </c>
      <c r="B510" s="23" t="str">
        <f t="shared" si="89"/>
        <v/>
      </c>
      <c r="C510" s="29" t="str">
        <f t="shared" ca="1" si="90"/>
        <v/>
      </c>
      <c r="D510" s="22" t="str">
        <f>IF(K510="","",ИТОГ!S510)</f>
        <v/>
      </c>
      <c r="E510" s="24" t="str">
        <f t="shared" si="91"/>
        <v/>
      </c>
      <c r="F510" s="30" t="str">
        <f t="shared" si="92"/>
        <v/>
      </c>
      <c r="G510" s="25" t="str">
        <f t="shared" si="93"/>
        <v/>
      </c>
      <c r="H510" s="29" t="str">
        <f t="shared" ca="1" si="94"/>
        <v/>
      </c>
      <c r="I510" s="24"/>
      <c r="J510" s="30"/>
      <c r="K510" s="27" t="str">
        <f>IF(ИТОГ!A510=0,"",ИТОГ!A510)</f>
        <v/>
      </c>
      <c r="L510" s="26" t="str">
        <f t="shared" si="95"/>
        <v/>
      </c>
      <c r="M510" s="25" t="str">
        <f>IF(K510="","",ИТОГ!Q510)</f>
        <v/>
      </c>
      <c r="N510" s="28" t="str">
        <f>IF(K510="","",ИТОГ!N510)</f>
        <v/>
      </c>
      <c r="O510" s="30" t="str">
        <f t="shared" si="96"/>
        <v/>
      </c>
      <c r="P510" s="24"/>
      <c r="Q510" s="30" t="str">
        <f t="shared" si="97"/>
        <v/>
      </c>
      <c r="R510" s="29" t="str">
        <f t="shared" ca="1" si="98"/>
        <v/>
      </c>
    </row>
    <row r="511" spans="1:18">
      <c r="A511" s="23" t="str">
        <f t="shared" si="88"/>
        <v/>
      </c>
      <c r="B511" s="23" t="str">
        <f t="shared" si="89"/>
        <v/>
      </c>
      <c r="C511" s="29" t="str">
        <f t="shared" ca="1" si="90"/>
        <v/>
      </c>
      <c r="D511" s="22" t="str">
        <f>IF(K511="","",ИТОГ!S511)</f>
        <v/>
      </c>
      <c r="E511" s="24" t="str">
        <f t="shared" si="91"/>
        <v/>
      </c>
      <c r="F511" s="30" t="str">
        <f t="shared" si="92"/>
        <v/>
      </c>
      <c r="G511" s="25" t="str">
        <f t="shared" si="93"/>
        <v/>
      </c>
      <c r="H511" s="29" t="str">
        <f t="shared" ca="1" si="94"/>
        <v/>
      </c>
      <c r="I511" s="24"/>
      <c r="J511" s="30"/>
      <c r="K511" s="27" t="str">
        <f>IF(ИТОГ!A511=0,"",ИТОГ!A511)</f>
        <v/>
      </c>
      <c r="L511" s="26" t="str">
        <f t="shared" si="95"/>
        <v/>
      </c>
      <c r="M511" s="25" t="str">
        <f>IF(K511="","",ИТОГ!Q511)</f>
        <v/>
      </c>
      <c r="N511" s="28" t="str">
        <f>IF(K511="","",ИТОГ!N511)</f>
        <v/>
      </c>
      <c r="O511" s="30" t="str">
        <f t="shared" si="96"/>
        <v/>
      </c>
      <c r="P511" s="24"/>
      <c r="Q511" s="30" t="str">
        <f t="shared" si="97"/>
        <v/>
      </c>
      <c r="R511" s="29" t="str">
        <f t="shared" ca="1" si="98"/>
        <v/>
      </c>
    </row>
    <row r="512" spans="1:18">
      <c r="A512" s="23" t="str">
        <f t="shared" si="88"/>
        <v/>
      </c>
      <c r="B512" s="23" t="str">
        <f t="shared" si="89"/>
        <v/>
      </c>
      <c r="C512" s="29" t="str">
        <f t="shared" ca="1" si="90"/>
        <v/>
      </c>
      <c r="D512" s="22" t="str">
        <f>IF(K512="","",ИТОГ!S512)</f>
        <v/>
      </c>
      <c r="E512" s="24" t="str">
        <f t="shared" si="91"/>
        <v/>
      </c>
      <c r="F512" s="30" t="str">
        <f t="shared" si="92"/>
        <v/>
      </c>
      <c r="G512" s="25" t="str">
        <f t="shared" si="93"/>
        <v/>
      </c>
      <c r="H512" s="29" t="str">
        <f t="shared" ca="1" si="94"/>
        <v/>
      </c>
      <c r="I512" s="24"/>
      <c r="J512" s="30"/>
      <c r="K512" s="27" t="str">
        <f>IF(ИТОГ!A512=0,"",ИТОГ!A512)</f>
        <v/>
      </c>
      <c r="L512" s="26" t="str">
        <f t="shared" si="95"/>
        <v/>
      </c>
      <c r="M512" s="25" t="str">
        <f>IF(K512="","",ИТОГ!Q512)</f>
        <v/>
      </c>
      <c r="N512" s="28" t="str">
        <f>IF(K512="","",ИТОГ!N512)</f>
        <v/>
      </c>
      <c r="O512" s="30" t="str">
        <f t="shared" si="96"/>
        <v/>
      </c>
      <c r="P512" s="24"/>
      <c r="Q512" s="30" t="str">
        <f t="shared" si="97"/>
        <v/>
      </c>
      <c r="R512" s="29" t="str">
        <f t="shared" ca="1" si="98"/>
        <v/>
      </c>
    </row>
    <row r="513" spans="1:18">
      <c r="A513" s="23" t="str">
        <f t="shared" si="88"/>
        <v/>
      </c>
      <c r="B513" s="23" t="str">
        <f t="shared" si="89"/>
        <v/>
      </c>
      <c r="C513" s="29" t="str">
        <f t="shared" ca="1" si="90"/>
        <v/>
      </c>
      <c r="D513" s="22" t="str">
        <f>IF(K513="","",ИТОГ!S513)</f>
        <v/>
      </c>
      <c r="E513" s="24" t="str">
        <f t="shared" si="91"/>
        <v/>
      </c>
      <c r="F513" s="30" t="str">
        <f t="shared" si="92"/>
        <v/>
      </c>
      <c r="G513" s="25" t="str">
        <f t="shared" si="93"/>
        <v/>
      </c>
      <c r="H513" s="29" t="str">
        <f t="shared" ca="1" si="94"/>
        <v/>
      </c>
      <c r="I513" s="24"/>
      <c r="J513" s="30"/>
      <c r="K513" s="27" t="str">
        <f>IF(ИТОГ!A513=0,"",ИТОГ!A513)</f>
        <v/>
      </c>
      <c r="L513" s="26" t="str">
        <f t="shared" si="95"/>
        <v/>
      </c>
      <c r="M513" s="25" t="str">
        <f>IF(K513="","",ИТОГ!Q513)</f>
        <v/>
      </c>
      <c r="N513" s="28" t="str">
        <f>IF(K513="","",ИТОГ!N513)</f>
        <v/>
      </c>
      <c r="O513" s="30" t="str">
        <f t="shared" si="96"/>
        <v/>
      </c>
      <c r="P513" s="24"/>
      <c r="Q513" s="30" t="str">
        <f t="shared" si="97"/>
        <v/>
      </c>
      <c r="R513" s="29" t="str">
        <f t="shared" ca="1" si="98"/>
        <v/>
      </c>
    </row>
    <row r="514" spans="1:18">
      <c r="A514" s="23" t="str">
        <f t="shared" si="88"/>
        <v/>
      </c>
      <c r="B514" s="23" t="str">
        <f t="shared" si="89"/>
        <v/>
      </c>
      <c r="C514" s="29" t="str">
        <f t="shared" ca="1" si="90"/>
        <v/>
      </c>
      <c r="D514" s="22" t="str">
        <f>IF(K514="","",ИТОГ!S514)</f>
        <v/>
      </c>
      <c r="E514" s="24" t="str">
        <f t="shared" si="91"/>
        <v/>
      </c>
      <c r="F514" s="30" t="str">
        <f t="shared" si="92"/>
        <v/>
      </c>
      <c r="G514" s="25" t="str">
        <f t="shared" si="93"/>
        <v/>
      </c>
      <c r="H514" s="29" t="str">
        <f t="shared" ca="1" si="94"/>
        <v/>
      </c>
      <c r="I514" s="24"/>
      <c r="J514" s="30"/>
      <c r="K514" s="27" t="str">
        <f>IF(ИТОГ!A514=0,"",ИТОГ!A514)</f>
        <v/>
      </c>
      <c r="L514" s="26" t="str">
        <f t="shared" si="95"/>
        <v/>
      </c>
      <c r="M514" s="25" t="str">
        <f>IF(K514="","",ИТОГ!Q514)</f>
        <v/>
      </c>
      <c r="N514" s="28" t="str">
        <f>IF(K514="","",ИТОГ!N514)</f>
        <v/>
      </c>
      <c r="O514" s="30" t="str">
        <f t="shared" si="96"/>
        <v/>
      </c>
      <c r="P514" s="24"/>
      <c r="Q514" s="30" t="str">
        <f t="shared" si="97"/>
        <v/>
      </c>
      <c r="R514" s="29" t="str">
        <f t="shared" ca="1" si="98"/>
        <v/>
      </c>
    </row>
    <row r="515" spans="1:18">
      <c r="A515" s="23" t="str">
        <f t="shared" si="88"/>
        <v/>
      </c>
      <c r="B515" s="23" t="str">
        <f t="shared" si="89"/>
        <v/>
      </c>
      <c r="C515" s="29" t="str">
        <f t="shared" ca="1" si="90"/>
        <v/>
      </c>
      <c r="D515" s="22" t="str">
        <f>IF(K515="","",ИТОГ!S515)</f>
        <v/>
      </c>
      <c r="E515" s="24" t="str">
        <f t="shared" si="91"/>
        <v/>
      </c>
      <c r="F515" s="30" t="str">
        <f t="shared" si="92"/>
        <v/>
      </c>
      <c r="G515" s="25" t="str">
        <f t="shared" si="93"/>
        <v/>
      </c>
      <c r="H515" s="29" t="str">
        <f t="shared" ca="1" si="94"/>
        <v/>
      </c>
      <c r="I515" s="24"/>
      <c r="J515" s="30"/>
      <c r="K515" s="27" t="str">
        <f>IF(ИТОГ!A515=0,"",ИТОГ!A515)</f>
        <v/>
      </c>
      <c r="L515" s="26" t="str">
        <f t="shared" si="95"/>
        <v/>
      </c>
      <c r="M515" s="25" t="str">
        <f>IF(K515="","",ИТОГ!Q515)</f>
        <v/>
      </c>
      <c r="N515" s="28" t="str">
        <f>IF(K515="","",ИТОГ!N515)</f>
        <v/>
      </c>
      <c r="O515" s="30" t="str">
        <f t="shared" si="96"/>
        <v/>
      </c>
      <c r="P515" s="24"/>
      <c r="Q515" s="30" t="str">
        <f t="shared" si="97"/>
        <v/>
      </c>
      <c r="R515" s="29" t="str">
        <f t="shared" ca="1" si="98"/>
        <v/>
      </c>
    </row>
    <row r="516" spans="1:18">
      <c r="A516" s="23" t="str">
        <f t="shared" si="88"/>
        <v/>
      </c>
      <c r="B516" s="23" t="str">
        <f t="shared" si="89"/>
        <v/>
      </c>
      <c r="C516" s="29" t="str">
        <f t="shared" ca="1" si="90"/>
        <v/>
      </c>
      <c r="D516" s="22" t="str">
        <f>IF(K516="","",ИТОГ!S516)</f>
        <v/>
      </c>
      <c r="E516" s="24" t="str">
        <f t="shared" si="91"/>
        <v/>
      </c>
      <c r="F516" s="30" t="str">
        <f t="shared" si="92"/>
        <v/>
      </c>
      <c r="G516" s="25" t="str">
        <f t="shared" si="93"/>
        <v/>
      </c>
      <c r="H516" s="29" t="str">
        <f t="shared" ca="1" si="94"/>
        <v/>
      </c>
      <c r="I516" s="24"/>
      <c r="J516" s="30"/>
      <c r="K516" s="27" t="str">
        <f>IF(ИТОГ!A516=0,"",ИТОГ!A516)</f>
        <v/>
      </c>
      <c r="L516" s="26" t="str">
        <f t="shared" si="95"/>
        <v/>
      </c>
      <c r="M516" s="25" t="str">
        <f>IF(K516="","",ИТОГ!Q516)</f>
        <v/>
      </c>
      <c r="N516" s="28" t="str">
        <f>IF(K516="","",ИТОГ!N516)</f>
        <v/>
      </c>
      <c r="O516" s="30" t="str">
        <f t="shared" si="96"/>
        <v/>
      </c>
      <c r="P516" s="24"/>
      <c r="Q516" s="30" t="str">
        <f t="shared" si="97"/>
        <v/>
      </c>
      <c r="R516" s="29" t="str">
        <f t="shared" ca="1" si="98"/>
        <v/>
      </c>
    </row>
    <row r="517" spans="1:18">
      <c r="A517" s="23" t="str">
        <f t="shared" si="88"/>
        <v/>
      </c>
      <c r="B517" s="23" t="str">
        <f t="shared" si="89"/>
        <v/>
      </c>
      <c r="C517" s="29" t="str">
        <f t="shared" ca="1" si="90"/>
        <v/>
      </c>
      <c r="D517" s="22" t="str">
        <f>IF(K517="","",ИТОГ!S517)</f>
        <v/>
      </c>
      <c r="E517" s="24" t="str">
        <f t="shared" si="91"/>
        <v/>
      </c>
      <c r="F517" s="30" t="str">
        <f t="shared" si="92"/>
        <v/>
      </c>
      <c r="G517" s="25" t="str">
        <f t="shared" si="93"/>
        <v/>
      </c>
      <c r="H517" s="29" t="str">
        <f t="shared" ca="1" si="94"/>
        <v/>
      </c>
      <c r="I517" s="24"/>
      <c r="J517" s="30"/>
      <c r="K517" s="27" t="str">
        <f>IF(ИТОГ!A517=0,"",ИТОГ!A517)</f>
        <v/>
      </c>
      <c r="L517" s="26" t="str">
        <f t="shared" si="95"/>
        <v/>
      </c>
      <c r="M517" s="25" t="str">
        <f>IF(K517="","",ИТОГ!Q517)</f>
        <v/>
      </c>
      <c r="N517" s="28" t="str">
        <f>IF(K517="","",ИТОГ!N517)</f>
        <v/>
      </c>
      <c r="O517" s="30" t="str">
        <f t="shared" si="96"/>
        <v/>
      </c>
      <c r="P517" s="24"/>
      <c r="Q517" s="30" t="str">
        <f t="shared" si="97"/>
        <v/>
      </c>
      <c r="R517" s="29" t="str">
        <f t="shared" ca="1" si="98"/>
        <v/>
      </c>
    </row>
    <row r="518" spans="1:18">
      <c r="A518" s="23" t="str">
        <f t="shared" si="88"/>
        <v/>
      </c>
      <c r="B518" s="23" t="str">
        <f t="shared" si="89"/>
        <v/>
      </c>
      <c r="C518" s="29" t="str">
        <f t="shared" ca="1" si="90"/>
        <v/>
      </c>
      <c r="D518" s="22" t="str">
        <f>IF(K518="","",ИТОГ!S518)</f>
        <v/>
      </c>
      <c r="E518" s="24" t="str">
        <f t="shared" si="91"/>
        <v/>
      </c>
      <c r="F518" s="30" t="str">
        <f t="shared" si="92"/>
        <v/>
      </c>
      <c r="G518" s="25" t="str">
        <f t="shared" si="93"/>
        <v/>
      </c>
      <c r="H518" s="29" t="str">
        <f t="shared" ca="1" si="94"/>
        <v/>
      </c>
      <c r="I518" s="24"/>
      <c r="J518" s="30"/>
      <c r="K518" s="27" t="str">
        <f>IF(ИТОГ!A518=0,"",ИТОГ!A518)</f>
        <v/>
      </c>
      <c r="L518" s="26" t="str">
        <f t="shared" si="95"/>
        <v/>
      </c>
      <c r="M518" s="25" t="str">
        <f>IF(K518="","",ИТОГ!Q518)</f>
        <v/>
      </c>
      <c r="N518" s="28" t="str">
        <f>IF(K518="","",ИТОГ!N518)</f>
        <v/>
      </c>
      <c r="O518" s="30" t="str">
        <f t="shared" si="96"/>
        <v/>
      </c>
      <c r="P518" s="24"/>
      <c r="Q518" s="30" t="str">
        <f t="shared" si="97"/>
        <v/>
      </c>
      <c r="R518" s="29" t="str">
        <f t="shared" ca="1" si="98"/>
        <v/>
      </c>
    </row>
    <row r="519" spans="1:18">
      <c r="A519" s="23" t="str">
        <f t="shared" si="88"/>
        <v/>
      </c>
      <c r="B519" s="23" t="str">
        <f t="shared" si="89"/>
        <v/>
      </c>
      <c r="C519" s="29" t="str">
        <f t="shared" ca="1" si="90"/>
        <v/>
      </c>
      <c r="D519" s="22" t="str">
        <f>IF(K519="","",ИТОГ!S519)</f>
        <v/>
      </c>
      <c r="E519" s="24" t="str">
        <f t="shared" si="91"/>
        <v/>
      </c>
      <c r="F519" s="30" t="str">
        <f t="shared" si="92"/>
        <v/>
      </c>
      <c r="G519" s="25" t="str">
        <f t="shared" si="93"/>
        <v/>
      </c>
      <c r="H519" s="29" t="str">
        <f t="shared" ca="1" si="94"/>
        <v/>
      </c>
      <c r="I519" s="24"/>
      <c r="J519" s="30"/>
      <c r="K519" s="27" t="str">
        <f>IF(ИТОГ!A519=0,"",ИТОГ!A519)</f>
        <v/>
      </c>
      <c r="L519" s="26" t="str">
        <f t="shared" si="95"/>
        <v/>
      </c>
      <c r="M519" s="25" t="str">
        <f>IF(K519="","",ИТОГ!Q519)</f>
        <v/>
      </c>
      <c r="N519" s="28" t="str">
        <f>IF(K519="","",ИТОГ!N519)</f>
        <v/>
      </c>
      <c r="O519" s="30" t="str">
        <f t="shared" si="96"/>
        <v/>
      </c>
      <c r="P519" s="24"/>
      <c r="Q519" s="30" t="str">
        <f t="shared" si="97"/>
        <v/>
      </c>
      <c r="R519" s="29" t="str">
        <f t="shared" ca="1" si="98"/>
        <v/>
      </c>
    </row>
    <row r="520" spans="1:18">
      <c r="A520" s="23" t="str">
        <f t="shared" si="88"/>
        <v/>
      </c>
      <c r="B520" s="23" t="str">
        <f t="shared" si="89"/>
        <v/>
      </c>
      <c r="C520" s="29" t="str">
        <f t="shared" ca="1" si="90"/>
        <v/>
      </c>
      <c r="D520" s="22" t="str">
        <f>IF(K520="","",ИТОГ!S520)</f>
        <v/>
      </c>
      <c r="E520" s="24" t="str">
        <f t="shared" si="91"/>
        <v/>
      </c>
      <c r="F520" s="30" t="str">
        <f t="shared" si="92"/>
        <v/>
      </c>
      <c r="G520" s="25" t="str">
        <f t="shared" si="93"/>
        <v/>
      </c>
      <c r="H520" s="29" t="str">
        <f t="shared" ca="1" si="94"/>
        <v/>
      </c>
      <c r="I520" s="24"/>
      <c r="J520" s="30"/>
      <c r="K520" s="27" t="str">
        <f>IF(ИТОГ!A520=0,"",ИТОГ!A520)</f>
        <v/>
      </c>
      <c r="L520" s="26" t="str">
        <f t="shared" si="95"/>
        <v/>
      </c>
      <c r="M520" s="25" t="str">
        <f>IF(K520="","",ИТОГ!Q520)</f>
        <v/>
      </c>
      <c r="N520" s="28" t="str">
        <f>IF(K520="","",ИТОГ!N520)</f>
        <v/>
      </c>
      <c r="O520" s="30" t="str">
        <f t="shared" si="96"/>
        <v/>
      </c>
      <c r="P520" s="24"/>
      <c r="Q520" s="30" t="str">
        <f t="shared" si="97"/>
        <v/>
      </c>
      <c r="R520" s="29" t="str">
        <f t="shared" ca="1" si="98"/>
        <v/>
      </c>
    </row>
    <row r="521" spans="1:18">
      <c r="A521" s="23" t="str">
        <f t="shared" si="88"/>
        <v/>
      </c>
      <c r="B521" s="23" t="str">
        <f t="shared" si="89"/>
        <v/>
      </c>
      <c r="C521" s="29" t="str">
        <f t="shared" ca="1" si="90"/>
        <v/>
      </c>
      <c r="D521" s="22" t="str">
        <f>IF(K521="","",ИТОГ!S521)</f>
        <v/>
      </c>
      <c r="E521" s="24" t="str">
        <f t="shared" si="91"/>
        <v/>
      </c>
      <c r="F521" s="30" t="str">
        <f t="shared" si="92"/>
        <v/>
      </c>
      <c r="G521" s="25" t="str">
        <f t="shared" si="93"/>
        <v/>
      </c>
      <c r="H521" s="29" t="str">
        <f t="shared" ca="1" si="94"/>
        <v/>
      </c>
      <c r="I521" s="24"/>
      <c r="J521" s="30"/>
      <c r="K521" s="27" t="str">
        <f>IF(ИТОГ!A521=0,"",ИТОГ!A521)</f>
        <v/>
      </c>
      <c r="L521" s="26" t="str">
        <f t="shared" si="95"/>
        <v/>
      </c>
      <c r="M521" s="25" t="str">
        <f>IF(K521="","",ИТОГ!Q521)</f>
        <v/>
      </c>
      <c r="N521" s="28" t="str">
        <f>IF(K521="","",ИТОГ!N521)</f>
        <v/>
      </c>
      <c r="O521" s="30" t="str">
        <f t="shared" si="96"/>
        <v/>
      </c>
      <c r="P521" s="24"/>
      <c r="Q521" s="30" t="str">
        <f t="shared" si="97"/>
        <v/>
      </c>
      <c r="R521" s="29" t="str">
        <f t="shared" ca="1" si="98"/>
        <v/>
      </c>
    </row>
    <row r="522" spans="1:18">
      <c r="A522" s="23" t="str">
        <f t="shared" si="88"/>
        <v/>
      </c>
      <c r="B522" s="23" t="str">
        <f t="shared" si="89"/>
        <v/>
      </c>
      <c r="C522" s="29" t="str">
        <f t="shared" ca="1" si="90"/>
        <v/>
      </c>
      <c r="D522" s="22" t="str">
        <f>IF(K522="","",ИТОГ!S522)</f>
        <v/>
      </c>
      <c r="E522" s="24" t="str">
        <f t="shared" si="91"/>
        <v/>
      </c>
      <c r="F522" s="30" t="str">
        <f t="shared" si="92"/>
        <v/>
      </c>
      <c r="G522" s="25" t="str">
        <f t="shared" si="93"/>
        <v/>
      </c>
      <c r="H522" s="29" t="str">
        <f t="shared" ca="1" si="94"/>
        <v/>
      </c>
      <c r="I522" s="24"/>
      <c r="J522" s="30"/>
      <c r="K522" s="27" t="str">
        <f>IF(ИТОГ!A522=0,"",ИТОГ!A522)</f>
        <v/>
      </c>
      <c r="L522" s="26" t="str">
        <f t="shared" si="95"/>
        <v/>
      </c>
      <c r="M522" s="25" t="str">
        <f>IF(K522="","",ИТОГ!Q522)</f>
        <v/>
      </c>
      <c r="N522" s="28" t="str">
        <f>IF(K522="","",ИТОГ!N522)</f>
        <v/>
      </c>
      <c r="O522" s="30" t="str">
        <f t="shared" si="96"/>
        <v/>
      </c>
      <c r="P522" s="24"/>
      <c r="Q522" s="30" t="str">
        <f t="shared" si="97"/>
        <v/>
      </c>
      <c r="R522" s="29" t="str">
        <f t="shared" ca="1" si="98"/>
        <v/>
      </c>
    </row>
    <row r="523" spans="1:18">
      <c r="A523" s="23" t="str">
        <f t="shared" si="88"/>
        <v/>
      </c>
      <c r="B523" s="23" t="str">
        <f t="shared" si="89"/>
        <v/>
      </c>
      <c r="C523" s="29" t="str">
        <f t="shared" ca="1" si="90"/>
        <v/>
      </c>
      <c r="D523" s="22" t="str">
        <f>IF(K523="","",ИТОГ!S523)</f>
        <v/>
      </c>
      <c r="E523" s="24" t="str">
        <f t="shared" si="91"/>
        <v/>
      </c>
      <c r="F523" s="30" t="str">
        <f t="shared" si="92"/>
        <v/>
      </c>
      <c r="G523" s="25" t="str">
        <f t="shared" si="93"/>
        <v/>
      </c>
      <c r="H523" s="29" t="str">
        <f t="shared" ca="1" si="94"/>
        <v/>
      </c>
      <c r="I523" s="24"/>
      <c r="J523" s="30"/>
      <c r="K523" s="27" t="str">
        <f>IF(ИТОГ!A523=0,"",ИТОГ!A523)</f>
        <v/>
      </c>
      <c r="L523" s="26" t="str">
        <f t="shared" si="95"/>
        <v/>
      </c>
      <c r="M523" s="25" t="str">
        <f>IF(K523="","",ИТОГ!Q523)</f>
        <v/>
      </c>
      <c r="N523" s="28" t="str">
        <f>IF(K523="","",ИТОГ!N523)</f>
        <v/>
      </c>
      <c r="O523" s="30" t="str">
        <f t="shared" si="96"/>
        <v/>
      </c>
      <c r="P523" s="24"/>
      <c r="Q523" s="30" t="str">
        <f t="shared" si="97"/>
        <v/>
      </c>
      <c r="R523" s="29" t="str">
        <f t="shared" ca="1" si="98"/>
        <v/>
      </c>
    </row>
    <row r="524" spans="1:18">
      <c r="A524" s="23" t="str">
        <f t="shared" si="88"/>
        <v/>
      </c>
      <c r="B524" s="23" t="str">
        <f t="shared" si="89"/>
        <v/>
      </c>
      <c r="C524" s="29" t="str">
        <f t="shared" ca="1" si="90"/>
        <v/>
      </c>
      <c r="D524" s="22" t="str">
        <f>IF(K524="","",ИТОГ!S524)</f>
        <v/>
      </c>
      <c r="E524" s="24" t="str">
        <f t="shared" si="91"/>
        <v/>
      </c>
      <c r="F524" s="30" t="str">
        <f t="shared" si="92"/>
        <v/>
      </c>
      <c r="G524" s="25" t="str">
        <f t="shared" si="93"/>
        <v/>
      </c>
      <c r="H524" s="29" t="str">
        <f t="shared" ca="1" si="94"/>
        <v/>
      </c>
      <c r="I524" s="24"/>
      <c r="J524" s="30"/>
      <c r="K524" s="27" t="str">
        <f>IF(ИТОГ!A524=0,"",ИТОГ!A524)</f>
        <v/>
      </c>
      <c r="L524" s="26" t="str">
        <f t="shared" si="95"/>
        <v/>
      </c>
      <c r="M524" s="25" t="str">
        <f>IF(K524="","",ИТОГ!Q524)</f>
        <v/>
      </c>
      <c r="N524" s="28" t="str">
        <f>IF(K524="","",ИТОГ!N524)</f>
        <v/>
      </c>
      <c r="O524" s="30" t="str">
        <f t="shared" si="96"/>
        <v/>
      </c>
      <c r="P524" s="24"/>
      <c r="Q524" s="30" t="str">
        <f t="shared" si="97"/>
        <v/>
      </c>
      <c r="R524" s="29" t="str">
        <f t="shared" ca="1" si="98"/>
        <v/>
      </c>
    </row>
    <row r="525" spans="1:18">
      <c r="A525" s="23" t="str">
        <f t="shared" si="88"/>
        <v/>
      </c>
      <c r="B525" s="23" t="str">
        <f t="shared" si="89"/>
        <v/>
      </c>
      <c r="C525" s="29" t="str">
        <f t="shared" ca="1" si="90"/>
        <v/>
      </c>
      <c r="D525" s="22" t="str">
        <f>IF(K525="","",ИТОГ!S525)</f>
        <v/>
      </c>
      <c r="E525" s="24" t="str">
        <f t="shared" si="91"/>
        <v/>
      </c>
      <c r="F525" s="30" t="str">
        <f t="shared" si="92"/>
        <v/>
      </c>
      <c r="G525" s="25" t="str">
        <f t="shared" si="93"/>
        <v/>
      </c>
      <c r="H525" s="29" t="str">
        <f t="shared" ca="1" si="94"/>
        <v/>
      </c>
      <c r="I525" s="24"/>
      <c r="J525" s="30"/>
      <c r="K525" s="27" t="str">
        <f>IF(ИТОГ!A525=0,"",ИТОГ!A525)</f>
        <v/>
      </c>
      <c r="L525" s="26" t="str">
        <f t="shared" si="95"/>
        <v/>
      </c>
      <c r="M525" s="25" t="str">
        <f>IF(K525="","",ИТОГ!Q525)</f>
        <v/>
      </c>
      <c r="N525" s="28" t="str">
        <f>IF(K525="","",ИТОГ!N525)</f>
        <v/>
      </c>
      <c r="O525" s="30" t="str">
        <f t="shared" si="96"/>
        <v/>
      </c>
      <c r="P525" s="24"/>
      <c r="Q525" s="30" t="str">
        <f t="shared" si="97"/>
        <v/>
      </c>
      <c r="R525" s="29" t="str">
        <f t="shared" ca="1" si="98"/>
        <v/>
      </c>
    </row>
    <row r="526" spans="1:18">
      <c r="A526" s="23" t="str">
        <f t="shared" si="88"/>
        <v/>
      </c>
      <c r="B526" s="23" t="str">
        <f t="shared" si="89"/>
        <v/>
      </c>
      <c r="C526" s="29" t="str">
        <f t="shared" ca="1" si="90"/>
        <v/>
      </c>
      <c r="D526" s="22" t="str">
        <f>IF(K526="","",ИТОГ!S526)</f>
        <v/>
      </c>
      <c r="E526" s="24" t="str">
        <f t="shared" si="91"/>
        <v/>
      </c>
      <c r="F526" s="30" t="str">
        <f t="shared" si="92"/>
        <v/>
      </c>
      <c r="G526" s="25" t="str">
        <f t="shared" si="93"/>
        <v/>
      </c>
      <c r="H526" s="29" t="str">
        <f t="shared" ca="1" si="94"/>
        <v/>
      </c>
      <c r="I526" s="24"/>
      <c r="J526" s="30"/>
      <c r="K526" s="27" t="str">
        <f>IF(ИТОГ!A526=0,"",ИТОГ!A526)</f>
        <v/>
      </c>
      <c r="L526" s="26" t="str">
        <f t="shared" si="95"/>
        <v/>
      </c>
      <c r="M526" s="25" t="str">
        <f>IF(K526="","",ИТОГ!Q526)</f>
        <v/>
      </c>
      <c r="N526" s="28" t="str">
        <f>IF(K526="","",ИТОГ!N526)</f>
        <v/>
      </c>
      <c r="O526" s="30" t="str">
        <f t="shared" si="96"/>
        <v/>
      </c>
      <c r="P526" s="24"/>
      <c r="Q526" s="30" t="str">
        <f t="shared" si="97"/>
        <v/>
      </c>
      <c r="R526" s="29" t="str">
        <f t="shared" ca="1" si="98"/>
        <v/>
      </c>
    </row>
    <row r="527" spans="1:18">
      <c r="A527" s="23" t="str">
        <f t="shared" si="88"/>
        <v/>
      </c>
      <c r="B527" s="23" t="str">
        <f t="shared" si="89"/>
        <v/>
      </c>
      <c r="C527" s="29" t="str">
        <f t="shared" ca="1" si="90"/>
        <v/>
      </c>
      <c r="D527" s="22" t="str">
        <f>IF(K527="","",ИТОГ!S527)</f>
        <v/>
      </c>
      <c r="E527" s="24" t="str">
        <f t="shared" si="91"/>
        <v/>
      </c>
      <c r="F527" s="30" t="str">
        <f t="shared" si="92"/>
        <v/>
      </c>
      <c r="G527" s="25" t="str">
        <f t="shared" si="93"/>
        <v/>
      </c>
      <c r="H527" s="29" t="str">
        <f t="shared" ca="1" si="94"/>
        <v/>
      </c>
      <c r="I527" s="24"/>
      <c r="J527" s="30"/>
      <c r="K527" s="27" t="str">
        <f>IF(ИТОГ!A527=0,"",ИТОГ!A527)</f>
        <v/>
      </c>
      <c r="L527" s="26" t="str">
        <f t="shared" si="95"/>
        <v/>
      </c>
      <c r="M527" s="25" t="str">
        <f>IF(K527="","",ИТОГ!Q527)</f>
        <v/>
      </c>
      <c r="N527" s="28" t="str">
        <f>IF(K527="","",ИТОГ!N527)</f>
        <v/>
      </c>
      <c r="O527" s="30" t="str">
        <f t="shared" si="96"/>
        <v/>
      </c>
      <c r="P527" s="24"/>
      <c r="Q527" s="30" t="str">
        <f t="shared" si="97"/>
        <v/>
      </c>
      <c r="R527" s="29" t="str">
        <f t="shared" ca="1" si="98"/>
        <v/>
      </c>
    </row>
    <row r="528" spans="1:18">
      <c r="A528" s="23" t="str">
        <f t="shared" si="88"/>
        <v/>
      </c>
      <c r="B528" s="23" t="str">
        <f t="shared" si="89"/>
        <v/>
      </c>
      <c r="C528" s="29" t="str">
        <f t="shared" ca="1" si="90"/>
        <v/>
      </c>
      <c r="D528" s="22" t="str">
        <f>IF(K528="","",ИТОГ!S528)</f>
        <v/>
      </c>
      <c r="E528" s="24" t="str">
        <f t="shared" si="91"/>
        <v/>
      </c>
      <c r="F528" s="30" t="str">
        <f t="shared" si="92"/>
        <v/>
      </c>
      <c r="G528" s="25" t="str">
        <f t="shared" si="93"/>
        <v/>
      </c>
      <c r="H528" s="29" t="str">
        <f t="shared" ca="1" si="94"/>
        <v/>
      </c>
      <c r="I528" s="24"/>
      <c r="J528" s="30"/>
      <c r="K528" s="27" t="str">
        <f>IF(ИТОГ!A528=0,"",ИТОГ!A528)</f>
        <v/>
      </c>
      <c r="L528" s="26" t="str">
        <f t="shared" si="95"/>
        <v/>
      </c>
      <c r="M528" s="25" t="str">
        <f>IF(K528="","",ИТОГ!Q528)</f>
        <v/>
      </c>
      <c r="N528" s="28" t="str">
        <f>IF(K528="","",ИТОГ!N528)</f>
        <v/>
      </c>
      <c r="O528" s="30" t="str">
        <f t="shared" si="96"/>
        <v/>
      </c>
      <c r="P528" s="24"/>
      <c r="Q528" s="30" t="str">
        <f t="shared" si="97"/>
        <v/>
      </c>
      <c r="R528" s="29" t="str">
        <f t="shared" ca="1" si="98"/>
        <v/>
      </c>
    </row>
    <row r="529" spans="1:18">
      <c r="A529" s="23" t="str">
        <f t="shared" si="88"/>
        <v/>
      </c>
      <c r="B529" s="23" t="str">
        <f t="shared" si="89"/>
        <v/>
      </c>
      <c r="C529" s="29" t="str">
        <f t="shared" ca="1" si="90"/>
        <v/>
      </c>
      <c r="D529" s="22" t="str">
        <f>IF(K529="","",ИТОГ!S529)</f>
        <v/>
      </c>
      <c r="E529" s="24" t="str">
        <f t="shared" si="91"/>
        <v/>
      </c>
      <c r="F529" s="30" t="str">
        <f t="shared" si="92"/>
        <v/>
      </c>
      <c r="G529" s="25" t="str">
        <f t="shared" si="93"/>
        <v/>
      </c>
      <c r="H529" s="29" t="str">
        <f t="shared" ca="1" si="94"/>
        <v/>
      </c>
      <c r="I529" s="24"/>
      <c r="J529" s="30"/>
      <c r="K529" s="27" t="str">
        <f>IF(ИТОГ!A529=0,"",ИТОГ!A529)</f>
        <v/>
      </c>
      <c r="L529" s="26" t="str">
        <f t="shared" si="95"/>
        <v/>
      </c>
      <c r="M529" s="25" t="str">
        <f>IF(K529="","",ИТОГ!Q529)</f>
        <v/>
      </c>
      <c r="N529" s="28" t="str">
        <f>IF(K529="","",ИТОГ!N529)</f>
        <v/>
      </c>
      <c r="O529" s="30" t="str">
        <f t="shared" si="96"/>
        <v/>
      </c>
      <c r="P529" s="24"/>
      <c r="Q529" s="30" t="str">
        <f t="shared" si="97"/>
        <v/>
      </c>
      <c r="R529" s="29" t="str">
        <f t="shared" ca="1" si="98"/>
        <v/>
      </c>
    </row>
    <row r="530" spans="1:18">
      <c r="A530" s="23" t="str">
        <f t="shared" si="88"/>
        <v/>
      </c>
      <c r="B530" s="23" t="str">
        <f t="shared" si="89"/>
        <v/>
      </c>
      <c r="C530" s="29" t="str">
        <f t="shared" ca="1" si="90"/>
        <v/>
      </c>
      <c r="D530" s="22" t="str">
        <f>IF(K530="","",ИТОГ!S530)</f>
        <v/>
      </c>
      <c r="E530" s="24" t="str">
        <f t="shared" si="91"/>
        <v/>
      </c>
      <c r="F530" s="30" t="str">
        <f t="shared" si="92"/>
        <v/>
      </c>
      <c r="G530" s="25" t="str">
        <f t="shared" si="93"/>
        <v/>
      </c>
      <c r="H530" s="29" t="str">
        <f t="shared" ca="1" si="94"/>
        <v/>
      </c>
      <c r="I530" s="24"/>
      <c r="J530" s="30"/>
      <c r="K530" s="27" t="str">
        <f>IF(ИТОГ!A530=0,"",ИТОГ!A530)</f>
        <v/>
      </c>
      <c r="L530" s="26" t="str">
        <f t="shared" si="95"/>
        <v/>
      </c>
      <c r="M530" s="25" t="str">
        <f>IF(K530="","",ИТОГ!Q530)</f>
        <v/>
      </c>
      <c r="N530" s="28" t="str">
        <f>IF(K530="","",ИТОГ!N530)</f>
        <v/>
      </c>
      <c r="O530" s="30" t="str">
        <f t="shared" si="96"/>
        <v/>
      </c>
      <c r="P530" s="24"/>
      <c r="Q530" s="30" t="str">
        <f t="shared" si="97"/>
        <v/>
      </c>
      <c r="R530" s="29" t="str">
        <f t="shared" ca="1" si="98"/>
        <v/>
      </c>
    </row>
    <row r="531" spans="1:18">
      <c r="A531" s="23" t="str">
        <f t="shared" si="88"/>
        <v/>
      </c>
      <c r="B531" s="23" t="str">
        <f t="shared" si="89"/>
        <v/>
      </c>
      <c r="C531" s="29" t="str">
        <f t="shared" ca="1" si="90"/>
        <v/>
      </c>
      <c r="D531" s="22" t="str">
        <f>IF(K531="","",ИТОГ!S531)</f>
        <v/>
      </c>
      <c r="E531" s="24" t="str">
        <f t="shared" si="91"/>
        <v/>
      </c>
      <c r="F531" s="30" t="str">
        <f t="shared" si="92"/>
        <v/>
      </c>
      <c r="G531" s="25" t="str">
        <f t="shared" si="93"/>
        <v/>
      </c>
      <c r="H531" s="29" t="str">
        <f t="shared" ca="1" si="94"/>
        <v/>
      </c>
      <c r="I531" s="24"/>
      <c r="J531" s="30"/>
      <c r="K531" s="27" t="str">
        <f>IF(ИТОГ!A531=0,"",ИТОГ!A531)</f>
        <v/>
      </c>
      <c r="L531" s="26" t="str">
        <f t="shared" si="95"/>
        <v/>
      </c>
      <c r="M531" s="25" t="str">
        <f>IF(K531="","",ИТОГ!Q531)</f>
        <v/>
      </c>
      <c r="N531" s="28" t="str">
        <f>IF(K531="","",ИТОГ!N531)</f>
        <v/>
      </c>
      <c r="O531" s="30" t="str">
        <f t="shared" si="96"/>
        <v/>
      </c>
      <c r="P531" s="24"/>
      <c r="Q531" s="30" t="str">
        <f t="shared" si="97"/>
        <v/>
      </c>
      <c r="R531" s="29" t="str">
        <f t="shared" ca="1" si="98"/>
        <v/>
      </c>
    </row>
    <row r="532" spans="1:18">
      <c r="A532" s="23" t="str">
        <f t="shared" si="88"/>
        <v/>
      </c>
      <c r="B532" s="23" t="str">
        <f t="shared" si="89"/>
        <v/>
      </c>
      <c r="C532" s="29" t="str">
        <f t="shared" ca="1" si="90"/>
        <v/>
      </c>
      <c r="D532" s="22" t="str">
        <f>IF(K532="","",ИТОГ!S532)</f>
        <v/>
      </c>
      <c r="E532" s="24" t="str">
        <f t="shared" si="91"/>
        <v/>
      </c>
      <c r="F532" s="30" t="str">
        <f t="shared" si="92"/>
        <v/>
      </c>
      <c r="G532" s="25" t="str">
        <f t="shared" si="93"/>
        <v/>
      </c>
      <c r="H532" s="29" t="str">
        <f t="shared" ca="1" si="94"/>
        <v/>
      </c>
      <c r="I532" s="24"/>
      <c r="J532" s="30"/>
      <c r="K532" s="27" t="str">
        <f>IF(ИТОГ!A532=0,"",ИТОГ!A532)</f>
        <v/>
      </c>
      <c r="L532" s="26" t="str">
        <f t="shared" si="95"/>
        <v/>
      </c>
      <c r="M532" s="25" t="str">
        <f>IF(K532="","",ИТОГ!Q532)</f>
        <v/>
      </c>
      <c r="N532" s="28" t="str">
        <f>IF(K532="","",ИТОГ!N532)</f>
        <v/>
      </c>
      <c r="O532" s="30" t="str">
        <f t="shared" si="96"/>
        <v/>
      </c>
      <c r="P532" s="24"/>
      <c r="Q532" s="30" t="str">
        <f t="shared" si="97"/>
        <v/>
      </c>
      <c r="R532" s="29" t="str">
        <f t="shared" ca="1" si="98"/>
        <v/>
      </c>
    </row>
    <row r="533" spans="1:18">
      <c r="A533" s="23" t="str">
        <f t="shared" si="88"/>
        <v/>
      </c>
      <c r="B533" s="23" t="str">
        <f t="shared" si="89"/>
        <v/>
      </c>
      <c r="C533" s="29" t="str">
        <f t="shared" ca="1" si="90"/>
        <v/>
      </c>
      <c r="D533" s="22" t="str">
        <f>IF(K533="","",ИТОГ!S533)</f>
        <v/>
      </c>
      <c r="E533" s="24" t="str">
        <f t="shared" si="91"/>
        <v/>
      </c>
      <c r="F533" s="30" t="str">
        <f t="shared" si="92"/>
        <v/>
      </c>
      <c r="G533" s="25" t="str">
        <f t="shared" si="93"/>
        <v/>
      </c>
      <c r="H533" s="29" t="str">
        <f t="shared" ca="1" si="94"/>
        <v/>
      </c>
      <c r="I533" s="24"/>
      <c r="J533" s="30"/>
      <c r="K533" s="27" t="str">
        <f>IF(ИТОГ!A533=0,"",ИТОГ!A533)</f>
        <v/>
      </c>
      <c r="L533" s="26" t="str">
        <f t="shared" si="95"/>
        <v/>
      </c>
      <c r="M533" s="25" t="str">
        <f>IF(K533="","",ИТОГ!Q533)</f>
        <v/>
      </c>
      <c r="N533" s="28" t="str">
        <f>IF(K533="","",ИТОГ!N533)</f>
        <v/>
      </c>
      <c r="O533" s="30" t="str">
        <f t="shared" si="96"/>
        <v/>
      </c>
      <c r="P533" s="24"/>
      <c r="Q533" s="30" t="str">
        <f t="shared" si="97"/>
        <v/>
      </c>
      <c r="R533" s="29" t="str">
        <f t="shared" ca="1" si="98"/>
        <v/>
      </c>
    </row>
    <row r="534" spans="1:18">
      <c r="A534" s="23" t="str">
        <f t="shared" si="88"/>
        <v/>
      </c>
      <c r="B534" s="23" t="str">
        <f t="shared" si="89"/>
        <v/>
      </c>
      <c r="C534" s="29" t="str">
        <f t="shared" ca="1" si="90"/>
        <v/>
      </c>
      <c r="D534" s="22" t="str">
        <f>IF(K534="","",ИТОГ!S534)</f>
        <v/>
      </c>
      <c r="E534" s="24" t="str">
        <f t="shared" si="91"/>
        <v/>
      </c>
      <c r="F534" s="30" t="str">
        <f t="shared" si="92"/>
        <v/>
      </c>
      <c r="G534" s="25" t="str">
        <f t="shared" si="93"/>
        <v/>
      </c>
      <c r="H534" s="29" t="str">
        <f t="shared" ca="1" si="94"/>
        <v/>
      </c>
      <c r="I534" s="24"/>
      <c r="J534" s="30"/>
      <c r="K534" s="27" t="str">
        <f>IF(ИТОГ!A534=0,"",ИТОГ!A534)</f>
        <v/>
      </c>
      <c r="L534" s="26" t="str">
        <f t="shared" si="95"/>
        <v/>
      </c>
      <c r="M534" s="25" t="str">
        <f>IF(K534="","",ИТОГ!Q534)</f>
        <v/>
      </c>
      <c r="N534" s="28" t="str">
        <f>IF(K534="","",ИТОГ!N534)</f>
        <v/>
      </c>
      <c r="O534" s="30" t="str">
        <f t="shared" si="96"/>
        <v/>
      </c>
      <c r="P534" s="24"/>
      <c r="Q534" s="30" t="str">
        <f t="shared" si="97"/>
        <v/>
      </c>
      <c r="R534" s="29" t="str">
        <f t="shared" ca="1" si="98"/>
        <v/>
      </c>
    </row>
    <row r="535" spans="1:18">
      <c r="A535" s="23" t="str">
        <f t="shared" si="88"/>
        <v/>
      </c>
      <c r="B535" s="23" t="str">
        <f t="shared" si="89"/>
        <v/>
      </c>
      <c r="C535" s="29" t="str">
        <f t="shared" ca="1" si="90"/>
        <v/>
      </c>
      <c r="D535" s="22" t="str">
        <f>IF(K535="","",ИТОГ!S535)</f>
        <v/>
      </c>
      <c r="E535" s="24" t="str">
        <f t="shared" si="91"/>
        <v/>
      </c>
      <c r="F535" s="30" t="str">
        <f t="shared" si="92"/>
        <v/>
      </c>
      <c r="G535" s="25" t="str">
        <f t="shared" si="93"/>
        <v/>
      </c>
      <c r="H535" s="29" t="str">
        <f t="shared" ca="1" si="94"/>
        <v/>
      </c>
      <c r="I535" s="24"/>
      <c r="J535" s="30"/>
      <c r="K535" s="27" t="str">
        <f>IF(ИТОГ!A535=0,"",ИТОГ!A535)</f>
        <v/>
      </c>
      <c r="L535" s="26" t="str">
        <f t="shared" si="95"/>
        <v/>
      </c>
      <c r="M535" s="25" t="str">
        <f>IF(K535="","",ИТОГ!Q535)</f>
        <v/>
      </c>
      <c r="N535" s="28" t="str">
        <f>IF(K535="","",ИТОГ!N535)</f>
        <v/>
      </c>
      <c r="O535" s="30" t="str">
        <f t="shared" si="96"/>
        <v/>
      </c>
      <c r="P535" s="24"/>
      <c r="Q535" s="30" t="str">
        <f t="shared" si="97"/>
        <v/>
      </c>
      <c r="R535" s="29" t="str">
        <f t="shared" ca="1" si="98"/>
        <v/>
      </c>
    </row>
    <row r="536" spans="1:18">
      <c r="A536" s="23" t="str">
        <f t="shared" si="88"/>
        <v/>
      </c>
      <c r="B536" s="23" t="str">
        <f t="shared" si="89"/>
        <v/>
      </c>
      <c r="C536" s="29" t="str">
        <f t="shared" ca="1" si="90"/>
        <v/>
      </c>
      <c r="D536" s="22" t="str">
        <f>IF(K536="","",ИТОГ!S536)</f>
        <v/>
      </c>
      <c r="E536" s="24" t="str">
        <f t="shared" si="91"/>
        <v/>
      </c>
      <c r="F536" s="30" t="str">
        <f t="shared" si="92"/>
        <v/>
      </c>
      <c r="G536" s="25" t="str">
        <f t="shared" si="93"/>
        <v/>
      </c>
      <c r="H536" s="29" t="str">
        <f t="shared" ca="1" si="94"/>
        <v/>
      </c>
      <c r="I536" s="24"/>
      <c r="J536" s="30"/>
      <c r="K536" s="27" t="str">
        <f>IF(ИТОГ!A536=0,"",ИТОГ!A536)</f>
        <v/>
      </c>
      <c r="L536" s="26" t="str">
        <f t="shared" si="95"/>
        <v/>
      </c>
      <c r="M536" s="25" t="str">
        <f>IF(K536="","",ИТОГ!Q536)</f>
        <v/>
      </c>
      <c r="N536" s="28" t="str">
        <f>IF(K536="","",ИТОГ!N536)</f>
        <v/>
      </c>
      <c r="O536" s="30" t="str">
        <f t="shared" si="96"/>
        <v/>
      </c>
      <c r="P536" s="24"/>
      <c r="Q536" s="30" t="str">
        <f t="shared" si="97"/>
        <v/>
      </c>
      <c r="R536" s="29" t="str">
        <f t="shared" ca="1" si="98"/>
        <v/>
      </c>
    </row>
    <row r="537" spans="1:18">
      <c r="A537" s="23" t="str">
        <f t="shared" si="88"/>
        <v/>
      </c>
      <c r="B537" s="23" t="str">
        <f t="shared" si="89"/>
        <v/>
      </c>
      <c r="C537" s="29" t="str">
        <f t="shared" ca="1" si="90"/>
        <v/>
      </c>
      <c r="D537" s="22" t="str">
        <f>IF(K537="","",ИТОГ!S537)</f>
        <v/>
      </c>
      <c r="E537" s="24" t="str">
        <f t="shared" si="91"/>
        <v/>
      </c>
      <c r="F537" s="30" t="str">
        <f t="shared" si="92"/>
        <v/>
      </c>
      <c r="G537" s="25" t="str">
        <f t="shared" si="93"/>
        <v/>
      </c>
      <c r="H537" s="29" t="str">
        <f t="shared" ca="1" si="94"/>
        <v/>
      </c>
      <c r="I537" s="24"/>
      <c r="J537" s="30"/>
      <c r="K537" s="27" t="str">
        <f>IF(ИТОГ!A537=0,"",ИТОГ!A537)</f>
        <v/>
      </c>
      <c r="L537" s="26" t="str">
        <f t="shared" si="95"/>
        <v/>
      </c>
      <c r="M537" s="25" t="str">
        <f>IF(K537="","",ИТОГ!Q537)</f>
        <v/>
      </c>
      <c r="N537" s="28" t="str">
        <f>IF(K537="","",ИТОГ!N537)</f>
        <v/>
      </c>
      <c r="O537" s="30" t="str">
        <f t="shared" si="96"/>
        <v/>
      </c>
      <c r="P537" s="24"/>
      <c r="Q537" s="30" t="str">
        <f t="shared" si="97"/>
        <v/>
      </c>
      <c r="R537" s="29" t="str">
        <f t="shared" ca="1" si="98"/>
        <v/>
      </c>
    </row>
    <row r="538" spans="1:18">
      <c r="A538" s="23" t="str">
        <f t="shared" si="88"/>
        <v/>
      </c>
      <c r="B538" s="23" t="str">
        <f t="shared" si="89"/>
        <v/>
      </c>
      <c r="C538" s="29" t="str">
        <f t="shared" ca="1" si="90"/>
        <v/>
      </c>
      <c r="D538" s="22" t="str">
        <f>IF(K538="","",ИТОГ!S538)</f>
        <v/>
      </c>
      <c r="E538" s="24" t="str">
        <f t="shared" si="91"/>
        <v/>
      </c>
      <c r="F538" s="30" t="str">
        <f t="shared" si="92"/>
        <v/>
      </c>
      <c r="G538" s="25" t="str">
        <f t="shared" si="93"/>
        <v/>
      </c>
      <c r="H538" s="29" t="str">
        <f t="shared" ca="1" si="94"/>
        <v/>
      </c>
      <c r="I538" s="24"/>
      <c r="J538" s="30"/>
      <c r="K538" s="27" t="str">
        <f>IF(ИТОГ!A538=0,"",ИТОГ!A538)</f>
        <v/>
      </c>
      <c r="L538" s="26" t="str">
        <f t="shared" si="95"/>
        <v/>
      </c>
      <c r="M538" s="25" t="str">
        <f>IF(K538="","",ИТОГ!Q538)</f>
        <v/>
      </c>
      <c r="N538" s="28" t="str">
        <f>IF(K538="","",ИТОГ!N538)</f>
        <v/>
      </c>
      <c r="O538" s="30" t="str">
        <f t="shared" si="96"/>
        <v/>
      </c>
      <c r="P538" s="24"/>
      <c r="Q538" s="30" t="str">
        <f t="shared" si="97"/>
        <v/>
      </c>
      <c r="R538" s="29" t="str">
        <f t="shared" ca="1" si="98"/>
        <v/>
      </c>
    </row>
    <row r="539" spans="1:18">
      <c r="A539" s="23" t="str">
        <f t="shared" si="88"/>
        <v/>
      </c>
      <c r="B539" s="23" t="str">
        <f t="shared" si="89"/>
        <v/>
      </c>
      <c r="C539" s="29" t="str">
        <f t="shared" ca="1" si="90"/>
        <v/>
      </c>
      <c r="D539" s="22" t="str">
        <f>IF(K539="","",ИТОГ!S539)</f>
        <v/>
      </c>
      <c r="E539" s="24" t="str">
        <f t="shared" si="91"/>
        <v/>
      </c>
      <c r="F539" s="30" t="str">
        <f t="shared" si="92"/>
        <v/>
      </c>
      <c r="G539" s="25" t="str">
        <f t="shared" si="93"/>
        <v/>
      </c>
      <c r="H539" s="29" t="str">
        <f t="shared" ca="1" si="94"/>
        <v/>
      </c>
      <c r="I539" s="24"/>
      <c r="J539" s="30"/>
      <c r="K539" s="27" t="str">
        <f>IF(ИТОГ!A539=0,"",ИТОГ!A539)</f>
        <v/>
      </c>
      <c r="L539" s="26" t="str">
        <f t="shared" si="95"/>
        <v/>
      </c>
      <c r="M539" s="25" t="str">
        <f>IF(K539="","",ИТОГ!Q539)</f>
        <v/>
      </c>
      <c r="N539" s="28" t="str">
        <f>IF(K539="","",ИТОГ!N539)</f>
        <v/>
      </c>
      <c r="O539" s="30" t="str">
        <f t="shared" si="96"/>
        <v/>
      </c>
      <c r="P539" s="24"/>
      <c r="Q539" s="30" t="str">
        <f t="shared" si="97"/>
        <v/>
      </c>
      <c r="R539" s="29" t="str">
        <f t="shared" ca="1" si="98"/>
        <v/>
      </c>
    </row>
    <row r="540" spans="1:18">
      <c r="A540" s="23" t="str">
        <f t="shared" si="88"/>
        <v/>
      </c>
      <c r="B540" s="23" t="str">
        <f t="shared" si="89"/>
        <v/>
      </c>
      <c r="C540" s="29" t="str">
        <f t="shared" ca="1" si="90"/>
        <v/>
      </c>
      <c r="D540" s="22" t="str">
        <f>IF(K540="","",ИТОГ!S540)</f>
        <v/>
      </c>
      <c r="E540" s="24" t="str">
        <f t="shared" si="91"/>
        <v/>
      </c>
      <c r="F540" s="30" t="str">
        <f t="shared" si="92"/>
        <v/>
      </c>
      <c r="G540" s="25" t="str">
        <f t="shared" si="93"/>
        <v/>
      </c>
      <c r="H540" s="29" t="str">
        <f t="shared" ca="1" si="94"/>
        <v/>
      </c>
      <c r="I540" s="24"/>
      <c r="J540" s="30"/>
      <c r="K540" s="27" t="str">
        <f>IF(ИТОГ!A540=0,"",ИТОГ!A540)</f>
        <v/>
      </c>
      <c r="L540" s="26" t="str">
        <f t="shared" si="95"/>
        <v/>
      </c>
      <c r="M540" s="25" t="str">
        <f>IF(K540="","",ИТОГ!Q540)</f>
        <v/>
      </c>
      <c r="N540" s="28" t="str">
        <f>IF(K540="","",ИТОГ!N540)</f>
        <v/>
      </c>
      <c r="O540" s="30" t="str">
        <f t="shared" si="96"/>
        <v/>
      </c>
      <c r="P540" s="24"/>
      <c r="Q540" s="30" t="str">
        <f t="shared" si="97"/>
        <v/>
      </c>
      <c r="R540" s="29" t="str">
        <f t="shared" ca="1" si="98"/>
        <v/>
      </c>
    </row>
    <row r="541" spans="1:18">
      <c r="A541" s="23" t="str">
        <f t="shared" si="88"/>
        <v/>
      </c>
      <c r="B541" s="23" t="str">
        <f t="shared" si="89"/>
        <v/>
      </c>
      <c r="C541" s="29" t="str">
        <f t="shared" ca="1" si="90"/>
        <v/>
      </c>
      <c r="D541" s="22" t="str">
        <f>IF(K541="","",ИТОГ!S541)</f>
        <v/>
      </c>
      <c r="E541" s="24" t="str">
        <f t="shared" si="91"/>
        <v/>
      </c>
      <c r="F541" s="30" t="str">
        <f t="shared" si="92"/>
        <v/>
      </c>
      <c r="G541" s="25" t="str">
        <f t="shared" si="93"/>
        <v/>
      </c>
      <c r="H541" s="29" t="str">
        <f t="shared" ca="1" si="94"/>
        <v/>
      </c>
      <c r="I541" s="24"/>
      <c r="J541" s="30"/>
      <c r="K541" s="27" t="str">
        <f>IF(ИТОГ!A541=0,"",ИТОГ!A541)</f>
        <v/>
      </c>
      <c r="L541" s="26" t="str">
        <f t="shared" si="95"/>
        <v/>
      </c>
      <c r="M541" s="25" t="str">
        <f>IF(K541="","",ИТОГ!Q541)</f>
        <v/>
      </c>
      <c r="N541" s="28" t="str">
        <f>IF(K541="","",ИТОГ!N541)</f>
        <v/>
      </c>
      <c r="O541" s="30" t="str">
        <f t="shared" si="96"/>
        <v/>
      </c>
      <c r="P541" s="24"/>
      <c r="Q541" s="30" t="str">
        <f t="shared" si="97"/>
        <v/>
      </c>
      <c r="R541" s="29" t="str">
        <f t="shared" ca="1" si="98"/>
        <v/>
      </c>
    </row>
    <row r="542" spans="1:18">
      <c r="A542" s="23" t="str">
        <f t="shared" ref="A542:A605" si="99">IF(K542="","",1000)</f>
        <v/>
      </c>
      <c r="B542" s="23" t="str">
        <f t="shared" ref="B542:B605" si="100">IF(K542="","",1)</f>
        <v/>
      </c>
      <c r="C542" s="29" t="str">
        <f t="shared" ref="C542:C605" ca="1" si="101">IF(K542="","",TODAY())</f>
        <v/>
      </c>
      <c r="D542" s="22" t="str">
        <f>IF(K542="","",ИТОГ!S542)</f>
        <v/>
      </c>
      <c r="E542" s="24" t="str">
        <f t="shared" ref="E542:E605" si="102">IF(K542="","","Х")</f>
        <v/>
      </c>
      <c r="F542" s="30" t="str">
        <f t="shared" ref="F542:F605" si="103">IF(K542="","","UV")</f>
        <v/>
      </c>
      <c r="G542" s="25" t="str">
        <f t="shared" ref="G542:G605" si="104">IF(K542="","",SUMIF(D:D,D542,M:M))</f>
        <v/>
      </c>
      <c r="H542" s="29" t="str">
        <f t="shared" ref="H542:H605" ca="1" si="105">IF(K542="","",TODAY())</f>
        <v/>
      </c>
      <c r="I542" s="24"/>
      <c r="J542" s="30"/>
      <c r="K542" s="27" t="str">
        <f>IF(ИТОГ!A542=0,"",ИТОГ!A542)</f>
        <v/>
      </c>
      <c r="L542" s="26" t="str">
        <f t="shared" ref="L542:L605" si="106">IF(K542="","",
IF(D541-D542=0,L541+10,10))</f>
        <v/>
      </c>
      <c r="M542" s="25" t="str">
        <f>IF(K542="","",ИТОГ!Q542)</f>
        <v/>
      </c>
      <c r="N542" s="28" t="str">
        <f>IF(K542="","",ИТОГ!N542)</f>
        <v/>
      </c>
      <c r="O542" s="30" t="str">
        <f t="shared" ref="O542:O605" si="107">IF(K542="","","ST")</f>
        <v/>
      </c>
      <c r="P542" s="24"/>
      <c r="Q542" s="30" t="str">
        <f t="shared" ref="Q542:Q605" si="108">IF(K542="","","EUR")</f>
        <v/>
      </c>
      <c r="R542" s="29" t="str">
        <f t="shared" ref="R542:R605" ca="1" si="109">IF(K542="","",TODAY())</f>
        <v/>
      </c>
    </row>
    <row r="543" spans="1:18">
      <c r="A543" s="23" t="str">
        <f t="shared" si="99"/>
        <v/>
      </c>
      <c r="B543" s="23" t="str">
        <f t="shared" si="100"/>
        <v/>
      </c>
      <c r="C543" s="29" t="str">
        <f t="shared" ca="1" si="101"/>
        <v/>
      </c>
      <c r="D543" s="22" t="str">
        <f>IF(K543="","",ИТОГ!S543)</f>
        <v/>
      </c>
      <c r="E543" s="24" t="str">
        <f t="shared" si="102"/>
        <v/>
      </c>
      <c r="F543" s="30" t="str">
        <f t="shared" si="103"/>
        <v/>
      </c>
      <c r="G543" s="25" t="str">
        <f t="shared" si="104"/>
        <v/>
      </c>
      <c r="H543" s="29" t="str">
        <f t="shared" ca="1" si="105"/>
        <v/>
      </c>
      <c r="I543" s="24"/>
      <c r="J543" s="30"/>
      <c r="K543" s="27" t="str">
        <f>IF(ИТОГ!A543=0,"",ИТОГ!A543)</f>
        <v/>
      </c>
      <c r="L543" s="26" t="str">
        <f t="shared" si="106"/>
        <v/>
      </c>
      <c r="M543" s="25" t="str">
        <f>IF(K543="","",ИТОГ!Q543)</f>
        <v/>
      </c>
      <c r="N543" s="28" t="str">
        <f>IF(K543="","",ИТОГ!N543)</f>
        <v/>
      </c>
      <c r="O543" s="30" t="str">
        <f t="shared" si="107"/>
        <v/>
      </c>
      <c r="P543" s="24"/>
      <c r="Q543" s="30" t="str">
        <f t="shared" si="108"/>
        <v/>
      </c>
      <c r="R543" s="29" t="str">
        <f t="shared" ca="1" si="109"/>
        <v/>
      </c>
    </row>
    <row r="544" spans="1:18">
      <c r="A544" s="23" t="str">
        <f t="shared" si="99"/>
        <v/>
      </c>
      <c r="B544" s="23" t="str">
        <f t="shared" si="100"/>
        <v/>
      </c>
      <c r="C544" s="29" t="str">
        <f t="shared" ca="1" si="101"/>
        <v/>
      </c>
      <c r="D544" s="22" t="str">
        <f>IF(K544="","",ИТОГ!S544)</f>
        <v/>
      </c>
      <c r="E544" s="24" t="str">
        <f t="shared" si="102"/>
        <v/>
      </c>
      <c r="F544" s="30" t="str">
        <f t="shared" si="103"/>
        <v/>
      </c>
      <c r="G544" s="25" t="str">
        <f t="shared" si="104"/>
        <v/>
      </c>
      <c r="H544" s="29" t="str">
        <f t="shared" ca="1" si="105"/>
        <v/>
      </c>
      <c r="I544" s="24"/>
      <c r="J544" s="30"/>
      <c r="K544" s="27" t="str">
        <f>IF(ИТОГ!A544=0,"",ИТОГ!A544)</f>
        <v/>
      </c>
      <c r="L544" s="26" t="str">
        <f t="shared" si="106"/>
        <v/>
      </c>
      <c r="M544" s="25" t="str">
        <f>IF(K544="","",ИТОГ!Q544)</f>
        <v/>
      </c>
      <c r="N544" s="28" t="str">
        <f>IF(K544="","",ИТОГ!N544)</f>
        <v/>
      </c>
      <c r="O544" s="30" t="str">
        <f t="shared" si="107"/>
        <v/>
      </c>
      <c r="P544" s="24"/>
      <c r="Q544" s="30" t="str">
        <f t="shared" si="108"/>
        <v/>
      </c>
      <c r="R544" s="29" t="str">
        <f t="shared" ca="1" si="109"/>
        <v/>
      </c>
    </row>
    <row r="545" spans="1:18">
      <c r="A545" s="23" t="str">
        <f t="shared" si="99"/>
        <v/>
      </c>
      <c r="B545" s="23" t="str">
        <f t="shared" si="100"/>
        <v/>
      </c>
      <c r="C545" s="29" t="str">
        <f t="shared" ca="1" si="101"/>
        <v/>
      </c>
      <c r="D545" s="22" t="str">
        <f>IF(K545="","",ИТОГ!S545)</f>
        <v/>
      </c>
      <c r="E545" s="24" t="str">
        <f t="shared" si="102"/>
        <v/>
      </c>
      <c r="F545" s="30" t="str">
        <f t="shared" si="103"/>
        <v/>
      </c>
      <c r="G545" s="25" t="str">
        <f t="shared" si="104"/>
        <v/>
      </c>
      <c r="H545" s="29" t="str">
        <f t="shared" ca="1" si="105"/>
        <v/>
      </c>
      <c r="I545" s="24"/>
      <c r="J545" s="30"/>
      <c r="K545" s="27" t="str">
        <f>IF(ИТОГ!A545=0,"",ИТОГ!A545)</f>
        <v/>
      </c>
      <c r="L545" s="26" t="str">
        <f t="shared" si="106"/>
        <v/>
      </c>
      <c r="M545" s="25" t="str">
        <f>IF(K545="","",ИТОГ!Q545)</f>
        <v/>
      </c>
      <c r="N545" s="28" t="str">
        <f>IF(K545="","",ИТОГ!N545)</f>
        <v/>
      </c>
      <c r="O545" s="30" t="str">
        <f t="shared" si="107"/>
        <v/>
      </c>
      <c r="P545" s="24"/>
      <c r="Q545" s="30" t="str">
        <f t="shared" si="108"/>
        <v/>
      </c>
      <c r="R545" s="29" t="str">
        <f t="shared" ca="1" si="109"/>
        <v/>
      </c>
    </row>
    <row r="546" spans="1:18">
      <c r="A546" s="23" t="str">
        <f t="shared" si="99"/>
        <v/>
      </c>
      <c r="B546" s="23" t="str">
        <f t="shared" si="100"/>
        <v/>
      </c>
      <c r="C546" s="29" t="str">
        <f t="shared" ca="1" si="101"/>
        <v/>
      </c>
      <c r="D546" s="22" t="str">
        <f>IF(K546="","",ИТОГ!S546)</f>
        <v/>
      </c>
      <c r="E546" s="24" t="str">
        <f t="shared" si="102"/>
        <v/>
      </c>
      <c r="F546" s="30" t="str">
        <f t="shared" si="103"/>
        <v/>
      </c>
      <c r="G546" s="25" t="str">
        <f t="shared" si="104"/>
        <v/>
      </c>
      <c r="H546" s="29" t="str">
        <f t="shared" ca="1" si="105"/>
        <v/>
      </c>
      <c r="I546" s="24"/>
      <c r="J546" s="30"/>
      <c r="K546" s="27" t="str">
        <f>IF(ИТОГ!A546=0,"",ИТОГ!A546)</f>
        <v/>
      </c>
      <c r="L546" s="26" t="str">
        <f t="shared" si="106"/>
        <v/>
      </c>
      <c r="M546" s="25" t="str">
        <f>IF(K546="","",ИТОГ!Q546)</f>
        <v/>
      </c>
      <c r="N546" s="28" t="str">
        <f>IF(K546="","",ИТОГ!N546)</f>
        <v/>
      </c>
      <c r="O546" s="30" t="str">
        <f t="shared" si="107"/>
        <v/>
      </c>
      <c r="P546" s="24"/>
      <c r="Q546" s="30" t="str">
        <f t="shared" si="108"/>
        <v/>
      </c>
      <c r="R546" s="29" t="str">
        <f t="shared" ca="1" si="109"/>
        <v/>
      </c>
    </row>
    <row r="547" spans="1:18">
      <c r="A547" s="23" t="str">
        <f t="shared" si="99"/>
        <v/>
      </c>
      <c r="B547" s="23" t="str">
        <f t="shared" si="100"/>
        <v/>
      </c>
      <c r="C547" s="29" t="str">
        <f t="shared" ca="1" si="101"/>
        <v/>
      </c>
      <c r="D547" s="22" t="str">
        <f>IF(K547="","",ИТОГ!S547)</f>
        <v/>
      </c>
      <c r="E547" s="24" t="str">
        <f t="shared" si="102"/>
        <v/>
      </c>
      <c r="F547" s="30" t="str">
        <f t="shared" si="103"/>
        <v/>
      </c>
      <c r="G547" s="25" t="str">
        <f t="shared" si="104"/>
        <v/>
      </c>
      <c r="H547" s="29" t="str">
        <f t="shared" ca="1" si="105"/>
        <v/>
      </c>
      <c r="I547" s="24"/>
      <c r="J547" s="30"/>
      <c r="K547" s="27" t="str">
        <f>IF(ИТОГ!A547=0,"",ИТОГ!A547)</f>
        <v/>
      </c>
      <c r="L547" s="26" t="str">
        <f t="shared" si="106"/>
        <v/>
      </c>
      <c r="M547" s="25" t="str">
        <f>IF(K547="","",ИТОГ!Q547)</f>
        <v/>
      </c>
      <c r="N547" s="28" t="str">
        <f>IF(K547="","",ИТОГ!N547)</f>
        <v/>
      </c>
      <c r="O547" s="30" t="str">
        <f t="shared" si="107"/>
        <v/>
      </c>
      <c r="P547" s="24"/>
      <c r="Q547" s="30" t="str">
        <f t="shared" si="108"/>
        <v/>
      </c>
      <c r="R547" s="29" t="str">
        <f t="shared" ca="1" si="109"/>
        <v/>
      </c>
    </row>
    <row r="548" spans="1:18">
      <c r="A548" s="23" t="str">
        <f t="shared" si="99"/>
        <v/>
      </c>
      <c r="B548" s="23" t="str">
        <f t="shared" si="100"/>
        <v/>
      </c>
      <c r="C548" s="29" t="str">
        <f t="shared" ca="1" si="101"/>
        <v/>
      </c>
      <c r="D548" s="22" t="str">
        <f>IF(K548="","",ИТОГ!S548)</f>
        <v/>
      </c>
      <c r="E548" s="24" t="str">
        <f t="shared" si="102"/>
        <v/>
      </c>
      <c r="F548" s="30" t="str">
        <f t="shared" si="103"/>
        <v/>
      </c>
      <c r="G548" s="25" t="str">
        <f t="shared" si="104"/>
        <v/>
      </c>
      <c r="H548" s="29" t="str">
        <f t="shared" ca="1" si="105"/>
        <v/>
      </c>
      <c r="I548" s="24"/>
      <c r="J548" s="30"/>
      <c r="K548" s="27" t="str">
        <f>IF(ИТОГ!A548=0,"",ИТОГ!A548)</f>
        <v/>
      </c>
      <c r="L548" s="26" t="str">
        <f t="shared" si="106"/>
        <v/>
      </c>
      <c r="M548" s="25" t="str">
        <f>IF(K548="","",ИТОГ!Q548)</f>
        <v/>
      </c>
      <c r="N548" s="28" t="str">
        <f>IF(K548="","",ИТОГ!N548)</f>
        <v/>
      </c>
      <c r="O548" s="30" t="str">
        <f t="shared" si="107"/>
        <v/>
      </c>
      <c r="P548" s="24"/>
      <c r="Q548" s="30" t="str">
        <f t="shared" si="108"/>
        <v/>
      </c>
      <c r="R548" s="29" t="str">
        <f t="shared" ca="1" si="109"/>
        <v/>
      </c>
    </row>
    <row r="549" spans="1:18">
      <c r="A549" s="23" t="str">
        <f t="shared" si="99"/>
        <v/>
      </c>
      <c r="B549" s="23" t="str">
        <f t="shared" si="100"/>
        <v/>
      </c>
      <c r="C549" s="29" t="str">
        <f t="shared" ca="1" si="101"/>
        <v/>
      </c>
      <c r="D549" s="22" t="str">
        <f>IF(K549="","",ИТОГ!S549)</f>
        <v/>
      </c>
      <c r="E549" s="24" t="str">
        <f t="shared" si="102"/>
        <v/>
      </c>
      <c r="F549" s="30" t="str">
        <f t="shared" si="103"/>
        <v/>
      </c>
      <c r="G549" s="25" t="str">
        <f t="shared" si="104"/>
        <v/>
      </c>
      <c r="H549" s="29" t="str">
        <f t="shared" ca="1" si="105"/>
        <v/>
      </c>
      <c r="I549" s="24"/>
      <c r="J549" s="30"/>
      <c r="K549" s="27" t="str">
        <f>IF(ИТОГ!A549=0,"",ИТОГ!A549)</f>
        <v/>
      </c>
      <c r="L549" s="26" t="str">
        <f t="shared" si="106"/>
        <v/>
      </c>
      <c r="M549" s="25" t="str">
        <f>IF(K549="","",ИТОГ!Q549)</f>
        <v/>
      </c>
      <c r="N549" s="28" t="str">
        <f>IF(K549="","",ИТОГ!N549)</f>
        <v/>
      </c>
      <c r="O549" s="30" t="str">
        <f t="shared" si="107"/>
        <v/>
      </c>
      <c r="P549" s="24"/>
      <c r="Q549" s="30" t="str">
        <f t="shared" si="108"/>
        <v/>
      </c>
      <c r="R549" s="29" t="str">
        <f t="shared" ca="1" si="109"/>
        <v/>
      </c>
    </row>
    <row r="550" spans="1:18">
      <c r="A550" s="23" t="str">
        <f t="shared" si="99"/>
        <v/>
      </c>
      <c r="B550" s="23" t="str">
        <f t="shared" si="100"/>
        <v/>
      </c>
      <c r="C550" s="29" t="str">
        <f t="shared" ca="1" si="101"/>
        <v/>
      </c>
      <c r="D550" s="22" t="str">
        <f>IF(K550="","",ИТОГ!S550)</f>
        <v/>
      </c>
      <c r="E550" s="24" t="str">
        <f t="shared" si="102"/>
        <v/>
      </c>
      <c r="F550" s="30" t="str">
        <f t="shared" si="103"/>
        <v/>
      </c>
      <c r="G550" s="25" t="str">
        <f t="shared" si="104"/>
        <v/>
      </c>
      <c r="H550" s="29" t="str">
        <f t="shared" ca="1" si="105"/>
        <v/>
      </c>
      <c r="I550" s="24"/>
      <c r="J550" s="30"/>
      <c r="K550" s="27" t="str">
        <f>IF(ИТОГ!A550=0,"",ИТОГ!A550)</f>
        <v/>
      </c>
      <c r="L550" s="26" t="str">
        <f t="shared" si="106"/>
        <v/>
      </c>
      <c r="M550" s="25" t="str">
        <f>IF(K550="","",ИТОГ!Q550)</f>
        <v/>
      </c>
      <c r="N550" s="28" t="str">
        <f>IF(K550="","",ИТОГ!N550)</f>
        <v/>
      </c>
      <c r="O550" s="30" t="str">
        <f t="shared" si="107"/>
        <v/>
      </c>
      <c r="P550" s="24"/>
      <c r="Q550" s="30" t="str">
        <f t="shared" si="108"/>
        <v/>
      </c>
      <c r="R550" s="29" t="str">
        <f t="shared" ca="1" si="109"/>
        <v/>
      </c>
    </row>
    <row r="551" spans="1:18">
      <c r="A551" s="23" t="str">
        <f t="shared" si="99"/>
        <v/>
      </c>
      <c r="B551" s="23" t="str">
        <f t="shared" si="100"/>
        <v/>
      </c>
      <c r="C551" s="29" t="str">
        <f t="shared" ca="1" si="101"/>
        <v/>
      </c>
      <c r="D551" s="22" t="str">
        <f>IF(K551="","",ИТОГ!S551)</f>
        <v/>
      </c>
      <c r="E551" s="24" t="str">
        <f t="shared" si="102"/>
        <v/>
      </c>
      <c r="F551" s="30" t="str">
        <f t="shared" si="103"/>
        <v/>
      </c>
      <c r="G551" s="25" t="str">
        <f t="shared" si="104"/>
        <v/>
      </c>
      <c r="H551" s="29" t="str">
        <f t="shared" ca="1" si="105"/>
        <v/>
      </c>
      <c r="I551" s="24"/>
      <c r="J551" s="30"/>
      <c r="K551" s="27" t="str">
        <f>IF(ИТОГ!A551=0,"",ИТОГ!A551)</f>
        <v/>
      </c>
      <c r="L551" s="26" t="str">
        <f t="shared" si="106"/>
        <v/>
      </c>
      <c r="M551" s="25" t="str">
        <f>IF(K551="","",ИТОГ!Q551)</f>
        <v/>
      </c>
      <c r="N551" s="28" t="str">
        <f>IF(K551="","",ИТОГ!N551)</f>
        <v/>
      </c>
      <c r="O551" s="30" t="str">
        <f t="shared" si="107"/>
        <v/>
      </c>
      <c r="P551" s="24"/>
      <c r="Q551" s="30" t="str">
        <f t="shared" si="108"/>
        <v/>
      </c>
      <c r="R551" s="29" t="str">
        <f t="shared" ca="1" si="109"/>
        <v/>
      </c>
    </row>
    <row r="552" spans="1:18">
      <c r="A552" s="23" t="str">
        <f t="shared" si="99"/>
        <v/>
      </c>
      <c r="B552" s="23" t="str">
        <f t="shared" si="100"/>
        <v/>
      </c>
      <c r="C552" s="29" t="str">
        <f t="shared" ca="1" si="101"/>
        <v/>
      </c>
      <c r="D552" s="22" t="str">
        <f>IF(K552="","",ИТОГ!S552)</f>
        <v/>
      </c>
      <c r="E552" s="24" t="str">
        <f t="shared" si="102"/>
        <v/>
      </c>
      <c r="F552" s="30" t="str">
        <f t="shared" si="103"/>
        <v/>
      </c>
      <c r="G552" s="25" t="str">
        <f t="shared" si="104"/>
        <v/>
      </c>
      <c r="H552" s="29" t="str">
        <f t="shared" ca="1" si="105"/>
        <v/>
      </c>
      <c r="I552" s="24"/>
      <c r="J552" s="30"/>
      <c r="K552" s="27" t="str">
        <f>IF(ИТОГ!A552=0,"",ИТОГ!A552)</f>
        <v/>
      </c>
      <c r="L552" s="26" t="str">
        <f t="shared" si="106"/>
        <v/>
      </c>
      <c r="M552" s="25" t="str">
        <f>IF(K552="","",ИТОГ!Q552)</f>
        <v/>
      </c>
      <c r="N552" s="28" t="str">
        <f>IF(K552="","",ИТОГ!N552)</f>
        <v/>
      </c>
      <c r="O552" s="30" t="str">
        <f t="shared" si="107"/>
        <v/>
      </c>
      <c r="P552" s="24"/>
      <c r="Q552" s="30" t="str">
        <f t="shared" si="108"/>
        <v/>
      </c>
      <c r="R552" s="29" t="str">
        <f t="shared" ca="1" si="109"/>
        <v/>
      </c>
    </row>
    <row r="553" spans="1:18">
      <c r="A553" s="23" t="str">
        <f t="shared" si="99"/>
        <v/>
      </c>
      <c r="B553" s="23" t="str">
        <f t="shared" si="100"/>
        <v/>
      </c>
      <c r="C553" s="29" t="str">
        <f t="shared" ca="1" si="101"/>
        <v/>
      </c>
      <c r="D553" s="22" t="str">
        <f>IF(K553="","",ИТОГ!S553)</f>
        <v/>
      </c>
      <c r="E553" s="24" t="str">
        <f t="shared" si="102"/>
        <v/>
      </c>
      <c r="F553" s="30" t="str">
        <f t="shared" si="103"/>
        <v/>
      </c>
      <c r="G553" s="25" t="str">
        <f t="shared" si="104"/>
        <v/>
      </c>
      <c r="H553" s="29" t="str">
        <f t="shared" ca="1" si="105"/>
        <v/>
      </c>
      <c r="I553" s="24"/>
      <c r="J553" s="30"/>
      <c r="K553" s="27" t="str">
        <f>IF(ИТОГ!A553=0,"",ИТОГ!A553)</f>
        <v/>
      </c>
      <c r="L553" s="26" t="str">
        <f t="shared" si="106"/>
        <v/>
      </c>
      <c r="M553" s="25" t="str">
        <f>IF(K553="","",ИТОГ!Q553)</f>
        <v/>
      </c>
      <c r="N553" s="28" t="str">
        <f>IF(K553="","",ИТОГ!N553)</f>
        <v/>
      </c>
      <c r="O553" s="30" t="str">
        <f t="shared" si="107"/>
        <v/>
      </c>
      <c r="P553" s="24"/>
      <c r="Q553" s="30" t="str">
        <f t="shared" si="108"/>
        <v/>
      </c>
      <c r="R553" s="29" t="str">
        <f t="shared" ca="1" si="109"/>
        <v/>
      </c>
    </row>
    <row r="554" spans="1:18">
      <c r="A554" s="23" t="str">
        <f t="shared" si="99"/>
        <v/>
      </c>
      <c r="B554" s="23" t="str">
        <f t="shared" si="100"/>
        <v/>
      </c>
      <c r="C554" s="29" t="str">
        <f t="shared" ca="1" si="101"/>
        <v/>
      </c>
      <c r="D554" s="22" t="str">
        <f>IF(K554="","",ИТОГ!S554)</f>
        <v/>
      </c>
      <c r="E554" s="24" t="str">
        <f t="shared" si="102"/>
        <v/>
      </c>
      <c r="F554" s="30" t="str">
        <f t="shared" si="103"/>
        <v/>
      </c>
      <c r="G554" s="25" t="str">
        <f t="shared" si="104"/>
        <v/>
      </c>
      <c r="H554" s="29" t="str">
        <f t="shared" ca="1" si="105"/>
        <v/>
      </c>
      <c r="I554" s="24"/>
      <c r="J554" s="30"/>
      <c r="K554" s="27" t="str">
        <f>IF(ИТОГ!A554=0,"",ИТОГ!A554)</f>
        <v/>
      </c>
      <c r="L554" s="26" t="str">
        <f t="shared" si="106"/>
        <v/>
      </c>
      <c r="M554" s="25" t="str">
        <f>IF(K554="","",ИТОГ!Q554)</f>
        <v/>
      </c>
      <c r="N554" s="28" t="str">
        <f>IF(K554="","",ИТОГ!N554)</f>
        <v/>
      </c>
      <c r="O554" s="30" t="str">
        <f t="shared" si="107"/>
        <v/>
      </c>
      <c r="P554" s="24"/>
      <c r="Q554" s="30" t="str">
        <f t="shared" si="108"/>
        <v/>
      </c>
      <c r="R554" s="29" t="str">
        <f t="shared" ca="1" si="109"/>
        <v/>
      </c>
    </row>
    <row r="555" spans="1:18">
      <c r="A555" s="23" t="str">
        <f t="shared" si="99"/>
        <v/>
      </c>
      <c r="B555" s="23" t="str">
        <f t="shared" si="100"/>
        <v/>
      </c>
      <c r="C555" s="29" t="str">
        <f t="shared" ca="1" si="101"/>
        <v/>
      </c>
      <c r="D555" s="22" t="str">
        <f>IF(K555="","",ИТОГ!S555)</f>
        <v/>
      </c>
      <c r="E555" s="24" t="str">
        <f t="shared" si="102"/>
        <v/>
      </c>
      <c r="F555" s="30" t="str">
        <f t="shared" si="103"/>
        <v/>
      </c>
      <c r="G555" s="25" t="str">
        <f t="shared" si="104"/>
        <v/>
      </c>
      <c r="H555" s="29" t="str">
        <f t="shared" ca="1" si="105"/>
        <v/>
      </c>
      <c r="I555" s="24"/>
      <c r="J555" s="30"/>
      <c r="K555" s="27" t="str">
        <f>IF(ИТОГ!A555=0,"",ИТОГ!A555)</f>
        <v/>
      </c>
      <c r="L555" s="26" t="str">
        <f t="shared" si="106"/>
        <v/>
      </c>
      <c r="M555" s="25" t="str">
        <f>IF(K555="","",ИТОГ!Q555)</f>
        <v/>
      </c>
      <c r="N555" s="28" t="str">
        <f>IF(K555="","",ИТОГ!N555)</f>
        <v/>
      </c>
      <c r="O555" s="30" t="str">
        <f t="shared" si="107"/>
        <v/>
      </c>
      <c r="P555" s="24"/>
      <c r="Q555" s="30" t="str">
        <f t="shared" si="108"/>
        <v/>
      </c>
      <c r="R555" s="29" t="str">
        <f t="shared" ca="1" si="109"/>
        <v/>
      </c>
    </row>
    <row r="556" spans="1:18">
      <c r="A556" s="23" t="str">
        <f t="shared" si="99"/>
        <v/>
      </c>
      <c r="B556" s="23" t="str">
        <f t="shared" si="100"/>
        <v/>
      </c>
      <c r="C556" s="29" t="str">
        <f t="shared" ca="1" si="101"/>
        <v/>
      </c>
      <c r="D556" s="22" t="str">
        <f>IF(K556="","",ИТОГ!S556)</f>
        <v/>
      </c>
      <c r="E556" s="24" t="str">
        <f t="shared" si="102"/>
        <v/>
      </c>
      <c r="F556" s="30" t="str">
        <f t="shared" si="103"/>
        <v/>
      </c>
      <c r="G556" s="25" t="str">
        <f t="shared" si="104"/>
        <v/>
      </c>
      <c r="H556" s="29" t="str">
        <f t="shared" ca="1" si="105"/>
        <v/>
      </c>
      <c r="I556" s="24"/>
      <c r="J556" s="30"/>
      <c r="K556" s="27" t="str">
        <f>IF(ИТОГ!A556=0,"",ИТОГ!A556)</f>
        <v/>
      </c>
      <c r="L556" s="26" t="str">
        <f t="shared" si="106"/>
        <v/>
      </c>
      <c r="M556" s="25" t="str">
        <f>IF(K556="","",ИТОГ!Q556)</f>
        <v/>
      </c>
      <c r="N556" s="28" t="str">
        <f>IF(K556="","",ИТОГ!N556)</f>
        <v/>
      </c>
      <c r="O556" s="30" t="str">
        <f t="shared" si="107"/>
        <v/>
      </c>
      <c r="P556" s="24"/>
      <c r="Q556" s="30" t="str">
        <f t="shared" si="108"/>
        <v/>
      </c>
      <c r="R556" s="29" t="str">
        <f t="shared" ca="1" si="109"/>
        <v/>
      </c>
    </row>
    <row r="557" spans="1:18">
      <c r="A557" s="23" t="str">
        <f t="shared" si="99"/>
        <v/>
      </c>
      <c r="B557" s="23" t="str">
        <f t="shared" si="100"/>
        <v/>
      </c>
      <c r="C557" s="29" t="str">
        <f t="shared" ca="1" si="101"/>
        <v/>
      </c>
      <c r="D557" s="22" t="str">
        <f>IF(K557="","",ИТОГ!S557)</f>
        <v/>
      </c>
      <c r="E557" s="24" t="str">
        <f t="shared" si="102"/>
        <v/>
      </c>
      <c r="F557" s="30" t="str">
        <f t="shared" si="103"/>
        <v/>
      </c>
      <c r="G557" s="25" t="str">
        <f t="shared" si="104"/>
        <v/>
      </c>
      <c r="H557" s="29" t="str">
        <f t="shared" ca="1" si="105"/>
        <v/>
      </c>
      <c r="I557" s="24"/>
      <c r="J557" s="30"/>
      <c r="K557" s="27" t="str">
        <f>IF(ИТОГ!A557=0,"",ИТОГ!A557)</f>
        <v/>
      </c>
      <c r="L557" s="26" t="str">
        <f t="shared" si="106"/>
        <v/>
      </c>
      <c r="M557" s="25" t="str">
        <f>IF(K557="","",ИТОГ!Q557)</f>
        <v/>
      </c>
      <c r="N557" s="28" t="str">
        <f>IF(K557="","",ИТОГ!N557)</f>
        <v/>
      </c>
      <c r="O557" s="30" t="str">
        <f t="shared" si="107"/>
        <v/>
      </c>
      <c r="P557" s="24"/>
      <c r="Q557" s="30" t="str">
        <f t="shared" si="108"/>
        <v/>
      </c>
      <c r="R557" s="29" t="str">
        <f t="shared" ca="1" si="109"/>
        <v/>
      </c>
    </row>
    <row r="558" spans="1:18">
      <c r="A558" s="23" t="str">
        <f t="shared" si="99"/>
        <v/>
      </c>
      <c r="B558" s="23" t="str">
        <f t="shared" si="100"/>
        <v/>
      </c>
      <c r="C558" s="29" t="str">
        <f t="shared" ca="1" si="101"/>
        <v/>
      </c>
      <c r="D558" s="22" t="str">
        <f>IF(K558="","",ИТОГ!S558)</f>
        <v/>
      </c>
      <c r="E558" s="24" t="str">
        <f t="shared" si="102"/>
        <v/>
      </c>
      <c r="F558" s="30" t="str">
        <f t="shared" si="103"/>
        <v/>
      </c>
      <c r="G558" s="25" t="str">
        <f t="shared" si="104"/>
        <v/>
      </c>
      <c r="H558" s="29" t="str">
        <f t="shared" ca="1" si="105"/>
        <v/>
      </c>
      <c r="I558" s="24"/>
      <c r="J558" s="30"/>
      <c r="K558" s="27" t="str">
        <f>IF(ИТОГ!A558=0,"",ИТОГ!A558)</f>
        <v/>
      </c>
      <c r="L558" s="26" t="str">
        <f t="shared" si="106"/>
        <v/>
      </c>
      <c r="M558" s="25" t="str">
        <f>IF(K558="","",ИТОГ!Q558)</f>
        <v/>
      </c>
      <c r="N558" s="28" t="str">
        <f>IF(K558="","",ИТОГ!N558)</f>
        <v/>
      </c>
      <c r="O558" s="30" t="str">
        <f t="shared" si="107"/>
        <v/>
      </c>
      <c r="P558" s="24"/>
      <c r="Q558" s="30" t="str">
        <f t="shared" si="108"/>
        <v/>
      </c>
      <c r="R558" s="29" t="str">
        <f t="shared" ca="1" si="109"/>
        <v/>
      </c>
    </row>
    <row r="559" spans="1:18">
      <c r="A559" s="23" t="str">
        <f t="shared" si="99"/>
        <v/>
      </c>
      <c r="B559" s="23" t="str">
        <f t="shared" si="100"/>
        <v/>
      </c>
      <c r="C559" s="29" t="str">
        <f t="shared" ca="1" si="101"/>
        <v/>
      </c>
      <c r="D559" s="22" t="str">
        <f>IF(K559="","",ИТОГ!S559)</f>
        <v/>
      </c>
      <c r="E559" s="24" t="str">
        <f t="shared" si="102"/>
        <v/>
      </c>
      <c r="F559" s="30" t="str">
        <f t="shared" si="103"/>
        <v/>
      </c>
      <c r="G559" s="25" t="str">
        <f t="shared" si="104"/>
        <v/>
      </c>
      <c r="H559" s="29" t="str">
        <f t="shared" ca="1" si="105"/>
        <v/>
      </c>
      <c r="I559" s="24"/>
      <c r="J559" s="30"/>
      <c r="K559" s="27" t="str">
        <f>IF(ИТОГ!A559=0,"",ИТОГ!A559)</f>
        <v/>
      </c>
      <c r="L559" s="26" t="str">
        <f t="shared" si="106"/>
        <v/>
      </c>
      <c r="M559" s="25" t="str">
        <f>IF(K559="","",ИТОГ!Q559)</f>
        <v/>
      </c>
      <c r="N559" s="28" t="str">
        <f>IF(K559="","",ИТОГ!N559)</f>
        <v/>
      </c>
      <c r="O559" s="30" t="str">
        <f t="shared" si="107"/>
        <v/>
      </c>
      <c r="P559" s="24"/>
      <c r="Q559" s="30" t="str">
        <f t="shared" si="108"/>
        <v/>
      </c>
      <c r="R559" s="29" t="str">
        <f t="shared" ca="1" si="109"/>
        <v/>
      </c>
    </row>
    <row r="560" spans="1:18">
      <c r="A560" s="23" t="str">
        <f t="shared" si="99"/>
        <v/>
      </c>
      <c r="B560" s="23" t="str">
        <f t="shared" si="100"/>
        <v/>
      </c>
      <c r="C560" s="29" t="str">
        <f t="shared" ca="1" si="101"/>
        <v/>
      </c>
      <c r="D560" s="22" t="str">
        <f>IF(K560="","",ИТОГ!S560)</f>
        <v/>
      </c>
      <c r="E560" s="24" t="str">
        <f t="shared" si="102"/>
        <v/>
      </c>
      <c r="F560" s="30" t="str">
        <f t="shared" si="103"/>
        <v/>
      </c>
      <c r="G560" s="25" t="str">
        <f t="shared" si="104"/>
        <v/>
      </c>
      <c r="H560" s="29" t="str">
        <f t="shared" ca="1" si="105"/>
        <v/>
      </c>
      <c r="I560" s="24"/>
      <c r="J560" s="30"/>
      <c r="K560" s="27" t="str">
        <f>IF(ИТОГ!A560=0,"",ИТОГ!A560)</f>
        <v/>
      </c>
      <c r="L560" s="26" t="str">
        <f t="shared" si="106"/>
        <v/>
      </c>
      <c r="M560" s="25" t="str">
        <f>IF(K560="","",ИТОГ!Q560)</f>
        <v/>
      </c>
      <c r="N560" s="28" t="str">
        <f>IF(K560="","",ИТОГ!N560)</f>
        <v/>
      </c>
      <c r="O560" s="30" t="str">
        <f t="shared" si="107"/>
        <v/>
      </c>
      <c r="P560" s="24"/>
      <c r="Q560" s="30" t="str">
        <f t="shared" si="108"/>
        <v/>
      </c>
      <c r="R560" s="29" t="str">
        <f t="shared" ca="1" si="109"/>
        <v/>
      </c>
    </row>
    <row r="561" spans="1:18">
      <c r="A561" s="23" t="str">
        <f t="shared" si="99"/>
        <v/>
      </c>
      <c r="B561" s="23" t="str">
        <f t="shared" si="100"/>
        <v/>
      </c>
      <c r="C561" s="29" t="str">
        <f t="shared" ca="1" si="101"/>
        <v/>
      </c>
      <c r="D561" s="22" t="str">
        <f>IF(K561="","",ИТОГ!S561)</f>
        <v/>
      </c>
      <c r="E561" s="24" t="str">
        <f t="shared" si="102"/>
        <v/>
      </c>
      <c r="F561" s="30" t="str">
        <f t="shared" si="103"/>
        <v/>
      </c>
      <c r="G561" s="25" t="str">
        <f t="shared" si="104"/>
        <v/>
      </c>
      <c r="H561" s="29" t="str">
        <f t="shared" ca="1" si="105"/>
        <v/>
      </c>
      <c r="I561" s="24"/>
      <c r="J561" s="30"/>
      <c r="K561" s="27" t="str">
        <f>IF(ИТОГ!A561=0,"",ИТОГ!A561)</f>
        <v/>
      </c>
      <c r="L561" s="26" t="str">
        <f t="shared" si="106"/>
        <v/>
      </c>
      <c r="M561" s="25" t="str">
        <f>IF(K561="","",ИТОГ!Q561)</f>
        <v/>
      </c>
      <c r="N561" s="28" t="str">
        <f>IF(K561="","",ИТОГ!N561)</f>
        <v/>
      </c>
      <c r="O561" s="30" t="str">
        <f t="shared" si="107"/>
        <v/>
      </c>
      <c r="P561" s="24"/>
      <c r="Q561" s="30" t="str">
        <f t="shared" si="108"/>
        <v/>
      </c>
      <c r="R561" s="29" t="str">
        <f t="shared" ca="1" si="109"/>
        <v/>
      </c>
    </row>
    <row r="562" spans="1:18">
      <c r="A562" s="23" t="str">
        <f t="shared" si="99"/>
        <v/>
      </c>
      <c r="B562" s="23" t="str">
        <f t="shared" si="100"/>
        <v/>
      </c>
      <c r="C562" s="29" t="str">
        <f t="shared" ca="1" si="101"/>
        <v/>
      </c>
      <c r="D562" s="22" t="str">
        <f>IF(K562="","",ИТОГ!S562)</f>
        <v/>
      </c>
      <c r="E562" s="24" t="str">
        <f t="shared" si="102"/>
        <v/>
      </c>
      <c r="F562" s="30" t="str">
        <f t="shared" si="103"/>
        <v/>
      </c>
      <c r="G562" s="25" t="str">
        <f t="shared" si="104"/>
        <v/>
      </c>
      <c r="H562" s="29" t="str">
        <f t="shared" ca="1" si="105"/>
        <v/>
      </c>
      <c r="I562" s="24"/>
      <c r="J562" s="30"/>
      <c r="K562" s="27" t="str">
        <f>IF(ИТОГ!A562=0,"",ИТОГ!A562)</f>
        <v/>
      </c>
      <c r="L562" s="26" t="str">
        <f t="shared" si="106"/>
        <v/>
      </c>
      <c r="M562" s="25" t="str">
        <f>IF(K562="","",ИТОГ!Q562)</f>
        <v/>
      </c>
      <c r="N562" s="28" t="str">
        <f>IF(K562="","",ИТОГ!N562)</f>
        <v/>
      </c>
      <c r="O562" s="30" t="str">
        <f t="shared" si="107"/>
        <v/>
      </c>
      <c r="P562" s="24"/>
      <c r="Q562" s="30" t="str">
        <f t="shared" si="108"/>
        <v/>
      </c>
      <c r="R562" s="29" t="str">
        <f t="shared" ca="1" si="109"/>
        <v/>
      </c>
    </row>
    <row r="563" spans="1:18">
      <c r="A563" s="23" t="str">
        <f t="shared" si="99"/>
        <v/>
      </c>
      <c r="B563" s="23" t="str">
        <f t="shared" si="100"/>
        <v/>
      </c>
      <c r="C563" s="29" t="str">
        <f t="shared" ca="1" si="101"/>
        <v/>
      </c>
      <c r="D563" s="22" t="str">
        <f>IF(K563="","",ИТОГ!S563)</f>
        <v/>
      </c>
      <c r="E563" s="24" t="str">
        <f t="shared" si="102"/>
        <v/>
      </c>
      <c r="F563" s="30" t="str">
        <f t="shared" si="103"/>
        <v/>
      </c>
      <c r="G563" s="25" t="str">
        <f t="shared" si="104"/>
        <v/>
      </c>
      <c r="H563" s="29" t="str">
        <f t="shared" ca="1" si="105"/>
        <v/>
      </c>
      <c r="I563" s="24"/>
      <c r="J563" s="30"/>
      <c r="K563" s="27" t="str">
        <f>IF(ИТОГ!A563=0,"",ИТОГ!A563)</f>
        <v/>
      </c>
      <c r="L563" s="26" t="str">
        <f t="shared" si="106"/>
        <v/>
      </c>
      <c r="M563" s="25" t="str">
        <f>IF(K563="","",ИТОГ!Q563)</f>
        <v/>
      </c>
      <c r="N563" s="28" t="str">
        <f>IF(K563="","",ИТОГ!N563)</f>
        <v/>
      </c>
      <c r="O563" s="30" t="str">
        <f t="shared" si="107"/>
        <v/>
      </c>
      <c r="P563" s="24"/>
      <c r="Q563" s="30" t="str">
        <f t="shared" si="108"/>
        <v/>
      </c>
      <c r="R563" s="29" t="str">
        <f t="shared" ca="1" si="109"/>
        <v/>
      </c>
    </row>
    <row r="564" spans="1:18">
      <c r="A564" s="23" t="str">
        <f t="shared" si="99"/>
        <v/>
      </c>
      <c r="B564" s="23" t="str">
        <f t="shared" si="100"/>
        <v/>
      </c>
      <c r="C564" s="29" t="str">
        <f t="shared" ca="1" si="101"/>
        <v/>
      </c>
      <c r="D564" s="22" t="str">
        <f>IF(K564="","",ИТОГ!S564)</f>
        <v/>
      </c>
      <c r="E564" s="24" t="str">
        <f t="shared" si="102"/>
        <v/>
      </c>
      <c r="F564" s="30" t="str">
        <f t="shared" si="103"/>
        <v/>
      </c>
      <c r="G564" s="25" t="str">
        <f t="shared" si="104"/>
        <v/>
      </c>
      <c r="H564" s="29" t="str">
        <f t="shared" ca="1" si="105"/>
        <v/>
      </c>
      <c r="I564" s="24"/>
      <c r="J564" s="30"/>
      <c r="K564" s="27" t="str">
        <f>IF(ИТОГ!A564=0,"",ИТОГ!A564)</f>
        <v/>
      </c>
      <c r="L564" s="26" t="str">
        <f t="shared" si="106"/>
        <v/>
      </c>
      <c r="M564" s="25" t="str">
        <f>IF(K564="","",ИТОГ!Q564)</f>
        <v/>
      </c>
      <c r="N564" s="28" t="str">
        <f>IF(K564="","",ИТОГ!N564)</f>
        <v/>
      </c>
      <c r="O564" s="30" t="str">
        <f t="shared" si="107"/>
        <v/>
      </c>
      <c r="P564" s="24"/>
      <c r="Q564" s="30" t="str">
        <f t="shared" si="108"/>
        <v/>
      </c>
      <c r="R564" s="29" t="str">
        <f t="shared" ca="1" si="109"/>
        <v/>
      </c>
    </row>
    <row r="565" spans="1:18">
      <c r="A565" s="23" t="str">
        <f t="shared" si="99"/>
        <v/>
      </c>
      <c r="B565" s="23" t="str">
        <f t="shared" si="100"/>
        <v/>
      </c>
      <c r="C565" s="29" t="str">
        <f t="shared" ca="1" si="101"/>
        <v/>
      </c>
      <c r="D565" s="22" t="str">
        <f>IF(K565="","",ИТОГ!S565)</f>
        <v/>
      </c>
      <c r="E565" s="24" t="str">
        <f t="shared" si="102"/>
        <v/>
      </c>
      <c r="F565" s="30" t="str">
        <f t="shared" si="103"/>
        <v/>
      </c>
      <c r="G565" s="25" t="str">
        <f t="shared" si="104"/>
        <v/>
      </c>
      <c r="H565" s="29" t="str">
        <f t="shared" ca="1" si="105"/>
        <v/>
      </c>
      <c r="I565" s="24"/>
      <c r="J565" s="30"/>
      <c r="K565" s="27" t="str">
        <f>IF(ИТОГ!A565=0,"",ИТОГ!A565)</f>
        <v/>
      </c>
      <c r="L565" s="26" t="str">
        <f t="shared" si="106"/>
        <v/>
      </c>
      <c r="M565" s="25" t="str">
        <f>IF(K565="","",ИТОГ!Q565)</f>
        <v/>
      </c>
      <c r="N565" s="28" t="str">
        <f>IF(K565="","",ИТОГ!N565)</f>
        <v/>
      </c>
      <c r="O565" s="30" t="str">
        <f t="shared" si="107"/>
        <v/>
      </c>
      <c r="P565" s="24"/>
      <c r="Q565" s="30" t="str">
        <f t="shared" si="108"/>
        <v/>
      </c>
      <c r="R565" s="29" t="str">
        <f t="shared" ca="1" si="109"/>
        <v/>
      </c>
    </row>
    <row r="566" spans="1:18">
      <c r="A566" s="23" t="str">
        <f t="shared" si="99"/>
        <v/>
      </c>
      <c r="B566" s="23" t="str">
        <f t="shared" si="100"/>
        <v/>
      </c>
      <c r="C566" s="29" t="str">
        <f t="shared" ca="1" si="101"/>
        <v/>
      </c>
      <c r="D566" s="22" t="str">
        <f>IF(K566="","",ИТОГ!S566)</f>
        <v/>
      </c>
      <c r="E566" s="24" t="str">
        <f t="shared" si="102"/>
        <v/>
      </c>
      <c r="F566" s="30" t="str">
        <f t="shared" si="103"/>
        <v/>
      </c>
      <c r="G566" s="25" t="str">
        <f t="shared" si="104"/>
        <v/>
      </c>
      <c r="H566" s="29" t="str">
        <f t="shared" ca="1" si="105"/>
        <v/>
      </c>
      <c r="I566" s="24"/>
      <c r="J566" s="30"/>
      <c r="K566" s="27" t="str">
        <f>IF(ИТОГ!A566=0,"",ИТОГ!A566)</f>
        <v/>
      </c>
      <c r="L566" s="26" t="str">
        <f t="shared" si="106"/>
        <v/>
      </c>
      <c r="M566" s="25" t="str">
        <f>IF(K566="","",ИТОГ!Q566)</f>
        <v/>
      </c>
      <c r="N566" s="28" t="str">
        <f>IF(K566="","",ИТОГ!N566)</f>
        <v/>
      </c>
      <c r="O566" s="30" t="str">
        <f t="shared" si="107"/>
        <v/>
      </c>
      <c r="P566" s="24"/>
      <c r="Q566" s="30" t="str">
        <f t="shared" si="108"/>
        <v/>
      </c>
      <c r="R566" s="29" t="str">
        <f t="shared" ca="1" si="109"/>
        <v/>
      </c>
    </row>
    <row r="567" spans="1:18">
      <c r="A567" s="23" t="str">
        <f t="shared" si="99"/>
        <v/>
      </c>
      <c r="B567" s="23" t="str">
        <f t="shared" si="100"/>
        <v/>
      </c>
      <c r="C567" s="29" t="str">
        <f t="shared" ca="1" si="101"/>
        <v/>
      </c>
      <c r="D567" s="22" t="str">
        <f>IF(K567="","",ИТОГ!S567)</f>
        <v/>
      </c>
      <c r="E567" s="24" t="str">
        <f t="shared" si="102"/>
        <v/>
      </c>
      <c r="F567" s="30" t="str">
        <f t="shared" si="103"/>
        <v/>
      </c>
      <c r="G567" s="25" t="str">
        <f t="shared" si="104"/>
        <v/>
      </c>
      <c r="H567" s="29" t="str">
        <f t="shared" ca="1" si="105"/>
        <v/>
      </c>
      <c r="I567" s="24"/>
      <c r="J567" s="30"/>
      <c r="K567" s="27" t="str">
        <f>IF(ИТОГ!A567=0,"",ИТОГ!A567)</f>
        <v/>
      </c>
      <c r="L567" s="26" t="str">
        <f t="shared" si="106"/>
        <v/>
      </c>
      <c r="M567" s="25" t="str">
        <f>IF(K567="","",ИТОГ!Q567)</f>
        <v/>
      </c>
      <c r="N567" s="28" t="str">
        <f>IF(K567="","",ИТОГ!N567)</f>
        <v/>
      </c>
      <c r="O567" s="30" t="str">
        <f t="shared" si="107"/>
        <v/>
      </c>
      <c r="P567" s="24"/>
      <c r="Q567" s="30" t="str">
        <f t="shared" si="108"/>
        <v/>
      </c>
      <c r="R567" s="29" t="str">
        <f t="shared" ca="1" si="109"/>
        <v/>
      </c>
    </row>
    <row r="568" spans="1:18">
      <c r="A568" s="23" t="str">
        <f t="shared" si="99"/>
        <v/>
      </c>
      <c r="B568" s="23" t="str">
        <f t="shared" si="100"/>
        <v/>
      </c>
      <c r="C568" s="29" t="str">
        <f t="shared" ca="1" si="101"/>
        <v/>
      </c>
      <c r="D568" s="22" t="str">
        <f>IF(K568="","",ИТОГ!S568)</f>
        <v/>
      </c>
      <c r="E568" s="24" t="str">
        <f t="shared" si="102"/>
        <v/>
      </c>
      <c r="F568" s="30" t="str">
        <f t="shared" si="103"/>
        <v/>
      </c>
      <c r="G568" s="25" t="str">
        <f t="shared" si="104"/>
        <v/>
      </c>
      <c r="H568" s="29" t="str">
        <f t="shared" ca="1" si="105"/>
        <v/>
      </c>
      <c r="I568" s="24"/>
      <c r="J568" s="30"/>
      <c r="K568" s="27" t="str">
        <f>IF(ИТОГ!A568=0,"",ИТОГ!A568)</f>
        <v/>
      </c>
      <c r="L568" s="26" t="str">
        <f t="shared" si="106"/>
        <v/>
      </c>
      <c r="M568" s="25" t="str">
        <f>IF(K568="","",ИТОГ!Q568)</f>
        <v/>
      </c>
      <c r="N568" s="28" t="str">
        <f>IF(K568="","",ИТОГ!N568)</f>
        <v/>
      </c>
      <c r="O568" s="30" t="str">
        <f t="shared" si="107"/>
        <v/>
      </c>
      <c r="P568" s="24"/>
      <c r="Q568" s="30" t="str">
        <f t="shared" si="108"/>
        <v/>
      </c>
      <c r="R568" s="29" t="str">
        <f t="shared" ca="1" si="109"/>
        <v/>
      </c>
    </row>
    <row r="569" spans="1:18">
      <c r="A569" s="23" t="str">
        <f t="shared" si="99"/>
        <v/>
      </c>
      <c r="B569" s="23" t="str">
        <f t="shared" si="100"/>
        <v/>
      </c>
      <c r="C569" s="29" t="str">
        <f t="shared" ca="1" si="101"/>
        <v/>
      </c>
      <c r="D569" s="22" t="str">
        <f>IF(K569="","",ИТОГ!S569)</f>
        <v/>
      </c>
      <c r="E569" s="24" t="str">
        <f t="shared" si="102"/>
        <v/>
      </c>
      <c r="F569" s="30" t="str">
        <f t="shared" si="103"/>
        <v/>
      </c>
      <c r="G569" s="25" t="str">
        <f t="shared" si="104"/>
        <v/>
      </c>
      <c r="H569" s="29" t="str">
        <f t="shared" ca="1" si="105"/>
        <v/>
      </c>
      <c r="I569" s="24"/>
      <c r="J569" s="30"/>
      <c r="K569" s="27" t="str">
        <f>IF(ИТОГ!A569=0,"",ИТОГ!A569)</f>
        <v/>
      </c>
      <c r="L569" s="26" t="str">
        <f t="shared" si="106"/>
        <v/>
      </c>
      <c r="M569" s="25" t="str">
        <f>IF(K569="","",ИТОГ!Q569)</f>
        <v/>
      </c>
      <c r="N569" s="28" t="str">
        <f>IF(K569="","",ИТОГ!N569)</f>
        <v/>
      </c>
      <c r="O569" s="30" t="str">
        <f t="shared" si="107"/>
        <v/>
      </c>
      <c r="P569" s="24"/>
      <c r="Q569" s="30" t="str">
        <f t="shared" si="108"/>
        <v/>
      </c>
      <c r="R569" s="29" t="str">
        <f t="shared" ca="1" si="109"/>
        <v/>
      </c>
    </row>
    <row r="570" spans="1:18">
      <c r="A570" s="23" t="str">
        <f t="shared" si="99"/>
        <v/>
      </c>
      <c r="B570" s="23" t="str">
        <f t="shared" si="100"/>
        <v/>
      </c>
      <c r="C570" s="29" t="str">
        <f t="shared" ca="1" si="101"/>
        <v/>
      </c>
      <c r="D570" s="22" t="str">
        <f>IF(K570="","",ИТОГ!S570)</f>
        <v/>
      </c>
      <c r="E570" s="24" t="str">
        <f t="shared" si="102"/>
        <v/>
      </c>
      <c r="F570" s="30" t="str">
        <f t="shared" si="103"/>
        <v/>
      </c>
      <c r="G570" s="25" t="str">
        <f t="shared" si="104"/>
        <v/>
      </c>
      <c r="H570" s="29" t="str">
        <f t="shared" ca="1" si="105"/>
        <v/>
      </c>
      <c r="I570" s="24"/>
      <c r="J570" s="30"/>
      <c r="K570" s="27" t="str">
        <f>IF(ИТОГ!A570=0,"",ИТОГ!A570)</f>
        <v/>
      </c>
      <c r="L570" s="26" t="str">
        <f t="shared" si="106"/>
        <v/>
      </c>
      <c r="M570" s="25" t="str">
        <f>IF(K570="","",ИТОГ!Q570)</f>
        <v/>
      </c>
      <c r="N570" s="28" t="str">
        <f>IF(K570="","",ИТОГ!N570)</f>
        <v/>
      </c>
      <c r="O570" s="30" t="str">
        <f t="shared" si="107"/>
        <v/>
      </c>
      <c r="P570" s="24"/>
      <c r="Q570" s="30" t="str">
        <f t="shared" si="108"/>
        <v/>
      </c>
      <c r="R570" s="29" t="str">
        <f t="shared" ca="1" si="109"/>
        <v/>
      </c>
    </row>
    <row r="571" spans="1:18">
      <c r="A571" s="23" t="str">
        <f t="shared" si="99"/>
        <v/>
      </c>
      <c r="B571" s="23" t="str">
        <f t="shared" si="100"/>
        <v/>
      </c>
      <c r="C571" s="29" t="str">
        <f t="shared" ca="1" si="101"/>
        <v/>
      </c>
      <c r="D571" s="22" t="str">
        <f>IF(K571="","",ИТОГ!S571)</f>
        <v/>
      </c>
      <c r="E571" s="24" t="str">
        <f t="shared" si="102"/>
        <v/>
      </c>
      <c r="F571" s="30" t="str">
        <f t="shared" si="103"/>
        <v/>
      </c>
      <c r="G571" s="25" t="str">
        <f t="shared" si="104"/>
        <v/>
      </c>
      <c r="H571" s="29" t="str">
        <f t="shared" ca="1" si="105"/>
        <v/>
      </c>
      <c r="I571" s="24"/>
      <c r="J571" s="30"/>
      <c r="K571" s="27" t="str">
        <f>IF(ИТОГ!A571=0,"",ИТОГ!A571)</f>
        <v/>
      </c>
      <c r="L571" s="26" t="str">
        <f t="shared" si="106"/>
        <v/>
      </c>
      <c r="M571" s="25" t="str">
        <f>IF(K571="","",ИТОГ!Q571)</f>
        <v/>
      </c>
      <c r="N571" s="28" t="str">
        <f>IF(K571="","",ИТОГ!N571)</f>
        <v/>
      </c>
      <c r="O571" s="30" t="str">
        <f t="shared" si="107"/>
        <v/>
      </c>
      <c r="P571" s="24"/>
      <c r="Q571" s="30" t="str">
        <f t="shared" si="108"/>
        <v/>
      </c>
      <c r="R571" s="29" t="str">
        <f t="shared" ca="1" si="109"/>
        <v/>
      </c>
    </row>
    <row r="572" spans="1:18">
      <c r="A572" s="23" t="str">
        <f t="shared" si="99"/>
        <v/>
      </c>
      <c r="B572" s="23" t="str">
        <f t="shared" si="100"/>
        <v/>
      </c>
      <c r="C572" s="29" t="str">
        <f t="shared" ca="1" si="101"/>
        <v/>
      </c>
      <c r="D572" s="22" t="str">
        <f>IF(K572="","",ИТОГ!S572)</f>
        <v/>
      </c>
      <c r="E572" s="24" t="str">
        <f t="shared" si="102"/>
        <v/>
      </c>
      <c r="F572" s="30" t="str">
        <f t="shared" si="103"/>
        <v/>
      </c>
      <c r="G572" s="25" t="str">
        <f t="shared" si="104"/>
        <v/>
      </c>
      <c r="H572" s="29" t="str">
        <f t="shared" ca="1" si="105"/>
        <v/>
      </c>
      <c r="I572" s="24"/>
      <c r="J572" s="30"/>
      <c r="K572" s="27" t="str">
        <f>IF(ИТОГ!A572=0,"",ИТОГ!A572)</f>
        <v/>
      </c>
      <c r="L572" s="26" t="str">
        <f t="shared" si="106"/>
        <v/>
      </c>
      <c r="M572" s="25" t="str">
        <f>IF(K572="","",ИТОГ!Q572)</f>
        <v/>
      </c>
      <c r="N572" s="28" t="str">
        <f>IF(K572="","",ИТОГ!N572)</f>
        <v/>
      </c>
      <c r="O572" s="30" t="str">
        <f t="shared" si="107"/>
        <v/>
      </c>
      <c r="P572" s="24"/>
      <c r="Q572" s="30" t="str">
        <f t="shared" si="108"/>
        <v/>
      </c>
      <c r="R572" s="29" t="str">
        <f t="shared" ca="1" si="109"/>
        <v/>
      </c>
    </row>
    <row r="573" spans="1:18">
      <c r="A573" s="23" t="str">
        <f t="shared" si="99"/>
        <v/>
      </c>
      <c r="B573" s="23" t="str">
        <f t="shared" si="100"/>
        <v/>
      </c>
      <c r="C573" s="29" t="str">
        <f t="shared" ca="1" si="101"/>
        <v/>
      </c>
      <c r="D573" s="22" t="str">
        <f>IF(K573="","",ИТОГ!S573)</f>
        <v/>
      </c>
      <c r="E573" s="24" t="str">
        <f t="shared" si="102"/>
        <v/>
      </c>
      <c r="F573" s="30" t="str">
        <f t="shared" si="103"/>
        <v/>
      </c>
      <c r="G573" s="25" t="str">
        <f t="shared" si="104"/>
        <v/>
      </c>
      <c r="H573" s="29" t="str">
        <f t="shared" ca="1" si="105"/>
        <v/>
      </c>
      <c r="I573" s="24"/>
      <c r="J573" s="30"/>
      <c r="K573" s="27" t="str">
        <f>IF(ИТОГ!A573=0,"",ИТОГ!A573)</f>
        <v/>
      </c>
      <c r="L573" s="26" t="str">
        <f t="shared" si="106"/>
        <v/>
      </c>
      <c r="M573" s="25" t="str">
        <f>IF(K573="","",ИТОГ!Q573)</f>
        <v/>
      </c>
      <c r="N573" s="28" t="str">
        <f>IF(K573="","",ИТОГ!N573)</f>
        <v/>
      </c>
      <c r="O573" s="30" t="str">
        <f t="shared" si="107"/>
        <v/>
      </c>
      <c r="P573" s="24"/>
      <c r="Q573" s="30" t="str">
        <f t="shared" si="108"/>
        <v/>
      </c>
      <c r="R573" s="29" t="str">
        <f t="shared" ca="1" si="109"/>
        <v/>
      </c>
    </row>
    <row r="574" spans="1:18">
      <c r="A574" s="23" t="str">
        <f t="shared" si="99"/>
        <v/>
      </c>
      <c r="B574" s="23" t="str">
        <f t="shared" si="100"/>
        <v/>
      </c>
      <c r="C574" s="29" t="str">
        <f t="shared" ca="1" si="101"/>
        <v/>
      </c>
      <c r="D574" s="22" t="str">
        <f>IF(K574="","",ИТОГ!S574)</f>
        <v/>
      </c>
      <c r="E574" s="24" t="str">
        <f t="shared" si="102"/>
        <v/>
      </c>
      <c r="F574" s="30" t="str">
        <f t="shared" si="103"/>
        <v/>
      </c>
      <c r="G574" s="25" t="str">
        <f t="shared" si="104"/>
        <v/>
      </c>
      <c r="H574" s="29" t="str">
        <f t="shared" ca="1" si="105"/>
        <v/>
      </c>
      <c r="I574" s="24"/>
      <c r="J574" s="30"/>
      <c r="K574" s="27" t="str">
        <f>IF(ИТОГ!A574=0,"",ИТОГ!A574)</f>
        <v/>
      </c>
      <c r="L574" s="26" t="str">
        <f t="shared" si="106"/>
        <v/>
      </c>
      <c r="M574" s="25" t="str">
        <f>IF(K574="","",ИТОГ!Q574)</f>
        <v/>
      </c>
      <c r="N574" s="28" t="str">
        <f>IF(K574="","",ИТОГ!N574)</f>
        <v/>
      </c>
      <c r="O574" s="30" t="str">
        <f t="shared" si="107"/>
        <v/>
      </c>
      <c r="P574" s="24"/>
      <c r="Q574" s="30" t="str">
        <f t="shared" si="108"/>
        <v/>
      </c>
      <c r="R574" s="29" t="str">
        <f t="shared" ca="1" si="109"/>
        <v/>
      </c>
    </row>
    <row r="575" spans="1:18">
      <c r="A575" s="23" t="str">
        <f t="shared" si="99"/>
        <v/>
      </c>
      <c r="B575" s="23" t="str">
        <f t="shared" si="100"/>
        <v/>
      </c>
      <c r="C575" s="29" t="str">
        <f t="shared" ca="1" si="101"/>
        <v/>
      </c>
      <c r="D575" s="22" t="str">
        <f>IF(K575="","",ИТОГ!S575)</f>
        <v/>
      </c>
      <c r="E575" s="24" t="str">
        <f t="shared" si="102"/>
        <v/>
      </c>
      <c r="F575" s="30" t="str">
        <f t="shared" si="103"/>
        <v/>
      </c>
      <c r="G575" s="25" t="str">
        <f t="shared" si="104"/>
        <v/>
      </c>
      <c r="H575" s="29" t="str">
        <f t="shared" ca="1" si="105"/>
        <v/>
      </c>
      <c r="I575" s="24"/>
      <c r="J575" s="30"/>
      <c r="K575" s="27" t="str">
        <f>IF(ИТОГ!A575=0,"",ИТОГ!A575)</f>
        <v/>
      </c>
      <c r="L575" s="26" t="str">
        <f t="shared" si="106"/>
        <v/>
      </c>
      <c r="M575" s="25" t="str">
        <f>IF(K575="","",ИТОГ!Q575)</f>
        <v/>
      </c>
      <c r="N575" s="28" t="str">
        <f>IF(K575="","",ИТОГ!N575)</f>
        <v/>
      </c>
      <c r="O575" s="30" t="str">
        <f t="shared" si="107"/>
        <v/>
      </c>
      <c r="P575" s="24"/>
      <c r="Q575" s="30" t="str">
        <f t="shared" si="108"/>
        <v/>
      </c>
      <c r="R575" s="29" t="str">
        <f t="shared" ca="1" si="109"/>
        <v/>
      </c>
    </row>
    <row r="576" spans="1:18">
      <c r="A576" s="23" t="str">
        <f t="shared" si="99"/>
        <v/>
      </c>
      <c r="B576" s="23" t="str">
        <f t="shared" si="100"/>
        <v/>
      </c>
      <c r="C576" s="29" t="str">
        <f t="shared" ca="1" si="101"/>
        <v/>
      </c>
      <c r="D576" s="22" t="str">
        <f>IF(K576="","",ИТОГ!S576)</f>
        <v/>
      </c>
      <c r="E576" s="24" t="str">
        <f t="shared" si="102"/>
        <v/>
      </c>
      <c r="F576" s="30" t="str">
        <f t="shared" si="103"/>
        <v/>
      </c>
      <c r="G576" s="25" t="str">
        <f t="shared" si="104"/>
        <v/>
      </c>
      <c r="H576" s="29" t="str">
        <f t="shared" ca="1" si="105"/>
        <v/>
      </c>
      <c r="I576" s="24"/>
      <c r="J576" s="30"/>
      <c r="K576" s="27" t="str">
        <f>IF(ИТОГ!A576=0,"",ИТОГ!A576)</f>
        <v/>
      </c>
      <c r="L576" s="26" t="str">
        <f t="shared" si="106"/>
        <v/>
      </c>
      <c r="M576" s="25" t="str">
        <f>IF(K576="","",ИТОГ!Q576)</f>
        <v/>
      </c>
      <c r="N576" s="28" t="str">
        <f>IF(K576="","",ИТОГ!N576)</f>
        <v/>
      </c>
      <c r="O576" s="30" t="str">
        <f t="shared" si="107"/>
        <v/>
      </c>
      <c r="P576" s="24"/>
      <c r="Q576" s="30" t="str">
        <f t="shared" si="108"/>
        <v/>
      </c>
      <c r="R576" s="29" t="str">
        <f t="shared" ca="1" si="109"/>
        <v/>
      </c>
    </row>
    <row r="577" spans="1:18">
      <c r="A577" s="23" t="str">
        <f t="shared" si="99"/>
        <v/>
      </c>
      <c r="B577" s="23" t="str">
        <f t="shared" si="100"/>
        <v/>
      </c>
      <c r="C577" s="29" t="str">
        <f t="shared" ca="1" si="101"/>
        <v/>
      </c>
      <c r="D577" s="22" t="str">
        <f>IF(K577="","",ИТОГ!S577)</f>
        <v/>
      </c>
      <c r="E577" s="24" t="str">
        <f t="shared" si="102"/>
        <v/>
      </c>
      <c r="F577" s="30" t="str">
        <f t="shared" si="103"/>
        <v/>
      </c>
      <c r="G577" s="25" t="str">
        <f t="shared" si="104"/>
        <v/>
      </c>
      <c r="H577" s="29" t="str">
        <f t="shared" ca="1" si="105"/>
        <v/>
      </c>
      <c r="I577" s="24"/>
      <c r="J577" s="30"/>
      <c r="K577" s="27" t="str">
        <f>IF(ИТОГ!A577=0,"",ИТОГ!A577)</f>
        <v/>
      </c>
      <c r="L577" s="26" t="str">
        <f t="shared" si="106"/>
        <v/>
      </c>
      <c r="M577" s="25" t="str">
        <f>IF(K577="","",ИТОГ!Q577)</f>
        <v/>
      </c>
      <c r="N577" s="28" t="str">
        <f>IF(K577="","",ИТОГ!N577)</f>
        <v/>
      </c>
      <c r="O577" s="30" t="str">
        <f t="shared" si="107"/>
        <v/>
      </c>
      <c r="P577" s="24"/>
      <c r="Q577" s="30" t="str">
        <f t="shared" si="108"/>
        <v/>
      </c>
      <c r="R577" s="29" t="str">
        <f t="shared" ca="1" si="109"/>
        <v/>
      </c>
    </row>
    <row r="578" spans="1:18">
      <c r="A578" s="23" t="str">
        <f t="shared" si="99"/>
        <v/>
      </c>
      <c r="B578" s="23" t="str">
        <f t="shared" si="100"/>
        <v/>
      </c>
      <c r="C578" s="29" t="str">
        <f t="shared" ca="1" si="101"/>
        <v/>
      </c>
      <c r="D578" s="22" t="str">
        <f>IF(K578="","",ИТОГ!S578)</f>
        <v/>
      </c>
      <c r="E578" s="24" t="str">
        <f t="shared" si="102"/>
        <v/>
      </c>
      <c r="F578" s="30" t="str">
        <f t="shared" si="103"/>
        <v/>
      </c>
      <c r="G578" s="25" t="str">
        <f t="shared" si="104"/>
        <v/>
      </c>
      <c r="H578" s="29" t="str">
        <f t="shared" ca="1" si="105"/>
        <v/>
      </c>
      <c r="I578" s="24"/>
      <c r="J578" s="30"/>
      <c r="K578" s="27" t="str">
        <f>IF(ИТОГ!A578=0,"",ИТОГ!A578)</f>
        <v/>
      </c>
      <c r="L578" s="26" t="str">
        <f t="shared" si="106"/>
        <v/>
      </c>
      <c r="M578" s="25" t="str">
        <f>IF(K578="","",ИТОГ!Q578)</f>
        <v/>
      </c>
      <c r="N578" s="28" t="str">
        <f>IF(K578="","",ИТОГ!N578)</f>
        <v/>
      </c>
      <c r="O578" s="30" t="str">
        <f t="shared" si="107"/>
        <v/>
      </c>
      <c r="P578" s="24"/>
      <c r="Q578" s="30" t="str">
        <f t="shared" si="108"/>
        <v/>
      </c>
      <c r="R578" s="29" t="str">
        <f t="shared" ca="1" si="109"/>
        <v/>
      </c>
    </row>
    <row r="579" spans="1:18">
      <c r="A579" s="23" t="str">
        <f t="shared" si="99"/>
        <v/>
      </c>
      <c r="B579" s="23" t="str">
        <f t="shared" si="100"/>
        <v/>
      </c>
      <c r="C579" s="29" t="str">
        <f t="shared" ca="1" si="101"/>
        <v/>
      </c>
      <c r="D579" s="22" t="str">
        <f>IF(K579="","",ИТОГ!S579)</f>
        <v/>
      </c>
      <c r="E579" s="24" t="str">
        <f t="shared" si="102"/>
        <v/>
      </c>
      <c r="F579" s="30" t="str">
        <f t="shared" si="103"/>
        <v/>
      </c>
      <c r="G579" s="25" t="str">
        <f t="shared" si="104"/>
        <v/>
      </c>
      <c r="H579" s="29" t="str">
        <f t="shared" ca="1" si="105"/>
        <v/>
      </c>
      <c r="I579" s="24"/>
      <c r="J579" s="30"/>
      <c r="K579" s="27" t="str">
        <f>IF(ИТОГ!A579=0,"",ИТОГ!A579)</f>
        <v/>
      </c>
      <c r="L579" s="26" t="str">
        <f t="shared" si="106"/>
        <v/>
      </c>
      <c r="M579" s="25" t="str">
        <f>IF(K579="","",ИТОГ!Q579)</f>
        <v/>
      </c>
      <c r="N579" s="28" t="str">
        <f>IF(K579="","",ИТОГ!N579)</f>
        <v/>
      </c>
      <c r="O579" s="30" t="str">
        <f t="shared" si="107"/>
        <v/>
      </c>
      <c r="P579" s="24"/>
      <c r="Q579" s="30" t="str">
        <f t="shared" si="108"/>
        <v/>
      </c>
      <c r="R579" s="29" t="str">
        <f t="shared" ca="1" si="109"/>
        <v/>
      </c>
    </row>
    <row r="580" spans="1:18">
      <c r="A580" s="23" t="str">
        <f t="shared" si="99"/>
        <v/>
      </c>
      <c r="B580" s="23" t="str">
        <f t="shared" si="100"/>
        <v/>
      </c>
      <c r="C580" s="29" t="str">
        <f t="shared" ca="1" si="101"/>
        <v/>
      </c>
      <c r="D580" s="22" t="str">
        <f>IF(K580="","",ИТОГ!S580)</f>
        <v/>
      </c>
      <c r="E580" s="24" t="str">
        <f t="shared" si="102"/>
        <v/>
      </c>
      <c r="F580" s="30" t="str">
        <f t="shared" si="103"/>
        <v/>
      </c>
      <c r="G580" s="25" t="str">
        <f t="shared" si="104"/>
        <v/>
      </c>
      <c r="H580" s="29" t="str">
        <f t="shared" ca="1" si="105"/>
        <v/>
      </c>
      <c r="I580" s="24"/>
      <c r="J580" s="30"/>
      <c r="K580" s="27" t="str">
        <f>IF(ИТОГ!A580=0,"",ИТОГ!A580)</f>
        <v/>
      </c>
      <c r="L580" s="26" t="str">
        <f t="shared" si="106"/>
        <v/>
      </c>
      <c r="M580" s="25" t="str">
        <f>IF(K580="","",ИТОГ!Q580)</f>
        <v/>
      </c>
      <c r="N580" s="28" t="str">
        <f>IF(K580="","",ИТОГ!N580)</f>
        <v/>
      </c>
      <c r="O580" s="30" t="str">
        <f t="shared" si="107"/>
        <v/>
      </c>
      <c r="P580" s="24"/>
      <c r="Q580" s="30" t="str">
        <f t="shared" si="108"/>
        <v/>
      </c>
      <c r="R580" s="29" t="str">
        <f t="shared" ca="1" si="109"/>
        <v/>
      </c>
    </row>
    <row r="581" spans="1:18">
      <c r="A581" s="23" t="str">
        <f t="shared" si="99"/>
        <v/>
      </c>
      <c r="B581" s="23" t="str">
        <f t="shared" si="100"/>
        <v/>
      </c>
      <c r="C581" s="29" t="str">
        <f t="shared" ca="1" si="101"/>
        <v/>
      </c>
      <c r="D581" s="22" t="str">
        <f>IF(K581="","",ИТОГ!S581)</f>
        <v/>
      </c>
      <c r="E581" s="24" t="str">
        <f t="shared" si="102"/>
        <v/>
      </c>
      <c r="F581" s="30" t="str">
        <f t="shared" si="103"/>
        <v/>
      </c>
      <c r="G581" s="25" t="str">
        <f t="shared" si="104"/>
        <v/>
      </c>
      <c r="H581" s="29" t="str">
        <f t="shared" ca="1" si="105"/>
        <v/>
      </c>
      <c r="I581" s="24"/>
      <c r="J581" s="30"/>
      <c r="K581" s="27" t="str">
        <f>IF(ИТОГ!A581=0,"",ИТОГ!A581)</f>
        <v/>
      </c>
      <c r="L581" s="26" t="str">
        <f t="shared" si="106"/>
        <v/>
      </c>
      <c r="M581" s="25" t="str">
        <f>IF(K581="","",ИТОГ!Q581)</f>
        <v/>
      </c>
      <c r="N581" s="28" t="str">
        <f>IF(K581="","",ИТОГ!N581)</f>
        <v/>
      </c>
      <c r="O581" s="30" t="str">
        <f t="shared" si="107"/>
        <v/>
      </c>
      <c r="P581" s="24"/>
      <c r="Q581" s="30" t="str">
        <f t="shared" si="108"/>
        <v/>
      </c>
      <c r="R581" s="29" t="str">
        <f t="shared" ca="1" si="109"/>
        <v/>
      </c>
    </row>
    <row r="582" spans="1:18">
      <c r="A582" s="23" t="str">
        <f t="shared" si="99"/>
        <v/>
      </c>
      <c r="B582" s="23" t="str">
        <f t="shared" si="100"/>
        <v/>
      </c>
      <c r="C582" s="29" t="str">
        <f t="shared" ca="1" si="101"/>
        <v/>
      </c>
      <c r="D582" s="22" t="str">
        <f>IF(K582="","",ИТОГ!S582)</f>
        <v/>
      </c>
      <c r="E582" s="24" t="str">
        <f t="shared" si="102"/>
        <v/>
      </c>
      <c r="F582" s="30" t="str">
        <f t="shared" si="103"/>
        <v/>
      </c>
      <c r="G582" s="25" t="str">
        <f t="shared" si="104"/>
        <v/>
      </c>
      <c r="H582" s="29" t="str">
        <f t="shared" ca="1" si="105"/>
        <v/>
      </c>
      <c r="I582" s="24"/>
      <c r="J582" s="30"/>
      <c r="K582" s="27" t="str">
        <f>IF(ИТОГ!A582=0,"",ИТОГ!A582)</f>
        <v/>
      </c>
      <c r="L582" s="26" t="str">
        <f t="shared" si="106"/>
        <v/>
      </c>
      <c r="M582" s="25" t="str">
        <f>IF(K582="","",ИТОГ!Q582)</f>
        <v/>
      </c>
      <c r="N582" s="28" t="str">
        <f>IF(K582="","",ИТОГ!N582)</f>
        <v/>
      </c>
      <c r="O582" s="30" t="str">
        <f t="shared" si="107"/>
        <v/>
      </c>
      <c r="P582" s="24"/>
      <c r="Q582" s="30" t="str">
        <f t="shared" si="108"/>
        <v/>
      </c>
      <c r="R582" s="29" t="str">
        <f t="shared" ca="1" si="109"/>
        <v/>
      </c>
    </row>
    <row r="583" spans="1:18">
      <c r="A583" s="23" t="str">
        <f t="shared" si="99"/>
        <v/>
      </c>
      <c r="B583" s="23" t="str">
        <f t="shared" si="100"/>
        <v/>
      </c>
      <c r="C583" s="29" t="str">
        <f t="shared" ca="1" si="101"/>
        <v/>
      </c>
      <c r="D583" s="22" t="str">
        <f>IF(K583="","",ИТОГ!S583)</f>
        <v/>
      </c>
      <c r="E583" s="24" t="str">
        <f t="shared" si="102"/>
        <v/>
      </c>
      <c r="F583" s="30" t="str">
        <f t="shared" si="103"/>
        <v/>
      </c>
      <c r="G583" s="25" t="str">
        <f t="shared" si="104"/>
        <v/>
      </c>
      <c r="H583" s="29" t="str">
        <f t="shared" ca="1" si="105"/>
        <v/>
      </c>
      <c r="I583" s="24"/>
      <c r="J583" s="30"/>
      <c r="K583" s="27" t="str">
        <f>IF(ИТОГ!A583=0,"",ИТОГ!A583)</f>
        <v/>
      </c>
      <c r="L583" s="26" t="str">
        <f t="shared" si="106"/>
        <v/>
      </c>
      <c r="M583" s="25" t="str">
        <f>IF(K583="","",ИТОГ!Q583)</f>
        <v/>
      </c>
      <c r="N583" s="28" t="str">
        <f>IF(K583="","",ИТОГ!N583)</f>
        <v/>
      </c>
      <c r="O583" s="30" t="str">
        <f t="shared" si="107"/>
        <v/>
      </c>
      <c r="P583" s="24"/>
      <c r="Q583" s="30" t="str">
        <f t="shared" si="108"/>
        <v/>
      </c>
      <c r="R583" s="29" t="str">
        <f t="shared" ca="1" si="109"/>
        <v/>
      </c>
    </row>
    <row r="584" spans="1:18">
      <c r="A584" s="23" t="str">
        <f t="shared" si="99"/>
        <v/>
      </c>
      <c r="B584" s="23" t="str">
        <f t="shared" si="100"/>
        <v/>
      </c>
      <c r="C584" s="29" t="str">
        <f t="shared" ca="1" si="101"/>
        <v/>
      </c>
      <c r="D584" s="22" t="str">
        <f>IF(K584="","",ИТОГ!S584)</f>
        <v/>
      </c>
      <c r="E584" s="24" t="str">
        <f t="shared" si="102"/>
        <v/>
      </c>
      <c r="F584" s="30" t="str">
        <f t="shared" si="103"/>
        <v/>
      </c>
      <c r="G584" s="25" t="str">
        <f t="shared" si="104"/>
        <v/>
      </c>
      <c r="H584" s="29" t="str">
        <f t="shared" ca="1" si="105"/>
        <v/>
      </c>
      <c r="I584" s="24"/>
      <c r="J584" s="30"/>
      <c r="K584" s="27" t="str">
        <f>IF(ИТОГ!A584=0,"",ИТОГ!A584)</f>
        <v/>
      </c>
      <c r="L584" s="26" t="str">
        <f t="shared" si="106"/>
        <v/>
      </c>
      <c r="M584" s="25" t="str">
        <f>IF(K584="","",ИТОГ!Q584)</f>
        <v/>
      </c>
      <c r="N584" s="28" t="str">
        <f>IF(K584="","",ИТОГ!N584)</f>
        <v/>
      </c>
      <c r="O584" s="30" t="str">
        <f t="shared" si="107"/>
        <v/>
      </c>
      <c r="P584" s="24"/>
      <c r="Q584" s="30" t="str">
        <f t="shared" si="108"/>
        <v/>
      </c>
      <c r="R584" s="29" t="str">
        <f t="shared" ca="1" si="109"/>
        <v/>
      </c>
    </row>
    <row r="585" spans="1:18">
      <c r="A585" s="23" t="str">
        <f t="shared" si="99"/>
        <v/>
      </c>
      <c r="B585" s="23" t="str">
        <f t="shared" si="100"/>
        <v/>
      </c>
      <c r="C585" s="29" t="str">
        <f t="shared" ca="1" si="101"/>
        <v/>
      </c>
      <c r="D585" s="22" t="str">
        <f>IF(K585="","",ИТОГ!S585)</f>
        <v/>
      </c>
      <c r="E585" s="24" t="str">
        <f t="shared" si="102"/>
        <v/>
      </c>
      <c r="F585" s="30" t="str">
        <f t="shared" si="103"/>
        <v/>
      </c>
      <c r="G585" s="25" t="str">
        <f t="shared" si="104"/>
        <v/>
      </c>
      <c r="H585" s="29" t="str">
        <f t="shared" ca="1" si="105"/>
        <v/>
      </c>
      <c r="I585" s="24"/>
      <c r="J585" s="30"/>
      <c r="K585" s="27" t="str">
        <f>IF(ИТОГ!A585=0,"",ИТОГ!A585)</f>
        <v/>
      </c>
      <c r="L585" s="26" t="str">
        <f t="shared" si="106"/>
        <v/>
      </c>
      <c r="M585" s="25" t="str">
        <f>IF(K585="","",ИТОГ!Q585)</f>
        <v/>
      </c>
      <c r="N585" s="28" t="str">
        <f>IF(K585="","",ИТОГ!N585)</f>
        <v/>
      </c>
      <c r="O585" s="30" t="str">
        <f t="shared" si="107"/>
        <v/>
      </c>
      <c r="P585" s="24"/>
      <c r="Q585" s="30" t="str">
        <f t="shared" si="108"/>
        <v/>
      </c>
      <c r="R585" s="29" t="str">
        <f t="shared" ca="1" si="109"/>
        <v/>
      </c>
    </row>
    <row r="586" spans="1:18">
      <c r="A586" s="23" t="str">
        <f t="shared" si="99"/>
        <v/>
      </c>
      <c r="B586" s="23" t="str">
        <f t="shared" si="100"/>
        <v/>
      </c>
      <c r="C586" s="29" t="str">
        <f t="shared" ca="1" si="101"/>
        <v/>
      </c>
      <c r="D586" s="22" t="str">
        <f>IF(K586="","",ИТОГ!S586)</f>
        <v/>
      </c>
      <c r="E586" s="24" t="str">
        <f t="shared" si="102"/>
        <v/>
      </c>
      <c r="F586" s="30" t="str">
        <f t="shared" si="103"/>
        <v/>
      </c>
      <c r="G586" s="25" t="str">
        <f t="shared" si="104"/>
        <v/>
      </c>
      <c r="H586" s="29" t="str">
        <f t="shared" ca="1" si="105"/>
        <v/>
      </c>
      <c r="I586" s="24"/>
      <c r="J586" s="30"/>
      <c r="K586" s="27" t="str">
        <f>IF(ИТОГ!A586=0,"",ИТОГ!A586)</f>
        <v/>
      </c>
      <c r="L586" s="26" t="str">
        <f t="shared" si="106"/>
        <v/>
      </c>
      <c r="M586" s="25" t="str">
        <f>IF(K586="","",ИТОГ!Q586)</f>
        <v/>
      </c>
      <c r="N586" s="28" t="str">
        <f>IF(K586="","",ИТОГ!N586)</f>
        <v/>
      </c>
      <c r="O586" s="30" t="str">
        <f t="shared" si="107"/>
        <v/>
      </c>
      <c r="P586" s="24"/>
      <c r="Q586" s="30" t="str">
        <f t="shared" si="108"/>
        <v/>
      </c>
      <c r="R586" s="29" t="str">
        <f t="shared" ca="1" si="109"/>
        <v/>
      </c>
    </row>
    <row r="587" spans="1:18">
      <c r="A587" s="23" t="str">
        <f t="shared" si="99"/>
        <v/>
      </c>
      <c r="B587" s="23" t="str">
        <f t="shared" si="100"/>
        <v/>
      </c>
      <c r="C587" s="29" t="str">
        <f t="shared" ca="1" si="101"/>
        <v/>
      </c>
      <c r="D587" s="22" t="str">
        <f>IF(K587="","",ИТОГ!S587)</f>
        <v/>
      </c>
      <c r="E587" s="24" t="str">
        <f t="shared" si="102"/>
        <v/>
      </c>
      <c r="F587" s="30" t="str">
        <f t="shared" si="103"/>
        <v/>
      </c>
      <c r="G587" s="25" t="str">
        <f t="shared" si="104"/>
        <v/>
      </c>
      <c r="H587" s="29" t="str">
        <f t="shared" ca="1" si="105"/>
        <v/>
      </c>
      <c r="I587" s="24"/>
      <c r="J587" s="30"/>
      <c r="K587" s="27" t="str">
        <f>IF(ИТОГ!A587=0,"",ИТОГ!A587)</f>
        <v/>
      </c>
      <c r="L587" s="26" t="str">
        <f t="shared" si="106"/>
        <v/>
      </c>
      <c r="M587" s="25" t="str">
        <f>IF(K587="","",ИТОГ!Q587)</f>
        <v/>
      </c>
      <c r="N587" s="28" t="str">
        <f>IF(K587="","",ИТОГ!N587)</f>
        <v/>
      </c>
      <c r="O587" s="30" t="str">
        <f t="shared" si="107"/>
        <v/>
      </c>
      <c r="P587" s="24"/>
      <c r="Q587" s="30" t="str">
        <f t="shared" si="108"/>
        <v/>
      </c>
      <c r="R587" s="29" t="str">
        <f t="shared" ca="1" si="109"/>
        <v/>
      </c>
    </row>
    <row r="588" spans="1:18">
      <c r="A588" s="23" t="str">
        <f t="shared" si="99"/>
        <v/>
      </c>
      <c r="B588" s="23" t="str">
        <f t="shared" si="100"/>
        <v/>
      </c>
      <c r="C588" s="29" t="str">
        <f t="shared" ca="1" si="101"/>
        <v/>
      </c>
      <c r="D588" s="22" t="str">
        <f>IF(K588="","",ИТОГ!S588)</f>
        <v/>
      </c>
      <c r="E588" s="24" t="str">
        <f t="shared" si="102"/>
        <v/>
      </c>
      <c r="F588" s="30" t="str">
        <f t="shared" si="103"/>
        <v/>
      </c>
      <c r="G588" s="25" t="str">
        <f t="shared" si="104"/>
        <v/>
      </c>
      <c r="H588" s="29" t="str">
        <f t="shared" ca="1" si="105"/>
        <v/>
      </c>
      <c r="I588" s="24"/>
      <c r="J588" s="30"/>
      <c r="K588" s="27" t="str">
        <f>IF(ИТОГ!A588=0,"",ИТОГ!A588)</f>
        <v/>
      </c>
      <c r="L588" s="26" t="str">
        <f t="shared" si="106"/>
        <v/>
      </c>
      <c r="M588" s="25" t="str">
        <f>IF(K588="","",ИТОГ!Q588)</f>
        <v/>
      </c>
      <c r="N588" s="28" t="str">
        <f>IF(K588="","",ИТОГ!N588)</f>
        <v/>
      </c>
      <c r="O588" s="30" t="str">
        <f t="shared" si="107"/>
        <v/>
      </c>
      <c r="P588" s="24"/>
      <c r="Q588" s="30" t="str">
        <f t="shared" si="108"/>
        <v/>
      </c>
      <c r="R588" s="29" t="str">
        <f t="shared" ca="1" si="109"/>
        <v/>
      </c>
    </row>
    <row r="589" spans="1:18">
      <c r="A589" s="23" t="str">
        <f t="shared" si="99"/>
        <v/>
      </c>
      <c r="B589" s="23" t="str">
        <f t="shared" si="100"/>
        <v/>
      </c>
      <c r="C589" s="29" t="str">
        <f t="shared" ca="1" si="101"/>
        <v/>
      </c>
      <c r="D589" s="22" t="str">
        <f>IF(K589="","",ИТОГ!S589)</f>
        <v/>
      </c>
      <c r="E589" s="24" t="str">
        <f t="shared" si="102"/>
        <v/>
      </c>
      <c r="F589" s="30" t="str">
        <f t="shared" si="103"/>
        <v/>
      </c>
      <c r="G589" s="25" t="str">
        <f t="shared" si="104"/>
        <v/>
      </c>
      <c r="H589" s="29" t="str">
        <f t="shared" ca="1" si="105"/>
        <v/>
      </c>
      <c r="I589" s="24"/>
      <c r="J589" s="30"/>
      <c r="K589" s="27" t="str">
        <f>IF(ИТОГ!A589=0,"",ИТОГ!A589)</f>
        <v/>
      </c>
      <c r="L589" s="26" t="str">
        <f t="shared" si="106"/>
        <v/>
      </c>
      <c r="M589" s="25" t="str">
        <f>IF(K589="","",ИТОГ!Q589)</f>
        <v/>
      </c>
      <c r="N589" s="28" t="str">
        <f>IF(K589="","",ИТОГ!N589)</f>
        <v/>
      </c>
      <c r="O589" s="30" t="str">
        <f t="shared" si="107"/>
        <v/>
      </c>
      <c r="P589" s="24"/>
      <c r="Q589" s="30" t="str">
        <f t="shared" si="108"/>
        <v/>
      </c>
      <c r="R589" s="29" t="str">
        <f t="shared" ca="1" si="109"/>
        <v/>
      </c>
    </row>
    <row r="590" spans="1:18">
      <c r="A590" s="23" t="str">
        <f t="shared" si="99"/>
        <v/>
      </c>
      <c r="B590" s="23" t="str">
        <f t="shared" si="100"/>
        <v/>
      </c>
      <c r="C590" s="29" t="str">
        <f t="shared" ca="1" si="101"/>
        <v/>
      </c>
      <c r="D590" s="22" t="str">
        <f>IF(K590="","",ИТОГ!S590)</f>
        <v/>
      </c>
      <c r="E590" s="24" t="str">
        <f t="shared" si="102"/>
        <v/>
      </c>
      <c r="F590" s="30" t="str">
        <f t="shared" si="103"/>
        <v/>
      </c>
      <c r="G590" s="25" t="str">
        <f t="shared" si="104"/>
        <v/>
      </c>
      <c r="H590" s="29" t="str">
        <f t="shared" ca="1" si="105"/>
        <v/>
      </c>
      <c r="I590" s="24"/>
      <c r="J590" s="30"/>
      <c r="K590" s="27" t="str">
        <f>IF(ИТОГ!A590=0,"",ИТОГ!A590)</f>
        <v/>
      </c>
      <c r="L590" s="26" t="str">
        <f t="shared" si="106"/>
        <v/>
      </c>
      <c r="M590" s="25" t="str">
        <f>IF(K590="","",ИТОГ!Q590)</f>
        <v/>
      </c>
      <c r="N590" s="28" t="str">
        <f>IF(K590="","",ИТОГ!N590)</f>
        <v/>
      </c>
      <c r="O590" s="30" t="str">
        <f t="shared" si="107"/>
        <v/>
      </c>
      <c r="P590" s="24"/>
      <c r="Q590" s="30" t="str">
        <f t="shared" si="108"/>
        <v/>
      </c>
      <c r="R590" s="29" t="str">
        <f t="shared" ca="1" si="109"/>
        <v/>
      </c>
    </row>
    <row r="591" spans="1:18">
      <c r="A591" s="23" t="str">
        <f t="shared" si="99"/>
        <v/>
      </c>
      <c r="B591" s="23" t="str">
        <f t="shared" si="100"/>
        <v/>
      </c>
      <c r="C591" s="29" t="str">
        <f t="shared" ca="1" si="101"/>
        <v/>
      </c>
      <c r="D591" s="22" t="str">
        <f>IF(K591="","",ИТОГ!S591)</f>
        <v/>
      </c>
      <c r="E591" s="24" t="str">
        <f t="shared" si="102"/>
        <v/>
      </c>
      <c r="F591" s="30" t="str">
        <f t="shared" si="103"/>
        <v/>
      </c>
      <c r="G591" s="25" t="str">
        <f t="shared" si="104"/>
        <v/>
      </c>
      <c r="H591" s="29" t="str">
        <f t="shared" ca="1" si="105"/>
        <v/>
      </c>
      <c r="I591" s="24"/>
      <c r="J591" s="30"/>
      <c r="K591" s="27" t="str">
        <f>IF(ИТОГ!A591=0,"",ИТОГ!A591)</f>
        <v/>
      </c>
      <c r="L591" s="26" t="str">
        <f t="shared" si="106"/>
        <v/>
      </c>
      <c r="M591" s="25" t="str">
        <f>IF(K591="","",ИТОГ!Q591)</f>
        <v/>
      </c>
      <c r="N591" s="28" t="str">
        <f>IF(K591="","",ИТОГ!N591)</f>
        <v/>
      </c>
      <c r="O591" s="30" t="str">
        <f t="shared" si="107"/>
        <v/>
      </c>
      <c r="P591" s="24"/>
      <c r="Q591" s="30" t="str">
        <f t="shared" si="108"/>
        <v/>
      </c>
      <c r="R591" s="29" t="str">
        <f t="shared" ca="1" si="109"/>
        <v/>
      </c>
    </row>
    <row r="592" spans="1:18">
      <c r="A592" s="23" t="str">
        <f t="shared" si="99"/>
        <v/>
      </c>
      <c r="B592" s="23" t="str">
        <f t="shared" si="100"/>
        <v/>
      </c>
      <c r="C592" s="29" t="str">
        <f t="shared" ca="1" si="101"/>
        <v/>
      </c>
      <c r="D592" s="22" t="str">
        <f>IF(K592="","",ИТОГ!S592)</f>
        <v/>
      </c>
      <c r="E592" s="24" t="str">
        <f t="shared" si="102"/>
        <v/>
      </c>
      <c r="F592" s="30" t="str">
        <f t="shared" si="103"/>
        <v/>
      </c>
      <c r="G592" s="25" t="str">
        <f t="shared" si="104"/>
        <v/>
      </c>
      <c r="H592" s="29" t="str">
        <f t="shared" ca="1" si="105"/>
        <v/>
      </c>
      <c r="I592" s="24"/>
      <c r="J592" s="30"/>
      <c r="K592" s="27" t="str">
        <f>IF(ИТОГ!A592=0,"",ИТОГ!A592)</f>
        <v/>
      </c>
      <c r="L592" s="26" t="str">
        <f t="shared" si="106"/>
        <v/>
      </c>
      <c r="M592" s="25" t="str">
        <f>IF(K592="","",ИТОГ!Q592)</f>
        <v/>
      </c>
      <c r="N592" s="28" t="str">
        <f>IF(K592="","",ИТОГ!N592)</f>
        <v/>
      </c>
      <c r="O592" s="30" t="str">
        <f t="shared" si="107"/>
        <v/>
      </c>
      <c r="P592" s="24"/>
      <c r="Q592" s="30" t="str">
        <f t="shared" si="108"/>
        <v/>
      </c>
      <c r="R592" s="29" t="str">
        <f t="shared" ca="1" si="109"/>
        <v/>
      </c>
    </row>
    <row r="593" spans="1:18">
      <c r="A593" s="23" t="str">
        <f t="shared" si="99"/>
        <v/>
      </c>
      <c r="B593" s="23" t="str">
        <f t="shared" si="100"/>
        <v/>
      </c>
      <c r="C593" s="29" t="str">
        <f t="shared" ca="1" si="101"/>
        <v/>
      </c>
      <c r="D593" s="22" t="str">
        <f>IF(K593="","",ИТОГ!S593)</f>
        <v/>
      </c>
      <c r="E593" s="24" t="str">
        <f t="shared" si="102"/>
        <v/>
      </c>
      <c r="F593" s="30" t="str">
        <f t="shared" si="103"/>
        <v/>
      </c>
      <c r="G593" s="25" t="str">
        <f t="shared" si="104"/>
        <v/>
      </c>
      <c r="H593" s="29" t="str">
        <f t="shared" ca="1" si="105"/>
        <v/>
      </c>
      <c r="I593" s="24"/>
      <c r="J593" s="30"/>
      <c r="K593" s="27" t="str">
        <f>IF(ИТОГ!A593=0,"",ИТОГ!A593)</f>
        <v/>
      </c>
      <c r="L593" s="26" t="str">
        <f t="shared" si="106"/>
        <v/>
      </c>
      <c r="M593" s="25" t="str">
        <f>IF(K593="","",ИТОГ!Q593)</f>
        <v/>
      </c>
      <c r="N593" s="28" t="str">
        <f>IF(K593="","",ИТОГ!N593)</f>
        <v/>
      </c>
      <c r="O593" s="30" t="str">
        <f t="shared" si="107"/>
        <v/>
      </c>
      <c r="P593" s="24"/>
      <c r="Q593" s="30" t="str">
        <f t="shared" si="108"/>
        <v/>
      </c>
      <c r="R593" s="29" t="str">
        <f t="shared" ca="1" si="109"/>
        <v/>
      </c>
    </row>
    <row r="594" spans="1:18">
      <c r="A594" s="23" t="str">
        <f t="shared" si="99"/>
        <v/>
      </c>
      <c r="B594" s="23" t="str">
        <f t="shared" si="100"/>
        <v/>
      </c>
      <c r="C594" s="29" t="str">
        <f t="shared" ca="1" si="101"/>
        <v/>
      </c>
      <c r="D594" s="22" t="str">
        <f>IF(K594="","",ИТОГ!S594)</f>
        <v/>
      </c>
      <c r="E594" s="24" t="str">
        <f t="shared" si="102"/>
        <v/>
      </c>
      <c r="F594" s="30" t="str">
        <f t="shared" si="103"/>
        <v/>
      </c>
      <c r="G594" s="25" t="str">
        <f t="shared" si="104"/>
        <v/>
      </c>
      <c r="H594" s="29" t="str">
        <f t="shared" ca="1" si="105"/>
        <v/>
      </c>
      <c r="I594" s="24"/>
      <c r="J594" s="30"/>
      <c r="K594" s="27" t="str">
        <f>IF(ИТОГ!A594=0,"",ИТОГ!A594)</f>
        <v/>
      </c>
      <c r="L594" s="26" t="str">
        <f t="shared" si="106"/>
        <v/>
      </c>
      <c r="M594" s="25" t="str">
        <f>IF(K594="","",ИТОГ!Q594)</f>
        <v/>
      </c>
      <c r="N594" s="28" t="str">
        <f>IF(K594="","",ИТОГ!N594)</f>
        <v/>
      </c>
      <c r="O594" s="30" t="str">
        <f t="shared" si="107"/>
        <v/>
      </c>
      <c r="P594" s="24"/>
      <c r="Q594" s="30" t="str">
        <f t="shared" si="108"/>
        <v/>
      </c>
      <c r="R594" s="29" t="str">
        <f t="shared" ca="1" si="109"/>
        <v/>
      </c>
    </row>
    <row r="595" spans="1:18">
      <c r="A595" s="23" t="str">
        <f t="shared" si="99"/>
        <v/>
      </c>
      <c r="B595" s="23" t="str">
        <f t="shared" si="100"/>
        <v/>
      </c>
      <c r="C595" s="29" t="str">
        <f t="shared" ca="1" si="101"/>
        <v/>
      </c>
      <c r="D595" s="22" t="str">
        <f>IF(K595="","",ИТОГ!S595)</f>
        <v/>
      </c>
      <c r="E595" s="24" t="str">
        <f t="shared" si="102"/>
        <v/>
      </c>
      <c r="F595" s="30" t="str">
        <f t="shared" si="103"/>
        <v/>
      </c>
      <c r="G595" s="25" t="str">
        <f t="shared" si="104"/>
        <v/>
      </c>
      <c r="H595" s="29" t="str">
        <f t="shared" ca="1" si="105"/>
        <v/>
      </c>
      <c r="I595" s="24"/>
      <c r="J595" s="30"/>
      <c r="K595" s="27" t="str">
        <f>IF(ИТОГ!A595=0,"",ИТОГ!A595)</f>
        <v/>
      </c>
      <c r="L595" s="26" t="str">
        <f t="shared" si="106"/>
        <v/>
      </c>
      <c r="M595" s="25" t="str">
        <f>IF(K595="","",ИТОГ!Q595)</f>
        <v/>
      </c>
      <c r="N595" s="28" t="str">
        <f>IF(K595="","",ИТОГ!N595)</f>
        <v/>
      </c>
      <c r="O595" s="30" t="str">
        <f t="shared" si="107"/>
        <v/>
      </c>
      <c r="P595" s="24"/>
      <c r="Q595" s="30" t="str">
        <f t="shared" si="108"/>
        <v/>
      </c>
      <c r="R595" s="29" t="str">
        <f t="shared" ca="1" si="109"/>
        <v/>
      </c>
    </row>
    <row r="596" spans="1:18">
      <c r="A596" s="23" t="str">
        <f t="shared" si="99"/>
        <v/>
      </c>
      <c r="B596" s="23" t="str">
        <f t="shared" si="100"/>
        <v/>
      </c>
      <c r="C596" s="29" t="str">
        <f t="shared" ca="1" si="101"/>
        <v/>
      </c>
      <c r="D596" s="22" t="str">
        <f>IF(K596="","",ИТОГ!S596)</f>
        <v/>
      </c>
      <c r="E596" s="24" t="str">
        <f t="shared" si="102"/>
        <v/>
      </c>
      <c r="F596" s="30" t="str">
        <f t="shared" si="103"/>
        <v/>
      </c>
      <c r="G596" s="25" t="str">
        <f t="shared" si="104"/>
        <v/>
      </c>
      <c r="H596" s="29" t="str">
        <f t="shared" ca="1" si="105"/>
        <v/>
      </c>
      <c r="I596" s="24"/>
      <c r="J596" s="30"/>
      <c r="K596" s="27" t="str">
        <f>IF(ИТОГ!A596=0,"",ИТОГ!A596)</f>
        <v/>
      </c>
      <c r="L596" s="26" t="str">
        <f t="shared" si="106"/>
        <v/>
      </c>
      <c r="M596" s="25" t="str">
        <f>IF(K596="","",ИТОГ!Q596)</f>
        <v/>
      </c>
      <c r="N596" s="28" t="str">
        <f>IF(K596="","",ИТОГ!N596)</f>
        <v/>
      </c>
      <c r="O596" s="30" t="str">
        <f t="shared" si="107"/>
        <v/>
      </c>
      <c r="P596" s="24"/>
      <c r="Q596" s="30" t="str">
        <f t="shared" si="108"/>
        <v/>
      </c>
      <c r="R596" s="29" t="str">
        <f t="shared" ca="1" si="109"/>
        <v/>
      </c>
    </row>
    <row r="597" spans="1:18">
      <c r="A597" s="23" t="str">
        <f t="shared" si="99"/>
        <v/>
      </c>
      <c r="B597" s="23" t="str">
        <f t="shared" si="100"/>
        <v/>
      </c>
      <c r="C597" s="29" t="str">
        <f t="shared" ca="1" si="101"/>
        <v/>
      </c>
      <c r="D597" s="22" t="str">
        <f>IF(K597="","",ИТОГ!S597)</f>
        <v/>
      </c>
      <c r="E597" s="24" t="str">
        <f t="shared" si="102"/>
        <v/>
      </c>
      <c r="F597" s="30" t="str">
        <f t="shared" si="103"/>
        <v/>
      </c>
      <c r="G597" s="25" t="str">
        <f t="shared" si="104"/>
        <v/>
      </c>
      <c r="H597" s="29" t="str">
        <f t="shared" ca="1" si="105"/>
        <v/>
      </c>
      <c r="I597" s="24"/>
      <c r="J597" s="30"/>
      <c r="K597" s="27" t="str">
        <f>IF(ИТОГ!A597=0,"",ИТОГ!A597)</f>
        <v/>
      </c>
      <c r="L597" s="26" t="str">
        <f t="shared" si="106"/>
        <v/>
      </c>
      <c r="M597" s="25" t="str">
        <f>IF(K597="","",ИТОГ!Q597)</f>
        <v/>
      </c>
      <c r="N597" s="28" t="str">
        <f>IF(K597="","",ИТОГ!N597)</f>
        <v/>
      </c>
      <c r="O597" s="30" t="str">
        <f t="shared" si="107"/>
        <v/>
      </c>
      <c r="P597" s="24"/>
      <c r="Q597" s="30" t="str">
        <f t="shared" si="108"/>
        <v/>
      </c>
      <c r="R597" s="29" t="str">
        <f t="shared" ca="1" si="109"/>
        <v/>
      </c>
    </row>
    <row r="598" spans="1:18">
      <c r="A598" s="23" t="str">
        <f t="shared" si="99"/>
        <v/>
      </c>
      <c r="B598" s="23" t="str">
        <f t="shared" si="100"/>
        <v/>
      </c>
      <c r="C598" s="29" t="str">
        <f t="shared" ca="1" si="101"/>
        <v/>
      </c>
      <c r="D598" s="22" t="str">
        <f>IF(K598="","",ИТОГ!S598)</f>
        <v/>
      </c>
      <c r="E598" s="24" t="str">
        <f t="shared" si="102"/>
        <v/>
      </c>
      <c r="F598" s="30" t="str">
        <f t="shared" si="103"/>
        <v/>
      </c>
      <c r="G598" s="25" t="str">
        <f t="shared" si="104"/>
        <v/>
      </c>
      <c r="H598" s="29" t="str">
        <f t="shared" ca="1" si="105"/>
        <v/>
      </c>
      <c r="I598" s="24"/>
      <c r="J598" s="30"/>
      <c r="K598" s="27" t="str">
        <f>IF(ИТОГ!A598=0,"",ИТОГ!A598)</f>
        <v/>
      </c>
      <c r="L598" s="26" t="str">
        <f t="shared" si="106"/>
        <v/>
      </c>
      <c r="M598" s="25" t="str">
        <f>IF(K598="","",ИТОГ!Q598)</f>
        <v/>
      </c>
      <c r="N598" s="28" t="str">
        <f>IF(K598="","",ИТОГ!N598)</f>
        <v/>
      </c>
      <c r="O598" s="30" t="str">
        <f t="shared" si="107"/>
        <v/>
      </c>
      <c r="P598" s="24"/>
      <c r="Q598" s="30" t="str">
        <f t="shared" si="108"/>
        <v/>
      </c>
      <c r="R598" s="29" t="str">
        <f t="shared" ca="1" si="109"/>
        <v/>
      </c>
    </row>
    <row r="599" spans="1:18">
      <c r="A599" s="23" t="str">
        <f t="shared" si="99"/>
        <v/>
      </c>
      <c r="B599" s="23" t="str">
        <f t="shared" si="100"/>
        <v/>
      </c>
      <c r="C599" s="29" t="str">
        <f t="shared" ca="1" si="101"/>
        <v/>
      </c>
      <c r="D599" s="22" t="str">
        <f>IF(K599="","",ИТОГ!S599)</f>
        <v/>
      </c>
      <c r="E599" s="24" t="str">
        <f t="shared" si="102"/>
        <v/>
      </c>
      <c r="F599" s="30" t="str">
        <f t="shared" si="103"/>
        <v/>
      </c>
      <c r="G599" s="25" t="str">
        <f t="shared" si="104"/>
        <v/>
      </c>
      <c r="H599" s="29" t="str">
        <f t="shared" ca="1" si="105"/>
        <v/>
      </c>
      <c r="I599" s="24"/>
      <c r="J599" s="30"/>
      <c r="K599" s="27" t="str">
        <f>IF(ИТОГ!A599=0,"",ИТОГ!A599)</f>
        <v/>
      </c>
      <c r="L599" s="26" t="str">
        <f t="shared" si="106"/>
        <v/>
      </c>
      <c r="M599" s="25" t="str">
        <f>IF(K599="","",ИТОГ!Q599)</f>
        <v/>
      </c>
      <c r="N599" s="28" t="str">
        <f>IF(K599="","",ИТОГ!N599)</f>
        <v/>
      </c>
      <c r="O599" s="30" t="str">
        <f t="shared" si="107"/>
        <v/>
      </c>
      <c r="P599" s="24"/>
      <c r="Q599" s="30" t="str">
        <f t="shared" si="108"/>
        <v/>
      </c>
      <c r="R599" s="29" t="str">
        <f t="shared" ca="1" si="109"/>
        <v/>
      </c>
    </row>
    <row r="600" spans="1:18">
      <c r="A600" s="23" t="str">
        <f t="shared" si="99"/>
        <v/>
      </c>
      <c r="B600" s="23" t="str">
        <f t="shared" si="100"/>
        <v/>
      </c>
      <c r="C600" s="29" t="str">
        <f t="shared" ca="1" si="101"/>
        <v/>
      </c>
      <c r="D600" s="22" t="str">
        <f>IF(K600="","",ИТОГ!S600)</f>
        <v/>
      </c>
      <c r="E600" s="24" t="str">
        <f t="shared" si="102"/>
        <v/>
      </c>
      <c r="F600" s="30" t="str">
        <f t="shared" si="103"/>
        <v/>
      </c>
      <c r="G600" s="25" t="str">
        <f t="shared" si="104"/>
        <v/>
      </c>
      <c r="H600" s="29" t="str">
        <f t="shared" ca="1" si="105"/>
        <v/>
      </c>
      <c r="I600" s="24"/>
      <c r="J600" s="30"/>
      <c r="K600" s="27" t="str">
        <f>IF(ИТОГ!A600=0,"",ИТОГ!A600)</f>
        <v/>
      </c>
      <c r="L600" s="26" t="str">
        <f t="shared" si="106"/>
        <v/>
      </c>
      <c r="M600" s="25" t="str">
        <f>IF(K600="","",ИТОГ!Q600)</f>
        <v/>
      </c>
      <c r="N600" s="28" t="str">
        <f>IF(K600="","",ИТОГ!N600)</f>
        <v/>
      </c>
      <c r="O600" s="30" t="str">
        <f t="shared" si="107"/>
        <v/>
      </c>
      <c r="P600" s="24"/>
      <c r="Q600" s="30" t="str">
        <f t="shared" si="108"/>
        <v/>
      </c>
      <c r="R600" s="29" t="str">
        <f t="shared" ca="1" si="109"/>
        <v/>
      </c>
    </row>
    <row r="601" spans="1:18">
      <c r="A601" s="23" t="str">
        <f t="shared" si="99"/>
        <v/>
      </c>
      <c r="B601" s="23" t="str">
        <f t="shared" si="100"/>
        <v/>
      </c>
      <c r="C601" s="29" t="str">
        <f t="shared" ca="1" si="101"/>
        <v/>
      </c>
      <c r="D601" s="22" t="str">
        <f>IF(K601="","",ИТОГ!S601)</f>
        <v/>
      </c>
      <c r="E601" s="24" t="str">
        <f t="shared" si="102"/>
        <v/>
      </c>
      <c r="F601" s="30" t="str">
        <f t="shared" si="103"/>
        <v/>
      </c>
      <c r="G601" s="25" t="str">
        <f t="shared" si="104"/>
        <v/>
      </c>
      <c r="H601" s="29" t="str">
        <f t="shared" ca="1" si="105"/>
        <v/>
      </c>
      <c r="I601" s="24"/>
      <c r="J601" s="30"/>
      <c r="K601" s="27" t="str">
        <f>IF(ИТОГ!A601=0,"",ИТОГ!A601)</f>
        <v/>
      </c>
      <c r="L601" s="26" t="str">
        <f t="shared" si="106"/>
        <v/>
      </c>
      <c r="M601" s="25" t="str">
        <f>IF(K601="","",ИТОГ!Q601)</f>
        <v/>
      </c>
      <c r="N601" s="28" t="str">
        <f>IF(K601="","",ИТОГ!N601)</f>
        <v/>
      </c>
      <c r="O601" s="30" t="str">
        <f t="shared" si="107"/>
        <v/>
      </c>
      <c r="P601" s="24"/>
      <c r="Q601" s="30" t="str">
        <f t="shared" si="108"/>
        <v/>
      </c>
      <c r="R601" s="29" t="str">
        <f t="shared" ca="1" si="109"/>
        <v/>
      </c>
    </row>
    <row r="602" spans="1:18">
      <c r="A602" s="23" t="str">
        <f t="shared" si="99"/>
        <v/>
      </c>
      <c r="B602" s="23" t="str">
        <f t="shared" si="100"/>
        <v/>
      </c>
      <c r="C602" s="29" t="str">
        <f t="shared" ca="1" si="101"/>
        <v/>
      </c>
      <c r="D602" s="22" t="str">
        <f>IF(K602="","",ИТОГ!S602)</f>
        <v/>
      </c>
      <c r="E602" s="24" t="str">
        <f t="shared" si="102"/>
        <v/>
      </c>
      <c r="F602" s="30" t="str">
        <f t="shared" si="103"/>
        <v/>
      </c>
      <c r="G602" s="25" t="str">
        <f t="shared" si="104"/>
        <v/>
      </c>
      <c r="H602" s="29" t="str">
        <f t="shared" ca="1" si="105"/>
        <v/>
      </c>
      <c r="I602" s="24"/>
      <c r="J602" s="30"/>
      <c r="K602" s="27" t="str">
        <f>IF(ИТОГ!A602=0,"",ИТОГ!A602)</f>
        <v/>
      </c>
      <c r="L602" s="26" t="str">
        <f t="shared" si="106"/>
        <v/>
      </c>
      <c r="M602" s="25" t="str">
        <f>IF(K602="","",ИТОГ!Q602)</f>
        <v/>
      </c>
      <c r="N602" s="28" t="str">
        <f>IF(K602="","",ИТОГ!N602)</f>
        <v/>
      </c>
      <c r="O602" s="30" t="str">
        <f t="shared" si="107"/>
        <v/>
      </c>
      <c r="P602" s="24"/>
      <c r="Q602" s="30" t="str">
        <f t="shared" si="108"/>
        <v/>
      </c>
      <c r="R602" s="29" t="str">
        <f t="shared" ca="1" si="109"/>
        <v/>
      </c>
    </row>
    <row r="603" spans="1:18">
      <c r="A603" s="23" t="str">
        <f t="shared" si="99"/>
        <v/>
      </c>
      <c r="B603" s="23" t="str">
        <f t="shared" si="100"/>
        <v/>
      </c>
      <c r="C603" s="29" t="str">
        <f t="shared" ca="1" si="101"/>
        <v/>
      </c>
      <c r="D603" s="22" t="str">
        <f>IF(K603="","",ИТОГ!S603)</f>
        <v/>
      </c>
      <c r="E603" s="24" t="str">
        <f t="shared" si="102"/>
        <v/>
      </c>
      <c r="F603" s="30" t="str">
        <f t="shared" si="103"/>
        <v/>
      </c>
      <c r="G603" s="25" t="str">
        <f t="shared" si="104"/>
        <v/>
      </c>
      <c r="H603" s="29" t="str">
        <f t="shared" ca="1" si="105"/>
        <v/>
      </c>
      <c r="I603" s="24"/>
      <c r="J603" s="30"/>
      <c r="K603" s="27" t="str">
        <f>IF(ИТОГ!A603=0,"",ИТОГ!A603)</f>
        <v/>
      </c>
      <c r="L603" s="26" t="str">
        <f t="shared" si="106"/>
        <v/>
      </c>
      <c r="M603" s="25" t="str">
        <f>IF(K603="","",ИТОГ!Q603)</f>
        <v/>
      </c>
      <c r="N603" s="28" t="str">
        <f>IF(K603="","",ИТОГ!N603)</f>
        <v/>
      </c>
      <c r="O603" s="30" t="str">
        <f t="shared" si="107"/>
        <v/>
      </c>
      <c r="P603" s="24"/>
      <c r="Q603" s="30" t="str">
        <f t="shared" si="108"/>
        <v/>
      </c>
      <c r="R603" s="29" t="str">
        <f t="shared" ca="1" si="109"/>
        <v/>
      </c>
    </row>
    <row r="604" spans="1:18">
      <c r="A604" s="23" t="str">
        <f t="shared" si="99"/>
        <v/>
      </c>
      <c r="B604" s="23" t="str">
        <f t="shared" si="100"/>
        <v/>
      </c>
      <c r="C604" s="29" t="str">
        <f t="shared" ca="1" si="101"/>
        <v/>
      </c>
      <c r="D604" s="22" t="str">
        <f>IF(K604="","",ИТОГ!S604)</f>
        <v/>
      </c>
      <c r="E604" s="24" t="str">
        <f t="shared" si="102"/>
        <v/>
      </c>
      <c r="F604" s="30" t="str">
        <f t="shared" si="103"/>
        <v/>
      </c>
      <c r="G604" s="25" t="str">
        <f t="shared" si="104"/>
        <v/>
      </c>
      <c r="H604" s="29" t="str">
        <f t="shared" ca="1" si="105"/>
        <v/>
      </c>
      <c r="I604" s="24"/>
      <c r="J604" s="30"/>
      <c r="K604" s="27" t="str">
        <f>IF(ИТОГ!A604=0,"",ИТОГ!A604)</f>
        <v/>
      </c>
      <c r="L604" s="26" t="str">
        <f t="shared" si="106"/>
        <v/>
      </c>
      <c r="M604" s="25" t="str">
        <f>IF(K604="","",ИТОГ!Q604)</f>
        <v/>
      </c>
      <c r="N604" s="28" t="str">
        <f>IF(K604="","",ИТОГ!N604)</f>
        <v/>
      </c>
      <c r="O604" s="30" t="str">
        <f t="shared" si="107"/>
        <v/>
      </c>
      <c r="P604" s="24"/>
      <c r="Q604" s="30" t="str">
        <f t="shared" si="108"/>
        <v/>
      </c>
      <c r="R604" s="29" t="str">
        <f t="shared" ca="1" si="109"/>
        <v/>
      </c>
    </row>
    <row r="605" spans="1:18">
      <c r="A605" s="23" t="str">
        <f t="shared" si="99"/>
        <v/>
      </c>
      <c r="B605" s="23" t="str">
        <f t="shared" si="100"/>
        <v/>
      </c>
      <c r="C605" s="29" t="str">
        <f t="shared" ca="1" si="101"/>
        <v/>
      </c>
      <c r="D605" s="22" t="str">
        <f>IF(K605="","",ИТОГ!S605)</f>
        <v/>
      </c>
      <c r="E605" s="24" t="str">
        <f t="shared" si="102"/>
        <v/>
      </c>
      <c r="F605" s="30" t="str">
        <f t="shared" si="103"/>
        <v/>
      </c>
      <c r="G605" s="25" t="str">
        <f t="shared" si="104"/>
        <v/>
      </c>
      <c r="H605" s="29" t="str">
        <f t="shared" ca="1" si="105"/>
        <v/>
      </c>
      <c r="I605" s="24"/>
      <c r="J605" s="30"/>
      <c r="K605" s="27" t="str">
        <f>IF(ИТОГ!A605=0,"",ИТОГ!A605)</f>
        <v/>
      </c>
      <c r="L605" s="26" t="str">
        <f t="shared" si="106"/>
        <v/>
      </c>
      <c r="M605" s="25" t="str">
        <f>IF(K605="","",ИТОГ!Q605)</f>
        <v/>
      </c>
      <c r="N605" s="28" t="str">
        <f>IF(K605="","",ИТОГ!N605)</f>
        <v/>
      </c>
      <c r="O605" s="30" t="str">
        <f t="shared" si="107"/>
        <v/>
      </c>
      <c r="P605" s="24"/>
      <c r="Q605" s="30" t="str">
        <f t="shared" si="108"/>
        <v/>
      </c>
      <c r="R605" s="29" t="str">
        <f t="shared" ca="1" si="109"/>
        <v/>
      </c>
    </row>
    <row r="606" spans="1:18">
      <c r="A606" s="23" t="str">
        <f t="shared" ref="A606:A669" si="110">IF(K606="","",1000)</f>
        <v/>
      </c>
      <c r="B606" s="23" t="str">
        <f t="shared" ref="B606:B669" si="111">IF(K606="","",1)</f>
        <v/>
      </c>
      <c r="C606" s="29" t="str">
        <f t="shared" ref="C606:C669" ca="1" si="112">IF(K606="","",TODAY())</f>
        <v/>
      </c>
      <c r="D606" s="22" t="str">
        <f>IF(K606="","",ИТОГ!S606)</f>
        <v/>
      </c>
      <c r="E606" s="24" t="str">
        <f t="shared" ref="E606:E669" si="113">IF(K606="","","Х")</f>
        <v/>
      </c>
      <c r="F606" s="30" t="str">
        <f t="shared" ref="F606:F669" si="114">IF(K606="","","UV")</f>
        <v/>
      </c>
      <c r="G606" s="25" t="str">
        <f t="shared" ref="G606:G669" si="115">IF(K606="","",SUMIF(D:D,D606,M:M))</f>
        <v/>
      </c>
      <c r="H606" s="29" t="str">
        <f t="shared" ref="H606:H669" ca="1" si="116">IF(K606="","",TODAY())</f>
        <v/>
      </c>
      <c r="I606" s="24"/>
      <c r="J606" s="30"/>
      <c r="K606" s="27" t="str">
        <f>IF(ИТОГ!A606=0,"",ИТОГ!A606)</f>
        <v/>
      </c>
      <c r="L606" s="26" t="str">
        <f t="shared" ref="L606:L669" si="117">IF(K606="","",
IF(D605-D606=0,L605+10,10))</f>
        <v/>
      </c>
      <c r="M606" s="25" t="str">
        <f>IF(K606="","",ИТОГ!Q606)</f>
        <v/>
      </c>
      <c r="N606" s="28" t="str">
        <f>IF(K606="","",ИТОГ!N606)</f>
        <v/>
      </c>
      <c r="O606" s="30" t="str">
        <f t="shared" ref="O606:O669" si="118">IF(K606="","","ST")</f>
        <v/>
      </c>
      <c r="P606" s="24"/>
      <c r="Q606" s="30" t="str">
        <f t="shared" ref="Q606:Q669" si="119">IF(K606="","","EUR")</f>
        <v/>
      </c>
      <c r="R606" s="29" t="str">
        <f t="shared" ref="R606:R669" ca="1" si="120">IF(K606="","",TODAY())</f>
        <v/>
      </c>
    </row>
    <row r="607" spans="1:18">
      <c r="A607" s="23" t="str">
        <f t="shared" si="110"/>
        <v/>
      </c>
      <c r="B607" s="23" t="str">
        <f t="shared" si="111"/>
        <v/>
      </c>
      <c r="C607" s="29" t="str">
        <f t="shared" ca="1" si="112"/>
        <v/>
      </c>
      <c r="D607" s="22" t="str">
        <f>IF(K607="","",ИТОГ!S607)</f>
        <v/>
      </c>
      <c r="E607" s="24" t="str">
        <f t="shared" si="113"/>
        <v/>
      </c>
      <c r="F607" s="30" t="str">
        <f t="shared" si="114"/>
        <v/>
      </c>
      <c r="G607" s="25" t="str">
        <f t="shared" si="115"/>
        <v/>
      </c>
      <c r="H607" s="29" t="str">
        <f t="shared" ca="1" si="116"/>
        <v/>
      </c>
      <c r="I607" s="24"/>
      <c r="J607" s="30"/>
      <c r="K607" s="27" t="str">
        <f>IF(ИТОГ!A607=0,"",ИТОГ!A607)</f>
        <v/>
      </c>
      <c r="L607" s="26" t="str">
        <f t="shared" si="117"/>
        <v/>
      </c>
      <c r="M607" s="25" t="str">
        <f>IF(K607="","",ИТОГ!Q607)</f>
        <v/>
      </c>
      <c r="N607" s="28" t="str">
        <f>IF(K607="","",ИТОГ!N607)</f>
        <v/>
      </c>
      <c r="O607" s="30" t="str">
        <f t="shared" si="118"/>
        <v/>
      </c>
      <c r="P607" s="24"/>
      <c r="Q607" s="30" t="str">
        <f t="shared" si="119"/>
        <v/>
      </c>
      <c r="R607" s="29" t="str">
        <f t="shared" ca="1" si="120"/>
        <v/>
      </c>
    </row>
    <row r="608" spans="1:18">
      <c r="A608" s="23" t="str">
        <f t="shared" si="110"/>
        <v/>
      </c>
      <c r="B608" s="23" t="str">
        <f t="shared" si="111"/>
        <v/>
      </c>
      <c r="C608" s="29" t="str">
        <f t="shared" ca="1" si="112"/>
        <v/>
      </c>
      <c r="D608" s="22" t="str">
        <f>IF(K608="","",ИТОГ!S608)</f>
        <v/>
      </c>
      <c r="E608" s="24" t="str">
        <f t="shared" si="113"/>
        <v/>
      </c>
      <c r="F608" s="30" t="str">
        <f t="shared" si="114"/>
        <v/>
      </c>
      <c r="G608" s="25" t="str">
        <f t="shared" si="115"/>
        <v/>
      </c>
      <c r="H608" s="29" t="str">
        <f t="shared" ca="1" si="116"/>
        <v/>
      </c>
      <c r="I608" s="24"/>
      <c r="J608" s="30"/>
      <c r="K608" s="27" t="str">
        <f>IF(ИТОГ!A608=0,"",ИТОГ!A608)</f>
        <v/>
      </c>
      <c r="L608" s="26" t="str">
        <f t="shared" si="117"/>
        <v/>
      </c>
      <c r="M608" s="25" t="str">
        <f>IF(K608="","",ИТОГ!Q608)</f>
        <v/>
      </c>
      <c r="N608" s="28" t="str">
        <f>IF(K608="","",ИТОГ!N608)</f>
        <v/>
      </c>
      <c r="O608" s="30" t="str">
        <f t="shared" si="118"/>
        <v/>
      </c>
      <c r="P608" s="24"/>
      <c r="Q608" s="30" t="str">
        <f t="shared" si="119"/>
        <v/>
      </c>
      <c r="R608" s="29" t="str">
        <f t="shared" ca="1" si="120"/>
        <v/>
      </c>
    </row>
    <row r="609" spans="1:18">
      <c r="A609" s="23" t="str">
        <f t="shared" si="110"/>
        <v/>
      </c>
      <c r="B609" s="23" t="str">
        <f t="shared" si="111"/>
        <v/>
      </c>
      <c r="C609" s="29" t="str">
        <f t="shared" ca="1" si="112"/>
        <v/>
      </c>
      <c r="D609" s="22" t="str">
        <f>IF(K609="","",ИТОГ!S609)</f>
        <v/>
      </c>
      <c r="E609" s="24" t="str">
        <f t="shared" si="113"/>
        <v/>
      </c>
      <c r="F609" s="30" t="str">
        <f t="shared" si="114"/>
        <v/>
      </c>
      <c r="G609" s="25" t="str">
        <f t="shared" si="115"/>
        <v/>
      </c>
      <c r="H609" s="29" t="str">
        <f t="shared" ca="1" si="116"/>
        <v/>
      </c>
      <c r="I609" s="24"/>
      <c r="J609" s="30"/>
      <c r="K609" s="27" t="str">
        <f>IF(ИТОГ!A609=0,"",ИТОГ!A609)</f>
        <v/>
      </c>
      <c r="L609" s="26" t="str">
        <f t="shared" si="117"/>
        <v/>
      </c>
      <c r="M609" s="25" t="str">
        <f>IF(K609="","",ИТОГ!Q609)</f>
        <v/>
      </c>
      <c r="N609" s="28" t="str">
        <f>IF(K609="","",ИТОГ!N609)</f>
        <v/>
      </c>
      <c r="O609" s="30" t="str">
        <f t="shared" si="118"/>
        <v/>
      </c>
      <c r="P609" s="24"/>
      <c r="Q609" s="30" t="str">
        <f t="shared" si="119"/>
        <v/>
      </c>
      <c r="R609" s="29" t="str">
        <f t="shared" ca="1" si="120"/>
        <v/>
      </c>
    </row>
    <row r="610" spans="1:18">
      <c r="A610" s="23" t="str">
        <f t="shared" si="110"/>
        <v/>
      </c>
      <c r="B610" s="23" t="str">
        <f t="shared" si="111"/>
        <v/>
      </c>
      <c r="C610" s="29" t="str">
        <f t="shared" ca="1" si="112"/>
        <v/>
      </c>
      <c r="D610" s="22" t="str">
        <f>IF(K610="","",ИТОГ!S610)</f>
        <v/>
      </c>
      <c r="E610" s="24" t="str">
        <f t="shared" si="113"/>
        <v/>
      </c>
      <c r="F610" s="30" t="str">
        <f t="shared" si="114"/>
        <v/>
      </c>
      <c r="G610" s="25" t="str">
        <f t="shared" si="115"/>
        <v/>
      </c>
      <c r="H610" s="29" t="str">
        <f t="shared" ca="1" si="116"/>
        <v/>
      </c>
      <c r="I610" s="24"/>
      <c r="J610" s="30"/>
      <c r="K610" s="27" t="str">
        <f>IF(ИТОГ!A610=0,"",ИТОГ!A610)</f>
        <v/>
      </c>
      <c r="L610" s="26" t="str">
        <f t="shared" si="117"/>
        <v/>
      </c>
      <c r="M610" s="25" t="str">
        <f>IF(K610="","",ИТОГ!Q610)</f>
        <v/>
      </c>
      <c r="N610" s="28" t="str">
        <f>IF(K610="","",ИТОГ!N610)</f>
        <v/>
      </c>
      <c r="O610" s="30" t="str">
        <f t="shared" si="118"/>
        <v/>
      </c>
      <c r="P610" s="24"/>
      <c r="Q610" s="30" t="str">
        <f t="shared" si="119"/>
        <v/>
      </c>
      <c r="R610" s="29" t="str">
        <f t="shared" ca="1" si="120"/>
        <v/>
      </c>
    </row>
    <row r="611" spans="1:18">
      <c r="A611" s="23" t="str">
        <f t="shared" si="110"/>
        <v/>
      </c>
      <c r="B611" s="23" t="str">
        <f t="shared" si="111"/>
        <v/>
      </c>
      <c r="C611" s="29" t="str">
        <f t="shared" ca="1" si="112"/>
        <v/>
      </c>
      <c r="D611" s="22" t="str">
        <f>IF(K611="","",ИТОГ!S611)</f>
        <v/>
      </c>
      <c r="E611" s="24" t="str">
        <f t="shared" si="113"/>
        <v/>
      </c>
      <c r="F611" s="30" t="str">
        <f t="shared" si="114"/>
        <v/>
      </c>
      <c r="G611" s="25" t="str">
        <f t="shared" si="115"/>
        <v/>
      </c>
      <c r="H611" s="29" t="str">
        <f t="shared" ca="1" si="116"/>
        <v/>
      </c>
      <c r="I611" s="24"/>
      <c r="J611" s="30"/>
      <c r="K611" s="27" t="str">
        <f>IF(ИТОГ!A611=0,"",ИТОГ!A611)</f>
        <v/>
      </c>
      <c r="L611" s="26" t="str">
        <f t="shared" si="117"/>
        <v/>
      </c>
      <c r="M611" s="25" t="str">
        <f>IF(K611="","",ИТОГ!Q611)</f>
        <v/>
      </c>
      <c r="N611" s="28" t="str">
        <f>IF(K611="","",ИТОГ!N611)</f>
        <v/>
      </c>
      <c r="O611" s="30" t="str">
        <f t="shared" si="118"/>
        <v/>
      </c>
      <c r="P611" s="24"/>
      <c r="Q611" s="30" t="str">
        <f t="shared" si="119"/>
        <v/>
      </c>
      <c r="R611" s="29" t="str">
        <f t="shared" ca="1" si="120"/>
        <v/>
      </c>
    </row>
    <row r="612" spans="1:18">
      <c r="A612" s="23" t="str">
        <f t="shared" si="110"/>
        <v/>
      </c>
      <c r="B612" s="23" t="str">
        <f t="shared" si="111"/>
        <v/>
      </c>
      <c r="C612" s="29" t="str">
        <f t="shared" ca="1" si="112"/>
        <v/>
      </c>
      <c r="D612" s="22" t="str">
        <f>IF(K612="","",ИТОГ!S612)</f>
        <v/>
      </c>
      <c r="E612" s="24" t="str">
        <f t="shared" si="113"/>
        <v/>
      </c>
      <c r="F612" s="30" t="str">
        <f t="shared" si="114"/>
        <v/>
      </c>
      <c r="G612" s="25" t="str">
        <f t="shared" si="115"/>
        <v/>
      </c>
      <c r="H612" s="29" t="str">
        <f t="shared" ca="1" si="116"/>
        <v/>
      </c>
      <c r="I612" s="24"/>
      <c r="J612" s="30"/>
      <c r="K612" s="27" t="str">
        <f>IF(ИТОГ!A612=0,"",ИТОГ!A612)</f>
        <v/>
      </c>
      <c r="L612" s="26" t="str">
        <f t="shared" si="117"/>
        <v/>
      </c>
      <c r="M612" s="25" t="str">
        <f>IF(K612="","",ИТОГ!Q612)</f>
        <v/>
      </c>
      <c r="N612" s="28" t="str">
        <f>IF(K612="","",ИТОГ!N612)</f>
        <v/>
      </c>
      <c r="O612" s="30" t="str">
        <f t="shared" si="118"/>
        <v/>
      </c>
      <c r="P612" s="24"/>
      <c r="Q612" s="30" t="str">
        <f t="shared" si="119"/>
        <v/>
      </c>
      <c r="R612" s="29" t="str">
        <f t="shared" ca="1" si="120"/>
        <v/>
      </c>
    </row>
    <row r="613" spans="1:18">
      <c r="A613" s="23" t="str">
        <f t="shared" si="110"/>
        <v/>
      </c>
      <c r="B613" s="23" t="str">
        <f t="shared" si="111"/>
        <v/>
      </c>
      <c r="C613" s="29" t="str">
        <f t="shared" ca="1" si="112"/>
        <v/>
      </c>
      <c r="D613" s="22" t="str">
        <f>IF(K613="","",ИТОГ!S613)</f>
        <v/>
      </c>
      <c r="E613" s="24" t="str">
        <f t="shared" si="113"/>
        <v/>
      </c>
      <c r="F613" s="30" t="str">
        <f t="shared" si="114"/>
        <v/>
      </c>
      <c r="G613" s="25" t="str">
        <f t="shared" si="115"/>
        <v/>
      </c>
      <c r="H613" s="29" t="str">
        <f t="shared" ca="1" si="116"/>
        <v/>
      </c>
      <c r="I613" s="24"/>
      <c r="J613" s="30"/>
      <c r="K613" s="27" t="str">
        <f>IF(ИТОГ!A613=0,"",ИТОГ!A613)</f>
        <v/>
      </c>
      <c r="L613" s="26" t="str">
        <f t="shared" si="117"/>
        <v/>
      </c>
      <c r="M613" s="25" t="str">
        <f>IF(K613="","",ИТОГ!Q613)</f>
        <v/>
      </c>
      <c r="N613" s="28" t="str">
        <f>IF(K613="","",ИТОГ!N613)</f>
        <v/>
      </c>
      <c r="O613" s="30" t="str">
        <f t="shared" si="118"/>
        <v/>
      </c>
      <c r="P613" s="24"/>
      <c r="Q613" s="30" t="str">
        <f t="shared" si="119"/>
        <v/>
      </c>
      <c r="R613" s="29" t="str">
        <f t="shared" ca="1" si="120"/>
        <v/>
      </c>
    </row>
    <row r="614" spans="1:18">
      <c r="A614" s="23" t="str">
        <f t="shared" si="110"/>
        <v/>
      </c>
      <c r="B614" s="23" t="str">
        <f t="shared" si="111"/>
        <v/>
      </c>
      <c r="C614" s="29" t="str">
        <f t="shared" ca="1" si="112"/>
        <v/>
      </c>
      <c r="D614" s="22" t="str">
        <f>IF(K614="","",ИТОГ!S614)</f>
        <v/>
      </c>
      <c r="E614" s="24" t="str">
        <f t="shared" si="113"/>
        <v/>
      </c>
      <c r="F614" s="30" t="str">
        <f t="shared" si="114"/>
        <v/>
      </c>
      <c r="G614" s="25" t="str">
        <f t="shared" si="115"/>
        <v/>
      </c>
      <c r="H614" s="29" t="str">
        <f t="shared" ca="1" si="116"/>
        <v/>
      </c>
      <c r="I614" s="24"/>
      <c r="J614" s="30"/>
      <c r="K614" s="27" t="str">
        <f>IF(ИТОГ!A614=0,"",ИТОГ!A614)</f>
        <v/>
      </c>
      <c r="L614" s="26" t="str">
        <f t="shared" si="117"/>
        <v/>
      </c>
      <c r="M614" s="25" t="str">
        <f>IF(K614="","",ИТОГ!Q614)</f>
        <v/>
      </c>
      <c r="N614" s="28" t="str">
        <f>IF(K614="","",ИТОГ!N614)</f>
        <v/>
      </c>
      <c r="O614" s="30" t="str">
        <f t="shared" si="118"/>
        <v/>
      </c>
      <c r="P614" s="24"/>
      <c r="Q614" s="30" t="str">
        <f t="shared" si="119"/>
        <v/>
      </c>
      <c r="R614" s="29" t="str">
        <f t="shared" ca="1" si="120"/>
        <v/>
      </c>
    </row>
    <row r="615" spans="1:18">
      <c r="A615" s="23" t="str">
        <f t="shared" si="110"/>
        <v/>
      </c>
      <c r="B615" s="23" t="str">
        <f t="shared" si="111"/>
        <v/>
      </c>
      <c r="C615" s="29" t="str">
        <f t="shared" ca="1" si="112"/>
        <v/>
      </c>
      <c r="D615" s="22" t="str">
        <f>IF(K615="","",ИТОГ!S615)</f>
        <v/>
      </c>
      <c r="E615" s="24" t="str">
        <f t="shared" si="113"/>
        <v/>
      </c>
      <c r="F615" s="30" t="str">
        <f t="shared" si="114"/>
        <v/>
      </c>
      <c r="G615" s="25" t="str">
        <f t="shared" si="115"/>
        <v/>
      </c>
      <c r="H615" s="29" t="str">
        <f t="shared" ca="1" si="116"/>
        <v/>
      </c>
      <c r="I615" s="24"/>
      <c r="J615" s="30"/>
      <c r="K615" s="27" t="str">
        <f>IF(ИТОГ!A615=0,"",ИТОГ!A615)</f>
        <v/>
      </c>
      <c r="L615" s="26" t="str">
        <f t="shared" si="117"/>
        <v/>
      </c>
      <c r="M615" s="25" t="str">
        <f>IF(K615="","",ИТОГ!Q615)</f>
        <v/>
      </c>
      <c r="N615" s="28" t="str">
        <f>IF(K615="","",ИТОГ!N615)</f>
        <v/>
      </c>
      <c r="O615" s="30" t="str">
        <f t="shared" si="118"/>
        <v/>
      </c>
      <c r="P615" s="24"/>
      <c r="Q615" s="30" t="str">
        <f t="shared" si="119"/>
        <v/>
      </c>
      <c r="R615" s="29" t="str">
        <f t="shared" ca="1" si="120"/>
        <v/>
      </c>
    </row>
    <row r="616" spans="1:18">
      <c r="A616" s="23" t="str">
        <f t="shared" si="110"/>
        <v/>
      </c>
      <c r="B616" s="23" t="str">
        <f t="shared" si="111"/>
        <v/>
      </c>
      <c r="C616" s="29" t="str">
        <f t="shared" ca="1" si="112"/>
        <v/>
      </c>
      <c r="D616" s="22" t="str">
        <f>IF(K616="","",ИТОГ!S616)</f>
        <v/>
      </c>
      <c r="E616" s="24" t="str">
        <f t="shared" si="113"/>
        <v/>
      </c>
      <c r="F616" s="30" t="str">
        <f t="shared" si="114"/>
        <v/>
      </c>
      <c r="G616" s="25" t="str">
        <f t="shared" si="115"/>
        <v/>
      </c>
      <c r="H616" s="29" t="str">
        <f t="shared" ca="1" si="116"/>
        <v/>
      </c>
      <c r="I616" s="24"/>
      <c r="J616" s="30"/>
      <c r="K616" s="27" t="str">
        <f>IF(ИТОГ!A616=0,"",ИТОГ!A616)</f>
        <v/>
      </c>
      <c r="L616" s="26" t="str">
        <f t="shared" si="117"/>
        <v/>
      </c>
      <c r="M616" s="25" t="str">
        <f>IF(K616="","",ИТОГ!Q616)</f>
        <v/>
      </c>
      <c r="N616" s="28" t="str">
        <f>IF(K616="","",ИТОГ!N616)</f>
        <v/>
      </c>
      <c r="O616" s="30" t="str">
        <f t="shared" si="118"/>
        <v/>
      </c>
      <c r="P616" s="24"/>
      <c r="Q616" s="30" t="str">
        <f t="shared" si="119"/>
        <v/>
      </c>
      <c r="R616" s="29" t="str">
        <f t="shared" ca="1" si="120"/>
        <v/>
      </c>
    </row>
    <row r="617" spans="1:18">
      <c r="A617" s="23" t="str">
        <f t="shared" si="110"/>
        <v/>
      </c>
      <c r="B617" s="23" t="str">
        <f t="shared" si="111"/>
        <v/>
      </c>
      <c r="C617" s="29" t="str">
        <f t="shared" ca="1" si="112"/>
        <v/>
      </c>
      <c r="D617" s="22" t="str">
        <f>IF(K617="","",ИТОГ!S617)</f>
        <v/>
      </c>
      <c r="E617" s="24" t="str">
        <f t="shared" si="113"/>
        <v/>
      </c>
      <c r="F617" s="30" t="str">
        <f t="shared" si="114"/>
        <v/>
      </c>
      <c r="G617" s="25" t="str">
        <f t="shared" si="115"/>
        <v/>
      </c>
      <c r="H617" s="29" t="str">
        <f t="shared" ca="1" si="116"/>
        <v/>
      </c>
      <c r="I617" s="24"/>
      <c r="J617" s="30"/>
      <c r="K617" s="27" t="str">
        <f>IF(ИТОГ!A617=0,"",ИТОГ!A617)</f>
        <v/>
      </c>
      <c r="L617" s="26" t="str">
        <f t="shared" si="117"/>
        <v/>
      </c>
      <c r="M617" s="25" t="str">
        <f>IF(K617="","",ИТОГ!Q617)</f>
        <v/>
      </c>
      <c r="N617" s="28" t="str">
        <f>IF(K617="","",ИТОГ!N617)</f>
        <v/>
      </c>
      <c r="O617" s="30" t="str">
        <f t="shared" si="118"/>
        <v/>
      </c>
      <c r="P617" s="24"/>
      <c r="Q617" s="30" t="str">
        <f t="shared" si="119"/>
        <v/>
      </c>
      <c r="R617" s="29" t="str">
        <f t="shared" ca="1" si="120"/>
        <v/>
      </c>
    </row>
    <row r="618" spans="1:18">
      <c r="A618" s="23" t="str">
        <f t="shared" si="110"/>
        <v/>
      </c>
      <c r="B618" s="23" t="str">
        <f t="shared" si="111"/>
        <v/>
      </c>
      <c r="C618" s="29" t="str">
        <f t="shared" ca="1" si="112"/>
        <v/>
      </c>
      <c r="D618" s="22" t="str">
        <f>IF(K618="","",ИТОГ!S618)</f>
        <v/>
      </c>
      <c r="E618" s="24" t="str">
        <f t="shared" si="113"/>
        <v/>
      </c>
      <c r="F618" s="30" t="str">
        <f t="shared" si="114"/>
        <v/>
      </c>
      <c r="G618" s="25" t="str">
        <f t="shared" si="115"/>
        <v/>
      </c>
      <c r="H618" s="29" t="str">
        <f t="shared" ca="1" si="116"/>
        <v/>
      </c>
      <c r="I618" s="24"/>
      <c r="J618" s="30"/>
      <c r="K618" s="27" t="str">
        <f>IF(ИТОГ!A618=0,"",ИТОГ!A618)</f>
        <v/>
      </c>
      <c r="L618" s="26" t="str">
        <f t="shared" si="117"/>
        <v/>
      </c>
      <c r="M618" s="25" t="str">
        <f>IF(K618="","",ИТОГ!Q618)</f>
        <v/>
      </c>
      <c r="N618" s="28" t="str">
        <f>IF(K618="","",ИТОГ!N618)</f>
        <v/>
      </c>
      <c r="O618" s="30" t="str">
        <f t="shared" si="118"/>
        <v/>
      </c>
      <c r="P618" s="24"/>
      <c r="Q618" s="30" t="str">
        <f t="shared" si="119"/>
        <v/>
      </c>
      <c r="R618" s="29" t="str">
        <f t="shared" ca="1" si="120"/>
        <v/>
      </c>
    </row>
    <row r="619" spans="1:18">
      <c r="A619" s="23" t="str">
        <f t="shared" si="110"/>
        <v/>
      </c>
      <c r="B619" s="23" t="str">
        <f t="shared" si="111"/>
        <v/>
      </c>
      <c r="C619" s="29" t="str">
        <f t="shared" ca="1" si="112"/>
        <v/>
      </c>
      <c r="D619" s="22" t="str">
        <f>IF(K619="","",ИТОГ!S619)</f>
        <v/>
      </c>
      <c r="E619" s="24" t="str">
        <f t="shared" si="113"/>
        <v/>
      </c>
      <c r="F619" s="30" t="str">
        <f t="shared" si="114"/>
        <v/>
      </c>
      <c r="G619" s="25" t="str">
        <f t="shared" si="115"/>
        <v/>
      </c>
      <c r="H619" s="29" t="str">
        <f t="shared" ca="1" si="116"/>
        <v/>
      </c>
      <c r="I619" s="24"/>
      <c r="J619" s="30"/>
      <c r="K619" s="27" t="str">
        <f>IF(ИТОГ!A619=0,"",ИТОГ!A619)</f>
        <v/>
      </c>
      <c r="L619" s="26" t="str">
        <f t="shared" si="117"/>
        <v/>
      </c>
      <c r="M619" s="25" t="str">
        <f>IF(K619="","",ИТОГ!Q619)</f>
        <v/>
      </c>
      <c r="N619" s="28" t="str">
        <f>IF(K619="","",ИТОГ!N619)</f>
        <v/>
      </c>
      <c r="O619" s="30" t="str">
        <f t="shared" si="118"/>
        <v/>
      </c>
      <c r="P619" s="24"/>
      <c r="Q619" s="30" t="str">
        <f t="shared" si="119"/>
        <v/>
      </c>
      <c r="R619" s="29" t="str">
        <f t="shared" ca="1" si="120"/>
        <v/>
      </c>
    </row>
    <row r="620" spans="1:18">
      <c r="A620" s="23" t="str">
        <f t="shared" si="110"/>
        <v/>
      </c>
      <c r="B620" s="23" t="str">
        <f t="shared" si="111"/>
        <v/>
      </c>
      <c r="C620" s="29" t="str">
        <f t="shared" ca="1" si="112"/>
        <v/>
      </c>
      <c r="D620" s="22" t="str">
        <f>IF(K620="","",ИТОГ!S620)</f>
        <v/>
      </c>
      <c r="E620" s="24" t="str">
        <f t="shared" si="113"/>
        <v/>
      </c>
      <c r="F620" s="30" t="str">
        <f t="shared" si="114"/>
        <v/>
      </c>
      <c r="G620" s="25" t="str">
        <f t="shared" si="115"/>
        <v/>
      </c>
      <c r="H620" s="29" t="str">
        <f t="shared" ca="1" si="116"/>
        <v/>
      </c>
      <c r="I620" s="24"/>
      <c r="J620" s="30"/>
      <c r="K620" s="27" t="str">
        <f>IF(ИТОГ!A620=0,"",ИТОГ!A620)</f>
        <v/>
      </c>
      <c r="L620" s="26" t="str">
        <f t="shared" si="117"/>
        <v/>
      </c>
      <c r="M620" s="25" t="str">
        <f>IF(K620="","",ИТОГ!Q620)</f>
        <v/>
      </c>
      <c r="N620" s="28" t="str">
        <f>IF(K620="","",ИТОГ!N620)</f>
        <v/>
      </c>
      <c r="O620" s="30" t="str">
        <f t="shared" si="118"/>
        <v/>
      </c>
      <c r="P620" s="24"/>
      <c r="Q620" s="30" t="str">
        <f t="shared" si="119"/>
        <v/>
      </c>
      <c r="R620" s="29" t="str">
        <f t="shared" ca="1" si="120"/>
        <v/>
      </c>
    </row>
    <row r="621" spans="1:18">
      <c r="A621" s="23" t="str">
        <f t="shared" si="110"/>
        <v/>
      </c>
      <c r="B621" s="23" t="str">
        <f t="shared" si="111"/>
        <v/>
      </c>
      <c r="C621" s="29" t="str">
        <f t="shared" ca="1" si="112"/>
        <v/>
      </c>
      <c r="D621" s="22" t="str">
        <f>IF(K621="","",ИТОГ!S621)</f>
        <v/>
      </c>
      <c r="E621" s="24" t="str">
        <f t="shared" si="113"/>
        <v/>
      </c>
      <c r="F621" s="30" t="str">
        <f t="shared" si="114"/>
        <v/>
      </c>
      <c r="G621" s="25" t="str">
        <f t="shared" si="115"/>
        <v/>
      </c>
      <c r="H621" s="29" t="str">
        <f t="shared" ca="1" si="116"/>
        <v/>
      </c>
      <c r="I621" s="24"/>
      <c r="J621" s="30"/>
      <c r="K621" s="27" t="str">
        <f>IF(ИТОГ!A621=0,"",ИТОГ!A621)</f>
        <v/>
      </c>
      <c r="L621" s="26" t="str">
        <f t="shared" si="117"/>
        <v/>
      </c>
      <c r="M621" s="25" t="str">
        <f>IF(K621="","",ИТОГ!Q621)</f>
        <v/>
      </c>
      <c r="N621" s="28" t="str">
        <f>IF(K621="","",ИТОГ!N621)</f>
        <v/>
      </c>
      <c r="O621" s="30" t="str">
        <f t="shared" si="118"/>
        <v/>
      </c>
      <c r="P621" s="24"/>
      <c r="Q621" s="30" t="str">
        <f t="shared" si="119"/>
        <v/>
      </c>
      <c r="R621" s="29" t="str">
        <f t="shared" ca="1" si="120"/>
        <v/>
      </c>
    </row>
    <row r="622" spans="1:18">
      <c r="A622" s="23" t="str">
        <f t="shared" si="110"/>
        <v/>
      </c>
      <c r="B622" s="23" t="str">
        <f t="shared" si="111"/>
        <v/>
      </c>
      <c r="C622" s="29" t="str">
        <f t="shared" ca="1" si="112"/>
        <v/>
      </c>
      <c r="D622" s="22" t="str">
        <f>IF(K622="","",ИТОГ!S622)</f>
        <v/>
      </c>
      <c r="E622" s="24" t="str">
        <f t="shared" si="113"/>
        <v/>
      </c>
      <c r="F622" s="30" t="str">
        <f t="shared" si="114"/>
        <v/>
      </c>
      <c r="G622" s="25" t="str">
        <f t="shared" si="115"/>
        <v/>
      </c>
      <c r="H622" s="29" t="str">
        <f t="shared" ca="1" si="116"/>
        <v/>
      </c>
      <c r="I622" s="24"/>
      <c r="J622" s="30"/>
      <c r="K622" s="27" t="str">
        <f>IF(ИТОГ!A622=0,"",ИТОГ!A622)</f>
        <v/>
      </c>
      <c r="L622" s="26" t="str">
        <f t="shared" si="117"/>
        <v/>
      </c>
      <c r="M622" s="25" t="str">
        <f>IF(K622="","",ИТОГ!Q622)</f>
        <v/>
      </c>
      <c r="N622" s="28" t="str">
        <f>IF(K622="","",ИТОГ!N622)</f>
        <v/>
      </c>
      <c r="O622" s="30" t="str">
        <f t="shared" si="118"/>
        <v/>
      </c>
      <c r="P622" s="24"/>
      <c r="Q622" s="30" t="str">
        <f t="shared" si="119"/>
        <v/>
      </c>
      <c r="R622" s="29" t="str">
        <f t="shared" ca="1" si="120"/>
        <v/>
      </c>
    </row>
    <row r="623" spans="1:18">
      <c r="A623" s="23" t="str">
        <f t="shared" si="110"/>
        <v/>
      </c>
      <c r="B623" s="23" t="str">
        <f t="shared" si="111"/>
        <v/>
      </c>
      <c r="C623" s="29" t="str">
        <f t="shared" ca="1" si="112"/>
        <v/>
      </c>
      <c r="D623" s="22" t="str">
        <f>IF(K623="","",ИТОГ!S623)</f>
        <v/>
      </c>
      <c r="E623" s="24" t="str">
        <f t="shared" si="113"/>
        <v/>
      </c>
      <c r="F623" s="30" t="str">
        <f t="shared" si="114"/>
        <v/>
      </c>
      <c r="G623" s="25" t="str">
        <f t="shared" si="115"/>
        <v/>
      </c>
      <c r="H623" s="29" t="str">
        <f t="shared" ca="1" si="116"/>
        <v/>
      </c>
      <c r="I623" s="24"/>
      <c r="J623" s="30"/>
      <c r="K623" s="27" t="str">
        <f>IF(ИТОГ!A623=0,"",ИТОГ!A623)</f>
        <v/>
      </c>
      <c r="L623" s="26" t="str">
        <f t="shared" si="117"/>
        <v/>
      </c>
      <c r="M623" s="25" t="str">
        <f>IF(K623="","",ИТОГ!Q623)</f>
        <v/>
      </c>
      <c r="N623" s="28" t="str">
        <f>IF(K623="","",ИТОГ!N623)</f>
        <v/>
      </c>
      <c r="O623" s="30" t="str">
        <f t="shared" si="118"/>
        <v/>
      </c>
      <c r="P623" s="24"/>
      <c r="Q623" s="30" t="str">
        <f t="shared" si="119"/>
        <v/>
      </c>
      <c r="R623" s="29" t="str">
        <f t="shared" ca="1" si="120"/>
        <v/>
      </c>
    </row>
    <row r="624" spans="1:18">
      <c r="A624" s="23" t="str">
        <f t="shared" si="110"/>
        <v/>
      </c>
      <c r="B624" s="23" t="str">
        <f t="shared" si="111"/>
        <v/>
      </c>
      <c r="C624" s="29" t="str">
        <f t="shared" ca="1" si="112"/>
        <v/>
      </c>
      <c r="D624" s="22" t="str">
        <f>IF(K624="","",ИТОГ!S624)</f>
        <v/>
      </c>
      <c r="E624" s="24" t="str">
        <f t="shared" si="113"/>
        <v/>
      </c>
      <c r="F624" s="30" t="str">
        <f t="shared" si="114"/>
        <v/>
      </c>
      <c r="G624" s="25" t="str">
        <f t="shared" si="115"/>
        <v/>
      </c>
      <c r="H624" s="29" t="str">
        <f t="shared" ca="1" si="116"/>
        <v/>
      </c>
      <c r="I624" s="24"/>
      <c r="J624" s="30"/>
      <c r="K624" s="27" t="str">
        <f>IF(ИТОГ!A624=0,"",ИТОГ!A624)</f>
        <v/>
      </c>
      <c r="L624" s="26" t="str">
        <f t="shared" si="117"/>
        <v/>
      </c>
      <c r="M624" s="25" t="str">
        <f>IF(K624="","",ИТОГ!Q624)</f>
        <v/>
      </c>
      <c r="N624" s="28" t="str">
        <f>IF(K624="","",ИТОГ!N624)</f>
        <v/>
      </c>
      <c r="O624" s="30" t="str">
        <f t="shared" si="118"/>
        <v/>
      </c>
      <c r="P624" s="24"/>
      <c r="Q624" s="30" t="str">
        <f t="shared" si="119"/>
        <v/>
      </c>
      <c r="R624" s="29" t="str">
        <f t="shared" ca="1" si="120"/>
        <v/>
      </c>
    </row>
    <row r="625" spans="1:18">
      <c r="A625" s="23" t="str">
        <f t="shared" si="110"/>
        <v/>
      </c>
      <c r="B625" s="23" t="str">
        <f t="shared" si="111"/>
        <v/>
      </c>
      <c r="C625" s="29" t="str">
        <f t="shared" ca="1" si="112"/>
        <v/>
      </c>
      <c r="D625" s="22" t="str">
        <f>IF(K625="","",ИТОГ!S625)</f>
        <v/>
      </c>
      <c r="E625" s="24" t="str">
        <f t="shared" si="113"/>
        <v/>
      </c>
      <c r="F625" s="30" t="str">
        <f t="shared" si="114"/>
        <v/>
      </c>
      <c r="G625" s="25" t="str">
        <f t="shared" si="115"/>
        <v/>
      </c>
      <c r="H625" s="29" t="str">
        <f t="shared" ca="1" si="116"/>
        <v/>
      </c>
      <c r="I625" s="24"/>
      <c r="J625" s="30"/>
      <c r="K625" s="27" t="str">
        <f>IF(ИТОГ!A625=0,"",ИТОГ!A625)</f>
        <v/>
      </c>
      <c r="L625" s="26" t="str">
        <f t="shared" si="117"/>
        <v/>
      </c>
      <c r="M625" s="25" t="str">
        <f>IF(K625="","",ИТОГ!Q625)</f>
        <v/>
      </c>
      <c r="N625" s="28" t="str">
        <f>IF(K625="","",ИТОГ!N625)</f>
        <v/>
      </c>
      <c r="O625" s="30" t="str">
        <f t="shared" si="118"/>
        <v/>
      </c>
      <c r="P625" s="24"/>
      <c r="Q625" s="30" t="str">
        <f t="shared" si="119"/>
        <v/>
      </c>
      <c r="R625" s="29" t="str">
        <f t="shared" ca="1" si="120"/>
        <v/>
      </c>
    </row>
    <row r="626" spans="1:18">
      <c r="A626" s="23" t="str">
        <f t="shared" si="110"/>
        <v/>
      </c>
      <c r="B626" s="23" t="str">
        <f t="shared" si="111"/>
        <v/>
      </c>
      <c r="C626" s="29" t="str">
        <f t="shared" ca="1" si="112"/>
        <v/>
      </c>
      <c r="D626" s="22" t="str">
        <f>IF(K626="","",ИТОГ!S626)</f>
        <v/>
      </c>
      <c r="E626" s="24" t="str">
        <f t="shared" si="113"/>
        <v/>
      </c>
      <c r="F626" s="30" t="str">
        <f t="shared" si="114"/>
        <v/>
      </c>
      <c r="G626" s="25" t="str">
        <f t="shared" si="115"/>
        <v/>
      </c>
      <c r="H626" s="29" t="str">
        <f t="shared" ca="1" si="116"/>
        <v/>
      </c>
      <c r="I626" s="24"/>
      <c r="J626" s="30"/>
      <c r="K626" s="27" t="str">
        <f>IF(ИТОГ!A626=0,"",ИТОГ!A626)</f>
        <v/>
      </c>
      <c r="L626" s="26" t="str">
        <f t="shared" si="117"/>
        <v/>
      </c>
      <c r="M626" s="25" t="str">
        <f>IF(K626="","",ИТОГ!Q626)</f>
        <v/>
      </c>
      <c r="N626" s="28" t="str">
        <f>IF(K626="","",ИТОГ!N626)</f>
        <v/>
      </c>
      <c r="O626" s="30" t="str">
        <f t="shared" si="118"/>
        <v/>
      </c>
      <c r="P626" s="24"/>
      <c r="Q626" s="30" t="str">
        <f t="shared" si="119"/>
        <v/>
      </c>
      <c r="R626" s="29" t="str">
        <f t="shared" ca="1" si="120"/>
        <v/>
      </c>
    </row>
    <row r="627" spans="1:18">
      <c r="A627" s="23" t="str">
        <f t="shared" si="110"/>
        <v/>
      </c>
      <c r="B627" s="23" t="str">
        <f t="shared" si="111"/>
        <v/>
      </c>
      <c r="C627" s="29" t="str">
        <f t="shared" ca="1" si="112"/>
        <v/>
      </c>
      <c r="D627" s="22" t="str">
        <f>IF(K627="","",ИТОГ!S627)</f>
        <v/>
      </c>
      <c r="E627" s="24" t="str">
        <f t="shared" si="113"/>
        <v/>
      </c>
      <c r="F627" s="30" t="str">
        <f t="shared" si="114"/>
        <v/>
      </c>
      <c r="G627" s="25" t="str">
        <f t="shared" si="115"/>
        <v/>
      </c>
      <c r="H627" s="29" t="str">
        <f t="shared" ca="1" si="116"/>
        <v/>
      </c>
      <c r="I627" s="24"/>
      <c r="J627" s="30"/>
      <c r="K627" s="27" t="str">
        <f>IF(ИТОГ!A627=0,"",ИТОГ!A627)</f>
        <v/>
      </c>
      <c r="L627" s="26" t="str">
        <f t="shared" si="117"/>
        <v/>
      </c>
      <c r="M627" s="25" t="str">
        <f>IF(K627="","",ИТОГ!Q627)</f>
        <v/>
      </c>
      <c r="N627" s="28" t="str">
        <f>IF(K627="","",ИТОГ!N627)</f>
        <v/>
      </c>
      <c r="O627" s="30" t="str">
        <f t="shared" si="118"/>
        <v/>
      </c>
      <c r="P627" s="24"/>
      <c r="Q627" s="30" t="str">
        <f t="shared" si="119"/>
        <v/>
      </c>
      <c r="R627" s="29" t="str">
        <f t="shared" ca="1" si="120"/>
        <v/>
      </c>
    </row>
    <row r="628" spans="1:18">
      <c r="A628" s="23" t="str">
        <f t="shared" si="110"/>
        <v/>
      </c>
      <c r="B628" s="23" t="str">
        <f t="shared" si="111"/>
        <v/>
      </c>
      <c r="C628" s="29" t="str">
        <f t="shared" ca="1" si="112"/>
        <v/>
      </c>
      <c r="D628" s="22" t="str">
        <f>IF(K628="","",ИТОГ!S628)</f>
        <v/>
      </c>
      <c r="E628" s="24" t="str">
        <f t="shared" si="113"/>
        <v/>
      </c>
      <c r="F628" s="30" t="str">
        <f t="shared" si="114"/>
        <v/>
      </c>
      <c r="G628" s="25" t="str">
        <f t="shared" si="115"/>
        <v/>
      </c>
      <c r="H628" s="29" t="str">
        <f t="shared" ca="1" si="116"/>
        <v/>
      </c>
      <c r="I628" s="24"/>
      <c r="J628" s="30"/>
      <c r="K628" s="27" t="str">
        <f>IF(ИТОГ!A628=0,"",ИТОГ!A628)</f>
        <v/>
      </c>
      <c r="L628" s="26" t="str">
        <f t="shared" si="117"/>
        <v/>
      </c>
      <c r="M628" s="25" t="str">
        <f>IF(K628="","",ИТОГ!Q628)</f>
        <v/>
      </c>
      <c r="N628" s="28" t="str">
        <f>IF(K628="","",ИТОГ!N628)</f>
        <v/>
      </c>
      <c r="O628" s="30" t="str">
        <f t="shared" si="118"/>
        <v/>
      </c>
      <c r="P628" s="24"/>
      <c r="Q628" s="30" t="str">
        <f t="shared" si="119"/>
        <v/>
      </c>
      <c r="R628" s="29" t="str">
        <f t="shared" ca="1" si="120"/>
        <v/>
      </c>
    </row>
    <row r="629" spans="1:18">
      <c r="A629" s="23" t="str">
        <f t="shared" si="110"/>
        <v/>
      </c>
      <c r="B629" s="23" t="str">
        <f t="shared" si="111"/>
        <v/>
      </c>
      <c r="C629" s="29" t="str">
        <f t="shared" ca="1" si="112"/>
        <v/>
      </c>
      <c r="D629" s="22" t="str">
        <f>IF(K629="","",ИТОГ!S629)</f>
        <v/>
      </c>
      <c r="E629" s="24" t="str">
        <f t="shared" si="113"/>
        <v/>
      </c>
      <c r="F629" s="30" t="str">
        <f t="shared" si="114"/>
        <v/>
      </c>
      <c r="G629" s="25" t="str">
        <f t="shared" si="115"/>
        <v/>
      </c>
      <c r="H629" s="29" t="str">
        <f t="shared" ca="1" si="116"/>
        <v/>
      </c>
      <c r="I629" s="24"/>
      <c r="J629" s="30"/>
      <c r="K629" s="27" t="str">
        <f>IF(ИТОГ!A629=0,"",ИТОГ!A629)</f>
        <v/>
      </c>
      <c r="L629" s="26" t="str">
        <f t="shared" si="117"/>
        <v/>
      </c>
      <c r="M629" s="25" t="str">
        <f>IF(K629="","",ИТОГ!Q629)</f>
        <v/>
      </c>
      <c r="N629" s="28" t="str">
        <f>IF(K629="","",ИТОГ!N629)</f>
        <v/>
      </c>
      <c r="O629" s="30" t="str">
        <f t="shared" si="118"/>
        <v/>
      </c>
      <c r="P629" s="24"/>
      <c r="Q629" s="30" t="str">
        <f t="shared" si="119"/>
        <v/>
      </c>
      <c r="R629" s="29" t="str">
        <f t="shared" ca="1" si="120"/>
        <v/>
      </c>
    </row>
    <row r="630" spans="1:18">
      <c r="A630" s="23" t="str">
        <f t="shared" si="110"/>
        <v/>
      </c>
      <c r="B630" s="23" t="str">
        <f t="shared" si="111"/>
        <v/>
      </c>
      <c r="C630" s="29" t="str">
        <f t="shared" ca="1" si="112"/>
        <v/>
      </c>
      <c r="D630" s="22" t="str">
        <f>IF(K630="","",ИТОГ!S630)</f>
        <v/>
      </c>
      <c r="E630" s="24" t="str">
        <f t="shared" si="113"/>
        <v/>
      </c>
      <c r="F630" s="30" t="str">
        <f t="shared" si="114"/>
        <v/>
      </c>
      <c r="G630" s="25" t="str">
        <f t="shared" si="115"/>
        <v/>
      </c>
      <c r="H630" s="29" t="str">
        <f t="shared" ca="1" si="116"/>
        <v/>
      </c>
      <c r="I630" s="24"/>
      <c r="J630" s="30"/>
      <c r="K630" s="27" t="str">
        <f>IF(ИТОГ!A630=0,"",ИТОГ!A630)</f>
        <v/>
      </c>
      <c r="L630" s="26" t="str">
        <f t="shared" si="117"/>
        <v/>
      </c>
      <c r="M630" s="25" t="str">
        <f>IF(K630="","",ИТОГ!Q630)</f>
        <v/>
      </c>
      <c r="N630" s="28" t="str">
        <f>IF(K630="","",ИТОГ!N630)</f>
        <v/>
      </c>
      <c r="O630" s="30" t="str">
        <f t="shared" si="118"/>
        <v/>
      </c>
      <c r="P630" s="24"/>
      <c r="Q630" s="30" t="str">
        <f t="shared" si="119"/>
        <v/>
      </c>
      <c r="R630" s="29" t="str">
        <f t="shared" ca="1" si="120"/>
        <v/>
      </c>
    </row>
    <row r="631" spans="1:18">
      <c r="A631" s="23" t="str">
        <f t="shared" si="110"/>
        <v/>
      </c>
      <c r="B631" s="23" t="str">
        <f t="shared" si="111"/>
        <v/>
      </c>
      <c r="C631" s="29" t="str">
        <f t="shared" ca="1" si="112"/>
        <v/>
      </c>
      <c r="D631" s="22" t="str">
        <f>IF(K631="","",ИТОГ!S631)</f>
        <v/>
      </c>
      <c r="E631" s="24" t="str">
        <f t="shared" si="113"/>
        <v/>
      </c>
      <c r="F631" s="30" t="str">
        <f t="shared" si="114"/>
        <v/>
      </c>
      <c r="G631" s="25" t="str">
        <f t="shared" si="115"/>
        <v/>
      </c>
      <c r="H631" s="29" t="str">
        <f t="shared" ca="1" si="116"/>
        <v/>
      </c>
      <c r="I631" s="24"/>
      <c r="J631" s="30"/>
      <c r="K631" s="27" t="str">
        <f>IF(ИТОГ!A631=0,"",ИТОГ!A631)</f>
        <v/>
      </c>
      <c r="L631" s="26" t="str">
        <f t="shared" si="117"/>
        <v/>
      </c>
      <c r="M631" s="25" t="str">
        <f>IF(K631="","",ИТОГ!Q631)</f>
        <v/>
      </c>
      <c r="N631" s="28" t="str">
        <f>IF(K631="","",ИТОГ!N631)</f>
        <v/>
      </c>
      <c r="O631" s="30" t="str">
        <f t="shared" si="118"/>
        <v/>
      </c>
      <c r="P631" s="24"/>
      <c r="Q631" s="30" t="str">
        <f t="shared" si="119"/>
        <v/>
      </c>
      <c r="R631" s="29" t="str">
        <f t="shared" ca="1" si="120"/>
        <v/>
      </c>
    </row>
    <row r="632" spans="1:18">
      <c r="A632" s="23" t="str">
        <f t="shared" si="110"/>
        <v/>
      </c>
      <c r="B632" s="23" t="str">
        <f t="shared" si="111"/>
        <v/>
      </c>
      <c r="C632" s="29" t="str">
        <f t="shared" ca="1" si="112"/>
        <v/>
      </c>
      <c r="D632" s="22" t="str">
        <f>IF(K632="","",ИТОГ!S632)</f>
        <v/>
      </c>
      <c r="E632" s="24" t="str">
        <f t="shared" si="113"/>
        <v/>
      </c>
      <c r="F632" s="30" t="str">
        <f t="shared" si="114"/>
        <v/>
      </c>
      <c r="G632" s="25" t="str">
        <f t="shared" si="115"/>
        <v/>
      </c>
      <c r="H632" s="29" t="str">
        <f t="shared" ca="1" si="116"/>
        <v/>
      </c>
      <c r="I632" s="24"/>
      <c r="J632" s="30"/>
      <c r="K632" s="27" t="str">
        <f>IF(ИТОГ!A632=0,"",ИТОГ!A632)</f>
        <v/>
      </c>
      <c r="L632" s="26" t="str">
        <f t="shared" si="117"/>
        <v/>
      </c>
      <c r="M632" s="25" t="str">
        <f>IF(K632="","",ИТОГ!Q632)</f>
        <v/>
      </c>
      <c r="N632" s="28" t="str">
        <f>IF(K632="","",ИТОГ!N632)</f>
        <v/>
      </c>
      <c r="O632" s="30" t="str">
        <f t="shared" si="118"/>
        <v/>
      </c>
      <c r="P632" s="24"/>
      <c r="Q632" s="30" t="str">
        <f t="shared" si="119"/>
        <v/>
      </c>
      <c r="R632" s="29" t="str">
        <f t="shared" ca="1" si="120"/>
        <v/>
      </c>
    </row>
    <row r="633" spans="1:18">
      <c r="A633" s="23" t="str">
        <f t="shared" si="110"/>
        <v/>
      </c>
      <c r="B633" s="23" t="str">
        <f t="shared" si="111"/>
        <v/>
      </c>
      <c r="C633" s="29" t="str">
        <f t="shared" ca="1" si="112"/>
        <v/>
      </c>
      <c r="D633" s="22" t="str">
        <f>IF(K633="","",ИТОГ!S633)</f>
        <v/>
      </c>
      <c r="E633" s="24" t="str">
        <f t="shared" si="113"/>
        <v/>
      </c>
      <c r="F633" s="30" t="str">
        <f t="shared" si="114"/>
        <v/>
      </c>
      <c r="G633" s="25" t="str">
        <f t="shared" si="115"/>
        <v/>
      </c>
      <c r="H633" s="29" t="str">
        <f t="shared" ca="1" si="116"/>
        <v/>
      </c>
      <c r="I633" s="24"/>
      <c r="J633" s="30"/>
      <c r="K633" s="27" t="str">
        <f>IF(ИТОГ!A633=0,"",ИТОГ!A633)</f>
        <v/>
      </c>
      <c r="L633" s="26" t="str">
        <f t="shared" si="117"/>
        <v/>
      </c>
      <c r="M633" s="25" t="str">
        <f>IF(K633="","",ИТОГ!Q633)</f>
        <v/>
      </c>
      <c r="N633" s="28" t="str">
        <f>IF(K633="","",ИТОГ!N633)</f>
        <v/>
      </c>
      <c r="O633" s="30" t="str">
        <f t="shared" si="118"/>
        <v/>
      </c>
      <c r="P633" s="24"/>
      <c r="Q633" s="30" t="str">
        <f t="shared" si="119"/>
        <v/>
      </c>
      <c r="R633" s="29" t="str">
        <f t="shared" ca="1" si="120"/>
        <v/>
      </c>
    </row>
    <row r="634" spans="1:18">
      <c r="A634" s="23" t="str">
        <f t="shared" si="110"/>
        <v/>
      </c>
      <c r="B634" s="23" t="str">
        <f t="shared" si="111"/>
        <v/>
      </c>
      <c r="C634" s="29" t="str">
        <f t="shared" ca="1" si="112"/>
        <v/>
      </c>
      <c r="D634" s="22" t="str">
        <f>IF(K634="","",ИТОГ!S634)</f>
        <v/>
      </c>
      <c r="E634" s="24" t="str">
        <f t="shared" si="113"/>
        <v/>
      </c>
      <c r="F634" s="30" t="str">
        <f t="shared" si="114"/>
        <v/>
      </c>
      <c r="G634" s="25" t="str">
        <f t="shared" si="115"/>
        <v/>
      </c>
      <c r="H634" s="29" t="str">
        <f t="shared" ca="1" si="116"/>
        <v/>
      </c>
      <c r="I634" s="24"/>
      <c r="J634" s="30"/>
      <c r="K634" s="27" t="str">
        <f>IF(ИТОГ!A634=0,"",ИТОГ!A634)</f>
        <v/>
      </c>
      <c r="L634" s="26" t="str">
        <f t="shared" si="117"/>
        <v/>
      </c>
      <c r="M634" s="25" t="str">
        <f>IF(K634="","",ИТОГ!Q634)</f>
        <v/>
      </c>
      <c r="N634" s="28" t="str">
        <f>IF(K634="","",ИТОГ!N634)</f>
        <v/>
      </c>
      <c r="O634" s="30" t="str">
        <f t="shared" si="118"/>
        <v/>
      </c>
      <c r="P634" s="24"/>
      <c r="Q634" s="30" t="str">
        <f t="shared" si="119"/>
        <v/>
      </c>
      <c r="R634" s="29" t="str">
        <f t="shared" ca="1" si="120"/>
        <v/>
      </c>
    </row>
    <row r="635" spans="1:18">
      <c r="A635" s="23" t="str">
        <f t="shared" si="110"/>
        <v/>
      </c>
      <c r="B635" s="23" t="str">
        <f t="shared" si="111"/>
        <v/>
      </c>
      <c r="C635" s="29" t="str">
        <f t="shared" ca="1" si="112"/>
        <v/>
      </c>
      <c r="D635" s="22" t="str">
        <f>IF(K635="","",ИТОГ!S635)</f>
        <v/>
      </c>
      <c r="E635" s="24" t="str">
        <f t="shared" si="113"/>
        <v/>
      </c>
      <c r="F635" s="30" t="str">
        <f t="shared" si="114"/>
        <v/>
      </c>
      <c r="G635" s="25" t="str">
        <f t="shared" si="115"/>
        <v/>
      </c>
      <c r="H635" s="29" t="str">
        <f t="shared" ca="1" si="116"/>
        <v/>
      </c>
      <c r="I635" s="24"/>
      <c r="J635" s="30"/>
      <c r="K635" s="27" t="str">
        <f>IF(ИТОГ!A635=0,"",ИТОГ!A635)</f>
        <v/>
      </c>
      <c r="L635" s="26" t="str">
        <f t="shared" si="117"/>
        <v/>
      </c>
      <c r="M635" s="25" t="str">
        <f>IF(K635="","",ИТОГ!Q635)</f>
        <v/>
      </c>
      <c r="N635" s="28" t="str">
        <f>IF(K635="","",ИТОГ!N635)</f>
        <v/>
      </c>
      <c r="O635" s="30" t="str">
        <f t="shared" si="118"/>
        <v/>
      </c>
      <c r="P635" s="24"/>
      <c r="Q635" s="30" t="str">
        <f t="shared" si="119"/>
        <v/>
      </c>
      <c r="R635" s="29" t="str">
        <f t="shared" ca="1" si="120"/>
        <v/>
      </c>
    </row>
    <row r="636" spans="1:18">
      <c r="A636" s="23" t="str">
        <f t="shared" si="110"/>
        <v/>
      </c>
      <c r="B636" s="23" t="str">
        <f t="shared" si="111"/>
        <v/>
      </c>
      <c r="C636" s="29" t="str">
        <f t="shared" ca="1" si="112"/>
        <v/>
      </c>
      <c r="D636" s="22" t="str">
        <f>IF(K636="","",ИТОГ!S636)</f>
        <v/>
      </c>
      <c r="E636" s="24" t="str">
        <f t="shared" si="113"/>
        <v/>
      </c>
      <c r="F636" s="30" t="str">
        <f t="shared" si="114"/>
        <v/>
      </c>
      <c r="G636" s="25" t="str">
        <f t="shared" si="115"/>
        <v/>
      </c>
      <c r="H636" s="29" t="str">
        <f t="shared" ca="1" si="116"/>
        <v/>
      </c>
      <c r="I636" s="24"/>
      <c r="J636" s="30"/>
      <c r="K636" s="27" t="str">
        <f>IF(ИТОГ!A636=0,"",ИТОГ!A636)</f>
        <v/>
      </c>
      <c r="L636" s="26" t="str">
        <f t="shared" si="117"/>
        <v/>
      </c>
      <c r="M636" s="25" t="str">
        <f>IF(K636="","",ИТОГ!Q636)</f>
        <v/>
      </c>
      <c r="N636" s="28" t="str">
        <f>IF(K636="","",ИТОГ!N636)</f>
        <v/>
      </c>
      <c r="O636" s="30" t="str">
        <f t="shared" si="118"/>
        <v/>
      </c>
      <c r="P636" s="24"/>
      <c r="Q636" s="30" t="str">
        <f t="shared" si="119"/>
        <v/>
      </c>
      <c r="R636" s="29" t="str">
        <f t="shared" ca="1" si="120"/>
        <v/>
      </c>
    </row>
    <row r="637" spans="1:18">
      <c r="A637" s="23" t="str">
        <f t="shared" si="110"/>
        <v/>
      </c>
      <c r="B637" s="23" t="str">
        <f t="shared" si="111"/>
        <v/>
      </c>
      <c r="C637" s="29" t="str">
        <f t="shared" ca="1" si="112"/>
        <v/>
      </c>
      <c r="D637" s="22" t="str">
        <f>IF(K637="","",ИТОГ!S637)</f>
        <v/>
      </c>
      <c r="E637" s="24" t="str">
        <f t="shared" si="113"/>
        <v/>
      </c>
      <c r="F637" s="30" t="str">
        <f t="shared" si="114"/>
        <v/>
      </c>
      <c r="G637" s="25" t="str">
        <f t="shared" si="115"/>
        <v/>
      </c>
      <c r="H637" s="29" t="str">
        <f t="shared" ca="1" si="116"/>
        <v/>
      </c>
      <c r="I637" s="24"/>
      <c r="J637" s="30"/>
      <c r="K637" s="27" t="str">
        <f>IF(ИТОГ!A637=0,"",ИТОГ!A637)</f>
        <v/>
      </c>
      <c r="L637" s="26" t="str">
        <f t="shared" si="117"/>
        <v/>
      </c>
      <c r="M637" s="25" t="str">
        <f>IF(K637="","",ИТОГ!Q637)</f>
        <v/>
      </c>
      <c r="N637" s="28" t="str">
        <f>IF(K637="","",ИТОГ!N637)</f>
        <v/>
      </c>
      <c r="O637" s="30" t="str">
        <f t="shared" si="118"/>
        <v/>
      </c>
      <c r="P637" s="24"/>
      <c r="Q637" s="30" t="str">
        <f t="shared" si="119"/>
        <v/>
      </c>
      <c r="R637" s="29" t="str">
        <f t="shared" ca="1" si="120"/>
        <v/>
      </c>
    </row>
    <row r="638" spans="1:18">
      <c r="A638" s="23" t="str">
        <f t="shared" si="110"/>
        <v/>
      </c>
      <c r="B638" s="23" t="str">
        <f t="shared" si="111"/>
        <v/>
      </c>
      <c r="C638" s="29" t="str">
        <f t="shared" ca="1" si="112"/>
        <v/>
      </c>
      <c r="D638" s="22" t="str">
        <f>IF(K638="","",ИТОГ!S638)</f>
        <v/>
      </c>
      <c r="E638" s="24" t="str">
        <f t="shared" si="113"/>
        <v/>
      </c>
      <c r="F638" s="30" t="str">
        <f t="shared" si="114"/>
        <v/>
      </c>
      <c r="G638" s="25" t="str">
        <f t="shared" si="115"/>
        <v/>
      </c>
      <c r="H638" s="29" t="str">
        <f t="shared" ca="1" si="116"/>
        <v/>
      </c>
      <c r="I638" s="24"/>
      <c r="J638" s="30"/>
      <c r="K638" s="27" t="str">
        <f>IF(ИТОГ!A638=0,"",ИТОГ!A638)</f>
        <v/>
      </c>
      <c r="L638" s="26" t="str">
        <f t="shared" si="117"/>
        <v/>
      </c>
      <c r="M638" s="25" t="str">
        <f>IF(K638="","",ИТОГ!Q638)</f>
        <v/>
      </c>
      <c r="N638" s="28" t="str">
        <f>IF(K638="","",ИТОГ!N638)</f>
        <v/>
      </c>
      <c r="O638" s="30" t="str">
        <f t="shared" si="118"/>
        <v/>
      </c>
      <c r="P638" s="24"/>
      <c r="Q638" s="30" t="str">
        <f t="shared" si="119"/>
        <v/>
      </c>
      <c r="R638" s="29" t="str">
        <f t="shared" ca="1" si="120"/>
        <v/>
      </c>
    </row>
    <row r="639" spans="1:18">
      <c r="A639" s="23" t="str">
        <f t="shared" si="110"/>
        <v/>
      </c>
      <c r="B639" s="23" t="str">
        <f t="shared" si="111"/>
        <v/>
      </c>
      <c r="C639" s="29" t="str">
        <f t="shared" ca="1" si="112"/>
        <v/>
      </c>
      <c r="D639" s="22" t="str">
        <f>IF(K639="","",ИТОГ!S639)</f>
        <v/>
      </c>
      <c r="E639" s="24" t="str">
        <f t="shared" si="113"/>
        <v/>
      </c>
      <c r="F639" s="30" t="str">
        <f t="shared" si="114"/>
        <v/>
      </c>
      <c r="G639" s="25" t="str">
        <f t="shared" si="115"/>
        <v/>
      </c>
      <c r="H639" s="29" t="str">
        <f t="shared" ca="1" si="116"/>
        <v/>
      </c>
      <c r="I639" s="24"/>
      <c r="J639" s="30"/>
      <c r="K639" s="27" t="str">
        <f>IF(ИТОГ!A639=0,"",ИТОГ!A639)</f>
        <v/>
      </c>
      <c r="L639" s="26" t="str">
        <f t="shared" si="117"/>
        <v/>
      </c>
      <c r="M639" s="25" t="str">
        <f>IF(K639="","",ИТОГ!Q639)</f>
        <v/>
      </c>
      <c r="N639" s="28" t="str">
        <f>IF(K639="","",ИТОГ!N639)</f>
        <v/>
      </c>
      <c r="O639" s="30" t="str">
        <f t="shared" si="118"/>
        <v/>
      </c>
      <c r="P639" s="24"/>
      <c r="Q639" s="30" t="str">
        <f t="shared" si="119"/>
        <v/>
      </c>
      <c r="R639" s="29" t="str">
        <f t="shared" ca="1" si="120"/>
        <v/>
      </c>
    </row>
    <row r="640" spans="1:18">
      <c r="A640" s="23" t="str">
        <f t="shared" si="110"/>
        <v/>
      </c>
      <c r="B640" s="23" t="str">
        <f t="shared" si="111"/>
        <v/>
      </c>
      <c r="C640" s="29" t="str">
        <f t="shared" ca="1" si="112"/>
        <v/>
      </c>
      <c r="D640" s="22" t="str">
        <f>IF(K640="","",ИТОГ!S640)</f>
        <v/>
      </c>
      <c r="E640" s="24" t="str">
        <f t="shared" si="113"/>
        <v/>
      </c>
      <c r="F640" s="30" t="str">
        <f t="shared" si="114"/>
        <v/>
      </c>
      <c r="G640" s="25" t="str">
        <f t="shared" si="115"/>
        <v/>
      </c>
      <c r="H640" s="29" t="str">
        <f t="shared" ca="1" si="116"/>
        <v/>
      </c>
      <c r="I640" s="24"/>
      <c r="J640" s="30"/>
      <c r="K640" s="27" t="str">
        <f>IF(ИТОГ!A640=0,"",ИТОГ!A640)</f>
        <v/>
      </c>
      <c r="L640" s="26" t="str">
        <f t="shared" si="117"/>
        <v/>
      </c>
      <c r="M640" s="25" t="str">
        <f>IF(K640="","",ИТОГ!Q640)</f>
        <v/>
      </c>
      <c r="N640" s="28" t="str">
        <f>IF(K640="","",ИТОГ!N640)</f>
        <v/>
      </c>
      <c r="O640" s="30" t="str">
        <f t="shared" si="118"/>
        <v/>
      </c>
      <c r="P640" s="24"/>
      <c r="Q640" s="30" t="str">
        <f t="shared" si="119"/>
        <v/>
      </c>
      <c r="R640" s="29" t="str">
        <f t="shared" ca="1" si="120"/>
        <v/>
      </c>
    </row>
    <row r="641" spans="1:18">
      <c r="A641" s="23" t="str">
        <f t="shared" si="110"/>
        <v/>
      </c>
      <c r="B641" s="23" t="str">
        <f t="shared" si="111"/>
        <v/>
      </c>
      <c r="C641" s="29" t="str">
        <f t="shared" ca="1" si="112"/>
        <v/>
      </c>
      <c r="D641" s="22" t="str">
        <f>IF(K641="","",ИТОГ!S641)</f>
        <v/>
      </c>
      <c r="E641" s="24" t="str">
        <f t="shared" si="113"/>
        <v/>
      </c>
      <c r="F641" s="30" t="str">
        <f t="shared" si="114"/>
        <v/>
      </c>
      <c r="G641" s="25" t="str">
        <f t="shared" si="115"/>
        <v/>
      </c>
      <c r="H641" s="29" t="str">
        <f t="shared" ca="1" si="116"/>
        <v/>
      </c>
      <c r="I641" s="24"/>
      <c r="J641" s="30"/>
      <c r="K641" s="27" t="str">
        <f>IF(ИТОГ!A641=0,"",ИТОГ!A641)</f>
        <v/>
      </c>
      <c r="L641" s="26" t="str">
        <f t="shared" si="117"/>
        <v/>
      </c>
      <c r="M641" s="25" t="str">
        <f>IF(K641="","",ИТОГ!Q641)</f>
        <v/>
      </c>
      <c r="N641" s="28" t="str">
        <f>IF(K641="","",ИТОГ!N641)</f>
        <v/>
      </c>
      <c r="O641" s="30" t="str">
        <f t="shared" si="118"/>
        <v/>
      </c>
      <c r="P641" s="24"/>
      <c r="Q641" s="30" t="str">
        <f t="shared" si="119"/>
        <v/>
      </c>
      <c r="R641" s="29" t="str">
        <f t="shared" ca="1" si="120"/>
        <v/>
      </c>
    </row>
    <row r="642" spans="1:18">
      <c r="A642" s="23" t="str">
        <f t="shared" si="110"/>
        <v/>
      </c>
      <c r="B642" s="23" t="str">
        <f t="shared" si="111"/>
        <v/>
      </c>
      <c r="C642" s="29" t="str">
        <f t="shared" ca="1" si="112"/>
        <v/>
      </c>
      <c r="D642" s="22" t="str">
        <f>IF(K642="","",ИТОГ!S642)</f>
        <v/>
      </c>
      <c r="E642" s="24" t="str">
        <f t="shared" si="113"/>
        <v/>
      </c>
      <c r="F642" s="30" t="str">
        <f t="shared" si="114"/>
        <v/>
      </c>
      <c r="G642" s="25" t="str">
        <f t="shared" si="115"/>
        <v/>
      </c>
      <c r="H642" s="29" t="str">
        <f t="shared" ca="1" si="116"/>
        <v/>
      </c>
      <c r="I642" s="24"/>
      <c r="J642" s="30"/>
      <c r="K642" s="27" t="str">
        <f>IF(ИТОГ!A642=0,"",ИТОГ!A642)</f>
        <v/>
      </c>
      <c r="L642" s="26" t="str">
        <f t="shared" si="117"/>
        <v/>
      </c>
      <c r="M642" s="25" t="str">
        <f>IF(K642="","",ИТОГ!Q642)</f>
        <v/>
      </c>
      <c r="N642" s="28" t="str">
        <f>IF(K642="","",ИТОГ!N642)</f>
        <v/>
      </c>
      <c r="O642" s="30" t="str">
        <f t="shared" si="118"/>
        <v/>
      </c>
      <c r="P642" s="24"/>
      <c r="Q642" s="30" t="str">
        <f t="shared" si="119"/>
        <v/>
      </c>
      <c r="R642" s="29" t="str">
        <f t="shared" ca="1" si="120"/>
        <v/>
      </c>
    </row>
    <row r="643" spans="1:18">
      <c r="A643" s="23" t="str">
        <f t="shared" si="110"/>
        <v/>
      </c>
      <c r="B643" s="23" t="str">
        <f t="shared" si="111"/>
        <v/>
      </c>
      <c r="C643" s="29" t="str">
        <f t="shared" ca="1" si="112"/>
        <v/>
      </c>
      <c r="D643" s="22" t="str">
        <f>IF(K643="","",ИТОГ!S643)</f>
        <v/>
      </c>
      <c r="E643" s="24" t="str">
        <f t="shared" si="113"/>
        <v/>
      </c>
      <c r="F643" s="30" t="str">
        <f t="shared" si="114"/>
        <v/>
      </c>
      <c r="G643" s="25" t="str">
        <f t="shared" si="115"/>
        <v/>
      </c>
      <c r="H643" s="29" t="str">
        <f t="shared" ca="1" si="116"/>
        <v/>
      </c>
      <c r="I643" s="24"/>
      <c r="J643" s="30"/>
      <c r="K643" s="27" t="str">
        <f>IF(ИТОГ!A643=0,"",ИТОГ!A643)</f>
        <v/>
      </c>
      <c r="L643" s="26" t="str">
        <f t="shared" si="117"/>
        <v/>
      </c>
      <c r="M643" s="25" t="str">
        <f>IF(K643="","",ИТОГ!Q643)</f>
        <v/>
      </c>
      <c r="N643" s="28" t="str">
        <f>IF(K643="","",ИТОГ!N643)</f>
        <v/>
      </c>
      <c r="O643" s="30" t="str">
        <f t="shared" si="118"/>
        <v/>
      </c>
      <c r="P643" s="24"/>
      <c r="Q643" s="30" t="str">
        <f t="shared" si="119"/>
        <v/>
      </c>
      <c r="R643" s="29" t="str">
        <f t="shared" ca="1" si="120"/>
        <v/>
      </c>
    </row>
    <row r="644" spans="1:18">
      <c r="A644" s="23" t="str">
        <f t="shared" si="110"/>
        <v/>
      </c>
      <c r="B644" s="23" t="str">
        <f t="shared" si="111"/>
        <v/>
      </c>
      <c r="C644" s="29" t="str">
        <f t="shared" ca="1" si="112"/>
        <v/>
      </c>
      <c r="D644" s="22" t="str">
        <f>IF(K644="","",ИТОГ!S644)</f>
        <v/>
      </c>
      <c r="E644" s="24" t="str">
        <f t="shared" si="113"/>
        <v/>
      </c>
      <c r="F644" s="30" t="str">
        <f t="shared" si="114"/>
        <v/>
      </c>
      <c r="G644" s="25" t="str">
        <f t="shared" si="115"/>
        <v/>
      </c>
      <c r="H644" s="29" t="str">
        <f t="shared" ca="1" si="116"/>
        <v/>
      </c>
      <c r="I644" s="24"/>
      <c r="J644" s="30"/>
      <c r="K644" s="27" t="str">
        <f>IF(ИТОГ!A644=0,"",ИТОГ!A644)</f>
        <v/>
      </c>
      <c r="L644" s="26" t="str">
        <f t="shared" si="117"/>
        <v/>
      </c>
      <c r="M644" s="25" t="str">
        <f>IF(K644="","",ИТОГ!Q644)</f>
        <v/>
      </c>
      <c r="N644" s="28" t="str">
        <f>IF(K644="","",ИТОГ!N644)</f>
        <v/>
      </c>
      <c r="O644" s="30" t="str">
        <f t="shared" si="118"/>
        <v/>
      </c>
      <c r="P644" s="24"/>
      <c r="Q644" s="30" t="str">
        <f t="shared" si="119"/>
        <v/>
      </c>
      <c r="R644" s="29" t="str">
        <f t="shared" ca="1" si="120"/>
        <v/>
      </c>
    </row>
    <row r="645" spans="1:18">
      <c r="A645" s="23" t="str">
        <f t="shared" si="110"/>
        <v/>
      </c>
      <c r="B645" s="23" t="str">
        <f t="shared" si="111"/>
        <v/>
      </c>
      <c r="C645" s="29" t="str">
        <f t="shared" ca="1" si="112"/>
        <v/>
      </c>
      <c r="D645" s="22" t="str">
        <f>IF(K645="","",ИТОГ!S645)</f>
        <v/>
      </c>
      <c r="E645" s="24" t="str">
        <f t="shared" si="113"/>
        <v/>
      </c>
      <c r="F645" s="30" t="str">
        <f t="shared" si="114"/>
        <v/>
      </c>
      <c r="G645" s="25" t="str">
        <f t="shared" si="115"/>
        <v/>
      </c>
      <c r="H645" s="29" t="str">
        <f t="shared" ca="1" si="116"/>
        <v/>
      </c>
      <c r="I645" s="24"/>
      <c r="J645" s="30"/>
      <c r="K645" s="27" t="str">
        <f>IF(ИТОГ!A645=0,"",ИТОГ!A645)</f>
        <v/>
      </c>
      <c r="L645" s="26" t="str">
        <f t="shared" si="117"/>
        <v/>
      </c>
      <c r="M645" s="25" t="str">
        <f>IF(K645="","",ИТОГ!Q645)</f>
        <v/>
      </c>
      <c r="N645" s="28" t="str">
        <f>IF(K645="","",ИТОГ!N645)</f>
        <v/>
      </c>
      <c r="O645" s="30" t="str">
        <f t="shared" si="118"/>
        <v/>
      </c>
      <c r="P645" s="24"/>
      <c r="Q645" s="30" t="str">
        <f t="shared" si="119"/>
        <v/>
      </c>
      <c r="R645" s="29" t="str">
        <f t="shared" ca="1" si="120"/>
        <v/>
      </c>
    </row>
    <row r="646" spans="1:18">
      <c r="A646" s="23" t="str">
        <f t="shared" si="110"/>
        <v/>
      </c>
      <c r="B646" s="23" t="str">
        <f t="shared" si="111"/>
        <v/>
      </c>
      <c r="C646" s="29" t="str">
        <f t="shared" ca="1" si="112"/>
        <v/>
      </c>
      <c r="D646" s="22" t="str">
        <f>IF(K646="","",ИТОГ!S646)</f>
        <v/>
      </c>
      <c r="E646" s="24" t="str">
        <f t="shared" si="113"/>
        <v/>
      </c>
      <c r="F646" s="30" t="str">
        <f t="shared" si="114"/>
        <v/>
      </c>
      <c r="G646" s="25" t="str">
        <f t="shared" si="115"/>
        <v/>
      </c>
      <c r="H646" s="29" t="str">
        <f t="shared" ca="1" si="116"/>
        <v/>
      </c>
      <c r="I646" s="24"/>
      <c r="J646" s="30"/>
      <c r="K646" s="27" t="str">
        <f>IF(ИТОГ!A646=0,"",ИТОГ!A646)</f>
        <v/>
      </c>
      <c r="L646" s="26" t="str">
        <f t="shared" si="117"/>
        <v/>
      </c>
      <c r="M646" s="25" t="str">
        <f>IF(K646="","",ИТОГ!Q646)</f>
        <v/>
      </c>
      <c r="N646" s="28" t="str">
        <f>IF(K646="","",ИТОГ!N646)</f>
        <v/>
      </c>
      <c r="O646" s="30" t="str">
        <f t="shared" si="118"/>
        <v/>
      </c>
      <c r="P646" s="24"/>
      <c r="Q646" s="30" t="str">
        <f t="shared" si="119"/>
        <v/>
      </c>
      <c r="R646" s="29" t="str">
        <f t="shared" ca="1" si="120"/>
        <v/>
      </c>
    </row>
    <row r="647" spans="1:18">
      <c r="A647" s="23" t="str">
        <f t="shared" si="110"/>
        <v/>
      </c>
      <c r="B647" s="23" t="str">
        <f t="shared" si="111"/>
        <v/>
      </c>
      <c r="C647" s="29" t="str">
        <f t="shared" ca="1" si="112"/>
        <v/>
      </c>
      <c r="D647" s="22" t="str">
        <f>IF(K647="","",ИТОГ!S647)</f>
        <v/>
      </c>
      <c r="E647" s="24" t="str">
        <f t="shared" si="113"/>
        <v/>
      </c>
      <c r="F647" s="30" t="str">
        <f t="shared" si="114"/>
        <v/>
      </c>
      <c r="G647" s="25" t="str">
        <f t="shared" si="115"/>
        <v/>
      </c>
      <c r="H647" s="29" t="str">
        <f t="shared" ca="1" si="116"/>
        <v/>
      </c>
      <c r="I647" s="24"/>
      <c r="J647" s="30"/>
      <c r="K647" s="27" t="str">
        <f>IF(ИТОГ!A647=0,"",ИТОГ!A647)</f>
        <v/>
      </c>
      <c r="L647" s="26" t="str">
        <f t="shared" si="117"/>
        <v/>
      </c>
      <c r="M647" s="25" t="str">
        <f>IF(K647="","",ИТОГ!Q647)</f>
        <v/>
      </c>
      <c r="N647" s="28" t="str">
        <f>IF(K647="","",ИТОГ!N647)</f>
        <v/>
      </c>
      <c r="O647" s="30" t="str">
        <f t="shared" si="118"/>
        <v/>
      </c>
      <c r="P647" s="24"/>
      <c r="Q647" s="30" t="str">
        <f t="shared" si="119"/>
        <v/>
      </c>
      <c r="R647" s="29" t="str">
        <f t="shared" ca="1" si="120"/>
        <v/>
      </c>
    </row>
    <row r="648" spans="1:18">
      <c r="A648" s="23" t="str">
        <f t="shared" si="110"/>
        <v/>
      </c>
      <c r="B648" s="23" t="str">
        <f t="shared" si="111"/>
        <v/>
      </c>
      <c r="C648" s="29" t="str">
        <f t="shared" ca="1" si="112"/>
        <v/>
      </c>
      <c r="D648" s="22" t="str">
        <f>IF(K648="","",ИТОГ!S648)</f>
        <v/>
      </c>
      <c r="E648" s="24" t="str">
        <f t="shared" si="113"/>
        <v/>
      </c>
      <c r="F648" s="30" t="str">
        <f t="shared" si="114"/>
        <v/>
      </c>
      <c r="G648" s="25" t="str">
        <f t="shared" si="115"/>
        <v/>
      </c>
      <c r="H648" s="29" t="str">
        <f t="shared" ca="1" si="116"/>
        <v/>
      </c>
      <c r="I648" s="24"/>
      <c r="J648" s="30"/>
      <c r="K648" s="27" t="str">
        <f>IF(ИТОГ!A648=0,"",ИТОГ!A648)</f>
        <v/>
      </c>
      <c r="L648" s="26" t="str">
        <f t="shared" si="117"/>
        <v/>
      </c>
      <c r="M648" s="25" t="str">
        <f>IF(K648="","",ИТОГ!Q648)</f>
        <v/>
      </c>
      <c r="N648" s="28" t="str">
        <f>IF(K648="","",ИТОГ!N648)</f>
        <v/>
      </c>
      <c r="O648" s="30" t="str">
        <f t="shared" si="118"/>
        <v/>
      </c>
      <c r="P648" s="24"/>
      <c r="Q648" s="30" t="str">
        <f t="shared" si="119"/>
        <v/>
      </c>
      <c r="R648" s="29" t="str">
        <f t="shared" ca="1" si="120"/>
        <v/>
      </c>
    </row>
    <row r="649" spans="1:18">
      <c r="A649" s="23" t="str">
        <f t="shared" si="110"/>
        <v/>
      </c>
      <c r="B649" s="23" t="str">
        <f t="shared" si="111"/>
        <v/>
      </c>
      <c r="C649" s="29" t="str">
        <f t="shared" ca="1" si="112"/>
        <v/>
      </c>
      <c r="D649" s="22" t="str">
        <f>IF(K649="","",ИТОГ!S649)</f>
        <v/>
      </c>
      <c r="E649" s="24" t="str">
        <f t="shared" si="113"/>
        <v/>
      </c>
      <c r="F649" s="30" t="str">
        <f t="shared" si="114"/>
        <v/>
      </c>
      <c r="G649" s="25" t="str">
        <f t="shared" si="115"/>
        <v/>
      </c>
      <c r="H649" s="29" t="str">
        <f t="shared" ca="1" si="116"/>
        <v/>
      </c>
      <c r="I649" s="24"/>
      <c r="J649" s="30"/>
      <c r="K649" s="27" t="str">
        <f>IF(ИТОГ!A649=0,"",ИТОГ!A649)</f>
        <v/>
      </c>
      <c r="L649" s="26" t="str">
        <f t="shared" si="117"/>
        <v/>
      </c>
      <c r="M649" s="25" t="str">
        <f>IF(K649="","",ИТОГ!Q649)</f>
        <v/>
      </c>
      <c r="N649" s="28" t="str">
        <f>IF(K649="","",ИТОГ!N649)</f>
        <v/>
      </c>
      <c r="O649" s="30" t="str">
        <f t="shared" si="118"/>
        <v/>
      </c>
      <c r="P649" s="24"/>
      <c r="Q649" s="30" t="str">
        <f t="shared" si="119"/>
        <v/>
      </c>
      <c r="R649" s="29" t="str">
        <f t="shared" ca="1" si="120"/>
        <v/>
      </c>
    </row>
    <row r="650" spans="1:18">
      <c r="A650" s="23" t="str">
        <f t="shared" si="110"/>
        <v/>
      </c>
      <c r="B650" s="23" t="str">
        <f t="shared" si="111"/>
        <v/>
      </c>
      <c r="C650" s="29" t="str">
        <f t="shared" ca="1" si="112"/>
        <v/>
      </c>
      <c r="D650" s="22" t="str">
        <f>IF(K650="","",ИТОГ!S650)</f>
        <v/>
      </c>
      <c r="E650" s="24" t="str">
        <f t="shared" si="113"/>
        <v/>
      </c>
      <c r="F650" s="30" t="str">
        <f t="shared" si="114"/>
        <v/>
      </c>
      <c r="G650" s="25" t="str">
        <f t="shared" si="115"/>
        <v/>
      </c>
      <c r="H650" s="29" t="str">
        <f t="shared" ca="1" si="116"/>
        <v/>
      </c>
      <c r="I650" s="24"/>
      <c r="J650" s="30"/>
      <c r="K650" s="27" t="str">
        <f>IF(ИТОГ!A650=0,"",ИТОГ!A650)</f>
        <v/>
      </c>
      <c r="L650" s="26" t="str">
        <f t="shared" si="117"/>
        <v/>
      </c>
      <c r="M650" s="25" t="str">
        <f>IF(K650="","",ИТОГ!Q650)</f>
        <v/>
      </c>
      <c r="N650" s="28" t="str">
        <f>IF(K650="","",ИТОГ!N650)</f>
        <v/>
      </c>
      <c r="O650" s="30" t="str">
        <f t="shared" si="118"/>
        <v/>
      </c>
      <c r="P650" s="24"/>
      <c r="Q650" s="30" t="str">
        <f t="shared" si="119"/>
        <v/>
      </c>
      <c r="R650" s="29" t="str">
        <f t="shared" ca="1" si="120"/>
        <v/>
      </c>
    </row>
    <row r="651" spans="1:18">
      <c r="A651" s="23" t="str">
        <f t="shared" si="110"/>
        <v/>
      </c>
      <c r="B651" s="23" t="str">
        <f t="shared" si="111"/>
        <v/>
      </c>
      <c r="C651" s="29" t="str">
        <f t="shared" ca="1" si="112"/>
        <v/>
      </c>
      <c r="D651" s="22" t="str">
        <f>IF(K651="","",ИТОГ!S651)</f>
        <v/>
      </c>
      <c r="E651" s="24" t="str">
        <f t="shared" si="113"/>
        <v/>
      </c>
      <c r="F651" s="30" t="str">
        <f t="shared" si="114"/>
        <v/>
      </c>
      <c r="G651" s="25" t="str">
        <f t="shared" si="115"/>
        <v/>
      </c>
      <c r="H651" s="29" t="str">
        <f t="shared" ca="1" si="116"/>
        <v/>
      </c>
      <c r="I651" s="24"/>
      <c r="J651" s="30"/>
      <c r="K651" s="27" t="str">
        <f>IF(ИТОГ!A651=0,"",ИТОГ!A651)</f>
        <v/>
      </c>
      <c r="L651" s="26" t="str">
        <f t="shared" si="117"/>
        <v/>
      </c>
      <c r="M651" s="25" t="str">
        <f>IF(K651="","",ИТОГ!Q651)</f>
        <v/>
      </c>
      <c r="N651" s="28" t="str">
        <f>IF(K651="","",ИТОГ!N651)</f>
        <v/>
      </c>
      <c r="O651" s="30" t="str">
        <f t="shared" si="118"/>
        <v/>
      </c>
      <c r="P651" s="24"/>
      <c r="Q651" s="30" t="str">
        <f t="shared" si="119"/>
        <v/>
      </c>
      <c r="R651" s="29" t="str">
        <f t="shared" ca="1" si="120"/>
        <v/>
      </c>
    </row>
    <row r="652" spans="1:18">
      <c r="A652" s="23" t="str">
        <f t="shared" si="110"/>
        <v/>
      </c>
      <c r="B652" s="23" t="str">
        <f t="shared" si="111"/>
        <v/>
      </c>
      <c r="C652" s="29" t="str">
        <f t="shared" ca="1" si="112"/>
        <v/>
      </c>
      <c r="D652" s="22" t="str">
        <f>IF(K652="","",ИТОГ!S652)</f>
        <v/>
      </c>
      <c r="E652" s="24" t="str">
        <f t="shared" si="113"/>
        <v/>
      </c>
      <c r="F652" s="30" t="str">
        <f t="shared" si="114"/>
        <v/>
      </c>
      <c r="G652" s="25" t="str">
        <f t="shared" si="115"/>
        <v/>
      </c>
      <c r="H652" s="29" t="str">
        <f t="shared" ca="1" si="116"/>
        <v/>
      </c>
      <c r="I652" s="24"/>
      <c r="J652" s="30"/>
      <c r="K652" s="27" t="str">
        <f>IF(ИТОГ!A652=0,"",ИТОГ!A652)</f>
        <v/>
      </c>
      <c r="L652" s="26" t="str">
        <f t="shared" si="117"/>
        <v/>
      </c>
      <c r="M652" s="25" t="str">
        <f>IF(K652="","",ИТОГ!Q652)</f>
        <v/>
      </c>
      <c r="N652" s="28" t="str">
        <f>IF(K652="","",ИТОГ!N652)</f>
        <v/>
      </c>
      <c r="O652" s="30" t="str">
        <f t="shared" si="118"/>
        <v/>
      </c>
      <c r="P652" s="24"/>
      <c r="Q652" s="30" t="str">
        <f t="shared" si="119"/>
        <v/>
      </c>
      <c r="R652" s="29" t="str">
        <f t="shared" ca="1" si="120"/>
        <v/>
      </c>
    </row>
    <row r="653" spans="1:18">
      <c r="A653" s="23" t="str">
        <f t="shared" si="110"/>
        <v/>
      </c>
      <c r="B653" s="23" t="str">
        <f t="shared" si="111"/>
        <v/>
      </c>
      <c r="C653" s="29" t="str">
        <f t="shared" ca="1" si="112"/>
        <v/>
      </c>
      <c r="D653" s="22" t="str">
        <f>IF(K653="","",ИТОГ!S653)</f>
        <v/>
      </c>
      <c r="E653" s="24" t="str">
        <f t="shared" si="113"/>
        <v/>
      </c>
      <c r="F653" s="30" t="str">
        <f t="shared" si="114"/>
        <v/>
      </c>
      <c r="G653" s="25" t="str">
        <f t="shared" si="115"/>
        <v/>
      </c>
      <c r="H653" s="29" t="str">
        <f t="shared" ca="1" si="116"/>
        <v/>
      </c>
      <c r="I653" s="24"/>
      <c r="J653" s="30"/>
      <c r="K653" s="27" t="str">
        <f>IF(ИТОГ!A653=0,"",ИТОГ!A653)</f>
        <v/>
      </c>
      <c r="L653" s="26" t="str">
        <f t="shared" si="117"/>
        <v/>
      </c>
      <c r="M653" s="25" t="str">
        <f>IF(K653="","",ИТОГ!Q653)</f>
        <v/>
      </c>
      <c r="N653" s="28" t="str">
        <f>IF(K653="","",ИТОГ!N653)</f>
        <v/>
      </c>
      <c r="O653" s="30" t="str">
        <f t="shared" si="118"/>
        <v/>
      </c>
      <c r="P653" s="24"/>
      <c r="Q653" s="30" t="str">
        <f t="shared" si="119"/>
        <v/>
      </c>
      <c r="R653" s="29" t="str">
        <f t="shared" ca="1" si="120"/>
        <v/>
      </c>
    </row>
    <row r="654" spans="1:18">
      <c r="A654" s="23" t="str">
        <f t="shared" si="110"/>
        <v/>
      </c>
      <c r="B654" s="23" t="str">
        <f t="shared" si="111"/>
        <v/>
      </c>
      <c r="C654" s="29" t="str">
        <f t="shared" ca="1" si="112"/>
        <v/>
      </c>
      <c r="D654" s="22" t="str">
        <f>IF(K654="","",ИТОГ!S654)</f>
        <v/>
      </c>
      <c r="E654" s="24" t="str">
        <f t="shared" si="113"/>
        <v/>
      </c>
      <c r="F654" s="30" t="str">
        <f t="shared" si="114"/>
        <v/>
      </c>
      <c r="G654" s="25" t="str">
        <f t="shared" si="115"/>
        <v/>
      </c>
      <c r="H654" s="29" t="str">
        <f t="shared" ca="1" si="116"/>
        <v/>
      </c>
      <c r="I654" s="24"/>
      <c r="J654" s="30"/>
      <c r="K654" s="27" t="str">
        <f>IF(ИТОГ!A654=0,"",ИТОГ!A654)</f>
        <v/>
      </c>
      <c r="L654" s="26" t="str">
        <f t="shared" si="117"/>
        <v/>
      </c>
      <c r="M654" s="25" t="str">
        <f>IF(K654="","",ИТОГ!Q654)</f>
        <v/>
      </c>
      <c r="N654" s="28" t="str">
        <f>IF(K654="","",ИТОГ!N654)</f>
        <v/>
      </c>
      <c r="O654" s="30" t="str">
        <f t="shared" si="118"/>
        <v/>
      </c>
      <c r="P654" s="24"/>
      <c r="Q654" s="30" t="str">
        <f t="shared" si="119"/>
        <v/>
      </c>
      <c r="R654" s="29" t="str">
        <f t="shared" ca="1" si="120"/>
        <v/>
      </c>
    </row>
    <row r="655" spans="1:18">
      <c r="A655" s="23" t="str">
        <f t="shared" si="110"/>
        <v/>
      </c>
      <c r="B655" s="23" t="str">
        <f t="shared" si="111"/>
        <v/>
      </c>
      <c r="C655" s="29" t="str">
        <f t="shared" ca="1" si="112"/>
        <v/>
      </c>
      <c r="D655" s="22" t="str">
        <f>IF(K655="","",ИТОГ!S655)</f>
        <v/>
      </c>
      <c r="E655" s="24" t="str">
        <f t="shared" si="113"/>
        <v/>
      </c>
      <c r="F655" s="30" t="str">
        <f t="shared" si="114"/>
        <v/>
      </c>
      <c r="G655" s="25" t="str">
        <f t="shared" si="115"/>
        <v/>
      </c>
      <c r="H655" s="29" t="str">
        <f t="shared" ca="1" si="116"/>
        <v/>
      </c>
      <c r="I655" s="24"/>
      <c r="J655" s="30"/>
      <c r="K655" s="27" t="str">
        <f>IF(ИТОГ!A655=0,"",ИТОГ!A655)</f>
        <v/>
      </c>
      <c r="L655" s="26" t="str">
        <f t="shared" si="117"/>
        <v/>
      </c>
      <c r="M655" s="25" t="str">
        <f>IF(K655="","",ИТОГ!Q655)</f>
        <v/>
      </c>
      <c r="N655" s="28" t="str">
        <f>IF(K655="","",ИТОГ!N655)</f>
        <v/>
      </c>
      <c r="O655" s="30" t="str">
        <f t="shared" si="118"/>
        <v/>
      </c>
      <c r="P655" s="24"/>
      <c r="Q655" s="30" t="str">
        <f t="shared" si="119"/>
        <v/>
      </c>
      <c r="R655" s="29" t="str">
        <f t="shared" ca="1" si="120"/>
        <v/>
      </c>
    </row>
    <row r="656" spans="1:18">
      <c r="A656" s="23" t="str">
        <f t="shared" si="110"/>
        <v/>
      </c>
      <c r="B656" s="23" t="str">
        <f t="shared" si="111"/>
        <v/>
      </c>
      <c r="C656" s="29" t="str">
        <f t="shared" ca="1" si="112"/>
        <v/>
      </c>
      <c r="D656" s="22" t="str">
        <f>IF(K656="","",ИТОГ!S656)</f>
        <v/>
      </c>
      <c r="E656" s="24" t="str">
        <f t="shared" si="113"/>
        <v/>
      </c>
      <c r="F656" s="30" t="str">
        <f t="shared" si="114"/>
        <v/>
      </c>
      <c r="G656" s="25" t="str">
        <f t="shared" si="115"/>
        <v/>
      </c>
      <c r="H656" s="29" t="str">
        <f t="shared" ca="1" si="116"/>
        <v/>
      </c>
      <c r="I656" s="24"/>
      <c r="J656" s="30"/>
      <c r="K656" s="27" t="str">
        <f>IF(ИТОГ!A656=0,"",ИТОГ!A656)</f>
        <v/>
      </c>
      <c r="L656" s="26" t="str">
        <f t="shared" si="117"/>
        <v/>
      </c>
      <c r="M656" s="25" t="str">
        <f>IF(K656="","",ИТОГ!Q656)</f>
        <v/>
      </c>
      <c r="N656" s="28" t="str">
        <f>IF(K656="","",ИТОГ!N656)</f>
        <v/>
      </c>
      <c r="O656" s="30" t="str">
        <f t="shared" si="118"/>
        <v/>
      </c>
      <c r="P656" s="24"/>
      <c r="Q656" s="30" t="str">
        <f t="shared" si="119"/>
        <v/>
      </c>
      <c r="R656" s="29" t="str">
        <f t="shared" ca="1" si="120"/>
        <v/>
      </c>
    </row>
    <row r="657" spans="1:18">
      <c r="A657" s="23" t="str">
        <f t="shared" si="110"/>
        <v/>
      </c>
      <c r="B657" s="23" t="str">
        <f t="shared" si="111"/>
        <v/>
      </c>
      <c r="C657" s="29" t="str">
        <f t="shared" ca="1" si="112"/>
        <v/>
      </c>
      <c r="D657" s="22" t="str">
        <f>IF(K657="","",ИТОГ!S657)</f>
        <v/>
      </c>
      <c r="E657" s="24" t="str">
        <f t="shared" si="113"/>
        <v/>
      </c>
      <c r="F657" s="30" t="str">
        <f t="shared" si="114"/>
        <v/>
      </c>
      <c r="G657" s="25" t="str">
        <f t="shared" si="115"/>
        <v/>
      </c>
      <c r="H657" s="29" t="str">
        <f t="shared" ca="1" si="116"/>
        <v/>
      </c>
      <c r="I657" s="24"/>
      <c r="J657" s="30"/>
      <c r="K657" s="27" t="str">
        <f>IF(ИТОГ!A657=0,"",ИТОГ!A657)</f>
        <v/>
      </c>
      <c r="L657" s="26" t="str">
        <f t="shared" si="117"/>
        <v/>
      </c>
      <c r="M657" s="25" t="str">
        <f>IF(K657="","",ИТОГ!Q657)</f>
        <v/>
      </c>
      <c r="N657" s="28" t="str">
        <f>IF(K657="","",ИТОГ!N657)</f>
        <v/>
      </c>
      <c r="O657" s="30" t="str">
        <f t="shared" si="118"/>
        <v/>
      </c>
      <c r="P657" s="24"/>
      <c r="Q657" s="30" t="str">
        <f t="shared" si="119"/>
        <v/>
      </c>
      <c r="R657" s="29" t="str">
        <f t="shared" ca="1" si="120"/>
        <v/>
      </c>
    </row>
    <row r="658" spans="1:18">
      <c r="A658" s="23" t="str">
        <f t="shared" si="110"/>
        <v/>
      </c>
      <c r="B658" s="23" t="str">
        <f t="shared" si="111"/>
        <v/>
      </c>
      <c r="C658" s="29" t="str">
        <f t="shared" ca="1" si="112"/>
        <v/>
      </c>
      <c r="D658" s="22" t="str">
        <f>IF(K658="","",ИТОГ!S658)</f>
        <v/>
      </c>
      <c r="E658" s="24" t="str">
        <f t="shared" si="113"/>
        <v/>
      </c>
      <c r="F658" s="30" t="str">
        <f t="shared" si="114"/>
        <v/>
      </c>
      <c r="G658" s="25" t="str">
        <f t="shared" si="115"/>
        <v/>
      </c>
      <c r="H658" s="29" t="str">
        <f t="shared" ca="1" si="116"/>
        <v/>
      </c>
      <c r="I658" s="24"/>
      <c r="J658" s="30"/>
      <c r="K658" s="27" t="str">
        <f>IF(ИТОГ!A658=0,"",ИТОГ!A658)</f>
        <v/>
      </c>
      <c r="L658" s="26" t="str">
        <f t="shared" si="117"/>
        <v/>
      </c>
      <c r="M658" s="25" t="str">
        <f>IF(K658="","",ИТОГ!Q658)</f>
        <v/>
      </c>
      <c r="N658" s="28" t="str">
        <f>IF(K658="","",ИТОГ!N658)</f>
        <v/>
      </c>
      <c r="O658" s="30" t="str">
        <f t="shared" si="118"/>
        <v/>
      </c>
      <c r="P658" s="24"/>
      <c r="Q658" s="30" t="str">
        <f t="shared" si="119"/>
        <v/>
      </c>
      <c r="R658" s="29" t="str">
        <f t="shared" ca="1" si="120"/>
        <v/>
      </c>
    </row>
    <row r="659" spans="1:18">
      <c r="A659" s="23" t="str">
        <f t="shared" si="110"/>
        <v/>
      </c>
      <c r="B659" s="23" t="str">
        <f t="shared" si="111"/>
        <v/>
      </c>
      <c r="C659" s="29" t="str">
        <f t="shared" ca="1" si="112"/>
        <v/>
      </c>
      <c r="D659" s="22" t="str">
        <f>IF(K659="","",ИТОГ!S659)</f>
        <v/>
      </c>
      <c r="E659" s="24" t="str">
        <f t="shared" si="113"/>
        <v/>
      </c>
      <c r="F659" s="30" t="str">
        <f t="shared" si="114"/>
        <v/>
      </c>
      <c r="G659" s="25" t="str">
        <f t="shared" si="115"/>
        <v/>
      </c>
      <c r="H659" s="29" t="str">
        <f t="shared" ca="1" si="116"/>
        <v/>
      </c>
      <c r="I659" s="24"/>
      <c r="J659" s="30"/>
      <c r="K659" s="27" t="str">
        <f>IF(ИТОГ!A659=0,"",ИТОГ!A659)</f>
        <v/>
      </c>
      <c r="L659" s="26" t="str">
        <f t="shared" si="117"/>
        <v/>
      </c>
      <c r="M659" s="25" t="str">
        <f>IF(K659="","",ИТОГ!Q659)</f>
        <v/>
      </c>
      <c r="N659" s="28" t="str">
        <f>IF(K659="","",ИТОГ!N659)</f>
        <v/>
      </c>
      <c r="O659" s="30" t="str">
        <f t="shared" si="118"/>
        <v/>
      </c>
      <c r="P659" s="24"/>
      <c r="Q659" s="30" t="str">
        <f t="shared" si="119"/>
        <v/>
      </c>
      <c r="R659" s="29" t="str">
        <f t="shared" ca="1" si="120"/>
        <v/>
      </c>
    </row>
    <row r="660" spans="1:18">
      <c r="A660" s="23" t="str">
        <f t="shared" si="110"/>
        <v/>
      </c>
      <c r="B660" s="23" t="str">
        <f t="shared" si="111"/>
        <v/>
      </c>
      <c r="C660" s="29" t="str">
        <f t="shared" ca="1" si="112"/>
        <v/>
      </c>
      <c r="D660" s="22" t="str">
        <f>IF(K660="","",ИТОГ!S660)</f>
        <v/>
      </c>
      <c r="E660" s="24" t="str">
        <f t="shared" si="113"/>
        <v/>
      </c>
      <c r="F660" s="30" t="str">
        <f t="shared" si="114"/>
        <v/>
      </c>
      <c r="G660" s="25" t="str">
        <f t="shared" si="115"/>
        <v/>
      </c>
      <c r="H660" s="29" t="str">
        <f t="shared" ca="1" si="116"/>
        <v/>
      </c>
      <c r="I660" s="24"/>
      <c r="J660" s="30"/>
      <c r="K660" s="27" t="str">
        <f>IF(ИТОГ!A660=0,"",ИТОГ!A660)</f>
        <v/>
      </c>
      <c r="L660" s="26" t="str">
        <f t="shared" si="117"/>
        <v/>
      </c>
      <c r="M660" s="25" t="str">
        <f>IF(K660="","",ИТОГ!Q660)</f>
        <v/>
      </c>
      <c r="N660" s="28" t="str">
        <f>IF(K660="","",ИТОГ!N660)</f>
        <v/>
      </c>
      <c r="O660" s="30" t="str">
        <f t="shared" si="118"/>
        <v/>
      </c>
      <c r="P660" s="24"/>
      <c r="Q660" s="30" t="str">
        <f t="shared" si="119"/>
        <v/>
      </c>
      <c r="R660" s="29" t="str">
        <f t="shared" ca="1" si="120"/>
        <v/>
      </c>
    </row>
    <row r="661" spans="1:18">
      <c r="A661" s="23" t="str">
        <f t="shared" si="110"/>
        <v/>
      </c>
      <c r="B661" s="23" t="str">
        <f t="shared" si="111"/>
        <v/>
      </c>
      <c r="C661" s="29" t="str">
        <f t="shared" ca="1" si="112"/>
        <v/>
      </c>
      <c r="D661" s="22" t="str">
        <f>IF(K661="","",ИТОГ!S661)</f>
        <v/>
      </c>
      <c r="E661" s="24" t="str">
        <f t="shared" si="113"/>
        <v/>
      </c>
      <c r="F661" s="30" t="str">
        <f t="shared" si="114"/>
        <v/>
      </c>
      <c r="G661" s="25" t="str">
        <f t="shared" si="115"/>
        <v/>
      </c>
      <c r="H661" s="29" t="str">
        <f t="shared" ca="1" si="116"/>
        <v/>
      </c>
      <c r="I661" s="24"/>
      <c r="J661" s="30"/>
      <c r="K661" s="27" t="str">
        <f>IF(ИТОГ!A661=0,"",ИТОГ!A661)</f>
        <v/>
      </c>
      <c r="L661" s="26" t="str">
        <f t="shared" si="117"/>
        <v/>
      </c>
      <c r="M661" s="25" t="str">
        <f>IF(K661="","",ИТОГ!Q661)</f>
        <v/>
      </c>
      <c r="N661" s="28" t="str">
        <f>IF(K661="","",ИТОГ!N661)</f>
        <v/>
      </c>
      <c r="O661" s="30" t="str">
        <f t="shared" si="118"/>
        <v/>
      </c>
      <c r="P661" s="24"/>
      <c r="Q661" s="30" t="str">
        <f t="shared" si="119"/>
        <v/>
      </c>
      <c r="R661" s="29" t="str">
        <f t="shared" ca="1" si="120"/>
        <v/>
      </c>
    </row>
    <row r="662" spans="1:18">
      <c r="A662" s="23" t="str">
        <f t="shared" si="110"/>
        <v/>
      </c>
      <c r="B662" s="23" t="str">
        <f t="shared" si="111"/>
        <v/>
      </c>
      <c r="C662" s="29" t="str">
        <f t="shared" ca="1" si="112"/>
        <v/>
      </c>
      <c r="D662" s="22" t="str">
        <f>IF(K662="","",ИТОГ!S662)</f>
        <v/>
      </c>
      <c r="E662" s="24" t="str">
        <f t="shared" si="113"/>
        <v/>
      </c>
      <c r="F662" s="30" t="str">
        <f t="shared" si="114"/>
        <v/>
      </c>
      <c r="G662" s="25" t="str">
        <f t="shared" si="115"/>
        <v/>
      </c>
      <c r="H662" s="29" t="str">
        <f t="shared" ca="1" si="116"/>
        <v/>
      </c>
      <c r="I662" s="24"/>
      <c r="J662" s="30"/>
      <c r="K662" s="27" t="str">
        <f>IF(ИТОГ!A662=0,"",ИТОГ!A662)</f>
        <v/>
      </c>
      <c r="L662" s="26" t="str">
        <f t="shared" si="117"/>
        <v/>
      </c>
      <c r="M662" s="25" t="str">
        <f>IF(K662="","",ИТОГ!Q662)</f>
        <v/>
      </c>
      <c r="N662" s="28" t="str">
        <f>IF(K662="","",ИТОГ!N662)</f>
        <v/>
      </c>
      <c r="O662" s="30" t="str">
        <f t="shared" si="118"/>
        <v/>
      </c>
      <c r="P662" s="24"/>
      <c r="Q662" s="30" t="str">
        <f t="shared" si="119"/>
        <v/>
      </c>
      <c r="R662" s="29" t="str">
        <f t="shared" ca="1" si="120"/>
        <v/>
      </c>
    </row>
    <row r="663" spans="1:18">
      <c r="A663" s="23" t="str">
        <f t="shared" si="110"/>
        <v/>
      </c>
      <c r="B663" s="23" t="str">
        <f t="shared" si="111"/>
        <v/>
      </c>
      <c r="C663" s="29" t="str">
        <f t="shared" ca="1" si="112"/>
        <v/>
      </c>
      <c r="D663" s="22" t="str">
        <f>IF(K663="","",ИТОГ!S663)</f>
        <v/>
      </c>
      <c r="E663" s="24" t="str">
        <f t="shared" si="113"/>
        <v/>
      </c>
      <c r="F663" s="30" t="str">
        <f t="shared" si="114"/>
        <v/>
      </c>
      <c r="G663" s="25" t="str">
        <f t="shared" si="115"/>
        <v/>
      </c>
      <c r="H663" s="29" t="str">
        <f t="shared" ca="1" si="116"/>
        <v/>
      </c>
      <c r="I663" s="24"/>
      <c r="J663" s="30"/>
      <c r="K663" s="27" t="str">
        <f>IF(ИТОГ!A663=0,"",ИТОГ!A663)</f>
        <v/>
      </c>
      <c r="L663" s="26" t="str">
        <f t="shared" si="117"/>
        <v/>
      </c>
      <c r="M663" s="25" t="str">
        <f>IF(K663="","",ИТОГ!Q663)</f>
        <v/>
      </c>
      <c r="N663" s="28" t="str">
        <f>IF(K663="","",ИТОГ!N663)</f>
        <v/>
      </c>
      <c r="O663" s="30" t="str">
        <f t="shared" si="118"/>
        <v/>
      </c>
      <c r="P663" s="24"/>
      <c r="Q663" s="30" t="str">
        <f t="shared" si="119"/>
        <v/>
      </c>
      <c r="R663" s="29" t="str">
        <f t="shared" ca="1" si="120"/>
        <v/>
      </c>
    </row>
    <row r="664" spans="1:18">
      <c r="A664" s="23" t="str">
        <f t="shared" si="110"/>
        <v/>
      </c>
      <c r="B664" s="23" t="str">
        <f t="shared" si="111"/>
        <v/>
      </c>
      <c r="C664" s="29" t="str">
        <f t="shared" ca="1" si="112"/>
        <v/>
      </c>
      <c r="D664" s="22" t="str">
        <f>IF(K664="","",ИТОГ!S664)</f>
        <v/>
      </c>
      <c r="E664" s="24" t="str">
        <f t="shared" si="113"/>
        <v/>
      </c>
      <c r="F664" s="30" t="str">
        <f t="shared" si="114"/>
        <v/>
      </c>
      <c r="G664" s="25" t="str">
        <f t="shared" si="115"/>
        <v/>
      </c>
      <c r="H664" s="29" t="str">
        <f t="shared" ca="1" si="116"/>
        <v/>
      </c>
      <c r="I664" s="24"/>
      <c r="J664" s="30"/>
      <c r="K664" s="27" t="str">
        <f>IF(ИТОГ!A664=0,"",ИТОГ!A664)</f>
        <v/>
      </c>
      <c r="L664" s="26" t="str">
        <f t="shared" si="117"/>
        <v/>
      </c>
      <c r="M664" s="25" t="str">
        <f>IF(K664="","",ИТОГ!Q664)</f>
        <v/>
      </c>
      <c r="N664" s="28" t="str">
        <f>IF(K664="","",ИТОГ!N664)</f>
        <v/>
      </c>
      <c r="O664" s="30" t="str">
        <f t="shared" si="118"/>
        <v/>
      </c>
      <c r="P664" s="24"/>
      <c r="Q664" s="30" t="str">
        <f t="shared" si="119"/>
        <v/>
      </c>
      <c r="R664" s="29" t="str">
        <f t="shared" ca="1" si="120"/>
        <v/>
      </c>
    </row>
    <row r="665" spans="1:18">
      <c r="A665" s="23" t="str">
        <f t="shared" si="110"/>
        <v/>
      </c>
      <c r="B665" s="23" t="str">
        <f t="shared" si="111"/>
        <v/>
      </c>
      <c r="C665" s="29" t="str">
        <f t="shared" ca="1" si="112"/>
        <v/>
      </c>
      <c r="D665" s="22" t="str">
        <f>IF(K665="","",ИТОГ!S665)</f>
        <v/>
      </c>
      <c r="E665" s="24" t="str">
        <f t="shared" si="113"/>
        <v/>
      </c>
      <c r="F665" s="30" t="str">
        <f t="shared" si="114"/>
        <v/>
      </c>
      <c r="G665" s="25" t="str">
        <f t="shared" si="115"/>
        <v/>
      </c>
      <c r="H665" s="29" t="str">
        <f t="shared" ca="1" si="116"/>
        <v/>
      </c>
      <c r="I665" s="24"/>
      <c r="J665" s="30"/>
      <c r="K665" s="27" t="str">
        <f>IF(ИТОГ!A665=0,"",ИТОГ!A665)</f>
        <v/>
      </c>
      <c r="L665" s="26" t="str">
        <f t="shared" si="117"/>
        <v/>
      </c>
      <c r="M665" s="25" t="str">
        <f>IF(K665="","",ИТОГ!Q665)</f>
        <v/>
      </c>
      <c r="N665" s="28" t="str">
        <f>IF(K665="","",ИТОГ!N665)</f>
        <v/>
      </c>
      <c r="O665" s="30" t="str">
        <f t="shared" si="118"/>
        <v/>
      </c>
      <c r="P665" s="24"/>
      <c r="Q665" s="30" t="str">
        <f t="shared" si="119"/>
        <v/>
      </c>
      <c r="R665" s="29" t="str">
        <f t="shared" ca="1" si="120"/>
        <v/>
      </c>
    </row>
    <row r="666" spans="1:18">
      <c r="A666" s="23" t="str">
        <f t="shared" si="110"/>
        <v/>
      </c>
      <c r="B666" s="23" t="str">
        <f t="shared" si="111"/>
        <v/>
      </c>
      <c r="C666" s="29" t="str">
        <f t="shared" ca="1" si="112"/>
        <v/>
      </c>
      <c r="D666" s="22" t="str">
        <f>IF(K666="","",ИТОГ!S666)</f>
        <v/>
      </c>
      <c r="E666" s="24" t="str">
        <f t="shared" si="113"/>
        <v/>
      </c>
      <c r="F666" s="30" t="str">
        <f t="shared" si="114"/>
        <v/>
      </c>
      <c r="G666" s="25" t="str">
        <f t="shared" si="115"/>
        <v/>
      </c>
      <c r="H666" s="29" t="str">
        <f t="shared" ca="1" si="116"/>
        <v/>
      </c>
      <c r="I666" s="24"/>
      <c r="J666" s="30"/>
      <c r="K666" s="27" t="str">
        <f>IF(ИТОГ!A666=0,"",ИТОГ!A666)</f>
        <v/>
      </c>
      <c r="L666" s="26" t="str">
        <f t="shared" si="117"/>
        <v/>
      </c>
      <c r="M666" s="25" t="str">
        <f>IF(K666="","",ИТОГ!Q666)</f>
        <v/>
      </c>
      <c r="N666" s="28" t="str">
        <f>IF(K666="","",ИТОГ!N666)</f>
        <v/>
      </c>
      <c r="O666" s="30" t="str">
        <f t="shared" si="118"/>
        <v/>
      </c>
      <c r="P666" s="24"/>
      <c r="Q666" s="30" t="str">
        <f t="shared" si="119"/>
        <v/>
      </c>
      <c r="R666" s="29" t="str">
        <f t="shared" ca="1" si="120"/>
        <v/>
      </c>
    </row>
    <row r="667" spans="1:18">
      <c r="A667" s="23" t="str">
        <f t="shared" si="110"/>
        <v/>
      </c>
      <c r="B667" s="23" t="str">
        <f t="shared" si="111"/>
        <v/>
      </c>
      <c r="C667" s="29" t="str">
        <f t="shared" ca="1" si="112"/>
        <v/>
      </c>
      <c r="D667" s="22" t="str">
        <f>IF(K667="","",ИТОГ!S667)</f>
        <v/>
      </c>
      <c r="E667" s="24" t="str">
        <f t="shared" si="113"/>
        <v/>
      </c>
      <c r="F667" s="30" t="str">
        <f t="shared" si="114"/>
        <v/>
      </c>
      <c r="G667" s="25" t="str">
        <f t="shared" si="115"/>
        <v/>
      </c>
      <c r="H667" s="29" t="str">
        <f t="shared" ca="1" si="116"/>
        <v/>
      </c>
      <c r="I667" s="24"/>
      <c r="J667" s="30"/>
      <c r="K667" s="27" t="str">
        <f>IF(ИТОГ!A667=0,"",ИТОГ!A667)</f>
        <v/>
      </c>
      <c r="L667" s="26" t="str">
        <f t="shared" si="117"/>
        <v/>
      </c>
      <c r="M667" s="25" t="str">
        <f>IF(K667="","",ИТОГ!Q667)</f>
        <v/>
      </c>
      <c r="N667" s="28" t="str">
        <f>IF(K667="","",ИТОГ!N667)</f>
        <v/>
      </c>
      <c r="O667" s="30" t="str">
        <f t="shared" si="118"/>
        <v/>
      </c>
      <c r="P667" s="24"/>
      <c r="Q667" s="30" t="str">
        <f t="shared" si="119"/>
        <v/>
      </c>
      <c r="R667" s="29" t="str">
        <f t="shared" ca="1" si="120"/>
        <v/>
      </c>
    </row>
    <row r="668" spans="1:18">
      <c r="A668" s="23" t="str">
        <f t="shared" si="110"/>
        <v/>
      </c>
      <c r="B668" s="23" t="str">
        <f t="shared" si="111"/>
        <v/>
      </c>
      <c r="C668" s="29" t="str">
        <f t="shared" ca="1" si="112"/>
        <v/>
      </c>
      <c r="D668" s="22" t="str">
        <f>IF(K668="","",ИТОГ!S668)</f>
        <v/>
      </c>
      <c r="E668" s="24" t="str">
        <f t="shared" si="113"/>
        <v/>
      </c>
      <c r="F668" s="30" t="str">
        <f t="shared" si="114"/>
        <v/>
      </c>
      <c r="G668" s="25" t="str">
        <f t="shared" si="115"/>
        <v/>
      </c>
      <c r="H668" s="29" t="str">
        <f t="shared" ca="1" si="116"/>
        <v/>
      </c>
      <c r="I668" s="24"/>
      <c r="J668" s="30"/>
      <c r="K668" s="27" t="str">
        <f>IF(ИТОГ!A668=0,"",ИТОГ!A668)</f>
        <v/>
      </c>
      <c r="L668" s="26" t="str">
        <f t="shared" si="117"/>
        <v/>
      </c>
      <c r="M668" s="25" t="str">
        <f>IF(K668="","",ИТОГ!Q668)</f>
        <v/>
      </c>
      <c r="N668" s="28" t="str">
        <f>IF(K668="","",ИТОГ!N668)</f>
        <v/>
      </c>
      <c r="O668" s="30" t="str">
        <f t="shared" si="118"/>
        <v/>
      </c>
      <c r="P668" s="24"/>
      <c r="Q668" s="30" t="str">
        <f t="shared" si="119"/>
        <v/>
      </c>
      <c r="R668" s="29" t="str">
        <f t="shared" ca="1" si="120"/>
        <v/>
      </c>
    </row>
    <row r="669" spans="1:18">
      <c r="A669" s="23" t="str">
        <f t="shared" si="110"/>
        <v/>
      </c>
      <c r="B669" s="23" t="str">
        <f t="shared" si="111"/>
        <v/>
      </c>
      <c r="C669" s="29" t="str">
        <f t="shared" ca="1" si="112"/>
        <v/>
      </c>
      <c r="D669" s="22" t="str">
        <f>IF(K669="","",ИТОГ!S669)</f>
        <v/>
      </c>
      <c r="E669" s="24" t="str">
        <f t="shared" si="113"/>
        <v/>
      </c>
      <c r="F669" s="30" t="str">
        <f t="shared" si="114"/>
        <v/>
      </c>
      <c r="G669" s="25" t="str">
        <f t="shared" si="115"/>
        <v/>
      </c>
      <c r="H669" s="29" t="str">
        <f t="shared" ca="1" si="116"/>
        <v/>
      </c>
      <c r="I669" s="24"/>
      <c r="J669" s="30"/>
      <c r="K669" s="27" t="str">
        <f>IF(ИТОГ!A669=0,"",ИТОГ!A669)</f>
        <v/>
      </c>
      <c r="L669" s="26" t="str">
        <f t="shared" si="117"/>
        <v/>
      </c>
      <c r="M669" s="25" t="str">
        <f>IF(K669="","",ИТОГ!Q669)</f>
        <v/>
      </c>
      <c r="N669" s="28" t="str">
        <f>IF(K669="","",ИТОГ!N669)</f>
        <v/>
      </c>
      <c r="O669" s="30" t="str">
        <f t="shared" si="118"/>
        <v/>
      </c>
      <c r="P669" s="24"/>
      <c r="Q669" s="30" t="str">
        <f t="shared" si="119"/>
        <v/>
      </c>
      <c r="R669" s="29" t="str">
        <f t="shared" ca="1" si="120"/>
        <v/>
      </c>
    </row>
    <row r="670" spans="1:18">
      <c r="A670" s="23" t="str">
        <f t="shared" ref="A670:A733" si="121">IF(K670="","",1000)</f>
        <v/>
      </c>
      <c r="B670" s="23" t="str">
        <f t="shared" ref="B670:B733" si="122">IF(K670="","",1)</f>
        <v/>
      </c>
      <c r="C670" s="29" t="str">
        <f t="shared" ref="C670:C733" ca="1" si="123">IF(K670="","",TODAY())</f>
        <v/>
      </c>
      <c r="D670" s="22" t="str">
        <f>IF(K670="","",ИТОГ!S670)</f>
        <v/>
      </c>
      <c r="E670" s="24" t="str">
        <f t="shared" ref="E670:E733" si="124">IF(K670="","","Х")</f>
        <v/>
      </c>
      <c r="F670" s="30" t="str">
        <f t="shared" ref="F670:F733" si="125">IF(K670="","","UV")</f>
        <v/>
      </c>
      <c r="G670" s="25" t="str">
        <f t="shared" ref="G670:G733" si="126">IF(K670="","",SUMIF(D:D,D670,M:M))</f>
        <v/>
      </c>
      <c r="H670" s="29" t="str">
        <f t="shared" ref="H670:H733" ca="1" si="127">IF(K670="","",TODAY())</f>
        <v/>
      </c>
      <c r="I670" s="24"/>
      <c r="J670" s="30"/>
      <c r="K670" s="27" t="str">
        <f>IF(ИТОГ!A670=0,"",ИТОГ!A670)</f>
        <v/>
      </c>
      <c r="L670" s="26" t="str">
        <f t="shared" ref="L670:L733" si="128">IF(K670="","",
IF(D669-D670=0,L669+10,10))</f>
        <v/>
      </c>
      <c r="M670" s="25" t="str">
        <f>IF(K670="","",ИТОГ!Q670)</f>
        <v/>
      </c>
      <c r="N670" s="28" t="str">
        <f>IF(K670="","",ИТОГ!N670)</f>
        <v/>
      </c>
      <c r="O670" s="30" t="str">
        <f t="shared" ref="O670:O733" si="129">IF(K670="","","ST")</f>
        <v/>
      </c>
      <c r="P670" s="24"/>
      <c r="Q670" s="30" t="str">
        <f t="shared" ref="Q670:Q733" si="130">IF(K670="","","EUR")</f>
        <v/>
      </c>
      <c r="R670" s="29" t="str">
        <f t="shared" ref="R670:R733" ca="1" si="131">IF(K670="","",TODAY())</f>
        <v/>
      </c>
    </row>
    <row r="671" spans="1:18">
      <c r="A671" s="23" t="str">
        <f t="shared" si="121"/>
        <v/>
      </c>
      <c r="B671" s="23" t="str">
        <f t="shared" si="122"/>
        <v/>
      </c>
      <c r="C671" s="29" t="str">
        <f t="shared" ca="1" si="123"/>
        <v/>
      </c>
      <c r="D671" s="22" t="str">
        <f>IF(K671="","",ИТОГ!S671)</f>
        <v/>
      </c>
      <c r="E671" s="24" t="str">
        <f t="shared" si="124"/>
        <v/>
      </c>
      <c r="F671" s="30" t="str">
        <f t="shared" si="125"/>
        <v/>
      </c>
      <c r="G671" s="25" t="str">
        <f t="shared" si="126"/>
        <v/>
      </c>
      <c r="H671" s="29" t="str">
        <f t="shared" ca="1" si="127"/>
        <v/>
      </c>
      <c r="I671" s="24"/>
      <c r="J671" s="30"/>
      <c r="K671" s="27" t="str">
        <f>IF(ИТОГ!A671=0,"",ИТОГ!A671)</f>
        <v/>
      </c>
      <c r="L671" s="26" t="str">
        <f t="shared" si="128"/>
        <v/>
      </c>
      <c r="M671" s="25" t="str">
        <f>IF(K671="","",ИТОГ!Q671)</f>
        <v/>
      </c>
      <c r="N671" s="28" t="str">
        <f>IF(K671="","",ИТОГ!N671)</f>
        <v/>
      </c>
      <c r="O671" s="30" t="str">
        <f t="shared" si="129"/>
        <v/>
      </c>
      <c r="P671" s="24"/>
      <c r="Q671" s="30" t="str">
        <f t="shared" si="130"/>
        <v/>
      </c>
      <c r="R671" s="29" t="str">
        <f t="shared" ca="1" si="131"/>
        <v/>
      </c>
    </row>
    <row r="672" spans="1:18">
      <c r="A672" s="23" t="str">
        <f t="shared" si="121"/>
        <v/>
      </c>
      <c r="B672" s="23" t="str">
        <f t="shared" si="122"/>
        <v/>
      </c>
      <c r="C672" s="29" t="str">
        <f t="shared" ca="1" si="123"/>
        <v/>
      </c>
      <c r="D672" s="22" t="str">
        <f>IF(K672="","",ИТОГ!S672)</f>
        <v/>
      </c>
      <c r="E672" s="24" t="str">
        <f t="shared" si="124"/>
        <v/>
      </c>
      <c r="F672" s="30" t="str">
        <f t="shared" si="125"/>
        <v/>
      </c>
      <c r="G672" s="25" t="str">
        <f t="shared" si="126"/>
        <v/>
      </c>
      <c r="H672" s="29" t="str">
        <f t="shared" ca="1" si="127"/>
        <v/>
      </c>
      <c r="I672" s="24"/>
      <c r="J672" s="30"/>
      <c r="K672" s="27" t="str">
        <f>IF(ИТОГ!A672=0,"",ИТОГ!A672)</f>
        <v/>
      </c>
      <c r="L672" s="26" t="str">
        <f t="shared" si="128"/>
        <v/>
      </c>
      <c r="M672" s="25" t="str">
        <f>IF(K672="","",ИТОГ!Q672)</f>
        <v/>
      </c>
      <c r="N672" s="28" t="str">
        <f>IF(K672="","",ИТОГ!N672)</f>
        <v/>
      </c>
      <c r="O672" s="30" t="str">
        <f t="shared" si="129"/>
        <v/>
      </c>
      <c r="P672" s="24"/>
      <c r="Q672" s="30" t="str">
        <f t="shared" si="130"/>
        <v/>
      </c>
      <c r="R672" s="29" t="str">
        <f t="shared" ca="1" si="131"/>
        <v/>
      </c>
    </row>
    <row r="673" spans="1:18">
      <c r="A673" s="23" t="str">
        <f t="shared" si="121"/>
        <v/>
      </c>
      <c r="B673" s="23" t="str">
        <f t="shared" si="122"/>
        <v/>
      </c>
      <c r="C673" s="29" t="str">
        <f t="shared" ca="1" si="123"/>
        <v/>
      </c>
      <c r="D673" s="22" t="str">
        <f>IF(K673="","",ИТОГ!S673)</f>
        <v/>
      </c>
      <c r="E673" s="24" t="str">
        <f t="shared" si="124"/>
        <v/>
      </c>
      <c r="F673" s="30" t="str">
        <f t="shared" si="125"/>
        <v/>
      </c>
      <c r="G673" s="25" t="str">
        <f t="shared" si="126"/>
        <v/>
      </c>
      <c r="H673" s="29" t="str">
        <f t="shared" ca="1" si="127"/>
        <v/>
      </c>
      <c r="I673" s="24"/>
      <c r="J673" s="30"/>
      <c r="K673" s="27" t="str">
        <f>IF(ИТОГ!A673=0,"",ИТОГ!A673)</f>
        <v/>
      </c>
      <c r="L673" s="26" t="str">
        <f t="shared" si="128"/>
        <v/>
      </c>
      <c r="M673" s="25" t="str">
        <f>IF(K673="","",ИТОГ!Q673)</f>
        <v/>
      </c>
      <c r="N673" s="28" t="str">
        <f>IF(K673="","",ИТОГ!N673)</f>
        <v/>
      </c>
      <c r="O673" s="30" t="str">
        <f t="shared" si="129"/>
        <v/>
      </c>
      <c r="P673" s="24"/>
      <c r="Q673" s="30" t="str">
        <f t="shared" si="130"/>
        <v/>
      </c>
      <c r="R673" s="29" t="str">
        <f t="shared" ca="1" si="131"/>
        <v/>
      </c>
    </row>
    <row r="674" spans="1:18">
      <c r="A674" s="23" t="str">
        <f t="shared" si="121"/>
        <v/>
      </c>
      <c r="B674" s="23" t="str">
        <f t="shared" si="122"/>
        <v/>
      </c>
      <c r="C674" s="29" t="str">
        <f t="shared" ca="1" si="123"/>
        <v/>
      </c>
      <c r="D674" s="22" t="str">
        <f>IF(K674="","",ИТОГ!S674)</f>
        <v/>
      </c>
      <c r="E674" s="24" t="str">
        <f t="shared" si="124"/>
        <v/>
      </c>
      <c r="F674" s="30" t="str">
        <f t="shared" si="125"/>
        <v/>
      </c>
      <c r="G674" s="25" t="str">
        <f t="shared" si="126"/>
        <v/>
      </c>
      <c r="H674" s="29" t="str">
        <f t="shared" ca="1" si="127"/>
        <v/>
      </c>
      <c r="I674" s="24"/>
      <c r="J674" s="30"/>
      <c r="K674" s="27" t="str">
        <f>IF(ИТОГ!A674=0,"",ИТОГ!A674)</f>
        <v/>
      </c>
      <c r="L674" s="26" t="str">
        <f t="shared" si="128"/>
        <v/>
      </c>
      <c r="M674" s="25" t="str">
        <f>IF(K674="","",ИТОГ!Q674)</f>
        <v/>
      </c>
      <c r="N674" s="28" t="str">
        <f>IF(K674="","",ИТОГ!N674)</f>
        <v/>
      </c>
      <c r="O674" s="30" t="str">
        <f t="shared" si="129"/>
        <v/>
      </c>
      <c r="P674" s="24"/>
      <c r="Q674" s="30" t="str">
        <f t="shared" si="130"/>
        <v/>
      </c>
      <c r="R674" s="29" t="str">
        <f t="shared" ca="1" si="131"/>
        <v/>
      </c>
    </row>
    <row r="675" spans="1:18">
      <c r="A675" s="23" t="str">
        <f t="shared" si="121"/>
        <v/>
      </c>
      <c r="B675" s="23" t="str">
        <f t="shared" si="122"/>
        <v/>
      </c>
      <c r="C675" s="29" t="str">
        <f t="shared" ca="1" si="123"/>
        <v/>
      </c>
      <c r="D675" s="22" t="str">
        <f>IF(K675="","",ИТОГ!S675)</f>
        <v/>
      </c>
      <c r="E675" s="24" t="str">
        <f t="shared" si="124"/>
        <v/>
      </c>
      <c r="F675" s="30" t="str">
        <f t="shared" si="125"/>
        <v/>
      </c>
      <c r="G675" s="25" t="str">
        <f t="shared" si="126"/>
        <v/>
      </c>
      <c r="H675" s="29" t="str">
        <f t="shared" ca="1" si="127"/>
        <v/>
      </c>
      <c r="I675" s="24"/>
      <c r="J675" s="30"/>
      <c r="K675" s="27" t="str">
        <f>IF(ИТОГ!A675=0,"",ИТОГ!A675)</f>
        <v/>
      </c>
      <c r="L675" s="26" t="str">
        <f t="shared" si="128"/>
        <v/>
      </c>
      <c r="M675" s="25" t="str">
        <f>IF(K675="","",ИТОГ!Q675)</f>
        <v/>
      </c>
      <c r="N675" s="28" t="str">
        <f>IF(K675="","",ИТОГ!N675)</f>
        <v/>
      </c>
      <c r="O675" s="30" t="str">
        <f t="shared" si="129"/>
        <v/>
      </c>
      <c r="P675" s="24"/>
      <c r="Q675" s="30" t="str">
        <f t="shared" si="130"/>
        <v/>
      </c>
      <c r="R675" s="29" t="str">
        <f t="shared" ca="1" si="131"/>
        <v/>
      </c>
    </row>
    <row r="676" spans="1:18">
      <c r="A676" s="23" t="str">
        <f t="shared" si="121"/>
        <v/>
      </c>
      <c r="B676" s="23" t="str">
        <f t="shared" si="122"/>
        <v/>
      </c>
      <c r="C676" s="29" t="str">
        <f t="shared" ca="1" si="123"/>
        <v/>
      </c>
      <c r="D676" s="22" t="str">
        <f>IF(K676="","",ИТОГ!S676)</f>
        <v/>
      </c>
      <c r="E676" s="24" t="str">
        <f t="shared" si="124"/>
        <v/>
      </c>
      <c r="F676" s="30" t="str">
        <f t="shared" si="125"/>
        <v/>
      </c>
      <c r="G676" s="25" t="str">
        <f t="shared" si="126"/>
        <v/>
      </c>
      <c r="H676" s="29" t="str">
        <f t="shared" ca="1" si="127"/>
        <v/>
      </c>
      <c r="I676" s="24"/>
      <c r="J676" s="30"/>
      <c r="K676" s="27" t="str">
        <f>IF(ИТОГ!A676=0,"",ИТОГ!A676)</f>
        <v/>
      </c>
      <c r="L676" s="26" t="str">
        <f t="shared" si="128"/>
        <v/>
      </c>
      <c r="M676" s="25" t="str">
        <f>IF(K676="","",ИТОГ!Q676)</f>
        <v/>
      </c>
      <c r="N676" s="28" t="str">
        <f>IF(K676="","",ИТОГ!N676)</f>
        <v/>
      </c>
      <c r="O676" s="30" t="str">
        <f t="shared" si="129"/>
        <v/>
      </c>
      <c r="P676" s="24"/>
      <c r="Q676" s="30" t="str">
        <f t="shared" si="130"/>
        <v/>
      </c>
      <c r="R676" s="29" t="str">
        <f t="shared" ca="1" si="131"/>
        <v/>
      </c>
    </row>
    <row r="677" spans="1:18">
      <c r="A677" s="23" t="str">
        <f t="shared" si="121"/>
        <v/>
      </c>
      <c r="B677" s="23" t="str">
        <f t="shared" si="122"/>
        <v/>
      </c>
      <c r="C677" s="29" t="str">
        <f t="shared" ca="1" si="123"/>
        <v/>
      </c>
      <c r="D677" s="22" t="str">
        <f>IF(K677="","",ИТОГ!S677)</f>
        <v/>
      </c>
      <c r="E677" s="24" t="str">
        <f t="shared" si="124"/>
        <v/>
      </c>
      <c r="F677" s="30" t="str">
        <f t="shared" si="125"/>
        <v/>
      </c>
      <c r="G677" s="25" t="str">
        <f t="shared" si="126"/>
        <v/>
      </c>
      <c r="H677" s="29" t="str">
        <f t="shared" ca="1" si="127"/>
        <v/>
      </c>
      <c r="I677" s="24"/>
      <c r="J677" s="30"/>
      <c r="K677" s="27" t="str">
        <f>IF(ИТОГ!A677=0,"",ИТОГ!A677)</f>
        <v/>
      </c>
      <c r="L677" s="26" t="str">
        <f t="shared" si="128"/>
        <v/>
      </c>
      <c r="M677" s="25" t="str">
        <f>IF(K677="","",ИТОГ!Q677)</f>
        <v/>
      </c>
      <c r="N677" s="28" t="str">
        <f>IF(K677="","",ИТОГ!N677)</f>
        <v/>
      </c>
      <c r="O677" s="30" t="str">
        <f t="shared" si="129"/>
        <v/>
      </c>
      <c r="P677" s="24"/>
      <c r="Q677" s="30" t="str">
        <f t="shared" si="130"/>
        <v/>
      </c>
      <c r="R677" s="29" t="str">
        <f t="shared" ca="1" si="131"/>
        <v/>
      </c>
    </row>
    <row r="678" spans="1:18">
      <c r="A678" s="23" t="str">
        <f t="shared" si="121"/>
        <v/>
      </c>
      <c r="B678" s="23" t="str">
        <f t="shared" si="122"/>
        <v/>
      </c>
      <c r="C678" s="29" t="str">
        <f t="shared" ca="1" si="123"/>
        <v/>
      </c>
      <c r="D678" s="22" t="str">
        <f>IF(K678="","",ИТОГ!S678)</f>
        <v/>
      </c>
      <c r="E678" s="24" t="str">
        <f t="shared" si="124"/>
        <v/>
      </c>
      <c r="F678" s="30" t="str">
        <f t="shared" si="125"/>
        <v/>
      </c>
      <c r="G678" s="25" t="str">
        <f t="shared" si="126"/>
        <v/>
      </c>
      <c r="H678" s="29" t="str">
        <f t="shared" ca="1" si="127"/>
        <v/>
      </c>
      <c r="I678" s="24"/>
      <c r="J678" s="30"/>
      <c r="K678" s="27" t="str">
        <f>IF(ИТОГ!A678=0,"",ИТОГ!A678)</f>
        <v/>
      </c>
      <c r="L678" s="26" t="str">
        <f t="shared" si="128"/>
        <v/>
      </c>
      <c r="M678" s="25" t="str">
        <f>IF(K678="","",ИТОГ!Q678)</f>
        <v/>
      </c>
      <c r="N678" s="28" t="str">
        <f>IF(K678="","",ИТОГ!N678)</f>
        <v/>
      </c>
      <c r="O678" s="30" t="str">
        <f t="shared" si="129"/>
        <v/>
      </c>
      <c r="P678" s="24"/>
      <c r="Q678" s="30" t="str">
        <f t="shared" si="130"/>
        <v/>
      </c>
      <c r="R678" s="29" t="str">
        <f t="shared" ca="1" si="131"/>
        <v/>
      </c>
    </row>
    <row r="679" spans="1:18">
      <c r="A679" s="23" t="str">
        <f t="shared" si="121"/>
        <v/>
      </c>
      <c r="B679" s="23" t="str">
        <f t="shared" si="122"/>
        <v/>
      </c>
      <c r="C679" s="29" t="str">
        <f t="shared" ca="1" si="123"/>
        <v/>
      </c>
      <c r="D679" s="22" t="str">
        <f>IF(K679="","",ИТОГ!S679)</f>
        <v/>
      </c>
      <c r="E679" s="24" t="str">
        <f t="shared" si="124"/>
        <v/>
      </c>
      <c r="F679" s="30" t="str">
        <f t="shared" si="125"/>
        <v/>
      </c>
      <c r="G679" s="25" t="str">
        <f t="shared" si="126"/>
        <v/>
      </c>
      <c r="H679" s="29" t="str">
        <f t="shared" ca="1" si="127"/>
        <v/>
      </c>
      <c r="I679" s="24"/>
      <c r="J679" s="30"/>
      <c r="K679" s="27" t="str">
        <f>IF(ИТОГ!A679=0,"",ИТОГ!A679)</f>
        <v/>
      </c>
      <c r="L679" s="26" t="str">
        <f t="shared" si="128"/>
        <v/>
      </c>
      <c r="M679" s="25" t="str">
        <f>IF(K679="","",ИТОГ!Q679)</f>
        <v/>
      </c>
      <c r="N679" s="28" t="str">
        <f>IF(K679="","",ИТОГ!N679)</f>
        <v/>
      </c>
      <c r="O679" s="30" t="str">
        <f t="shared" si="129"/>
        <v/>
      </c>
      <c r="P679" s="24"/>
      <c r="Q679" s="30" t="str">
        <f t="shared" si="130"/>
        <v/>
      </c>
      <c r="R679" s="29" t="str">
        <f t="shared" ca="1" si="131"/>
        <v/>
      </c>
    </row>
    <row r="680" spans="1:18">
      <c r="A680" s="23" t="str">
        <f t="shared" si="121"/>
        <v/>
      </c>
      <c r="B680" s="23" t="str">
        <f t="shared" si="122"/>
        <v/>
      </c>
      <c r="C680" s="29" t="str">
        <f t="shared" ca="1" si="123"/>
        <v/>
      </c>
      <c r="D680" s="22" t="str">
        <f>IF(K680="","",ИТОГ!S680)</f>
        <v/>
      </c>
      <c r="E680" s="24" t="str">
        <f t="shared" si="124"/>
        <v/>
      </c>
      <c r="F680" s="30" t="str">
        <f t="shared" si="125"/>
        <v/>
      </c>
      <c r="G680" s="25" t="str">
        <f t="shared" si="126"/>
        <v/>
      </c>
      <c r="H680" s="29" t="str">
        <f t="shared" ca="1" si="127"/>
        <v/>
      </c>
      <c r="I680" s="24"/>
      <c r="J680" s="30"/>
      <c r="K680" s="27" t="str">
        <f>IF(ИТОГ!A680=0,"",ИТОГ!A680)</f>
        <v/>
      </c>
      <c r="L680" s="26" t="str">
        <f t="shared" si="128"/>
        <v/>
      </c>
      <c r="M680" s="25" t="str">
        <f>IF(K680="","",ИТОГ!Q680)</f>
        <v/>
      </c>
      <c r="N680" s="28" t="str">
        <f>IF(K680="","",ИТОГ!N680)</f>
        <v/>
      </c>
      <c r="O680" s="30" t="str">
        <f t="shared" si="129"/>
        <v/>
      </c>
      <c r="P680" s="24"/>
      <c r="Q680" s="30" t="str">
        <f t="shared" si="130"/>
        <v/>
      </c>
      <c r="R680" s="29" t="str">
        <f t="shared" ca="1" si="131"/>
        <v/>
      </c>
    </row>
    <row r="681" spans="1:18">
      <c r="A681" s="23" t="str">
        <f t="shared" si="121"/>
        <v/>
      </c>
      <c r="B681" s="23" t="str">
        <f t="shared" si="122"/>
        <v/>
      </c>
      <c r="C681" s="29" t="str">
        <f t="shared" ca="1" si="123"/>
        <v/>
      </c>
      <c r="D681" s="22" t="str">
        <f>IF(K681="","",ИТОГ!S681)</f>
        <v/>
      </c>
      <c r="E681" s="24" t="str">
        <f t="shared" si="124"/>
        <v/>
      </c>
      <c r="F681" s="30" t="str">
        <f t="shared" si="125"/>
        <v/>
      </c>
      <c r="G681" s="25" t="str">
        <f t="shared" si="126"/>
        <v/>
      </c>
      <c r="H681" s="29" t="str">
        <f t="shared" ca="1" si="127"/>
        <v/>
      </c>
      <c r="I681" s="24"/>
      <c r="J681" s="30"/>
      <c r="K681" s="27" t="str">
        <f>IF(ИТОГ!A681=0,"",ИТОГ!A681)</f>
        <v/>
      </c>
      <c r="L681" s="26" t="str">
        <f t="shared" si="128"/>
        <v/>
      </c>
      <c r="M681" s="25" t="str">
        <f>IF(K681="","",ИТОГ!Q681)</f>
        <v/>
      </c>
      <c r="N681" s="28" t="str">
        <f>IF(K681="","",ИТОГ!N681)</f>
        <v/>
      </c>
      <c r="O681" s="30" t="str">
        <f t="shared" si="129"/>
        <v/>
      </c>
      <c r="P681" s="24"/>
      <c r="Q681" s="30" t="str">
        <f t="shared" si="130"/>
        <v/>
      </c>
      <c r="R681" s="29" t="str">
        <f t="shared" ca="1" si="131"/>
        <v/>
      </c>
    </row>
    <row r="682" spans="1:18">
      <c r="A682" s="23" t="str">
        <f t="shared" si="121"/>
        <v/>
      </c>
      <c r="B682" s="23" t="str">
        <f t="shared" si="122"/>
        <v/>
      </c>
      <c r="C682" s="29" t="str">
        <f t="shared" ca="1" si="123"/>
        <v/>
      </c>
      <c r="D682" s="22" t="str">
        <f>IF(K682="","",ИТОГ!S682)</f>
        <v/>
      </c>
      <c r="E682" s="24" t="str">
        <f t="shared" si="124"/>
        <v/>
      </c>
      <c r="F682" s="30" t="str">
        <f t="shared" si="125"/>
        <v/>
      </c>
      <c r="G682" s="25" t="str">
        <f t="shared" si="126"/>
        <v/>
      </c>
      <c r="H682" s="29" t="str">
        <f t="shared" ca="1" si="127"/>
        <v/>
      </c>
      <c r="I682" s="24"/>
      <c r="J682" s="30"/>
      <c r="K682" s="27" t="str">
        <f>IF(ИТОГ!A682=0,"",ИТОГ!A682)</f>
        <v/>
      </c>
      <c r="L682" s="26" t="str">
        <f t="shared" si="128"/>
        <v/>
      </c>
      <c r="M682" s="25" t="str">
        <f>IF(K682="","",ИТОГ!Q682)</f>
        <v/>
      </c>
      <c r="N682" s="28" t="str">
        <f>IF(K682="","",ИТОГ!N682)</f>
        <v/>
      </c>
      <c r="O682" s="30" t="str">
        <f t="shared" si="129"/>
        <v/>
      </c>
      <c r="P682" s="24"/>
      <c r="Q682" s="30" t="str">
        <f t="shared" si="130"/>
        <v/>
      </c>
      <c r="R682" s="29" t="str">
        <f t="shared" ca="1" si="131"/>
        <v/>
      </c>
    </row>
    <row r="683" spans="1:18">
      <c r="A683" s="23" t="str">
        <f t="shared" si="121"/>
        <v/>
      </c>
      <c r="B683" s="23" t="str">
        <f t="shared" si="122"/>
        <v/>
      </c>
      <c r="C683" s="29" t="str">
        <f t="shared" ca="1" si="123"/>
        <v/>
      </c>
      <c r="D683" s="22" t="str">
        <f>IF(K683="","",ИТОГ!S683)</f>
        <v/>
      </c>
      <c r="E683" s="24" t="str">
        <f t="shared" si="124"/>
        <v/>
      </c>
      <c r="F683" s="30" t="str">
        <f t="shared" si="125"/>
        <v/>
      </c>
      <c r="G683" s="25" t="str">
        <f t="shared" si="126"/>
        <v/>
      </c>
      <c r="H683" s="29" t="str">
        <f t="shared" ca="1" si="127"/>
        <v/>
      </c>
      <c r="I683" s="24"/>
      <c r="J683" s="30"/>
      <c r="K683" s="27" t="str">
        <f>IF(ИТОГ!A683=0,"",ИТОГ!A683)</f>
        <v/>
      </c>
      <c r="L683" s="26" t="str">
        <f t="shared" si="128"/>
        <v/>
      </c>
      <c r="M683" s="25" t="str">
        <f>IF(K683="","",ИТОГ!Q683)</f>
        <v/>
      </c>
      <c r="N683" s="28" t="str">
        <f>IF(K683="","",ИТОГ!N683)</f>
        <v/>
      </c>
      <c r="O683" s="30" t="str">
        <f t="shared" si="129"/>
        <v/>
      </c>
      <c r="P683" s="24"/>
      <c r="Q683" s="30" t="str">
        <f t="shared" si="130"/>
        <v/>
      </c>
      <c r="R683" s="29" t="str">
        <f t="shared" ca="1" si="131"/>
        <v/>
      </c>
    </row>
    <row r="684" spans="1:18">
      <c r="A684" s="23" t="str">
        <f t="shared" si="121"/>
        <v/>
      </c>
      <c r="B684" s="23" t="str">
        <f t="shared" si="122"/>
        <v/>
      </c>
      <c r="C684" s="29" t="str">
        <f t="shared" ca="1" si="123"/>
        <v/>
      </c>
      <c r="D684" s="22" t="str">
        <f>IF(K684="","",ИТОГ!S684)</f>
        <v/>
      </c>
      <c r="E684" s="24" t="str">
        <f t="shared" si="124"/>
        <v/>
      </c>
      <c r="F684" s="30" t="str">
        <f t="shared" si="125"/>
        <v/>
      </c>
      <c r="G684" s="25" t="str">
        <f t="shared" si="126"/>
        <v/>
      </c>
      <c r="H684" s="29" t="str">
        <f t="shared" ca="1" si="127"/>
        <v/>
      </c>
      <c r="I684" s="24"/>
      <c r="J684" s="30"/>
      <c r="K684" s="27" t="str">
        <f>IF(ИТОГ!A684=0,"",ИТОГ!A684)</f>
        <v/>
      </c>
      <c r="L684" s="26" t="str">
        <f t="shared" si="128"/>
        <v/>
      </c>
      <c r="M684" s="25" t="str">
        <f>IF(K684="","",ИТОГ!Q684)</f>
        <v/>
      </c>
      <c r="N684" s="28" t="str">
        <f>IF(K684="","",ИТОГ!N684)</f>
        <v/>
      </c>
      <c r="O684" s="30" t="str">
        <f t="shared" si="129"/>
        <v/>
      </c>
      <c r="P684" s="24"/>
      <c r="Q684" s="30" t="str">
        <f t="shared" si="130"/>
        <v/>
      </c>
      <c r="R684" s="29" t="str">
        <f t="shared" ca="1" si="131"/>
        <v/>
      </c>
    </row>
    <row r="685" spans="1:18">
      <c r="A685" s="23" t="str">
        <f t="shared" si="121"/>
        <v/>
      </c>
      <c r="B685" s="23" t="str">
        <f t="shared" si="122"/>
        <v/>
      </c>
      <c r="C685" s="29" t="str">
        <f t="shared" ca="1" si="123"/>
        <v/>
      </c>
      <c r="D685" s="22" t="str">
        <f>IF(K685="","",ИТОГ!S685)</f>
        <v/>
      </c>
      <c r="E685" s="24" t="str">
        <f t="shared" si="124"/>
        <v/>
      </c>
      <c r="F685" s="30" t="str">
        <f t="shared" si="125"/>
        <v/>
      </c>
      <c r="G685" s="25" t="str">
        <f t="shared" si="126"/>
        <v/>
      </c>
      <c r="H685" s="29" t="str">
        <f t="shared" ca="1" si="127"/>
        <v/>
      </c>
      <c r="I685" s="24"/>
      <c r="J685" s="30"/>
      <c r="K685" s="27" t="str">
        <f>IF(ИТОГ!A685=0,"",ИТОГ!A685)</f>
        <v/>
      </c>
      <c r="L685" s="26" t="str">
        <f t="shared" si="128"/>
        <v/>
      </c>
      <c r="M685" s="25" t="str">
        <f>IF(K685="","",ИТОГ!Q685)</f>
        <v/>
      </c>
      <c r="N685" s="28" t="str">
        <f>IF(K685="","",ИТОГ!N685)</f>
        <v/>
      </c>
      <c r="O685" s="30" t="str">
        <f t="shared" si="129"/>
        <v/>
      </c>
      <c r="P685" s="24"/>
      <c r="Q685" s="30" t="str">
        <f t="shared" si="130"/>
        <v/>
      </c>
      <c r="R685" s="29" t="str">
        <f t="shared" ca="1" si="131"/>
        <v/>
      </c>
    </row>
    <row r="686" spans="1:18">
      <c r="A686" s="23" t="str">
        <f t="shared" si="121"/>
        <v/>
      </c>
      <c r="B686" s="23" t="str">
        <f t="shared" si="122"/>
        <v/>
      </c>
      <c r="C686" s="29" t="str">
        <f t="shared" ca="1" si="123"/>
        <v/>
      </c>
      <c r="D686" s="22" t="str">
        <f>IF(K686="","",ИТОГ!S686)</f>
        <v/>
      </c>
      <c r="E686" s="24" t="str">
        <f t="shared" si="124"/>
        <v/>
      </c>
      <c r="F686" s="30" t="str">
        <f t="shared" si="125"/>
        <v/>
      </c>
      <c r="G686" s="25" t="str">
        <f t="shared" si="126"/>
        <v/>
      </c>
      <c r="H686" s="29" t="str">
        <f t="shared" ca="1" si="127"/>
        <v/>
      </c>
      <c r="I686" s="24"/>
      <c r="J686" s="30"/>
      <c r="K686" s="27" t="str">
        <f>IF(ИТОГ!A686=0,"",ИТОГ!A686)</f>
        <v/>
      </c>
      <c r="L686" s="26" t="str">
        <f t="shared" si="128"/>
        <v/>
      </c>
      <c r="M686" s="25" t="str">
        <f>IF(K686="","",ИТОГ!Q686)</f>
        <v/>
      </c>
      <c r="N686" s="28" t="str">
        <f>IF(K686="","",ИТОГ!N686)</f>
        <v/>
      </c>
      <c r="O686" s="30" t="str">
        <f t="shared" si="129"/>
        <v/>
      </c>
      <c r="P686" s="24"/>
      <c r="Q686" s="30" t="str">
        <f t="shared" si="130"/>
        <v/>
      </c>
      <c r="R686" s="29" t="str">
        <f t="shared" ca="1" si="131"/>
        <v/>
      </c>
    </row>
    <row r="687" spans="1:18">
      <c r="A687" s="23" t="str">
        <f t="shared" si="121"/>
        <v/>
      </c>
      <c r="B687" s="23" t="str">
        <f t="shared" si="122"/>
        <v/>
      </c>
      <c r="C687" s="29" t="str">
        <f t="shared" ca="1" si="123"/>
        <v/>
      </c>
      <c r="D687" s="22" t="str">
        <f>IF(K687="","",ИТОГ!S687)</f>
        <v/>
      </c>
      <c r="E687" s="24" t="str">
        <f t="shared" si="124"/>
        <v/>
      </c>
      <c r="F687" s="30" t="str">
        <f t="shared" si="125"/>
        <v/>
      </c>
      <c r="G687" s="25" t="str">
        <f t="shared" si="126"/>
        <v/>
      </c>
      <c r="H687" s="29" t="str">
        <f t="shared" ca="1" si="127"/>
        <v/>
      </c>
      <c r="I687" s="24"/>
      <c r="J687" s="30"/>
      <c r="K687" s="27" t="str">
        <f>IF(ИТОГ!A687=0,"",ИТОГ!A687)</f>
        <v/>
      </c>
      <c r="L687" s="26" t="str">
        <f t="shared" si="128"/>
        <v/>
      </c>
      <c r="M687" s="25" t="str">
        <f>IF(K687="","",ИТОГ!Q687)</f>
        <v/>
      </c>
      <c r="N687" s="28" t="str">
        <f>IF(K687="","",ИТОГ!N687)</f>
        <v/>
      </c>
      <c r="O687" s="30" t="str">
        <f t="shared" si="129"/>
        <v/>
      </c>
      <c r="P687" s="24"/>
      <c r="Q687" s="30" t="str">
        <f t="shared" si="130"/>
        <v/>
      </c>
      <c r="R687" s="29" t="str">
        <f t="shared" ca="1" si="131"/>
        <v/>
      </c>
    </row>
    <row r="688" spans="1:18">
      <c r="A688" s="23" t="str">
        <f t="shared" si="121"/>
        <v/>
      </c>
      <c r="B688" s="23" t="str">
        <f t="shared" si="122"/>
        <v/>
      </c>
      <c r="C688" s="29" t="str">
        <f t="shared" ca="1" si="123"/>
        <v/>
      </c>
      <c r="D688" s="22" t="str">
        <f>IF(K688="","",ИТОГ!S688)</f>
        <v/>
      </c>
      <c r="E688" s="24" t="str">
        <f t="shared" si="124"/>
        <v/>
      </c>
      <c r="F688" s="30" t="str">
        <f t="shared" si="125"/>
        <v/>
      </c>
      <c r="G688" s="25" t="str">
        <f t="shared" si="126"/>
        <v/>
      </c>
      <c r="H688" s="29" t="str">
        <f t="shared" ca="1" si="127"/>
        <v/>
      </c>
      <c r="I688" s="24"/>
      <c r="J688" s="30"/>
      <c r="K688" s="27" t="str">
        <f>IF(ИТОГ!A688=0,"",ИТОГ!A688)</f>
        <v/>
      </c>
      <c r="L688" s="26" t="str">
        <f t="shared" si="128"/>
        <v/>
      </c>
      <c r="M688" s="25" t="str">
        <f>IF(K688="","",ИТОГ!Q688)</f>
        <v/>
      </c>
      <c r="N688" s="28" t="str">
        <f>IF(K688="","",ИТОГ!N688)</f>
        <v/>
      </c>
      <c r="O688" s="30" t="str">
        <f t="shared" si="129"/>
        <v/>
      </c>
      <c r="P688" s="24"/>
      <c r="Q688" s="30" t="str">
        <f t="shared" si="130"/>
        <v/>
      </c>
      <c r="R688" s="29" t="str">
        <f t="shared" ca="1" si="131"/>
        <v/>
      </c>
    </row>
    <row r="689" spans="1:18">
      <c r="A689" s="23" t="str">
        <f t="shared" si="121"/>
        <v/>
      </c>
      <c r="B689" s="23" t="str">
        <f t="shared" si="122"/>
        <v/>
      </c>
      <c r="C689" s="29" t="str">
        <f t="shared" ca="1" si="123"/>
        <v/>
      </c>
      <c r="D689" s="22" t="str">
        <f>IF(K689="","",ИТОГ!S689)</f>
        <v/>
      </c>
      <c r="E689" s="24" t="str">
        <f t="shared" si="124"/>
        <v/>
      </c>
      <c r="F689" s="30" t="str">
        <f t="shared" si="125"/>
        <v/>
      </c>
      <c r="G689" s="25" t="str">
        <f t="shared" si="126"/>
        <v/>
      </c>
      <c r="H689" s="29" t="str">
        <f t="shared" ca="1" si="127"/>
        <v/>
      </c>
      <c r="I689" s="24"/>
      <c r="J689" s="30"/>
      <c r="K689" s="27" t="str">
        <f>IF(ИТОГ!A689=0,"",ИТОГ!A689)</f>
        <v/>
      </c>
      <c r="L689" s="26" t="str">
        <f t="shared" si="128"/>
        <v/>
      </c>
      <c r="M689" s="25" t="str">
        <f>IF(K689="","",ИТОГ!Q689)</f>
        <v/>
      </c>
      <c r="N689" s="28" t="str">
        <f>IF(K689="","",ИТОГ!N689)</f>
        <v/>
      </c>
      <c r="O689" s="30" t="str">
        <f t="shared" si="129"/>
        <v/>
      </c>
      <c r="P689" s="24"/>
      <c r="Q689" s="30" t="str">
        <f t="shared" si="130"/>
        <v/>
      </c>
      <c r="R689" s="29" t="str">
        <f t="shared" ca="1" si="131"/>
        <v/>
      </c>
    </row>
    <row r="690" spans="1:18">
      <c r="A690" s="23" t="str">
        <f t="shared" si="121"/>
        <v/>
      </c>
      <c r="B690" s="23" t="str">
        <f t="shared" si="122"/>
        <v/>
      </c>
      <c r="C690" s="29" t="str">
        <f t="shared" ca="1" si="123"/>
        <v/>
      </c>
      <c r="D690" s="22" t="str">
        <f>IF(K690="","",ИТОГ!S690)</f>
        <v/>
      </c>
      <c r="E690" s="24" t="str">
        <f t="shared" si="124"/>
        <v/>
      </c>
      <c r="F690" s="30" t="str">
        <f t="shared" si="125"/>
        <v/>
      </c>
      <c r="G690" s="25" t="str">
        <f t="shared" si="126"/>
        <v/>
      </c>
      <c r="H690" s="29" t="str">
        <f t="shared" ca="1" si="127"/>
        <v/>
      </c>
      <c r="I690" s="24"/>
      <c r="J690" s="30"/>
      <c r="K690" s="27" t="str">
        <f>IF(ИТОГ!A690=0,"",ИТОГ!A690)</f>
        <v/>
      </c>
      <c r="L690" s="26" t="str">
        <f t="shared" si="128"/>
        <v/>
      </c>
      <c r="M690" s="25" t="str">
        <f>IF(K690="","",ИТОГ!Q690)</f>
        <v/>
      </c>
      <c r="N690" s="28" t="str">
        <f>IF(K690="","",ИТОГ!N690)</f>
        <v/>
      </c>
      <c r="O690" s="30" t="str">
        <f t="shared" si="129"/>
        <v/>
      </c>
      <c r="P690" s="24"/>
      <c r="Q690" s="30" t="str">
        <f t="shared" si="130"/>
        <v/>
      </c>
      <c r="R690" s="29" t="str">
        <f t="shared" ca="1" si="131"/>
        <v/>
      </c>
    </row>
    <row r="691" spans="1:18">
      <c r="A691" s="23" t="str">
        <f t="shared" si="121"/>
        <v/>
      </c>
      <c r="B691" s="23" t="str">
        <f t="shared" si="122"/>
        <v/>
      </c>
      <c r="C691" s="29" t="str">
        <f t="shared" ca="1" si="123"/>
        <v/>
      </c>
      <c r="D691" s="22" t="str">
        <f>IF(K691="","",ИТОГ!S691)</f>
        <v/>
      </c>
      <c r="E691" s="24" t="str">
        <f t="shared" si="124"/>
        <v/>
      </c>
      <c r="F691" s="30" t="str">
        <f t="shared" si="125"/>
        <v/>
      </c>
      <c r="G691" s="25" t="str">
        <f t="shared" si="126"/>
        <v/>
      </c>
      <c r="H691" s="29" t="str">
        <f t="shared" ca="1" si="127"/>
        <v/>
      </c>
      <c r="I691" s="24"/>
      <c r="J691" s="30"/>
      <c r="K691" s="27" t="str">
        <f>IF(ИТОГ!A691=0,"",ИТОГ!A691)</f>
        <v/>
      </c>
      <c r="L691" s="26" t="str">
        <f t="shared" si="128"/>
        <v/>
      </c>
      <c r="M691" s="25" t="str">
        <f>IF(K691="","",ИТОГ!Q691)</f>
        <v/>
      </c>
      <c r="N691" s="28" t="str">
        <f>IF(K691="","",ИТОГ!N691)</f>
        <v/>
      </c>
      <c r="O691" s="30" t="str">
        <f t="shared" si="129"/>
        <v/>
      </c>
      <c r="P691" s="24"/>
      <c r="Q691" s="30" t="str">
        <f t="shared" si="130"/>
        <v/>
      </c>
      <c r="R691" s="29" t="str">
        <f t="shared" ca="1" si="131"/>
        <v/>
      </c>
    </row>
    <row r="692" spans="1:18">
      <c r="A692" s="23" t="str">
        <f t="shared" si="121"/>
        <v/>
      </c>
      <c r="B692" s="23" t="str">
        <f t="shared" si="122"/>
        <v/>
      </c>
      <c r="C692" s="29" t="str">
        <f t="shared" ca="1" si="123"/>
        <v/>
      </c>
      <c r="D692" s="22" t="str">
        <f>IF(K692="","",ИТОГ!S692)</f>
        <v/>
      </c>
      <c r="E692" s="24" t="str">
        <f t="shared" si="124"/>
        <v/>
      </c>
      <c r="F692" s="30" t="str">
        <f t="shared" si="125"/>
        <v/>
      </c>
      <c r="G692" s="25" t="str">
        <f t="shared" si="126"/>
        <v/>
      </c>
      <c r="H692" s="29" t="str">
        <f t="shared" ca="1" si="127"/>
        <v/>
      </c>
      <c r="I692" s="24"/>
      <c r="J692" s="30"/>
      <c r="K692" s="27" t="str">
        <f>IF(ИТОГ!A692=0,"",ИТОГ!A692)</f>
        <v/>
      </c>
      <c r="L692" s="26" t="str">
        <f t="shared" si="128"/>
        <v/>
      </c>
      <c r="M692" s="25" t="str">
        <f>IF(K692="","",ИТОГ!Q692)</f>
        <v/>
      </c>
      <c r="N692" s="28" t="str">
        <f>IF(K692="","",ИТОГ!N692)</f>
        <v/>
      </c>
      <c r="O692" s="30" t="str">
        <f t="shared" si="129"/>
        <v/>
      </c>
      <c r="P692" s="24"/>
      <c r="Q692" s="30" t="str">
        <f t="shared" si="130"/>
        <v/>
      </c>
      <c r="R692" s="29" t="str">
        <f t="shared" ca="1" si="131"/>
        <v/>
      </c>
    </row>
    <row r="693" spans="1:18">
      <c r="A693" s="23" t="str">
        <f t="shared" si="121"/>
        <v/>
      </c>
      <c r="B693" s="23" t="str">
        <f t="shared" si="122"/>
        <v/>
      </c>
      <c r="C693" s="29" t="str">
        <f t="shared" ca="1" si="123"/>
        <v/>
      </c>
      <c r="D693" s="22" t="str">
        <f>IF(K693="","",ИТОГ!S693)</f>
        <v/>
      </c>
      <c r="E693" s="24" t="str">
        <f t="shared" si="124"/>
        <v/>
      </c>
      <c r="F693" s="30" t="str">
        <f t="shared" si="125"/>
        <v/>
      </c>
      <c r="G693" s="25" t="str">
        <f t="shared" si="126"/>
        <v/>
      </c>
      <c r="H693" s="29" t="str">
        <f t="shared" ca="1" si="127"/>
        <v/>
      </c>
      <c r="I693" s="24"/>
      <c r="J693" s="30"/>
      <c r="K693" s="27" t="str">
        <f>IF(ИТОГ!A693=0,"",ИТОГ!A693)</f>
        <v/>
      </c>
      <c r="L693" s="26" t="str">
        <f t="shared" si="128"/>
        <v/>
      </c>
      <c r="M693" s="25" t="str">
        <f>IF(K693="","",ИТОГ!Q693)</f>
        <v/>
      </c>
      <c r="N693" s="28" t="str">
        <f>IF(K693="","",ИТОГ!N693)</f>
        <v/>
      </c>
      <c r="O693" s="30" t="str">
        <f t="shared" si="129"/>
        <v/>
      </c>
      <c r="P693" s="24"/>
      <c r="Q693" s="30" t="str">
        <f t="shared" si="130"/>
        <v/>
      </c>
      <c r="R693" s="29" t="str">
        <f t="shared" ca="1" si="131"/>
        <v/>
      </c>
    </row>
    <row r="694" spans="1:18">
      <c r="A694" s="23" t="str">
        <f t="shared" si="121"/>
        <v/>
      </c>
      <c r="B694" s="23" t="str">
        <f t="shared" si="122"/>
        <v/>
      </c>
      <c r="C694" s="29" t="str">
        <f t="shared" ca="1" si="123"/>
        <v/>
      </c>
      <c r="D694" s="22" t="str">
        <f>IF(K694="","",ИТОГ!S694)</f>
        <v/>
      </c>
      <c r="E694" s="24" t="str">
        <f t="shared" si="124"/>
        <v/>
      </c>
      <c r="F694" s="30" t="str">
        <f t="shared" si="125"/>
        <v/>
      </c>
      <c r="G694" s="25" t="str">
        <f t="shared" si="126"/>
        <v/>
      </c>
      <c r="H694" s="29" t="str">
        <f t="shared" ca="1" si="127"/>
        <v/>
      </c>
      <c r="I694" s="24"/>
      <c r="J694" s="30"/>
      <c r="K694" s="27" t="str">
        <f>IF(ИТОГ!A694=0,"",ИТОГ!A694)</f>
        <v/>
      </c>
      <c r="L694" s="26" t="str">
        <f t="shared" si="128"/>
        <v/>
      </c>
      <c r="M694" s="25" t="str">
        <f>IF(K694="","",ИТОГ!Q694)</f>
        <v/>
      </c>
      <c r="N694" s="28" t="str">
        <f>IF(K694="","",ИТОГ!N694)</f>
        <v/>
      </c>
      <c r="O694" s="30" t="str">
        <f t="shared" si="129"/>
        <v/>
      </c>
      <c r="P694" s="24"/>
      <c r="Q694" s="30" t="str">
        <f t="shared" si="130"/>
        <v/>
      </c>
      <c r="R694" s="29" t="str">
        <f t="shared" ca="1" si="131"/>
        <v/>
      </c>
    </row>
    <row r="695" spans="1:18">
      <c r="A695" s="23" t="str">
        <f t="shared" si="121"/>
        <v/>
      </c>
      <c r="B695" s="23" t="str">
        <f t="shared" si="122"/>
        <v/>
      </c>
      <c r="C695" s="29" t="str">
        <f t="shared" ca="1" si="123"/>
        <v/>
      </c>
      <c r="D695" s="22" t="str">
        <f>IF(K695="","",ИТОГ!S695)</f>
        <v/>
      </c>
      <c r="E695" s="24" t="str">
        <f t="shared" si="124"/>
        <v/>
      </c>
      <c r="F695" s="30" t="str">
        <f t="shared" si="125"/>
        <v/>
      </c>
      <c r="G695" s="25" t="str">
        <f t="shared" si="126"/>
        <v/>
      </c>
      <c r="H695" s="29" t="str">
        <f t="shared" ca="1" si="127"/>
        <v/>
      </c>
      <c r="I695" s="24"/>
      <c r="J695" s="30"/>
      <c r="K695" s="27" t="str">
        <f>IF(ИТОГ!A695=0,"",ИТОГ!A695)</f>
        <v/>
      </c>
      <c r="L695" s="26" t="str">
        <f t="shared" si="128"/>
        <v/>
      </c>
      <c r="M695" s="25" t="str">
        <f>IF(K695="","",ИТОГ!Q695)</f>
        <v/>
      </c>
      <c r="N695" s="28" t="str">
        <f>IF(K695="","",ИТОГ!N695)</f>
        <v/>
      </c>
      <c r="O695" s="30" t="str">
        <f t="shared" si="129"/>
        <v/>
      </c>
      <c r="P695" s="24"/>
      <c r="Q695" s="30" t="str">
        <f t="shared" si="130"/>
        <v/>
      </c>
      <c r="R695" s="29" t="str">
        <f t="shared" ca="1" si="131"/>
        <v/>
      </c>
    </row>
    <row r="696" spans="1:18">
      <c r="A696" s="23" t="str">
        <f t="shared" si="121"/>
        <v/>
      </c>
      <c r="B696" s="23" t="str">
        <f t="shared" si="122"/>
        <v/>
      </c>
      <c r="C696" s="29" t="str">
        <f t="shared" ca="1" si="123"/>
        <v/>
      </c>
      <c r="D696" s="22" t="str">
        <f>IF(K696="","",ИТОГ!S696)</f>
        <v/>
      </c>
      <c r="E696" s="24" t="str">
        <f t="shared" si="124"/>
        <v/>
      </c>
      <c r="F696" s="30" t="str">
        <f t="shared" si="125"/>
        <v/>
      </c>
      <c r="G696" s="25" t="str">
        <f t="shared" si="126"/>
        <v/>
      </c>
      <c r="H696" s="29" t="str">
        <f t="shared" ca="1" si="127"/>
        <v/>
      </c>
      <c r="I696" s="24"/>
      <c r="J696" s="30"/>
      <c r="K696" s="27" t="str">
        <f>IF(ИТОГ!A696=0,"",ИТОГ!A696)</f>
        <v/>
      </c>
      <c r="L696" s="26" t="str">
        <f t="shared" si="128"/>
        <v/>
      </c>
      <c r="M696" s="25" t="str">
        <f>IF(K696="","",ИТОГ!Q696)</f>
        <v/>
      </c>
      <c r="N696" s="28" t="str">
        <f>IF(K696="","",ИТОГ!N696)</f>
        <v/>
      </c>
      <c r="O696" s="30" t="str">
        <f t="shared" si="129"/>
        <v/>
      </c>
      <c r="P696" s="24"/>
      <c r="Q696" s="30" t="str">
        <f t="shared" si="130"/>
        <v/>
      </c>
      <c r="R696" s="29" t="str">
        <f t="shared" ca="1" si="131"/>
        <v/>
      </c>
    </row>
    <row r="697" spans="1:18">
      <c r="A697" s="23" t="str">
        <f t="shared" si="121"/>
        <v/>
      </c>
      <c r="B697" s="23" t="str">
        <f t="shared" si="122"/>
        <v/>
      </c>
      <c r="C697" s="29" t="str">
        <f t="shared" ca="1" si="123"/>
        <v/>
      </c>
      <c r="D697" s="22" t="str">
        <f>IF(K697="","",ИТОГ!S697)</f>
        <v/>
      </c>
      <c r="E697" s="24" t="str">
        <f t="shared" si="124"/>
        <v/>
      </c>
      <c r="F697" s="30" t="str">
        <f t="shared" si="125"/>
        <v/>
      </c>
      <c r="G697" s="25" t="str">
        <f t="shared" si="126"/>
        <v/>
      </c>
      <c r="H697" s="29" t="str">
        <f t="shared" ca="1" si="127"/>
        <v/>
      </c>
      <c r="I697" s="24"/>
      <c r="J697" s="30"/>
      <c r="K697" s="27" t="str">
        <f>IF(ИТОГ!A697=0,"",ИТОГ!A697)</f>
        <v/>
      </c>
      <c r="L697" s="26" t="str">
        <f t="shared" si="128"/>
        <v/>
      </c>
      <c r="M697" s="25" t="str">
        <f>IF(K697="","",ИТОГ!Q697)</f>
        <v/>
      </c>
      <c r="N697" s="28" t="str">
        <f>IF(K697="","",ИТОГ!N697)</f>
        <v/>
      </c>
      <c r="O697" s="30" t="str">
        <f t="shared" si="129"/>
        <v/>
      </c>
      <c r="P697" s="24"/>
      <c r="Q697" s="30" t="str">
        <f t="shared" si="130"/>
        <v/>
      </c>
      <c r="R697" s="29" t="str">
        <f t="shared" ca="1" si="131"/>
        <v/>
      </c>
    </row>
    <row r="698" spans="1:18">
      <c r="A698" s="23" t="str">
        <f t="shared" si="121"/>
        <v/>
      </c>
      <c r="B698" s="23" t="str">
        <f t="shared" si="122"/>
        <v/>
      </c>
      <c r="C698" s="29" t="str">
        <f t="shared" ca="1" si="123"/>
        <v/>
      </c>
      <c r="D698" s="22" t="str">
        <f>IF(K698="","",ИТОГ!S698)</f>
        <v/>
      </c>
      <c r="E698" s="24" t="str">
        <f t="shared" si="124"/>
        <v/>
      </c>
      <c r="F698" s="30" t="str">
        <f t="shared" si="125"/>
        <v/>
      </c>
      <c r="G698" s="25" t="str">
        <f t="shared" si="126"/>
        <v/>
      </c>
      <c r="H698" s="29" t="str">
        <f t="shared" ca="1" si="127"/>
        <v/>
      </c>
      <c r="I698" s="24"/>
      <c r="J698" s="30"/>
      <c r="K698" s="27" t="str">
        <f>IF(ИТОГ!A698=0,"",ИТОГ!A698)</f>
        <v/>
      </c>
      <c r="L698" s="26" t="str">
        <f t="shared" si="128"/>
        <v/>
      </c>
      <c r="M698" s="25" t="str">
        <f>IF(K698="","",ИТОГ!Q698)</f>
        <v/>
      </c>
      <c r="N698" s="28" t="str">
        <f>IF(K698="","",ИТОГ!N698)</f>
        <v/>
      </c>
      <c r="O698" s="30" t="str">
        <f t="shared" si="129"/>
        <v/>
      </c>
      <c r="P698" s="24"/>
      <c r="Q698" s="30" t="str">
        <f t="shared" si="130"/>
        <v/>
      </c>
      <c r="R698" s="29" t="str">
        <f t="shared" ca="1" si="131"/>
        <v/>
      </c>
    </row>
    <row r="699" spans="1:18">
      <c r="A699" s="23" t="str">
        <f t="shared" si="121"/>
        <v/>
      </c>
      <c r="B699" s="23" t="str">
        <f t="shared" si="122"/>
        <v/>
      </c>
      <c r="C699" s="29" t="str">
        <f t="shared" ca="1" si="123"/>
        <v/>
      </c>
      <c r="D699" s="22" t="str">
        <f>IF(K699="","",ИТОГ!S699)</f>
        <v/>
      </c>
      <c r="E699" s="24" t="str">
        <f t="shared" si="124"/>
        <v/>
      </c>
      <c r="F699" s="30" t="str">
        <f t="shared" si="125"/>
        <v/>
      </c>
      <c r="G699" s="25" t="str">
        <f t="shared" si="126"/>
        <v/>
      </c>
      <c r="H699" s="29" t="str">
        <f t="shared" ca="1" si="127"/>
        <v/>
      </c>
      <c r="I699" s="24"/>
      <c r="J699" s="30"/>
      <c r="K699" s="27" t="str">
        <f>IF(ИТОГ!A699=0,"",ИТОГ!A699)</f>
        <v/>
      </c>
      <c r="L699" s="26" t="str">
        <f t="shared" si="128"/>
        <v/>
      </c>
      <c r="M699" s="25" t="str">
        <f>IF(K699="","",ИТОГ!Q699)</f>
        <v/>
      </c>
      <c r="N699" s="28" t="str">
        <f>IF(K699="","",ИТОГ!N699)</f>
        <v/>
      </c>
      <c r="O699" s="30" t="str">
        <f t="shared" si="129"/>
        <v/>
      </c>
      <c r="P699" s="24"/>
      <c r="Q699" s="30" t="str">
        <f t="shared" si="130"/>
        <v/>
      </c>
      <c r="R699" s="29" t="str">
        <f t="shared" ca="1" si="131"/>
        <v/>
      </c>
    </row>
    <row r="700" spans="1:18">
      <c r="A700" s="23" t="str">
        <f t="shared" si="121"/>
        <v/>
      </c>
      <c r="B700" s="23" t="str">
        <f t="shared" si="122"/>
        <v/>
      </c>
      <c r="C700" s="29" t="str">
        <f t="shared" ca="1" si="123"/>
        <v/>
      </c>
      <c r="D700" s="22" t="str">
        <f>IF(K700="","",ИТОГ!S700)</f>
        <v/>
      </c>
      <c r="E700" s="24" t="str">
        <f t="shared" si="124"/>
        <v/>
      </c>
      <c r="F700" s="30" t="str">
        <f t="shared" si="125"/>
        <v/>
      </c>
      <c r="G700" s="25" t="str">
        <f t="shared" si="126"/>
        <v/>
      </c>
      <c r="H700" s="29" t="str">
        <f t="shared" ca="1" si="127"/>
        <v/>
      </c>
      <c r="I700" s="24"/>
      <c r="J700" s="30"/>
      <c r="K700" s="27" t="str">
        <f>IF(ИТОГ!A700=0,"",ИТОГ!A700)</f>
        <v/>
      </c>
      <c r="L700" s="26" t="str">
        <f t="shared" si="128"/>
        <v/>
      </c>
      <c r="M700" s="25" t="str">
        <f>IF(K700="","",ИТОГ!Q700)</f>
        <v/>
      </c>
      <c r="N700" s="28" t="str">
        <f>IF(K700="","",ИТОГ!N700)</f>
        <v/>
      </c>
      <c r="O700" s="30" t="str">
        <f t="shared" si="129"/>
        <v/>
      </c>
      <c r="P700" s="24"/>
      <c r="Q700" s="30" t="str">
        <f t="shared" si="130"/>
        <v/>
      </c>
      <c r="R700" s="29" t="str">
        <f t="shared" ca="1" si="131"/>
        <v/>
      </c>
    </row>
    <row r="701" spans="1:18">
      <c r="A701" s="23" t="str">
        <f t="shared" si="121"/>
        <v/>
      </c>
      <c r="B701" s="23" t="str">
        <f t="shared" si="122"/>
        <v/>
      </c>
      <c r="C701" s="29" t="str">
        <f t="shared" ca="1" si="123"/>
        <v/>
      </c>
      <c r="D701" s="22" t="str">
        <f>IF(K701="","",ИТОГ!S701)</f>
        <v/>
      </c>
      <c r="E701" s="24" t="str">
        <f t="shared" si="124"/>
        <v/>
      </c>
      <c r="F701" s="30" t="str">
        <f t="shared" si="125"/>
        <v/>
      </c>
      <c r="G701" s="25" t="str">
        <f t="shared" si="126"/>
        <v/>
      </c>
      <c r="H701" s="29" t="str">
        <f t="shared" ca="1" si="127"/>
        <v/>
      </c>
      <c r="I701" s="24"/>
      <c r="J701" s="30"/>
      <c r="K701" s="27" t="str">
        <f>IF(ИТОГ!A701=0,"",ИТОГ!A701)</f>
        <v/>
      </c>
      <c r="L701" s="26" t="str">
        <f t="shared" si="128"/>
        <v/>
      </c>
      <c r="M701" s="25" t="str">
        <f>IF(K701="","",ИТОГ!Q701)</f>
        <v/>
      </c>
      <c r="N701" s="28" t="str">
        <f>IF(K701="","",ИТОГ!N701)</f>
        <v/>
      </c>
      <c r="O701" s="30" t="str">
        <f t="shared" si="129"/>
        <v/>
      </c>
      <c r="P701" s="24"/>
      <c r="Q701" s="30" t="str">
        <f t="shared" si="130"/>
        <v/>
      </c>
      <c r="R701" s="29" t="str">
        <f t="shared" ca="1" si="131"/>
        <v/>
      </c>
    </row>
    <row r="702" spans="1:18">
      <c r="A702" s="23" t="str">
        <f t="shared" si="121"/>
        <v/>
      </c>
      <c r="B702" s="23" t="str">
        <f t="shared" si="122"/>
        <v/>
      </c>
      <c r="C702" s="29" t="str">
        <f t="shared" ca="1" si="123"/>
        <v/>
      </c>
      <c r="D702" s="22" t="str">
        <f>IF(K702="","",ИТОГ!S702)</f>
        <v/>
      </c>
      <c r="E702" s="24" t="str">
        <f t="shared" si="124"/>
        <v/>
      </c>
      <c r="F702" s="30" t="str">
        <f t="shared" si="125"/>
        <v/>
      </c>
      <c r="G702" s="25" t="str">
        <f t="shared" si="126"/>
        <v/>
      </c>
      <c r="H702" s="29" t="str">
        <f t="shared" ca="1" si="127"/>
        <v/>
      </c>
      <c r="I702" s="24"/>
      <c r="J702" s="30"/>
      <c r="K702" s="27" t="str">
        <f>IF(ИТОГ!A702=0,"",ИТОГ!A702)</f>
        <v/>
      </c>
      <c r="L702" s="26" t="str">
        <f t="shared" si="128"/>
        <v/>
      </c>
      <c r="M702" s="25" t="str">
        <f>IF(K702="","",ИТОГ!Q702)</f>
        <v/>
      </c>
      <c r="N702" s="28" t="str">
        <f>IF(K702="","",ИТОГ!N702)</f>
        <v/>
      </c>
      <c r="O702" s="30" t="str">
        <f t="shared" si="129"/>
        <v/>
      </c>
      <c r="P702" s="24"/>
      <c r="Q702" s="30" t="str">
        <f t="shared" si="130"/>
        <v/>
      </c>
      <c r="R702" s="29" t="str">
        <f t="shared" ca="1" si="131"/>
        <v/>
      </c>
    </row>
    <row r="703" spans="1:18">
      <c r="A703" s="23" t="str">
        <f t="shared" si="121"/>
        <v/>
      </c>
      <c r="B703" s="23" t="str">
        <f t="shared" si="122"/>
        <v/>
      </c>
      <c r="C703" s="29" t="str">
        <f t="shared" ca="1" si="123"/>
        <v/>
      </c>
      <c r="D703" s="22" t="str">
        <f>IF(K703="","",ИТОГ!S703)</f>
        <v/>
      </c>
      <c r="E703" s="24" t="str">
        <f t="shared" si="124"/>
        <v/>
      </c>
      <c r="F703" s="30" t="str">
        <f t="shared" si="125"/>
        <v/>
      </c>
      <c r="G703" s="25" t="str">
        <f t="shared" si="126"/>
        <v/>
      </c>
      <c r="H703" s="29" t="str">
        <f t="shared" ca="1" si="127"/>
        <v/>
      </c>
      <c r="I703" s="24"/>
      <c r="J703" s="30"/>
      <c r="K703" s="27" t="str">
        <f>IF(ИТОГ!A703=0,"",ИТОГ!A703)</f>
        <v/>
      </c>
      <c r="L703" s="26" t="str">
        <f t="shared" si="128"/>
        <v/>
      </c>
      <c r="M703" s="25" t="str">
        <f>IF(K703="","",ИТОГ!Q703)</f>
        <v/>
      </c>
      <c r="N703" s="28" t="str">
        <f>IF(K703="","",ИТОГ!N703)</f>
        <v/>
      </c>
      <c r="O703" s="30" t="str">
        <f t="shared" si="129"/>
        <v/>
      </c>
      <c r="P703" s="24"/>
      <c r="Q703" s="30" t="str">
        <f t="shared" si="130"/>
        <v/>
      </c>
      <c r="R703" s="29" t="str">
        <f t="shared" ca="1" si="131"/>
        <v/>
      </c>
    </row>
    <row r="704" spans="1:18">
      <c r="A704" s="23" t="str">
        <f t="shared" si="121"/>
        <v/>
      </c>
      <c r="B704" s="23" t="str">
        <f t="shared" si="122"/>
        <v/>
      </c>
      <c r="C704" s="29" t="str">
        <f t="shared" ca="1" si="123"/>
        <v/>
      </c>
      <c r="D704" s="22" t="str">
        <f>IF(K704="","",ИТОГ!S704)</f>
        <v/>
      </c>
      <c r="E704" s="24" t="str">
        <f t="shared" si="124"/>
        <v/>
      </c>
      <c r="F704" s="30" t="str">
        <f t="shared" si="125"/>
        <v/>
      </c>
      <c r="G704" s="25" t="str">
        <f t="shared" si="126"/>
        <v/>
      </c>
      <c r="H704" s="29" t="str">
        <f t="shared" ca="1" si="127"/>
        <v/>
      </c>
      <c r="I704" s="24"/>
      <c r="J704" s="30"/>
      <c r="K704" s="27" t="str">
        <f>IF(ИТОГ!A704=0,"",ИТОГ!A704)</f>
        <v/>
      </c>
      <c r="L704" s="26" t="str">
        <f t="shared" si="128"/>
        <v/>
      </c>
      <c r="M704" s="25" t="str">
        <f>IF(K704="","",ИТОГ!Q704)</f>
        <v/>
      </c>
      <c r="N704" s="28" t="str">
        <f>IF(K704="","",ИТОГ!N704)</f>
        <v/>
      </c>
      <c r="O704" s="30" t="str">
        <f t="shared" si="129"/>
        <v/>
      </c>
      <c r="P704" s="24"/>
      <c r="Q704" s="30" t="str">
        <f t="shared" si="130"/>
        <v/>
      </c>
      <c r="R704" s="29" t="str">
        <f t="shared" ca="1" si="131"/>
        <v/>
      </c>
    </row>
    <row r="705" spans="1:18">
      <c r="A705" s="23" t="str">
        <f t="shared" si="121"/>
        <v/>
      </c>
      <c r="B705" s="23" t="str">
        <f t="shared" si="122"/>
        <v/>
      </c>
      <c r="C705" s="29" t="str">
        <f t="shared" ca="1" si="123"/>
        <v/>
      </c>
      <c r="D705" s="22" t="str">
        <f>IF(K705="","",ИТОГ!S705)</f>
        <v/>
      </c>
      <c r="E705" s="24" t="str">
        <f t="shared" si="124"/>
        <v/>
      </c>
      <c r="F705" s="30" t="str">
        <f t="shared" si="125"/>
        <v/>
      </c>
      <c r="G705" s="25" t="str">
        <f t="shared" si="126"/>
        <v/>
      </c>
      <c r="H705" s="29" t="str">
        <f t="shared" ca="1" si="127"/>
        <v/>
      </c>
      <c r="I705" s="24"/>
      <c r="J705" s="30"/>
      <c r="K705" s="27" t="str">
        <f>IF(ИТОГ!A705=0,"",ИТОГ!A705)</f>
        <v/>
      </c>
      <c r="L705" s="26" t="str">
        <f t="shared" si="128"/>
        <v/>
      </c>
      <c r="M705" s="25" t="str">
        <f>IF(K705="","",ИТОГ!Q705)</f>
        <v/>
      </c>
      <c r="N705" s="28" t="str">
        <f>IF(K705="","",ИТОГ!N705)</f>
        <v/>
      </c>
      <c r="O705" s="30" t="str">
        <f t="shared" si="129"/>
        <v/>
      </c>
      <c r="P705" s="24"/>
      <c r="Q705" s="30" t="str">
        <f t="shared" si="130"/>
        <v/>
      </c>
      <c r="R705" s="29" t="str">
        <f t="shared" ca="1" si="131"/>
        <v/>
      </c>
    </row>
    <row r="706" spans="1:18">
      <c r="A706" s="23" t="str">
        <f t="shared" si="121"/>
        <v/>
      </c>
      <c r="B706" s="23" t="str">
        <f t="shared" si="122"/>
        <v/>
      </c>
      <c r="C706" s="29" t="str">
        <f t="shared" ca="1" si="123"/>
        <v/>
      </c>
      <c r="D706" s="22" t="str">
        <f>IF(K706="","",ИТОГ!S706)</f>
        <v/>
      </c>
      <c r="E706" s="24" t="str">
        <f t="shared" si="124"/>
        <v/>
      </c>
      <c r="F706" s="30" t="str">
        <f t="shared" si="125"/>
        <v/>
      </c>
      <c r="G706" s="25" t="str">
        <f t="shared" si="126"/>
        <v/>
      </c>
      <c r="H706" s="29" t="str">
        <f t="shared" ca="1" si="127"/>
        <v/>
      </c>
      <c r="I706" s="24"/>
      <c r="J706" s="30"/>
      <c r="K706" s="27" t="str">
        <f>IF(ИТОГ!A706=0,"",ИТОГ!A706)</f>
        <v/>
      </c>
      <c r="L706" s="26" t="str">
        <f t="shared" si="128"/>
        <v/>
      </c>
      <c r="M706" s="25" t="str">
        <f>IF(K706="","",ИТОГ!Q706)</f>
        <v/>
      </c>
      <c r="N706" s="28" t="str">
        <f>IF(K706="","",ИТОГ!N706)</f>
        <v/>
      </c>
      <c r="O706" s="30" t="str">
        <f t="shared" si="129"/>
        <v/>
      </c>
      <c r="P706" s="24"/>
      <c r="Q706" s="30" t="str">
        <f t="shared" si="130"/>
        <v/>
      </c>
      <c r="R706" s="29" t="str">
        <f t="shared" ca="1" si="131"/>
        <v/>
      </c>
    </row>
    <row r="707" spans="1:18">
      <c r="A707" s="23" t="str">
        <f t="shared" si="121"/>
        <v/>
      </c>
      <c r="B707" s="23" t="str">
        <f t="shared" si="122"/>
        <v/>
      </c>
      <c r="C707" s="29" t="str">
        <f t="shared" ca="1" si="123"/>
        <v/>
      </c>
      <c r="D707" s="22" t="str">
        <f>IF(K707="","",ИТОГ!S707)</f>
        <v/>
      </c>
      <c r="E707" s="24" t="str">
        <f t="shared" si="124"/>
        <v/>
      </c>
      <c r="F707" s="30" t="str">
        <f t="shared" si="125"/>
        <v/>
      </c>
      <c r="G707" s="25" t="str">
        <f t="shared" si="126"/>
        <v/>
      </c>
      <c r="H707" s="29" t="str">
        <f t="shared" ca="1" si="127"/>
        <v/>
      </c>
      <c r="I707" s="24"/>
      <c r="J707" s="30"/>
      <c r="K707" s="27" t="str">
        <f>IF(ИТОГ!A707=0,"",ИТОГ!A707)</f>
        <v/>
      </c>
      <c r="L707" s="26" t="str">
        <f t="shared" si="128"/>
        <v/>
      </c>
      <c r="M707" s="25" t="str">
        <f>IF(K707="","",ИТОГ!Q707)</f>
        <v/>
      </c>
      <c r="N707" s="28" t="str">
        <f>IF(K707="","",ИТОГ!N707)</f>
        <v/>
      </c>
      <c r="O707" s="30" t="str">
        <f t="shared" si="129"/>
        <v/>
      </c>
      <c r="P707" s="24"/>
      <c r="Q707" s="30" t="str">
        <f t="shared" si="130"/>
        <v/>
      </c>
      <c r="R707" s="29" t="str">
        <f t="shared" ca="1" si="131"/>
        <v/>
      </c>
    </row>
    <row r="708" spans="1:18">
      <c r="A708" s="23" t="str">
        <f t="shared" si="121"/>
        <v/>
      </c>
      <c r="B708" s="23" t="str">
        <f t="shared" si="122"/>
        <v/>
      </c>
      <c r="C708" s="29" t="str">
        <f t="shared" ca="1" si="123"/>
        <v/>
      </c>
      <c r="D708" s="22" t="str">
        <f>IF(K708="","",ИТОГ!S708)</f>
        <v/>
      </c>
      <c r="E708" s="24" t="str">
        <f t="shared" si="124"/>
        <v/>
      </c>
      <c r="F708" s="30" t="str">
        <f t="shared" si="125"/>
        <v/>
      </c>
      <c r="G708" s="25" t="str">
        <f t="shared" si="126"/>
        <v/>
      </c>
      <c r="H708" s="29" t="str">
        <f t="shared" ca="1" si="127"/>
        <v/>
      </c>
      <c r="I708" s="24"/>
      <c r="J708" s="30"/>
      <c r="K708" s="27" t="str">
        <f>IF(ИТОГ!A708=0,"",ИТОГ!A708)</f>
        <v/>
      </c>
      <c r="L708" s="26" t="str">
        <f t="shared" si="128"/>
        <v/>
      </c>
      <c r="M708" s="25" t="str">
        <f>IF(K708="","",ИТОГ!Q708)</f>
        <v/>
      </c>
      <c r="N708" s="28" t="str">
        <f>IF(K708="","",ИТОГ!N708)</f>
        <v/>
      </c>
      <c r="O708" s="30" t="str">
        <f t="shared" si="129"/>
        <v/>
      </c>
      <c r="P708" s="24"/>
      <c r="Q708" s="30" t="str">
        <f t="shared" si="130"/>
        <v/>
      </c>
      <c r="R708" s="29" t="str">
        <f t="shared" ca="1" si="131"/>
        <v/>
      </c>
    </row>
    <row r="709" spans="1:18">
      <c r="A709" s="23" t="str">
        <f t="shared" si="121"/>
        <v/>
      </c>
      <c r="B709" s="23" t="str">
        <f t="shared" si="122"/>
        <v/>
      </c>
      <c r="C709" s="29" t="str">
        <f t="shared" ca="1" si="123"/>
        <v/>
      </c>
      <c r="D709" s="22" t="str">
        <f>IF(K709="","",ИТОГ!S709)</f>
        <v/>
      </c>
      <c r="E709" s="24" t="str">
        <f t="shared" si="124"/>
        <v/>
      </c>
      <c r="F709" s="30" t="str">
        <f t="shared" si="125"/>
        <v/>
      </c>
      <c r="G709" s="25" t="str">
        <f t="shared" si="126"/>
        <v/>
      </c>
      <c r="H709" s="29" t="str">
        <f t="shared" ca="1" si="127"/>
        <v/>
      </c>
      <c r="I709" s="24"/>
      <c r="J709" s="30"/>
      <c r="K709" s="27" t="str">
        <f>IF(ИТОГ!A709=0,"",ИТОГ!A709)</f>
        <v/>
      </c>
      <c r="L709" s="26" t="str">
        <f t="shared" si="128"/>
        <v/>
      </c>
      <c r="M709" s="25" t="str">
        <f>IF(K709="","",ИТОГ!Q709)</f>
        <v/>
      </c>
      <c r="N709" s="28" t="str">
        <f>IF(K709="","",ИТОГ!N709)</f>
        <v/>
      </c>
      <c r="O709" s="30" t="str">
        <f t="shared" si="129"/>
        <v/>
      </c>
      <c r="P709" s="24"/>
      <c r="Q709" s="30" t="str">
        <f t="shared" si="130"/>
        <v/>
      </c>
      <c r="R709" s="29" t="str">
        <f t="shared" ca="1" si="131"/>
        <v/>
      </c>
    </row>
    <row r="710" spans="1:18">
      <c r="A710" s="23" t="str">
        <f t="shared" si="121"/>
        <v/>
      </c>
      <c r="B710" s="23" t="str">
        <f t="shared" si="122"/>
        <v/>
      </c>
      <c r="C710" s="29" t="str">
        <f t="shared" ca="1" si="123"/>
        <v/>
      </c>
      <c r="D710" s="22" t="str">
        <f>IF(K710="","",ИТОГ!S710)</f>
        <v/>
      </c>
      <c r="E710" s="24" t="str">
        <f t="shared" si="124"/>
        <v/>
      </c>
      <c r="F710" s="30" t="str">
        <f t="shared" si="125"/>
        <v/>
      </c>
      <c r="G710" s="25" t="str">
        <f t="shared" si="126"/>
        <v/>
      </c>
      <c r="H710" s="29" t="str">
        <f t="shared" ca="1" si="127"/>
        <v/>
      </c>
      <c r="I710" s="24"/>
      <c r="J710" s="30"/>
      <c r="K710" s="27" t="str">
        <f>IF(ИТОГ!A710=0,"",ИТОГ!A710)</f>
        <v/>
      </c>
      <c r="L710" s="26" t="str">
        <f t="shared" si="128"/>
        <v/>
      </c>
      <c r="M710" s="25" t="str">
        <f>IF(K710="","",ИТОГ!Q710)</f>
        <v/>
      </c>
      <c r="N710" s="28" t="str">
        <f>IF(K710="","",ИТОГ!N710)</f>
        <v/>
      </c>
      <c r="O710" s="30" t="str">
        <f t="shared" si="129"/>
        <v/>
      </c>
      <c r="P710" s="24"/>
      <c r="Q710" s="30" t="str">
        <f t="shared" si="130"/>
        <v/>
      </c>
      <c r="R710" s="29" t="str">
        <f t="shared" ca="1" si="131"/>
        <v/>
      </c>
    </row>
    <row r="711" spans="1:18">
      <c r="A711" s="23" t="str">
        <f t="shared" si="121"/>
        <v/>
      </c>
      <c r="B711" s="23" t="str">
        <f t="shared" si="122"/>
        <v/>
      </c>
      <c r="C711" s="29" t="str">
        <f t="shared" ca="1" si="123"/>
        <v/>
      </c>
      <c r="D711" s="22" t="str">
        <f>IF(K711="","",ИТОГ!S711)</f>
        <v/>
      </c>
      <c r="E711" s="24" t="str">
        <f t="shared" si="124"/>
        <v/>
      </c>
      <c r="F711" s="30" t="str">
        <f t="shared" si="125"/>
        <v/>
      </c>
      <c r="G711" s="25" t="str">
        <f t="shared" si="126"/>
        <v/>
      </c>
      <c r="H711" s="29" t="str">
        <f t="shared" ca="1" si="127"/>
        <v/>
      </c>
      <c r="I711" s="24"/>
      <c r="J711" s="30"/>
      <c r="K711" s="27" t="str">
        <f>IF(ИТОГ!A711=0,"",ИТОГ!A711)</f>
        <v/>
      </c>
      <c r="L711" s="26" t="str">
        <f t="shared" si="128"/>
        <v/>
      </c>
      <c r="M711" s="25" t="str">
        <f>IF(K711="","",ИТОГ!Q711)</f>
        <v/>
      </c>
      <c r="N711" s="28" t="str">
        <f>IF(K711="","",ИТОГ!N711)</f>
        <v/>
      </c>
      <c r="O711" s="30" t="str">
        <f t="shared" si="129"/>
        <v/>
      </c>
      <c r="P711" s="24"/>
      <c r="Q711" s="30" t="str">
        <f t="shared" si="130"/>
        <v/>
      </c>
      <c r="R711" s="29" t="str">
        <f t="shared" ca="1" si="131"/>
        <v/>
      </c>
    </row>
    <row r="712" spans="1:18">
      <c r="A712" s="23" t="str">
        <f t="shared" si="121"/>
        <v/>
      </c>
      <c r="B712" s="23" t="str">
        <f t="shared" si="122"/>
        <v/>
      </c>
      <c r="C712" s="29" t="str">
        <f t="shared" ca="1" si="123"/>
        <v/>
      </c>
      <c r="D712" s="22" t="str">
        <f>IF(K712="","",ИТОГ!S712)</f>
        <v/>
      </c>
      <c r="E712" s="24" t="str">
        <f t="shared" si="124"/>
        <v/>
      </c>
      <c r="F712" s="30" t="str">
        <f t="shared" si="125"/>
        <v/>
      </c>
      <c r="G712" s="25" t="str">
        <f t="shared" si="126"/>
        <v/>
      </c>
      <c r="H712" s="29" t="str">
        <f t="shared" ca="1" si="127"/>
        <v/>
      </c>
      <c r="I712" s="24"/>
      <c r="J712" s="30"/>
      <c r="K712" s="27" t="str">
        <f>IF(ИТОГ!A712=0,"",ИТОГ!A712)</f>
        <v/>
      </c>
      <c r="L712" s="26" t="str">
        <f t="shared" si="128"/>
        <v/>
      </c>
      <c r="M712" s="25" t="str">
        <f>IF(K712="","",ИТОГ!Q712)</f>
        <v/>
      </c>
      <c r="N712" s="28" t="str">
        <f>IF(K712="","",ИТОГ!N712)</f>
        <v/>
      </c>
      <c r="O712" s="30" t="str">
        <f t="shared" si="129"/>
        <v/>
      </c>
      <c r="P712" s="24"/>
      <c r="Q712" s="30" t="str">
        <f t="shared" si="130"/>
        <v/>
      </c>
      <c r="R712" s="29" t="str">
        <f t="shared" ca="1" si="131"/>
        <v/>
      </c>
    </row>
    <row r="713" spans="1:18">
      <c r="A713" s="23" t="str">
        <f t="shared" si="121"/>
        <v/>
      </c>
      <c r="B713" s="23" t="str">
        <f t="shared" si="122"/>
        <v/>
      </c>
      <c r="C713" s="29" t="str">
        <f t="shared" ca="1" si="123"/>
        <v/>
      </c>
      <c r="D713" s="22" t="str">
        <f>IF(K713="","",ИТОГ!S713)</f>
        <v/>
      </c>
      <c r="E713" s="24" t="str">
        <f t="shared" si="124"/>
        <v/>
      </c>
      <c r="F713" s="30" t="str">
        <f t="shared" si="125"/>
        <v/>
      </c>
      <c r="G713" s="25" t="str">
        <f t="shared" si="126"/>
        <v/>
      </c>
      <c r="H713" s="29" t="str">
        <f t="shared" ca="1" si="127"/>
        <v/>
      </c>
      <c r="I713" s="24"/>
      <c r="J713" s="30"/>
      <c r="K713" s="27" t="str">
        <f>IF(ИТОГ!A713=0,"",ИТОГ!A713)</f>
        <v/>
      </c>
      <c r="L713" s="26" t="str">
        <f t="shared" si="128"/>
        <v/>
      </c>
      <c r="M713" s="25" t="str">
        <f>IF(K713="","",ИТОГ!Q713)</f>
        <v/>
      </c>
      <c r="N713" s="28" t="str">
        <f>IF(K713="","",ИТОГ!N713)</f>
        <v/>
      </c>
      <c r="O713" s="30" t="str">
        <f t="shared" si="129"/>
        <v/>
      </c>
      <c r="P713" s="24"/>
      <c r="Q713" s="30" t="str">
        <f t="shared" si="130"/>
        <v/>
      </c>
      <c r="R713" s="29" t="str">
        <f t="shared" ca="1" si="131"/>
        <v/>
      </c>
    </row>
    <row r="714" spans="1:18">
      <c r="A714" s="23" t="str">
        <f t="shared" si="121"/>
        <v/>
      </c>
      <c r="B714" s="23" t="str">
        <f t="shared" si="122"/>
        <v/>
      </c>
      <c r="C714" s="29" t="str">
        <f t="shared" ca="1" si="123"/>
        <v/>
      </c>
      <c r="D714" s="22" t="str">
        <f>IF(K714="","",ИТОГ!S714)</f>
        <v/>
      </c>
      <c r="E714" s="24" t="str">
        <f t="shared" si="124"/>
        <v/>
      </c>
      <c r="F714" s="30" t="str">
        <f t="shared" si="125"/>
        <v/>
      </c>
      <c r="G714" s="25" t="str">
        <f t="shared" si="126"/>
        <v/>
      </c>
      <c r="H714" s="29" t="str">
        <f t="shared" ca="1" si="127"/>
        <v/>
      </c>
      <c r="I714" s="24"/>
      <c r="J714" s="30"/>
      <c r="K714" s="27" t="str">
        <f>IF(ИТОГ!A714=0,"",ИТОГ!A714)</f>
        <v/>
      </c>
      <c r="L714" s="26" t="str">
        <f t="shared" si="128"/>
        <v/>
      </c>
      <c r="M714" s="25" t="str">
        <f>IF(K714="","",ИТОГ!Q714)</f>
        <v/>
      </c>
      <c r="N714" s="28" t="str">
        <f>IF(K714="","",ИТОГ!N714)</f>
        <v/>
      </c>
      <c r="O714" s="30" t="str">
        <f t="shared" si="129"/>
        <v/>
      </c>
      <c r="P714" s="24"/>
      <c r="Q714" s="30" t="str">
        <f t="shared" si="130"/>
        <v/>
      </c>
      <c r="R714" s="29" t="str">
        <f t="shared" ca="1" si="131"/>
        <v/>
      </c>
    </row>
    <row r="715" spans="1:18">
      <c r="A715" s="23" t="str">
        <f t="shared" si="121"/>
        <v/>
      </c>
      <c r="B715" s="23" t="str">
        <f t="shared" si="122"/>
        <v/>
      </c>
      <c r="C715" s="29" t="str">
        <f t="shared" ca="1" si="123"/>
        <v/>
      </c>
      <c r="D715" s="22" t="str">
        <f>IF(K715="","",ИТОГ!S715)</f>
        <v/>
      </c>
      <c r="E715" s="24" t="str">
        <f t="shared" si="124"/>
        <v/>
      </c>
      <c r="F715" s="30" t="str">
        <f t="shared" si="125"/>
        <v/>
      </c>
      <c r="G715" s="25" t="str">
        <f t="shared" si="126"/>
        <v/>
      </c>
      <c r="H715" s="29" t="str">
        <f t="shared" ca="1" si="127"/>
        <v/>
      </c>
      <c r="I715" s="24"/>
      <c r="J715" s="30"/>
      <c r="K715" s="27" t="str">
        <f>IF(ИТОГ!A715=0,"",ИТОГ!A715)</f>
        <v/>
      </c>
      <c r="L715" s="26" t="str">
        <f t="shared" si="128"/>
        <v/>
      </c>
      <c r="M715" s="25" t="str">
        <f>IF(K715="","",ИТОГ!Q715)</f>
        <v/>
      </c>
      <c r="N715" s="28" t="str">
        <f>IF(K715="","",ИТОГ!N715)</f>
        <v/>
      </c>
      <c r="O715" s="30" t="str">
        <f t="shared" si="129"/>
        <v/>
      </c>
      <c r="P715" s="24"/>
      <c r="Q715" s="30" t="str">
        <f t="shared" si="130"/>
        <v/>
      </c>
      <c r="R715" s="29" t="str">
        <f t="shared" ca="1" si="131"/>
        <v/>
      </c>
    </row>
    <row r="716" spans="1:18">
      <c r="A716" s="23" t="str">
        <f t="shared" si="121"/>
        <v/>
      </c>
      <c r="B716" s="23" t="str">
        <f t="shared" si="122"/>
        <v/>
      </c>
      <c r="C716" s="29" t="str">
        <f t="shared" ca="1" si="123"/>
        <v/>
      </c>
      <c r="D716" s="22" t="str">
        <f>IF(K716="","",ИТОГ!S716)</f>
        <v/>
      </c>
      <c r="E716" s="24" t="str">
        <f t="shared" si="124"/>
        <v/>
      </c>
      <c r="F716" s="30" t="str">
        <f t="shared" si="125"/>
        <v/>
      </c>
      <c r="G716" s="25" t="str">
        <f t="shared" si="126"/>
        <v/>
      </c>
      <c r="H716" s="29" t="str">
        <f t="shared" ca="1" si="127"/>
        <v/>
      </c>
      <c r="I716" s="24"/>
      <c r="J716" s="30"/>
      <c r="K716" s="27" t="str">
        <f>IF(ИТОГ!A716=0,"",ИТОГ!A716)</f>
        <v/>
      </c>
      <c r="L716" s="26" t="str">
        <f t="shared" si="128"/>
        <v/>
      </c>
      <c r="M716" s="25" t="str">
        <f>IF(K716="","",ИТОГ!Q716)</f>
        <v/>
      </c>
      <c r="N716" s="28" t="str">
        <f>IF(K716="","",ИТОГ!N716)</f>
        <v/>
      </c>
      <c r="O716" s="30" t="str">
        <f t="shared" si="129"/>
        <v/>
      </c>
      <c r="P716" s="24"/>
      <c r="Q716" s="30" t="str">
        <f t="shared" si="130"/>
        <v/>
      </c>
      <c r="R716" s="29" t="str">
        <f t="shared" ca="1" si="131"/>
        <v/>
      </c>
    </row>
    <row r="717" spans="1:18">
      <c r="A717" s="23" t="str">
        <f t="shared" si="121"/>
        <v/>
      </c>
      <c r="B717" s="23" t="str">
        <f t="shared" si="122"/>
        <v/>
      </c>
      <c r="C717" s="29" t="str">
        <f t="shared" ca="1" si="123"/>
        <v/>
      </c>
      <c r="D717" s="22" t="str">
        <f>IF(K717="","",ИТОГ!S717)</f>
        <v/>
      </c>
      <c r="E717" s="24" t="str">
        <f t="shared" si="124"/>
        <v/>
      </c>
      <c r="F717" s="30" t="str">
        <f t="shared" si="125"/>
        <v/>
      </c>
      <c r="G717" s="25" t="str">
        <f t="shared" si="126"/>
        <v/>
      </c>
      <c r="H717" s="29" t="str">
        <f t="shared" ca="1" si="127"/>
        <v/>
      </c>
      <c r="I717" s="24"/>
      <c r="J717" s="30"/>
      <c r="K717" s="27" t="str">
        <f>IF(ИТОГ!A717=0,"",ИТОГ!A717)</f>
        <v/>
      </c>
      <c r="L717" s="26" t="str">
        <f t="shared" si="128"/>
        <v/>
      </c>
      <c r="M717" s="25" t="str">
        <f>IF(K717="","",ИТОГ!Q717)</f>
        <v/>
      </c>
      <c r="N717" s="28" t="str">
        <f>IF(K717="","",ИТОГ!N717)</f>
        <v/>
      </c>
      <c r="O717" s="30" t="str">
        <f t="shared" si="129"/>
        <v/>
      </c>
      <c r="P717" s="24"/>
      <c r="Q717" s="30" t="str">
        <f t="shared" si="130"/>
        <v/>
      </c>
      <c r="R717" s="29" t="str">
        <f t="shared" ca="1" si="131"/>
        <v/>
      </c>
    </row>
    <row r="718" spans="1:18">
      <c r="A718" s="23" t="str">
        <f t="shared" si="121"/>
        <v/>
      </c>
      <c r="B718" s="23" t="str">
        <f t="shared" si="122"/>
        <v/>
      </c>
      <c r="C718" s="29" t="str">
        <f t="shared" ca="1" si="123"/>
        <v/>
      </c>
      <c r="D718" s="22" t="str">
        <f>IF(K718="","",ИТОГ!S718)</f>
        <v/>
      </c>
      <c r="E718" s="24" t="str">
        <f t="shared" si="124"/>
        <v/>
      </c>
      <c r="F718" s="30" t="str">
        <f t="shared" si="125"/>
        <v/>
      </c>
      <c r="G718" s="25" t="str">
        <f t="shared" si="126"/>
        <v/>
      </c>
      <c r="H718" s="29" t="str">
        <f t="shared" ca="1" si="127"/>
        <v/>
      </c>
      <c r="I718" s="24"/>
      <c r="J718" s="30"/>
      <c r="K718" s="27" t="str">
        <f>IF(ИТОГ!A718=0,"",ИТОГ!A718)</f>
        <v/>
      </c>
      <c r="L718" s="26" t="str">
        <f t="shared" si="128"/>
        <v/>
      </c>
      <c r="M718" s="25" t="str">
        <f>IF(K718="","",ИТОГ!Q718)</f>
        <v/>
      </c>
      <c r="N718" s="28" t="str">
        <f>IF(K718="","",ИТОГ!N718)</f>
        <v/>
      </c>
      <c r="O718" s="30" t="str">
        <f t="shared" si="129"/>
        <v/>
      </c>
      <c r="P718" s="24"/>
      <c r="Q718" s="30" t="str">
        <f t="shared" si="130"/>
        <v/>
      </c>
      <c r="R718" s="29" t="str">
        <f t="shared" ca="1" si="131"/>
        <v/>
      </c>
    </row>
    <row r="719" spans="1:18">
      <c r="A719" s="23" t="str">
        <f t="shared" si="121"/>
        <v/>
      </c>
      <c r="B719" s="23" t="str">
        <f t="shared" si="122"/>
        <v/>
      </c>
      <c r="C719" s="29" t="str">
        <f t="shared" ca="1" si="123"/>
        <v/>
      </c>
      <c r="D719" s="22" t="str">
        <f>IF(K719="","",ИТОГ!S719)</f>
        <v/>
      </c>
      <c r="E719" s="24" t="str">
        <f t="shared" si="124"/>
        <v/>
      </c>
      <c r="F719" s="30" t="str">
        <f t="shared" si="125"/>
        <v/>
      </c>
      <c r="G719" s="25" t="str">
        <f t="shared" si="126"/>
        <v/>
      </c>
      <c r="H719" s="29" t="str">
        <f t="shared" ca="1" si="127"/>
        <v/>
      </c>
      <c r="I719" s="24"/>
      <c r="J719" s="30"/>
      <c r="K719" s="27" t="str">
        <f>IF(ИТОГ!A719=0,"",ИТОГ!A719)</f>
        <v/>
      </c>
      <c r="L719" s="26" t="str">
        <f t="shared" si="128"/>
        <v/>
      </c>
      <c r="M719" s="25" t="str">
        <f>IF(K719="","",ИТОГ!Q719)</f>
        <v/>
      </c>
      <c r="N719" s="28" t="str">
        <f>IF(K719="","",ИТОГ!N719)</f>
        <v/>
      </c>
      <c r="O719" s="30" t="str">
        <f t="shared" si="129"/>
        <v/>
      </c>
      <c r="P719" s="24"/>
      <c r="Q719" s="30" t="str">
        <f t="shared" si="130"/>
        <v/>
      </c>
      <c r="R719" s="29" t="str">
        <f t="shared" ca="1" si="131"/>
        <v/>
      </c>
    </row>
    <row r="720" spans="1:18">
      <c r="A720" s="23" t="str">
        <f t="shared" si="121"/>
        <v/>
      </c>
      <c r="B720" s="23" t="str">
        <f t="shared" si="122"/>
        <v/>
      </c>
      <c r="C720" s="29" t="str">
        <f t="shared" ca="1" si="123"/>
        <v/>
      </c>
      <c r="D720" s="22" t="str">
        <f>IF(K720="","",ИТОГ!S720)</f>
        <v/>
      </c>
      <c r="E720" s="24" t="str">
        <f t="shared" si="124"/>
        <v/>
      </c>
      <c r="F720" s="30" t="str">
        <f t="shared" si="125"/>
        <v/>
      </c>
      <c r="G720" s="25" t="str">
        <f t="shared" si="126"/>
        <v/>
      </c>
      <c r="H720" s="29" t="str">
        <f t="shared" ca="1" si="127"/>
        <v/>
      </c>
      <c r="I720" s="24"/>
      <c r="J720" s="30"/>
      <c r="K720" s="27" t="str">
        <f>IF(ИТОГ!A720=0,"",ИТОГ!A720)</f>
        <v/>
      </c>
      <c r="L720" s="26" t="str">
        <f t="shared" si="128"/>
        <v/>
      </c>
      <c r="M720" s="25" t="str">
        <f>IF(K720="","",ИТОГ!Q720)</f>
        <v/>
      </c>
      <c r="N720" s="28" t="str">
        <f>IF(K720="","",ИТОГ!N720)</f>
        <v/>
      </c>
      <c r="O720" s="30" t="str">
        <f t="shared" si="129"/>
        <v/>
      </c>
      <c r="P720" s="24"/>
      <c r="Q720" s="30" t="str">
        <f t="shared" si="130"/>
        <v/>
      </c>
      <c r="R720" s="29" t="str">
        <f t="shared" ca="1" si="131"/>
        <v/>
      </c>
    </row>
    <row r="721" spans="1:18">
      <c r="A721" s="23" t="str">
        <f t="shared" si="121"/>
        <v/>
      </c>
      <c r="B721" s="23" t="str">
        <f t="shared" si="122"/>
        <v/>
      </c>
      <c r="C721" s="29" t="str">
        <f t="shared" ca="1" si="123"/>
        <v/>
      </c>
      <c r="D721" s="22" t="str">
        <f>IF(K721="","",ИТОГ!S721)</f>
        <v/>
      </c>
      <c r="E721" s="24" t="str">
        <f t="shared" si="124"/>
        <v/>
      </c>
      <c r="F721" s="30" t="str">
        <f t="shared" si="125"/>
        <v/>
      </c>
      <c r="G721" s="25" t="str">
        <f t="shared" si="126"/>
        <v/>
      </c>
      <c r="H721" s="29" t="str">
        <f t="shared" ca="1" si="127"/>
        <v/>
      </c>
      <c r="I721" s="24"/>
      <c r="J721" s="30"/>
      <c r="K721" s="27" t="str">
        <f>IF(ИТОГ!A721=0,"",ИТОГ!A721)</f>
        <v/>
      </c>
      <c r="L721" s="26" t="str">
        <f t="shared" si="128"/>
        <v/>
      </c>
      <c r="M721" s="25" t="str">
        <f>IF(K721="","",ИТОГ!Q721)</f>
        <v/>
      </c>
      <c r="N721" s="28" t="str">
        <f>IF(K721="","",ИТОГ!N721)</f>
        <v/>
      </c>
      <c r="O721" s="30" t="str">
        <f t="shared" si="129"/>
        <v/>
      </c>
      <c r="P721" s="24"/>
      <c r="Q721" s="30" t="str">
        <f t="shared" si="130"/>
        <v/>
      </c>
      <c r="R721" s="29" t="str">
        <f t="shared" ca="1" si="131"/>
        <v/>
      </c>
    </row>
    <row r="722" spans="1:18">
      <c r="A722" s="23" t="str">
        <f t="shared" si="121"/>
        <v/>
      </c>
      <c r="B722" s="23" t="str">
        <f t="shared" si="122"/>
        <v/>
      </c>
      <c r="C722" s="29" t="str">
        <f t="shared" ca="1" si="123"/>
        <v/>
      </c>
      <c r="D722" s="22" t="str">
        <f>IF(K722="","",ИТОГ!S722)</f>
        <v/>
      </c>
      <c r="E722" s="24" t="str">
        <f t="shared" si="124"/>
        <v/>
      </c>
      <c r="F722" s="30" t="str">
        <f t="shared" si="125"/>
        <v/>
      </c>
      <c r="G722" s="25" t="str">
        <f t="shared" si="126"/>
        <v/>
      </c>
      <c r="H722" s="29" t="str">
        <f t="shared" ca="1" si="127"/>
        <v/>
      </c>
      <c r="I722" s="24"/>
      <c r="J722" s="30"/>
      <c r="K722" s="27" t="str">
        <f>IF(ИТОГ!A722=0,"",ИТОГ!A722)</f>
        <v/>
      </c>
      <c r="L722" s="26" t="str">
        <f t="shared" si="128"/>
        <v/>
      </c>
      <c r="M722" s="25" t="str">
        <f>IF(K722="","",ИТОГ!Q722)</f>
        <v/>
      </c>
      <c r="N722" s="28" t="str">
        <f>IF(K722="","",ИТОГ!N722)</f>
        <v/>
      </c>
      <c r="O722" s="30" t="str">
        <f t="shared" si="129"/>
        <v/>
      </c>
      <c r="P722" s="24"/>
      <c r="Q722" s="30" t="str">
        <f t="shared" si="130"/>
        <v/>
      </c>
      <c r="R722" s="29" t="str">
        <f t="shared" ca="1" si="131"/>
        <v/>
      </c>
    </row>
    <row r="723" spans="1:18">
      <c r="A723" s="23" t="str">
        <f t="shared" si="121"/>
        <v/>
      </c>
      <c r="B723" s="23" t="str">
        <f t="shared" si="122"/>
        <v/>
      </c>
      <c r="C723" s="29" t="str">
        <f t="shared" ca="1" si="123"/>
        <v/>
      </c>
      <c r="D723" s="22" t="str">
        <f>IF(K723="","",ИТОГ!S723)</f>
        <v/>
      </c>
      <c r="E723" s="24" t="str">
        <f t="shared" si="124"/>
        <v/>
      </c>
      <c r="F723" s="30" t="str">
        <f t="shared" si="125"/>
        <v/>
      </c>
      <c r="G723" s="25" t="str">
        <f t="shared" si="126"/>
        <v/>
      </c>
      <c r="H723" s="29" t="str">
        <f t="shared" ca="1" si="127"/>
        <v/>
      </c>
      <c r="I723" s="24"/>
      <c r="J723" s="30"/>
      <c r="K723" s="27" t="str">
        <f>IF(ИТОГ!A723=0,"",ИТОГ!A723)</f>
        <v/>
      </c>
      <c r="L723" s="26" t="str">
        <f t="shared" si="128"/>
        <v/>
      </c>
      <c r="M723" s="25" t="str">
        <f>IF(K723="","",ИТОГ!Q723)</f>
        <v/>
      </c>
      <c r="N723" s="28" t="str">
        <f>IF(K723="","",ИТОГ!N723)</f>
        <v/>
      </c>
      <c r="O723" s="30" t="str">
        <f t="shared" si="129"/>
        <v/>
      </c>
      <c r="P723" s="24"/>
      <c r="Q723" s="30" t="str">
        <f t="shared" si="130"/>
        <v/>
      </c>
      <c r="R723" s="29" t="str">
        <f t="shared" ca="1" si="131"/>
        <v/>
      </c>
    </row>
    <row r="724" spans="1:18">
      <c r="A724" s="23" t="str">
        <f t="shared" si="121"/>
        <v/>
      </c>
      <c r="B724" s="23" t="str">
        <f t="shared" si="122"/>
        <v/>
      </c>
      <c r="C724" s="29" t="str">
        <f t="shared" ca="1" si="123"/>
        <v/>
      </c>
      <c r="D724" s="22" t="str">
        <f>IF(K724="","",ИТОГ!S724)</f>
        <v/>
      </c>
      <c r="E724" s="24" t="str">
        <f t="shared" si="124"/>
        <v/>
      </c>
      <c r="F724" s="30" t="str">
        <f t="shared" si="125"/>
        <v/>
      </c>
      <c r="G724" s="25" t="str">
        <f t="shared" si="126"/>
        <v/>
      </c>
      <c r="H724" s="29" t="str">
        <f t="shared" ca="1" si="127"/>
        <v/>
      </c>
      <c r="I724" s="24"/>
      <c r="J724" s="30"/>
      <c r="K724" s="27" t="str">
        <f>IF(ИТОГ!A724=0,"",ИТОГ!A724)</f>
        <v/>
      </c>
      <c r="L724" s="26" t="str">
        <f t="shared" si="128"/>
        <v/>
      </c>
      <c r="M724" s="25" t="str">
        <f>IF(K724="","",ИТОГ!Q724)</f>
        <v/>
      </c>
      <c r="N724" s="28" t="str">
        <f>IF(K724="","",ИТОГ!N724)</f>
        <v/>
      </c>
      <c r="O724" s="30" t="str">
        <f t="shared" si="129"/>
        <v/>
      </c>
      <c r="P724" s="24"/>
      <c r="Q724" s="30" t="str">
        <f t="shared" si="130"/>
        <v/>
      </c>
      <c r="R724" s="29" t="str">
        <f t="shared" ca="1" si="131"/>
        <v/>
      </c>
    </row>
    <row r="725" spans="1:18">
      <c r="A725" s="23" t="str">
        <f t="shared" si="121"/>
        <v/>
      </c>
      <c r="B725" s="23" t="str">
        <f t="shared" si="122"/>
        <v/>
      </c>
      <c r="C725" s="29" t="str">
        <f t="shared" ca="1" si="123"/>
        <v/>
      </c>
      <c r="D725" s="22" t="str">
        <f>IF(K725="","",ИТОГ!S725)</f>
        <v/>
      </c>
      <c r="E725" s="24" t="str">
        <f t="shared" si="124"/>
        <v/>
      </c>
      <c r="F725" s="30" t="str">
        <f t="shared" si="125"/>
        <v/>
      </c>
      <c r="G725" s="25" t="str">
        <f t="shared" si="126"/>
        <v/>
      </c>
      <c r="H725" s="29" t="str">
        <f t="shared" ca="1" si="127"/>
        <v/>
      </c>
      <c r="I725" s="24"/>
      <c r="J725" s="30"/>
      <c r="K725" s="27" t="str">
        <f>IF(ИТОГ!A725=0,"",ИТОГ!A725)</f>
        <v/>
      </c>
      <c r="L725" s="26" t="str">
        <f t="shared" si="128"/>
        <v/>
      </c>
      <c r="M725" s="25" t="str">
        <f>IF(K725="","",ИТОГ!Q725)</f>
        <v/>
      </c>
      <c r="N725" s="28" t="str">
        <f>IF(K725="","",ИТОГ!N725)</f>
        <v/>
      </c>
      <c r="O725" s="30" t="str">
        <f t="shared" si="129"/>
        <v/>
      </c>
      <c r="P725" s="24"/>
      <c r="Q725" s="30" t="str">
        <f t="shared" si="130"/>
        <v/>
      </c>
      <c r="R725" s="29" t="str">
        <f t="shared" ca="1" si="131"/>
        <v/>
      </c>
    </row>
    <row r="726" spans="1:18">
      <c r="A726" s="23" t="str">
        <f t="shared" si="121"/>
        <v/>
      </c>
      <c r="B726" s="23" t="str">
        <f t="shared" si="122"/>
        <v/>
      </c>
      <c r="C726" s="29" t="str">
        <f t="shared" ca="1" si="123"/>
        <v/>
      </c>
      <c r="D726" s="22" t="str">
        <f>IF(K726="","",ИТОГ!S726)</f>
        <v/>
      </c>
      <c r="E726" s="24" t="str">
        <f t="shared" si="124"/>
        <v/>
      </c>
      <c r="F726" s="30" t="str">
        <f t="shared" si="125"/>
        <v/>
      </c>
      <c r="G726" s="25" t="str">
        <f t="shared" si="126"/>
        <v/>
      </c>
      <c r="H726" s="29" t="str">
        <f t="shared" ca="1" si="127"/>
        <v/>
      </c>
      <c r="I726" s="24"/>
      <c r="J726" s="30"/>
      <c r="K726" s="27" t="str">
        <f>IF(ИТОГ!A726=0,"",ИТОГ!A726)</f>
        <v/>
      </c>
      <c r="L726" s="26" t="str">
        <f t="shared" si="128"/>
        <v/>
      </c>
      <c r="M726" s="25" t="str">
        <f>IF(K726="","",ИТОГ!Q726)</f>
        <v/>
      </c>
      <c r="N726" s="28" t="str">
        <f>IF(K726="","",ИТОГ!N726)</f>
        <v/>
      </c>
      <c r="O726" s="30" t="str">
        <f t="shared" si="129"/>
        <v/>
      </c>
      <c r="P726" s="24"/>
      <c r="Q726" s="30" t="str">
        <f t="shared" si="130"/>
        <v/>
      </c>
      <c r="R726" s="29" t="str">
        <f t="shared" ca="1" si="131"/>
        <v/>
      </c>
    </row>
    <row r="727" spans="1:18">
      <c r="A727" s="23" t="str">
        <f t="shared" si="121"/>
        <v/>
      </c>
      <c r="B727" s="23" t="str">
        <f t="shared" si="122"/>
        <v/>
      </c>
      <c r="C727" s="29" t="str">
        <f t="shared" ca="1" si="123"/>
        <v/>
      </c>
      <c r="D727" s="22" t="str">
        <f>IF(K727="","",ИТОГ!S727)</f>
        <v/>
      </c>
      <c r="E727" s="24" t="str">
        <f t="shared" si="124"/>
        <v/>
      </c>
      <c r="F727" s="30" t="str">
        <f t="shared" si="125"/>
        <v/>
      </c>
      <c r="G727" s="25" t="str">
        <f t="shared" si="126"/>
        <v/>
      </c>
      <c r="H727" s="29" t="str">
        <f t="shared" ca="1" si="127"/>
        <v/>
      </c>
      <c r="I727" s="24"/>
      <c r="J727" s="30"/>
      <c r="K727" s="27" t="str">
        <f>IF(ИТОГ!A727=0,"",ИТОГ!A727)</f>
        <v/>
      </c>
      <c r="L727" s="26" t="str">
        <f t="shared" si="128"/>
        <v/>
      </c>
      <c r="M727" s="25" t="str">
        <f>IF(K727="","",ИТОГ!Q727)</f>
        <v/>
      </c>
      <c r="N727" s="28" t="str">
        <f>IF(K727="","",ИТОГ!N727)</f>
        <v/>
      </c>
      <c r="O727" s="30" t="str">
        <f t="shared" si="129"/>
        <v/>
      </c>
      <c r="P727" s="24"/>
      <c r="Q727" s="30" t="str">
        <f t="shared" si="130"/>
        <v/>
      </c>
      <c r="R727" s="29" t="str">
        <f t="shared" ca="1" si="131"/>
        <v/>
      </c>
    </row>
    <row r="728" spans="1:18">
      <c r="A728" s="23" t="str">
        <f t="shared" si="121"/>
        <v/>
      </c>
      <c r="B728" s="23" t="str">
        <f t="shared" si="122"/>
        <v/>
      </c>
      <c r="C728" s="29" t="str">
        <f t="shared" ca="1" si="123"/>
        <v/>
      </c>
      <c r="D728" s="22" t="str">
        <f>IF(K728="","",ИТОГ!S728)</f>
        <v/>
      </c>
      <c r="E728" s="24" t="str">
        <f t="shared" si="124"/>
        <v/>
      </c>
      <c r="F728" s="30" t="str">
        <f t="shared" si="125"/>
        <v/>
      </c>
      <c r="G728" s="25" t="str">
        <f t="shared" si="126"/>
        <v/>
      </c>
      <c r="H728" s="29" t="str">
        <f t="shared" ca="1" si="127"/>
        <v/>
      </c>
      <c r="I728" s="24"/>
      <c r="J728" s="30"/>
      <c r="K728" s="27" t="str">
        <f>IF(ИТОГ!A728=0,"",ИТОГ!A728)</f>
        <v/>
      </c>
      <c r="L728" s="26" t="str">
        <f t="shared" si="128"/>
        <v/>
      </c>
      <c r="M728" s="25" t="str">
        <f>IF(K728="","",ИТОГ!Q728)</f>
        <v/>
      </c>
      <c r="N728" s="28" t="str">
        <f>IF(K728="","",ИТОГ!N728)</f>
        <v/>
      </c>
      <c r="O728" s="30" t="str">
        <f t="shared" si="129"/>
        <v/>
      </c>
      <c r="P728" s="24"/>
      <c r="Q728" s="30" t="str">
        <f t="shared" si="130"/>
        <v/>
      </c>
      <c r="R728" s="29" t="str">
        <f t="shared" ca="1" si="131"/>
        <v/>
      </c>
    </row>
    <row r="729" spans="1:18">
      <c r="A729" s="23" t="str">
        <f t="shared" si="121"/>
        <v/>
      </c>
      <c r="B729" s="23" t="str">
        <f t="shared" si="122"/>
        <v/>
      </c>
      <c r="C729" s="29" t="str">
        <f t="shared" ca="1" si="123"/>
        <v/>
      </c>
      <c r="D729" s="22" t="str">
        <f>IF(K729="","",ИТОГ!S729)</f>
        <v/>
      </c>
      <c r="E729" s="24" t="str">
        <f t="shared" si="124"/>
        <v/>
      </c>
      <c r="F729" s="30" t="str">
        <f t="shared" si="125"/>
        <v/>
      </c>
      <c r="G729" s="25" t="str">
        <f t="shared" si="126"/>
        <v/>
      </c>
      <c r="H729" s="29" t="str">
        <f t="shared" ca="1" si="127"/>
        <v/>
      </c>
      <c r="I729" s="24"/>
      <c r="J729" s="30"/>
      <c r="K729" s="27" t="str">
        <f>IF(ИТОГ!A729=0,"",ИТОГ!A729)</f>
        <v/>
      </c>
      <c r="L729" s="26" t="str">
        <f t="shared" si="128"/>
        <v/>
      </c>
      <c r="M729" s="25" t="str">
        <f>IF(K729="","",ИТОГ!Q729)</f>
        <v/>
      </c>
      <c r="N729" s="28" t="str">
        <f>IF(K729="","",ИТОГ!N729)</f>
        <v/>
      </c>
      <c r="O729" s="30" t="str">
        <f t="shared" si="129"/>
        <v/>
      </c>
      <c r="P729" s="24"/>
      <c r="Q729" s="30" t="str">
        <f t="shared" si="130"/>
        <v/>
      </c>
      <c r="R729" s="29" t="str">
        <f t="shared" ca="1" si="131"/>
        <v/>
      </c>
    </row>
    <row r="730" spans="1:18">
      <c r="A730" s="23" t="str">
        <f t="shared" si="121"/>
        <v/>
      </c>
      <c r="B730" s="23" t="str">
        <f t="shared" si="122"/>
        <v/>
      </c>
      <c r="C730" s="29" t="str">
        <f t="shared" ca="1" si="123"/>
        <v/>
      </c>
      <c r="D730" s="22" t="str">
        <f>IF(K730="","",ИТОГ!S730)</f>
        <v/>
      </c>
      <c r="E730" s="24" t="str">
        <f t="shared" si="124"/>
        <v/>
      </c>
      <c r="F730" s="30" t="str">
        <f t="shared" si="125"/>
        <v/>
      </c>
      <c r="G730" s="25" t="str">
        <f t="shared" si="126"/>
        <v/>
      </c>
      <c r="H730" s="29" t="str">
        <f t="shared" ca="1" si="127"/>
        <v/>
      </c>
      <c r="I730" s="24"/>
      <c r="J730" s="30"/>
      <c r="K730" s="27" t="str">
        <f>IF(ИТОГ!A730=0,"",ИТОГ!A730)</f>
        <v/>
      </c>
      <c r="L730" s="26" t="str">
        <f t="shared" si="128"/>
        <v/>
      </c>
      <c r="M730" s="25" t="str">
        <f>IF(K730="","",ИТОГ!Q730)</f>
        <v/>
      </c>
      <c r="N730" s="28" t="str">
        <f>IF(K730="","",ИТОГ!N730)</f>
        <v/>
      </c>
      <c r="O730" s="30" t="str">
        <f t="shared" si="129"/>
        <v/>
      </c>
      <c r="P730" s="24"/>
      <c r="Q730" s="30" t="str">
        <f t="shared" si="130"/>
        <v/>
      </c>
      <c r="R730" s="29" t="str">
        <f t="shared" ca="1" si="131"/>
        <v/>
      </c>
    </row>
    <row r="731" spans="1:18">
      <c r="A731" s="23" t="str">
        <f t="shared" si="121"/>
        <v/>
      </c>
      <c r="B731" s="23" t="str">
        <f t="shared" si="122"/>
        <v/>
      </c>
      <c r="C731" s="29" t="str">
        <f t="shared" ca="1" si="123"/>
        <v/>
      </c>
      <c r="D731" s="22" t="str">
        <f>IF(K731="","",ИТОГ!S731)</f>
        <v/>
      </c>
      <c r="E731" s="24" t="str">
        <f t="shared" si="124"/>
        <v/>
      </c>
      <c r="F731" s="30" t="str">
        <f t="shared" si="125"/>
        <v/>
      </c>
      <c r="G731" s="25" t="str">
        <f t="shared" si="126"/>
        <v/>
      </c>
      <c r="H731" s="29" t="str">
        <f t="shared" ca="1" si="127"/>
        <v/>
      </c>
      <c r="I731" s="24"/>
      <c r="J731" s="30"/>
      <c r="K731" s="27" t="str">
        <f>IF(ИТОГ!A731=0,"",ИТОГ!A731)</f>
        <v/>
      </c>
      <c r="L731" s="26" t="str">
        <f t="shared" si="128"/>
        <v/>
      </c>
      <c r="M731" s="25" t="str">
        <f>IF(K731="","",ИТОГ!Q731)</f>
        <v/>
      </c>
      <c r="N731" s="28" t="str">
        <f>IF(K731="","",ИТОГ!N731)</f>
        <v/>
      </c>
      <c r="O731" s="30" t="str">
        <f t="shared" si="129"/>
        <v/>
      </c>
      <c r="P731" s="24"/>
      <c r="Q731" s="30" t="str">
        <f t="shared" si="130"/>
        <v/>
      </c>
      <c r="R731" s="29" t="str">
        <f t="shared" ca="1" si="131"/>
        <v/>
      </c>
    </row>
    <row r="732" spans="1:18">
      <c r="A732" s="23" t="str">
        <f t="shared" si="121"/>
        <v/>
      </c>
      <c r="B732" s="23" t="str">
        <f t="shared" si="122"/>
        <v/>
      </c>
      <c r="C732" s="29" t="str">
        <f t="shared" ca="1" si="123"/>
        <v/>
      </c>
      <c r="D732" s="22" t="str">
        <f>IF(K732="","",ИТОГ!S732)</f>
        <v/>
      </c>
      <c r="E732" s="24" t="str">
        <f t="shared" si="124"/>
        <v/>
      </c>
      <c r="F732" s="30" t="str">
        <f t="shared" si="125"/>
        <v/>
      </c>
      <c r="G732" s="25" t="str">
        <f t="shared" si="126"/>
        <v/>
      </c>
      <c r="H732" s="29" t="str">
        <f t="shared" ca="1" si="127"/>
        <v/>
      </c>
      <c r="I732" s="24"/>
      <c r="J732" s="30"/>
      <c r="K732" s="27" t="str">
        <f>IF(ИТОГ!A732=0,"",ИТОГ!A732)</f>
        <v/>
      </c>
      <c r="L732" s="26" t="str">
        <f t="shared" si="128"/>
        <v/>
      </c>
      <c r="M732" s="25" t="str">
        <f>IF(K732="","",ИТОГ!Q732)</f>
        <v/>
      </c>
      <c r="N732" s="28" t="str">
        <f>IF(K732="","",ИТОГ!N732)</f>
        <v/>
      </c>
      <c r="O732" s="30" t="str">
        <f t="shared" si="129"/>
        <v/>
      </c>
      <c r="P732" s="24"/>
      <c r="Q732" s="30" t="str">
        <f t="shared" si="130"/>
        <v/>
      </c>
      <c r="R732" s="29" t="str">
        <f t="shared" ca="1" si="131"/>
        <v/>
      </c>
    </row>
    <row r="733" spans="1:18">
      <c r="A733" s="23" t="str">
        <f t="shared" si="121"/>
        <v/>
      </c>
      <c r="B733" s="23" t="str">
        <f t="shared" si="122"/>
        <v/>
      </c>
      <c r="C733" s="29" t="str">
        <f t="shared" ca="1" si="123"/>
        <v/>
      </c>
      <c r="D733" s="22" t="str">
        <f>IF(K733="","",ИТОГ!S733)</f>
        <v/>
      </c>
      <c r="E733" s="24" t="str">
        <f t="shared" si="124"/>
        <v/>
      </c>
      <c r="F733" s="30" t="str">
        <f t="shared" si="125"/>
        <v/>
      </c>
      <c r="G733" s="25" t="str">
        <f t="shared" si="126"/>
        <v/>
      </c>
      <c r="H733" s="29" t="str">
        <f t="shared" ca="1" si="127"/>
        <v/>
      </c>
      <c r="I733" s="24"/>
      <c r="J733" s="30"/>
      <c r="K733" s="27" t="str">
        <f>IF(ИТОГ!A733=0,"",ИТОГ!A733)</f>
        <v/>
      </c>
      <c r="L733" s="26" t="str">
        <f t="shared" si="128"/>
        <v/>
      </c>
      <c r="M733" s="25" t="str">
        <f>IF(K733="","",ИТОГ!Q733)</f>
        <v/>
      </c>
      <c r="N733" s="28" t="str">
        <f>IF(K733="","",ИТОГ!N733)</f>
        <v/>
      </c>
      <c r="O733" s="30" t="str">
        <f t="shared" si="129"/>
        <v/>
      </c>
      <c r="P733" s="24"/>
      <c r="Q733" s="30" t="str">
        <f t="shared" si="130"/>
        <v/>
      </c>
      <c r="R733" s="29" t="str">
        <f t="shared" ca="1" si="131"/>
        <v/>
      </c>
    </row>
    <row r="734" spans="1:18">
      <c r="A734" s="23" t="str">
        <f t="shared" ref="A734:A797" si="132">IF(K734="","",1000)</f>
        <v/>
      </c>
      <c r="B734" s="23" t="str">
        <f t="shared" ref="B734:B797" si="133">IF(K734="","",1)</f>
        <v/>
      </c>
      <c r="C734" s="29" t="str">
        <f t="shared" ref="C734:C797" ca="1" si="134">IF(K734="","",TODAY())</f>
        <v/>
      </c>
      <c r="D734" s="22" t="str">
        <f>IF(K734="","",ИТОГ!S734)</f>
        <v/>
      </c>
      <c r="E734" s="24" t="str">
        <f t="shared" ref="E734:E797" si="135">IF(K734="","","Х")</f>
        <v/>
      </c>
      <c r="F734" s="30" t="str">
        <f t="shared" ref="F734:F797" si="136">IF(K734="","","UV")</f>
        <v/>
      </c>
      <c r="G734" s="25" t="str">
        <f t="shared" ref="G734:G797" si="137">IF(K734="","",SUMIF(D:D,D734,M:M))</f>
        <v/>
      </c>
      <c r="H734" s="29" t="str">
        <f t="shared" ref="H734:H797" ca="1" si="138">IF(K734="","",TODAY())</f>
        <v/>
      </c>
      <c r="I734" s="24"/>
      <c r="J734" s="30"/>
      <c r="K734" s="27" t="str">
        <f>IF(ИТОГ!A734=0,"",ИТОГ!A734)</f>
        <v/>
      </c>
      <c r="L734" s="26" t="str">
        <f t="shared" ref="L734:L797" si="139">IF(K734="","",
IF(D733-D734=0,L733+10,10))</f>
        <v/>
      </c>
      <c r="M734" s="25" t="str">
        <f>IF(K734="","",ИТОГ!Q734)</f>
        <v/>
      </c>
      <c r="N734" s="28" t="str">
        <f>IF(K734="","",ИТОГ!N734)</f>
        <v/>
      </c>
      <c r="O734" s="30" t="str">
        <f t="shared" ref="O734:O797" si="140">IF(K734="","","ST")</f>
        <v/>
      </c>
      <c r="P734" s="24"/>
      <c r="Q734" s="30" t="str">
        <f t="shared" ref="Q734:Q797" si="141">IF(K734="","","EUR")</f>
        <v/>
      </c>
      <c r="R734" s="29" t="str">
        <f t="shared" ref="R734:R797" ca="1" si="142">IF(K734="","",TODAY())</f>
        <v/>
      </c>
    </row>
    <row r="735" spans="1:18">
      <c r="A735" s="23" t="str">
        <f t="shared" si="132"/>
        <v/>
      </c>
      <c r="B735" s="23" t="str">
        <f t="shared" si="133"/>
        <v/>
      </c>
      <c r="C735" s="29" t="str">
        <f t="shared" ca="1" si="134"/>
        <v/>
      </c>
      <c r="D735" s="22" t="str">
        <f>IF(K735="","",ИТОГ!S735)</f>
        <v/>
      </c>
      <c r="E735" s="24" t="str">
        <f t="shared" si="135"/>
        <v/>
      </c>
      <c r="F735" s="30" t="str">
        <f t="shared" si="136"/>
        <v/>
      </c>
      <c r="G735" s="25" t="str">
        <f t="shared" si="137"/>
        <v/>
      </c>
      <c r="H735" s="29" t="str">
        <f t="shared" ca="1" si="138"/>
        <v/>
      </c>
      <c r="I735" s="24"/>
      <c r="J735" s="30"/>
      <c r="K735" s="27" t="str">
        <f>IF(ИТОГ!A735=0,"",ИТОГ!A735)</f>
        <v/>
      </c>
      <c r="L735" s="26" t="str">
        <f t="shared" si="139"/>
        <v/>
      </c>
      <c r="M735" s="25" t="str">
        <f>IF(K735="","",ИТОГ!Q735)</f>
        <v/>
      </c>
      <c r="N735" s="28" t="str">
        <f>IF(K735="","",ИТОГ!N735)</f>
        <v/>
      </c>
      <c r="O735" s="30" t="str">
        <f t="shared" si="140"/>
        <v/>
      </c>
      <c r="P735" s="24"/>
      <c r="Q735" s="30" t="str">
        <f t="shared" si="141"/>
        <v/>
      </c>
      <c r="R735" s="29" t="str">
        <f t="shared" ca="1" si="142"/>
        <v/>
      </c>
    </row>
    <row r="736" spans="1:18">
      <c r="A736" s="23" t="str">
        <f t="shared" si="132"/>
        <v/>
      </c>
      <c r="B736" s="23" t="str">
        <f t="shared" si="133"/>
        <v/>
      </c>
      <c r="C736" s="29" t="str">
        <f t="shared" ca="1" si="134"/>
        <v/>
      </c>
      <c r="D736" s="22" t="str">
        <f>IF(K736="","",ИТОГ!S736)</f>
        <v/>
      </c>
      <c r="E736" s="24" t="str">
        <f t="shared" si="135"/>
        <v/>
      </c>
      <c r="F736" s="30" t="str">
        <f t="shared" si="136"/>
        <v/>
      </c>
      <c r="G736" s="25" t="str">
        <f t="shared" si="137"/>
        <v/>
      </c>
      <c r="H736" s="29" t="str">
        <f t="shared" ca="1" si="138"/>
        <v/>
      </c>
      <c r="I736" s="24"/>
      <c r="J736" s="30"/>
      <c r="K736" s="27" t="str">
        <f>IF(ИТОГ!A736=0,"",ИТОГ!A736)</f>
        <v/>
      </c>
      <c r="L736" s="26" t="str">
        <f t="shared" si="139"/>
        <v/>
      </c>
      <c r="M736" s="25" t="str">
        <f>IF(K736="","",ИТОГ!Q736)</f>
        <v/>
      </c>
      <c r="N736" s="28" t="str">
        <f>IF(K736="","",ИТОГ!N736)</f>
        <v/>
      </c>
      <c r="O736" s="30" t="str">
        <f t="shared" si="140"/>
        <v/>
      </c>
      <c r="P736" s="24"/>
      <c r="Q736" s="30" t="str">
        <f t="shared" si="141"/>
        <v/>
      </c>
      <c r="R736" s="29" t="str">
        <f t="shared" ca="1" si="142"/>
        <v/>
      </c>
    </row>
    <row r="737" spans="1:18">
      <c r="A737" s="23" t="str">
        <f t="shared" si="132"/>
        <v/>
      </c>
      <c r="B737" s="23" t="str">
        <f t="shared" si="133"/>
        <v/>
      </c>
      <c r="C737" s="29" t="str">
        <f t="shared" ca="1" si="134"/>
        <v/>
      </c>
      <c r="D737" s="22" t="str">
        <f>IF(K737="","",ИТОГ!S737)</f>
        <v/>
      </c>
      <c r="E737" s="24" t="str">
        <f t="shared" si="135"/>
        <v/>
      </c>
      <c r="F737" s="30" t="str">
        <f t="shared" si="136"/>
        <v/>
      </c>
      <c r="G737" s="25" t="str">
        <f t="shared" si="137"/>
        <v/>
      </c>
      <c r="H737" s="29" t="str">
        <f t="shared" ca="1" si="138"/>
        <v/>
      </c>
      <c r="I737" s="24"/>
      <c r="J737" s="30"/>
      <c r="K737" s="27" t="str">
        <f>IF(ИТОГ!A737=0,"",ИТОГ!A737)</f>
        <v/>
      </c>
      <c r="L737" s="26" t="str">
        <f t="shared" si="139"/>
        <v/>
      </c>
      <c r="M737" s="25" t="str">
        <f>IF(K737="","",ИТОГ!Q737)</f>
        <v/>
      </c>
      <c r="N737" s="28" t="str">
        <f>IF(K737="","",ИТОГ!N737)</f>
        <v/>
      </c>
      <c r="O737" s="30" t="str">
        <f t="shared" si="140"/>
        <v/>
      </c>
      <c r="P737" s="24"/>
      <c r="Q737" s="30" t="str">
        <f t="shared" si="141"/>
        <v/>
      </c>
      <c r="R737" s="29" t="str">
        <f t="shared" ca="1" si="142"/>
        <v/>
      </c>
    </row>
    <row r="738" spans="1:18">
      <c r="A738" s="23" t="str">
        <f t="shared" si="132"/>
        <v/>
      </c>
      <c r="B738" s="23" t="str">
        <f t="shared" si="133"/>
        <v/>
      </c>
      <c r="C738" s="29" t="str">
        <f t="shared" ca="1" si="134"/>
        <v/>
      </c>
      <c r="D738" s="22" t="str">
        <f>IF(K738="","",ИТОГ!S738)</f>
        <v/>
      </c>
      <c r="E738" s="24" t="str">
        <f t="shared" si="135"/>
        <v/>
      </c>
      <c r="F738" s="30" t="str">
        <f t="shared" si="136"/>
        <v/>
      </c>
      <c r="G738" s="25" t="str">
        <f t="shared" si="137"/>
        <v/>
      </c>
      <c r="H738" s="29" t="str">
        <f t="shared" ca="1" si="138"/>
        <v/>
      </c>
      <c r="I738" s="24"/>
      <c r="J738" s="30"/>
      <c r="K738" s="27" t="str">
        <f>IF(ИТОГ!A738=0,"",ИТОГ!A738)</f>
        <v/>
      </c>
      <c r="L738" s="26" t="str">
        <f t="shared" si="139"/>
        <v/>
      </c>
      <c r="M738" s="25" t="str">
        <f>IF(K738="","",ИТОГ!Q738)</f>
        <v/>
      </c>
      <c r="N738" s="28" t="str">
        <f>IF(K738="","",ИТОГ!N738)</f>
        <v/>
      </c>
      <c r="O738" s="30" t="str">
        <f t="shared" si="140"/>
        <v/>
      </c>
      <c r="P738" s="24"/>
      <c r="Q738" s="30" t="str">
        <f t="shared" si="141"/>
        <v/>
      </c>
      <c r="R738" s="29" t="str">
        <f t="shared" ca="1" si="142"/>
        <v/>
      </c>
    </row>
    <row r="739" spans="1:18">
      <c r="A739" s="23" t="str">
        <f t="shared" si="132"/>
        <v/>
      </c>
      <c r="B739" s="23" t="str">
        <f t="shared" si="133"/>
        <v/>
      </c>
      <c r="C739" s="29" t="str">
        <f t="shared" ca="1" si="134"/>
        <v/>
      </c>
      <c r="D739" s="22" t="str">
        <f>IF(K739="","",ИТОГ!S739)</f>
        <v/>
      </c>
      <c r="E739" s="24" t="str">
        <f t="shared" si="135"/>
        <v/>
      </c>
      <c r="F739" s="30" t="str">
        <f t="shared" si="136"/>
        <v/>
      </c>
      <c r="G739" s="25" t="str">
        <f t="shared" si="137"/>
        <v/>
      </c>
      <c r="H739" s="29" t="str">
        <f t="shared" ca="1" si="138"/>
        <v/>
      </c>
      <c r="I739" s="24"/>
      <c r="J739" s="30"/>
      <c r="K739" s="27" t="str">
        <f>IF(ИТОГ!A739=0,"",ИТОГ!A739)</f>
        <v/>
      </c>
      <c r="L739" s="26" t="str">
        <f t="shared" si="139"/>
        <v/>
      </c>
      <c r="M739" s="25" t="str">
        <f>IF(K739="","",ИТОГ!Q739)</f>
        <v/>
      </c>
      <c r="N739" s="28" t="str">
        <f>IF(K739="","",ИТОГ!N739)</f>
        <v/>
      </c>
      <c r="O739" s="30" t="str">
        <f t="shared" si="140"/>
        <v/>
      </c>
      <c r="P739" s="24"/>
      <c r="Q739" s="30" t="str">
        <f t="shared" si="141"/>
        <v/>
      </c>
      <c r="R739" s="29" t="str">
        <f t="shared" ca="1" si="142"/>
        <v/>
      </c>
    </row>
    <row r="740" spans="1:18">
      <c r="A740" s="23" t="str">
        <f t="shared" si="132"/>
        <v/>
      </c>
      <c r="B740" s="23" t="str">
        <f t="shared" si="133"/>
        <v/>
      </c>
      <c r="C740" s="29" t="str">
        <f t="shared" ca="1" si="134"/>
        <v/>
      </c>
      <c r="D740" s="22" t="str">
        <f>IF(K740="","",ИТОГ!S740)</f>
        <v/>
      </c>
      <c r="E740" s="24" t="str">
        <f t="shared" si="135"/>
        <v/>
      </c>
      <c r="F740" s="30" t="str">
        <f t="shared" si="136"/>
        <v/>
      </c>
      <c r="G740" s="25" t="str">
        <f t="shared" si="137"/>
        <v/>
      </c>
      <c r="H740" s="29" t="str">
        <f t="shared" ca="1" si="138"/>
        <v/>
      </c>
      <c r="I740" s="24"/>
      <c r="J740" s="30"/>
      <c r="K740" s="27" t="str">
        <f>IF(ИТОГ!A740=0,"",ИТОГ!A740)</f>
        <v/>
      </c>
      <c r="L740" s="26" t="str">
        <f t="shared" si="139"/>
        <v/>
      </c>
      <c r="M740" s="25" t="str">
        <f>IF(K740="","",ИТОГ!Q740)</f>
        <v/>
      </c>
      <c r="N740" s="28" t="str">
        <f>IF(K740="","",ИТОГ!N740)</f>
        <v/>
      </c>
      <c r="O740" s="30" t="str">
        <f t="shared" si="140"/>
        <v/>
      </c>
      <c r="P740" s="24"/>
      <c r="Q740" s="30" t="str">
        <f t="shared" si="141"/>
        <v/>
      </c>
      <c r="R740" s="29" t="str">
        <f t="shared" ca="1" si="142"/>
        <v/>
      </c>
    </row>
    <row r="741" spans="1:18">
      <c r="A741" s="23" t="str">
        <f t="shared" si="132"/>
        <v/>
      </c>
      <c r="B741" s="23" t="str">
        <f t="shared" si="133"/>
        <v/>
      </c>
      <c r="C741" s="29" t="str">
        <f t="shared" ca="1" si="134"/>
        <v/>
      </c>
      <c r="D741" s="22" t="str">
        <f>IF(K741="","",ИТОГ!S741)</f>
        <v/>
      </c>
      <c r="E741" s="24" t="str">
        <f t="shared" si="135"/>
        <v/>
      </c>
      <c r="F741" s="30" t="str">
        <f t="shared" si="136"/>
        <v/>
      </c>
      <c r="G741" s="25" t="str">
        <f t="shared" si="137"/>
        <v/>
      </c>
      <c r="H741" s="29" t="str">
        <f t="shared" ca="1" si="138"/>
        <v/>
      </c>
      <c r="I741" s="24"/>
      <c r="J741" s="30"/>
      <c r="K741" s="27" t="str">
        <f>IF(ИТОГ!A741=0,"",ИТОГ!A741)</f>
        <v/>
      </c>
      <c r="L741" s="26" t="str">
        <f t="shared" si="139"/>
        <v/>
      </c>
      <c r="M741" s="25" t="str">
        <f>IF(K741="","",ИТОГ!Q741)</f>
        <v/>
      </c>
      <c r="N741" s="28" t="str">
        <f>IF(K741="","",ИТОГ!N741)</f>
        <v/>
      </c>
      <c r="O741" s="30" t="str">
        <f t="shared" si="140"/>
        <v/>
      </c>
      <c r="P741" s="24"/>
      <c r="Q741" s="30" t="str">
        <f t="shared" si="141"/>
        <v/>
      </c>
      <c r="R741" s="29" t="str">
        <f t="shared" ca="1" si="142"/>
        <v/>
      </c>
    </row>
    <row r="742" spans="1:18">
      <c r="A742" s="23" t="str">
        <f t="shared" si="132"/>
        <v/>
      </c>
      <c r="B742" s="23" t="str">
        <f t="shared" si="133"/>
        <v/>
      </c>
      <c r="C742" s="29" t="str">
        <f t="shared" ca="1" si="134"/>
        <v/>
      </c>
      <c r="D742" s="22" t="str">
        <f>IF(K742="","",ИТОГ!S742)</f>
        <v/>
      </c>
      <c r="E742" s="24" t="str">
        <f t="shared" si="135"/>
        <v/>
      </c>
      <c r="F742" s="30" t="str">
        <f t="shared" si="136"/>
        <v/>
      </c>
      <c r="G742" s="25" t="str">
        <f t="shared" si="137"/>
        <v/>
      </c>
      <c r="H742" s="29" t="str">
        <f t="shared" ca="1" si="138"/>
        <v/>
      </c>
      <c r="I742" s="24"/>
      <c r="J742" s="30"/>
      <c r="K742" s="27" t="str">
        <f>IF(ИТОГ!A742=0,"",ИТОГ!A742)</f>
        <v/>
      </c>
      <c r="L742" s="26" t="str">
        <f t="shared" si="139"/>
        <v/>
      </c>
      <c r="M742" s="25" t="str">
        <f>IF(K742="","",ИТОГ!Q742)</f>
        <v/>
      </c>
      <c r="N742" s="28" t="str">
        <f>IF(K742="","",ИТОГ!N742)</f>
        <v/>
      </c>
      <c r="O742" s="30" t="str">
        <f t="shared" si="140"/>
        <v/>
      </c>
      <c r="P742" s="24"/>
      <c r="Q742" s="30" t="str">
        <f t="shared" si="141"/>
        <v/>
      </c>
      <c r="R742" s="29" t="str">
        <f t="shared" ca="1" si="142"/>
        <v/>
      </c>
    </row>
    <row r="743" spans="1:18">
      <c r="A743" s="23" t="str">
        <f t="shared" si="132"/>
        <v/>
      </c>
      <c r="B743" s="23" t="str">
        <f t="shared" si="133"/>
        <v/>
      </c>
      <c r="C743" s="29" t="str">
        <f t="shared" ca="1" si="134"/>
        <v/>
      </c>
      <c r="D743" s="22" t="str">
        <f>IF(K743="","",ИТОГ!S743)</f>
        <v/>
      </c>
      <c r="E743" s="24" t="str">
        <f t="shared" si="135"/>
        <v/>
      </c>
      <c r="F743" s="30" t="str">
        <f t="shared" si="136"/>
        <v/>
      </c>
      <c r="G743" s="25" t="str">
        <f t="shared" si="137"/>
        <v/>
      </c>
      <c r="H743" s="29" t="str">
        <f t="shared" ca="1" si="138"/>
        <v/>
      </c>
      <c r="I743" s="24"/>
      <c r="J743" s="30"/>
      <c r="K743" s="27" t="str">
        <f>IF(ИТОГ!A743=0,"",ИТОГ!A743)</f>
        <v/>
      </c>
      <c r="L743" s="26" t="str">
        <f t="shared" si="139"/>
        <v/>
      </c>
      <c r="M743" s="25" t="str">
        <f>IF(K743="","",ИТОГ!Q743)</f>
        <v/>
      </c>
      <c r="N743" s="28" t="str">
        <f>IF(K743="","",ИТОГ!N743)</f>
        <v/>
      </c>
      <c r="O743" s="30" t="str">
        <f t="shared" si="140"/>
        <v/>
      </c>
      <c r="P743" s="24"/>
      <c r="Q743" s="30" t="str">
        <f t="shared" si="141"/>
        <v/>
      </c>
      <c r="R743" s="29" t="str">
        <f t="shared" ca="1" si="142"/>
        <v/>
      </c>
    </row>
    <row r="744" spans="1:18">
      <c r="A744" s="23" t="str">
        <f t="shared" si="132"/>
        <v/>
      </c>
      <c r="B744" s="23" t="str">
        <f t="shared" si="133"/>
        <v/>
      </c>
      <c r="C744" s="29" t="str">
        <f t="shared" ca="1" si="134"/>
        <v/>
      </c>
      <c r="D744" s="22" t="str">
        <f>IF(K744="","",ИТОГ!S744)</f>
        <v/>
      </c>
      <c r="E744" s="24" t="str">
        <f t="shared" si="135"/>
        <v/>
      </c>
      <c r="F744" s="30" t="str">
        <f t="shared" si="136"/>
        <v/>
      </c>
      <c r="G744" s="25" t="str">
        <f t="shared" si="137"/>
        <v/>
      </c>
      <c r="H744" s="29" t="str">
        <f t="shared" ca="1" si="138"/>
        <v/>
      </c>
      <c r="I744" s="24"/>
      <c r="J744" s="30"/>
      <c r="K744" s="27" t="str">
        <f>IF(ИТОГ!A744=0,"",ИТОГ!A744)</f>
        <v/>
      </c>
      <c r="L744" s="26" t="str">
        <f t="shared" si="139"/>
        <v/>
      </c>
      <c r="M744" s="25" t="str">
        <f>IF(K744="","",ИТОГ!Q744)</f>
        <v/>
      </c>
      <c r="N744" s="28" t="str">
        <f>IF(K744="","",ИТОГ!N744)</f>
        <v/>
      </c>
      <c r="O744" s="30" t="str">
        <f t="shared" si="140"/>
        <v/>
      </c>
      <c r="P744" s="24"/>
      <c r="Q744" s="30" t="str">
        <f t="shared" si="141"/>
        <v/>
      </c>
      <c r="R744" s="29" t="str">
        <f t="shared" ca="1" si="142"/>
        <v/>
      </c>
    </row>
    <row r="745" spans="1:18">
      <c r="A745" s="23" t="str">
        <f t="shared" si="132"/>
        <v/>
      </c>
      <c r="B745" s="23" t="str">
        <f t="shared" si="133"/>
        <v/>
      </c>
      <c r="C745" s="29" t="str">
        <f t="shared" ca="1" si="134"/>
        <v/>
      </c>
      <c r="D745" s="22" t="str">
        <f>IF(K745="","",ИТОГ!S745)</f>
        <v/>
      </c>
      <c r="E745" s="24" t="str">
        <f t="shared" si="135"/>
        <v/>
      </c>
      <c r="F745" s="30" t="str">
        <f t="shared" si="136"/>
        <v/>
      </c>
      <c r="G745" s="25" t="str">
        <f t="shared" si="137"/>
        <v/>
      </c>
      <c r="H745" s="29" t="str">
        <f t="shared" ca="1" si="138"/>
        <v/>
      </c>
      <c r="I745" s="24"/>
      <c r="J745" s="30"/>
      <c r="K745" s="27" t="str">
        <f>IF(ИТОГ!A745=0,"",ИТОГ!A745)</f>
        <v/>
      </c>
      <c r="L745" s="26" t="str">
        <f t="shared" si="139"/>
        <v/>
      </c>
      <c r="M745" s="25" t="str">
        <f>IF(K745="","",ИТОГ!Q745)</f>
        <v/>
      </c>
      <c r="N745" s="28" t="str">
        <f>IF(K745="","",ИТОГ!N745)</f>
        <v/>
      </c>
      <c r="O745" s="30" t="str">
        <f t="shared" si="140"/>
        <v/>
      </c>
      <c r="P745" s="24"/>
      <c r="Q745" s="30" t="str">
        <f t="shared" si="141"/>
        <v/>
      </c>
      <c r="R745" s="29" t="str">
        <f t="shared" ca="1" si="142"/>
        <v/>
      </c>
    </row>
    <row r="746" spans="1:18">
      <c r="A746" s="23" t="str">
        <f t="shared" si="132"/>
        <v/>
      </c>
      <c r="B746" s="23" t="str">
        <f t="shared" si="133"/>
        <v/>
      </c>
      <c r="C746" s="29" t="str">
        <f t="shared" ca="1" si="134"/>
        <v/>
      </c>
      <c r="D746" s="22" t="str">
        <f>IF(K746="","",ИТОГ!S746)</f>
        <v/>
      </c>
      <c r="E746" s="24" t="str">
        <f t="shared" si="135"/>
        <v/>
      </c>
      <c r="F746" s="30" t="str">
        <f t="shared" si="136"/>
        <v/>
      </c>
      <c r="G746" s="25" t="str">
        <f t="shared" si="137"/>
        <v/>
      </c>
      <c r="H746" s="29" t="str">
        <f t="shared" ca="1" si="138"/>
        <v/>
      </c>
      <c r="I746" s="24"/>
      <c r="J746" s="30"/>
      <c r="K746" s="27" t="str">
        <f>IF(ИТОГ!A746=0,"",ИТОГ!A746)</f>
        <v/>
      </c>
      <c r="L746" s="26" t="str">
        <f t="shared" si="139"/>
        <v/>
      </c>
      <c r="M746" s="25" t="str">
        <f>IF(K746="","",ИТОГ!Q746)</f>
        <v/>
      </c>
      <c r="N746" s="28" t="str">
        <f>IF(K746="","",ИТОГ!N746)</f>
        <v/>
      </c>
      <c r="O746" s="30" t="str">
        <f t="shared" si="140"/>
        <v/>
      </c>
      <c r="P746" s="24"/>
      <c r="Q746" s="30" t="str">
        <f t="shared" si="141"/>
        <v/>
      </c>
      <c r="R746" s="29" t="str">
        <f t="shared" ca="1" si="142"/>
        <v/>
      </c>
    </row>
    <row r="747" spans="1:18">
      <c r="A747" s="23" t="str">
        <f t="shared" si="132"/>
        <v/>
      </c>
      <c r="B747" s="23" t="str">
        <f t="shared" si="133"/>
        <v/>
      </c>
      <c r="C747" s="29" t="str">
        <f t="shared" ca="1" si="134"/>
        <v/>
      </c>
      <c r="D747" s="22" t="str">
        <f>IF(K747="","",ИТОГ!S747)</f>
        <v/>
      </c>
      <c r="E747" s="24" t="str">
        <f t="shared" si="135"/>
        <v/>
      </c>
      <c r="F747" s="30" t="str">
        <f t="shared" si="136"/>
        <v/>
      </c>
      <c r="G747" s="25" t="str">
        <f t="shared" si="137"/>
        <v/>
      </c>
      <c r="H747" s="29" t="str">
        <f t="shared" ca="1" si="138"/>
        <v/>
      </c>
      <c r="I747" s="24"/>
      <c r="J747" s="30"/>
      <c r="K747" s="27" t="str">
        <f>IF(ИТОГ!A747=0,"",ИТОГ!A747)</f>
        <v/>
      </c>
      <c r="L747" s="26" t="str">
        <f t="shared" si="139"/>
        <v/>
      </c>
      <c r="M747" s="25" t="str">
        <f>IF(K747="","",ИТОГ!Q747)</f>
        <v/>
      </c>
      <c r="N747" s="28" t="str">
        <f>IF(K747="","",ИТОГ!N747)</f>
        <v/>
      </c>
      <c r="O747" s="30" t="str">
        <f t="shared" si="140"/>
        <v/>
      </c>
      <c r="P747" s="24"/>
      <c r="Q747" s="30" t="str">
        <f t="shared" si="141"/>
        <v/>
      </c>
      <c r="R747" s="29" t="str">
        <f t="shared" ca="1" si="142"/>
        <v/>
      </c>
    </row>
    <row r="748" spans="1:18">
      <c r="A748" s="23" t="str">
        <f t="shared" si="132"/>
        <v/>
      </c>
      <c r="B748" s="23" t="str">
        <f t="shared" si="133"/>
        <v/>
      </c>
      <c r="C748" s="29" t="str">
        <f t="shared" ca="1" si="134"/>
        <v/>
      </c>
      <c r="D748" s="22" t="str">
        <f>IF(K748="","",ИТОГ!S748)</f>
        <v/>
      </c>
      <c r="E748" s="24" t="str">
        <f t="shared" si="135"/>
        <v/>
      </c>
      <c r="F748" s="30" t="str">
        <f t="shared" si="136"/>
        <v/>
      </c>
      <c r="G748" s="25" t="str">
        <f t="shared" si="137"/>
        <v/>
      </c>
      <c r="H748" s="29" t="str">
        <f t="shared" ca="1" si="138"/>
        <v/>
      </c>
      <c r="I748" s="24"/>
      <c r="J748" s="30"/>
      <c r="K748" s="27" t="str">
        <f>IF(ИТОГ!A748=0,"",ИТОГ!A748)</f>
        <v/>
      </c>
      <c r="L748" s="26" t="str">
        <f t="shared" si="139"/>
        <v/>
      </c>
      <c r="M748" s="25" t="str">
        <f>IF(K748="","",ИТОГ!Q748)</f>
        <v/>
      </c>
      <c r="N748" s="28" t="str">
        <f>IF(K748="","",ИТОГ!N748)</f>
        <v/>
      </c>
      <c r="O748" s="30" t="str">
        <f t="shared" si="140"/>
        <v/>
      </c>
      <c r="P748" s="24"/>
      <c r="Q748" s="30" t="str">
        <f t="shared" si="141"/>
        <v/>
      </c>
      <c r="R748" s="29" t="str">
        <f t="shared" ca="1" si="142"/>
        <v/>
      </c>
    </row>
    <row r="749" spans="1:18">
      <c r="A749" s="23" t="str">
        <f t="shared" si="132"/>
        <v/>
      </c>
      <c r="B749" s="23" t="str">
        <f t="shared" si="133"/>
        <v/>
      </c>
      <c r="C749" s="29" t="str">
        <f t="shared" ca="1" si="134"/>
        <v/>
      </c>
      <c r="D749" s="22" t="str">
        <f>IF(K749="","",ИТОГ!S749)</f>
        <v/>
      </c>
      <c r="E749" s="24" t="str">
        <f t="shared" si="135"/>
        <v/>
      </c>
      <c r="F749" s="30" t="str">
        <f t="shared" si="136"/>
        <v/>
      </c>
      <c r="G749" s="25" t="str">
        <f t="shared" si="137"/>
        <v/>
      </c>
      <c r="H749" s="29" t="str">
        <f t="shared" ca="1" si="138"/>
        <v/>
      </c>
      <c r="I749" s="24"/>
      <c r="J749" s="30"/>
      <c r="K749" s="27" t="str">
        <f>IF(ИТОГ!A749=0,"",ИТОГ!A749)</f>
        <v/>
      </c>
      <c r="L749" s="26" t="str">
        <f t="shared" si="139"/>
        <v/>
      </c>
      <c r="M749" s="25" t="str">
        <f>IF(K749="","",ИТОГ!Q749)</f>
        <v/>
      </c>
      <c r="N749" s="28" t="str">
        <f>IF(K749="","",ИТОГ!N749)</f>
        <v/>
      </c>
      <c r="O749" s="30" t="str">
        <f t="shared" si="140"/>
        <v/>
      </c>
      <c r="P749" s="24"/>
      <c r="Q749" s="30" t="str">
        <f t="shared" si="141"/>
        <v/>
      </c>
      <c r="R749" s="29" t="str">
        <f t="shared" ca="1" si="142"/>
        <v/>
      </c>
    </row>
    <row r="750" spans="1:18">
      <c r="A750" s="23" t="str">
        <f t="shared" si="132"/>
        <v/>
      </c>
      <c r="B750" s="23" t="str">
        <f t="shared" si="133"/>
        <v/>
      </c>
      <c r="C750" s="29" t="str">
        <f t="shared" ca="1" si="134"/>
        <v/>
      </c>
      <c r="D750" s="22" t="str">
        <f>IF(K750="","",ИТОГ!S750)</f>
        <v/>
      </c>
      <c r="E750" s="24" t="str">
        <f t="shared" si="135"/>
        <v/>
      </c>
      <c r="F750" s="30" t="str">
        <f t="shared" si="136"/>
        <v/>
      </c>
      <c r="G750" s="25" t="str">
        <f t="shared" si="137"/>
        <v/>
      </c>
      <c r="H750" s="29" t="str">
        <f t="shared" ca="1" si="138"/>
        <v/>
      </c>
      <c r="I750" s="24"/>
      <c r="J750" s="30"/>
      <c r="K750" s="27" t="str">
        <f>IF(ИТОГ!A750=0,"",ИТОГ!A750)</f>
        <v/>
      </c>
      <c r="L750" s="26" t="str">
        <f t="shared" si="139"/>
        <v/>
      </c>
      <c r="M750" s="25" t="str">
        <f>IF(K750="","",ИТОГ!Q750)</f>
        <v/>
      </c>
      <c r="N750" s="28" t="str">
        <f>IF(K750="","",ИТОГ!N750)</f>
        <v/>
      </c>
      <c r="O750" s="30" t="str">
        <f t="shared" si="140"/>
        <v/>
      </c>
      <c r="P750" s="24"/>
      <c r="Q750" s="30" t="str">
        <f t="shared" si="141"/>
        <v/>
      </c>
      <c r="R750" s="29" t="str">
        <f t="shared" ca="1" si="142"/>
        <v/>
      </c>
    </row>
    <row r="751" spans="1:18">
      <c r="A751" s="23" t="str">
        <f t="shared" si="132"/>
        <v/>
      </c>
      <c r="B751" s="23" t="str">
        <f t="shared" si="133"/>
        <v/>
      </c>
      <c r="C751" s="29" t="str">
        <f t="shared" ca="1" si="134"/>
        <v/>
      </c>
      <c r="D751" s="22" t="str">
        <f>IF(K751="","",ИТОГ!S751)</f>
        <v/>
      </c>
      <c r="E751" s="24" t="str">
        <f t="shared" si="135"/>
        <v/>
      </c>
      <c r="F751" s="30" t="str">
        <f t="shared" si="136"/>
        <v/>
      </c>
      <c r="G751" s="25" t="str">
        <f t="shared" si="137"/>
        <v/>
      </c>
      <c r="H751" s="29" t="str">
        <f t="shared" ca="1" si="138"/>
        <v/>
      </c>
      <c r="I751" s="24"/>
      <c r="J751" s="30"/>
      <c r="K751" s="27" t="str">
        <f>IF(ИТОГ!A751=0,"",ИТОГ!A751)</f>
        <v/>
      </c>
      <c r="L751" s="26" t="str">
        <f t="shared" si="139"/>
        <v/>
      </c>
      <c r="M751" s="25" t="str">
        <f>IF(K751="","",ИТОГ!Q751)</f>
        <v/>
      </c>
      <c r="N751" s="28" t="str">
        <f>IF(K751="","",ИТОГ!N751)</f>
        <v/>
      </c>
      <c r="O751" s="30" t="str">
        <f t="shared" si="140"/>
        <v/>
      </c>
      <c r="P751" s="24"/>
      <c r="Q751" s="30" t="str">
        <f t="shared" si="141"/>
        <v/>
      </c>
      <c r="R751" s="29" t="str">
        <f t="shared" ca="1" si="142"/>
        <v/>
      </c>
    </row>
    <row r="752" spans="1:18">
      <c r="A752" s="23" t="str">
        <f t="shared" si="132"/>
        <v/>
      </c>
      <c r="B752" s="23" t="str">
        <f t="shared" si="133"/>
        <v/>
      </c>
      <c r="C752" s="29" t="str">
        <f t="shared" ca="1" si="134"/>
        <v/>
      </c>
      <c r="D752" s="22" t="str">
        <f>IF(K752="","",ИТОГ!S752)</f>
        <v/>
      </c>
      <c r="E752" s="24" t="str">
        <f t="shared" si="135"/>
        <v/>
      </c>
      <c r="F752" s="30" t="str">
        <f t="shared" si="136"/>
        <v/>
      </c>
      <c r="G752" s="25" t="str">
        <f t="shared" si="137"/>
        <v/>
      </c>
      <c r="H752" s="29" t="str">
        <f t="shared" ca="1" si="138"/>
        <v/>
      </c>
      <c r="I752" s="24"/>
      <c r="J752" s="30"/>
      <c r="K752" s="27" t="str">
        <f>IF(ИТОГ!A752=0,"",ИТОГ!A752)</f>
        <v/>
      </c>
      <c r="L752" s="26" t="str">
        <f t="shared" si="139"/>
        <v/>
      </c>
      <c r="M752" s="25" t="str">
        <f>IF(K752="","",ИТОГ!Q752)</f>
        <v/>
      </c>
      <c r="N752" s="28" t="str">
        <f>IF(K752="","",ИТОГ!N752)</f>
        <v/>
      </c>
      <c r="O752" s="30" t="str">
        <f t="shared" si="140"/>
        <v/>
      </c>
      <c r="P752" s="24"/>
      <c r="Q752" s="30" t="str">
        <f t="shared" si="141"/>
        <v/>
      </c>
      <c r="R752" s="29" t="str">
        <f t="shared" ca="1" si="142"/>
        <v/>
      </c>
    </row>
    <row r="753" spans="1:18">
      <c r="A753" s="23" t="str">
        <f t="shared" si="132"/>
        <v/>
      </c>
      <c r="B753" s="23" t="str">
        <f t="shared" si="133"/>
        <v/>
      </c>
      <c r="C753" s="29" t="str">
        <f t="shared" ca="1" si="134"/>
        <v/>
      </c>
      <c r="D753" s="22" t="str">
        <f>IF(K753="","",ИТОГ!S753)</f>
        <v/>
      </c>
      <c r="E753" s="24" t="str">
        <f t="shared" si="135"/>
        <v/>
      </c>
      <c r="F753" s="30" t="str">
        <f t="shared" si="136"/>
        <v/>
      </c>
      <c r="G753" s="25" t="str">
        <f t="shared" si="137"/>
        <v/>
      </c>
      <c r="H753" s="29" t="str">
        <f t="shared" ca="1" si="138"/>
        <v/>
      </c>
      <c r="I753" s="24"/>
      <c r="J753" s="30"/>
      <c r="K753" s="27" t="str">
        <f>IF(ИТОГ!A753=0,"",ИТОГ!A753)</f>
        <v/>
      </c>
      <c r="L753" s="26" t="str">
        <f t="shared" si="139"/>
        <v/>
      </c>
      <c r="M753" s="25" t="str">
        <f>IF(K753="","",ИТОГ!Q753)</f>
        <v/>
      </c>
      <c r="N753" s="28" t="str">
        <f>IF(K753="","",ИТОГ!N753)</f>
        <v/>
      </c>
      <c r="O753" s="30" t="str">
        <f t="shared" si="140"/>
        <v/>
      </c>
      <c r="P753" s="24"/>
      <c r="Q753" s="30" t="str">
        <f t="shared" si="141"/>
        <v/>
      </c>
      <c r="R753" s="29" t="str">
        <f t="shared" ca="1" si="142"/>
        <v/>
      </c>
    </row>
    <row r="754" spans="1:18">
      <c r="A754" s="23" t="str">
        <f t="shared" si="132"/>
        <v/>
      </c>
      <c r="B754" s="23" t="str">
        <f t="shared" si="133"/>
        <v/>
      </c>
      <c r="C754" s="29" t="str">
        <f t="shared" ca="1" si="134"/>
        <v/>
      </c>
      <c r="D754" s="22" t="str">
        <f>IF(K754="","",ИТОГ!S754)</f>
        <v/>
      </c>
      <c r="E754" s="24" t="str">
        <f t="shared" si="135"/>
        <v/>
      </c>
      <c r="F754" s="30" t="str">
        <f t="shared" si="136"/>
        <v/>
      </c>
      <c r="G754" s="25" t="str">
        <f t="shared" si="137"/>
        <v/>
      </c>
      <c r="H754" s="29" t="str">
        <f t="shared" ca="1" si="138"/>
        <v/>
      </c>
      <c r="I754" s="24"/>
      <c r="J754" s="30"/>
      <c r="K754" s="27" t="str">
        <f>IF(ИТОГ!A754=0,"",ИТОГ!A754)</f>
        <v/>
      </c>
      <c r="L754" s="26" t="str">
        <f t="shared" si="139"/>
        <v/>
      </c>
      <c r="M754" s="25" t="str">
        <f>IF(K754="","",ИТОГ!Q754)</f>
        <v/>
      </c>
      <c r="N754" s="28" t="str">
        <f>IF(K754="","",ИТОГ!N754)</f>
        <v/>
      </c>
      <c r="O754" s="30" t="str">
        <f t="shared" si="140"/>
        <v/>
      </c>
      <c r="P754" s="24"/>
      <c r="Q754" s="30" t="str">
        <f t="shared" si="141"/>
        <v/>
      </c>
      <c r="R754" s="29" t="str">
        <f t="shared" ca="1" si="142"/>
        <v/>
      </c>
    </row>
    <row r="755" spans="1:18">
      <c r="A755" s="23" t="str">
        <f t="shared" si="132"/>
        <v/>
      </c>
      <c r="B755" s="23" t="str">
        <f t="shared" si="133"/>
        <v/>
      </c>
      <c r="C755" s="29" t="str">
        <f t="shared" ca="1" si="134"/>
        <v/>
      </c>
      <c r="D755" s="22" t="str">
        <f>IF(K755="","",ИТОГ!S755)</f>
        <v/>
      </c>
      <c r="E755" s="24" t="str">
        <f t="shared" si="135"/>
        <v/>
      </c>
      <c r="F755" s="30" t="str">
        <f t="shared" si="136"/>
        <v/>
      </c>
      <c r="G755" s="25" t="str">
        <f t="shared" si="137"/>
        <v/>
      </c>
      <c r="H755" s="29" t="str">
        <f t="shared" ca="1" si="138"/>
        <v/>
      </c>
      <c r="I755" s="24"/>
      <c r="J755" s="30"/>
      <c r="K755" s="27" t="str">
        <f>IF(ИТОГ!A755=0,"",ИТОГ!A755)</f>
        <v/>
      </c>
      <c r="L755" s="26" t="str">
        <f t="shared" si="139"/>
        <v/>
      </c>
      <c r="M755" s="25" t="str">
        <f>IF(K755="","",ИТОГ!Q755)</f>
        <v/>
      </c>
      <c r="N755" s="28" t="str">
        <f>IF(K755="","",ИТОГ!N755)</f>
        <v/>
      </c>
      <c r="O755" s="30" t="str">
        <f t="shared" si="140"/>
        <v/>
      </c>
      <c r="P755" s="24"/>
      <c r="Q755" s="30" t="str">
        <f t="shared" si="141"/>
        <v/>
      </c>
      <c r="R755" s="29" t="str">
        <f t="shared" ca="1" si="142"/>
        <v/>
      </c>
    </row>
    <row r="756" spans="1:18">
      <c r="A756" s="23" t="str">
        <f t="shared" si="132"/>
        <v/>
      </c>
      <c r="B756" s="23" t="str">
        <f t="shared" si="133"/>
        <v/>
      </c>
      <c r="C756" s="29" t="str">
        <f t="shared" ca="1" si="134"/>
        <v/>
      </c>
      <c r="D756" s="22" t="str">
        <f>IF(K756="","",ИТОГ!S756)</f>
        <v/>
      </c>
      <c r="E756" s="24" t="str">
        <f t="shared" si="135"/>
        <v/>
      </c>
      <c r="F756" s="30" t="str">
        <f t="shared" si="136"/>
        <v/>
      </c>
      <c r="G756" s="25" t="str">
        <f t="shared" si="137"/>
        <v/>
      </c>
      <c r="H756" s="29" t="str">
        <f t="shared" ca="1" si="138"/>
        <v/>
      </c>
      <c r="I756" s="24"/>
      <c r="J756" s="30"/>
      <c r="K756" s="27" t="str">
        <f>IF(ИТОГ!A756=0,"",ИТОГ!A756)</f>
        <v/>
      </c>
      <c r="L756" s="26" t="str">
        <f t="shared" si="139"/>
        <v/>
      </c>
      <c r="M756" s="25" t="str">
        <f>IF(K756="","",ИТОГ!Q756)</f>
        <v/>
      </c>
      <c r="N756" s="28" t="str">
        <f>IF(K756="","",ИТОГ!N756)</f>
        <v/>
      </c>
      <c r="O756" s="30" t="str">
        <f t="shared" si="140"/>
        <v/>
      </c>
      <c r="P756" s="24"/>
      <c r="Q756" s="30" t="str">
        <f t="shared" si="141"/>
        <v/>
      </c>
      <c r="R756" s="29" t="str">
        <f t="shared" ca="1" si="142"/>
        <v/>
      </c>
    </row>
    <row r="757" spans="1:18">
      <c r="A757" s="23" t="str">
        <f t="shared" si="132"/>
        <v/>
      </c>
      <c r="B757" s="23" t="str">
        <f t="shared" si="133"/>
        <v/>
      </c>
      <c r="C757" s="29" t="str">
        <f t="shared" ca="1" si="134"/>
        <v/>
      </c>
      <c r="D757" s="22" t="str">
        <f>IF(K757="","",ИТОГ!S757)</f>
        <v/>
      </c>
      <c r="E757" s="24" t="str">
        <f t="shared" si="135"/>
        <v/>
      </c>
      <c r="F757" s="30" t="str">
        <f t="shared" si="136"/>
        <v/>
      </c>
      <c r="G757" s="25" t="str">
        <f t="shared" si="137"/>
        <v/>
      </c>
      <c r="H757" s="29" t="str">
        <f t="shared" ca="1" si="138"/>
        <v/>
      </c>
      <c r="I757" s="24"/>
      <c r="J757" s="30"/>
      <c r="K757" s="27" t="str">
        <f>IF(ИТОГ!A757=0,"",ИТОГ!A757)</f>
        <v/>
      </c>
      <c r="L757" s="26" t="str">
        <f t="shared" si="139"/>
        <v/>
      </c>
      <c r="M757" s="25" t="str">
        <f>IF(K757="","",ИТОГ!Q757)</f>
        <v/>
      </c>
      <c r="N757" s="28" t="str">
        <f>IF(K757="","",ИТОГ!N757)</f>
        <v/>
      </c>
      <c r="O757" s="30" t="str">
        <f t="shared" si="140"/>
        <v/>
      </c>
      <c r="P757" s="24"/>
      <c r="Q757" s="30" t="str">
        <f t="shared" si="141"/>
        <v/>
      </c>
      <c r="R757" s="29" t="str">
        <f t="shared" ca="1" si="142"/>
        <v/>
      </c>
    </row>
    <row r="758" spans="1:18">
      <c r="A758" s="23" t="str">
        <f t="shared" si="132"/>
        <v/>
      </c>
      <c r="B758" s="23" t="str">
        <f t="shared" si="133"/>
        <v/>
      </c>
      <c r="C758" s="29" t="str">
        <f t="shared" ca="1" si="134"/>
        <v/>
      </c>
      <c r="D758" s="22" t="str">
        <f>IF(K758="","",ИТОГ!S758)</f>
        <v/>
      </c>
      <c r="E758" s="24" t="str">
        <f t="shared" si="135"/>
        <v/>
      </c>
      <c r="F758" s="30" t="str">
        <f t="shared" si="136"/>
        <v/>
      </c>
      <c r="G758" s="25" t="str">
        <f t="shared" si="137"/>
        <v/>
      </c>
      <c r="H758" s="29" t="str">
        <f t="shared" ca="1" si="138"/>
        <v/>
      </c>
      <c r="I758" s="24"/>
      <c r="J758" s="30"/>
      <c r="K758" s="27" t="str">
        <f>IF(ИТОГ!A758=0,"",ИТОГ!A758)</f>
        <v/>
      </c>
      <c r="L758" s="26" t="str">
        <f t="shared" si="139"/>
        <v/>
      </c>
      <c r="M758" s="25" t="str">
        <f>IF(K758="","",ИТОГ!Q758)</f>
        <v/>
      </c>
      <c r="N758" s="28" t="str">
        <f>IF(K758="","",ИТОГ!N758)</f>
        <v/>
      </c>
      <c r="O758" s="30" t="str">
        <f t="shared" si="140"/>
        <v/>
      </c>
      <c r="P758" s="24"/>
      <c r="Q758" s="30" t="str">
        <f t="shared" si="141"/>
        <v/>
      </c>
      <c r="R758" s="29" t="str">
        <f t="shared" ca="1" si="142"/>
        <v/>
      </c>
    </row>
    <row r="759" spans="1:18">
      <c r="A759" s="23" t="str">
        <f t="shared" si="132"/>
        <v/>
      </c>
      <c r="B759" s="23" t="str">
        <f t="shared" si="133"/>
        <v/>
      </c>
      <c r="C759" s="29" t="str">
        <f t="shared" ca="1" si="134"/>
        <v/>
      </c>
      <c r="D759" s="22" t="str">
        <f>IF(K759="","",ИТОГ!S759)</f>
        <v/>
      </c>
      <c r="E759" s="24" t="str">
        <f t="shared" si="135"/>
        <v/>
      </c>
      <c r="F759" s="30" t="str">
        <f t="shared" si="136"/>
        <v/>
      </c>
      <c r="G759" s="25" t="str">
        <f t="shared" si="137"/>
        <v/>
      </c>
      <c r="H759" s="29" t="str">
        <f t="shared" ca="1" si="138"/>
        <v/>
      </c>
      <c r="I759" s="24"/>
      <c r="J759" s="30"/>
      <c r="K759" s="27" t="str">
        <f>IF(ИТОГ!A759=0,"",ИТОГ!A759)</f>
        <v/>
      </c>
      <c r="L759" s="26" t="str">
        <f t="shared" si="139"/>
        <v/>
      </c>
      <c r="M759" s="25" t="str">
        <f>IF(K759="","",ИТОГ!Q759)</f>
        <v/>
      </c>
      <c r="N759" s="28" t="str">
        <f>IF(K759="","",ИТОГ!N759)</f>
        <v/>
      </c>
      <c r="O759" s="30" t="str">
        <f t="shared" si="140"/>
        <v/>
      </c>
      <c r="P759" s="24"/>
      <c r="Q759" s="30" t="str">
        <f t="shared" si="141"/>
        <v/>
      </c>
      <c r="R759" s="29" t="str">
        <f t="shared" ca="1" si="142"/>
        <v/>
      </c>
    </row>
    <row r="760" spans="1:18">
      <c r="A760" s="23" t="str">
        <f t="shared" si="132"/>
        <v/>
      </c>
      <c r="B760" s="23" t="str">
        <f t="shared" si="133"/>
        <v/>
      </c>
      <c r="C760" s="29" t="str">
        <f t="shared" ca="1" si="134"/>
        <v/>
      </c>
      <c r="D760" s="22" t="str">
        <f>IF(K760="","",ИТОГ!S760)</f>
        <v/>
      </c>
      <c r="E760" s="24" t="str">
        <f t="shared" si="135"/>
        <v/>
      </c>
      <c r="F760" s="30" t="str">
        <f t="shared" si="136"/>
        <v/>
      </c>
      <c r="G760" s="25" t="str">
        <f t="shared" si="137"/>
        <v/>
      </c>
      <c r="H760" s="29" t="str">
        <f t="shared" ca="1" si="138"/>
        <v/>
      </c>
      <c r="I760" s="24"/>
      <c r="J760" s="30"/>
      <c r="K760" s="27" t="str">
        <f>IF(ИТОГ!A760=0,"",ИТОГ!A760)</f>
        <v/>
      </c>
      <c r="L760" s="26" t="str">
        <f t="shared" si="139"/>
        <v/>
      </c>
      <c r="M760" s="25" t="str">
        <f>IF(K760="","",ИТОГ!Q760)</f>
        <v/>
      </c>
      <c r="N760" s="28" t="str">
        <f>IF(K760="","",ИТОГ!N760)</f>
        <v/>
      </c>
      <c r="O760" s="30" t="str">
        <f t="shared" si="140"/>
        <v/>
      </c>
      <c r="P760" s="24"/>
      <c r="Q760" s="30" t="str">
        <f t="shared" si="141"/>
        <v/>
      </c>
      <c r="R760" s="29" t="str">
        <f t="shared" ca="1" si="142"/>
        <v/>
      </c>
    </row>
    <row r="761" spans="1:18">
      <c r="A761" s="23" t="str">
        <f t="shared" si="132"/>
        <v/>
      </c>
      <c r="B761" s="23" t="str">
        <f t="shared" si="133"/>
        <v/>
      </c>
      <c r="C761" s="29" t="str">
        <f t="shared" ca="1" si="134"/>
        <v/>
      </c>
      <c r="D761" s="22" t="str">
        <f>IF(K761="","",ИТОГ!S761)</f>
        <v/>
      </c>
      <c r="E761" s="24" t="str">
        <f t="shared" si="135"/>
        <v/>
      </c>
      <c r="F761" s="30" t="str">
        <f t="shared" si="136"/>
        <v/>
      </c>
      <c r="G761" s="25" t="str">
        <f t="shared" si="137"/>
        <v/>
      </c>
      <c r="H761" s="29" t="str">
        <f t="shared" ca="1" si="138"/>
        <v/>
      </c>
      <c r="I761" s="24"/>
      <c r="J761" s="30"/>
      <c r="K761" s="27" t="str">
        <f>IF(ИТОГ!A761=0,"",ИТОГ!A761)</f>
        <v/>
      </c>
      <c r="L761" s="26" t="str">
        <f t="shared" si="139"/>
        <v/>
      </c>
      <c r="M761" s="25" t="str">
        <f>IF(K761="","",ИТОГ!Q761)</f>
        <v/>
      </c>
      <c r="N761" s="28" t="str">
        <f>IF(K761="","",ИТОГ!N761)</f>
        <v/>
      </c>
      <c r="O761" s="30" t="str">
        <f t="shared" si="140"/>
        <v/>
      </c>
      <c r="P761" s="24"/>
      <c r="Q761" s="30" t="str">
        <f t="shared" si="141"/>
        <v/>
      </c>
      <c r="R761" s="29" t="str">
        <f t="shared" ca="1" si="142"/>
        <v/>
      </c>
    </row>
    <row r="762" spans="1:18">
      <c r="A762" s="23" t="str">
        <f t="shared" si="132"/>
        <v/>
      </c>
      <c r="B762" s="23" t="str">
        <f t="shared" si="133"/>
        <v/>
      </c>
      <c r="C762" s="29" t="str">
        <f t="shared" ca="1" si="134"/>
        <v/>
      </c>
      <c r="D762" s="22" t="str">
        <f>IF(K762="","",ИТОГ!S762)</f>
        <v/>
      </c>
      <c r="E762" s="24" t="str">
        <f t="shared" si="135"/>
        <v/>
      </c>
      <c r="F762" s="30" t="str">
        <f t="shared" si="136"/>
        <v/>
      </c>
      <c r="G762" s="25" t="str">
        <f t="shared" si="137"/>
        <v/>
      </c>
      <c r="H762" s="29" t="str">
        <f t="shared" ca="1" si="138"/>
        <v/>
      </c>
      <c r="I762" s="24"/>
      <c r="J762" s="30"/>
      <c r="K762" s="27" t="str">
        <f>IF(ИТОГ!A762=0,"",ИТОГ!A762)</f>
        <v/>
      </c>
      <c r="L762" s="26" t="str">
        <f t="shared" si="139"/>
        <v/>
      </c>
      <c r="M762" s="25" t="str">
        <f>IF(K762="","",ИТОГ!Q762)</f>
        <v/>
      </c>
      <c r="N762" s="28" t="str">
        <f>IF(K762="","",ИТОГ!N762)</f>
        <v/>
      </c>
      <c r="O762" s="30" t="str">
        <f t="shared" si="140"/>
        <v/>
      </c>
      <c r="P762" s="24"/>
      <c r="Q762" s="30" t="str">
        <f t="shared" si="141"/>
        <v/>
      </c>
      <c r="R762" s="29" t="str">
        <f t="shared" ca="1" si="142"/>
        <v/>
      </c>
    </row>
    <row r="763" spans="1:18">
      <c r="A763" s="23" t="str">
        <f t="shared" si="132"/>
        <v/>
      </c>
      <c r="B763" s="23" t="str">
        <f t="shared" si="133"/>
        <v/>
      </c>
      <c r="C763" s="29" t="str">
        <f t="shared" ca="1" si="134"/>
        <v/>
      </c>
      <c r="D763" s="22" t="str">
        <f>IF(K763="","",ИТОГ!S763)</f>
        <v/>
      </c>
      <c r="E763" s="24" t="str">
        <f t="shared" si="135"/>
        <v/>
      </c>
      <c r="F763" s="30" t="str">
        <f t="shared" si="136"/>
        <v/>
      </c>
      <c r="G763" s="25" t="str">
        <f t="shared" si="137"/>
        <v/>
      </c>
      <c r="H763" s="29" t="str">
        <f t="shared" ca="1" si="138"/>
        <v/>
      </c>
      <c r="I763" s="24"/>
      <c r="J763" s="30"/>
      <c r="K763" s="27" t="str">
        <f>IF(ИТОГ!A763=0,"",ИТОГ!A763)</f>
        <v/>
      </c>
      <c r="L763" s="26" t="str">
        <f t="shared" si="139"/>
        <v/>
      </c>
      <c r="M763" s="25" t="str">
        <f>IF(K763="","",ИТОГ!Q763)</f>
        <v/>
      </c>
      <c r="N763" s="28" t="str">
        <f>IF(K763="","",ИТОГ!N763)</f>
        <v/>
      </c>
      <c r="O763" s="30" t="str">
        <f t="shared" si="140"/>
        <v/>
      </c>
      <c r="P763" s="24"/>
      <c r="Q763" s="30" t="str">
        <f t="shared" si="141"/>
        <v/>
      </c>
      <c r="R763" s="29" t="str">
        <f t="shared" ca="1" si="142"/>
        <v/>
      </c>
    </row>
    <row r="764" spans="1:18">
      <c r="A764" s="23" t="str">
        <f t="shared" si="132"/>
        <v/>
      </c>
      <c r="B764" s="23" t="str">
        <f t="shared" si="133"/>
        <v/>
      </c>
      <c r="C764" s="29" t="str">
        <f t="shared" ca="1" si="134"/>
        <v/>
      </c>
      <c r="D764" s="22" t="str">
        <f>IF(K764="","",ИТОГ!S764)</f>
        <v/>
      </c>
      <c r="E764" s="24" t="str">
        <f t="shared" si="135"/>
        <v/>
      </c>
      <c r="F764" s="30" t="str">
        <f t="shared" si="136"/>
        <v/>
      </c>
      <c r="G764" s="25" t="str">
        <f t="shared" si="137"/>
        <v/>
      </c>
      <c r="H764" s="29" t="str">
        <f t="shared" ca="1" si="138"/>
        <v/>
      </c>
      <c r="I764" s="24"/>
      <c r="J764" s="30"/>
      <c r="K764" s="27" t="str">
        <f>IF(ИТОГ!A764=0,"",ИТОГ!A764)</f>
        <v/>
      </c>
      <c r="L764" s="26" t="str">
        <f t="shared" si="139"/>
        <v/>
      </c>
      <c r="M764" s="25" t="str">
        <f>IF(K764="","",ИТОГ!Q764)</f>
        <v/>
      </c>
      <c r="N764" s="28" t="str">
        <f>IF(K764="","",ИТОГ!N764)</f>
        <v/>
      </c>
      <c r="O764" s="30" t="str">
        <f t="shared" si="140"/>
        <v/>
      </c>
      <c r="P764" s="24"/>
      <c r="Q764" s="30" t="str">
        <f t="shared" si="141"/>
        <v/>
      </c>
      <c r="R764" s="29" t="str">
        <f t="shared" ca="1" si="142"/>
        <v/>
      </c>
    </row>
    <row r="765" spans="1:18">
      <c r="A765" s="23" t="str">
        <f t="shared" si="132"/>
        <v/>
      </c>
      <c r="B765" s="23" t="str">
        <f t="shared" si="133"/>
        <v/>
      </c>
      <c r="C765" s="29" t="str">
        <f t="shared" ca="1" si="134"/>
        <v/>
      </c>
      <c r="D765" s="22" t="str">
        <f>IF(K765="","",ИТОГ!S765)</f>
        <v/>
      </c>
      <c r="E765" s="24" t="str">
        <f t="shared" si="135"/>
        <v/>
      </c>
      <c r="F765" s="30" t="str">
        <f t="shared" si="136"/>
        <v/>
      </c>
      <c r="G765" s="25" t="str">
        <f t="shared" si="137"/>
        <v/>
      </c>
      <c r="H765" s="29" t="str">
        <f t="shared" ca="1" si="138"/>
        <v/>
      </c>
      <c r="I765" s="24"/>
      <c r="J765" s="30"/>
      <c r="K765" s="27" t="str">
        <f>IF(ИТОГ!A765=0,"",ИТОГ!A765)</f>
        <v/>
      </c>
      <c r="L765" s="26" t="str">
        <f t="shared" si="139"/>
        <v/>
      </c>
      <c r="M765" s="25" t="str">
        <f>IF(K765="","",ИТОГ!Q765)</f>
        <v/>
      </c>
      <c r="N765" s="28" t="str">
        <f>IF(K765="","",ИТОГ!N765)</f>
        <v/>
      </c>
      <c r="O765" s="30" t="str">
        <f t="shared" si="140"/>
        <v/>
      </c>
      <c r="P765" s="24"/>
      <c r="Q765" s="30" t="str">
        <f t="shared" si="141"/>
        <v/>
      </c>
      <c r="R765" s="29" t="str">
        <f t="shared" ca="1" si="142"/>
        <v/>
      </c>
    </row>
    <row r="766" spans="1:18">
      <c r="A766" s="23" t="str">
        <f t="shared" si="132"/>
        <v/>
      </c>
      <c r="B766" s="23" t="str">
        <f t="shared" si="133"/>
        <v/>
      </c>
      <c r="C766" s="29" t="str">
        <f t="shared" ca="1" si="134"/>
        <v/>
      </c>
      <c r="D766" s="22" t="str">
        <f>IF(K766="","",ИТОГ!S766)</f>
        <v/>
      </c>
      <c r="E766" s="24" t="str">
        <f t="shared" si="135"/>
        <v/>
      </c>
      <c r="F766" s="30" t="str">
        <f t="shared" si="136"/>
        <v/>
      </c>
      <c r="G766" s="25" t="str">
        <f t="shared" si="137"/>
        <v/>
      </c>
      <c r="H766" s="29" t="str">
        <f t="shared" ca="1" si="138"/>
        <v/>
      </c>
      <c r="I766" s="24"/>
      <c r="J766" s="30"/>
      <c r="K766" s="27" t="str">
        <f>IF(ИТОГ!A766=0,"",ИТОГ!A766)</f>
        <v/>
      </c>
      <c r="L766" s="26" t="str">
        <f t="shared" si="139"/>
        <v/>
      </c>
      <c r="M766" s="25" t="str">
        <f>IF(K766="","",ИТОГ!Q766)</f>
        <v/>
      </c>
      <c r="N766" s="28" t="str">
        <f>IF(K766="","",ИТОГ!N766)</f>
        <v/>
      </c>
      <c r="O766" s="30" t="str">
        <f t="shared" si="140"/>
        <v/>
      </c>
      <c r="P766" s="24"/>
      <c r="Q766" s="30" t="str">
        <f t="shared" si="141"/>
        <v/>
      </c>
      <c r="R766" s="29" t="str">
        <f t="shared" ca="1" si="142"/>
        <v/>
      </c>
    </row>
    <row r="767" spans="1:18">
      <c r="A767" s="23" t="str">
        <f t="shared" si="132"/>
        <v/>
      </c>
      <c r="B767" s="23" t="str">
        <f t="shared" si="133"/>
        <v/>
      </c>
      <c r="C767" s="29" t="str">
        <f t="shared" ca="1" si="134"/>
        <v/>
      </c>
      <c r="D767" s="22" t="str">
        <f>IF(K767="","",ИТОГ!S767)</f>
        <v/>
      </c>
      <c r="E767" s="24" t="str">
        <f t="shared" si="135"/>
        <v/>
      </c>
      <c r="F767" s="30" t="str">
        <f t="shared" si="136"/>
        <v/>
      </c>
      <c r="G767" s="25" t="str">
        <f t="shared" si="137"/>
        <v/>
      </c>
      <c r="H767" s="29" t="str">
        <f t="shared" ca="1" si="138"/>
        <v/>
      </c>
      <c r="I767" s="24"/>
      <c r="J767" s="30"/>
      <c r="K767" s="27" t="str">
        <f>IF(ИТОГ!A767=0,"",ИТОГ!A767)</f>
        <v/>
      </c>
      <c r="L767" s="26" t="str">
        <f t="shared" si="139"/>
        <v/>
      </c>
      <c r="M767" s="25" t="str">
        <f>IF(K767="","",ИТОГ!Q767)</f>
        <v/>
      </c>
      <c r="N767" s="28" t="str">
        <f>IF(K767="","",ИТОГ!N767)</f>
        <v/>
      </c>
      <c r="O767" s="30" t="str">
        <f t="shared" si="140"/>
        <v/>
      </c>
      <c r="P767" s="24"/>
      <c r="Q767" s="30" t="str">
        <f t="shared" si="141"/>
        <v/>
      </c>
      <c r="R767" s="29" t="str">
        <f t="shared" ca="1" si="142"/>
        <v/>
      </c>
    </row>
    <row r="768" spans="1:18">
      <c r="A768" s="23" t="str">
        <f t="shared" si="132"/>
        <v/>
      </c>
      <c r="B768" s="23" t="str">
        <f t="shared" si="133"/>
        <v/>
      </c>
      <c r="C768" s="29" t="str">
        <f t="shared" ca="1" si="134"/>
        <v/>
      </c>
      <c r="D768" s="22" t="str">
        <f>IF(K768="","",ИТОГ!S768)</f>
        <v/>
      </c>
      <c r="E768" s="24" t="str">
        <f t="shared" si="135"/>
        <v/>
      </c>
      <c r="F768" s="30" t="str">
        <f t="shared" si="136"/>
        <v/>
      </c>
      <c r="G768" s="25" t="str">
        <f t="shared" si="137"/>
        <v/>
      </c>
      <c r="H768" s="29" t="str">
        <f t="shared" ca="1" si="138"/>
        <v/>
      </c>
      <c r="I768" s="24"/>
      <c r="J768" s="30"/>
      <c r="K768" s="27" t="str">
        <f>IF(ИТОГ!A768=0,"",ИТОГ!A768)</f>
        <v/>
      </c>
      <c r="L768" s="26" t="str">
        <f t="shared" si="139"/>
        <v/>
      </c>
      <c r="M768" s="25" t="str">
        <f>IF(K768="","",ИТОГ!Q768)</f>
        <v/>
      </c>
      <c r="N768" s="28" t="str">
        <f>IF(K768="","",ИТОГ!N768)</f>
        <v/>
      </c>
      <c r="O768" s="30" t="str">
        <f t="shared" si="140"/>
        <v/>
      </c>
      <c r="P768" s="24"/>
      <c r="Q768" s="30" t="str">
        <f t="shared" si="141"/>
        <v/>
      </c>
      <c r="R768" s="29" t="str">
        <f t="shared" ca="1" si="142"/>
        <v/>
      </c>
    </row>
    <row r="769" spans="1:18">
      <c r="A769" s="23" t="str">
        <f t="shared" si="132"/>
        <v/>
      </c>
      <c r="B769" s="23" t="str">
        <f t="shared" si="133"/>
        <v/>
      </c>
      <c r="C769" s="29" t="str">
        <f t="shared" ca="1" si="134"/>
        <v/>
      </c>
      <c r="D769" s="22" t="str">
        <f>IF(K769="","",ИТОГ!S769)</f>
        <v/>
      </c>
      <c r="E769" s="24" t="str">
        <f t="shared" si="135"/>
        <v/>
      </c>
      <c r="F769" s="30" t="str">
        <f t="shared" si="136"/>
        <v/>
      </c>
      <c r="G769" s="25" t="str">
        <f t="shared" si="137"/>
        <v/>
      </c>
      <c r="H769" s="29" t="str">
        <f t="shared" ca="1" si="138"/>
        <v/>
      </c>
      <c r="I769" s="24"/>
      <c r="J769" s="30"/>
      <c r="K769" s="27" t="str">
        <f>IF(ИТОГ!A769=0,"",ИТОГ!A769)</f>
        <v/>
      </c>
      <c r="L769" s="26" t="str">
        <f t="shared" si="139"/>
        <v/>
      </c>
      <c r="M769" s="25" t="str">
        <f>IF(K769="","",ИТОГ!Q769)</f>
        <v/>
      </c>
      <c r="N769" s="28" t="str">
        <f>IF(K769="","",ИТОГ!N769)</f>
        <v/>
      </c>
      <c r="O769" s="30" t="str">
        <f t="shared" si="140"/>
        <v/>
      </c>
      <c r="P769" s="24"/>
      <c r="Q769" s="30" t="str">
        <f t="shared" si="141"/>
        <v/>
      </c>
      <c r="R769" s="29" t="str">
        <f t="shared" ca="1" si="142"/>
        <v/>
      </c>
    </row>
    <row r="770" spans="1:18">
      <c r="A770" s="23" t="str">
        <f t="shared" si="132"/>
        <v/>
      </c>
      <c r="B770" s="23" t="str">
        <f t="shared" si="133"/>
        <v/>
      </c>
      <c r="C770" s="29" t="str">
        <f t="shared" ca="1" si="134"/>
        <v/>
      </c>
      <c r="D770" s="22" t="str">
        <f>IF(K770="","",ИТОГ!S770)</f>
        <v/>
      </c>
      <c r="E770" s="24" t="str">
        <f t="shared" si="135"/>
        <v/>
      </c>
      <c r="F770" s="30" t="str">
        <f t="shared" si="136"/>
        <v/>
      </c>
      <c r="G770" s="25" t="str">
        <f t="shared" si="137"/>
        <v/>
      </c>
      <c r="H770" s="29" t="str">
        <f t="shared" ca="1" si="138"/>
        <v/>
      </c>
      <c r="I770" s="24"/>
      <c r="J770" s="30"/>
      <c r="K770" s="27" t="str">
        <f>IF(ИТОГ!A770=0,"",ИТОГ!A770)</f>
        <v/>
      </c>
      <c r="L770" s="26" t="str">
        <f t="shared" si="139"/>
        <v/>
      </c>
      <c r="M770" s="25" t="str">
        <f>IF(K770="","",ИТОГ!Q770)</f>
        <v/>
      </c>
      <c r="N770" s="28" t="str">
        <f>IF(K770="","",ИТОГ!N770)</f>
        <v/>
      </c>
      <c r="O770" s="30" t="str">
        <f t="shared" si="140"/>
        <v/>
      </c>
      <c r="P770" s="24"/>
      <c r="Q770" s="30" t="str">
        <f t="shared" si="141"/>
        <v/>
      </c>
      <c r="R770" s="29" t="str">
        <f t="shared" ca="1" si="142"/>
        <v/>
      </c>
    </row>
    <row r="771" spans="1:18">
      <c r="A771" s="23" t="str">
        <f t="shared" si="132"/>
        <v/>
      </c>
      <c r="B771" s="23" t="str">
        <f t="shared" si="133"/>
        <v/>
      </c>
      <c r="C771" s="29" t="str">
        <f t="shared" ca="1" si="134"/>
        <v/>
      </c>
      <c r="D771" s="22" t="str">
        <f>IF(K771="","",ИТОГ!S771)</f>
        <v/>
      </c>
      <c r="E771" s="24" t="str">
        <f t="shared" si="135"/>
        <v/>
      </c>
      <c r="F771" s="30" t="str">
        <f t="shared" si="136"/>
        <v/>
      </c>
      <c r="G771" s="25" t="str">
        <f t="shared" si="137"/>
        <v/>
      </c>
      <c r="H771" s="29" t="str">
        <f t="shared" ca="1" si="138"/>
        <v/>
      </c>
      <c r="I771" s="24"/>
      <c r="J771" s="30"/>
      <c r="K771" s="27" t="str">
        <f>IF(ИТОГ!A771=0,"",ИТОГ!A771)</f>
        <v/>
      </c>
      <c r="L771" s="26" t="str">
        <f t="shared" si="139"/>
        <v/>
      </c>
      <c r="M771" s="25" t="str">
        <f>IF(K771="","",ИТОГ!Q771)</f>
        <v/>
      </c>
      <c r="N771" s="28" t="str">
        <f>IF(K771="","",ИТОГ!N771)</f>
        <v/>
      </c>
      <c r="O771" s="30" t="str">
        <f t="shared" si="140"/>
        <v/>
      </c>
      <c r="P771" s="24"/>
      <c r="Q771" s="30" t="str">
        <f t="shared" si="141"/>
        <v/>
      </c>
      <c r="R771" s="29" t="str">
        <f t="shared" ca="1" si="142"/>
        <v/>
      </c>
    </row>
    <row r="772" spans="1:18">
      <c r="A772" s="23" t="str">
        <f t="shared" si="132"/>
        <v/>
      </c>
      <c r="B772" s="23" t="str">
        <f t="shared" si="133"/>
        <v/>
      </c>
      <c r="C772" s="29" t="str">
        <f t="shared" ca="1" si="134"/>
        <v/>
      </c>
      <c r="D772" s="22" t="str">
        <f>IF(K772="","",ИТОГ!S772)</f>
        <v/>
      </c>
      <c r="E772" s="24" t="str">
        <f t="shared" si="135"/>
        <v/>
      </c>
      <c r="F772" s="30" t="str">
        <f t="shared" si="136"/>
        <v/>
      </c>
      <c r="G772" s="25" t="str">
        <f t="shared" si="137"/>
        <v/>
      </c>
      <c r="H772" s="29" t="str">
        <f t="shared" ca="1" si="138"/>
        <v/>
      </c>
      <c r="I772" s="24"/>
      <c r="J772" s="30"/>
      <c r="K772" s="27" t="str">
        <f>IF(ИТОГ!A772=0,"",ИТОГ!A772)</f>
        <v/>
      </c>
      <c r="L772" s="26" t="str">
        <f t="shared" si="139"/>
        <v/>
      </c>
      <c r="M772" s="25" t="str">
        <f>IF(K772="","",ИТОГ!Q772)</f>
        <v/>
      </c>
      <c r="N772" s="28" t="str">
        <f>IF(K772="","",ИТОГ!N772)</f>
        <v/>
      </c>
      <c r="O772" s="30" t="str">
        <f t="shared" si="140"/>
        <v/>
      </c>
      <c r="P772" s="24"/>
      <c r="Q772" s="30" t="str">
        <f t="shared" si="141"/>
        <v/>
      </c>
      <c r="R772" s="29" t="str">
        <f t="shared" ca="1" si="142"/>
        <v/>
      </c>
    </row>
    <row r="773" spans="1:18">
      <c r="A773" s="23" t="str">
        <f t="shared" si="132"/>
        <v/>
      </c>
      <c r="B773" s="23" t="str">
        <f t="shared" si="133"/>
        <v/>
      </c>
      <c r="C773" s="29" t="str">
        <f t="shared" ca="1" si="134"/>
        <v/>
      </c>
      <c r="D773" s="22" t="str">
        <f>IF(K773="","",ИТОГ!S773)</f>
        <v/>
      </c>
      <c r="E773" s="24" t="str">
        <f t="shared" si="135"/>
        <v/>
      </c>
      <c r="F773" s="30" t="str">
        <f t="shared" si="136"/>
        <v/>
      </c>
      <c r="G773" s="25" t="str">
        <f t="shared" si="137"/>
        <v/>
      </c>
      <c r="H773" s="29" t="str">
        <f t="shared" ca="1" si="138"/>
        <v/>
      </c>
      <c r="I773" s="24"/>
      <c r="J773" s="30"/>
      <c r="K773" s="27" t="str">
        <f>IF(ИТОГ!A773=0,"",ИТОГ!A773)</f>
        <v/>
      </c>
      <c r="L773" s="26" t="str">
        <f t="shared" si="139"/>
        <v/>
      </c>
      <c r="M773" s="25" t="str">
        <f>IF(K773="","",ИТОГ!Q773)</f>
        <v/>
      </c>
      <c r="N773" s="28" t="str">
        <f>IF(K773="","",ИТОГ!N773)</f>
        <v/>
      </c>
      <c r="O773" s="30" t="str">
        <f t="shared" si="140"/>
        <v/>
      </c>
      <c r="P773" s="24"/>
      <c r="Q773" s="30" t="str">
        <f t="shared" si="141"/>
        <v/>
      </c>
      <c r="R773" s="29" t="str">
        <f t="shared" ca="1" si="142"/>
        <v/>
      </c>
    </row>
    <row r="774" spans="1:18">
      <c r="A774" s="23" t="str">
        <f t="shared" si="132"/>
        <v/>
      </c>
      <c r="B774" s="23" t="str">
        <f t="shared" si="133"/>
        <v/>
      </c>
      <c r="C774" s="29" t="str">
        <f t="shared" ca="1" si="134"/>
        <v/>
      </c>
      <c r="D774" s="22" t="str">
        <f>IF(K774="","",ИТОГ!S774)</f>
        <v/>
      </c>
      <c r="E774" s="24" t="str">
        <f t="shared" si="135"/>
        <v/>
      </c>
      <c r="F774" s="30" t="str">
        <f t="shared" si="136"/>
        <v/>
      </c>
      <c r="G774" s="25" t="str">
        <f t="shared" si="137"/>
        <v/>
      </c>
      <c r="H774" s="29" t="str">
        <f t="shared" ca="1" si="138"/>
        <v/>
      </c>
      <c r="I774" s="24"/>
      <c r="J774" s="30"/>
      <c r="K774" s="27" t="str">
        <f>IF(ИТОГ!A774=0,"",ИТОГ!A774)</f>
        <v/>
      </c>
      <c r="L774" s="26" t="str">
        <f t="shared" si="139"/>
        <v/>
      </c>
      <c r="M774" s="25" t="str">
        <f>IF(K774="","",ИТОГ!Q774)</f>
        <v/>
      </c>
      <c r="N774" s="28" t="str">
        <f>IF(K774="","",ИТОГ!N774)</f>
        <v/>
      </c>
      <c r="O774" s="30" t="str">
        <f t="shared" si="140"/>
        <v/>
      </c>
      <c r="P774" s="24"/>
      <c r="Q774" s="30" t="str">
        <f t="shared" si="141"/>
        <v/>
      </c>
      <c r="R774" s="29" t="str">
        <f t="shared" ca="1" si="142"/>
        <v/>
      </c>
    </row>
    <row r="775" spans="1:18">
      <c r="A775" s="23" t="str">
        <f t="shared" si="132"/>
        <v/>
      </c>
      <c r="B775" s="23" t="str">
        <f t="shared" si="133"/>
        <v/>
      </c>
      <c r="C775" s="29" t="str">
        <f t="shared" ca="1" si="134"/>
        <v/>
      </c>
      <c r="D775" s="22" t="str">
        <f>IF(K775="","",ИТОГ!S775)</f>
        <v/>
      </c>
      <c r="E775" s="24" t="str">
        <f t="shared" si="135"/>
        <v/>
      </c>
      <c r="F775" s="30" t="str">
        <f t="shared" si="136"/>
        <v/>
      </c>
      <c r="G775" s="25" t="str">
        <f t="shared" si="137"/>
        <v/>
      </c>
      <c r="H775" s="29" t="str">
        <f t="shared" ca="1" si="138"/>
        <v/>
      </c>
      <c r="I775" s="24"/>
      <c r="J775" s="30"/>
      <c r="K775" s="27" t="str">
        <f>IF(ИТОГ!A775=0,"",ИТОГ!A775)</f>
        <v/>
      </c>
      <c r="L775" s="26" t="str">
        <f t="shared" si="139"/>
        <v/>
      </c>
      <c r="M775" s="25" t="str">
        <f>IF(K775="","",ИТОГ!Q775)</f>
        <v/>
      </c>
      <c r="N775" s="28" t="str">
        <f>IF(K775="","",ИТОГ!N775)</f>
        <v/>
      </c>
      <c r="O775" s="30" t="str">
        <f t="shared" si="140"/>
        <v/>
      </c>
      <c r="P775" s="24"/>
      <c r="Q775" s="30" t="str">
        <f t="shared" si="141"/>
        <v/>
      </c>
      <c r="R775" s="29" t="str">
        <f t="shared" ca="1" si="142"/>
        <v/>
      </c>
    </row>
    <row r="776" spans="1:18">
      <c r="A776" s="23" t="str">
        <f t="shared" si="132"/>
        <v/>
      </c>
      <c r="B776" s="23" t="str">
        <f t="shared" si="133"/>
        <v/>
      </c>
      <c r="C776" s="29" t="str">
        <f t="shared" ca="1" si="134"/>
        <v/>
      </c>
      <c r="D776" s="22" t="str">
        <f>IF(K776="","",ИТОГ!S776)</f>
        <v/>
      </c>
      <c r="E776" s="24" t="str">
        <f t="shared" si="135"/>
        <v/>
      </c>
      <c r="F776" s="30" t="str">
        <f t="shared" si="136"/>
        <v/>
      </c>
      <c r="G776" s="25" t="str">
        <f t="shared" si="137"/>
        <v/>
      </c>
      <c r="H776" s="29" t="str">
        <f t="shared" ca="1" si="138"/>
        <v/>
      </c>
      <c r="I776" s="24"/>
      <c r="J776" s="30"/>
      <c r="K776" s="27" t="str">
        <f>IF(ИТОГ!A776=0,"",ИТОГ!A776)</f>
        <v/>
      </c>
      <c r="L776" s="26" t="str">
        <f t="shared" si="139"/>
        <v/>
      </c>
      <c r="M776" s="25" t="str">
        <f>IF(K776="","",ИТОГ!Q776)</f>
        <v/>
      </c>
      <c r="N776" s="28" t="str">
        <f>IF(K776="","",ИТОГ!N776)</f>
        <v/>
      </c>
      <c r="O776" s="30" t="str">
        <f t="shared" si="140"/>
        <v/>
      </c>
      <c r="P776" s="24"/>
      <c r="Q776" s="30" t="str">
        <f t="shared" si="141"/>
        <v/>
      </c>
      <c r="R776" s="29" t="str">
        <f t="shared" ca="1" si="142"/>
        <v/>
      </c>
    </row>
    <row r="777" spans="1:18">
      <c r="A777" s="23" t="str">
        <f t="shared" si="132"/>
        <v/>
      </c>
      <c r="B777" s="23" t="str">
        <f t="shared" si="133"/>
        <v/>
      </c>
      <c r="C777" s="29" t="str">
        <f t="shared" ca="1" si="134"/>
        <v/>
      </c>
      <c r="D777" s="22" t="str">
        <f>IF(K777="","",ИТОГ!S777)</f>
        <v/>
      </c>
      <c r="E777" s="24" t="str">
        <f t="shared" si="135"/>
        <v/>
      </c>
      <c r="F777" s="30" t="str">
        <f t="shared" si="136"/>
        <v/>
      </c>
      <c r="G777" s="25" t="str">
        <f t="shared" si="137"/>
        <v/>
      </c>
      <c r="H777" s="29" t="str">
        <f t="shared" ca="1" si="138"/>
        <v/>
      </c>
      <c r="I777" s="24"/>
      <c r="J777" s="30"/>
      <c r="K777" s="27" t="str">
        <f>IF(ИТОГ!A777=0,"",ИТОГ!A777)</f>
        <v/>
      </c>
      <c r="L777" s="26" t="str">
        <f t="shared" si="139"/>
        <v/>
      </c>
      <c r="M777" s="25" t="str">
        <f>IF(K777="","",ИТОГ!Q777)</f>
        <v/>
      </c>
      <c r="N777" s="28" t="str">
        <f>IF(K777="","",ИТОГ!N777)</f>
        <v/>
      </c>
      <c r="O777" s="30" t="str">
        <f t="shared" si="140"/>
        <v/>
      </c>
      <c r="P777" s="24"/>
      <c r="Q777" s="30" t="str">
        <f t="shared" si="141"/>
        <v/>
      </c>
      <c r="R777" s="29" t="str">
        <f t="shared" ca="1" si="142"/>
        <v/>
      </c>
    </row>
    <row r="778" spans="1:18">
      <c r="A778" s="23" t="str">
        <f t="shared" si="132"/>
        <v/>
      </c>
      <c r="B778" s="23" t="str">
        <f t="shared" si="133"/>
        <v/>
      </c>
      <c r="C778" s="29" t="str">
        <f t="shared" ca="1" si="134"/>
        <v/>
      </c>
      <c r="D778" s="22" t="str">
        <f>IF(K778="","",ИТОГ!S778)</f>
        <v/>
      </c>
      <c r="E778" s="24" t="str">
        <f t="shared" si="135"/>
        <v/>
      </c>
      <c r="F778" s="30" t="str">
        <f t="shared" si="136"/>
        <v/>
      </c>
      <c r="G778" s="25" t="str">
        <f t="shared" si="137"/>
        <v/>
      </c>
      <c r="H778" s="29" t="str">
        <f t="shared" ca="1" si="138"/>
        <v/>
      </c>
      <c r="I778" s="24"/>
      <c r="J778" s="30"/>
      <c r="K778" s="27" t="str">
        <f>IF(ИТОГ!A778=0,"",ИТОГ!A778)</f>
        <v/>
      </c>
      <c r="L778" s="26" t="str">
        <f t="shared" si="139"/>
        <v/>
      </c>
      <c r="M778" s="25" t="str">
        <f>IF(K778="","",ИТОГ!Q778)</f>
        <v/>
      </c>
      <c r="N778" s="28" t="str">
        <f>IF(K778="","",ИТОГ!N778)</f>
        <v/>
      </c>
      <c r="O778" s="30" t="str">
        <f t="shared" si="140"/>
        <v/>
      </c>
      <c r="P778" s="24"/>
      <c r="Q778" s="30" t="str">
        <f t="shared" si="141"/>
        <v/>
      </c>
      <c r="R778" s="29" t="str">
        <f t="shared" ca="1" si="142"/>
        <v/>
      </c>
    </row>
    <row r="779" spans="1:18">
      <c r="A779" s="23" t="str">
        <f t="shared" si="132"/>
        <v/>
      </c>
      <c r="B779" s="23" t="str">
        <f t="shared" si="133"/>
        <v/>
      </c>
      <c r="C779" s="29" t="str">
        <f t="shared" ca="1" si="134"/>
        <v/>
      </c>
      <c r="D779" s="22" t="str">
        <f>IF(K779="","",ИТОГ!S779)</f>
        <v/>
      </c>
      <c r="E779" s="24" t="str">
        <f t="shared" si="135"/>
        <v/>
      </c>
      <c r="F779" s="30" t="str">
        <f t="shared" si="136"/>
        <v/>
      </c>
      <c r="G779" s="25" t="str">
        <f t="shared" si="137"/>
        <v/>
      </c>
      <c r="H779" s="29" t="str">
        <f t="shared" ca="1" si="138"/>
        <v/>
      </c>
      <c r="I779" s="24"/>
      <c r="J779" s="30"/>
      <c r="K779" s="27" t="str">
        <f>IF(ИТОГ!A779=0,"",ИТОГ!A779)</f>
        <v/>
      </c>
      <c r="L779" s="26" t="str">
        <f t="shared" si="139"/>
        <v/>
      </c>
      <c r="M779" s="25" t="str">
        <f>IF(K779="","",ИТОГ!Q779)</f>
        <v/>
      </c>
      <c r="N779" s="28" t="str">
        <f>IF(K779="","",ИТОГ!N779)</f>
        <v/>
      </c>
      <c r="O779" s="30" t="str">
        <f t="shared" si="140"/>
        <v/>
      </c>
      <c r="P779" s="24"/>
      <c r="Q779" s="30" t="str">
        <f t="shared" si="141"/>
        <v/>
      </c>
      <c r="R779" s="29" t="str">
        <f t="shared" ca="1" si="142"/>
        <v/>
      </c>
    </row>
    <row r="780" spans="1:18">
      <c r="A780" s="23" t="str">
        <f t="shared" si="132"/>
        <v/>
      </c>
      <c r="B780" s="23" t="str">
        <f t="shared" si="133"/>
        <v/>
      </c>
      <c r="C780" s="29" t="str">
        <f t="shared" ca="1" si="134"/>
        <v/>
      </c>
      <c r="D780" s="22" t="str">
        <f>IF(K780="","",ИТОГ!S780)</f>
        <v/>
      </c>
      <c r="E780" s="24" t="str">
        <f t="shared" si="135"/>
        <v/>
      </c>
      <c r="F780" s="30" t="str">
        <f t="shared" si="136"/>
        <v/>
      </c>
      <c r="G780" s="25" t="str">
        <f t="shared" si="137"/>
        <v/>
      </c>
      <c r="H780" s="29" t="str">
        <f t="shared" ca="1" si="138"/>
        <v/>
      </c>
      <c r="I780" s="24"/>
      <c r="J780" s="30"/>
      <c r="K780" s="27" t="str">
        <f>IF(ИТОГ!A780=0,"",ИТОГ!A780)</f>
        <v/>
      </c>
      <c r="L780" s="26" t="str">
        <f t="shared" si="139"/>
        <v/>
      </c>
      <c r="M780" s="25" t="str">
        <f>IF(K780="","",ИТОГ!Q780)</f>
        <v/>
      </c>
      <c r="N780" s="28" t="str">
        <f>IF(K780="","",ИТОГ!N780)</f>
        <v/>
      </c>
      <c r="O780" s="30" t="str">
        <f t="shared" si="140"/>
        <v/>
      </c>
      <c r="P780" s="24"/>
      <c r="Q780" s="30" t="str">
        <f t="shared" si="141"/>
        <v/>
      </c>
      <c r="R780" s="29" t="str">
        <f t="shared" ca="1" si="142"/>
        <v/>
      </c>
    </row>
    <row r="781" spans="1:18">
      <c r="A781" s="23" t="str">
        <f t="shared" si="132"/>
        <v/>
      </c>
      <c r="B781" s="23" t="str">
        <f t="shared" si="133"/>
        <v/>
      </c>
      <c r="C781" s="29" t="str">
        <f t="shared" ca="1" si="134"/>
        <v/>
      </c>
      <c r="D781" s="22" t="str">
        <f>IF(K781="","",ИТОГ!S781)</f>
        <v/>
      </c>
      <c r="E781" s="24" t="str">
        <f t="shared" si="135"/>
        <v/>
      </c>
      <c r="F781" s="30" t="str">
        <f t="shared" si="136"/>
        <v/>
      </c>
      <c r="G781" s="25" t="str">
        <f t="shared" si="137"/>
        <v/>
      </c>
      <c r="H781" s="29" t="str">
        <f t="shared" ca="1" si="138"/>
        <v/>
      </c>
      <c r="I781" s="24"/>
      <c r="J781" s="30"/>
      <c r="K781" s="27" t="str">
        <f>IF(ИТОГ!A781=0,"",ИТОГ!A781)</f>
        <v/>
      </c>
      <c r="L781" s="26" t="str">
        <f t="shared" si="139"/>
        <v/>
      </c>
      <c r="M781" s="25" t="str">
        <f>IF(K781="","",ИТОГ!Q781)</f>
        <v/>
      </c>
      <c r="N781" s="28" t="str">
        <f>IF(K781="","",ИТОГ!N781)</f>
        <v/>
      </c>
      <c r="O781" s="30" t="str">
        <f t="shared" si="140"/>
        <v/>
      </c>
      <c r="P781" s="24"/>
      <c r="Q781" s="30" t="str">
        <f t="shared" si="141"/>
        <v/>
      </c>
      <c r="R781" s="29" t="str">
        <f t="shared" ca="1" si="142"/>
        <v/>
      </c>
    </row>
    <row r="782" spans="1:18">
      <c r="A782" s="23" t="str">
        <f t="shared" si="132"/>
        <v/>
      </c>
      <c r="B782" s="23" t="str">
        <f t="shared" si="133"/>
        <v/>
      </c>
      <c r="C782" s="29" t="str">
        <f t="shared" ca="1" si="134"/>
        <v/>
      </c>
      <c r="D782" s="22" t="str">
        <f>IF(K782="","",ИТОГ!S782)</f>
        <v/>
      </c>
      <c r="E782" s="24" t="str">
        <f t="shared" si="135"/>
        <v/>
      </c>
      <c r="F782" s="30" t="str">
        <f t="shared" si="136"/>
        <v/>
      </c>
      <c r="G782" s="25" t="str">
        <f t="shared" si="137"/>
        <v/>
      </c>
      <c r="H782" s="29" t="str">
        <f t="shared" ca="1" si="138"/>
        <v/>
      </c>
      <c r="I782" s="24"/>
      <c r="J782" s="30"/>
      <c r="K782" s="27" t="str">
        <f>IF(ИТОГ!A782=0,"",ИТОГ!A782)</f>
        <v/>
      </c>
      <c r="L782" s="26" t="str">
        <f t="shared" si="139"/>
        <v/>
      </c>
      <c r="M782" s="25" t="str">
        <f>IF(K782="","",ИТОГ!Q782)</f>
        <v/>
      </c>
      <c r="N782" s="28" t="str">
        <f>IF(K782="","",ИТОГ!N782)</f>
        <v/>
      </c>
      <c r="O782" s="30" t="str">
        <f t="shared" si="140"/>
        <v/>
      </c>
      <c r="P782" s="24"/>
      <c r="Q782" s="30" t="str">
        <f t="shared" si="141"/>
        <v/>
      </c>
      <c r="R782" s="29" t="str">
        <f t="shared" ca="1" si="142"/>
        <v/>
      </c>
    </row>
    <row r="783" spans="1:18">
      <c r="A783" s="23" t="str">
        <f t="shared" si="132"/>
        <v/>
      </c>
      <c r="B783" s="23" t="str">
        <f t="shared" si="133"/>
        <v/>
      </c>
      <c r="C783" s="29" t="str">
        <f t="shared" ca="1" si="134"/>
        <v/>
      </c>
      <c r="D783" s="22" t="str">
        <f>IF(K783="","",ИТОГ!S783)</f>
        <v/>
      </c>
      <c r="E783" s="24" t="str">
        <f t="shared" si="135"/>
        <v/>
      </c>
      <c r="F783" s="30" t="str">
        <f t="shared" si="136"/>
        <v/>
      </c>
      <c r="G783" s="25" t="str">
        <f t="shared" si="137"/>
        <v/>
      </c>
      <c r="H783" s="29" t="str">
        <f t="shared" ca="1" si="138"/>
        <v/>
      </c>
      <c r="I783" s="24"/>
      <c r="J783" s="30"/>
      <c r="K783" s="27" t="str">
        <f>IF(ИТОГ!A783=0,"",ИТОГ!A783)</f>
        <v/>
      </c>
      <c r="L783" s="26" t="str">
        <f t="shared" si="139"/>
        <v/>
      </c>
      <c r="M783" s="25" t="str">
        <f>IF(K783="","",ИТОГ!Q783)</f>
        <v/>
      </c>
      <c r="N783" s="28" t="str">
        <f>IF(K783="","",ИТОГ!N783)</f>
        <v/>
      </c>
      <c r="O783" s="30" t="str">
        <f t="shared" si="140"/>
        <v/>
      </c>
      <c r="P783" s="24"/>
      <c r="Q783" s="30" t="str">
        <f t="shared" si="141"/>
        <v/>
      </c>
      <c r="R783" s="29" t="str">
        <f t="shared" ca="1" si="142"/>
        <v/>
      </c>
    </row>
    <row r="784" spans="1:18">
      <c r="A784" s="23" t="str">
        <f t="shared" si="132"/>
        <v/>
      </c>
      <c r="B784" s="23" t="str">
        <f t="shared" si="133"/>
        <v/>
      </c>
      <c r="C784" s="29" t="str">
        <f t="shared" ca="1" si="134"/>
        <v/>
      </c>
      <c r="D784" s="22" t="str">
        <f>IF(K784="","",ИТОГ!S784)</f>
        <v/>
      </c>
      <c r="E784" s="24" t="str">
        <f t="shared" si="135"/>
        <v/>
      </c>
      <c r="F784" s="30" t="str">
        <f t="shared" si="136"/>
        <v/>
      </c>
      <c r="G784" s="25" t="str">
        <f t="shared" si="137"/>
        <v/>
      </c>
      <c r="H784" s="29" t="str">
        <f t="shared" ca="1" si="138"/>
        <v/>
      </c>
      <c r="I784" s="24"/>
      <c r="J784" s="30"/>
      <c r="K784" s="27" t="str">
        <f>IF(ИТОГ!A784=0,"",ИТОГ!A784)</f>
        <v/>
      </c>
      <c r="L784" s="26" t="str">
        <f t="shared" si="139"/>
        <v/>
      </c>
      <c r="M784" s="25" t="str">
        <f>IF(K784="","",ИТОГ!Q784)</f>
        <v/>
      </c>
      <c r="N784" s="28" t="str">
        <f>IF(K784="","",ИТОГ!N784)</f>
        <v/>
      </c>
      <c r="O784" s="30" t="str">
        <f t="shared" si="140"/>
        <v/>
      </c>
      <c r="P784" s="24"/>
      <c r="Q784" s="30" t="str">
        <f t="shared" si="141"/>
        <v/>
      </c>
      <c r="R784" s="29" t="str">
        <f t="shared" ca="1" si="142"/>
        <v/>
      </c>
    </row>
    <row r="785" spans="1:18">
      <c r="A785" s="23" t="str">
        <f t="shared" si="132"/>
        <v/>
      </c>
      <c r="B785" s="23" t="str">
        <f t="shared" si="133"/>
        <v/>
      </c>
      <c r="C785" s="29" t="str">
        <f t="shared" ca="1" si="134"/>
        <v/>
      </c>
      <c r="D785" s="22" t="str">
        <f>IF(K785="","",ИТОГ!S785)</f>
        <v/>
      </c>
      <c r="E785" s="24" t="str">
        <f t="shared" si="135"/>
        <v/>
      </c>
      <c r="F785" s="30" t="str">
        <f t="shared" si="136"/>
        <v/>
      </c>
      <c r="G785" s="25" t="str">
        <f t="shared" si="137"/>
        <v/>
      </c>
      <c r="H785" s="29" t="str">
        <f t="shared" ca="1" si="138"/>
        <v/>
      </c>
      <c r="I785" s="24"/>
      <c r="J785" s="30"/>
      <c r="K785" s="27" t="str">
        <f>IF(ИТОГ!A785=0,"",ИТОГ!A785)</f>
        <v/>
      </c>
      <c r="L785" s="26" t="str">
        <f t="shared" si="139"/>
        <v/>
      </c>
      <c r="M785" s="25" t="str">
        <f>IF(K785="","",ИТОГ!Q785)</f>
        <v/>
      </c>
      <c r="N785" s="28" t="str">
        <f>IF(K785="","",ИТОГ!N785)</f>
        <v/>
      </c>
      <c r="O785" s="30" t="str">
        <f t="shared" si="140"/>
        <v/>
      </c>
      <c r="P785" s="24"/>
      <c r="Q785" s="30" t="str">
        <f t="shared" si="141"/>
        <v/>
      </c>
      <c r="R785" s="29" t="str">
        <f t="shared" ca="1" si="142"/>
        <v/>
      </c>
    </row>
    <row r="786" spans="1:18">
      <c r="A786" s="23" t="str">
        <f t="shared" si="132"/>
        <v/>
      </c>
      <c r="B786" s="23" t="str">
        <f t="shared" si="133"/>
        <v/>
      </c>
      <c r="C786" s="29" t="str">
        <f t="shared" ca="1" si="134"/>
        <v/>
      </c>
      <c r="D786" s="22" t="str">
        <f>IF(K786="","",ИТОГ!S786)</f>
        <v/>
      </c>
      <c r="E786" s="24" t="str">
        <f t="shared" si="135"/>
        <v/>
      </c>
      <c r="F786" s="30" t="str">
        <f t="shared" si="136"/>
        <v/>
      </c>
      <c r="G786" s="25" t="str">
        <f t="shared" si="137"/>
        <v/>
      </c>
      <c r="H786" s="29" t="str">
        <f t="shared" ca="1" si="138"/>
        <v/>
      </c>
      <c r="I786" s="24"/>
      <c r="J786" s="30"/>
      <c r="K786" s="27" t="str">
        <f>IF(ИТОГ!A786=0,"",ИТОГ!A786)</f>
        <v/>
      </c>
      <c r="L786" s="26" t="str">
        <f t="shared" si="139"/>
        <v/>
      </c>
      <c r="M786" s="25" t="str">
        <f>IF(K786="","",ИТОГ!Q786)</f>
        <v/>
      </c>
      <c r="N786" s="28" t="str">
        <f>IF(K786="","",ИТОГ!N786)</f>
        <v/>
      </c>
      <c r="O786" s="30" t="str">
        <f t="shared" si="140"/>
        <v/>
      </c>
      <c r="P786" s="24"/>
      <c r="Q786" s="30" t="str">
        <f t="shared" si="141"/>
        <v/>
      </c>
      <c r="R786" s="29" t="str">
        <f t="shared" ca="1" si="142"/>
        <v/>
      </c>
    </row>
    <row r="787" spans="1:18">
      <c r="A787" s="23" t="str">
        <f t="shared" si="132"/>
        <v/>
      </c>
      <c r="B787" s="23" t="str">
        <f t="shared" si="133"/>
        <v/>
      </c>
      <c r="C787" s="29" t="str">
        <f t="shared" ca="1" si="134"/>
        <v/>
      </c>
      <c r="D787" s="22" t="str">
        <f>IF(K787="","",ИТОГ!S787)</f>
        <v/>
      </c>
      <c r="E787" s="24" t="str">
        <f t="shared" si="135"/>
        <v/>
      </c>
      <c r="F787" s="30" t="str">
        <f t="shared" si="136"/>
        <v/>
      </c>
      <c r="G787" s="25" t="str">
        <f t="shared" si="137"/>
        <v/>
      </c>
      <c r="H787" s="29" t="str">
        <f t="shared" ca="1" si="138"/>
        <v/>
      </c>
      <c r="I787" s="24"/>
      <c r="J787" s="30"/>
      <c r="K787" s="27" t="str">
        <f>IF(ИТОГ!A787=0,"",ИТОГ!A787)</f>
        <v/>
      </c>
      <c r="L787" s="26" t="str">
        <f t="shared" si="139"/>
        <v/>
      </c>
      <c r="M787" s="25" t="str">
        <f>IF(K787="","",ИТОГ!Q787)</f>
        <v/>
      </c>
      <c r="N787" s="28" t="str">
        <f>IF(K787="","",ИТОГ!N787)</f>
        <v/>
      </c>
      <c r="O787" s="30" t="str">
        <f t="shared" si="140"/>
        <v/>
      </c>
      <c r="P787" s="24"/>
      <c r="Q787" s="30" t="str">
        <f t="shared" si="141"/>
        <v/>
      </c>
      <c r="R787" s="29" t="str">
        <f t="shared" ca="1" si="142"/>
        <v/>
      </c>
    </row>
    <row r="788" spans="1:18">
      <c r="A788" s="23" t="str">
        <f t="shared" si="132"/>
        <v/>
      </c>
      <c r="B788" s="23" t="str">
        <f t="shared" si="133"/>
        <v/>
      </c>
      <c r="C788" s="29" t="str">
        <f t="shared" ca="1" si="134"/>
        <v/>
      </c>
      <c r="D788" s="22" t="str">
        <f>IF(K788="","",ИТОГ!S788)</f>
        <v/>
      </c>
      <c r="E788" s="24" t="str">
        <f t="shared" si="135"/>
        <v/>
      </c>
      <c r="F788" s="30" t="str">
        <f t="shared" si="136"/>
        <v/>
      </c>
      <c r="G788" s="25" t="str">
        <f t="shared" si="137"/>
        <v/>
      </c>
      <c r="H788" s="29" t="str">
        <f t="shared" ca="1" si="138"/>
        <v/>
      </c>
      <c r="I788" s="24"/>
      <c r="J788" s="30"/>
      <c r="K788" s="27" t="str">
        <f>IF(ИТОГ!A788=0,"",ИТОГ!A788)</f>
        <v/>
      </c>
      <c r="L788" s="26" t="str">
        <f t="shared" si="139"/>
        <v/>
      </c>
      <c r="M788" s="25" t="str">
        <f>IF(K788="","",ИТОГ!Q788)</f>
        <v/>
      </c>
      <c r="N788" s="28" t="str">
        <f>IF(K788="","",ИТОГ!N788)</f>
        <v/>
      </c>
      <c r="O788" s="30" t="str">
        <f t="shared" si="140"/>
        <v/>
      </c>
      <c r="P788" s="24"/>
      <c r="Q788" s="30" t="str">
        <f t="shared" si="141"/>
        <v/>
      </c>
      <c r="R788" s="29" t="str">
        <f t="shared" ca="1" si="142"/>
        <v/>
      </c>
    </row>
    <row r="789" spans="1:18">
      <c r="A789" s="23" t="str">
        <f t="shared" si="132"/>
        <v/>
      </c>
      <c r="B789" s="23" t="str">
        <f t="shared" si="133"/>
        <v/>
      </c>
      <c r="C789" s="29" t="str">
        <f t="shared" ca="1" si="134"/>
        <v/>
      </c>
      <c r="D789" s="22" t="str">
        <f>IF(K789="","",ИТОГ!S789)</f>
        <v/>
      </c>
      <c r="E789" s="24" t="str">
        <f t="shared" si="135"/>
        <v/>
      </c>
      <c r="F789" s="30" t="str">
        <f t="shared" si="136"/>
        <v/>
      </c>
      <c r="G789" s="25" t="str">
        <f t="shared" si="137"/>
        <v/>
      </c>
      <c r="H789" s="29" t="str">
        <f t="shared" ca="1" si="138"/>
        <v/>
      </c>
      <c r="I789" s="24"/>
      <c r="J789" s="30"/>
      <c r="K789" s="27" t="str">
        <f>IF(ИТОГ!A789=0,"",ИТОГ!A789)</f>
        <v/>
      </c>
      <c r="L789" s="26" t="str">
        <f t="shared" si="139"/>
        <v/>
      </c>
      <c r="M789" s="25" t="str">
        <f>IF(K789="","",ИТОГ!Q789)</f>
        <v/>
      </c>
      <c r="N789" s="28" t="str">
        <f>IF(K789="","",ИТОГ!N789)</f>
        <v/>
      </c>
      <c r="O789" s="30" t="str">
        <f t="shared" si="140"/>
        <v/>
      </c>
      <c r="P789" s="24"/>
      <c r="Q789" s="30" t="str">
        <f t="shared" si="141"/>
        <v/>
      </c>
      <c r="R789" s="29" t="str">
        <f t="shared" ca="1" si="142"/>
        <v/>
      </c>
    </row>
    <row r="790" spans="1:18">
      <c r="A790" s="23" t="str">
        <f t="shared" si="132"/>
        <v/>
      </c>
      <c r="B790" s="23" t="str">
        <f t="shared" si="133"/>
        <v/>
      </c>
      <c r="C790" s="29" t="str">
        <f t="shared" ca="1" si="134"/>
        <v/>
      </c>
      <c r="D790" s="22" t="str">
        <f>IF(K790="","",ИТОГ!S790)</f>
        <v/>
      </c>
      <c r="E790" s="24" t="str">
        <f t="shared" si="135"/>
        <v/>
      </c>
      <c r="F790" s="30" t="str">
        <f t="shared" si="136"/>
        <v/>
      </c>
      <c r="G790" s="25" t="str">
        <f t="shared" si="137"/>
        <v/>
      </c>
      <c r="H790" s="29" t="str">
        <f t="shared" ca="1" si="138"/>
        <v/>
      </c>
      <c r="I790" s="24"/>
      <c r="J790" s="30"/>
      <c r="K790" s="27" t="str">
        <f>IF(ИТОГ!A790=0,"",ИТОГ!A790)</f>
        <v/>
      </c>
      <c r="L790" s="26" t="str">
        <f t="shared" si="139"/>
        <v/>
      </c>
      <c r="M790" s="25" t="str">
        <f>IF(K790="","",ИТОГ!Q790)</f>
        <v/>
      </c>
      <c r="N790" s="28" t="str">
        <f>IF(K790="","",ИТОГ!N790)</f>
        <v/>
      </c>
      <c r="O790" s="30" t="str">
        <f t="shared" si="140"/>
        <v/>
      </c>
      <c r="P790" s="24"/>
      <c r="Q790" s="30" t="str">
        <f t="shared" si="141"/>
        <v/>
      </c>
      <c r="R790" s="29" t="str">
        <f t="shared" ca="1" si="142"/>
        <v/>
      </c>
    </row>
    <row r="791" spans="1:18">
      <c r="A791" s="23" t="str">
        <f t="shared" si="132"/>
        <v/>
      </c>
      <c r="B791" s="23" t="str">
        <f t="shared" si="133"/>
        <v/>
      </c>
      <c r="C791" s="29" t="str">
        <f t="shared" ca="1" si="134"/>
        <v/>
      </c>
      <c r="D791" s="22" t="str">
        <f>IF(K791="","",ИТОГ!S791)</f>
        <v/>
      </c>
      <c r="E791" s="24" t="str">
        <f t="shared" si="135"/>
        <v/>
      </c>
      <c r="F791" s="30" t="str">
        <f t="shared" si="136"/>
        <v/>
      </c>
      <c r="G791" s="25" t="str">
        <f t="shared" si="137"/>
        <v/>
      </c>
      <c r="H791" s="29" t="str">
        <f t="shared" ca="1" si="138"/>
        <v/>
      </c>
      <c r="I791" s="24"/>
      <c r="J791" s="30"/>
      <c r="K791" s="27" t="str">
        <f>IF(ИТОГ!A791=0,"",ИТОГ!A791)</f>
        <v/>
      </c>
      <c r="L791" s="26" t="str">
        <f t="shared" si="139"/>
        <v/>
      </c>
      <c r="M791" s="25" t="str">
        <f>IF(K791="","",ИТОГ!Q791)</f>
        <v/>
      </c>
      <c r="N791" s="28" t="str">
        <f>IF(K791="","",ИТОГ!N791)</f>
        <v/>
      </c>
      <c r="O791" s="30" t="str">
        <f t="shared" si="140"/>
        <v/>
      </c>
      <c r="P791" s="24"/>
      <c r="Q791" s="30" t="str">
        <f t="shared" si="141"/>
        <v/>
      </c>
      <c r="R791" s="29" t="str">
        <f t="shared" ca="1" si="142"/>
        <v/>
      </c>
    </row>
    <row r="792" spans="1:18">
      <c r="A792" s="23" t="str">
        <f t="shared" si="132"/>
        <v/>
      </c>
      <c r="B792" s="23" t="str">
        <f t="shared" si="133"/>
        <v/>
      </c>
      <c r="C792" s="29" t="str">
        <f t="shared" ca="1" si="134"/>
        <v/>
      </c>
      <c r="D792" s="22" t="str">
        <f>IF(K792="","",ИТОГ!S792)</f>
        <v/>
      </c>
      <c r="E792" s="24" t="str">
        <f t="shared" si="135"/>
        <v/>
      </c>
      <c r="F792" s="30" t="str">
        <f t="shared" si="136"/>
        <v/>
      </c>
      <c r="G792" s="25" t="str">
        <f t="shared" si="137"/>
        <v/>
      </c>
      <c r="H792" s="29" t="str">
        <f t="shared" ca="1" si="138"/>
        <v/>
      </c>
      <c r="I792" s="24"/>
      <c r="J792" s="30"/>
      <c r="K792" s="27" t="str">
        <f>IF(ИТОГ!A792=0,"",ИТОГ!A792)</f>
        <v/>
      </c>
      <c r="L792" s="26" t="str">
        <f t="shared" si="139"/>
        <v/>
      </c>
      <c r="M792" s="25" t="str">
        <f>IF(K792="","",ИТОГ!Q792)</f>
        <v/>
      </c>
      <c r="N792" s="28" t="str">
        <f>IF(K792="","",ИТОГ!N792)</f>
        <v/>
      </c>
      <c r="O792" s="30" t="str">
        <f t="shared" si="140"/>
        <v/>
      </c>
      <c r="P792" s="24"/>
      <c r="Q792" s="30" t="str">
        <f t="shared" si="141"/>
        <v/>
      </c>
      <c r="R792" s="29" t="str">
        <f t="shared" ca="1" si="142"/>
        <v/>
      </c>
    </row>
    <row r="793" spans="1:18">
      <c r="A793" s="23" t="str">
        <f t="shared" si="132"/>
        <v/>
      </c>
      <c r="B793" s="23" t="str">
        <f t="shared" si="133"/>
        <v/>
      </c>
      <c r="C793" s="29" t="str">
        <f t="shared" ca="1" si="134"/>
        <v/>
      </c>
      <c r="D793" s="22" t="str">
        <f>IF(K793="","",ИТОГ!S793)</f>
        <v/>
      </c>
      <c r="E793" s="24" t="str">
        <f t="shared" si="135"/>
        <v/>
      </c>
      <c r="F793" s="30" t="str">
        <f t="shared" si="136"/>
        <v/>
      </c>
      <c r="G793" s="25" t="str">
        <f t="shared" si="137"/>
        <v/>
      </c>
      <c r="H793" s="29" t="str">
        <f t="shared" ca="1" si="138"/>
        <v/>
      </c>
      <c r="I793" s="24"/>
      <c r="J793" s="30"/>
      <c r="K793" s="27" t="str">
        <f>IF(ИТОГ!A793=0,"",ИТОГ!A793)</f>
        <v/>
      </c>
      <c r="L793" s="26" t="str">
        <f t="shared" si="139"/>
        <v/>
      </c>
      <c r="M793" s="25" t="str">
        <f>IF(K793="","",ИТОГ!Q793)</f>
        <v/>
      </c>
      <c r="N793" s="28" t="str">
        <f>IF(K793="","",ИТОГ!N793)</f>
        <v/>
      </c>
      <c r="O793" s="30" t="str">
        <f t="shared" si="140"/>
        <v/>
      </c>
      <c r="P793" s="24"/>
      <c r="Q793" s="30" t="str">
        <f t="shared" si="141"/>
        <v/>
      </c>
      <c r="R793" s="29" t="str">
        <f t="shared" ca="1" si="142"/>
        <v/>
      </c>
    </row>
    <row r="794" spans="1:18">
      <c r="A794" s="23" t="str">
        <f t="shared" si="132"/>
        <v/>
      </c>
      <c r="B794" s="23" t="str">
        <f t="shared" si="133"/>
        <v/>
      </c>
      <c r="C794" s="29" t="str">
        <f t="shared" ca="1" si="134"/>
        <v/>
      </c>
      <c r="D794" s="22" t="str">
        <f>IF(K794="","",ИТОГ!S794)</f>
        <v/>
      </c>
      <c r="E794" s="24" t="str">
        <f t="shared" si="135"/>
        <v/>
      </c>
      <c r="F794" s="30" t="str">
        <f t="shared" si="136"/>
        <v/>
      </c>
      <c r="G794" s="25" t="str">
        <f t="shared" si="137"/>
        <v/>
      </c>
      <c r="H794" s="29" t="str">
        <f t="shared" ca="1" si="138"/>
        <v/>
      </c>
      <c r="I794" s="24"/>
      <c r="J794" s="30"/>
      <c r="K794" s="27" t="str">
        <f>IF(ИТОГ!A794=0,"",ИТОГ!A794)</f>
        <v/>
      </c>
      <c r="L794" s="26" t="str">
        <f t="shared" si="139"/>
        <v/>
      </c>
      <c r="M794" s="25" t="str">
        <f>IF(K794="","",ИТОГ!Q794)</f>
        <v/>
      </c>
      <c r="N794" s="28" t="str">
        <f>IF(K794="","",ИТОГ!N794)</f>
        <v/>
      </c>
      <c r="O794" s="30" t="str">
        <f t="shared" si="140"/>
        <v/>
      </c>
      <c r="P794" s="24"/>
      <c r="Q794" s="30" t="str">
        <f t="shared" si="141"/>
        <v/>
      </c>
      <c r="R794" s="29" t="str">
        <f t="shared" ca="1" si="142"/>
        <v/>
      </c>
    </row>
    <row r="795" spans="1:18">
      <c r="A795" s="23" t="str">
        <f t="shared" si="132"/>
        <v/>
      </c>
      <c r="B795" s="23" t="str">
        <f t="shared" si="133"/>
        <v/>
      </c>
      <c r="C795" s="29" t="str">
        <f t="shared" ca="1" si="134"/>
        <v/>
      </c>
      <c r="D795" s="22" t="str">
        <f>IF(K795="","",ИТОГ!S795)</f>
        <v/>
      </c>
      <c r="E795" s="24" t="str">
        <f t="shared" si="135"/>
        <v/>
      </c>
      <c r="F795" s="30" t="str">
        <f t="shared" si="136"/>
        <v/>
      </c>
      <c r="G795" s="25" t="str">
        <f t="shared" si="137"/>
        <v/>
      </c>
      <c r="H795" s="29" t="str">
        <f t="shared" ca="1" si="138"/>
        <v/>
      </c>
      <c r="I795" s="24"/>
      <c r="J795" s="30"/>
      <c r="K795" s="27" t="str">
        <f>IF(ИТОГ!A795=0,"",ИТОГ!A795)</f>
        <v/>
      </c>
      <c r="L795" s="26" t="str">
        <f t="shared" si="139"/>
        <v/>
      </c>
      <c r="M795" s="25" t="str">
        <f>IF(K795="","",ИТОГ!Q795)</f>
        <v/>
      </c>
      <c r="N795" s="28" t="str">
        <f>IF(K795="","",ИТОГ!N795)</f>
        <v/>
      </c>
      <c r="O795" s="30" t="str">
        <f t="shared" si="140"/>
        <v/>
      </c>
      <c r="P795" s="24"/>
      <c r="Q795" s="30" t="str">
        <f t="shared" si="141"/>
        <v/>
      </c>
      <c r="R795" s="29" t="str">
        <f t="shared" ca="1" si="142"/>
        <v/>
      </c>
    </row>
    <row r="796" spans="1:18">
      <c r="A796" s="23" t="str">
        <f t="shared" si="132"/>
        <v/>
      </c>
      <c r="B796" s="23" t="str">
        <f t="shared" si="133"/>
        <v/>
      </c>
      <c r="C796" s="29" t="str">
        <f t="shared" ca="1" si="134"/>
        <v/>
      </c>
      <c r="D796" s="22" t="str">
        <f>IF(K796="","",ИТОГ!S796)</f>
        <v/>
      </c>
      <c r="E796" s="24" t="str">
        <f t="shared" si="135"/>
        <v/>
      </c>
      <c r="F796" s="30" t="str">
        <f t="shared" si="136"/>
        <v/>
      </c>
      <c r="G796" s="25" t="str">
        <f t="shared" si="137"/>
        <v/>
      </c>
      <c r="H796" s="29" t="str">
        <f t="shared" ca="1" si="138"/>
        <v/>
      </c>
      <c r="I796" s="24"/>
      <c r="J796" s="30"/>
      <c r="K796" s="27" t="str">
        <f>IF(ИТОГ!A796=0,"",ИТОГ!A796)</f>
        <v/>
      </c>
      <c r="L796" s="26" t="str">
        <f t="shared" si="139"/>
        <v/>
      </c>
      <c r="M796" s="25" t="str">
        <f>IF(K796="","",ИТОГ!Q796)</f>
        <v/>
      </c>
      <c r="N796" s="28" t="str">
        <f>IF(K796="","",ИТОГ!N796)</f>
        <v/>
      </c>
      <c r="O796" s="30" t="str">
        <f t="shared" si="140"/>
        <v/>
      </c>
      <c r="P796" s="24"/>
      <c r="Q796" s="30" t="str">
        <f t="shared" si="141"/>
        <v/>
      </c>
      <c r="R796" s="29" t="str">
        <f t="shared" ca="1" si="142"/>
        <v/>
      </c>
    </row>
    <row r="797" spans="1:18">
      <c r="A797" s="23" t="str">
        <f t="shared" si="132"/>
        <v/>
      </c>
      <c r="B797" s="23" t="str">
        <f t="shared" si="133"/>
        <v/>
      </c>
      <c r="C797" s="29" t="str">
        <f t="shared" ca="1" si="134"/>
        <v/>
      </c>
      <c r="D797" s="22" t="str">
        <f>IF(K797="","",ИТОГ!S797)</f>
        <v/>
      </c>
      <c r="E797" s="24" t="str">
        <f t="shared" si="135"/>
        <v/>
      </c>
      <c r="F797" s="30" t="str">
        <f t="shared" si="136"/>
        <v/>
      </c>
      <c r="G797" s="25" t="str">
        <f t="shared" si="137"/>
        <v/>
      </c>
      <c r="H797" s="29" t="str">
        <f t="shared" ca="1" si="138"/>
        <v/>
      </c>
      <c r="I797" s="24"/>
      <c r="J797" s="30"/>
      <c r="K797" s="27" t="str">
        <f>IF(ИТОГ!A797=0,"",ИТОГ!A797)</f>
        <v/>
      </c>
      <c r="L797" s="26" t="str">
        <f t="shared" si="139"/>
        <v/>
      </c>
      <c r="M797" s="25" t="str">
        <f>IF(K797="","",ИТОГ!Q797)</f>
        <v/>
      </c>
      <c r="N797" s="28" t="str">
        <f>IF(K797="","",ИТОГ!N797)</f>
        <v/>
      </c>
      <c r="O797" s="30" t="str">
        <f t="shared" si="140"/>
        <v/>
      </c>
      <c r="P797" s="24"/>
      <c r="Q797" s="30" t="str">
        <f t="shared" si="141"/>
        <v/>
      </c>
      <c r="R797" s="29" t="str">
        <f t="shared" ca="1" si="142"/>
        <v/>
      </c>
    </row>
    <row r="798" spans="1:18">
      <c r="A798" s="23" t="str">
        <f t="shared" ref="A798:A861" si="143">IF(K798="","",1000)</f>
        <v/>
      </c>
      <c r="B798" s="23" t="str">
        <f t="shared" ref="B798:B861" si="144">IF(K798="","",1)</f>
        <v/>
      </c>
      <c r="C798" s="29" t="str">
        <f t="shared" ref="C798:C861" ca="1" si="145">IF(K798="","",TODAY())</f>
        <v/>
      </c>
      <c r="D798" s="22" t="str">
        <f>IF(K798="","",ИТОГ!S798)</f>
        <v/>
      </c>
      <c r="E798" s="24" t="str">
        <f t="shared" ref="E798:E861" si="146">IF(K798="","","Х")</f>
        <v/>
      </c>
      <c r="F798" s="30" t="str">
        <f t="shared" ref="F798:F861" si="147">IF(K798="","","UV")</f>
        <v/>
      </c>
      <c r="G798" s="25" t="str">
        <f t="shared" ref="G798:G861" si="148">IF(K798="","",SUMIF(D:D,D798,M:M))</f>
        <v/>
      </c>
      <c r="H798" s="29" t="str">
        <f t="shared" ref="H798:H861" ca="1" si="149">IF(K798="","",TODAY())</f>
        <v/>
      </c>
      <c r="I798" s="24"/>
      <c r="J798" s="30"/>
      <c r="K798" s="27" t="str">
        <f>IF(ИТОГ!A798=0,"",ИТОГ!A798)</f>
        <v/>
      </c>
      <c r="L798" s="26" t="str">
        <f t="shared" ref="L798:L861" si="150">IF(K798="","",
IF(D797-D798=0,L797+10,10))</f>
        <v/>
      </c>
      <c r="M798" s="25" t="str">
        <f>IF(K798="","",ИТОГ!Q798)</f>
        <v/>
      </c>
      <c r="N798" s="28" t="str">
        <f>IF(K798="","",ИТОГ!N798)</f>
        <v/>
      </c>
      <c r="O798" s="30" t="str">
        <f t="shared" ref="O798:O861" si="151">IF(K798="","","ST")</f>
        <v/>
      </c>
      <c r="P798" s="24"/>
      <c r="Q798" s="30" t="str">
        <f t="shared" ref="Q798:Q861" si="152">IF(K798="","","EUR")</f>
        <v/>
      </c>
      <c r="R798" s="29" t="str">
        <f t="shared" ref="R798:R861" ca="1" si="153">IF(K798="","",TODAY())</f>
        <v/>
      </c>
    </row>
    <row r="799" spans="1:18">
      <c r="A799" s="23" t="str">
        <f t="shared" si="143"/>
        <v/>
      </c>
      <c r="B799" s="23" t="str">
        <f t="shared" si="144"/>
        <v/>
      </c>
      <c r="C799" s="29" t="str">
        <f t="shared" ca="1" si="145"/>
        <v/>
      </c>
      <c r="D799" s="22" t="str">
        <f>IF(K799="","",ИТОГ!S799)</f>
        <v/>
      </c>
      <c r="E799" s="24" t="str">
        <f t="shared" si="146"/>
        <v/>
      </c>
      <c r="F799" s="30" t="str">
        <f t="shared" si="147"/>
        <v/>
      </c>
      <c r="G799" s="25" t="str">
        <f t="shared" si="148"/>
        <v/>
      </c>
      <c r="H799" s="29" t="str">
        <f t="shared" ca="1" si="149"/>
        <v/>
      </c>
      <c r="I799" s="24"/>
      <c r="J799" s="30"/>
      <c r="K799" s="27" t="str">
        <f>IF(ИТОГ!A799=0,"",ИТОГ!A799)</f>
        <v/>
      </c>
      <c r="L799" s="26" t="str">
        <f t="shared" si="150"/>
        <v/>
      </c>
      <c r="M799" s="25" t="str">
        <f>IF(K799="","",ИТОГ!Q799)</f>
        <v/>
      </c>
      <c r="N799" s="28" t="str">
        <f>IF(K799="","",ИТОГ!N799)</f>
        <v/>
      </c>
      <c r="O799" s="30" t="str">
        <f t="shared" si="151"/>
        <v/>
      </c>
      <c r="P799" s="24"/>
      <c r="Q799" s="30" t="str">
        <f t="shared" si="152"/>
        <v/>
      </c>
      <c r="R799" s="29" t="str">
        <f t="shared" ca="1" si="153"/>
        <v/>
      </c>
    </row>
    <row r="800" spans="1:18">
      <c r="A800" s="23" t="str">
        <f t="shared" si="143"/>
        <v/>
      </c>
      <c r="B800" s="23" t="str">
        <f t="shared" si="144"/>
        <v/>
      </c>
      <c r="C800" s="29" t="str">
        <f t="shared" ca="1" si="145"/>
        <v/>
      </c>
      <c r="D800" s="22" t="str">
        <f>IF(K800="","",ИТОГ!S800)</f>
        <v/>
      </c>
      <c r="E800" s="24" t="str">
        <f t="shared" si="146"/>
        <v/>
      </c>
      <c r="F800" s="30" t="str">
        <f t="shared" si="147"/>
        <v/>
      </c>
      <c r="G800" s="25" t="str">
        <f t="shared" si="148"/>
        <v/>
      </c>
      <c r="H800" s="29" t="str">
        <f t="shared" ca="1" si="149"/>
        <v/>
      </c>
      <c r="I800" s="24"/>
      <c r="J800" s="30"/>
      <c r="K800" s="27" t="str">
        <f>IF(ИТОГ!A800=0,"",ИТОГ!A800)</f>
        <v/>
      </c>
      <c r="L800" s="26" t="str">
        <f t="shared" si="150"/>
        <v/>
      </c>
      <c r="M800" s="25" t="str">
        <f>IF(K800="","",ИТОГ!Q800)</f>
        <v/>
      </c>
      <c r="N800" s="28" t="str">
        <f>IF(K800="","",ИТОГ!N800)</f>
        <v/>
      </c>
      <c r="O800" s="30" t="str">
        <f t="shared" si="151"/>
        <v/>
      </c>
      <c r="P800" s="24"/>
      <c r="Q800" s="30" t="str">
        <f t="shared" si="152"/>
        <v/>
      </c>
      <c r="R800" s="29" t="str">
        <f t="shared" ca="1" si="153"/>
        <v/>
      </c>
    </row>
    <row r="801" spans="1:18">
      <c r="A801" s="23" t="str">
        <f t="shared" si="143"/>
        <v/>
      </c>
      <c r="B801" s="23" t="str">
        <f t="shared" si="144"/>
        <v/>
      </c>
      <c r="C801" s="29" t="str">
        <f t="shared" ca="1" si="145"/>
        <v/>
      </c>
      <c r="D801" s="22" t="str">
        <f>IF(K801="","",ИТОГ!S801)</f>
        <v/>
      </c>
      <c r="E801" s="24" t="str">
        <f t="shared" si="146"/>
        <v/>
      </c>
      <c r="F801" s="30" t="str">
        <f t="shared" si="147"/>
        <v/>
      </c>
      <c r="G801" s="25" t="str">
        <f t="shared" si="148"/>
        <v/>
      </c>
      <c r="H801" s="29" t="str">
        <f t="shared" ca="1" si="149"/>
        <v/>
      </c>
      <c r="I801" s="24"/>
      <c r="J801" s="30"/>
      <c r="K801" s="27" t="str">
        <f>IF(ИТОГ!A801=0,"",ИТОГ!A801)</f>
        <v/>
      </c>
      <c r="L801" s="26" t="str">
        <f t="shared" si="150"/>
        <v/>
      </c>
      <c r="M801" s="25" t="str">
        <f>IF(K801="","",ИТОГ!Q801)</f>
        <v/>
      </c>
      <c r="N801" s="28" t="str">
        <f>IF(K801="","",ИТОГ!N801)</f>
        <v/>
      </c>
      <c r="O801" s="30" t="str">
        <f t="shared" si="151"/>
        <v/>
      </c>
      <c r="P801" s="24"/>
      <c r="Q801" s="30" t="str">
        <f t="shared" si="152"/>
        <v/>
      </c>
      <c r="R801" s="29" t="str">
        <f t="shared" ca="1" si="153"/>
        <v/>
      </c>
    </row>
    <row r="802" spans="1:18">
      <c r="A802" s="23" t="str">
        <f t="shared" si="143"/>
        <v/>
      </c>
      <c r="B802" s="23" t="str">
        <f t="shared" si="144"/>
        <v/>
      </c>
      <c r="C802" s="29" t="str">
        <f t="shared" ca="1" si="145"/>
        <v/>
      </c>
      <c r="D802" s="22" t="str">
        <f>IF(K802="","",ИТОГ!S802)</f>
        <v/>
      </c>
      <c r="E802" s="24" t="str">
        <f t="shared" si="146"/>
        <v/>
      </c>
      <c r="F802" s="30" t="str">
        <f t="shared" si="147"/>
        <v/>
      </c>
      <c r="G802" s="25" t="str">
        <f t="shared" si="148"/>
        <v/>
      </c>
      <c r="H802" s="29" t="str">
        <f t="shared" ca="1" si="149"/>
        <v/>
      </c>
      <c r="I802" s="24"/>
      <c r="J802" s="30"/>
      <c r="K802" s="27" t="str">
        <f>IF(ИТОГ!A802=0,"",ИТОГ!A802)</f>
        <v/>
      </c>
      <c r="L802" s="26" t="str">
        <f t="shared" si="150"/>
        <v/>
      </c>
      <c r="M802" s="25" t="str">
        <f>IF(K802="","",ИТОГ!Q802)</f>
        <v/>
      </c>
      <c r="N802" s="28" t="str">
        <f>IF(K802="","",ИТОГ!N802)</f>
        <v/>
      </c>
      <c r="O802" s="30" t="str">
        <f t="shared" si="151"/>
        <v/>
      </c>
      <c r="P802" s="24"/>
      <c r="Q802" s="30" t="str">
        <f t="shared" si="152"/>
        <v/>
      </c>
      <c r="R802" s="29" t="str">
        <f t="shared" ca="1" si="153"/>
        <v/>
      </c>
    </row>
    <row r="803" spans="1:18">
      <c r="A803" s="23" t="str">
        <f t="shared" si="143"/>
        <v/>
      </c>
      <c r="B803" s="23" t="str">
        <f t="shared" si="144"/>
        <v/>
      </c>
      <c r="C803" s="29" t="str">
        <f t="shared" ca="1" si="145"/>
        <v/>
      </c>
      <c r="D803" s="22" t="str">
        <f>IF(K803="","",ИТОГ!S803)</f>
        <v/>
      </c>
      <c r="E803" s="24" t="str">
        <f t="shared" si="146"/>
        <v/>
      </c>
      <c r="F803" s="30" t="str">
        <f t="shared" si="147"/>
        <v/>
      </c>
      <c r="G803" s="25" t="str">
        <f t="shared" si="148"/>
        <v/>
      </c>
      <c r="H803" s="29" t="str">
        <f t="shared" ca="1" si="149"/>
        <v/>
      </c>
      <c r="I803" s="24"/>
      <c r="J803" s="30"/>
      <c r="K803" s="27" t="str">
        <f>IF(ИТОГ!A803=0,"",ИТОГ!A803)</f>
        <v/>
      </c>
      <c r="L803" s="26" t="str">
        <f t="shared" si="150"/>
        <v/>
      </c>
      <c r="M803" s="25" t="str">
        <f>IF(K803="","",ИТОГ!Q803)</f>
        <v/>
      </c>
      <c r="N803" s="28" t="str">
        <f>IF(K803="","",ИТОГ!N803)</f>
        <v/>
      </c>
      <c r="O803" s="30" t="str">
        <f t="shared" si="151"/>
        <v/>
      </c>
      <c r="P803" s="24"/>
      <c r="Q803" s="30" t="str">
        <f t="shared" si="152"/>
        <v/>
      </c>
      <c r="R803" s="29" t="str">
        <f t="shared" ca="1" si="153"/>
        <v/>
      </c>
    </row>
    <row r="804" spans="1:18">
      <c r="A804" s="23" t="str">
        <f t="shared" si="143"/>
        <v/>
      </c>
      <c r="B804" s="23" t="str">
        <f t="shared" si="144"/>
        <v/>
      </c>
      <c r="C804" s="29" t="str">
        <f t="shared" ca="1" si="145"/>
        <v/>
      </c>
      <c r="D804" s="22" t="str">
        <f>IF(K804="","",ИТОГ!S804)</f>
        <v/>
      </c>
      <c r="E804" s="24" t="str">
        <f t="shared" si="146"/>
        <v/>
      </c>
      <c r="F804" s="30" t="str">
        <f t="shared" si="147"/>
        <v/>
      </c>
      <c r="G804" s="25" t="str">
        <f t="shared" si="148"/>
        <v/>
      </c>
      <c r="H804" s="29" t="str">
        <f t="shared" ca="1" si="149"/>
        <v/>
      </c>
      <c r="I804" s="24"/>
      <c r="J804" s="30"/>
      <c r="K804" s="27" t="str">
        <f>IF(ИТОГ!A804=0,"",ИТОГ!A804)</f>
        <v/>
      </c>
      <c r="L804" s="26" t="str">
        <f t="shared" si="150"/>
        <v/>
      </c>
      <c r="M804" s="25" t="str">
        <f>IF(K804="","",ИТОГ!Q804)</f>
        <v/>
      </c>
      <c r="N804" s="28" t="str">
        <f>IF(K804="","",ИТОГ!N804)</f>
        <v/>
      </c>
      <c r="O804" s="30" t="str">
        <f t="shared" si="151"/>
        <v/>
      </c>
      <c r="P804" s="24"/>
      <c r="Q804" s="30" t="str">
        <f t="shared" si="152"/>
        <v/>
      </c>
      <c r="R804" s="29" t="str">
        <f t="shared" ca="1" si="153"/>
        <v/>
      </c>
    </row>
    <row r="805" spans="1:18">
      <c r="A805" s="23" t="str">
        <f t="shared" si="143"/>
        <v/>
      </c>
      <c r="B805" s="23" t="str">
        <f t="shared" si="144"/>
        <v/>
      </c>
      <c r="C805" s="29" t="str">
        <f t="shared" ca="1" si="145"/>
        <v/>
      </c>
      <c r="D805" s="22" t="str">
        <f>IF(K805="","",ИТОГ!S805)</f>
        <v/>
      </c>
      <c r="E805" s="24" t="str">
        <f t="shared" si="146"/>
        <v/>
      </c>
      <c r="F805" s="30" t="str">
        <f t="shared" si="147"/>
        <v/>
      </c>
      <c r="G805" s="25" t="str">
        <f t="shared" si="148"/>
        <v/>
      </c>
      <c r="H805" s="29" t="str">
        <f t="shared" ca="1" si="149"/>
        <v/>
      </c>
      <c r="I805" s="24"/>
      <c r="J805" s="30"/>
      <c r="K805" s="27" t="str">
        <f>IF(ИТОГ!A805=0,"",ИТОГ!A805)</f>
        <v/>
      </c>
      <c r="L805" s="26" t="str">
        <f t="shared" si="150"/>
        <v/>
      </c>
      <c r="M805" s="25" t="str">
        <f>IF(K805="","",ИТОГ!Q805)</f>
        <v/>
      </c>
      <c r="N805" s="28" t="str">
        <f>IF(K805="","",ИТОГ!N805)</f>
        <v/>
      </c>
      <c r="O805" s="30" t="str">
        <f t="shared" si="151"/>
        <v/>
      </c>
      <c r="P805" s="24"/>
      <c r="Q805" s="30" t="str">
        <f t="shared" si="152"/>
        <v/>
      </c>
      <c r="R805" s="29" t="str">
        <f t="shared" ca="1" si="153"/>
        <v/>
      </c>
    </row>
    <row r="806" spans="1:18">
      <c r="A806" s="23" t="str">
        <f t="shared" si="143"/>
        <v/>
      </c>
      <c r="B806" s="23" t="str">
        <f t="shared" si="144"/>
        <v/>
      </c>
      <c r="C806" s="29" t="str">
        <f t="shared" ca="1" si="145"/>
        <v/>
      </c>
      <c r="D806" s="22" t="str">
        <f>IF(K806="","",ИТОГ!S806)</f>
        <v/>
      </c>
      <c r="E806" s="24" t="str">
        <f t="shared" si="146"/>
        <v/>
      </c>
      <c r="F806" s="30" t="str">
        <f t="shared" si="147"/>
        <v/>
      </c>
      <c r="G806" s="25" t="str">
        <f t="shared" si="148"/>
        <v/>
      </c>
      <c r="H806" s="29" t="str">
        <f t="shared" ca="1" si="149"/>
        <v/>
      </c>
      <c r="I806" s="24"/>
      <c r="J806" s="30"/>
      <c r="K806" s="27" t="str">
        <f>IF(ИТОГ!A806=0,"",ИТОГ!A806)</f>
        <v/>
      </c>
      <c r="L806" s="26" t="str">
        <f t="shared" si="150"/>
        <v/>
      </c>
      <c r="M806" s="25" t="str">
        <f>IF(K806="","",ИТОГ!Q806)</f>
        <v/>
      </c>
      <c r="N806" s="28" t="str">
        <f>IF(K806="","",ИТОГ!N806)</f>
        <v/>
      </c>
      <c r="O806" s="30" t="str">
        <f t="shared" si="151"/>
        <v/>
      </c>
      <c r="P806" s="24"/>
      <c r="Q806" s="30" t="str">
        <f t="shared" si="152"/>
        <v/>
      </c>
      <c r="R806" s="29" t="str">
        <f t="shared" ca="1" si="153"/>
        <v/>
      </c>
    </row>
    <row r="807" spans="1:18">
      <c r="A807" s="23" t="str">
        <f t="shared" si="143"/>
        <v/>
      </c>
      <c r="B807" s="23" t="str">
        <f t="shared" si="144"/>
        <v/>
      </c>
      <c r="C807" s="29" t="str">
        <f t="shared" ca="1" si="145"/>
        <v/>
      </c>
      <c r="D807" s="22" t="str">
        <f>IF(K807="","",ИТОГ!S807)</f>
        <v/>
      </c>
      <c r="E807" s="24" t="str">
        <f t="shared" si="146"/>
        <v/>
      </c>
      <c r="F807" s="30" t="str">
        <f t="shared" si="147"/>
        <v/>
      </c>
      <c r="G807" s="25" t="str">
        <f t="shared" si="148"/>
        <v/>
      </c>
      <c r="H807" s="29" t="str">
        <f t="shared" ca="1" si="149"/>
        <v/>
      </c>
      <c r="I807" s="24"/>
      <c r="J807" s="30"/>
      <c r="K807" s="27" t="str">
        <f>IF(ИТОГ!A807=0,"",ИТОГ!A807)</f>
        <v/>
      </c>
      <c r="L807" s="26" t="str">
        <f t="shared" si="150"/>
        <v/>
      </c>
      <c r="M807" s="25" t="str">
        <f>IF(K807="","",ИТОГ!Q807)</f>
        <v/>
      </c>
      <c r="N807" s="28" t="str">
        <f>IF(K807="","",ИТОГ!N807)</f>
        <v/>
      </c>
      <c r="O807" s="30" t="str">
        <f t="shared" si="151"/>
        <v/>
      </c>
      <c r="P807" s="24"/>
      <c r="Q807" s="30" t="str">
        <f t="shared" si="152"/>
        <v/>
      </c>
      <c r="R807" s="29" t="str">
        <f t="shared" ca="1" si="153"/>
        <v/>
      </c>
    </row>
    <row r="808" spans="1:18">
      <c r="A808" s="23" t="str">
        <f t="shared" si="143"/>
        <v/>
      </c>
      <c r="B808" s="23" t="str">
        <f t="shared" si="144"/>
        <v/>
      </c>
      <c r="C808" s="29" t="str">
        <f t="shared" ca="1" si="145"/>
        <v/>
      </c>
      <c r="D808" s="22" t="str">
        <f>IF(K808="","",ИТОГ!S808)</f>
        <v/>
      </c>
      <c r="E808" s="24" t="str">
        <f t="shared" si="146"/>
        <v/>
      </c>
      <c r="F808" s="30" t="str">
        <f t="shared" si="147"/>
        <v/>
      </c>
      <c r="G808" s="25" t="str">
        <f t="shared" si="148"/>
        <v/>
      </c>
      <c r="H808" s="29" t="str">
        <f t="shared" ca="1" si="149"/>
        <v/>
      </c>
      <c r="I808" s="24"/>
      <c r="J808" s="30"/>
      <c r="K808" s="27" t="str">
        <f>IF(ИТОГ!A808=0,"",ИТОГ!A808)</f>
        <v/>
      </c>
      <c r="L808" s="26" t="str">
        <f t="shared" si="150"/>
        <v/>
      </c>
      <c r="M808" s="25" t="str">
        <f>IF(K808="","",ИТОГ!Q808)</f>
        <v/>
      </c>
      <c r="N808" s="28" t="str">
        <f>IF(K808="","",ИТОГ!N808)</f>
        <v/>
      </c>
      <c r="O808" s="30" t="str">
        <f t="shared" si="151"/>
        <v/>
      </c>
      <c r="P808" s="24"/>
      <c r="Q808" s="30" t="str">
        <f t="shared" si="152"/>
        <v/>
      </c>
      <c r="R808" s="29" t="str">
        <f t="shared" ca="1" si="153"/>
        <v/>
      </c>
    </row>
    <row r="809" spans="1:18">
      <c r="A809" s="23" t="str">
        <f t="shared" si="143"/>
        <v/>
      </c>
      <c r="B809" s="23" t="str">
        <f t="shared" si="144"/>
        <v/>
      </c>
      <c r="C809" s="29" t="str">
        <f t="shared" ca="1" si="145"/>
        <v/>
      </c>
      <c r="D809" s="22" t="str">
        <f>IF(K809="","",ИТОГ!S809)</f>
        <v/>
      </c>
      <c r="E809" s="24" t="str">
        <f t="shared" si="146"/>
        <v/>
      </c>
      <c r="F809" s="30" t="str">
        <f t="shared" si="147"/>
        <v/>
      </c>
      <c r="G809" s="25" t="str">
        <f t="shared" si="148"/>
        <v/>
      </c>
      <c r="H809" s="29" t="str">
        <f t="shared" ca="1" si="149"/>
        <v/>
      </c>
      <c r="I809" s="24"/>
      <c r="J809" s="30"/>
      <c r="K809" s="27" t="str">
        <f>IF(ИТОГ!A809=0,"",ИТОГ!A809)</f>
        <v/>
      </c>
      <c r="L809" s="26" t="str">
        <f t="shared" si="150"/>
        <v/>
      </c>
      <c r="M809" s="25" t="str">
        <f>IF(K809="","",ИТОГ!Q809)</f>
        <v/>
      </c>
      <c r="N809" s="28" t="str">
        <f>IF(K809="","",ИТОГ!N809)</f>
        <v/>
      </c>
      <c r="O809" s="30" t="str">
        <f t="shared" si="151"/>
        <v/>
      </c>
      <c r="P809" s="24"/>
      <c r="Q809" s="30" t="str">
        <f t="shared" si="152"/>
        <v/>
      </c>
      <c r="R809" s="29" t="str">
        <f t="shared" ca="1" si="153"/>
        <v/>
      </c>
    </row>
    <row r="810" spans="1:18">
      <c r="A810" s="23" t="str">
        <f t="shared" si="143"/>
        <v/>
      </c>
      <c r="B810" s="23" t="str">
        <f t="shared" si="144"/>
        <v/>
      </c>
      <c r="C810" s="29" t="str">
        <f t="shared" ca="1" si="145"/>
        <v/>
      </c>
      <c r="D810" s="22" t="str">
        <f>IF(K810="","",ИТОГ!S810)</f>
        <v/>
      </c>
      <c r="E810" s="24" t="str">
        <f t="shared" si="146"/>
        <v/>
      </c>
      <c r="F810" s="30" t="str">
        <f t="shared" si="147"/>
        <v/>
      </c>
      <c r="G810" s="25" t="str">
        <f t="shared" si="148"/>
        <v/>
      </c>
      <c r="H810" s="29" t="str">
        <f t="shared" ca="1" si="149"/>
        <v/>
      </c>
      <c r="I810" s="24"/>
      <c r="J810" s="30"/>
      <c r="K810" s="27" t="str">
        <f>IF(ИТОГ!A810=0,"",ИТОГ!A810)</f>
        <v/>
      </c>
      <c r="L810" s="26" t="str">
        <f t="shared" si="150"/>
        <v/>
      </c>
      <c r="M810" s="25" t="str">
        <f>IF(K810="","",ИТОГ!Q810)</f>
        <v/>
      </c>
      <c r="N810" s="28" t="str">
        <f>IF(K810="","",ИТОГ!N810)</f>
        <v/>
      </c>
      <c r="O810" s="30" t="str">
        <f t="shared" si="151"/>
        <v/>
      </c>
      <c r="P810" s="24"/>
      <c r="Q810" s="30" t="str">
        <f t="shared" si="152"/>
        <v/>
      </c>
      <c r="R810" s="29" t="str">
        <f t="shared" ca="1" si="153"/>
        <v/>
      </c>
    </row>
    <row r="811" spans="1:18">
      <c r="A811" s="23" t="str">
        <f t="shared" si="143"/>
        <v/>
      </c>
      <c r="B811" s="23" t="str">
        <f t="shared" si="144"/>
        <v/>
      </c>
      <c r="C811" s="29" t="str">
        <f t="shared" ca="1" si="145"/>
        <v/>
      </c>
      <c r="D811" s="22" t="str">
        <f>IF(K811="","",ИТОГ!S811)</f>
        <v/>
      </c>
      <c r="E811" s="24" t="str">
        <f t="shared" si="146"/>
        <v/>
      </c>
      <c r="F811" s="30" t="str">
        <f t="shared" si="147"/>
        <v/>
      </c>
      <c r="G811" s="25" t="str">
        <f t="shared" si="148"/>
        <v/>
      </c>
      <c r="H811" s="29" t="str">
        <f t="shared" ca="1" si="149"/>
        <v/>
      </c>
      <c r="I811" s="24"/>
      <c r="J811" s="30"/>
      <c r="K811" s="27" t="str">
        <f>IF(ИТОГ!A811=0,"",ИТОГ!A811)</f>
        <v/>
      </c>
      <c r="L811" s="26" t="str">
        <f t="shared" si="150"/>
        <v/>
      </c>
      <c r="M811" s="25" t="str">
        <f>IF(K811="","",ИТОГ!Q811)</f>
        <v/>
      </c>
      <c r="N811" s="28" t="str">
        <f>IF(K811="","",ИТОГ!N811)</f>
        <v/>
      </c>
      <c r="O811" s="30" t="str">
        <f t="shared" si="151"/>
        <v/>
      </c>
      <c r="P811" s="24"/>
      <c r="Q811" s="30" t="str">
        <f t="shared" si="152"/>
        <v/>
      </c>
      <c r="R811" s="29" t="str">
        <f t="shared" ca="1" si="153"/>
        <v/>
      </c>
    </row>
    <row r="812" spans="1:18">
      <c r="A812" s="23" t="str">
        <f t="shared" si="143"/>
        <v/>
      </c>
      <c r="B812" s="23" t="str">
        <f t="shared" si="144"/>
        <v/>
      </c>
      <c r="C812" s="29" t="str">
        <f t="shared" ca="1" si="145"/>
        <v/>
      </c>
      <c r="D812" s="22" t="str">
        <f>IF(K812="","",ИТОГ!S812)</f>
        <v/>
      </c>
      <c r="E812" s="24" t="str">
        <f t="shared" si="146"/>
        <v/>
      </c>
      <c r="F812" s="30" t="str">
        <f t="shared" si="147"/>
        <v/>
      </c>
      <c r="G812" s="25" t="str">
        <f t="shared" si="148"/>
        <v/>
      </c>
      <c r="H812" s="29" t="str">
        <f t="shared" ca="1" si="149"/>
        <v/>
      </c>
      <c r="I812" s="24"/>
      <c r="J812" s="30"/>
      <c r="K812" s="27" t="str">
        <f>IF(ИТОГ!A812=0,"",ИТОГ!A812)</f>
        <v/>
      </c>
      <c r="L812" s="26" t="str">
        <f t="shared" si="150"/>
        <v/>
      </c>
      <c r="M812" s="25" t="str">
        <f>IF(K812="","",ИТОГ!Q812)</f>
        <v/>
      </c>
      <c r="N812" s="28" t="str">
        <f>IF(K812="","",ИТОГ!N812)</f>
        <v/>
      </c>
      <c r="O812" s="30" t="str">
        <f t="shared" si="151"/>
        <v/>
      </c>
      <c r="P812" s="24"/>
      <c r="Q812" s="30" t="str">
        <f t="shared" si="152"/>
        <v/>
      </c>
      <c r="R812" s="29" t="str">
        <f t="shared" ca="1" si="153"/>
        <v/>
      </c>
    </row>
    <row r="813" spans="1:18">
      <c r="A813" s="23" t="str">
        <f t="shared" si="143"/>
        <v/>
      </c>
      <c r="B813" s="23" t="str">
        <f t="shared" si="144"/>
        <v/>
      </c>
      <c r="C813" s="29" t="str">
        <f t="shared" ca="1" si="145"/>
        <v/>
      </c>
      <c r="D813" s="22" t="str">
        <f>IF(K813="","",ИТОГ!S813)</f>
        <v/>
      </c>
      <c r="E813" s="24" t="str">
        <f t="shared" si="146"/>
        <v/>
      </c>
      <c r="F813" s="30" t="str">
        <f t="shared" si="147"/>
        <v/>
      </c>
      <c r="G813" s="25" t="str">
        <f t="shared" si="148"/>
        <v/>
      </c>
      <c r="H813" s="29" t="str">
        <f t="shared" ca="1" si="149"/>
        <v/>
      </c>
      <c r="I813" s="24"/>
      <c r="J813" s="30"/>
      <c r="K813" s="27" t="str">
        <f>IF(ИТОГ!A813=0,"",ИТОГ!A813)</f>
        <v/>
      </c>
      <c r="L813" s="26" t="str">
        <f t="shared" si="150"/>
        <v/>
      </c>
      <c r="M813" s="25" t="str">
        <f>IF(K813="","",ИТОГ!Q813)</f>
        <v/>
      </c>
      <c r="N813" s="28" t="str">
        <f>IF(K813="","",ИТОГ!N813)</f>
        <v/>
      </c>
      <c r="O813" s="30" t="str">
        <f t="shared" si="151"/>
        <v/>
      </c>
      <c r="P813" s="24"/>
      <c r="Q813" s="30" t="str">
        <f t="shared" si="152"/>
        <v/>
      </c>
      <c r="R813" s="29" t="str">
        <f t="shared" ca="1" si="153"/>
        <v/>
      </c>
    </row>
    <row r="814" spans="1:18">
      <c r="A814" s="23" t="str">
        <f t="shared" si="143"/>
        <v/>
      </c>
      <c r="B814" s="23" t="str">
        <f t="shared" si="144"/>
        <v/>
      </c>
      <c r="C814" s="29" t="str">
        <f t="shared" ca="1" si="145"/>
        <v/>
      </c>
      <c r="D814" s="22" t="str">
        <f>IF(K814="","",ИТОГ!S814)</f>
        <v/>
      </c>
      <c r="E814" s="24" t="str">
        <f t="shared" si="146"/>
        <v/>
      </c>
      <c r="F814" s="30" t="str">
        <f t="shared" si="147"/>
        <v/>
      </c>
      <c r="G814" s="25" t="str">
        <f t="shared" si="148"/>
        <v/>
      </c>
      <c r="H814" s="29" t="str">
        <f t="shared" ca="1" si="149"/>
        <v/>
      </c>
      <c r="I814" s="24"/>
      <c r="J814" s="30"/>
      <c r="K814" s="27" t="str">
        <f>IF(ИТОГ!A814=0,"",ИТОГ!A814)</f>
        <v/>
      </c>
      <c r="L814" s="26" t="str">
        <f t="shared" si="150"/>
        <v/>
      </c>
      <c r="M814" s="25" t="str">
        <f>IF(K814="","",ИТОГ!Q814)</f>
        <v/>
      </c>
      <c r="N814" s="28" t="str">
        <f>IF(K814="","",ИТОГ!N814)</f>
        <v/>
      </c>
      <c r="O814" s="30" t="str">
        <f t="shared" si="151"/>
        <v/>
      </c>
      <c r="P814" s="24"/>
      <c r="Q814" s="30" t="str">
        <f t="shared" si="152"/>
        <v/>
      </c>
      <c r="R814" s="29" t="str">
        <f t="shared" ca="1" si="153"/>
        <v/>
      </c>
    </row>
    <row r="815" spans="1:18">
      <c r="A815" s="23" t="str">
        <f t="shared" si="143"/>
        <v/>
      </c>
      <c r="B815" s="23" t="str">
        <f t="shared" si="144"/>
        <v/>
      </c>
      <c r="C815" s="29" t="str">
        <f t="shared" ca="1" si="145"/>
        <v/>
      </c>
      <c r="D815" s="22" t="str">
        <f>IF(K815="","",ИТОГ!S815)</f>
        <v/>
      </c>
      <c r="E815" s="24" t="str">
        <f t="shared" si="146"/>
        <v/>
      </c>
      <c r="F815" s="30" t="str">
        <f t="shared" si="147"/>
        <v/>
      </c>
      <c r="G815" s="25" t="str">
        <f t="shared" si="148"/>
        <v/>
      </c>
      <c r="H815" s="29" t="str">
        <f t="shared" ca="1" si="149"/>
        <v/>
      </c>
      <c r="I815" s="24"/>
      <c r="J815" s="30"/>
      <c r="K815" s="27" t="str">
        <f>IF(ИТОГ!A815=0,"",ИТОГ!A815)</f>
        <v/>
      </c>
      <c r="L815" s="26" t="str">
        <f t="shared" si="150"/>
        <v/>
      </c>
      <c r="M815" s="25" t="str">
        <f>IF(K815="","",ИТОГ!Q815)</f>
        <v/>
      </c>
      <c r="N815" s="28" t="str">
        <f>IF(K815="","",ИТОГ!N815)</f>
        <v/>
      </c>
      <c r="O815" s="30" t="str">
        <f t="shared" si="151"/>
        <v/>
      </c>
      <c r="P815" s="24"/>
      <c r="Q815" s="30" t="str">
        <f t="shared" si="152"/>
        <v/>
      </c>
      <c r="R815" s="29" t="str">
        <f t="shared" ca="1" si="153"/>
        <v/>
      </c>
    </row>
    <row r="816" spans="1:18">
      <c r="A816" s="23" t="str">
        <f t="shared" si="143"/>
        <v/>
      </c>
      <c r="B816" s="23" t="str">
        <f t="shared" si="144"/>
        <v/>
      </c>
      <c r="C816" s="29" t="str">
        <f t="shared" ca="1" si="145"/>
        <v/>
      </c>
      <c r="D816" s="22" t="str">
        <f>IF(K816="","",ИТОГ!S816)</f>
        <v/>
      </c>
      <c r="E816" s="24" t="str">
        <f t="shared" si="146"/>
        <v/>
      </c>
      <c r="F816" s="30" t="str">
        <f t="shared" si="147"/>
        <v/>
      </c>
      <c r="G816" s="25" t="str">
        <f t="shared" si="148"/>
        <v/>
      </c>
      <c r="H816" s="29" t="str">
        <f t="shared" ca="1" si="149"/>
        <v/>
      </c>
      <c r="I816" s="24"/>
      <c r="J816" s="30"/>
      <c r="K816" s="27" t="str">
        <f>IF(ИТОГ!A816=0,"",ИТОГ!A816)</f>
        <v/>
      </c>
      <c r="L816" s="26" t="str">
        <f t="shared" si="150"/>
        <v/>
      </c>
      <c r="M816" s="25" t="str">
        <f>IF(K816="","",ИТОГ!Q816)</f>
        <v/>
      </c>
      <c r="N816" s="28" t="str">
        <f>IF(K816="","",ИТОГ!N816)</f>
        <v/>
      </c>
      <c r="O816" s="30" t="str">
        <f t="shared" si="151"/>
        <v/>
      </c>
      <c r="P816" s="24"/>
      <c r="Q816" s="30" t="str">
        <f t="shared" si="152"/>
        <v/>
      </c>
      <c r="R816" s="29" t="str">
        <f t="shared" ca="1" si="153"/>
        <v/>
      </c>
    </row>
    <row r="817" spans="1:18">
      <c r="A817" s="23" t="str">
        <f t="shared" si="143"/>
        <v/>
      </c>
      <c r="B817" s="23" t="str">
        <f t="shared" si="144"/>
        <v/>
      </c>
      <c r="C817" s="29" t="str">
        <f t="shared" ca="1" si="145"/>
        <v/>
      </c>
      <c r="D817" s="22" t="str">
        <f>IF(K817="","",ИТОГ!S817)</f>
        <v/>
      </c>
      <c r="E817" s="24" t="str">
        <f t="shared" si="146"/>
        <v/>
      </c>
      <c r="F817" s="30" t="str">
        <f t="shared" si="147"/>
        <v/>
      </c>
      <c r="G817" s="25" t="str">
        <f t="shared" si="148"/>
        <v/>
      </c>
      <c r="H817" s="29" t="str">
        <f t="shared" ca="1" si="149"/>
        <v/>
      </c>
      <c r="I817" s="24"/>
      <c r="J817" s="30"/>
      <c r="K817" s="27" t="str">
        <f>IF(ИТОГ!A817=0,"",ИТОГ!A817)</f>
        <v/>
      </c>
      <c r="L817" s="26" t="str">
        <f t="shared" si="150"/>
        <v/>
      </c>
      <c r="M817" s="25" t="str">
        <f>IF(K817="","",ИТОГ!Q817)</f>
        <v/>
      </c>
      <c r="N817" s="28" t="str">
        <f>IF(K817="","",ИТОГ!N817)</f>
        <v/>
      </c>
      <c r="O817" s="30" t="str">
        <f t="shared" si="151"/>
        <v/>
      </c>
      <c r="P817" s="24"/>
      <c r="Q817" s="30" t="str">
        <f t="shared" si="152"/>
        <v/>
      </c>
      <c r="R817" s="29" t="str">
        <f t="shared" ca="1" si="153"/>
        <v/>
      </c>
    </row>
    <row r="818" spans="1:18">
      <c r="A818" s="23" t="str">
        <f t="shared" si="143"/>
        <v/>
      </c>
      <c r="B818" s="23" t="str">
        <f t="shared" si="144"/>
        <v/>
      </c>
      <c r="C818" s="29" t="str">
        <f t="shared" ca="1" si="145"/>
        <v/>
      </c>
      <c r="D818" s="22" t="str">
        <f>IF(K818="","",ИТОГ!S818)</f>
        <v/>
      </c>
      <c r="E818" s="24" t="str">
        <f t="shared" si="146"/>
        <v/>
      </c>
      <c r="F818" s="30" t="str">
        <f t="shared" si="147"/>
        <v/>
      </c>
      <c r="G818" s="25" t="str">
        <f t="shared" si="148"/>
        <v/>
      </c>
      <c r="H818" s="29" t="str">
        <f t="shared" ca="1" si="149"/>
        <v/>
      </c>
      <c r="I818" s="24"/>
      <c r="J818" s="30"/>
      <c r="K818" s="27" t="str">
        <f>IF(ИТОГ!A818=0,"",ИТОГ!A818)</f>
        <v/>
      </c>
      <c r="L818" s="26" t="str">
        <f t="shared" si="150"/>
        <v/>
      </c>
      <c r="M818" s="25" t="str">
        <f>IF(K818="","",ИТОГ!Q818)</f>
        <v/>
      </c>
      <c r="N818" s="28" t="str">
        <f>IF(K818="","",ИТОГ!N818)</f>
        <v/>
      </c>
      <c r="O818" s="30" t="str">
        <f t="shared" si="151"/>
        <v/>
      </c>
      <c r="P818" s="24"/>
      <c r="Q818" s="30" t="str">
        <f t="shared" si="152"/>
        <v/>
      </c>
      <c r="R818" s="29" t="str">
        <f t="shared" ca="1" si="153"/>
        <v/>
      </c>
    </row>
    <row r="819" spans="1:18">
      <c r="A819" s="23" t="str">
        <f t="shared" si="143"/>
        <v/>
      </c>
      <c r="B819" s="23" t="str">
        <f t="shared" si="144"/>
        <v/>
      </c>
      <c r="C819" s="29" t="str">
        <f t="shared" ca="1" si="145"/>
        <v/>
      </c>
      <c r="D819" s="22" t="str">
        <f>IF(K819="","",ИТОГ!S819)</f>
        <v/>
      </c>
      <c r="E819" s="24" t="str">
        <f t="shared" si="146"/>
        <v/>
      </c>
      <c r="F819" s="30" t="str">
        <f t="shared" si="147"/>
        <v/>
      </c>
      <c r="G819" s="25" t="str">
        <f t="shared" si="148"/>
        <v/>
      </c>
      <c r="H819" s="29" t="str">
        <f t="shared" ca="1" si="149"/>
        <v/>
      </c>
      <c r="I819" s="24"/>
      <c r="J819" s="30"/>
      <c r="K819" s="27" t="str">
        <f>IF(ИТОГ!A819=0,"",ИТОГ!A819)</f>
        <v/>
      </c>
      <c r="L819" s="26" t="str">
        <f t="shared" si="150"/>
        <v/>
      </c>
      <c r="M819" s="25" t="str">
        <f>IF(K819="","",ИТОГ!Q819)</f>
        <v/>
      </c>
      <c r="N819" s="28" t="str">
        <f>IF(K819="","",ИТОГ!N819)</f>
        <v/>
      </c>
      <c r="O819" s="30" t="str">
        <f t="shared" si="151"/>
        <v/>
      </c>
      <c r="P819" s="24"/>
      <c r="Q819" s="30" t="str">
        <f t="shared" si="152"/>
        <v/>
      </c>
      <c r="R819" s="29" t="str">
        <f t="shared" ca="1" si="153"/>
        <v/>
      </c>
    </row>
    <row r="820" spans="1:18">
      <c r="A820" s="23" t="str">
        <f t="shared" si="143"/>
        <v/>
      </c>
      <c r="B820" s="23" t="str">
        <f t="shared" si="144"/>
        <v/>
      </c>
      <c r="C820" s="29" t="str">
        <f t="shared" ca="1" si="145"/>
        <v/>
      </c>
      <c r="D820" s="22" t="str">
        <f>IF(K820="","",ИТОГ!S820)</f>
        <v/>
      </c>
      <c r="E820" s="24" t="str">
        <f t="shared" si="146"/>
        <v/>
      </c>
      <c r="F820" s="30" t="str">
        <f t="shared" si="147"/>
        <v/>
      </c>
      <c r="G820" s="25" t="str">
        <f t="shared" si="148"/>
        <v/>
      </c>
      <c r="H820" s="29" t="str">
        <f t="shared" ca="1" si="149"/>
        <v/>
      </c>
      <c r="I820" s="24"/>
      <c r="J820" s="30"/>
      <c r="K820" s="27" t="str">
        <f>IF(ИТОГ!A820=0,"",ИТОГ!A820)</f>
        <v/>
      </c>
      <c r="L820" s="26" t="str">
        <f t="shared" si="150"/>
        <v/>
      </c>
      <c r="M820" s="25" t="str">
        <f>IF(K820="","",ИТОГ!Q820)</f>
        <v/>
      </c>
      <c r="N820" s="28" t="str">
        <f>IF(K820="","",ИТОГ!N820)</f>
        <v/>
      </c>
      <c r="O820" s="30" t="str">
        <f t="shared" si="151"/>
        <v/>
      </c>
      <c r="P820" s="24"/>
      <c r="Q820" s="30" t="str">
        <f t="shared" si="152"/>
        <v/>
      </c>
      <c r="R820" s="29" t="str">
        <f t="shared" ca="1" si="153"/>
        <v/>
      </c>
    </row>
    <row r="821" spans="1:18">
      <c r="A821" s="23" t="str">
        <f t="shared" si="143"/>
        <v/>
      </c>
      <c r="B821" s="23" t="str">
        <f t="shared" si="144"/>
        <v/>
      </c>
      <c r="C821" s="29" t="str">
        <f t="shared" ca="1" si="145"/>
        <v/>
      </c>
      <c r="D821" s="22" t="str">
        <f>IF(K821="","",ИТОГ!S821)</f>
        <v/>
      </c>
      <c r="E821" s="24" t="str">
        <f t="shared" si="146"/>
        <v/>
      </c>
      <c r="F821" s="30" t="str">
        <f t="shared" si="147"/>
        <v/>
      </c>
      <c r="G821" s="25" t="str">
        <f t="shared" si="148"/>
        <v/>
      </c>
      <c r="H821" s="29" t="str">
        <f t="shared" ca="1" si="149"/>
        <v/>
      </c>
      <c r="I821" s="24"/>
      <c r="J821" s="30"/>
      <c r="K821" s="27" t="str">
        <f>IF(ИТОГ!A821=0,"",ИТОГ!A821)</f>
        <v/>
      </c>
      <c r="L821" s="26" t="str">
        <f t="shared" si="150"/>
        <v/>
      </c>
      <c r="M821" s="25" t="str">
        <f>IF(K821="","",ИТОГ!Q821)</f>
        <v/>
      </c>
      <c r="N821" s="28" t="str">
        <f>IF(K821="","",ИТОГ!N821)</f>
        <v/>
      </c>
      <c r="O821" s="30" t="str">
        <f t="shared" si="151"/>
        <v/>
      </c>
      <c r="P821" s="24"/>
      <c r="Q821" s="30" t="str">
        <f t="shared" si="152"/>
        <v/>
      </c>
      <c r="R821" s="29" t="str">
        <f t="shared" ca="1" si="153"/>
        <v/>
      </c>
    </row>
    <row r="822" spans="1:18">
      <c r="A822" s="23" t="str">
        <f t="shared" si="143"/>
        <v/>
      </c>
      <c r="B822" s="23" t="str">
        <f t="shared" si="144"/>
        <v/>
      </c>
      <c r="C822" s="29" t="str">
        <f t="shared" ca="1" si="145"/>
        <v/>
      </c>
      <c r="D822" s="22" t="str">
        <f>IF(K822="","",ИТОГ!S822)</f>
        <v/>
      </c>
      <c r="E822" s="24" t="str">
        <f t="shared" si="146"/>
        <v/>
      </c>
      <c r="F822" s="30" t="str">
        <f t="shared" si="147"/>
        <v/>
      </c>
      <c r="G822" s="25" t="str">
        <f t="shared" si="148"/>
        <v/>
      </c>
      <c r="H822" s="29" t="str">
        <f t="shared" ca="1" si="149"/>
        <v/>
      </c>
      <c r="I822" s="24"/>
      <c r="J822" s="30"/>
      <c r="K822" s="27" t="str">
        <f>IF(ИТОГ!A822=0,"",ИТОГ!A822)</f>
        <v/>
      </c>
      <c r="L822" s="26" t="str">
        <f t="shared" si="150"/>
        <v/>
      </c>
      <c r="M822" s="25" t="str">
        <f>IF(K822="","",ИТОГ!Q822)</f>
        <v/>
      </c>
      <c r="N822" s="28" t="str">
        <f>IF(K822="","",ИТОГ!N822)</f>
        <v/>
      </c>
      <c r="O822" s="30" t="str">
        <f t="shared" si="151"/>
        <v/>
      </c>
      <c r="P822" s="24"/>
      <c r="Q822" s="30" t="str">
        <f t="shared" si="152"/>
        <v/>
      </c>
      <c r="R822" s="29" t="str">
        <f t="shared" ca="1" si="153"/>
        <v/>
      </c>
    </row>
    <row r="823" spans="1:18">
      <c r="A823" s="23" t="str">
        <f t="shared" si="143"/>
        <v/>
      </c>
      <c r="B823" s="23" t="str">
        <f t="shared" si="144"/>
        <v/>
      </c>
      <c r="C823" s="29" t="str">
        <f t="shared" ca="1" si="145"/>
        <v/>
      </c>
      <c r="D823" s="22" t="str">
        <f>IF(K823="","",ИТОГ!S823)</f>
        <v/>
      </c>
      <c r="E823" s="24" t="str">
        <f t="shared" si="146"/>
        <v/>
      </c>
      <c r="F823" s="30" t="str">
        <f t="shared" si="147"/>
        <v/>
      </c>
      <c r="G823" s="25" t="str">
        <f t="shared" si="148"/>
        <v/>
      </c>
      <c r="H823" s="29" t="str">
        <f t="shared" ca="1" si="149"/>
        <v/>
      </c>
      <c r="I823" s="24"/>
      <c r="J823" s="30"/>
      <c r="K823" s="27" t="str">
        <f>IF(ИТОГ!A823=0,"",ИТОГ!A823)</f>
        <v/>
      </c>
      <c r="L823" s="26" t="str">
        <f t="shared" si="150"/>
        <v/>
      </c>
      <c r="M823" s="25" t="str">
        <f>IF(K823="","",ИТОГ!Q823)</f>
        <v/>
      </c>
      <c r="N823" s="28" t="str">
        <f>IF(K823="","",ИТОГ!N823)</f>
        <v/>
      </c>
      <c r="O823" s="30" t="str">
        <f t="shared" si="151"/>
        <v/>
      </c>
      <c r="P823" s="24"/>
      <c r="Q823" s="30" t="str">
        <f t="shared" si="152"/>
        <v/>
      </c>
      <c r="R823" s="29" t="str">
        <f t="shared" ca="1" si="153"/>
        <v/>
      </c>
    </row>
    <row r="824" spans="1:18">
      <c r="A824" s="23" t="str">
        <f t="shared" si="143"/>
        <v/>
      </c>
      <c r="B824" s="23" t="str">
        <f t="shared" si="144"/>
        <v/>
      </c>
      <c r="C824" s="29" t="str">
        <f t="shared" ca="1" si="145"/>
        <v/>
      </c>
      <c r="D824" s="22" t="str">
        <f>IF(K824="","",ИТОГ!S824)</f>
        <v/>
      </c>
      <c r="E824" s="24" t="str">
        <f t="shared" si="146"/>
        <v/>
      </c>
      <c r="F824" s="30" t="str">
        <f t="shared" si="147"/>
        <v/>
      </c>
      <c r="G824" s="25" t="str">
        <f t="shared" si="148"/>
        <v/>
      </c>
      <c r="H824" s="29" t="str">
        <f t="shared" ca="1" si="149"/>
        <v/>
      </c>
      <c r="I824" s="24"/>
      <c r="J824" s="30"/>
      <c r="K824" s="27" t="str">
        <f>IF(ИТОГ!A824=0,"",ИТОГ!A824)</f>
        <v/>
      </c>
      <c r="L824" s="26" t="str">
        <f t="shared" si="150"/>
        <v/>
      </c>
      <c r="M824" s="25" t="str">
        <f>IF(K824="","",ИТОГ!Q824)</f>
        <v/>
      </c>
      <c r="N824" s="28" t="str">
        <f>IF(K824="","",ИТОГ!N824)</f>
        <v/>
      </c>
      <c r="O824" s="30" t="str">
        <f t="shared" si="151"/>
        <v/>
      </c>
      <c r="P824" s="24"/>
      <c r="Q824" s="30" t="str">
        <f t="shared" si="152"/>
        <v/>
      </c>
      <c r="R824" s="29" t="str">
        <f t="shared" ca="1" si="153"/>
        <v/>
      </c>
    </row>
    <row r="825" spans="1:18">
      <c r="A825" s="23" t="str">
        <f t="shared" si="143"/>
        <v/>
      </c>
      <c r="B825" s="23" t="str">
        <f t="shared" si="144"/>
        <v/>
      </c>
      <c r="C825" s="29" t="str">
        <f t="shared" ca="1" si="145"/>
        <v/>
      </c>
      <c r="D825" s="22" t="str">
        <f>IF(K825="","",ИТОГ!S825)</f>
        <v/>
      </c>
      <c r="E825" s="24" t="str">
        <f t="shared" si="146"/>
        <v/>
      </c>
      <c r="F825" s="30" t="str">
        <f t="shared" si="147"/>
        <v/>
      </c>
      <c r="G825" s="25" t="str">
        <f t="shared" si="148"/>
        <v/>
      </c>
      <c r="H825" s="29" t="str">
        <f t="shared" ca="1" si="149"/>
        <v/>
      </c>
      <c r="I825" s="24"/>
      <c r="J825" s="30"/>
      <c r="K825" s="27" t="str">
        <f>IF(ИТОГ!A825=0,"",ИТОГ!A825)</f>
        <v/>
      </c>
      <c r="L825" s="26" t="str">
        <f t="shared" si="150"/>
        <v/>
      </c>
      <c r="M825" s="25" t="str">
        <f>IF(K825="","",ИТОГ!Q825)</f>
        <v/>
      </c>
      <c r="N825" s="28" t="str">
        <f>IF(K825="","",ИТОГ!N825)</f>
        <v/>
      </c>
      <c r="O825" s="30" t="str">
        <f t="shared" si="151"/>
        <v/>
      </c>
      <c r="P825" s="24"/>
      <c r="Q825" s="30" t="str">
        <f t="shared" si="152"/>
        <v/>
      </c>
      <c r="R825" s="29" t="str">
        <f t="shared" ca="1" si="153"/>
        <v/>
      </c>
    </row>
    <row r="826" spans="1:18">
      <c r="A826" s="23" t="str">
        <f t="shared" si="143"/>
        <v/>
      </c>
      <c r="B826" s="23" t="str">
        <f t="shared" si="144"/>
        <v/>
      </c>
      <c r="C826" s="29" t="str">
        <f t="shared" ca="1" si="145"/>
        <v/>
      </c>
      <c r="D826" s="22" t="str">
        <f>IF(K826="","",ИТОГ!S826)</f>
        <v/>
      </c>
      <c r="E826" s="24" t="str">
        <f t="shared" si="146"/>
        <v/>
      </c>
      <c r="F826" s="30" t="str">
        <f t="shared" si="147"/>
        <v/>
      </c>
      <c r="G826" s="25" t="str">
        <f t="shared" si="148"/>
        <v/>
      </c>
      <c r="H826" s="29" t="str">
        <f t="shared" ca="1" si="149"/>
        <v/>
      </c>
      <c r="I826" s="24"/>
      <c r="J826" s="30"/>
      <c r="K826" s="27" t="str">
        <f>IF(ИТОГ!A826=0,"",ИТОГ!A826)</f>
        <v/>
      </c>
      <c r="L826" s="26" t="str">
        <f t="shared" si="150"/>
        <v/>
      </c>
      <c r="M826" s="25" t="str">
        <f>IF(K826="","",ИТОГ!Q826)</f>
        <v/>
      </c>
      <c r="N826" s="28" t="str">
        <f>IF(K826="","",ИТОГ!N826)</f>
        <v/>
      </c>
      <c r="O826" s="30" t="str">
        <f t="shared" si="151"/>
        <v/>
      </c>
      <c r="P826" s="24"/>
      <c r="Q826" s="30" t="str">
        <f t="shared" si="152"/>
        <v/>
      </c>
      <c r="R826" s="29" t="str">
        <f t="shared" ca="1" si="153"/>
        <v/>
      </c>
    </row>
    <row r="827" spans="1:18">
      <c r="A827" s="23" t="str">
        <f t="shared" si="143"/>
        <v/>
      </c>
      <c r="B827" s="23" t="str">
        <f t="shared" si="144"/>
        <v/>
      </c>
      <c r="C827" s="29" t="str">
        <f t="shared" ca="1" si="145"/>
        <v/>
      </c>
      <c r="D827" s="22" t="str">
        <f>IF(K827="","",ИТОГ!S827)</f>
        <v/>
      </c>
      <c r="E827" s="24" t="str">
        <f t="shared" si="146"/>
        <v/>
      </c>
      <c r="F827" s="30" t="str">
        <f t="shared" si="147"/>
        <v/>
      </c>
      <c r="G827" s="25" t="str">
        <f t="shared" si="148"/>
        <v/>
      </c>
      <c r="H827" s="29" t="str">
        <f t="shared" ca="1" si="149"/>
        <v/>
      </c>
      <c r="I827" s="24"/>
      <c r="J827" s="30"/>
      <c r="K827" s="27" t="str">
        <f>IF(ИТОГ!A827=0,"",ИТОГ!A827)</f>
        <v/>
      </c>
      <c r="L827" s="26" t="str">
        <f t="shared" si="150"/>
        <v/>
      </c>
      <c r="M827" s="25" t="str">
        <f>IF(K827="","",ИТОГ!Q827)</f>
        <v/>
      </c>
      <c r="N827" s="28" t="str">
        <f>IF(K827="","",ИТОГ!N827)</f>
        <v/>
      </c>
      <c r="O827" s="30" t="str">
        <f t="shared" si="151"/>
        <v/>
      </c>
      <c r="P827" s="24"/>
      <c r="Q827" s="30" t="str">
        <f t="shared" si="152"/>
        <v/>
      </c>
      <c r="R827" s="29" t="str">
        <f t="shared" ca="1" si="153"/>
        <v/>
      </c>
    </row>
    <row r="828" spans="1:18">
      <c r="A828" s="23" t="str">
        <f t="shared" si="143"/>
        <v/>
      </c>
      <c r="B828" s="23" t="str">
        <f t="shared" si="144"/>
        <v/>
      </c>
      <c r="C828" s="29" t="str">
        <f t="shared" ca="1" si="145"/>
        <v/>
      </c>
      <c r="D828" s="22" t="str">
        <f>IF(K828="","",ИТОГ!S828)</f>
        <v/>
      </c>
      <c r="E828" s="24" t="str">
        <f t="shared" si="146"/>
        <v/>
      </c>
      <c r="F828" s="30" t="str">
        <f t="shared" si="147"/>
        <v/>
      </c>
      <c r="G828" s="25" t="str">
        <f t="shared" si="148"/>
        <v/>
      </c>
      <c r="H828" s="29" t="str">
        <f t="shared" ca="1" si="149"/>
        <v/>
      </c>
      <c r="I828" s="24"/>
      <c r="J828" s="30"/>
      <c r="K828" s="27" t="str">
        <f>IF(ИТОГ!A828=0,"",ИТОГ!A828)</f>
        <v/>
      </c>
      <c r="L828" s="26" t="str">
        <f t="shared" si="150"/>
        <v/>
      </c>
      <c r="M828" s="25" t="str">
        <f>IF(K828="","",ИТОГ!Q828)</f>
        <v/>
      </c>
      <c r="N828" s="28" t="str">
        <f>IF(K828="","",ИТОГ!N828)</f>
        <v/>
      </c>
      <c r="O828" s="30" t="str">
        <f t="shared" si="151"/>
        <v/>
      </c>
      <c r="P828" s="24"/>
      <c r="Q828" s="30" t="str">
        <f t="shared" si="152"/>
        <v/>
      </c>
      <c r="R828" s="29" t="str">
        <f t="shared" ca="1" si="153"/>
        <v/>
      </c>
    </row>
    <row r="829" spans="1:18">
      <c r="A829" s="23" t="str">
        <f t="shared" si="143"/>
        <v/>
      </c>
      <c r="B829" s="23" t="str">
        <f t="shared" si="144"/>
        <v/>
      </c>
      <c r="C829" s="29" t="str">
        <f t="shared" ca="1" si="145"/>
        <v/>
      </c>
      <c r="D829" s="22" t="str">
        <f>IF(K829="","",ИТОГ!S829)</f>
        <v/>
      </c>
      <c r="E829" s="24" t="str">
        <f t="shared" si="146"/>
        <v/>
      </c>
      <c r="F829" s="30" t="str">
        <f t="shared" si="147"/>
        <v/>
      </c>
      <c r="G829" s="25" t="str">
        <f t="shared" si="148"/>
        <v/>
      </c>
      <c r="H829" s="29" t="str">
        <f t="shared" ca="1" si="149"/>
        <v/>
      </c>
      <c r="I829" s="24"/>
      <c r="J829" s="30"/>
      <c r="K829" s="27" t="str">
        <f>IF(ИТОГ!A829=0,"",ИТОГ!A829)</f>
        <v/>
      </c>
      <c r="L829" s="26" t="str">
        <f t="shared" si="150"/>
        <v/>
      </c>
      <c r="M829" s="25" t="str">
        <f>IF(K829="","",ИТОГ!Q829)</f>
        <v/>
      </c>
      <c r="N829" s="28" t="str">
        <f>IF(K829="","",ИТОГ!N829)</f>
        <v/>
      </c>
      <c r="O829" s="30" t="str">
        <f t="shared" si="151"/>
        <v/>
      </c>
      <c r="P829" s="24"/>
      <c r="Q829" s="30" t="str">
        <f t="shared" si="152"/>
        <v/>
      </c>
      <c r="R829" s="29" t="str">
        <f t="shared" ca="1" si="153"/>
        <v/>
      </c>
    </row>
    <row r="830" spans="1:18">
      <c r="A830" s="23" t="str">
        <f t="shared" si="143"/>
        <v/>
      </c>
      <c r="B830" s="23" t="str">
        <f t="shared" si="144"/>
        <v/>
      </c>
      <c r="C830" s="29" t="str">
        <f t="shared" ca="1" si="145"/>
        <v/>
      </c>
      <c r="D830" s="22" t="str">
        <f>IF(K830="","",ИТОГ!S830)</f>
        <v/>
      </c>
      <c r="E830" s="24" t="str">
        <f t="shared" si="146"/>
        <v/>
      </c>
      <c r="F830" s="30" t="str">
        <f t="shared" si="147"/>
        <v/>
      </c>
      <c r="G830" s="25" t="str">
        <f t="shared" si="148"/>
        <v/>
      </c>
      <c r="H830" s="29" t="str">
        <f t="shared" ca="1" si="149"/>
        <v/>
      </c>
      <c r="I830" s="24"/>
      <c r="J830" s="30"/>
      <c r="K830" s="27" t="str">
        <f>IF(ИТОГ!A830=0,"",ИТОГ!A830)</f>
        <v/>
      </c>
      <c r="L830" s="26" t="str">
        <f t="shared" si="150"/>
        <v/>
      </c>
      <c r="M830" s="25" t="str">
        <f>IF(K830="","",ИТОГ!Q830)</f>
        <v/>
      </c>
      <c r="N830" s="28" t="str">
        <f>IF(K830="","",ИТОГ!N830)</f>
        <v/>
      </c>
      <c r="O830" s="30" t="str">
        <f t="shared" si="151"/>
        <v/>
      </c>
      <c r="P830" s="24"/>
      <c r="Q830" s="30" t="str">
        <f t="shared" si="152"/>
        <v/>
      </c>
      <c r="R830" s="29" t="str">
        <f t="shared" ca="1" si="153"/>
        <v/>
      </c>
    </row>
    <row r="831" spans="1:18">
      <c r="A831" s="23" t="str">
        <f t="shared" si="143"/>
        <v/>
      </c>
      <c r="B831" s="23" t="str">
        <f t="shared" si="144"/>
        <v/>
      </c>
      <c r="C831" s="29" t="str">
        <f t="shared" ca="1" si="145"/>
        <v/>
      </c>
      <c r="D831" s="22" t="str">
        <f>IF(K831="","",ИТОГ!S831)</f>
        <v/>
      </c>
      <c r="E831" s="24" t="str">
        <f t="shared" si="146"/>
        <v/>
      </c>
      <c r="F831" s="30" t="str">
        <f t="shared" si="147"/>
        <v/>
      </c>
      <c r="G831" s="25" t="str">
        <f t="shared" si="148"/>
        <v/>
      </c>
      <c r="H831" s="29" t="str">
        <f t="shared" ca="1" si="149"/>
        <v/>
      </c>
      <c r="I831" s="24"/>
      <c r="J831" s="30"/>
      <c r="K831" s="27" t="str">
        <f>IF(ИТОГ!A831=0,"",ИТОГ!A831)</f>
        <v/>
      </c>
      <c r="L831" s="26" t="str">
        <f t="shared" si="150"/>
        <v/>
      </c>
      <c r="M831" s="25" t="str">
        <f>IF(K831="","",ИТОГ!Q831)</f>
        <v/>
      </c>
      <c r="N831" s="28" t="str">
        <f>IF(K831="","",ИТОГ!N831)</f>
        <v/>
      </c>
      <c r="O831" s="30" t="str">
        <f t="shared" si="151"/>
        <v/>
      </c>
      <c r="P831" s="24"/>
      <c r="Q831" s="30" t="str">
        <f t="shared" si="152"/>
        <v/>
      </c>
      <c r="R831" s="29" t="str">
        <f t="shared" ca="1" si="153"/>
        <v/>
      </c>
    </row>
    <row r="832" spans="1:18">
      <c r="A832" s="23" t="str">
        <f t="shared" si="143"/>
        <v/>
      </c>
      <c r="B832" s="23" t="str">
        <f t="shared" si="144"/>
        <v/>
      </c>
      <c r="C832" s="29" t="str">
        <f t="shared" ca="1" si="145"/>
        <v/>
      </c>
      <c r="D832" s="22" t="str">
        <f>IF(K832="","",ИТОГ!S832)</f>
        <v/>
      </c>
      <c r="E832" s="24" t="str">
        <f t="shared" si="146"/>
        <v/>
      </c>
      <c r="F832" s="30" t="str">
        <f t="shared" si="147"/>
        <v/>
      </c>
      <c r="G832" s="25" t="str">
        <f t="shared" si="148"/>
        <v/>
      </c>
      <c r="H832" s="29" t="str">
        <f t="shared" ca="1" si="149"/>
        <v/>
      </c>
      <c r="I832" s="24"/>
      <c r="J832" s="30"/>
      <c r="K832" s="27" t="str">
        <f>IF(ИТОГ!A832=0,"",ИТОГ!A832)</f>
        <v/>
      </c>
      <c r="L832" s="26" t="str">
        <f t="shared" si="150"/>
        <v/>
      </c>
      <c r="M832" s="25" t="str">
        <f>IF(K832="","",ИТОГ!Q832)</f>
        <v/>
      </c>
      <c r="N832" s="28" t="str">
        <f>IF(K832="","",ИТОГ!N832)</f>
        <v/>
      </c>
      <c r="O832" s="30" t="str">
        <f t="shared" si="151"/>
        <v/>
      </c>
      <c r="P832" s="24"/>
      <c r="Q832" s="30" t="str">
        <f t="shared" si="152"/>
        <v/>
      </c>
      <c r="R832" s="29" t="str">
        <f t="shared" ca="1" si="153"/>
        <v/>
      </c>
    </row>
    <row r="833" spans="1:18">
      <c r="A833" s="23" t="str">
        <f t="shared" si="143"/>
        <v/>
      </c>
      <c r="B833" s="23" t="str">
        <f t="shared" si="144"/>
        <v/>
      </c>
      <c r="C833" s="29" t="str">
        <f t="shared" ca="1" si="145"/>
        <v/>
      </c>
      <c r="D833" s="22" t="str">
        <f>IF(K833="","",ИТОГ!S833)</f>
        <v/>
      </c>
      <c r="E833" s="24" t="str">
        <f t="shared" si="146"/>
        <v/>
      </c>
      <c r="F833" s="30" t="str">
        <f t="shared" si="147"/>
        <v/>
      </c>
      <c r="G833" s="25" t="str">
        <f t="shared" si="148"/>
        <v/>
      </c>
      <c r="H833" s="29" t="str">
        <f t="shared" ca="1" si="149"/>
        <v/>
      </c>
      <c r="I833" s="24"/>
      <c r="J833" s="30"/>
      <c r="K833" s="27" t="str">
        <f>IF(ИТОГ!A833=0,"",ИТОГ!A833)</f>
        <v/>
      </c>
      <c r="L833" s="26" t="str">
        <f t="shared" si="150"/>
        <v/>
      </c>
      <c r="M833" s="25" t="str">
        <f>IF(K833="","",ИТОГ!Q833)</f>
        <v/>
      </c>
      <c r="N833" s="28" t="str">
        <f>IF(K833="","",ИТОГ!N833)</f>
        <v/>
      </c>
      <c r="O833" s="30" t="str">
        <f t="shared" si="151"/>
        <v/>
      </c>
      <c r="P833" s="24"/>
      <c r="Q833" s="30" t="str">
        <f t="shared" si="152"/>
        <v/>
      </c>
      <c r="R833" s="29" t="str">
        <f t="shared" ca="1" si="153"/>
        <v/>
      </c>
    </row>
    <row r="834" spans="1:18">
      <c r="A834" s="23" t="str">
        <f t="shared" si="143"/>
        <v/>
      </c>
      <c r="B834" s="23" t="str">
        <f t="shared" si="144"/>
        <v/>
      </c>
      <c r="C834" s="29" t="str">
        <f t="shared" ca="1" si="145"/>
        <v/>
      </c>
      <c r="D834" s="22" t="str">
        <f>IF(K834="","",ИТОГ!S834)</f>
        <v/>
      </c>
      <c r="E834" s="24" t="str">
        <f t="shared" si="146"/>
        <v/>
      </c>
      <c r="F834" s="30" t="str">
        <f t="shared" si="147"/>
        <v/>
      </c>
      <c r="G834" s="25" t="str">
        <f t="shared" si="148"/>
        <v/>
      </c>
      <c r="H834" s="29" t="str">
        <f t="shared" ca="1" si="149"/>
        <v/>
      </c>
      <c r="I834" s="24"/>
      <c r="J834" s="30"/>
      <c r="K834" s="27" t="str">
        <f>IF(ИТОГ!A834=0,"",ИТОГ!A834)</f>
        <v/>
      </c>
      <c r="L834" s="26" t="str">
        <f t="shared" si="150"/>
        <v/>
      </c>
      <c r="M834" s="25" t="str">
        <f>IF(K834="","",ИТОГ!Q834)</f>
        <v/>
      </c>
      <c r="N834" s="28" t="str">
        <f>IF(K834="","",ИТОГ!N834)</f>
        <v/>
      </c>
      <c r="O834" s="30" t="str">
        <f t="shared" si="151"/>
        <v/>
      </c>
      <c r="P834" s="24"/>
      <c r="Q834" s="30" t="str">
        <f t="shared" si="152"/>
        <v/>
      </c>
      <c r="R834" s="29" t="str">
        <f t="shared" ca="1" si="153"/>
        <v/>
      </c>
    </row>
    <row r="835" spans="1:18">
      <c r="A835" s="23" t="str">
        <f t="shared" si="143"/>
        <v/>
      </c>
      <c r="B835" s="23" t="str">
        <f t="shared" si="144"/>
        <v/>
      </c>
      <c r="C835" s="29" t="str">
        <f t="shared" ca="1" si="145"/>
        <v/>
      </c>
      <c r="D835" s="22" t="str">
        <f>IF(K835="","",ИТОГ!S835)</f>
        <v/>
      </c>
      <c r="E835" s="24" t="str">
        <f t="shared" si="146"/>
        <v/>
      </c>
      <c r="F835" s="30" t="str">
        <f t="shared" si="147"/>
        <v/>
      </c>
      <c r="G835" s="25" t="str">
        <f t="shared" si="148"/>
        <v/>
      </c>
      <c r="H835" s="29" t="str">
        <f t="shared" ca="1" si="149"/>
        <v/>
      </c>
      <c r="I835" s="24"/>
      <c r="J835" s="30"/>
      <c r="K835" s="27" t="str">
        <f>IF(ИТОГ!A835=0,"",ИТОГ!A835)</f>
        <v/>
      </c>
      <c r="L835" s="26" t="str">
        <f t="shared" si="150"/>
        <v/>
      </c>
      <c r="M835" s="25" t="str">
        <f>IF(K835="","",ИТОГ!Q835)</f>
        <v/>
      </c>
      <c r="N835" s="28" t="str">
        <f>IF(K835="","",ИТОГ!N835)</f>
        <v/>
      </c>
      <c r="O835" s="30" t="str">
        <f t="shared" si="151"/>
        <v/>
      </c>
      <c r="P835" s="24"/>
      <c r="Q835" s="30" t="str">
        <f t="shared" si="152"/>
        <v/>
      </c>
      <c r="R835" s="29" t="str">
        <f t="shared" ca="1" si="153"/>
        <v/>
      </c>
    </row>
    <row r="836" spans="1:18">
      <c r="A836" s="23" t="str">
        <f t="shared" si="143"/>
        <v/>
      </c>
      <c r="B836" s="23" t="str">
        <f t="shared" si="144"/>
        <v/>
      </c>
      <c r="C836" s="29" t="str">
        <f t="shared" ca="1" si="145"/>
        <v/>
      </c>
      <c r="D836" s="22" t="str">
        <f>IF(K836="","",ИТОГ!S836)</f>
        <v/>
      </c>
      <c r="E836" s="24" t="str">
        <f t="shared" si="146"/>
        <v/>
      </c>
      <c r="F836" s="30" t="str">
        <f t="shared" si="147"/>
        <v/>
      </c>
      <c r="G836" s="25" t="str">
        <f t="shared" si="148"/>
        <v/>
      </c>
      <c r="H836" s="29" t="str">
        <f t="shared" ca="1" si="149"/>
        <v/>
      </c>
      <c r="I836" s="24"/>
      <c r="J836" s="30"/>
      <c r="K836" s="27" t="str">
        <f>IF(ИТОГ!A836=0,"",ИТОГ!A836)</f>
        <v/>
      </c>
      <c r="L836" s="26" t="str">
        <f t="shared" si="150"/>
        <v/>
      </c>
      <c r="M836" s="25" t="str">
        <f>IF(K836="","",ИТОГ!Q836)</f>
        <v/>
      </c>
      <c r="N836" s="28" t="str">
        <f>IF(K836="","",ИТОГ!N836)</f>
        <v/>
      </c>
      <c r="O836" s="30" t="str">
        <f t="shared" si="151"/>
        <v/>
      </c>
      <c r="P836" s="24"/>
      <c r="Q836" s="30" t="str">
        <f t="shared" si="152"/>
        <v/>
      </c>
      <c r="R836" s="29" t="str">
        <f t="shared" ca="1" si="153"/>
        <v/>
      </c>
    </row>
    <row r="837" spans="1:18">
      <c r="A837" s="23" t="str">
        <f t="shared" si="143"/>
        <v/>
      </c>
      <c r="B837" s="23" t="str">
        <f t="shared" si="144"/>
        <v/>
      </c>
      <c r="C837" s="29" t="str">
        <f t="shared" ca="1" si="145"/>
        <v/>
      </c>
      <c r="D837" s="22" t="str">
        <f>IF(K837="","",ИТОГ!S837)</f>
        <v/>
      </c>
      <c r="E837" s="24" t="str">
        <f t="shared" si="146"/>
        <v/>
      </c>
      <c r="F837" s="30" t="str">
        <f t="shared" si="147"/>
        <v/>
      </c>
      <c r="G837" s="25" t="str">
        <f t="shared" si="148"/>
        <v/>
      </c>
      <c r="H837" s="29" t="str">
        <f t="shared" ca="1" si="149"/>
        <v/>
      </c>
      <c r="I837" s="24"/>
      <c r="J837" s="30"/>
      <c r="K837" s="27" t="str">
        <f>IF(ИТОГ!A837=0,"",ИТОГ!A837)</f>
        <v/>
      </c>
      <c r="L837" s="26" t="str">
        <f t="shared" si="150"/>
        <v/>
      </c>
      <c r="M837" s="25" t="str">
        <f>IF(K837="","",ИТОГ!Q837)</f>
        <v/>
      </c>
      <c r="N837" s="28" t="str">
        <f>IF(K837="","",ИТОГ!N837)</f>
        <v/>
      </c>
      <c r="O837" s="30" t="str">
        <f t="shared" si="151"/>
        <v/>
      </c>
      <c r="P837" s="24"/>
      <c r="Q837" s="30" t="str">
        <f t="shared" si="152"/>
        <v/>
      </c>
      <c r="R837" s="29" t="str">
        <f t="shared" ca="1" si="153"/>
        <v/>
      </c>
    </row>
    <row r="838" spans="1:18">
      <c r="A838" s="23" t="str">
        <f t="shared" si="143"/>
        <v/>
      </c>
      <c r="B838" s="23" t="str">
        <f t="shared" si="144"/>
        <v/>
      </c>
      <c r="C838" s="29" t="str">
        <f t="shared" ca="1" si="145"/>
        <v/>
      </c>
      <c r="D838" s="22" t="str">
        <f>IF(K838="","",ИТОГ!S838)</f>
        <v/>
      </c>
      <c r="E838" s="24" t="str">
        <f t="shared" si="146"/>
        <v/>
      </c>
      <c r="F838" s="30" t="str">
        <f t="shared" si="147"/>
        <v/>
      </c>
      <c r="G838" s="25" t="str">
        <f t="shared" si="148"/>
        <v/>
      </c>
      <c r="H838" s="29" t="str">
        <f t="shared" ca="1" si="149"/>
        <v/>
      </c>
      <c r="I838" s="24"/>
      <c r="J838" s="30"/>
      <c r="K838" s="27" t="str">
        <f>IF(ИТОГ!A838=0,"",ИТОГ!A838)</f>
        <v/>
      </c>
      <c r="L838" s="26" t="str">
        <f t="shared" si="150"/>
        <v/>
      </c>
      <c r="M838" s="25" t="str">
        <f>IF(K838="","",ИТОГ!Q838)</f>
        <v/>
      </c>
      <c r="N838" s="28" t="str">
        <f>IF(K838="","",ИТОГ!N838)</f>
        <v/>
      </c>
      <c r="O838" s="30" t="str">
        <f t="shared" si="151"/>
        <v/>
      </c>
      <c r="P838" s="24"/>
      <c r="Q838" s="30" t="str">
        <f t="shared" si="152"/>
        <v/>
      </c>
      <c r="R838" s="29" t="str">
        <f t="shared" ca="1" si="153"/>
        <v/>
      </c>
    </row>
    <row r="839" spans="1:18">
      <c r="A839" s="23" t="str">
        <f t="shared" si="143"/>
        <v/>
      </c>
      <c r="B839" s="23" t="str">
        <f t="shared" si="144"/>
        <v/>
      </c>
      <c r="C839" s="29" t="str">
        <f t="shared" ca="1" si="145"/>
        <v/>
      </c>
      <c r="D839" s="22" t="str">
        <f>IF(K839="","",ИТОГ!S839)</f>
        <v/>
      </c>
      <c r="E839" s="24" t="str">
        <f t="shared" si="146"/>
        <v/>
      </c>
      <c r="F839" s="30" t="str">
        <f t="shared" si="147"/>
        <v/>
      </c>
      <c r="G839" s="25" t="str">
        <f t="shared" si="148"/>
        <v/>
      </c>
      <c r="H839" s="29" t="str">
        <f t="shared" ca="1" si="149"/>
        <v/>
      </c>
      <c r="I839" s="24"/>
      <c r="J839" s="30"/>
      <c r="K839" s="27" t="str">
        <f>IF(ИТОГ!A839=0,"",ИТОГ!A839)</f>
        <v/>
      </c>
      <c r="L839" s="26" t="str">
        <f t="shared" si="150"/>
        <v/>
      </c>
      <c r="M839" s="25" t="str">
        <f>IF(K839="","",ИТОГ!Q839)</f>
        <v/>
      </c>
      <c r="N839" s="28" t="str">
        <f>IF(K839="","",ИТОГ!N839)</f>
        <v/>
      </c>
      <c r="O839" s="30" t="str">
        <f t="shared" si="151"/>
        <v/>
      </c>
      <c r="P839" s="24"/>
      <c r="Q839" s="30" t="str">
        <f t="shared" si="152"/>
        <v/>
      </c>
      <c r="R839" s="29" t="str">
        <f t="shared" ca="1" si="153"/>
        <v/>
      </c>
    </row>
    <row r="840" spans="1:18">
      <c r="A840" s="23" t="str">
        <f t="shared" si="143"/>
        <v/>
      </c>
      <c r="B840" s="23" t="str">
        <f t="shared" si="144"/>
        <v/>
      </c>
      <c r="C840" s="29" t="str">
        <f t="shared" ca="1" si="145"/>
        <v/>
      </c>
      <c r="D840" s="22" t="str">
        <f>IF(K840="","",ИТОГ!S840)</f>
        <v/>
      </c>
      <c r="E840" s="24" t="str">
        <f t="shared" si="146"/>
        <v/>
      </c>
      <c r="F840" s="30" t="str">
        <f t="shared" si="147"/>
        <v/>
      </c>
      <c r="G840" s="25" t="str">
        <f t="shared" si="148"/>
        <v/>
      </c>
      <c r="H840" s="29" t="str">
        <f t="shared" ca="1" si="149"/>
        <v/>
      </c>
      <c r="I840" s="24"/>
      <c r="J840" s="30"/>
      <c r="K840" s="27" t="str">
        <f>IF(ИТОГ!A840=0,"",ИТОГ!A840)</f>
        <v/>
      </c>
      <c r="L840" s="26" t="str">
        <f t="shared" si="150"/>
        <v/>
      </c>
      <c r="M840" s="25" t="str">
        <f>IF(K840="","",ИТОГ!Q840)</f>
        <v/>
      </c>
      <c r="N840" s="28" t="str">
        <f>IF(K840="","",ИТОГ!N840)</f>
        <v/>
      </c>
      <c r="O840" s="30" t="str">
        <f t="shared" si="151"/>
        <v/>
      </c>
      <c r="P840" s="24"/>
      <c r="Q840" s="30" t="str">
        <f t="shared" si="152"/>
        <v/>
      </c>
      <c r="R840" s="29" t="str">
        <f t="shared" ca="1" si="153"/>
        <v/>
      </c>
    </row>
    <row r="841" spans="1:18">
      <c r="A841" s="23" t="str">
        <f t="shared" si="143"/>
        <v/>
      </c>
      <c r="B841" s="23" t="str">
        <f t="shared" si="144"/>
        <v/>
      </c>
      <c r="C841" s="29" t="str">
        <f t="shared" ca="1" si="145"/>
        <v/>
      </c>
      <c r="D841" s="22" t="str">
        <f>IF(K841="","",ИТОГ!S841)</f>
        <v/>
      </c>
      <c r="E841" s="24" t="str">
        <f t="shared" si="146"/>
        <v/>
      </c>
      <c r="F841" s="30" t="str">
        <f t="shared" si="147"/>
        <v/>
      </c>
      <c r="G841" s="25" t="str">
        <f t="shared" si="148"/>
        <v/>
      </c>
      <c r="H841" s="29" t="str">
        <f t="shared" ca="1" si="149"/>
        <v/>
      </c>
      <c r="I841" s="24"/>
      <c r="J841" s="30"/>
      <c r="K841" s="27" t="str">
        <f>IF(ИТОГ!A841=0,"",ИТОГ!A841)</f>
        <v/>
      </c>
      <c r="L841" s="26" t="str">
        <f t="shared" si="150"/>
        <v/>
      </c>
      <c r="M841" s="25" t="str">
        <f>IF(K841="","",ИТОГ!Q841)</f>
        <v/>
      </c>
      <c r="N841" s="28" t="str">
        <f>IF(K841="","",ИТОГ!N841)</f>
        <v/>
      </c>
      <c r="O841" s="30" t="str">
        <f t="shared" si="151"/>
        <v/>
      </c>
      <c r="P841" s="24"/>
      <c r="Q841" s="30" t="str">
        <f t="shared" si="152"/>
        <v/>
      </c>
      <c r="R841" s="29" t="str">
        <f t="shared" ca="1" si="153"/>
        <v/>
      </c>
    </row>
    <row r="842" spans="1:18">
      <c r="A842" s="23" t="str">
        <f t="shared" si="143"/>
        <v/>
      </c>
      <c r="B842" s="23" t="str">
        <f t="shared" si="144"/>
        <v/>
      </c>
      <c r="C842" s="29" t="str">
        <f t="shared" ca="1" si="145"/>
        <v/>
      </c>
      <c r="D842" s="22" t="str">
        <f>IF(K842="","",ИТОГ!S842)</f>
        <v/>
      </c>
      <c r="E842" s="24" t="str">
        <f t="shared" si="146"/>
        <v/>
      </c>
      <c r="F842" s="30" t="str">
        <f t="shared" si="147"/>
        <v/>
      </c>
      <c r="G842" s="25" t="str">
        <f t="shared" si="148"/>
        <v/>
      </c>
      <c r="H842" s="29" t="str">
        <f t="shared" ca="1" si="149"/>
        <v/>
      </c>
      <c r="I842" s="24"/>
      <c r="J842" s="30"/>
      <c r="K842" s="27" t="str">
        <f>IF(ИТОГ!A842=0,"",ИТОГ!A842)</f>
        <v/>
      </c>
      <c r="L842" s="26" t="str">
        <f t="shared" si="150"/>
        <v/>
      </c>
      <c r="M842" s="25" t="str">
        <f>IF(K842="","",ИТОГ!Q842)</f>
        <v/>
      </c>
      <c r="N842" s="28" t="str">
        <f>IF(K842="","",ИТОГ!N842)</f>
        <v/>
      </c>
      <c r="O842" s="30" t="str">
        <f t="shared" si="151"/>
        <v/>
      </c>
      <c r="P842" s="24"/>
      <c r="Q842" s="30" t="str">
        <f t="shared" si="152"/>
        <v/>
      </c>
      <c r="R842" s="29" t="str">
        <f t="shared" ca="1" si="153"/>
        <v/>
      </c>
    </row>
    <row r="843" spans="1:18">
      <c r="A843" s="23" t="str">
        <f t="shared" si="143"/>
        <v/>
      </c>
      <c r="B843" s="23" t="str">
        <f t="shared" si="144"/>
        <v/>
      </c>
      <c r="C843" s="29" t="str">
        <f t="shared" ca="1" si="145"/>
        <v/>
      </c>
      <c r="D843" s="22" t="str">
        <f>IF(K843="","",ИТОГ!S843)</f>
        <v/>
      </c>
      <c r="E843" s="24" t="str">
        <f t="shared" si="146"/>
        <v/>
      </c>
      <c r="F843" s="30" t="str">
        <f t="shared" si="147"/>
        <v/>
      </c>
      <c r="G843" s="25" t="str">
        <f t="shared" si="148"/>
        <v/>
      </c>
      <c r="H843" s="29" t="str">
        <f t="shared" ca="1" si="149"/>
        <v/>
      </c>
      <c r="I843" s="24"/>
      <c r="J843" s="30"/>
      <c r="K843" s="27" t="str">
        <f>IF(ИТОГ!A843=0,"",ИТОГ!A843)</f>
        <v/>
      </c>
      <c r="L843" s="26" t="str">
        <f t="shared" si="150"/>
        <v/>
      </c>
      <c r="M843" s="25" t="str">
        <f>IF(K843="","",ИТОГ!Q843)</f>
        <v/>
      </c>
      <c r="N843" s="28" t="str">
        <f>IF(K843="","",ИТОГ!N843)</f>
        <v/>
      </c>
      <c r="O843" s="30" t="str">
        <f t="shared" si="151"/>
        <v/>
      </c>
      <c r="P843" s="24"/>
      <c r="Q843" s="30" t="str">
        <f t="shared" si="152"/>
        <v/>
      </c>
      <c r="R843" s="29" t="str">
        <f t="shared" ca="1" si="153"/>
        <v/>
      </c>
    </row>
    <row r="844" spans="1:18">
      <c r="A844" s="23" t="str">
        <f t="shared" si="143"/>
        <v/>
      </c>
      <c r="B844" s="23" t="str">
        <f t="shared" si="144"/>
        <v/>
      </c>
      <c r="C844" s="29" t="str">
        <f t="shared" ca="1" si="145"/>
        <v/>
      </c>
      <c r="D844" s="22" t="str">
        <f>IF(K844="","",ИТОГ!S844)</f>
        <v/>
      </c>
      <c r="E844" s="24" t="str">
        <f t="shared" si="146"/>
        <v/>
      </c>
      <c r="F844" s="30" t="str">
        <f t="shared" si="147"/>
        <v/>
      </c>
      <c r="G844" s="25" t="str">
        <f t="shared" si="148"/>
        <v/>
      </c>
      <c r="H844" s="29" t="str">
        <f t="shared" ca="1" si="149"/>
        <v/>
      </c>
      <c r="I844" s="24"/>
      <c r="J844" s="30"/>
      <c r="K844" s="27" t="str">
        <f>IF(ИТОГ!A844=0,"",ИТОГ!A844)</f>
        <v/>
      </c>
      <c r="L844" s="26" t="str">
        <f t="shared" si="150"/>
        <v/>
      </c>
      <c r="M844" s="25" t="str">
        <f>IF(K844="","",ИТОГ!Q844)</f>
        <v/>
      </c>
      <c r="N844" s="28" t="str">
        <f>IF(K844="","",ИТОГ!N844)</f>
        <v/>
      </c>
      <c r="O844" s="30" t="str">
        <f t="shared" si="151"/>
        <v/>
      </c>
      <c r="P844" s="24"/>
      <c r="Q844" s="30" t="str">
        <f t="shared" si="152"/>
        <v/>
      </c>
      <c r="R844" s="29" t="str">
        <f t="shared" ca="1" si="153"/>
        <v/>
      </c>
    </row>
    <row r="845" spans="1:18">
      <c r="A845" s="23" t="str">
        <f t="shared" si="143"/>
        <v/>
      </c>
      <c r="B845" s="23" t="str">
        <f t="shared" si="144"/>
        <v/>
      </c>
      <c r="C845" s="29" t="str">
        <f t="shared" ca="1" si="145"/>
        <v/>
      </c>
      <c r="D845" s="22" t="str">
        <f>IF(K845="","",ИТОГ!S845)</f>
        <v/>
      </c>
      <c r="E845" s="24" t="str">
        <f t="shared" si="146"/>
        <v/>
      </c>
      <c r="F845" s="30" t="str">
        <f t="shared" si="147"/>
        <v/>
      </c>
      <c r="G845" s="25" t="str">
        <f t="shared" si="148"/>
        <v/>
      </c>
      <c r="H845" s="29" t="str">
        <f t="shared" ca="1" si="149"/>
        <v/>
      </c>
      <c r="I845" s="24"/>
      <c r="J845" s="30"/>
      <c r="K845" s="27" t="str">
        <f>IF(ИТОГ!A845=0,"",ИТОГ!A845)</f>
        <v/>
      </c>
      <c r="L845" s="26" t="str">
        <f t="shared" si="150"/>
        <v/>
      </c>
      <c r="M845" s="25" t="str">
        <f>IF(K845="","",ИТОГ!Q845)</f>
        <v/>
      </c>
      <c r="N845" s="28" t="str">
        <f>IF(K845="","",ИТОГ!N845)</f>
        <v/>
      </c>
      <c r="O845" s="30" t="str">
        <f t="shared" si="151"/>
        <v/>
      </c>
      <c r="P845" s="24"/>
      <c r="Q845" s="30" t="str">
        <f t="shared" si="152"/>
        <v/>
      </c>
      <c r="R845" s="29" t="str">
        <f t="shared" ca="1" si="153"/>
        <v/>
      </c>
    </row>
    <row r="846" spans="1:18">
      <c r="A846" s="23" t="str">
        <f t="shared" si="143"/>
        <v/>
      </c>
      <c r="B846" s="23" t="str">
        <f t="shared" si="144"/>
        <v/>
      </c>
      <c r="C846" s="29" t="str">
        <f t="shared" ca="1" si="145"/>
        <v/>
      </c>
      <c r="D846" s="22" t="str">
        <f>IF(K846="","",ИТОГ!S846)</f>
        <v/>
      </c>
      <c r="E846" s="24" t="str">
        <f t="shared" si="146"/>
        <v/>
      </c>
      <c r="F846" s="30" t="str">
        <f t="shared" si="147"/>
        <v/>
      </c>
      <c r="G846" s="25" t="str">
        <f t="shared" si="148"/>
        <v/>
      </c>
      <c r="H846" s="29" t="str">
        <f t="shared" ca="1" si="149"/>
        <v/>
      </c>
      <c r="I846" s="24"/>
      <c r="J846" s="30"/>
      <c r="K846" s="27" t="str">
        <f>IF(ИТОГ!A846=0,"",ИТОГ!A846)</f>
        <v/>
      </c>
      <c r="L846" s="26" t="str">
        <f t="shared" si="150"/>
        <v/>
      </c>
      <c r="M846" s="25" t="str">
        <f>IF(K846="","",ИТОГ!Q846)</f>
        <v/>
      </c>
      <c r="N846" s="28" t="str">
        <f>IF(K846="","",ИТОГ!N846)</f>
        <v/>
      </c>
      <c r="O846" s="30" t="str">
        <f t="shared" si="151"/>
        <v/>
      </c>
      <c r="P846" s="24"/>
      <c r="Q846" s="30" t="str">
        <f t="shared" si="152"/>
        <v/>
      </c>
      <c r="R846" s="29" t="str">
        <f t="shared" ca="1" si="153"/>
        <v/>
      </c>
    </row>
    <row r="847" spans="1:18">
      <c r="A847" s="23" t="str">
        <f t="shared" si="143"/>
        <v/>
      </c>
      <c r="B847" s="23" t="str">
        <f t="shared" si="144"/>
        <v/>
      </c>
      <c r="C847" s="29" t="str">
        <f t="shared" ca="1" si="145"/>
        <v/>
      </c>
      <c r="D847" s="22" t="str">
        <f>IF(K847="","",ИТОГ!S847)</f>
        <v/>
      </c>
      <c r="E847" s="24" t="str">
        <f t="shared" si="146"/>
        <v/>
      </c>
      <c r="F847" s="30" t="str">
        <f t="shared" si="147"/>
        <v/>
      </c>
      <c r="G847" s="25" t="str">
        <f t="shared" si="148"/>
        <v/>
      </c>
      <c r="H847" s="29" t="str">
        <f t="shared" ca="1" si="149"/>
        <v/>
      </c>
      <c r="I847" s="24"/>
      <c r="J847" s="30"/>
      <c r="K847" s="27" t="str">
        <f>IF(ИТОГ!A847=0,"",ИТОГ!A847)</f>
        <v/>
      </c>
      <c r="L847" s="26" t="str">
        <f t="shared" si="150"/>
        <v/>
      </c>
      <c r="M847" s="25" t="str">
        <f>IF(K847="","",ИТОГ!Q847)</f>
        <v/>
      </c>
      <c r="N847" s="28" t="str">
        <f>IF(K847="","",ИТОГ!N847)</f>
        <v/>
      </c>
      <c r="O847" s="30" t="str">
        <f t="shared" si="151"/>
        <v/>
      </c>
      <c r="P847" s="24"/>
      <c r="Q847" s="30" t="str">
        <f t="shared" si="152"/>
        <v/>
      </c>
      <c r="R847" s="29" t="str">
        <f t="shared" ca="1" si="153"/>
        <v/>
      </c>
    </row>
    <row r="848" spans="1:18">
      <c r="A848" s="23" t="str">
        <f t="shared" si="143"/>
        <v/>
      </c>
      <c r="B848" s="23" t="str">
        <f t="shared" si="144"/>
        <v/>
      </c>
      <c r="C848" s="29" t="str">
        <f t="shared" ca="1" si="145"/>
        <v/>
      </c>
      <c r="D848" s="22" t="str">
        <f>IF(K848="","",ИТОГ!S848)</f>
        <v/>
      </c>
      <c r="E848" s="24" t="str">
        <f t="shared" si="146"/>
        <v/>
      </c>
      <c r="F848" s="30" t="str">
        <f t="shared" si="147"/>
        <v/>
      </c>
      <c r="G848" s="25" t="str">
        <f t="shared" si="148"/>
        <v/>
      </c>
      <c r="H848" s="29" t="str">
        <f t="shared" ca="1" si="149"/>
        <v/>
      </c>
      <c r="I848" s="24"/>
      <c r="J848" s="30"/>
      <c r="K848" s="27" t="str">
        <f>IF(ИТОГ!A848=0,"",ИТОГ!A848)</f>
        <v/>
      </c>
      <c r="L848" s="26" t="str">
        <f t="shared" si="150"/>
        <v/>
      </c>
      <c r="M848" s="25" t="str">
        <f>IF(K848="","",ИТОГ!Q848)</f>
        <v/>
      </c>
      <c r="N848" s="28" t="str">
        <f>IF(K848="","",ИТОГ!N848)</f>
        <v/>
      </c>
      <c r="O848" s="30" t="str">
        <f t="shared" si="151"/>
        <v/>
      </c>
      <c r="P848" s="24"/>
      <c r="Q848" s="30" t="str">
        <f t="shared" si="152"/>
        <v/>
      </c>
      <c r="R848" s="29" t="str">
        <f t="shared" ca="1" si="153"/>
        <v/>
      </c>
    </row>
    <row r="849" spans="1:18">
      <c r="A849" s="23" t="str">
        <f t="shared" si="143"/>
        <v/>
      </c>
      <c r="B849" s="23" t="str">
        <f t="shared" si="144"/>
        <v/>
      </c>
      <c r="C849" s="29" t="str">
        <f t="shared" ca="1" si="145"/>
        <v/>
      </c>
      <c r="D849" s="22" t="str">
        <f>IF(K849="","",ИТОГ!S849)</f>
        <v/>
      </c>
      <c r="E849" s="24" t="str">
        <f t="shared" si="146"/>
        <v/>
      </c>
      <c r="F849" s="30" t="str">
        <f t="shared" si="147"/>
        <v/>
      </c>
      <c r="G849" s="25" t="str">
        <f t="shared" si="148"/>
        <v/>
      </c>
      <c r="H849" s="29" t="str">
        <f t="shared" ca="1" si="149"/>
        <v/>
      </c>
      <c r="I849" s="24"/>
      <c r="J849" s="30"/>
      <c r="K849" s="27" t="str">
        <f>IF(ИТОГ!A849=0,"",ИТОГ!A849)</f>
        <v/>
      </c>
      <c r="L849" s="26" t="str">
        <f t="shared" si="150"/>
        <v/>
      </c>
      <c r="M849" s="25" t="str">
        <f>IF(K849="","",ИТОГ!Q849)</f>
        <v/>
      </c>
      <c r="N849" s="28" t="str">
        <f>IF(K849="","",ИТОГ!N849)</f>
        <v/>
      </c>
      <c r="O849" s="30" t="str">
        <f t="shared" si="151"/>
        <v/>
      </c>
      <c r="P849" s="24"/>
      <c r="Q849" s="30" t="str">
        <f t="shared" si="152"/>
        <v/>
      </c>
      <c r="R849" s="29" t="str">
        <f t="shared" ca="1" si="153"/>
        <v/>
      </c>
    </row>
    <row r="850" spans="1:18">
      <c r="A850" s="23" t="str">
        <f t="shared" si="143"/>
        <v/>
      </c>
      <c r="B850" s="23" t="str">
        <f t="shared" si="144"/>
        <v/>
      </c>
      <c r="C850" s="29" t="str">
        <f t="shared" ca="1" si="145"/>
        <v/>
      </c>
      <c r="D850" s="22" t="str">
        <f>IF(K850="","",ИТОГ!S850)</f>
        <v/>
      </c>
      <c r="E850" s="24" t="str">
        <f t="shared" si="146"/>
        <v/>
      </c>
      <c r="F850" s="30" t="str">
        <f t="shared" si="147"/>
        <v/>
      </c>
      <c r="G850" s="25" t="str">
        <f t="shared" si="148"/>
        <v/>
      </c>
      <c r="H850" s="29" t="str">
        <f t="shared" ca="1" si="149"/>
        <v/>
      </c>
      <c r="I850" s="24"/>
      <c r="J850" s="30"/>
      <c r="K850" s="27" t="str">
        <f>IF(ИТОГ!A850=0,"",ИТОГ!A850)</f>
        <v/>
      </c>
      <c r="L850" s="26" t="str">
        <f t="shared" si="150"/>
        <v/>
      </c>
      <c r="M850" s="25" t="str">
        <f>IF(K850="","",ИТОГ!Q850)</f>
        <v/>
      </c>
      <c r="N850" s="28" t="str">
        <f>IF(K850="","",ИТОГ!N850)</f>
        <v/>
      </c>
      <c r="O850" s="30" t="str">
        <f t="shared" si="151"/>
        <v/>
      </c>
      <c r="P850" s="24"/>
      <c r="Q850" s="30" t="str">
        <f t="shared" si="152"/>
        <v/>
      </c>
      <c r="R850" s="29" t="str">
        <f t="shared" ca="1" si="153"/>
        <v/>
      </c>
    </row>
    <row r="851" spans="1:18">
      <c r="A851" s="23" t="str">
        <f t="shared" si="143"/>
        <v/>
      </c>
      <c r="B851" s="23" t="str">
        <f t="shared" si="144"/>
        <v/>
      </c>
      <c r="C851" s="29" t="str">
        <f t="shared" ca="1" si="145"/>
        <v/>
      </c>
      <c r="D851" s="22" t="str">
        <f>IF(K851="","",ИТОГ!S851)</f>
        <v/>
      </c>
      <c r="E851" s="24" t="str">
        <f t="shared" si="146"/>
        <v/>
      </c>
      <c r="F851" s="30" t="str">
        <f t="shared" si="147"/>
        <v/>
      </c>
      <c r="G851" s="25" t="str">
        <f t="shared" si="148"/>
        <v/>
      </c>
      <c r="H851" s="29" t="str">
        <f t="shared" ca="1" si="149"/>
        <v/>
      </c>
      <c r="I851" s="24"/>
      <c r="J851" s="30"/>
      <c r="K851" s="27" t="str">
        <f>IF(ИТОГ!A851=0,"",ИТОГ!A851)</f>
        <v/>
      </c>
      <c r="L851" s="26" t="str">
        <f t="shared" si="150"/>
        <v/>
      </c>
      <c r="M851" s="25" t="str">
        <f>IF(K851="","",ИТОГ!Q851)</f>
        <v/>
      </c>
      <c r="N851" s="28" t="str">
        <f>IF(K851="","",ИТОГ!N851)</f>
        <v/>
      </c>
      <c r="O851" s="30" t="str">
        <f t="shared" si="151"/>
        <v/>
      </c>
      <c r="P851" s="24"/>
      <c r="Q851" s="30" t="str">
        <f t="shared" si="152"/>
        <v/>
      </c>
      <c r="R851" s="29" t="str">
        <f t="shared" ca="1" si="153"/>
        <v/>
      </c>
    </row>
    <row r="852" spans="1:18">
      <c r="A852" s="23" t="str">
        <f t="shared" si="143"/>
        <v/>
      </c>
      <c r="B852" s="23" t="str">
        <f t="shared" si="144"/>
        <v/>
      </c>
      <c r="C852" s="29" t="str">
        <f t="shared" ca="1" si="145"/>
        <v/>
      </c>
      <c r="D852" s="22" t="str">
        <f>IF(K852="","",ИТОГ!S852)</f>
        <v/>
      </c>
      <c r="E852" s="24" t="str">
        <f t="shared" si="146"/>
        <v/>
      </c>
      <c r="F852" s="30" t="str">
        <f t="shared" si="147"/>
        <v/>
      </c>
      <c r="G852" s="25" t="str">
        <f t="shared" si="148"/>
        <v/>
      </c>
      <c r="H852" s="29" t="str">
        <f t="shared" ca="1" si="149"/>
        <v/>
      </c>
      <c r="I852" s="24"/>
      <c r="J852" s="30"/>
      <c r="K852" s="27" t="str">
        <f>IF(ИТОГ!A852=0,"",ИТОГ!A852)</f>
        <v/>
      </c>
      <c r="L852" s="26" t="str">
        <f t="shared" si="150"/>
        <v/>
      </c>
      <c r="M852" s="25" t="str">
        <f>IF(K852="","",ИТОГ!Q852)</f>
        <v/>
      </c>
      <c r="N852" s="28" t="str">
        <f>IF(K852="","",ИТОГ!N852)</f>
        <v/>
      </c>
      <c r="O852" s="30" t="str">
        <f t="shared" si="151"/>
        <v/>
      </c>
      <c r="P852" s="24"/>
      <c r="Q852" s="30" t="str">
        <f t="shared" si="152"/>
        <v/>
      </c>
      <c r="R852" s="29" t="str">
        <f t="shared" ca="1" si="153"/>
        <v/>
      </c>
    </row>
    <row r="853" spans="1:18">
      <c r="A853" s="23" t="str">
        <f t="shared" si="143"/>
        <v/>
      </c>
      <c r="B853" s="23" t="str">
        <f t="shared" si="144"/>
        <v/>
      </c>
      <c r="C853" s="29" t="str">
        <f t="shared" ca="1" si="145"/>
        <v/>
      </c>
      <c r="D853" s="22" t="str">
        <f>IF(K853="","",ИТОГ!S853)</f>
        <v/>
      </c>
      <c r="E853" s="24" t="str">
        <f t="shared" si="146"/>
        <v/>
      </c>
      <c r="F853" s="30" t="str">
        <f t="shared" si="147"/>
        <v/>
      </c>
      <c r="G853" s="25" t="str">
        <f t="shared" si="148"/>
        <v/>
      </c>
      <c r="H853" s="29" t="str">
        <f t="shared" ca="1" si="149"/>
        <v/>
      </c>
      <c r="I853" s="24"/>
      <c r="J853" s="30"/>
      <c r="K853" s="27" t="str">
        <f>IF(ИТОГ!A853=0,"",ИТОГ!A853)</f>
        <v/>
      </c>
      <c r="L853" s="26" t="str">
        <f t="shared" si="150"/>
        <v/>
      </c>
      <c r="M853" s="25" t="str">
        <f>IF(K853="","",ИТОГ!Q853)</f>
        <v/>
      </c>
      <c r="N853" s="28" t="str">
        <f>IF(K853="","",ИТОГ!N853)</f>
        <v/>
      </c>
      <c r="O853" s="30" t="str">
        <f t="shared" si="151"/>
        <v/>
      </c>
      <c r="P853" s="24"/>
      <c r="Q853" s="30" t="str">
        <f t="shared" si="152"/>
        <v/>
      </c>
      <c r="R853" s="29" t="str">
        <f t="shared" ca="1" si="153"/>
        <v/>
      </c>
    </row>
    <row r="854" spans="1:18">
      <c r="A854" s="23" t="str">
        <f t="shared" si="143"/>
        <v/>
      </c>
      <c r="B854" s="23" t="str">
        <f t="shared" si="144"/>
        <v/>
      </c>
      <c r="C854" s="29" t="str">
        <f t="shared" ca="1" si="145"/>
        <v/>
      </c>
      <c r="D854" s="22" t="str">
        <f>IF(K854="","",ИТОГ!S854)</f>
        <v/>
      </c>
      <c r="E854" s="24" t="str">
        <f t="shared" si="146"/>
        <v/>
      </c>
      <c r="F854" s="30" t="str">
        <f t="shared" si="147"/>
        <v/>
      </c>
      <c r="G854" s="25" t="str">
        <f t="shared" si="148"/>
        <v/>
      </c>
      <c r="H854" s="29" t="str">
        <f t="shared" ca="1" si="149"/>
        <v/>
      </c>
      <c r="I854" s="24"/>
      <c r="J854" s="30"/>
      <c r="K854" s="27" t="str">
        <f>IF(ИТОГ!A854=0,"",ИТОГ!A854)</f>
        <v/>
      </c>
      <c r="L854" s="26" t="str">
        <f t="shared" si="150"/>
        <v/>
      </c>
      <c r="M854" s="25" t="str">
        <f>IF(K854="","",ИТОГ!Q854)</f>
        <v/>
      </c>
      <c r="N854" s="28" t="str">
        <f>IF(K854="","",ИТОГ!N854)</f>
        <v/>
      </c>
      <c r="O854" s="30" t="str">
        <f t="shared" si="151"/>
        <v/>
      </c>
      <c r="P854" s="24"/>
      <c r="Q854" s="30" t="str">
        <f t="shared" si="152"/>
        <v/>
      </c>
      <c r="R854" s="29" t="str">
        <f t="shared" ca="1" si="153"/>
        <v/>
      </c>
    </row>
    <row r="855" spans="1:18">
      <c r="A855" s="23" t="str">
        <f t="shared" si="143"/>
        <v/>
      </c>
      <c r="B855" s="23" t="str">
        <f t="shared" si="144"/>
        <v/>
      </c>
      <c r="C855" s="29" t="str">
        <f t="shared" ca="1" si="145"/>
        <v/>
      </c>
      <c r="D855" s="22" t="str">
        <f>IF(K855="","",ИТОГ!S855)</f>
        <v/>
      </c>
      <c r="E855" s="24" t="str">
        <f t="shared" si="146"/>
        <v/>
      </c>
      <c r="F855" s="30" t="str">
        <f t="shared" si="147"/>
        <v/>
      </c>
      <c r="G855" s="25" t="str">
        <f t="shared" si="148"/>
        <v/>
      </c>
      <c r="H855" s="29" t="str">
        <f t="shared" ca="1" si="149"/>
        <v/>
      </c>
      <c r="I855" s="24"/>
      <c r="J855" s="30"/>
      <c r="K855" s="27" t="str">
        <f>IF(ИТОГ!A855=0,"",ИТОГ!A855)</f>
        <v/>
      </c>
      <c r="L855" s="26" t="str">
        <f t="shared" si="150"/>
        <v/>
      </c>
      <c r="M855" s="25" t="str">
        <f>IF(K855="","",ИТОГ!Q855)</f>
        <v/>
      </c>
      <c r="N855" s="28" t="str">
        <f>IF(K855="","",ИТОГ!N855)</f>
        <v/>
      </c>
      <c r="O855" s="30" t="str">
        <f t="shared" si="151"/>
        <v/>
      </c>
      <c r="P855" s="24"/>
      <c r="Q855" s="30" t="str">
        <f t="shared" si="152"/>
        <v/>
      </c>
      <c r="R855" s="29" t="str">
        <f t="shared" ca="1" si="153"/>
        <v/>
      </c>
    </row>
    <row r="856" spans="1:18">
      <c r="A856" s="23" t="str">
        <f t="shared" si="143"/>
        <v/>
      </c>
      <c r="B856" s="23" t="str">
        <f t="shared" si="144"/>
        <v/>
      </c>
      <c r="C856" s="29" t="str">
        <f t="shared" ca="1" si="145"/>
        <v/>
      </c>
      <c r="D856" s="22" t="str">
        <f>IF(K856="","",ИТОГ!S856)</f>
        <v/>
      </c>
      <c r="E856" s="24" t="str">
        <f t="shared" si="146"/>
        <v/>
      </c>
      <c r="F856" s="30" t="str">
        <f t="shared" si="147"/>
        <v/>
      </c>
      <c r="G856" s="25" t="str">
        <f t="shared" si="148"/>
        <v/>
      </c>
      <c r="H856" s="29" t="str">
        <f t="shared" ca="1" si="149"/>
        <v/>
      </c>
      <c r="I856" s="24"/>
      <c r="J856" s="30"/>
      <c r="K856" s="27" t="str">
        <f>IF(ИТОГ!A856=0,"",ИТОГ!A856)</f>
        <v/>
      </c>
      <c r="L856" s="26" t="str">
        <f t="shared" si="150"/>
        <v/>
      </c>
      <c r="M856" s="25" t="str">
        <f>IF(K856="","",ИТОГ!Q856)</f>
        <v/>
      </c>
      <c r="N856" s="28" t="str">
        <f>IF(K856="","",ИТОГ!N856)</f>
        <v/>
      </c>
      <c r="O856" s="30" t="str">
        <f t="shared" si="151"/>
        <v/>
      </c>
      <c r="P856" s="24"/>
      <c r="Q856" s="30" t="str">
        <f t="shared" si="152"/>
        <v/>
      </c>
      <c r="R856" s="29" t="str">
        <f t="shared" ca="1" si="153"/>
        <v/>
      </c>
    </row>
    <row r="857" spans="1:18">
      <c r="A857" s="23" t="str">
        <f t="shared" si="143"/>
        <v/>
      </c>
      <c r="B857" s="23" t="str">
        <f t="shared" si="144"/>
        <v/>
      </c>
      <c r="C857" s="29" t="str">
        <f t="shared" ca="1" si="145"/>
        <v/>
      </c>
      <c r="D857" s="22" t="str">
        <f>IF(K857="","",ИТОГ!S857)</f>
        <v/>
      </c>
      <c r="E857" s="24" t="str">
        <f t="shared" si="146"/>
        <v/>
      </c>
      <c r="F857" s="30" t="str">
        <f t="shared" si="147"/>
        <v/>
      </c>
      <c r="G857" s="25" t="str">
        <f t="shared" si="148"/>
        <v/>
      </c>
      <c r="H857" s="29" t="str">
        <f t="shared" ca="1" si="149"/>
        <v/>
      </c>
      <c r="I857" s="24"/>
      <c r="J857" s="30"/>
      <c r="K857" s="27" t="str">
        <f>IF(ИТОГ!A857=0,"",ИТОГ!A857)</f>
        <v/>
      </c>
      <c r="L857" s="26" t="str">
        <f t="shared" si="150"/>
        <v/>
      </c>
      <c r="M857" s="25" t="str">
        <f>IF(K857="","",ИТОГ!Q857)</f>
        <v/>
      </c>
      <c r="N857" s="28" t="str">
        <f>IF(K857="","",ИТОГ!N857)</f>
        <v/>
      </c>
      <c r="O857" s="30" t="str">
        <f t="shared" si="151"/>
        <v/>
      </c>
      <c r="P857" s="24"/>
      <c r="Q857" s="30" t="str">
        <f t="shared" si="152"/>
        <v/>
      </c>
      <c r="R857" s="29" t="str">
        <f t="shared" ca="1" si="153"/>
        <v/>
      </c>
    </row>
    <row r="858" spans="1:18">
      <c r="A858" s="23" t="str">
        <f t="shared" si="143"/>
        <v/>
      </c>
      <c r="B858" s="23" t="str">
        <f t="shared" si="144"/>
        <v/>
      </c>
      <c r="C858" s="29" t="str">
        <f t="shared" ca="1" si="145"/>
        <v/>
      </c>
      <c r="D858" s="22" t="str">
        <f>IF(K858="","",ИТОГ!S858)</f>
        <v/>
      </c>
      <c r="E858" s="24" t="str">
        <f t="shared" si="146"/>
        <v/>
      </c>
      <c r="F858" s="30" t="str">
        <f t="shared" si="147"/>
        <v/>
      </c>
      <c r="G858" s="25" t="str">
        <f t="shared" si="148"/>
        <v/>
      </c>
      <c r="H858" s="29" t="str">
        <f t="shared" ca="1" si="149"/>
        <v/>
      </c>
      <c r="I858" s="24"/>
      <c r="J858" s="30"/>
      <c r="K858" s="27" t="str">
        <f>IF(ИТОГ!A858=0,"",ИТОГ!A858)</f>
        <v/>
      </c>
      <c r="L858" s="26" t="str">
        <f t="shared" si="150"/>
        <v/>
      </c>
      <c r="M858" s="25" t="str">
        <f>IF(K858="","",ИТОГ!Q858)</f>
        <v/>
      </c>
      <c r="N858" s="28" t="str">
        <f>IF(K858="","",ИТОГ!N858)</f>
        <v/>
      </c>
      <c r="O858" s="30" t="str">
        <f t="shared" si="151"/>
        <v/>
      </c>
      <c r="P858" s="24"/>
      <c r="Q858" s="30" t="str">
        <f t="shared" si="152"/>
        <v/>
      </c>
      <c r="R858" s="29" t="str">
        <f t="shared" ca="1" si="153"/>
        <v/>
      </c>
    </row>
    <row r="859" spans="1:18">
      <c r="A859" s="23" t="str">
        <f t="shared" si="143"/>
        <v/>
      </c>
      <c r="B859" s="23" t="str">
        <f t="shared" si="144"/>
        <v/>
      </c>
      <c r="C859" s="29" t="str">
        <f t="shared" ca="1" si="145"/>
        <v/>
      </c>
      <c r="D859" s="22" t="str">
        <f>IF(K859="","",ИТОГ!S859)</f>
        <v/>
      </c>
      <c r="E859" s="24" t="str">
        <f t="shared" si="146"/>
        <v/>
      </c>
      <c r="F859" s="30" t="str">
        <f t="shared" si="147"/>
        <v/>
      </c>
      <c r="G859" s="25" t="str">
        <f t="shared" si="148"/>
        <v/>
      </c>
      <c r="H859" s="29" t="str">
        <f t="shared" ca="1" si="149"/>
        <v/>
      </c>
      <c r="I859" s="24"/>
      <c r="J859" s="30"/>
      <c r="K859" s="27" t="str">
        <f>IF(ИТОГ!A859=0,"",ИТОГ!A859)</f>
        <v/>
      </c>
      <c r="L859" s="26" t="str">
        <f t="shared" si="150"/>
        <v/>
      </c>
      <c r="M859" s="25" t="str">
        <f>IF(K859="","",ИТОГ!Q859)</f>
        <v/>
      </c>
      <c r="N859" s="28" t="str">
        <f>IF(K859="","",ИТОГ!N859)</f>
        <v/>
      </c>
      <c r="O859" s="30" t="str">
        <f t="shared" si="151"/>
        <v/>
      </c>
      <c r="P859" s="24"/>
      <c r="Q859" s="30" t="str">
        <f t="shared" si="152"/>
        <v/>
      </c>
      <c r="R859" s="29" t="str">
        <f t="shared" ca="1" si="153"/>
        <v/>
      </c>
    </row>
    <row r="860" spans="1:18">
      <c r="A860" s="23" t="str">
        <f t="shared" si="143"/>
        <v/>
      </c>
      <c r="B860" s="23" t="str">
        <f t="shared" si="144"/>
        <v/>
      </c>
      <c r="C860" s="29" t="str">
        <f t="shared" ca="1" si="145"/>
        <v/>
      </c>
      <c r="D860" s="22" t="str">
        <f>IF(K860="","",ИТОГ!S860)</f>
        <v/>
      </c>
      <c r="E860" s="24" t="str">
        <f t="shared" si="146"/>
        <v/>
      </c>
      <c r="F860" s="30" t="str">
        <f t="shared" si="147"/>
        <v/>
      </c>
      <c r="G860" s="25" t="str">
        <f t="shared" si="148"/>
        <v/>
      </c>
      <c r="H860" s="29" t="str">
        <f t="shared" ca="1" si="149"/>
        <v/>
      </c>
      <c r="I860" s="24"/>
      <c r="J860" s="30"/>
      <c r="K860" s="27" t="str">
        <f>IF(ИТОГ!A860=0,"",ИТОГ!A860)</f>
        <v/>
      </c>
      <c r="L860" s="26" t="str">
        <f t="shared" si="150"/>
        <v/>
      </c>
      <c r="M860" s="25" t="str">
        <f>IF(K860="","",ИТОГ!Q860)</f>
        <v/>
      </c>
      <c r="N860" s="28" t="str">
        <f>IF(K860="","",ИТОГ!N860)</f>
        <v/>
      </c>
      <c r="O860" s="30" t="str">
        <f t="shared" si="151"/>
        <v/>
      </c>
      <c r="P860" s="24"/>
      <c r="Q860" s="30" t="str">
        <f t="shared" si="152"/>
        <v/>
      </c>
      <c r="R860" s="29" t="str">
        <f t="shared" ca="1" si="153"/>
        <v/>
      </c>
    </row>
    <row r="861" spans="1:18">
      <c r="A861" s="23" t="str">
        <f t="shared" si="143"/>
        <v/>
      </c>
      <c r="B861" s="23" t="str">
        <f t="shared" si="144"/>
        <v/>
      </c>
      <c r="C861" s="29" t="str">
        <f t="shared" ca="1" si="145"/>
        <v/>
      </c>
      <c r="D861" s="22" t="str">
        <f>IF(K861="","",ИТОГ!S861)</f>
        <v/>
      </c>
      <c r="E861" s="24" t="str">
        <f t="shared" si="146"/>
        <v/>
      </c>
      <c r="F861" s="30" t="str">
        <f t="shared" si="147"/>
        <v/>
      </c>
      <c r="G861" s="25" t="str">
        <f t="shared" si="148"/>
        <v/>
      </c>
      <c r="H861" s="29" t="str">
        <f t="shared" ca="1" si="149"/>
        <v/>
      </c>
      <c r="I861" s="24"/>
      <c r="J861" s="30"/>
      <c r="K861" s="27" t="str">
        <f>IF(ИТОГ!A861=0,"",ИТОГ!A861)</f>
        <v/>
      </c>
      <c r="L861" s="26" t="str">
        <f t="shared" si="150"/>
        <v/>
      </c>
      <c r="M861" s="25" t="str">
        <f>IF(K861="","",ИТОГ!Q861)</f>
        <v/>
      </c>
      <c r="N861" s="28" t="str">
        <f>IF(K861="","",ИТОГ!N861)</f>
        <v/>
      </c>
      <c r="O861" s="30" t="str">
        <f t="shared" si="151"/>
        <v/>
      </c>
      <c r="P861" s="24"/>
      <c r="Q861" s="30" t="str">
        <f t="shared" si="152"/>
        <v/>
      </c>
      <c r="R861" s="29" t="str">
        <f t="shared" ca="1" si="153"/>
        <v/>
      </c>
    </row>
    <row r="862" spans="1:18">
      <c r="A862" s="23" t="str">
        <f t="shared" ref="A862:A925" si="154">IF(K862="","",1000)</f>
        <v/>
      </c>
      <c r="B862" s="23" t="str">
        <f t="shared" ref="B862:B925" si="155">IF(K862="","",1)</f>
        <v/>
      </c>
      <c r="C862" s="29" t="str">
        <f t="shared" ref="C862:C925" ca="1" si="156">IF(K862="","",TODAY())</f>
        <v/>
      </c>
      <c r="D862" s="22" t="str">
        <f>IF(K862="","",ИТОГ!S862)</f>
        <v/>
      </c>
      <c r="E862" s="24" t="str">
        <f t="shared" ref="E862:E925" si="157">IF(K862="","","Х")</f>
        <v/>
      </c>
      <c r="F862" s="30" t="str">
        <f t="shared" ref="F862:F925" si="158">IF(K862="","","UV")</f>
        <v/>
      </c>
      <c r="G862" s="25" t="str">
        <f t="shared" ref="G862:G925" si="159">IF(K862="","",SUMIF(D:D,D862,M:M))</f>
        <v/>
      </c>
      <c r="H862" s="29" t="str">
        <f t="shared" ref="H862:H925" ca="1" si="160">IF(K862="","",TODAY())</f>
        <v/>
      </c>
      <c r="I862" s="24"/>
      <c r="J862" s="30"/>
      <c r="K862" s="27" t="str">
        <f>IF(ИТОГ!A862=0,"",ИТОГ!A862)</f>
        <v/>
      </c>
      <c r="L862" s="26" t="str">
        <f t="shared" ref="L862:L925" si="161">IF(K862="","",
IF(D861-D862=0,L861+10,10))</f>
        <v/>
      </c>
      <c r="M862" s="25" t="str">
        <f>IF(K862="","",ИТОГ!Q862)</f>
        <v/>
      </c>
      <c r="N862" s="28" t="str">
        <f>IF(K862="","",ИТОГ!N862)</f>
        <v/>
      </c>
      <c r="O862" s="30" t="str">
        <f t="shared" ref="O862:O925" si="162">IF(K862="","","ST")</f>
        <v/>
      </c>
      <c r="P862" s="24"/>
      <c r="Q862" s="30" t="str">
        <f t="shared" ref="Q862:Q925" si="163">IF(K862="","","EUR")</f>
        <v/>
      </c>
      <c r="R862" s="29" t="str">
        <f t="shared" ref="R862:R925" ca="1" si="164">IF(K862="","",TODAY())</f>
        <v/>
      </c>
    </row>
    <row r="863" spans="1:18">
      <c r="A863" s="23" t="str">
        <f t="shared" si="154"/>
        <v/>
      </c>
      <c r="B863" s="23" t="str">
        <f t="shared" si="155"/>
        <v/>
      </c>
      <c r="C863" s="29" t="str">
        <f t="shared" ca="1" si="156"/>
        <v/>
      </c>
      <c r="D863" s="22" t="str">
        <f>IF(K863="","",ИТОГ!S863)</f>
        <v/>
      </c>
      <c r="E863" s="24" t="str">
        <f t="shared" si="157"/>
        <v/>
      </c>
      <c r="F863" s="30" t="str">
        <f t="shared" si="158"/>
        <v/>
      </c>
      <c r="G863" s="25" t="str">
        <f t="shared" si="159"/>
        <v/>
      </c>
      <c r="H863" s="29" t="str">
        <f t="shared" ca="1" si="160"/>
        <v/>
      </c>
      <c r="I863" s="24"/>
      <c r="J863" s="30"/>
      <c r="K863" s="27" t="str">
        <f>IF(ИТОГ!A863=0,"",ИТОГ!A863)</f>
        <v/>
      </c>
      <c r="L863" s="26" t="str">
        <f t="shared" si="161"/>
        <v/>
      </c>
      <c r="M863" s="25" t="str">
        <f>IF(K863="","",ИТОГ!Q863)</f>
        <v/>
      </c>
      <c r="N863" s="28" t="str">
        <f>IF(K863="","",ИТОГ!N863)</f>
        <v/>
      </c>
      <c r="O863" s="30" t="str">
        <f t="shared" si="162"/>
        <v/>
      </c>
      <c r="P863" s="24"/>
      <c r="Q863" s="30" t="str">
        <f t="shared" si="163"/>
        <v/>
      </c>
      <c r="R863" s="29" t="str">
        <f t="shared" ca="1" si="164"/>
        <v/>
      </c>
    </row>
    <row r="864" spans="1:18">
      <c r="A864" s="23" t="str">
        <f t="shared" si="154"/>
        <v/>
      </c>
      <c r="B864" s="23" t="str">
        <f t="shared" si="155"/>
        <v/>
      </c>
      <c r="C864" s="29" t="str">
        <f t="shared" ca="1" si="156"/>
        <v/>
      </c>
      <c r="D864" s="22" t="str">
        <f>IF(K864="","",ИТОГ!S864)</f>
        <v/>
      </c>
      <c r="E864" s="24" t="str">
        <f t="shared" si="157"/>
        <v/>
      </c>
      <c r="F864" s="30" t="str">
        <f t="shared" si="158"/>
        <v/>
      </c>
      <c r="G864" s="25" t="str">
        <f t="shared" si="159"/>
        <v/>
      </c>
      <c r="H864" s="29" t="str">
        <f t="shared" ca="1" si="160"/>
        <v/>
      </c>
      <c r="I864" s="24"/>
      <c r="J864" s="30"/>
      <c r="K864" s="27" t="str">
        <f>IF(ИТОГ!A864=0,"",ИТОГ!A864)</f>
        <v/>
      </c>
      <c r="L864" s="26" t="str">
        <f t="shared" si="161"/>
        <v/>
      </c>
      <c r="M864" s="25" t="str">
        <f>IF(K864="","",ИТОГ!Q864)</f>
        <v/>
      </c>
      <c r="N864" s="28" t="str">
        <f>IF(K864="","",ИТОГ!N864)</f>
        <v/>
      </c>
      <c r="O864" s="30" t="str">
        <f t="shared" si="162"/>
        <v/>
      </c>
      <c r="P864" s="24"/>
      <c r="Q864" s="30" t="str">
        <f t="shared" si="163"/>
        <v/>
      </c>
      <c r="R864" s="29" t="str">
        <f t="shared" ca="1" si="164"/>
        <v/>
      </c>
    </row>
    <row r="865" spans="1:18">
      <c r="A865" s="23" t="str">
        <f t="shared" si="154"/>
        <v/>
      </c>
      <c r="B865" s="23" t="str">
        <f t="shared" si="155"/>
        <v/>
      </c>
      <c r="C865" s="29" t="str">
        <f t="shared" ca="1" si="156"/>
        <v/>
      </c>
      <c r="D865" s="22" t="str">
        <f>IF(K865="","",ИТОГ!S865)</f>
        <v/>
      </c>
      <c r="E865" s="24" t="str">
        <f t="shared" si="157"/>
        <v/>
      </c>
      <c r="F865" s="30" t="str">
        <f t="shared" si="158"/>
        <v/>
      </c>
      <c r="G865" s="25" t="str">
        <f t="shared" si="159"/>
        <v/>
      </c>
      <c r="H865" s="29" t="str">
        <f t="shared" ca="1" si="160"/>
        <v/>
      </c>
      <c r="I865" s="24"/>
      <c r="J865" s="30"/>
      <c r="K865" s="27" t="str">
        <f>IF(ИТОГ!A865=0,"",ИТОГ!A865)</f>
        <v/>
      </c>
      <c r="L865" s="26" t="str">
        <f t="shared" si="161"/>
        <v/>
      </c>
      <c r="M865" s="25" t="str">
        <f>IF(K865="","",ИТОГ!Q865)</f>
        <v/>
      </c>
      <c r="N865" s="28" t="str">
        <f>IF(K865="","",ИТОГ!N865)</f>
        <v/>
      </c>
      <c r="O865" s="30" t="str">
        <f t="shared" si="162"/>
        <v/>
      </c>
      <c r="P865" s="24"/>
      <c r="Q865" s="30" t="str">
        <f t="shared" si="163"/>
        <v/>
      </c>
      <c r="R865" s="29" t="str">
        <f t="shared" ca="1" si="164"/>
        <v/>
      </c>
    </row>
    <row r="866" spans="1:18">
      <c r="A866" s="23" t="str">
        <f t="shared" si="154"/>
        <v/>
      </c>
      <c r="B866" s="23" t="str">
        <f t="shared" si="155"/>
        <v/>
      </c>
      <c r="C866" s="29" t="str">
        <f t="shared" ca="1" si="156"/>
        <v/>
      </c>
      <c r="D866" s="22" t="str">
        <f>IF(K866="","",ИТОГ!S866)</f>
        <v/>
      </c>
      <c r="E866" s="24" t="str">
        <f t="shared" si="157"/>
        <v/>
      </c>
      <c r="F866" s="30" t="str">
        <f t="shared" si="158"/>
        <v/>
      </c>
      <c r="G866" s="25" t="str">
        <f t="shared" si="159"/>
        <v/>
      </c>
      <c r="H866" s="29" t="str">
        <f t="shared" ca="1" si="160"/>
        <v/>
      </c>
      <c r="I866" s="24"/>
      <c r="J866" s="30"/>
      <c r="K866" s="27" t="str">
        <f>IF(ИТОГ!A866=0,"",ИТОГ!A866)</f>
        <v/>
      </c>
      <c r="L866" s="26" t="str">
        <f t="shared" si="161"/>
        <v/>
      </c>
      <c r="M866" s="25" t="str">
        <f>IF(K866="","",ИТОГ!Q866)</f>
        <v/>
      </c>
      <c r="N866" s="28" t="str">
        <f>IF(K866="","",ИТОГ!N866)</f>
        <v/>
      </c>
      <c r="O866" s="30" t="str">
        <f t="shared" si="162"/>
        <v/>
      </c>
      <c r="P866" s="24"/>
      <c r="Q866" s="30" t="str">
        <f t="shared" si="163"/>
        <v/>
      </c>
      <c r="R866" s="29" t="str">
        <f t="shared" ca="1" si="164"/>
        <v/>
      </c>
    </row>
    <row r="867" spans="1:18">
      <c r="A867" s="23" t="str">
        <f t="shared" si="154"/>
        <v/>
      </c>
      <c r="B867" s="23" t="str">
        <f t="shared" si="155"/>
        <v/>
      </c>
      <c r="C867" s="29" t="str">
        <f t="shared" ca="1" si="156"/>
        <v/>
      </c>
      <c r="D867" s="22" t="str">
        <f>IF(K867="","",ИТОГ!S867)</f>
        <v/>
      </c>
      <c r="E867" s="24" t="str">
        <f t="shared" si="157"/>
        <v/>
      </c>
      <c r="F867" s="30" t="str">
        <f t="shared" si="158"/>
        <v/>
      </c>
      <c r="G867" s="25" t="str">
        <f t="shared" si="159"/>
        <v/>
      </c>
      <c r="H867" s="29" t="str">
        <f t="shared" ca="1" si="160"/>
        <v/>
      </c>
      <c r="I867" s="24"/>
      <c r="J867" s="30"/>
      <c r="K867" s="27" t="str">
        <f>IF(ИТОГ!A867=0,"",ИТОГ!A867)</f>
        <v/>
      </c>
      <c r="L867" s="26" t="str">
        <f t="shared" si="161"/>
        <v/>
      </c>
      <c r="M867" s="25" t="str">
        <f>IF(K867="","",ИТОГ!Q867)</f>
        <v/>
      </c>
      <c r="N867" s="28" t="str">
        <f>IF(K867="","",ИТОГ!N867)</f>
        <v/>
      </c>
      <c r="O867" s="30" t="str">
        <f t="shared" si="162"/>
        <v/>
      </c>
      <c r="P867" s="24"/>
      <c r="Q867" s="30" t="str">
        <f t="shared" si="163"/>
        <v/>
      </c>
      <c r="R867" s="29" t="str">
        <f t="shared" ca="1" si="164"/>
        <v/>
      </c>
    </row>
    <row r="868" spans="1:18">
      <c r="A868" s="23" t="str">
        <f t="shared" si="154"/>
        <v/>
      </c>
      <c r="B868" s="23" t="str">
        <f t="shared" si="155"/>
        <v/>
      </c>
      <c r="C868" s="29" t="str">
        <f t="shared" ca="1" si="156"/>
        <v/>
      </c>
      <c r="D868" s="22" t="str">
        <f>IF(K868="","",ИТОГ!S868)</f>
        <v/>
      </c>
      <c r="E868" s="24" t="str">
        <f t="shared" si="157"/>
        <v/>
      </c>
      <c r="F868" s="30" t="str">
        <f t="shared" si="158"/>
        <v/>
      </c>
      <c r="G868" s="25" t="str">
        <f t="shared" si="159"/>
        <v/>
      </c>
      <c r="H868" s="29" t="str">
        <f t="shared" ca="1" si="160"/>
        <v/>
      </c>
      <c r="I868" s="24"/>
      <c r="J868" s="30"/>
      <c r="K868" s="27" t="str">
        <f>IF(ИТОГ!A868=0,"",ИТОГ!A868)</f>
        <v/>
      </c>
      <c r="L868" s="26" t="str">
        <f t="shared" si="161"/>
        <v/>
      </c>
      <c r="M868" s="25" t="str">
        <f>IF(K868="","",ИТОГ!Q868)</f>
        <v/>
      </c>
      <c r="N868" s="28" t="str">
        <f>IF(K868="","",ИТОГ!N868)</f>
        <v/>
      </c>
      <c r="O868" s="30" t="str">
        <f t="shared" si="162"/>
        <v/>
      </c>
      <c r="P868" s="24"/>
      <c r="Q868" s="30" t="str">
        <f t="shared" si="163"/>
        <v/>
      </c>
      <c r="R868" s="29" t="str">
        <f t="shared" ca="1" si="164"/>
        <v/>
      </c>
    </row>
    <row r="869" spans="1:18">
      <c r="A869" s="23" t="str">
        <f t="shared" si="154"/>
        <v/>
      </c>
      <c r="B869" s="23" t="str">
        <f t="shared" si="155"/>
        <v/>
      </c>
      <c r="C869" s="29" t="str">
        <f t="shared" ca="1" si="156"/>
        <v/>
      </c>
      <c r="D869" s="22" t="str">
        <f>IF(K869="","",ИТОГ!S869)</f>
        <v/>
      </c>
      <c r="E869" s="24" t="str">
        <f t="shared" si="157"/>
        <v/>
      </c>
      <c r="F869" s="30" t="str">
        <f t="shared" si="158"/>
        <v/>
      </c>
      <c r="G869" s="25" t="str">
        <f t="shared" si="159"/>
        <v/>
      </c>
      <c r="H869" s="29" t="str">
        <f t="shared" ca="1" si="160"/>
        <v/>
      </c>
      <c r="I869" s="24"/>
      <c r="J869" s="30"/>
      <c r="K869" s="27" t="str">
        <f>IF(ИТОГ!A869=0,"",ИТОГ!A869)</f>
        <v/>
      </c>
      <c r="L869" s="26" t="str">
        <f t="shared" si="161"/>
        <v/>
      </c>
      <c r="M869" s="25" t="str">
        <f>IF(K869="","",ИТОГ!Q869)</f>
        <v/>
      </c>
      <c r="N869" s="28" t="str">
        <f>IF(K869="","",ИТОГ!N869)</f>
        <v/>
      </c>
      <c r="O869" s="30" t="str">
        <f t="shared" si="162"/>
        <v/>
      </c>
      <c r="P869" s="24"/>
      <c r="Q869" s="30" t="str">
        <f t="shared" si="163"/>
        <v/>
      </c>
      <c r="R869" s="29" t="str">
        <f t="shared" ca="1" si="164"/>
        <v/>
      </c>
    </row>
    <row r="870" spans="1:18">
      <c r="A870" s="23" t="str">
        <f t="shared" si="154"/>
        <v/>
      </c>
      <c r="B870" s="23" t="str">
        <f t="shared" si="155"/>
        <v/>
      </c>
      <c r="C870" s="29" t="str">
        <f t="shared" ca="1" si="156"/>
        <v/>
      </c>
      <c r="D870" s="22" t="str">
        <f>IF(K870="","",ИТОГ!S870)</f>
        <v/>
      </c>
      <c r="E870" s="24" t="str">
        <f t="shared" si="157"/>
        <v/>
      </c>
      <c r="F870" s="30" t="str">
        <f t="shared" si="158"/>
        <v/>
      </c>
      <c r="G870" s="25" t="str">
        <f t="shared" si="159"/>
        <v/>
      </c>
      <c r="H870" s="29" t="str">
        <f t="shared" ca="1" si="160"/>
        <v/>
      </c>
      <c r="I870" s="24"/>
      <c r="J870" s="30"/>
      <c r="K870" s="27" t="str">
        <f>IF(ИТОГ!A870=0,"",ИТОГ!A870)</f>
        <v/>
      </c>
      <c r="L870" s="26" t="str">
        <f t="shared" si="161"/>
        <v/>
      </c>
      <c r="M870" s="25" t="str">
        <f>IF(K870="","",ИТОГ!Q870)</f>
        <v/>
      </c>
      <c r="N870" s="28" t="str">
        <f>IF(K870="","",ИТОГ!N870)</f>
        <v/>
      </c>
      <c r="O870" s="30" t="str">
        <f t="shared" si="162"/>
        <v/>
      </c>
      <c r="P870" s="24"/>
      <c r="Q870" s="30" t="str">
        <f t="shared" si="163"/>
        <v/>
      </c>
      <c r="R870" s="29" t="str">
        <f t="shared" ca="1" si="164"/>
        <v/>
      </c>
    </row>
    <row r="871" spans="1:18">
      <c r="A871" s="23" t="str">
        <f t="shared" si="154"/>
        <v/>
      </c>
      <c r="B871" s="23" t="str">
        <f t="shared" si="155"/>
        <v/>
      </c>
      <c r="C871" s="29" t="str">
        <f t="shared" ca="1" si="156"/>
        <v/>
      </c>
      <c r="D871" s="22" t="str">
        <f>IF(K871="","",ИТОГ!S871)</f>
        <v/>
      </c>
      <c r="E871" s="24" t="str">
        <f t="shared" si="157"/>
        <v/>
      </c>
      <c r="F871" s="30" t="str">
        <f t="shared" si="158"/>
        <v/>
      </c>
      <c r="G871" s="25" t="str">
        <f t="shared" si="159"/>
        <v/>
      </c>
      <c r="H871" s="29" t="str">
        <f t="shared" ca="1" si="160"/>
        <v/>
      </c>
      <c r="I871" s="24"/>
      <c r="J871" s="30"/>
      <c r="K871" s="27" t="str">
        <f>IF(ИТОГ!A871=0,"",ИТОГ!A871)</f>
        <v/>
      </c>
      <c r="L871" s="26" t="str">
        <f t="shared" si="161"/>
        <v/>
      </c>
      <c r="M871" s="25" t="str">
        <f>IF(K871="","",ИТОГ!Q871)</f>
        <v/>
      </c>
      <c r="N871" s="28" t="str">
        <f>IF(K871="","",ИТОГ!N871)</f>
        <v/>
      </c>
      <c r="O871" s="30" t="str">
        <f t="shared" si="162"/>
        <v/>
      </c>
      <c r="P871" s="24"/>
      <c r="Q871" s="30" t="str">
        <f t="shared" si="163"/>
        <v/>
      </c>
      <c r="R871" s="29" t="str">
        <f t="shared" ca="1" si="164"/>
        <v/>
      </c>
    </row>
    <row r="872" spans="1:18">
      <c r="A872" s="23" t="str">
        <f t="shared" si="154"/>
        <v/>
      </c>
      <c r="B872" s="23" t="str">
        <f t="shared" si="155"/>
        <v/>
      </c>
      <c r="C872" s="29" t="str">
        <f t="shared" ca="1" si="156"/>
        <v/>
      </c>
      <c r="D872" s="22" t="str">
        <f>IF(K872="","",ИТОГ!S872)</f>
        <v/>
      </c>
      <c r="E872" s="24" t="str">
        <f t="shared" si="157"/>
        <v/>
      </c>
      <c r="F872" s="30" t="str">
        <f t="shared" si="158"/>
        <v/>
      </c>
      <c r="G872" s="25" t="str">
        <f t="shared" si="159"/>
        <v/>
      </c>
      <c r="H872" s="29" t="str">
        <f t="shared" ca="1" si="160"/>
        <v/>
      </c>
      <c r="I872" s="24"/>
      <c r="J872" s="30"/>
      <c r="K872" s="27" t="str">
        <f>IF(ИТОГ!A872=0,"",ИТОГ!A872)</f>
        <v/>
      </c>
      <c r="L872" s="26" t="str">
        <f t="shared" si="161"/>
        <v/>
      </c>
      <c r="M872" s="25" t="str">
        <f>IF(K872="","",ИТОГ!Q872)</f>
        <v/>
      </c>
      <c r="N872" s="28" t="str">
        <f>IF(K872="","",ИТОГ!N872)</f>
        <v/>
      </c>
      <c r="O872" s="30" t="str">
        <f t="shared" si="162"/>
        <v/>
      </c>
      <c r="P872" s="24"/>
      <c r="Q872" s="30" t="str">
        <f t="shared" si="163"/>
        <v/>
      </c>
      <c r="R872" s="29" t="str">
        <f t="shared" ca="1" si="164"/>
        <v/>
      </c>
    </row>
    <row r="873" spans="1:18">
      <c r="A873" s="23" t="str">
        <f t="shared" si="154"/>
        <v/>
      </c>
      <c r="B873" s="23" t="str">
        <f t="shared" si="155"/>
        <v/>
      </c>
      <c r="C873" s="29" t="str">
        <f t="shared" ca="1" si="156"/>
        <v/>
      </c>
      <c r="D873" s="22" t="str">
        <f>IF(K873="","",ИТОГ!S873)</f>
        <v/>
      </c>
      <c r="E873" s="24" t="str">
        <f t="shared" si="157"/>
        <v/>
      </c>
      <c r="F873" s="30" t="str">
        <f t="shared" si="158"/>
        <v/>
      </c>
      <c r="G873" s="25" t="str">
        <f t="shared" si="159"/>
        <v/>
      </c>
      <c r="H873" s="29" t="str">
        <f t="shared" ca="1" si="160"/>
        <v/>
      </c>
      <c r="I873" s="24"/>
      <c r="J873" s="30"/>
      <c r="K873" s="27" t="str">
        <f>IF(ИТОГ!A873=0,"",ИТОГ!A873)</f>
        <v/>
      </c>
      <c r="L873" s="26" t="str">
        <f t="shared" si="161"/>
        <v/>
      </c>
      <c r="M873" s="25" t="str">
        <f>IF(K873="","",ИТОГ!Q873)</f>
        <v/>
      </c>
      <c r="N873" s="28" t="str">
        <f>IF(K873="","",ИТОГ!N873)</f>
        <v/>
      </c>
      <c r="O873" s="30" t="str">
        <f t="shared" si="162"/>
        <v/>
      </c>
      <c r="P873" s="24"/>
      <c r="Q873" s="30" t="str">
        <f t="shared" si="163"/>
        <v/>
      </c>
      <c r="R873" s="29" t="str">
        <f t="shared" ca="1" si="164"/>
        <v/>
      </c>
    </row>
    <row r="874" spans="1:18">
      <c r="A874" s="23" t="str">
        <f t="shared" si="154"/>
        <v/>
      </c>
      <c r="B874" s="23" t="str">
        <f t="shared" si="155"/>
        <v/>
      </c>
      <c r="C874" s="29" t="str">
        <f t="shared" ca="1" si="156"/>
        <v/>
      </c>
      <c r="D874" s="22" t="str">
        <f>IF(K874="","",ИТОГ!S874)</f>
        <v/>
      </c>
      <c r="E874" s="24" t="str">
        <f t="shared" si="157"/>
        <v/>
      </c>
      <c r="F874" s="30" t="str">
        <f t="shared" si="158"/>
        <v/>
      </c>
      <c r="G874" s="25" t="str">
        <f t="shared" si="159"/>
        <v/>
      </c>
      <c r="H874" s="29" t="str">
        <f t="shared" ca="1" si="160"/>
        <v/>
      </c>
      <c r="I874" s="24"/>
      <c r="J874" s="30"/>
      <c r="K874" s="27" t="str">
        <f>IF(ИТОГ!A874=0,"",ИТОГ!A874)</f>
        <v/>
      </c>
      <c r="L874" s="26" t="str">
        <f t="shared" si="161"/>
        <v/>
      </c>
      <c r="M874" s="25" t="str">
        <f>IF(K874="","",ИТОГ!Q874)</f>
        <v/>
      </c>
      <c r="N874" s="28" t="str">
        <f>IF(K874="","",ИТОГ!N874)</f>
        <v/>
      </c>
      <c r="O874" s="30" t="str">
        <f t="shared" si="162"/>
        <v/>
      </c>
      <c r="P874" s="24"/>
      <c r="Q874" s="30" t="str">
        <f t="shared" si="163"/>
        <v/>
      </c>
      <c r="R874" s="29" t="str">
        <f t="shared" ca="1" si="164"/>
        <v/>
      </c>
    </row>
    <row r="875" spans="1:18">
      <c r="A875" s="23" t="str">
        <f t="shared" si="154"/>
        <v/>
      </c>
      <c r="B875" s="23" t="str">
        <f t="shared" si="155"/>
        <v/>
      </c>
      <c r="C875" s="29" t="str">
        <f t="shared" ca="1" si="156"/>
        <v/>
      </c>
      <c r="D875" s="22" t="str">
        <f>IF(K875="","",ИТОГ!S875)</f>
        <v/>
      </c>
      <c r="E875" s="24" t="str">
        <f t="shared" si="157"/>
        <v/>
      </c>
      <c r="F875" s="30" t="str">
        <f t="shared" si="158"/>
        <v/>
      </c>
      <c r="G875" s="25" t="str">
        <f t="shared" si="159"/>
        <v/>
      </c>
      <c r="H875" s="29" t="str">
        <f t="shared" ca="1" si="160"/>
        <v/>
      </c>
      <c r="I875" s="24"/>
      <c r="J875" s="30"/>
      <c r="K875" s="27" t="str">
        <f>IF(ИТОГ!A875=0,"",ИТОГ!A875)</f>
        <v/>
      </c>
      <c r="L875" s="26" t="str">
        <f t="shared" si="161"/>
        <v/>
      </c>
      <c r="M875" s="25" t="str">
        <f>IF(K875="","",ИТОГ!Q875)</f>
        <v/>
      </c>
      <c r="N875" s="28" t="str">
        <f>IF(K875="","",ИТОГ!N875)</f>
        <v/>
      </c>
      <c r="O875" s="30" t="str">
        <f t="shared" si="162"/>
        <v/>
      </c>
      <c r="P875" s="24"/>
      <c r="Q875" s="30" t="str">
        <f t="shared" si="163"/>
        <v/>
      </c>
      <c r="R875" s="29" t="str">
        <f t="shared" ca="1" si="164"/>
        <v/>
      </c>
    </row>
    <row r="876" spans="1:18">
      <c r="A876" s="23" t="str">
        <f t="shared" si="154"/>
        <v/>
      </c>
      <c r="B876" s="23" t="str">
        <f t="shared" si="155"/>
        <v/>
      </c>
      <c r="C876" s="29" t="str">
        <f t="shared" ca="1" si="156"/>
        <v/>
      </c>
      <c r="D876" s="22" t="str">
        <f>IF(K876="","",ИТОГ!S876)</f>
        <v/>
      </c>
      <c r="E876" s="24" t="str">
        <f t="shared" si="157"/>
        <v/>
      </c>
      <c r="F876" s="30" t="str">
        <f t="shared" si="158"/>
        <v/>
      </c>
      <c r="G876" s="25" t="str">
        <f t="shared" si="159"/>
        <v/>
      </c>
      <c r="H876" s="29" t="str">
        <f t="shared" ca="1" si="160"/>
        <v/>
      </c>
      <c r="I876" s="24"/>
      <c r="J876" s="30"/>
      <c r="K876" s="27" t="str">
        <f>IF(ИТОГ!A876=0,"",ИТОГ!A876)</f>
        <v/>
      </c>
      <c r="L876" s="26" t="str">
        <f t="shared" si="161"/>
        <v/>
      </c>
      <c r="M876" s="25" t="str">
        <f>IF(K876="","",ИТОГ!Q876)</f>
        <v/>
      </c>
      <c r="N876" s="28" t="str">
        <f>IF(K876="","",ИТОГ!N876)</f>
        <v/>
      </c>
      <c r="O876" s="30" t="str">
        <f t="shared" si="162"/>
        <v/>
      </c>
      <c r="P876" s="24"/>
      <c r="Q876" s="30" t="str">
        <f t="shared" si="163"/>
        <v/>
      </c>
      <c r="R876" s="29" t="str">
        <f t="shared" ca="1" si="164"/>
        <v/>
      </c>
    </row>
    <row r="877" spans="1:18">
      <c r="A877" s="23" t="str">
        <f t="shared" si="154"/>
        <v/>
      </c>
      <c r="B877" s="23" t="str">
        <f t="shared" si="155"/>
        <v/>
      </c>
      <c r="C877" s="29" t="str">
        <f t="shared" ca="1" si="156"/>
        <v/>
      </c>
      <c r="D877" s="22" t="str">
        <f>IF(K877="","",ИТОГ!S877)</f>
        <v/>
      </c>
      <c r="E877" s="24" t="str">
        <f t="shared" si="157"/>
        <v/>
      </c>
      <c r="F877" s="30" t="str">
        <f t="shared" si="158"/>
        <v/>
      </c>
      <c r="G877" s="25" t="str">
        <f t="shared" si="159"/>
        <v/>
      </c>
      <c r="H877" s="29" t="str">
        <f t="shared" ca="1" si="160"/>
        <v/>
      </c>
      <c r="I877" s="24"/>
      <c r="J877" s="30"/>
      <c r="K877" s="27" t="str">
        <f>IF(ИТОГ!A877=0,"",ИТОГ!A877)</f>
        <v/>
      </c>
      <c r="L877" s="26" t="str">
        <f t="shared" si="161"/>
        <v/>
      </c>
      <c r="M877" s="25" t="str">
        <f>IF(K877="","",ИТОГ!Q877)</f>
        <v/>
      </c>
      <c r="N877" s="28" t="str">
        <f>IF(K877="","",ИТОГ!N877)</f>
        <v/>
      </c>
      <c r="O877" s="30" t="str">
        <f t="shared" si="162"/>
        <v/>
      </c>
      <c r="P877" s="24"/>
      <c r="Q877" s="30" t="str">
        <f t="shared" si="163"/>
        <v/>
      </c>
      <c r="R877" s="29" t="str">
        <f t="shared" ca="1" si="164"/>
        <v/>
      </c>
    </row>
    <row r="878" spans="1:18">
      <c r="A878" s="23" t="str">
        <f t="shared" si="154"/>
        <v/>
      </c>
      <c r="B878" s="23" t="str">
        <f t="shared" si="155"/>
        <v/>
      </c>
      <c r="C878" s="29" t="str">
        <f t="shared" ca="1" si="156"/>
        <v/>
      </c>
      <c r="D878" s="22" t="str">
        <f>IF(K878="","",ИТОГ!S878)</f>
        <v/>
      </c>
      <c r="E878" s="24" t="str">
        <f t="shared" si="157"/>
        <v/>
      </c>
      <c r="F878" s="30" t="str">
        <f t="shared" si="158"/>
        <v/>
      </c>
      <c r="G878" s="25" t="str">
        <f t="shared" si="159"/>
        <v/>
      </c>
      <c r="H878" s="29" t="str">
        <f t="shared" ca="1" si="160"/>
        <v/>
      </c>
      <c r="I878" s="24"/>
      <c r="J878" s="30"/>
      <c r="K878" s="27" t="str">
        <f>IF(ИТОГ!A878=0,"",ИТОГ!A878)</f>
        <v/>
      </c>
      <c r="L878" s="26" t="str">
        <f t="shared" si="161"/>
        <v/>
      </c>
      <c r="M878" s="25" t="str">
        <f>IF(K878="","",ИТОГ!Q878)</f>
        <v/>
      </c>
      <c r="N878" s="28" t="str">
        <f>IF(K878="","",ИТОГ!N878)</f>
        <v/>
      </c>
      <c r="O878" s="30" t="str">
        <f t="shared" si="162"/>
        <v/>
      </c>
      <c r="P878" s="24"/>
      <c r="Q878" s="30" t="str">
        <f t="shared" si="163"/>
        <v/>
      </c>
      <c r="R878" s="29" t="str">
        <f t="shared" ca="1" si="164"/>
        <v/>
      </c>
    </row>
    <row r="879" spans="1:18">
      <c r="A879" s="23" t="str">
        <f t="shared" si="154"/>
        <v/>
      </c>
      <c r="B879" s="23" t="str">
        <f t="shared" si="155"/>
        <v/>
      </c>
      <c r="C879" s="29" t="str">
        <f t="shared" ca="1" si="156"/>
        <v/>
      </c>
      <c r="D879" s="22" t="str">
        <f>IF(K879="","",ИТОГ!S879)</f>
        <v/>
      </c>
      <c r="E879" s="24" t="str">
        <f t="shared" si="157"/>
        <v/>
      </c>
      <c r="F879" s="30" t="str">
        <f t="shared" si="158"/>
        <v/>
      </c>
      <c r="G879" s="25" t="str">
        <f t="shared" si="159"/>
        <v/>
      </c>
      <c r="H879" s="29" t="str">
        <f t="shared" ca="1" si="160"/>
        <v/>
      </c>
      <c r="I879" s="24"/>
      <c r="J879" s="30"/>
      <c r="K879" s="27" t="str">
        <f>IF(ИТОГ!A879=0,"",ИТОГ!A879)</f>
        <v/>
      </c>
      <c r="L879" s="26" t="str">
        <f t="shared" si="161"/>
        <v/>
      </c>
      <c r="M879" s="25" t="str">
        <f>IF(K879="","",ИТОГ!Q879)</f>
        <v/>
      </c>
      <c r="N879" s="28" t="str">
        <f>IF(K879="","",ИТОГ!N879)</f>
        <v/>
      </c>
      <c r="O879" s="30" t="str">
        <f t="shared" si="162"/>
        <v/>
      </c>
      <c r="P879" s="24"/>
      <c r="Q879" s="30" t="str">
        <f t="shared" si="163"/>
        <v/>
      </c>
      <c r="R879" s="29" t="str">
        <f t="shared" ca="1" si="164"/>
        <v/>
      </c>
    </row>
    <row r="880" spans="1:18">
      <c r="A880" s="23" t="str">
        <f t="shared" si="154"/>
        <v/>
      </c>
      <c r="B880" s="23" t="str">
        <f t="shared" si="155"/>
        <v/>
      </c>
      <c r="C880" s="29" t="str">
        <f t="shared" ca="1" si="156"/>
        <v/>
      </c>
      <c r="D880" s="22" t="str">
        <f>IF(K880="","",ИТОГ!S880)</f>
        <v/>
      </c>
      <c r="E880" s="24" t="str">
        <f t="shared" si="157"/>
        <v/>
      </c>
      <c r="F880" s="30" t="str">
        <f t="shared" si="158"/>
        <v/>
      </c>
      <c r="G880" s="25" t="str">
        <f t="shared" si="159"/>
        <v/>
      </c>
      <c r="H880" s="29" t="str">
        <f t="shared" ca="1" si="160"/>
        <v/>
      </c>
      <c r="I880" s="24"/>
      <c r="J880" s="30"/>
      <c r="K880" s="27" t="str">
        <f>IF(ИТОГ!A880=0,"",ИТОГ!A880)</f>
        <v/>
      </c>
      <c r="L880" s="26" t="str">
        <f t="shared" si="161"/>
        <v/>
      </c>
      <c r="M880" s="25" t="str">
        <f>IF(K880="","",ИТОГ!Q880)</f>
        <v/>
      </c>
      <c r="N880" s="28" t="str">
        <f>IF(K880="","",ИТОГ!N880)</f>
        <v/>
      </c>
      <c r="O880" s="30" t="str">
        <f t="shared" si="162"/>
        <v/>
      </c>
      <c r="P880" s="24"/>
      <c r="Q880" s="30" t="str">
        <f t="shared" si="163"/>
        <v/>
      </c>
      <c r="R880" s="29" t="str">
        <f t="shared" ca="1" si="164"/>
        <v/>
      </c>
    </row>
    <row r="881" spans="1:18">
      <c r="A881" s="23" t="str">
        <f t="shared" si="154"/>
        <v/>
      </c>
      <c r="B881" s="23" t="str">
        <f t="shared" si="155"/>
        <v/>
      </c>
      <c r="C881" s="29" t="str">
        <f t="shared" ca="1" si="156"/>
        <v/>
      </c>
      <c r="D881" s="22" t="str">
        <f>IF(K881="","",ИТОГ!S881)</f>
        <v/>
      </c>
      <c r="E881" s="24" t="str">
        <f t="shared" si="157"/>
        <v/>
      </c>
      <c r="F881" s="30" t="str">
        <f t="shared" si="158"/>
        <v/>
      </c>
      <c r="G881" s="25" t="str">
        <f t="shared" si="159"/>
        <v/>
      </c>
      <c r="H881" s="29" t="str">
        <f t="shared" ca="1" si="160"/>
        <v/>
      </c>
      <c r="I881" s="24"/>
      <c r="J881" s="30"/>
      <c r="K881" s="27" t="str">
        <f>IF(ИТОГ!A881=0,"",ИТОГ!A881)</f>
        <v/>
      </c>
      <c r="L881" s="26" t="str">
        <f t="shared" si="161"/>
        <v/>
      </c>
      <c r="M881" s="25" t="str">
        <f>IF(K881="","",ИТОГ!Q881)</f>
        <v/>
      </c>
      <c r="N881" s="28" t="str">
        <f>IF(K881="","",ИТОГ!N881)</f>
        <v/>
      </c>
      <c r="O881" s="30" t="str">
        <f t="shared" si="162"/>
        <v/>
      </c>
      <c r="P881" s="24"/>
      <c r="Q881" s="30" t="str">
        <f t="shared" si="163"/>
        <v/>
      </c>
      <c r="R881" s="29" t="str">
        <f t="shared" ca="1" si="164"/>
        <v/>
      </c>
    </row>
    <row r="882" spans="1:18">
      <c r="A882" s="23" t="str">
        <f t="shared" si="154"/>
        <v/>
      </c>
      <c r="B882" s="23" t="str">
        <f t="shared" si="155"/>
        <v/>
      </c>
      <c r="C882" s="29" t="str">
        <f t="shared" ca="1" si="156"/>
        <v/>
      </c>
      <c r="D882" s="22" t="str">
        <f>IF(K882="","",ИТОГ!S882)</f>
        <v/>
      </c>
      <c r="E882" s="24" t="str">
        <f t="shared" si="157"/>
        <v/>
      </c>
      <c r="F882" s="30" t="str">
        <f t="shared" si="158"/>
        <v/>
      </c>
      <c r="G882" s="25" t="str">
        <f t="shared" si="159"/>
        <v/>
      </c>
      <c r="H882" s="29" t="str">
        <f t="shared" ca="1" si="160"/>
        <v/>
      </c>
      <c r="I882" s="24"/>
      <c r="J882" s="30"/>
      <c r="K882" s="27" t="str">
        <f>IF(ИТОГ!A882=0,"",ИТОГ!A882)</f>
        <v/>
      </c>
      <c r="L882" s="26" t="str">
        <f t="shared" si="161"/>
        <v/>
      </c>
      <c r="M882" s="25" t="str">
        <f>IF(K882="","",ИТОГ!Q882)</f>
        <v/>
      </c>
      <c r="N882" s="28" t="str">
        <f>IF(K882="","",ИТОГ!N882)</f>
        <v/>
      </c>
      <c r="O882" s="30" t="str">
        <f t="shared" si="162"/>
        <v/>
      </c>
      <c r="P882" s="24"/>
      <c r="Q882" s="30" t="str">
        <f t="shared" si="163"/>
        <v/>
      </c>
      <c r="R882" s="29" t="str">
        <f t="shared" ca="1" si="164"/>
        <v/>
      </c>
    </row>
    <row r="883" spans="1:18">
      <c r="A883" s="23" t="str">
        <f t="shared" si="154"/>
        <v/>
      </c>
      <c r="B883" s="23" t="str">
        <f t="shared" si="155"/>
        <v/>
      </c>
      <c r="C883" s="29" t="str">
        <f t="shared" ca="1" si="156"/>
        <v/>
      </c>
      <c r="D883" s="22" t="str">
        <f>IF(K883="","",ИТОГ!S883)</f>
        <v/>
      </c>
      <c r="E883" s="24" t="str">
        <f t="shared" si="157"/>
        <v/>
      </c>
      <c r="F883" s="30" t="str">
        <f t="shared" si="158"/>
        <v/>
      </c>
      <c r="G883" s="25" t="str">
        <f t="shared" si="159"/>
        <v/>
      </c>
      <c r="H883" s="29" t="str">
        <f t="shared" ca="1" si="160"/>
        <v/>
      </c>
      <c r="I883" s="24"/>
      <c r="J883" s="30"/>
      <c r="K883" s="27" t="str">
        <f>IF(ИТОГ!A883=0,"",ИТОГ!A883)</f>
        <v/>
      </c>
      <c r="L883" s="26" t="str">
        <f t="shared" si="161"/>
        <v/>
      </c>
      <c r="M883" s="25" t="str">
        <f>IF(K883="","",ИТОГ!Q883)</f>
        <v/>
      </c>
      <c r="N883" s="28" t="str">
        <f>IF(K883="","",ИТОГ!N883)</f>
        <v/>
      </c>
      <c r="O883" s="30" t="str">
        <f t="shared" si="162"/>
        <v/>
      </c>
      <c r="P883" s="24"/>
      <c r="Q883" s="30" t="str">
        <f t="shared" si="163"/>
        <v/>
      </c>
      <c r="R883" s="29" t="str">
        <f t="shared" ca="1" si="164"/>
        <v/>
      </c>
    </row>
    <row r="884" spans="1:18">
      <c r="A884" s="23" t="str">
        <f t="shared" si="154"/>
        <v/>
      </c>
      <c r="B884" s="23" t="str">
        <f t="shared" si="155"/>
        <v/>
      </c>
      <c r="C884" s="29" t="str">
        <f t="shared" ca="1" si="156"/>
        <v/>
      </c>
      <c r="D884" s="22" t="str">
        <f>IF(K884="","",ИТОГ!S884)</f>
        <v/>
      </c>
      <c r="E884" s="24" t="str">
        <f t="shared" si="157"/>
        <v/>
      </c>
      <c r="F884" s="30" t="str">
        <f t="shared" si="158"/>
        <v/>
      </c>
      <c r="G884" s="25" t="str">
        <f t="shared" si="159"/>
        <v/>
      </c>
      <c r="H884" s="29" t="str">
        <f t="shared" ca="1" si="160"/>
        <v/>
      </c>
      <c r="I884" s="24"/>
      <c r="J884" s="30"/>
      <c r="K884" s="27" t="str">
        <f>IF(ИТОГ!A884=0,"",ИТОГ!A884)</f>
        <v/>
      </c>
      <c r="L884" s="26" t="str">
        <f t="shared" si="161"/>
        <v/>
      </c>
      <c r="M884" s="25" t="str">
        <f>IF(K884="","",ИТОГ!Q884)</f>
        <v/>
      </c>
      <c r="N884" s="28" t="str">
        <f>IF(K884="","",ИТОГ!N884)</f>
        <v/>
      </c>
      <c r="O884" s="30" t="str">
        <f t="shared" si="162"/>
        <v/>
      </c>
      <c r="P884" s="24"/>
      <c r="Q884" s="30" t="str">
        <f t="shared" si="163"/>
        <v/>
      </c>
      <c r="R884" s="29" t="str">
        <f t="shared" ca="1" si="164"/>
        <v/>
      </c>
    </row>
    <row r="885" spans="1:18">
      <c r="A885" s="23" t="str">
        <f t="shared" si="154"/>
        <v/>
      </c>
      <c r="B885" s="23" t="str">
        <f t="shared" si="155"/>
        <v/>
      </c>
      <c r="C885" s="29" t="str">
        <f t="shared" ca="1" si="156"/>
        <v/>
      </c>
      <c r="D885" s="22" t="str">
        <f>IF(K885="","",ИТОГ!S885)</f>
        <v/>
      </c>
      <c r="E885" s="24" t="str">
        <f t="shared" si="157"/>
        <v/>
      </c>
      <c r="F885" s="30" t="str">
        <f t="shared" si="158"/>
        <v/>
      </c>
      <c r="G885" s="25" t="str">
        <f t="shared" si="159"/>
        <v/>
      </c>
      <c r="H885" s="29" t="str">
        <f t="shared" ca="1" si="160"/>
        <v/>
      </c>
      <c r="I885" s="24"/>
      <c r="J885" s="30"/>
      <c r="K885" s="27" t="str">
        <f>IF(ИТОГ!A885=0,"",ИТОГ!A885)</f>
        <v/>
      </c>
      <c r="L885" s="26" t="str">
        <f t="shared" si="161"/>
        <v/>
      </c>
      <c r="M885" s="25" t="str">
        <f>IF(K885="","",ИТОГ!Q885)</f>
        <v/>
      </c>
      <c r="N885" s="28" t="str">
        <f>IF(K885="","",ИТОГ!N885)</f>
        <v/>
      </c>
      <c r="O885" s="30" t="str">
        <f t="shared" si="162"/>
        <v/>
      </c>
      <c r="P885" s="24"/>
      <c r="Q885" s="30" t="str">
        <f t="shared" si="163"/>
        <v/>
      </c>
      <c r="R885" s="29" t="str">
        <f t="shared" ca="1" si="164"/>
        <v/>
      </c>
    </row>
    <row r="886" spans="1:18">
      <c r="A886" s="23" t="str">
        <f t="shared" si="154"/>
        <v/>
      </c>
      <c r="B886" s="23" t="str">
        <f t="shared" si="155"/>
        <v/>
      </c>
      <c r="C886" s="29" t="str">
        <f t="shared" ca="1" si="156"/>
        <v/>
      </c>
      <c r="D886" s="22" t="str">
        <f>IF(K886="","",ИТОГ!S886)</f>
        <v/>
      </c>
      <c r="E886" s="24" t="str">
        <f t="shared" si="157"/>
        <v/>
      </c>
      <c r="F886" s="30" t="str">
        <f t="shared" si="158"/>
        <v/>
      </c>
      <c r="G886" s="25" t="str">
        <f t="shared" si="159"/>
        <v/>
      </c>
      <c r="H886" s="29" t="str">
        <f t="shared" ca="1" si="160"/>
        <v/>
      </c>
      <c r="I886" s="24"/>
      <c r="J886" s="30"/>
      <c r="K886" s="27" t="str">
        <f>IF(ИТОГ!A886=0,"",ИТОГ!A886)</f>
        <v/>
      </c>
      <c r="L886" s="26" t="str">
        <f t="shared" si="161"/>
        <v/>
      </c>
      <c r="M886" s="25" t="str">
        <f>IF(K886="","",ИТОГ!Q886)</f>
        <v/>
      </c>
      <c r="N886" s="28" t="str">
        <f>IF(K886="","",ИТОГ!N886)</f>
        <v/>
      </c>
      <c r="O886" s="30" t="str">
        <f t="shared" si="162"/>
        <v/>
      </c>
      <c r="P886" s="24"/>
      <c r="Q886" s="30" t="str">
        <f t="shared" si="163"/>
        <v/>
      </c>
      <c r="R886" s="29" t="str">
        <f t="shared" ca="1" si="164"/>
        <v/>
      </c>
    </row>
    <row r="887" spans="1:18">
      <c r="A887" s="23" t="str">
        <f t="shared" si="154"/>
        <v/>
      </c>
      <c r="B887" s="23" t="str">
        <f t="shared" si="155"/>
        <v/>
      </c>
      <c r="C887" s="29" t="str">
        <f t="shared" ca="1" si="156"/>
        <v/>
      </c>
      <c r="D887" s="22" t="str">
        <f>IF(K887="","",ИТОГ!S887)</f>
        <v/>
      </c>
      <c r="E887" s="24" t="str">
        <f t="shared" si="157"/>
        <v/>
      </c>
      <c r="F887" s="30" t="str">
        <f t="shared" si="158"/>
        <v/>
      </c>
      <c r="G887" s="25" t="str">
        <f t="shared" si="159"/>
        <v/>
      </c>
      <c r="H887" s="29" t="str">
        <f t="shared" ca="1" si="160"/>
        <v/>
      </c>
      <c r="I887" s="24"/>
      <c r="J887" s="30"/>
      <c r="K887" s="27" t="str">
        <f>IF(ИТОГ!A887=0,"",ИТОГ!A887)</f>
        <v/>
      </c>
      <c r="L887" s="26" t="str">
        <f t="shared" si="161"/>
        <v/>
      </c>
      <c r="M887" s="25" t="str">
        <f>IF(K887="","",ИТОГ!Q887)</f>
        <v/>
      </c>
      <c r="N887" s="28" t="str">
        <f>IF(K887="","",ИТОГ!N887)</f>
        <v/>
      </c>
      <c r="O887" s="30" t="str">
        <f t="shared" si="162"/>
        <v/>
      </c>
      <c r="P887" s="24"/>
      <c r="Q887" s="30" t="str">
        <f t="shared" si="163"/>
        <v/>
      </c>
      <c r="R887" s="29" t="str">
        <f t="shared" ca="1" si="164"/>
        <v/>
      </c>
    </row>
    <row r="888" spans="1:18">
      <c r="A888" s="23" t="str">
        <f t="shared" si="154"/>
        <v/>
      </c>
      <c r="B888" s="23" t="str">
        <f t="shared" si="155"/>
        <v/>
      </c>
      <c r="C888" s="29" t="str">
        <f t="shared" ca="1" si="156"/>
        <v/>
      </c>
      <c r="D888" s="22" t="str">
        <f>IF(K888="","",ИТОГ!S888)</f>
        <v/>
      </c>
      <c r="E888" s="24" t="str">
        <f t="shared" si="157"/>
        <v/>
      </c>
      <c r="F888" s="30" t="str">
        <f t="shared" si="158"/>
        <v/>
      </c>
      <c r="G888" s="25" t="str">
        <f t="shared" si="159"/>
        <v/>
      </c>
      <c r="H888" s="29" t="str">
        <f t="shared" ca="1" si="160"/>
        <v/>
      </c>
      <c r="I888" s="24"/>
      <c r="J888" s="30"/>
      <c r="K888" s="27" t="str">
        <f>IF(ИТОГ!A888=0,"",ИТОГ!A888)</f>
        <v/>
      </c>
      <c r="L888" s="26" t="str">
        <f t="shared" si="161"/>
        <v/>
      </c>
      <c r="M888" s="25" t="str">
        <f>IF(K888="","",ИТОГ!Q888)</f>
        <v/>
      </c>
      <c r="N888" s="28" t="str">
        <f>IF(K888="","",ИТОГ!N888)</f>
        <v/>
      </c>
      <c r="O888" s="30" t="str">
        <f t="shared" si="162"/>
        <v/>
      </c>
      <c r="P888" s="24"/>
      <c r="Q888" s="30" t="str">
        <f t="shared" si="163"/>
        <v/>
      </c>
      <c r="R888" s="29" t="str">
        <f t="shared" ca="1" si="164"/>
        <v/>
      </c>
    </row>
    <row r="889" spans="1:18">
      <c r="A889" s="23" t="str">
        <f t="shared" si="154"/>
        <v/>
      </c>
      <c r="B889" s="23" t="str">
        <f t="shared" si="155"/>
        <v/>
      </c>
      <c r="C889" s="29" t="str">
        <f t="shared" ca="1" si="156"/>
        <v/>
      </c>
      <c r="D889" s="22" t="str">
        <f>IF(K889="","",ИТОГ!S889)</f>
        <v/>
      </c>
      <c r="E889" s="24" t="str">
        <f t="shared" si="157"/>
        <v/>
      </c>
      <c r="F889" s="30" t="str">
        <f t="shared" si="158"/>
        <v/>
      </c>
      <c r="G889" s="25" t="str">
        <f t="shared" si="159"/>
        <v/>
      </c>
      <c r="H889" s="29" t="str">
        <f t="shared" ca="1" si="160"/>
        <v/>
      </c>
      <c r="I889" s="24"/>
      <c r="J889" s="30"/>
      <c r="K889" s="27" t="str">
        <f>IF(ИТОГ!A889=0,"",ИТОГ!A889)</f>
        <v/>
      </c>
      <c r="L889" s="26" t="str">
        <f t="shared" si="161"/>
        <v/>
      </c>
      <c r="M889" s="25" t="str">
        <f>IF(K889="","",ИТОГ!Q889)</f>
        <v/>
      </c>
      <c r="N889" s="28" t="str">
        <f>IF(K889="","",ИТОГ!N889)</f>
        <v/>
      </c>
      <c r="O889" s="30" t="str">
        <f t="shared" si="162"/>
        <v/>
      </c>
      <c r="P889" s="24"/>
      <c r="Q889" s="30" t="str">
        <f t="shared" si="163"/>
        <v/>
      </c>
      <c r="R889" s="29" t="str">
        <f t="shared" ca="1" si="164"/>
        <v/>
      </c>
    </row>
    <row r="890" spans="1:18">
      <c r="A890" s="23" t="str">
        <f t="shared" si="154"/>
        <v/>
      </c>
      <c r="B890" s="23" t="str">
        <f t="shared" si="155"/>
        <v/>
      </c>
      <c r="C890" s="29" t="str">
        <f t="shared" ca="1" si="156"/>
        <v/>
      </c>
      <c r="D890" s="22" t="str">
        <f>IF(K890="","",ИТОГ!S890)</f>
        <v/>
      </c>
      <c r="E890" s="24" t="str">
        <f t="shared" si="157"/>
        <v/>
      </c>
      <c r="F890" s="30" t="str">
        <f t="shared" si="158"/>
        <v/>
      </c>
      <c r="G890" s="25" t="str">
        <f t="shared" si="159"/>
        <v/>
      </c>
      <c r="H890" s="29" t="str">
        <f t="shared" ca="1" si="160"/>
        <v/>
      </c>
      <c r="I890" s="24"/>
      <c r="J890" s="30"/>
      <c r="K890" s="27" t="str">
        <f>IF(ИТОГ!A890=0,"",ИТОГ!A890)</f>
        <v/>
      </c>
      <c r="L890" s="26" t="str">
        <f t="shared" si="161"/>
        <v/>
      </c>
      <c r="M890" s="25" t="str">
        <f>IF(K890="","",ИТОГ!Q890)</f>
        <v/>
      </c>
      <c r="N890" s="28" t="str">
        <f>IF(K890="","",ИТОГ!N890)</f>
        <v/>
      </c>
      <c r="O890" s="30" t="str">
        <f t="shared" si="162"/>
        <v/>
      </c>
      <c r="P890" s="24"/>
      <c r="Q890" s="30" t="str">
        <f t="shared" si="163"/>
        <v/>
      </c>
      <c r="R890" s="29" t="str">
        <f t="shared" ca="1" si="164"/>
        <v/>
      </c>
    </row>
    <row r="891" spans="1:18">
      <c r="A891" s="23" t="str">
        <f t="shared" si="154"/>
        <v/>
      </c>
      <c r="B891" s="23" t="str">
        <f t="shared" si="155"/>
        <v/>
      </c>
      <c r="C891" s="29" t="str">
        <f t="shared" ca="1" si="156"/>
        <v/>
      </c>
      <c r="D891" s="22" t="str">
        <f>IF(K891="","",ИТОГ!S891)</f>
        <v/>
      </c>
      <c r="E891" s="24" t="str">
        <f t="shared" si="157"/>
        <v/>
      </c>
      <c r="F891" s="30" t="str">
        <f t="shared" si="158"/>
        <v/>
      </c>
      <c r="G891" s="25" t="str">
        <f t="shared" si="159"/>
        <v/>
      </c>
      <c r="H891" s="29" t="str">
        <f t="shared" ca="1" si="160"/>
        <v/>
      </c>
      <c r="I891" s="24"/>
      <c r="J891" s="30"/>
      <c r="K891" s="27" t="str">
        <f>IF(ИТОГ!A891=0,"",ИТОГ!A891)</f>
        <v/>
      </c>
      <c r="L891" s="26" t="str">
        <f t="shared" si="161"/>
        <v/>
      </c>
      <c r="M891" s="25" t="str">
        <f>IF(K891="","",ИТОГ!Q891)</f>
        <v/>
      </c>
      <c r="N891" s="28" t="str">
        <f>IF(K891="","",ИТОГ!N891)</f>
        <v/>
      </c>
      <c r="O891" s="30" t="str">
        <f t="shared" si="162"/>
        <v/>
      </c>
      <c r="P891" s="24"/>
      <c r="Q891" s="30" t="str">
        <f t="shared" si="163"/>
        <v/>
      </c>
      <c r="R891" s="29" t="str">
        <f t="shared" ca="1" si="164"/>
        <v/>
      </c>
    </row>
    <row r="892" spans="1:18">
      <c r="A892" s="23" t="str">
        <f t="shared" si="154"/>
        <v/>
      </c>
      <c r="B892" s="23" t="str">
        <f t="shared" si="155"/>
        <v/>
      </c>
      <c r="C892" s="29" t="str">
        <f t="shared" ca="1" si="156"/>
        <v/>
      </c>
      <c r="D892" s="22" t="str">
        <f>IF(K892="","",ИТОГ!S892)</f>
        <v/>
      </c>
      <c r="E892" s="24" t="str">
        <f t="shared" si="157"/>
        <v/>
      </c>
      <c r="F892" s="30" t="str">
        <f t="shared" si="158"/>
        <v/>
      </c>
      <c r="G892" s="25" t="str">
        <f t="shared" si="159"/>
        <v/>
      </c>
      <c r="H892" s="29" t="str">
        <f t="shared" ca="1" si="160"/>
        <v/>
      </c>
      <c r="I892" s="24"/>
      <c r="J892" s="30"/>
      <c r="K892" s="27" t="str">
        <f>IF(ИТОГ!A892=0,"",ИТОГ!A892)</f>
        <v/>
      </c>
      <c r="L892" s="26" t="str">
        <f t="shared" si="161"/>
        <v/>
      </c>
      <c r="M892" s="25" t="str">
        <f>IF(K892="","",ИТОГ!Q892)</f>
        <v/>
      </c>
      <c r="N892" s="28" t="str">
        <f>IF(K892="","",ИТОГ!N892)</f>
        <v/>
      </c>
      <c r="O892" s="30" t="str">
        <f t="shared" si="162"/>
        <v/>
      </c>
      <c r="P892" s="24"/>
      <c r="Q892" s="30" t="str">
        <f t="shared" si="163"/>
        <v/>
      </c>
      <c r="R892" s="29" t="str">
        <f t="shared" ca="1" si="164"/>
        <v/>
      </c>
    </row>
    <row r="893" spans="1:18">
      <c r="A893" s="23" t="str">
        <f t="shared" si="154"/>
        <v/>
      </c>
      <c r="B893" s="23" t="str">
        <f t="shared" si="155"/>
        <v/>
      </c>
      <c r="C893" s="29" t="str">
        <f t="shared" ca="1" si="156"/>
        <v/>
      </c>
      <c r="D893" s="22" t="str">
        <f>IF(K893="","",ИТОГ!S893)</f>
        <v/>
      </c>
      <c r="E893" s="24" t="str">
        <f t="shared" si="157"/>
        <v/>
      </c>
      <c r="F893" s="30" t="str">
        <f t="shared" si="158"/>
        <v/>
      </c>
      <c r="G893" s="25" t="str">
        <f t="shared" si="159"/>
        <v/>
      </c>
      <c r="H893" s="29" t="str">
        <f t="shared" ca="1" si="160"/>
        <v/>
      </c>
      <c r="I893" s="24"/>
      <c r="J893" s="30"/>
      <c r="K893" s="27" t="str">
        <f>IF(ИТОГ!A893=0,"",ИТОГ!A893)</f>
        <v/>
      </c>
      <c r="L893" s="26" t="str">
        <f t="shared" si="161"/>
        <v/>
      </c>
      <c r="M893" s="25" t="str">
        <f>IF(K893="","",ИТОГ!Q893)</f>
        <v/>
      </c>
      <c r="N893" s="28" t="str">
        <f>IF(K893="","",ИТОГ!N893)</f>
        <v/>
      </c>
      <c r="O893" s="30" t="str">
        <f t="shared" si="162"/>
        <v/>
      </c>
      <c r="P893" s="24"/>
      <c r="Q893" s="30" t="str">
        <f t="shared" si="163"/>
        <v/>
      </c>
      <c r="R893" s="29" t="str">
        <f t="shared" ca="1" si="164"/>
        <v/>
      </c>
    </row>
    <row r="894" spans="1:18">
      <c r="A894" s="23" t="str">
        <f t="shared" si="154"/>
        <v/>
      </c>
      <c r="B894" s="23" t="str">
        <f t="shared" si="155"/>
        <v/>
      </c>
      <c r="C894" s="29" t="str">
        <f t="shared" ca="1" si="156"/>
        <v/>
      </c>
      <c r="D894" s="22" t="str">
        <f>IF(K894="","",ИТОГ!S894)</f>
        <v/>
      </c>
      <c r="E894" s="24" t="str">
        <f t="shared" si="157"/>
        <v/>
      </c>
      <c r="F894" s="30" t="str">
        <f t="shared" si="158"/>
        <v/>
      </c>
      <c r="G894" s="25" t="str">
        <f t="shared" si="159"/>
        <v/>
      </c>
      <c r="H894" s="29" t="str">
        <f t="shared" ca="1" si="160"/>
        <v/>
      </c>
      <c r="I894" s="24"/>
      <c r="J894" s="30"/>
      <c r="K894" s="27" t="str">
        <f>IF(ИТОГ!A894=0,"",ИТОГ!A894)</f>
        <v/>
      </c>
      <c r="L894" s="26" t="str">
        <f t="shared" si="161"/>
        <v/>
      </c>
      <c r="M894" s="25" t="str">
        <f>IF(K894="","",ИТОГ!Q894)</f>
        <v/>
      </c>
      <c r="N894" s="28" t="str">
        <f>IF(K894="","",ИТОГ!N894)</f>
        <v/>
      </c>
      <c r="O894" s="30" t="str">
        <f t="shared" si="162"/>
        <v/>
      </c>
      <c r="P894" s="24"/>
      <c r="Q894" s="30" t="str">
        <f t="shared" si="163"/>
        <v/>
      </c>
      <c r="R894" s="29" t="str">
        <f t="shared" ca="1" si="164"/>
        <v/>
      </c>
    </row>
    <row r="895" spans="1:18">
      <c r="A895" s="23" t="str">
        <f t="shared" si="154"/>
        <v/>
      </c>
      <c r="B895" s="23" t="str">
        <f t="shared" si="155"/>
        <v/>
      </c>
      <c r="C895" s="29" t="str">
        <f t="shared" ca="1" si="156"/>
        <v/>
      </c>
      <c r="D895" s="22" t="str">
        <f>IF(K895="","",ИТОГ!S895)</f>
        <v/>
      </c>
      <c r="E895" s="24" t="str">
        <f t="shared" si="157"/>
        <v/>
      </c>
      <c r="F895" s="30" t="str">
        <f t="shared" si="158"/>
        <v/>
      </c>
      <c r="G895" s="25" t="str">
        <f t="shared" si="159"/>
        <v/>
      </c>
      <c r="H895" s="29" t="str">
        <f t="shared" ca="1" si="160"/>
        <v/>
      </c>
      <c r="I895" s="24"/>
      <c r="J895" s="30"/>
      <c r="K895" s="27" t="str">
        <f>IF(ИТОГ!A895=0,"",ИТОГ!A895)</f>
        <v/>
      </c>
      <c r="L895" s="26" t="str">
        <f t="shared" si="161"/>
        <v/>
      </c>
      <c r="M895" s="25" t="str">
        <f>IF(K895="","",ИТОГ!Q895)</f>
        <v/>
      </c>
      <c r="N895" s="28" t="str">
        <f>IF(K895="","",ИТОГ!N895)</f>
        <v/>
      </c>
      <c r="O895" s="30" t="str">
        <f t="shared" si="162"/>
        <v/>
      </c>
      <c r="P895" s="24"/>
      <c r="Q895" s="30" t="str">
        <f t="shared" si="163"/>
        <v/>
      </c>
      <c r="R895" s="29" t="str">
        <f t="shared" ca="1" si="164"/>
        <v/>
      </c>
    </row>
    <row r="896" spans="1:18">
      <c r="A896" s="23" t="str">
        <f t="shared" si="154"/>
        <v/>
      </c>
      <c r="B896" s="23" t="str">
        <f t="shared" si="155"/>
        <v/>
      </c>
      <c r="C896" s="29" t="str">
        <f t="shared" ca="1" si="156"/>
        <v/>
      </c>
      <c r="D896" s="22" t="str">
        <f>IF(K896="","",ИТОГ!S896)</f>
        <v/>
      </c>
      <c r="E896" s="24" t="str">
        <f t="shared" si="157"/>
        <v/>
      </c>
      <c r="F896" s="30" t="str">
        <f t="shared" si="158"/>
        <v/>
      </c>
      <c r="G896" s="25" t="str">
        <f t="shared" si="159"/>
        <v/>
      </c>
      <c r="H896" s="29" t="str">
        <f t="shared" ca="1" si="160"/>
        <v/>
      </c>
      <c r="I896" s="24"/>
      <c r="J896" s="30"/>
      <c r="K896" s="27" t="str">
        <f>IF(ИТОГ!A896=0,"",ИТОГ!A896)</f>
        <v/>
      </c>
      <c r="L896" s="26" t="str">
        <f t="shared" si="161"/>
        <v/>
      </c>
      <c r="M896" s="25" t="str">
        <f>IF(K896="","",ИТОГ!Q896)</f>
        <v/>
      </c>
      <c r="N896" s="28" t="str">
        <f>IF(K896="","",ИТОГ!N896)</f>
        <v/>
      </c>
      <c r="O896" s="30" t="str">
        <f t="shared" si="162"/>
        <v/>
      </c>
      <c r="P896" s="24"/>
      <c r="Q896" s="30" t="str">
        <f t="shared" si="163"/>
        <v/>
      </c>
      <c r="R896" s="29" t="str">
        <f t="shared" ca="1" si="164"/>
        <v/>
      </c>
    </row>
    <row r="897" spans="1:18">
      <c r="A897" s="23" t="str">
        <f t="shared" si="154"/>
        <v/>
      </c>
      <c r="B897" s="23" t="str">
        <f t="shared" si="155"/>
        <v/>
      </c>
      <c r="C897" s="29" t="str">
        <f t="shared" ca="1" si="156"/>
        <v/>
      </c>
      <c r="D897" s="22" t="str">
        <f>IF(K897="","",ИТОГ!S897)</f>
        <v/>
      </c>
      <c r="E897" s="24" t="str">
        <f t="shared" si="157"/>
        <v/>
      </c>
      <c r="F897" s="30" t="str">
        <f t="shared" si="158"/>
        <v/>
      </c>
      <c r="G897" s="25" t="str">
        <f t="shared" si="159"/>
        <v/>
      </c>
      <c r="H897" s="29" t="str">
        <f t="shared" ca="1" si="160"/>
        <v/>
      </c>
      <c r="I897" s="24"/>
      <c r="J897" s="30"/>
      <c r="K897" s="27" t="str">
        <f>IF(ИТОГ!A897=0,"",ИТОГ!A897)</f>
        <v/>
      </c>
      <c r="L897" s="26" t="str">
        <f t="shared" si="161"/>
        <v/>
      </c>
      <c r="M897" s="25" t="str">
        <f>IF(K897="","",ИТОГ!Q897)</f>
        <v/>
      </c>
      <c r="N897" s="28" t="str">
        <f>IF(K897="","",ИТОГ!N897)</f>
        <v/>
      </c>
      <c r="O897" s="30" t="str">
        <f t="shared" si="162"/>
        <v/>
      </c>
      <c r="P897" s="24"/>
      <c r="Q897" s="30" t="str">
        <f t="shared" si="163"/>
        <v/>
      </c>
      <c r="R897" s="29" t="str">
        <f t="shared" ca="1" si="164"/>
        <v/>
      </c>
    </row>
    <row r="898" spans="1:18">
      <c r="A898" s="23" t="str">
        <f t="shared" si="154"/>
        <v/>
      </c>
      <c r="B898" s="23" t="str">
        <f t="shared" si="155"/>
        <v/>
      </c>
      <c r="C898" s="29" t="str">
        <f t="shared" ca="1" si="156"/>
        <v/>
      </c>
      <c r="D898" s="22" t="str">
        <f>IF(K898="","",ИТОГ!S898)</f>
        <v/>
      </c>
      <c r="E898" s="24" t="str">
        <f t="shared" si="157"/>
        <v/>
      </c>
      <c r="F898" s="30" t="str">
        <f t="shared" si="158"/>
        <v/>
      </c>
      <c r="G898" s="25" t="str">
        <f t="shared" si="159"/>
        <v/>
      </c>
      <c r="H898" s="29" t="str">
        <f t="shared" ca="1" si="160"/>
        <v/>
      </c>
      <c r="I898" s="24"/>
      <c r="J898" s="30"/>
      <c r="K898" s="27" t="str">
        <f>IF(ИТОГ!A898=0,"",ИТОГ!A898)</f>
        <v/>
      </c>
      <c r="L898" s="26" t="str">
        <f t="shared" si="161"/>
        <v/>
      </c>
      <c r="M898" s="25" t="str">
        <f>IF(K898="","",ИТОГ!Q898)</f>
        <v/>
      </c>
      <c r="N898" s="28" t="str">
        <f>IF(K898="","",ИТОГ!N898)</f>
        <v/>
      </c>
      <c r="O898" s="30" t="str">
        <f t="shared" si="162"/>
        <v/>
      </c>
      <c r="P898" s="24"/>
      <c r="Q898" s="30" t="str">
        <f t="shared" si="163"/>
        <v/>
      </c>
      <c r="R898" s="29" t="str">
        <f t="shared" ca="1" si="164"/>
        <v/>
      </c>
    </row>
    <row r="899" spans="1:18">
      <c r="A899" s="23" t="str">
        <f t="shared" si="154"/>
        <v/>
      </c>
      <c r="B899" s="23" t="str">
        <f t="shared" si="155"/>
        <v/>
      </c>
      <c r="C899" s="29" t="str">
        <f t="shared" ca="1" si="156"/>
        <v/>
      </c>
      <c r="D899" s="22" t="str">
        <f>IF(K899="","",ИТОГ!S899)</f>
        <v/>
      </c>
      <c r="E899" s="24" t="str">
        <f t="shared" si="157"/>
        <v/>
      </c>
      <c r="F899" s="30" t="str">
        <f t="shared" si="158"/>
        <v/>
      </c>
      <c r="G899" s="25" t="str">
        <f t="shared" si="159"/>
        <v/>
      </c>
      <c r="H899" s="29" t="str">
        <f t="shared" ca="1" si="160"/>
        <v/>
      </c>
      <c r="I899" s="24"/>
      <c r="J899" s="30"/>
      <c r="K899" s="27" t="str">
        <f>IF(ИТОГ!A899=0,"",ИТОГ!A899)</f>
        <v/>
      </c>
      <c r="L899" s="26" t="str">
        <f t="shared" si="161"/>
        <v/>
      </c>
      <c r="M899" s="25" t="str">
        <f>IF(K899="","",ИТОГ!Q899)</f>
        <v/>
      </c>
      <c r="N899" s="28" t="str">
        <f>IF(K899="","",ИТОГ!N899)</f>
        <v/>
      </c>
      <c r="O899" s="30" t="str">
        <f t="shared" si="162"/>
        <v/>
      </c>
      <c r="P899" s="24"/>
      <c r="Q899" s="30" t="str">
        <f t="shared" si="163"/>
        <v/>
      </c>
      <c r="R899" s="29" t="str">
        <f t="shared" ca="1" si="164"/>
        <v/>
      </c>
    </row>
    <row r="900" spans="1:18">
      <c r="A900" s="23" t="str">
        <f t="shared" si="154"/>
        <v/>
      </c>
      <c r="B900" s="23" t="str">
        <f t="shared" si="155"/>
        <v/>
      </c>
      <c r="C900" s="29" t="str">
        <f t="shared" ca="1" si="156"/>
        <v/>
      </c>
      <c r="D900" s="22" t="str">
        <f>IF(K900="","",ИТОГ!S900)</f>
        <v/>
      </c>
      <c r="E900" s="24" t="str">
        <f t="shared" si="157"/>
        <v/>
      </c>
      <c r="F900" s="30" t="str">
        <f t="shared" si="158"/>
        <v/>
      </c>
      <c r="G900" s="25" t="str">
        <f t="shared" si="159"/>
        <v/>
      </c>
      <c r="H900" s="29" t="str">
        <f t="shared" ca="1" si="160"/>
        <v/>
      </c>
      <c r="I900" s="24"/>
      <c r="J900" s="30"/>
      <c r="K900" s="27" t="str">
        <f>IF(ИТОГ!A900=0,"",ИТОГ!A900)</f>
        <v/>
      </c>
      <c r="L900" s="26" t="str">
        <f t="shared" si="161"/>
        <v/>
      </c>
      <c r="M900" s="25" t="str">
        <f>IF(K900="","",ИТОГ!Q900)</f>
        <v/>
      </c>
      <c r="N900" s="28" t="str">
        <f>IF(K900="","",ИТОГ!N900)</f>
        <v/>
      </c>
      <c r="O900" s="30" t="str">
        <f t="shared" si="162"/>
        <v/>
      </c>
      <c r="P900" s="24"/>
      <c r="Q900" s="30" t="str">
        <f t="shared" si="163"/>
        <v/>
      </c>
      <c r="R900" s="29" t="str">
        <f t="shared" ca="1" si="164"/>
        <v/>
      </c>
    </row>
    <row r="901" spans="1:18">
      <c r="A901" s="23" t="str">
        <f t="shared" si="154"/>
        <v/>
      </c>
      <c r="B901" s="23" t="str">
        <f t="shared" si="155"/>
        <v/>
      </c>
      <c r="C901" s="29" t="str">
        <f t="shared" ca="1" si="156"/>
        <v/>
      </c>
      <c r="D901" s="22" t="str">
        <f>IF(K901="","",ИТОГ!S901)</f>
        <v/>
      </c>
      <c r="E901" s="24" t="str">
        <f t="shared" si="157"/>
        <v/>
      </c>
      <c r="F901" s="30" t="str">
        <f t="shared" si="158"/>
        <v/>
      </c>
      <c r="G901" s="25" t="str">
        <f t="shared" si="159"/>
        <v/>
      </c>
      <c r="H901" s="29" t="str">
        <f t="shared" ca="1" si="160"/>
        <v/>
      </c>
      <c r="I901" s="24"/>
      <c r="J901" s="30"/>
      <c r="K901" s="27" t="str">
        <f>IF(ИТОГ!A901=0,"",ИТОГ!A901)</f>
        <v/>
      </c>
      <c r="L901" s="26" t="str">
        <f t="shared" si="161"/>
        <v/>
      </c>
      <c r="M901" s="25" t="str">
        <f>IF(K901="","",ИТОГ!Q901)</f>
        <v/>
      </c>
      <c r="N901" s="28" t="str">
        <f>IF(K901="","",ИТОГ!N901)</f>
        <v/>
      </c>
      <c r="O901" s="30" t="str">
        <f t="shared" si="162"/>
        <v/>
      </c>
      <c r="P901" s="24"/>
      <c r="Q901" s="30" t="str">
        <f t="shared" si="163"/>
        <v/>
      </c>
      <c r="R901" s="29" t="str">
        <f t="shared" ca="1" si="164"/>
        <v/>
      </c>
    </row>
    <row r="902" spans="1:18">
      <c r="A902" s="23" t="str">
        <f t="shared" si="154"/>
        <v/>
      </c>
      <c r="B902" s="23" t="str">
        <f t="shared" si="155"/>
        <v/>
      </c>
      <c r="C902" s="29" t="str">
        <f t="shared" ca="1" si="156"/>
        <v/>
      </c>
      <c r="D902" s="22" t="str">
        <f>IF(K902="","",ИТОГ!S902)</f>
        <v/>
      </c>
      <c r="E902" s="24" t="str">
        <f t="shared" si="157"/>
        <v/>
      </c>
      <c r="F902" s="30" t="str">
        <f t="shared" si="158"/>
        <v/>
      </c>
      <c r="G902" s="25" t="str">
        <f t="shared" si="159"/>
        <v/>
      </c>
      <c r="H902" s="29" t="str">
        <f t="shared" ca="1" si="160"/>
        <v/>
      </c>
      <c r="I902" s="24"/>
      <c r="J902" s="30"/>
      <c r="K902" s="27" t="str">
        <f>IF(ИТОГ!A902=0,"",ИТОГ!A902)</f>
        <v/>
      </c>
      <c r="L902" s="26" t="str">
        <f t="shared" si="161"/>
        <v/>
      </c>
      <c r="M902" s="25" t="str">
        <f>IF(K902="","",ИТОГ!Q902)</f>
        <v/>
      </c>
      <c r="N902" s="28" t="str">
        <f>IF(K902="","",ИТОГ!N902)</f>
        <v/>
      </c>
      <c r="O902" s="30" t="str">
        <f t="shared" si="162"/>
        <v/>
      </c>
      <c r="P902" s="24"/>
      <c r="Q902" s="30" t="str">
        <f t="shared" si="163"/>
        <v/>
      </c>
      <c r="R902" s="29" t="str">
        <f t="shared" ca="1" si="164"/>
        <v/>
      </c>
    </row>
    <row r="903" spans="1:18">
      <c r="A903" s="23" t="str">
        <f t="shared" si="154"/>
        <v/>
      </c>
      <c r="B903" s="23" t="str">
        <f t="shared" si="155"/>
        <v/>
      </c>
      <c r="C903" s="29" t="str">
        <f t="shared" ca="1" si="156"/>
        <v/>
      </c>
      <c r="D903" s="22" t="str">
        <f>IF(K903="","",ИТОГ!S903)</f>
        <v/>
      </c>
      <c r="E903" s="24" t="str">
        <f t="shared" si="157"/>
        <v/>
      </c>
      <c r="F903" s="30" t="str">
        <f t="shared" si="158"/>
        <v/>
      </c>
      <c r="G903" s="25" t="str">
        <f t="shared" si="159"/>
        <v/>
      </c>
      <c r="H903" s="29" t="str">
        <f t="shared" ca="1" si="160"/>
        <v/>
      </c>
      <c r="I903" s="24"/>
      <c r="J903" s="30"/>
      <c r="K903" s="27" t="str">
        <f>IF(ИТОГ!A903=0,"",ИТОГ!A903)</f>
        <v/>
      </c>
      <c r="L903" s="26" t="str">
        <f t="shared" si="161"/>
        <v/>
      </c>
      <c r="M903" s="25" t="str">
        <f>IF(K903="","",ИТОГ!Q903)</f>
        <v/>
      </c>
      <c r="N903" s="28" t="str">
        <f>IF(K903="","",ИТОГ!N903)</f>
        <v/>
      </c>
      <c r="O903" s="30" t="str">
        <f t="shared" si="162"/>
        <v/>
      </c>
      <c r="P903" s="24"/>
      <c r="Q903" s="30" t="str">
        <f t="shared" si="163"/>
        <v/>
      </c>
      <c r="R903" s="29" t="str">
        <f t="shared" ca="1" si="164"/>
        <v/>
      </c>
    </row>
    <row r="904" spans="1:18">
      <c r="A904" s="23" t="str">
        <f t="shared" si="154"/>
        <v/>
      </c>
      <c r="B904" s="23" t="str">
        <f t="shared" si="155"/>
        <v/>
      </c>
      <c r="C904" s="29" t="str">
        <f t="shared" ca="1" si="156"/>
        <v/>
      </c>
      <c r="D904" s="22" t="str">
        <f>IF(K904="","",ИТОГ!S904)</f>
        <v/>
      </c>
      <c r="E904" s="24" t="str">
        <f t="shared" si="157"/>
        <v/>
      </c>
      <c r="F904" s="30" t="str">
        <f t="shared" si="158"/>
        <v/>
      </c>
      <c r="G904" s="25" t="str">
        <f t="shared" si="159"/>
        <v/>
      </c>
      <c r="H904" s="29" t="str">
        <f t="shared" ca="1" si="160"/>
        <v/>
      </c>
      <c r="I904" s="24"/>
      <c r="J904" s="30"/>
      <c r="K904" s="27" t="str">
        <f>IF(ИТОГ!A904=0,"",ИТОГ!A904)</f>
        <v/>
      </c>
      <c r="L904" s="26" t="str">
        <f t="shared" si="161"/>
        <v/>
      </c>
      <c r="M904" s="25" t="str">
        <f>IF(K904="","",ИТОГ!Q904)</f>
        <v/>
      </c>
      <c r="N904" s="28" t="str">
        <f>IF(K904="","",ИТОГ!N904)</f>
        <v/>
      </c>
      <c r="O904" s="30" t="str">
        <f t="shared" si="162"/>
        <v/>
      </c>
      <c r="P904" s="24"/>
      <c r="Q904" s="30" t="str">
        <f t="shared" si="163"/>
        <v/>
      </c>
      <c r="R904" s="29" t="str">
        <f t="shared" ca="1" si="164"/>
        <v/>
      </c>
    </row>
    <row r="905" spans="1:18">
      <c r="A905" s="23" t="str">
        <f t="shared" si="154"/>
        <v/>
      </c>
      <c r="B905" s="23" t="str">
        <f t="shared" si="155"/>
        <v/>
      </c>
      <c r="C905" s="29" t="str">
        <f t="shared" ca="1" si="156"/>
        <v/>
      </c>
      <c r="D905" s="22" t="str">
        <f>IF(K905="","",ИТОГ!S905)</f>
        <v/>
      </c>
      <c r="E905" s="24" t="str">
        <f t="shared" si="157"/>
        <v/>
      </c>
      <c r="F905" s="30" t="str">
        <f t="shared" si="158"/>
        <v/>
      </c>
      <c r="G905" s="25" t="str">
        <f t="shared" si="159"/>
        <v/>
      </c>
      <c r="H905" s="29" t="str">
        <f t="shared" ca="1" si="160"/>
        <v/>
      </c>
      <c r="I905" s="24"/>
      <c r="J905" s="30"/>
      <c r="K905" s="27" t="str">
        <f>IF(ИТОГ!A905=0,"",ИТОГ!A905)</f>
        <v/>
      </c>
      <c r="L905" s="26" t="str">
        <f t="shared" si="161"/>
        <v/>
      </c>
      <c r="M905" s="25" t="str">
        <f>IF(K905="","",ИТОГ!Q905)</f>
        <v/>
      </c>
      <c r="N905" s="28" t="str">
        <f>IF(K905="","",ИТОГ!N905)</f>
        <v/>
      </c>
      <c r="O905" s="30" t="str">
        <f t="shared" si="162"/>
        <v/>
      </c>
      <c r="P905" s="24"/>
      <c r="Q905" s="30" t="str">
        <f t="shared" si="163"/>
        <v/>
      </c>
      <c r="R905" s="29" t="str">
        <f t="shared" ca="1" si="164"/>
        <v/>
      </c>
    </row>
    <row r="906" spans="1:18">
      <c r="A906" s="23" t="str">
        <f t="shared" si="154"/>
        <v/>
      </c>
      <c r="B906" s="23" t="str">
        <f t="shared" si="155"/>
        <v/>
      </c>
      <c r="C906" s="29" t="str">
        <f t="shared" ca="1" si="156"/>
        <v/>
      </c>
      <c r="D906" s="22" t="str">
        <f>IF(K906="","",ИТОГ!S906)</f>
        <v/>
      </c>
      <c r="E906" s="24" t="str">
        <f t="shared" si="157"/>
        <v/>
      </c>
      <c r="F906" s="30" t="str">
        <f t="shared" si="158"/>
        <v/>
      </c>
      <c r="G906" s="25" t="str">
        <f t="shared" si="159"/>
        <v/>
      </c>
      <c r="H906" s="29" t="str">
        <f t="shared" ca="1" si="160"/>
        <v/>
      </c>
      <c r="I906" s="24"/>
      <c r="J906" s="30"/>
      <c r="K906" s="27" t="str">
        <f>IF(ИТОГ!A906=0,"",ИТОГ!A906)</f>
        <v/>
      </c>
      <c r="L906" s="26" t="str">
        <f t="shared" si="161"/>
        <v/>
      </c>
      <c r="M906" s="25" t="str">
        <f>IF(K906="","",ИТОГ!Q906)</f>
        <v/>
      </c>
      <c r="N906" s="28" t="str">
        <f>IF(K906="","",ИТОГ!N906)</f>
        <v/>
      </c>
      <c r="O906" s="30" t="str">
        <f t="shared" si="162"/>
        <v/>
      </c>
      <c r="P906" s="24"/>
      <c r="Q906" s="30" t="str">
        <f t="shared" si="163"/>
        <v/>
      </c>
      <c r="R906" s="29" t="str">
        <f t="shared" ca="1" si="164"/>
        <v/>
      </c>
    </row>
    <row r="907" spans="1:18">
      <c r="A907" s="23" t="str">
        <f t="shared" si="154"/>
        <v/>
      </c>
      <c r="B907" s="23" t="str">
        <f t="shared" si="155"/>
        <v/>
      </c>
      <c r="C907" s="29" t="str">
        <f t="shared" ca="1" si="156"/>
        <v/>
      </c>
      <c r="D907" s="22" t="str">
        <f>IF(K907="","",ИТОГ!S907)</f>
        <v/>
      </c>
      <c r="E907" s="24" t="str">
        <f t="shared" si="157"/>
        <v/>
      </c>
      <c r="F907" s="30" t="str">
        <f t="shared" si="158"/>
        <v/>
      </c>
      <c r="G907" s="25" t="str">
        <f t="shared" si="159"/>
        <v/>
      </c>
      <c r="H907" s="29" t="str">
        <f t="shared" ca="1" si="160"/>
        <v/>
      </c>
      <c r="I907" s="24"/>
      <c r="J907" s="30"/>
      <c r="K907" s="27" t="str">
        <f>IF(ИТОГ!A907=0,"",ИТОГ!A907)</f>
        <v/>
      </c>
      <c r="L907" s="26" t="str">
        <f t="shared" si="161"/>
        <v/>
      </c>
      <c r="M907" s="25" t="str">
        <f>IF(K907="","",ИТОГ!Q907)</f>
        <v/>
      </c>
      <c r="N907" s="28" t="str">
        <f>IF(K907="","",ИТОГ!N907)</f>
        <v/>
      </c>
      <c r="O907" s="30" t="str">
        <f t="shared" si="162"/>
        <v/>
      </c>
      <c r="P907" s="24"/>
      <c r="Q907" s="30" t="str">
        <f t="shared" si="163"/>
        <v/>
      </c>
      <c r="R907" s="29" t="str">
        <f t="shared" ca="1" si="164"/>
        <v/>
      </c>
    </row>
    <row r="908" spans="1:18">
      <c r="A908" s="23" t="str">
        <f t="shared" si="154"/>
        <v/>
      </c>
      <c r="B908" s="23" t="str">
        <f t="shared" si="155"/>
        <v/>
      </c>
      <c r="C908" s="29" t="str">
        <f t="shared" ca="1" si="156"/>
        <v/>
      </c>
      <c r="D908" s="22" t="str">
        <f>IF(K908="","",ИТОГ!S908)</f>
        <v/>
      </c>
      <c r="E908" s="24" t="str">
        <f t="shared" si="157"/>
        <v/>
      </c>
      <c r="F908" s="30" t="str">
        <f t="shared" si="158"/>
        <v/>
      </c>
      <c r="G908" s="25" t="str">
        <f t="shared" si="159"/>
        <v/>
      </c>
      <c r="H908" s="29" t="str">
        <f t="shared" ca="1" si="160"/>
        <v/>
      </c>
      <c r="I908" s="24"/>
      <c r="J908" s="30"/>
      <c r="K908" s="27" t="str">
        <f>IF(ИТОГ!A908=0,"",ИТОГ!A908)</f>
        <v/>
      </c>
      <c r="L908" s="26" t="str">
        <f t="shared" si="161"/>
        <v/>
      </c>
      <c r="M908" s="25" t="str">
        <f>IF(K908="","",ИТОГ!Q908)</f>
        <v/>
      </c>
      <c r="N908" s="28" t="str">
        <f>IF(K908="","",ИТОГ!N908)</f>
        <v/>
      </c>
      <c r="O908" s="30" t="str">
        <f t="shared" si="162"/>
        <v/>
      </c>
      <c r="P908" s="24"/>
      <c r="Q908" s="30" t="str">
        <f t="shared" si="163"/>
        <v/>
      </c>
      <c r="R908" s="29" t="str">
        <f t="shared" ca="1" si="164"/>
        <v/>
      </c>
    </row>
    <row r="909" spans="1:18">
      <c r="A909" s="23" t="str">
        <f t="shared" si="154"/>
        <v/>
      </c>
      <c r="B909" s="23" t="str">
        <f t="shared" si="155"/>
        <v/>
      </c>
      <c r="C909" s="29" t="str">
        <f t="shared" ca="1" si="156"/>
        <v/>
      </c>
      <c r="D909" s="22" t="str">
        <f>IF(K909="","",ИТОГ!S909)</f>
        <v/>
      </c>
      <c r="E909" s="24" t="str">
        <f t="shared" si="157"/>
        <v/>
      </c>
      <c r="F909" s="30" t="str">
        <f t="shared" si="158"/>
        <v/>
      </c>
      <c r="G909" s="25" t="str">
        <f t="shared" si="159"/>
        <v/>
      </c>
      <c r="H909" s="29" t="str">
        <f t="shared" ca="1" si="160"/>
        <v/>
      </c>
      <c r="I909" s="24"/>
      <c r="J909" s="30"/>
      <c r="K909" s="27" t="str">
        <f>IF(ИТОГ!A909=0,"",ИТОГ!A909)</f>
        <v/>
      </c>
      <c r="L909" s="26" t="str">
        <f t="shared" si="161"/>
        <v/>
      </c>
      <c r="M909" s="25" t="str">
        <f>IF(K909="","",ИТОГ!Q909)</f>
        <v/>
      </c>
      <c r="N909" s="28" t="str">
        <f>IF(K909="","",ИТОГ!N909)</f>
        <v/>
      </c>
      <c r="O909" s="30" t="str">
        <f t="shared" si="162"/>
        <v/>
      </c>
      <c r="P909" s="24"/>
      <c r="Q909" s="30" t="str">
        <f t="shared" si="163"/>
        <v/>
      </c>
      <c r="R909" s="29" t="str">
        <f t="shared" ca="1" si="164"/>
        <v/>
      </c>
    </row>
    <row r="910" spans="1:18">
      <c r="A910" s="23" t="str">
        <f t="shared" si="154"/>
        <v/>
      </c>
      <c r="B910" s="23" t="str">
        <f t="shared" si="155"/>
        <v/>
      </c>
      <c r="C910" s="29" t="str">
        <f t="shared" ca="1" si="156"/>
        <v/>
      </c>
      <c r="D910" s="22" t="str">
        <f>IF(K910="","",ИТОГ!S910)</f>
        <v/>
      </c>
      <c r="E910" s="24" t="str">
        <f t="shared" si="157"/>
        <v/>
      </c>
      <c r="F910" s="30" t="str">
        <f t="shared" si="158"/>
        <v/>
      </c>
      <c r="G910" s="25" t="str">
        <f t="shared" si="159"/>
        <v/>
      </c>
      <c r="H910" s="29" t="str">
        <f t="shared" ca="1" si="160"/>
        <v/>
      </c>
      <c r="I910" s="24"/>
      <c r="J910" s="30"/>
      <c r="K910" s="27" t="str">
        <f>IF(ИТОГ!A910=0,"",ИТОГ!A910)</f>
        <v/>
      </c>
      <c r="L910" s="26" t="str">
        <f t="shared" si="161"/>
        <v/>
      </c>
      <c r="M910" s="25" t="str">
        <f>IF(K910="","",ИТОГ!Q910)</f>
        <v/>
      </c>
      <c r="N910" s="28" t="str">
        <f>IF(K910="","",ИТОГ!N910)</f>
        <v/>
      </c>
      <c r="O910" s="30" t="str">
        <f t="shared" si="162"/>
        <v/>
      </c>
      <c r="P910" s="24"/>
      <c r="Q910" s="30" t="str">
        <f t="shared" si="163"/>
        <v/>
      </c>
      <c r="R910" s="29" t="str">
        <f t="shared" ca="1" si="164"/>
        <v/>
      </c>
    </row>
    <row r="911" spans="1:18">
      <c r="A911" s="23" t="str">
        <f t="shared" si="154"/>
        <v/>
      </c>
      <c r="B911" s="23" t="str">
        <f t="shared" si="155"/>
        <v/>
      </c>
      <c r="C911" s="29" t="str">
        <f t="shared" ca="1" si="156"/>
        <v/>
      </c>
      <c r="D911" s="22" t="str">
        <f>IF(K911="","",ИТОГ!S911)</f>
        <v/>
      </c>
      <c r="E911" s="24" t="str">
        <f t="shared" si="157"/>
        <v/>
      </c>
      <c r="F911" s="30" t="str">
        <f t="shared" si="158"/>
        <v/>
      </c>
      <c r="G911" s="25" t="str">
        <f t="shared" si="159"/>
        <v/>
      </c>
      <c r="H911" s="29" t="str">
        <f t="shared" ca="1" si="160"/>
        <v/>
      </c>
      <c r="I911" s="24"/>
      <c r="J911" s="30"/>
      <c r="K911" s="27" t="str">
        <f>IF(ИТОГ!A911=0,"",ИТОГ!A911)</f>
        <v/>
      </c>
      <c r="L911" s="26" t="str">
        <f t="shared" si="161"/>
        <v/>
      </c>
      <c r="M911" s="25" t="str">
        <f>IF(K911="","",ИТОГ!Q911)</f>
        <v/>
      </c>
      <c r="N911" s="28" t="str">
        <f>IF(K911="","",ИТОГ!N911)</f>
        <v/>
      </c>
      <c r="O911" s="30" t="str">
        <f t="shared" si="162"/>
        <v/>
      </c>
      <c r="P911" s="24"/>
      <c r="Q911" s="30" t="str">
        <f t="shared" si="163"/>
        <v/>
      </c>
      <c r="R911" s="29" t="str">
        <f t="shared" ca="1" si="164"/>
        <v/>
      </c>
    </row>
    <row r="912" spans="1:18">
      <c r="A912" s="23" t="str">
        <f t="shared" si="154"/>
        <v/>
      </c>
      <c r="B912" s="23" t="str">
        <f t="shared" si="155"/>
        <v/>
      </c>
      <c r="C912" s="29" t="str">
        <f t="shared" ca="1" si="156"/>
        <v/>
      </c>
      <c r="D912" s="22" t="str">
        <f>IF(K912="","",ИТОГ!S912)</f>
        <v/>
      </c>
      <c r="E912" s="24" t="str">
        <f t="shared" si="157"/>
        <v/>
      </c>
      <c r="F912" s="30" t="str">
        <f t="shared" si="158"/>
        <v/>
      </c>
      <c r="G912" s="25" t="str">
        <f t="shared" si="159"/>
        <v/>
      </c>
      <c r="H912" s="29" t="str">
        <f t="shared" ca="1" si="160"/>
        <v/>
      </c>
      <c r="I912" s="24"/>
      <c r="J912" s="30"/>
      <c r="K912" s="27" t="str">
        <f>IF(ИТОГ!A912=0,"",ИТОГ!A912)</f>
        <v/>
      </c>
      <c r="L912" s="26" t="str">
        <f t="shared" si="161"/>
        <v/>
      </c>
      <c r="M912" s="25" t="str">
        <f>IF(K912="","",ИТОГ!Q912)</f>
        <v/>
      </c>
      <c r="N912" s="28" t="str">
        <f>IF(K912="","",ИТОГ!N912)</f>
        <v/>
      </c>
      <c r="O912" s="30" t="str">
        <f t="shared" si="162"/>
        <v/>
      </c>
      <c r="P912" s="24"/>
      <c r="Q912" s="30" t="str">
        <f t="shared" si="163"/>
        <v/>
      </c>
      <c r="R912" s="29" t="str">
        <f t="shared" ca="1" si="164"/>
        <v/>
      </c>
    </row>
    <row r="913" spans="1:18">
      <c r="A913" s="23" t="str">
        <f t="shared" si="154"/>
        <v/>
      </c>
      <c r="B913" s="23" t="str">
        <f t="shared" si="155"/>
        <v/>
      </c>
      <c r="C913" s="29" t="str">
        <f t="shared" ca="1" si="156"/>
        <v/>
      </c>
      <c r="D913" s="22" t="str">
        <f>IF(K913="","",ИТОГ!S913)</f>
        <v/>
      </c>
      <c r="E913" s="24" t="str">
        <f t="shared" si="157"/>
        <v/>
      </c>
      <c r="F913" s="30" t="str">
        <f t="shared" si="158"/>
        <v/>
      </c>
      <c r="G913" s="25" t="str">
        <f t="shared" si="159"/>
        <v/>
      </c>
      <c r="H913" s="29" t="str">
        <f t="shared" ca="1" si="160"/>
        <v/>
      </c>
      <c r="I913" s="24"/>
      <c r="J913" s="30"/>
      <c r="K913" s="27" t="str">
        <f>IF(ИТОГ!A913=0,"",ИТОГ!A913)</f>
        <v/>
      </c>
      <c r="L913" s="26" t="str">
        <f t="shared" si="161"/>
        <v/>
      </c>
      <c r="M913" s="25" t="str">
        <f>IF(K913="","",ИТОГ!Q913)</f>
        <v/>
      </c>
      <c r="N913" s="28" t="str">
        <f>IF(K913="","",ИТОГ!N913)</f>
        <v/>
      </c>
      <c r="O913" s="30" t="str">
        <f t="shared" si="162"/>
        <v/>
      </c>
      <c r="P913" s="24"/>
      <c r="Q913" s="30" t="str">
        <f t="shared" si="163"/>
        <v/>
      </c>
      <c r="R913" s="29" t="str">
        <f t="shared" ca="1" si="164"/>
        <v/>
      </c>
    </row>
    <row r="914" spans="1:18">
      <c r="A914" s="23" t="str">
        <f t="shared" si="154"/>
        <v/>
      </c>
      <c r="B914" s="23" t="str">
        <f t="shared" si="155"/>
        <v/>
      </c>
      <c r="C914" s="29" t="str">
        <f t="shared" ca="1" si="156"/>
        <v/>
      </c>
      <c r="D914" s="22" t="str">
        <f>IF(K914="","",ИТОГ!S914)</f>
        <v/>
      </c>
      <c r="E914" s="24" t="str">
        <f t="shared" si="157"/>
        <v/>
      </c>
      <c r="F914" s="30" t="str">
        <f t="shared" si="158"/>
        <v/>
      </c>
      <c r="G914" s="25" t="str">
        <f t="shared" si="159"/>
        <v/>
      </c>
      <c r="H914" s="29" t="str">
        <f t="shared" ca="1" si="160"/>
        <v/>
      </c>
      <c r="I914" s="24"/>
      <c r="J914" s="30"/>
      <c r="K914" s="27" t="str">
        <f>IF(ИТОГ!A914=0,"",ИТОГ!A914)</f>
        <v/>
      </c>
      <c r="L914" s="26" t="str">
        <f t="shared" si="161"/>
        <v/>
      </c>
      <c r="M914" s="25" t="str">
        <f>IF(K914="","",ИТОГ!Q914)</f>
        <v/>
      </c>
      <c r="N914" s="28" t="str">
        <f>IF(K914="","",ИТОГ!N914)</f>
        <v/>
      </c>
      <c r="O914" s="30" t="str">
        <f t="shared" si="162"/>
        <v/>
      </c>
      <c r="P914" s="24"/>
      <c r="Q914" s="30" t="str">
        <f t="shared" si="163"/>
        <v/>
      </c>
      <c r="R914" s="29" t="str">
        <f t="shared" ca="1" si="164"/>
        <v/>
      </c>
    </row>
    <row r="915" spans="1:18">
      <c r="A915" s="23" t="str">
        <f t="shared" si="154"/>
        <v/>
      </c>
      <c r="B915" s="23" t="str">
        <f t="shared" si="155"/>
        <v/>
      </c>
      <c r="C915" s="29" t="str">
        <f t="shared" ca="1" si="156"/>
        <v/>
      </c>
      <c r="D915" s="22" t="str">
        <f>IF(K915="","",ИТОГ!S915)</f>
        <v/>
      </c>
      <c r="E915" s="24" t="str">
        <f t="shared" si="157"/>
        <v/>
      </c>
      <c r="F915" s="30" t="str">
        <f t="shared" si="158"/>
        <v/>
      </c>
      <c r="G915" s="25" t="str">
        <f t="shared" si="159"/>
        <v/>
      </c>
      <c r="H915" s="29" t="str">
        <f t="shared" ca="1" si="160"/>
        <v/>
      </c>
      <c r="I915" s="24"/>
      <c r="J915" s="30"/>
      <c r="K915" s="27" t="str">
        <f>IF(ИТОГ!A915=0,"",ИТОГ!A915)</f>
        <v/>
      </c>
      <c r="L915" s="26" t="str">
        <f t="shared" si="161"/>
        <v/>
      </c>
      <c r="M915" s="25" t="str">
        <f>IF(K915="","",ИТОГ!Q915)</f>
        <v/>
      </c>
      <c r="N915" s="28" t="str">
        <f>IF(K915="","",ИТОГ!N915)</f>
        <v/>
      </c>
      <c r="O915" s="30" t="str">
        <f t="shared" si="162"/>
        <v/>
      </c>
      <c r="P915" s="24"/>
      <c r="Q915" s="30" t="str">
        <f t="shared" si="163"/>
        <v/>
      </c>
      <c r="R915" s="29" t="str">
        <f t="shared" ca="1" si="164"/>
        <v/>
      </c>
    </row>
    <row r="916" spans="1:18">
      <c r="A916" s="23" t="str">
        <f t="shared" si="154"/>
        <v/>
      </c>
      <c r="B916" s="23" t="str">
        <f t="shared" si="155"/>
        <v/>
      </c>
      <c r="C916" s="29" t="str">
        <f t="shared" ca="1" si="156"/>
        <v/>
      </c>
      <c r="D916" s="22" t="str">
        <f>IF(K916="","",ИТОГ!S916)</f>
        <v/>
      </c>
      <c r="E916" s="24" t="str">
        <f t="shared" si="157"/>
        <v/>
      </c>
      <c r="F916" s="30" t="str">
        <f t="shared" si="158"/>
        <v/>
      </c>
      <c r="G916" s="25" t="str">
        <f t="shared" si="159"/>
        <v/>
      </c>
      <c r="H916" s="29" t="str">
        <f t="shared" ca="1" si="160"/>
        <v/>
      </c>
      <c r="I916" s="24"/>
      <c r="J916" s="30"/>
      <c r="K916" s="27" t="str">
        <f>IF(ИТОГ!A916=0,"",ИТОГ!A916)</f>
        <v/>
      </c>
      <c r="L916" s="26" t="str">
        <f t="shared" si="161"/>
        <v/>
      </c>
      <c r="M916" s="25" t="str">
        <f>IF(K916="","",ИТОГ!Q916)</f>
        <v/>
      </c>
      <c r="N916" s="28" t="str">
        <f>IF(K916="","",ИТОГ!N916)</f>
        <v/>
      </c>
      <c r="O916" s="30" t="str">
        <f t="shared" si="162"/>
        <v/>
      </c>
      <c r="P916" s="24"/>
      <c r="Q916" s="30" t="str">
        <f t="shared" si="163"/>
        <v/>
      </c>
      <c r="R916" s="29" t="str">
        <f t="shared" ca="1" si="164"/>
        <v/>
      </c>
    </row>
    <row r="917" spans="1:18">
      <c r="A917" s="23" t="str">
        <f t="shared" si="154"/>
        <v/>
      </c>
      <c r="B917" s="23" t="str">
        <f t="shared" si="155"/>
        <v/>
      </c>
      <c r="C917" s="29" t="str">
        <f t="shared" ca="1" si="156"/>
        <v/>
      </c>
      <c r="D917" s="22" t="str">
        <f>IF(K917="","",ИТОГ!S917)</f>
        <v/>
      </c>
      <c r="E917" s="24" t="str">
        <f t="shared" si="157"/>
        <v/>
      </c>
      <c r="F917" s="30" t="str">
        <f t="shared" si="158"/>
        <v/>
      </c>
      <c r="G917" s="25" t="str">
        <f t="shared" si="159"/>
        <v/>
      </c>
      <c r="H917" s="29" t="str">
        <f t="shared" ca="1" si="160"/>
        <v/>
      </c>
      <c r="I917" s="24"/>
      <c r="J917" s="30"/>
      <c r="K917" s="27" t="str">
        <f>IF(ИТОГ!A917=0,"",ИТОГ!A917)</f>
        <v/>
      </c>
      <c r="L917" s="26" t="str">
        <f t="shared" si="161"/>
        <v/>
      </c>
      <c r="M917" s="25" t="str">
        <f>IF(K917="","",ИТОГ!Q917)</f>
        <v/>
      </c>
      <c r="N917" s="28" t="str">
        <f>IF(K917="","",ИТОГ!N917)</f>
        <v/>
      </c>
      <c r="O917" s="30" t="str">
        <f t="shared" si="162"/>
        <v/>
      </c>
      <c r="P917" s="24"/>
      <c r="Q917" s="30" t="str">
        <f t="shared" si="163"/>
        <v/>
      </c>
      <c r="R917" s="29" t="str">
        <f t="shared" ca="1" si="164"/>
        <v/>
      </c>
    </row>
    <row r="918" spans="1:18">
      <c r="A918" s="23" t="str">
        <f t="shared" si="154"/>
        <v/>
      </c>
      <c r="B918" s="23" t="str">
        <f t="shared" si="155"/>
        <v/>
      </c>
      <c r="C918" s="29" t="str">
        <f t="shared" ca="1" si="156"/>
        <v/>
      </c>
      <c r="D918" s="22" t="str">
        <f>IF(K918="","",ИТОГ!S918)</f>
        <v/>
      </c>
      <c r="E918" s="24" t="str">
        <f t="shared" si="157"/>
        <v/>
      </c>
      <c r="F918" s="30" t="str">
        <f t="shared" si="158"/>
        <v/>
      </c>
      <c r="G918" s="25" t="str">
        <f t="shared" si="159"/>
        <v/>
      </c>
      <c r="H918" s="29" t="str">
        <f t="shared" ca="1" si="160"/>
        <v/>
      </c>
      <c r="I918" s="24"/>
      <c r="J918" s="30"/>
      <c r="K918" s="27" t="str">
        <f>IF(ИТОГ!A918=0,"",ИТОГ!A918)</f>
        <v/>
      </c>
      <c r="L918" s="26" t="str">
        <f t="shared" si="161"/>
        <v/>
      </c>
      <c r="M918" s="25" t="str">
        <f>IF(K918="","",ИТОГ!Q918)</f>
        <v/>
      </c>
      <c r="N918" s="28" t="str">
        <f>IF(K918="","",ИТОГ!N918)</f>
        <v/>
      </c>
      <c r="O918" s="30" t="str">
        <f t="shared" si="162"/>
        <v/>
      </c>
      <c r="P918" s="24"/>
      <c r="Q918" s="30" t="str">
        <f t="shared" si="163"/>
        <v/>
      </c>
      <c r="R918" s="29" t="str">
        <f t="shared" ca="1" si="164"/>
        <v/>
      </c>
    </row>
    <row r="919" spans="1:18">
      <c r="A919" s="23" t="str">
        <f t="shared" si="154"/>
        <v/>
      </c>
      <c r="B919" s="23" t="str">
        <f t="shared" si="155"/>
        <v/>
      </c>
      <c r="C919" s="29" t="str">
        <f t="shared" ca="1" si="156"/>
        <v/>
      </c>
      <c r="D919" s="22" t="str">
        <f>IF(K919="","",ИТОГ!S919)</f>
        <v/>
      </c>
      <c r="E919" s="24" t="str">
        <f t="shared" si="157"/>
        <v/>
      </c>
      <c r="F919" s="30" t="str">
        <f t="shared" si="158"/>
        <v/>
      </c>
      <c r="G919" s="25" t="str">
        <f t="shared" si="159"/>
        <v/>
      </c>
      <c r="H919" s="29" t="str">
        <f t="shared" ca="1" si="160"/>
        <v/>
      </c>
      <c r="I919" s="24"/>
      <c r="J919" s="30"/>
      <c r="K919" s="27" t="str">
        <f>IF(ИТОГ!A919=0,"",ИТОГ!A919)</f>
        <v/>
      </c>
      <c r="L919" s="26" t="str">
        <f t="shared" si="161"/>
        <v/>
      </c>
      <c r="M919" s="25" t="str">
        <f>IF(K919="","",ИТОГ!Q919)</f>
        <v/>
      </c>
      <c r="N919" s="28" t="str">
        <f>IF(K919="","",ИТОГ!N919)</f>
        <v/>
      </c>
      <c r="O919" s="30" t="str">
        <f t="shared" si="162"/>
        <v/>
      </c>
      <c r="P919" s="24"/>
      <c r="Q919" s="30" t="str">
        <f t="shared" si="163"/>
        <v/>
      </c>
      <c r="R919" s="29" t="str">
        <f t="shared" ca="1" si="164"/>
        <v/>
      </c>
    </row>
    <row r="920" spans="1:18">
      <c r="A920" s="23" t="str">
        <f t="shared" si="154"/>
        <v/>
      </c>
      <c r="B920" s="23" t="str">
        <f t="shared" si="155"/>
        <v/>
      </c>
      <c r="C920" s="29" t="str">
        <f t="shared" ca="1" si="156"/>
        <v/>
      </c>
      <c r="D920" s="22" t="str">
        <f>IF(K920="","",ИТОГ!S920)</f>
        <v/>
      </c>
      <c r="E920" s="24" t="str">
        <f t="shared" si="157"/>
        <v/>
      </c>
      <c r="F920" s="30" t="str">
        <f t="shared" si="158"/>
        <v/>
      </c>
      <c r="G920" s="25" t="str">
        <f t="shared" si="159"/>
        <v/>
      </c>
      <c r="H920" s="29" t="str">
        <f t="shared" ca="1" si="160"/>
        <v/>
      </c>
      <c r="I920" s="24"/>
      <c r="J920" s="30"/>
      <c r="K920" s="27" t="str">
        <f>IF(ИТОГ!A920=0,"",ИТОГ!A920)</f>
        <v/>
      </c>
      <c r="L920" s="26" t="str">
        <f t="shared" si="161"/>
        <v/>
      </c>
      <c r="M920" s="25" t="str">
        <f>IF(K920="","",ИТОГ!Q920)</f>
        <v/>
      </c>
      <c r="N920" s="28" t="str">
        <f>IF(K920="","",ИТОГ!N920)</f>
        <v/>
      </c>
      <c r="O920" s="30" t="str">
        <f t="shared" si="162"/>
        <v/>
      </c>
      <c r="P920" s="24"/>
      <c r="Q920" s="30" t="str">
        <f t="shared" si="163"/>
        <v/>
      </c>
      <c r="R920" s="29" t="str">
        <f t="shared" ca="1" si="164"/>
        <v/>
      </c>
    </row>
    <row r="921" spans="1:18">
      <c r="A921" s="23" t="str">
        <f t="shared" si="154"/>
        <v/>
      </c>
      <c r="B921" s="23" t="str">
        <f t="shared" si="155"/>
        <v/>
      </c>
      <c r="C921" s="29" t="str">
        <f t="shared" ca="1" si="156"/>
        <v/>
      </c>
      <c r="D921" s="22" t="str">
        <f>IF(K921="","",ИТОГ!S921)</f>
        <v/>
      </c>
      <c r="E921" s="24" t="str">
        <f t="shared" si="157"/>
        <v/>
      </c>
      <c r="F921" s="30" t="str">
        <f t="shared" si="158"/>
        <v/>
      </c>
      <c r="G921" s="25" t="str">
        <f t="shared" si="159"/>
        <v/>
      </c>
      <c r="H921" s="29" t="str">
        <f t="shared" ca="1" si="160"/>
        <v/>
      </c>
      <c r="I921" s="24"/>
      <c r="J921" s="30"/>
      <c r="K921" s="27" t="str">
        <f>IF(ИТОГ!A921=0,"",ИТОГ!A921)</f>
        <v/>
      </c>
      <c r="L921" s="26" t="str">
        <f t="shared" si="161"/>
        <v/>
      </c>
      <c r="M921" s="25" t="str">
        <f>IF(K921="","",ИТОГ!Q921)</f>
        <v/>
      </c>
      <c r="N921" s="28" t="str">
        <f>IF(K921="","",ИТОГ!N921)</f>
        <v/>
      </c>
      <c r="O921" s="30" t="str">
        <f t="shared" si="162"/>
        <v/>
      </c>
      <c r="P921" s="24"/>
      <c r="Q921" s="30" t="str">
        <f t="shared" si="163"/>
        <v/>
      </c>
      <c r="R921" s="29" t="str">
        <f t="shared" ca="1" si="164"/>
        <v/>
      </c>
    </row>
    <row r="922" spans="1:18">
      <c r="A922" s="23" t="str">
        <f t="shared" si="154"/>
        <v/>
      </c>
      <c r="B922" s="23" t="str">
        <f t="shared" si="155"/>
        <v/>
      </c>
      <c r="C922" s="29" t="str">
        <f t="shared" ca="1" si="156"/>
        <v/>
      </c>
      <c r="D922" s="22" t="str">
        <f>IF(K922="","",ИТОГ!S922)</f>
        <v/>
      </c>
      <c r="E922" s="24" t="str">
        <f t="shared" si="157"/>
        <v/>
      </c>
      <c r="F922" s="30" t="str">
        <f t="shared" si="158"/>
        <v/>
      </c>
      <c r="G922" s="25" t="str">
        <f t="shared" si="159"/>
        <v/>
      </c>
      <c r="H922" s="29" t="str">
        <f t="shared" ca="1" si="160"/>
        <v/>
      </c>
      <c r="I922" s="24"/>
      <c r="J922" s="30"/>
      <c r="K922" s="27" t="str">
        <f>IF(ИТОГ!A922=0,"",ИТОГ!A922)</f>
        <v/>
      </c>
      <c r="L922" s="26" t="str">
        <f t="shared" si="161"/>
        <v/>
      </c>
      <c r="M922" s="25" t="str">
        <f>IF(K922="","",ИТОГ!Q922)</f>
        <v/>
      </c>
      <c r="N922" s="28" t="str">
        <f>IF(K922="","",ИТОГ!N922)</f>
        <v/>
      </c>
      <c r="O922" s="30" t="str">
        <f t="shared" si="162"/>
        <v/>
      </c>
      <c r="P922" s="24"/>
      <c r="Q922" s="30" t="str">
        <f t="shared" si="163"/>
        <v/>
      </c>
      <c r="R922" s="29" t="str">
        <f t="shared" ca="1" si="164"/>
        <v/>
      </c>
    </row>
    <row r="923" spans="1:18">
      <c r="A923" s="23" t="str">
        <f t="shared" si="154"/>
        <v/>
      </c>
      <c r="B923" s="23" t="str">
        <f t="shared" si="155"/>
        <v/>
      </c>
      <c r="C923" s="29" t="str">
        <f t="shared" ca="1" si="156"/>
        <v/>
      </c>
      <c r="D923" s="22" t="str">
        <f>IF(K923="","",ИТОГ!S923)</f>
        <v/>
      </c>
      <c r="E923" s="24" t="str">
        <f t="shared" si="157"/>
        <v/>
      </c>
      <c r="F923" s="30" t="str">
        <f t="shared" si="158"/>
        <v/>
      </c>
      <c r="G923" s="25" t="str">
        <f t="shared" si="159"/>
        <v/>
      </c>
      <c r="H923" s="29" t="str">
        <f t="shared" ca="1" si="160"/>
        <v/>
      </c>
      <c r="I923" s="24"/>
      <c r="J923" s="30"/>
      <c r="K923" s="27" t="str">
        <f>IF(ИТОГ!A923=0,"",ИТОГ!A923)</f>
        <v/>
      </c>
      <c r="L923" s="26" t="str">
        <f t="shared" si="161"/>
        <v/>
      </c>
      <c r="M923" s="25" t="str">
        <f>IF(K923="","",ИТОГ!Q923)</f>
        <v/>
      </c>
      <c r="N923" s="28" t="str">
        <f>IF(K923="","",ИТОГ!N923)</f>
        <v/>
      </c>
      <c r="O923" s="30" t="str">
        <f t="shared" si="162"/>
        <v/>
      </c>
      <c r="P923" s="24"/>
      <c r="Q923" s="30" t="str">
        <f t="shared" si="163"/>
        <v/>
      </c>
      <c r="R923" s="29" t="str">
        <f t="shared" ca="1" si="164"/>
        <v/>
      </c>
    </row>
    <row r="924" spans="1:18">
      <c r="A924" s="23" t="str">
        <f t="shared" si="154"/>
        <v/>
      </c>
      <c r="B924" s="23" t="str">
        <f t="shared" si="155"/>
        <v/>
      </c>
      <c r="C924" s="29" t="str">
        <f t="shared" ca="1" si="156"/>
        <v/>
      </c>
      <c r="D924" s="22" t="str">
        <f>IF(K924="","",ИТОГ!S924)</f>
        <v/>
      </c>
      <c r="E924" s="24" t="str">
        <f t="shared" si="157"/>
        <v/>
      </c>
      <c r="F924" s="30" t="str">
        <f t="shared" si="158"/>
        <v/>
      </c>
      <c r="G924" s="25" t="str">
        <f t="shared" si="159"/>
        <v/>
      </c>
      <c r="H924" s="29" t="str">
        <f t="shared" ca="1" si="160"/>
        <v/>
      </c>
      <c r="I924" s="24"/>
      <c r="J924" s="30"/>
      <c r="K924" s="27" t="str">
        <f>IF(ИТОГ!A924=0,"",ИТОГ!A924)</f>
        <v/>
      </c>
      <c r="L924" s="26" t="str">
        <f t="shared" si="161"/>
        <v/>
      </c>
      <c r="M924" s="25" t="str">
        <f>IF(K924="","",ИТОГ!Q924)</f>
        <v/>
      </c>
      <c r="N924" s="28" t="str">
        <f>IF(K924="","",ИТОГ!N924)</f>
        <v/>
      </c>
      <c r="O924" s="30" t="str">
        <f t="shared" si="162"/>
        <v/>
      </c>
      <c r="P924" s="24"/>
      <c r="Q924" s="30" t="str">
        <f t="shared" si="163"/>
        <v/>
      </c>
      <c r="R924" s="29" t="str">
        <f t="shared" ca="1" si="164"/>
        <v/>
      </c>
    </row>
    <row r="925" spans="1:18">
      <c r="A925" s="23" t="str">
        <f t="shared" si="154"/>
        <v/>
      </c>
      <c r="B925" s="23" t="str">
        <f t="shared" si="155"/>
        <v/>
      </c>
      <c r="C925" s="29" t="str">
        <f t="shared" ca="1" si="156"/>
        <v/>
      </c>
      <c r="D925" s="22" t="str">
        <f>IF(K925="","",ИТОГ!S925)</f>
        <v/>
      </c>
      <c r="E925" s="24" t="str">
        <f t="shared" si="157"/>
        <v/>
      </c>
      <c r="F925" s="30" t="str">
        <f t="shared" si="158"/>
        <v/>
      </c>
      <c r="G925" s="25" t="str">
        <f t="shared" si="159"/>
        <v/>
      </c>
      <c r="H925" s="29" t="str">
        <f t="shared" ca="1" si="160"/>
        <v/>
      </c>
      <c r="I925" s="24"/>
      <c r="J925" s="30"/>
      <c r="K925" s="27" t="str">
        <f>IF(ИТОГ!A925=0,"",ИТОГ!A925)</f>
        <v/>
      </c>
      <c r="L925" s="26" t="str">
        <f t="shared" si="161"/>
        <v/>
      </c>
      <c r="M925" s="25" t="str">
        <f>IF(K925="","",ИТОГ!Q925)</f>
        <v/>
      </c>
      <c r="N925" s="28" t="str">
        <f>IF(K925="","",ИТОГ!N925)</f>
        <v/>
      </c>
      <c r="O925" s="30" t="str">
        <f t="shared" si="162"/>
        <v/>
      </c>
      <c r="P925" s="24"/>
      <c r="Q925" s="30" t="str">
        <f t="shared" si="163"/>
        <v/>
      </c>
      <c r="R925" s="29" t="str">
        <f t="shared" ca="1" si="164"/>
        <v/>
      </c>
    </row>
    <row r="926" spans="1:18">
      <c r="A926" s="23" t="str">
        <f t="shared" ref="A926:A989" si="165">IF(K926="","",1000)</f>
        <v/>
      </c>
      <c r="B926" s="23" t="str">
        <f t="shared" ref="B926:B989" si="166">IF(K926="","",1)</f>
        <v/>
      </c>
      <c r="C926" s="29" t="str">
        <f t="shared" ref="C926:C989" ca="1" si="167">IF(K926="","",TODAY())</f>
        <v/>
      </c>
      <c r="D926" s="22" t="str">
        <f>IF(K926="","",ИТОГ!S926)</f>
        <v/>
      </c>
      <c r="E926" s="24" t="str">
        <f t="shared" ref="E926:E989" si="168">IF(K926="","","Х")</f>
        <v/>
      </c>
      <c r="F926" s="30" t="str">
        <f t="shared" ref="F926:F989" si="169">IF(K926="","","UV")</f>
        <v/>
      </c>
      <c r="G926" s="25" t="str">
        <f t="shared" ref="G926:G989" si="170">IF(K926="","",SUMIF(D:D,D926,M:M))</f>
        <v/>
      </c>
      <c r="H926" s="29" t="str">
        <f t="shared" ref="H926:H989" ca="1" si="171">IF(K926="","",TODAY())</f>
        <v/>
      </c>
      <c r="I926" s="24"/>
      <c r="J926" s="30"/>
      <c r="K926" s="27" t="str">
        <f>IF(ИТОГ!A926=0,"",ИТОГ!A926)</f>
        <v/>
      </c>
      <c r="L926" s="26" t="str">
        <f t="shared" ref="L926:L989" si="172">IF(K926="","",
IF(D925-D926=0,L925+10,10))</f>
        <v/>
      </c>
      <c r="M926" s="25" t="str">
        <f>IF(K926="","",ИТОГ!Q926)</f>
        <v/>
      </c>
      <c r="N926" s="28" t="str">
        <f>IF(K926="","",ИТОГ!N926)</f>
        <v/>
      </c>
      <c r="O926" s="30" t="str">
        <f t="shared" ref="O926:O989" si="173">IF(K926="","","ST")</f>
        <v/>
      </c>
      <c r="P926" s="24"/>
      <c r="Q926" s="30" t="str">
        <f t="shared" ref="Q926:Q989" si="174">IF(K926="","","EUR")</f>
        <v/>
      </c>
      <c r="R926" s="29" t="str">
        <f t="shared" ref="R926:R989" ca="1" si="175">IF(K926="","",TODAY())</f>
        <v/>
      </c>
    </row>
    <row r="927" spans="1:18">
      <c r="A927" s="23" t="str">
        <f t="shared" si="165"/>
        <v/>
      </c>
      <c r="B927" s="23" t="str">
        <f t="shared" si="166"/>
        <v/>
      </c>
      <c r="C927" s="29" t="str">
        <f t="shared" ca="1" si="167"/>
        <v/>
      </c>
      <c r="D927" s="22" t="str">
        <f>IF(K927="","",ИТОГ!S927)</f>
        <v/>
      </c>
      <c r="E927" s="24" t="str">
        <f t="shared" si="168"/>
        <v/>
      </c>
      <c r="F927" s="30" t="str">
        <f t="shared" si="169"/>
        <v/>
      </c>
      <c r="G927" s="25" t="str">
        <f t="shared" si="170"/>
        <v/>
      </c>
      <c r="H927" s="29" t="str">
        <f t="shared" ca="1" si="171"/>
        <v/>
      </c>
      <c r="I927" s="24"/>
      <c r="J927" s="30"/>
      <c r="K927" s="27" t="str">
        <f>IF(ИТОГ!A927=0,"",ИТОГ!A927)</f>
        <v/>
      </c>
      <c r="L927" s="26" t="str">
        <f t="shared" si="172"/>
        <v/>
      </c>
      <c r="M927" s="25" t="str">
        <f>IF(K927="","",ИТОГ!Q927)</f>
        <v/>
      </c>
      <c r="N927" s="28" t="str">
        <f>IF(K927="","",ИТОГ!N927)</f>
        <v/>
      </c>
      <c r="O927" s="30" t="str">
        <f t="shared" si="173"/>
        <v/>
      </c>
      <c r="P927" s="24"/>
      <c r="Q927" s="30" t="str">
        <f t="shared" si="174"/>
        <v/>
      </c>
      <c r="R927" s="29" t="str">
        <f t="shared" ca="1" si="175"/>
        <v/>
      </c>
    </row>
    <row r="928" spans="1:18">
      <c r="A928" s="23" t="str">
        <f t="shared" si="165"/>
        <v/>
      </c>
      <c r="B928" s="23" t="str">
        <f t="shared" si="166"/>
        <v/>
      </c>
      <c r="C928" s="29" t="str">
        <f t="shared" ca="1" si="167"/>
        <v/>
      </c>
      <c r="D928" s="22" t="str">
        <f>IF(K928="","",ИТОГ!S928)</f>
        <v/>
      </c>
      <c r="E928" s="24" t="str">
        <f t="shared" si="168"/>
        <v/>
      </c>
      <c r="F928" s="30" t="str">
        <f t="shared" si="169"/>
        <v/>
      </c>
      <c r="G928" s="25" t="str">
        <f t="shared" si="170"/>
        <v/>
      </c>
      <c r="H928" s="29" t="str">
        <f t="shared" ca="1" si="171"/>
        <v/>
      </c>
      <c r="I928" s="24"/>
      <c r="J928" s="30"/>
      <c r="K928" s="27" t="str">
        <f>IF(ИТОГ!A928=0,"",ИТОГ!A928)</f>
        <v/>
      </c>
      <c r="L928" s="26" t="str">
        <f t="shared" si="172"/>
        <v/>
      </c>
      <c r="M928" s="25" t="str">
        <f>IF(K928="","",ИТОГ!Q928)</f>
        <v/>
      </c>
      <c r="N928" s="28" t="str">
        <f>IF(K928="","",ИТОГ!N928)</f>
        <v/>
      </c>
      <c r="O928" s="30" t="str">
        <f t="shared" si="173"/>
        <v/>
      </c>
      <c r="P928" s="24"/>
      <c r="Q928" s="30" t="str">
        <f t="shared" si="174"/>
        <v/>
      </c>
      <c r="R928" s="29" t="str">
        <f t="shared" ca="1" si="175"/>
        <v/>
      </c>
    </row>
    <row r="929" spans="1:18">
      <c r="A929" s="23" t="str">
        <f t="shared" si="165"/>
        <v/>
      </c>
      <c r="B929" s="23" t="str">
        <f t="shared" si="166"/>
        <v/>
      </c>
      <c r="C929" s="29" t="str">
        <f t="shared" ca="1" si="167"/>
        <v/>
      </c>
      <c r="D929" s="22" t="str">
        <f>IF(K929="","",ИТОГ!S929)</f>
        <v/>
      </c>
      <c r="E929" s="24" t="str">
        <f t="shared" si="168"/>
        <v/>
      </c>
      <c r="F929" s="30" t="str">
        <f t="shared" si="169"/>
        <v/>
      </c>
      <c r="G929" s="25" t="str">
        <f t="shared" si="170"/>
        <v/>
      </c>
      <c r="H929" s="29" t="str">
        <f t="shared" ca="1" si="171"/>
        <v/>
      </c>
      <c r="I929" s="24"/>
      <c r="J929" s="30"/>
      <c r="K929" s="27" t="str">
        <f>IF(ИТОГ!A929=0,"",ИТОГ!A929)</f>
        <v/>
      </c>
      <c r="L929" s="26" t="str">
        <f t="shared" si="172"/>
        <v/>
      </c>
      <c r="M929" s="25" t="str">
        <f>IF(K929="","",ИТОГ!Q929)</f>
        <v/>
      </c>
      <c r="N929" s="28" t="str">
        <f>IF(K929="","",ИТОГ!N929)</f>
        <v/>
      </c>
      <c r="O929" s="30" t="str">
        <f t="shared" si="173"/>
        <v/>
      </c>
      <c r="P929" s="24"/>
      <c r="Q929" s="30" t="str">
        <f t="shared" si="174"/>
        <v/>
      </c>
      <c r="R929" s="29" t="str">
        <f t="shared" ca="1" si="175"/>
        <v/>
      </c>
    </row>
    <row r="930" spans="1:18">
      <c r="A930" s="23" t="str">
        <f t="shared" si="165"/>
        <v/>
      </c>
      <c r="B930" s="23" t="str">
        <f t="shared" si="166"/>
        <v/>
      </c>
      <c r="C930" s="29" t="str">
        <f t="shared" ca="1" si="167"/>
        <v/>
      </c>
      <c r="D930" s="22" t="str">
        <f>IF(K930="","",ИТОГ!S930)</f>
        <v/>
      </c>
      <c r="E930" s="24" t="str">
        <f t="shared" si="168"/>
        <v/>
      </c>
      <c r="F930" s="30" t="str">
        <f t="shared" si="169"/>
        <v/>
      </c>
      <c r="G930" s="25" t="str">
        <f t="shared" si="170"/>
        <v/>
      </c>
      <c r="H930" s="29" t="str">
        <f t="shared" ca="1" si="171"/>
        <v/>
      </c>
      <c r="I930" s="24"/>
      <c r="J930" s="30"/>
      <c r="K930" s="27" t="str">
        <f>IF(ИТОГ!A930=0,"",ИТОГ!A930)</f>
        <v/>
      </c>
      <c r="L930" s="26" t="str">
        <f t="shared" si="172"/>
        <v/>
      </c>
      <c r="M930" s="25" t="str">
        <f>IF(K930="","",ИТОГ!Q930)</f>
        <v/>
      </c>
      <c r="N930" s="28" t="str">
        <f>IF(K930="","",ИТОГ!N930)</f>
        <v/>
      </c>
      <c r="O930" s="30" t="str">
        <f t="shared" si="173"/>
        <v/>
      </c>
      <c r="P930" s="24"/>
      <c r="Q930" s="30" t="str">
        <f t="shared" si="174"/>
        <v/>
      </c>
      <c r="R930" s="29" t="str">
        <f t="shared" ca="1" si="175"/>
        <v/>
      </c>
    </row>
    <row r="931" spans="1:18">
      <c r="A931" s="23" t="str">
        <f t="shared" si="165"/>
        <v/>
      </c>
      <c r="B931" s="23" t="str">
        <f t="shared" si="166"/>
        <v/>
      </c>
      <c r="C931" s="29" t="str">
        <f t="shared" ca="1" si="167"/>
        <v/>
      </c>
      <c r="D931" s="22" t="str">
        <f>IF(K931="","",ИТОГ!S931)</f>
        <v/>
      </c>
      <c r="E931" s="24" t="str">
        <f t="shared" si="168"/>
        <v/>
      </c>
      <c r="F931" s="30" t="str">
        <f t="shared" si="169"/>
        <v/>
      </c>
      <c r="G931" s="25" t="str">
        <f t="shared" si="170"/>
        <v/>
      </c>
      <c r="H931" s="29" t="str">
        <f t="shared" ca="1" si="171"/>
        <v/>
      </c>
      <c r="I931" s="24"/>
      <c r="J931" s="30"/>
      <c r="K931" s="27" t="str">
        <f>IF(ИТОГ!A931=0,"",ИТОГ!A931)</f>
        <v/>
      </c>
      <c r="L931" s="26" t="str">
        <f t="shared" si="172"/>
        <v/>
      </c>
      <c r="M931" s="25" t="str">
        <f>IF(K931="","",ИТОГ!Q931)</f>
        <v/>
      </c>
      <c r="N931" s="28" t="str">
        <f>IF(K931="","",ИТОГ!N931)</f>
        <v/>
      </c>
      <c r="O931" s="30" t="str">
        <f t="shared" si="173"/>
        <v/>
      </c>
      <c r="P931" s="24"/>
      <c r="Q931" s="30" t="str">
        <f t="shared" si="174"/>
        <v/>
      </c>
      <c r="R931" s="29" t="str">
        <f t="shared" ca="1" si="175"/>
        <v/>
      </c>
    </row>
    <row r="932" spans="1:18">
      <c r="A932" s="23" t="str">
        <f t="shared" si="165"/>
        <v/>
      </c>
      <c r="B932" s="23" t="str">
        <f t="shared" si="166"/>
        <v/>
      </c>
      <c r="C932" s="29" t="str">
        <f t="shared" ca="1" si="167"/>
        <v/>
      </c>
      <c r="D932" s="22" t="str">
        <f>IF(K932="","",ИТОГ!S932)</f>
        <v/>
      </c>
      <c r="E932" s="24" t="str">
        <f t="shared" si="168"/>
        <v/>
      </c>
      <c r="F932" s="30" t="str">
        <f t="shared" si="169"/>
        <v/>
      </c>
      <c r="G932" s="25" t="str">
        <f t="shared" si="170"/>
        <v/>
      </c>
      <c r="H932" s="29" t="str">
        <f t="shared" ca="1" si="171"/>
        <v/>
      </c>
      <c r="I932" s="24"/>
      <c r="J932" s="30"/>
      <c r="K932" s="27" t="str">
        <f>IF(ИТОГ!A932=0,"",ИТОГ!A932)</f>
        <v/>
      </c>
      <c r="L932" s="26" t="str">
        <f t="shared" si="172"/>
        <v/>
      </c>
      <c r="M932" s="25" t="str">
        <f>IF(K932="","",ИТОГ!Q932)</f>
        <v/>
      </c>
      <c r="N932" s="28" t="str">
        <f>IF(K932="","",ИТОГ!N932)</f>
        <v/>
      </c>
      <c r="O932" s="30" t="str">
        <f t="shared" si="173"/>
        <v/>
      </c>
      <c r="P932" s="24"/>
      <c r="Q932" s="30" t="str">
        <f t="shared" si="174"/>
        <v/>
      </c>
      <c r="R932" s="29" t="str">
        <f t="shared" ca="1" si="175"/>
        <v/>
      </c>
    </row>
    <row r="933" spans="1:18">
      <c r="A933" s="23" t="str">
        <f t="shared" si="165"/>
        <v/>
      </c>
      <c r="B933" s="23" t="str">
        <f t="shared" si="166"/>
        <v/>
      </c>
      <c r="C933" s="29" t="str">
        <f t="shared" ca="1" si="167"/>
        <v/>
      </c>
      <c r="D933" s="22" t="str">
        <f>IF(K933="","",ИТОГ!S933)</f>
        <v/>
      </c>
      <c r="E933" s="24" t="str">
        <f t="shared" si="168"/>
        <v/>
      </c>
      <c r="F933" s="30" t="str">
        <f t="shared" si="169"/>
        <v/>
      </c>
      <c r="G933" s="25" t="str">
        <f t="shared" si="170"/>
        <v/>
      </c>
      <c r="H933" s="29" t="str">
        <f t="shared" ca="1" si="171"/>
        <v/>
      </c>
      <c r="I933" s="24"/>
      <c r="J933" s="30"/>
      <c r="K933" s="27" t="str">
        <f>IF(ИТОГ!A933=0,"",ИТОГ!A933)</f>
        <v/>
      </c>
      <c r="L933" s="26" t="str">
        <f t="shared" si="172"/>
        <v/>
      </c>
      <c r="M933" s="25" t="str">
        <f>IF(K933="","",ИТОГ!Q933)</f>
        <v/>
      </c>
      <c r="N933" s="28" t="str">
        <f>IF(K933="","",ИТОГ!N933)</f>
        <v/>
      </c>
      <c r="O933" s="30" t="str">
        <f t="shared" si="173"/>
        <v/>
      </c>
      <c r="P933" s="24"/>
      <c r="Q933" s="30" t="str">
        <f t="shared" si="174"/>
        <v/>
      </c>
      <c r="R933" s="29" t="str">
        <f t="shared" ca="1" si="175"/>
        <v/>
      </c>
    </row>
    <row r="934" spans="1:18">
      <c r="A934" s="23" t="str">
        <f t="shared" si="165"/>
        <v/>
      </c>
      <c r="B934" s="23" t="str">
        <f t="shared" si="166"/>
        <v/>
      </c>
      <c r="C934" s="29" t="str">
        <f t="shared" ca="1" si="167"/>
        <v/>
      </c>
      <c r="D934" s="22" t="str">
        <f>IF(K934="","",ИТОГ!S934)</f>
        <v/>
      </c>
      <c r="E934" s="24" t="str">
        <f t="shared" si="168"/>
        <v/>
      </c>
      <c r="F934" s="30" t="str">
        <f t="shared" si="169"/>
        <v/>
      </c>
      <c r="G934" s="25" t="str">
        <f t="shared" si="170"/>
        <v/>
      </c>
      <c r="H934" s="29" t="str">
        <f t="shared" ca="1" si="171"/>
        <v/>
      </c>
      <c r="I934" s="24"/>
      <c r="J934" s="30"/>
      <c r="K934" s="27" t="str">
        <f>IF(ИТОГ!A934=0,"",ИТОГ!A934)</f>
        <v/>
      </c>
      <c r="L934" s="26" t="str">
        <f t="shared" si="172"/>
        <v/>
      </c>
      <c r="M934" s="25" t="str">
        <f>IF(K934="","",ИТОГ!Q934)</f>
        <v/>
      </c>
      <c r="N934" s="28" t="str">
        <f>IF(K934="","",ИТОГ!N934)</f>
        <v/>
      </c>
      <c r="O934" s="30" t="str">
        <f t="shared" si="173"/>
        <v/>
      </c>
      <c r="P934" s="24"/>
      <c r="Q934" s="30" t="str">
        <f t="shared" si="174"/>
        <v/>
      </c>
      <c r="R934" s="29" t="str">
        <f t="shared" ca="1" si="175"/>
        <v/>
      </c>
    </row>
    <row r="935" spans="1:18">
      <c r="A935" s="23" t="str">
        <f t="shared" si="165"/>
        <v/>
      </c>
      <c r="B935" s="23" t="str">
        <f t="shared" si="166"/>
        <v/>
      </c>
      <c r="C935" s="29" t="str">
        <f t="shared" ca="1" si="167"/>
        <v/>
      </c>
      <c r="D935" s="22" t="str">
        <f>IF(K935="","",ИТОГ!S935)</f>
        <v/>
      </c>
      <c r="E935" s="24" t="str">
        <f t="shared" si="168"/>
        <v/>
      </c>
      <c r="F935" s="30" t="str">
        <f t="shared" si="169"/>
        <v/>
      </c>
      <c r="G935" s="25" t="str">
        <f t="shared" si="170"/>
        <v/>
      </c>
      <c r="H935" s="29" t="str">
        <f t="shared" ca="1" si="171"/>
        <v/>
      </c>
      <c r="I935" s="24"/>
      <c r="J935" s="30"/>
      <c r="K935" s="27" t="str">
        <f>IF(ИТОГ!A935=0,"",ИТОГ!A935)</f>
        <v/>
      </c>
      <c r="L935" s="26" t="str">
        <f t="shared" si="172"/>
        <v/>
      </c>
      <c r="M935" s="25" t="str">
        <f>IF(K935="","",ИТОГ!Q935)</f>
        <v/>
      </c>
      <c r="N935" s="28" t="str">
        <f>IF(K935="","",ИТОГ!N935)</f>
        <v/>
      </c>
      <c r="O935" s="30" t="str">
        <f t="shared" si="173"/>
        <v/>
      </c>
      <c r="P935" s="24"/>
      <c r="Q935" s="30" t="str">
        <f t="shared" si="174"/>
        <v/>
      </c>
      <c r="R935" s="29" t="str">
        <f t="shared" ca="1" si="175"/>
        <v/>
      </c>
    </row>
    <row r="936" spans="1:18">
      <c r="A936" s="23" t="str">
        <f t="shared" si="165"/>
        <v/>
      </c>
      <c r="B936" s="23" t="str">
        <f t="shared" si="166"/>
        <v/>
      </c>
      <c r="C936" s="29" t="str">
        <f t="shared" ca="1" si="167"/>
        <v/>
      </c>
      <c r="D936" s="22" t="str">
        <f>IF(K936="","",ИТОГ!S936)</f>
        <v/>
      </c>
      <c r="E936" s="24" t="str">
        <f t="shared" si="168"/>
        <v/>
      </c>
      <c r="F936" s="30" t="str">
        <f t="shared" si="169"/>
        <v/>
      </c>
      <c r="G936" s="25" t="str">
        <f t="shared" si="170"/>
        <v/>
      </c>
      <c r="H936" s="29" t="str">
        <f t="shared" ca="1" si="171"/>
        <v/>
      </c>
      <c r="I936" s="24"/>
      <c r="J936" s="30"/>
      <c r="K936" s="27" t="str">
        <f>IF(ИТОГ!A936=0,"",ИТОГ!A936)</f>
        <v/>
      </c>
      <c r="L936" s="26" t="str">
        <f t="shared" si="172"/>
        <v/>
      </c>
      <c r="M936" s="25" t="str">
        <f>IF(K936="","",ИТОГ!Q936)</f>
        <v/>
      </c>
      <c r="N936" s="28" t="str">
        <f>IF(K936="","",ИТОГ!N936)</f>
        <v/>
      </c>
      <c r="O936" s="30" t="str">
        <f t="shared" si="173"/>
        <v/>
      </c>
      <c r="P936" s="24"/>
      <c r="Q936" s="30" t="str">
        <f t="shared" si="174"/>
        <v/>
      </c>
      <c r="R936" s="29" t="str">
        <f t="shared" ca="1" si="175"/>
        <v/>
      </c>
    </row>
    <row r="937" spans="1:18">
      <c r="A937" s="23" t="str">
        <f t="shared" si="165"/>
        <v/>
      </c>
      <c r="B937" s="23" t="str">
        <f t="shared" si="166"/>
        <v/>
      </c>
      <c r="C937" s="29" t="str">
        <f t="shared" ca="1" si="167"/>
        <v/>
      </c>
      <c r="D937" s="22" t="str">
        <f>IF(K937="","",ИТОГ!S937)</f>
        <v/>
      </c>
      <c r="E937" s="24" t="str">
        <f t="shared" si="168"/>
        <v/>
      </c>
      <c r="F937" s="30" t="str">
        <f t="shared" si="169"/>
        <v/>
      </c>
      <c r="G937" s="25" t="str">
        <f t="shared" si="170"/>
        <v/>
      </c>
      <c r="H937" s="29" t="str">
        <f t="shared" ca="1" si="171"/>
        <v/>
      </c>
      <c r="I937" s="24"/>
      <c r="J937" s="30"/>
      <c r="K937" s="27" t="str">
        <f>IF(ИТОГ!A937=0,"",ИТОГ!A937)</f>
        <v/>
      </c>
      <c r="L937" s="26" t="str">
        <f t="shared" si="172"/>
        <v/>
      </c>
      <c r="M937" s="25" t="str">
        <f>IF(K937="","",ИТОГ!Q937)</f>
        <v/>
      </c>
      <c r="N937" s="28" t="str">
        <f>IF(K937="","",ИТОГ!N937)</f>
        <v/>
      </c>
      <c r="O937" s="30" t="str">
        <f t="shared" si="173"/>
        <v/>
      </c>
      <c r="P937" s="24"/>
      <c r="Q937" s="30" t="str">
        <f t="shared" si="174"/>
        <v/>
      </c>
      <c r="R937" s="29" t="str">
        <f t="shared" ca="1" si="175"/>
        <v/>
      </c>
    </row>
    <row r="938" spans="1:18">
      <c r="A938" s="23" t="str">
        <f t="shared" si="165"/>
        <v/>
      </c>
      <c r="B938" s="23" t="str">
        <f t="shared" si="166"/>
        <v/>
      </c>
      <c r="C938" s="29" t="str">
        <f t="shared" ca="1" si="167"/>
        <v/>
      </c>
      <c r="D938" s="22" t="str">
        <f>IF(K938="","",ИТОГ!S938)</f>
        <v/>
      </c>
      <c r="E938" s="24" t="str">
        <f t="shared" si="168"/>
        <v/>
      </c>
      <c r="F938" s="30" t="str">
        <f t="shared" si="169"/>
        <v/>
      </c>
      <c r="G938" s="25" t="str">
        <f t="shared" si="170"/>
        <v/>
      </c>
      <c r="H938" s="29" t="str">
        <f t="shared" ca="1" si="171"/>
        <v/>
      </c>
      <c r="I938" s="24"/>
      <c r="J938" s="30"/>
      <c r="K938" s="27" t="str">
        <f>IF(ИТОГ!A938=0,"",ИТОГ!A938)</f>
        <v/>
      </c>
      <c r="L938" s="26" t="str">
        <f t="shared" si="172"/>
        <v/>
      </c>
      <c r="M938" s="25" t="str">
        <f>IF(K938="","",ИТОГ!Q938)</f>
        <v/>
      </c>
      <c r="N938" s="28" t="str">
        <f>IF(K938="","",ИТОГ!N938)</f>
        <v/>
      </c>
      <c r="O938" s="30" t="str">
        <f t="shared" si="173"/>
        <v/>
      </c>
      <c r="P938" s="24"/>
      <c r="Q938" s="30" t="str">
        <f t="shared" si="174"/>
        <v/>
      </c>
      <c r="R938" s="29" t="str">
        <f t="shared" ca="1" si="175"/>
        <v/>
      </c>
    </row>
    <row r="939" spans="1:18">
      <c r="A939" s="23" t="str">
        <f t="shared" si="165"/>
        <v/>
      </c>
      <c r="B939" s="23" t="str">
        <f t="shared" si="166"/>
        <v/>
      </c>
      <c r="C939" s="29" t="str">
        <f t="shared" ca="1" si="167"/>
        <v/>
      </c>
      <c r="D939" s="22" t="str">
        <f>IF(K939="","",ИТОГ!S939)</f>
        <v/>
      </c>
      <c r="E939" s="24" t="str">
        <f t="shared" si="168"/>
        <v/>
      </c>
      <c r="F939" s="30" t="str">
        <f t="shared" si="169"/>
        <v/>
      </c>
      <c r="G939" s="25" t="str">
        <f t="shared" si="170"/>
        <v/>
      </c>
      <c r="H939" s="29" t="str">
        <f t="shared" ca="1" si="171"/>
        <v/>
      </c>
      <c r="I939" s="24"/>
      <c r="J939" s="30"/>
      <c r="K939" s="27" t="str">
        <f>IF(ИТОГ!A939=0,"",ИТОГ!A939)</f>
        <v/>
      </c>
      <c r="L939" s="26" t="str">
        <f t="shared" si="172"/>
        <v/>
      </c>
      <c r="M939" s="25" t="str">
        <f>IF(K939="","",ИТОГ!Q939)</f>
        <v/>
      </c>
      <c r="N939" s="28" t="str">
        <f>IF(K939="","",ИТОГ!N939)</f>
        <v/>
      </c>
      <c r="O939" s="30" t="str">
        <f t="shared" si="173"/>
        <v/>
      </c>
      <c r="P939" s="24"/>
      <c r="Q939" s="30" t="str">
        <f t="shared" si="174"/>
        <v/>
      </c>
      <c r="R939" s="29" t="str">
        <f t="shared" ca="1" si="175"/>
        <v/>
      </c>
    </row>
    <row r="940" spans="1:18">
      <c r="A940" s="23" t="str">
        <f t="shared" si="165"/>
        <v/>
      </c>
      <c r="B940" s="23" t="str">
        <f t="shared" si="166"/>
        <v/>
      </c>
      <c r="C940" s="29" t="str">
        <f t="shared" ca="1" si="167"/>
        <v/>
      </c>
      <c r="D940" s="22" t="str">
        <f>IF(K940="","",ИТОГ!S940)</f>
        <v/>
      </c>
      <c r="E940" s="24" t="str">
        <f t="shared" si="168"/>
        <v/>
      </c>
      <c r="F940" s="30" t="str">
        <f t="shared" si="169"/>
        <v/>
      </c>
      <c r="G940" s="25" t="str">
        <f t="shared" si="170"/>
        <v/>
      </c>
      <c r="H940" s="29" t="str">
        <f t="shared" ca="1" si="171"/>
        <v/>
      </c>
      <c r="I940" s="24"/>
      <c r="J940" s="30"/>
      <c r="K940" s="27" t="str">
        <f>IF(ИТОГ!A940=0,"",ИТОГ!A940)</f>
        <v/>
      </c>
      <c r="L940" s="26" t="str">
        <f t="shared" si="172"/>
        <v/>
      </c>
      <c r="M940" s="25" t="str">
        <f>IF(K940="","",ИТОГ!Q940)</f>
        <v/>
      </c>
      <c r="N940" s="28" t="str">
        <f>IF(K940="","",ИТОГ!N940)</f>
        <v/>
      </c>
      <c r="O940" s="30" t="str">
        <f t="shared" si="173"/>
        <v/>
      </c>
      <c r="P940" s="24"/>
      <c r="Q940" s="30" t="str">
        <f t="shared" si="174"/>
        <v/>
      </c>
      <c r="R940" s="29" t="str">
        <f t="shared" ca="1" si="175"/>
        <v/>
      </c>
    </row>
    <row r="941" spans="1:18">
      <c r="A941" s="23" t="str">
        <f t="shared" si="165"/>
        <v/>
      </c>
      <c r="B941" s="23" t="str">
        <f t="shared" si="166"/>
        <v/>
      </c>
      <c r="C941" s="29" t="str">
        <f t="shared" ca="1" si="167"/>
        <v/>
      </c>
      <c r="D941" s="22" t="str">
        <f>IF(K941="","",ИТОГ!S941)</f>
        <v/>
      </c>
      <c r="E941" s="24" t="str">
        <f t="shared" si="168"/>
        <v/>
      </c>
      <c r="F941" s="30" t="str">
        <f t="shared" si="169"/>
        <v/>
      </c>
      <c r="G941" s="25" t="str">
        <f t="shared" si="170"/>
        <v/>
      </c>
      <c r="H941" s="29" t="str">
        <f t="shared" ca="1" si="171"/>
        <v/>
      </c>
      <c r="I941" s="24"/>
      <c r="J941" s="30"/>
      <c r="K941" s="27" t="str">
        <f>IF(ИТОГ!A941=0,"",ИТОГ!A941)</f>
        <v/>
      </c>
      <c r="L941" s="26" t="str">
        <f t="shared" si="172"/>
        <v/>
      </c>
      <c r="M941" s="25" t="str">
        <f>IF(K941="","",ИТОГ!Q941)</f>
        <v/>
      </c>
      <c r="N941" s="28" t="str">
        <f>IF(K941="","",ИТОГ!N941)</f>
        <v/>
      </c>
      <c r="O941" s="30" t="str">
        <f t="shared" si="173"/>
        <v/>
      </c>
      <c r="P941" s="24"/>
      <c r="Q941" s="30" t="str">
        <f t="shared" si="174"/>
        <v/>
      </c>
      <c r="R941" s="29" t="str">
        <f t="shared" ca="1" si="175"/>
        <v/>
      </c>
    </row>
    <row r="942" spans="1:18">
      <c r="A942" s="23" t="str">
        <f t="shared" si="165"/>
        <v/>
      </c>
      <c r="B942" s="23" t="str">
        <f t="shared" si="166"/>
        <v/>
      </c>
      <c r="C942" s="29" t="str">
        <f t="shared" ca="1" si="167"/>
        <v/>
      </c>
      <c r="D942" s="22" t="str">
        <f>IF(K942="","",ИТОГ!S942)</f>
        <v/>
      </c>
      <c r="E942" s="24" t="str">
        <f t="shared" si="168"/>
        <v/>
      </c>
      <c r="F942" s="30" t="str">
        <f t="shared" si="169"/>
        <v/>
      </c>
      <c r="G942" s="25" t="str">
        <f t="shared" si="170"/>
        <v/>
      </c>
      <c r="H942" s="29" t="str">
        <f t="shared" ca="1" si="171"/>
        <v/>
      </c>
      <c r="I942" s="24"/>
      <c r="J942" s="30"/>
      <c r="K942" s="27" t="str">
        <f>IF(ИТОГ!A942=0,"",ИТОГ!A942)</f>
        <v/>
      </c>
      <c r="L942" s="26" t="str">
        <f t="shared" si="172"/>
        <v/>
      </c>
      <c r="M942" s="25" t="str">
        <f>IF(K942="","",ИТОГ!Q942)</f>
        <v/>
      </c>
      <c r="N942" s="28" t="str">
        <f>IF(K942="","",ИТОГ!N942)</f>
        <v/>
      </c>
      <c r="O942" s="30" t="str">
        <f t="shared" si="173"/>
        <v/>
      </c>
      <c r="P942" s="24"/>
      <c r="Q942" s="30" t="str">
        <f t="shared" si="174"/>
        <v/>
      </c>
      <c r="R942" s="29" t="str">
        <f t="shared" ca="1" si="175"/>
        <v/>
      </c>
    </row>
    <row r="943" spans="1:18">
      <c r="A943" s="23" t="str">
        <f t="shared" si="165"/>
        <v/>
      </c>
      <c r="B943" s="23" t="str">
        <f t="shared" si="166"/>
        <v/>
      </c>
      <c r="C943" s="29" t="str">
        <f t="shared" ca="1" si="167"/>
        <v/>
      </c>
      <c r="D943" s="22" t="str">
        <f>IF(K943="","",ИТОГ!S943)</f>
        <v/>
      </c>
      <c r="E943" s="24" t="str">
        <f t="shared" si="168"/>
        <v/>
      </c>
      <c r="F943" s="30" t="str">
        <f t="shared" si="169"/>
        <v/>
      </c>
      <c r="G943" s="25" t="str">
        <f t="shared" si="170"/>
        <v/>
      </c>
      <c r="H943" s="29" t="str">
        <f t="shared" ca="1" si="171"/>
        <v/>
      </c>
      <c r="I943" s="24"/>
      <c r="J943" s="30"/>
      <c r="K943" s="27" t="str">
        <f>IF(ИТОГ!A943=0,"",ИТОГ!A943)</f>
        <v/>
      </c>
      <c r="L943" s="26" t="str">
        <f t="shared" si="172"/>
        <v/>
      </c>
      <c r="M943" s="25" t="str">
        <f>IF(K943="","",ИТОГ!Q943)</f>
        <v/>
      </c>
      <c r="N943" s="28" t="str">
        <f>IF(K943="","",ИТОГ!N943)</f>
        <v/>
      </c>
      <c r="O943" s="30" t="str">
        <f t="shared" si="173"/>
        <v/>
      </c>
      <c r="P943" s="24"/>
      <c r="Q943" s="30" t="str">
        <f t="shared" si="174"/>
        <v/>
      </c>
      <c r="R943" s="29" t="str">
        <f t="shared" ca="1" si="175"/>
        <v/>
      </c>
    </row>
    <row r="944" spans="1:18">
      <c r="A944" s="23" t="str">
        <f t="shared" si="165"/>
        <v/>
      </c>
      <c r="B944" s="23" t="str">
        <f t="shared" si="166"/>
        <v/>
      </c>
      <c r="C944" s="29" t="str">
        <f t="shared" ca="1" si="167"/>
        <v/>
      </c>
      <c r="D944" s="22" t="str">
        <f>IF(K944="","",ИТОГ!S944)</f>
        <v/>
      </c>
      <c r="E944" s="24" t="str">
        <f t="shared" si="168"/>
        <v/>
      </c>
      <c r="F944" s="30" t="str">
        <f t="shared" si="169"/>
        <v/>
      </c>
      <c r="G944" s="25" t="str">
        <f t="shared" si="170"/>
        <v/>
      </c>
      <c r="H944" s="29" t="str">
        <f t="shared" ca="1" si="171"/>
        <v/>
      </c>
      <c r="I944" s="24"/>
      <c r="J944" s="30"/>
      <c r="K944" s="27" t="str">
        <f>IF(ИТОГ!A944=0,"",ИТОГ!A944)</f>
        <v/>
      </c>
      <c r="L944" s="26" t="str">
        <f t="shared" si="172"/>
        <v/>
      </c>
      <c r="M944" s="25" t="str">
        <f>IF(K944="","",ИТОГ!Q944)</f>
        <v/>
      </c>
      <c r="N944" s="28" t="str">
        <f>IF(K944="","",ИТОГ!N944)</f>
        <v/>
      </c>
      <c r="O944" s="30" t="str">
        <f t="shared" si="173"/>
        <v/>
      </c>
      <c r="P944" s="24"/>
      <c r="Q944" s="30" t="str">
        <f t="shared" si="174"/>
        <v/>
      </c>
      <c r="R944" s="29" t="str">
        <f t="shared" ca="1" si="175"/>
        <v/>
      </c>
    </row>
    <row r="945" spans="1:18">
      <c r="A945" s="23" t="str">
        <f t="shared" si="165"/>
        <v/>
      </c>
      <c r="B945" s="23" t="str">
        <f t="shared" si="166"/>
        <v/>
      </c>
      <c r="C945" s="29" t="str">
        <f t="shared" ca="1" si="167"/>
        <v/>
      </c>
      <c r="D945" s="22" t="str">
        <f>IF(K945="","",ИТОГ!S945)</f>
        <v/>
      </c>
      <c r="E945" s="24" t="str">
        <f t="shared" si="168"/>
        <v/>
      </c>
      <c r="F945" s="30" t="str">
        <f t="shared" si="169"/>
        <v/>
      </c>
      <c r="G945" s="25" t="str">
        <f t="shared" si="170"/>
        <v/>
      </c>
      <c r="H945" s="29" t="str">
        <f t="shared" ca="1" si="171"/>
        <v/>
      </c>
      <c r="I945" s="24"/>
      <c r="J945" s="30"/>
      <c r="K945" s="27" t="str">
        <f>IF(ИТОГ!A945=0,"",ИТОГ!A945)</f>
        <v/>
      </c>
      <c r="L945" s="26" t="str">
        <f t="shared" si="172"/>
        <v/>
      </c>
      <c r="M945" s="25" t="str">
        <f>IF(K945="","",ИТОГ!Q945)</f>
        <v/>
      </c>
      <c r="N945" s="28" t="str">
        <f>IF(K945="","",ИТОГ!N945)</f>
        <v/>
      </c>
      <c r="O945" s="30" t="str">
        <f t="shared" si="173"/>
        <v/>
      </c>
      <c r="P945" s="24"/>
      <c r="Q945" s="30" t="str">
        <f t="shared" si="174"/>
        <v/>
      </c>
      <c r="R945" s="29" t="str">
        <f t="shared" ca="1" si="175"/>
        <v/>
      </c>
    </row>
    <row r="946" spans="1:18">
      <c r="A946" s="23" t="str">
        <f t="shared" si="165"/>
        <v/>
      </c>
      <c r="B946" s="23" t="str">
        <f t="shared" si="166"/>
        <v/>
      </c>
      <c r="C946" s="29" t="str">
        <f t="shared" ca="1" si="167"/>
        <v/>
      </c>
      <c r="D946" s="22" t="str">
        <f>IF(K946="","",ИТОГ!S946)</f>
        <v/>
      </c>
      <c r="E946" s="24" t="str">
        <f t="shared" si="168"/>
        <v/>
      </c>
      <c r="F946" s="30" t="str">
        <f t="shared" si="169"/>
        <v/>
      </c>
      <c r="G946" s="25" t="str">
        <f t="shared" si="170"/>
        <v/>
      </c>
      <c r="H946" s="29" t="str">
        <f t="shared" ca="1" si="171"/>
        <v/>
      </c>
      <c r="I946" s="24"/>
      <c r="J946" s="30"/>
      <c r="K946" s="27" t="str">
        <f>IF(ИТОГ!A946=0,"",ИТОГ!A946)</f>
        <v/>
      </c>
      <c r="L946" s="26" t="str">
        <f t="shared" si="172"/>
        <v/>
      </c>
      <c r="M946" s="25" t="str">
        <f>IF(K946="","",ИТОГ!Q946)</f>
        <v/>
      </c>
      <c r="N946" s="28" t="str">
        <f>IF(K946="","",ИТОГ!N946)</f>
        <v/>
      </c>
      <c r="O946" s="30" t="str">
        <f t="shared" si="173"/>
        <v/>
      </c>
      <c r="P946" s="24"/>
      <c r="Q946" s="30" t="str">
        <f t="shared" si="174"/>
        <v/>
      </c>
      <c r="R946" s="29" t="str">
        <f t="shared" ca="1" si="175"/>
        <v/>
      </c>
    </row>
    <row r="947" spans="1:18">
      <c r="A947" s="23" t="str">
        <f t="shared" si="165"/>
        <v/>
      </c>
      <c r="B947" s="23" t="str">
        <f t="shared" si="166"/>
        <v/>
      </c>
      <c r="C947" s="29" t="str">
        <f t="shared" ca="1" si="167"/>
        <v/>
      </c>
      <c r="D947" s="22" t="str">
        <f>IF(K947="","",ИТОГ!S947)</f>
        <v/>
      </c>
      <c r="E947" s="24" t="str">
        <f t="shared" si="168"/>
        <v/>
      </c>
      <c r="F947" s="30" t="str">
        <f t="shared" si="169"/>
        <v/>
      </c>
      <c r="G947" s="25" t="str">
        <f t="shared" si="170"/>
        <v/>
      </c>
      <c r="H947" s="29" t="str">
        <f t="shared" ca="1" si="171"/>
        <v/>
      </c>
      <c r="I947" s="24"/>
      <c r="J947" s="30"/>
      <c r="K947" s="27" t="str">
        <f>IF(ИТОГ!A947=0,"",ИТОГ!A947)</f>
        <v/>
      </c>
      <c r="L947" s="26" t="str">
        <f t="shared" si="172"/>
        <v/>
      </c>
      <c r="M947" s="25" t="str">
        <f>IF(K947="","",ИТОГ!Q947)</f>
        <v/>
      </c>
      <c r="N947" s="28" t="str">
        <f>IF(K947="","",ИТОГ!N947)</f>
        <v/>
      </c>
      <c r="O947" s="30" t="str">
        <f t="shared" si="173"/>
        <v/>
      </c>
      <c r="P947" s="24"/>
      <c r="Q947" s="30" t="str">
        <f t="shared" si="174"/>
        <v/>
      </c>
      <c r="R947" s="29" t="str">
        <f t="shared" ca="1" si="175"/>
        <v/>
      </c>
    </row>
    <row r="948" spans="1:18">
      <c r="A948" s="23" t="str">
        <f t="shared" si="165"/>
        <v/>
      </c>
      <c r="B948" s="23" t="str">
        <f t="shared" si="166"/>
        <v/>
      </c>
      <c r="C948" s="29" t="str">
        <f t="shared" ca="1" si="167"/>
        <v/>
      </c>
      <c r="D948" s="22" t="str">
        <f>IF(K948="","",ИТОГ!S948)</f>
        <v/>
      </c>
      <c r="E948" s="24" t="str">
        <f t="shared" si="168"/>
        <v/>
      </c>
      <c r="F948" s="30" t="str">
        <f t="shared" si="169"/>
        <v/>
      </c>
      <c r="G948" s="25" t="str">
        <f t="shared" si="170"/>
        <v/>
      </c>
      <c r="H948" s="29" t="str">
        <f t="shared" ca="1" si="171"/>
        <v/>
      </c>
      <c r="I948" s="24"/>
      <c r="J948" s="30"/>
      <c r="K948" s="27" t="str">
        <f>IF(ИТОГ!A948=0,"",ИТОГ!A948)</f>
        <v/>
      </c>
      <c r="L948" s="26" t="str">
        <f t="shared" si="172"/>
        <v/>
      </c>
      <c r="M948" s="25" t="str">
        <f>IF(K948="","",ИТОГ!Q948)</f>
        <v/>
      </c>
      <c r="N948" s="28" t="str">
        <f>IF(K948="","",ИТОГ!N948)</f>
        <v/>
      </c>
      <c r="O948" s="30" t="str">
        <f t="shared" si="173"/>
        <v/>
      </c>
      <c r="P948" s="24"/>
      <c r="Q948" s="30" t="str">
        <f t="shared" si="174"/>
        <v/>
      </c>
      <c r="R948" s="29" t="str">
        <f t="shared" ca="1" si="175"/>
        <v/>
      </c>
    </row>
    <row r="949" spans="1:18">
      <c r="A949" s="23" t="str">
        <f t="shared" si="165"/>
        <v/>
      </c>
      <c r="B949" s="23" t="str">
        <f t="shared" si="166"/>
        <v/>
      </c>
      <c r="C949" s="29" t="str">
        <f t="shared" ca="1" si="167"/>
        <v/>
      </c>
      <c r="D949" s="22" t="str">
        <f>IF(K949="","",ИТОГ!S949)</f>
        <v/>
      </c>
      <c r="E949" s="24" t="str">
        <f t="shared" si="168"/>
        <v/>
      </c>
      <c r="F949" s="30" t="str">
        <f t="shared" si="169"/>
        <v/>
      </c>
      <c r="G949" s="25" t="str">
        <f t="shared" si="170"/>
        <v/>
      </c>
      <c r="H949" s="29" t="str">
        <f t="shared" ca="1" si="171"/>
        <v/>
      </c>
      <c r="I949" s="24"/>
      <c r="J949" s="30"/>
      <c r="K949" s="27" t="str">
        <f>IF(ИТОГ!A949=0,"",ИТОГ!A949)</f>
        <v/>
      </c>
      <c r="L949" s="26" t="str">
        <f t="shared" si="172"/>
        <v/>
      </c>
      <c r="M949" s="25" t="str">
        <f>IF(K949="","",ИТОГ!Q949)</f>
        <v/>
      </c>
      <c r="N949" s="28" t="str">
        <f>IF(K949="","",ИТОГ!N949)</f>
        <v/>
      </c>
      <c r="O949" s="30" t="str">
        <f t="shared" si="173"/>
        <v/>
      </c>
      <c r="P949" s="24"/>
      <c r="Q949" s="30" t="str">
        <f t="shared" si="174"/>
        <v/>
      </c>
      <c r="R949" s="29" t="str">
        <f t="shared" ca="1" si="175"/>
        <v/>
      </c>
    </row>
    <row r="950" spans="1:18">
      <c r="A950" s="23" t="str">
        <f t="shared" si="165"/>
        <v/>
      </c>
      <c r="B950" s="23" t="str">
        <f t="shared" si="166"/>
        <v/>
      </c>
      <c r="C950" s="29" t="str">
        <f t="shared" ca="1" si="167"/>
        <v/>
      </c>
      <c r="D950" s="22" t="str">
        <f>IF(K950="","",ИТОГ!S950)</f>
        <v/>
      </c>
      <c r="E950" s="24" t="str">
        <f t="shared" si="168"/>
        <v/>
      </c>
      <c r="F950" s="30" t="str">
        <f t="shared" si="169"/>
        <v/>
      </c>
      <c r="G950" s="25" t="str">
        <f t="shared" si="170"/>
        <v/>
      </c>
      <c r="H950" s="29" t="str">
        <f t="shared" ca="1" si="171"/>
        <v/>
      </c>
      <c r="I950" s="24"/>
      <c r="J950" s="30"/>
      <c r="K950" s="27" t="str">
        <f>IF(ИТОГ!A950=0,"",ИТОГ!A950)</f>
        <v/>
      </c>
      <c r="L950" s="26" t="str">
        <f t="shared" si="172"/>
        <v/>
      </c>
      <c r="M950" s="25" t="str">
        <f>IF(K950="","",ИТОГ!Q950)</f>
        <v/>
      </c>
      <c r="N950" s="28" t="str">
        <f>IF(K950="","",ИТОГ!N950)</f>
        <v/>
      </c>
      <c r="O950" s="30" t="str">
        <f t="shared" si="173"/>
        <v/>
      </c>
      <c r="P950" s="24"/>
      <c r="Q950" s="30" t="str">
        <f t="shared" si="174"/>
        <v/>
      </c>
      <c r="R950" s="29" t="str">
        <f t="shared" ca="1" si="175"/>
        <v/>
      </c>
    </row>
    <row r="951" spans="1:18">
      <c r="A951" s="23" t="str">
        <f t="shared" si="165"/>
        <v/>
      </c>
      <c r="B951" s="23" t="str">
        <f t="shared" si="166"/>
        <v/>
      </c>
      <c r="C951" s="29" t="str">
        <f t="shared" ca="1" si="167"/>
        <v/>
      </c>
      <c r="D951" s="22" t="str">
        <f>IF(K951="","",ИТОГ!S951)</f>
        <v/>
      </c>
      <c r="E951" s="24" t="str">
        <f t="shared" si="168"/>
        <v/>
      </c>
      <c r="F951" s="30" t="str">
        <f t="shared" si="169"/>
        <v/>
      </c>
      <c r="G951" s="25" t="str">
        <f t="shared" si="170"/>
        <v/>
      </c>
      <c r="H951" s="29" t="str">
        <f t="shared" ca="1" si="171"/>
        <v/>
      </c>
      <c r="I951" s="24"/>
      <c r="J951" s="30"/>
      <c r="K951" s="27" t="str">
        <f>IF(ИТОГ!A951=0,"",ИТОГ!A951)</f>
        <v/>
      </c>
      <c r="L951" s="26" t="str">
        <f t="shared" si="172"/>
        <v/>
      </c>
      <c r="M951" s="25" t="str">
        <f>IF(K951="","",ИТОГ!Q951)</f>
        <v/>
      </c>
      <c r="N951" s="28" t="str">
        <f>IF(K951="","",ИТОГ!N951)</f>
        <v/>
      </c>
      <c r="O951" s="30" t="str">
        <f t="shared" si="173"/>
        <v/>
      </c>
      <c r="P951" s="24"/>
      <c r="Q951" s="30" t="str">
        <f t="shared" si="174"/>
        <v/>
      </c>
      <c r="R951" s="29" t="str">
        <f t="shared" ca="1" si="175"/>
        <v/>
      </c>
    </row>
    <row r="952" spans="1:18">
      <c r="A952" s="23" t="str">
        <f t="shared" si="165"/>
        <v/>
      </c>
      <c r="B952" s="23" t="str">
        <f t="shared" si="166"/>
        <v/>
      </c>
      <c r="C952" s="29" t="str">
        <f t="shared" ca="1" si="167"/>
        <v/>
      </c>
      <c r="D952" s="22" t="str">
        <f>IF(K952="","",ИТОГ!S952)</f>
        <v/>
      </c>
      <c r="E952" s="24" t="str">
        <f t="shared" si="168"/>
        <v/>
      </c>
      <c r="F952" s="30" t="str">
        <f t="shared" si="169"/>
        <v/>
      </c>
      <c r="G952" s="25" t="str">
        <f t="shared" si="170"/>
        <v/>
      </c>
      <c r="H952" s="29" t="str">
        <f t="shared" ca="1" si="171"/>
        <v/>
      </c>
      <c r="I952" s="24"/>
      <c r="J952" s="30"/>
      <c r="K952" s="27" t="str">
        <f>IF(ИТОГ!A952=0,"",ИТОГ!A952)</f>
        <v/>
      </c>
      <c r="L952" s="26" t="str">
        <f t="shared" si="172"/>
        <v/>
      </c>
      <c r="M952" s="25" t="str">
        <f>IF(K952="","",ИТОГ!Q952)</f>
        <v/>
      </c>
      <c r="N952" s="28" t="str">
        <f>IF(K952="","",ИТОГ!N952)</f>
        <v/>
      </c>
      <c r="O952" s="30" t="str">
        <f t="shared" si="173"/>
        <v/>
      </c>
      <c r="P952" s="24"/>
      <c r="Q952" s="30" t="str">
        <f t="shared" si="174"/>
        <v/>
      </c>
      <c r="R952" s="29" t="str">
        <f t="shared" ca="1" si="175"/>
        <v/>
      </c>
    </row>
    <row r="953" spans="1:18">
      <c r="A953" s="23" t="str">
        <f t="shared" si="165"/>
        <v/>
      </c>
      <c r="B953" s="23" t="str">
        <f t="shared" si="166"/>
        <v/>
      </c>
      <c r="C953" s="29" t="str">
        <f t="shared" ca="1" si="167"/>
        <v/>
      </c>
      <c r="D953" s="22" t="str">
        <f>IF(K953="","",ИТОГ!S953)</f>
        <v/>
      </c>
      <c r="E953" s="24" t="str">
        <f t="shared" si="168"/>
        <v/>
      </c>
      <c r="F953" s="30" t="str">
        <f t="shared" si="169"/>
        <v/>
      </c>
      <c r="G953" s="25" t="str">
        <f t="shared" si="170"/>
        <v/>
      </c>
      <c r="H953" s="29" t="str">
        <f t="shared" ca="1" si="171"/>
        <v/>
      </c>
      <c r="I953" s="24"/>
      <c r="J953" s="30"/>
      <c r="K953" s="27" t="str">
        <f>IF(ИТОГ!A953=0,"",ИТОГ!A953)</f>
        <v/>
      </c>
      <c r="L953" s="26" t="str">
        <f t="shared" si="172"/>
        <v/>
      </c>
      <c r="M953" s="25" t="str">
        <f>IF(K953="","",ИТОГ!Q953)</f>
        <v/>
      </c>
      <c r="N953" s="28" t="str">
        <f>IF(K953="","",ИТОГ!N953)</f>
        <v/>
      </c>
      <c r="O953" s="30" t="str">
        <f t="shared" si="173"/>
        <v/>
      </c>
      <c r="P953" s="24"/>
      <c r="Q953" s="30" t="str">
        <f t="shared" si="174"/>
        <v/>
      </c>
      <c r="R953" s="29" t="str">
        <f t="shared" ca="1" si="175"/>
        <v/>
      </c>
    </row>
    <row r="954" spans="1:18">
      <c r="A954" s="23" t="str">
        <f t="shared" si="165"/>
        <v/>
      </c>
      <c r="B954" s="23" t="str">
        <f t="shared" si="166"/>
        <v/>
      </c>
      <c r="C954" s="29" t="str">
        <f t="shared" ca="1" si="167"/>
        <v/>
      </c>
      <c r="D954" s="22" t="str">
        <f>IF(K954="","",ИТОГ!S954)</f>
        <v/>
      </c>
      <c r="E954" s="24" t="str">
        <f t="shared" si="168"/>
        <v/>
      </c>
      <c r="F954" s="30" t="str">
        <f t="shared" si="169"/>
        <v/>
      </c>
      <c r="G954" s="25" t="str">
        <f t="shared" si="170"/>
        <v/>
      </c>
      <c r="H954" s="29" t="str">
        <f t="shared" ca="1" si="171"/>
        <v/>
      </c>
      <c r="I954" s="24"/>
      <c r="J954" s="30"/>
      <c r="K954" s="27" t="str">
        <f>IF(ИТОГ!A954=0,"",ИТОГ!A954)</f>
        <v/>
      </c>
      <c r="L954" s="26" t="str">
        <f t="shared" si="172"/>
        <v/>
      </c>
      <c r="M954" s="25" t="str">
        <f>IF(K954="","",ИТОГ!Q954)</f>
        <v/>
      </c>
      <c r="N954" s="28" t="str">
        <f>IF(K954="","",ИТОГ!N954)</f>
        <v/>
      </c>
      <c r="O954" s="30" t="str">
        <f t="shared" si="173"/>
        <v/>
      </c>
      <c r="P954" s="24"/>
      <c r="Q954" s="30" t="str">
        <f t="shared" si="174"/>
        <v/>
      </c>
      <c r="R954" s="29" t="str">
        <f t="shared" ca="1" si="175"/>
        <v/>
      </c>
    </row>
    <row r="955" spans="1:18">
      <c r="A955" s="23" t="str">
        <f t="shared" si="165"/>
        <v/>
      </c>
      <c r="B955" s="23" t="str">
        <f t="shared" si="166"/>
        <v/>
      </c>
      <c r="C955" s="29" t="str">
        <f t="shared" ca="1" si="167"/>
        <v/>
      </c>
      <c r="D955" s="22" t="str">
        <f>IF(K955="","",ИТОГ!S955)</f>
        <v/>
      </c>
      <c r="E955" s="24" t="str">
        <f t="shared" si="168"/>
        <v/>
      </c>
      <c r="F955" s="30" t="str">
        <f t="shared" si="169"/>
        <v/>
      </c>
      <c r="G955" s="25" t="str">
        <f t="shared" si="170"/>
        <v/>
      </c>
      <c r="H955" s="29" t="str">
        <f t="shared" ca="1" si="171"/>
        <v/>
      </c>
      <c r="I955" s="24"/>
      <c r="J955" s="30"/>
      <c r="K955" s="27" t="str">
        <f>IF(ИТОГ!A955=0,"",ИТОГ!A955)</f>
        <v/>
      </c>
      <c r="L955" s="26" t="str">
        <f t="shared" si="172"/>
        <v/>
      </c>
      <c r="M955" s="25" t="str">
        <f>IF(K955="","",ИТОГ!Q955)</f>
        <v/>
      </c>
      <c r="N955" s="28" t="str">
        <f>IF(K955="","",ИТОГ!N955)</f>
        <v/>
      </c>
      <c r="O955" s="30" t="str">
        <f t="shared" si="173"/>
        <v/>
      </c>
      <c r="P955" s="24"/>
      <c r="Q955" s="30" t="str">
        <f t="shared" si="174"/>
        <v/>
      </c>
      <c r="R955" s="29" t="str">
        <f t="shared" ca="1" si="175"/>
        <v/>
      </c>
    </row>
    <row r="956" spans="1:18">
      <c r="A956" s="23" t="str">
        <f t="shared" si="165"/>
        <v/>
      </c>
      <c r="B956" s="23" t="str">
        <f t="shared" si="166"/>
        <v/>
      </c>
      <c r="C956" s="29" t="str">
        <f t="shared" ca="1" si="167"/>
        <v/>
      </c>
      <c r="D956" s="22" t="str">
        <f>IF(K956="","",ИТОГ!S956)</f>
        <v/>
      </c>
      <c r="E956" s="24" t="str">
        <f t="shared" si="168"/>
        <v/>
      </c>
      <c r="F956" s="30" t="str">
        <f t="shared" si="169"/>
        <v/>
      </c>
      <c r="G956" s="25" t="str">
        <f t="shared" si="170"/>
        <v/>
      </c>
      <c r="H956" s="29" t="str">
        <f t="shared" ca="1" si="171"/>
        <v/>
      </c>
      <c r="I956" s="24"/>
      <c r="J956" s="30"/>
      <c r="K956" s="27" t="str">
        <f>IF(ИТОГ!A956=0,"",ИТОГ!A956)</f>
        <v/>
      </c>
      <c r="L956" s="26" t="str">
        <f t="shared" si="172"/>
        <v/>
      </c>
      <c r="M956" s="25" t="str">
        <f>IF(K956="","",ИТОГ!Q956)</f>
        <v/>
      </c>
      <c r="N956" s="28" t="str">
        <f>IF(K956="","",ИТОГ!N956)</f>
        <v/>
      </c>
      <c r="O956" s="30" t="str">
        <f t="shared" si="173"/>
        <v/>
      </c>
      <c r="P956" s="24"/>
      <c r="Q956" s="30" t="str">
        <f t="shared" si="174"/>
        <v/>
      </c>
      <c r="R956" s="29" t="str">
        <f t="shared" ca="1" si="175"/>
        <v/>
      </c>
    </row>
    <row r="957" spans="1:18">
      <c r="A957" s="23" t="str">
        <f t="shared" si="165"/>
        <v/>
      </c>
      <c r="B957" s="23" t="str">
        <f t="shared" si="166"/>
        <v/>
      </c>
      <c r="C957" s="29" t="str">
        <f t="shared" ca="1" si="167"/>
        <v/>
      </c>
      <c r="D957" s="22" t="str">
        <f>IF(K957="","",ИТОГ!S957)</f>
        <v/>
      </c>
      <c r="E957" s="24" t="str">
        <f t="shared" si="168"/>
        <v/>
      </c>
      <c r="F957" s="30" t="str">
        <f t="shared" si="169"/>
        <v/>
      </c>
      <c r="G957" s="25" t="str">
        <f t="shared" si="170"/>
        <v/>
      </c>
      <c r="H957" s="29" t="str">
        <f t="shared" ca="1" si="171"/>
        <v/>
      </c>
      <c r="I957" s="24"/>
      <c r="J957" s="30"/>
      <c r="K957" s="27" t="str">
        <f>IF(ИТОГ!A957=0,"",ИТОГ!A957)</f>
        <v/>
      </c>
      <c r="L957" s="26" t="str">
        <f t="shared" si="172"/>
        <v/>
      </c>
      <c r="M957" s="25" t="str">
        <f>IF(K957="","",ИТОГ!Q957)</f>
        <v/>
      </c>
      <c r="N957" s="28" t="str">
        <f>IF(K957="","",ИТОГ!N957)</f>
        <v/>
      </c>
      <c r="O957" s="30" t="str">
        <f t="shared" si="173"/>
        <v/>
      </c>
      <c r="P957" s="24"/>
      <c r="Q957" s="30" t="str">
        <f t="shared" si="174"/>
        <v/>
      </c>
      <c r="R957" s="29" t="str">
        <f t="shared" ca="1" si="175"/>
        <v/>
      </c>
    </row>
    <row r="958" spans="1:18">
      <c r="A958" s="23" t="str">
        <f t="shared" si="165"/>
        <v/>
      </c>
      <c r="B958" s="23" t="str">
        <f t="shared" si="166"/>
        <v/>
      </c>
      <c r="C958" s="29" t="str">
        <f t="shared" ca="1" si="167"/>
        <v/>
      </c>
      <c r="D958" s="22" t="str">
        <f>IF(K958="","",ИТОГ!S958)</f>
        <v/>
      </c>
      <c r="E958" s="24" t="str">
        <f t="shared" si="168"/>
        <v/>
      </c>
      <c r="F958" s="30" t="str">
        <f t="shared" si="169"/>
        <v/>
      </c>
      <c r="G958" s="25" t="str">
        <f t="shared" si="170"/>
        <v/>
      </c>
      <c r="H958" s="29" t="str">
        <f t="shared" ca="1" si="171"/>
        <v/>
      </c>
      <c r="I958" s="24"/>
      <c r="J958" s="30"/>
      <c r="K958" s="27" t="str">
        <f>IF(ИТОГ!A958=0,"",ИТОГ!A958)</f>
        <v/>
      </c>
      <c r="L958" s="26" t="str">
        <f t="shared" si="172"/>
        <v/>
      </c>
      <c r="M958" s="25" t="str">
        <f>IF(K958="","",ИТОГ!Q958)</f>
        <v/>
      </c>
      <c r="N958" s="28" t="str">
        <f>IF(K958="","",ИТОГ!N958)</f>
        <v/>
      </c>
      <c r="O958" s="30" t="str">
        <f t="shared" si="173"/>
        <v/>
      </c>
      <c r="P958" s="24"/>
      <c r="Q958" s="30" t="str">
        <f t="shared" si="174"/>
        <v/>
      </c>
      <c r="R958" s="29" t="str">
        <f t="shared" ca="1" si="175"/>
        <v/>
      </c>
    </row>
    <row r="959" spans="1:18">
      <c r="A959" s="23" t="str">
        <f t="shared" si="165"/>
        <v/>
      </c>
      <c r="B959" s="23" t="str">
        <f t="shared" si="166"/>
        <v/>
      </c>
      <c r="C959" s="29" t="str">
        <f t="shared" ca="1" si="167"/>
        <v/>
      </c>
      <c r="D959" s="22" t="str">
        <f>IF(K959="","",ИТОГ!S959)</f>
        <v/>
      </c>
      <c r="E959" s="24" t="str">
        <f t="shared" si="168"/>
        <v/>
      </c>
      <c r="F959" s="30" t="str">
        <f t="shared" si="169"/>
        <v/>
      </c>
      <c r="G959" s="25" t="str">
        <f t="shared" si="170"/>
        <v/>
      </c>
      <c r="H959" s="29" t="str">
        <f t="shared" ca="1" si="171"/>
        <v/>
      </c>
      <c r="I959" s="24"/>
      <c r="J959" s="30"/>
      <c r="K959" s="27" t="str">
        <f>IF(ИТОГ!A959=0,"",ИТОГ!A959)</f>
        <v/>
      </c>
      <c r="L959" s="26" t="str">
        <f t="shared" si="172"/>
        <v/>
      </c>
      <c r="M959" s="25" t="str">
        <f>IF(K959="","",ИТОГ!Q959)</f>
        <v/>
      </c>
      <c r="N959" s="28" t="str">
        <f>IF(K959="","",ИТОГ!N959)</f>
        <v/>
      </c>
      <c r="O959" s="30" t="str">
        <f t="shared" si="173"/>
        <v/>
      </c>
      <c r="P959" s="24"/>
      <c r="Q959" s="30" t="str">
        <f t="shared" si="174"/>
        <v/>
      </c>
      <c r="R959" s="29" t="str">
        <f t="shared" ca="1" si="175"/>
        <v/>
      </c>
    </row>
    <row r="960" spans="1:18">
      <c r="A960" s="23" t="str">
        <f t="shared" si="165"/>
        <v/>
      </c>
      <c r="B960" s="23" t="str">
        <f t="shared" si="166"/>
        <v/>
      </c>
      <c r="C960" s="29" t="str">
        <f t="shared" ca="1" si="167"/>
        <v/>
      </c>
      <c r="D960" s="22" t="str">
        <f>IF(K960="","",ИТОГ!S960)</f>
        <v/>
      </c>
      <c r="E960" s="24" t="str">
        <f t="shared" si="168"/>
        <v/>
      </c>
      <c r="F960" s="30" t="str">
        <f t="shared" si="169"/>
        <v/>
      </c>
      <c r="G960" s="25" t="str">
        <f t="shared" si="170"/>
        <v/>
      </c>
      <c r="H960" s="29" t="str">
        <f t="shared" ca="1" si="171"/>
        <v/>
      </c>
      <c r="I960" s="24"/>
      <c r="J960" s="30"/>
      <c r="K960" s="27" t="str">
        <f>IF(ИТОГ!A960=0,"",ИТОГ!A960)</f>
        <v/>
      </c>
      <c r="L960" s="26" t="str">
        <f t="shared" si="172"/>
        <v/>
      </c>
      <c r="M960" s="25" t="str">
        <f>IF(K960="","",ИТОГ!Q960)</f>
        <v/>
      </c>
      <c r="N960" s="28" t="str">
        <f>IF(K960="","",ИТОГ!N960)</f>
        <v/>
      </c>
      <c r="O960" s="30" t="str">
        <f t="shared" si="173"/>
        <v/>
      </c>
      <c r="P960" s="24"/>
      <c r="Q960" s="30" t="str">
        <f t="shared" si="174"/>
        <v/>
      </c>
      <c r="R960" s="29" t="str">
        <f t="shared" ca="1" si="175"/>
        <v/>
      </c>
    </row>
    <row r="961" spans="1:18">
      <c r="A961" s="23" t="str">
        <f t="shared" si="165"/>
        <v/>
      </c>
      <c r="B961" s="23" t="str">
        <f t="shared" si="166"/>
        <v/>
      </c>
      <c r="C961" s="29" t="str">
        <f t="shared" ca="1" si="167"/>
        <v/>
      </c>
      <c r="D961" s="22" t="str">
        <f>IF(K961="","",ИТОГ!S961)</f>
        <v/>
      </c>
      <c r="E961" s="24" t="str">
        <f t="shared" si="168"/>
        <v/>
      </c>
      <c r="F961" s="30" t="str">
        <f t="shared" si="169"/>
        <v/>
      </c>
      <c r="G961" s="25" t="str">
        <f t="shared" si="170"/>
        <v/>
      </c>
      <c r="H961" s="29" t="str">
        <f t="shared" ca="1" si="171"/>
        <v/>
      </c>
      <c r="I961" s="24"/>
      <c r="J961" s="30"/>
      <c r="K961" s="27" t="str">
        <f>IF(ИТОГ!A961=0,"",ИТОГ!A961)</f>
        <v/>
      </c>
      <c r="L961" s="26" t="str">
        <f t="shared" si="172"/>
        <v/>
      </c>
      <c r="M961" s="25" t="str">
        <f>IF(K961="","",ИТОГ!Q961)</f>
        <v/>
      </c>
      <c r="N961" s="28" t="str">
        <f>IF(K961="","",ИТОГ!N961)</f>
        <v/>
      </c>
      <c r="O961" s="30" t="str">
        <f t="shared" si="173"/>
        <v/>
      </c>
      <c r="P961" s="24"/>
      <c r="Q961" s="30" t="str">
        <f t="shared" si="174"/>
        <v/>
      </c>
      <c r="R961" s="29" t="str">
        <f t="shared" ca="1" si="175"/>
        <v/>
      </c>
    </row>
    <row r="962" spans="1:18">
      <c r="A962" s="23" t="str">
        <f t="shared" si="165"/>
        <v/>
      </c>
      <c r="B962" s="23" t="str">
        <f t="shared" si="166"/>
        <v/>
      </c>
      <c r="C962" s="29" t="str">
        <f t="shared" ca="1" si="167"/>
        <v/>
      </c>
      <c r="D962" s="22" t="str">
        <f>IF(K962="","",ИТОГ!S962)</f>
        <v/>
      </c>
      <c r="E962" s="24" t="str">
        <f t="shared" si="168"/>
        <v/>
      </c>
      <c r="F962" s="30" t="str">
        <f t="shared" si="169"/>
        <v/>
      </c>
      <c r="G962" s="25" t="str">
        <f t="shared" si="170"/>
        <v/>
      </c>
      <c r="H962" s="29" t="str">
        <f t="shared" ca="1" si="171"/>
        <v/>
      </c>
      <c r="I962" s="24"/>
      <c r="J962" s="30"/>
      <c r="K962" s="27" t="str">
        <f>IF(ИТОГ!A962=0,"",ИТОГ!A962)</f>
        <v/>
      </c>
      <c r="L962" s="26" t="str">
        <f t="shared" si="172"/>
        <v/>
      </c>
      <c r="M962" s="25" t="str">
        <f>IF(K962="","",ИТОГ!Q962)</f>
        <v/>
      </c>
      <c r="N962" s="28" t="str">
        <f>IF(K962="","",ИТОГ!N962)</f>
        <v/>
      </c>
      <c r="O962" s="30" t="str">
        <f t="shared" si="173"/>
        <v/>
      </c>
      <c r="P962" s="24"/>
      <c r="Q962" s="30" t="str">
        <f t="shared" si="174"/>
        <v/>
      </c>
      <c r="R962" s="29" t="str">
        <f t="shared" ca="1" si="175"/>
        <v/>
      </c>
    </row>
    <row r="963" spans="1:18">
      <c r="A963" s="23" t="str">
        <f t="shared" si="165"/>
        <v/>
      </c>
      <c r="B963" s="23" t="str">
        <f t="shared" si="166"/>
        <v/>
      </c>
      <c r="C963" s="29" t="str">
        <f t="shared" ca="1" si="167"/>
        <v/>
      </c>
      <c r="D963" s="22" t="str">
        <f>IF(K963="","",ИТОГ!S963)</f>
        <v/>
      </c>
      <c r="E963" s="24" t="str">
        <f t="shared" si="168"/>
        <v/>
      </c>
      <c r="F963" s="30" t="str">
        <f t="shared" si="169"/>
        <v/>
      </c>
      <c r="G963" s="25" t="str">
        <f t="shared" si="170"/>
        <v/>
      </c>
      <c r="H963" s="29" t="str">
        <f t="shared" ca="1" si="171"/>
        <v/>
      </c>
      <c r="I963" s="24"/>
      <c r="J963" s="30"/>
      <c r="K963" s="27" t="str">
        <f>IF(ИТОГ!A963=0,"",ИТОГ!A963)</f>
        <v/>
      </c>
      <c r="L963" s="26" t="str">
        <f t="shared" si="172"/>
        <v/>
      </c>
      <c r="M963" s="25" t="str">
        <f>IF(K963="","",ИТОГ!Q963)</f>
        <v/>
      </c>
      <c r="N963" s="28" t="str">
        <f>IF(K963="","",ИТОГ!N963)</f>
        <v/>
      </c>
      <c r="O963" s="30" t="str">
        <f t="shared" si="173"/>
        <v/>
      </c>
      <c r="P963" s="24"/>
      <c r="Q963" s="30" t="str">
        <f t="shared" si="174"/>
        <v/>
      </c>
      <c r="R963" s="29" t="str">
        <f t="shared" ca="1" si="175"/>
        <v/>
      </c>
    </row>
    <row r="964" spans="1:18">
      <c r="A964" s="23" t="str">
        <f t="shared" si="165"/>
        <v/>
      </c>
      <c r="B964" s="23" t="str">
        <f t="shared" si="166"/>
        <v/>
      </c>
      <c r="C964" s="29" t="str">
        <f t="shared" ca="1" si="167"/>
        <v/>
      </c>
      <c r="D964" s="22" t="str">
        <f>IF(K964="","",ИТОГ!S964)</f>
        <v/>
      </c>
      <c r="E964" s="24" t="str">
        <f t="shared" si="168"/>
        <v/>
      </c>
      <c r="F964" s="30" t="str">
        <f t="shared" si="169"/>
        <v/>
      </c>
      <c r="G964" s="25" t="str">
        <f t="shared" si="170"/>
        <v/>
      </c>
      <c r="H964" s="29" t="str">
        <f t="shared" ca="1" si="171"/>
        <v/>
      </c>
      <c r="I964" s="24"/>
      <c r="J964" s="30"/>
      <c r="K964" s="27" t="str">
        <f>IF(ИТОГ!A964=0,"",ИТОГ!A964)</f>
        <v/>
      </c>
      <c r="L964" s="26" t="str">
        <f t="shared" si="172"/>
        <v/>
      </c>
      <c r="M964" s="25" t="str">
        <f>IF(K964="","",ИТОГ!Q964)</f>
        <v/>
      </c>
      <c r="N964" s="28" t="str">
        <f>IF(K964="","",ИТОГ!N964)</f>
        <v/>
      </c>
      <c r="O964" s="30" t="str">
        <f t="shared" si="173"/>
        <v/>
      </c>
      <c r="P964" s="24"/>
      <c r="Q964" s="30" t="str">
        <f t="shared" si="174"/>
        <v/>
      </c>
      <c r="R964" s="29" t="str">
        <f t="shared" ca="1" si="175"/>
        <v/>
      </c>
    </row>
    <row r="965" spans="1:18">
      <c r="A965" s="23" t="str">
        <f t="shared" si="165"/>
        <v/>
      </c>
      <c r="B965" s="23" t="str">
        <f t="shared" si="166"/>
        <v/>
      </c>
      <c r="C965" s="29" t="str">
        <f t="shared" ca="1" si="167"/>
        <v/>
      </c>
      <c r="D965" s="22" t="str">
        <f>IF(K965="","",ИТОГ!S965)</f>
        <v/>
      </c>
      <c r="E965" s="24" t="str">
        <f t="shared" si="168"/>
        <v/>
      </c>
      <c r="F965" s="30" t="str">
        <f t="shared" si="169"/>
        <v/>
      </c>
      <c r="G965" s="25" t="str">
        <f t="shared" si="170"/>
        <v/>
      </c>
      <c r="H965" s="29" t="str">
        <f t="shared" ca="1" si="171"/>
        <v/>
      </c>
      <c r="I965" s="24"/>
      <c r="J965" s="30"/>
      <c r="K965" s="27" t="str">
        <f>IF(ИТОГ!A965=0,"",ИТОГ!A965)</f>
        <v/>
      </c>
      <c r="L965" s="26" t="str">
        <f t="shared" si="172"/>
        <v/>
      </c>
      <c r="M965" s="25" t="str">
        <f>IF(K965="","",ИТОГ!Q965)</f>
        <v/>
      </c>
      <c r="N965" s="28" t="str">
        <f>IF(K965="","",ИТОГ!N965)</f>
        <v/>
      </c>
      <c r="O965" s="30" t="str">
        <f t="shared" si="173"/>
        <v/>
      </c>
      <c r="P965" s="24"/>
      <c r="Q965" s="30" t="str">
        <f t="shared" si="174"/>
        <v/>
      </c>
      <c r="R965" s="29" t="str">
        <f t="shared" ca="1" si="175"/>
        <v/>
      </c>
    </row>
    <row r="966" spans="1:18">
      <c r="A966" s="23" t="str">
        <f t="shared" si="165"/>
        <v/>
      </c>
      <c r="B966" s="23" t="str">
        <f t="shared" si="166"/>
        <v/>
      </c>
      <c r="C966" s="29" t="str">
        <f t="shared" ca="1" si="167"/>
        <v/>
      </c>
      <c r="D966" s="22" t="str">
        <f>IF(K966="","",ИТОГ!S966)</f>
        <v/>
      </c>
      <c r="E966" s="24" t="str">
        <f t="shared" si="168"/>
        <v/>
      </c>
      <c r="F966" s="30" t="str">
        <f t="shared" si="169"/>
        <v/>
      </c>
      <c r="G966" s="25" t="str">
        <f t="shared" si="170"/>
        <v/>
      </c>
      <c r="H966" s="29" t="str">
        <f t="shared" ca="1" si="171"/>
        <v/>
      </c>
      <c r="I966" s="24"/>
      <c r="J966" s="30"/>
      <c r="K966" s="27" t="str">
        <f>IF(ИТОГ!A966=0,"",ИТОГ!A966)</f>
        <v/>
      </c>
      <c r="L966" s="26" t="str">
        <f t="shared" si="172"/>
        <v/>
      </c>
      <c r="M966" s="25" t="str">
        <f>IF(K966="","",ИТОГ!Q966)</f>
        <v/>
      </c>
      <c r="N966" s="28" t="str">
        <f>IF(K966="","",ИТОГ!N966)</f>
        <v/>
      </c>
      <c r="O966" s="30" t="str">
        <f t="shared" si="173"/>
        <v/>
      </c>
      <c r="P966" s="24"/>
      <c r="Q966" s="30" t="str">
        <f t="shared" si="174"/>
        <v/>
      </c>
      <c r="R966" s="29" t="str">
        <f t="shared" ca="1" si="175"/>
        <v/>
      </c>
    </row>
    <row r="967" spans="1:18">
      <c r="A967" s="23" t="str">
        <f t="shared" si="165"/>
        <v/>
      </c>
      <c r="B967" s="23" t="str">
        <f t="shared" si="166"/>
        <v/>
      </c>
      <c r="C967" s="29" t="str">
        <f t="shared" ca="1" si="167"/>
        <v/>
      </c>
      <c r="D967" s="22" t="str">
        <f>IF(K967="","",ИТОГ!S967)</f>
        <v/>
      </c>
      <c r="E967" s="24" t="str">
        <f t="shared" si="168"/>
        <v/>
      </c>
      <c r="F967" s="30" t="str">
        <f t="shared" si="169"/>
        <v/>
      </c>
      <c r="G967" s="25" t="str">
        <f t="shared" si="170"/>
        <v/>
      </c>
      <c r="H967" s="29" t="str">
        <f t="shared" ca="1" si="171"/>
        <v/>
      </c>
      <c r="I967" s="24"/>
      <c r="J967" s="30"/>
      <c r="K967" s="27" t="str">
        <f>IF(ИТОГ!A967=0,"",ИТОГ!A967)</f>
        <v/>
      </c>
      <c r="L967" s="26" t="str">
        <f t="shared" si="172"/>
        <v/>
      </c>
      <c r="M967" s="25" t="str">
        <f>IF(K967="","",ИТОГ!Q967)</f>
        <v/>
      </c>
      <c r="N967" s="28" t="str">
        <f>IF(K967="","",ИТОГ!N967)</f>
        <v/>
      </c>
      <c r="O967" s="30" t="str">
        <f t="shared" si="173"/>
        <v/>
      </c>
      <c r="P967" s="24"/>
      <c r="Q967" s="30" t="str">
        <f t="shared" si="174"/>
        <v/>
      </c>
      <c r="R967" s="29" t="str">
        <f t="shared" ca="1" si="175"/>
        <v/>
      </c>
    </row>
    <row r="968" spans="1:18">
      <c r="A968" s="23" t="str">
        <f t="shared" si="165"/>
        <v/>
      </c>
      <c r="B968" s="23" t="str">
        <f t="shared" si="166"/>
        <v/>
      </c>
      <c r="C968" s="29" t="str">
        <f t="shared" ca="1" si="167"/>
        <v/>
      </c>
      <c r="D968" s="22" t="str">
        <f>IF(K968="","",ИТОГ!S968)</f>
        <v/>
      </c>
      <c r="E968" s="24" t="str">
        <f t="shared" si="168"/>
        <v/>
      </c>
      <c r="F968" s="30" t="str">
        <f t="shared" si="169"/>
        <v/>
      </c>
      <c r="G968" s="25" t="str">
        <f t="shared" si="170"/>
        <v/>
      </c>
      <c r="H968" s="29" t="str">
        <f t="shared" ca="1" si="171"/>
        <v/>
      </c>
      <c r="I968" s="24"/>
      <c r="J968" s="30"/>
      <c r="K968" s="27" t="str">
        <f>IF(ИТОГ!A968=0,"",ИТОГ!A968)</f>
        <v/>
      </c>
      <c r="L968" s="26" t="str">
        <f t="shared" si="172"/>
        <v/>
      </c>
      <c r="M968" s="25" t="str">
        <f>IF(K968="","",ИТОГ!Q968)</f>
        <v/>
      </c>
      <c r="N968" s="28" t="str">
        <f>IF(K968="","",ИТОГ!N968)</f>
        <v/>
      </c>
      <c r="O968" s="30" t="str">
        <f t="shared" si="173"/>
        <v/>
      </c>
      <c r="P968" s="24"/>
      <c r="Q968" s="30" t="str">
        <f t="shared" si="174"/>
        <v/>
      </c>
      <c r="R968" s="29" t="str">
        <f t="shared" ca="1" si="175"/>
        <v/>
      </c>
    </row>
    <row r="969" spans="1:18">
      <c r="A969" s="23" t="str">
        <f t="shared" si="165"/>
        <v/>
      </c>
      <c r="B969" s="23" t="str">
        <f t="shared" si="166"/>
        <v/>
      </c>
      <c r="C969" s="29" t="str">
        <f t="shared" ca="1" si="167"/>
        <v/>
      </c>
      <c r="D969" s="22" t="str">
        <f>IF(K969="","",ИТОГ!S969)</f>
        <v/>
      </c>
      <c r="E969" s="24" t="str">
        <f t="shared" si="168"/>
        <v/>
      </c>
      <c r="F969" s="30" t="str">
        <f t="shared" si="169"/>
        <v/>
      </c>
      <c r="G969" s="25" t="str">
        <f t="shared" si="170"/>
        <v/>
      </c>
      <c r="H969" s="29" t="str">
        <f t="shared" ca="1" si="171"/>
        <v/>
      </c>
      <c r="I969" s="24"/>
      <c r="J969" s="30"/>
      <c r="K969" s="27" t="str">
        <f>IF(ИТОГ!A969=0,"",ИТОГ!A969)</f>
        <v/>
      </c>
      <c r="L969" s="26" t="str">
        <f t="shared" si="172"/>
        <v/>
      </c>
      <c r="M969" s="25" t="str">
        <f>IF(K969="","",ИТОГ!Q969)</f>
        <v/>
      </c>
      <c r="N969" s="28" t="str">
        <f>IF(K969="","",ИТОГ!N969)</f>
        <v/>
      </c>
      <c r="O969" s="30" t="str">
        <f t="shared" si="173"/>
        <v/>
      </c>
      <c r="P969" s="24"/>
      <c r="Q969" s="30" t="str">
        <f t="shared" si="174"/>
        <v/>
      </c>
      <c r="R969" s="29" t="str">
        <f t="shared" ca="1" si="175"/>
        <v/>
      </c>
    </row>
    <row r="970" spans="1:18">
      <c r="A970" s="23" t="str">
        <f t="shared" si="165"/>
        <v/>
      </c>
      <c r="B970" s="23" t="str">
        <f t="shared" si="166"/>
        <v/>
      </c>
      <c r="C970" s="29" t="str">
        <f t="shared" ca="1" si="167"/>
        <v/>
      </c>
      <c r="D970" s="22" t="str">
        <f>IF(K970="","",ИТОГ!S970)</f>
        <v/>
      </c>
      <c r="E970" s="24" t="str">
        <f t="shared" si="168"/>
        <v/>
      </c>
      <c r="F970" s="30" t="str">
        <f t="shared" si="169"/>
        <v/>
      </c>
      <c r="G970" s="25" t="str">
        <f t="shared" si="170"/>
        <v/>
      </c>
      <c r="H970" s="29" t="str">
        <f t="shared" ca="1" si="171"/>
        <v/>
      </c>
      <c r="I970" s="24"/>
      <c r="J970" s="30"/>
      <c r="K970" s="27" t="str">
        <f>IF(ИТОГ!A970=0,"",ИТОГ!A970)</f>
        <v/>
      </c>
      <c r="L970" s="26" t="str">
        <f t="shared" si="172"/>
        <v/>
      </c>
      <c r="M970" s="25" t="str">
        <f>IF(K970="","",ИТОГ!Q970)</f>
        <v/>
      </c>
      <c r="N970" s="28" t="str">
        <f>IF(K970="","",ИТОГ!N970)</f>
        <v/>
      </c>
      <c r="O970" s="30" t="str">
        <f t="shared" si="173"/>
        <v/>
      </c>
      <c r="P970" s="24"/>
      <c r="Q970" s="30" t="str">
        <f t="shared" si="174"/>
        <v/>
      </c>
      <c r="R970" s="29" t="str">
        <f t="shared" ca="1" si="175"/>
        <v/>
      </c>
    </row>
    <row r="971" spans="1:18">
      <c r="A971" s="23" t="str">
        <f t="shared" si="165"/>
        <v/>
      </c>
      <c r="B971" s="23" t="str">
        <f t="shared" si="166"/>
        <v/>
      </c>
      <c r="C971" s="29" t="str">
        <f t="shared" ca="1" si="167"/>
        <v/>
      </c>
      <c r="D971" s="22" t="str">
        <f>IF(K971="","",ИТОГ!S971)</f>
        <v/>
      </c>
      <c r="E971" s="24" t="str">
        <f t="shared" si="168"/>
        <v/>
      </c>
      <c r="F971" s="30" t="str">
        <f t="shared" si="169"/>
        <v/>
      </c>
      <c r="G971" s="25" t="str">
        <f t="shared" si="170"/>
        <v/>
      </c>
      <c r="H971" s="29" t="str">
        <f t="shared" ca="1" si="171"/>
        <v/>
      </c>
      <c r="I971" s="24"/>
      <c r="J971" s="30"/>
      <c r="K971" s="27" t="str">
        <f>IF(ИТОГ!A971=0,"",ИТОГ!A971)</f>
        <v/>
      </c>
      <c r="L971" s="26" t="str">
        <f t="shared" si="172"/>
        <v/>
      </c>
      <c r="M971" s="25" t="str">
        <f>IF(K971="","",ИТОГ!Q971)</f>
        <v/>
      </c>
      <c r="N971" s="28" t="str">
        <f>IF(K971="","",ИТОГ!N971)</f>
        <v/>
      </c>
      <c r="O971" s="30" t="str">
        <f t="shared" si="173"/>
        <v/>
      </c>
      <c r="P971" s="24"/>
      <c r="Q971" s="30" t="str">
        <f t="shared" si="174"/>
        <v/>
      </c>
      <c r="R971" s="29" t="str">
        <f t="shared" ca="1" si="175"/>
        <v/>
      </c>
    </row>
    <row r="972" spans="1:18">
      <c r="A972" s="23" t="str">
        <f t="shared" si="165"/>
        <v/>
      </c>
      <c r="B972" s="23" t="str">
        <f t="shared" si="166"/>
        <v/>
      </c>
      <c r="C972" s="29" t="str">
        <f t="shared" ca="1" si="167"/>
        <v/>
      </c>
      <c r="D972" s="22" t="str">
        <f>IF(K972="","",ИТОГ!S972)</f>
        <v/>
      </c>
      <c r="E972" s="24" t="str">
        <f t="shared" si="168"/>
        <v/>
      </c>
      <c r="F972" s="30" t="str">
        <f t="shared" si="169"/>
        <v/>
      </c>
      <c r="G972" s="25" t="str">
        <f t="shared" si="170"/>
        <v/>
      </c>
      <c r="H972" s="29" t="str">
        <f t="shared" ca="1" si="171"/>
        <v/>
      </c>
      <c r="I972" s="24"/>
      <c r="J972" s="30"/>
      <c r="K972" s="27" t="str">
        <f>IF(ИТОГ!A972=0,"",ИТОГ!A972)</f>
        <v/>
      </c>
      <c r="L972" s="26" t="str">
        <f t="shared" si="172"/>
        <v/>
      </c>
      <c r="M972" s="25" t="str">
        <f>IF(K972="","",ИТОГ!Q972)</f>
        <v/>
      </c>
      <c r="N972" s="28" t="str">
        <f>IF(K972="","",ИТОГ!N972)</f>
        <v/>
      </c>
      <c r="O972" s="30" t="str">
        <f t="shared" si="173"/>
        <v/>
      </c>
      <c r="P972" s="24"/>
      <c r="Q972" s="30" t="str">
        <f t="shared" si="174"/>
        <v/>
      </c>
      <c r="R972" s="29" t="str">
        <f t="shared" ca="1" si="175"/>
        <v/>
      </c>
    </row>
    <row r="973" spans="1:18">
      <c r="A973" s="23" t="str">
        <f t="shared" si="165"/>
        <v/>
      </c>
      <c r="B973" s="23" t="str">
        <f t="shared" si="166"/>
        <v/>
      </c>
      <c r="C973" s="29" t="str">
        <f t="shared" ca="1" si="167"/>
        <v/>
      </c>
      <c r="D973" s="22" t="str">
        <f>IF(K973="","",ИТОГ!S973)</f>
        <v/>
      </c>
      <c r="E973" s="24" t="str">
        <f t="shared" si="168"/>
        <v/>
      </c>
      <c r="F973" s="30" t="str">
        <f t="shared" si="169"/>
        <v/>
      </c>
      <c r="G973" s="25" t="str">
        <f t="shared" si="170"/>
        <v/>
      </c>
      <c r="H973" s="29" t="str">
        <f t="shared" ca="1" si="171"/>
        <v/>
      </c>
      <c r="I973" s="24"/>
      <c r="J973" s="30"/>
      <c r="K973" s="27" t="str">
        <f>IF(ИТОГ!A973=0,"",ИТОГ!A973)</f>
        <v/>
      </c>
      <c r="L973" s="26" t="str">
        <f t="shared" si="172"/>
        <v/>
      </c>
      <c r="M973" s="25" t="str">
        <f>IF(K973="","",ИТОГ!Q973)</f>
        <v/>
      </c>
      <c r="N973" s="28" t="str">
        <f>IF(K973="","",ИТОГ!N973)</f>
        <v/>
      </c>
      <c r="O973" s="30" t="str">
        <f t="shared" si="173"/>
        <v/>
      </c>
      <c r="P973" s="24"/>
      <c r="Q973" s="30" t="str">
        <f t="shared" si="174"/>
        <v/>
      </c>
      <c r="R973" s="29" t="str">
        <f t="shared" ca="1" si="175"/>
        <v/>
      </c>
    </row>
    <row r="974" spans="1:18">
      <c r="A974" s="23" t="str">
        <f t="shared" si="165"/>
        <v/>
      </c>
      <c r="B974" s="23" t="str">
        <f t="shared" si="166"/>
        <v/>
      </c>
      <c r="C974" s="29" t="str">
        <f t="shared" ca="1" si="167"/>
        <v/>
      </c>
      <c r="D974" s="22" t="str">
        <f>IF(K974="","",ИТОГ!S974)</f>
        <v/>
      </c>
      <c r="E974" s="24" t="str">
        <f t="shared" si="168"/>
        <v/>
      </c>
      <c r="F974" s="30" t="str">
        <f t="shared" si="169"/>
        <v/>
      </c>
      <c r="G974" s="25" t="str">
        <f t="shared" si="170"/>
        <v/>
      </c>
      <c r="H974" s="29" t="str">
        <f t="shared" ca="1" si="171"/>
        <v/>
      </c>
      <c r="I974" s="24"/>
      <c r="J974" s="30"/>
      <c r="K974" s="27" t="str">
        <f>IF(ИТОГ!A974=0,"",ИТОГ!A974)</f>
        <v/>
      </c>
      <c r="L974" s="26" t="str">
        <f t="shared" si="172"/>
        <v/>
      </c>
      <c r="M974" s="25" t="str">
        <f>IF(K974="","",ИТОГ!Q974)</f>
        <v/>
      </c>
      <c r="N974" s="28" t="str">
        <f>IF(K974="","",ИТОГ!N974)</f>
        <v/>
      </c>
      <c r="O974" s="30" t="str">
        <f t="shared" si="173"/>
        <v/>
      </c>
      <c r="P974" s="24"/>
      <c r="Q974" s="30" t="str">
        <f t="shared" si="174"/>
        <v/>
      </c>
      <c r="R974" s="29" t="str">
        <f t="shared" ca="1" si="175"/>
        <v/>
      </c>
    </row>
    <row r="975" spans="1:18">
      <c r="A975" s="23" t="str">
        <f t="shared" si="165"/>
        <v/>
      </c>
      <c r="B975" s="23" t="str">
        <f t="shared" si="166"/>
        <v/>
      </c>
      <c r="C975" s="29" t="str">
        <f t="shared" ca="1" si="167"/>
        <v/>
      </c>
      <c r="D975" s="22" t="str">
        <f>IF(K975="","",ИТОГ!S975)</f>
        <v/>
      </c>
      <c r="E975" s="24" t="str">
        <f t="shared" si="168"/>
        <v/>
      </c>
      <c r="F975" s="30" t="str">
        <f t="shared" si="169"/>
        <v/>
      </c>
      <c r="G975" s="25" t="str">
        <f t="shared" si="170"/>
        <v/>
      </c>
      <c r="H975" s="29" t="str">
        <f t="shared" ca="1" si="171"/>
        <v/>
      </c>
      <c r="I975" s="24"/>
      <c r="J975" s="30"/>
      <c r="K975" s="27" t="str">
        <f>IF(ИТОГ!A975=0,"",ИТОГ!A975)</f>
        <v/>
      </c>
      <c r="L975" s="26" t="str">
        <f t="shared" si="172"/>
        <v/>
      </c>
      <c r="M975" s="25" t="str">
        <f>IF(K975="","",ИТОГ!Q975)</f>
        <v/>
      </c>
      <c r="N975" s="28" t="str">
        <f>IF(K975="","",ИТОГ!N975)</f>
        <v/>
      </c>
      <c r="O975" s="30" t="str">
        <f t="shared" si="173"/>
        <v/>
      </c>
      <c r="P975" s="24"/>
      <c r="Q975" s="30" t="str">
        <f t="shared" si="174"/>
        <v/>
      </c>
      <c r="R975" s="29" t="str">
        <f t="shared" ca="1" si="175"/>
        <v/>
      </c>
    </row>
    <row r="976" spans="1:18">
      <c r="A976" s="23" t="str">
        <f t="shared" si="165"/>
        <v/>
      </c>
      <c r="B976" s="23" t="str">
        <f t="shared" si="166"/>
        <v/>
      </c>
      <c r="C976" s="29" t="str">
        <f t="shared" ca="1" si="167"/>
        <v/>
      </c>
      <c r="D976" s="22" t="str">
        <f>IF(K976="","",ИТОГ!S976)</f>
        <v/>
      </c>
      <c r="E976" s="24" t="str">
        <f t="shared" si="168"/>
        <v/>
      </c>
      <c r="F976" s="30" t="str">
        <f t="shared" si="169"/>
        <v/>
      </c>
      <c r="G976" s="25" t="str">
        <f t="shared" si="170"/>
        <v/>
      </c>
      <c r="H976" s="29" t="str">
        <f t="shared" ca="1" si="171"/>
        <v/>
      </c>
      <c r="I976" s="24"/>
      <c r="J976" s="30"/>
      <c r="K976" s="27" t="str">
        <f>IF(ИТОГ!A976=0,"",ИТОГ!A976)</f>
        <v/>
      </c>
      <c r="L976" s="26" t="str">
        <f t="shared" si="172"/>
        <v/>
      </c>
      <c r="M976" s="25" t="str">
        <f>IF(K976="","",ИТОГ!Q976)</f>
        <v/>
      </c>
      <c r="N976" s="28" t="str">
        <f>IF(K976="","",ИТОГ!N976)</f>
        <v/>
      </c>
      <c r="O976" s="30" t="str">
        <f t="shared" si="173"/>
        <v/>
      </c>
      <c r="P976" s="24"/>
      <c r="Q976" s="30" t="str">
        <f t="shared" si="174"/>
        <v/>
      </c>
      <c r="R976" s="29" t="str">
        <f t="shared" ca="1" si="175"/>
        <v/>
      </c>
    </row>
    <row r="977" spans="1:18">
      <c r="A977" s="23" t="str">
        <f t="shared" si="165"/>
        <v/>
      </c>
      <c r="B977" s="23" t="str">
        <f t="shared" si="166"/>
        <v/>
      </c>
      <c r="C977" s="29" t="str">
        <f t="shared" ca="1" si="167"/>
        <v/>
      </c>
      <c r="D977" s="22" t="str">
        <f>IF(K977="","",ИТОГ!S977)</f>
        <v/>
      </c>
      <c r="E977" s="24" t="str">
        <f t="shared" si="168"/>
        <v/>
      </c>
      <c r="F977" s="30" t="str">
        <f t="shared" si="169"/>
        <v/>
      </c>
      <c r="G977" s="25" t="str">
        <f t="shared" si="170"/>
        <v/>
      </c>
      <c r="H977" s="29" t="str">
        <f t="shared" ca="1" si="171"/>
        <v/>
      </c>
      <c r="I977" s="24"/>
      <c r="J977" s="30"/>
      <c r="K977" s="27" t="str">
        <f>IF(ИТОГ!A977=0,"",ИТОГ!A977)</f>
        <v/>
      </c>
      <c r="L977" s="26" t="str">
        <f t="shared" si="172"/>
        <v/>
      </c>
      <c r="M977" s="25" t="str">
        <f>IF(K977="","",ИТОГ!Q977)</f>
        <v/>
      </c>
      <c r="N977" s="28" t="str">
        <f>IF(K977="","",ИТОГ!N977)</f>
        <v/>
      </c>
      <c r="O977" s="30" t="str">
        <f t="shared" si="173"/>
        <v/>
      </c>
      <c r="P977" s="24"/>
      <c r="Q977" s="30" t="str">
        <f t="shared" si="174"/>
        <v/>
      </c>
      <c r="R977" s="29" t="str">
        <f t="shared" ca="1" si="175"/>
        <v/>
      </c>
    </row>
    <row r="978" spans="1:18">
      <c r="A978" s="23" t="str">
        <f t="shared" si="165"/>
        <v/>
      </c>
      <c r="B978" s="23" t="str">
        <f t="shared" si="166"/>
        <v/>
      </c>
      <c r="C978" s="29" t="str">
        <f t="shared" ca="1" si="167"/>
        <v/>
      </c>
      <c r="D978" s="22" t="str">
        <f>IF(K978="","",ИТОГ!S978)</f>
        <v/>
      </c>
      <c r="E978" s="24" t="str">
        <f t="shared" si="168"/>
        <v/>
      </c>
      <c r="F978" s="30" t="str">
        <f t="shared" si="169"/>
        <v/>
      </c>
      <c r="G978" s="25" t="str">
        <f t="shared" si="170"/>
        <v/>
      </c>
      <c r="H978" s="29" t="str">
        <f t="shared" ca="1" si="171"/>
        <v/>
      </c>
      <c r="I978" s="24"/>
      <c r="J978" s="30"/>
      <c r="K978" s="27" t="str">
        <f>IF(ИТОГ!A978=0,"",ИТОГ!A978)</f>
        <v/>
      </c>
      <c r="L978" s="26" t="str">
        <f t="shared" si="172"/>
        <v/>
      </c>
      <c r="M978" s="25" t="str">
        <f>IF(K978="","",ИТОГ!Q978)</f>
        <v/>
      </c>
      <c r="N978" s="28" t="str">
        <f>IF(K978="","",ИТОГ!N978)</f>
        <v/>
      </c>
      <c r="O978" s="30" t="str">
        <f t="shared" si="173"/>
        <v/>
      </c>
      <c r="P978" s="24"/>
      <c r="Q978" s="30" t="str">
        <f t="shared" si="174"/>
        <v/>
      </c>
      <c r="R978" s="29" t="str">
        <f t="shared" ca="1" si="175"/>
        <v/>
      </c>
    </row>
    <row r="979" spans="1:18">
      <c r="A979" s="23" t="str">
        <f t="shared" si="165"/>
        <v/>
      </c>
      <c r="B979" s="23" t="str">
        <f t="shared" si="166"/>
        <v/>
      </c>
      <c r="C979" s="29" t="str">
        <f t="shared" ca="1" si="167"/>
        <v/>
      </c>
      <c r="D979" s="22" t="str">
        <f>IF(K979="","",ИТОГ!S979)</f>
        <v/>
      </c>
      <c r="E979" s="24" t="str">
        <f t="shared" si="168"/>
        <v/>
      </c>
      <c r="F979" s="30" t="str">
        <f t="shared" si="169"/>
        <v/>
      </c>
      <c r="G979" s="25" t="str">
        <f t="shared" si="170"/>
        <v/>
      </c>
      <c r="H979" s="29" t="str">
        <f t="shared" ca="1" si="171"/>
        <v/>
      </c>
      <c r="I979" s="24"/>
      <c r="J979" s="30"/>
      <c r="K979" s="27" t="str">
        <f>IF(ИТОГ!A979=0,"",ИТОГ!A979)</f>
        <v/>
      </c>
      <c r="L979" s="26" t="str">
        <f t="shared" si="172"/>
        <v/>
      </c>
      <c r="M979" s="25" t="str">
        <f>IF(K979="","",ИТОГ!Q979)</f>
        <v/>
      </c>
      <c r="N979" s="28" t="str">
        <f>IF(K979="","",ИТОГ!N979)</f>
        <v/>
      </c>
      <c r="O979" s="30" t="str">
        <f t="shared" si="173"/>
        <v/>
      </c>
      <c r="P979" s="24"/>
      <c r="Q979" s="30" t="str">
        <f t="shared" si="174"/>
        <v/>
      </c>
      <c r="R979" s="29" t="str">
        <f t="shared" ca="1" si="175"/>
        <v/>
      </c>
    </row>
    <row r="980" spans="1:18">
      <c r="A980" s="23" t="str">
        <f t="shared" si="165"/>
        <v/>
      </c>
      <c r="B980" s="23" t="str">
        <f t="shared" si="166"/>
        <v/>
      </c>
      <c r="C980" s="29" t="str">
        <f t="shared" ca="1" si="167"/>
        <v/>
      </c>
      <c r="D980" s="22" t="str">
        <f>IF(K980="","",ИТОГ!S980)</f>
        <v/>
      </c>
      <c r="E980" s="24" t="str">
        <f t="shared" si="168"/>
        <v/>
      </c>
      <c r="F980" s="30" t="str">
        <f t="shared" si="169"/>
        <v/>
      </c>
      <c r="G980" s="25" t="str">
        <f t="shared" si="170"/>
        <v/>
      </c>
      <c r="H980" s="29" t="str">
        <f t="shared" ca="1" si="171"/>
        <v/>
      </c>
      <c r="I980" s="24"/>
      <c r="J980" s="30"/>
      <c r="K980" s="27" t="str">
        <f>IF(ИТОГ!A980=0,"",ИТОГ!A980)</f>
        <v/>
      </c>
      <c r="L980" s="26" t="str">
        <f t="shared" si="172"/>
        <v/>
      </c>
      <c r="M980" s="25" t="str">
        <f>IF(K980="","",ИТОГ!Q980)</f>
        <v/>
      </c>
      <c r="N980" s="28" t="str">
        <f>IF(K980="","",ИТОГ!N980)</f>
        <v/>
      </c>
      <c r="O980" s="30" t="str">
        <f t="shared" si="173"/>
        <v/>
      </c>
      <c r="P980" s="24"/>
      <c r="Q980" s="30" t="str">
        <f t="shared" si="174"/>
        <v/>
      </c>
      <c r="R980" s="29" t="str">
        <f t="shared" ca="1" si="175"/>
        <v/>
      </c>
    </row>
    <row r="981" spans="1:18">
      <c r="A981" s="23" t="str">
        <f t="shared" si="165"/>
        <v/>
      </c>
      <c r="B981" s="23" t="str">
        <f t="shared" si="166"/>
        <v/>
      </c>
      <c r="C981" s="29" t="str">
        <f t="shared" ca="1" si="167"/>
        <v/>
      </c>
      <c r="D981" s="22" t="str">
        <f>IF(K981="","",ИТОГ!S981)</f>
        <v/>
      </c>
      <c r="E981" s="24" t="str">
        <f t="shared" si="168"/>
        <v/>
      </c>
      <c r="F981" s="30" t="str">
        <f t="shared" si="169"/>
        <v/>
      </c>
      <c r="G981" s="25" t="str">
        <f t="shared" si="170"/>
        <v/>
      </c>
      <c r="H981" s="29" t="str">
        <f t="shared" ca="1" si="171"/>
        <v/>
      </c>
      <c r="I981" s="24"/>
      <c r="J981" s="30"/>
      <c r="K981" s="27" t="str">
        <f>IF(ИТОГ!A981=0,"",ИТОГ!A981)</f>
        <v/>
      </c>
      <c r="L981" s="26" t="str">
        <f t="shared" si="172"/>
        <v/>
      </c>
      <c r="M981" s="25" t="str">
        <f>IF(K981="","",ИТОГ!Q981)</f>
        <v/>
      </c>
      <c r="N981" s="28" t="str">
        <f>IF(K981="","",ИТОГ!N981)</f>
        <v/>
      </c>
      <c r="O981" s="30" t="str">
        <f t="shared" si="173"/>
        <v/>
      </c>
      <c r="P981" s="24"/>
      <c r="Q981" s="30" t="str">
        <f t="shared" si="174"/>
        <v/>
      </c>
      <c r="R981" s="29" t="str">
        <f t="shared" ca="1" si="175"/>
        <v/>
      </c>
    </row>
    <row r="982" spans="1:18">
      <c r="A982" s="23" t="str">
        <f t="shared" si="165"/>
        <v/>
      </c>
      <c r="B982" s="23" t="str">
        <f t="shared" si="166"/>
        <v/>
      </c>
      <c r="C982" s="29" t="str">
        <f t="shared" ca="1" si="167"/>
        <v/>
      </c>
      <c r="D982" s="22" t="str">
        <f>IF(K982="","",ИТОГ!S982)</f>
        <v/>
      </c>
      <c r="E982" s="24" t="str">
        <f t="shared" si="168"/>
        <v/>
      </c>
      <c r="F982" s="30" t="str">
        <f t="shared" si="169"/>
        <v/>
      </c>
      <c r="G982" s="25" t="str">
        <f t="shared" si="170"/>
        <v/>
      </c>
      <c r="H982" s="29" t="str">
        <f t="shared" ca="1" si="171"/>
        <v/>
      </c>
      <c r="I982" s="24"/>
      <c r="J982" s="30"/>
      <c r="K982" s="27" t="str">
        <f>IF(ИТОГ!A982=0,"",ИТОГ!A982)</f>
        <v/>
      </c>
      <c r="L982" s="26" t="str">
        <f t="shared" si="172"/>
        <v/>
      </c>
      <c r="M982" s="25" t="str">
        <f>IF(K982="","",ИТОГ!Q982)</f>
        <v/>
      </c>
      <c r="N982" s="28" t="str">
        <f>IF(K982="","",ИТОГ!N982)</f>
        <v/>
      </c>
      <c r="O982" s="30" t="str">
        <f t="shared" si="173"/>
        <v/>
      </c>
      <c r="P982" s="24"/>
      <c r="Q982" s="30" t="str">
        <f t="shared" si="174"/>
        <v/>
      </c>
      <c r="R982" s="29" t="str">
        <f t="shared" ca="1" si="175"/>
        <v/>
      </c>
    </row>
    <row r="983" spans="1:18">
      <c r="A983" s="23" t="str">
        <f t="shared" si="165"/>
        <v/>
      </c>
      <c r="B983" s="23" t="str">
        <f t="shared" si="166"/>
        <v/>
      </c>
      <c r="C983" s="29" t="str">
        <f t="shared" ca="1" si="167"/>
        <v/>
      </c>
      <c r="D983" s="22" t="str">
        <f>IF(K983="","",ИТОГ!S983)</f>
        <v/>
      </c>
      <c r="E983" s="24" t="str">
        <f t="shared" si="168"/>
        <v/>
      </c>
      <c r="F983" s="30" t="str">
        <f t="shared" si="169"/>
        <v/>
      </c>
      <c r="G983" s="25" t="str">
        <f t="shared" si="170"/>
        <v/>
      </c>
      <c r="H983" s="29" t="str">
        <f t="shared" ca="1" si="171"/>
        <v/>
      </c>
      <c r="I983" s="24"/>
      <c r="J983" s="30"/>
      <c r="K983" s="27" t="str">
        <f>IF(ИТОГ!A983=0,"",ИТОГ!A983)</f>
        <v/>
      </c>
      <c r="L983" s="26" t="str">
        <f t="shared" si="172"/>
        <v/>
      </c>
      <c r="M983" s="25" t="str">
        <f>IF(K983="","",ИТОГ!Q983)</f>
        <v/>
      </c>
      <c r="N983" s="28" t="str">
        <f>IF(K983="","",ИТОГ!N983)</f>
        <v/>
      </c>
      <c r="O983" s="30" t="str">
        <f t="shared" si="173"/>
        <v/>
      </c>
      <c r="P983" s="24"/>
      <c r="Q983" s="30" t="str">
        <f t="shared" si="174"/>
        <v/>
      </c>
      <c r="R983" s="29" t="str">
        <f t="shared" ca="1" si="175"/>
        <v/>
      </c>
    </row>
    <row r="984" spans="1:18">
      <c r="A984" s="23" t="str">
        <f t="shared" si="165"/>
        <v/>
      </c>
      <c r="B984" s="23" t="str">
        <f t="shared" si="166"/>
        <v/>
      </c>
      <c r="C984" s="29" t="str">
        <f t="shared" ca="1" si="167"/>
        <v/>
      </c>
      <c r="D984" s="22" t="str">
        <f>IF(K984="","",ИТОГ!S984)</f>
        <v/>
      </c>
      <c r="E984" s="24" t="str">
        <f t="shared" si="168"/>
        <v/>
      </c>
      <c r="F984" s="30" t="str">
        <f t="shared" si="169"/>
        <v/>
      </c>
      <c r="G984" s="25" t="str">
        <f t="shared" si="170"/>
        <v/>
      </c>
      <c r="H984" s="29" t="str">
        <f t="shared" ca="1" si="171"/>
        <v/>
      </c>
      <c r="I984" s="24"/>
      <c r="J984" s="30"/>
      <c r="K984" s="27" t="str">
        <f>IF(ИТОГ!A984=0,"",ИТОГ!A984)</f>
        <v/>
      </c>
      <c r="L984" s="26" t="str">
        <f t="shared" si="172"/>
        <v/>
      </c>
      <c r="M984" s="25" t="str">
        <f>IF(K984="","",ИТОГ!Q984)</f>
        <v/>
      </c>
      <c r="N984" s="28" t="str">
        <f>IF(K984="","",ИТОГ!N984)</f>
        <v/>
      </c>
      <c r="O984" s="30" t="str">
        <f t="shared" si="173"/>
        <v/>
      </c>
      <c r="P984" s="24"/>
      <c r="Q984" s="30" t="str">
        <f t="shared" si="174"/>
        <v/>
      </c>
      <c r="R984" s="29" t="str">
        <f t="shared" ca="1" si="175"/>
        <v/>
      </c>
    </row>
    <row r="985" spans="1:18">
      <c r="A985" s="23" t="str">
        <f t="shared" si="165"/>
        <v/>
      </c>
      <c r="B985" s="23" t="str">
        <f t="shared" si="166"/>
        <v/>
      </c>
      <c r="C985" s="29" t="str">
        <f t="shared" ca="1" si="167"/>
        <v/>
      </c>
      <c r="D985" s="22" t="str">
        <f>IF(K985="","",ИТОГ!S985)</f>
        <v/>
      </c>
      <c r="E985" s="24" t="str">
        <f t="shared" si="168"/>
        <v/>
      </c>
      <c r="F985" s="30" t="str">
        <f t="shared" si="169"/>
        <v/>
      </c>
      <c r="G985" s="25" t="str">
        <f t="shared" si="170"/>
        <v/>
      </c>
      <c r="H985" s="29" t="str">
        <f t="shared" ca="1" si="171"/>
        <v/>
      </c>
      <c r="I985" s="24"/>
      <c r="J985" s="30"/>
      <c r="K985" s="27" t="str">
        <f>IF(ИТОГ!A985=0,"",ИТОГ!A985)</f>
        <v/>
      </c>
      <c r="L985" s="26" t="str">
        <f t="shared" si="172"/>
        <v/>
      </c>
      <c r="M985" s="25" t="str">
        <f>IF(K985="","",ИТОГ!Q985)</f>
        <v/>
      </c>
      <c r="N985" s="28" t="str">
        <f>IF(K985="","",ИТОГ!N985)</f>
        <v/>
      </c>
      <c r="O985" s="30" t="str">
        <f t="shared" si="173"/>
        <v/>
      </c>
      <c r="P985" s="24"/>
      <c r="Q985" s="30" t="str">
        <f t="shared" si="174"/>
        <v/>
      </c>
      <c r="R985" s="29" t="str">
        <f t="shared" ca="1" si="175"/>
        <v/>
      </c>
    </row>
    <row r="986" spans="1:18">
      <c r="A986" s="23" t="str">
        <f t="shared" si="165"/>
        <v/>
      </c>
      <c r="B986" s="23" t="str">
        <f t="shared" si="166"/>
        <v/>
      </c>
      <c r="C986" s="29" t="str">
        <f t="shared" ca="1" si="167"/>
        <v/>
      </c>
      <c r="D986" s="22" t="str">
        <f>IF(K986="","",ИТОГ!S986)</f>
        <v/>
      </c>
      <c r="E986" s="24" t="str">
        <f t="shared" si="168"/>
        <v/>
      </c>
      <c r="F986" s="30" t="str">
        <f t="shared" si="169"/>
        <v/>
      </c>
      <c r="G986" s="25" t="str">
        <f t="shared" si="170"/>
        <v/>
      </c>
      <c r="H986" s="29" t="str">
        <f t="shared" ca="1" si="171"/>
        <v/>
      </c>
      <c r="I986" s="24"/>
      <c r="J986" s="30"/>
      <c r="K986" s="27" t="str">
        <f>IF(ИТОГ!A986=0,"",ИТОГ!A986)</f>
        <v/>
      </c>
      <c r="L986" s="26" t="str">
        <f t="shared" si="172"/>
        <v/>
      </c>
      <c r="M986" s="25" t="str">
        <f>IF(K986="","",ИТОГ!Q986)</f>
        <v/>
      </c>
      <c r="N986" s="28" t="str">
        <f>IF(K986="","",ИТОГ!N986)</f>
        <v/>
      </c>
      <c r="O986" s="30" t="str">
        <f t="shared" si="173"/>
        <v/>
      </c>
      <c r="P986" s="24"/>
      <c r="Q986" s="30" t="str">
        <f t="shared" si="174"/>
        <v/>
      </c>
      <c r="R986" s="29" t="str">
        <f t="shared" ca="1" si="175"/>
        <v/>
      </c>
    </row>
    <row r="987" spans="1:18">
      <c r="A987" s="23" t="str">
        <f t="shared" si="165"/>
        <v/>
      </c>
      <c r="B987" s="23" t="str">
        <f t="shared" si="166"/>
        <v/>
      </c>
      <c r="C987" s="29" t="str">
        <f t="shared" ca="1" si="167"/>
        <v/>
      </c>
      <c r="D987" s="22" t="str">
        <f>IF(K987="","",ИТОГ!S987)</f>
        <v/>
      </c>
      <c r="E987" s="24" t="str">
        <f t="shared" si="168"/>
        <v/>
      </c>
      <c r="F987" s="30" t="str">
        <f t="shared" si="169"/>
        <v/>
      </c>
      <c r="G987" s="25" t="str">
        <f t="shared" si="170"/>
        <v/>
      </c>
      <c r="H987" s="29" t="str">
        <f t="shared" ca="1" si="171"/>
        <v/>
      </c>
      <c r="I987" s="24"/>
      <c r="J987" s="30"/>
      <c r="K987" s="27" t="str">
        <f>IF(ИТОГ!A987=0,"",ИТОГ!A987)</f>
        <v/>
      </c>
      <c r="L987" s="26" t="str">
        <f t="shared" si="172"/>
        <v/>
      </c>
      <c r="M987" s="25" t="str">
        <f>IF(K987="","",ИТОГ!Q987)</f>
        <v/>
      </c>
      <c r="N987" s="28" t="str">
        <f>IF(K987="","",ИТОГ!N987)</f>
        <v/>
      </c>
      <c r="O987" s="30" t="str">
        <f t="shared" si="173"/>
        <v/>
      </c>
      <c r="P987" s="24"/>
      <c r="Q987" s="30" t="str">
        <f t="shared" si="174"/>
        <v/>
      </c>
      <c r="R987" s="29" t="str">
        <f t="shared" ca="1" si="175"/>
        <v/>
      </c>
    </row>
    <row r="988" spans="1:18">
      <c r="A988" s="23" t="str">
        <f t="shared" si="165"/>
        <v/>
      </c>
      <c r="B988" s="23" t="str">
        <f t="shared" si="166"/>
        <v/>
      </c>
      <c r="C988" s="29" t="str">
        <f t="shared" ca="1" si="167"/>
        <v/>
      </c>
      <c r="D988" s="22" t="str">
        <f>IF(K988="","",ИТОГ!S988)</f>
        <v/>
      </c>
      <c r="E988" s="24" t="str">
        <f t="shared" si="168"/>
        <v/>
      </c>
      <c r="F988" s="30" t="str">
        <f t="shared" si="169"/>
        <v/>
      </c>
      <c r="G988" s="25" t="str">
        <f t="shared" si="170"/>
        <v/>
      </c>
      <c r="H988" s="29" t="str">
        <f t="shared" ca="1" si="171"/>
        <v/>
      </c>
      <c r="I988" s="24"/>
      <c r="J988" s="30"/>
      <c r="K988" s="27" t="str">
        <f>IF(ИТОГ!A988=0,"",ИТОГ!A988)</f>
        <v/>
      </c>
      <c r="L988" s="26" t="str">
        <f t="shared" si="172"/>
        <v/>
      </c>
      <c r="M988" s="25" t="str">
        <f>IF(K988="","",ИТОГ!Q988)</f>
        <v/>
      </c>
      <c r="N988" s="28" t="str">
        <f>IF(K988="","",ИТОГ!N988)</f>
        <v/>
      </c>
      <c r="O988" s="30" t="str">
        <f t="shared" si="173"/>
        <v/>
      </c>
      <c r="P988" s="24"/>
      <c r="Q988" s="30" t="str">
        <f t="shared" si="174"/>
        <v/>
      </c>
      <c r="R988" s="29" t="str">
        <f t="shared" ca="1" si="175"/>
        <v/>
      </c>
    </row>
    <row r="989" spans="1:18">
      <c r="A989" s="23" t="str">
        <f t="shared" si="165"/>
        <v/>
      </c>
      <c r="B989" s="23" t="str">
        <f t="shared" si="166"/>
        <v/>
      </c>
      <c r="C989" s="29" t="str">
        <f t="shared" ca="1" si="167"/>
        <v/>
      </c>
      <c r="D989" s="22" t="str">
        <f>IF(K989="","",ИТОГ!S989)</f>
        <v/>
      </c>
      <c r="E989" s="24" t="str">
        <f t="shared" si="168"/>
        <v/>
      </c>
      <c r="F989" s="30" t="str">
        <f t="shared" si="169"/>
        <v/>
      </c>
      <c r="G989" s="25" t="str">
        <f t="shared" si="170"/>
        <v/>
      </c>
      <c r="H989" s="29" t="str">
        <f t="shared" ca="1" si="171"/>
        <v/>
      </c>
      <c r="I989" s="24"/>
      <c r="J989" s="30"/>
      <c r="K989" s="27" t="str">
        <f>IF(ИТОГ!A989=0,"",ИТОГ!A989)</f>
        <v/>
      </c>
      <c r="L989" s="26" t="str">
        <f t="shared" si="172"/>
        <v/>
      </c>
      <c r="M989" s="25" t="str">
        <f>IF(K989="","",ИТОГ!Q989)</f>
        <v/>
      </c>
      <c r="N989" s="28" t="str">
        <f>IF(K989="","",ИТОГ!N989)</f>
        <v/>
      </c>
      <c r="O989" s="30" t="str">
        <f t="shared" si="173"/>
        <v/>
      </c>
      <c r="P989" s="24"/>
      <c r="Q989" s="30" t="str">
        <f t="shared" si="174"/>
        <v/>
      </c>
      <c r="R989" s="29" t="str">
        <f t="shared" ca="1" si="175"/>
        <v/>
      </c>
    </row>
    <row r="990" spans="1:18">
      <c r="A990" s="23" t="str">
        <f t="shared" ref="A990:A1000" si="176">IF(K990="","",1000)</f>
        <v/>
      </c>
      <c r="B990" s="23" t="str">
        <f t="shared" ref="B990:B1000" si="177">IF(K990="","",1)</f>
        <v/>
      </c>
      <c r="C990" s="29" t="str">
        <f t="shared" ref="C990:C1000" ca="1" si="178">IF(K990="","",TODAY())</f>
        <v/>
      </c>
      <c r="D990" s="22" t="str">
        <f>IF(K990="","",ИТОГ!S990)</f>
        <v/>
      </c>
      <c r="E990" s="24" t="str">
        <f t="shared" ref="E990:E1000" si="179">IF(K990="","","Х")</f>
        <v/>
      </c>
      <c r="F990" s="30" t="str">
        <f t="shared" ref="F990:F1000" si="180">IF(K990="","","UV")</f>
        <v/>
      </c>
      <c r="G990" s="25" t="str">
        <f t="shared" ref="G990:G1000" si="181">IF(K990="","",SUMIF(D:D,D990,M:M))</f>
        <v/>
      </c>
      <c r="H990" s="29" t="str">
        <f t="shared" ref="H990:H1000" ca="1" si="182">IF(K990="","",TODAY())</f>
        <v/>
      </c>
      <c r="I990" s="24"/>
      <c r="J990" s="30"/>
      <c r="K990" s="27" t="str">
        <f>IF(ИТОГ!A990=0,"",ИТОГ!A990)</f>
        <v/>
      </c>
      <c r="L990" s="26" t="str">
        <f t="shared" ref="L990:L1000" si="183">IF(K990="","",
IF(D989-D990=0,L989+10,10))</f>
        <v/>
      </c>
      <c r="M990" s="25" t="str">
        <f>IF(K990="","",ИТОГ!Q990)</f>
        <v/>
      </c>
      <c r="N990" s="28" t="str">
        <f>IF(K990="","",ИТОГ!N990)</f>
        <v/>
      </c>
      <c r="O990" s="30" t="str">
        <f t="shared" ref="O990:O1000" si="184">IF(K990="","","ST")</f>
        <v/>
      </c>
      <c r="P990" s="24"/>
      <c r="Q990" s="30" t="str">
        <f t="shared" ref="Q990:Q1000" si="185">IF(K990="","","EUR")</f>
        <v/>
      </c>
      <c r="R990" s="29" t="str">
        <f t="shared" ref="R990:R1000" ca="1" si="186">IF(K990="","",TODAY())</f>
        <v/>
      </c>
    </row>
    <row r="991" spans="1:18">
      <c r="A991" s="23" t="str">
        <f t="shared" si="176"/>
        <v/>
      </c>
      <c r="B991" s="23" t="str">
        <f t="shared" si="177"/>
        <v/>
      </c>
      <c r="C991" s="29" t="str">
        <f t="shared" ca="1" si="178"/>
        <v/>
      </c>
      <c r="D991" s="22" t="str">
        <f>IF(K991="","",ИТОГ!S991)</f>
        <v/>
      </c>
      <c r="E991" s="24" t="str">
        <f t="shared" si="179"/>
        <v/>
      </c>
      <c r="F991" s="30" t="str">
        <f t="shared" si="180"/>
        <v/>
      </c>
      <c r="G991" s="25" t="str">
        <f t="shared" si="181"/>
        <v/>
      </c>
      <c r="H991" s="29" t="str">
        <f t="shared" ca="1" si="182"/>
        <v/>
      </c>
      <c r="I991" s="24"/>
      <c r="J991" s="30"/>
      <c r="K991" s="27" t="str">
        <f>IF(ИТОГ!A991=0,"",ИТОГ!A991)</f>
        <v/>
      </c>
      <c r="L991" s="26" t="str">
        <f t="shared" si="183"/>
        <v/>
      </c>
      <c r="M991" s="25" t="str">
        <f>IF(K991="","",ИТОГ!Q991)</f>
        <v/>
      </c>
      <c r="N991" s="28" t="str">
        <f>IF(K991="","",ИТОГ!N991)</f>
        <v/>
      </c>
      <c r="O991" s="30" t="str">
        <f t="shared" si="184"/>
        <v/>
      </c>
      <c r="P991" s="24"/>
      <c r="Q991" s="30" t="str">
        <f t="shared" si="185"/>
        <v/>
      </c>
      <c r="R991" s="29" t="str">
        <f t="shared" ca="1" si="186"/>
        <v/>
      </c>
    </row>
    <row r="992" spans="1:18">
      <c r="A992" s="23" t="str">
        <f t="shared" si="176"/>
        <v/>
      </c>
      <c r="B992" s="23" t="str">
        <f t="shared" si="177"/>
        <v/>
      </c>
      <c r="C992" s="29" t="str">
        <f t="shared" ca="1" si="178"/>
        <v/>
      </c>
      <c r="D992" s="22" t="str">
        <f>IF(K992="","",ИТОГ!S992)</f>
        <v/>
      </c>
      <c r="E992" s="24" t="str">
        <f t="shared" si="179"/>
        <v/>
      </c>
      <c r="F992" s="30" t="str">
        <f t="shared" si="180"/>
        <v/>
      </c>
      <c r="G992" s="25" t="str">
        <f t="shared" si="181"/>
        <v/>
      </c>
      <c r="H992" s="29" t="str">
        <f t="shared" ca="1" si="182"/>
        <v/>
      </c>
      <c r="I992" s="24"/>
      <c r="J992" s="30"/>
      <c r="K992" s="27" t="str">
        <f>IF(ИТОГ!A992=0,"",ИТОГ!A992)</f>
        <v/>
      </c>
      <c r="L992" s="26" t="str">
        <f t="shared" si="183"/>
        <v/>
      </c>
      <c r="M992" s="25" t="str">
        <f>IF(K992="","",ИТОГ!Q992)</f>
        <v/>
      </c>
      <c r="N992" s="28" t="str">
        <f>IF(K992="","",ИТОГ!N992)</f>
        <v/>
      </c>
      <c r="O992" s="30" t="str">
        <f t="shared" si="184"/>
        <v/>
      </c>
      <c r="P992" s="24"/>
      <c r="Q992" s="30" t="str">
        <f t="shared" si="185"/>
        <v/>
      </c>
      <c r="R992" s="29" t="str">
        <f t="shared" ca="1" si="186"/>
        <v/>
      </c>
    </row>
    <row r="993" spans="1:18">
      <c r="A993" s="23" t="str">
        <f t="shared" si="176"/>
        <v/>
      </c>
      <c r="B993" s="23" t="str">
        <f t="shared" si="177"/>
        <v/>
      </c>
      <c r="C993" s="29" t="str">
        <f t="shared" ca="1" si="178"/>
        <v/>
      </c>
      <c r="D993" s="22" t="str">
        <f>IF(K993="","",ИТОГ!S993)</f>
        <v/>
      </c>
      <c r="E993" s="24" t="str">
        <f t="shared" si="179"/>
        <v/>
      </c>
      <c r="F993" s="30" t="str">
        <f t="shared" si="180"/>
        <v/>
      </c>
      <c r="G993" s="25" t="str">
        <f t="shared" si="181"/>
        <v/>
      </c>
      <c r="H993" s="29" t="str">
        <f t="shared" ca="1" si="182"/>
        <v/>
      </c>
      <c r="I993" s="24"/>
      <c r="J993" s="30"/>
      <c r="K993" s="27" t="str">
        <f>IF(ИТОГ!A993=0,"",ИТОГ!A993)</f>
        <v/>
      </c>
      <c r="L993" s="26" t="str">
        <f t="shared" si="183"/>
        <v/>
      </c>
      <c r="M993" s="25" t="str">
        <f>IF(K993="","",ИТОГ!Q993)</f>
        <v/>
      </c>
      <c r="N993" s="28" t="str">
        <f>IF(K993="","",ИТОГ!N993)</f>
        <v/>
      </c>
      <c r="O993" s="30" t="str">
        <f t="shared" si="184"/>
        <v/>
      </c>
      <c r="P993" s="24"/>
      <c r="Q993" s="30" t="str">
        <f t="shared" si="185"/>
        <v/>
      </c>
      <c r="R993" s="29" t="str">
        <f t="shared" ca="1" si="186"/>
        <v/>
      </c>
    </row>
    <row r="994" spans="1:18">
      <c r="A994" s="23" t="str">
        <f t="shared" si="176"/>
        <v/>
      </c>
      <c r="B994" s="23" t="str">
        <f t="shared" si="177"/>
        <v/>
      </c>
      <c r="C994" s="29" t="str">
        <f t="shared" ca="1" si="178"/>
        <v/>
      </c>
      <c r="D994" s="22" t="str">
        <f>IF(K994="","",ИТОГ!S994)</f>
        <v/>
      </c>
      <c r="E994" s="24" t="str">
        <f t="shared" si="179"/>
        <v/>
      </c>
      <c r="F994" s="30" t="str">
        <f t="shared" si="180"/>
        <v/>
      </c>
      <c r="G994" s="25" t="str">
        <f t="shared" si="181"/>
        <v/>
      </c>
      <c r="H994" s="29" t="str">
        <f t="shared" ca="1" si="182"/>
        <v/>
      </c>
      <c r="I994" s="24"/>
      <c r="J994" s="30"/>
      <c r="K994" s="27" t="str">
        <f>IF(ИТОГ!A994=0,"",ИТОГ!A994)</f>
        <v/>
      </c>
      <c r="L994" s="26" t="str">
        <f t="shared" si="183"/>
        <v/>
      </c>
      <c r="M994" s="25" t="str">
        <f>IF(K994="","",ИТОГ!Q994)</f>
        <v/>
      </c>
      <c r="N994" s="28" t="str">
        <f>IF(K994="","",ИТОГ!N994)</f>
        <v/>
      </c>
      <c r="O994" s="30" t="str">
        <f t="shared" si="184"/>
        <v/>
      </c>
      <c r="P994" s="24"/>
      <c r="Q994" s="30" t="str">
        <f t="shared" si="185"/>
        <v/>
      </c>
      <c r="R994" s="29" t="str">
        <f t="shared" ca="1" si="186"/>
        <v/>
      </c>
    </row>
    <row r="995" spans="1:18">
      <c r="A995" s="23" t="str">
        <f t="shared" si="176"/>
        <v/>
      </c>
      <c r="B995" s="23" t="str">
        <f t="shared" si="177"/>
        <v/>
      </c>
      <c r="C995" s="29" t="str">
        <f t="shared" ca="1" si="178"/>
        <v/>
      </c>
      <c r="D995" s="22" t="str">
        <f>IF(K995="","",ИТОГ!S995)</f>
        <v/>
      </c>
      <c r="E995" s="24" t="str">
        <f t="shared" si="179"/>
        <v/>
      </c>
      <c r="F995" s="30" t="str">
        <f t="shared" si="180"/>
        <v/>
      </c>
      <c r="G995" s="25" t="str">
        <f t="shared" si="181"/>
        <v/>
      </c>
      <c r="H995" s="29" t="str">
        <f t="shared" ca="1" si="182"/>
        <v/>
      </c>
      <c r="I995" s="24"/>
      <c r="J995" s="30"/>
      <c r="K995" s="27" t="str">
        <f>IF(ИТОГ!A995=0,"",ИТОГ!A995)</f>
        <v/>
      </c>
      <c r="L995" s="26" t="str">
        <f t="shared" si="183"/>
        <v/>
      </c>
      <c r="M995" s="25" t="str">
        <f>IF(K995="","",ИТОГ!Q995)</f>
        <v/>
      </c>
      <c r="N995" s="28" t="str">
        <f>IF(K995="","",ИТОГ!N995)</f>
        <v/>
      </c>
      <c r="O995" s="30" t="str">
        <f t="shared" si="184"/>
        <v/>
      </c>
      <c r="P995" s="24"/>
      <c r="Q995" s="30" t="str">
        <f t="shared" si="185"/>
        <v/>
      </c>
      <c r="R995" s="29" t="str">
        <f t="shared" ca="1" si="186"/>
        <v/>
      </c>
    </row>
    <row r="996" spans="1:18">
      <c r="A996" s="23" t="str">
        <f t="shared" si="176"/>
        <v/>
      </c>
      <c r="B996" s="23" t="str">
        <f t="shared" si="177"/>
        <v/>
      </c>
      <c r="C996" s="29" t="str">
        <f t="shared" ca="1" si="178"/>
        <v/>
      </c>
      <c r="D996" s="22" t="str">
        <f>IF(K996="","",ИТОГ!S996)</f>
        <v/>
      </c>
      <c r="E996" s="24" t="str">
        <f t="shared" si="179"/>
        <v/>
      </c>
      <c r="F996" s="30" t="str">
        <f t="shared" si="180"/>
        <v/>
      </c>
      <c r="G996" s="25" t="str">
        <f t="shared" si="181"/>
        <v/>
      </c>
      <c r="H996" s="29" t="str">
        <f t="shared" ca="1" si="182"/>
        <v/>
      </c>
      <c r="I996" s="24"/>
      <c r="J996" s="30"/>
      <c r="K996" s="27" t="str">
        <f>IF(ИТОГ!A996=0,"",ИТОГ!A996)</f>
        <v/>
      </c>
      <c r="L996" s="26" t="str">
        <f t="shared" si="183"/>
        <v/>
      </c>
      <c r="M996" s="25" t="str">
        <f>IF(K996="","",ИТОГ!Q996)</f>
        <v/>
      </c>
      <c r="N996" s="28" t="str">
        <f>IF(K996="","",ИТОГ!N996)</f>
        <v/>
      </c>
      <c r="O996" s="30" t="str">
        <f t="shared" si="184"/>
        <v/>
      </c>
      <c r="P996" s="24"/>
      <c r="Q996" s="30" t="str">
        <f t="shared" si="185"/>
        <v/>
      </c>
      <c r="R996" s="29" t="str">
        <f t="shared" ca="1" si="186"/>
        <v/>
      </c>
    </row>
    <row r="997" spans="1:18">
      <c r="A997" s="23" t="str">
        <f t="shared" si="176"/>
        <v/>
      </c>
      <c r="B997" s="23" t="str">
        <f t="shared" si="177"/>
        <v/>
      </c>
      <c r="C997" s="29" t="str">
        <f t="shared" ca="1" si="178"/>
        <v/>
      </c>
      <c r="D997" s="22" t="str">
        <f>IF(K997="","",ИТОГ!S997)</f>
        <v/>
      </c>
      <c r="E997" s="24" t="str">
        <f t="shared" si="179"/>
        <v/>
      </c>
      <c r="F997" s="30" t="str">
        <f t="shared" si="180"/>
        <v/>
      </c>
      <c r="G997" s="25" t="str">
        <f t="shared" si="181"/>
        <v/>
      </c>
      <c r="H997" s="29" t="str">
        <f t="shared" ca="1" si="182"/>
        <v/>
      </c>
      <c r="I997" s="24"/>
      <c r="J997" s="30"/>
      <c r="K997" s="27" t="str">
        <f>IF(ИТОГ!A997=0,"",ИТОГ!A997)</f>
        <v/>
      </c>
      <c r="L997" s="26" t="str">
        <f t="shared" si="183"/>
        <v/>
      </c>
      <c r="M997" s="25" t="str">
        <f>IF(K997="","",ИТОГ!Q997)</f>
        <v/>
      </c>
      <c r="N997" s="28" t="str">
        <f>IF(K997="","",ИТОГ!N997)</f>
        <v/>
      </c>
      <c r="O997" s="30" t="str">
        <f t="shared" si="184"/>
        <v/>
      </c>
      <c r="P997" s="24"/>
      <c r="Q997" s="30" t="str">
        <f t="shared" si="185"/>
        <v/>
      </c>
      <c r="R997" s="29" t="str">
        <f t="shared" ca="1" si="186"/>
        <v/>
      </c>
    </row>
    <row r="998" spans="1:18">
      <c r="A998" s="23" t="str">
        <f t="shared" si="176"/>
        <v/>
      </c>
      <c r="B998" s="23" t="str">
        <f t="shared" si="177"/>
        <v/>
      </c>
      <c r="C998" s="29" t="str">
        <f t="shared" ca="1" si="178"/>
        <v/>
      </c>
      <c r="D998" s="22" t="str">
        <f>IF(K998="","",ИТОГ!S998)</f>
        <v/>
      </c>
      <c r="E998" s="24" t="str">
        <f t="shared" si="179"/>
        <v/>
      </c>
      <c r="F998" s="30" t="str">
        <f t="shared" si="180"/>
        <v/>
      </c>
      <c r="G998" s="25" t="str">
        <f t="shared" si="181"/>
        <v/>
      </c>
      <c r="H998" s="29" t="str">
        <f t="shared" ca="1" si="182"/>
        <v/>
      </c>
      <c r="I998" s="24"/>
      <c r="J998" s="30"/>
      <c r="K998" s="27" t="str">
        <f>IF(ИТОГ!A998=0,"",ИТОГ!A998)</f>
        <v/>
      </c>
      <c r="L998" s="26" t="str">
        <f t="shared" si="183"/>
        <v/>
      </c>
      <c r="M998" s="25" t="str">
        <f>IF(K998="","",ИТОГ!Q998)</f>
        <v/>
      </c>
      <c r="N998" s="28" t="str">
        <f>IF(K998="","",ИТОГ!N998)</f>
        <v/>
      </c>
      <c r="O998" s="30" t="str">
        <f t="shared" si="184"/>
        <v/>
      </c>
      <c r="P998" s="24"/>
      <c r="Q998" s="30" t="str">
        <f t="shared" si="185"/>
        <v/>
      </c>
      <c r="R998" s="29" t="str">
        <f t="shared" ca="1" si="186"/>
        <v/>
      </c>
    </row>
    <row r="999" spans="1:18">
      <c r="A999" s="23" t="str">
        <f t="shared" si="176"/>
        <v/>
      </c>
      <c r="B999" s="23" t="str">
        <f t="shared" si="177"/>
        <v/>
      </c>
      <c r="C999" s="29" t="str">
        <f t="shared" ca="1" si="178"/>
        <v/>
      </c>
      <c r="D999" s="22" t="str">
        <f>IF(K999="","",ИТОГ!S999)</f>
        <v/>
      </c>
      <c r="E999" s="24" t="str">
        <f t="shared" si="179"/>
        <v/>
      </c>
      <c r="F999" s="30" t="str">
        <f t="shared" si="180"/>
        <v/>
      </c>
      <c r="G999" s="25" t="str">
        <f t="shared" si="181"/>
        <v/>
      </c>
      <c r="H999" s="29" t="str">
        <f t="shared" ca="1" si="182"/>
        <v/>
      </c>
      <c r="I999" s="24"/>
      <c r="J999" s="30"/>
      <c r="K999" s="27" t="str">
        <f>IF(ИТОГ!A999=0,"",ИТОГ!A999)</f>
        <v/>
      </c>
      <c r="L999" s="26" t="str">
        <f t="shared" si="183"/>
        <v/>
      </c>
      <c r="M999" s="25" t="str">
        <f>IF(K999="","",ИТОГ!Q999)</f>
        <v/>
      </c>
      <c r="N999" s="28" t="str">
        <f>IF(K999="","",ИТОГ!N999)</f>
        <v/>
      </c>
      <c r="O999" s="30" t="str">
        <f t="shared" si="184"/>
        <v/>
      </c>
      <c r="P999" s="24"/>
      <c r="Q999" s="30" t="str">
        <f t="shared" si="185"/>
        <v/>
      </c>
      <c r="R999" s="29" t="str">
        <f t="shared" ca="1" si="186"/>
        <v/>
      </c>
    </row>
    <row r="1000" spans="1:18">
      <c r="A1000" s="23" t="str">
        <f t="shared" si="176"/>
        <v/>
      </c>
      <c r="B1000" s="23" t="str">
        <f t="shared" si="177"/>
        <v/>
      </c>
      <c r="C1000" s="29" t="str">
        <f t="shared" ca="1" si="178"/>
        <v/>
      </c>
      <c r="D1000" s="22" t="str">
        <f>IF(K1000="","",ИТОГ!S1000)</f>
        <v/>
      </c>
      <c r="E1000" s="24" t="str">
        <f t="shared" si="179"/>
        <v/>
      </c>
      <c r="F1000" s="30" t="str">
        <f t="shared" si="180"/>
        <v/>
      </c>
      <c r="G1000" s="25" t="str">
        <f t="shared" si="181"/>
        <v/>
      </c>
      <c r="H1000" s="29" t="str">
        <f t="shared" ca="1" si="182"/>
        <v/>
      </c>
      <c r="I1000" s="24"/>
      <c r="J1000" s="30"/>
      <c r="K1000" s="27" t="str">
        <f>IF(ИТОГ!A1000=0,"",ИТОГ!A1000)</f>
        <v/>
      </c>
      <c r="L1000" s="26" t="str">
        <f t="shared" si="183"/>
        <v/>
      </c>
      <c r="M1000" s="25" t="str">
        <f>IF(K1000="","",ИТОГ!Q1000)</f>
        <v/>
      </c>
      <c r="N1000" s="28" t="str">
        <f>IF(K1000="","",ИТОГ!N1000)</f>
        <v/>
      </c>
      <c r="O1000" s="30" t="str">
        <f t="shared" si="184"/>
        <v/>
      </c>
      <c r="P1000" s="24"/>
      <c r="Q1000" s="30" t="str">
        <f t="shared" si="185"/>
        <v/>
      </c>
      <c r="R1000" s="29" t="str">
        <f t="shared" ca="1" si="186"/>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Инвойс</vt:lpstr>
      <vt:lpstr>Пакинг</vt:lpstr>
      <vt:lpstr>Обработка</vt:lpstr>
      <vt:lpstr>ИТОГ</vt:lpstr>
      <vt:lpstr>Test_invoice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2015-07-14T14:13:16Z</dcterms:modified>
</cp:coreProperties>
</file>